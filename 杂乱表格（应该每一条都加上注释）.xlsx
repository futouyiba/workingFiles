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MX数值\"/>
    </mc:Choice>
  </mc:AlternateContent>
  <bookViews>
    <workbookView xWindow="0" yWindow="0" windowWidth="14535" windowHeight="46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9" i="1"/>
  <c r="A4" i="1"/>
  <c r="A6" i="1" s="1"/>
  <c r="H6" i="1" s="1"/>
  <c r="H7" i="1" s="1"/>
  <c r="L7" i="1" s="1"/>
  <c r="L9" i="1" s="1"/>
  <c r="M9" i="1" s="1"/>
  <c r="C4" i="1"/>
  <c r="D4" i="1"/>
  <c r="E4" i="1"/>
  <c r="F4" i="1"/>
  <c r="B4" i="1"/>
  <c r="B2" i="1"/>
  <c r="J7" i="1" l="1"/>
  <c r="J9" i="1" s="1"/>
</calcChain>
</file>

<file path=xl/sharedStrings.xml><?xml version="1.0" encoding="utf-8"?>
<sst xmlns="http://schemas.openxmlformats.org/spreadsheetml/2006/main" count="11" uniqueCount="11">
  <si>
    <t>itemvalue</t>
    <phoneticPr fontId="1" type="noConversion"/>
  </si>
  <si>
    <t>itemlevel=0.785*lv+6.918</t>
    <phoneticPr fontId="1" type="noConversion"/>
  </si>
  <si>
    <t>alpha常数</t>
    <phoneticPr fontId="1" type="noConversion"/>
  </si>
  <si>
    <t>五条属性随机分配，因此每条占比20%</t>
    <phoneticPr fontId="1" type="noConversion"/>
  </si>
  <si>
    <t>计算火炮攻击力为25的反推装等</t>
    <phoneticPr fontId="1" type="noConversion"/>
  </si>
  <si>
    <t>a4为开方前的sigma结果</t>
    <phoneticPr fontId="1" type="noConversion"/>
  </si>
  <si>
    <t>sigma结果开alpha次方</t>
    <phoneticPr fontId="1" type="noConversion"/>
  </si>
  <si>
    <t>等级</t>
    <phoneticPr fontId="1" type="noConversion"/>
  </si>
  <si>
    <t>装等</t>
    <phoneticPr fontId="1" type="noConversion"/>
  </si>
  <si>
    <t>这里按火炮的部位指数为0.16计算</t>
    <phoneticPr fontId="1" type="noConversion"/>
  </si>
  <si>
    <t>反过来计算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</si>
</sst>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tabSelected="1" workbookViewId="0">
      <selection activeCell="M10" sqref="M10"/>
    </sheetView>
  </sheetViews>
  <sheetFormatPr defaultRowHeight="13.5"/>
  <cols>
    <col min="1" max="1" width="35.125" bestFit="1" customWidth="1"/>
    <col min="9" max="9" width="10.5" bestFit="1" customWidth="1"/>
  </cols>
  <sheetData>
    <row r="1" spans="1:13">
      <c r="A1" t="s">
        <v>4</v>
      </c>
    </row>
    <row r="2" spans="1:13">
      <c r="A2" t="s">
        <v>2</v>
      </c>
      <c r="B2">
        <f>LOG(2)/LOG(1.5)</f>
        <v>1.7095112913514547</v>
      </c>
    </row>
    <row r="3" spans="1:13">
      <c r="A3" t="s">
        <v>3</v>
      </c>
      <c r="B3">
        <v>0.2</v>
      </c>
      <c r="C3">
        <v>0.2</v>
      </c>
      <c r="D3">
        <v>0.2</v>
      </c>
      <c r="E3">
        <v>0.2</v>
      </c>
      <c r="F3">
        <v>0.2</v>
      </c>
    </row>
    <row r="4" spans="1:13">
      <c r="A4">
        <f>SUM(B4:M4)</f>
        <v>0.31920735502901204</v>
      </c>
      <c r="B4">
        <f>POWER(B3,$B$2)</f>
        <v>6.3841471005802411E-2</v>
      </c>
      <c r="C4">
        <f t="shared" ref="C4:F4" si="0">POWER(C3,$B$2)</f>
        <v>6.3841471005802411E-2</v>
      </c>
      <c r="D4">
        <f t="shared" si="0"/>
        <v>6.3841471005802411E-2</v>
      </c>
      <c r="E4">
        <f t="shared" si="0"/>
        <v>6.3841471005802411E-2</v>
      </c>
      <c r="F4">
        <f t="shared" si="0"/>
        <v>6.3841471005802411E-2</v>
      </c>
      <c r="I4" t="s">
        <v>9</v>
      </c>
    </row>
    <row r="5" spans="1:13">
      <c r="A5" t="s">
        <v>5</v>
      </c>
    </row>
    <row r="6" spans="1:13">
      <c r="A6">
        <f>POWER(A4,1/B2)</f>
        <v>0.51274476772492128</v>
      </c>
      <c r="H6">
        <f>8*A6/B3</f>
        <v>20.509790708996849</v>
      </c>
    </row>
    <row r="7" spans="1:13">
      <c r="A7" t="s">
        <v>6</v>
      </c>
      <c r="H7">
        <f>1.4*H6/1.6</f>
        <v>17.946066870372242</v>
      </c>
      <c r="I7" t="s">
        <v>0</v>
      </c>
      <c r="J7">
        <f>H7*0.05</f>
        <v>0.89730334351861218</v>
      </c>
      <c r="L7">
        <f>H7*0.95</f>
        <v>17.04876352685363</v>
      </c>
    </row>
    <row r="8" spans="1:13">
      <c r="A8" t="s">
        <v>7</v>
      </c>
      <c r="B8" t="s">
        <v>8</v>
      </c>
    </row>
    <row r="9" spans="1:13">
      <c r="A9">
        <v>1</v>
      </c>
      <c r="B9">
        <f>0.785*A9+6.918</f>
        <v>7.7030000000000003</v>
      </c>
      <c r="J9">
        <f>1.4*J7/1.6</f>
        <v>0.78514042557878549</v>
      </c>
      <c r="L9">
        <f>1.4*L7/1.6</f>
        <v>14.917668085996924</v>
      </c>
      <c r="M9">
        <f>L9-8</f>
        <v>6.9176680859969242</v>
      </c>
    </row>
    <row r="10" spans="1:13">
      <c r="A10">
        <v>2</v>
      </c>
      <c r="B10">
        <f t="shared" ref="B10:B68" si="1">0.785*A10+6.918</f>
        <v>8.4879999999999995</v>
      </c>
    </row>
    <row r="11" spans="1:13">
      <c r="A11">
        <v>3</v>
      </c>
      <c r="B11">
        <f t="shared" si="1"/>
        <v>9.2729999999999997</v>
      </c>
    </row>
    <row r="12" spans="1:13">
      <c r="A12">
        <v>4</v>
      </c>
      <c r="B12">
        <f t="shared" si="1"/>
        <v>10.058</v>
      </c>
      <c r="G12" t="s">
        <v>1</v>
      </c>
    </row>
    <row r="13" spans="1:13">
      <c r="A13">
        <v>5</v>
      </c>
      <c r="B13">
        <f t="shared" si="1"/>
        <v>10.843</v>
      </c>
    </row>
    <row r="14" spans="1:13">
      <c r="A14">
        <v>6</v>
      </c>
      <c r="B14">
        <f t="shared" si="1"/>
        <v>11.628</v>
      </c>
    </row>
    <row r="15" spans="1:13">
      <c r="A15">
        <v>7</v>
      </c>
      <c r="B15">
        <f t="shared" si="1"/>
        <v>12.413</v>
      </c>
    </row>
    <row r="16" spans="1:13">
      <c r="A16">
        <v>8</v>
      </c>
      <c r="B16">
        <f t="shared" si="1"/>
        <v>13.198</v>
      </c>
    </row>
    <row r="17" spans="1:6">
      <c r="A17">
        <v>9</v>
      </c>
      <c r="B17">
        <f t="shared" si="1"/>
        <v>13.983000000000001</v>
      </c>
      <c r="F17" t="s">
        <v>10</v>
      </c>
    </row>
    <row r="18" spans="1:6">
      <c r="A18">
        <v>10</v>
      </c>
      <c r="B18">
        <f t="shared" si="1"/>
        <v>14.768000000000001</v>
      </c>
    </row>
    <row r="19" spans="1:6">
      <c r="A19">
        <v>11</v>
      </c>
      <c r="B19">
        <f t="shared" si="1"/>
        <v>15.553000000000001</v>
      </c>
    </row>
    <row r="20" spans="1:6">
      <c r="A20">
        <v>12</v>
      </c>
      <c r="B20">
        <f t="shared" si="1"/>
        <v>16.338000000000001</v>
      </c>
    </row>
    <row r="21" spans="1:6">
      <c r="A21">
        <v>13</v>
      </c>
      <c r="B21">
        <f t="shared" si="1"/>
        <v>17.123000000000001</v>
      </c>
    </row>
    <row r="22" spans="1:6">
      <c r="A22">
        <v>14</v>
      </c>
      <c r="B22">
        <f t="shared" si="1"/>
        <v>17.908000000000001</v>
      </c>
    </row>
    <row r="23" spans="1:6">
      <c r="A23">
        <v>15</v>
      </c>
      <c r="B23">
        <f t="shared" si="1"/>
        <v>18.693000000000001</v>
      </c>
    </row>
    <row r="24" spans="1:6">
      <c r="A24">
        <v>16</v>
      </c>
      <c r="B24">
        <f t="shared" si="1"/>
        <v>19.478000000000002</v>
      </c>
    </row>
    <row r="25" spans="1:6">
      <c r="A25">
        <v>17</v>
      </c>
      <c r="B25">
        <f t="shared" si="1"/>
        <v>20.263000000000002</v>
      </c>
    </row>
    <row r="26" spans="1:6">
      <c r="A26">
        <v>18</v>
      </c>
      <c r="B26">
        <f t="shared" si="1"/>
        <v>21.048000000000002</v>
      </c>
    </row>
    <row r="27" spans="1:6">
      <c r="A27">
        <v>19</v>
      </c>
      <c r="B27">
        <f t="shared" si="1"/>
        <v>21.833000000000002</v>
      </c>
    </row>
    <row r="28" spans="1:6">
      <c r="A28">
        <v>20</v>
      </c>
      <c r="B28">
        <f t="shared" si="1"/>
        <v>22.618000000000002</v>
      </c>
    </row>
    <row r="29" spans="1:6">
      <c r="A29">
        <v>21</v>
      </c>
      <c r="B29">
        <f t="shared" si="1"/>
        <v>23.402999999999999</v>
      </c>
    </row>
    <row r="30" spans="1:6">
      <c r="A30">
        <v>22</v>
      </c>
      <c r="B30">
        <f t="shared" si="1"/>
        <v>24.187999999999999</v>
      </c>
    </row>
    <row r="31" spans="1:6">
      <c r="A31">
        <v>23</v>
      </c>
      <c r="B31">
        <f t="shared" si="1"/>
        <v>24.972999999999999</v>
      </c>
    </row>
    <row r="32" spans="1:6">
      <c r="A32">
        <v>24</v>
      </c>
      <c r="B32">
        <f t="shared" si="1"/>
        <v>25.757999999999999</v>
      </c>
    </row>
    <row r="33" spans="1:2">
      <c r="A33">
        <v>25</v>
      </c>
      <c r="B33">
        <f t="shared" si="1"/>
        <v>26.542999999999999</v>
      </c>
    </row>
    <row r="34" spans="1:2">
      <c r="A34">
        <v>26</v>
      </c>
      <c r="B34">
        <f t="shared" si="1"/>
        <v>27.327999999999999</v>
      </c>
    </row>
    <row r="35" spans="1:2">
      <c r="A35">
        <v>27</v>
      </c>
      <c r="B35">
        <f t="shared" si="1"/>
        <v>28.113</v>
      </c>
    </row>
    <row r="36" spans="1:2">
      <c r="A36">
        <v>28</v>
      </c>
      <c r="B36">
        <f t="shared" si="1"/>
        <v>28.898</v>
      </c>
    </row>
    <row r="37" spans="1:2">
      <c r="A37">
        <v>29</v>
      </c>
      <c r="B37">
        <f t="shared" si="1"/>
        <v>29.683</v>
      </c>
    </row>
    <row r="38" spans="1:2">
      <c r="A38">
        <v>30</v>
      </c>
      <c r="B38">
        <f t="shared" si="1"/>
        <v>30.468</v>
      </c>
    </row>
    <row r="39" spans="1:2">
      <c r="A39">
        <v>31</v>
      </c>
      <c r="B39">
        <f t="shared" si="1"/>
        <v>31.253</v>
      </c>
    </row>
    <row r="40" spans="1:2">
      <c r="A40">
        <v>32</v>
      </c>
      <c r="B40">
        <f t="shared" si="1"/>
        <v>32.038000000000004</v>
      </c>
    </row>
    <row r="41" spans="1:2">
      <c r="A41">
        <v>33</v>
      </c>
      <c r="B41">
        <f t="shared" si="1"/>
        <v>32.823</v>
      </c>
    </row>
    <row r="42" spans="1:2">
      <c r="A42">
        <v>34</v>
      </c>
      <c r="B42">
        <f t="shared" si="1"/>
        <v>33.608000000000004</v>
      </c>
    </row>
    <row r="43" spans="1:2">
      <c r="A43">
        <v>35</v>
      </c>
      <c r="B43">
        <f t="shared" si="1"/>
        <v>34.393000000000001</v>
      </c>
    </row>
    <row r="44" spans="1:2">
      <c r="A44">
        <v>36</v>
      </c>
      <c r="B44">
        <f t="shared" si="1"/>
        <v>35.178000000000004</v>
      </c>
    </row>
    <row r="45" spans="1:2">
      <c r="A45">
        <v>37</v>
      </c>
      <c r="B45">
        <f t="shared" si="1"/>
        <v>35.963000000000001</v>
      </c>
    </row>
    <row r="46" spans="1:2">
      <c r="A46">
        <v>38</v>
      </c>
      <c r="B46">
        <f t="shared" si="1"/>
        <v>36.748000000000005</v>
      </c>
    </row>
    <row r="47" spans="1:2">
      <c r="A47">
        <v>39</v>
      </c>
      <c r="B47">
        <f t="shared" si="1"/>
        <v>37.533000000000001</v>
      </c>
    </row>
    <row r="48" spans="1:2">
      <c r="A48">
        <v>40</v>
      </c>
      <c r="B48">
        <f t="shared" si="1"/>
        <v>38.318000000000005</v>
      </c>
    </row>
    <row r="49" spans="1:2">
      <c r="A49">
        <v>41</v>
      </c>
      <c r="B49">
        <f t="shared" si="1"/>
        <v>39.103000000000002</v>
      </c>
    </row>
    <row r="50" spans="1:2">
      <c r="A50">
        <v>42</v>
      </c>
      <c r="B50">
        <f t="shared" si="1"/>
        <v>39.887999999999998</v>
      </c>
    </row>
    <row r="51" spans="1:2">
      <c r="A51">
        <v>43</v>
      </c>
      <c r="B51">
        <f t="shared" si="1"/>
        <v>40.673000000000002</v>
      </c>
    </row>
    <row r="52" spans="1:2">
      <c r="A52">
        <v>44</v>
      </c>
      <c r="B52">
        <f t="shared" si="1"/>
        <v>41.457999999999998</v>
      </c>
    </row>
    <row r="53" spans="1:2">
      <c r="A53">
        <v>45</v>
      </c>
      <c r="B53">
        <f t="shared" si="1"/>
        <v>42.243000000000002</v>
      </c>
    </row>
    <row r="54" spans="1:2">
      <c r="A54">
        <v>46</v>
      </c>
      <c r="B54">
        <f t="shared" si="1"/>
        <v>43.027999999999999</v>
      </c>
    </row>
    <row r="55" spans="1:2">
      <c r="A55">
        <v>47</v>
      </c>
      <c r="B55">
        <f t="shared" si="1"/>
        <v>43.813000000000002</v>
      </c>
    </row>
    <row r="56" spans="1:2">
      <c r="A56">
        <v>48</v>
      </c>
      <c r="B56">
        <f t="shared" si="1"/>
        <v>44.597999999999999</v>
      </c>
    </row>
    <row r="57" spans="1:2">
      <c r="A57">
        <v>49</v>
      </c>
      <c r="B57">
        <f t="shared" si="1"/>
        <v>45.383000000000003</v>
      </c>
    </row>
    <row r="58" spans="1:2">
      <c r="A58">
        <v>50</v>
      </c>
      <c r="B58">
        <f t="shared" si="1"/>
        <v>46.167999999999999</v>
      </c>
    </row>
    <row r="59" spans="1:2">
      <c r="A59">
        <v>51</v>
      </c>
      <c r="B59">
        <f t="shared" si="1"/>
        <v>46.953000000000003</v>
      </c>
    </row>
    <row r="60" spans="1:2">
      <c r="A60">
        <v>52</v>
      </c>
      <c r="B60">
        <f t="shared" si="1"/>
        <v>47.738</v>
      </c>
    </row>
    <row r="61" spans="1:2">
      <c r="A61">
        <v>53</v>
      </c>
      <c r="B61">
        <f t="shared" si="1"/>
        <v>48.523000000000003</v>
      </c>
    </row>
    <row r="62" spans="1:2">
      <c r="A62">
        <v>54</v>
      </c>
      <c r="B62">
        <f t="shared" si="1"/>
        <v>49.308</v>
      </c>
    </row>
    <row r="63" spans="1:2">
      <c r="A63">
        <v>55</v>
      </c>
      <c r="B63">
        <f t="shared" si="1"/>
        <v>50.093000000000004</v>
      </c>
    </row>
    <row r="64" spans="1:2">
      <c r="A64">
        <v>56</v>
      </c>
      <c r="B64">
        <f t="shared" si="1"/>
        <v>50.878</v>
      </c>
    </row>
    <row r="65" spans="1:2">
      <c r="A65">
        <v>57</v>
      </c>
      <c r="B65">
        <f t="shared" si="1"/>
        <v>51.663000000000004</v>
      </c>
    </row>
    <row r="66" spans="1:2">
      <c r="A66">
        <v>58</v>
      </c>
      <c r="B66">
        <f t="shared" si="1"/>
        <v>52.448</v>
      </c>
    </row>
    <row r="67" spans="1:2">
      <c r="A67">
        <v>59</v>
      </c>
      <c r="B67">
        <f t="shared" si="1"/>
        <v>53.233000000000004</v>
      </c>
    </row>
    <row r="68" spans="1:2">
      <c r="A68">
        <v>60</v>
      </c>
      <c r="B68">
        <f t="shared" si="1"/>
        <v>54.018000000000001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 Song</dc:creator>
  <cp:lastModifiedBy>Fu Song</cp:lastModifiedBy>
  <dcterms:created xsi:type="dcterms:W3CDTF">2014-08-05T02:05:59Z</dcterms:created>
  <dcterms:modified xsi:type="dcterms:W3CDTF">2014-08-06T11:47:45Z</dcterms:modified>
</cp:coreProperties>
</file>
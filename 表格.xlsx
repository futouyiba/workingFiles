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MX数值\"/>
    </mc:Choice>
  </mc:AlternateContent>
  <bookViews>
    <workbookView xWindow="0" yWindow="0" windowWidth="16200" windowHeight="7530" tabRatio="792" firstSheet="2" activeTab="7"/>
  </bookViews>
  <sheets>
    <sheet name="计算基础值，极值问题" sheetId="12" r:id="rId1"/>
    <sheet name="属性种类" sheetId="2" r:id="rId2"/>
    <sheet name="属性价值参考" sheetId="7" r:id="rId3"/>
    <sheet name="装等示例" sheetId="9" r:id="rId4"/>
    <sheet name="属性价值成长" sheetId="10" state="hidden" r:id="rId5"/>
    <sheet name="属性价值成长（以火炮为例）" sheetId="11" r:id="rId6"/>
    <sheet name="属性成长（300-120,裸车比率）" sheetId="13" r:id="rId7"/>
    <sheet name="计算24级时装备属性位数" sheetId="16" r:id="rId8"/>
    <sheet name="一步步找点" sheetId="14" r:id="rId9"/>
    <sheet name="关于alpha次方" sheetId="15" r:id="rId10"/>
    <sheet name="改变属性的效果" sheetId="3" r:id="rId11"/>
    <sheet name="攻防相克系数" sheetId="1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1" i="16" l="1"/>
  <c r="T22" i="16"/>
  <c r="T20" i="16"/>
  <c r="F26" i="16" l="1"/>
  <c r="E26" i="16"/>
  <c r="F25" i="16"/>
  <c r="E25" i="16"/>
  <c r="F24" i="16"/>
  <c r="E24" i="16"/>
  <c r="F23" i="16"/>
  <c r="E23" i="16"/>
  <c r="F22" i="16"/>
  <c r="E22" i="16"/>
  <c r="D23" i="16"/>
  <c r="D24" i="16"/>
  <c r="D25" i="16"/>
  <c r="D26" i="16"/>
  <c r="D22" i="16"/>
  <c r="C23" i="16"/>
  <c r="C24" i="16"/>
  <c r="C25" i="16"/>
  <c r="C26" i="16"/>
  <c r="C22" i="16"/>
  <c r="O2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1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2" i="13"/>
  <c r="N1" i="13"/>
  <c r="J22" i="16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1" i="13"/>
  <c r="H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1" i="13"/>
  <c r="G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1" i="13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F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1" i="13"/>
  <c r="E1" i="13" s="1"/>
  <c r="R13" i="16"/>
  <c r="B18" i="16"/>
  <c r="K18" i="16" s="1"/>
  <c r="B17" i="16"/>
  <c r="H17" i="16" s="1"/>
  <c r="M17" i="16" s="1"/>
  <c r="N17" i="16" s="1"/>
  <c r="B16" i="16"/>
  <c r="K16" i="16" s="1"/>
  <c r="B15" i="16"/>
  <c r="H15" i="16" s="1"/>
  <c r="M15" i="16" s="1"/>
  <c r="N15" i="16" s="1"/>
  <c r="B14" i="16"/>
  <c r="C13" i="16"/>
  <c r="H13" i="16" s="1"/>
  <c r="M13" i="16" s="1"/>
  <c r="N13" i="16" s="1"/>
  <c r="C12" i="16"/>
  <c r="K13" i="16"/>
  <c r="K14" i="16"/>
  <c r="K17" i="16"/>
  <c r="K12" i="16"/>
  <c r="D13" i="16"/>
  <c r="D12" i="16"/>
  <c r="H9" i="16"/>
  <c r="D9" i="16"/>
  <c r="H8" i="16"/>
  <c r="D8" i="16"/>
  <c r="H7" i="16"/>
  <c r="D7" i="16"/>
  <c r="H6" i="16"/>
  <c r="D6" i="16"/>
  <c r="H5" i="16"/>
  <c r="D5" i="16"/>
  <c r="H4" i="16"/>
  <c r="D4" i="16"/>
  <c r="H3" i="16"/>
  <c r="D3" i="16"/>
  <c r="U1" i="15"/>
  <c r="X1" i="15" s="1"/>
  <c r="D8" i="14"/>
  <c r="H28" i="14"/>
  <c r="D7" i="14"/>
  <c r="H26" i="14"/>
  <c r="D2" i="14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2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2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2" i="15"/>
  <c r="H3" i="14"/>
  <c r="H4" i="14"/>
  <c r="H5" i="14"/>
  <c r="H6" i="14"/>
  <c r="H7" i="14"/>
  <c r="H8" i="14"/>
  <c r="H2" i="14"/>
  <c r="D4" i="14"/>
  <c r="D6" i="14"/>
  <c r="D5" i="14"/>
  <c r="D3" i="14"/>
  <c r="D3" i="15"/>
  <c r="D4" i="15"/>
  <c r="D5" i="15"/>
  <c r="D6" i="15"/>
  <c r="F6" i="15" s="1"/>
  <c r="D7" i="15"/>
  <c r="D8" i="15"/>
  <c r="D9" i="15"/>
  <c r="D10" i="15"/>
  <c r="F10" i="15" s="1"/>
  <c r="D11" i="15"/>
  <c r="D12" i="15"/>
  <c r="D13" i="15"/>
  <c r="D14" i="15"/>
  <c r="F14" i="15" s="1"/>
  <c r="D15" i="15"/>
  <c r="D16" i="15"/>
  <c r="D17" i="15"/>
  <c r="D18" i="15"/>
  <c r="F18" i="15" s="1"/>
  <c r="D19" i="15"/>
  <c r="D20" i="15"/>
  <c r="D21" i="15"/>
  <c r="D22" i="15"/>
  <c r="F22" i="15" s="1"/>
  <c r="D23" i="15"/>
  <c r="D24" i="15"/>
  <c r="D25" i="15"/>
  <c r="D26" i="15"/>
  <c r="F26" i="15" s="1"/>
  <c r="D27" i="15"/>
  <c r="D28" i="15"/>
  <c r="D29" i="15"/>
  <c r="D30" i="15"/>
  <c r="F30" i="15" s="1"/>
  <c r="D31" i="15"/>
  <c r="D32" i="15"/>
  <c r="D33" i="15"/>
  <c r="D34" i="15"/>
  <c r="F34" i="15" s="1"/>
  <c r="D35" i="15"/>
  <c r="D36" i="15"/>
  <c r="D37" i="15"/>
  <c r="D38" i="15"/>
  <c r="F38" i="15" s="1"/>
  <c r="D39" i="15"/>
  <c r="D40" i="15"/>
  <c r="D41" i="15"/>
  <c r="D42" i="15"/>
  <c r="F42" i="15" s="1"/>
  <c r="D43" i="15"/>
  <c r="D44" i="15"/>
  <c r="D45" i="15"/>
  <c r="D46" i="15"/>
  <c r="F46" i="15" s="1"/>
  <c r="D47" i="15"/>
  <c r="D48" i="15"/>
  <c r="D49" i="15"/>
  <c r="D50" i="15"/>
  <c r="F50" i="15" s="1"/>
  <c r="D2" i="15"/>
  <c r="F3" i="15"/>
  <c r="F4" i="15"/>
  <c r="F5" i="15"/>
  <c r="F7" i="15"/>
  <c r="F8" i="15"/>
  <c r="F9" i="15"/>
  <c r="F11" i="15"/>
  <c r="F12" i="15"/>
  <c r="F13" i="15"/>
  <c r="F15" i="15"/>
  <c r="F16" i="15"/>
  <c r="F17" i="15"/>
  <c r="F19" i="15"/>
  <c r="F20" i="15"/>
  <c r="F21" i="15"/>
  <c r="F23" i="15"/>
  <c r="F24" i="15"/>
  <c r="F25" i="15"/>
  <c r="F27" i="15"/>
  <c r="F28" i="15"/>
  <c r="F29" i="15"/>
  <c r="F31" i="15"/>
  <c r="F32" i="15"/>
  <c r="F33" i="15"/>
  <c r="F35" i="15"/>
  <c r="F36" i="15"/>
  <c r="F37" i="15"/>
  <c r="F39" i="15"/>
  <c r="F40" i="15"/>
  <c r="F41" i="15"/>
  <c r="F43" i="15"/>
  <c r="F44" i="15"/>
  <c r="F45" i="15"/>
  <c r="F47" i="15"/>
  <c r="F48" i="15"/>
  <c r="F49" i="15"/>
  <c r="F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2" i="15"/>
  <c r="C1" i="15"/>
  <c r="B1" i="15"/>
  <c r="H27" i="14"/>
  <c r="C25" i="14"/>
  <c r="H18" i="16" l="1"/>
  <c r="M18" i="16" s="1"/>
  <c r="N18" i="16" s="1"/>
  <c r="D14" i="16"/>
  <c r="D17" i="16"/>
  <c r="D15" i="16"/>
  <c r="D18" i="16"/>
  <c r="D16" i="16"/>
  <c r="H16" i="16"/>
  <c r="M16" i="16" s="1"/>
  <c r="N16" i="16" s="1"/>
  <c r="K15" i="16"/>
  <c r="H12" i="16"/>
  <c r="H14" i="16"/>
  <c r="M14" i="16" s="1"/>
  <c r="N14" i="16" s="1"/>
  <c r="X3" i="15"/>
  <c r="H30" i="14"/>
  <c r="H29" i="14"/>
  <c r="M12" i="16" l="1"/>
  <c r="N12" i="16" s="1"/>
  <c r="H19" i="16"/>
  <c r="N19" i="16" s="1"/>
  <c r="W7" i="15"/>
  <c r="W8" i="15" s="1"/>
  <c r="X7" i="15"/>
  <c r="X8" i="15" s="1"/>
  <c r="U7" i="15"/>
  <c r="U8" i="15" s="1"/>
  <c r="T7" i="15"/>
  <c r="T8" i="15" s="1"/>
  <c r="V7" i="15"/>
  <c r="V8" i="15" s="1"/>
  <c r="N22" i="16" l="1"/>
  <c r="P22" i="16" s="1"/>
  <c r="R22" i="16" s="1"/>
  <c r="N20" i="16"/>
  <c r="P20" i="16" s="1"/>
  <c r="R20" i="16" s="1"/>
  <c r="N21" i="16"/>
  <c r="P21" i="16" s="1"/>
  <c r="R21" i="16" s="1"/>
  <c r="AA8" i="15"/>
  <c r="D2" i="13" l="1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1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2" i="13"/>
  <c r="C3" i="13"/>
  <c r="C4" i="13" s="1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2" i="13"/>
  <c r="M1" i="13"/>
  <c r="L1" i="13"/>
  <c r="K1" i="13"/>
  <c r="C1" i="13"/>
  <c r="U10" i="12"/>
  <c r="O10" i="12"/>
  <c r="M10" i="12"/>
  <c r="I10" i="12"/>
  <c r="R10" i="12" s="1"/>
  <c r="H10" i="12"/>
  <c r="P10" i="12" s="1"/>
  <c r="U9" i="12"/>
  <c r="O9" i="12"/>
  <c r="M9" i="12"/>
  <c r="I9" i="12"/>
  <c r="R9" i="12" s="1"/>
  <c r="H9" i="12"/>
  <c r="P9" i="12" s="1"/>
  <c r="O8" i="12"/>
  <c r="M8" i="12"/>
  <c r="H8" i="12" s="1"/>
  <c r="P8" i="12" s="1"/>
  <c r="I8" i="12"/>
  <c r="U8" i="12" s="1"/>
  <c r="U7" i="12"/>
  <c r="R7" i="12"/>
  <c r="O7" i="12"/>
  <c r="M7" i="12"/>
  <c r="H7" i="12" s="1"/>
  <c r="P7" i="12" s="1"/>
  <c r="S7" i="12" s="1"/>
  <c r="I7" i="12"/>
  <c r="Q7" i="12" s="1"/>
  <c r="U6" i="12"/>
  <c r="O6" i="12"/>
  <c r="M6" i="12"/>
  <c r="I6" i="12"/>
  <c r="R6" i="12" s="1"/>
  <c r="H6" i="12"/>
  <c r="P6" i="12" s="1"/>
  <c r="S9" i="12" l="1"/>
  <c r="Q8" i="12"/>
  <c r="S8" i="12" s="1"/>
  <c r="R8" i="12"/>
  <c r="Q9" i="12"/>
  <c r="Q6" i="12"/>
  <c r="S6" i="12" s="1"/>
  <c r="Q10" i="12"/>
  <c r="S10" i="12" s="1"/>
  <c r="N23" i="11"/>
  <c r="N24" i="11"/>
  <c r="N25" i="11"/>
  <c r="N26" i="11"/>
  <c r="N27" i="11"/>
  <c r="N28" i="11"/>
  <c r="N29" i="11"/>
  <c r="N30" i="11"/>
  <c r="N31" i="11"/>
  <c r="M23" i="11"/>
  <c r="M24" i="11"/>
  <c r="M25" i="11"/>
  <c r="M26" i="11"/>
  <c r="M27" i="11"/>
  <c r="M28" i="11"/>
  <c r="M29" i="11"/>
  <c r="M30" i="11"/>
  <c r="M31" i="11"/>
  <c r="L23" i="11"/>
  <c r="L24" i="11"/>
  <c r="L25" i="11"/>
  <c r="L26" i="11"/>
  <c r="L27" i="11"/>
  <c r="L28" i="11"/>
  <c r="L29" i="11"/>
  <c r="L30" i="11"/>
  <c r="L31" i="11"/>
  <c r="O24" i="11"/>
  <c r="O25" i="11"/>
  <c r="O26" i="11"/>
  <c r="O27" i="11"/>
  <c r="O28" i="11"/>
  <c r="O29" i="11"/>
  <c r="O30" i="11"/>
  <c r="O31" i="11"/>
  <c r="Q22" i="11" l="1"/>
  <c r="Q23" i="11"/>
  <c r="Q21" i="11"/>
  <c r="N38" i="11"/>
  <c r="I23" i="11"/>
  <c r="I24" i="11"/>
  <c r="I25" i="11"/>
  <c r="I26" i="11"/>
  <c r="I27" i="11"/>
  <c r="I28" i="11"/>
  <c r="I29" i="11"/>
  <c r="I30" i="11"/>
  <c r="I31" i="11"/>
  <c r="I22" i="11"/>
  <c r="S30" i="11" l="1"/>
  <c r="O22" i="11"/>
  <c r="S22" i="11" s="1"/>
  <c r="O23" i="11"/>
  <c r="S23" i="11" s="1"/>
  <c r="S24" i="11"/>
  <c r="S25" i="11"/>
  <c r="S26" i="11"/>
  <c r="S27" i="11"/>
  <c r="S28" i="11"/>
  <c r="S29" i="11"/>
  <c r="S31" i="11"/>
  <c r="Q12" i="11"/>
  <c r="Q12" i="10"/>
  <c r="K18" i="10"/>
  <c r="L18" i="10"/>
  <c r="M18" i="10"/>
  <c r="N18" i="10"/>
  <c r="J18" i="10"/>
  <c r="G50" i="11"/>
  <c r="G46" i="11"/>
  <c r="G42" i="11"/>
  <c r="G38" i="11"/>
  <c r="G34" i="11"/>
  <c r="D21" i="11"/>
  <c r="F13" i="11"/>
  <c r="F12" i="11"/>
  <c r="H10" i="11"/>
  <c r="G10" i="11"/>
  <c r="E10" i="11"/>
  <c r="G6" i="11"/>
  <c r="E6" i="11"/>
  <c r="D6" i="11"/>
  <c r="C53" i="11"/>
  <c r="C52" i="11"/>
  <c r="C51" i="11"/>
  <c r="F51" i="11" s="1"/>
  <c r="C50" i="11"/>
  <c r="F50" i="11" s="1"/>
  <c r="C49" i="11"/>
  <c r="C48" i="11"/>
  <c r="C47" i="11"/>
  <c r="C46" i="11"/>
  <c r="F46" i="11" s="1"/>
  <c r="C45" i="11"/>
  <c r="C44" i="11"/>
  <c r="C43" i="11"/>
  <c r="F43" i="11" s="1"/>
  <c r="C42" i="11"/>
  <c r="F42" i="11" s="1"/>
  <c r="C41" i="11"/>
  <c r="C40" i="11"/>
  <c r="C39" i="11"/>
  <c r="F39" i="11" s="1"/>
  <c r="C38" i="11"/>
  <c r="F38" i="11" s="1"/>
  <c r="C37" i="11"/>
  <c r="D37" i="11" s="1"/>
  <c r="C36" i="11"/>
  <c r="C35" i="11"/>
  <c r="C34" i="11"/>
  <c r="F34" i="11" s="1"/>
  <c r="C33" i="11"/>
  <c r="D33" i="11" s="1"/>
  <c r="C32" i="11"/>
  <c r="E32" i="11" s="1"/>
  <c r="C31" i="11"/>
  <c r="F31" i="11" s="1"/>
  <c r="C30" i="11"/>
  <c r="G30" i="11" s="1"/>
  <c r="C29" i="11"/>
  <c r="D29" i="11" s="1"/>
  <c r="C28" i="11"/>
  <c r="E28" i="11" s="1"/>
  <c r="C27" i="11"/>
  <c r="F27" i="11" s="1"/>
  <c r="C26" i="11"/>
  <c r="G26" i="11" s="1"/>
  <c r="C25" i="11"/>
  <c r="H25" i="11" s="1"/>
  <c r="C24" i="11"/>
  <c r="E24" i="11" s="1"/>
  <c r="C23" i="11"/>
  <c r="F23" i="11" s="1"/>
  <c r="N22" i="11"/>
  <c r="N36" i="11" s="1"/>
  <c r="M22" i="11"/>
  <c r="L22" i="11"/>
  <c r="C22" i="11"/>
  <c r="G22" i="11" s="1"/>
  <c r="C21" i="11"/>
  <c r="H21" i="11" s="1"/>
  <c r="C20" i="11"/>
  <c r="H20" i="11" s="1"/>
  <c r="C19" i="11"/>
  <c r="D19" i="11" s="1"/>
  <c r="C18" i="11"/>
  <c r="E18" i="11" s="1"/>
  <c r="C17" i="11"/>
  <c r="C16" i="11"/>
  <c r="H16" i="11" s="1"/>
  <c r="C15" i="11"/>
  <c r="E15" i="11" s="1"/>
  <c r="C14" i="11"/>
  <c r="F14" i="11" s="1"/>
  <c r="C13" i="11"/>
  <c r="G13" i="11" s="1"/>
  <c r="C12" i="11"/>
  <c r="H12" i="11" s="1"/>
  <c r="C11" i="11"/>
  <c r="E11" i="11" s="1"/>
  <c r="K10" i="11"/>
  <c r="N12" i="11" s="1"/>
  <c r="L16" i="11" s="1"/>
  <c r="C10" i="11"/>
  <c r="F10" i="11" s="1"/>
  <c r="C9" i="11"/>
  <c r="G9" i="11" s="1"/>
  <c r="C8" i="11"/>
  <c r="E8" i="11" s="1"/>
  <c r="C7" i="11"/>
  <c r="E7" i="11" s="1"/>
  <c r="C6" i="11"/>
  <c r="F6" i="11" s="1"/>
  <c r="C5" i="11"/>
  <c r="G5" i="11" s="1"/>
  <c r="C4" i="11"/>
  <c r="F4" i="11" s="1"/>
  <c r="N31" i="10"/>
  <c r="M31" i="10"/>
  <c r="L31" i="10"/>
  <c r="N30" i="10"/>
  <c r="M30" i="10"/>
  <c r="L30" i="10"/>
  <c r="N29" i="10"/>
  <c r="M29" i="10"/>
  <c r="L29" i="10"/>
  <c r="N28" i="10"/>
  <c r="M28" i="10"/>
  <c r="L28" i="10"/>
  <c r="N27" i="10"/>
  <c r="M27" i="10"/>
  <c r="L27" i="10"/>
  <c r="N26" i="10"/>
  <c r="M26" i="10"/>
  <c r="L26" i="10"/>
  <c r="N25" i="10"/>
  <c r="M25" i="10"/>
  <c r="L25" i="10"/>
  <c r="N24" i="10"/>
  <c r="M24" i="10"/>
  <c r="L24" i="10"/>
  <c r="N23" i="10"/>
  <c r="M23" i="10"/>
  <c r="L23" i="10"/>
  <c r="N22" i="10"/>
  <c r="M22" i="10"/>
  <c r="L22" i="10"/>
  <c r="N12" i="10"/>
  <c r="M16" i="10" s="1"/>
  <c r="K10" i="10"/>
  <c r="N10" i="10" s="1"/>
  <c r="C5" i="10"/>
  <c r="G5" i="10" s="1"/>
  <c r="C6" i="10"/>
  <c r="G6" i="10" s="1"/>
  <c r="C7" i="10"/>
  <c r="F7" i="10" s="1"/>
  <c r="C8" i="10"/>
  <c r="C9" i="10"/>
  <c r="G9" i="10" s="1"/>
  <c r="C10" i="10"/>
  <c r="G10" i="10" s="1"/>
  <c r="C11" i="10"/>
  <c r="F11" i="10" s="1"/>
  <c r="C12" i="10"/>
  <c r="H12" i="10" s="1"/>
  <c r="C13" i="10"/>
  <c r="F13" i="10" s="1"/>
  <c r="C14" i="10"/>
  <c r="G14" i="10" s="1"/>
  <c r="C15" i="10"/>
  <c r="F15" i="10" s="1"/>
  <c r="C16" i="10"/>
  <c r="C17" i="10"/>
  <c r="F17" i="10" s="1"/>
  <c r="C18" i="10"/>
  <c r="G18" i="10" s="1"/>
  <c r="C19" i="10"/>
  <c r="F19" i="10" s="1"/>
  <c r="C20" i="10"/>
  <c r="C21" i="10"/>
  <c r="E21" i="10" s="1"/>
  <c r="C22" i="10"/>
  <c r="G22" i="10" s="1"/>
  <c r="C23" i="10"/>
  <c r="F23" i="10" s="1"/>
  <c r="C24" i="10"/>
  <c r="C25" i="10"/>
  <c r="E25" i="10" s="1"/>
  <c r="C26" i="10"/>
  <c r="G26" i="10" s="1"/>
  <c r="C27" i="10"/>
  <c r="F27" i="10" s="1"/>
  <c r="C28" i="10"/>
  <c r="C29" i="10"/>
  <c r="D29" i="10" s="1"/>
  <c r="C30" i="10"/>
  <c r="G30" i="10" s="1"/>
  <c r="C31" i="10"/>
  <c r="F31" i="10" s="1"/>
  <c r="C32" i="10"/>
  <c r="C33" i="10"/>
  <c r="D33" i="10" s="1"/>
  <c r="C34" i="10"/>
  <c r="G34" i="10" s="1"/>
  <c r="C35" i="10"/>
  <c r="F35" i="10" s="1"/>
  <c r="C36" i="10"/>
  <c r="H36" i="10" s="1"/>
  <c r="C37" i="10"/>
  <c r="G37" i="10" s="1"/>
  <c r="C38" i="10"/>
  <c r="G38" i="10" s="1"/>
  <c r="C39" i="10"/>
  <c r="F39" i="10" s="1"/>
  <c r="C40" i="10"/>
  <c r="C41" i="10"/>
  <c r="G41" i="10" s="1"/>
  <c r="C42" i="10"/>
  <c r="G42" i="10" s="1"/>
  <c r="C43" i="10"/>
  <c r="F43" i="10" s="1"/>
  <c r="C44" i="10"/>
  <c r="H44" i="10" s="1"/>
  <c r="C45" i="10"/>
  <c r="F45" i="10" s="1"/>
  <c r="C46" i="10"/>
  <c r="G46" i="10" s="1"/>
  <c r="C47" i="10"/>
  <c r="F47" i="10" s="1"/>
  <c r="C48" i="10"/>
  <c r="C49" i="10"/>
  <c r="F49" i="10" s="1"/>
  <c r="C50" i="10"/>
  <c r="G50" i="10" s="1"/>
  <c r="C51" i="10"/>
  <c r="F51" i="10" s="1"/>
  <c r="C52" i="10"/>
  <c r="C53" i="10"/>
  <c r="E53" i="10" s="1"/>
  <c r="C4" i="10"/>
  <c r="F5" i="10"/>
  <c r="D6" i="10"/>
  <c r="E6" i="10"/>
  <c r="F6" i="10"/>
  <c r="H6" i="10"/>
  <c r="D7" i="10"/>
  <c r="E7" i="10"/>
  <c r="F9" i="10"/>
  <c r="D10" i="10"/>
  <c r="E10" i="10"/>
  <c r="F10" i="10"/>
  <c r="H10" i="10"/>
  <c r="D11" i="10"/>
  <c r="E11" i="10"/>
  <c r="E13" i="10"/>
  <c r="D14" i="10"/>
  <c r="E14" i="10"/>
  <c r="F14" i="10"/>
  <c r="H14" i="10"/>
  <c r="D15" i="10"/>
  <c r="H15" i="10"/>
  <c r="E17" i="10"/>
  <c r="D18" i="10"/>
  <c r="E18" i="10"/>
  <c r="F18" i="10"/>
  <c r="H18" i="10"/>
  <c r="D19" i="10"/>
  <c r="H19" i="10"/>
  <c r="H20" i="10"/>
  <c r="D21" i="10"/>
  <c r="H21" i="10"/>
  <c r="D22" i="10"/>
  <c r="E22" i="10"/>
  <c r="F22" i="10"/>
  <c r="H22" i="10"/>
  <c r="E23" i="10"/>
  <c r="H23" i="10"/>
  <c r="D25" i="10"/>
  <c r="H25" i="10"/>
  <c r="D26" i="10"/>
  <c r="E26" i="10"/>
  <c r="F26" i="10"/>
  <c r="H26" i="10"/>
  <c r="E27" i="10"/>
  <c r="H27" i="10"/>
  <c r="H28" i="10"/>
  <c r="G29" i="10"/>
  <c r="D30" i="10"/>
  <c r="E30" i="10"/>
  <c r="F30" i="10"/>
  <c r="H30" i="10"/>
  <c r="D31" i="10"/>
  <c r="E31" i="10"/>
  <c r="H31" i="10"/>
  <c r="G33" i="10"/>
  <c r="D34" i="10"/>
  <c r="E34" i="10"/>
  <c r="F34" i="10"/>
  <c r="H34" i="10"/>
  <c r="D35" i="10"/>
  <c r="E35" i="10"/>
  <c r="H35" i="10"/>
  <c r="F37" i="10"/>
  <c r="D38" i="10"/>
  <c r="E38" i="10"/>
  <c r="F38" i="10"/>
  <c r="H38" i="10"/>
  <c r="D39" i="10"/>
  <c r="E39" i="10"/>
  <c r="F41" i="10"/>
  <c r="D42" i="10"/>
  <c r="E42" i="10"/>
  <c r="F42" i="10"/>
  <c r="H42" i="10"/>
  <c r="D43" i="10"/>
  <c r="E43" i="10"/>
  <c r="E45" i="10"/>
  <c r="D46" i="10"/>
  <c r="E46" i="10"/>
  <c r="F46" i="10"/>
  <c r="H46" i="10"/>
  <c r="D47" i="10"/>
  <c r="H47" i="10"/>
  <c r="E49" i="10"/>
  <c r="D50" i="10"/>
  <c r="E50" i="10"/>
  <c r="F50" i="10"/>
  <c r="H50" i="10"/>
  <c r="D51" i="10"/>
  <c r="H51" i="10"/>
  <c r="H52" i="10"/>
  <c r="D53" i="10"/>
  <c r="H53" i="10"/>
  <c r="E4" i="10"/>
  <c r="F4" i="10"/>
  <c r="G4" i="10"/>
  <c r="H4" i="10"/>
  <c r="D4" i="10"/>
  <c r="E27" i="9"/>
  <c r="E26" i="9"/>
  <c r="E25" i="9"/>
  <c r="E24" i="9"/>
  <c r="E23" i="9"/>
  <c r="B18" i="9"/>
  <c r="A18" i="9"/>
  <c r="M18" i="9" s="1"/>
  <c r="N18" i="9" s="1"/>
  <c r="G15" i="9"/>
  <c r="D15" i="9"/>
  <c r="E4" i="11" l="1"/>
  <c r="G8" i="11"/>
  <c r="F16" i="11"/>
  <c r="F20" i="11"/>
  <c r="H29" i="11"/>
  <c r="D34" i="11"/>
  <c r="D38" i="11"/>
  <c r="D42" i="11"/>
  <c r="D46" i="11"/>
  <c r="D50" i="11"/>
  <c r="H6" i="11"/>
  <c r="D10" i="11"/>
  <c r="E12" i="11"/>
  <c r="D14" i="11"/>
  <c r="G16" i="11"/>
  <c r="G20" i="11"/>
  <c r="E34" i="11"/>
  <c r="E38" i="11"/>
  <c r="E42" i="11"/>
  <c r="E46" i="11"/>
  <c r="E50" i="11"/>
  <c r="D7" i="11"/>
  <c r="G14" i="11"/>
  <c r="D25" i="11"/>
  <c r="G12" i="11"/>
  <c r="E16" i="11"/>
  <c r="E20" i="11"/>
  <c r="H34" i="11"/>
  <c r="H38" i="11"/>
  <c r="H42" i="11"/>
  <c r="H46" i="11"/>
  <c r="H50" i="11"/>
  <c r="E41" i="11"/>
  <c r="G41" i="11"/>
  <c r="F41" i="11"/>
  <c r="F11" i="11"/>
  <c r="E17" i="11"/>
  <c r="G17" i="11"/>
  <c r="G35" i="11"/>
  <c r="E35" i="11"/>
  <c r="H35" i="11"/>
  <c r="G47" i="11"/>
  <c r="E47" i="11"/>
  <c r="H47" i="11"/>
  <c r="D47" i="11"/>
  <c r="F5" i="11"/>
  <c r="G7" i="11"/>
  <c r="F17" i="11"/>
  <c r="F35" i="11"/>
  <c r="F47" i="11"/>
  <c r="G19" i="11"/>
  <c r="E19" i="11"/>
  <c r="E33" i="11"/>
  <c r="G33" i="11"/>
  <c r="E37" i="11"/>
  <c r="G37" i="11"/>
  <c r="F37" i="11"/>
  <c r="E45" i="11"/>
  <c r="G45" i="11"/>
  <c r="F45" i="11"/>
  <c r="E49" i="11"/>
  <c r="G49" i="11"/>
  <c r="F49" i="11"/>
  <c r="E53" i="11"/>
  <c r="G53" i="11"/>
  <c r="F53" i="11"/>
  <c r="D5" i="11"/>
  <c r="E9" i="11"/>
  <c r="G15" i="11"/>
  <c r="H19" i="11"/>
  <c r="H33" i="11"/>
  <c r="D41" i="11"/>
  <c r="D45" i="11"/>
  <c r="D49" i="11"/>
  <c r="D53" i="11"/>
  <c r="E21" i="11"/>
  <c r="G21" i="11"/>
  <c r="G39" i="11"/>
  <c r="E39" i="11"/>
  <c r="H39" i="11"/>
  <c r="D39" i="11"/>
  <c r="G43" i="11"/>
  <c r="E43" i="11"/>
  <c r="H43" i="11"/>
  <c r="D43" i="11"/>
  <c r="G51" i="11"/>
  <c r="E51" i="11"/>
  <c r="H51" i="11"/>
  <c r="D51" i="11"/>
  <c r="H9" i="11"/>
  <c r="H11" i="11"/>
  <c r="D13" i="11"/>
  <c r="D15" i="11"/>
  <c r="H4" i="11"/>
  <c r="D4" i="11"/>
  <c r="H8" i="11"/>
  <c r="D8" i="11"/>
  <c r="N10" i="11"/>
  <c r="L17" i="11" s="1"/>
  <c r="L18" i="11" s="1"/>
  <c r="H18" i="11"/>
  <c r="D18" i="11"/>
  <c r="F18" i="11"/>
  <c r="H22" i="11"/>
  <c r="D22" i="11"/>
  <c r="F22" i="11"/>
  <c r="G23" i="11"/>
  <c r="E23" i="11"/>
  <c r="F24" i="11"/>
  <c r="H24" i="11"/>
  <c r="D24" i="11"/>
  <c r="E25" i="11"/>
  <c r="G25" i="11"/>
  <c r="H26" i="11"/>
  <c r="D26" i="11"/>
  <c r="F26" i="11"/>
  <c r="G27" i="11"/>
  <c r="E27" i="11"/>
  <c r="F28" i="11"/>
  <c r="H28" i="11"/>
  <c r="D28" i="11"/>
  <c r="E29" i="11"/>
  <c r="G29" i="11"/>
  <c r="H30" i="11"/>
  <c r="D30" i="11"/>
  <c r="F30" i="11"/>
  <c r="G31" i="11"/>
  <c r="E31" i="11"/>
  <c r="F32" i="11"/>
  <c r="H32" i="11"/>
  <c r="D32" i="11"/>
  <c r="F36" i="11"/>
  <c r="H36" i="11"/>
  <c r="D36" i="11"/>
  <c r="G36" i="11"/>
  <c r="F40" i="11"/>
  <c r="H40" i="11"/>
  <c r="D40" i="11"/>
  <c r="G40" i="11"/>
  <c r="F44" i="11"/>
  <c r="H44" i="11"/>
  <c r="D44" i="11"/>
  <c r="G44" i="11"/>
  <c r="F48" i="11"/>
  <c r="H48" i="11"/>
  <c r="D48" i="11"/>
  <c r="G48" i="11"/>
  <c r="F52" i="11"/>
  <c r="H52" i="11"/>
  <c r="D52" i="11"/>
  <c r="G52" i="11"/>
  <c r="G4" i="11"/>
  <c r="H5" i="11"/>
  <c r="H7" i="11"/>
  <c r="D9" i="11"/>
  <c r="D11" i="11"/>
  <c r="E13" i="11"/>
  <c r="E14" i="11"/>
  <c r="F15" i="11"/>
  <c r="H17" i="11"/>
  <c r="F19" i="11"/>
  <c r="E22" i="11"/>
  <c r="H23" i="11"/>
  <c r="F25" i="11"/>
  <c r="D27" i="11"/>
  <c r="G28" i="11"/>
  <c r="E30" i="11"/>
  <c r="H31" i="11"/>
  <c r="F33" i="11"/>
  <c r="E36" i="11"/>
  <c r="E40" i="11"/>
  <c r="E44" i="11"/>
  <c r="E48" i="11"/>
  <c r="E52" i="11"/>
  <c r="E5" i="11"/>
  <c r="F7" i="11"/>
  <c r="F8" i="11"/>
  <c r="F9" i="11"/>
  <c r="G11" i="11"/>
  <c r="H13" i="11"/>
  <c r="H14" i="11"/>
  <c r="H15" i="11"/>
  <c r="D17" i="11"/>
  <c r="G18" i="11"/>
  <c r="F21" i="11"/>
  <c r="D23" i="11"/>
  <c r="G24" i="11"/>
  <c r="E26" i="11"/>
  <c r="H27" i="11"/>
  <c r="F29" i="11"/>
  <c r="D31" i="11"/>
  <c r="G32" i="11"/>
  <c r="D35" i="11"/>
  <c r="H37" i="11"/>
  <c r="H41" i="11"/>
  <c r="H45" i="11"/>
  <c r="H49" i="11"/>
  <c r="H53" i="11"/>
  <c r="D12" i="11"/>
  <c r="D16" i="11"/>
  <c r="D20" i="11"/>
  <c r="J16" i="11"/>
  <c r="K16" i="11"/>
  <c r="M16" i="11"/>
  <c r="N16" i="11"/>
  <c r="M17" i="10"/>
  <c r="L16" i="10"/>
  <c r="L17" i="10" s="1"/>
  <c r="G53" i="10"/>
  <c r="H49" i="10"/>
  <c r="D49" i="10"/>
  <c r="H45" i="10"/>
  <c r="D45" i="10"/>
  <c r="E41" i="10"/>
  <c r="E37" i="10"/>
  <c r="F33" i="10"/>
  <c r="F29" i="10"/>
  <c r="G25" i="10"/>
  <c r="G21" i="10"/>
  <c r="H17" i="10"/>
  <c r="D17" i="10"/>
  <c r="H13" i="10"/>
  <c r="D13" i="10"/>
  <c r="E9" i="10"/>
  <c r="E5" i="10"/>
  <c r="J16" i="10"/>
  <c r="J17" i="10" s="1"/>
  <c r="K16" i="10"/>
  <c r="K17" i="10" s="1"/>
  <c r="F53" i="10"/>
  <c r="G49" i="10"/>
  <c r="G45" i="10"/>
  <c r="H41" i="10"/>
  <c r="D41" i="10"/>
  <c r="H37" i="10"/>
  <c r="D37" i="10"/>
  <c r="E33" i="10"/>
  <c r="E29" i="10"/>
  <c r="F25" i="10"/>
  <c r="F21" i="10"/>
  <c r="G17" i="10"/>
  <c r="G13" i="10"/>
  <c r="H9" i="10"/>
  <c r="D9" i="10"/>
  <c r="H5" i="10"/>
  <c r="D5" i="10"/>
  <c r="N16" i="10"/>
  <c r="N17" i="10" s="1"/>
  <c r="E51" i="10"/>
  <c r="E47" i="10"/>
  <c r="H43" i="10"/>
  <c r="H39" i="10"/>
  <c r="H33" i="10"/>
  <c r="H29" i="10"/>
  <c r="D27" i="10"/>
  <c r="D23" i="10"/>
  <c r="E19" i="10"/>
  <c r="E15" i="10"/>
  <c r="H11" i="10"/>
  <c r="H7" i="10"/>
  <c r="E52" i="10"/>
  <c r="F52" i="10"/>
  <c r="G52" i="10"/>
  <c r="E48" i="10"/>
  <c r="F48" i="10"/>
  <c r="G48" i="10"/>
  <c r="E44" i="10"/>
  <c r="F44" i="10"/>
  <c r="G44" i="10"/>
  <c r="E40" i="10"/>
  <c r="F40" i="10"/>
  <c r="G40" i="10"/>
  <c r="E36" i="10"/>
  <c r="F36" i="10"/>
  <c r="G36" i="10"/>
  <c r="E32" i="10"/>
  <c r="F32" i="10"/>
  <c r="G32" i="10"/>
  <c r="E28" i="10"/>
  <c r="F28" i="10"/>
  <c r="G28" i="10"/>
  <c r="E24" i="10"/>
  <c r="F24" i="10"/>
  <c r="G24" i="10"/>
  <c r="E20" i="10"/>
  <c r="F20" i="10"/>
  <c r="G20" i="10"/>
  <c r="E16" i="10"/>
  <c r="F16" i="10"/>
  <c r="G16" i="10"/>
  <c r="E12" i="10"/>
  <c r="F12" i="10"/>
  <c r="G12" i="10"/>
  <c r="E8" i="10"/>
  <c r="F8" i="10"/>
  <c r="G8" i="10"/>
  <c r="D52" i="10"/>
  <c r="D44" i="10"/>
  <c r="D36" i="10"/>
  <c r="D28" i="10"/>
  <c r="D20" i="10"/>
  <c r="D12" i="10"/>
  <c r="H48" i="10"/>
  <c r="H40" i="10"/>
  <c r="H32" i="10"/>
  <c r="H24" i="10"/>
  <c r="H16" i="10"/>
  <c r="H8" i="10"/>
  <c r="D48" i="10"/>
  <c r="D40" i="10"/>
  <c r="D32" i="10"/>
  <c r="D24" i="10"/>
  <c r="D16" i="10"/>
  <c r="D8" i="10"/>
  <c r="G51" i="10"/>
  <c r="G47" i="10"/>
  <c r="G43" i="10"/>
  <c r="G39" i="10"/>
  <c r="G35" i="10"/>
  <c r="G31" i="10"/>
  <c r="G27" i="10"/>
  <c r="G23" i="10"/>
  <c r="G19" i="10"/>
  <c r="G15" i="10"/>
  <c r="G11" i="10"/>
  <c r="G7" i="10"/>
  <c r="K17" i="11" l="1"/>
  <c r="K18" i="11" s="1"/>
  <c r="N17" i="11"/>
  <c r="N18" i="11" s="1"/>
  <c r="M17" i="11"/>
  <c r="M18" i="11" s="1"/>
  <c r="J17" i="11"/>
  <c r="J18" i="11" s="1"/>
  <c r="E10" i="9" l="1"/>
  <c r="E11" i="9"/>
  <c r="E12" i="9"/>
  <c r="E13" i="9"/>
  <c r="E9" i="9"/>
  <c r="D1" i="9"/>
  <c r="B4" i="9" s="1"/>
  <c r="G1" i="9" l="1"/>
  <c r="A4" i="9"/>
  <c r="M4" i="9" s="1"/>
  <c r="D65" i="7"/>
  <c r="D64" i="7"/>
  <c r="E64" i="7"/>
  <c r="J60" i="7"/>
  <c r="J61" i="7"/>
  <c r="J62" i="7"/>
  <c r="J59" i="7"/>
  <c r="D60" i="7"/>
  <c r="E60" i="7" s="1"/>
  <c r="D61" i="7"/>
  <c r="D62" i="7"/>
  <c r="E62" i="7" s="1"/>
  <c r="D59" i="7"/>
  <c r="E59" i="7" s="1"/>
  <c r="I60" i="7"/>
  <c r="I61" i="7"/>
  <c r="I62" i="7"/>
  <c r="I59" i="7"/>
  <c r="E57" i="7"/>
  <c r="E58" i="7"/>
  <c r="E61" i="7"/>
  <c r="E63" i="7"/>
  <c r="E65" i="7"/>
  <c r="E56" i="7"/>
  <c r="N4" i="9" l="1"/>
  <c r="F60" i="7"/>
  <c r="F61" i="7"/>
  <c r="F62" i="7"/>
  <c r="F59" i="7"/>
  <c r="D63" i="7"/>
  <c r="D58" i="7"/>
  <c r="D57" i="7"/>
  <c r="D56" i="7"/>
  <c r="C65" i="7"/>
  <c r="C64" i="7"/>
</calcChain>
</file>

<file path=xl/sharedStrings.xml><?xml version="1.0" encoding="utf-8"?>
<sst xmlns="http://schemas.openxmlformats.org/spreadsheetml/2006/main" count="588" uniqueCount="398">
  <si>
    <t>生命值</t>
    <phoneticPr fontId="2" type="noConversion"/>
  </si>
  <si>
    <t>攻击力</t>
    <phoneticPr fontId="2" type="noConversion"/>
  </si>
  <si>
    <t>攻击类型</t>
    <phoneticPr fontId="2" type="noConversion"/>
  </si>
  <si>
    <t>护甲</t>
    <phoneticPr fontId="2" type="noConversion"/>
  </si>
  <si>
    <t>护甲类型</t>
    <phoneticPr fontId="2" type="noConversion"/>
  </si>
  <si>
    <t>暴击几率等级</t>
    <phoneticPr fontId="2" type="noConversion"/>
  </si>
  <si>
    <t>暴击伤害等级</t>
    <phoneticPr fontId="2" type="noConversion"/>
  </si>
  <si>
    <t>Health Point</t>
    <phoneticPr fontId="2" type="noConversion"/>
  </si>
  <si>
    <t>Attack</t>
    <phoneticPr fontId="2" type="noConversion"/>
  </si>
  <si>
    <t>Attack Type</t>
    <phoneticPr fontId="2" type="noConversion"/>
  </si>
  <si>
    <t>Armor</t>
    <phoneticPr fontId="2" type="noConversion"/>
  </si>
  <si>
    <t>Armor Type</t>
    <phoneticPr fontId="2" type="noConversion"/>
  </si>
  <si>
    <t>Critical Chance Level</t>
    <phoneticPr fontId="2" type="noConversion"/>
  </si>
  <si>
    <t>Critical Result Level</t>
    <phoneticPr fontId="2" type="noConversion"/>
  </si>
  <si>
    <t>中文名</t>
    <phoneticPr fontId="2" type="noConversion"/>
  </si>
  <si>
    <t>英文名</t>
    <phoneticPr fontId="2" type="noConversion"/>
  </si>
  <si>
    <t>简述</t>
    <phoneticPr fontId="2" type="noConversion"/>
  </si>
  <si>
    <t>治疗不可突破生命值上限，但护盾可以在这个限制之外发挥作用</t>
    <phoneticPr fontId="2" type="noConversion"/>
  </si>
  <si>
    <t>过热</t>
    <phoneticPr fontId="2" type="noConversion"/>
  </si>
  <si>
    <t>分为散弹、穿透、投掷三种攻击类型，与护甲类型有互相克制的二维表关系</t>
    <phoneticPr fontId="2" type="noConversion"/>
  </si>
  <si>
    <t>护甲可按比率降低对方造成的伤害。其伤害减免百分比与级别有关。</t>
    <phoneticPr fontId="2" type="noConversion"/>
  </si>
  <si>
    <t>影响伤害的几率性结果计算。其比率这算随对方升级而递减。</t>
    <phoneticPr fontId="2" type="noConversion"/>
  </si>
  <si>
    <t>轻甲、中甲、重甲三种。与供给类型有互相克制的二维表关系</t>
    <phoneticPr fontId="2" type="noConversion"/>
  </si>
  <si>
    <t>攻击力不区分物理、魔法</t>
    <phoneticPr fontId="2" type="noConversion"/>
  </si>
  <si>
    <t>提高效果</t>
    <phoneticPr fontId="2" type="noConversion"/>
  </si>
  <si>
    <t>降低效果</t>
    <phoneticPr fontId="2" type="noConversion"/>
  </si>
  <si>
    <t>修理</t>
    <phoneticPr fontId="2" type="noConversion"/>
  </si>
  <si>
    <t>过热</t>
    <phoneticPr fontId="2" type="noConversion"/>
  </si>
  <si>
    <t>加固</t>
    <phoneticPr fontId="2" type="noConversion"/>
  </si>
  <si>
    <t>增压</t>
    <phoneticPr fontId="2" type="noConversion"/>
  </si>
  <si>
    <r>
      <rPr>
        <sz val="11"/>
        <color theme="1"/>
        <rFont val="宋体"/>
        <family val="2"/>
        <charset val="134"/>
      </rPr>
      <t>攻防对应</t>
    </r>
    <phoneticPr fontId="2" type="noConversion"/>
  </si>
  <si>
    <r>
      <rPr>
        <sz val="11"/>
        <color theme="1"/>
        <rFont val="宋体"/>
        <family val="2"/>
        <charset val="134"/>
      </rPr>
      <t>防御</t>
    </r>
    <phoneticPr fontId="2" type="noConversion"/>
  </si>
  <si>
    <r>
      <rPr>
        <sz val="11"/>
        <color theme="1"/>
        <rFont val="宋体"/>
        <family val="2"/>
        <charset val="134"/>
      </rPr>
      <t>轻甲</t>
    </r>
    <phoneticPr fontId="2" type="noConversion"/>
  </si>
  <si>
    <r>
      <rPr>
        <sz val="11"/>
        <color theme="1"/>
        <rFont val="宋体"/>
        <family val="2"/>
        <charset val="134"/>
      </rPr>
      <t>中甲</t>
    </r>
    <phoneticPr fontId="2" type="noConversion"/>
  </si>
  <si>
    <r>
      <rPr>
        <sz val="11"/>
        <color theme="1"/>
        <rFont val="宋体"/>
        <family val="2"/>
        <charset val="134"/>
      </rPr>
      <t>重甲</t>
    </r>
    <phoneticPr fontId="2" type="noConversion"/>
  </si>
  <si>
    <r>
      <rPr>
        <sz val="11"/>
        <color theme="1"/>
        <rFont val="宋体"/>
        <family val="2"/>
        <charset val="134"/>
      </rPr>
      <t>攻击</t>
    </r>
    <phoneticPr fontId="2" type="noConversion"/>
  </si>
  <si>
    <r>
      <rPr>
        <sz val="11"/>
        <color theme="1"/>
        <rFont val="宋体"/>
        <family val="2"/>
        <charset val="134"/>
      </rPr>
      <t>穿透类</t>
    </r>
    <phoneticPr fontId="2" type="noConversion"/>
  </si>
  <si>
    <r>
      <rPr>
        <sz val="11"/>
        <color theme="1"/>
        <rFont val="宋体"/>
        <family val="2"/>
        <charset val="134"/>
      </rPr>
      <t>散射类</t>
    </r>
    <phoneticPr fontId="2" type="noConversion"/>
  </si>
  <si>
    <r>
      <rPr>
        <sz val="11"/>
        <color theme="1"/>
        <rFont val="宋体"/>
        <family val="2"/>
        <charset val="134"/>
      </rPr>
      <t>投射类</t>
    </r>
    <phoneticPr fontId="2" type="noConversion"/>
  </si>
  <si>
    <t>偏移几率等级</t>
    <phoneticPr fontId="2" type="noConversion"/>
  </si>
  <si>
    <t>偏移减伤等级</t>
    <phoneticPr fontId="2" type="noConversion"/>
  </si>
  <si>
    <t>Shift Chance Level</t>
    <phoneticPr fontId="2" type="noConversion"/>
  </si>
  <si>
    <t>Shift Result Level</t>
    <phoneticPr fontId="2" type="noConversion"/>
  </si>
  <si>
    <t>护甲穿透</t>
    <phoneticPr fontId="2" type="noConversion"/>
  </si>
  <si>
    <t>韧性</t>
    <phoneticPr fontId="2" type="noConversion"/>
  </si>
  <si>
    <t>降低自身攻击被偏移的几率。</t>
    <phoneticPr fontId="2" type="noConversion"/>
  </si>
  <si>
    <t>自身承受暴击时降低一部分暴击伤害。</t>
    <phoneticPr fontId="2" type="noConversion"/>
  </si>
  <si>
    <t>随等级呈线性成长</t>
    <phoneticPr fontId="2" type="noConversion"/>
  </si>
  <si>
    <t>理论上说战斗属性可以与运载力分开成长</t>
    <phoneticPr fontId="2" type="noConversion"/>
  </si>
  <si>
    <t>如果这么处理，可以在计算物品等级时将运载力做独特处理</t>
    <phoneticPr fontId="2" type="noConversion"/>
  </si>
  <si>
    <t>速度有其特殊之处：重要的是，A比B高这件事，高多少完全无所谓。</t>
    <phoneticPr fontId="2" type="noConversion"/>
  </si>
  <si>
    <t>这块可能是用类似运载力的逻辑，也可能用</t>
    <phoneticPr fontId="2" type="noConversion"/>
  </si>
  <si>
    <t>腐蚀</t>
    <phoneticPr fontId="2" type="noConversion"/>
  </si>
  <si>
    <t>迟钝</t>
    <phoneticPr fontId="2" type="noConversion"/>
  </si>
  <si>
    <t>迅捷</t>
    <phoneticPr fontId="2" type="noConversion"/>
  </si>
  <si>
    <t>精准等级</t>
    <phoneticPr fontId="2" type="noConversion"/>
  </si>
  <si>
    <t>备注</t>
    <phoneticPr fontId="2" type="noConversion"/>
  </si>
  <si>
    <t>以10回合为假设</t>
    <phoneticPr fontId="2" type="noConversion"/>
  </si>
  <si>
    <t>以1级的假设</t>
    <phoneticPr fontId="2" type="noConversion"/>
  </si>
  <si>
    <t>加速</t>
    <phoneticPr fontId="2" type="noConversion"/>
  </si>
  <si>
    <t>减速</t>
    <phoneticPr fontId="2" type="noConversion"/>
  </si>
  <si>
    <t>以1级的实际效果</t>
    <phoneticPr fontId="2" type="noConversion"/>
  </si>
  <si>
    <t>运载力</t>
    <phoneticPr fontId="2" type="noConversion"/>
  </si>
  <si>
    <t>影响车辆运送资源的数量</t>
    <phoneticPr fontId="2" type="noConversion"/>
  </si>
  <si>
    <t>震荡</t>
    <phoneticPr fontId="2" type="noConversion"/>
  </si>
  <si>
    <t>平稳</t>
    <phoneticPr fontId="2" type="noConversion"/>
  </si>
  <si>
    <t>燃烧</t>
    <phoneticPr fontId="2" type="noConversion"/>
  </si>
  <si>
    <t>持续回复生命值</t>
    <phoneticPr fontId="2" type="noConversion"/>
  </si>
  <si>
    <t>持续降低生命值</t>
    <phoneticPr fontId="2" type="noConversion"/>
  </si>
  <si>
    <t>提高攻击力</t>
    <phoneticPr fontId="2" type="noConversion"/>
  </si>
  <si>
    <t>降低攻击力</t>
    <phoneticPr fontId="2" type="noConversion"/>
  </si>
  <si>
    <t>增加护甲值</t>
    <phoneticPr fontId="2" type="noConversion"/>
  </si>
  <si>
    <t>降低护甲值</t>
    <phoneticPr fontId="2" type="noConversion"/>
  </si>
  <si>
    <t>提高偏移几率</t>
    <phoneticPr fontId="2" type="noConversion"/>
  </si>
  <si>
    <t>降低偏移几率</t>
    <phoneticPr fontId="2" type="noConversion"/>
  </si>
  <si>
    <t>提高精准等级</t>
    <phoneticPr fontId="2" type="noConversion"/>
  </si>
  <si>
    <t>降低精准等级</t>
    <phoneticPr fontId="2" type="noConversion"/>
  </si>
  <si>
    <t>提高速度</t>
    <phoneticPr fontId="2" type="noConversion"/>
  </si>
  <si>
    <t>降低速度</t>
    <phoneticPr fontId="2" type="noConversion"/>
  </si>
  <si>
    <t>状态</t>
    <phoneticPr fontId="2" type="noConversion"/>
  </si>
  <si>
    <t>释义</t>
    <phoneticPr fontId="2" type="noConversion"/>
  </si>
  <si>
    <t>嗜血</t>
    <phoneticPr fontId="2" type="noConversion"/>
  </si>
  <si>
    <t>50%减伤，100%EHP</t>
    <phoneticPr fontId="2" type="noConversion"/>
  </si>
  <si>
    <t>基准</t>
    <phoneticPr fontId="2" type="noConversion"/>
  </si>
  <si>
    <t>暂定为降低一半伤害</t>
    <phoneticPr fontId="2" type="noConversion"/>
  </si>
  <si>
    <t>权重（）</t>
    <phoneticPr fontId="2" type="noConversion"/>
  </si>
  <si>
    <t>压抑</t>
    <phoneticPr fontId="2" type="noConversion"/>
  </si>
  <si>
    <t>攻击敌方单位时忽略一部分护甲。极值情况为按0%护甲减伤计算。</t>
    <phoneticPr fontId="2" type="noConversion"/>
  </si>
  <si>
    <t>护甲/2。护甲穿透可能溢出，属性价值低于护甲。</t>
    <phoneticPr fontId="2" type="noConversion"/>
  </si>
  <si>
    <t>暴击伤害</t>
    <phoneticPr fontId="2" type="noConversion"/>
  </si>
  <si>
    <t>价值为多少无所谓，因为在回合制的体系下，只是决定谁先出手谁后出手。
比较关键的是：速度这个数值是否还有数值上的提升。
理论上来说，不同级别的同一单位，速度应当保持一致。</t>
    <phoneticPr fontId="2" type="noConversion"/>
  </si>
  <si>
    <t>速度这个属性比较特殊的地方在于：速度是单位穿越大地图时要用到的，并不在战斗过程中作重新的折算。</t>
    <phoneticPr fontId="2" type="noConversion"/>
  </si>
  <si>
    <t>运载力也是一个比较特殊的属性。运载力的膨胀速度大体上应当与主城的资源膨胀规模相契合。
因此运载力的alpha次方这个常数可以有一些常数变化</t>
    <phoneticPr fontId="2" type="noConversion"/>
  </si>
  <si>
    <t>基于一个和装备方面假定的前提：
各装备的属性比重相同，其上的属性条目也类似。
而属性的复用程度也类似，因此各项属性的占比基本是平均的。</t>
    <phoneticPr fontId="2" type="noConversion"/>
  </si>
  <si>
    <t>基于这个假设，其属性权重值基本决定了我们看到的属性数值大小。</t>
    <phoneticPr fontId="2" type="noConversion"/>
  </si>
  <si>
    <t xml:space="preserve">轻型车打不过重型车这件事，通过哪种方式实现，这要和装备方面商量一下。比如：
轻型车的部位指数明显偏向于车轮、底盘等部位，以此来使得速度极快，战斗比较差。但这种方式下运载力如何处理是个问题。
</t>
    <phoneticPr fontId="2" type="noConversion"/>
  </si>
  <si>
    <t>比如：权重值不用固定值，而是分装甲类型来定（仅对于防御属性和速度属性）</t>
    <phoneticPr fontId="2" type="noConversion"/>
  </si>
  <si>
    <t>比如：轻型车的防御类部件统一用较低的装备等级</t>
    <phoneticPr fontId="2" type="noConversion"/>
  </si>
  <si>
    <t>动力</t>
    <phoneticPr fontId="2" type="noConversion"/>
  </si>
  <si>
    <t>轻型车生产快，速度快，战斗时打不过重型车。这个打不过主要是防御力差距比较大</t>
    <phoneticPr fontId="2" type="noConversion"/>
  </si>
  <si>
    <t>影响单位的大地图行军速度，以及战斗中的出手次序。以动力/负重得到速度。</t>
    <phoneticPr fontId="2" type="noConversion"/>
  </si>
  <si>
    <t>回血速度</t>
    <phoneticPr fontId="2" type="noConversion"/>
  </si>
  <si>
    <t>吸血等级</t>
    <phoneticPr fontId="2" type="noConversion"/>
  </si>
  <si>
    <t>每回合里回血的点数</t>
    <phoneticPr fontId="2" type="noConversion"/>
  </si>
  <si>
    <t>等级经过折算得到吸血比率</t>
    <phoneticPr fontId="2" type="noConversion"/>
  </si>
  <si>
    <t>名称</t>
  </si>
  <si>
    <t>效果</t>
  </si>
  <si>
    <t>等级</t>
  </si>
  <si>
    <t>价格</t>
  </si>
  <si>
    <t>高级攻击力精华</t>
  </si>
  <si>
    <t>+2.25 攻击力</t>
  </si>
  <si>
    <t>3</t>
  </si>
  <si>
    <t>1025 金币</t>
  </si>
  <si>
    <t>高级成长攻击力精华</t>
  </si>
  <si>
    <t>每级+0.25 攻击力 (18级+4.5)</t>
  </si>
  <si>
    <t>515 金币</t>
  </si>
  <si>
    <t>高级攻击速度精华</t>
  </si>
  <si>
    <t>+4.5% 攻击速度</t>
  </si>
  <si>
    <t>高级急速精华</t>
  </si>
  <si>
    <t>每级+0.11% 攻击速度 (18级+1.98%)</t>
  </si>
  <si>
    <t>0 金币</t>
  </si>
  <si>
    <t>高级暴击伤害精华</t>
  </si>
  <si>
    <t>+4.46% 暴击伤害</t>
  </si>
  <si>
    <t>高级残暴精华</t>
  </si>
  <si>
    <t>每级+0.11% 暴击伤害 (18级+1.98%)</t>
  </si>
  <si>
    <t>高级暴击几率精华</t>
  </si>
  <si>
    <t>+1.86% 暴击几率</t>
  </si>
  <si>
    <t>高级野蛮精华</t>
  </si>
  <si>
    <t>每级+0.11% 暴击几率 (18级+1.98%)</t>
  </si>
  <si>
    <t>高级护甲穿透精华</t>
  </si>
  <si>
    <t>+2.56护甲穿透</t>
  </si>
  <si>
    <t>高级精准精华</t>
  </si>
  <si>
    <t>每级+0.11 护甲穿透 (18级+1.98)</t>
  </si>
  <si>
    <t>高级生命值精华</t>
  </si>
  <si>
    <t>+26点生命值</t>
  </si>
  <si>
    <t>2050 金币</t>
  </si>
  <si>
    <t>高级成长生命值精华</t>
  </si>
  <si>
    <t>每级+2.7 生命值 (18级+48.6)</t>
  </si>
  <si>
    <t>高级护甲精华</t>
  </si>
  <si>
    <t>+4.26 护甲</t>
  </si>
  <si>
    <t>高级成长护甲精华</t>
  </si>
  <si>
    <t>每级+0.38 护甲 (18级+6.84)</t>
  </si>
  <si>
    <t>高级魔法抗性精华</t>
  </si>
  <si>
    <t>+4 魔法抗性</t>
  </si>
  <si>
    <t>高级成长魔法抗性精华</t>
  </si>
  <si>
    <t>每级+0.37 魔法抗性 (18级+6.66)</t>
  </si>
  <si>
    <t>高级生命回复精华</t>
  </si>
  <si>
    <t>+2.7 生命回复/5秒</t>
  </si>
  <si>
    <t>高级成长生命回复精华</t>
  </si>
  <si>
    <t>每级+0.28 生命回复/5秒 (18级+5.04)</t>
  </si>
  <si>
    <t>高级回避精华</t>
  </si>
  <si>
    <t>+1.5% 闪避几率</t>
  </si>
  <si>
    <t>高级闪避精华</t>
  </si>
  <si>
    <t>每级+0.11% 闪避几率 (18级+1.98%)</t>
  </si>
  <si>
    <t>高级冷却缩减精华</t>
  </si>
  <si>
    <t>-2.5% 冷却时间</t>
  </si>
  <si>
    <t>高级成长冷却缩减精华</t>
  </si>
  <si>
    <t>每级-0.28% 冷却时间 (18级 -5%)</t>
  </si>
  <si>
    <t>高级法术强度精华</t>
  </si>
  <si>
    <t>+4.95 法术强度</t>
  </si>
  <si>
    <t>高级成长法术强度精华</t>
  </si>
  <si>
    <t>每级+0.43 法术强度 (18级+7.74)</t>
  </si>
  <si>
    <t>高级法力值精华</t>
  </si>
  <si>
    <t>+37.5 法力值</t>
  </si>
  <si>
    <t>高级成长法力值精华</t>
  </si>
  <si>
    <t>每级+4.17 法力值 (18级+75.06)</t>
  </si>
  <si>
    <t>高级法力回复精华</t>
  </si>
  <si>
    <t>+1.25 法力回复/5秒</t>
  </si>
  <si>
    <t>高级成长法力回复精华</t>
  </si>
  <si>
    <t>每级+0.24 法力回复/5秒 (18级+4.32)</t>
  </si>
  <si>
    <t>高级法术穿透精华</t>
  </si>
  <si>
    <t>+2.01法术穿透</t>
  </si>
  <si>
    <t>高级辉煌精华</t>
  </si>
  <si>
    <t>每级+0.11 法术穿透 (18级+1.98)</t>
  </si>
  <si>
    <t>高级移动速度精华</t>
  </si>
  <si>
    <t>+1.5% 移动速度</t>
  </si>
  <si>
    <t>高级重生精华</t>
  </si>
  <si>
    <t>-5% 死亡时间</t>
  </si>
  <si>
    <t>高级金币精华</t>
  </si>
  <si>
    <t>每10秒获得1点金钱</t>
  </si>
  <si>
    <t>高级经验值精华</t>
  </si>
  <si>
    <t>+2% 经验获得</t>
  </si>
  <si>
    <t>高级能量回复精华</t>
  </si>
  <si>
    <t>+1.575 能量回复/5秒</t>
  </si>
  <si>
    <t>高级能量值精华</t>
  </si>
  <si>
    <t>+5.4 能量</t>
  </si>
  <si>
    <t>高级坚毅精华</t>
  </si>
  <si>
    <t>唯一：减少英雄晕眩效果15%的持续时间</t>
  </si>
  <si>
    <t>高级长寿精华</t>
  </si>
  <si>
    <t>唯一：减少英雄减速和沉默效果15%的持续时间</t>
  </si>
  <si>
    <t>高级勇猛精华</t>
  </si>
  <si>
    <t>唯一：当你成功击杀或助攻击杀英雄时，你会永久性增加3点生命值，且第一次发生时，外加3点生命值。</t>
  </si>
  <si>
    <t>高级风度精华</t>
  </si>
  <si>
    <t>唯一：减少召唤师技能4%的冷却时间</t>
  </si>
  <si>
    <t>高级动力精华</t>
  </si>
  <si>
    <t>唯一：等级每提升一级，你获得75点生命值和法力值。</t>
  </si>
  <si>
    <t>高级收割精华</t>
  </si>
  <si>
    <t>唯一：无论成功击杀或者助攻击杀一个英雄，你都会额外获得12金币。</t>
  </si>
  <si>
    <t>高级百分比生命值精华</t>
  </si>
  <si>
    <t>+1.5%生命值加成</t>
  </si>
  <si>
    <t>高级法术吸血精华</t>
  </si>
  <si>
    <t>+2%法术吸血</t>
  </si>
  <si>
    <t>高级生命偷取精华</t>
  </si>
  <si>
    <t>+1.5%生命偷取</t>
  </si>
  <si>
    <t>高级混合穿透精华</t>
  </si>
  <si>
    <t>+1.79护甲穿透/+1.4法术穿透</t>
  </si>
  <si>
    <t>参考属性</t>
    <phoneticPr fontId="2" type="noConversion"/>
  </si>
  <si>
    <t>攻击力</t>
    <phoneticPr fontId="2" type="noConversion"/>
  </si>
  <si>
    <t>参考数值</t>
    <phoneticPr fontId="2" type="noConversion"/>
  </si>
  <si>
    <t>属性价值</t>
    <phoneticPr fontId="2" type="noConversion"/>
  </si>
  <si>
    <t>暴击几率等级</t>
    <phoneticPr fontId="2" type="noConversion"/>
  </si>
  <si>
    <t>暴击伤害等级</t>
    <phoneticPr fontId="2" type="noConversion"/>
  </si>
  <si>
    <t>护甲穿透</t>
    <phoneticPr fontId="2" type="noConversion"/>
  </si>
  <si>
    <t>生命值（不需参考）</t>
    <phoneticPr fontId="2" type="noConversion"/>
  </si>
  <si>
    <t>护甲值</t>
    <phoneticPr fontId="2" type="noConversion"/>
  </si>
  <si>
    <t>偏移几率等级</t>
    <phoneticPr fontId="2" type="noConversion"/>
  </si>
  <si>
    <t>韧性</t>
    <phoneticPr fontId="2" type="noConversion"/>
  </si>
  <si>
    <t>精准等级</t>
    <phoneticPr fontId="2" type="noConversion"/>
  </si>
  <si>
    <t>偏移减伤等级</t>
    <phoneticPr fontId="2" type="noConversion"/>
  </si>
  <si>
    <t>1级目标值</t>
    <phoneticPr fontId="2" type="noConversion"/>
  </si>
  <si>
    <t>基础值</t>
    <phoneticPr fontId="2" type="noConversion"/>
  </si>
  <si>
    <t>1级装备属性值</t>
    <phoneticPr fontId="2" type="noConversion"/>
  </si>
  <si>
    <t>下限</t>
    <phoneticPr fontId="2" type="noConversion"/>
  </si>
  <si>
    <t>上限</t>
    <phoneticPr fontId="2" type="noConversion"/>
  </si>
  <si>
    <t>与偏移减伤的33%对应。50%相对于100%来说，对于偏移减伤的底部更不敏感</t>
    <phoneticPr fontId="2" type="noConversion"/>
  </si>
  <si>
    <t>比较贵，但是堆的多了之后比较爽。堆到50%前不如爆伤合算，堆到50%后比爆伤合算</t>
    <phoneticPr fontId="2" type="noConversion"/>
  </si>
  <si>
    <t>堆少了不如暴击几率合算，多了</t>
    <phoneticPr fontId="2" type="noConversion"/>
  </si>
  <si>
    <t>——</t>
    <phoneticPr fontId="2" type="noConversion"/>
  </si>
  <si>
    <t>1级装备加成值</t>
    <phoneticPr fontId="2" type="noConversion"/>
  </si>
  <si>
    <t>几个数据之间关系：</t>
    <phoneticPr fontId="2" type="noConversion"/>
  </si>
  <si>
    <t>装等的初始值、成长速度</t>
    <phoneticPr fontId="2" type="noConversion"/>
  </si>
  <si>
    <t>属性的价值</t>
    <phoneticPr fontId="2" type="noConversion"/>
  </si>
  <si>
    <t>属性的折算系数</t>
    <phoneticPr fontId="2" type="noConversion"/>
  </si>
  <si>
    <t>一个级别上的目标值，及其跨度</t>
    <phoneticPr fontId="2" type="noConversion"/>
  </si>
  <si>
    <t>装备品质带来的装等=》属性价值折算</t>
    <phoneticPr fontId="2" type="noConversion"/>
  </si>
  <si>
    <t>以第3级装备为计算基准，第5级装备为计算极值</t>
    <phoneticPr fontId="2" type="noConversion"/>
  </si>
  <si>
    <t>偏移几率等级的这个折算最为明显，应以轻型车的</t>
    <phoneticPr fontId="2" type="noConversion"/>
  </si>
  <si>
    <t>整体上我们让各种比例相对小，给极值留下充分的空间。</t>
    <phoneticPr fontId="2" type="noConversion"/>
  </si>
  <si>
    <t>这两个值起到的作用非常类似。</t>
    <phoneticPr fontId="2" type="noConversion"/>
  </si>
  <si>
    <t>参考值=》等级</t>
    <phoneticPr fontId="2" type="noConversion"/>
  </si>
  <si>
    <t>用装等=a*LV+b的模式。</t>
    <phoneticPr fontId="2" type="noConversion"/>
  </si>
  <si>
    <t>护甲直接用a进行折算。</t>
    <phoneticPr fontId="2" type="noConversion"/>
  </si>
  <si>
    <t>可能的处理方式：让玩家1级看到的各种等级比较平衡。然后两头向这里努。这决定了两个方向的常数。</t>
    <phoneticPr fontId="2" type="noConversion"/>
  </si>
  <si>
    <t>这个折算与装等的成长公式密切相关。</t>
    <phoneticPr fontId="2" type="noConversion"/>
  </si>
  <si>
    <t>先看最后一个问题。</t>
    <phoneticPr fontId="2" type="noConversion"/>
  </si>
  <si>
    <t>4个比率用属性价值的c*LV+d进行折算。</t>
    <phoneticPr fontId="2" type="noConversion"/>
  </si>
  <si>
    <t>IL=1.4*IV/PF-8</t>
    <phoneticPr fontId="2" type="noConversion"/>
  </si>
  <si>
    <t xml:space="preserve"> </t>
    <phoneticPr fontId="2" type="noConversion"/>
  </si>
  <si>
    <t>1级折算后加成值</t>
    <phoneticPr fontId="2" type="noConversion"/>
  </si>
  <si>
    <t>折算系数</t>
    <phoneticPr fontId="2" type="noConversion"/>
  </si>
  <si>
    <t>暴击伤害等级</t>
  </si>
  <si>
    <t>暴击几率等级</t>
  </si>
  <si>
    <t>偏移几率等级</t>
  </si>
  <si>
    <t>偏移减伤等级</t>
  </si>
  <si>
    <t>alpha</t>
    <phoneticPr fontId="2" type="noConversion"/>
  </si>
  <si>
    <t>1/alpha</t>
    <phoneticPr fontId="2" type="noConversion"/>
  </si>
  <si>
    <t>statValue</t>
    <phoneticPr fontId="2" type="noConversion"/>
  </si>
  <si>
    <t>sum</t>
    <phoneticPr fontId="2" type="noConversion"/>
  </si>
  <si>
    <t>itemValue</t>
    <phoneticPr fontId="2" type="noConversion"/>
  </si>
  <si>
    <t>itemLevel</t>
    <phoneticPr fontId="2" type="noConversion"/>
  </si>
  <si>
    <t>Quality</t>
    <phoneticPr fontId="2" type="noConversion"/>
  </si>
  <si>
    <t>a</t>
    <phoneticPr fontId="2" type="noConversion"/>
  </si>
  <si>
    <t>b</t>
    <phoneticPr fontId="2" type="noConversion"/>
  </si>
  <si>
    <t>positionFactor</t>
    <phoneticPr fontId="2" type="noConversion"/>
  </si>
  <si>
    <t>carLevel</t>
  </si>
  <si>
    <t>baseLoadingCapacity</t>
  </si>
  <si>
    <t>quality 1</t>
    <phoneticPr fontId="2" type="noConversion"/>
  </si>
  <si>
    <t>quality 2</t>
  </si>
  <si>
    <t>quality 3</t>
  </si>
  <si>
    <t>quality 4</t>
  </si>
  <si>
    <t>quality 5</t>
  </si>
  <si>
    <t>部位指数</t>
  </si>
  <si>
    <t>部位指数</t>
    <phoneticPr fontId="2" type="noConversion"/>
  </si>
  <si>
    <t>装备部位</t>
  </si>
  <si>
    <t>引擎</t>
  </si>
  <si>
    <t>底盘</t>
  </si>
  <si>
    <t>轮胎</t>
  </si>
  <si>
    <t>装甲</t>
  </si>
  <si>
    <t>火炮</t>
  </si>
  <si>
    <t>total</t>
    <phoneticPr fontId="2" type="noConversion"/>
  </si>
  <si>
    <t>itemLevel</t>
    <phoneticPr fontId="2" type="noConversion"/>
  </si>
  <si>
    <t>itemValue</t>
    <phoneticPr fontId="2" type="noConversion"/>
  </si>
  <si>
    <t>poweralpha</t>
    <phoneticPr fontId="2" type="noConversion"/>
  </si>
  <si>
    <t>stat1</t>
    <phoneticPr fontId="2" type="noConversion"/>
  </si>
  <si>
    <t>stat2</t>
    <phoneticPr fontId="2" type="noConversion"/>
  </si>
  <si>
    <t>stat3</t>
    <phoneticPr fontId="2" type="noConversion"/>
  </si>
  <si>
    <t>stat4</t>
    <phoneticPr fontId="2" type="noConversion"/>
  </si>
  <si>
    <t>stat5</t>
    <phoneticPr fontId="2" type="noConversion"/>
  </si>
  <si>
    <t>%</t>
    <phoneticPr fontId="2" type="noConversion"/>
  </si>
  <si>
    <t>属性</t>
  </si>
  <si>
    <t>属性价值系数</t>
  </si>
  <si>
    <t>生命值</t>
  </si>
  <si>
    <t>攻击力</t>
  </si>
  <si>
    <t>护甲</t>
  </si>
  <si>
    <t>护甲穿透</t>
  </si>
  <si>
    <t>韧性等级</t>
  </si>
  <si>
    <t>精准等级</t>
  </si>
  <si>
    <t>单条属性价值</t>
    <phoneticPr fontId="2" type="noConversion"/>
  </si>
  <si>
    <t>50级品质4</t>
    <phoneticPr fontId="2" type="noConversion"/>
  </si>
  <si>
    <t>30级品质3</t>
    <phoneticPr fontId="2" type="noConversion"/>
  </si>
  <si>
    <t>每条价值</t>
    <phoneticPr fontId="2" type="noConversion"/>
  </si>
  <si>
    <t>属性重复次数</t>
    <phoneticPr fontId="2" type="noConversion"/>
  </si>
  <si>
    <t>每个装备上有几条</t>
    <phoneticPr fontId="2" type="noConversion"/>
  </si>
  <si>
    <t>1级品质1</t>
    <phoneticPr fontId="2" type="noConversion"/>
  </si>
  <si>
    <t>50级品质5</t>
    <phoneticPr fontId="2" type="noConversion"/>
  </si>
  <si>
    <t>50级裸车</t>
    <phoneticPr fontId="2" type="noConversion"/>
  </si>
  <si>
    <t>基础生命值</t>
    <phoneticPr fontId="2" type="noConversion"/>
  </si>
  <si>
    <t>50级品质5达到多少上限值</t>
    <phoneticPr fontId="2" type="noConversion"/>
  </si>
  <si>
    <t>护甲的上限效果</t>
    <phoneticPr fontId="2" type="noConversion"/>
  </si>
  <si>
    <t>基础攻击力</t>
    <phoneticPr fontId="2" type="noConversion"/>
  </si>
  <si>
    <t>裸车在50级品质5占比</t>
    <phoneticPr fontId="2" type="noConversion"/>
  </si>
  <si>
    <t>里面可以看出来用基础值不合适，还是应该给一些裸车基础值</t>
    <phoneticPr fontId="2" type="noConversion"/>
  </si>
  <si>
    <t>让玩家有各方面分配的需求，求导得：</t>
    <phoneticPr fontId="2" type="noConversion"/>
  </si>
  <si>
    <t>跟裸车在50级的属性占比有关</t>
    <phoneticPr fontId="2" type="noConversion"/>
  </si>
  <si>
    <t>按50级来计算的话</t>
    <phoneticPr fontId="2" type="noConversion"/>
  </si>
  <si>
    <t>比如暴击几率对应暴伤率的当前值，偏移几率对应着偏伤率的当前值。由于当前值还不好确定，先用基础值。后面将方程与f迭代处理</t>
    <phoneticPr fontId="2" type="noConversion"/>
  </si>
  <si>
    <t>暴击afh=ecf+bczf+cz偏移afh=ecf+bczf-cz</t>
    <phoneticPr fontId="2" type="noConversion"/>
  </si>
  <si>
    <t>a</t>
    <phoneticPr fontId="2" type="noConversion"/>
  </si>
  <si>
    <t>h</t>
    <phoneticPr fontId="2" type="noConversion"/>
  </si>
  <si>
    <t>c</t>
    <phoneticPr fontId="2" type="noConversion"/>
  </si>
  <si>
    <t>b</t>
    <phoneticPr fontId="2" type="noConversion"/>
  </si>
  <si>
    <t>e</t>
    <phoneticPr fontId="2" type="noConversion"/>
  </si>
  <si>
    <t>z</t>
    <phoneticPr fontId="2" type="noConversion"/>
  </si>
  <si>
    <t>f</t>
    <phoneticPr fontId="2" type="noConversion"/>
  </si>
  <si>
    <t>50级品质5参考值</t>
    <phoneticPr fontId="2" type="noConversion"/>
  </si>
  <si>
    <t>50级裸车属性</t>
    <phoneticPr fontId="2" type="noConversion"/>
  </si>
  <si>
    <t>裸车攻击力或生命值</t>
    <phoneticPr fontId="2" type="noConversion"/>
  </si>
  <si>
    <t>裸车带来的比率</t>
    <phoneticPr fontId="2" type="noConversion"/>
  </si>
  <si>
    <t>基础比率</t>
    <phoneticPr fontId="2" type="noConversion"/>
  </si>
  <si>
    <t>原本的100%</t>
    <phoneticPr fontId="2" type="noConversion"/>
  </si>
  <si>
    <t>比率起点</t>
    <phoneticPr fontId="2" type="noConversion"/>
  </si>
  <si>
    <t>比率等级属性</t>
    <phoneticPr fontId="2" type="noConversion"/>
  </si>
  <si>
    <t>对应的基础属性</t>
    <phoneticPr fontId="2" type="noConversion"/>
  </si>
  <si>
    <t>比率跨度</t>
    <phoneticPr fontId="2" type="noConversion"/>
  </si>
  <si>
    <t>基础属性原值</t>
    <phoneticPr fontId="2" type="noConversion"/>
  </si>
  <si>
    <t>基础属性价值</t>
    <phoneticPr fontId="2" type="noConversion"/>
  </si>
  <si>
    <t>比率等级属性价值</t>
    <phoneticPr fontId="2" type="noConversion"/>
  </si>
  <si>
    <t>比率基础值</t>
    <phoneticPr fontId="2" type="noConversion"/>
  </si>
  <si>
    <t>裸车所带几率等级</t>
    <phoneticPr fontId="2" type="noConversion"/>
  </si>
  <si>
    <t>多少比率带来100%</t>
    <phoneticPr fontId="2" type="noConversion"/>
  </si>
  <si>
    <t>对应乘数基础值</t>
    <phoneticPr fontId="2" type="noConversion"/>
  </si>
  <si>
    <t>afh</t>
    <phoneticPr fontId="2" type="noConversion"/>
  </si>
  <si>
    <t>ecf</t>
    <phoneticPr fontId="2" type="noConversion"/>
  </si>
  <si>
    <t>bczf</t>
    <phoneticPr fontId="2" type="noConversion"/>
  </si>
  <si>
    <t>cz</t>
    <phoneticPr fontId="2" type="noConversion"/>
  </si>
  <si>
    <t>带来100%的属性价值</t>
    <phoneticPr fontId="2" type="noConversion"/>
  </si>
  <si>
    <t>护甲</t>
    <phoneticPr fontId="2" type="noConversion"/>
  </si>
  <si>
    <t>生命值</t>
    <phoneticPr fontId="2" type="noConversion"/>
  </si>
  <si>
    <t>暴击几率</t>
    <phoneticPr fontId="2" type="noConversion"/>
  </si>
  <si>
    <t>攻击力</t>
    <phoneticPr fontId="2" type="noConversion"/>
  </si>
  <si>
    <t>暴击伤害</t>
    <phoneticPr fontId="2" type="noConversion"/>
  </si>
  <si>
    <t>偏移几率</t>
    <phoneticPr fontId="2" type="noConversion"/>
  </si>
  <si>
    <t>生命值</t>
    <phoneticPr fontId="2" type="noConversion"/>
  </si>
  <si>
    <t>偏移伤害</t>
    <phoneticPr fontId="2" type="noConversion"/>
  </si>
  <si>
    <t>1点属性价值等于多少</t>
    <phoneticPr fontId="2" type="noConversion"/>
  </si>
  <si>
    <t>加1点属性价值结果</t>
    <phoneticPr fontId="2" type="noConversion"/>
  </si>
  <si>
    <t>基础值</t>
    <phoneticPr fontId="2" type="noConversion"/>
  </si>
  <si>
    <t>1000点属性价值</t>
    <phoneticPr fontId="2" type="noConversion"/>
  </si>
  <si>
    <t>变为1001点</t>
    <phoneticPr fontId="2" type="noConversion"/>
  </si>
  <si>
    <t>1dps=8ehp</t>
    <phoneticPr fontId="2" type="noConversion"/>
  </si>
  <si>
    <t>5个装备</t>
    <phoneticPr fontId="2" type="noConversion"/>
  </si>
  <si>
    <t>每个两条</t>
    <phoneticPr fontId="2" type="noConversion"/>
  </si>
  <si>
    <t>每个属性一条</t>
    <phoneticPr fontId="2" type="noConversion"/>
  </si>
  <si>
    <t>初级</t>
    <phoneticPr fontId="2" type="noConversion"/>
  </si>
  <si>
    <t>两条：</t>
    <phoneticPr fontId="2" type="noConversion"/>
  </si>
  <si>
    <t>有了暴击几率与偏移几率</t>
    <phoneticPr fontId="2" type="noConversion"/>
  </si>
  <si>
    <t>暴击几率</t>
    <phoneticPr fontId="2" type="noConversion"/>
  </si>
  <si>
    <t>当前一点hp带来的收益</t>
    <phoneticPr fontId="2" type="noConversion"/>
  </si>
  <si>
    <t>当前一点偏移几率等级带来的收益</t>
    <phoneticPr fontId="2" type="noConversion"/>
  </si>
  <si>
    <t>总点数</t>
    <phoneticPr fontId="2" type="noConversion"/>
  </si>
  <si>
    <t>当前一点偏移减伤带来的收益</t>
    <phoneticPr fontId="2" type="noConversion"/>
  </si>
  <si>
    <t>收益：hp/偏移几率</t>
    <phoneticPr fontId="2" type="noConversion"/>
  </si>
  <si>
    <t>收益：hp/偏移减伤</t>
    <phoneticPr fontId="2" type="noConversion"/>
  </si>
  <si>
    <t>多少点达到这个效果</t>
    <phoneticPr fontId="2" type="noConversion"/>
  </si>
  <si>
    <t>系统给定值</t>
    <phoneticPr fontId="2" type="noConversion"/>
  </si>
  <si>
    <t>加总</t>
    <phoneticPr fontId="2" type="noConversion"/>
  </si>
  <si>
    <t>5个均分</t>
    <phoneticPr fontId="2" type="noConversion"/>
  </si>
  <si>
    <t>4个</t>
    <phoneticPr fontId="2" type="noConversion"/>
  </si>
  <si>
    <t>3个</t>
    <phoneticPr fontId="2" type="noConversion"/>
  </si>
  <si>
    <t>2个</t>
    <phoneticPr fontId="2" type="noConversion"/>
  </si>
  <si>
    <t>1个</t>
    <phoneticPr fontId="2" type="noConversion"/>
  </si>
  <si>
    <t>24级</t>
    <phoneticPr fontId="2" type="noConversion"/>
  </si>
  <si>
    <t>1级100为基准</t>
    <phoneticPr fontId="2" type="noConversion"/>
  </si>
  <si>
    <t>属性价值</t>
    <phoneticPr fontId="2" type="noConversion"/>
  </si>
  <si>
    <t>多少属性带来一点</t>
    <phoneticPr fontId="2" type="noConversion"/>
  </si>
  <si>
    <t>实际数字</t>
    <phoneticPr fontId="2" type="noConversion"/>
  </si>
  <si>
    <t>每个装备上的数字</t>
    <phoneticPr fontId="2" type="noConversion"/>
  </si>
  <si>
    <t>此级别每个装备上有几条属性</t>
    <phoneticPr fontId="2" type="noConversion"/>
  </si>
  <si>
    <t>每个属性被加几遍</t>
    <phoneticPr fontId="2" type="noConversion"/>
  </si>
  <si>
    <t>用到几条属性</t>
    <phoneticPr fontId="2" type="noConversion"/>
  </si>
  <si>
    <t>放大系数10000基础上</t>
    <phoneticPr fontId="2" type="noConversion"/>
  </si>
  <si>
    <t>sum</t>
    <phoneticPr fontId="2" type="noConversion"/>
  </si>
  <si>
    <t>这级别裸车占比</t>
    <phoneticPr fontId="2" type="noConversion"/>
  </si>
  <si>
    <t>裸车点数</t>
    <phoneticPr fontId="2" type="noConversion"/>
  </si>
  <si>
    <t>实际属性数</t>
    <phoneticPr fontId="2" type="noConversion"/>
  </si>
  <si>
    <t>对应的1级属性</t>
    <phoneticPr fontId="2" type="noConversion"/>
  </si>
  <si>
    <t>减去加成的30%</t>
    <phoneticPr fontId="2" type="noConversion"/>
  </si>
  <si>
    <t>裸车比例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</si>
</sst>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"/>
    <numFmt numFmtId="177" formatCode="0.00_);[Red]\(0.00\)"/>
  </numFmts>
  <fonts count="26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b/>
      <sz val="11"/>
      <color theme="1"/>
      <name val="FangSong"/>
      <family val="3"/>
      <charset val="134"/>
    </font>
    <font>
      <sz val="11"/>
      <color theme="1"/>
      <name val="FangSong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</font>
    <font>
      <sz val="11"/>
      <color theme="1"/>
      <name val="Arial"/>
      <family val="2"/>
    </font>
    <font>
      <sz val="11"/>
      <color theme="1"/>
      <name val="FangSong"/>
      <family val="3"/>
    </font>
    <font>
      <b/>
      <sz val="11"/>
      <color theme="1"/>
      <name val="宋体"/>
      <family val="2"/>
      <scheme val="minor"/>
    </font>
    <font>
      <i/>
      <sz val="11"/>
      <color theme="1"/>
      <name val="FangSong"/>
      <family val="3"/>
      <charset val="134"/>
    </font>
    <font>
      <i/>
      <sz val="11"/>
      <color theme="1"/>
      <name val="宋体"/>
      <family val="2"/>
      <charset val="134"/>
      <scheme val="minor"/>
    </font>
    <font>
      <sz val="9"/>
      <color rgb="FF97A8D0"/>
      <name val="Arial"/>
      <family val="2"/>
    </font>
    <font>
      <sz val="9"/>
      <color rgb="FFFFFFFF"/>
      <name val="Arial"/>
      <family val="2"/>
    </font>
    <font>
      <sz val="11"/>
      <color theme="1"/>
      <name val="Arial Unicode MS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sz val="11"/>
      <color theme="0" tint="-0.499984740745262"/>
      <name val="宋体"/>
      <family val="2"/>
      <charset val="134"/>
      <scheme val="minor"/>
    </font>
    <font>
      <sz val="11"/>
      <color theme="0" tint="-0.499984740745262"/>
      <name val="Arial Unicode MS"/>
      <family val="2"/>
      <charset val="134"/>
    </font>
    <font>
      <b/>
      <sz val="9"/>
      <color rgb="FF000000"/>
      <name val="微软雅黑"/>
      <family val="2"/>
      <charset val="134"/>
    </font>
    <font>
      <sz val="11"/>
      <color rgb="FF9C6500"/>
      <name val="Arial Unicode MS"/>
      <family val="2"/>
      <charset val="134"/>
    </font>
    <font>
      <sz val="11"/>
      <color rgb="FF3F3F76"/>
      <name val="Arial Unicode MS"/>
      <family val="2"/>
      <charset val="134"/>
    </font>
    <font>
      <b/>
      <sz val="11"/>
      <color rgb="FFFA7D00"/>
      <name val="Arial Unicode MS"/>
      <family val="2"/>
      <charset val="134"/>
    </font>
    <font>
      <i/>
      <sz val="11"/>
      <color rgb="FF7F7F7F"/>
      <name val="Arial Unicode MS"/>
      <family val="2"/>
      <charset val="134"/>
    </font>
    <font>
      <sz val="11"/>
      <color rgb="FF3F3F76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394D7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536694"/>
      </top>
      <bottom style="medium">
        <color rgb="FF53669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20" fillId="5" borderId="0" applyNumberFormat="0" applyBorder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3" applyNumberFormat="0" applyAlignment="0" applyProtection="0">
      <alignment vertical="center"/>
    </xf>
  </cellStyleXfs>
  <cellXfs count="102">
    <xf numFmtId="0" fontId="0" fillId="0" borderId="0" xfId="0">
      <alignment vertical="center"/>
    </xf>
    <xf numFmtId="0" fontId="7" fillId="2" borderId="0" xfId="0" applyFont="1" applyFill="1" applyBorder="1">
      <alignment vertical="center"/>
    </xf>
    <xf numFmtId="0" fontId="7" fillId="2" borderId="5" xfId="0" applyFont="1" applyFill="1" applyBorder="1">
      <alignment vertical="center"/>
    </xf>
    <xf numFmtId="9" fontId="7" fillId="0" borderId="0" xfId="1" applyFont="1" applyBorder="1">
      <alignment vertical="center"/>
    </xf>
    <xf numFmtId="9" fontId="7" fillId="0" borderId="5" xfId="1" applyFont="1" applyBorder="1">
      <alignment vertical="center"/>
    </xf>
    <xf numFmtId="0" fontId="7" fillId="2" borderId="7" xfId="0" applyFont="1" applyFill="1" applyBorder="1">
      <alignment vertical="center"/>
    </xf>
    <xf numFmtId="9" fontId="7" fillId="0" borderId="7" xfId="1" applyFont="1" applyBorder="1">
      <alignment vertical="center"/>
    </xf>
    <xf numFmtId="9" fontId="7" fillId="0" borderId="8" xfId="1" applyFont="1" applyBorder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0" fillId="0" borderId="0" xfId="0" applyBorder="1">
      <alignment vertical="center"/>
    </xf>
    <xf numFmtId="0" fontId="8" fillId="0" borderId="0" xfId="0" applyFont="1" applyBorder="1" applyAlignment="1">
      <alignment vertical="center" wrapText="1"/>
    </xf>
    <xf numFmtId="0" fontId="9" fillId="2" borderId="1" xfId="0" applyFont="1" applyFill="1" applyBorder="1">
      <alignment vertical="center"/>
    </xf>
    <xf numFmtId="0" fontId="9" fillId="2" borderId="3" xfId="0" applyFont="1" applyFill="1" applyBorder="1">
      <alignment vertical="center"/>
    </xf>
    <xf numFmtId="0" fontId="4" fillId="0" borderId="5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5" xfId="0" applyFont="1" applyFill="1" applyBorder="1">
      <alignment vertical="center"/>
    </xf>
    <xf numFmtId="0" fontId="8" fillId="0" borderId="6" xfId="0" applyFont="1" applyBorder="1" applyAlignment="1">
      <alignment vertical="center" wrapText="1"/>
    </xf>
    <xf numFmtId="0" fontId="8" fillId="0" borderId="8" xfId="0" applyFont="1" applyFill="1" applyBorder="1">
      <alignment vertical="center"/>
    </xf>
    <xf numFmtId="9" fontId="0" fillId="0" borderId="0" xfId="0" applyNumberForma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2" fillId="3" borderId="9" xfId="0" applyFont="1" applyFill="1" applyBorder="1" applyAlignment="1">
      <alignment vertical="center" wrapText="1"/>
    </xf>
    <xf numFmtId="0" fontId="13" fillId="3" borderId="9" xfId="0" applyFont="1" applyFill="1" applyBorder="1" applyAlignment="1">
      <alignment horizontal="left" vertical="center" wrapText="1" indent="1"/>
    </xf>
    <xf numFmtId="10" fontId="0" fillId="0" borderId="0" xfId="0" applyNumberFormat="1">
      <alignment vertical="center"/>
    </xf>
    <xf numFmtId="0" fontId="8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14" fillId="2" borderId="0" xfId="0" applyFont="1" applyFill="1" applyAlignment="1">
      <alignment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0" borderId="0" xfId="0" applyFont="1">
      <alignment vertical="center"/>
    </xf>
    <xf numFmtId="0" fontId="18" fillId="2" borderId="0" xfId="0" applyFont="1" applyFill="1">
      <alignment vertical="center"/>
    </xf>
    <xf numFmtId="0" fontId="18" fillId="2" borderId="0" xfId="0" applyFont="1" applyFill="1" applyAlignment="1">
      <alignment vertical="center" wrapText="1"/>
    </xf>
    <xf numFmtId="0" fontId="18" fillId="0" borderId="0" xfId="0" applyFont="1">
      <alignment vertical="center"/>
    </xf>
    <xf numFmtId="0" fontId="0" fillId="0" borderId="0" xfId="0" applyAlignment="1">
      <alignment horizontal="right" vertical="center"/>
    </xf>
    <xf numFmtId="0" fontId="19" fillId="2" borderId="12" xfId="0" applyFont="1" applyFill="1" applyBorder="1">
      <alignment vertical="center"/>
    </xf>
    <xf numFmtId="0" fontId="19" fillId="2" borderId="10" xfId="0" applyFont="1" applyFill="1" applyBorder="1">
      <alignment vertical="center"/>
    </xf>
    <xf numFmtId="0" fontId="16" fillId="0" borderId="4" xfId="0" applyFont="1" applyBorder="1">
      <alignment vertical="center"/>
    </xf>
    <xf numFmtId="0" fontId="16" fillId="0" borderId="5" xfId="0" applyFont="1" applyBorder="1" applyAlignment="1">
      <alignment horizontal="right" vertical="center"/>
    </xf>
    <xf numFmtId="0" fontId="16" fillId="0" borderId="6" xfId="0" applyFont="1" applyBorder="1">
      <alignment vertical="center"/>
    </xf>
    <xf numFmtId="0" fontId="16" fillId="0" borderId="8" xfId="0" applyFont="1" applyBorder="1" applyAlignment="1">
      <alignment horizontal="right" vertical="center"/>
    </xf>
    <xf numFmtId="9" fontId="0" fillId="4" borderId="0" xfId="1" applyFont="1" applyFill="1">
      <alignment vertical="center"/>
    </xf>
    <xf numFmtId="0" fontId="0" fillId="4" borderId="0" xfId="0" applyFill="1">
      <alignment vertical="center"/>
    </xf>
    <xf numFmtId="1" fontId="0" fillId="4" borderId="0" xfId="0" applyNumberFormat="1" applyFill="1">
      <alignment vertical="center"/>
    </xf>
    <xf numFmtId="0" fontId="24" fillId="6" borderId="13" xfId="10">
      <alignment vertical="center"/>
    </xf>
    <xf numFmtId="9" fontId="24" fillId="6" borderId="13" xfId="10" applyNumberFormat="1">
      <alignment vertical="center"/>
    </xf>
    <xf numFmtId="0" fontId="23" fillId="0" borderId="0" xfId="9">
      <alignment vertical="center"/>
    </xf>
    <xf numFmtId="0" fontId="0" fillId="0" borderId="0" xfId="0" applyFill="1">
      <alignment vertical="center"/>
    </xf>
    <xf numFmtId="9" fontId="0" fillId="0" borderId="0" xfId="1" applyFont="1">
      <alignment vertical="center"/>
    </xf>
    <xf numFmtId="0" fontId="22" fillId="7" borderId="13" xfId="8">
      <alignment vertical="center"/>
    </xf>
    <xf numFmtId="0" fontId="0" fillId="0" borderId="0" xfId="1" applyNumberFormat="1" applyFont="1">
      <alignment vertical="center"/>
    </xf>
    <xf numFmtId="9" fontId="0" fillId="0" borderId="0" xfId="1" applyNumberFormat="1" applyFont="1">
      <alignment vertical="center"/>
    </xf>
    <xf numFmtId="0" fontId="19" fillId="2" borderId="0" xfId="0" applyFont="1" applyFill="1" applyBorder="1">
      <alignment vertical="center"/>
    </xf>
    <xf numFmtId="0" fontId="16" fillId="0" borderId="0" xfId="0" applyFont="1" applyBorder="1">
      <alignment vertical="center"/>
    </xf>
    <xf numFmtId="10" fontId="0" fillId="0" borderId="0" xfId="0" applyNumberFormat="1" applyBorder="1">
      <alignment vertical="center"/>
    </xf>
    <xf numFmtId="0" fontId="0" fillId="0" borderId="0" xfId="0" applyFill="1" applyBorder="1">
      <alignment vertical="center"/>
    </xf>
    <xf numFmtId="9" fontId="0" fillId="0" borderId="0" xfId="0" applyNumberFormat="1" applyFill="1" applyBorder="1">
      <alignment vertical="center"/>
    </xf>
    <xf numFmtId="9" fontId="0" fillId="0" borderId="0" xfId="0" applyNumberFormat="1" applyBorder="1">
      <alignment vertical="center"/>
    </xf>
    <xf numFmtId="0" fontId="16" fillId="8" borderId="0" xfId="0" applyFont="1" applyFill="1" applyBorder="1">
      <alignment vertical="center"/>
    </xf>
    <xf numFmtId="0" fontId="0" fillId="8" borderId="0" xfId="0" applyFill="1" applyBorder="1">
      <alignment vertical="center"/>
    </xf>
    <xf numFmtId="0" fontId="19" fillId="2" borderId="14" xfId="0" applyFont="1" applyFill="1" applyBorder="1">
      <alignment vertical="center"/>
    </xf>
    <xf numFmtId="0" fontId="19" fillId="2" borderId="15" xfId="0" applyFont="1" applyFill="1" applyBorder="1">
      <alignment vertical="center"/>
    </xf>
    <xf numFmtId="0" fontId="16" fillId="0" borderId="16" xfId="0" applyFont="1" applyBorder="1">
      <alignment vertical="center"/>
    </xf>
    <xf numFmtId="0" fontId="16" fillId="0" borderId="17" xfId="0" applyFont="1" applyBorder="1" applyAlignment="1">
      <alignment horizontal="right" vertical="center"/>
    </xf>
    <xf numFmtId="0" fontId="16" fillId="0" borderId="18" xfId="0" applyFont="1" applyBorder="1">
      <alignment vertical="center"/>
    </xf>
    <xf numFmtId="0" fontId="16" fillId="0" borderId="19" xfId="0" applyFont="1" applyBorder="1" applyAlignment="1">
      <alignment horizontal="right" vertical="center"/>
    </xf>
    <xf numFmtId="10" fontId="0" fillId="0" borderId="0" xfId="0" applyNumberFormat="1" applyFill="1" applyBorder="1">
      <alignment vertical="center"/>
    </xf>
    <xf numFmtId="9" fontId="0" fillId="0" borderId="0" xfId="1" applyFont="1" applyBorder="1">
      <alignment vertical="center"/>
    </xf>
    <xf numFmtId="0" fontId="20" fillId="5" borderId="0" xfId="6">
      <alignment vertical="center"/>
    </xf>
    <xf numFmtId="0" fontId="21" fillId="6" borderId="13" xfId="7">
      <alignment vertical="center"/>
    </xf>
    <xf numFmtId="9" fontId="25" fillId="0" borderId="0" xfId="0" applyNumberFormat="1" applyFont="1">
      <alignment vertical="center"/>
    </xf>
    <xf numFmtId="0" fontId="16" fillId="0" borderId="0" xfId="0" applyFont="1" applyFill="1" applyBorder="1">
      <alignment vertical="center"/>
    </xf>
    <xf numFmtId="0" fontId="0" fillId="0" borderId="0" xfId="0" applyNumberFormat="1" applyFill="1" applyBorder="1">
      <alignment vertical="center"/>
    </xf>
    <xf numFmtId="9" fontId="21" fillId="6" borderId="13" xfId="7" applyNumberFormat="1">
      <alignment vertical="center"/>
    </xf>
    <xf numFmtId="1" fontId="22" fillId="7" borderId="13" xfId="8" applyNumberFormat="1">
      <alignment vertical="center"/>
    </xf>
    <xf numFmtId="1" fontId="0" fillId="0" borderId="0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</cellXfs>
  <cellStyles count="11">
    <cellStyle name="Calculation" xfId="8" builtinId="22"/>
    <cellStyle name="Explanatory Text" xfId="9" builtinId="53"/>
    <cellStyle name="Input" xfId="7" builtinId="20"/>
    <cellStyle name="Input 2" xfId="10"/>
    <cellStyle name="Neutral" xfId="6" builtinId="28"/>
    <cellStyle name="Normal" xfId="0" builtinId="0"/>
    <cellStyle name="Normal 2" xfId="2"/>
    <cellStyle name="Normal 3" xfId="3"/>
    <cellStyle name="Normal 4" xfId="4"/>
    <cellStyle name="Percent" xfId="1" builtinId="5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'属性成长（300-120,裸车比率）'!$C$41:$C$50</c:f>
              <c:numCache>
                <c:formatCode>General</c:formatCode>
                <c:ptCount val="10"/>
                <c:pt idx="0">
                  <c:v>1395.0326250000019</c:v>
                </c:pt>
                <c:pt idx="1">
                  <c:v>1437.5327288727538</c:v>
                </c:pt>
                <c:pt idx="2">
                  <c:v>1481.3276116609413</c:v>
                </c:pt>
                <c:pt idx="3">
                  <c:v>1526.4567192079176</c:v>
                </c:pt>
                <c:pt idx="4">
                  <c:v>1572.960699086952</c:v>
                </c:pt>
                <c:pt idx="5">
                  <c:v>1620.8814372123072</c:v>
                </c:pt>
                <c:pt idx="6">
                  <c:v>1670.2620955656832</c:v>
                </c:pt>
                <c:pt idx="7">
                  <c:v>1721.14715107201</c:v>
                </c:pt>
                <c:pt idx="8">
                  <c:v>1773.5824356596027</c:v>
                </c:pt>
                <c:pt idx="9">
                  <c:v>1827.6151775407623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022432"/>
        <c:axId val="240025792"/>
      </c:scatterChart>
      <c:valAx>
        <c:axId val="24002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025792"/>
        <c:crosses val="autoZero"/>
        <c:crossBetween val="midCat"/>
      </c:valAx>
      <c:valAx>
        <c:axId val="24002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02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</a:t>
            </a:r>
            <a:r>
              <a:rPr lang="en-US" altLang="zh-CN" baseline="0"/>
              <a:t>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关于alpha次方!$F$2:$F$50</c:f>
              <c:numCache>
                <c:formatCode>General</c:formatCode>
                <c:ptCount val="49"/>
                <c:pt idx="0">
                  <c:v>2.038541575211188E-2</c:v>
                </c:pt>
                <c:pt idx="1">
                  <c:v>2.0752274517240085E-2</c:v>
                </c:pt>
                <c:pt idx="2">
                  <c:v>2.1104468339266644E-2</c:v>
                </c:pt>
                <c:pt idx="3">
                  <c:v>2.1443613050043005E-2</c:v>
                </c:pt>
                <c:pt idx="4">
                  <c:v>2.1770684741525964E-2</c:v>
                </c:pt>
                <c:pt idx="5">
                  <c:v>2.2086348160507734E-2</c:v>
                </c:pt>
                <c:pt idx="6">
                  <c:v>2.2391083555361499E-2</c:v>
                </c:pt>
                <c:pt idx="7">
                  <c:v>2.2685248577527538E-2</c:v>
                </c:pt>
                <c:pt idx="8">
                  <c:v>2.2969112801485503E-2</c:v>
                </c:pt>
                <c:pt idx="9">
                  <c:v>2.3242878713376585E-2</c:v>
                </c:pt>
                <c:pt idx="10">
                  <c:v>2.3506695246718799E-2</c:v>
                </c:pt>
                <c:pt idx="11">
                  <c:v>2.3760666867809054E-2</c:v>
                </c:pt>
                <c:pt idx="12">
                  <c:v>2.4004859827028956E-2</c:v>
                </c:pt>
                <c:pt idx="13">
                  <c:v>2.4239306503939368E-2</c:v>
                </c:pt>
                <c:pt idx="14">
                  <c:v>2.4464008405319537E-2</c:v>
                </c:pt>
                <c:pt idx="15">
                  <c:v>2.4678938164997555E-2</c:v>
                </c:pt>
                <c:pt idx="16">
                  <c:v>2.4884040767607897E-2</c:v>
                </c:pt>
                <c:pt idx="17">
                  <c:v>2.507923413802754E-2</c:v>
                </c:pt>
                <c:pt idx="18">
                  <c:v>2.5264409184466822E-2</c:v>
                </c:pt>
                <c:pt idx="19">
                  <c:v>2.5439429345000982E-2</c:v>
                </c:pt>
                <c:pt idx="20">
                  <c:v>2.5604129658208297E-2</c:v>
                </c:pt>
                <c:pt idx="21">
                  <c:v>2.5758315354422176E-2</c:v>
                </c:pt>
                <c:pt idx="22">
                  <c:v>2.5901759942086568E-2</c:v>
                </c:pt>
                <c:pt idx="23">
                  <c:v>2.6034202741653148E-2</c:v>
                </c:pt>
                <c:pt idx="24">
                  <c:v>2.6155345795442424E-2</c:v>
                </c:pt>
                <c:pt idx="25">
                  <c:v>2.6264850053911826E-2</c:v>
                </c:pt>
                <c:pt idx="26">
                  <c:v>2.6362330704493207E-2</c:v>
                </c:pt>
                <c:pt idx="27">
                  <c:v>2.6447351465576197E-2</c:v>
                </c:pt>
                <c:pt idx="28">
                  <c:v>2.6519417611235146E-2</c:v>
                </c:pt>
                <c:pt idx="29">
                  <c:v>2.6577967416134461E-2</c:v>
                </c:pt>
                <c:pt idx="30">
                  <c:v>2.6622361606263412E-2</c:v>
                </c:pt>
                <c:pt idx="31">
                  <c:v>2.665187025715654E-2</c:v>
                </c:pt>
                <c:pt idx="32">
                  <c:v>2.6665656377849942E-2</c:v>
                </c:pt>
                <c:pt idx="33">
                  <c:v>2.6662755126067333E-2</c:v>
                </c:pt>
                <c:pt idx="34">
                  <c:v>2.6642047170227466E-2</c:v>
                </c:pt>
                <c:pt idx="35">
                  <c:v>2.6602224068538294E-2</c:v>
                </c:pt>
                <c:pt idx="36">
                  <c:v>2.654174254280663E-2</c:v>
                </c:pt>
                <c:pt idx="37">
                  <c:v>2.6458762955266436E-2</c:v>
                </c:pt>
                <c:pt idx="38">
                  <c:v>2.6351064737191131E-2</c:v>
                </c:pt>
                <c:pt idx="39">
                  <c:v>2.6215927191548222E-2</c:v>
                </c:pt>
                <c:pt idx="40">
                  <c:v>2.60499564684957E-2</c:v>
                </c:pt>
                <c:pt idx="41">
                  <c:v>2.5848825406175845E-2</c:v>
                </c:pt>
                <c:pt idx="42">
                  <c:v>2.560686525207239E-2</c:v>
                </c:pt>
                <c:pt idx="43">
                  <c:v>2.5316389944767384E-2</c:v>
                </c:pt>
                <c:pt idx="44">
                  <c:v>2.496649911907323E-2</c:v>
                </c:pt>
                <c:pt idx="45">
                  <c:v>2.454075735623738E-2</c:v>
                </c:pt>
                <c:pt idx="46">
                  <c:v>2.4012086856752976E-2</c:v>
                </c:pt>
                <c:pt idx="47">
                  <c:v>2.3329120872529668E-2</c:v>
                </c:pt>
                <c:pt idx="48">
                  <c:v>2.2364380694104131E-2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949744"/>
        <c:axId val="241948064"/>
      </c:scatterChart>
      <c:valAx>
        <c:axId val="24194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1948064"/>
        <c:crosses val="autoZero"/>
        <c:crossBetween val="midCat"/>
      </c:valAx>
      <c:valAx>
        <c:axId val="24194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194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关于alpha次方!$H$2:$H$50</c:f>
              <c:numCache>
                <c:formatCode>General</c:formatCode>
                <c:ptCount val="49"/>
                <c:pt idx="0">
                  <c:v>0.28207603389295099</c:v>
                </c:pt>
                <c:pt idx="1">
                  <c:v>0.29008240202585078</c:v>
                </c:pt>
                <c:pt idx="2">
                  <c:v>0.29794021505339979</c:v>
                </c:pt>
                <c:pt idx="3">
                  <c:v>0.30565342071289781</c:v>
                </c:pt>
                <c:pt idx="4">
                  <c:v>0.3132215050444967</c:v>
                </c:pt>
                <c:pt idx="5">
                  <c:v>0.32064189456495046</c:v>
                </c:pt>
                <c:pt idx="6">
                  <c:v>0.327910835553615</c:v>
                </c:pt>
                <c:pt idx="7">
                  <c:v>0.33502379791965725</c:v>
                </c:pt>
                <c:pt idx="8">
                  <c:v>0.34197568441559784</c:v>
                </c:pt>
                <c:pt idx="9">
                  <c:v>0.34876094616879838</c:v>
                </c:pt>
                <c:pt idx="10">
                  <c:v>0.35537364771390684</c:v>
                </c:pt>
                <c:pt idx="11">
                  <c:v>0.36180750226285191</c:v>
                </c:pt>
                <c:pt idx="12">
                  <c:v>0.368055888010833</c:v>
                </c:pt>
                <c:pt idx="13">
                  <c:v>0.37411185142128761</c:v>
                </c:pt>
                <c:pt idx="14">
                  <c:v>0.37996810086383442</c:v>
                </c:pt>
                <c:pt idx="15">
                  <c:v>0.38561699252122006</c:v>
                </c:pt>
                <c:pt idx="16">
                  <c:v>0.39105050959509874</c:v>
                </c:pt>
                <c:pt idx="17">
                  <c:v>0.39626023525985116</c:v>
                </c:pt>
                <c:pt idx="18">
                  <c:v>0.40123731939806873</c:v>
                </c:pt>
                <c:pt idx="19">
                  <c:v>0.4059724388212631</c:v>
                </c:pt>
                <c:pt idx="20">
                  <c:v>0.410455750385812</c:v>
                </c:pt>
                <c:pt idx="21">
                  <c:v>0.41467683612330503</c:v>
                </c:pt>
                <c:pt idx="22">
                  <c:v>0.418624639189212</c:v>
                </c:pt>
                <c:pt idx="23">
                  <c:v>0.42228738906855739</c:v>
                </c:pt>
                <c:pt idx="24">
                  <c:v>0.42565251403391519</c:v>
                </c:pt>
                <c:pt idx="25">
                  <c:v>0.4287065382951995</c:v>
                </c:pt>
                <c:pt idx="26">
                  <c:v>0.43143496056739822</c:v>
                </c:pt>
                <c:pt idx="27">
                  <c:v>0.43382210985003711</c:v>
                </c:pt>
                <c:pt idx="28">
                  <c:v>0.43585097297414471</c:v>
                </c:pt>
                <c:pt idx="29">
                  <c:v>0.43750298680411775</c:v>
                </c:pt>
                <c:pt idx="30">
                  <c:v>0.43875778570021468</c:v>
                </c:pt>
                <c:pt idx="31">
                  <c:v>0.43959289167879378</c:v>
                </c:pt>
                <c:pt idx="32">
                  <c:v>0.43998333023452402</c:v>
                </c:pt>
                <c:pt idx="33">
                  <c:v>0.43990114836162791</c:v>
                </c:pt>
                <c:pt idx="34">
                  <c:v>0.4393148018938669</c:v>
                </c:pt>
                <c:pt idx="35">
                  <c:v>0.43818836518228549</c:v>
                </c:pt>
                <c:pt idx="36">
                  <c:v>0.43648049449911597</c:v>
                </c:pt>
                <c:pt idx="37">
                  <c:v>0.43414304245597923</c:v>
                </c:pt>
                <c:pt idx="38">
                  <c:v>0.43111916526944039</c:v>
                </c:pt>
                <c:pt idx="39">
                  <c:v>0.42734067124575514</c:v>
                </c:pt>
                <c:pt idx="40">
                  <c:v>0.42272419466717048</c:v>
                </c:pt>
                <c:pt idx="41">
                  <c:v>0.41716547636579709</c:v>
                </c:pt>
                <c:pt idx="42">
                  <c:v>0.41053043978937537</c:v>
                </c:pt>
                <c:pt idx="43">
                  <c:v>0.40264050643677213</c:v>
                </c:pt>
                <c:pt idx="44">
                  <c:v>0.39324673282192796</c:v>
                </c:pt>
                <c:pt idx="45">
                  <c:v>0.38197995778568827</c:v>
                </c:pt>
                <c:pt idx="46">
                  <c:v>0.36824173713505959</c:v>
                </c:pt>
                <c:pt idx="47">
                  <c:v>0.35091469766872585</c:v>
                </c:pt>
                <c:pt idx="48">
                  <c:v>0.32726980422913476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950864"/>
        <c:axId val="241951424"/>
      </c:scatterChart>
      <c:valAx>
        <c:axId val="24195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1951424"/>
        <c:crosses val="autoZero"/>
        <c:crossBetween val="midCat"/>
      </c:valAx>
      <c:valAx>
        <c:axId val="2419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195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://db.178.com/lol/rune-5347" TargetMode="External"/><Relationship Id="rId18" Type="http://schemas.openxmlformats.org/officeDocument/2006/relationships/hyperlink" Target="http://db.178.com/lol/rune-5352" TargetMode="External"/><Relationship Id="rId26" Type="http://schemas.openxmlformats.org/officeDocument/2006/relationships/hyperlink" Target="http://db.178.com/lol/rune-5360" TargetMode="External"/><Relationship Id="rId39" Type="http://schemas.openxmlformats.org/officeDocument/2006/relationships/hyperlink" Target="http://db.178.com/lol/rune-5377" TargetMode="External"/><Relationship Id="rId21" Type="http://schemas.openxmlformats.org/officeDocument/2006/relationships/hyperlink" Target="http://db.178.com/lol/rune-5355" TargetMode="External"/><Relationship Id="rId34" Type="http://schemas.openxmlformats.org/officeDocument/2006/relationships/hyperlink" Target="http://db.178.com/lol/rune-5368" TargetMode="External"/><Relationship Id="rId42" Type="http://schemas.openxmlformats.org/officeDocument/2006/relationships/hyperlink" Target="http://db.178.com/lol/rune-5380" TargetMode="External"/><Relationship Id="rId7" Type="http://schemas.openxmlformats.org/officeDocument/2006/relationships/hyperlink" Target="http://db.178.com/lol/rune-5341" TargetMode="External"/><Relationship Id="rId2" Type="http://schemas.openxmlformats.org/officeDocument/2006/relationships/hyperlink" Target="http://db.178.com/lol/rune-5336" TargetMode="External"/><Relationship Id="rId16" Type="http://schemas.openxmlformats.org/officeDocument/2006/relationships/hyperlink" Target="http://db.178.com/lol/rune-5350" TargetMode="External"/><Relationship Id="rId29" Type="http://schemas.openxmlformats.org/officeDocument/2006/relationships/hyperlink" Target="http://db.178.com/lol/rune-5363" TargetMode="External"/><Relationship Id="rId1" Type="http://schemas.openxmlformats.org/officeDocument/2006/relationships/hyperlink" Target="http://db.178.com/lol/rune-5335" TargetMode="External"/><Relationship Id="rId6" Type="http://schemas.openxmlformats.org/officeDocument/2006/relationships/hyperlink" Target="http://db.178.com/lol/rune-5340" TargetMode="External"/><Relationship Id="rId11" Type="http://schemas.openxmlformats.org/officeDocument/2006/relationships/hyperlink" Target="http://db.178.com/lol/rune-5345" TargetMode="External"/><Relationship Id="rId24" Type="http://schemas.openxmlformats.org/officeDocument/2006/relationships/hyperlink" Target="http://db.178.com/lol/rune-5358" TargetMode="External"/><Relationship Id="rId32" Type="http://schemas.openxmlformats.org/officeDocument/2006/relationships/hyperlink" Target="http://db.178.com/lol/rune-5366" TargetMode="External"/><Relationship Id="rId37" Type="http://schemas.openxmlformats.org/officeDocument/2006/relationships/hyperlink" Target="http://db.178.com/lol/rune-5375" TargetMode="External"/><Relationship Id="rId40" Type="http://schemas.openxmlformats.org/officeDocument/2006/relationships/hyperlink" Target="http://db.178.com/lol/rune-5378" TargetMode="External"/><Relationship Id="rId45" Type="http://schemas.openxmlformats.org/officeDocument/2006/relationships/hyperlink" Target="http://db.178.com/lol/rune-5412" TargetMode="External"/><Relationship Id="rId5" Type="http://schemas.openxmlformats.org/officeDocument/2006/relationships/hyperlink" Target="http://db.178.com/lol/rune-5339" TargetMode="External"/><Relationship Id="rId15" Type="http://schemas.openxmlformats.org/officeDocument/2006/relationships/hyperlink" Target="http://db.178.com/lol/rune-5349" TargetMode="External"/><Relationship Id="rId23" Type="http://schemas.openxmlformats.org/officeDocument/2006/relationships/hyperlink" Target="http://db.178.com/lol/rune-5357" TargetMode="External"/><Relationship Id="rId28" Type="http://schemas.openxmlformats.org/officeDocument/2006/relationships/hyperlink" Target="http://db.178.com/lol/rune-5362" TargetMode="External"/><Relationship Id="rId36" Type="http://schemas.openxmlformats.org/officeDocument/2006/relationships/hyperlink" Target="http://db.178.com/lol/rune-5374" TargetMode="External"/><Relationship Id="rId10" Type="http://schemas.openxmlformats.org/officeDocument/2006/relationships/hyperlink" Target="http://db.178.com/lol/rune-5344" TargetMode="External"/><Relationship Id="rId19" Type="http://schemas.openxmlformats.org/officeDocument/2006/relationships/hyperlink" Target="http://db.178.com/lol/rune-5353" TargetMode="External"/><Relationship Id="rId31" Type="http://schemas.openxmlformats.org/officeDocument/2006/relationships/hyperlink" Target="http://db.178.com/lol/rune-5365" TargetMode="External"/><Relationship Id="rId44" Type="http://schemas.openxmlformats.org/officeDocument/2006/relationships/hyperlink" Target="http://db.178.com/lol/rune-5409" TargetMode="External"/><Relationship Id="rId4" Type="http://schemas.openxmlformats.org/officeDocument/2006/relationships/hyperlink" Target="http://db.178.com/lol/rune-5338" TargetMode="External"/><Relationship Id="rId9" Type="http://schemas.openxmlformats.org/officeDocument/2006/relationships/hyperlink" Target="http://db.178.com/lol/rune-5343" TargetMode="External"/><Relationship Id="rId14" Type="http://schemas.openxmlformats.org/officeDocument/2006/relationships/hyperlink" Target="http://db.178.com/lol/rune-5348" TargetMode="External"/><Relationship Id="rId22" Type="http://schemas.openxmlformats.org/officeDocument/2006/relationships/hyperlink" Target="http://db.178.com/lol/rune-5356" TargetMode="External"/><Relationship Id="rId27" Type="http://schemas.openxmlformats.org/officeDocument/2006/relationships/hyperlink" Target="http://db.178.com/lol/rune-5361" TargetMode="External"/><Relationship Id="rId30" Type="http://schemas.openxmlformats.org/officeDocument/2006/relationships/hyperlink" Target="http://db.178.com/lol/rune-5364" TargetMode="External"/><Relationship Id="rId35" Type="http://schemas.openxmlformats.org/officeDocument/2006/relationships/hyperlink" Target="http://db.178.com/lol/rune-5373" TargetMode="External"/><Relationship Id="rId43" Type="http://schemas.openxmlformats.org/officeDocument/2006/relationships/hyperlink" Target="http://db.178.com/lol/rune-5406" TargetMode="External"/><Relationship Id="rId8" Type="http://schemas.openxmlformats.org/officeDocument/2006/relationships/hyperlink" Target="http://db.178.com/lol/rune-5342" TargetMode="External"/><Relationship Id="rId3" Type="http://schemas.openxmlformats.org/officeDocument/2006/relationships/hyperlink" Target="http://db.178.com/lol/rune-5337" TargetMode="External"/><Relationship Id="rId12" Type="http://schemas.openxmlformats.org/officeDocument/2006/relationships/hyperlink" Target="http://db.178.com/lol/rune-5346" TargetMode="External"/><Relationship Id="rId17" Type="http://schemas.openxmlformats.org/officeDocument/2006/relationships/hyperlink" Target="http://db.178.com/lol/rune-5351" TargetMode="External"/><Relationship Id="rId25" Type="http://schemas.openxmlformats.org/officeDocument/2006/relationships/hyperlink" Target="http://db.178.com/lol/rune-5359" TargetMode="External"/><Relationship Id="rId33" Type="http://schemas.openxmlformats.org/officeDocument/2006/relationships/hyperlink" Target="http://db.178.com/lol/rune-5367" TargetMode="External"/><Relationship Id="rId38" Type="http://schemas.openxmlformats.org/officeDocument/2006/relationships/hyperlink" Target="http://db.178.com/lol/rune-5376" TargetMode="External"/><Relationship Id="rId46" Type="http://schemas.openxmlformats.org/officeDocument/2006/relationships/hyperlink" Target="http://db.178.com/lol/rune-5418" TargetMode="External"/><Relationship Id="rId20" Type="http://schemas.openxmlformats.org/officeDocument/2006/relationships/hyperlink" Target="http://db.178.com/lol/rune-5354" TargetMode="External"/><Relationship Id="rId41" Type="http://schemas.openxmlformats.org/officeDocument/2006/relationships/hyperlink" Target="http://db.178.com/lol/rune-5379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6145" name="AutoShape 1" descr="http://img.db.178.com/lol/images/content/rune/5335.gif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0" y="1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6146" name="AutoShape 2" descr="http://img.db.178.com/lol/images/content/rune/5336.gif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0" y="5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147" name="AutoShape 3" descr="http://img.db.178.com/lol/images/content/rune/5337.gif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6148" name="AutoShape 4" descr="http://img.db.178.com/lol/images/content/rune/5338.gif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0" y="13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9" name="AutoShape 5" descr="http://img.db.178.com/lol/images/content/rune/5339.gif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0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6150" name="AutoShape 6" descr="http://img.db.178.com/lol/images/content/rune/5340.gif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0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151" name="AutoShape 7" descr="http://img.db.178.com/lol/images/content/rune/5341.gif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0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6152" name="AutoShape 8" descr="http://img.db.178.com/lol/images/content/rune/5342.gif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0" y="32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3" name="AutoShape 9" descr="http://img.db.178.com/lol/images/content/rune/5343.gif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0" y="391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6154" name="AutoShape 10" descr="http://img.db.178.com/lol/images/content/rune/5344.gif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6155" name="AutoShape 11" descr="http://img.db.178.com/lol/images/content/rune/5345.gif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0" y="473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6156" name="AutoShape 12" descr="http://img.db.178.com/lol/images/content/rune/5346.gif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0" y="508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157" name="AutoShape 13" descr="http://img.db.178.com/lol/images/content/rune/5347.gif">
          <a:hlinkClick xmlns:r="http://schemas.openxmlformats.org/officeDocument/2006/relationships" r:id="rId13"/>
        </xdr:cNvPr>
        <xdr:cNvSpPr>
          <a:spLocks noChangeAspect="1" noChangeArrowheads="1"/>
        </xdr:cNvSpPr>
      </xdr:nvSpPr>
      <xdr:spPr bwMode="auto">
        <a:xfrm>
          <a:off x="0" y="555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6158" name="AutoShape 14" descr="http://img.db.178.com/lol/images/content/rune/5348.gif">
          <a:hlinkClick xmlns:r="http://schemas.openxmlformats.org/officeDocument/2006/relationships" r:id="rId14"/>
        </xdr:cNvPr>
        <xdr:cNvSpPr>
          <a:spLocks noChangeAspect="1" noChangeArrowheads="1"/>
        </xdr:cNvSpPr>
      </xdr:nvSpPr>
      <xdr:spPr bwMode="auto">
        <a:xfrm>
          <a:off x="0" y="58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6159" name="AutoShape 15" descr="http://img.db.178.com/lol/images/content/rune/5349.gif">
          <a:hlinkClick xmlns:r="http://schemas.openxmlformats.org/officeDocument/2006/relationships" r:id="rId15"/>
        </xdr:cNvPr>
        <xdr:cNvSpPr>
          <a:spLocks noChangeAspect="1" noChangeArrowheads="1"/>
        </xdr:cNvSpPr>
      </xdr:nvSpPr>
      <xdr:spPr bwMode="auto">
        <a:xfrm>
          <a:off x="0" y="63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6160" name="AutoShape 16" descr="http://img.db.178.com/lol/images/content/rune/5350.gif">
          <a:hlinkClick xmlns:r="http://schemas.openxmlformats.org/officeDocument/2006/relationships" r:id="rId16"/>
        </xdr:cNvPr>
        <xdr:cNvSpPr>
          <a:spLocks noChangeAspect="1" noChangeArrowheads="1"/>
        </xdr:cNvSpPr>
      </xdr:nvSpPr>
      <xdr:spPr bwMode="auto">
        <a:xfrm>
          <a:off x="0" y="66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6161" name="AutoShape 17" descr="http://img.db.178.com/lol/images/content/rune/5351.gif">
          <a:hlinkClick xmlns:r="http://schemas.openxmlformats.org/officeDocument/2006/relationships" r:id="rId17"/>
        </xdr:cNvPr>
        <xdr:cNvSpPr>
          <a:spLocks noChangeAspect="1" noChangeArrowheads="1"/>
        </xdr:cNvSpPr>
      </xdr:nvSpPr>
      <xdr:spPr bwMode="auto">
        <a:xfrm>
          <a:off x="0" y="71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6162" name="AutoShape 18" descr="http://img.db.178.com/lol/images/content/rune/5352.gif">
          <a:hlinkClick xmlns:r="http://schemas.openxmlformats.org/officeDocument/2006/relationships" r:id="rId18"/>
        </xdr:cNvPr>
        <xdr:cNvSpPr>
          <a:spLocks noChangeAspect="1" noChangeArrowheads="1"/>
        </xdr:cNvSpPr>
      </xdr:nvSpPr>
      <xdr:spPr bwMode="auto">
        <a:xfrm>
          <a:off x="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304800</xdr:colOff>
      <xdr:row>20</xdr:row>
      <xdr:rowOff>123825</xdr:rowOff>
    </xdr:to>
    <xdr:sp macro="" textlink="">
      <xdr:nvSpPr>
        <xdr:cNvPr id="6163" name="AutoShape 19" descr="http://img.db.178.com/lol/images/content/rune/5353.gif">
          <a:hlinkClick xmlns:r="http://schemas.openxmlformats.org/officeDocument/2006/relationships" r:id="rId19"/>
        </xdr:cNvPr>
        <xdr:cNvSpPr>
          <a:spLocks noChangeAspect="1" noChangeArrowheads="1"/>
        </xdr:cNvSpPr>
      </xdr:nvSpPr>
      <xdr:spPr bwMode="auto">
        <a:xfrm>
          <a:off x="0" y="81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6164" name="AutoShape 20" descr="http://img.db.178.com/lol/images/content/rune/5354.gif">
          <a:hlinkClick xmlns:r="http://schemas.openxmlformats.org/officeDocument/2006/relationships" r:id="rId20"/>
        </xdr:cNvPr>
        <xdr:cNvSpPr>
          <a:spLocks noChangeAspect="1" noChangeArrowheads="1"/>
        </xdr:cNvSpPr>
      </xdr:nvSpPr>
      <xdr:spPr bwMode="auto">
        <a:xfrm>
          <a:off x="0" y="843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304800</xdr:colOff>
      <xdr:row>22</xdr:row>
      <xdr:rowOff>0</xdr:rowOff>
    </xdr:to>
    <xdr:sp macro="" textlink="">
      <xdr:nvSpPr>
        <xdr:cNvPr id="6165" name="AutoShape 21" descr="http://img.db.178.com/lol/images/content/rune/5355.gif">
          <a:hlinkClick xmlns:r="http://schemas.openxmlformats.org/officeDocument/2006/relationships" r:id="rId21"/>
        </xdr:cNvPr>
        <xdr:cNvSpPr>
          <a:spLocks noChangeAspect="1" noChangeArrowheads="1"/>
        </xdr:cNvSpPr>
      </xdr:nvSpPr>
      <xdr:spPr bwMode="auto">
        <a:xfrm>
          <a:off x="0" y="90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6166" name="AutoShape 22" descr="http://img.db.178.com/lol/images/content/rune/5356.gif">
          <a:hlinkClick xmlns:r="http://schemas.openxmlformats.org/officeDocument/2006/relationships" r:id="rId22"/>
        </xdr:cNvPr>
        <xdr:cNvSpPr>
          <a:spLocks noChangeAspect="1" noChangeArrowheads="1"/>
        </xdr:cNvSpPr>
      </xdr:nvSpPr>
      <xdr:spPr bwMode="auto">
        <a:xfrm>
          <a:off x="0" y="94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304800</xdr:colOff>
      <xdr:row>24</xdr:row>
      <xdr:rowOff>0</xdr:rowOff>
    </xdr:to>
    <xdr:sp macro="" textlink="">
      <xdr:nvSpPr>
        <xdr:cNvPr id="6167" name="AutoShape 23" descr="http://img.db.178.com/lol/images/content/rune/5357.gif">
          <a:hlinkClick xmlns:r="http://schemas.openxmlformats.org/officeDocument/2006/relationships" r:id="rId23"/>
        </xdr:cNvPr>
        <xdr:cNvSpPr>
          <a:spLocks noChangeAspect="1" noChangeArrowheads="1"/>
        </xdr:cNvSpPr>
      </xdr:nvSpPr>
      <xdr:spPr bwMode="auto">
        <a:xfrm>
          <a:off x="0" y="987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6168" name="AutoShape 24" descr="http://img.db.178.com/lol/images/content/rune/5358.gif">
          <a:hlinkClick xmlns:r="http://schemas.openxmlformats.org/officeDocument/2006/relationships" r:id="rId24"/>
        </xdr:cNvPr>
        <xdr:cNvSpPr>
          <a:spLocks noChangeAspect="1" noChangeArrowheads="1"/>
        </xdr:cNvSpPr>
      </xdr:nvSpPr>
      <xdr:spPr bwMode="auto">
        <a:xfrm>
          <a:off x="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304800</xdr:colOff>
      <xdr:row>26</xdr:row>
      <xdr:rowOff>0</xdr:rowOff>
    </xdr:to>
    <xdr:sp macro="" textlink="">
      <xdr:nvSpPr>
        <xdr:cNvPr id="6169" name="AutoShape 25" descr="http://img.db.178.com/lol/images/content/rune/5359.gif">
          <a:hlinkClick xmlns:r="http://schemas.openxmlformats.org/officeDocument/2006/relationships" r:id="rId25"/>
        </xdr:cNvPr>
        <xdr:cNvSpPr>
          <a:spLocks noChangeAspect="1" noChangeArrowheads="1"/>
        </xdr:cNvSpPr>
      </xdr:nvSpPr>
      <xdr:spPr bwMode="auto">
        <a:xfrm>
          <a:off x="0" y="1069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6170" name="AutoShape 26" descr="http://img.db.178.com/lol/images/content/rune/5360.gif">
          <a:hlinkClick xmlns:r="http://schemas.openxmlformats.org/officeDocument/2006/relationships" r:id="rId26"/>
        </xdr:cNvPr>
        <xdr:cNvSpPr>
          <a:spLocks noChangeAspect="1" noChangeArrowheads="1"/>
        </xdr:cNvSpPr>
      </xdr:nvSpPr>
      <xdr:spPr bwMode="auto">
        <a:xfrm>
          <a:off x="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304800</xdr:colOff>
      <xdr:row>28</xdr:row>
      <xdr:rowOff>0</xdr:rowOff>
    </xdr:to>
    <xdr:sp macro="" textlink="">
      <xdr:nvSpPr>
        <xdr:cNvPr id="6171" name="AutoShape 27" descr="http://img.db.178.com/lol/images/content/rune/5361.gif">
          <a:hlinkClick xmlns:r="http://schemas.openxmlformats.org/officeDocument/2006/relationships" r:id="rId27"/>
        </xdr:cNvPr>
        <xdr:cNvSpPr>
          <a:spLocks noChangeAspect="1" noChangeArrowheads="1"/>
        </xdr:cNvSpPr>
      </xdr:nvSpPr>
      <xdr:spPr bwMode="auto">
        <a:xfrm>
          <a:off x="0" y="1151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6172" name="AutoShape 28" descr="http://img.db.178.com/lol/images/content/rune/5362.gif">
          <a:hlinkClick xmlns:r="http://schemas.openxmlformats.org/officeDocument/2006/relationships" r:id="rId28"/>
        </xdr:cNvPr>
        <xdr:cNvSpPr>
          <a:spLocks noChangeAspect="1" noChangeArrowheads="1"/>
        </xdr:cNvSpPr>
      </xdr:nvSpPr>
      <xdr:spPr bwMode="auto">
        <a:xfrm>
          <a:off x="0" y="1186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304800</xdr:colOff>
      <xdr:row>30</xdr:row>
      <xdr:rowOff>0</xdr:rowOff>
    </xdr:to>
    <xdr:sp macro="" textlink="">
      <xdr:nvSpPr>
        <xdr:cNvPr id="6173" name="AutoShape 29" descr="http://img.db.178.com/lol/images/content/rune/5363.gif">
          <a:hlinkClick xmlns:r="http://schemas.openxmlformats.org/officeDocument/2006/relationships" r:id="rId29"/>
        </xdr:cNvPr>
        <xdr:cNvSpPr>
          <a:spLocks noChangeAspect="1" noChangeArrowheads="1"/>
        </xdr:cNvSpPr>
      </xdr:nvSpPr>
      <xdr:spPr bwMode="auto">
        <a:xfrm>
          <a:off x="0" y="1248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6174" name="AutoShape 30" descr="http://img.db.178.com/lol/images/content/rune/5364.gif">
          <a:hlinkClick xmlns:r="http://schemas.openxmlformats.org/officeDocument/2006/relationships" r:id="rId30"/>
        </xdr:cNvPr>
        <xdr:cNvSpPr>
          <a:spLocks noChangeAspect="1" noChangeArrowheads="1"/>
        </xdr:cNvSpPr>
      </xdr:nvSpPr>
      <xdr:spPr bwMode="auto">
        <a:xfrm>
          <a:off x="0" y="128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1</xdr:col>
      <xdr:colOff>304800</xdr:colOff>
      <xdr:row>32</xdr:row>
      <xdr:rowOff>0</xdr:rowOff>
    </xdr:to>
    <xdr:sp macro="" textlink="">
      <xdr:nvSpPr>
        <xdr:cNvPr id="6175" name="AutoShape 31" descr="http://img.db.178.com/lol/images/content/rune/5365.gif">
          <a:hlinkClick xmlns:r="http://schemas.openxmlformats.org/officeDocument/2006/relationships" r:id="rId31"/>
        </xdr:cNvPr>
        <xdr:cNvSpPr>
          <a:spLocks noChangeAspect="1" noChangeArrowheads="1"/>
        </xdr:cNvSpPr>
      </xdr:nvSpPr>
      <xdr:spPr bwMode="auto">
        <a:xfrm>
          <a:off x="0" y="1330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304800</xdr:colOff>
      <xdr:row>33</xdr:row>
      <xdr:rowOff>0</xdr:rowOff>
    </xdr:to>
    <xdr:sp macro="" textlink="">
      <xdr:nvSpPr>
        <xdr:cNvPr id="6176" name="AutoShape 32" descr="http://img.db.178.com/lol/images/content/rune/5366.gif">
          <a:hlinkClick xmlns:r="http://schemas.openxmlformats.org/officeDocument/2006/relationships" r:id="rId32"/>
        </xdr:cNvPr>
        <xdr:cNvSpPr>
          <a:spLocks noChangeAspect="1" noChangeArrowheads="1"/>
        </xdr:cNvSpPr>
      </xdr:nvSpPr>
      <xdr:spPr bwMode="auto">
        <a:xfrm>
          <a:off x="0" y="13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1</xdr:col>
      <xdr:colOff>304800</xdr:colOff>
      <xdr:row>34</xdr:row>
      <xdr:rowOff>0</xdr:rowOff>
    </xdr:to>
    <xdr:sp macro="" textlink="">
      <xdr:nvSpPr>
        <xdr:cNvPr id="6177" name="AutoShape 33" descr="http://img.db.178.com/lol/images/content/rune/5367.gif">
          <a:hlinkClick xmlns:r="http://schemas.openxmlformats.org/officeDocument/2006/relationships" r:id="rId33"/>
        </xdr:cNvPr>
        <xdr:cNvSpPr>
          <a:spLocks noChangeAspect="1" noChangeArrowheads="1"/>
        </xdr:cNvSpPr>
      </xdr:nvSpPr>
      <xdr:spPr bwMode="auto">
        <a:xfrm>
          <a:off x="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1</xdr:col>
      <xdr:colOff>304800</xdr:colOff>
      <xdr:row>35</xdr:row>
      <xdr:rowOff>0</xdr:rowOff>
    </xdr:to>
    <xdr:sp macro="" textlink="">
      <xdr:nvSpPr>
        <xdr:cNvPr id="6178" name="AutoShape 34" descr="http://img.db.178.com/lol/images/content/rune/5368.gif">
          <a:hlinkClick xmlns:r="http://schemas.openxmlformats.org/officeDocument/2006/relationships" r:id="rId34"/>
        </xdr:cNvPr>
        <xdr:cNvSpPr>
          <a:spLocks noChangeAspect="1" noChangeArrowheads="1"/>
        </xdr:cNvSpPr>
      </xdr:nvSpPr>
      <xdr:spPr bwMode="auto">
        <a:xfrm>
          <a:off x="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304800</xdr:colOff>
      <xdr:row>36</xdr:row>
      <xdr:rowOff>0</xdr:rowOff>
    </xdr:to>
    <xdr:sp macro="" textlink="">
      <xdr:nvSpPr>
        <xdr:cNvPr id="6179" name="AutoShape 35" descr="http://img.db.178.com/lol/images/content/rune/5373.gif">
          <a:hlinkClick xmlns:r="http://schemas.openxmlformats.org/officeDocument/2006/relationships" r:id="rId35"/>
        </xdr:cNvPr>
        <xdr:cNvSpPr>
          <a:spLocks noChangeAspect="1" noChangeArrowheads="1"/>
        </xdr:cNvSpPr>
      </xdr:nvSpPr>
      <xdr:spPr bwMode="auto">
        <a:xfrm>
          <a:off x="0" y="1463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1</xdr:col>
      <xdr:colOff>304800</xdr:colOff>
      <xdr:row>37</xdr:row>
      <xdr:rowOff>0</xdr:rowOff>
    </xdr:to>
    <xdr:sp macro="" textlink="">
      <xdr:nvSpPr>
        <xdr:cNvPr id="6180" name="AutoShape 36" descr="http://img.db.178.com/lol/images/content/rune/5374.gif">
          <a:hlinkClick xmlns:r="http://schemas.openxmlformats.org/officeDocument/2006/relationships" r:id="rId36"/>
        </xdr:cNvPr>
        <xdr:cNvSpPr>
          <a:spLocks noChangeAspect="1" noChangeArrowheads="1"/>
        </xdr:cNvSpPr>
      </xdr:nvSpPr>
      <xdr:spPr bwMode="auto">
        <a:xfrm>
          <a:off x="0" y="149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6181" name="AutoShape 37" descr="http://img.db.178.com/lol/images/content/rune/5375.gif">
          <a:hlinkClick xmlns:r="http://schemas.openxmlformats.org/officeDocument/2006/relationships" r:id="rId37"/>
        </xdr:cNvPr>
        <xdr:cNvSpPr>
          <a:spLocks noChangeAspect="1" noChangeArrowheads="1"/>
        </xdr:cNvSpPr>
      </xdr:nvSpPr>
      <xdr:spPr bwMode="auto">
        <a:xfrm>
          <a:off x="0" y="1534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6182" name="AutoShape 38" descr="http://img.db.178.com/lol/images/content/rune/5376.gif">
          <a:hlinkClick xmlns:r="http://schemas.openxmlformats.org/officeDocument/2006/relationships" r:id="rId38"/>
        </xdr:cNvPr>
        <xdr:cNvSpPr>
          <a:spLocks noChangeAspect="1" noChangeArrowheads="1"/>
        </xdr:cNvSpPr>
      </xdr:nvSpPr>
      <xdr:spPr bwMode="auto">
        <a:xfrm>
          <a:off x="0" y="159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6183" name="AutoShape 39" descr="http://img.db.178.com/lol/images/content/rune/5377.gif">
          <a:hlinkClick xmlns:r="http://schemas.openxmlformats.org/officeDocument/2006/relationships" r:id="rId39"/>
        </xdr:cNvPr>
        <xdr:cNvSpPr>
          <a:spLocks noChangeAspect="1" noChangeArrowheads="1"/>
        </xdr:cNvSpPr>
      </xdr:nvSpPr>
      <xdr:spPr bwMode="auto">
        <a:xfrm>
          <a:off x="0" y="167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6184" name="AutoShape 40" descr="http://img.db.178.com/lol/images/content/rune/5378.gif">
          <a:hlinkClick xmlns:r="http://schemas.openxmlformats.org/officeDocument/2006/relationships" r:id="rId40"/>
        </xdr:cNvPr>
        <xdr:cNvSpPr>
          <a:spLocks noChangeAspect="1" noChangeArrowheads="1"/>
        </xdr:cNvSpPr>
      </xdr:nvSpPr>
      <xdr:spPr bwMode="auto">
        <a:xfrm>
          <a:off x="0" y="181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6185" name="AutoShape 41" descr="http://img.db.178.com/lol/images/content/rune/5379.gif">
          <a:hlinkClick xmlns:r="http://schemas.openxmlformats.org/officeDocument/2006/relationships" r:id="rId41"/>
        </xdr:cNvPr>
        <xdr:cNvSpPr>
          <a:spLocks noChangeAspect="1" noChangeArrowheads="1"/>
        </xdr:cNvSpPr>
      </xdr:nvSpPr>
      <xdr:spPr bwMode="auto">
        <a:xfrm>
          <a:off x="0" y="187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6186" name="AutoShape 42" descr="http://img.db.178.com/lol/images/content/rune/5380.gif">
          <a:hlinkClick xmlns:r="http://schemas.openxmlformats.org/officeDocument/2006/relationships" r:id="rId42"/>
        </xdr:cNvPr>
        <xdr:cNvSpPr>
          <a:spLocks noChangeAspect="1" noChangeArrowheads="1"/>
        </xdr:cNvSpPr>
      </xdr:nvSpPr>
      <xdr:spPr bwMode="auto">
        <a:xfrm>
          <a:off x="0" y="195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1</xdr:col>
      <xdr:colOff>304800</xdr:colOff>
      <xdr:row>44</xdr:row>
      <xdr:rowOff>0</xdr:rowOff>
    </xdr:to>
    <xdr:sp macro="" textlink="">
      <xdr:nvSpPr>
        <xdr:cNvPr id="6187" name="AutoShape 43" descr="http://img.db.178.com/lol/images/content/rune/5406.gif">
          <a:hlinkClick xmlns:r="http://schemas.openxmlformats.org/officeDocument/2006/relationships" r:id="rId43"/>
        </xdr:cNvPr>
        <xdr:cNvSpPr>
          <a:spLocks noChangeAspect="1" noChangeArrowheads="1"/>
        </xdr:cNvSpPr>
      </xdr:nvSpPr>
      <xdr:spPr bwMode="auto">
        <a:xfrm>
          <a:off x="0" y="2058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304800</xdr:colOff>
      <xdr:row>45</xdr:row>
      <xdr:rowOff>0</xdr:rowOff>
    </xdr:to>
    <xdr:sp macro="" textlink="">
      <xdr:nvSpPr>
        <xdr:cNvPr id="6188" name="AutoShape 44" descr="http://img.db.178.com/lol/images/content/rune/5409.gif">
          <a:hlinkClick xmlns:r="http://schemas.openxmlformats.org/officeDocument/2006/relationships" r:id="rId44"/>
        </xdr:cNvPr>
        <xdr:cNvSpPr>
          <a:spLocks noChangeAspect="1" noChangeArrowheads="1"/>
        </xdr:cNvSpPr>
      </xdr:nvSpPr>
      <xdr:spPr bwMode="auto">
        <a:xfrm>
          <a:off x="0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304800</xdr:colOff>
      <xdr:row>46</xdr:row>
      <xdr:rowOff>0</xdr:rowOff>
    </xdr:to>
    <xdr:sp macro="" textlink="">
      <xdr:nvSpPr>
        <xdr:cNvPr id="6189" name="AutoShape 45" descr="http://img.db.178.com/lol/images/content/rune/5412.gif">
          <a:hlinkClick xmlns:r="http://schemas.openxmlformats.org/officeDocument/2006/relationships" r:id="rId45"/>
        </xdr:cNvPr>
        <xdr:cNvSpPr>
          <a:spLocks noChangeAspect="1" noChangeArrowheads="1"/>
        </xdr:cNvSpPr>
      </xdr:nvSpPr>
      <xdr:spPr bwMode="auto">
        <a:xfrm>
          <a:off x="0" y="212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6190" name="AutoShape 46" descr="http://img.db.178.com/lol/images/content/rune/5418.gif">
          <a:hlinkClick xmlns:r="http://schemas.openxmlformats.org/officeDocument/2006/relationships" r:id="rId46"/>
        </xdr:cNvPr>
        <xdr:cNvSpPr>
          <a:spLocks noChangeAspect="1" noChangeArrowheads="1"/>
        </xdr:cNvSpPr>
      </xdr:nvSpPr>
      <xdr:spPr bwMode="auto">
        <a:xfrm>
          <a:off x="0" y="216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145676</xdr:colOff>
      <xdr:row>18</xdr:row>
      <xdr:rowOff>79561</xdr:rowOff>
    </xdr:from>
    <xdr:to>
      <xdr:col>22</xdr:col>
      <xdr:colOff>616323</xdr:colOff>
      <xdr:row>34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306158</xdr:colOff>
      <xdr:row>17</xdr:row>
      <xdr:rowOff>63952</xdr:rowOff>
    </xdr:from>
    <xdr:to>
      <xdr:col>24</xdr:col>
      <xdr:colOff>340177</xdr:colOff>
      <xdr:row>36</xdr:row>
      <xdr:rowOff>68034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646338</xdr:colOff>
      <xdr:row>11</xdr:row>
      <xdr:rowOff>172810</xdr:rowOff>
    </xdr:from>
    <xdr:to>
      <xdr:col>20</xdr:col>
      <xdr:colOff>455838</xdr:colOff>
      <xdr:row>25</xdr:row>
      <xdr:rowOff>58510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zoomScale="85" zoomScaleNormal="85" workbookViewId="0">
      <selection activeCell="I24" sqref="I24"/>
    </sheetView>
  </sheetViews>
  <sheetFormatPr defaultRowHeight="13.5"/>
  <cols>
    <col min="1" max="1" width="13" style="36" bestFit="1" customWidth="1"/>
    <col min="2" max="2" width="15.125" style="36" bestFit="1" customWidth="1"/>
    <col min="3" max="10" width="15.75" style="36" customWidth="1"/>
    <col min="11" max="14" width="9" style="36"/>
    <col min="15" max="15" width="11.875" style="36" customWidth="1"/>
    <col min="16" max="16" width="14.875" style="36" customWidth="1"/>
    <col min="17" max="17" width="15" style="36" bestFit="1" customWidth="1"/>
    <col min="18" max="16384" width="9" style="36"/>
  </cols>
  <sheetData>
    <row r="1" spans="1:21">
      <c r="A1" s="36" t="s">
        <v>306</v>
      </c>
      <c r="B1" s="59">
        <v>162</v>
      </c>
      <c r="D1" s="36" t="s">
        <v>307</v>
      </c>
      <c r="E1" s="60">
        <v>0.5</v>
      </c>
      <c r="G1" s="36" t="s">
        <v>308</v>
      </c>
      <c r="H1" s="60">
        <v>1.5</v>
      </c>
    </row>
    <row r="2" spans="1:21" ht="16.5">
      <c r="A2" s="36" t="s">
        <v>309</v>
      </c>
      <c r="B2" s="59">
        <v>57</v>
      </c>
      <c r="D2" s="36" t="s">
        <v>310</v>
      </c>
      <c r="E2" s="60">
        <v>0.1</v>
      </c>
      <c r="I2" s="61"/>
      <c r="J2" s="61" t="s">
        <v>311</v>
      </c>
    </row>
    <row r="3" spans="1:21" ht="16.5">
      <c r="A3" s="36" t="s">
        <v>312</v>
      </c>
      <c r="B3" s="62"/>
      <c r="H3" s="36" t="s">
        <v>313</v>
      </c>
      <c r="I3" s="61" t="s">
        <v>314</v>
      </c>
      <c r="J3" s="61" t="s">
        <v>315</v>
      </c>
    </row>
    <row r="4" spans="1:21">
      <c r="A4" s="91" t="s">
        <v>316</v>
      </c>
      <c r="B4" s="91"/>
      <c r="C4" s="91"/>
      <c r="D4" s="36" t="s">
        <v>317</v>
      </c>
      <c r="E4" s="36" t="s">
        <v>318</v>
      </c>
      <c r="F4" s="36" t="s">
        <v>319</v>
      </c>
      <c r="G4" s="36" t="s">
        <v>320</v>
      </c>
      <c r="H4" s="36" t="s">
        <v>321</v>
      </c>
      <c r="I4" s="36" t="s">
        <v>322</v>
      </c>
      <c r="J4" s="36" t="s">
        <v>323</v>
      </c>
      <c r="L4" s="36" t="s">
        <v>324</v>
      </c>
      <c r="M4" s="36" t="s">
        <v>325</v>
      </c>
      <c r="O4" s="36" t="s">
        <v>326</v>
      </c>
      <c r="P4" s="36" t="s">
        <v>327</v>
      </c>
      <c r="Q4" s="36" t="s">
        <v>328</v>
      </c>
      <c r="R4" s="36" t="s">
        <v>329</v>
      </c>
      <c r="S4" s="36" t="s">
        <v>330</v>
      </c>
    </row>
    <row r="5" spans="1:21">
      <c r="A5" s="36" t="s">
        <v>331</v>
      </c>
      <c r="B5" s="36" t="s">
        <v>332</v>
      </c>
      <c r="C5" s="36" t="s">
        <v>333</v>
      </c>
      <c r="D5" s="36" t="s">
        <v>334</v>
      </c>
      <c r="E5" s="36" t="s">
        <v>335</v>
      </c>
      <c r="F5" s="36" t="s">
        <v>336</v>
      </c>
      <c r="G5" s="36" t="s">
        <v>337</v>
      </c>
      <c r="H5" s="36" t="s">
        <v>338</v>
      </c>
      <c r="I5" s="36" t="s">
        <v>339</v>
      </c>
      <c r="J5" s="36" t="s">
        <v>340</v>
      </c>
      <c r="O5" s="36" t="s">
        <v>341</v>
      </c>
      <c r="P5" s="36" t="s">
        <v>342</v>
      </c>
      <c r="Q5" s="36" t="s">
        <v>343</v>
      </c>
      <c r="R5" s="36" t="s">
        <v>344</v>
      </c>
      <c r="U5" s="36" t="s">
        <v>345</v>
      </c>
    </row>
    <row r="6" spans="1:21" ht="16.5">
      <c r="A6" s="36" t="s">
        <v>346</v>
      </c>
      <c r="B6" s="36" t="s">
        <v>347</v>
      </c>
      <c r="C6" s="63">
        <v>1.5</v>
      </c>
      <c r="D6" s="36">
        <v>4000</v>
      </c>
      <c r="E6" s="36">
        <v>0.25</v>
      </c>
      <c r="F6" s="36">
        <v>0.53</v>
      </c>
      <c r="G6" s="36">
        <v>0</v>
      </c>
      <c r="H6" s="36">
        <f>M6</f>
        <v>161.70000000000002</v>
      </c>
      <c r="I6" s="64">
        <f>L6/$E$1*100%</f>
        <v>3234</v>
      </c>
      <c r="J6" s="60">
        <v>1</v>
      </c>
      <c r="L6" s="59">
        <v>1617</v>
      </c>
      <c r="M6" s="64">
        <f>L6*$E$2</f>
        <v>161.70000000000002</v>
      </c>
      <c r="O6" s="64">
        <f>D6*J6*E6</f>
        <v>1000</v>
      </c>
      <c r="P6" s="36">
        <f>H6*F6*J6</f>
        <v>85.701000000000008</v>
      </c>
      <c r="Q6" s="65">
        <f>G6*F6*I6*J6</f>
        <v>0</v>
      </c>
      <c r="R6" s="36">
        <f>F6*I6</f>
        <v>1714.02</v>
      </c>
      <c r="S6" s="64">
        <f>P6+Q6+R6</f>
        <v>1799.721</v>
      </c>
      <c r="U6" s="36">
        <f>I6*F6</f>
        <v>1714.02</v>
      </c>
    </row>
    <row r="7" spans="1:21" ht="16.5">
      <c r="A7" s="36" t="s">
        <v>348</v>
      </c>
      <c r="B7" s="36" t="s">
        <v>349</v>
      </c>
      <c r="C7" s="63">
        <v>0.65</v>
      </c>
      <c r="D7" s="36">
        <v>1000</v>
      </c>
      <c r="E7" s="36">
        <v>1</v>
      </c>
      <c r="F7" s="36">
        <v>1.51</v>
      </c>
      <c r="G7" s="29">
        <v>0.05</v>
      </c>
      <c r="H7" s="36">
        <f t="shared" ref="H7:H10" si="0">M7</f>
        <v>56.800000000000004</v>
      </c>
      <c r="I7" s="64">
        <f t="shared" ref="I7:I10" si="1">L7/$E$1*100%</f>
        <v>1136</v>
      </c>
      <c r="J7" s="60">
        <v>0.5</v>
      </c>
      <c r="L7" s="59">
        <v>568</v>
      </c>
      <c r="M7" s="64">
        <f t="shared" ref="M7:M10" si="2">L7*$E$2</f>
        <v>56.800000000000004</v>
      </c>
      <c r="O7" s="64">
        <f t="shared" ref="O7:O10" si="3">D7*J7*E7</f>
        <v>500</v>
      </c>
      <c r="P7" s="36">
        <f t="shared" ref="P7:P10" si="4">H7*F7*J7</f>
        <v>42.884</v>
      </c>
      <c r="Q7" s="65">
        <f t="shared" ref="Q7:Q10" si="5">G7*F7*I7*J7</f>
        <v>42.884000000000007</v>
      </c>
      <c r="R7" s="36">
        <f t="shared" ref="R7:R10" si="6">F7*I7</f>
        <v>1715.36</v>
      </c>
      <c r="S7" s="64">
        <f t="shared" ref="S7:S8" si="7">P7+Q7+R7</f>
        <v>1801.1279999999999</v>
      </c>
      <c r="U7" s="36">
        <f t="shared" ref="U7:U10" si="8">I7*F7</f>
        <v>1715.36</v>
      </c>
    </row>
    <row r="8" spans="1:21" ht="16.5">
      <c r="A8" s="36" t="s">
        <v>350</v>
      </c>
      <c r="B8" s="36" t="s">
        <v>349</v>
      </c>
      <c r="C8" s="63">
        <v>1.5</v>
      </c>
      <c r="D8" s="36">
        <v>1000</v>
      </c>
      <c r="E8" s="36">
        <v>1</v>
      </c>
      <c r="F8" s="36">
        <v>0.5</v>
      </c>
      <c r="G8" s="29">
        <v>0.5</v>
      </c>
      <c r="H8" s="36">
        <f t="shared" si="0"/>
        <v>171.4</v>
      </c>
      <c r="I8" s="64">
        <f t="shared" si="1"/>
        <v>3428</v>
      </c>
      <c r="J8" s="60">
        <v>0.5</v>
      </c>
      <c r="L8" s="59">
        <v>1714</v>
      </c>
      <c r="M8" s="64">
        <f t="shared" si="2"/>
        <v>171.4</v>
      </c>
      <c r="O8" s="64">
        <f t="shared" si="3"/>
        <v>500</v>
      </c>
      <c r="P8" s="36">
        <f t="shared" si="4"/>
        <v>42.85</v>
      </c>
      <c r="Q8" s="65">
        <f t="shared" si="5"/>
        <v>428.5</v>
      </c>
      <c r="R8" s="36">
        <f t="shared" si="6"/>
        <v>1714</v>
      </c>
      <c r="S8" s="64">
        <f t="shared" si="7"/>
        <v>2185.35</v>
      </c>
      <c r="U8" s="36">
        <f t="shared" si="8"/>
        <v>1714</v>
      </c>
    </row>
    <row r="9" spans="1:21" ht="16.5">
      <c r="A9" s="36" t="s">
        <v>351</v>
      </c>
      <c r="B9" s="36" t="s">
        <v>352</v>
      </c>
      <c r="C9" s="63">
        <v>0.7</v>
      </c>
      <c r="D9" s="36">
        <v>4000</v>
      </c>
      <c r="E9" s="36">
        <v>0.25</v>
      </c>
      <c r="F9" s="36">
        <v>1.1299999999999999</v>
      </c>
      <c r="G9" s="29">
        <v>0.05</v>
      </c>
      <c r="H9" s="36">
        <f t="shared" si="0"/>
        <v>75.8</v>
      </c>
      <c r="I9" s="64">
        <f t="shared" si="1"/>
        <v>1516</v>
      </c>
      <c r="J9" s="60">
        <v>0.5</v>
      </c>
      <c r="L9" s="59">
        <v>758</v>
      </c>
      <c r="M9" s="64">
        <f t="shared" si="2"/>
        <v>75.8</v>
      </c>
      <c r="O9" s="64">
        <f t="shared" si="3"/>
        <v>500</v>
      </c>
      <c r="P9" s="36">
        <f t="shared" si="4"/>
        <v>42.826999999999991</v>
      </c>
      <c r="Q9" s="65">
        <f t="shared" si="5"/>
        <v>42.826999999999998</v>
      </c>
      <c r="R9" s="36">
        <f t="shared" si="6"/>
        <v>1713.08</v>
      </c>
      <c r="S9" s="64">
        <f>P9+Q9-R9</f>
        <v>-1627.4259999999999</v>
      </c>
      <c r="U9" s="36">
        <f t="shared" si="8"/>
        <v>1713.08</v>
      </c>
    </row>
    <row r="10" spans="1:21" ht="16.5">
      <c r="A10" s="36" t="s">
        <v>353</v>
      </c>
      <c r="B10" s="36" t="s">
        <v>352</v>
      </c>
      <c r="C10" s="63">
        <v>0.33</v>
      </c>
      <c r="D10" s="36">
        <v>4000</v>
      </c>
      <c r="E10" s="36">
        <v>0.25</v>
      </c>
      <c r="F10" s="36">
        <v>1.1299999999999999</v>
      </c>
      <c r="G10" s="29">
        <v>0.5</v>
      </c>
      <c r="H10" s="36">
        <f t="shared" si="0"/>
        <v>75.8</v>
      </c>
      <c r="I10" s="64">
        <f t="shared" si="1"/>
        <v>1516</v>
      </c>
      <c r="J10" s="60">
        <v>0.5</v>
      </c>
      <c r="L10" s="59">
        <v>758</v>
      </c>
      <c r="M10" s="64">
        <f t="shared" si="2"/>
        <v>75.8</v>
      </c>
      <c r="O10" s="64">
        <f t="shared" si="3"/>
        <v>500</v>
      </c>
      <c r="P10" s="36">
        <f t="shared" si="4"/>
        <v>42.826999999999991</v>
      </c>
      <c r="Q10" s="65">
        <f t="shared" si="5"/>
        <v>428.27</v>
      </c>
      <c r="R10" s="36">
        <f t="shared" si="6"/>
        <v>1713.08</v>
      </c>
      <c r="S10" s="64">
        <f>P10+Q10-R10</f>
        <v>-1241.9829999999999</v>
      </c>
      <c r="U10" s="36">
        <f t="shared" si="8"/>
        <v>1713.08</v>
      </c>
    </row>
    <row r="25" ht="16.5" customHeight="1"/>
  </sheetData>
  <mergeCells count="1">
    <mergeCell ref="A4:C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opLeftCell="B1" workbookViewId="0">
      <selection activeCell="F12" sqref="F12"/>
    </sheetView>
  </sheetViews>
  <sheetFormatPr defaultColWidth="9" defaultRowHeight="13.5"/>
  <cols>
    <col min="1" max="1" width="22" style="10" customWidth="1"/>
    <col min="2" max="2" width="13" style="10" bestFit="1" customWidth="1"/>
    <col min="3" max="3" width="27" style="10" customWidth="1"/>
    <col min="4" max="4" width="16.75" style="10" customWidth="1"/>
    <col min="5" max="5" width="17.375" style="10" customWidth="1"/>
    <col min="6" max="10" width="17" style="10" customWidth="1"/>
    <col min="11" max="16384" width="9" style="10"/>
  </cols>
  <sheetData>
    <row r="1" spans="1:12" ht="22.5" customHeight="1">
      <c r="A1" s="11" t="s">
        <v>15</v>
      </c>
      <c r="B1" s="11" t="s">
        <v>14</v>
      </c>
      <c r="C1" s="11" t="s">
        <v>16</v>
      </c>
      <c r="D1" s="11" t="s">
        <v>24</v>
      </c>
      <c r="E1" s="11" t="s">
        <v>25</v>
      </c>
      <c r="F1" s="11" t="s">
        <v>85</v>
      </c>
      <c r="G1" s="11" t="s">
        <v>58</v>
      </c>
      <c r="H1" s="11" t="s">
        <v>61</v>
      </c>
      <c r="I1" s="11" t="s">
        <v>56</v>
      </c>
      <c r="J1" s="11"/>
    </row>
    <row r="2" spans="1:12" ht="40.5">
      <c r="A2" s="9" t="s">
        <v>7</v>
      </c>
      <c r="B2" s="9" t="s">
        <v>0</v>
      </c>
      <c r="C2" s="9" t="s">
        <v>17</v>
      </c>
      <c r="D2" s="9" t="s">
        <v>26</v>
      </c>
      <c r="E2" s="9" t="s">
        <v>66</v>
      </c>
      <c r="F2" s="10">
        <v>0.05</v>
      </c>
      <c r="G2" s="10">
        <v>200</v>
      </c>
      <c r="I2" s="10" t="s">
        <v>57</v>
      </c>
      <c r="K2" s="10" t="s">
        <v>47</v>
      </c>
    </row>
    <row r="3" spans="1:12">
      <c r="A3" s="9" t="s">
        <v>8</v>
      </c>
      <c r="B3" s="9" t="s">
        <v>1</v>
      </c>
      <c r="C3" s="9" t="s">
        <v>23</v>
      </c>
      <c r="D3" s="9" t="s">
        <v>29</v>
      </c>
      <c r="E3" s="9" t="s">
        <v>27</v>
      </c>
      <c r="F3" s="10">
        <v>1</v>
      </c>
      <c r="G3" s="10">
        <v>10</v>
      </c>
      <c r="I3" s="10" t="s">
        <v>83</v>
      </c>
    </row>
    <row r="4" spans="1:12" ht="40.5">
      <c r="A4" s="9" t="s">
        <v>10</v>
      </c>
      <c r="B4" s="9" t="s">
        <v>3</v>
      </c>
      <c r="C4" s="9" t="s">
        <v>20</v>
      </c>
      <c r="D4" s="9" t="s">
        <v>28</v>
      </c>
      <c r="E4" s="9" t="s">
        <v>52</v>
      </c>
      <c r="H4" s="21" t="s">
        <v>82</v>
      </c>
      <c r="I4" s="10" t="s">
        <v>84</v>
      </c>
    </row>
    <row r="5" spans="1:12">
      <c r="A5" s="9" t="s">
        <v>12</v>
      </c>
      <c r="B5" s="9" t="s">
        <v>5</v>
      </c>
      <c r="C5" s="92" t="s">
        <v>21</v>
      </c>
      <c r="D5" s="9" t="s">
        <v>81</v>
      </c>
      <c r="E5" s="9" t="s">
        <v>86</v>
      </c>
      <c r="H5" s="21">
        <v>0.3</v>
      </c>
    </row>
    <row r="6" spans="1:12">
      <c r="A6" s="9" t="s">
        <v>13</v>
      </c>
      <c r="B6" s="9" t="s">
        <v>6</v>
      </c>
      <c r="C6" s="92"/>
      <c r="D6" s="9"/>
      <c r="E6" s="9"/>
      <c r="H6" s="21">
        <v>0.1</v>
      </c>
    </row>
    <row r="7" spans="1:12">
      <c r="A7" s="9" t="s">
        <v>41</v>
      </c>
      <c r="B7" s="9" t="s">
        <v>39</v>
      </c>
      <c r="C7" s="92"/>
      <c r="D7" s="9" t="s">
        <v>54</v>
      </c>
      <c r="E7" s="9" t="s">
        <v>53</v>
      </c>
      <c r="H7" s="21">
        <v>0.3</v>
      </c>
    </row>
    <row r="8" spans="1:12">
      <c r="A8" s="9" t="s">
        <v>42</v>
      </c>
      <c r="B8" s="9" t="s">
        <v>40</v>
      </c>
      <c r="C8" s="92"/>
      <c r="D8" s="9"/>
      <c r="E8" s="9"/>
      <c r="H8" s="21">
        <v>0.1</v>
      </c>
    </row>
    <row r="9" spans="1:12">
      <c r="B9" s="9" t="s">
        <v>55</v>
      </c>
      <c r="C9" s="9" t="s">
        <v>45</v>
      </c>
      <c r="D9" s="9" t="s">
        <v>65</v>
      </c>
      <c r="E9" s="9" t="s">
        <v>64</v>
      </c>
      <c r="H9" s="21">
        <v>0.2</v>
      </c>
    </row>
    <row r="10" spans="1:12" ht="40.5">
      <c r="B10" s="9" t="s">
        <v>43</v>
      </c>
      <c r="C10" s="9" t="s">
        <v>87</v>
      </c>
      <c r="D10" s="9"/>
      <c r="E10" s="9"/>
      <c r="H10" s="10" t="s">
        <v>88</v>
      </c>
    </row>
    <row r="11" spans="1:12" ht="27">
      <c r="B11" s="9" t="s">
        <v>44</v>
      </c>
      <c r="C11" s="9" t="s">
        <v>46</v>
      </c>
      <c r="D11" s="9"/>
      <c r="E11" s="9"/>
      <c r="H11" s="10" t="s">
        <v>89</v>
      </c>
    </row>
    <row r="12" spans="1:12" ht="40.5" customHeight="1">
      <c r="A12" s="22" t="s">
        <v>9</v>
      </c>
      <c r="B12" s="22" t="s">
        <v>2</v>
      </c>
      <c r="C12" s="22" t="s">
        <v>19</v>
      </c>
      <c r="D12" s="22"/>
      <c r="E12" s="22"/>
      <c r="F12" s="23"/>
      <c r="G12" s="23"/>
      <c r="K12" s="10" t="s">
        <v>48</v>
      </c>
      <c r="L12" s="10" t="s">
        <v>49</v>
      </c>
    </row>
    <row r="13" spans="1:12" ht="51" customHeight="1">
      <c r="A13" s="22" t="s">
        <v>11</v>
      </c>
      <c r="B13" s="22" t="s">
        <v>4</v>
      </c>
      <c r="C13" s="22" t="s">
        <v>22</v>
      </c>
      <c r="D13" s="22"/>
      <c r="E13" s="22"/>
      <c r="F13" s="23"/>
      <c r="G13" s="23"/>
      <c r="K13" s="10" t="s">
        <v>50</v>
      </c>
      <c r="L13" s="10" t="s">
        <v>51</v>
      </c>
    </row>
    <row r="14" spans="1:12">
      <c r="B14" s="9"/>
      <c r="C14" s="9"/>
      <c r="D14" s="9"/>
      <c r="E14" s="9"/>
    </row>
    <row r="15" spans="1:12">
      <c r="B15" s="9"/>
      <c r="C15" s="9"/>
      <c r="D15" s="9"/>
      <c r="E15" s="9"/>
    </row>
    <row r="16" spans="1:12">
      <c r="B16" s="9" t="s">
        <v>101</v>
      </c>
      <c r="C16" s="9" t="s">
        <v>103</v>
      </c>
      <c r="D16" s="9"/>
      <c r="E16" s="9"/>
    </row>
    <row r="17" spans="1:10">
      <c r="B17" s="9" t="s">
        <v>102</v>
      </c>
      <c r="C17" s="9" t="s">
        <v>104</v>
      </c>
      <c r="D17" s="9"/>
      <c r="E17" s="9"/>
    </row>
    <row r="18" spans="1:10" ht="162">
      <c r="A18" s="27"/>
      <c r="B18" s="28" t="s">
        <v>98</v>
      </c>
      <c r="C18" s="27" t="s">
        <v>100</v>
      </c>
      <c r="D18" s="9" t="s">
        <v>59</v>
      </c>
      <c r="E18" s="13" t="s">
        <v>60</v>
      </c>
      <c r="I18" s="10" t="s">
        <v>90</v>
      </c>
      <c r="J18" s="10" t="s">
        <v>91</v>
      </c>
    </row>
    <row r="19" spans="1:10" s="9" customFormat="1" ht="135">
      <c r="B19" s="9" t="s">
        <v>62</v>
      </c>
      <c r="C19" s="9" t="s">
        <v>63</v>
      </c>
      <c r="J19" s="9" t="s">
        <v>92</v>
      </c>
    </row>
    <row r="21" spans="1:10" ht="27" customHeight="1">
      <c r="B21" s="10" t="s">
        <v>93</v>
      </c>
      <c r="D21" s="93" t="s">
        <v>94</v>
      </c>
      <c r="E21" s="93"/>
    </row>
    <row r="22" spans="1:10">
      <c r="D22" s="93"/>
      <c r="E22" s="93"/>
    </row>
    <row r="26" spans="1:10" ht="40.5">
      <c r="C26" s="10" t="s">
        <v>99</v>
      </c>
      <c r="D26" s="93" t="s">
        <v>95</v>
      </c>
      <c r="E26" s="93"/>
    </row>
    <row r="27" spans="1:10">
      <c r="D27" s="93"/>
      <c r="E27" s="93"/>
    </row>
    <row r="28" spans="1:10">
      <c r="D28" s="93"/>
      <c r="E28" s="93"/>
    </row>
    <row r="29" spans="1:10">
      <c r="D29" s="93"/>
      <c r="E29" s="93"/>
    </row>
    <row r="30" spans="1:10">
      <c r="D30" s="93"/>
      <c r="E30" s="93"/>
    </row>
    <row r="31" spans="1:10">
      <c r="D31" s="93" t="s">
        <v>96</v>
      </c>
      <c r="E31" s="93"/>
    </row>
    <row r="32" spans="1:10">
      <c r="D32" s="93"/>
      <c r="E32" s="93"/>
    </row>
    <row r="33" spans="4:5">
      <c r="D33" s="93"/>
      <c r="E33" s="93"/>
    </row>
    <row r="34" spans="4:5" ht="40.5">
      <c r="D34" s="10" t="s">
        <v>97</v>
      </c>
    </row>
  </sheetData>
  <mergeCells count="4">
    <mergeCell ref="C5:C8"/>
    <mergeCell ref="D21:E22"/>
    <mergeCell ref="D26:E30"/>
    <mergeCell ref="D31:E3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Views>
    <sheetView topLeftCell="B37" zoomScaleNormal="100" workbookViewId="0">
      <selection activeCell="G59" sqref="G59"/>
    </sheetView>
  </sheetViews>
  <sheetFormatPr defaultRowHeight="13.5"/>
  <cols>
    <col min="1" max="1" width="21.375" hidden="1" customWidth="1"/>
    <col min="2" max="2" width="19.25" bestFit="1" customWidth="1"/>
    <col min="3" max="3" width="9.625" bestFit="1" customWidth="1"/>
    <col min="4" max="4" width="17.625" customWidth="1"/>
    <col min="5" max="5" width="16.25" customWidth="1"/>
    <col min="7" max="7" width="14.375" customWidth="1"/>
    <col min="8" max="8" width="15" bestFit="1" customWidth="1"/>
    <col min="9" max="9" width="17.25" bestFit="1" customWidth="1"/>
  </cols>
  <sheetData>
    <row r="1" spans="1:4" ht="14.25" thickBot="1">
      <c r="A1" t="s">
        <v>105</v>
      </c>
      <c r="B1" t="s">
        <v>106</v>
      </c>
      <c r="C1" t="s">
        <v>107</v>
      </c>
      <c r="D1" t="s">
        <v>108</v>
      </c>
    </row>
    <row r="2" spans="1:4" ht="14.25" thickBot="1">
      <c r="A2" t="s">
        <v>109</v>
      </c>
      <c r="B2" s="24" t="s">
        <v>110</v>
      </c>
      <c r="C2" s="24" t="s">
        <v>111</v>
      </c>
      <c r="D2" s="25" t="s">
        <v>112</v>
      </c>
    </row>
    <row r="3" spans="1:4" ht="24.75" thickBot="1">
      <c r="A3" t="s">
        <v>113</v>
      </c>
      <c r="B3" s="24" t="s">
        <v>114</v>
      </c>
      <c r="C3" s="24">
        <v>3</v>
      </c>
      <c r="D3" s="25" t="s">
        <v>115</v>
      </c>
    </row>
    <row r="4" spans="1:4" ht="14.25" thickBot="1">
      <c r="A4" t="s">
        <v>116</v>
      </c>
      <c r="B4" s="24" t="s">
        <v>117</v>
      </c>
      <c r="C4" s="24" t="s">
        <v>111</v>
      </c>
      <c r="D4" s="25" t="s">
        <v>112</v>
      </c>
    </row>
    <row r="5" spans="1:4" ht="24.75" thickBot="1">
      <c r="A5" t="s">
        <v>118</v>
      </c>
      <c r="B5" s="24" t="s">
        <v>119</v>
      </c>
      <c r="C5" s="24">
        <v>3</v>
      </c>
      <c r="D5" s="25" t="s">
        <v>120</v>
      </c>
    </row>
    <row r="6" spans="1:4" ht="14.25" thickBot="1">
      <c r="A6" t="s">
        <v>121</v>
      </c>
      <c r="B6" s="24" t="s">
        <v>122</v>
      </c>
      <c r="C6" s="24" t="s">
        <v>111</v>
      </c>
      <c r="D6" s="25" t="s">
        <v>112</v>
      </c>
    </row>
    <row r="7" spans="1:4" ht="24.75" thickBot="1">
      <c r="A7" t="s">
        <v>123</v>
      </c>
      <c r="B7" s="24" t="s">
        <v>124</v>
      </c>
      <c r="C7" s="24">
        <v>3</v>
      </c>
      <c r="D7" s="25" t="s">
        <v>120</v>
      </c>
    </row>
    <row r="8" spans="1:4" ht="14.25" thickBot="1">
      <c r="A8" t="s">
        <v>125</v>
      </c>
      <c r="B8" s="24" t="s">
        <v>126</v>
      </c>
      <c r="C8" s="24" t="s">
        <v>111</v>
      </c>
      <c r="D8" s="25" t="s">
        <v>112</v>
      </c>
    </row>
    <row r="9" spans="1:4" ht="24.75" thickBot="1">
      <c r="A9" t="s">
        <v>127</v>
      </c>
      <c r="B9" s="24" t="s">
        <v>128</v>
      </c>
      <c r="C9" s="24">
        <v>3</v>
      </c>
      <c r="D9" s="25" t="s">
        <v>120</v>
      </c>
    </row>
    <row r="10" spans="1:4" ht="14.25" thickBot="1">
      <c r="A10" t="s">
        <v>129</v>
      </c>
      <c r="B10" s="24" t="s">
        <v>130</v>
      </c>
      <c r="C10" s="24">
        <v>3</v>
      </c>
      <c r="D10" s="25" t="s">
        <v>112</v>
      </c>
    </row>
    <row r="11" spans="1:4" ht="24.75" thickBot="1">
      <c r="A11" t="s">
        <v>131</v>
      </c>
      <c r="B11" s="24" t="s">
        <v>132</v>
      </c>
      <c r="C11" s="24">
        <v>3</v>
      </c>
      <c r="D11" s="25" t="s">
        <v>120</v>
      </c>
    </row>
    <row r="12" spans="1:4" ht="14.25" thickBot="1">
      <c r="A12" t="s">
        <v>133</v>
      </c>
      <c r="B12" s="24" t="s">
        <v>134</v>
      </c>
      <c r="C12" s="24">
        <v>3</v>
      </c>
      <c r="D12" s="25" t="s">
        <v>135</v>
      </c>
    </row>
    <row r="13" spans="1:4" ht="24.75" thickBot="1">
      <c r="A13" t="s">
        <v>136</v>
      </c>
      <c r="B13" s="24" t="s">
        <v>137</v>
      </c>
      <c r="C13" s="24">
        <v>3</v>
      </c>
      <c r="D13" s="25" t="s">
        <v>135</v>
      </c>
    </row>
    <row r="14" spans="1:4" ht="14.25" thickBot="1">
      <c r="A14" t="s">
        <v>138</v>
      </c>
      <c r="B14" s="24" t="s">
        <v>139</v>
      </c>
      <c r="C14" s="24" t="s">
        <v>111</v>
      </c>
      <c r="D14" s="25" t="s">
        <v>112</v>
      </c>
    </row>
    <row r="15" spans="1:4" ht="24.75" thickBot="1">
      <c r="A15" t="s">
        <v>140</v>
      </c>
      <c r="B15" s="24" t="s">
        <v>141</v>
      </c>
      <c r="C15" s="24">
        <v>3</v>
      </c>
      <c r="D15" s="25" t="s">
        <v>112</v>
      </c>
    </row>
    <row r="16" spans="1:4" ht="14.25" thickBot="1">
      <c r="A16" t="s">
        <v>142</v>
      </c>
      <c r="B16" s="24" t="s">
        <v>143</v>
      </c>
      <c r="C16" s="24" t="s">
        <v>111</v>
      </c>
      <c r="D16" s="25" t="s">
        <v>112</v>
      </c>
    </row>
    <row r="17" spans="1:4" ht="24.75" thickBot="1">
      <c r="A17" t="s">
        <v>144</v>
      </c>
      <c r="B17" s="24" t="s">
        <v>145</v>
      </c>
      <c r="C17" s="24">
        <v>3</v>
      </c>
      <c r="D17" s="25" t="s">
        <v>112</v>
      </c>
    </row>
    <row r="18" spans="1:4" ht="14.25" thickBot="1">
      <c r="A18" t="s">
        <v>146</v>
      </c>
      <c r="B18" s="24" t="s">
        <v>147</v>
      </c>
      <c r="C18" s="24" t="s">
        <v>111</v>
      </c>
      <c r="D18" s="25" t="s">
        <v>135</v>
      </c>
    </row>
    <row r="19" spans="1:4" ht="24.75" thickBot="1">
      <c r="A19" t="s">
        <v>148</v>
      </c>
      <c r="B19" s="24" t="s">
        <v>149</v>
      </c>
      <c r="C19" s="24">
        <v>3</v>
      </c>
      <c r="D19" s="25" t="s">
        <v>135</v>
      </c>
    </row>
    <row r="20" spans="1:4" ht="14.25" thickBot="1">
      <c r="A20" t="s">
        <v>150</v>
      </c>
      <c r="B20" s="24" t="s">
        <v>151</v>
      </c>
      <c r="C20" s="24" t="s">
        <v>111</v>
      </c>
      <c r="D20" s="25" t="s">
        <v>120</v>
      </c>
    </row>
    <row r="21" spans="1:4" ht="24.75" thickBot="1">
      <c r="A21" t="s">
        <v>152</v>
      </c>
      <c r="B21" s="24" t="s">
        <v>153</v>
      </c>
      <c r="C21" s="24">
        <v>3</v>
      </c>
      <c r="D21" s="25" t="s">
        <v>120</v>
      </c>
    </row>
    <row r="22" spans="1:4" ht="14.25" thickBot="1">
      <c r="A22" t="s">
        <v>154</v>
      </c>
      <c r="B22" s="24" t="s">
        <v>155</v>
      </c>
      <c r="C22" s="24" t="s">
        <v>111</v>
      </c>
      <c r="D22" s="25" t="s">
        <v>135</v>
      </c>
    </row>
    <row r="23" spans="1:4" ht="24.75" thickBot="1">
      <c r="A23" t="s">
        <v>156</v>
      </c>
      <c r="B23" s="24" t="s">
        <v>157</v>
      </c>
      <c r="C23" s="24">
        <v>3</v>
      </c>
      <c r="D23" s="25" t="s">
        <v>112</v>
      </c>
    </row>
    <row r="24" spans="1:4" ht="14.25" thickBot="1">
      <c r="A24" t="s">
        <v>158</v>
      </c>
      <c r="B24" s="24" t="s">
        <v>159</v>
      </c>
      <c r="C24" s="24" t="s">
        <v>111</v>
      </c>
      <c r="D24" s="25" t="s">
        <v>112</v>
      </c>
    </row>
    <row r="25" spans="1:4" ht="24.75" thickBot="1">
      <c r="A25" t="s">
        <v>160</v>
      </c>
      <c r="B25" s="24" t="s">
        <v>161</v>
      </c>
      <c r="C25" s="24">
        <v>3</v>
      </c>
      <c r="D25" s="25" t="s">
        <v>112</v>
      </c>
    </row>
    <row r="26" spans="1:4" ht="14.25" thickBot="1">
      <c r="A26" t="s">
        <v>162</v>
      </c>
      <c r="B26" s="24" t="s">
        <v>163</v>
      </c>
      <c r="C26" s="24" t="s">
        <v>111</v>
      </c>
      <c r="D26" s="25" t="s">
        <v>112</v>
      </c>
    </row>
    <row r="27" spans="1:4" ht="24.75" thickBot="1">
      <c r="A27" t="s">
        <v>164</v>
      </c>
      <c r="B27" s="24" t="s">
        <v>165</v>
      </c>
      <c r="C27" s="24">
        <v>3</v>
      </c>
      <c r="D27" s="25" t="s">
        <v>115</v>
      </c>
    </row>
    <row r="28" spans="1:4" ht="14.25" thickBot="1">
      <c r="A28" t="s">
        <v>166</v>
      </c>
      <c r="B28" s="24" t="s">
        <v>167</v>
      </c>
      <c r="C28" s="24" t="s">
        <v>111</v>
      </c>
      <c r="D28" s="25" t="s">
        <v>112</v>
      </c>
    </row>
    <row r="29" spans="1:4" ht="24.75" thickBot="1">
      <c r="A29" t="s">
        <v>168</v>
      </c>
      <c r="B29" s="24" t="s">
        <v>169</v>
      </c>
      <c r="C29" s="24">
        <v>3</v>
      </c>
      <c r="D29" s="25" t="s">
        <v>112</v>
      </c>
    </row>
    <row r="30" spans="1:4" ht="14.25" thickBot="1">
      <c r="A30" t="s">
        <v>170</v>
      </c>
      <c r="B30" s="24" t="s">
        <v>171</v>
      </c>
      <c r="C30" s="24">
        <v>3</v>
      </c>
      <c r="D30" s="25" t="s">
        <v>112</v>
      </c>
    </row>
    <row r="31" spans="1:4" ht="24.75" thickBot="1">
      <c r="A31" t="s">
        <v>172</v>
      </c>
      <c r="B31" s="24" t="s">
        <v>173</v>
      </c>
      <c r="C31" s="24">
        <v>3</v>
      </c>
      <c r="D31" s="25" t="s">
        <v>120</v>
      </c>
    </row>
    <row r="32" spans="1:4" ht="14.25" thickBot="1">
      <c r="A32" t="s">
        <v>174</v>
      </c>
      <c r="B32" s="24" t="s">
        <v>175</v>
      </c>
      <c r="C32" s="24" t="s">
        <v>111</v>
      </c>
      <c r="D32" s="25" t="s">
        <v>135</v>
      </c>
    </row>
    <row r="33" spans="1:4" ht="14.25" thickBot="1">
      <c r="A33" t="s">
        <v>176</v>
      </c>
      <c r="B33" s="24" t="s">
        <v>177</v>
      </c>
      <c r="C33" s="24" t="s">
        <v>111</v>
      </c>
      <c r="D33" s="25" t="s">
        <v>112</v>
      </c>
    </row>
    <row r="34" spans="1:4" ht="14.25" thickBot="1">
      <c r="A34" t="s">
        <v>178</v>
      </c>
      <c r="B34" s="24" t="s">
        <v>179</v>
      </c>
      <c r="C34" s="24">
        <v>3</v>
      </c>
      <c r="D34" s="25" t="s">
        <v>115</v>
      </c>
    </row>
    <row r="35" spans="1:4" ht="14.25" thickBot="1">
      <c r="A35" t="s">
        <v>180</v>
      </c>
      <c r="B35" s="24" t="s">
        <v>181</v>
      </c>
      <c r="C35" s="24" t="s">
        <v>111</v>
      </c>
      <c r="D35" s="25" t="s">
        <v>135</v>
      </c>
    </row>
    <row r="36" spans="1:4" ht="14.25" thickBot="1">
      <c r="A36" t="s">
        <v>182</v>
      </c>
      <c r="B36" s="24" t="s">
        <v>183</v>
      </c>
      <c r="C36" s="24" t="s">
        <v>111</v>
      </c>
      <c r="D36" s="25" t="s">
        <v>135</v>
      </c>
    </row>
    <row r="37" spans="1:4" ht="14.25" thickBot="1">
      <c r="A37" t="s">
        <v>184</v>
      </c>
      <c r="B37" s="24" t="s">
        <v>185</v>
      </c>
      <c r="C37" s="24" t="s">
        <v>111</v>
      </c>
      <c r="D37" s="25" t="s">
        <v>112</v>
      </c>
    </row>
    <row r="38" spans="1:4" ht="24.75" thickBot="1">
      <c r="A38" t="s">
        <v>186</v>
      </c>
      <c r="B38" s="24" t="s">
        <v>187</v>
      </c>
      <c r="C38" s="24">
        <v>3</v>
      </c>
      <c r="D38" s="25" t="s">
        <v>120</v>
      </c>
    </row>
    <row r="39" spans="1:4" ht="24.75" thickBot="1">
      <c r="A39" t="s">
        <v>188</v>
      </c>
      <c r="B39" s="24" t="s">
        <v>189</v>
      </c>
      <c r="C39" s="24">
        <v>3</v>
      </c>
      <c r="D39" s="25" t="s">
        <v>120</v>
      </c>
    </row>
    <row r="40" spans="1:4" ht="48.75" thickBot="1">
      <c r="A40" t="s">
        <v>190</v>
      </c>
      <c r="B40" s="24" t="s">
        <v>191</v>
      </c>
      <c r="C40" s="24">
        <v>3</v>
      </c>
      <c r="D40" s="25" t="s">
        <v>120</v>
      </c>
    </row>
    <row r="41" spans="1:4" ht="24.75" thickBot="1">
      <c r="A41" t="s">
        <v>192</v>
      </c>
      <c r="B41" s="24" t="s">
        <v>193</v>
      </c>
      <c r="C41" s="24">
        <v>3</v>
      </c>
      <c r="D41" s="25" t="s">
        <v>120</v>
      </c>
    </row>
    <row r="42" spans="1:4" ht="24.75" thickBot="1">
      <c r="A42" t="s">
        <v>194</v>
      </c>
      <c r="B42" s="24" t="s">
        <v>195</v>
      </c>
      <c r="C42" s="24">
        <v>3</v>
      </c>
      <c r="D42" s="25" t="s">
        <v>120</v>
      </c>
    </row>
    <row r="43" spans="1:4" ht="36.75" thickBot="1">
      <c r="A43" t="s">
        <v>196</v>
      </c>
      <c r="B43" s="24" t="s">
        <v>197</v>
      </c>
      <c r="C43" s="24">
        <v>3</v>
      </c>
      <c r="D43" s="25" t="s">
        <v>120</v>
      </c>
    </row>
    <row r="44" spans="1:4" ht="14.25" thickBot="1">
      <c r="A44" t="s">
        <v>198</v>
      </c>
      <c r="B44" s="24" t="s">
        <v>199</v>
      </c>
      <c r="C44" s="24">
        <v>3</v>
      </c>
      <c r="D44" s="25" t="s">
        <v>135</v>
      </c>
    </row>
    <row r="45" spans="1:4" ht="14.25" thickBot="1">
      <c r="A45" t="s">
        <v>200</v>
      </c>
      <c r="B45" s="24" t="s">
        <v>201</v>
      </c>
      <c r="C45" s="24">
        <v>3</v>
      </c>
      <c r="D45" s="25" t="s">
        <v>135</v>
      </c>
    </row>
    <row r="46" spans="1:4" ht="14.25" thickBot="1">
      <c r="A46" t="s">
        <v>202</v>
      </c>
      <c r="B46" s="24" t="s">
        <v>203</v>
      </c>
      <c r="C46" s="24">
        <v>3</v>
      </c>
      <c r="D46" s="25" t="s">
        <v>135</v>
      </c>
    </row>
    <row r="47" spans="1:4" ht="24.75" thickBot="1">
      <c r="A47" t="s">
        <v>204</v>
      </c>
      <c r="B47" s="24" t="s">
        <v>205</v>
      </c>
      <c r="C47" s="24">
        <v>3</v>
      </c>
      <c r="D47" s="25" t="s">
        <v>135</v>
      </c>
    </row>
    <row r="52" spans="2:16">
      <c r="F52" s="91"/>
      <c r="G52" s="91"/>
      <c r="H52" s="91"/>
      <c r="I52" s="91"/>
      <c r="J52" s="30"/>
    </row>
    <row r="53" spans="2:16">
      <c r="F53" s="91"/>
      <c r="G53" s="91"/>
      <c r="H53" s="91"/>
      <c r="I53" s="91"/>
      <c r="J53" s="30"/>
    </row>
    <row r="54" spans="2:16">
      <c r="F54" s="91"/>
      <c r="G54" s="91"/>
      <c r="H54" s="91"/>
      <c r="I54" s="91"/>
      <c r="J54" s="30"/>
    </row>
    <row r="55" spans="2:16">
      <c r="B55" t="s">
        <v>206</v>
      </c>
      <c r="C55" t="s">
        <v>208</v>
      </c>
      <c r="D55" t="s">
        <v>239</v>
      </c>
      <c r="E55" t="s">
        <v>209</v>
      </c>
      <c r="G55" t="s">
        <v>221</v>
      </c>
      <c r="H55" t="s">
        <v>228</v>
      </c>
      <c r="I55" t="s">
        <v>248</v>
      </c>
      <c r="J55" t="s">
        <v>249</v>
      </c>
      <c r="K55" t="s">
        <v>219</v>
      </c>
      <c r="L55" t="s">
        <v>220</v>
      </c>
      <c r="M55" t="s">
        <v>222</v>
      </c>
      <c r="N55" t="s">
        <v>223</v>
      </c>
    </row>
    <row r="56" spans="2:16">
      <c r="B56" t="s">
        <v>213</v>
      </c>
      <c r="C56">
        <v>9</v>
      </c>
      <c r="D56">
        <f>C56</f>
        <v>9</v>
      </c>
      <c r="E56" s="32">
        <f>2.25/D56</f>
        <v>0.25</v>
      </c>
      <c r="G56">
        <v>100</v>
      </c>
      <c r="H56">
        <v>100</v>
      </c>
      <c r="K56">
        <v>100</v>
      </c>
      <c r="L56">
        <v>0</v>
      </c>
    </row>
    <row r="57" spans="2:16">
      <c r="B57" t="s">
        <v>207</v>
      </c>
      <c r="C57">
        <v>2.25</v>
      </c>
      <c r="D57">
        <f>C57</f>
        <v>2.25</v>
      </c>
      <c r="E57" s="32">
        <f t="shared" ref="E57:E65" si="0">2.25/D57</f>
        <v>1</v>
      </c>
      <c r="G57">
        <v>25</v>
      </c>
      <c r="H57">
        <v>25</v>
      </c>
      <c r="J57">
        <v>100</v>
      </c>
      <c r="K57">
        <v>25</v>
      </c>
      <c r="L57">
        <v>0</v>
      </c>
    </row>
    <row r="58" spans="2:16">
      <c r="B58" t="s">
        <v>214</v>
      </c>
      <c r="C58">
        <v>4.26</v>
      </c>
      <c r="D58">
        <f>C58</f>
        <v>4.26</v>
      </c>
      <c r="E58" s="32">
        <f t="shared" si="0"/>
        <v>0.52816901408450712</v>
      </c>
      <c r="H58">
        <v>50</v>
      </c>
      <c r="K58" s="29">
        <v>0.5</v>
      </c>
      <c r="L58">
        <v>0</v>
      </c>
      <c r="M58">
        <v>0</v>
      </c>
      <c r="N58" t="s">
        <v>227</v>
      </c>
    </row>
    <row r="59" spans="2:16">
      <c r="B59" t="s">
        <v>211</v>
      </c>
      <c r="C59" s="26">
        <v>4.4600000000000001E-2</v>
      </c>
      <c r="D59" s="31">
        <f>H59/I59*C59</f>
        <v>4.4600000000000017</v>
      </c>
      <c r="E59" s="32">
        <f t="shared" si="0"/>
        <v>0.50448430493273522</v>
      </c>
      <c r="F59" s="29">
        <f>N59-M59</f>
        <v>1.5</v>
      </c>
      <c r="H59">
        <v>20</v>
      </c>
      <c r="I59" s="29">
        <f>K59-L59</f>
        <v>0.19999999999999996</v>
      </c>
      <c r="J59" s="31">
        <f>H59/I59</f>
        <v>100.00000000000003</v>
      </c>
      <c r="K59" s="29">
        <v>0.7</v>
      </c>
      <c r="L59" s="29">
        <v>0.5</v>
      </c>
      <c r="M59" s="29">
        <v>0.5</v>
      </c>
      <c r="N59" s="29">
        <v>2</v>
      </c>
      <c r="P59" t="s">
        <v>224</v>
      </c>
    </row>
    <row r="60" spans="2:16">
      <c r="B60" t="s">
        <v>210</v>
      </c>
      <c r="C60" s="26">
        <v>1.8599999999999998E-2</v>
      </c>
      <c r="D60" s="31">
        <f t="shared" ref="D60:D62" si="1">H60/I60*C60</f>
        <v>1.488</v>
      </c>
      <c r="E60" s="32">
        <f t="shared" si="0"/>
        <v>1.5120967741935485</v>
      </c>
      <c r="F60" s="29">
        <f t="shared" ref="F60:F62" si="2">N60-M60</f>
        <v>0.64999999999999991</v>
      </c>
      <c r="H60">
        <v>20</v>
      </c>
      <c r="I60" s="29">
        <f t="shared" ref="I60:I62" si="3">K60-L60</f>
        <v>0.25</v>
      </c>
      <c r="J60" s="31">
        <f t="shared" ref="J60:J62" si="4">H60/I60</f>
        <v>80</v>
      </c>
      <c r="K60" s="29">
        <v>0.3</v>
      </c>
      <c r="L60" s="29">
        <v>0.05</v>
      </c>
      <c r="M60" s="29">
        <v>0.05</v>
      </c>
      <c r="N60" s="29">
        <v>0.7</v>
      </c>
    </row>
    <row r="61" spans="2:16">
      <c r="B61" t="s">
        <v>215</v>
      </c>
      <c r="C61" s="26">
        <v>1.4999999999999999E-2</v>
      </c>
      <c r="D61" s="31">
        <f t="shared" si="1"/>
        <v>1.9999999999999996</v>
      </c>
      <c r="E61" s="32">
        <f t="shared" si="0"/>
        <v>1.1250000000000002</v>
      </c>
      <c r="F61" s="29">
        <f t="shared" si="2"/>
        <v>0.64999999999999991</v>
      </c>
      <c r="G61">
        <v>20</v>
      </c>
      <c r="H61">
        <v>20</v>
      </c>
      <c r="I61" s="29">
        <f t="shared" si="3"/>
        <v>0.15000000000000002</v>
      </c>
      <c r="J61" s="31">
        <f t="shared" si="4"/>
        <v>133.33333333333331</v>
      </c>
      <c r="K61" s="29">
        <v>0.2</v>
      </c>
      <c r="L61" s="29">
        <v>0.05</v>
      </c>
      <c r="M61" s="29">
        <v>0.05</v>
      </c>
      <c r="N61" s="29">
        <v>0.7</v>
      </c>
      <c r="P61" t="s">
        <v>226</v>
      </c>
    </row>
    <row r="62" spans="2:16">
      <c r="B62" t="s">
        <v>218</v>
      </c>
      <c r="C62" s="26">
        <v>1.2E-2</v>
      </c>
      <c r="D62" s="31">
        <f t="shared" si="1"/>
        <v>2.0000000000000004</v>
      </c>
      <c r="E62" s="32">
        <f t="shared" si="0"/>
        <v>1.1249999999999998</v>
      </c>
      <c r="F62" s="29">
        <f t="shared" si="2"/>
        <v>0.34</v>
      </c>
      <c r="H62">
        <v>20</v>
      </c>
      <c r="I62" s="29">
        <f t="shared" si="3"/>
        <v>0.12</v>
      </c>
      <c r="J62" s="31">
        <f t="shared" si="4"/>
        <v>166.66666666666669</v>
      </c>
      <c r="K62" s="29">
        <v>0.45</v>
      </c>
      <c r="L62" s="29">
        <v>0.33</v>
      </c>
      <c r="M62" s="29">
        <v>0.33</v>
      </c>
      <c r="N62" s="29">
        <v>0.67</v>
      </c>
      <c r="P62" t="s">
        <v>225</v>
      </c>
    </row>
    <row r="63" spans="2:16">
      <c r="B63" t="s">
        <v>212</v>
      </c>
      <c r="C63">
        <v>2.56</v>
      </c>
      <c r="D63">
        <f>C63</f>
        <v>2.56</v>
      </c>
      <c r="E63" s="32">
        <f t="shared" si="0"/>
        <v>0.87890625</v>
      </c>
      <c r="L63">
        <v>0</v>
      </c>
    </row>
    <row r="64" spans="2:16">
      <c r="B64" t="s">
        <v>216</v>
      </c>
      <c r="C64" s="26">
        <f>C63/C58*C59</f>
        <v>2.68018779342723E-2</v>
      </c>
      <c r="D64" s="31">
        <f>H59/I59*C64</f>
        <v>2.6801877934272307</v>
      </c>
      <c r="E64" s="32">
        <f t="shared" si="0"/>
        <v>0.83949341367712982</v>
      </c>
      <c r="H64">
        <v>12</v>
      </c>
      <c r="L64">
        <v>0</v>
      </c>
    </row>
    <row r="65" spans="2:12">
      <c r="B65" t="s">
        <v>217</v>
      </c>
      <c r="C65" s="26">
        <f>$C$63/$C$58*$C$61</f>
        <v>9.014084507042254E-3</v>
      </c>
      <c r="D65" s="31">
        <f>H61/I61*C65</f>
        <v>1.2018779342723003</v>
      </c>
      <c r="E65" s="32">
        <f t="shared" si="0"/>
        <v>1.8720703125000002</v>
      </c>
      <c r="H65">
        <v>12</v>
      </c>
      <c r="L65">
        <v>0</v>
      </c>
    </row>
    <row r="70" spans="2:12">
      <c r="B70" t="s">
        <v>229</v>
      </c>
    </row>
    <row r="71" spans="2:12">
      <c r="B71" t="s">
        <v>230</v>
      </c>
      <c r="D71" t="s">
        <v>240</v>
      </c>
      <c r="F71" t="s">
        <v>245</v>
      </c>
      <c r="K71" t="s">
        <v>241</v>
      </c>
    </row>
    <row r="72" spans="2:12">
      <c r="B72" t="s">
        <v>231</v>
      </c>
      <c r="D72" s="94" t="s">
        <v>238</v>
      </c>
      <c r="F72" t="s">
        <v>242</v>
      </c>
    </row>
    <row r="73" spans="2:12">
      <c r="B73" t="s">
        <v>232</v>
      </c>
      <c r="D73" s="94"/>
    </row>
    <row r="74" spans="2:12">
      <c r="B74" t="s">
        <v>233</v>
      </c>
    </row>
    <row r="75" spans="2:12">
      <c r="B75" t="s">
        <v>234</v>
      </c>
      <c r="E75" t="s">
        <v>235</v>
      </c>
      <c r="L75" t="s">
        <v>236</v>
      </c>
    </row>
    <row r="76" spans="2:12">
      <c r="E76" t="s">
        <v>237</v>
      </c>
    </row>
    <row r="77" spans="2:12">
      <c r="E77" t="s">
        <v>243</v>
      </c>
    </row>
    <row r="79" spans="2:12">
      <c r="B79" t="s">
        <v>244</v>
      </c>
    </row>
    <row r="80" spans="2:12">
      <c r="B80" t="s">
        <v>246</v>
      </c>
    </row>
    <row r="81" spans="2:2">
      <c r="B81" t="s">
        <v>247</v>
      </c>
    </row>
  </sheetData>
  <mergeCells count="2">
    <mergeCell ref="D72:D73"/>
    <mergeCell ref="F52:I5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opLeftCell="A7" workbookViewId="0">
      <selection activeCell="C15" sqref="C15:G15"/>
    </sheetView>
  </sheetViews>
  <sheetFormatPr defaultRowHeight="13.5"/>
  <cols>
    <col min="2" max="2" width="16.125" bestFit="1" customWidth="1"/>
  </cols>
  <sheetData>
    <row r="1" spans="1:14">
      <c r="C1" t="s">
        <v>254</v>
      </c>
      <c r="D1">
        <f>LN(2)/LN(1.5)</f>
        <v>1.7095112913514547</v>
      </c>
      <c r="F1" t="s">
        <v>255</v>
      </c>
      <c r="G1">
        <f>1/D1</f>
        <v>0.58496250072115619</v>
      </c>
    </row>
    <row r="2" spans="1:14">
      <c r="A2" t="s">
        <v>256</v>
      </c>
      <c r="B2" t="s">
        <v>256</v>
      </c>
      <c r="M2" t="s">
        <v>257</v>
      </c>
      <c r="N2" t="s">
        <v>258</v>
      </c>
    </row>
    <row r="3" spans="1:14">
      <c r="A3">
        <v>153</v>
      </c>
      <c r="B3">
        <v>153</v>
      </c>
    </row>
    <row r="4" spans="1:14">
      <c r="A4">
        <f>POWER(A3,$D$1)</f>
        <v>5429.4353861091067</v>
      </c>
      <c r="B4">
        <f>POWER(B3,$D$1)</f>
        <v>5429.4353861091067</v>
      </c>
      <c r="M4">
        <f>SUM(A4:L4)</f>
        <v>10858.870772218213</v>
      </c>
      <c r="N4">
        <f>POWER(M4,G1)</f>
        <v>229.5</v>
      </c>
    </row>
    <row r="8" spans="1:14">
      <c r="A8" t="s">
        <v>260</v>
      </c>
      <c r="B8" t="s">
        <v>263</v>
      </c>
      <c r="C8" t="s">
        <v>261</v>
      </c>
      <c r="D8" t="s">
        <v>262</v>
      </c>
      <c r="E8" t="s">
        <v>259</v>
      </c>
    </row>
    <row r="9" spans="1:14">
      <c r="A9">
        <v>1</v>
      </c>
      <c r="B9">
        <v>0.33</v>
      </c>
      <c r="C9">
        <v>2</v>
      </c>
      <c r="D9">
        <v>-2</v>
      </c>
      <c r="E9" s="33">
        <f>C9*$N$4/B9-D9</f>
        <v>1392.9090909090908</v>
      </c>
    </row>
    <row r="10" spans="1:14">
      <c r="A10">
        <v>2</v>
      </c>
      <c r="B10">
        <v>0.33</v>
      </c>
      <c r="C10">
        <v>1.8</v>
      </c>
      <c r="D10">
        <v>-5</v>
      </c>
      <c r="E10" s="33">
        <f t="shared" ref="E10:E13" si="0">C10*$N$4/B10-D10</f>
        <v>1256.8181818181818</v>
      </c>
    </row>
    <row r="11" spans="1:14">
      <c r="A11">
        <v>3</v>
      </c>
      <c r="B11">
        <v>0.33</v>
      </c>
      <c r="C11">
        <v>1.4</v>
      </c>
      <c r="D11">
        <v>-8</v>
      </c>
      <c r="E11" s="33">
        <f t="shared" si="0"/>
        <v>981.6363636363634</v>
      </c>
    </row>
    <row r="12" spans="1:14">
      <c r="A12">
        <v>4</v>
      </c>
      <c r="B12">
        <v>0.33</v>
      </c>
      <c r="C12">
        <v>1.2</v>
      </c>
      <c r="D12">
        <v>-12</v>
      </c>
      <c r="E12" s="33">
        <f t="shared" si="0"/>
        <v>846.54545454545439</v>
      </c>
    </row>
    <row r="13" spans="1:14">
      <c r="A13">
        <v>5</v>
      </c>
      <c r="B13">
        <v>0.33</v>
      </c>
      <c r="C13">
        <v>1</v>
      </c>
      <c r="D13">
        <v>-17</v>
      </c>
      <c r="E13" s="33">
        <f t="shared" si="0"/>
        <v>712.45454545454538</v>
      </c>
    </row>
    <row r="15" spans="1:14">
      <c r="C15" t="s">
        <v>254</v>
      </c>
      <c r="D15">
        <f>LN(2)/LN(1.5)</f>
        <v>1.7095112913514547</v>
      </c>
      <c r="F15" t="s">
        <v>255</v>
      </c>
      <c r="G15">
        <f>1/D15</f>
        <v>0.58496250072115619</v>
      </c>
    </row>
    <row r="16" spans="1:14">
      <c r="A16" t="s">
        <v>256</v>
      </c>
      <c r="B16" t="s">
        <v>256</v>
      </c>
      <c r="C16" t="s">
        <v>256</v>
      </c>
      <c r="D16" t="s">
        <v>256</v>
      </c>
      <c r="E16" t="s">
        <v>256</v>
      </c>
      <c r="F16" t="s">
        <v>256</v>
      </c>
      <c r="G16" t="s">
        <v>256</v>
      </c>
      <c r="H16" t="s">
        <v>256</v>
      </c>
      <c r="I16" t="s">
        <v>256</v>
      </c>
      <c r="J16" t="s">
        <v>256</v>
      </c>
      <c r="M16" t="s">
        <v>257</v>
      </c>
      <c r="N16" t="s">
        <v>258</v>
      </c>
    </row>
    <row r="17" spans="1:14">
      <c r="A17">
        <v>153</v>
      </c>
      <c r="B17">
        <v>153</v>
      </c>
    </row>
    <row r="18" spans="1:14">
      <c r="A18" s="34">
        <f>POWER(A17,$D$1)</f>
        <v>5429.4353861091067</v>
      </c>
      <c r="B18" s="34">
        <f>POWER(B17,$D$1)</f>
        <v>5429.4353861091067</v>
      </c>
      <c r="M18">
        <f>SUM(A18:L18)</f>
        <v>10858.870772218213</v>
      </c>
      <c r="N18">
        <f>POWER(M18,G15)</f>
        <v>229.5</v>
      </c>
    </row>
    <row r="22" spans="1:14">
      <c r="A22" t="s">
        <v>260</v>
      </c>
      <c r="B22" t="s">
        <v>263</v>
      </c>
      <c r="C22" t="s">
        <v>261</v>
      </c>
      <c r="D22" t="s">
        <v>262</v>
      </c>
      <c r="E22" t="s">
        <v>259</v>
      </c>
    </row>
    <row r="23" spans="1:14">
      <c r="A23">
        <v>1</v>
      </c>
      <c r="B23">
        <v>2</v>
      </c>
      <c r="C23">
        <v>2</v>
      </c>
      <c r="D23">
        <v>-2</v>
      </c>
      <c r="E23" s="33">
        <f>C23*$N$4/B23-D23</f>
        <v>231.5</v>
      </c>
    </row>
    <row r="24" spans="1:14">
      <c r="A24">
        <v>2</v>
      </c>
      <c r="B24">
        <v>2</v>
      </c>
      <c r="C24">
        <v>1.8</v>
      </c>
      <c r="D24">
        <v>-5</v>
      </c>
      <c r="E24" s="33">
        <f t="shared" ref="E24:E27" si="1">C24*$N$4/B24-D24</f>
        <v>211.55</v>
      </c>
    </row>
    <row r="25" spans="1:14">
      <c r="A25">
        <v>3</v>
      </c>
      <c r="B25">
        <v>2</v>
      </c>
      <c r="C25">
        <v>1.4</v>
      </c>
      <c r="D25">
        <v>-8</v>
      </c>
      <c r="E25" s="33">
        <f t="shared" si="1"/>
        <v>168.64999999999998</v>
      </c>
    </row>
    <row r="26" spans="1:14">
      <c r="A26">
        <v>4</v>
      </c>
      <c r="B26">
        <v>2</v>
      </c>
      <c r="C26">
        <v>1.2</v>
      </c>
      <c r="D26">
        <v>-12</v>
      </c>
      <c r="E26" s="33">
        <f t="shared" si="1"/>
        <v>149.69999999999999</v>
      </c>
    </row>
    <row r="27" spans="1:14">
      <c r="A27">
        <v>5</v>
      </c>
      <c r="B27">
        <v>2</v>
      </c>
      <c r="C27">
        <v>1</v>
      </c>
      <c r="D27">
        <v>-17</v>
      </c>
      <c r="E27" s="33">
        <f t="shared" si="1"/>
        <v>131.75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opLeftCell="F16" workbookViewId="0">
      <selection activeCell="J25" sqref="J25"/>
    </sheetView>
  </sheetViews>
  <sheetFormatPr defaultRowHeight="13.5"/>
  <cols>
    <col min="1" max="2" width="9" style="45"/>
    <col min="3" max="3" width="8.5" style="45" bestFit="1" customWidth="1"/>
    <col min="12" max="13" width="9.5" bestFit="1" customWidth="1"/>
  </cols>
  <sheetData>
    <row r="1" spans="1:17" s="36" customFormat="1" ht="14.25" thickBot="1">
      <c r="A1" s="45"/>
      <c r="B1" s="45"/>
      <c r="C1" s="45"/>
      <c r="D1" s="36">
        <v>2</v>
      </c>
      <c r="E1" s="36">
        <v>1.8</v>
      </c>
      <c r="F1" s="36">
        <v>1.4</v>
      </c>
      <c r="G1" s="36">
        <v>1.2</v>
      </c>
      <c r="H1" s="36">
        <v>1</v>
      </c>
      <c r="M1" s="36" t="s">
        <v>272</v>
      </c>
    </row>
    <row r="2" spans="1:17" s="36" customFormat="1" ht="14.25">
      <c r="A2" s="45"/>
      <c r="B2" s="45"/>
      <c r="C2" s="45"/>
      <c r="D2" s="36">
        <v>-2</v>
      </c>
      <c r="E2" s="36">
        <v>-5</v>
      </c>
      <c r="F2" s="36">
        <v>-8</v>
      </c>
      <c r="G2" s="36">
        <v>-12</v>
      </c>
      <c r="H2" s="36">
        <v>-17</v>
      </c>
      <c r="M2" s="35" t="s">
        <v>273</v>
      </c>
      <c r="N2" s="38" t="s">
        <v>271</v>
      </c>
    </row>
    <row r="3" spans="1:17" ht="49.5">
      <c r="A3" s="46" t="s">
        <v>264</v>
      </c>
      <c r="B3" s="47" t="s">
        <v>265</v>
      </c>
      <c r="C3" s="47" t="s">
        <v>280</v>
      </c>
      <c r="D3" s="37" t="s">
        <v>266</v>
      </c>
      <c r="E3" s="37" t="s">
        <v>267</v>
      </c>
      <c r="F3" s="37" t="s">
        <v>268</v>
      </c>
      <c r="G3" s="37" t="s">
        <v>269</v>
      </c>
      <c r="H3" s="37" t="s">
        <v>270</v>
      </c>
      <c r="M3" s="39" t="s">
        <v>274</v>
      </c>
      <c r="N3" s="40">
        <v>2</v>
      </c>
    </row>
    <row r="4" spans="1:17" ht="16.5">
      <c r="A4" s="48">
        <v>1</v>
      </c>
      <c r="B4" s="48">
        <v>200</v>
      </c>
      <c r="C4" s="48">
        <f>B4/2.5</f>
        <v>80</v>
      </c>
      <c r="D4" s="33">
        <f>($C4-D$2)/D$1*$N$8</f>
        <v>492</v>
      </c>
      <c r="E4" s="33">
        <f t="shared" ref="E4:H19" si="0">($C4-E$2)/E$1*$N$8</f>
        <v>566.66666666666663</v>
      </c>
      <c r="F4" s="33">
        <f t="shared" si="0"/>
        <v>754.28571428571433</v>
      </c>
      <c r="G4" s="33">
        <f t="shared" si="0"/>
        <v>920</v>
      </c>
      <c r="H4" s="33">
        <f t="shared" si="0"/>
        <v>1164</v>
      </c>
      <c r="M4" s="39" t="s">
        <v>275</v>
      </c>
      <c r="N4" s="40">
        <v>2</v>
      </c>
    </row>
    <row r="5" spans="1:17" ht="16.5">
      <c r="A5" s="48">
        <v>2</v>
      </c>
      <c r="B5" s="48">
        <v>207</v>
      </c>
      <c r="C5" s="48">
        <f t="shared" ref="C5:C53" si="1">B5/2.5</f>
        <v>82.8</v>
      </c>
      <c r="D5" s="33">
        <f t="shared" ref="D5:H36" si="2">($C5-D$2)/D$1*$N$8</f>
        <v>508.79999999999995</v>
      </c>
      <c r="E5" s="33">
        <f t="shared" si="0"/>
        <v>585.33333333333326</v>
      </c>
      <c r="F5" s="33">
        <f t="shared" si="0"/>
        <v>778.28571428571433</v>
      </c>
      <c r="G5" s="33">
        <f t="shared" si="0"/>
        <v>948</v>
      </c>
      <c r="H5" s="33">
        <f t="shared" si="0"/>
        <v>1197.5999999999999</v>
      </c>
      <c r="M5" s="39" t="s">
        <v>276</v>
      </c>
      <c r="N5" s="40">
        <v>2</v>
      </c>
    </row>
    <row r="6" spans="1:17" ht="16.5">
      <c r="A6" s="48">
        <v>3</v>
      </c>
      <c r="B6" s="48">
        <v>214</v>
      </c>
      <c r="C6" s="48">
        <f t="shared" si="1"/>
        <v>85.6</v>
      </c>
      <c r="D6" s="33">
        <f t="shared" si="2"/>
        <v>525.59999999999991</v>
      </c>
      <c r="E6" s="33">
        <f t="shared" si="0"/>
        <v>604</v>
      </c>
      <c r="F6" s="33">
        <f t="shared" si="0"/>
        <v>802.28571428571433</v>
      </c>
      <c r="G6" s="33">
        <f t="shared" si="0"/>
        <v>976</v>
      </c>
      <c r="H6" s="33">
        <f t="shared" si="0"/>
        <v>1231.1999999999998</v>
      </c>
      <c r="M6" s="39" t="s">
        <v>277</v>
      </c>
      <c r="N6" s="40">
        <v>3</v>
      </c>
    </row>
    <row r="7" spans="1:17" ht="17.25" thickBot="1">
      <c r="A7" s="48">
        <v>4</v>
      </c>
      <c r="B7" s="48">
        <v>221</v>
      </c>
      <c r="C7" s="48">
        <f t="shared" si="1"/>
        <v>88.4</v>
      </c>
      <c r="D7" s="33">
        <f t="shared" si="2"/>
        <v>542.40000000000009</v>
      </c>
      <c r="E7" s="33">
        <f t="shared" si="0"/>
        <v>622.66666666666674</v>
      </c>
      <c r="F7" s="33">
        <f t="shared" si="0"/>
        <v>826.28571428571433</v>
      </c>
      <c r="G7" s="33">
        <f t="shared" si="0"/>
        <v>1004</v>
      </c>
      <c r="H7" s="33">
        <f t="shared" si="0"/>
        <v>1264.8000000000002</v>
      </c>
      <c r="M7" s="41" t="s">
        <v>278</v>
      </c>
      <c r="N7" s="42">
        <v>3</v>
      </c>
    </row>
    <row r="8" spans="1:17" ht="17.25" thickBot="1">
      <c r="A8" s="48">
        <v>5</v>
      </c>
      <c r="B8" s="48">
        <v>228</v>
      </c>
      <c r="C8" s="48">
        <f t="shared" si="1"/>
        <v>91.2</v>
      </c>
      <c r="D8" s="33">
        <f t="shared" si="2"/>
        <v>559.20000000000005</v>
      </c>
      <c r="E8" s="33">
        <f t="shared" si="0"/>
        <v>641.33333333333326</v>
      </c>
      <c r="F8" s="33">
        <f t="shared" si="0"/>
        <v>850.28571428571433</v>
      </c>
      <c r="G8" s="33">
        <f t="shared" si="0"/>
        <v>1032</v>
      </c>
      <c r="H8" s="33">
        <f t="shared" si="0"/>
        <v>1298.4000000000001</v>
      </c>
      <c r="M8" s="43" t="s">
        <v>279</v>
      </c>
      <c r="N8" s="44">
        <v>12</v>
      </c>
    </row>
    <row r="9" spans="1:17" ht="16.5">
      <c r="A9" s="48">
        <v>6</v>
      </c>
      <c r="B9" s="48">
        <v>235</v>
      </c>
      <c r="C9" s="48">
        <f t="shared" si="1"/>
        <v>94</v>
      </c>
      <c r="D9" s="33">
        <f t="shared" si="2"/>
        <v>576</v>
      </c>
      <c r="E9" s="33">
        <f t="shared" si="0"/>
        <v>660</v>
      </c>
      <c r="F9" s="33">
        <f t="shared" si="0"/>
        <v>874.28571428571433</v>
      </c>
      <c r="G9" s="33">
        <f t="shared" si="0"/>
        <v>1060</v>
      </c>
      <c r="H9" s="33">
        <f t="shared" si="0"/>
        <v>1332</v>
      </c>
    </row>
    <row r="10" spans="1:17" ht="16.5">
      <c r="A10" s="48">
        <v>7</v>
      </c>
      <c r="B10" s="48">
        <v>242</v>
      </c>
      <c r="C10" s="48">
        <f t="shared" si="1"/>
        <v>96.8</v>
      </c>
      <c r="D10" s="33">
        <f t="shared" si="2"/>
        <v>592.79999999999995</v>
      </c>
      <c r="E10" s="33">
        <f t="shared" si="0"/>
        <v>678.66666666666663</v>
      </c>
      <c r="F10" s="33">
        <f t="shared" si="0"/>
        <v>898.28571428571433</v>
      </c>
      <c r="G10" s="33">
        <f t="shared" si="0"/>
        <v>1088</v>
      </c>
      <c r="H10" s="33">
        <f t="shared" si="0"/>
        <v>1365.6</v>
      </c>
      <c r="J10" s="36" t="s">
        <v>254</v>
      </c>
      <c r="K10" s="36">
        <f>LN(2)/LN(1.5)</f>
        <v>1.7095112913514547</v>
      </c>
      <c r="L10" s="36"/>
      <c r="M10" s="36" t="s">
        <v>255</v>
      </c>
      <c r="N10" s="36">
        <f>1/K10</f>
        <v>0.58496250072115619</v>
      </c>
    </row>
    <row r="11" spans="1:17" ht="16.5">
      <c r="A11" s="48">
        <v>8</v>
      </c>
      <c r="B11" s="48">
        <v>249</v>
      </c>
      <c r="C11" s="48">
        <f t="shared" si="1"/>
        <v>99.6</v>
      </c>
      <c r="D11" s="33">
        <f t="shared" si="2"/>
        <v>609.59999999999991</v>
      </c>
      <c r="E11" s="33">
        <f t="shared" si="0"/>
        <v>697.33333333333326</v>
      </c>
      <c r="F11" s="33">
        <f t="shared" si="0"/>
        <v>922.28571428571433</v>
      </c>
      <c r="G11" s="33">
        <f t="shared" si="0"/>
        <v>1116</v>
      </c>
      <c r="H11" s="33">
        <f t="shared" si="0"/>
        <v>1399.1999999999998</v>
      </c>
      <c r="P11" t="s">
        <v>302</v>
      </c>
      <c r="Q11" s="57">
        <v>5</v>
      </c>
    </row>
    <row r="12" spans="1:17" ht="16.5">
      <c r="A12" s="48">
        <v>9</v>
      </c>
      <c r="B12" s="48">
        <v>256</v>
      </c>
      <c r="C12" s="48">
        <f t="shared" si="1"/>
        <v>102.4</v>
      </c>
      <c r="D12" s="33">
        <f t="shared" si="2"/>
        <v>626.40000000000009</v>
      </c>
      <c r="E12" s="33">
        <f t="shared" si="0"/>
        <v>716</v>
      </c>
      <c r="F12" s="33">
        <f t="shared" si="0"/>
        <v>946.28571428571433</v>
      </c>
      <c r="G12" s="33">
        <f t="shared" si="0"/>
        <v>1144</v>
      </c>
      <c r="H12" s="33">
        <f t="shared" si="0"/>
        <v>1432.8000000000002</v>
      </c>
      <c r="J12" t="s">
        <v>281</v>
      </c>
      <c r="K12" s="58">
        <v>3612</v>
      </c>
      <c r="M12" t="s">
        <v>282</v>
      </c>
      <c r="N12">
        <f>POWER(K12,K10)</f>
        <v>1207841.4686974231</v>
      </c>
      <c r="P12" t="s">
        <v>301</v>
      </c>
      <c r="Q12">
        <f>Q11/10</f>
        <v>0.5</v>
      </c>
    </row>
    <row r="13" spans="1:17" ht="16.5">
      <c r="A13" s="48">
        <v>10</v>
      </c>
      <c r="B13" s="48">
        <v>263</v>
      </c>
      <c r="C13" s="48">
        <f t="shared" si="1"/>
        <v>105.2</v>
      </c>
      <c r="D13" s="33">
        <f t="shared" si="2"/>
        <v>643.20000000000005</v>
      </c>
      <c r="E13" s="33">
        <f t="shared" si="0"/>
        <v>734.66666666666663</v>
      </c>
      <c r="F13" s="33">
        <f t="shared" si="0"/>
        <v>970.28571428571433</v>
      </c>
      <c r="G13" s="33">
        <f t="shared" si="0"/>
        <v>1172</v>
      </c>
      <c r="H13" s="33">
        <f t="shared" si="0"/>
        <v>1466.4</v>
      </c>
    </row>
    <row r="14" spans="1:17" ht="16.5">
      <c r="A14" s="48">
        <v>11</v>
      </c>
      <c r="B14" s="48">
        <v>270</v>
      </c>
      <c r="C14" s="48">
        <f t="shared" si="1"/>
        <v>108</v>
      </c>
      <c r="D14" s="33">
        <f t="shared" si="2"/>
        <v>660</v>
      </c>
      <c r="E14" s="33">
        <f t="shared" si="0"/>
        <v>753.33333333333337</v>
      </c>
      <c r="F14" s="33">
        <f t="shared" si="0"/>
        <v>994.28571428571433</v>
      </c>
      <c r="G14" s="33">
        <f t="shared" si="0"/>
        <v>1200</v>
      </c>
      <c r="H14" s="33">
        <f t="shared" si="0"/>
        <v>1500</v>
      </c>
      <c r="J14" t="s">
        <v>283</v>
      </c>
      <c r="K14" t="s">
        <v>284</v>
      </c>
      <c r="L14" t="s">
        <v>285</v>
      </c>
      <c r="M14" t="s">
        <v>286</v>
      </c>
      <c r="N14" t="s">
        <v>287</v>
      </c>
    </row>
    <row r="15" spans="1:17" ht="16.5">
      <c r="A15" s="48">
        <v>12</v>
      </c>
      <c r="B15" s="48">
        <v>279</v>
      </c>
      <c r="C15" s="48">
        <f t="shared" si="1"/>
        <v>111.6</v>
      </c>
      <c r="D15" s="33">
        <f t="shared" si="2"/>
        <v>681.59999999999991</v>
      </c>
      <c r="E15" s="33">
        <f t="shared" si="0"/>
        <v>777.33333333333326</v>
      </c>
      <c r="F15" s="33">
        <f t="shared" si="0"/>
        <v>1025.1428571428571</v>
      </c>
      <c r="G15" s="33">
        <f t="shared" si="0"/>
        <v>1236</v>
      </c>
      <c r="H15" s="33">
        <f t="shared" si="0"/>
        <v>1543.1999999999998</v>
      </c>
      <c r="I15" s="49" t="s">
        <v>288</v>
      </c>
      <c r="J15" s="56">
        <v>0.2</v>
      </c>
      <c r="K15" s="56">
        <v>0.2</v>
      </c>
      <c r="L15" s="56">
        <v>0.2</v>
      </c>
      <c r="M15" s="56">
        <v>0.2</v>
      </c>
      <c r="N15" s="56">
        <v>0.2</v>
      </c>
    </row>
    <row r="16" spans="1:17" ht="16.5">
      <c r="A16" s="48">
        <v>13</v>
      </c>
      <c r="B16" s="48">
        <v>288</v>
      </c>
      <c r="C16" s="48">
        <f t="shared" si="1"/>
        <v>115.2</v>
      </c>
      <c r="D16" s="33">
        <f t="shared" si="2"/>
        <v>703.2</v>
      </c>
      <c r="E16" s="33">
        <f t="shared" si="0"/>
        <v>801.33333333333326</v>
      </c>
      <c r="F16" s="33">
        <f t="shared" si="0"/>
        <v>1056.0000000000002</v>
      </c>
      <c r="G16" s="33">
        <f t="shared" si="0"/>
        <v>1272</v>
      </c>
      <c r="H16" s="33">
        <f t="shared" si="0"/>
        <v>1586.3999999999999</v>
      </c>
      <c r="J16" s="33">
        <f>$N$12*J15</f>
        <v>241568.29373948462</v>
      </c>
      <c r="K16" s="33">
        <f t="shared" ref="K16:N16" si="3">$N$12*K15</f>
        <v>241568.29373948462</v>
      </c>
      <c r="L16" s="33">
        <f t="shared" si="3"/>
        <v>241568.29373948462</v>
      </c>
      <c r="M16" s="33">
        <f t="shared" si="3"/>
        <v>241568.29373948462</v>
      </c>
      <c r="N16" s="33">
        <f t="shared" si="3"/>
        <v>241568.29373948462</v>
      </c>
    </row>
    <row r="17" spans="1:15" ht="16.5">
      <c r="A17" s="48">
        <v>14</v>
      </c>
      <c r="B17" s="48">
        <v>298</v>
      </c>
      <c r="C17" s="48">
        <f t="shared" si="1"/>
        <v>119.2</v>
      </c>
      <c r="D17" s="33">
        <f t="shared" si="2"/>
        <v>727.2</v>
      </c>
      <c r="E17" s="33">
        <f t="shared" si="0"/>
        <v>828</v>
      </c>
      <c r="F17" s="33">
        <f t="shared" si="0"/>
        <v>1090.2857142857142</v>
      </c>
      <c r="G17" s="33">
        <f t="shared" si="0"/>
        <v>1312</v>
      </c>
      <c r="H17" s="33">
        <f t="shared" si="0"/>
        <v>1634.3999999999999</v>
      </c>
      <c r="J17" s="33">
        <f>POWER(J16,$N$10)</f>
        <v>1408.8880969089764</v>
      </c>
      <c r="K17" s="33">
        <f t="shared" ref="K17:N17" si="4">POWER(K16,$N$10)</f>
        <v>1408.8880969089764</v>
      </c>
      <c r="L17" s="33">
        <f t="shared" si="4"/>
        <v>1408.8880969089764</v>
      </c>
      <c r="M17" s="33">
        <f t="shared" si="4"/>
        <v>1408.8880969089764</v>
      </c>
      <c r="N17" s="33">
        <f t="shared" si="4"/>
        <v>1408.8880969089764</v>
      </c>
    </row>
    <row r="18" spans="1:15" ht="16.5">
      <c r="A18" s="48">
        <v>15</v>
      </c>
      <c r="B18" s="48">
        <v>307</v>
      </c>
      <c r="C18" s="48">
        <f t="shared" si="1"/>
        <v>122.8</v>
      </c>
      <c r="D18" s="33">
        <f t="shared" si="2"/>
        <v>748.8</v>
      </c>
      <c r="E18" s="33">
        <f t="shared" si="0"/>
        <v>852</v>
      </c>
      <c r="F18" s="33">
        <f t="shared" si="0"/>
        <v>1121.1428571428573</v>
      </c>
      <c r="G18" s="33">
        <f t="shared" si="0"/>
        <v>1348</v>
      </c>
      <c r="H18" s="33">
        <f t="shared" si="0"/>
        <v>1677.6000000000001</v>
      </c>
      <c r="I18" t="s">
        <v>300</v>
      </c>
      <c r="J18" s="33">
        <f>J17*$Q$12</f>
        <v>704.44404845448821</v>
      </c>
      <c r="K18" s="33">
        <f t="shared" ref="K18:N18" si="5">K17*$Q$12</f>
        <v>704.44404845448821</v>
      </c>
      <c r="L18" s="33">
        <f t="shared" si="5"/>
        <v>704.44404845448821</v>
      </c>
      <c r="M18" s="33">
        <f t="shared" si="5"/>
        <v>704.44404845448821</v>
      </c>
      <c r="N18" s="33">
        <f t="shared" si="5"/>
        <v>704.44404845448821</v>
      </c>
    </row>
    <row r="19" spans="1:15" ht="16.5">
      <c r="A19" s="48">
        <v>16</v>
      </c>
      <c r="B19" s="48">
        <v>317</v>
      </c>
      <c r="C19" s="48">
        <f t="shared" si="1"/>
        <v>126.8</v>
      </c>
      <c r="D19" s="33">
        <f t="shared" si="2"/>
        <v>772.80000000000007</v>
      </c>
      <c r="E19" s="33">
        <f t="shared" si="0"/>
        <v>878.66666666666674</v>
      </c>
      <c r="F19" s="33">
        <f t="shared" si="0"/>
        <v>1155.4285714285716</v>
      </c>
      <c r="G19" s="33">
        <f t="shared" si="0"/>
        <v>1388.0000000000002</v>
      </c>
      <c r="H19" s="33">
        <f t="shared" si="0"/>
        <v>1725.6000000000001</v>
      </c>
      <c r="L19" s="57" t="s">
        <v>298</v>
      </c>
      <c r="M19" s="57" t="s">
        <v>299</v>
      </c>
      <c r="N19" s="57" t="s">
        <v>303</v>
      </c>
      <c r="O19" s="57"/>
    </row>
    <row r="20" spans="1:15" ht="17.25" thickBot="1">
      <c r="A20" s="48">
        <v>17</v>
      </c>
      <c r="B20" s="48">
        <v>326</v>
      </c>
      <c r="C20" s="48">
        <f t="shared" si="1"/>
        <v>130.4</v>
      </c>
      <c r="D20" s="33">
        <f t="shared" si="2"/>
        <v>794.40000000000009</v>
      </c>
      <c r="E20" s="33">
        <f t="shared" si="2"/>
        <v>902.66666666666674</v>
      </c>
      <c r="F20" s="33">
        <f t="shared" si="2"/>
        <v>1186.2857142857142</v>
      </c>
      <c r="G20" s="33">
        <f t="shared" si="2"/>
        <v>1424</v>
      </c>
      <c r="H20" s="33">
        <f t="shared" si="2"/>
        <v>1768.8000000000002</v>
      </c>
      <c r="K20" t="s">
        <v>297</v>
      </c>
      <c r="L20" s="57">
        <v>704</v>
      </c>
      <c r="M20" s="57"/>
      <c r="N20" s="57"/>
      <c r="O20" s="57"/>
    </row>
    <row r="21" spans="1:15" ht="17.25" thickBot="1">
      <c r="A21" s="48">
        <v>18</v>
      </c>
      <c r="B21" s="48">
        <v>336</v>
      </c>
      <c r="C21" s="48">
        <f t="shared" si="1"/>
        <v>134.4</v>
      </c>
      <c r="D21" s="33">
        <f t="shared" si="2"/>
        <v>818.40000000000009</v>
      </c>
      <c r="E21" s="33">
        <f t="shared" si="2"/>
        <v>929.33333333333326</v>
      </c>
      <c r="F21" s="33">
        <f t="shared" si="2"/>
        <v>1220.5714285714287</v>
      </c>
      <c r="G21" s="33">
        <f t="shared" si="2"/>
        <v>1464.0000000000002</v>
      </c>
      <c r="H21" s="33">
        <f t="shared" si="2"/>
        <v>1816.8000000000002</v>
      </c>
      <c r="J21" s="50" t="s">
        <v>289</v>
      </c>
      <c r="K21" s="51" t="s">
        <v>290</v>
      </c>
    </row>
    <row r="22" spans="1:15" ht="16.5">
      <c r="A22" s="48">
        <v>19</v>
      </c>
      <c r="B22" s="48">
        <v>345</v>
      </c>
      <c r="C22" s="48">
        <f t="shared" si="1"/>
        <v>138</v>
      </c>
      <c r="D22" s="33">
        <f t="shared" si="2"/>
        <v>840</v>
      </c>
      <c r="E22" s="33">
        <f t="shared" si="2"/>
        <v>953.33333333333326</v>
      </c>
      <c r="F22" s="33">
        <f t="shared" si="2"/>
        <v>1251.4285714285716</v>
      </c>
      <c r="G22" s="33">
        <f t="shared" si="2"/>
        <v>1500</v>
      </c>
      <c r="H22" s="33">
        <f t="shared" si="2"/>
        <v>1860</v>
      </c>
      <c r="J22" s="52" t="s">
        <v>291</v>
      </c>
      <c r="K22" s="53">
        <v>0.25</v>
      </c>
      <c r="L22" s="33">
        <f>L$20/$K22</f>
        <v>2816</v>
      </c>
      <c r="M22" s="33">
        <f t="shared" ref="M22:N31" si="6">M$20/$K22</f>
        <v>0</v>
      </c>
      <c r="N22" s="33">
        <f t="shared" si="6"/>
        <v>0</v>
      </c>
    </row>
    <row r="23" spans="1:15" ht="16.5">
      <c r="A23" s="48">
        <v>20</v>
      </c>
      <c r="B23" s="48">
        <v>355</v>
      </c>
      <c r="C23" s="48">
        <f t="shared" si="1"/>
        <v>142</v>
      </c>
      <c r="D23" s="33">
        <f t="shared" si="2"/>
        <v>864</v>
      </c>
      <c r="E23" s="33">
        <f t="shared" si="2"/>
        <v>980</v>
      </c>
      <c r="F23" s="33">
        <f t="shared" si="2"/>
        <v>1285.7142857142858</v>
      </c>
      <c r="G23" s="33">
        <f t="shared" si="2"/>
        <v>1540</v>
      </c>
      <c r="H23" s="33">
        <f t="shared" si="2"/>
        <v>1908</v>
      </c>
      <c r="J23" s="52" t="s">
        <v>292</v>
      </c>
      <c r="K23" s="53">
        <v>1</v>
      </c>
      <c r="L23" s="33">
        <f t="shared" ref="L23:L31" si="7">L$20/$K23</f>
        <v>704</v>
      </c>
      <c r="M23" s="33">
        <f t="shared" si="6"/>
        <v>0</v>
      </c>
      <c r="N23" s="33">
        <f t="shared" si="6"/>
        <v>0</v>
      </c>
    </row>
    <row r="24" spans="1:15" ht="16.5">
      <c r="A24" s="48">
        <v>21</v>
      </c>
      <c r="B24" s="48">
        <v>364</v>
      </c>
      <c r="C24" s="48">
        <f t="shared" si="1"/>
        <v>145.6</v>
      </c>
      <c r="D24" s="33">
        <f t="shared" si="2"/>
        <v>885.59999999999991</v>
      </c>
      <c r="E24" s="33">
        <f t="shared" si="2"/>
        <v>1003.9999999999999</v>
      </c>
      <c r="F24" s="33">
        <f t="shared" si="2"/>
        <v>1316.5714285714287</v>
      </c>
      <c r="G24" s="33">
        <f t="shared" si="2"/>
        <v>1576</v>
      </c>
      <c r="H24" s="33">
        <f t="shared" si="2"/>
        <v>1951.1999999999998</v>
      </c>
      <c r="J24" s="52" t="s">
        <v>293</v>
      </c>
      <c r="K24" s="53">
        <v>0.53</v>
      </c>
      <c r="L24" s="33">
        <f t="shared" si="7"/>
        <v>1328.3018867924527</v>
      </c>
      <c r="M24" s="33">
        <f t="shared" si="6"/>
        <v>0</v>
      </c>
      <c r="N24" s="33">
        <f t="shared" si="6"/>
        <v>0</v>
      </c>
    </row>
    <row r="25" spans="1:15" ht="16.5">
      <c r="A25" s="48">
        <v>22</v>
      </c>
      <c r="B25" s="48">
        <v>377</v>
      </c>
      <c r="C25" s="48">
        <f t="shared" si="1"/>
        <v>150.80000000000001</v>
      </c>
      <c r="D25" s="33">
        <f t="shared" si="2"/>
        <v>916.80000000000007</v>
      </c>
      <c r="E25" s="33">
        <f t="shared" si="2"/>
        <v>1038.6666666666667</v>
      </c>
      <c r="F25" s="33">
        <f t="shared" si="2"/>
        <v>1361.1428571428573</v>
      </c>
      <c r="G25" s="33">
        <f t="shared" si="2"/>
        <v>1628.0000000000002</v>
      </c>
      <c r="H25" s="33">
        <f t="shared" si="2"/>
        <v>2013.6000000000001</v>
      </c>
      <c r="J25" s="52" t="s">
        <v>250</v>
      </c>
      <c r="K25" s="53">
        <v>0.5</v>
      </c>
      <c r="L25" s="33">
        <f t="shared" si="7"/>
        <v>1408</v>
      </c>
      <c r="M25" s="33">
        <f t="shared" si="6"/>
        <v>0</v>
      </c>
      <c r="N25" s="33">
        <f t="shared" si="6"/>
        <v>0</v>
      </c>
    </row>
    <row r="26" spans="1:15" ht="16.5">
      <c r="A26" s="48">
        <v>23</v>
      </c>
      <c r="B26" s="48">
        <v>390</v>
      </c>
      <c r="C26" s="48">
        <f t="shared" si="1"/>
        <v>156</v>
      </c>
      <c r="D26" s="33">
        <f t="shared" si="2"/>
        <v>948</v>
      </c>
      <c r="E26" s="33">
        <f t="shared" si="2"/>
        <v>1073.3333333333333</v>
      </c>
      <c r="F26" s="33">
        <f t="shared" si="2"/>
        <v>1405.7142857142858</v>
      </c>
      <c r="G26" s="33">
        <f t="shared" si="2"/>
        <v>1680</v>
      </c>
      <c r="H26" s="33">
        <f t="shared" si="2"/>
        <v>2076</v>
      </c>
      <c r="J26" s="52" t="s">
        <v>251</v>
      </c>
      <c r="K26" s="53">
        <v>1.51</v>
      </c>
      <c r="L26" s="33">
        <f t="shared" si="7"/>
        <v>466.2251655629139</v>
      </c>
      <c r="M26" s="33">
        <f t="shared" si="6"/>
        <v>0</v>
      </c>
      <c r="N26" s="33">
        <f t="shared" si="6"/>
        <v>0</v>
      </c>
    </row>
    <row r="27" spans="1:15" ht="16.5">
      <c r="A27" s="48">
        <v>24</v>
      </c>
      <c r="B27" s="48">
        <v>402</v>
      </c>
      <c r="C27" s="48">
        <f t="shared" si="1"/>
        <v>160.80000000000001</v>
      </c>
      <c r="D27" s="33">
        <f t="shared" si="2"/>
        <v>976.80000000000007</v>
      </c>
      <c r="E27" s="33">
        <f t="shared" si="2"/>
        <v>1105.3333333333335</v>
      </c>
      <c r="F27" s="33">
        <f t="shared" si="2"/>
        <v>1446.8571428571431</v>
      </c>
      <c r="G27" s="33">
        <f t="shared" si="2"/>
        <v>1728.0000000000005</v>
      </c>
      <c r="H27" s="33">
        <f t="shared" si="2"/>
        <v>2133.6000000000004</v>
      </c>
      <c r="J27" s="52" t="s">
        <v>252</v>
      </c>
      <c r="K27" s="53">
        <v>1.1299999999999999</v>
      </c>
      <c r="L27" s="33">
        <f t="shared" si="7"/>
        <v>623.00884955752213</v>
      </c>
      <c r="M27" s="33">
        <f t="shared" si="6"/>
        <v>0</v>
      </c>
      <c r="N27" s="33">
        <f t="shared" si="6"/>
        <v>0</v>
      </c>
    </row>
    <row r="28" spans="1:15" ht="16.5">
      <c r="A28" s="48">
        <v>25</v>
      </c>
      <c r="B28" s="48">
        <v>415</v>
      </c>
      <c r="C28" s="48">
        <f t="shared" si="1"/>
        <v>166</v>
      </c>
      <c r="D28" s="33">
        <f t="shared" si="2"/>
        <v>1008</v>
      </c>
      <c r="E28" s="33">
        <f t="shared" si="2"/>
        <v>1140</v>
      </c>
      <c r="F28" s="33">
        <f t="shared" si="2"/>
        <v>1491.4285714285716</v>
      </c>
      <c r="G28" s="33">
        <f t="shared" si="2"/>
        <v>1780</v>
      </c>
      <c r="H28" s="33">
        <f t="shared" si="2"/>
        <v>2196</v>
      </c>
      <c r="J28" s="52" t="s">
        <v>253</v>
      </c>
      <c r="K28" s="53">
        <v>1.1299999999999999</v>
      </c>
      <c r="L28" s="33">
        <f t="shared" si="7"/>
        <v>623.00884955752213</v>
      </c>
      <c r="M28" s="33">
        <f t="shared" si="6"/>
        <v>0</v>
      </c>
      <c r="N28" s="33">
        <f t="shared" si="6"/>
        <v>0</v>
      </c>
    </row>
    <row r="29" spans="1:15" ht="16.5">
      <c r="A29" s="48">
        <v>26</v>
      </c>
      <c r="B29" s="48">
        <v>428</v>
      </c>
      <c r="C29" s="48">
        <f t="shared" si="1"/>
        <v>171.2</v>
      </c>
      <c r="D29" s="33">
        <f t="shared" si="2"/>
        <v>1039.1999999999998</v>
      </c>
      <c r="E29" s="33">
        <f t="shared" si="2"/>
        <v>1174.6666666666665</v>
      </c>
      <c r="F29" s="33">
        <f t="shared" si="2"/>
        <v>1536</v>
      </c>
      <c r="G29" s="33">
        <f t="shared" si="2"/>
        <v>1832</v>
      </c>
      <c r="H29" s="33">
        <f t="shared" si="2"/>
        <v>2258.3999999999996</v>
      </c>
      <c r="J29" s="52" t="s">
        <v>294</v>
      </c>
      <c r="K29" s="53">
        <v>0.88</v>
      </c>
      <c r="L29" s="33">
        <f t="shared" si="7"/>
        <v>800</v>
      </c>
      <c r="M29" s="33">
        <f t="shared" si="6"/>
        <v>0</v>
      </c>
      <c r="N29" s="33">
        <f t="shared" si="6"/>
        <v>0</v>
      </c>
    </row>
    <row r="30" spans="1:15" ht="16.5">
      <c r="A30" s="48">
        <v>27</v>
      </c>
      <c r="B30" s="48">
        <v>441</v>
      </c>
      <c r="C30" s="48">
        <f t="shared" si="1"/>
        <v>176.4</v>
      </c>
      <c r="D30" s="33">
        <f t="shared" si="2"/>
        <v>1070.4000000000001</v>
      </c>
      <c r="E30" s="33">
        <f t="shared" si="2"/>
        <v>1209.3333333333333</v>
      </c>
      <c r="F30" s="33">
        <f t="shared" si="2"/>
        <v>1580.5714285714287</v>
      </c>
      <c r="G30" s="33">
        <f t="shared" si="2"/>
        <v>1884</v>
      </c>
      <c r="H30" s="33">
        <f t="shared" si="2"/>
        <v>2320.8000000000002</v>
      </c>
      <c r="J30" s="52" t="s">
        <v>295</v>
      </c>
      <c r="K30" s="53">
        <v>0.84</v>
      </c>
      <c r="L30" s="33">
        <f t="shared" si="7"/>
        <v>838.09523809523807</v>
      </c>
      <c r="M30" s="33">
        <f t="shared" si="6"/>
        <v>0</v>
      </c>
      <c r="N30" s="33">
        <f t="shared" si="6"/>
        <v>0</v>
      </c>
    </row>
    <row r="31" spans="1:15" ht="17.25" thickBot="1">
      <c r="A31" s="48">
        <v>28</v>
      </c>
      <c r="B31" s="48">
        <v>453</v>
      </c>
      <c r="C31" s="48">
        <f t="shared" si="1"/>
        <v>181.2</v>
      </c>
      <c r="D31" s="33">
        <f t="shared" si="2"/>
        <v>1099.1999999999998</v>
      </c>
      <c r="E31" s="33">
        <f t="shared" si="2"/>
        <v>1241.333333333333</v>
      </c>
      <c r="F31" s="33">
        <f t="shared" si="2"/>
        <v>1621.7142857142858</v>
      </c>
      <c r="G31" s="33">
        <f t="shared" si="2"/>
        <v>1932</v>
      </c>
      <c r="H31" s="33">
        <f t="shared" si="2"/>
        <v>2378.3999999999996</v>
      </c>
      <c r="J31" s="54" t="s">
        <v>296</v>
      </c>
      <c r="K31" s="55">
        <v>1.87</v>
      </c>
      <c r="L31" s="33">
        <f t="shared" si="7"/>
        <v>376.47058823529409</v>
      </c>
      <c r="M31" s="33">
        <f t="shared" si="6"/>
        <v>0</v>
      </c>
      <c r="N31" s="33">
        <f t="shared" si="6"/>
        <v>0</v>
      </c>
    </row>
    <row r="32" spans="1:15" ht="16.5">
      <c r="A32" s="48">
        <v>29</v>
      </c>
      <c r="B32" s="48">
        <v>466</v>
      </c>
      <c r="C32" s="48">
        <f t="shared" si="1"/>
        <v>186.4</v>
      </c>
      <c r="D32" s="33">
        <f t="shared" si="2"/>
        <v>1130.4000000000001</v>
      </c>
      <c r="E32" s="33">
        <f t="shared" si="2"/>
        <v>1276</v>
      </c>
      <c r="F32" s="33">
        <f t="shared" si="2"/>
        <v>1666.2857142857142</v>
      </c>
      <c r="G32" s="33">
        <f t="shared" si="2"/>
        <v>1984</v>
      </c>
      <c r="H32" s="33">
        <f t="shared" si="2"/>
        <v>2440.8000000000002</v>
      </c>
    </row>
    <row r="33" spans="1:8" ht="16.5">
      <c r="A33" s="48">
        <v>30</v>
      </c>
      <c r="B33" s="48">
        <v>479</v>
      </c>
      <c r="C33" s="48">
        <f t="shared" si="1"/>
        <v>191.6</v>
      </c>
      <c r="D33" s="33">
        <f t="shared" si="2"/>
        <v>1161.5999999999999</v>
      </c>
      <c r="E33" s="33">
        <f t="shared" si="2"/>
        <v>1310.6666666666665</v>
      </c>
      <c r="F33" s="33">
        <f t="shared" si="2"/>
        <v>1710.8571428571431</v>
      </c>
      <c r="G33" s="33">
        <f t="shared" si="2"/>
        <v>2036</v>
      </c>
      <c r="H33" s="33">
        <f t="shared" si="2"/>
        <v>2503.1999999999998</v>
      </c>
    </row>
    <row r="34" spans="1:8" ht="16.5">
      <c r="A34" s="48">
        <v>31</v>
      </c>
      <c r="B34" s="48">
        <v>492</v>
      </c>
      <c r="C34" s="48">
        <f t="shared" si="1"/>
        <v>196.8</v>
      </c>
      <c r="D34" s="33">
        <f t="shared" si="2"/>
        <v>1192.8000000000002</v>
      </c>
      <c r="E34" s="33">
        <f t="shared" si="2"/>
        <v>1345.3333333333335</v>
      </c>
      <c r="F34" s="33">
        <f t="shared" si="2"/>
        <v>1755.4285714285716</v>
      </c>
      <c r="G34" s="33">
        <f t="shared" si="2"/>
        <v>2088.0000000000005</v>
      </c>
      <c r="H34" s="33">
        <f t="shared" si="2"/>
        <v>2565.6000000000004</v>
      </c>
    </row>
    <row r="35" spans="1:8" ht="16.5">
      <c r="A35" s="48">
        <v>32</v>
      </c>
      <c r="B35" s="48">
        <v>509</v>
      </c>
      <c r="C35" s="48">
        <f t="shared" si="1"/>
        <v>203.6</v>
      </c>
      <c r="D35" s="33">
        <f t="shared" si="2"/>
        <v>1233.5999999999999</v>
      </c>
      <c r="E35" s="33">
        <f t="shared" si="2"/>
        <v>1390.6666666666665</v>
      </c>
      <c r="F35" s="33">
        <f t="shared" si="2"/>
        <v>1813.7142857142858</v>
      </c>
      <c r="G35" s="33">
        <f t="shared" si="2"/>
        <v>2156</v>
      </c>
      <c r="H35" s="33">
        <f t="shared" si="2"/>
        <v>2647.2</v>
      </c>
    </row>
    <row r="36" spans="1:8" ht="16.5">
      <c r="A36" s="48">
        <v>33</v>
      </c>
      <c r="B36" s="48">
        <v>526</v>
      </c>
      <c r="C36" s="48">
        <f t="shared" si="1"/>
        <v>210.4</v>
      </c>
      <c r="D36" s="33">
        <f t="shared" si="2"/>
        <v>1274.4000000000001</v>
      </c>
      <c r="E36" s="33">
        <f t="shared" si="2"/>
        <v>1436</v>
      </c>
      <c r="F36" s="33">
        <f t="shared" si="2"/>
        <v>1872</v>
      </c>
      <c r="G36" s="33">
        <f t="shared" si="2"/>
        <v>2224</v>
      </c>
      <c r="H36" s="33">
        <f t="shared" si="2"/>
        <v>2728.8</v>
      </c>
    </row>
    <row r="37" spans="1:8" ht="16.5">
      <c r="A37" s="48">
        <v>34</v>
      </c>
      <c r="B37" s="48">
        <v>543</v>
      </c>
      <c r="C37" s="48">
        <f t="shared" si="1"/>
        <v>217.2</v>
      </c>
      <c r="D37" s="33">
        <f t="shared" ref="D37:H53" si="8">($C37-D$2)/D$1*$N$8</f>
        <v>1315.1999999999998</v>
      </c>
      <c r="E37" s="33">
        <f t="shared" si="8"/>
        <v>1481.333333333333</v>
      </c>
      <c r="F37" s="33">
        <f t="shared" si="8"/>
        <v>1930.2857142857142</v>
      </c>
      <c r="G37" s="33">
        <f t="shared" si="8"/>
        <v>2292</v>
      </c>
      <c r="H37" s="33">
        <f t="shared" si="8"/>
        <v>2810.3999999999996</v>
      </c>
    </row>
    <row r="38" spans="1:8" ht="16.5">
      <c r="A38" s="48">
        <v>35</v>
      </c>
      <c r="B38" s="48">
        <v>560</v>
      </c>
      <c r="C38" s="48">
        <f t="shared" si="1"/>
        <v>224</v>
      </c>
      <c r="D38" s="33">
        <f t="shared" si="8"/>
        <v>1356</v>
      </c>
      <c r="E38" s="33">
        <f t="shared" si="8"/>
        <v>1526.6666666666665</v>
      </c>
      <c r="F38" s="33">
        <f t="shared" si="8"/>
        <v>1988.5714285714287</v>
      </c>
      <c r="G38" s="33">
        <f t="shared" si="8"/>
        <v>2360</v>
      </c>
      <c r="H38" s="33">
        <f t="shared" si="8"/>
        <v>2892</v>
      </c>
    </row>
    <row r="39" spans="1:8" ht="16.5">
      <c r="A39" s="48">
        <v>36</v>
      </c>
      <c r="B39" s="48">
        <v>578</v>
      </c>
      <c r="C39" s="48">
        <f t="shared" si="1"/>
        <v>231.2</v>
      </c>
      <c r="D39" s="33">
        <f t="shared" si="8"/>
        <v>1399.1999999999998</v>
      </c>
      <c r="E39" s="33">
        <f t="shared" si="8"/>
        <v>1574.6666666666665</v>
      </c>
      <c r="F39" s="33">
        <f t="shared" si="8"/>
        <v>2050.2857142857142</v>
      </c>
      <c r="G39" s="33">
        <f t="shared" si="8"/>
        <v>2432</v>
      </c>
      <c r="H39" s="33">
        <f t="shared" si="8"/>
        <v>2978.3999999999996</v>
      </c>
    </row>
    <row r="40" spans="1:8" ht="16.5">
      <c r="A40" s="48">
        <v>37</v>
      </c>
      <c r="B40" s="48">
        <v>595</v>
      </c>
      <c r="C40" s="48">
        <f t="shared" si="1"/>
        <v>238</v>
      </c>
      <c r="D40" s="33">
        <f t="shared" si="8"/>
        <v>1440</v>
      </c>
      <c r="E40" s="33">
        <f t="shared" si="8"/>
        <v>1620</v>
      </c>
      <c r="F40" s="33">
        <f t="shared" si="8"/>
        <v>2108.5714285714284</v>
      </c>
      <c r="G40" s="33">
        <f t="shared" si="8"/>
        <v>2500</v>
      </c>
      <c r="H40" s="33">
        <f t="shared" si="8"/>
        <v>3060</v>
      </c>
    </row>
    <row r="41" spans="1:8" ht="16.5">
      <c r="A41" s="48">
        <v>38</v>
      </c>
      <c r="B41" s="48">
        <v>612</v>
      </c>
      <c r="C41" s="48">
        <f t="shared" si="1"/>
        <v>244.8</v>
      </c>
      <c r="D41" s="33">
        <f t="shared" si="8"/>
        <v>1480.8000000000002</v>
      </c>
      <c r="E41" s="33">
        <f t="shared" si="8"/>
        <v>1665.3333333333333</v>
      </c>
      <c r="F41" s="33">
        <f t="shared" si="8"/>
        <v>2166.8571428571431</v>
      </c>
      <c r="G41" s="33">
        <f t="shared" si="8"/>
        <v>2568.0000000000005</v>
      </c>
      <c r="H41" s="33">
        <f t="shared" si="8"/>
        <v>3141.6000000000004</v>
      </c>
    </row>
    <row r="42" spans="1:8" ht="16.5">
      <c r="A42" s="48">
        <v>39</v>
      </c>
      <c r="B42" s="48">
        <v>629</v>
      </c>
      <c r="C42" s="48">
        <f t="shared" si="1"/>
        <v>251.6</v>
      </c>
      <c r="D42" s="33">
        <f t="shared" si="8"/>
        <v>1521.6</v>
      </c>
      <c r="E42" s="33">
        <f t="shared" si="8"/>
        <v>1710.666666666667</v>
      </c>
      <c r="F42" s="33">
        <f t="shared" si="8"/>
        <v>2225.1428571428573</v>
      </c>
      <c r="G42" s="33">
        <f t="shared" si="8"/>
        <v>2636</v>
      </c>
      <c r="H42" s="33">
        <f t="shared" si="8"/>
        <v>3223.2000000000003</v>
      </c>
    </row>
    <row r="43" spans="1:8" ht="16.5">
      <c r="A43" s="48">
        <v>40</v>
      </c>
      <c r="B43" s="48">
        <v>647</v>
      </c>
      <c r="C43" s="48">
        <f t="shared" si="1"/>
        <v>258.8</v>
      </c>
      <c r="D43" s="33">
        <f t="shared" si="8"/>
        <v>1564.8000000000002</v>
      </c>
      <c r="E43" s="33">
        <f t="shared" si="8"/>
        <v>1758.666666666667</v>
      </c>
      <c r="F43" s="33">
        <f t="shared" si="8"/>
        <v>2286.8571428571431</v>
      </c>
      <c r="G43" s="33">
        <f t="shared" si="8"/>
        <v>2708</v>
      </c>
      <c r="H43" s="33">
        <f t="shared" si="8"/>
        <v>3309.6000000000004</v>
      </c>
    </row>
    <row r="44" spans="1:8" ht="16.5">
      <c r="A44" s="48">
        <v>41</v>
      </c>
      <c r="B44" s="48">
        <v>664</v>
      </c>
      <c r="C44" s="48">
        <f t="shared" si="1"/>
        <v>265.60000000000002</v>
      </c>
      <c r="D44" s="33">
        <f t="shared" si="8"/>
        <v>1605.6000000000001</v>
      </c>
      <c r="E44" s="33">
        <f t="shared" si="8"/>
        <v>1804</v>
      </c>
      <c r="F44" s="33">
        <f t="shared" si="8"/>
        <v>2345.1428571428573</v>
      </c>
      <c r="G44" s="33">
        <f t="shared" si="8"/>
        <v>2776.0000000000005</v>
      </c>
      <c r="H44" s="33">
        <f t="shared" si="8"/>
        <v>3391.2000000000003</v>
      </c>
    </row>
    <row r="45" spans="1:8" ht="16.5">
      <c r="A45" s="48">
        <v>42</v>
      </c>
      <c r="B45" s="48">
        <v>687</v>
      </c>
      <c r="C45" s="48">
        <f t="shared" si="1"/>
        <v>274.8</v>
      </c>
      <c r="D45" s="33">
        <f t="shared" si="8"/>
        <v>1660.8000000000002</v>
      </c>
      <c r="E45" s="33">
        <f t="shared" si="8"/>
        <v>1865.3333333333335</v>
      </c>
      <c r="F45" s="33">
        <f t="shared" si="8"/>
        <v>2424.0000000000005</v>
      </c>
      <c r="G45" s="33">
        <f t="shared" si="8"/>
        <v>2868.0000000000005</v>
      </c>
      <c r="H45" s="33">
        <f t="shared" si="8"/>
        <v>3501.6000000000004</v>
      </c>
    </row>
    <row r="46" spans="1:8" ht="16.5">
      <c r="A46" s="48">
        <v>43</v>
      </c>
      <c r="B46" s="48">
        <v>710</v>
      </c>
      <c r="C46" s="48">
        <f t="shared" si="1"/>
        <v>284</v>
      </c>
      <c r="D46" s="33">
        <f t="shared" si="8"/>
        <v>1716</v>
      </c>
      <c r="E46" s="33">
        <f t="shared" si="8"/>
        <v>1926.6666666666665</v>
      </c>
      <c r="F46" s="33">
        <f t="shared" si="8"/>
        <v>2502.8571428571431</v>
      </c>
      <c r="G46" s="33">
        <f t="shared" si="8"/>
        <v>2960</v>
      </c>
      <c r="H46" s="33">
        <f t="shared" si="8"/>
        <v>3612</v>
      </c>
    </row>
    <row r="47" spans="1:8" ht="16.5">
      <c r="A47" s="48">
        <v>44</v>
      </c>
      <c r="B47" s="48">
        <v>734</v>
      </c>
      <c r="C47" s="48">
        <f t="shared" si="1"/>
        <v>293.60000000000002</v>
      </c>
      <c r="D47" s="33">
        <f t="shared" si="8"/>
        <v>1773.6000000000001</v>
      </c>
      <c r="E47" s="33">
        <f t="shared" si="8"/>
        <v>1990.6666666666665</v>
      </c>
      <c r="F47" s="33">
        <f t="shared" si="8"/>
        <v>2585.1428571428573</v>
      </c>
      <c r="G47" s="33">
        <f t="shared" si="8"/>
        <v>3056</v>
      </c>
      <c r="H47" s="33">
        <f t="shared" si="8"/>
        <v>3727.2000000000003</v>
      </c>
    </row>
    <row r="48" spans="1:8" ht="16.5">
      <c r="A48" s="48">
        <v>45</v>
      </c>
      <c r="B48" s="48">
        <v>757</v>
      </c>
      <c r="C48" s="48">
        <f t="shared" si="1"/>
        <v>302.8</v>
      </c>
      <c r="D48" s="33">
        <f t="shared" si="8"/>
        <v>1828.8000000000002</v>
      </c>
      <c r="E48" s="33">
        <f t="shared" si="8"/>
        <v>2052</v>
      </c>
      <c r="F48" s="33">
        <f t="shared" si="8"/>
        <v>2664.0000000000005</v>
      </c>
      <c r="G48" s="33">
        <f t="shared" si="8"/>
        <v>3148.0000000000005</v>
      </c>
      <c r="H48" s="33">
        <f t="shared" si="8"/>
        <v>3837.6000000000004</v>
      </c>
    </row>
    <row r="49" spans="1:8" ht="16.5">
      <c r="A49" s="48">
        <v>46</v>
      </c>
      <c r="B49" s="48">
        <v>780</v>
      </c>
      <c r="C49" s="48">
        <f t="shared" si="1"/>
        <v>312</v>
      </c>
      <c r="D49" s="33">
        <f t="shared" si="8"/>
        <v>1884</v>
      </c>
      <c r="E49" s="33">
        <f t="shared" si="8"/>
        <v>2113.3333333333335</v>
      </c>
      <c r="F49" s="33">
        <f t="shared" si="8"/>
        <v>2742.8571428571431</v>
      </c>
      <c r="G49" s="33">
        <f t="shared" si="8"/>
        <v>3240</v>
      </c>
      <c r="H49" s="33">
        <f t="shared" si="8"/>
        <v>3948</v>
      </c>
    </row>
    <row r="50" spans="1:8" ht="16.5">
      <c r="A50" s="48">
        <v>47</v>
      </c>
      <c r="B50" s="48">
        <v>803</v>
      </c>
      <c r="C50" s="48">
        <f t="shared" si="1"/>
        <v>321.2</v>
      </c>
      <c r="D50" s="33">
        <f t="shared" si="8"/>
        <v>1939.1999999999998</v>
      </c>
      <c r="E50" s="33">
        <f t="shared" si="8"/>
        <v>2174.6666666666665</v>
      </c>
      <c r="F50" s="33">
        <f t="shared" si="8"/>
        <v>2821.7142857142858</v>
      </c>
      <c r="G50" s="33">
        <f t="shared" si="8"/>
        <v>3332</v>
      </c>
      <c r="H50" s="33">
        <f t="shared" si="8"/>
        <v>4058.3999999999996</v>
      </c>
    </row>
    <row r="51" spans="1:8" ht="16.5">
      <c r="A51" s="48">
        <v>48</v>
      </c>
      <c r="B51" s="48">
        <v>827</v>
      </c>
      <c r="C51" s="48">
        <f t="shared" si="1"/>
        <v>330.8</v>
      </c>
      <c r="D51" s="33">
        <f t="shared" si="8"/>
        <v>1996.8000000000002</v>
      </c>
      <c r="E51" s="33">
        <f t="shared" si="8"/>
        <v>2238.666666666667</v>
      </c>
      <c r="F51" s="33">
        <f t="shared" si="8"/>
        <v>2904.0000000000005</v>
      </c>
      <c r="G51" s="33">
        <f t="shared" si="8"/>
        <v>3428</v>
      </c>
      <c r="H51" s="33">
        <f t="shared" si="8"/>
        <v>4173.6000000000004</v>
      </c>
    </row>
    <row r="52" spans="1:8" ht="16.5">
      <c r="A52" s="48">
        <v>49</v>
      </c>
      <c r="B52" s="48">
        <v>850</v>
      </c>
      <c r="C52" s="48">
        <f t="shared" si="1"/>
        <v>340</v>
      </c>
      <c r="D52" s="33">
        <f t="shared" si="8"/>
        <v>2052</v>
      </c>
      <c r="E52" s="33">
        <f t="shared" si="8"/>
        <v>2300</v>
      </c>
      <c r="F52" s="33">
        <f t="shared" si="8"/>
        <v>2982.8571428571431</v>
      </c>
      <c r="G52" s="33">
        <f t="shared" si="8"/>
        <v>3520.0000000000005</v>
      </c>
      <c r="H52" s="33">
        <f t="shared" si="8"/>
        <v>4284</v>
      </c>
    </row>
    <row r="53" spans="1:8" ht="16.5">
      <c r="A53" s="48">
        <v>50</v>
      </c>
      <c r="B53" s="48">
        <v>873</v>
      </c>
      <c r="C53" s="48">
        <f t="shared" si="1"/>
        <v>349.2</v>
      </c>
      <c r="D53" s="33">
        <f t="shared" si="8"/>
        <v>2107.1999999999998</v>
      </c>
      <c r="E53" s="33">
        <f t="shared" si="8"/>
        <v>2361.333333333333</v>
      </c>
      <c r="F53" s="33">
        <f t="shared" si="8"/>
        <v>3061.7142857142858</v>
      </c>
      <c r="G53" s="33">
        <f t="shared" si="8"/>
        <v>3612</v>
      </c>
      <c r="H53" s="33">
        <f t="shared" si="8"/>
        <v>4394.3999999999996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workbookViewId="0">
      <selection activeCell="Q27" sqref="Q27"/>
    </sheetView>
  </sheetViews>
  <sheetFormatPr defaultRowHeight="13.5"/>
  <cols>
    <col min="1" max="2" width="9" style="45"/>
    <col min="3" max="3" width="8.5" style="45" bestFit="1" customWidth="1"/>
    <col min="4" max="11" width="9" style="36"/>
    <col min="12" max="13" width="9.5" style="36" bestFit="1" customWidth="1"/>
    <col min="14" max="16384" width="9" style="36"/>
  </cols>
  <sheetData>
    <row r="1" spans="1:17" ht="14.25" thickBot="1">
      <c r="D1" s="36">
        <v>2</v>
      </c>
      <c r="E1" s="36">
        <v>1.8</v>
      </c>
      <c r="F1" s="36">
        <v>1.4</v>
      </c>
      <c r="G1" s="36">
        <v>1.2</v>
      </c>
      <c r="H1" s="36">
        <v>1</v>
      </c>
      <c r="M1" s="36" t="s">
        <v>272</v>
      </c>
    </row>
    <row r="2" spans="1:17" ht="14.25">
      <c r="D2" s="36">
        <v>-2</v>
      </c>
      <c r="E2" s="36">
        <v>-5</v>
      </c>
      <c r="F2" s="36">
        <v>-8</v>
      </c>
      <c r="G2" s="36">
        <v>-12</v>
      </c>
      <c r="H2" s="36">
        <v>-17</v>
      </c>
      <c r="M2" s="35" t="s">
        <v>273</v>
      </c>
      <c r="N2" s="38" t="s">
        <v>271</v>
      </c>
      <c r="Q2" s="36">
        <v>1710</v>
      </c>
    </row>
    <row r="3" spans="1:17" ht="49.5">
      <c r="A3" s="46" t="s">
        <v>264</v>
      </c>
      <c r="B3" s="47" t="s">
        <v>265</v>
      </c>
      <c r="C3" s="47" t="s">
        <v>280</v>
      </c>
      <c r="D3" s="37" t="s">
        <v>266</v>
      </c>
      <c r="E3" s="37" t="s">
        <v>267</v>
      </c>
      <c r="F3" s="37" t="s">
        <v>268</v>
      </c>
      <c r="G3" s="37" t="s">
        <v>269</v>
      </c>
      <c r="H3" s="37" t="s">
        <v>270</v>
      </c>
      <c r="M3" s="39" t="s">
        <v>274</v>
      </c>
      <c r="N3" s="40">
        <v>2</v>
      </c>
    </row>
    <row r="4" spans="1:17" ht="16.5">
      <c r="A4" s="48">
        <v>1</v>
      </c>
      <c r="B4" s="48">
        <v>200</v>
      </c>
      <c r="C4" s="48">
        <f>B4/2.5</f>
        <v>80</v>
      </c>
      <c r="D4" s="33">
        <f>($C4-D$2)/D$1*$N$7</f>
        <v>123</v>
      </c>
      <c r="E4" s="33">
        <f t="shared" ref="E4:H23" si="0">($C4-E$2)/E$1*$N$7</f>
        <v>141.66666666666666</v>
      </c>
      <c r="F4" s="33">
        <f t="shared" si="0"/>
        <v>188.57142857142858</v>
      </c>
      <c r="G4" s="33">
        <f t="shared" si="0"/>
        <v>230</v>
      </c>
      <c r="H4" s="33">
        <f t="shared" si="0"/>
        <v>291</v>
      </c>
      <c r="M4" s="39" t="s">
        <v>275</v>
      </c>
      <c r="N4" s="40">
        <v>2</v>
      </c>
    </row>
    <row r="5" spans="1:17" ht="16.5">
      <c r="A5" s="48">
        <v>2</v>
      </c>
      <c r="B5" s="48">
        <v>207</v>
      </c>
      <c r="C5" s="48">
        <f t="shared" ref="C5:C53" si="1">B5/2.5</f>
        <v>82.8</v>
      </c>
      <c r="D5" s="33">
        <f t="shared" ref="D5:D20" si="2">($C5-D$2)/D$1*$N$7</f>
        <v>127.19999999999999</v>
      </c>
      <c r="E5" s="33">
        <f t="shared" si="0"/>
        <v>146.33333333333331</v>
      </c>
      <c r="F5" s="33">
        <f t="shared" si="0"/>
        <v>194.57142857142858</v>
      </c>
      <c r="G5" s="33">
        <f t="shared" si="0"/>
        <v>237</v>
      </c>
      <c r="H5" s="33">
        <f t="shared" si="0"/>
        <v>299.39999999999998</v>
      </c>
      <c r="M5" s="39" t="s">
        <v>276</v>
      </c>
      <c r="N5" s="40">
        <v>2</v>
      </c>
    </row>
    <row r="6" spans="1:17" ht="16.5">
      <c r="A6" s="48">
        <v>3</v>
      </c>
      <c r="B6" s="48">
        <v>214</v>
      </c>
      <c r="C6" s="48">
        <f t="shared" si="1"/>
        <v>85.6</v>
      </c>
      <c r="D6" s="33">
        <f t="shared" si="2"/>
        <v>131.39999999999998</v>
      </c>
      <c r="E6" s="33">
        <f t="shared" si="0"/>
        <v>151</v>
      </c>
      <c r="F6" s="33">
        <f t="shared" si="0"/>
        <v>200.57142857142858</v>
      </c>
      <c r="G6" s="33">
        <f t="shared" si="0"/>
        <v>244</v>
      </c>
      <c r="H6" s="33">
        <f t="shared" si="0"/>
        <v>307.79999999999995</v>
      </c>
      <c r="M6" s="39" t="s">
        <v>277</v>
      </c>
      <c r="N6" s="40">
        <v>3</v>
      </c>
    </row>
    <row r="7" spans="1:17" ht="17.25" thickBot="1">
      <c r="A7" s="48">
        <v>4</v>
      </c>
      <c r="B7" s="48">
        <v>221</v>
      </c>
      <c r="C7" s="48">
        <f t="shared" si="1"/>
        <v>88.4</v>
      </c>
      <c r="D7" s="33">
        <f t="shared" si="2"/>
        <v>135.60000000000002</v>
      </c>
      <c r="E7" s="33">
        <f t="shared" si="0"/>
        <v>155.66666666666669</v>
      </c>
      <c r="F7" s="33">
        <f t="shared" si="0"/>
        <v>206.57142857142858</v>
      </c>
      <c r="G7" s="33">
        <f t="shared" si="0"/>
        <v>251</v>
      </c>
      <c r="H7" s="33">
        <f t="shared" si="0"/>
        <v>316.20000000000005</v>
      </c>
      <c r="M7" s="41" t="s">
        <v>278</v>
      </c>
      <c r="N7" s="42">
        <v>3</v>
      </c>
    </row>
    <row r="8" spans="1:17" ht="17.25" thickBot="1">
      <c r="A8" s="48">
        <v>5</v>
      </c>
      <c r="B8" s="48">
        <v>228</v>
      </c>
      <c r="C8" s="48">
        <f t="shared" si="1"/>
        <v>91.2</v>
      </c>
      <c r="D8" s="33">
        <f t="shared" si="2"/>
        <v>139.80000000000001</v>
      </c>
      <c r="E8" s="33">
        <f t="shared" si="0"/>
        <v>160.33333333333331</v>
      </c>
      <c r="F8" s="33">
        <f t="shared" si="0"/>
        <v>212.57142857142858</v>
      </c>
      <c r="G8" s="33">
        <f t="shared" si="0"/>
        <v>258</v>
      </c>
      <c r="H8" s="33">
        <f t="shared" si="0"/>
        <v>324.60000000000002</v>
      </c>
      <c r="M8" s="43" t="s">
        <v>279</v>
      </c>
      <c r="N8" s="44">
        <v>12</v>
      </c>
    </row>
    <row r="9" spans="1:17" ht="16.5">
      <c r="A9" s="48">
        <v>6</v>
      </c>
      <c r="B9" s="48">
        <v>235</v>
      </c>
      <c r="C9" s="48">
        <f t="shared" si="1"/>
        <v>94</v>
      </c>
      <c r="D9" s="33">
        <f t="shared" si="2"/>
        <v>144</v>
      </c>
      <c r="E9" s="33">
        <f t="shared" si="0"/>
        <v>165</v>
      </c>
      <c r="F9" s="33">
        <f t="shared" si="0"/>
        <v>218.57142857142858</v>
      </c>
      <c r="G9" s="33">
        <f t="shared" si="0"/>
        <v>265</v>
      </c>
      <c r="H9" s="33">
        <f t="shared" si="0"/>
        <v>333</v>
      </c>
    </row>
    <row r="10" spans="1:17" ht="16.5">
      <c r="A10" s="48">
        <v>7</v>
      </c>
      <c r="B10" s="48">
        <v>242</v>
      </c>
      <c r="C10" s="48">
        <f t="shared" si="1"/>
        <v>96.8</v>
      </c>
      <c r="D10" s="33">
        <f t="shared" si="2"/>
        <v>148.19999999999999</v>
      </c>
      <c r="E10" s="33">
        <f t="shared" si="0"/>
        <v>169.66666666666666</v>
      </c>
      <c r="F10" s="33">
        <f t="shared" si="0"/>
        <v>224.57142857142858</v>
      </c>
      <c r="G10" s="33">
        <f t="shared" si="0"/>
        <v>272</v>
      </c>
      <c r="H10" s="33">
        <f t="shared" si="0"/>
        <v>341.4</v>
      </c>
      <c r="J10" s="36" t="s">
        <v>254</v>
      </c>
      <c r="K10" s="36">
        <f>LN(2)/LN(1.5)</f>
        <v>1.7095112913514547</v>
      </c>
      <c r="M10" s="36" t="s">
        <v>255</v>
      </c>
      <c r="N10" s="36">
        <f>1/K10</f>
        <v>0.58496250072115619</v>
      </c>
    </row>
    <row r="11" spans="1:17" ht="16.5">
      <c r="A11" s="48">
        <v>8</v>
      </c>
      <c r="B11" s="48">
        <v>249</v>
      </c>
      <c r="C11" s="48">
        <f t="shared" si="1"/>
        <v>99.6</v>
      </c>
      <c r="D11" s="33">
        <f t="shared" si="2"/>
        <v>152.39999999999998</v>
      </c>
      <c r="E11" s="33">
        <f t="shared" si="0"/>
        <v>174.33333333333331</v>
      </c>
      <c r="F11" s="33">
        <f t="shared" si="0"/>
        <v>230.57142857142858</v>
      </c>
      <c r="G11" s="33">
        <f t="shared" si="0"/>
        <v>279</v>
      </c>
      <c r="H11" s="33">
        <f t="shared" si="0"/>
        <v>349.79999999999995</v>
      </c>
      <c r="P11" s="36" t="s">
        <v>302</v>
      </c>
      <c r="Q11" s="57">
        <v>5</v>
      </c>
    </row>
    <row r="12" spans="1:17" ht="16.5">
      <c r="A12" s="48">
        <v>9</v>
      </c>
      <c r="B12" s="48">
        <v>256</v>
      </c>
      <c r="C12" s="48">
        <f t="shared" si="1"/>
        <v>102.4</v>
      </c>
      <c r="D12" s="33">
        <f t="shared" si="2"/>
        <v>156.60000000000002</v>
      </c>
      <c r="E12" s="33">
        <f t="shared" si="0"/>
        <v>179</v>
      </c>
      <c r="F12" s="33">
        <f t="shared" si="0"/>
        <v>236.57142857142858</v>
      </c>
      <c r="G12" s="33">
        <f t="shared" si="0"/>
        <v>286</v>
      </c>
      <c r="H12" s="33">
        <f t="shared" si="0"/>
        <v>358.20000000000005</v>
      </c>
      <c r="J12" s="36" t="s">
        <v>281</v>
      </c>
      <c r="K12" s="58">
        <v>1099</v>
      </c>
      <c r="M12" s="36" t="s">
        <v>282</v>
      </c>
      <c r="N12" s="36">
        <f>POWER(K12,K10)</f>
        <v>157986.46880338006</v>
      </c>
      <c r="P12" s="36" t="s">
        <v>301</v>
      </c>
      <c r="Q12" s="36">
        <f>4*Q11/10</f>
        <v>2</v>
      </c>
    </row>
    <row r="13" spans="1:17" ht="16.5">
      <c r="A13" s="48">
        <v>10</v>
      </c>
      <c r="B13" s="48">
        <v>263</v>
      </c>
      <c r="C13" s="48">
        <f t="shared" si="1"/>
        <v>105.2</v>
      </c>
      <c r="D13" s="33">
        <f t="shared" si="2"/>
        <v>160.80000000000001</v>
      </c>
      <c r="E13" s="33">
        <f t="shared" si="0"/>
        <v>183.66666666666666</v>
      </c>
      <c r="F13" s="33">
        <f t="shared" si="0"/>
        <v>242.57142857142858</v>
      </c>
      <c r="G13" s="33">
        <f t="shared" si="0"/>
        <v>293</v>
      </c>
      <c r="H13" s="33">
        <f t="shared" si="0"/>
        <v>366.6</v>
      </c>
    </row>
    <row r="14" spans="1:17" ht="16.5">
      <c r="A14" s="48">
        <v>11</v>
      </c>
      <c r="B14" s="48">
        <v>270</v>
      </c>
      <c r="C14" s="48">
        <f t="shared" si="1"/>
        <v>108</v>
      </c>
      <c r="D14" s="33">
        <f t="shared" si="2"/>
        <v>165</v>
      </c>
      <c r="E14" s="33">
        <f t="shared" si="0"/>
        <v>188.33333333333334</v>
      </c>
      <c r="F14" s="33">
        <f t="shared" si="0"/>
        <v>248.57142857142858</v>
      </c>
      <c r="G14" s="33">
        <f t="shared" si="0"/>
        <v>300</v>
      </c>
      <c r="H14" s="33">
        <f t="shared" si="0"/>
        <v>375</v>
      </c>
      <c r="J14" s="36" t="s">
        <v>283</v>
      </c>
      <c r="K14" s="36" t="s">
        <v>284</v>
      </c>
      <c r="L14" s="36" t="s">
        <v>285</v>
      </c>
      <c r="M14" s="36" t="s">
        <v>286</v>
      </c>
      <c r="N14" s="36" t="s">
        <v>287</v>
      </c>
    </row>
    <row r="15" spans="1:17" ht="16.5">
      <c r="A15" s="48">
        <v>12</v>
      </c>
      <c r="B15" s="48">
        <v>279</v>
      </c>
      <c r="C15" s="48">
        <f t="shared" si="1"/>
        <v>111.6</v>
      </c>
      <c r="D15" s="33">
        <f t="shared" si="2"/>
        <v>170.39999999999998</v>
      </c>
      <c r="E15" s="33">
        <f t="shared" si="0"/>
        <v>194.33333333333331</v>
      </c>
      <c r="F15" s="33">
        <f t="shared" si="0"/>
        <v>256.28571428571428</v>
      </c>
      <c r="G15" s="33">
        <f t="shared" si="0"/>
        <v>309</v>
      </c>
      <c r="H15" s="33">
        <f t="shared" si="0"/>
        <v>385.79999999999995</v>
      </c>
      <c r="I15" s="49" t="s">
        <v>288</v>
      </c>
      <c r="J15" s="56">
        <v>0.2</v>
      </c>
      <c r="K15" s="56">
        <v>0.2</v>
      </c>
      <c r="L15" s="56">
        <v>0.2</v>
      </c>
      <c r="M15" s="56">
        <v>0.2</v>
      </c>
      <c r="N15" s="56">
        <v>0.2</v>
      </c>
    </row>
    <row r="16" spans="1:17" ht="16.5">
      <c r="A16" s="48">
        <v>13</v>
      </c>
      <c r="B16" s="48">
        <v>288</v>
      </c>
      <c r="C16" s="48">
        <f t="shared" si="1"/>
        <v>115.2</v>
      </c>
      <c r="D16" s="33">
        <f t="shared" si="2"/>
        <v>175.8</v>
      </c>
      <c r="E16" s="33">
        <f t="shared" si="0"/>
        <v>200.33333333333331</v>
      </c>
      <c r="F16" s="33">
        <f t="shared" si="0"/>
        <v>264.00000000000006</v>
      </c>
      <c r="G16" s="33">
        <f t="shared" si="0"/>
        <v>318</v>
      </c>
      <c r="H16" s="33">
        <f t="shared" si="0"/>
        <v>396.59999999999997</v>
      </c>
      <c r="J16" s="33">
        <f>$N$12*J15</f>
        <v>31597.293760676013</v>
      </c>
      <c r="K16" s="33">
        <f t="shared" ref="K16:N16" si="3">$N$12*K15</f>
        <v>31597.293760676013</v>
      </c>
      <c r="L16" s="33">
        <f t="shared" si="3"/>
        <v>31597.293760676013</v>
      </c>
      <c r="M16" s="33">
        <f t="shared" si="3"/>
        <v>31597.293760676013</v>
      </c>
      <c r="N16" s="33">
        <f t="shared" si="3"/>
        <v>31597.293760676013</v>
      </c>
    </row>
    <row r="17" spans="1:19" ht="16.5">
      <c r="A17" s="48">
        <v>14</v>
      </c>
      <c r="B17" s="48">
        <v>298</v>
      </c>
      <c r="C17" s="48">
        <f t="shared" si="1"/>
        <v>119.2</v>
      </c>
      <c r="D17" s="33">
        <f t="shared" si="2"/>
        <v>181.8</v>
      </c>
      <c r="E17" s="33">
        <f t="shared" si="0"/>
        <v>207</v>
      </c>
      <c r="F17" s="33">
        <f t="shared" si="0"/>
        <v>272.57142857142856</v>
      </c>
      <c r="G17" s="33">
        <f t="shared" si="0"/>
        <v>328</v>
      </c>
      <c r="H17" s="33">
        <f t="shared" si="0"/>
        <v>408.59999999999997</v>
      </c>
      <c r="J17" s="33">
        <f>POWER(J16,$N$10)</f>
        <v>428.67331630757639</v>
      </c>
      <c r="K17" s="33">
        <f t="shared" ref="K17:N17" si="4">POWER(K16,$N$10)</f>
        <v>428.67331630757639</v>
      </c>
      <c r="L17" s="33">
        <f t="shared" si="4"/>
        <v>428.67331630757639</v>
      </c>
      <c r="M17" s="33">
        <f t="shared" si="4"/>
        <v>428.67331630757639</v>
      </c>
      <c r="N17" s="33">
        <f t="shared" si="4"/>
        <v>428.67331630757639</v>
      </c>
    </row>
    <row r="18" spans="1:19" ht="16.5">
      <c r="A18" s="48">
        <v>15</v>
      </c>
      <c r="B18" s="48">
        <v>307</v>
      </c>
      <c r="C18" s="48">
        <f t="shared" si="1"/>
        <v>122.8</v>
      </c>
      <c r="D18" s="33">
        <f t="shared" si="2"/>
        <v>187.2</v>
      </c>
      <c r="E18" s="33">
        <f t="shared" si="0"/>
        <v>213</v>
      </c>
      <c r="F18" s="33">
        <f t="shared" si="0"/>
        <v>280.28571428571433</v>
      </c>
      <c r="G18" s="33">
        <f t="shared" si="0"/>
        <v>337</v>
      </c>
      <c r="H18" s="33">
        <f t="shared" si="0"/>
        <v>419.40000000000003</v>
      </c>
      <c r="I18" s="36" t="s">
        <v>300</v>
      </c>
      <c r="J18" s="33">
        <f>J17*$Q$12</f>
        <v>857.34663261515277</v>
      </c>
      <c r="K18" s="33">
        <f t="shared" ref="K18:N18" si="5">K17*$Q$12</f>
        <v>857.34663261515277</v>
      </c>
      <c r="L18" s="33">
        <f t="shared" si="5"/>
        <v>857.34663261515277</v>
      </c>
      <c r="M18" s="33">
        <f t="shared" si="5"/>
        <v>857.34663261515277</v>
      </c>
      <c r="N18" s="33">
        <f t="shared" si="5"/>
        <v>857.34663261515277</v>
      </c>
    </row>
    <row r="19" spans="1:19" ht="16.5">
      <c r="A19" s="48">
        <v>16</v>
      </c>
      <c r="B19" s="48">
        <v>317</v>
      </c>
      <c r="C19" s="48">
        <f t="shared" si="1"/>
        <v>126.8</v>
      </c>
      <c r="D19" s="33">
        <f t="shared" si="2"/>
        <v>193.20000000000002</v>
      </c>
      <c r="E19" s="33">
        <f t="shared" si="0"/>
        <v>219.66666666666669</v>
      </c>
      <c r="F19" s="33">
        <f t="shared" si="0"/>
        <v>288.85714285714289</v>
      </c>
      <c r="G19" s="33">
        <f t="shared" si="0"/>
        <v>347.00000000000006</v>
      </c>
      <c r="H19" s="33">
        <f t="shared" si="0"/>
        <v>431.40000000000003</v>
      </c>
      <c r="L19" s="57" t="s">
        <v>298</v>
      </c>
      <c r="M19" s="57" t="s">
        <v>299</v>
      </c>
      <c r="N19" s="57" t="s">
        <v>303</v>
      </c>
      <c r="O19" s="57" t="s">
        <v>304</v>
      </c>
      <c r="S19" s="36" t="s">
        <v>305</v>
      </c>
    </row>
    <row r="20" spans="1:19" ht="16.5">
      <c r="A20" s="48">
        <v>17</v>
      </c>
      <c r="B20" s="48">
        <v>326</v>
      </c>
      <c r="C20" s="48">
        <f t="shared" si="1"/>
        <v>130.4</v>
      </c>
      <c r="D20" s="33">
        <f t="shared" si="2"/>
        <v>198.60000000000002</v>
      </c>
      <c r="E20" s="33">
        <f t="shared" si="0"/>
        <v>225.66666666666669</v>
      </c>
      <c r="F20" s="33">
        <f t="shared" si="0"/>
        <v>296.57142857142856</v>
      </c>
      <c r="G20" s="33">
        <f t="shared" si="0"/>
        <v>356</v>
      </c>
      <c r="H20" s="33">
        <f t="shared" si="0"/>
        <v>442.20000000000005</v>
      </c>
      <c r="K20" s="36" t="s">
        <v>297</v>
      </c>
      <c r="L20" s="57">
        <v>704</v>
      </c>
      <c r="M20" s="57">
        <v>269</v>
      </c>
      <c r="N20" s="57">
        <v>171</v>
      </c>
      <c r="O20" s="57">
        <v>857</v>
      </c>
    </row>
    <row r="21" spans="1:19" ht="16.5">
      <c r="A21" s="48">
        <v>18</v>
      </c>
      <c r="B21" s="48">
        <v>336</v>
      </c>
      <c r="C21" s="48">
        <f t="shared" si="1"/>
        <v>134.4</v>
      </c>
      <c r="D21" s="33">
        <f t="shared" ref="D21:H36" si="6">($C21-D$2)/D$1*$N$7</f>
        <v>204.60000000000002</v>
      </c>
      <c r="E21" s="33">
        <f t="shared" si="0"/>
        <v>232.33333333333331</v>
      </c>
      <c r="F21" s="33">
        <f t="shared" si="0"/>
        <v>305.14285714285717</v>
      </c>
      <c r="G21" s="33">
        <f t="shared" si="0"/>
        <v>366.00000000000006</v>
      </c>
      <c r="H21" s="33">
        <f t="shared" si="0"/>
        <v>454.20000000000005</v>
      </c>
      <c r="J21" s="75" t="s">
        <v>289</v>
      </c>
      <c r="K21" s="76" t="s">
        <v>290</v>
      </c>
      <c r="Q21" s="36">
        <f>25*10/3/K22</f>
        <v>333.33333333333331</v>
      </c>
    </row>
    <row r="22" spans="1:19" ht="16.5">
      <c r="A22" s="48">
        <v>19</v>
      </c>
      <c r="B22" s="48">
        <v>345</v>
      </c>
      <c r="C22" s="48">
        <f t="shared" si="1"/>
        <v>138</v>
      </c>
      <c r="D22" s="33">
        <f t="shared" si="6"/>
        <v>210</v>
      </c>
      <c r="E22" s="33">
        <f t="shared" si="0"/>
        <v>238.33333333333331</v>
      </c>
      <c r="F22" s="33">
        <f t="shared" si="0"/>
        <v>312.85714285714289</v>
      </c>
      <c r="G22" s="33">
        <f t="shared" si="0"/>
        <v>375</v>
      </c>
      <c r="H22" s="33">
        <f t="shared" si="0"/>
        <v>465</v>
      </c>
      <c r="I22" s="33">
        <f>25/K22</f>
        <v>100</v>
      </c>
      <c r="J22" s="77" t="s">
        <v>291</v>
      </c>
      <c r="K22" s="78">
        <v>0.25</v>
      </c>
      <c r="L22" s="33">
        <f>L$20/$K22</f>
        <v>2816</v>
      </c>
      <c r="M22" s="33">
        <f t="shared" ref="M22:O31" si="7">M$20/$K22</f>
        <v>1076</v>
      </c>
      <c r="N22" s="33">
        <f t="shared" si="7"/>
        <v>684</v>
      </c>
      <c r="O22" s="33">
        <f t="shared" si="7"/>
        <v>3428</v>
      </c>
      <c r="Q22" s="36">
        <f t="shared" ref="Q22:Q23" si="8">25*10/3/K23</f>
        <v>83.333333333333329</v>
      </c>
      <c r="S22" s="33">
        <f>O22/9</f>
        <v>380.88888888888891</v>
      </c>
    </row>
    <row r="23" spans="1:19" ht="16.5">
      <c r="A23" s="48">
        <v>20</v>
      </c>
      <c r="B23" s="48">
        <v>355</v>
      </c>
      <c r="C23" s="48">
        <f t="shared" si="1"/>
        <v>142</v>
      </c>
      <c r="D23" s="33">
        <f t="shared" si="6"/>
        <v>216</v>
      </c>
      <c r="E23" s="33">
        <f t="shared" si="0"/>
        <v>245</v>
      </c>
      <c r="F23" s="33">
        <f t="shared" si="0"/>
        <v>321.42857142857144</v>
      </c>
      <c r="G23" s="33">
        <f t="shared" si="0"/>
        <v>385</v>
      </c>
      <c r="H23" s="33">
        <f t="shared" si="0"/>
        <v>477</v>
      </c>
      <c r="I23" s="33">
        <f t="shared" ref="I23:I31" si="9">25/K23</f>
        <v>25</v>
      </c>
      <c r="J23" s="77" t="s">
        <v>292</v>
      </c>
      <c r="K23" s="78">
        <v>1</v>
      </c>
      <c r="L23" s="33">
        <f t="shared" ref="L23:L31" si="10">L$20/$K23</f>
        <v>704</v>
      </c>
      <c r="M23" s="33">
        <f t="shared" si="7"/>
        <v>269</v>
      </c>
      <c r="N23" s="33">
        <f t="shared" si="7"/>
        <v>171</v>
      </c>
      <c r="O23" s="33">
        <f t="shared" si="7"/>
        <v>857</v>
      </c>
      <c r="Q23" s="36">
        <f t="shared" si="8"/>
        <v>157.23270440251571</v>
      </c>
      <c r="S23" s="33">
        <f t="shared" ref="S23:S31" si="11">O23/9</f>
        <v>95.222222222222229</v>
      </c>
    </row>
    <row r="24" spans="1:19" ht="16.5">
      <c r="A24" s="48">
        <v>21</v>
      </c>
      <c r="B24" s="48">
        <v>364</v>
      </c>
      <c r="C24" s="48">
        <f t="shared" si="1"/>
        <v>145.6</v>
      </c>
      <c r="D24" s="33">
        <f t="shared" si="6"/>
        <v>221.39999999999998</v>
      </c>
      <c r="E24" s="33">
        <f t="shared" si="6"/>
        <v>250.99999999999997</v>
      </c>
      <c r="F24" s="33">
        <f t="shared" si="6"/>
        <v>329.14285714285717</v>
      </c>
      <c r="G24" s="33">
        <f t="shared" si="6"/>
        <v>394</v>
      </c>
      <c r="H24" s="33">
        <f t="shared" si="6"/>
        <v>487.79999999999995</v>
      </c>
      <c r="I24" s="33">
        <f t="shared" si="9"/>
        <v>47.169811320754718</v>
      </c>
      <c r="J24" s="77" t="s">
        <v>293</v>
      </c>
      <c r="K24" s="78">
        <v>0.53</v>
      </c>
      <c r="L24" s="33">
        <f t="shared" si="10"/>
        <v>1328.3018867924527</v>
      </c>
      <c r="M24" s="33">
        <f t="shared" si="7"/>
        <v>507.54716981132071</v>
      </c>
      <c r="N24" s="33">
        <f t="shared" si="7"/>
        <v>322.64150943396226</v>
      </c>
      <c r="O24" s="33">
        <f t="shared" si="7"/>
        <v>1616.9811320754716</v>
      </c>
      <c r="S24" s="33">
        <f t="shared" si="11"/>
        <v>179.66457023060795</v>
      </c>
    </row>
    <row r="25" spans="1:19" ht="16.5">
      <c r="A25" s="48">
        <v>22</v>
      </c>
      <c r="B25" s="48">
        <v>377</v>
      </c>
      <c r="C25" s="48">
        <f t="shared" si="1"/>
        <v>150.80000000000001</v>
      </c>
      <c r="D25" s="33">
        <f t="shared" si="6"/>
        <v>229.20000000000002</v>
      </c>
      <c r="E25" s="33">
        <f t="shared" si="6"/>
        <v>259.66666666666669</v>
      </c>
      <c r="F25" s="33">
        <f t="shared" si="6"/>
        <v>340.28571428571433</v>
      </c>
      <c r="G25" s="33">
        <f t="shared" si="6"/>
        <v>407.00000000000006</v>
      </c>
      <c r="H25" s="33">
        <f t="shared" si="6"/>
        <v>503.40000000000003</v>
      </c>
      <c r="I25" s="33">
        <f t="shared" si="9"/>
        <v>16.556291390728475</v>
      </c>
      <c r="J25" s="77" t="s">
        <v>251</v>
      </c>
      <c r="K25" s="78">
        <v>1.51</v>
      </c>
      <c r="L25" s="33">
        <f t="shared" si="10"/>
        <v>466.2251655629139</v>
      </c>
      <c r="M25" s="33">
        <f t="shared" si="7"/>
        <v>178.14569536423841</v>
      </c>
      <c r="N25" s="33">
        <f t="shared" si="7"/>
        <v>113.24503311258277</v>
      </c>
      <c r="O25" s="33">
        <f t="shared" si="7"/>
        <v>567.5496688741722</v>
      </c>
      <c r="S25" s="33">
        <f t="shared" si="11"/>
        <v>63.061074319352464</v>
      </c>
    </row>
    <row r="26" spans="1:19" ht="16.5">
      <c r="A26" s="48">
        <v>23</v>
      </c>
      <c r="B26" s="48">
        <v>390</v>
      </c>
      <c r="C26" s="48">
        <f t="shared" si="1"/>
        <v>156</v>
      </c>
      <c r="D26" s="33">
        <f t="shared" si="6"/>
        <v>237</v>
      </c>
      <c r="E26" s="33">
        <f t="shared" si="6"/>
        <v>268.33333333333331</v>
      </c>
      <c r="F26" s="33">
        <f t="shared" si="6"/>
        <v>351.42857142857144</v>
      </c>
      <c r="G26" s="33">
        <f t="shared" si="6"/>
        <v>420</v>
      </c>
      <c r="H26" s="33">
        <f t="shared" si="6"/>
        <v>519</v>
      </c>
      <c r="I26" s="33">
        <f t="shared" si="9"/>
        <v>50</v>
      </c>
      <c r="J26" s="77" t="s">
        <v>250</v>
      </c>
      <c r="K26" s="78">
        <v>0.5</v>
      </c>
      <c r="L26" s="33">
        <f t="shared" si="10"/>
        <v>1408</v>
      </c>
      <c r="M26" s="33">
        <f t="shared" si="7"/>
        <v>538</v>
      </c>
      <c r="N26" s="33">
        <f t="shared" si="7"/>
        <v>342</v>
      </c>
      <c r="O26" s="33">
        <f t="shared" si="7"/>
        <v>1714</v>
      </c>
      <c r="S26" s="33">
        <f t="shared" si="11"/>
        <v>190.44444444444446</v>
      </c>
    </row>
    <row r="27" spans="1:19" ht="16.5">
      <c r="A27" s="48">
        <v>24</v>
      </c>
      <c r="B27" s="48">
        <v>402</v>
      </c>
      <c r="C27" s="48">
        <f t="shared" si="1"/>
        <v>160.80000000000001</v>
      </c>
      <c r="D27" s="33">
        <f t="shared" si="6"/>
        <v>244.20000000000002</v>
      </c>
      <c r="E27" s="33">
        <f t="shared" si="6"/>
        <v>276.33333333333337</v>
      </c>
      <c r="F27" s="33">
        <f t="shared" si="6"/>
        <v>361.71428571428578</v>
      </c>
      <c r="G27" s="33">
        <f t="shared" si="6"/>
        <v>432.00000000000011</v>
      </c>
      <c r="H27" s="33">
        <f t="shared" si="6"/>
        <v>533.40000000000009</v>
      </c>
      <c r="I27" s="33">
        <f t="shared" si="9"/>
        <v>22.123893805309738</v>
      </c>
      <c r="J27" s="77" t="s">
        <v>252</v>
      </c>
      <c r="K27" s="78">
        <v>1.1299999999999999</v>
      </c>
      <c r="L27" s="33">
        <f t="shared" si="10"/>
        <v>623.00884955752213</v>
      </c>
      <c r="M27" s="33">
        <f t="shared" si="7"/>
        <v>238.05309734513276</v>
      </c>
      <c r="N27" s="33">
        <f t="shared" si="7"/>
        <v>151.3274336283186</v>
      </c>
      <c r="O27" s="33">
        <f t="shared" si="7"/>
        <v>758.40707964601779</v>
      </c>
      <c r="S27" s="33">
        <f t="shared" si="11"/>
        <v>84.267453294001982</v>
      </c>
    </row>
    <row r="28" spans="1:19" ht="16.5">
      <c r="A28" s="48">
        <v>25</v>
      </c>
      <c r="B28" s="48">
        <v>415</v>
      </c>
      <c r="C28" s="48">
        <f t="shared" si="1"/>
        <v>166</v>
      </c>
      <c r="D28" s="33">
        <f t="shared" si="6"/>
        <v>252</v>
      </c>
      <c r="E28" s="33">
        <f t="shared" si="6"/>
        <v>285</v>
      </c>
      <c r="F28" s="33">
        <f t="shared" si="6"/>
        <v>372.85714285714289</v>
      </c>
      <c r="G28" s="33">
        <f t="shared" si="6"/>
        <v>445</v>
      </c>
      <c r="H28" s="33">
        <f t="shared" si="6"/>
        <v>549</v>
      </c>
      <c r="I28" s="33">
        <f t="shared" si="9"/>
        <v>22.123893805309738</v>
      </c>
      <c r="J28" s="77" t="s">
        <v>253</v>
      </c>
      <c r="K28" s="78">
        <v>1.1299999999999999</v>
      </c>
      <c r="L28" s="33">
        <f t="shared" si="10"/>
        <v>623.00884955752213</v>
      </c>
      <c r="M28" s="33">
        <f t="shared" si="7"/>
        <v>238.05309734513276</v>
      </c>
      <c r="N28" s="33">
        <f t="shared" si="7"/>
        <v>151.3274336283186</v>
      </c>
      <c r="O28" s="33">
        <f t="shared" si="7"/>
        <v>758.40707964601779</v>
      </c>
      <c r="S28" s="33">
        <f t="shared" si="11"/>
        <v>84.267453294001982</v>
      </c>
    </row>
    <row r="29" spans="1:19" ht="16.5">
      <c r="A29" s="48">
        <v>26</v>
      </c>
      <c r="B29" s="48">
        <v>428</v>
      </c>
      <c r="C29" s="48">
        <f t="shared" si="1"/>
        <v>171.2</v>
      </c>
      <c r="D29" s="33">
        <f t="shared" si="6"/>
        <v>259.79999999999995</v>
      </c>
      <c r="E29" s="33">
        <f t="shared" si="6"/>
        <v>293.66666666666663</v>
      </c>
      <c r="F29" s="33">
        <f t="shared" si="6"/>
        <v>384</v>
      </c>
      <c r="G29" s="33">
        <f t="shared" si="6"/>
        <v>458</v>
      </c>
      <c r="H29" s="33">
        <f t="shared" si="6"/>
        <v>564.59999999999991</v>
      </c>
      <c r="I29" s="33">
        <f t="shared" si="9"/>
        <v>13.36898395721925</v>
      </c>
      <c r="J29" s="77" t="s">
        <v>296</v>
      </c>
      <c r="K29" s="78">
        <v>1.87</v>
      </c>
      <c r="L29" s="33">
        <f t="shared" si="10"/>
        <v>376.47058823529409</v>
      </c>
      <c r="M29" s="33">
        <f t="shared" si="7"/>
        <v>143.85026737967914</v>
      </c>
      <c r="N29" s="33">
        <f t="shared" si="7"/>
        <v>91.443850267379673</v>
      </c>
      <c r="O29" s="33">
        <f t="shared" si="7"/>
        <v>458.2887700534759</v>
      </c>
      <c r="S29" s="33">
        <f t="shared" si="11"/>
        <v>50.920974450386211</v>
      </c>
    </row>
    <row r="30" spans="1:19" ht="16.5">
      <c r="A30" s="48">
        <v>27</v>
      </c>
      <c r="B30" s="48">
        <v>441</v>
      </c>
      <c r="C30" s="48">
        <f t="shared" si="1"/>
        <v>176.4</v>
      </c>
      <c r="D30" s="33">
        <f t="shared" si="6"/>
        <v>267.60000000000002</v>
      </c>
      <c r="E30" s="33">
        <f t="shared" si="6"/>
        <v>302.33333333333331</v>
      </c>
      <c r="F30" s="33">
        <f t="shared" si="6"/>
        <v>395.14285714285717</v>
      </c>
      <c r="G30" s="33">
        <f t="shared" si="6"/>
        <v>471</v>
      </c>
      <c r="H30" s="33">
        <f t="shared" si="6"/>
        <v>580.20000000000005</v>
      </c>
      <c r="I30" s="33">
        <f t="shared" si="9"/>
        <v>28.40909090909091</v>
      </c>
      <c r="J30" s="77" t="s">
        <v>294</v>
      </c>
      <c r="K30" s="78">
        <v>0.88</v>
      </c>
      <c r="L30" s="33">
        <f t="shared" si="10"/>
        <v>800</v>
      </c>
      <c r="M30" s="33">
        <f t="shared" si="7"/>
        <v>305.68181818181819</v>
      </c>
      <c r="N30" s="33">
        <f t="shared" si="7"/>
        <v>194.31818181818181</v>
      </c>
      <c r="O30" s="33">
        <f t="shared" si="7"/>
        <v>973.86363636363637</v>
      </c>
      <c r="S30" s="33">
        <f t="shared" si="11"/>
        <v>108.20707070707071</v>
      </c>
    </row>
    <row r="31" spans="1:19" ht="16.5">
      <c r="A31" s="48">
        <v>28</v>
      </c>
      <c r="B31" s="48">
        <v>453</v>
      </c>
      <c r="C31" s="48">
        <f t="shared" si="1"/>
        <v>181.2</v>
      </c>
      <c r="D31" s="33">
        <f t="shared" si="6"/>
        <v>274.79999999999995</v>
      </c>
      <c r="E31" s="33">
        <f t="shared" si="6"/>
        <v>310.33333333333326</v>
      </c>
      <c r="F31" s="33">
        <f t="shared" si="6"/>
        <v>405.42857142857144</v>
      </c>
      <c r="G31" s="33">
        <f t="shared" si="6"/>
        <v>483</v>
      </c>
      <c r="H31" s="33">
        <f t="shared" si="6"/>
        <v>594.59999999999991</v>
      </c>
      <c r="I31" s="33">
        <f t="shared" si="9"/>
        <v>29.761904761904763</v>
      </c>
      <c r="J31" s="79" t="s">
        <v>295</v>
      </c>
      <c r="K31" s="80">
        <v>0.84</v>
      </c>
      <c r="L31" s="33">
        <f t="shared" si="10"/>
        <v>838.09523809523807</v>
      </c>
      <c r="M31" s="33">
        <f t="shared" si="7"/>
        <v>320.23809523809524</v>
      </c>
      <c r="N31" s="33">
        <f t="shared" si="7"/>
        <v>203.57142857142858</v>
      </c>
      <c r="O31" s="33">
        <f t="shared" si="7"/>
        <v>1020.2380952380953</v>
      </c>
      <c r="S31" s="33">
        <f t="shared" si="11"/>
        <v>113.35978835978837</v>
      </c>
    </row>
    <row r="32" spans="1:19" ht="16.5">
      <c r="A32" s="48">
        <v>29</v>
      </c>
      <c r="B32" s="48">
        <v>466</v>
      </c>
      <c r="C32" s="48">
        <f t="shared" si="1"/>
        <v>186.4</v>
      </c>
      <c r="D32" s="33">
        <f t="shared" si="6"/>
        <v>282.60000000000002</v>
      </c>
      <c r="E32" s="33">
        <f t="shared" si="6"/>
        <v>319</v>
      </c>
      <c r="F32" s="33">
        <f t="shared" si="6"/>
        <v>416.57142857142856</v>
      </c>
      <c r="G32" s="33">
        <f t="shared" si="6"/>
        <v>496</v>
      </c>
      <c r="H32" s="33">
        <f t="shared" si="6"/>
        <v>610.20000000000005</v>
      </c>
    </row>
    <row r="33" spans="1:14" ht="16.5">
      <c r="A33" s="48">
        <v>30</v>
      </c>
      <c r="B33" s="48">
        <v>479</v>
      </c>
      <c r="C33" s="48">
        <f t="shared" si="1"/>
        <v>191.6</v>
      </c>
      <c r="D33" s="33">
        <f t="shared" si="6"/>
        <v>290.39999999999998</v>
      </c>
      <c r="E33" s="33">
        <f t="shared" si="6"/>
        <v>327.66666666666663</v>
      </c>
      <c r="F33" s="33">
        <f t="shared" si="6"/>
        <v>427.71428571428578</v>
      </c>
      <c r="G33" s="33">
        <f t="shared" si="6"/>
        <v>509</v>
      </c>
      <c r="H33" s="33">
        <f t="shared" si="6"/>
        <v>625.79999999999995</v>
      </c>
    </row>
    <row r="34" spans="1:14" ht="16.5">
      <c r="A34" s="48">
        <v>31</v>
      </c>
      <c r="B34" s="48">
        <v>492</v>
      </c>
      <c r="C34" s="48">
        <f t="shared" si="1"/>
        <v>196.8</v>
      </c>
      <c r="D34" s="33">
        <f t="shared" si="6"/>
        <v>298.20000000000005</v>
      </c>
      <c r="E34" s="33">
        <f t="shared" si="6"/>
        <v>336.33333333333337</v>
      </c>
      <c r="F34" s="33">
        <f t="shared" si="6"/>
        <v>438.85714285714289</v>
      </c>
      <c r="G34" s="33">
        <f t="shared" si="6"/>
        <v>522.00000000000011</v>
      </c>
      <c r="H34" s="33">
        <f t="shared" si="6"/>
        <v>641.40000000000009</v>
      </c>
    </row>
    <row r="35" spans="1:14" ht="16.5">
      <c r="A35" s="48">
        <v>32</v>
      </c>
      <c r="B35" s="48">
        <v>509</v>
      </c>
      <c r="C35" s="48">
        <f t="shared" si="1"/>
        <v>203.6</v>
      </c>
      <c r="D35" s="33">
        <f t="shared" si="6"/>
        <v>308.39999999999998</v>
      </c>
      <c r="E35" s="33">
        <f t="shared" si="6"/>
        <v>347.66666666666663</v>
      </c>
      <c r="F35" s="33">
        <f t="shared" si="6"/>
        <v>453.42857142857144</v>
      </c>
      <c r="G35" s="33">
        <f t="shared" si="6"/>
        <v>539</v>
      </c>
      <c r="H35" s="33">
        <f t="shared" si="6"/>
        <v>661.8</v>
      </c>
    </row>
    <row r="36" spans="1:14" ht="16.5">
      <c r="A36" s="48">
        <v>33</v>
      </c>
      <c r="B36" s="48">
        <v>526</v>
      </c>
      <c r="C36" s="48">
        <f t="shared" si="1"/>
        <v>210.4</v>
      </c>
      <c r="D36" s="33">
        <f t="shared" si="6"/>
        <v>318.60000000000002</v>
      </c>
      <c r="E36" s="33">
        <f t="shared" si="6"/>
        <v>359</v>
      </c>
      <c r="F36" s="33">
        <f t="shared" si="6"/>
        <v>468</v>
      </c>
      <c r="G36" s="33">
        <f t="shared" si="6"/>
        <v>556</v>
      </c>
      <c r="H36" s="33">
        <f t="shared" si="6"/>
        <v>682.2</v>
      </c>
      <c r="N36" s="36">
        <f>L22/N22</f>
        <v>4.1169590643274852</v>
      </c>
    </row>
    <row r="37" spans="1:14" ht="16.5">
      <c r="A37" s="48">
        <v>34</v>
      </c>
      <c r="B37" s="48">
        <v>543</v>
      </c>
      <c r="C37" s="48">
        <f t="shared" si="1"/>
        <v>217.2</v>
      </c>
      <c r="D37" s="33">
        <f t="shared" ref="D37:H52" si="12">($C37-D$2)/D$1*$N$7</f>
        <v>328.79999999999995</v>
      </c>
      <c r="E37" s="33">
        <f t="shared" si="12"/>
        <v>370.33333333333326</v>
      </c>
      <c r="F37" s="33">
        <f t="shared" si="12"/>
        <v>482.57142857142856</v>
      </c>
      <c r="G37" s="33">
        <f t="shared" si="12"/>
        <v>573</v>
      </c>
      <c r="H37" s="33">
        <f t="shared" si="12"/>
        <v>702.59999999999991</v>
      </c>
      <c r="N37" s="36">
        <v>100</v>
      </c>
    </row>
    <row r="38" spans="1:14" ht="16.5">
      <c r="A38" s="48">
        <v>35</v>
      </c>
      <c r="B38" s="48">
        <v>560</v>
      </c>
      <c r="C38" s="48">
        <f t="shared" si="1"/>
        <v>224</v>
      </c>
      <c r="D38" s="33">
        <f t="shared" si="12"/>
        <v>339</v>
      </c>
      <c r="E38" s="33">
        <f t="shared" si="12"/>
        <v>381.66666666666663</v>
      </c>
      <c r="F38" s="33">
        <f t="shared" si="12"/>
        <v>497.14285714285717</v>
      </c>
      <c r="G38" s="33">
        <f t="shared" si="12"/>
        <v>590</v>
      </c>
      <c r="H38" s="33">
        <f t="shared" si="12"/>
        <v>723</v>
      </c>
      <c r="N38" s="36">
        <f>95+50*5</f>
        <v>345</v>
      </c>
    </row>
    <row r="39" spans="1:14" ht="16.5">
      <c r="A39" s="48">
        <v>36</v>
      </c>
      <c r="B39" s="48">
        <v>578</v>
      </c>
      <c r="C39" s="48">
        <f t="shared" si="1"/>
        <v>231.2</v>
      </c>
      <c r="D39" s="33">
        <f t="shared" si="12"/>
        <v>349.79999999999995</v>
      </c>
      <c r="E39" s="33">
        <f t="shared" si="12"/>
        <v>393.66666666666663</v>
      </c>
      <c r="F39" s="33">
        <f t="shared" si="12"/>
        <v>512.57142857142856</v>
      </c>
      <c r="G39" s="33">
        <f t="shared" si="12"/>
        <v>608</v>
      </c>
      <c r="H39" s="33">
        <f t="shared" si="12"/>
        <v>744.59999999999991</v>
      </c>
    </row>
    <row r="40" spans="1:14" ht="16.5">
      <c r="A40" s="48">
        <v>37</v>
      </c>
      <c r="B40" s="48">
        <v>595</v>
      </c>
      <c r="C40" s="48">
        <f t="shared" si="1"/>
        <v>238</v>
      </c>
      <c r="D40" s="33">
        <f t="shared" si="12"/>
        <v>360</v>
      </c>
      <c r="E40" s="33">
        <f t="shared" si="12"/>
        <v>405</v>
      </c>
      <c r="F40" s="33">
        <f t="shared" si="12"/>
        <v>527.14285714285711</v>
      </c>
      <c r="G40" s="33">
        <f t="shared" si="12"/>
        <v>625</v>
      </c>
      <c r="H40" s="33">
        <f t="shared" si="12"/>
        <v>765</v>
      </c>
    </row>
    <row r="41" spans="1:14" ht="16.5">
      <c r="A41" s="48">
        <v>38</v>
      </c>
      <c r="B41" s="48">
        <v>612</v>
      </c>
      <c r="C41" s="48">
        <f t="shared" si="1"/>
        <v>244.8</v>
      </c>
      <c r="D41" s="33">
        <f t="shared" si="12"/>
        <v>370.20000000000005</v>
      </c>
      <c r="E41" s="33">
        <f t="shared" si="12"/>
        <v>416.33333333333331</v>
      </c>
      <c r="F41" s="33">
        <f t="shared" si="12"/>
        <v>541.71428571428578</v>
      </c>
      <c r="G41" s="33">
        <f t="shared" si="12"/>
        <v>642.00000000000011</v>
      </c>
      <c r="H41" s="33">
        <f t="shared" si="12"/>
        <v>785.40000000000009</v>
      </c>
    </row>
    <row r="42" spans="1:14" ht="16.5">
      <c r="A42" s="48">
        <v>39</v>
      </c>
      <c r="B42" s="48">
        <v>629</v>
      </c>
      <c r="C42" s="48">
        <f t="shared" si="1"/>
        <v>251.6</v>
      </c>
      <c r="D42" s="33">
        <f t="shared" si="12"/>
        <v>380.4</v>
      </c>
      <c r="E42" s="33">
        <f t="shared" si="12"/>
        <v>427.66666666666674</v>
      </c>
      <c r="F42" s="33">
        <f t="shared" si="12"/>
        <v>556.28571428571433</v>
      </c>
      <c r="G42" s="33">
        <f t="shared" si="12"/>
        <v>659</v>
      </c>
      <c r="H42" s="33">
        <f t="shared" si="12"/>
        <v>805.80000000000007</v>
      </c>
    </row>
    <row r="43" spans="1:14" ht="16.5">
      <c r="A43" s="48">
        <v>40</v>
      </c>
      <c r="B43" s="48">
        <v>647</v>
      </c>
      <c r="C43" s="48">
        <f t="shared" si="1"/>
        <v>258.8</v>
      </c>
      <c r="D43" s="33">
        <f t="shared" si="12"/>
        <v>391.20000000000005</v>
      </c>
      <c r="E43" s="33">
        <f t="shared" si="12"/>
        <v>439.66666666666674</v>
      </c>
      <c r="F43" s="33">
        <f t="shared" si="12"/>
        <v>571.71428571428578</v>
      </c>
      <c r="G43" s="33">
        <f t="shared" si="12"/>
        <v>677</v>
      </c>
      <c r="H43" s="33">
        <f t="shared" si="12"/>
        <v>827.40000000000009</v>
      </c>
    </row>
    <row r="44" spans="1:14" ht="16.5">
      <c r="A44" s="48">
        <v>41</v>
      </c>
      <c r="B44" s="48">
        <v>664</v>
      </c>
      <c r="C44" s="48">
        <f t="shared" si="1"/>
        <v>265.60000000000002</v>
      </c>
      <c r="D44" s="33">
        <f t="shared" si="12"/>
        <v>401.40000000000003</v>
      </c>
      <c r="E44" s="33">
        <f t="shared" si="12"/>
        <v>451</v>
      </c>
      <c r="F44" s="33">
        <f t="shared" si="12"/>
        <v>586.28571428571433</v>
      </c>
      <c r="G44" s="33">
        <f t="shared" si="12"/>
        <v>694.00000000000011</v>
      </c>
      <c r="H44" s="33">
        <f t="shared" si="12"/>
        <v>847.80000000000007</v>
      </c>
    </row>
    <row r="45" spans="1:14" ht="16.5">
      <c r="A45" s="48">
        <v>42</v>
      </c>
      <c r="B45" s="48">
        <v>687</v>
      </c>
      <c r="C45" s="48">
        <f t="shared" si="1"/>
        <v>274.8</v>
      </c>
      <c r="D45" s="33">
        <f t="shared" si="12"/>
        <v>415.20000000000005</v>
      </c>
      <c r="E45" s="33">
        <f t="shared" si="12"/>
        <v>466.33333333333337</v>
      </c>
      <c r="F45" s="33">
        <f t="shared" si="12"/>
        <v>606.00000000000011</v>
      </c>
      <c r="G45" s="33">
        <f t="shared" si="12"/>
        <v>717.00000000000011</v>
      </c>
      <c r="H45" s="33">
        <f t="shared" si="12"/>
        <v>875.40000000000009</v>
      </c>
    </row>
    <row r="46" spans="1:14" ht="16.5">
      <c r="A46" s="48">
        <v>43</v>
      </c>
      <c r="B46" s="48">
        <v>710</v>
      </c>
      <c r="C46" s="48">
        <f t="shared" si="1"/>
        <v>284</v>
      </c>
      <c r="D46" s="33">
        <f t="shared" si="12"/>
        <v>429</v>
      </c>
      <c r="E46" s="33">
        <f t="shared" si="12"/>
        <v>481.66666666666663</v>
      </c>
      <c r="F46" s="33">
        <f t="shared" si="12"/>
        <v>625.71428571428578</v>
      </c>
      <c r="G46" s="33">
        <f t="shared" si="12"/>
        <v>740</v>
      </c>
      <c r="H46" s="33">
        <f t="shared" si="12"/>
        <v>903</v>
      </c>
    </row>
    <row r="47" spans="1:14" ht="16.5">
      <c r="A47" s="48">
        <v>44</v>
      </c>
      <c r="B47" s="48">
        <v>734</v>
      </c>
      <c r="C47" s="48">
        <f t="shared" si="1"/>
        <v>293.60000000000002</v>
      </c>
      <c r="D47" s="33">
        <f t="shared" si="12"/>
        <v>443.40000000000003</v>
      </c>
      <c r="E47" s="33">
        <f t="shared" si="12"/>
        <v>497.66666666666663</v>
      </c>
      <c r="F47" s="33">
        <f t="shared" si="12"/>
        <v>646.28571428571433</v>
      </c>
      <c r="G47" s="33">
        <f t="shared" si="12"/>
        <v>764</v>
      </c>
      <c r="H47" s="33">
        <f t="shared" si="12"/>
        <v>931.80000000000007</v>
      </c>
    </row>
    <row r="48" spans="1:14" ht="16.5">
      <c r="A48" s="48">
        <v>45</v>
      </c>
      <c r="B48" s="48">
        <v>757</v>
      </c>
      <c r="C48" s="48">
        <f t="shared" si="1"/>
        <v>302.8</v>
      </c>
      <c r="D48" s="33">
        <f t="shared" si="12"/>
        <v>457.20000000000005</v>
      </c>
      <c r="E48" s="33">
        <f t="shared" si="12"/>
        <v>513</v>
      </c>
      <c r="F48" s="33">
        <f t="shared" si="12"/>
        <v>666.00000000000011</v>
      </c>
      <c r="G48" s="33">
        <f t="shared" si="12"/>
        <v>787.00000000000011</v>
      </c>
      <c r="H48" s="33">
        <f t="shared" si="12"/>
        <v>959.40000000000009</v>
      </c>
    </row>
    <row r="49" spans="1:8" ht="16.5">
      <c r="A49" s="48">
        <v>46</v>
      </c>
      <c r="B49" s="48">
        <v>780</v>
      </c>
      <c r="C49" s="48">
        <f t="shared" si="1"/>
        <v>312</v>
      </c>
      <c r="D49" s="33">
        <f t="shared" si="12"/>
        <v>471</v>
      </c>
      <c r="E49" s="33">
        <f t="shared" si="12"/>
        <v>528.33333333333337</v>
      </c>
      <c r="F49" s="33">
        <f t="shared" si="12"/>
        <v>685.71428571428578</v>
      </c>
      <c r="G49" s="33">
        <f t="shared" si="12"/>
        <v>810</v>
      </c>
      <c r="H49" s="33">
        <f t="shared" si="12"/>
        <v>987</v>
      </c>
    </row>
    <row r="50" spans="1:8" ht="16.5">
      <c r="A50" s="48">
        <v>47</v>
      </c>
      <c r="B50" s="48">
        <v>803</v>
      </c>
      <c r="C50" s="48">
        <f t="shared" si="1"/>
        <v>321.2</v>
      </c>
      <c r="D50" s="33">
        <f t="shared" si="12"/>
        <v>484.79999999999995</v>
      </c>
      <c r="E50" s="33">
        <f t="shared" si="12"/>
        <v>543.66666666666663</v>
      </c>
      <c r="F50" s="33">
        <f t="shared" si="12"/>
        <v>705.42857142857144</v>
      </c>
      <c r="G50" s="33">
        <f t="shared" si="12"/>
        <v>833</v>
      </c>
      <c r="H50" s="33">
        <f t="shared" si="12"/>
        <v>1014.5999999999999</v>
      </c>
    </row>
    <row r="51" spans="1:8" ht="16.5">
      <c r="A51" s="48">
        <v>48</v>
      </c>
      <c r="B51" s="48">
        <v>827</v>
      </c>
      <c r="C51" s="48">
        <f t="shared" si="1"/>
        <v>330.8</v>
      </c>
      <c r="D51" s="33">
        <f t="shared" si="12"/>
        <v>499.20000000000005</v>
      </c>
      <c r="E51" s="33">
        <f t="shared" si="12"/>
        <v>559.66666666666674</v>
      </c>
      <c r="F51" s="33">
        <f t="shared" si="12"/>
        <v>726.00000000000011</v>
      </c>
      <c r="G51" s="33">
        <f t="shared" si="12"/>
        <v>857</v>
      </c>
      <c r="H51" s="33">
        <f t="shared" si="12"/>
        <v>1043.4000000000001</v>
      </c>
    </row>
    <row r="52" spans="1:8" ht="16.5">
      <c r="A52" s="48">
        <v>49</v>
      </c>
      <c r="B52" s="48">
        <v>850</v>
      </c>
      <c r="C52" s="48">
        <f t="shared" si="1"/>
        <v>340</v>
      </c>
      <c r="D52" s="33">
        <f t="shared" si="12"/>
        <v>513</v>
      </c>
      <c r="E52" s="33">
        <f t="shared" si="12"/>
        <v>575</v>
      </c>
      <c r="F52" s="33">
        <f t="shared" si="12"/>
        <v>745.71428571428578</v>
      </c>
      <c r="G52" s="33">
        <f t="shared" si="12"/>
        <v>880.00000000000011</v>
      </c>
      <c r="H52" s="33">
        <f t="shared" si="12"/>
        <v>1071</v>
      </c>
    </row>
    <row r="53" spans="1:8" ht="16.5">
      <c r="A53" s="48">
        <v>50</v>
      </c>
      <c r="B53" s="48">
        <v>873</v>
      </c>
      <c r="C53" s="48">
        <f t="shared" si="1"/>
        <v>349.2</v>
      </c>
      <c r="D53" s="33">
        <f t="shared" ref="D53:H53" si="13">($C53-D$2)/D$1*$N$7</f>
        <v>526.79999999999995</v>
      </c>
      <c r="E53" s="33">
        <f t="shared" si="13"/>
        <v>590.33333333333326</v>
      </c>
      <c r="F53" s="33">
        <f t="shared" si="13"/>
        <v>765.42857142857144</v>
      </c>
      <c r="G53" s="33">
        <f t="shared" si="13"/>
        <v>903</v>
      </c>
      <c r="H53" s="33">
        <f t="shared" si="13"/>
        <v>1098.5999999999999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zoomScale="85" zoomScaleNormal="85" workbookViewId="0">
      <selection activeCell="B51" sqref="B51"/>
    </sheetView>
  </sheetViews>
  <sheetFormatPr defaultRowHeight="13.5"/>
  <cols>
    <col min="4" max="4" width="9" style="29"/>
    <col min="7" max="10" width="9" style="36"/>
  </cols>
  <sheetData>
    <row r="1" spans="1:15">
      <c r="A1">
        <v>300</v>
      </c>
      <c r="B1">
        <v>120</v>
      </c>
      <c r="C1">
        <f>A1+B1</f>
        <v>420</v>
      </c>
      <c r="D1" s="66">
        <f>A1/C1</f>
        <v>0.7142857142857143</v>
      </c>
      <c r="E1">
        <f>C1/F1</f>
        <v>4.2</v>
      </c>
      <c r="F1">
        <f>5*ROW(C1)+95</f>
        <v>100</v>
      </c>
      <c r="G1" s="36">
        <f>3</f>
        <v>3</v>
      </c>
      <c r="H1" s="36">
        <f>E1/G1</f>
        <v>1.4000000000000001</v>
      </c>
      <c r="I1" s="36">
        <v>1</v>
      </c>
      <c r="J1" s="36">
        <f>I1*H1</f>
        <v>1.4000000000000001</v>
      </c>
      <c r="K1">
        <f>LN(1.35)</f>
        <v>0.30010459245033816</v>
      </c>
      <c r="L1">
        <f>K1/10</f>
        <v>3.0010459245033816E-2</v>
      </c>
      <c r="M1">
        <f>EXP(L1)</f>
        <v>1.0304653117863476</v>
      </c>
      <c r="N1">
        <f>计算24级时装备属性位数!J22</f>
        <v>77.166606624987665</v>
      </c>
      <c r="O1">
        <f>ROUND(N1,0)</f>
        <v>77</v>
      </c>
    </row>
    <row r="2" spans="1:15">
      <c r="A2">
        <v>306</v>
      </c>
      <c r="B2">
        <f>C2-A2</f>
        <v>126.795430950266</v>
      </c>
      <c r="C2">
        <f>C1*$M$1</f>
        <v>432.795430950266</v>
      </c>
      <c r="D2" s="66">
        <f t="shared" ref="D2:D50" si="0">A2/C2</f>
        <v>0.70703149367388651</v>
      </c>
      <c r="E2" s="36">
        <f t="shared" ref="E2:E50" si="1">C2/F2</f>
        <v>4.1218612471453904</v>
      </c>
      <c r="F2" s="36">
        <f t="shared" ref="F2:F50" si="2">5*ROW(C2)+95</f>
        <v>105</v>
      </c>
      <c r="G2" s="36">
        <f>3</f>
        <v>3</v>
      </c>
      <c r="H2" s="36">
        <f t="shared" ref="H2:H50" si="3">E2/G2</f>
        <v>1.3739537490484635</v>
      </c>
      <c r="I2" s="36">
        <v>1</v>
      </c>
      <c r="J2" s="36">
        <f t="shared" ref="J2:J50" si="4">I2*H2</f>
        <v>1.3739537490484635</v>
      </c>
      <c r="N2">
        <f>$N$1/$B$1*B2</f>
        <v>81.536442849874689</v>
      </c>
      <c r="O2" s="36">
        <f t="shared" ref="O2:O50" si="5">ROUND(N2,0)</f>
        <v>82</v>
      </c>
    </row>
    <row r="3" spans="1:15">
      <c r="A3" s="36">
        <v>312</v>
      </c>
      <c r="B3" s="36">
        <f t="shared" ref="B3:B50" si="6">C3-A3</f>
        <v>133.98067869387251</v>
      </c>
      <c r="C3" s="36">
        <f t="shared" ref="C3:C50" si="7">C2*$M$1</f>
        <v>445.98067869387251</v>
      </c>
      <c r="D3" s="66">
        <f t="shared" si="0"/>
        <v>0.69958187631298985</v>
      </c>
      <c r="E3" s="36">
        <f t="shared" si="1"/>
        <v>4.0543698063079319</v>
      </c>
      <c r="F3" s="36">
        <f t="shared" si="2"/>
        <v>110</v>
      </c>
      <c r="G3" s="36">
        <f>3</f>
        <v>3</v>
      </c>
      <c r="H3" s="36">
        <f t="shared" si="3"/>
        <v>1.351456602102644</v>
      </c>
      <c r="I3" s="36">
        <v>1</v>
      </c>
      <c r="J3" s="36">
        <f t="shared" si="4"/>
        <v>1.351456602102644</v>
      </c>
      <c r="N3" s="36">
        <f t="shared" ref="N3:N50" si="8">$N$1/$B$1*B3</f>
        <v>86.156952734324392</v>
      </c>
      <c r="O3" s="36">
        <f t="shared" si="5"/>
        <v>86</v>
      </c>
    </row>
    <row r="4" spans="1:15">
      <c r="A4" s="36">
        <v>318</v>
      </c>
      <c r="B4" s="36">
        <f t="shared" si="6"/>
        <v>141.56761912096823</v>
      </c>
      <c r="C4" s="36">
        <f t="shared" si="7"/>
        <v>459.56761912096823</v>
      </c>
      <c r="D4" s="66">
        <f t="shared" si="0"/>
        <v>0.6919547565345231</v>
      </c>
      <c r="E4" s="36">
        <f t="shared" si="1"/>
        <v>3.9962401662692888</v>
      </c>
      <c r="F4" s="36">
        <f t="shared" si="2"/>
        <v>115</v>
      </c>
      <c r="G4" s="36">
        <f>3</f>
        <v>3</v>
      </c>
      <c r="H4" s="36">
        <f t="shared" si="3"/>
        <v>1.3320800554230963</v>
      </c>
      <c r="I4" s="36">
        <v>1</v>
      </c>
      <c r="J4" s="36">
        <f t="shared" si="4"/>
        <v>1.3320800554230963</v>
      </c>
      <c r="N4" s="36">
        <f t="shared" si="8"/>
        <v>91.035773129531989</v>
      </c>
      <c r="O4" s="36">
        <f t="shared" si="5"/>
        <v>91</v>
      </c>
    </row>
    <row r="5" spans="1:15">
      <c r="A5" s="36">
        <v>324</v>
      </c>
      <c r="B5" s="36">
        <f t="shared" si="6"/>
        <v>149.56848992439797</v>
      </c>
      <c r="C5" s="36">
        <f t="shared" si="7"/>
        <v>473.56848992439797</v>
      </c>
      <c r="D5" s="66">
        <f t="shared" si="0"/>
        <v>0.6841671413816498</v>
      </c>
      <c r="E5" s="36">
        <f t="shared" si="1"/>
        <v>3.9464040827033164</v>
      </c>
      <c r="F5" s="36">
        <f t="shared" si="2"/>
        <v>120</v>
      </c>
      <c r="G5" s="36">
        <f>3</f>
        <v>3</v>
      </c>
      <c r="H5" s="36">
        <f t="shared" si="3"/>
        <v>1.3154680275677721</v>
      </c>
      <c r="I5" s="36">
        <v>1</v>
      </c>
      <c r="J5" s="36">
        <f t="shared" si="4"/>
        <v>1.3154680275677721</v>
      </c>
      <c r="N5" s="36">
        <f t="shared" si="8"/>
        <v>96.18077354574541</v>
      </c>
      <c r="O5" s="36">
        <f t="shared" si="5"/>
        <v>96</v>
      </c>
    </row>
    <row r="6" spans="1:15">
      <c r="A6" s="36">
        <v>330</v>
      </c>
      <c r="B6" s="36">
        <f t="shared" si="6"/>
        <v>157.99590162213457</v>
      </c>
      <c r="C6" s="36">
        <f t="shared" si="7"/>
        <v>487.99590162213457</v>
      </c>
      <c r="D6" s="66">
        <f t="shared" si="0"/>
        <v>0.67623518743304101</v>
      </c>
      <c r="E6" s="36">
        <f t="shared" si="1"/>
        <v>3.9039672129770766</v>
      </c>
      <c r="F6" s="36">
        <f t="shared" si="2"/>
        <v>125</v>
      </c>
      <c r="G6" s="36">
        <f>3</f>
        <v>3</v>
      </c>
      <c r="H6" s="36">
        <f t="shared" si="3"/>
        <v>1.3013224043256921</v>
      </c>
      <c r="I6" s="36">
        <v>1</v>
      </c>
      <c r="J6" s="36">
        <f t="shared" si="4"/>
        <v>1.3013224043256921</v>
      </c>
      <c r="N6" s="36">
        <f t="shared" si="8"/>
        <v>101.60006324029591</v>
      </c>
      <c r="O6" s="36">
        <f t="shared" si="5"/>
        <v>102</v>
      </c>
    </row>
    <row r="7" spans="1:15">
      <c r="A7" s="36">
        <v>336</v>
      </c>
      <c r="B7" s="36">
        <f t="shared" si="6"/>
        <v>166.8628489155127</v>
      </c>
      <c r="C7" s="36">
        <f t="shared" si="7"/>
        <v>502.8628489155127</v>
      </c>
      <c r="D7" s="66">
        <f t="shared" si="0"/>
        <v>0.66817423622490002</v>
      </c>
      <c r="E7" s="36">
        <f t="shared" si="1"/>
        <v>3.8681757608885592</v>
      </c>
      <c r="F7" s="36">
        <f t="shared" si="2"/>
        <v>130</v>
      </c>
      <c r="G7" s="36">
        <f>3</f>
        <v>3</v>
      </c>
      <c r="H7" s="36">
        <f t="shared" si="3"/>
        <v>1.2893919202961863</v>
      </c>
      <c r="I7" s="36">
        <v>1</v>
      </c>
      <c r="J7" s="36">
        <f t="shared" si="4"/>
        <v>1.2893919202961863</v>
      </c>
      <c r="N7" s="36">
        <f t="shared" si="8"/>
        <v>107.30199852156765</v>
      </c>
      <c r="O7" s="36">
        <f t="shared" si="5"/>
        <v>107</v>
      </c>
    </row>
    <row r="8" spans="1:15">
      <c r="A8" s="36">
        <v>342</v>
      </c>
      <c r="B8" s="36">
        <f t="shared" si="6"/>
        <v>176.18272239349483</v>
      </c>
      <c r="C8" s="36">
        <f t="shared" si="7"/>
        <v>518.18272239349483</v>
      </c>
      <c r="D8" s="66">
        <f t="shared" si="0"/>
        <v>0.65999884832187417</v>
      </c>
      <c r="E8" s="36">
        <f t="shared" si="1"/>
        <v>3.8383905362481099</v>
      </c>
      <c r="F8" s="36">
        <f t="shared" si="2"/>
        <v>135</v>
      </c>
      <c r="G8" s="36">
        <f>3</f>
        <v>3</v>
      </c>
      <c r="H8" s="36">
        <f t="shared" si="3"/>
        <v>1.2794635120827034</v>
      </c>
      <c r="I8" s="36">
        <v>1</v>
      </c>
      <c r="J8" s="36">
        <f t="shared" si="4"/>
        <v>1.2794635120827034</v>
      </c>
      <c r="N8" s="36">
        <f t="shared" si="8"/>
        <v>113.29519027548518</v>
      </c>
      <c r="O8" s="36">
        <f t="shared" si="5"/>
        <v>113</v>
      </c>
    </row>
    <row r="9" spans="1:15">
      <c r="A9" s="36">
        <v>348</v>
      </c>
      <c r="B9" s="36">
        <f t="shared" si="6"/>
        <v>185.96932059351104</v>
      </c>
      <c r="C9" s="36">
        <f t="shared" si="7"/>
        <v>533.96932059351104</v>
      </c>
      <c r="D9" s="66">
        <f t="shared" si="0"/>
        <v>0.65172283608577974</v>
      </c>
      <c r="E9" s="36">
        <f t="shared" si="1"/>
        <v>3.8140665756679359</v>
      </c>
      <c r="F9" s="36">
        <f t="shared" si="2"/>
        <v>140</v>
      </c>
      <c r="G9" s="36">
        <f>3</f>
        <v>3</v>
      </c>
      <c r="H9" s="36">
        <f t="shared" si="3"/>
        <v>1.2713555252226454</v>
      </c>
      <c r="I9" s="36">
        <v>1</v>
      </c>
      <c r="J9" s="36">
        <f t="shared" si="4"/>
        <v>1.2713555252226454</v>
      </c>
      <c r="N9" s="36">
        <f t="shared" si="8"/>
        <v>119.58851172129738</v>
      </c>
      <c r="O9" s="36">
        <f t="shared" si="5"/>
        <v>120</v>
      </c>
    </row>
    <row r="10" spans="1:15">
      <c r="A10" s="36">
        <v>354</v>
      </c>
      <c r="B10" s="36">
        <f t="shared" si="6"/>
        <v>196.23686242973656</v>
      </c>
      <c r="C10" s="36">
        <f t="shared" si="7"/>
        <v>550.23686242973656</v>
      </c>
      <c r="D10" s="66">
        <f t="shared" si="0"/>
        <v>0.64335929518935975</v>
      </c>
      <c r="E10" s="36">
        <f t="shared" si="1"/>
        <v>3.7947369822740451</v>
      </c>
      <c r="F10" s="36">
        <f t="shared" si="2"/>
        <v>145</v>
      </c>
      <c r="G10" s="36">
        <f>3</f>
        <v>3</v>
      </c>
      <c r="H10" s="36">
        <f t="shared" si="3"/>
        <v>1.2649123274246816</v>
      </c>
      <c r="I10" s="36">
        <v>1</v>
      </c>
      <c r="J10" s="36">
        <f t="shared" si="4"/>
        <v>1.2649123274246816</v>
      </c>
      <c r="N10" s="36">
        <f t="shared" si="8"/>
        <v>126.1911064036442</v>
      </c>
      <c r="O10" s="36">
        <f t="shared" si="5"/>
        <v>126</v>
      </c>
    </row>
    <row r="11" spans="1:15">
      <c r="A11" s="36">
        <v>360</v>
      </c>
      <c r="B11" s="36">
        <f t="shared" si="6"/>
        <v>207.00000000000011</v>
      </c>
      <c r="C11" s="36">
        <f t="shared" si="7"/>
        <v>567.00000000000011</v>
      </c>
      <c r="D11" s="66">
        <f t="shared" si="0"/>
        <v>0.63492063492063477</v>
      </c>
      <c r="E11" s="36">
        <f t="shared" si="1"/>
        <v>3.7800000000000007</v>
      </c>
      <c r="F11" s="36">
        <f t="shared" si="2"/>
        <v>150</v>
      </c>
      <c r="G11" s="36">
        <f>3</f>
        <v>3</v>
      </c>
      <c r="H11" s="36">
        <f t="shared" si="3"/>
        <v>1.2600000000000002</v>
      </c>
      <c r="I11" s="36">
        <v>1</v>
      </c>
      <c r="J11" s="36">
        <f t="shared" si="4"/>
        <v>1.2600000000000002</v>
      </c>
      <c r="N11" s="36">
        <f t="shared" si="8"/>
        <v>133.11239642810381</v>
      </c>
      <c r="O11" s="36">
        <f t="shared" si="5"/>
        <v>133</v>
      </c>
    </row>
    <row r="12" spans="1:15">
      <c r="A12" s="36">
        <v>366</v>
      </c>
      <c r="B12" s="36">
        <f t="shared" si="6"/>
        <v>218.27383178285925</v>
      </c>
      <c r="C12" s="36">
        <f t="shared" si="7"/>
        <v>584.27383178285925</v>
      </c>
      <c r="D12" s="66">
        <f t="shared" si="0"/>
        <v>0.62641860732181653</v>
      </c>
      <c r="E12" s="36">
        <f t="shared" si="1"/>
        <v>3.7695085921474791</v>
      </c>
      <c r="F12" s="36">
        <f t="shared" si="2"/>
        <v>155</v>
      </c>
      <c r="G12" s="36">
        <f>3</f>
        <v>3</v>
      </c>
      <c r="H12" s="36">
        <f t="shared" si="3"/>
        <v>1.2565028640491598</v>
      </c>
      <c r="I12" s="36">
        <v>1</v>
      </c>
      <c r="J12" s="36">
        <f t="shared" si="4"/>
        <v>1.2565028640491598</v>
      </c>
      <c r="N12" s="36">
        <f t="shared" si="8"/>
        <v>140.36209094763859</v>
      </c>
      <c r="O12" s="36">
        <f t="shared" si="5"/>
        <v>140</v>
      </c>
    </row>
    <row r="13" spans="1:15">
      <c r="A13" s="36">
        <v>372</v>
      </c>
      <c r="B13" s="36">
        <f t="shared" si="6"/>
        <v>230.07391623672811</v>
      </c>
      <c r="C13" s="36">
        <f t="shared" si="7"/>
        <v>602.07391623672811</v>
      </c>
      <c r="D13" s="66">
        <f t="shared" si="0"/>
        <v>0.61786433520520456</v>
      </c>
      <c r="E13" s="36">
        <f t="shared" si="1"/>
        <v>3.7629619764795508</v>
      </c>
      <c r="F13" s="36">
        <f t="shared" si="2"/>
        <v>160</v>
      </c>
      <c r="G13" s="36">
        <f>3</f>
        <v>3</v>
      </c>
      <c r="H13" s="36">
        <f t="shared" si="3"/>
        <v>1.254320658826517</v>
      </c>
      <c r="I13" s="36">
        <v>1</v>
      </c>
      <c r="J13" s="36">
        <f t="shared" si="4"/>
        <v>1.254320658826517</v>
      </c>
      <c r="N13" s="36">
        <f t="shared" si="8"/>
        <v>147.95019490758301</v>
      </c>
      <c r="O13" s="36">
        <f t="shared" si="5"/>
        <v>148</v>
      </c>
    </row>
    <row r="14" spans="1:15">
      <c r="A14" s="36">
        <v>378</v>
      </c>
      <c r="B14" s="36">
        <f t="shared" si="6"/>
        <v>242.41628581330735</v>
      </c>
      <c r="C14" s="36">
        <f t="shared" si="7"/>
        <v>620.41628581330735</v>
      </c>
      <c r="D14" s="66">
        <f t="shared" si="0"/>
        <v>0.60926833908700118</v>
      </c>
      <c r="E14" s="36">
        <f t="shared" si="1"/>
        <v>3.7600987018988326</v>
      </c>
      <c r="F14" s="36">
        <f t="shared" si="2"/>
        <v>165</v>
      </c>
      <c r="G14" s="36">
        <f>3</f>
        <v>3</v>
      </c>
      <c r="H14" s="36">
        <f t="shared" si="3"/>
        <v>1.2533662339662774</v>
      </c>
      <c r="I14" s="36">
        <v>1</v>
      </c>
      <c r="J14" s="36">
        <f t="shared" si="4"/>
        <v>1.2533662339662774</v>
      </c>
      <c r="N14" s="36">
        <f t="shared" si="8"/>
        <v>155.88701805705057</v>
      </c>
      <c r="O14" s="36">
        <f t="shared" si="5"/>
        <v>156</v>
      </c>
    </row>
    <row r="15" spans="1:15">
      <c r="A15" s="36">
        <v>384</v>
      </c>
      <c r="B15" s="36">
        <f t="shared" si="6"/>
        <v>255.31746139793745</v>
      </c>
      <c r="C15" s="36">
        <f t="shared" si="7"/>
        <v>639.31746139793745</v>
      </c>
      <c r="D15" s="66">
        <f t="shared" si="0"/>
        <v>0.60064056307854019</v>
      </c>
      <c r="E15" s="36">
        <f t="shared" si="1"/>
        <v>3.7606909493996321</v>
      </c>
      <c r="F15" s="36">
        <f t="shared" si="2"/>
        <v>170</v>
      </c>
      <c r="G15" s="36">
        <f>3</f>
        <v>3</v>
      </c>
      <c r="H15" s="36">
        <f t="shared" si="3"/>
        <v>1.2535636497998774</v>
      </c>
      <c r="I15" s="36">
        <v>1</v>
      </c>
      <c r="J15" s="36">
        <f t="shared" si="4"/>
        <v>1.2535636497998774</v>
      </c>
      <c r="N15" s="36">
        <f t="shared" si="8"/>
        <v>164.18318423487594</v>
      </c>
      <c r="O15" s="36">
        <f t="shared" si="5"/>
        <v>164</v>
      </c>
    </row>
    <row r="16" spans="1:15">
      <c r="A16" s="36">
        <v>390</v>
      </c>
      <c r="B16" s="36">
        <f t="shared" si="6"/>
        <v>268.79446718988186</v>
      </c>
      <c r="C16" s="36">
        <f t="shared" si="7"/>
        <v>658.79446718988186</v>
      </c>
      <c r="D16" s="66">
        <f t="shared" si="0"/>
        <v>0.59199039977303236</v>
      </c>
      <c r="E16" s="36">
        <f t="shared" si="1"/>
        <v>3.7645398125136107</v>
      </c>
      <c r="F16" s="36">
        <f t="shared" si="2"/>
        <v>175</v>
      </c>
      <c r="G16" s="36">
        <f>3</f>
        <v>3</v>
      </c>
      <c r="H16" s="36">
        <f t="shared" si="3"/>
        <v>1.2548466041712036</v>
      </c>
      <c r="I16" s="36">
        <v>1</v>
      </c>
      <c r="J16" s="36">
        <f t="shared" si="4"/>
        <v>1.2548466041712036</v>
      </c>
      <c r="N16" s="36">
        <f t="shared" si="8"/>
        <v>172.84964093845639</v>
      </c>
      <c r="O16" s="36">
        <f t="shared" si="5"/>
        <v>173</v>
      </c>
    </row>
    <row r="17" spans="1:15">
      <c r="A17" s="36">
        <v>396</v>
      </c>
      <c r="B17" s="36">
        <f t="shared" si="6"/>
        <v>282.86484603594238</v>
      </c>
      <c r="C17" s="36">
        <f t="shared" si="7"/>
        <v>678.86484603594238</v>
      </c>
      <c r="D17" s="66">
        <f t="shared" si="0"/>
        <v>0.58332671416459503</v>
      </c>
      <c r="E17" s="36">
        <f t="shared" si="1"/>
        <v>3.7714713668663467</v>
      </c>
      <c r="F17" s="36">
        <f t="shared" si="2"/>
        <v>180</v>
      </c>
      <c r="G17" s="36">
        <f>3</f>
        <v>3</v>
      </c>
      <c r="H17" s="36">
        <f t="shared" si="3"/>
        <v>1.2571571222887823</v>
      </c>
      <c r="I17" s="36">
        <v>1</v>
      </c>
      <c r="J17" s="36">
        <f t="shared" si="4"/>
        <v>1.2571571222887823</v>
      </c>
      <c r="N17" s="36">
        <f t="shared" si="8"/>
        <v>181.89766918411058</v>
      </c>
      <c r="O17" s="36">
        <f t="shared" si="5"/>
        <v>182</v>
      </c>
    </row>
    <row r="18" spans="1:15">
      <c r="A18" s="36">
        <v>402</v>
      </c>
      <c r="B18" s="36">
        <f t="shared" si="6"/>
        <v>297.54667523121827</v>
      </c>
      <c r="C18" s="36">
        <f t="shared" si="7"/>
        <v>699.54667523121827</v>
      </c>
      <c r="D18" s="66">
        <f t="shared" si="0"/>
        <v>0.57465786663502993</v>
      </c>
      <c r="E18" s="36">
        <f t="shared" si="1"/>
        <v>3.7813333796282067</v>
      </c>
      <c r="F18" s="36">
        <f t="shared" si="2"/>
        <v>185</v>
      </c>
      <c r="G18" s="36">
        <f>3</f>
        <v>3</v>
      </c>
      <c r="H18" s="36">
        <f t="shared" si="3"/>
        <v>1.2604444598760689</v>
      </c>
      <c r="I18" s="36">
        <v>1</v>
      </c>
      <c r="J18" s="36">
        <f t="shared" si="4"/>
        <v>1.2604444598760689</v>
      </c>
      <c r="N18" s="36">
        <f t="shared" si="8"/>
        <v>191.33889366783652</v>
      </c>
      <c r="O18" s="36">
        <f t="shared" si="5"/>
        <v>191</v>
      </c>
    </row>
    <row r="19" spans="1:15">
      <c r="A19" s="36">
        <v>408</v>
      </c>
      <c r="B19" s="36">
        <f t="shared" si="6"/>
        <v>312.85858280124023</v>
      </c>
      <c r="C19" s="36">
        <f t="shared" si="7"/>
        <v>720.85858280124023</v>
      </c>
      <c r="D19" s="66">
        <f t="shared" si="0"/>
        <v>0.56599173504256717</v>
      </c>
      <c r="E19" s="36">
        <f t="shared" si="1"/>
        <v>3.7939925410591591</v>
      </c>
      <c r="F19" s="36">
        <f t="shared" si="2"/>
        <v>190</v>
      </c>
      <c r="G19" s="36">
        <f>3</f>
        <v>3</v>
      </c>
      <c r="H19" s="36">
        <f t="shared" si="3"/>
        <v>1.2646641803530529</v>
      </c>
      <c r="I19" s="36">
        <v>1</v>
      </c>
      <c r="J19" s="36">
        <f t="shared" si="4"/>
        <v>1.2646641803530529</v>
      </c>
      <c r="N19" s="36">
        <f t="shared" si="8"/>
        <v>201.18529323562032</v>
      </c>
      <c r="O19" s="36">
        <f t="shared" si="5"/>
        <v>201</v>
      </c>
    </row>
    <row r="20" spans="1:15">
      <c r="A20" s="36">
        <v>414</v>
      </c>
      <c r="B20" s="36">
        <f t="shared" si="6"/>
        <v>328.81976428014468</v>
      </c>
      <c r="C20" s="36">
        <f t="shared" si="7"/>
        <v>742.81976428014468</v>
      </c>
      <c r="D20" s="66">
        <f t="shared" si="0"/>
        <v>0.5573357359455845</v>
      </c>
      <c r="E20" s="36">
        <f t="shared" si="1"/>
        <v>3.8093321245135625</v>
      </c>
      <c r="F20" s="36">
        <f t="shared" si="2"/>
        <v>195</v>
      </c>
      <c r="G20" s="36">
        <f>3</f>
        <v>3</v>
      </c>
      <c r="H20" s="36">
        <f t="shared" si="3"/>
        <v>1.2697773748378542</v>
      </c>
      <c r="I20" s="36">
        <v>1.33</v>
      </c>
      <c r="J20" s="36">
        <f t="shared" si="4"/>
        <v>1.6888039085343463</v>
      </c>
      <c r="N20" s="36">
        <f t="shared" si="8"/>
        <v>211.4492116727258</v>
      </c>
      <c r="O20" s="36">
        <f t="shared" si="5"/>
        <v>211</v>
      </c>
    </row>
    <row r="21" spans="1:15">
      <c r="A21" s="36">
        <v>420</v>
      </c>
      <c r="B21" s="36">
        <f t="shared" si="6"/>
        <v>345.4500000000005</v>
      </c>
      <c r="C21" s="36">
        <f t="shared" si="7"/>
        <v>765.4500000000005</v>
      </c>
      <c r="D21" s="66">
        <f t="shared" si="0"/>
        <v>0.54869684499314098</v>
      </c>
      <c r="E21" s="36">
        <f t="shared" si="1"/>
        <v>3.8272500000000025</v>
      </c>
      <c r="F21" s="36">
        <f t="shared" si="2"/>
        <v>200</v>
      </c>
      <c r="G21" s="36">
        <f>3</f>
        <v>3</v>
      </c>
      <c r="H21" s="36">
        <f t="shared" si="3"/>
        <v>1.2757500000000008</v>
      </c>
      <c r="I21" s="36">
        <v>1.33</v>
      </c>
      <c r="J21" s="36">
        <f t="shared" si="4"/>
        <v>1.6967475000000012</v>
      </c>
      <c r="N21" s="36">
        <f t="shared" si="8"/>
        <v>222.14336882168357</v>
      </c>
      <c r="O21" s="36">
        <f t="shared" si="5"/>
        <v>222</v>
      </c>
    </row>
    <row r="22" spans="1:15">
      <c r="A22" s="36">
        <v>426</v>
      </c>
      <c r="B22" s="36">
        <f t="shared" si="6"/>
        <v>362.76967290686025</v>
      </c>
      <c r="C22" s="36">
        <f t="shared" si="7"/>
        <v>788.76967290686025</v>
      </c>
      <c r="D22" s="66">
        <f t="shared" si="0"/>
        <v>0.54008161651304143</v>
      </c>
      <c r="E22" s="36">
        <f t="shared" si="1"/>
        <v>3.8476569410090744</v>
      </c>
      <c r="F22" s="36">
        <f t="shared" si="2"/>
        <v>205</v>
      </c>
      <c r="G22" s="36">
        <f>3</f>
        <v>3</v>
      </c>
      <c r="H22" s="36">
        <f t="shared" si="3"/>
        <v>1.2825523136696915</v>
      </c>
      <c r="I22" s="36">
        <v>1.33</v>
      </c>
      <c r="J22" s="36">
        <f t="shared" si="4"/>
        <v>1.7057945771806897</v>
      </c>
      <c r="N22" s="36">
        <f t="shared" si="8"/>
        <v>233.28087203899278</v>
      </c>
      <c r="O22" s="36">
        <f t="shared" si="5"/>
        <v>233</v>
      </c>
    </row>
    <row r="23" spans="1:15">
      <c r="A23" s="36">
        <v>432</v>
      </c>
      <c r="B23" s="36">
        <f t="shared" si="6"/>
        <v>380.7997869195832</v>
      </c>
      <c r="C23" s="36">
        <f t="shared" si="7"/>
        <v>812.7997869195832</v>
      </c>
      <c r="D23" s="66">
        <f t="shared" si="0"/>
        <v>0.53149620232705752</v>
      </c>
      <c r="E23" s="36">
        <f t="shared" si="1"/>
        <v>3.8704751758075391</v>
      </c>
      <c r="F23" s="36">
        <f t="shared" si="2"/>
        <v>210</v>
      </c>
      <c r="G23" s="36">
        <f>3</f>
        <v>3</v>
      </c>
      <c r="H23" s="36">
        <f t="shared" si="3"/>
        <v>1.2901583919358464</v>
      </c>
      <c r="I23" s="36">
        <v>1.33</v>
      </c>
      <c r="J23" s="36">
        <f t="shared" si="4"/>
        <v>1.7159106612746757</v>
      </c>
      <c r="N23" s="36">
        <f t="shared" si="8"/>
        <v>244.875228000855</v>
      </c>
      <c r="O23" s="36">
        <f t="shared" si="5"/>
        <v>245</v>
      </c>
    </row>
    <row r="24" spans="1:15">
      <c r="A24" s="36">
        <v>438</v>
      </c>
      <c r="B24" s="36">
        <f t="shared" si="6"/>
        <v>399.56198584796516</v>
      </c>
      <c r="C24" s="36">
        <f t="shared" si="7"/>
        <v>837.56198584796516</v>
      </c>
      <c r="D24" s="66">
        <f t="shared" si="0"/>
        <v>0.52294636982188214</v>
      </c>
      <c r="E24" s="36">
        <f t="shared" si="1"/>
        <v>3.8956371434789077</v>
      </c>
      <c r="F24" s="36">
        <f t="shared" si="2"/>
        <v>215</v>
      </c>
      <c r="G24" s="36">
        <f>3</f>
        <v>3</v>
      </c>
      <c r="H24" s="36">
        <f t="shared" si="3"/>
        <v>1.2985457144929693</v>
      </c>
      <c r="I24" s="36">
        <v>1.33</v>
      </c>
      <c r="J24" s="36">
        <f t="shared" si="4"/>
        <v>1.7270658002756492</v>
      </c>
      <c r="N24" s="36">
        <f t="shared" si="8"/>
        <v>256.94035486857348</v>
      </c>
      <c r="O24" s="36">
        <f t="shared" si="5"/>
        <v>257</v>
      </c>
    </row>
    <row r="25" spans="1:15">
      <c r="A25" s="36">
        <v>444</v>
      </c>
      <c r="B25" s="36">
        <f t="shared" si="6"/>
        <v>419.07857288721584</v>
      </c>
      <c r="C25" s="36">
        <f t="shared" si="7"/>
        <v>863.07857288721584</v>
      </c>
      <c r="D25" s="66">
        <f t="shared" si="0"/>
        <v>0.51443751930337911</v>
      </c>
      <c r="E25" s="36">
        <f t="shared" si="1"/>
        <v>3.9230844222146173</v>
      </c>
      <c r="F25" s="36">
        <f t="shared" si="2"/>
        <v>220</v>
      </c>
      <c r="G25" s="36">
        <v>5</v>
      </c>
      <c r="H25" s="36">
        <f t="shared" si="3"/>
        <v>0.78461688444292343</v>
      </c>
      <c r="I25" s="36">
        <v>1.33</v>
      </c>
      <c r="J25" s="36">
        <f t="shared" si="4"/>
        <v>1.0435404563090882</v>
      </c>
      <c r="N25" s="36">
        <f t="shared" si="8"/>
        <v>269.49059482457506</v>
      </c>
      <c r="O25" s="36">
        <f t="shared" si="5"/>
        <v>269</v>
      </c>
    </row>
    <row r="26" spans="1:15">
      <c r="A26" s="36">
        <v>450</v>
      </c>
      <c r="B26" s="36">
        <f t="shared" si="6"/>
        <v>439.37253070634085</v>
      </c>
      <c r="C26" s="36">
        <f t="shared" si="7"/>
        <v>889.37253070634085</v>
      </c>
      <c r="D26" s="66">
        <f t="shared" si="0"/>
        <v>0.50597470066071115</v>
      </c>
      <c r="E26" s="36">
        <f t="shared" si="1"/>
        <v>3.9527668031392929</v>
      </c>
      <c r="F26" s="36">
        <f t="shared" si="2"/>
        <v>225</v>
      </c>
      <c r="G26" s="36">
        <v>5</v>
      </c>
      <c r="H26" s="36">
        <f t="shared" si="3"/>
        <v>0.79055336062785853</v>
      </c>
      <c r="I26" s="36">
        <v>1.33</v>
      </c>
      <c r="J26" s="36">
        <f t="shared" si="4"/>
        <v>1.0514359696350519</v>
      </c>
      <c r="N26" s="36">
        <f t="shared" si="8"/>
        <v>282.540726990346</v>
      </c>
      <c r="O26" s="36">
        <f t="shared" si="5"/>
        <v>283</v>
      </c>
    </row>
    <row r="27" spans="1:15">
      <c r="A27" s="36">
        <v>456</v>
      </c>
      <c r="B27" s="36">
        <f t="shared" si="6"/>
        <v>460.46754214852251</v>
      </c>
      <c r="C27" s="36">
        <f t="shared" si="7"/>
        <v>916.46754214852251</v>
      </c>
      <c r="D27" s="66">
        <f t="shared" si="0"/>
        <v>0.49756262936598439</v>
      </c>
      <c r="E27" s="36">
        <f t="shared" si="1"/>
        <v>3.9846414876022718</v>
      </c>
      <c r="F27" s="36">
        <f t="shared" si="2"/>
        <v>230</v>
      </c>
      <c r="G27" s="36">
        <v>5</v>
      </c>
      <c r="H27" s="36">
        <f t="shared" si="3"/>
        <v>0.79692829752045435</v>
      </c>
      <c r="I27" s="36">
        <v>1.33</v>
      </c>
      <c r="J27" s="36">
        <f t="shared" si="4"/>
        <v>1.0599146357022045</v>
      </c>
      <c r="N27" s="36">
        <f t="shared" si="8"/>
        <v>296.10598073791641</v>
      </c>
      <c r="O27" s="36">
        <f t="shared" si="5"/>
        <v>296</v>
      </c>
    </row>
    <row r="28" spans="1:15">
      <c r="A28" s="36">
        <v>462</v>
      </c>
      <c r="B28" s="36">
        <f t="shared" si="6"/>
        <v>482.38801156214492</v>
      </c>
      <c r="C28" s="36">
        <f t="shared" si="7"/>
        <v>944.38801156214492</v>
      </c>
      <c r="D28" s="66">
        <f t="shared" si="0"/>
        <v>0.48920570183413253</v>
      </c>
      <c r="E28" s="36">
        <f t="shared" si="1"/>
        <v>4.0186723896261487</v>
      </c>
      <c r="F28" s="36">
        <f t="shared" si="2"/>
        <v>235</v>
      </c>
      <c r="G28" s="36">
        <v>5</v>
      </c>
      <c r="H28" s="36">
        <f t="shared" si="3"/>
        <v>0.80373447792522978</v>
      </c>
      <c r="I28" s="36">
        <v>1.33</v>
      </c>
      <c r="J28" s="36">
        <f t="shared" si="4"/>
        <v>1.0689668556405556</v>
      </c>
      <c r="N28" s="36">
        <f t="shared" si="8"/>
        <v>310.2020494068837</v>
      </c>
      <c r="O28" s="36">
        <f t="shared" si="5"/>
        <v>310</v>
      </c>
    </row>
    <row r="29" spans="1:15">
      <c r="A29" s="36">
        <v>468</v>
      </c>
      <c r="B29" s="36">
        <f t="shared" si="6"/>
        <v>505.15908678167455</v>
      </c>
      <c r="C29" s="36">
        <f t="shared" si="7"/>
        <v>973.15908678167455</v>
      </c>
      <c r="D29" s="66">
        <f t="shared" si="0"/>
        <v>0.480908010166887</v>
      </c>
      <c r="E29" s="36">
        <f t="shared" si="1"/>
        <v>4.0548295282569775</v>
      </c>
      <c r="F29" s="36">
        <f t="shared" si="2"/>
        <v>240</v>
      </c>
      <c r="G29" s="36">
        <v>5</v>
      </c>
      <c r="H29" s="36">
        <f t="shared" si="3"/>
        <v>0.81096590565139548</v>
      </c>
      <c r="I29" s="36">
        <v>1.33</v>
      </c>
      <c r="J29" s="36">
        <f t="shared" si="4"/>
        <v>1.078584654516356</v>
      </c>
      <c r="N29" s="36">
        <f t="shared" si="8"/>
        <v>324.84510443932908</v>
      </c>
      <c r="O29" s="36">
        <f t="shared" si="5"/>
        <v>325</v>
      </c>
    </row>
    <row r="30" spans="1:15">
      <c r="A30" s="36">
        <v>474</v>
      </c>
      <c r="B30" s="36">
        <f t="shared" si="6"/>
        <v>528.80668177819553</v>
      </c>
      <c r="C30" s="36">
        <f t="shared" si="7"/>
        <v>1002.8066817781955</v>
      </c>
      <c r="D30" s="66">
        <f t="shared" si="0"/>
        <v>0.47267335630382351</v>
      </c>
      <c r="E30" s="36">
        <f t="shared" si="1"/>
        <v>4.0930884970538592</v>
      </c>
      <c r="F30" s="36">
        <f t="shared" si="2"/>
        <v>245</v>
      </c>
      <c r="G30" s="36">
        <v>5</v>
      </c>
      <c r="H30" s="36">
        <f t="shared" si="3"/>
        <v>0.81861769941077189</v>
      </c>
      <c r="I30" s="36">
        <v>1.33</v>
      </c>
      <c r="J30" s="36">
        <f t="shared" si="4"/>
        <v>1.0887615402163267</v>
      </c>
      <c r="N30" s="36">
        <f t="shared" si="8"/>
        <v>340.05180994535874</v>
      </c>
      <c r="O30" s="36">
        <f t="shared" si="5"/>
        <v>340</v>
      </c>
    </row>
    <row r="31" spans="1:15">
      <c r="A31" s="36">
        <v>480</v>
      </c>
      <c r="B31" s="36">
        <f t="shared" si="6"/>
        <v>553.35750000000098</v>
      </c>
      <c r="C31" s="36">
        <f t="shared" si="7"/>
        <v>1033.357500000001</v>
      </c>
      <c r="D31" s="66">
        <f t="shared" si="0"/>
        <v>0.46450526560265887</v>
      </c>
      <c r="E31" s="36">
        <f t="shared" si="1"/>
        <v>4.1334300000000042</v>
      </c>
      <c r="F31" s="36">
        <f t="shared" si="2"/>
        <v>250</v>
      </c>
      <c r="G31" s="36">
        <v>5</v>
      </c>
      <c r="H31" s="36">
        <f t="shared" si="3"/>
        <v>0.82668600000000081</v>
      </c>
      <c r="I31" s="36">
        <v>1.33</v>
      </c>
      <c r="J31" s="36">
        <f t="shared" si="4"/>
        <v>1.0994923800000012</v>
      </c>
      <c r="N31" s="36">
        <f t="shared" si="8"/>
        <v>355.83933771238907</v>
      </c>
      <c r="O31" s="36">
        <f t="shared" si="5"/>
        <v>356</v>
      </c>
    </row>
    <row r="32" spans="1:15">
      <c r="A32" s="36">
        <v>486</v>
      </c>
      <c r="B32" s="36">
        <f t="shared" si="6"/>
        <v>578.83905842426179</v>
      </c>
      <c r="C32" s="36">
        <f t="shared" si="7"/>
        <v>1064.8390584242618</v>
      </c>
      <c r="D32" s="66">
        <f t="shared" si="0"/>
        <v>0.45640699987017563</v>
      </c>
      <c r="E32" s="36">
        <f t="shared" si="1"/>
        <v>4.175839444801027</v>
      </c>
      <c r="F32" s="36">
        <f t="shared" si="2"/>
        <v>255</v>
      </c>
      <c r="G32" s="36">
        <v>5</v>
      </c>
      <c r="H32" s="36">
        <f t="shared" si="3"/>
        <v>0.83516788896020544</v>
      </c>
      <c r="I32" s="36">
        <v>1.33</v>
      </c>
      <c r="J32" s="36">
        <f t="shared" si="4"/>
        <v>1.1107732923170732</v>
      </c>
      <c r="N32" s="36">
        <f t="shared" si="8"/>
        <v>372.22538267169386</v>
      </c>
      <c r="O32" s="36">
        <f t="shared" si="5"/>
        <v>372</v>
      </c>
    </row>
    <row r="33" spans="1:15">
      <c r="A33" s="36">
        <v>492</v>
      </c>
      <c r="B33" s="36">
        <f t="shared" si="6"/>
        <v>605.27971234143774</v>
      </c>
      <c r="C33" s="36">
        <f t="shared" si="7"/>
        <v>1097.2797123414377</v>
      </c>
      <c r="D33" s="66">
        <f t="shared" si="0"/>
        <v>0.44838156986438987</v>
      </c>
      <c r="E33" s="36">
        <f t="shared" si="1"/>
        <v>4.2203065859286069</v>
      </c>
      <c r="F33" s="36">
        <f t="shared" si="2"/>
        <v>260</v>
      </c>
      <c r="G33" s="36">
        <v>5</v>
      </c>
      <c r="H33" s="36">
        <f t="shared" si="3"/>
        <v>0.84406131718572142</v>
      </c>
      <c r="I33" s="36">
        <v>1.33</v>
      </c>
      <c r="J33" s="36">
        <f t="shared" si="4"/>
        <v>1.1226015518570096</v>
      </c>
      <c r="N33" s="36">
        <f t="shared" si="8"/>
        <v>389.22817883614516</v>
      </c>
      <c r="O33" s="36">
        <f t="shared" si="5"/>
        <v>389</v>
      </c>
    </row>
    <row r="34" spans="1:15">
      <c r="A34" s="36">
        <v>498</v>
      </c>
      <c r="B34" s="36">
        <f t="shared" si="6"/>
        <v>632.70868089475334</v>
      </c>
      <c r="C34" s="36">
        <f t="shared" si="7"/>
        <v>1130.7086808947533</v>
      </c>
      <c r="D34" s="66">
        <f t="shared" si="0"/>
        <v>0.44043174728783563</v>
      </c>
      <c r="E34" s="36">
        <f t="shared" si="1"/>
        <v>4.2668252109235976</v>
      </c>
      <c r="F34" s="36">
        <f t="shared" si="2"/>
        <v>265</v>
      </c>
      <c r="G34" s="36">
        <v>5</v>
      </c>
      <c r="H34" s="36">
        <f t="shared" si="3"/>
        <v>0.85336504218471954</v>
      </c>
      <c r="I34" s="36">
        <v>1.33</v>
      </c>
      <c r="J34" s="36">
        <f t="shared" si="4"/>
        <v>1.134975506105677</v>
      </c>
      <c r="N34" s="36">
        <f t="shared" si="8"/>
        <v>406.86651572350235</v>
      </c>
      <c r="O34" s="36">
        <f t="shared" si="5"/>
        <v>407</v>
      </c>
    </row>
    <row r="35" spans="1:15">
      <c r="A35" s="36">
        <v>504</v>
      </c>
      <c r="B35" s="36">
        <f t="shared" si="6"/>
        <v>661.15607339774192</v>
      </c>
      <c r="C35" s="36">
        <f t="shared" si="7"/>
        <v>1165.1560733977419</v>
      </c>
      <c r="D35" s="66">
        <f t="shared" si="0"/>
        <v>0.43256007629112941</v>
      </c>
      <c r="E35" s="36">
        <f t="shared" si="1"/>
        <v>4.3153928644360811</v>
      </c>
      <c r="F35" s="36">
        <f t="shared" si="2"/>
        <v>270</v>
      </c>
      <c r="G35" s="36">
        <v>5</v>
      </c>
      <c r="H35" s="36">
        <f t="shared" si="3"/>
        <v>0.86307857288721623</v>
      </c>
      <c r="I35" s="36">
        <v>1.33</v>
      </c>
      <c r="J35" s="36">
        <f t="shared" si="4"/>
        <v>1.1478945019399978</v>
      </c>
      <c r="N35" s="36">
        <f t="shared" si="8"/>
        <v>425.15975528004191</v>
      </c>
      <c r="O35" s="36">
        <f t="shared" si="5"/>
        <v>425</v>
      </c>
    </row>
    <row r="36" spans="1:15">
      <c r="A36" s="36">
        <v>510</v>
      </c>
      <c r="B36" s="36">
        <f t="shared" si="6"/>
        <v>690.65291645356069</v>
      </c>
      <c r="C36" s="36">
        <f t="shared" si="7"/>
        <v>1200.6529164535607</v>
      </c>
      <c r="D36" s="66">
        <f t="shared" si="0"/>
        <v>0.42476888450528821</v>
      </c>
      <c r="E36" s="36">
        <f t="shared" si="1"/>
        <v>4.3660106052856751</v>
      </c>
      <c r="F36" s="36">
        <f t="shared" si="2"/>
        <v>275</v>
      </c>
      <c r="G36" s="36">
        <v>5</v>
      </c>
      <c r="H36" s="36">
        <f t="shared" si="3"/>
        <v>0.87320212105713502</v>
      </c>
      <c r="I36" s="36">
        <v>1.33</v>
      </c>
      <c r="J36" s="36">
        <f t="shared" si="4"/>
        <v>1.1613588210059895</v>
      </c>
      <c r="N36" s="36">
        <f t="shared" si="8"/>
        <v>444.12784931976995</v>
      </c>
      <c r="O36" s="36">
        <f t="shared" si="5"/>
        <v>444</v>
      </c>
    </row>
    <row r="37" spans="1:15">
      <c r="A37" s="36">
        <v>516</v>
      </c>
      <c r="B37" s="36">
        <f t="shared" si="6"/>
        <v>721.23118190050604</v>
      </c>
      <c r="C37" s="36">
        <f t="shared" si="7"/>
        <v>1237.231181900506</v>
      </c>
      <c r="D37" s="66">
        <f t="shared" si="0"/>
        <v>0.41706029362061048</v>
      </c>
      <c r="E37" s="36">
        <f t="shared" si="1"/>
        <v>4.4186827925018077</v>
      </c>
      <c r="F37" s="36">
        <f t="shared" si="2"/>
        <v>280</v>
      </c>
      <c r="G37" s="36">
        <v>5</v>
      </c>
      <c r="H37" s="36">
        <f t="shared" si="3"/>
        <v>0.88373655850036159</v>
      </c>
      <c r="I37" s="36">
        <v>1.33</v>
      </c>
      <c r="J37" s="36">
        <f t="shared" si="4"/>
        <v>1.1753696228054811</v>
      </c>
      <c r="N37" s="36">
        <f t="shared" si="8"/>
        <v>463.7913574949273</v>
      </c>
      <c r="O37" s="36">
        <f t="shared" si="5"/>
        <v>464</v>
      </c>
    </row>
    <row r="38" spans="1:15">
      <c r="A38" s="36">
        <v>522</v>
      </c>
      <c r="B38" s="36">
        <f t="shared" si="6"/>
        <v>752.92381560889635</v>
      </c>
      <c r="C38" s="36">
        <f t="shared" si="7"/>
        <v>1274.9238156088963</v>
      </c>
      <c r="D38" s="66">
        <f t="shared" si="0"/>
        <v>0.40943622952928821</v>
      </c>
      <c r="E38" s="36">
        <f t="shared" si="1"/>
        <v>4.4734168968733208</v>
      </c>
      <c r="F38" s="36">
        <f t="shared" si="2"/>
        <v>285</v>
      </c>
      <c r="G38" s="36">
        <v>5</v>
      </c>
      <c r="H38" s="36">
        <f t="shared" si="3"/>
        <v>0.89468337937466413</v>
      </c>
      <c r="I38" s="36">
        <v>1.33</v>
      </c>
      <c r="J38" s="36">
        <f t="shared" si="4"/>
        <v>1.1899288945683033</v>
      </c>
      <c r="N38" s="36">
        <f t="shared" si="8"/>
        <v>484.17146581397049</v>
      </c>
      <c r="O38" s="36">
        <f t="shared" si="5"/>
        <v>484</v>
      </c>
    </row>
    <row r="39" spans="1:15">
      <c r="A39" s="36">
        <v>528</v>
      </c>
      <c r="B39" s="36">
        <f t="shared" si="6"/>
        <v>785.76476715526132</v>
      </c>
      <c r="C39" s="36">
        <f t="shared" si="7"/>
        <v>1313.7647671552613</v>
      </c>
      <c r="D39" s="66">
        <f t="shared" si="0"/>
        <v>0.40189843204830039</v>
      </c>
      <c r="E39" s="36">
        <f t="shared" si="1"/>
        <v>4.5302233350181424</v>
      </c>
      <c r="F39" s="36">
        <f t="shared" si="2"/>
        <v>290</v>
      </c>
      <c r="G39" s="36">
        <v>5</v>
      </c>
      <c r="H39" s="36">
        <f t="shared" si="3"/>
        <v>0.90604466700362851</v>
      </c>
      <c r="I39" s="36">
        <v>1.33</v>
      </c>
      <c r="J39" s="36">
        <f t="shared" si="4"/>
        <v>1.205039407114826</v>
      </c>
      <c r="N39" s="36">
        <f t="shared" si="8"/>
        <v>505.29000572370904</v>
      </c>
      <c r="O39" s="36">
        <f t="shared" si="5"/>
        <v>505</v>
      </c>
    </row>
    <row r="40" spans="1:15">
      <c r="A40" s="36">
        <v>534</v>
      </c>
      <c r="B40" s="36">
        <f t="shared" si="6"/>
        <v>819.7890204005646</v>
      </c>
      <c r="C40" s="36">
        <f t="shared" si="7"/>
        <v>1353.7890204005646</v>
      </c>
      <c r="D40" s="66">
        <f t="shared" si="0"/>
        <v>0.39444846423853985</v>
      </c>
      <c r="E40" s="36">
        <f t="shared" si="1"/>
        <v>4.5891153233917441</v>
      </c>
      <c r="F40" s="36">
        <f t="shared" si="2"/>
        <v>295</v>
      </c>
      <c r="G40" s="36">
        <v>5</v>
      </c>
      <c r="H40" s="36">
        <f t="shared" si="3"/>
        <v>0.91782306467834884</v>
      </c>
      <c r="I40" s="36">
        <v>1.33</v>
      </c>
      <c r="J40" s="36">
        <f t="shared" si="4"/>
        <v>1.220704676022204</v>
      </c>
      <c r="N40" s="36">
        <f t="shared" si="8"/>
        <v>527.16947377278632</v>
      </c>
      <c r="O40" s="36">
        <f t="shared" si="5"/>
        <v>527</v>
      </c>
    </row>
    <row r="41" spans="1:15">
      <c r="A41" s="36">
        <v>540</v>
      </c>
      <c r="B41" s="36">
        <f t="shared" si="6"/>
        <v>855.03262500000187</v>
      </c>
      <c r="C41" s="36">
        <f t="shared" si="7"/>
        <v>1395.0326250000019</v>
      </c>
      <c r="D41" s="66">
        <f t="shared" si="0"/>
        <v>0.38708772133554892</v>
      </c>
      <c r="E41" s="36">
        <f t="shared" si="1"/>
        <v>4.6501087500000065</v>
      </c>
      <c r="F41" s="36">
        <f t="shared" si="2"/>
        <v>300</v>
      </c>
      <c r="G41" s="36">
        <v>7</v>
      </c>
      <c r="H41" s="36">
        <f t="shared" si="3"/>
        <v>0.66430125000000095</v>
      </c>
      <c r="I41" s="36">
        <v>1.33</v>
      </c>
      <c r="J41" s="36">
        <f t="shared" si="4"/>
        <v>0.88352066250000127</v>
      </c>
      <c r="N41" s="36">
        <f t="shared" si="8"/>
        <v>549.83305187421456</v>
      </c>
      <c r="O41" s="36">
        <f t="shared" si="5"/>
        <v>550</v>
      </c>
    </row>
    <row r="42" spans="1:15">
      <c r="A42" s="36">
        <v>546</v>
      </c>
      <c r="B42" s="36">
        <f t="shared" si="6"/>
        <v>891.53272887275375</v>
      </c>
      <c r="C42" s="36">
        <f t="shared" si="7"/>
        <v>1437.5327288727538</v>
      </c>
      <c r="D42" s="66">
        <f t="shared" si="0"/>
        <v>0.37981743930668471</v>
      </c>
      <c r="E42" s="36">
        <f t="shared" si="1"/>
        <v>4.7132220618778815</v>
      </c>
      <c r="F42" s="36">
        <f t="shared" si="2"/>
        <v>305</v>
      </c>
      <c r="G42" s="36">
        <v>7</v>
      </c>
      <c r="H42" s="36">
        <f t="shared" si="3"/>
        <v>0.67331743741112593</v>
      </c>
      <c r="J42" s="36">
        <f t="shared" si="4"/>
        <v>0</v>
      </c>
      <c r="N42" s="36">
        <f t="shared" si="8"/>
        <v>573.30462818521312</v>
      </c>
      <c r="O42" s="36">
        <f t="shared" si="5"/>
        <v>573</v>
      </c>
    </row>
    <row r="43" spans="1:15">
      <c r="A43" s="36">
        <v>552</v>
      </c>
      <c r="B43" s="36">
        <f t="shared" si="6"/>
        <v>929.32761166094133</v>
      </c>
      <c r="C43" s="36">
        <f t="shared" si="7"/>
        <v>1481.3276116609413</v>
      </c>
      <c r="D43" s="66">
        <f t="shared" si="0"/>
        <v>0.37263870304899599</v>
      </c>
      <c r="E43" s="36">
        <f t="shared" si="1"/>
        <v>4.7784761666481979</v>
      </c>
      <c r="F43" s="36">
        <f t="shared" si="2"/>
        <v>310</v>
      </c>
      <c r="G43" s="36">
        <v>7</v>
      </c>
      <c r="H43" s="36">
        <f t="shared" si="3"/>
        <v>0.68263945237831403</v>
      </c>
      <c r="J43" s="36">
        <f t="shared" si="4"/>
        <v>0</v>
      </c>
      <c r="N43" s="36">
        <f t="shared" si="8"/>
        <v>597.60881862315966</v>
      </c>
      <c r="O43" s="36">
        <f t="shared" si="5"/>
        <v>598</v>
      </c>
    </row>
    <row r="44" spans="1:15">
      <c r="A44" s="36">
        <v>558</v>
      </c>
      <c r="B44" s="36">
        <f t="shared" si="6"/>
        <v>968.45671920791756</v>
      </c>
      <c r="C44" s="36">
        <f t="shared" si="7"/>
        <v>1526.4567192079176</v>
      </c>
      <c r="D44" s="66">
        <f t="shared" si="0"/>
        <v>0.36555245424157695</v>
      </c>
      <c r="E44" s="36">
        <f t="shared" si="1"/>
        <v>4.8458943466918019</v>
      </c>
      <c r="F44" s="36">
        <f t="shared" si="2"/>
        <v>315</v>
      </c>
      <c r="G44" s="36">
        <v>7</v>
      </c>
      <c r="H44" s="36">
        <f t="shared" si="3"/>
        <v>0.69227062095597169</v>
      </c>
      <c r="J44" s="36">
        <f t="shared" si="4"/>
        <v>0</v>
      </c>
      <c r="N44" s="36">
        <f t="shared" si="8"/>
        <v>622.77098903702927</v>
      </c>
      <c r="O44" s="36">
        <f t="shared" si="5"/>
        <v>623</v>
      </c>
    </row>
    <row r="45" spans="1:15">
      <c r="A45" s="36">
        <v>564</v>
      </c>
      <c r="B45" s="36">
        <f t="shared" si="6"/>
        <v>1008.960699086952</v>
      </c>
      <c r="C45" s="36">
        <f t="shared" si="7"/>
        <v>1572.960699086952</v>
      </c>
      <c r="D45" s="66">
        <f t="shared" si="0"/>
        <v>0.35855949886566274</v>
      </c>
      <c r="E45" s="36">
        <f t="shared" si="1"/>
        <v>4.9155021846467246</v>
      </c>
      <c r="F45" s="36">
        <f t="shared" si="2"/>
        <v>320</v>
      </c>
      <c r="G45" s="36">
        <v>7</v>
      </c>
      <c r="H45" s="36">
        <f t="shared" si="3"/>
        <v>0.70221459780667494</v>
      </c>
      <c r="J45" s="36">
        <f t="shared" si="4"/>
        <v>0</v>
      </c>
      <c r="N45" s="36">
        <f t="shared" si="8"/>
        <v>648.81727805429489</v>
      </c>
      <c r="O45" s="36">
        <f t="shared" si="5"/>
        <v>649</v>
      </c>
    </row>
    <row r="46" spans="1:15">
      <c r="A46" s="36">
        <v>570</v>
      </c>
      <c r="B46" s="36">
        <f t="shared" si="6"/>
        <v>1050.8814372123072</v>
      </c>
      <c r="C46" s="36">
        <f t="shared" si="7"/>
        <v>1620.8814372123072</v>
      </c>
      <c r="D46" s="66">
        <f t="shared" si="0"/>
        <v>0.35166051440524948</v>
      </c>
      <c r="E46" s="36">
        <f t="shared" si="1"/>
        <v>4.9873274991147918</v>
      </c>
      <c r="F46" s="36">
        <f t="shared" si="2"/>
        <v>325</v>
      </c>
      <c r="G46" s="36">
        <v>7</v>
      </c>
      <c r="H46" s="36">
        <f t="shared" si="3"/>
        <v>0.71247535701639886</v>
      </c>
      <c r="J46" s="36">
        <f t="shared" si="4"/>
        <v>0</v>
      </c>
      <c r="N46" s="36">
        <f t="shared" si="8"/>
        <v>675.77462062386496</v>
      </c>
      <c r="O46" s="36">
        <f t="shared" si="5"/>
        <v>676</v>
      </c>
    </row>
    <row r="47" spans="1:15">
      <c r="A47" s="36">
        <v>576</v>
      </c>
      <c r="B47" s="36">
        <f t="shared" si="6"/>
        <v>1094.2620955656832</v>
      </c>
      <c r="C47" s="36">
        <f t="shared" si="7"/>
        <v>1670.2620955656832</v>
      </c>
      <c r="D47" s="66">
        <f t="shared" si="0"/>
        <v>0.34485605674055647</v>
      </c>
      <c r="E47" s="36">
        <f t="shared" si="1"/>
        <v>5.0614002895929797</v>
      </c>
      <c r="F47" s="36">
        <f t="shared" si="2"/>
        <v>330</v>
      </c>
      <c r="G47" s="36">
        <v>7</v>
      </c>
      <c r="H47" s="36">
        <f t="shared" si="3"/>
        <v>0.72305718422756848</v>
      </c>
      <c r="J47" s="36">
        <f t="shared" si="4"/>
        <v>0</v>
      </c>
      <c r="N47" s="36">
        <f t="shared" si="8"/>
        <v>703.67077227626453</v>
      </c>
      <c r="O47" s="36">
        <f t="shared" si="5"/>
        <v>704</v>
      </c>
    </row>
    <row r="48" spans="1:15">
      <c r="A48" s="36">
        <v>582</v>
      </c>
      <c r="B48" s="36">
        <f t="shared" si="6"/>
        <v>1139.14715107201</v>
      </c>
      <c r="C48" s="36">
        <f t="shared" si="7"/>
        <v>1721.14715107201</v>
      </c>
      <c r="D48" s="66">
        <f t="shared" si="0"/>
        <v>0.33814656674619803</v>
      </c>
      <c r="E48" s="36">
        <f t="shared" si="1"/>
        <v>5.1377526897671943</v>
      </c>
      <c r="F48" s="36">
        <f t="shared" si="2"/>
        <v>335</v>
      </c>
      <c r="G48" s="36">
        <v>7</v>
      </c>
      <c r="H48" s="36">
        <f t="shared" si="3"/>
        <v>0.73396466996674203</v>
      </c>
      <c r="J48" s="36">
        <f t="shared" si="4"/>
        <v>0</v>
      </c>
      <c r="N48" s="36">
        <f t="shared" si="8"/>
        <v>732.53433412290997</v>
      </c>
      <c r="O48" s="36">
        <f t="shared" si="5"/>
        <v>733</v>
      </c>
    </row>
    <row r="49" spans="1:15">
      <c r="A49" s="36">
        <v>588</v>
      </c>
      <c r="B49" s="36">
        <f t="shared" si="6"/>
        <v>1185.5824356596027</v>
      </c>
      <c r="C49" s="36">
        <f t="shared" si="7"/>
        <v>1773.5824356596027</v>
      </c>
      <c r="D49" s="66">
        <f t="shared" si="0"/>
        <v>0.33153237660550033</v>
      </c>
      <c r="E49" s="36">
        <f t="shared" si="1"/>
        <v>5.2164189284105964</v>
      </c>
      <c r="F49" s="36">
        <f t="shared" si="2"/>
        <v>340</v>
      </c>
      <c r="G49" s="36">
        <v>7</v>
      </c>
      <c r="H49" s="36">
        <f t="shared" si="3"/>
        <v>0.74520270405865663</v>
      </c>
      <c r="J49" s="36">
        <f t="shared" si="4"/>
        <v>0</v>
      </c>
      <c r="N49" s="36">
        <f t="shared" si="8"/>
        <v>762.39477861699424</v>
      </c>
      <c r="O49" s="36">
        <f t="shared" si="5"/>
        <v>762</v>
      </c>
    </row>
    <row r="50" spans="1:15">
      <c r="A50" s="36">
        <v>594</v>
      </c>
      <c r="B50" s="36">
        <f t="shared" si="6"/>
        <v>1233.6151775407623</v>
      </c>
      <c r="C50" s="36">
        <f t="shared" si="7"/>
        <v>1827.6151775407623</v>
      </c>
      <c r="D50" s="66">
        <f t="shared" si="0"/>
        <v>0.32501371585198041</v>
      </c>
      <c r="E50" s="36">
        <f t="shared" si="1"/>
        <v>5.297435297219601</v>
      </c>
      <c r="F50" s="36">
        <f t="shared" si="2"/>
        <v>345</v>
      </c>
      <c r="G50" s="36">
        <v>7</v>
      </c>
      <c r="H50" s="36">
        <f t="shared" si="3"/>
        <v>0.75677647103137158</v>
      </c>
      <c r="J50" s="36">
        <f t="shared" si="4"/>
        <v>0</v>
      </c>
      <c r="N50" s="36">
        <f t="shared" si="8"/>
        <v>793.28247609918606</v>
      </c>
      <c r="O50" s="36">
        <f t="shared" si="5"/>
        <v>793</v>
      </c>
    </row>
    <row r="51" spans="1:15">
      <c r="A51" t="s">
        <v>397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tabSelected="1" topLeftCell="A10" workbookViewId="0">
      <selection activeCell="P13" sqref="P13"/>
    </sheetView>
  </sheetViews>
  <sheetFormatPr defaultRowHeight="13.5"/>
  <cols>
    <col min="13" max="14" width="9.5" bestFit="1" customWidth="1"/>
  </cols>
  <sheetData>
    <row r="1" spans="1:18" s="36" customFormat="1">
      <c r="A1" s="36" t="s">
        <v>382</v>
      </c>
    </row>
    <row r="2" spans="1:18" ht="14.25">
      <c r="A2" s="67" t="s">
        <v>289</v>
      </c>
      <c r="B2" s="12" t="s">
        <v>354</v>
      </c>
      <c r="C2" s="12" t="s">
        <v>356</v>
      </c>
      <c r="D2" s="12" t="s">
        <v>355</v>
      </c>
      <c r="E2" s="12"/>
      <c r="F2" s="70" t="s">
        <v>359</v>
      </c>
      <c r="G2" s="70" t="s">
        <v>374</v>
      </c>
      <c r="H2" s="70" t="s">
        <v>373</v>
      </c>
    </row>
    <row r="3" spans="1:18" ht="14.25">
      <c r="A3" s="68" t="s">
        <v>291</v>
      </c>
      <c r="B3" s="12">
        <v>4</v>
      </c>
      <c r="C3" s="12">
        <v>400</v>
      </c>
      <c r="D3" s="12">
        <f>B3*C5/(1-C8*C9)</f>
        <v>8.9776680507238247</v>
      </c>
      <c r="E3" s="12"/>
      <c r="F3" s="12"/>
      <c r="G3" s="12">
        <v>0</v>
      </c>
      <c r="H3" s="12">
        <f>(C3-G3)/B3</f>
        <v>100</v>
      </c>
    </row>
    <row r="4" spans="1:18" ht="14.25">
      <c r="A4" s="68" t="s">
        <v>292</v>
      </c>
      <c r="B4" s="12">
        <v>1</v>
      </c>
      <c r="C4" s="12">
        <v>100</v>
      </c>
      <c r="D4" s="12">
        <f>B4*(1+C6*C7)*8</f>
        <v>9.32</v>
      </c>
      <c r="E4" s="12"/>
      <c r="F4" s="12"/>
      <c r="G4" s="12">
        <v>0</v>
      </c>
      <c r="H4" s="12">
        <f t="shared" ref="H4:H9" si="0">(C4-G4)/B4</f>
        <v>100</v>
      </c>
    </row>
    <row r="5" spans="1:18" ht="14.25">
      <c r="A5" s="68" t="s">
        <v>293</v>
      </c>
      <c r="B5" s="69">
        <v>0.02</v>
      </c>
      <c r="C5" s="69">
        <v>2</v>
      </c>
      <c r="D5" s="12">
        <f>B5*C3/(1-C8*C9)</f>
        <v>8.9776680507238247</v>
      </c>
      <c r="E5" s="12"/>
      <c r="F5" s="12"/>
      <c r="G5" s="72">
        <v>1</v>
      </c>
      <c r="H5" s="12">
        <f t="shared" si="0"/>
        <v>50</v>
      </c>
    </row>
    <row r="6" spans="1:18" ht="14.25">
      <c r="A6" s="68" t="s">
        <v>251</v>
      </c>
      <c r="B6" s="69">
        <v>2.1999999999999999E-2</v>
      </c>
      <c r="C6" s="71">
        <v>0.33</v>
      </c>
      <c r="D6" s="70">
        <f>B6*C7*C4*8</f>
        <v>8.7999999999999989</v>
      </c>
      <c r="E6" s="12"/>
      <c r="F6" s="12"/>
      <c r="G6" s="71">
        <v>0.05</v>
      </c>
      <c r="H6" s="12">
        <f t="shared" si="0"/>
        <v>12.727272727272728</v>
      </c>
    </row>
    <row r="7" spans="1:18" ht="14.25">
      <c r="A7" s="68" t="s">
        <v>250</v>
      </c>
      <c r="B7" s="69">
        <v>0.03</v>
      </c>
      <c r="C7" s="72">
        <v>0.5</v>
      </c>
      <c r="D7" s="70">
        <f>B7*C6*C4*8</f>
        <v>7.9200000000000008</v>
      </c>
      <c r="E7" s="12"/>
      <c r="F7" s="12"/>
      <c r="G7" s="72">
        <v>0.5</v>
      </c>
      <c r="H7" s="12">
        <f t="shared" si="0"/>
        <v>0</v>
      </c>
    </row>
    <row r="8" spans="1:18" ht="14.25">
      <c r="A8" s="68" t="s">
        <v>252</v>
      </c>
      <c r="B8" s="81">
        <v>2.5000000000000001E-2</v>
      </c>
      <c r="C8" s="72">
        <v>0.33</v>
      </c>
      <c r="D8" s="70">
        <f>C3*C5*(1/(1-(C8+B8)*C9)-1/(1-C9*C8))</f>
        <v>8.3893936023640592</v>
      </c>
      <c r="E8" s="12"/>
      <c r="F8" s="12"/>
      <c r="G8" s="72">
        <v>0.05</v>
      </c>
      <c r="H8" s="12">
        <f t="shared" si="0"/>
        <v>11.200000000000001</v>
      </c>
    </row>
    <row r="9" spans="1:18" ht="14.25">
      <c r="A9" s="68" t="s">
        <v>253</v>
      </c>
      <c r="B9" s="69">
        <v>2.5000000000000001E-2</v>
      </c>
      <c r="C9" s="72">
        <v>0.33</v>
      </c>
      <c r="D9" s="70">
        <f>C3*C5/(1-(C9+B9)*C8)-C3*C5/(1-C9*C8)</f>
        <v>8.3893936023640663</v>
      </c>
      <c r="E9" s="12"/>
      <c r="F9" s="12"/>
      <c r="G9" s="72">
        <v>0.33</v>
      </c>
      <c r="H9" s="12">
        <f t="shared" si="0"/>
        <v>0</v>
      </c>
    </row>
    <row r="10" spans="1:18" ht="14.25">
      <c r="A10" s="86" t="s">
        <v>381</v>
      </c>
      <c r="B10" t="s">
        <v>387</v>
      </c>
      <c r="C10" s="87">
        <v>2</v>
      </c>
      <c r="E10" t="s">
        <v>388</v>
      </c>
      <c r="F10">
        <v>2</v>
      </c>
      <c r="H10" t="s">
        <v>389</v>
      </c>
      <c r="I10">
        <v>5</v>
      </c>
      <c r="K10" t="s">
        <v>390</v>
      </c>
      <c r="M10">
        <v>0.50992599999999999</v>
      </c>
    </row>
    <row r="11" spans="1:18" ht="14.25">
      <c r="A11" s="67" t="s">
        <v>289</v>
      </c>
      <c r="B11" s="12" t="s">
        <v>354</v>
      </c>
      <c r="C11" s="12" t="s">
        <v>356</v>
      </c>
      <c r="D11" s="12" t="s">
        <v>355</v>
      </c>
      <c r="E11" s="12"/>
      <c r="F11" s="70" t="s">
        <v>359</v>
      </c>
      <c r="G11" s="70" t="s">
        <v>374</v>
      </c>
      <c r="H11" s="70" t="s">
        <v>373</v>
      </c>
      <c r="J11" t="s">
        <v>383</v>
      </c>
      <c r="K11" t="s">
        <v>384</v>
      </c>
      <c r="M11" t="s">
        <v>385</v>
      </c>
      <c r="N11" t="s">
        <v>386</v>
      </c>
    </row>
    <row r="12" spans="1:18" ht="14.25">
      <c r="A12" s="68" t="s">
        <v>291</v>
      </c>
      <c r="B12" s="12">
        <v>4</v>
      </c>
      <c r="C12" s="12">
        <f>10000*$M$10</f>
        <v>5099.26</v>
      </c>
      <c r="D12" s="12">
        <f>B12*C14/(1-C17*C18)</f>
        <v>8.9776680507238247</v>
      </c>
      <c r="E12" s="12"/>
      <c r="F12" s="12"/>
      <c r="G12" s="12">
        <v>0</v>
      </c>
      <c r="H12" s="12">
        <f>(C12-G12)/B12</f>
        <v>1274.8150000000001</v>
      </c>
      <c r="J12" s="53">
        <v>0.25</v>
      </c>
      <c r="K12">
        <f>1/B12/J12</f>
        <v>1</v>
      </c>
      <c r="M12" s="33">
        <f>H12/J12</f>
        <v>5099.26</v>
      </c>
      <c r="N12" s="33">
        <f>M12/$F$10</f>
        <v>2549.63</v>
      </c>
    </row>
    <row r="13" spans="1:18" ht="14.25">
      <c r="A13" s="68" t="s">
        <v>292</v>
      </c>
      <c r="B13" s="12">
        <v>1</v>
      </c>
      <c r="C13" s="12">
        <f>2500*$M$10</f>
        <v>1274.8150000000001</v>
      </c>
      <c r="D13" s="12">
        <f>B13*(1+C15*C16)*8</f>
        <v>9.32</v>
      </c>
      <c r="E13" s="12"/>
      <c r="F13" s="12"/>
      <c r="G13" s="12">
        <v>0</v>
      </c>
      <c r="H13" s="12">
        <f t="shared" ref="H13:H18" si="1">(C13-G13)/B13</f>
        <v>1274.8150000000001</v>
      </c>
      <c r="J13" s="53">
        <v>1</v>
      </c>
      <c r="K13" s="36">
        <f t="shared" ref="K13:K18" si="2">1/B13/J13</f>
        <v>1</v>
      </c>
      <c r="M13" s="33">
        <f t="shared" ref="M13:M18" si="3">H13/J13</f>
        <v>1274.8150000000001</v>
      </c>
      <c r="N13" s="33">
        <f t="shared" ref="N13:N18" si="4">M13/$F$10</f>
        <v>637.40750000000003</v>
      </c>
      <c r="R13">
        <f>0.5239/2054.81*2000</f>
        <v>0.50992549189462777</v>
      </c>
    </row>
    <row r="14" spans="1:18" ht="14.25">
      <c r="A14" s="68" t="s">
        <v>293</v>
      </c>
      <c r="B14" s="69">
        <f>1/1250/M10</f>
        <v>1.5688550887775874E-3</v>
      </c>
      <c r="C14" s="69">
        <v>2</v>
      </c>
      <c r="D14" s="12">
        <f>B14*C12/(1-C17*C18)</f>
        <v>8.9776680507238247</v>
      </c>
      <c r="E14" s="12"/>
      <c r="F14" s="12"/>
      <c r="G14" s="72">
        <v>1</v>
      </c>
      <c r="H14" s="12">
        <f t="shared" si="1"/>
        <v>637.40750000000003</v>
      </c>
      <c r="J14" s="53">
        <v>0.53</v>
      </c>
      <c r="K14" s="36">
        <f t="shared" si="2"/>
        <v>1202.6556603773586</v>
      </c>
      <c r="M14" s="33">
        <f t="shared" si="3"/>
        <v>1202.6556603773586</v>
      </c>
      <c r="N14" s="33">
        <f t="shared" si="4"/>
        <v>601.32783018867929</v>
      </c>
    </row>
    <row r="15" spans="1:18" ht="14.25">
      <c r="A15" s="68" t="s">
        <v>251</v>
      </c>
      <c r="B15" s="69">
        <f>0.075%/M10</f>
        <v>1.4708016457289882E-3</v>
      </c>
      <c r="C15" s="71">
        <v>0.33</v>
      </c>
      <c r="D15" s="70">
        <f>B15*C16*C13*8</f>
        <v>7.5000000000000009</v>
      </c>
      <c r="E15" s="12"/>
      <c r="F15" s="12"/>
      <c r="G15" s="71">
        <v>0.05</v>
      </c>
      <c r="H15" s="12">
        <f t="shared" si="1"/>
        <v>190.37237333333334</v>
      </c>
      <c r="J15" s="53">
        <v>1.51</v>
      </c>
      <c r="K15" s="36">
        <f t="shared" si="2"/>
        <v>450.26578366445915</v>
      </c>
      <c r="M15" s="33">
        <f t="shared" si="3"/>
        <v>126.07441942604856</v>
      </c>
      <c r="N15" s="33">
        <f t="shared" si="4"/>
        <v>63.037209713024282</v>
      </c>
    </row>
    <row r="16" spans="1:18" ht="14.25">
      <c r="A16" s="68" t="s">
        <v>250</v>
      </c>
      <c r="B16" s="69">
        <f>0.12%/M10</f>
        <v>2.3532826331663808E-3</v>
      </c>
      <c r="C16" s="72">
        <v>0.5</v>
      </c>
      <c r="D16" s="70">
        <f>B16*C15*C13*8</f>
        <v>7.92</v>
      </c>
      <c r="E16" s="12"/>
      <c r="F16" s="12"/>
      <c r="G16" s="72">
        <v>0.5</v>
      </c>
      <c r="H16" s="12">
        <f t="shared" si="1"/>
        <v>0</v>
      </c>
      <c r="J16" s="53">
        <v>0.5</v>
      </c>
      <c r="K16" s="36">
        <f t="shared" si="2"/>
        <v>849.87666666666678</v>
      </c>
      <c r="M16" s="33">
        <f t="shared" si="3"/>
        <v>0</v>
      </c>
      <c r="N16" s="33">
        <f t="shared" si="4"/>
        <v>0</v>
      </c>
    </row>
    <row r="17" spans="1:20" ht="14.25">
      <c r="A17" s="68" t="s">
        <v>252</v>
      </c>
      <c r="B17" s="81">
        <f>0.108%/M10</f>
        <v>2.1179543698497429E-3</v>
      </c>
      <c r="C17" s="72">
        <v>0.33</v>
      </c>
      <c r="D17" s="70">
        <f>C12*C14*(1/(1-(C17+B17)*C18)-1/(1-C18*C17))</f>
        <v>8.9837068454491416</v>
      </c>
      <c r="E17" s="12"/>
      <c r="F17" s="12"/>
      <c r="G17" s="72">
        <v>0.05</v>
      </c>
      <c r="H17" s="12">
        <f t="shared" si="1"/>
        <v>132.20303703703706</v>
      </c>
      <c r="J17" s="53">
        <v>1.1299999999999999</v>
      </c>
      <c r="K17" s="36">
        <f t="shared" si="2"/>
        <v>417.83513602097679</v>
      </c>
      <c r="M17" s="33">
        <f t="shared" si="3"/>
        <v>116.99383808587352</v>
      </c>
      <c r="N17" s="33">
        <f t="shared" si="4"/>
        <v>58.49691904293676</v>
      </c>
    </row>
    <row r="18" spans="1:20" ht="14.25">
      <c r="A18" s="68" t="s">
        <v>253</v>
      </c>
      <c r="B18" s="69">
        <f>0.1%/M10</f>
        <v>1.9610688609719841E-3</v>
      </c>
      <c r="C18" s="72">
        <v>0.33</v>
      </c>
      <c r="D18" s="70">
        <f>C12*C14/(1-(C18+B18)*C17)-C12*C14/(1-C18*C17)</f>
        <v>8.3177634441908594</v>
      </c>
      <c r="E18" s="12"/>
      <c r="F18" s="12"/>
      <c r="G18" s="72">
        <v>0.33</v>
      </c>
      <c r="H18" s="12">
        <f t="shared" si="1"/>
        <v>0</v>
      </c>
      <c r="J18" s="53">
        <v>1.1299999999999999</v>
      </c>
      <c r="K18" s="36">
        <f t="shared" si="2"/>
        <v>451.26194690265493</v>
      </c>
      <c r="M18" s="33">
        <f t="shared" si="3"/>
        <v>0</v>
      </c>
      <c r="N18" s="33">
        <f t="shared" si="4"/>
        <v>0</v>
      </c>
    </row>
    <row r="19" spans="1:20" ht="16.5">
      <c r="A19">
        <v>4</v>
      </c>
      <c r="G19" s="64" t="s">
        <v>391</v>
      </c>
      <c r="H19" s="64">
        <f>SUM(H12:H18)</f>
        <v>3509.6129103703706</v>
      </c>
      <c r="J19" t="s">
        <v>392</v>
      </c>
      <c r="K19" s="88">
        <v>0.52</v>
      </c>
      <c r="M19" t="s">
        <v>393</v>
      </c>
      <c r="N19" s="89">
        <f>H19*K19</f>
        <v>1824.9987133925929</v>
      </c>
      <c r="O19" s="29">
        <v>2.5</v>
      </c>
      <c r="P19" t="s">
        <v>394</v>
      </c>
      <c r="Q19">
        <v>438</v>
      </c>
      <c r="R19" t="s">
        <v>395</v>
      </c>
      <c r="S19">
        <v>300</v>
      </c>
      <c r="T19" t="s">
        <v>396</v>
      </c>
    </row>
    <row r="20" spans="1:20" ht="16.5">
      <c r="M20" s="68" t="s">
        <v>291</v>
      </c>
      <c r="N20" s="90">
        <f>$N$19/$O$19*O20</f>
        <v>729.9994853570372</v>
      </c>
      <c r="O20">
        <v>1</v>
      </c>
      <c r="P20" s="89">
        <f>N20/J12</f>
        <v>2919.9979414281488</v>
      </c>
      <c r="R20" s="64">
        <f>P20/$Q$19*$S$19</f>
        <v>1999.9985900192798</v>
      </c>
      <c r="T20">
        <f>R20/1.3</f>
        <v>1538.4604538609844</v>
      </c>
    </row>
    <row r="21" spans="1:20" ht="16.5">
      <c r="C21" s="71">
        <v>5</v>
      </c>
      <c r="D21">
        <v>1</v>
      </c>
      <c r="E21" s="29">
        <v>0.05</v>
      </c>
      <c r="F21" s="29">
        <v>0.95</v>
      </c>
      <c r="M21" s="68" t="s">
        <v>292</v>
      </c>
      <c r="N21" s="90">
        <f t="shared" ref="N21:N22" si="5">$N$19/$O$19*O21</f>
        <v>729.9994853570372</v>
      </c>
      <c r="O21">
        <v>1</v>
      </c>
      <c r="P21" s="89">
        <f t="shared" ref="P21:P22" si="6">N21/J13</f>
        <v>729.9994853570372</v>
      </c>
      <c r="R21" s="64">
        <f t="shared" ref="R21:R22" si="7">P21/$Q$19*$S$19</f>
        <v>499.99964750481996</v>
      </c>
      <c r="T21" s="36">
        <f t="shared" ref="T21:T22" si="8">R21/1.3</f>
        <v>384.61511346524611</v>
      </c>
    </row>
    <row r="22" spans="1:20" ht="16.5">
      <c r="B22">
        <v>0.02</v>
      </c>
      <c r="C22">
        <f>B22/$C$21</f>
        <v>4.0000000000000001E-3</v>
      </c>
      <c r="D22">
        <f>$D$21/C22</f>
        <v>250</v>
      </c>
      <c r="E22" s="34">
        <f>$D22*E$21</f>
        <v>12.5</v>
      </c>
      <c r="F22" s="34">
        <f t="shared" ref="F22:F26" si="9">$D22*F$21</f>
        <v>237.5</v>
      </c>
      <c r="J22">
        <f>N19*0.4/12*1.4-8</f>
        <v>77.166606624987665</v>
      </c>
      <c r="M22" s="68" t="s">
        <v>293</v>
      </c>
      <c r="N22" s="90">
        <f t="shared" si="5"/>
        <v>364.9997426785186</v>
      </c>
      <c r="O22">
        <v>0.5</v>
      </c>
      <c r="P22" s="89">
        <f t="shared" si="6"/>
        <v>688.67875977078972</v>
      </c>
      <c r="R22" s="64">
        <f t="shared" si="7"/>
        <v>471.69778066492449</v>
      </c>
      <c r="T22" s="36">
        <f t="shared" si="8"/>
        <v>362.84444666532653</v>
      </c>
    </row>
    <row r="23" spans="1:20">
      <c r="A23">
        <v>25</v>
      </c>
      <c r="B23">
        <v>2.1999999999999999E-2</v>
      </c>
      <c r="C23" s="36">
        <f t="shared" ref="C23:C26" si="10">B23/$C$21</f>
        <v>4.3999999999999994E-3</v>
      </c>
      <c r="D23" s="36">
        <f t="shared" ref="D23:D26" si="11">$D$21/C23</f>
        <v>227.27272727272731</v>
      </c>
      <c r="E23" s="34">
        <f t="shared" ref="E23:E26" si="12">$D23*E$21</f>
        <v>11.363636363636367</v>
      </c>
      <c r="F23" s="34">
        <f t="shared" si="9"/>
        <v>215.90909090909093</v>
      </c>
    </row>
    <row r="24" spans="1:20">
      <c r="B24">
        <v>0.03</v>
      </c>
      <c r="C24" s="36">
        <f t="shared" si="10"/>
        <v>6.0000000000000001E-3</v>
      </c>
      <c r="D24" s="36">
        <f t="shared" si="11"/>
        <v>166.66666666666666</v>
      </c>
      <c r="E24" s="34">
        <f t="shared" si="12"/>
        <v>8.3333333333333339</v>
      </c>
      <c r="F24" s="34">
        <f t="shared" si="9"/>
        <v>158.33333333333331</v>
      </c>
    </row>
    <row r="25" spans="1:20">
      <c r="B25">
        <v>2.5000000000000001E-2</v>
      </c>
      <c r="C25" s="36">
        <f t="shared" si="10"/>
        <v>5.0000000000000001E-3</v>
      </c>
      <c r="D25" s="36">
        <f t="shared" si="11"/>
        <v>200</v>
      </c>
      <c r="E25" s="34">
        <f t="shared" si="12"/>
        <v>10</v>
      </c>
      <c r="F25" s="34">
        <f t="shared" si="9"/>
        <v>190</v>
      </c>
    </row>
    <row r="26" spans="1:20">
      <c r="B26">
        <v>2.5000000000000001E-2</v>
      </c>
      <c r="C26" s="36">
        <f t="shared" si="10"/>
        <v>5.0000000000000001E-3</v>
      </c>
      <c r="D26" s="36">
        <f t="shared" si="11"/>
        <v>200</v>
      </c>
      <c r="E26" s="34">
        <f t="shared" si="12"/>
        <v>10</v>
      </c>
      <c r="F26" s="34">
        <f t="shared" si="9"/>
        <v>190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selection activeCell="H19" sqref="H19"/>
    </sheetView>
  </sheetViews>
  <sheetFormatPr defaultRowHeight="13.5"/>
  <cols>
    <col min="1" max="1" width="10.5" style="12" bestFit="1" customWidth="1"/>
    <col min="2" max="2" width="20.375" style="12" bestFit="1" customWidth="1"/>
    <col min="3" max="3" width="20.375" style="12" customWidth="1"/>
    <col min="4" max="4" width="18.25" style="12" customWidth="1"/>
    <col min="5" max="16384" width="9" style="12"/>
  </cols>
  <sheetData>
    <row r="1" spans="1:17" ht="14.25">
      <c r="A1" s="67" t="s">
        <v>289</v>
      </c>
      <c r="B1" s="12" t="s">
        <v>354</v>
      </c>
      <c r="C1" s="12" t="s">
        <v>356</v>
      </c>
      <c r="D1" s="12" t="s">
        <v>355</v>
      </c>
      <c r="F1" s="70" t="s">
        <v>359</v>
      </c>
      <c r="G1" s="70" t="s">
        <v>374</v>
      </c>
      <c r="H1" s="70" t="s">
        <v>373</v>
      </c>
    </row>
    <row r="2" spans="1:17" ht="14.25">
      <c r="A2" s="68" t="s">
        <v>291</v>
      </c>
      <c r="B2" s="12">
        <v>4</v>
      </c>
      <c r="C2" s="12">
        <v>400</v>
      </c>
      <c r="D2" s="12">
        <f>B2*C4/(1-C7*C8)</f>
        <v>8.9776680507238247</v>
      </c>
      <c r="G2" s="12">
        <v>0</v>
      </c>
      <c r="H2" s="12">
        <f>(C2-G2)/B2</f>
        <v>100</v>
      </c>
    </row>
    <row r="3" spans="1:17" ht="14.25">
      <c r="A3" s="68" t="s">
        <v>292</v>
      </c>
      <c r="B3" s="12">
        <v>1</v>
      </c>
      <c r="C3" s="12">
        <v>100</v>
      </c>
      <c r="D3" s="12">
        <f>B3*(1+C5*C6)*8</f>
        <v>8.1999999999999993</v>
      </c>
      <c r="G3" s="12">
        <v>0</v>
      </c>
      <c r="H3" s="12">
        <f t="shared" ref="H3:H8" si="0">(C3-G3)/B3</f>
        <v>100</v>
      </c>
    </row>
    <row r="4" spans="1:17" ht="14.25">
      <c r="A4" s="68" t="s">
        <v>293</v>
      </c>
      <c r="B4" s="69">
        <v>0.02</v>
      </c>
      <c r="C4" s="69">
        <v>2</v>
      </c>
      <c r="D4" s="12">
        <f>B4*C2/(1-C7*C8)</f>
        <v>8.9776680507238247</v>
      </c>
      <c r="G4" s="72">
        <v>1</v>
      </c>
      <c r="H4" s="12">
        <f t="shared" si="0"/>
        <v>50</v>
      </c>
    </row>
    <row r="5" spans="1:17" ht="14.25">
      <c r="A5" s="68" t="s">
        <v>251</v>
      </c>
      <c r="B5" s="69">
        <v>2.1999999999999999E-2</v>
      </c>
      <c r="C5" s="71">
        <v>0.05</v>
      </c>
      <c r="D5" s="70">
        <f>B5*C6*C3*8</f>
        <v>8.7999999999999989</v>
      </c>
      <c r="G5" s="71">
        <v>0.05</v>
      </c>
      <c r="H5" s="12">
        <f t="shared" si="0"/>
        <v>0</v>
      </c>
    </row>
    <row r="6" spans="1:17" ht="14.25">
      <c r="A6" s="68" t="s">
        <v>250</v>
      </c>
      <c r="B6" s="69">
        <v>0.03</v>
      </c>
      <c r="C6" s="72">
        <v>0.5</v>
      </c>
      <c r="D6" s="70">
        <f>B6*C5*C3*8</f>
        <v>1.2</v>
      </c>
      <c r="G6" s="72">
        <v>0.5</v>
      </c>
      <c r="H6" s="12">
        <f t="shared" si="0"/>
        <v>0</v>
      </c>
    </row>
    <row r="7" spans="1:17" ht="14.25">
      <c r="A7" s="68" t="s">
        <v>252</v>
      </c>
      <c r="B7" s="81">
        <v>2.5000000000000001E-2</v>
      </c>
      <c r="C7" s="72">
        <v>0.33</v>
      </c>
      <c r="D7" s="70">
        <f>C2*C4*(1/(1-(C7+B7)*C8)-1/(1-C8*C7))</f>
        <v>8.3893936023640592</v>
      </c>
      <c r="G7" s="72">
        <v>0.05</v>
      </c>
      <c r="H7" s="12">
        <f t="shared" si="0"/>
        <v>11.200000000000001</v>
      </c>
    </row>
    <row r="8" spans="1:17" ht="14.25">
      <c r="A8" s="68" t="s">
        <v>253</v>
      </c>
      <c r="B8" s="69">
        <v>2.5000000000000001E-2</v>
      </c>
      <c r="C8" s="72">
        <v>0.33</v>
      </c>
      <c r="D8" s="70">
        <f>C2*C4/(1-(C8+B8)*C7)-C2*C4/(1-C8*C7)</f>
        <v>8.3893936023640663</v>
      </c>
      <c r="G8" s="72">
        <v>0.33</v>
      </c>
      <c r="H8" s="12">
        <f t="shared" si="0"/>
        <v>0</v>
      </c>
    </row>
    <row r="9" spans="1:17" s="74" customFormat="1" ht="14.25">
      <c r="A9" s="73" t="s">
        <v>296</v>
      </c>
    </row>
    <row r="10" spans="1:17" s="74" customFormat="1" ht="14.25">
      <c r="A10" s="73" t="s">
        <v>294</v>
      </c>
    </row>
    <row r="11" spans="1:17" s="74" customFormat="1" ht="14.25">
      <c r="A11" s="73" t="s">
        <v>295</v>
      </c>
    </row>
    <row r="15" spans="1:17">
      <c r="G15" s="12" t="s">
        <v>360</v>
      </c>
      <c r="O15" s="12">
        <v>85</v>
      </c>
      <c r="Q15" s="12">
        <v>15</v>
      </c>
    </row>
    <row r="16" spans="1:17">
      <c r="A16" s="12" t="s">
        <v>363</v>
      </c>
      <c r="C16" s="12" t="s">
        <v>357</v>
      </c>
      <c r="D16" s="12" t="s">
        <v>358</v>
      </c>
      <c r="G16" s="12" t="s">
        <v>361</v>
      </c>
      <c r="O16" s="12">
        <v>85</v>
      </c>
      <c r="Q16" s="12">
        <v>15</v>
      </c>
    </row>
    <row r="17" spans="1:17">
      <c r="G17" s="12" t="s">
        <v>362</v>
      </c>
      <c r="O17" s="12">
        <v>85</v>
      </c>
      <c r="Q17" s="12">
        <v>15</v>
      </c>
    </row>
    <row r="18" spans="1:17">
      <c r="K18" s="12">
        <v>4</v>
      </c>
      <c r="L18" s="12">
        <v>800</v>
      </c>
      <c r="Q18" s="70">
        <v>15</v>
      </c>
    </row>
    <row r="19" spans="1:17">
      <c r="B19" s="12">
        <v>4</v>
      </c>
      <c r="C19" s="12">
        <v>640</v>
      </c>
      <c r="D19" s="12">
        <v>6.4</v>
      </c>
      <c r="G19" s="70"/>
      <c r="K19" s="12">
        <v>1</v>
      </c>
      <c r="L19" s="12">
        <v>200</v>
      </c>
      <c r="O19" s="70">
        <v>255</v>
      </c>
      <c r="Q19" s="70">
        <v>15</v>
      </c>
    </row>
    <row r="20" spans="1:17">
      <c r="B20" s="12">
        <v>1</v>
      </c>
      <c r="C20" s="12">
        <v>80</v>
      </c>
      <c r="D20" s="12">
        <v>1</v>
      </c>
      <c r="K20" s="72">
        <v>0.02</v>
      </c>
      <c r="L20" s="72">
        <v>2</v>
      </c>
      <c r="M20" s="12">
        <v>50</v>
      </c>
      <c r="Q20" s="70">
        <v>75</v>
      </c>
    </row>
    <row r="21" spans="1:17">
      <c r="B21" s="72">
        <v>0.01</v>
      </c>
      <c r="C21" s="72">
        <v>2</v>
      </c>
      <c r="D21" s="12">
        <v>6.4</v>
      </c>
    </row>
    <row r="25" spans="1:17">
      <c r="C25" s="12">
        <f>60/59</f>
        <v>1.0169491525423728</v>
      </c>
    </row>
    <row r="26" spans="1:17">
      <c r="E26" s="95" t="s">
        <v>367</v>
      </c>
      <c r="F26" s="95"/>
      <c r="G26" s="95"/>
      <c r="H26" s="12">
        <f>B2*C4/(1-C7*C8)</f>
        <v>8.9776680507238247</v>
      </c>
    </row>
    <row r="27" spans="1:17">
      <c r="A27" s="12" t="s">
        <v>364</v>
      </c>
      <c r="C27" s="12">
        <v>4</v>
      </c>
      <c r="D27" s="12">
        <v>800</v>
      </c>
      <c r="E27" s="95" t="s">
        <v>368</v>
      </c>
      <c r="F27" s="95"/>
      <c r="G27" s="95"/>
      <c r="H27" s="12">
        <f>800/(1-(C7+B7)*C8)-800/(1-C8*C7)</f>
        <v>8.3893936023640663</v>
      </c>
    </row>
    <row r="28" spans="1:17">
      <c r="A28" s="12" t="s">
        <v>365</v>
      </c>
      <c r="C28" s="12">
        <v>1</v>
      </c>
      <c r="D28" s="12">
        <v>200</v>
      </c>
      <c r="E28" s="95" t="s">
        <v>370</v>
      </c>
      <c r="F28" s="95"/>
      <c r="G28" s="95"/>
      <c r="H28" s="12">
        <f>C2*C4/(1-(C8+B8)*C7)-C2*C4/(1-C8*C7)</f>
        <v>8.3893936023640663</v>
      </c>
    </row>
    <row r="29" spans="1:17">
      <c r="C29" s="72">
        <v>0.02</v>
      </c>
      <c r="D29" s="72">
        <v>2</v>
      </c>
      <c r="E29" s="12">
        <v>50</v>
      </c>
      <c r="F29" s="95" t="s">
        <v>371</v>
      </c>
      <c r="G29" s="95"/>
      <c r="H29" s="82">
        <f>H26/H27</f>
        <v>1.0701212121212178</v>
      </c>
    </row>
    <row r="30" spans="1:17">
      <c r="A30" s="12" t="s">
        <v>366</v>
      </c>
      <c r="D30" s="72">
        <v>0.05</v>
      </c>
      <c r="F30" s="95" t="s">
        <v>372</v>
      </c>
      <c r="G30" s="95"/>
      <c r="H30" s="82">
        <f>H26/H28</f>
        <v>1.0701212121212178</v>
      </c>
    </row>
  </sheetData>
  <mergeCells count="5">
    <mergeCell ref="F30:G30"/>
    <mergeCell ref="E26:G26"/>
    <mergeCell ref="E27:G27"/>
    <mergeCell ref="E28:G28"/>
    <mergeCell ref="F29:G29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zoomScale="70" zoomScaleNormal="70" workbookViewId="0">
      <selection activeCell="AB20" sqref="AB20"/>
    </sheetView>
  </sheetViews>
  <sheetFormatPr defaultRowHeight="13.5"/>
  <sheetData>
    <row r="1" spans="1:29" ht="16.5">
      <c r="A1" s="85">
        <v>0.02</v>
      </c>
      <c r="B1" s="83">
        <f>1.7095</f>
        <v>1.7095</v>
      </c>
      <c r="C1" s="83">
        <f>1/1.7095</f>
        <v>0.58496636443404504</v>
      </c>
      <c r="D1" s="85">
        <v>0.02</v>
      </c>
      <c r="F1" t="s">
        <v>369</v>
      </c>
      <c r="G1">
        <v>20</v>
      </c>
      <c r="T1" s="36" t="s">
        <v>254</v>
      </c>
      <c r="U1" s="36">
        <f>LN(2)/LN(1.5)</f>
        <v>1.7095112913514547</v>
      </c>
      <c r="V1" s="36"/>
      <c r="W1" s="36" t="s">
        <v>255</v>
      </c>
      <c r="X1" s="36">
        <f>1/U1</f>
        <v>0.58496250072115619</v>
      </c>
    </row>
    <row r="2" spans="1:29" ht="16.5">
      <c r="A2" s="84">
        <v>0.02</v>
      </c>
      <c r="B2">
        <f>POWER(A2,$B$1)</f>
        <v>1.2462660878314433E-3</v>
      </c>
      <c r="C2">
        <f>1-B2</f>
        <v>0.9987537339121686</v>
      </c>
      <c r="D2">
        <f>POWER(C2,$C$1)</f>
        <v>0.99927078760559396</v>
      </c>
      <c r="F2">
        <f>A2*$A$1+D2*$D$1</f>
        <v>2.038541575211188E-2</v>
      </c>
      <c r="H2">
        <f>(一步步找点!$B$7*关于alpha次方!A2*关于alpha次方!$G$1+一步步找点!$C$7)*(一步步找点!$B$8*关于alpha次方!D2*关于alpha次方!$G$1+一步步找点!$C$8)</f>
        <v>0.28207603389295099</v>
      </c>
      <c r="J2" s="63">
        <f>(一步步找点!$B$7*关于alpha次方!A2*关于alpha次方!$G$1+一步步找点!$C$7)</f>
        <v>0.34</v>
      </c>
      <c r="K2" s="63">
        <f>(一步步找点!$B$8*关于alpha次方!D2*关于alpha次方!$G$1+一步步找点!$C$8)</f>
        <v>0.82963539380279694</v>
      </c>
      <c r="T2" s="36"/>
      <c r="U2" s="36"/>
      <c r="V2" s="36"/>
      <c r="W2" s="36"/>
      <c r="X2" s="36"/>
    </row>
    <row r="3" spans="1:29" ht="16.5">
      <c r="A3" s="84">
        <v>0.04</v>
      </c>
      <c r="B3" s="36">
        <f t="shared" ref="B3:B50" si="0">POWER(A3,$B$1)</f>
        <v>4.0758815572755199E-3</v>
      </c>
      <c r="C3" s="36">
        <f t="shared" ref="C3:C50" si="1">1-B3</f>
        <v>0.99592411844272444</v>
      </c>
      <c r="D3" s="36">
        <f t="shared" ref="D3:D50" si="2">POWER(C3,$C$1)</f>
        <v>0.99761372586200436</v>
      </c>
      <c r="F3" s="36">
        <f t="shared" ref="F3:F50" si="3">A3*$A$1+D3*$D$1</f>
        <v>2.0752274517240085E-2</v>
      </c>
      <c r="H3" s="36">
        <f>(一步步找点!$B$7*关于alpha次方!A3*关于alpha次方!$G$1+一步步找点!$C$7)*(一步步找点!$B$8*关于alpha次方!D3*关于alpha次方!$G$1+一步步找点!$C$8)</f>
        <v>0.29008240202585078</v>
      </c>
      <c r="J3" s="63">
        <f>(一步步找点!$B$7*关于alpha次方!A3*关于alpha次方!$G$1+一步步找点!$C$7)</f>
        <v>0.35000000000000003</v>
      </c>
      <c r="K3" s="63">
        <f>(一步步找点!$B$8*关于alpha次方!D3*关于alpha次方!$G$1+一步步找点!$C$8)</f>
        <v>0.82880686293100214</v>
      </c>
      <c r="T3" s="36" t="s">
        <v>281</v>
      </c>
      <c r="U3" s="58">
        <v>100</v>
      </c>
      <c r="V3" s="36"/>
      <c r="W3" s="36" t="s">
        <v>282</v>
      </c>
      <c r="X3" s="36">
        <f>POWER(U3,U1)</f>
        <v>2624.3550026096937</v>
      </c>
    </row>
    <row r="4" spans="1:29" ht="16.5">
      <c r="A4" s="84">
        <v>0.06</v>
      </c>
      <c r="B4" s="36">
        <f t="shared" si="0"/>
        <v>8.1517257938348298E-3</v>
      </c>
      <c r="C4" s="36">
        <f t="shared" si="1"/>
        <v>0.99184827420616517</v>
      </c>
      <c r="D4" s="36">
        <f t="shared" si="2"/>
        <v>0.99522341696333216</v>
      </c>
      <c r="F4" s="36">
        <f t="shared" si="3"/>
        <v>2.1104468339266644E-2</v>
      </c>
      <c r="H4" s="36">
        <f>(一步步找点!$B$7*关于alpha次方!A4*关于alpha次方!$G$1+一步步找点!$C$7)*(一步步找点!$B$8*关于alpha次方!D4*关于alpha次方!$G$1+一步步找点!$C$8)</f>
        <v>0.29794021505339979</v>
      </c>
      <c r="J4" s="63">
        <f>(一步步找点!$B$7*关于alpha次方!A4*关于alpha次方!$G$1+一步步找点!$C$7)</f>
        <v>0.36</v>
      </c>
      <c r="K4" s="63">
        <f>(一步步找点!$B$8*关于alpha次方!D4*关于alpha次方!$G$1+一步步找点!$C$8)</f>
        <v>0.8276117084816661</v>
      </c>
      <c r="T4" s="36"/>
      <c r="U4" s="36"/>
      <c r="V4" s="36"/>
      <c r="W4" s="36"/>
      <c r="X4" s="36"/>
    </row>
    <row r="5" spans="1:29" ht="16.5">
      <c r="A5" s="84">
        <v>0.08</v>
      </c>
      <c r="B5" s="36">
        <f t="shared" si="0"/>
        <v>1.3330067014698058E-2</v>
      </c>
      <c r="C5" s="36">
        <f t="shared" si="1"/>
        <v>0.98666993298530192</v>
      </c>
      <c r="D5" s="36">
        <f t="shared" si="2"/>
        <v>0.99218065250215015</v>
      </c>
      <c r="F5" s="36">
        <f t="shared" si="3"/>
        <v>2.1443613050043005E-2</v>
      </c>
      <c r="H5" s="36">
        <f>(一步步找点!$B$7*关于alpha次方!A5*关于alpha次方!$G$1+一步步找点!$C$7)*(一步步找点!$B$8*关于alpha次方!D5*关于alpha次方!$G$1+一步步找点!$C$8)</f>
        <v>0.30565342071289781</v>
      </c>
      <c r="J5" s="63">
        <f>(一步步找点!$B$7*关于alpha次方!A5*关于alpha次方!$G$1+一步步找点!$C$7)</f>
        <v>0.37</v>
      </c>
      <c r="K5" s="63">
        <f>(一步步找点!$B$8*关于alpha次方!D5*关于alpha次方!$G$1+一步步找点!$C$8)</f>
        <v>0.82609032625107515</v>
      </c>
      <c r="T5" s="36" t="s">
        <v>283</v>
      </c>
      <c r="U5" s="36" t="s">
        <v>284</v>
      </c>
      <c r="V5" s="36" t="s">
        <v>285</v>
      </c>
      <c r="W5" s="36" t="s">
        <v>286</v>
      </c>
      <c r="X5" s="36" t="s">
        <v>287</v>
      </c>
    </row>
    <row r="6" spans="1:29" ht="16.5">
      <c r="A6" s="84">
        <v>0.1</v>
      </c>
      <c r="B6" s="36">
        <f t="shared" si="0"/>
        <v>1.9520907340433057E-2</v>
      </c>
      <c r="C6" s="36">
        <f t="shared" si="1"/>
        <v>0.9804790926595669</v>
      </c>
      <c r="D6" s="36">
        <f t="shared" si="2"/>
        <v>0.98853423707629828</v>
      </c>
      <c r="F6" s="36">
        <f t="shared" si="3"/>
        <v>2.1770684741525964E-2</v>
      </c>
      <c r="H6" s="36">
        <f>(一步步找点!$B$7*关于alpha次方!A6*关于alpha次方!$G$1+一步步找点!$C$7)*(一步步找点!$B$8*关于alpha次方!D6*关于alpha次方!$G$1+一步步找点!$C$8)</f>
        <v>0.3132215050444967</v>
      </c>
      <c r="J6" s="63">
        <f>(一步步找点!$B$7*关于alpha次方!A6*关于alpha次方!$G$1+一步步找点!$C$7)</f>
        <v>0.38</v>
      </c>
      <c r="K6" s="63">
        <f>(一步步找点!$B$8*关于alpha次方!D6*关于alpha次方!$G$1+一步步找点!$C$8)</f>
        <v>0.82426711853814916</v>
      </c>
      <c r="T6" s="56">
        <v>1</v>
      </c>
      <c r="U6" s="56">
        <v>0</v>
      </c>
      <c r="V6" s="56">
        <v>0</v>
      </c>
      <c r="W6" s="56">
        <v>0</v>
      </c>
      <c r="X6" s="56">
        <v>0</v>
      </c>
    </row>
    <row r="7" spans="1:29" ht="16.5">
      <c r="A7" s="84">
        <v>0.12</v>
      </c>
      <c r="B7" s="36">
        <f t="shared" si="0"/>
        <v>2.6660011972942547E-2</v>
      </c>
      <c r="C7" s="36">
        <f t="shared" si="1"/>
        <v>0.97333998802705746</v>
      </c>
      <c r="D7" s="36">
        <f t="shared" si="2"/>
        <v>0.9843174080253867</v>
      </c>
      <c r="F7" s="36">
        <f t="shared" si="3"/>
        <v>2.2086348160507734E-2</v>
      </c>
      <c r="H7" s="36">
        <f>(一步步找点!$B$7*关于alpha次方!A7*关于alpha次方!$G$1+一步步找点!$C$7)*(一步步找点!$B$8*关于alpha次方!D7*关于alpha次方!$G$1+一步步找点!$C$8)</f>
        <v>0.32064189456495046</v>
      </c>
      <c r="J7" s="63">
        <f>(一步步找点!$B$7*关于alpha次方!A7*关于alpha次方!$G$1+一步步找点!$C$7)</f>
        <v>0.39</v>
      </c>
      <c r="K7" s="63">
        <f>(一步步找点!$B$8*关于alpha次方!D7*关于alpha次方!$G$1+一步步找点!$C$8)</f>
        <v>0.82215870401269342</v>
      </c>
      <c r="T7" s="33">
        <f>$X$3*T6</f>
        <v>2624.3550026096937</v>
      </c>
      <c r="U7" s="33">
        <f t="shared" ref="U7:X7" si="4">$X$3*U6</f>
        <v>0</v>
      </c>
      <c r="V7" s="33">
        <f t="shared" si="4"/>
        <v>0</v>
      </c>
      <c r="W7" s="33">
        <f t="shared" si="4"/>
        <v>0</v>
      </c>
      <c r="X7" s="33">
        <f t="shared" si="4"/>
        <v>0</v>
      </c>
    </row>
    <row r="8" spans="1:29" ht="16.5">
      <c r="A8" s="84">
        <v>0.14000000000000001</v>
      </c>
      <c r="B8" s="36">
        <f t="shared" si="0"/>
        <v>3.4698114594103942E-2</v>
      </c>
      <c r="C8" s="36">
        <f t="shared" si="1"/>
        <v>0.96530188540589601</v>
      </c>
      <c r="D8" s="36">
        <f t="shared" si="2"/>
        <v>0.97955417776807485</v>
      </c>
      <c r="F8" s="36">
        <f t="shared" si="3"/>
        <v>2.2391083555361499E-2</v>
      </c>
      <c r="H8" s="36">
        <f>(一步步找点!$B$7*关于alpha次方!A8*关于alpha次方!$G$1+一步步找点!$C$7)*(一步步找点!$B$8*关于alpha次方!D8*关于alpha次方!$G$1+一步步找点!$C$8)</f>
        <v>0.327910835553615</v>
      </c>
      <c r="J8" s="63">
        <f>(一步步找点!$B$7*关于alpha次方!A8*关于alpha次方!$G$1+一步步找点!$C$7)</f>
        <v>0.4</v>
      </c>
      <c r="K8" s="63">
        <f>(一步步找点!$B$8*关于alpha次方!D8*关于alpha次方!$G$1+一步步找点!$C$8)</f>
        <v>0.81977708888403744</v>
      </c>
      <c r="T8" s="33">
        <f>POWER(T7,$X$1)</f>
        <v>100.00000000000004</v>
      </c>
      <c r="U8" s="33">
        <f t="shared" ref="U8:X8" si="5">POWER(U7,$X$1)</f>
        <v>0</v>
      </c>
      <c r="V8" s="33">
        <f t="shared" si="5"/>
        <v>0</v>
      </c>
      <c r="W8" s="33">
        <f t="shared" si="5"/>
        <v>0</v>
      </c>
      <c r="X8" s="33">
        <f t="shared" si="5"/>
        <v>0</v>
      </c>
      <c r="Z8" t="s">
        <v>375</v>
      </c>
      <c r="AA8" s="33">
        <f>SUM(T8:X8)</f>
        <v>100.00000000000004</v>
      </c>
    </row>
    <row r="9" spans="1:29" ht="16.5">
      <c r="A9" s="84">
        <v>0.16</v>
      </c>
      <c r="B9" s="36">
        <f t="shared" si="0"/>
        <v>4.3595645290320138E-2</v>
      </c>
      <c r="C9" s="36">
        <f t="shared" si="1"/>
        <v>0.95640435470967988</v>
      </c>
      <c r="D9" s="36">
        <f t="shared" si="2"/>
        <v>0.97426242887637682</v>
      </c>
      <c r="F9" s="36">
        <f t="shared" si="3"/>
        <v>2.2685248577527538E-2</v>
      </c>
      <c r="H9" s="36">
        <f>(一步步找点!$B$7*关于alpha次方!A9*关于alpha次方!$G$1+一步步找点!$C$7)*(一步步找点!$B$8*关于alpha次方!D9*关于alpha次方!$G$1+一步步找点!$C$8)</f>
        <v>0.33502379791965725</v>
      </c>
      <c r="J9" s="63">
        <f>(一步步找点!$B$7*关于alpha次方!A9*关于alpha次方!$G$1+一步步找点!$C$7)</f>
        <v>0.41000000000000003</v>
      </c>
      <c r="K9" s="63">
        <f>(一步步找点!$B$8*关于alpha次方!D9*关于alpha次方!$G$1+一步步找点!$C$8)</f>
        <v>0.81713121443818837</v>
      </c>
      <c r="T9" s="33"/>
      <c r="U9" s="33"/>
      <c r="V9" s="33"/>
      <c r="W9" s="33"/>
      <c r="X9" s="33"/>
    </row>
    <row r="10" spans="1:29" ht="16.5">
      <c r="A10" s="84">
        <v>0.18</v>
      </c>
      <c r="B10" s="36">
        <f t="shared" si="0"/>
        <v>5.3319779834095533E-2</v>
      </c>
      <c r="C10" s="36">
        <f t="shared" si="1"/>
        <v>0.94668022016590447</v>
      </c>
      <c r="D10" s="36">
        <f t="shared" si="2"/>
        <v>0.9684556400742752</v>
      </c>
      <c r="F10" s="36">
        <f t="shared" si="3"/>
        <v>2.2969112801485503E-2</v>
      </c>
      <c r="H10" s="36">
        <f>(一步步找点!$B$7*关于alpha次方!A10*关于alpha次方!$G$1+一步步找点!$C$7)*(一步步找点!$B$8*关于alpha次方!D10*关于alpha次方!$G$1+一步步找点!$C$8)</f>
        <v>0.34197568441559784</v>
      </c>
      <c r="J10" s="63">
        <f>(一步步找点!$B$7*关于alpha次方!A10*关于alpha次方!$G$1+一步步找点!$C$7)</f>
        <v>0.42000000000000004</v>
      </c>
      <c r="K10" s="63">
        <f>(一步步找点!$B$8*关于alpha次方!D10*关于alpha次方!$G$1+一步步找点!$C$8)</f>
        <v>0.81422782003713756</v>
      </c>
    </row>
    <row r="11" spans="1:29" ht="16.5">
      <c r="A11" s="84">
        <v>0.2</v>
      </c>
      <c r="B11" s="36">
        <f t="shared" si="0"/>
        <v>6.3842631190103055E-2</v>
      </c>
      <c r="C11" s="36">
        <f t="shared" si="1"/>
        <v>0.93615736880989697</v>
      </c>
      <c r="D11" s="36">
        <f t="shared" si="2"/>
        <v>0.96214393566882928</v>
      </c>
      <c r="F11" s="36">
        <f t="shared" si="3"/>
        <v>2.3242878713376585E-2</v>
      </c>
      <c r="H11" s="36">
        <f>(一步步找点!$B$7*关于alpha次方!A11*关于alpha次方!$G$1+一步步找点!$C$7)*(一步步找点!$B$8*关于alpha次方!D11*关于alpha次方!$G$1+一步步找点!$C$8)</f>
        <v>0.34876094616879838</v>
      </c>
      <c r="J11" s="63">
        <f>(一步步找点!$B$7*关于alpha次方!A11*关于alpha次方!$G$1+一步步找点!$C$7)</f>
        <v>0.43000000000000005</v>
      </c>
      <c r="K11" s="63">
        <f>(一步步找点!$B$8*关于alpha次方!D11*关于alpha次方!$G$1+一步步找点!$C$8)</f>
        <v>0.81107196783441471</v>
      </c>
      <c r="Z11" t="s">
        <v>376</v>
      </c>
      <c r="AA11">
        <v>195</v>
      </c>
      <c r="AC11">
        <v>10</v>
      </c>
    </row>
    <row r="12" spans="1:29" ht="16.5">
      <c r="A12" s="84">
        <v>0.22</v>
      </c>
      <c r="B12" s="36">
        <f t="shared" si="0"/>
        <v>7.5140066116144349E-2</v>
      </c>
      <c r="C12" s="36">
        <f t="shared" si="1"/>
        <v>0.92485993388385568</v>
      </c>
      <c r="D12" s="36">
        <f t="shared" si="2"/>
        <v>0.95533476233593984</v>
      </c>
      <c r="F12" s="36">
        <f t="shared" si="3"/>
        <v>2.3506695246718799E-2</v>
      </c>
      <c r="H12" s="36">
        <f>(一步步找点!$B$7*关于alpha次方!A12*关于alpha次方!$G$1+一步步找点!$C$7)*(一步步找点!$B$8*关于alpha次方!D12*关于alpha次方!$G$1+一步步找点!$C$8)</f>
        <v>0.35537364771390684</v>
      </c>
      <c r="J12" s="63">
        <f>(一步步找点!$B$7*关于alpha次方!A12*关于alpha次方!$G$1+一步步找点!$C$7)</f>
        <v>0.44000000000000006</v>
      </c>
      <c r="K12" s="63">
        <f>(一步步找点!$B$8*关于alpha次方!D12*关于alpha次方!$G$1+一步步找点!$C$8)</f>
        <v>0.80766738116796999</v>
      </c>
      <c r="Z12" t="s">
        <v>377</v>
      </c>
      <c r="AA12">
        <v>178</v>
      </c>
      <c r="AC12">
        <v>10</v>
      </c>
    </row>
    <row r="13" spans="1:29" ht="16.5">
      <c r="A13" s="84">
        <v>0.24</v>
      </c>
      <c r="B13" s="36">
        <f t="shared" si="0"/>
        <v>8.7190891398111786E-2</v>
      </c>
      <c r="C13" s="36">
        <f t="shared" si="1"/>
        <v>0.91280910860188824</v>
      </c>
      <c r="D13" s="36">
        <f t="shared" si="2"/>
        <v>0.94803334339045275</v>
      </c>
      <c r="F13" s="36">
        <f t="shared" si="3"/>
        <v>2.3760666867809054E-2</v>
      </c>
      <c r="H13" s="36">
        <f>(一步步找点!$B$7*关于alpha次方!A13*关于alpha次方!$G$1+一步步找点!$C$7)*(一步步找点!$B$8*关于alpha次方!D13*关于alpha次方!$G$1+一步步找点!$C$8)</f>
        <v>0.36180750226285191</v>
      </c>
      <c r="J13" s="63">
        <f>(一步步找点!$B$7*关于alpha次方!A13*关于alpha次方!$G$1+一步步找点!$C$7)</f>
        <v>0.45</v>
      </c>
      <c r="K13" s="63">
        <f>(一步步找点!$B$8*关于alpha次方!D13*关于alpha次方!$G$1+一步步找点!$C$8)</f>
        <v>0.80401667169522639</v>
      </c>
      <c r="Z13" t="s">
        <v>378</v>
      </c>
      <c r="AA13">
        <v>157</v>
      </c>
      <c r="AC13">
        <v>7</v>
      </c>
    </row>
    <row r="14" spans="1:29" ht="16.5">
      <c r="A14" s="84">
        <v>0.26</v>
      </c>
      <c r="B14" s="36">
        <f t="shared" si="0"/>
        <v>9.9976271995049201E-2</v>
      </c>
      <c r="C14" s="36">
        <f t="shared" si="1"/>
        <v>0.90002372800495078</v>
      </c>
      <c r="D14" s="36">
        <f t="shared" si="2"/>
        <v>0.94024299135144773</v>
      </c>
      <c r="F14" s="36">
        <f t="shared" si="3"/>
        <v>2.4004859827028956E-2</v>
      </c>
      <c r="H14" s="36">
        <f>(一步步找点!$B$7*关于alpha次方!A14*关于alpha次方!$G$1+一步步找点!$C$7)*(一步步找点!$B$8*关于alpha次方!D14*关于alpha次方!$G$1+一步步找点!$C$8)</f>
        <v>0.368055888010833</v>
      </c>
      <c r="J14" s="63">
        <f>(一步步找点!$B$7*关于alpha次方!A14*关于alpha次方!$G$1+一步步找点!$C$7)</f>
        <v>0.46</v>
      </c>
      <c r="K14" s="63">
        <f>(一步步找点!$B$8*关于alpha次方!D14*关于alpha次方!$G$1+一步步找点!$C$8)</f>
        <v>0.80012149567572388</v>
      </c>
      <c r="Z14" t="s">
        <v>379</v>
      </c>
      <c r="AA14">
        <v>133</v>
      </c>
      <c r="AC14">
        <v>5</v>
      </c>
    </row>
    <row r="15" spans="1:29" ht="16.5">
      <c r="A15" s="84">
        <v>0.28000000000000003</v>
      </c>
      <c r="B15" s="36">
        <f t="shared" si="0"/>
        <v>0.11347930167339071</v>
      </c>
      <c r="C15" s="36">
        <f t="shared" si="1"/>
        <v>0.88652069832660929</v>
      </c>
      <c r="D15" s="36">
        <f t="shared" si="2"/>
        <v>0.9319653251969684</v>
      </c>
      <c r="F15" s="36">
        <f t="shared" si="3"/>
        <v>2.4239306503939368E-2</v>
      </c>
      <c r="H15" s="36">
        <f>(一步步找点!$B$7*关于alpha次方!A15*关于alpha次方!$G$1+一步步找点!$C$7)*(一步步找点!$B$8*关于alpha次方!D15*关于alpha次方!$G$1+一步步找点!$C$8)</f>
        <v>0.37411185142128761</v>
      </c>
      <c r="J15" s="63">
        <f>(一步步找点!$B$7*关于alpha次方!A15*关于alpha次方!$G$1+一步步找点!$C$7)</f>
        <v>0.47000000000000003</v>
      </c>
      <c r="K15" s="63">
        <f>(一步步找点!$B$8*关于alpha次方!D15*关于alpha次方!$G$1+一步步找点!$C$8)</f>
        <v>0.79598266259848427</v>
      </c>
      <c r="Z15" t="s">
        <v>380</v>
      </c>
      <c r="AA15">
        <v>100</v>
      </c>
      <c r="AC15">
        <v>3</v>
      </c>
    </row>
    <row r="16" spans="1:29" ht="16.5">
      <c r="A16" s="84">
        <v>0.3</v>
      </c>
      <c r="B16" s="36">
        <f t="shared" si="0"/>
        <v>0.12768467780661455</v>
      </c>
      <c r="C16" s="36">
        <f t="shared" si="1"/>
        <v>0.87231532219338548</v>
      </c>
      <c r="D16" s="36">
        <f t="shared" si="2"/>
        <v>0.92320042026597671</v>
      </c>
      <c r="F16" s="36">
        <f t="shared" si="3"/>
        <v>2.4464008405319537E-2</v>
      </c>
      <c r="H16" s="36">
        <f>(一步步找点!$B$7*关于alpha次方!A16*关于alpha次方!$G$1+一步步找点!$C$7)*(一步步找点!$B$8*关于alpha次方!D16*关于alpha次方!$G$1+一步步找点!$C$8)</f>
        <v>0.37996810086383442</v>
      </c>
      <c r="J16" s="63">
        <f>(一步步找点!$B$7*关于alpha次方!A16*关于alpha次方!$G$1+一步步找点!$C$7)</f>
        <v>0.48</v>
      </c>
      <c r="K16" s="63">
        <f>(一步步找点!$B$8*关于alpha次方!D16*关于alpha次方!$G$1+一步步找点!$C$8)</f>
        <v>0.79160021013298842</v>
      </c>
    </row>
    <row r="17" spans="1:11" ht="16.5">
      <c r="A17" s="84">
        <v>0.32</v>
      </c>
      <c r="B17" s="36">
        <f t="shared" si="0"/>
        <v>0.14257844961947955</v>
      </c>
      <c r="C17" s="36">
        <f t="shared" si="1"/>
        <v>0.85742155038052048</v>
      </c>
      <c r="D17" s="36">
        <f t="shared" si="2"/>
        <v>0.91394690824987779</v>
      </c>
      <c r="F17" s="36">
        <f t="shared" si="3"/>
        <v>2.4678938164997555E-2</v>
      </c>
      <c r="H17" s="36">
        <f>(一步步找点!$B$7*关于alpha次方!A17*关于alpha次方!$G$1+一步步找点!$C$7)*(一步步找点!$B$8*关于alpha次方!D17*关于alpha次方!$G$1+一步步找点!$C$8)</f>
        <v>0.38561699252122006</v>
      </c>
      <c r="J17" s="63">
        <f>(一步步找点!$B$7*关于alpha次方!A17*关于alpha次方!$G$1+一步步找点!$C$7)</f>
        <v>0.49</v>
      </c>
      <c r="K17" s="63">
        <f>(一步步找点!$B$8*关于alpha次方!D17*关于alpha次方!$G$1+一步步找点!$C$8)</f>
        <v>0.78697345412493891</v>
      </c>
    </row>
    <row r="18" spans="1:11" ht="16.5">
      <c r="A18" s="84">
        <v>0.34</v>
      </c>
      <c r="B18" s="36">
        <f t="shared" si="0"/>
        <v>0.15814781961919375</v>
      </c>
      <c r="C18" s="36">
        <f t="shared" si="1"/>
        <v>0.84185218038080623</v>
      </c>
      <c r="D18" s="36">
        <f t="shared" si="2"/>
        <v>0.90420203838039481</v>
      </c>
      <c r="F18" s="36">
        <f t="shared" si="3"/>
        <v>2.4884040767607897E-2</v>
      </c>
      <c r="H18" s="36">
        <f>(一步步找点!$B$7*关于alpha次方!A18*关于alpha次方!$G$1+一步步找点!$C$7)*(一步步找点!$B$8*关于alpha次方!D18*关于alpha次方!$G$1+一步步找点!$C$8)</f>
        <v>0.39105050959509874</v>
      </c>
      <c r="J18" s="63">
        <f>(一步步找点!$B$7*关于alpha次方!A18*关于alpha次方!$G$1+一步步找点!$C$7)</f>
        <v>0.5</v>
      </c>
      <c r="K18" s="63">
        <f>(一步步找点!$B$8*关于alpha次方!D18*关于alpha次方!$G$1+一步步找点!$C$8)</f>
        <v>0.78210101919019748</v>
      </c>
    </row>
    <row r="19" spans="1:11" ht="16.5">
      <c r="A19" s="84">
        <v>0.36</v>
      </c>
      <c r="B19" s="36">
        <f t="shared" si="0"/>
        <v>0.17438098443482181</v>
      </c>
      <c r="C19" s="36">
        <f t="shared" si="1"/>
        <v>0.82561901556517814</v>
      </c>
      <c r="D19" s="36">
        <f t="shared" si="2"/>
        <v>0.89396170690137711</v>
      </c>
      <c r="F19" s="36">
        <f t="shared" si="3"/>
        <v>2.507923413802754E-2</v>
      </c>
      <c r="H19" s="36">
        <f>(一步步找点!$B$7*关于alpha次方!A19*关于alpha次方!$G$1+一步步找点!$C$7)*(一步步找点!$B$8*关于alpha次方!D19*关于alpha次方!$G$1+一步步找点!$C$8)</f>
        <v>0.39626023525985116</v>
      </c>
      <c r="J19" s="63">
        <f>(一步步找点!$B$7*关于alpha次方!A19*关于alpha次方!$G$1+一步步找点!$C$7)</f>
        <v>0.51</v>
      </c>
      <c r="K19" s="63">
        <f>(一步步找点!$B$8*关于alpha次方!D19*关于alpha次方!$G$1+一步步找点!$C$8)</f>
        <v>0.77698085345068857</v>
      </c>
    </row>
    <row r="20" spans="1:11" ht="16.5">
      <c r="A20" s="84">
        <v>0.38</v>
      </c>
      <c r="B20" s="36">
        <f t="shared" si="0"/>
        <v>0.19126700544013095</v>
      </c>
      <c r="C20" s="36">
        <f t="shared" si="1"/>
        <v>0.80873299455986902</v>
      </c>
      <c r="D20" s="36">
        <f t="shared" si="2"/>
        <v>0.88322045922334114</v>
      </c>
      <c r="F20" s="36">
        <f t="shared" si="3"/>
        <v>2.5264409184466822E-2</v>
      </c>
      <c r="H20" s="36">
        <f>(一步步找点!$B$7*关于alpha次方!A20*关于alpha次方!$G$1+一步步找点!$C$7)*(一步步找点!$B$8*关于alpha次方!D20*关于alpha次方!$G$1+一步步找点!$C$8)</f>
        <v>0.40123731939806873</v>
      </c>
      <c r="J20" s="63">
        <f>(一步步找点!$B$7*关于alpha次方!A20*关于alpha次方!$G$1+一步步找点!$C$7)</f>
        <v>0.52</v>
      </c>
      <c r="K20" s="63">
        <f>(一步步找点!$B$8*关于alpha次方!D20*关于alpha次方!$G$1+一步步找点!$C$8)</f>
        <v>0.77161022961167058</v>
      </c>
    </row>
    <row r="21" spans="1:11" ht="16.5">
      <c r="A21" s="84">
        <v>0.4</v>
      </c>
      <c r="B21" s="36">
        <f t="shared" si="0"/>
        <v>0.20879570227933369</v>
      </c>
      <c r="C21" s="36">
        <f t="shared" si="1"/>
        <v>0.79120429772066636</v>
      </c>
      <c r="D21" s="36">
        <f t="shared" si="2"/>
        <v>0.87197146725004915</v>
      </c>
      <c r="F21" s="36">
        <f t="shared" si="3"/>
        <v>2.5439429345000982E-2</v>
      </c>
      <c r="H21" s="36">
        <f>(一步步找点!$B$7*关于alpha次方!A21*关于alpha次方!$G$1+一步步找点!$C$7)*(一步步找点!$B$8*关于alpha次方!D21*关于alpha次方!$G$1+一步步找点!$C$8)</f>
        <v>0.4059724388212631</v>
      </c>
      <c r="J21" s="63">
        <f>(一步步找点!$B$7*关于alpha次方!A21*关于alpha次方!$G$1+一步步找点!$C$7)</f>
        <v>0.53</v>
      </c>
      <c r="K21" s="63">
        <f>(一步步找点!$B$8*关于alpha次方!D21*关于alpha次方!$G$1+一步步找点!$C$8)</f>
        <v>0.76598573362502465</v>
      </c>
    </row>
    <row r="22" spans="1:11" ht="16.5">
      <c r="A22" s="84">
        <v>0.42</v>
      </c>
      <c r="B22" s="36">
        <f t="shared" si="0"/>
        <v>0.22695756427615249</v>
      </c>
      <c r="C22" s="36">
        <f t="shared" si="1"/>
        <v>0.77304243572384745</v>
      </c>
      <c r="D22" s="36">
        <f t="shared" si="2"/>
        <v>0.86020648291041468</v>
      </c>
      <c r="F22" s="36">
        <f t="shared" si="3"/>
        <v>2.5604129658208297E-2</v>
      </c>
      <c r="H22" s="36">
        <f>(一步步找点!$B$7*关于alpha次方!A22*关于alpha次方!$G$1+一步步找点!$C$7)*(一步步找点!$B$8*关于alpha次方!D22*关于alpha次方!$G$1+一步步找点!$C$8)</f>
        <v>0.410455750385812</v>
      </c>
      <c r="J22" s="63">
        <f>(一步步找点!$B$7*关于alpha次方!A22*关于alpha次方!$G$1+一步步找点!$C$7)</f>
        <v>0.54</v>
      </c>
      <c r="K22" s="63">
        <f>(一步步找点!$B$8*关于alpha次方!D22*关于alpha次方!$G$1+一步步找点!$C$8)</f>
        <v>0.76010324145520736</v>
      </c>
    </row>
    <row r="23" spans="1:11" ht="16.5">
      <c r="A23" s="84">
        <v>0.44</v>
      </c>
      <c r="B23" s="36">
        <f t="shared" si="0"/>
        <v>0.24574367599792843</v>
      </c>
      <c r="C23" s="36">
        <f t="shared" si="1"/>
        <v>0.75425632400207154</v>
      </c>
      <c r="D23" s="36">
        <f t="shared" si="2"/>
        <v>0.84791576772110888</v>
      </c>
      <c r="F23" s="36">
        <f t="shared" si="3"/>
        <v>2.5758315354422176E-2</v>
      </c>
      <c r="H23" s="36">
        <f>(一步步找点!$B$7*关于alpha次方!A23*关于alpha次方!$G$1+一步步找点!$C$7)*(一步步找点!$B$8*关于alpha次方!D23*关于alpha次方!$G$1+一步步找点!$C$8)</f>
        <v>0.41467683612330503</v>
      </c>
      <c r="J23" s="63">
        <f>(一步步找点!$B$7*关于alpha次方!A23*关于alpha次方!$G$1+一步步找点!$C$7)</f>
        <v>0.55000000000000004</v>
      </c>
      <c r="K23" s="63">
        <f>(一步步找点!$B$8*关于alpha次方!D23*关于alpha次方!$G$1+一步步找点!$C$8)</f>
        <v>0.75395788386055451</v>
      </c>
    </row>
    <row r="24" spans="1:11" ht="16.5">
      <c r="A24" s="84">
        <v>0.46</v>
      </c>
      <c r="B24" s="36">
        <f t="shared" si="0"/>
        <v>0.26514565416095026</v>
      </c>
      <c r="C24" s="36">
        <f t="shared" si="1"/>
        <v>0.73485434583904974</v>
      </c>
      <c r="D24" s="36">
        <f t="shared" si="2"/>
        <v>0.83508799710432835</v>
      </c>
      <c r="F24" s="36">
        <f t="shared" si="3"/>
        <v>2.5901759942086568E-2</v>
      </c>
      <c r="H24" s="36">
        <f>(一步步找点!$B$7*关于alpha次方!A24*关于alpha次方!$G$1+一步步找点!$C$7)*(一步步找点!$B$8*关于alpha次方!D24*关于alpha次方!$G$1+一步步找点!$C$8)</f>
        <v>0.418624639189212</v>
      </c>
      <c r="J24" s="63">
        <f>(一步步找点!$B$7*关于alpha次方!A24*关于alpha次方!$G$1+一步步找点!$C$7)</f>
        <v>0.56000000000000005</v>
      </c>
      <c r="K24" s="63">
        <f>(一步步找点!$B$8*关于alpha次方!D24*关于alpha次方!$G$1+一步步找点!$C$8)</f>
        <v>0.74754399855216425</v>
      </c>
    </row>
    <row r="25" spans="1:11" ht="16.5">
      <c r="A25" s="84">
        <v>0.48</v>
      </c>
      <c r="B25" s="36">
        <f t="shared" si="0"/>
        <v>0.28515559372264782</v>
      </c>
      <c r="C25" s="36">
        <f t="shared" si="1"/>
        <v>0.71484440627735224</v>
      </c>
      <c r="D25" s="36">
        <f t="shared" si="2"/>
        <v>0.82171013708265728</v>
      </c>
      <c r="F25" s="36">
        <f t="shared" si="3"/>
        <v>2.6034202741653148E-2</v>
      </c>
      <c r="H25" s="36">
        <f>(一步步找点!$B$7*关于alpha次方!A25*关于alpha次方!$G$1+一步步找点!$C$7)*(一步步找点!$B$8*关于alpha次方!D25*关于alpha次方!$G$1+一步步找点!$C$8)</f>
        <v>0.42228738906855739</v>
      </c>
      <c r="J25" s="63">
        <f>(一步步找点!$B$7*关于alpha次方!A25*关于alpha次方!$G$1+一步步找点!$C$7)</f>
        <v>0.57000000000000006</v>
      </c>
      <c r="K25" s="63">
        <f>(一步步找点!$B$8*关于alpha次方!D25*关于alpha次方!$G$1+一步步找点!$C$8)</f>
        <v>0.74085506854132865</v>
      </c>
    </row>
    <row r="26" spans="1:11" ht="16.5">
      <c r="A26" s="84">
        <v>0.5</v>
      </c>
      <c r="B26" s="36">
        <f t="shared" si="0"/>
        <v>0.30576602148971582</v>
      </c>
      <c r="C26" s="36">
        <f t="shared" si="1"/>
        <v>0.69423397851028423</v>
      </c>
      <c r="D26" s="36">
        <f t="shared" si="2"/>
        <v>0.80776728977212109</v>
      </c>
      <c r="F26" s="36">
        <f t="shared" si="3"/>
        <v>2.6155345795442424E-2</v>
      </c>
      <c r="H26" s="36">
        <f>(一步步找点!$B$7*关于alpha次方!A26*关于alpha次方!$G$1+一步步找点!$C$7)*(一步步找点!$B$8*关于alpha次方!D26*关于alpha次方!$G$1+一步步找点!$C$8)</f>
        <v>0.42565251403391519</v>
      </c>
      <c r="J26" s="63">
        <f>(一步步找点!$B$7*关于alpha次方!A26*关于alpha次方!$G$1+一步步找点!$C$7)</f>
        <v>0.58000000000000007</v>
      </c>
      <c r="K26" s="63">
        <f>(一步步找点!$B$8*关于alpha次方!D26*关于alpha次方!$G$1+一步步找点!$C$8)</f>
        <v>0.73388364488606062</v>
      </c>
    </row>
    <row r="27" spans="1:11" ht="16.5">
      <c r="A27" s="84">
        <v>0.52</v>
      </c>
      <c r="B27" s="36">
        <f t="shared" si="0"/>
        <v>0.32696985593087496</v>
      </c>
      <c r="C27" s="36">
        <f t="shared" si="1"/>
        <v>0.67303014406912509</v>
      </c>
      <c r="D27" s="36">
        <f t="shared" si="2"/>
        <v>0.79324250269559138</v>
      </c>
      <c r="F27" s="36">
        <f t="shared" si="3"/>
        <v>2.6264850053911826E-2</v>
      </c>
      <c r="H27" s="36">
        <f>(一步步找点!$B$7*关于alpha次方!A27*关于alpha次方!$G$1+一步步找点!$C$7)*(一步步找点!$B$8*关于alpha次方!D27*关于alpha次方!$G$1+一步步找点!$C$8)</f>
        <v>0.4287065382951995</v>
      </c>
      <c r="J27" s="63">
        <f>(一步步找点!$B$7*关于alpha次方!A27*关于alpha次方!$G$1+一步步找点!$C$7)</f>
        <v>0.59000000000000008</v>
      </c>
      <c r="K27" s="63">
        <f>(一步步找点!$B$8*关于alpha次方!D27*关于alpha次方!$G$1+一步步找点!$C$8)</f>
        <v>0.72662125134779565</v>
      </c>
    </row>
    <row r="28" spans="1:11" ht="16.5">
      <c r="A28" s="84">
        <v>0.54</v>
      </c>
      <c r="B28" s="36">
        <f t="shared" si="0"/>
        <v>0.34876037215415012</v>
      </c>
      <c r="C28" s="36">
        <f t="shared" si="1"/>
        <v>0.65123962784584988</v>
      </c>
      <c r="D28" s="36">
        <f t="shared" si="2"/>
        <v>0.77811653522466029</v>
      </c>
      <c r="F28" s="36">
        <f t="shared" si="3"/>
        <v>2.6362330704493207E-2</v>
      </c>
      <c r="H28" s="36">
        <f>(一步步找点!$B$7*关于alpha次方!A28*关于alpha次方!$G$1+一步步找点!$C$7)*(一步步找点!$B$8*关于alpha次方!D28*关于alpha次方!$G$1+一步步找点!$C$8)</f>
        <v>0.43143496056739822</v>
      </c>
      <c r="J28" s="63">
        <f>(一步步找点!$B$7*关于alpha次方!A28*关于alpha次方!$G$1+一步步找点!$C$7)</f>
        <v>0.60000000000000009</v>
      </c>
      <c r="K28" s="63">
        <f>(一步步找点!$B$8*关于alpha次方!D28*关于alpha次方!$G$1+一步步找点!$C$8)</f>
        <v>0.71905826761233027</v>
      </c>
    </row>
    <row r="29" spans="1:11" ht="16.5">
      <c r="A29" s="84">
        <v>0.56000000000000005</v>
      </c>
      <c r="B29" s="36">
        <f t="shared" si="0"/>
        <v>0.37113117121552863</v>
      </c>
      <c r="C29" s="36">
        <f t="shared" si="1"/>
        <v>0.62886882878447137</v>
      </c>
      <c r="D29" s="36">
        <f t="shared" si="2"/>
        <v>0.76236757327880977</v>
      </c>
      <c r="F29" s="36">
        <f t="shared" si="3"/>
        <v>2.6447351465576197E-2</v>
      </c>
      <c r="H29" s="36">
        <f>(一步步找点!$B$7*关于alpha次方!A29*关于alpha次方!$G$1+一步步找点!$C$7)*(一步步找点!$B$8*关于alpha次方!D29*关于alpha次方!$G$1+一步步找点!$C$8)</f>
        <v>0.43382210985003711</v>
      </c>
      <c r="J29" s="63">
        <f>(一步步找点!$B$7*关于alpha次方!A29*关于alpha次方!$G$1+一步步找点!$C$7)</f>
        <v>0.6100000000000001</v>
      </c>
      <c r="K29" s="63">
        <f>(一步步找点!$B$8*关于alpha次方!D29*关于alpha次方!$G$1+一步步找点!$C$8)</f>
        <v>0.71118378663940496</v>
      </c>
    </row>
    <row r="30" spans="1:11" ht="16.5">
      <c r="A30" s="84">
        <v>0.57999999999999996</v>
      </c>
      <c r="B30" s="36">
        <f t="shared" si="0"/>
        <v>0.39407615308562588</v>
      </c>
      <c r="C30" s="36">
        <f t="shared" si="1"/>
        <v>0.60592384691437418</v>
      </c>
      <c r="D30" s="36">
        <f t="shared" si="2"/>
        <v>0.74597088056175731</v>
      </c>
      <c r="F30" s="36">
        <f t="shared" si="3"/>
        <v>2.6519417611235146E-2</v>
      </c>
      <c r="H30" s="36">
        <f>(一步步找点!$B$7*关于alpha次方!A30*关于alpha次方!$G$1+一步步找点!$C$7)*(一步步找点!$B$8*关于alpha次方!D30*关于alpha次方!$G$1+一步步找点!$C$8)</f>
        <v>0.43585097297414471</v>
      </c>
      <c r="J30" s="63">
        <f>(一步步找点!$B$7*关于alpha次方!A30*关于alpha次方!$G$1+一步步找点!$C$7)</f>
        <v>0.62</v>
      </c>
      <c r="K30" s="63">
        <f>(一步步找点!$B$8*关于alpha次方!D30*关于alpha次方!$G$1+一步步找点!$C$8)</f>
        <v>0.70298544028087862</v>
      </c>
    </row>
    <row r="31" spans="1:11" ht="16.5">
      <c r="A31" s="84">
        <v>0.6</v>
      </c>
      <c r="B31" s="36">
        <f t="shared" si="0"/>
        <v>0.41758949272559742</v>
      </c>
      <c r="C31" s="36">
        <f t="shared" si="1"/>
        <v>0.58241050727440258</v>
      </c>
      <c r="D31" s="36">
        <f t="shared" si="2"/>
        <v>0.72889837080672293</v>
      </c>
      <c r="F31" s="36">
        <f t="shared" si="3"/>
        <v>2.6577967416134461E-2</v>
      </c>
      <c r="H31" s="36">
        <f>(一步步找点!$B$7*关于alpha次方!A31*关于alpha次方!$G$1+一步步找点!$C$7)*(一步步找点!$B$8*关于alpha次方!D31*关于alpha次方!$G$1+一步步找点!$C$8)</f>
        <v>0.43750298680411775</v>
      </c>
      <c r="J31" s="63">
        <f>(一步步找点!$B$7*关于alpha次方!A31*关于alpha次方!$G$1+一步步找点!$C$7)</f>
        <v>0.63</v>
      </c>
      <c r="K31" s="63">
        <f>(一步步找点!$B$8*关于alpha次方!D31*关于alpha次方!$G$1+一步步找点!$C$8)</f>
        <v>0.69444918540336154</v>
      </c>
    </row>
    <row r="32" spans="1:11" ht="16.5">
      <c r="A32" s="84">
        <v>0.62</v>
      </c>
      <c r="B32" s="36">
        <f t="shared" si="0"/>
        <v>0.4416656188216338</v>
      </c>
      <c r="C32" s="36">
        <f t="shared" si="1"/>
        <v>0.5583343811783662</v>
      </c>
      <c r="D32" s="36">
        <f t="shared" si="2"/>
        <v>0.7111180803131707</v>
      </c>
      <c r="F32" s="36">
        <f t="shared" si="3"/>
        <v>2.6622361606263412E-2</v>
      </c>
      <c r="H32" s="36">
        <f>(一步步找点!$B$7*关于alpha次方!A32*关于alpha次方!$G$1+一步步找点!$C$7)*(一步步找点!$B$8*关于alpha次方!D32*关于alpha次方!$G$1+一步步找点!$C$8)</f>
        <v>0.43875778570021468</v>
      </c>
      <c r="J32" s="63">
        <f>(一步步找点!$B$7*关于alpha次方!A32*关于alpha次方!$G$1+一步步找点!$C$7)</f>
        <v>0.64</v>
      </c>
      <c r="K32" s="63">
        <f>(一步步找点!$B$8*关于alpha次方!D32*关于alpha次方!$G$1+一步步找点!$C$8)</f>
        <v>0.68555904015658542</v>
      </c>
    </row>
    <row r="33" spans="1:11" ht="16.5">
      <c r="A33" s="84">
        <v>0.64</v>
      </c>
      <c r="B33" s="36">
        <f t="shared" si="0"/>
        <v>0.46629919480531629</v>
      </c>
      <c r="C33" s="36">
        <f t="shared" si="1"/>
        <v>0.53370080519468366</v>
      </c>
      <c r="D33" s="36">
        <f t="shared" si="2"/>
        <v>0.692593512857827</v>
      </c>
      <c r="F33" s="36">
        <f t="shared" si="3"/>
        <v>2.665187025715654E-2</v>
      </c>
      <c r="H33" s="36">
        <f>(一步步找点!$B$7*关于alpha次方!A33*关于alpha次方!$G$1+一步步找点!$C$7)*(一步步找点!$B$8*关于alpha次方!D33*关于alpha次方!$G$1+一步步找点!$C$8)</f>
        <v>0.43959289167879378</v>
      </c>
      <c r="J33" s="63">
        <f>(一步步找点!$B$7*关于alpha次方!A33*关于alpha次方!$G$1+一步步找点!$C$7)</f>
        <v>0.65</v>
      </c>
      <c r="K33" s="63">
        <f>(一步步找点!$B$8*关于alpha次方!D33*关于alpha次方!$G$1+一步步找点!$C$8)</f>
        <v>0.67629675642891351</v>
      </c>
    </row>
    <row r="34" spans="1:11" ht="16.5">
      <c r="A34" s="84">
        <v>0.66</v>
      </c>
      <c r="B34" s="36">
        <f t="shared" si="0"/>
        <v>0.49148510184951122</v>
      </c>
      <c r="C34" s="36">
        <f t="shared" si="1"/>
        <v>0.50851489815048878</v>
      </c>
      <c r="D34" s="36">
        <f t="shared" si="2"/>
        <v>0.67328281889249697</v>
      </c>
      <c r="F34" s="36">
        <f t="shared" si="3"/>
        <v>2.6665656377849942E-2</v>
      </c>
      <c r="H34" s="36">
        <f>(一步步找点!$B$7*关于alpha次方!A34*关于alpha次方!$G$1+一步步找点!$C$7)*(一步步找点!$B$8*关于alpha次方!D34*关于alpha次方!$G$1+一步步找点!$C$8)</f>
        <v>0.43998333023452402</v>
      </c>
      <c r="J34" s="63">
        <f>(一步步找点!$B$7*关于alpha次方!A34*关于alpha次方!$G$1+一步步找点!$C$7)</f>
        <v>0.66</v>
      </c>
      <c r="K34" s="63">
        <f>(一步步找点!$B$8*关于alpha次方!D34*关于alpha次方!$G$1+一步步找点!$C$8)</f>
        <v>0.6666414094462485</v>
      </c>
    </row>
    <row r="35" spans="1:11" ht="16.5">
      <c r="A35" s="84">
        <v>0.68</v>
      </c>
      <c r="B35" s="36">
        <f t="shared" si="0"/>
        <v>0.51721842357985115</v>
      </c>
      <c r="C35" s="36">
        <f t="shared" si="1"/>
        <v>0.48278157642014885</v>
      </c>
      <c r="D35" s="36">
        <f t="shared" si="2"/>
        <v>0.65313775630336668</v>
      </c>
      <c r="F35" s="36">
        <f t="shared" si="3"/>
        <v>2.6662755126067333E-2</v>
      </c>
      <c r="H35" s="36">
        <f>(一步步找点!$B$7*关于alpha次方!A35*关于alpha次方!$G$1+一步步找点!$C$7)*(一步步找点!$B$8*关于alpha次方!D35*关于alpha次方!$G$1+一步步找点!$C$8)</f>
        <v>0.43990114836162791</v>
      </c>
      <c r="J35" s="63">
        <f>(一步步找点!$B$7*关于alpha次方!A35*关于alpha次方!$G$1+一步步找点!$C$7)</f>
        <v>0.67</v>
      </c>
      <c r="K35" s="63">
        <f>(一步步找点!$B$8*关于alpha次方!D35*关于alpha次方!$G$1+一步步找点!$C$8)</f>
        <v>0.65656887815168341</v>
      </c>
    </row>
    <row r="36" spans="1:11" ht="16.5">
      <c r="A36" s="84">
        <v>0.7</v>
      </c>
      <c r="B36" s="36">
        <f t="shared" si="0"/>
        <v>0.54349443228277949</v>
      </c>
      <c r="C36" s="36">
        <f t="shared" si="1"/>
        <v>0.45650556771722051</v>
      </c>
      <c r="D36" s="36">
        <f t="shared" si="2"/>
        <v>0.63210235851137331</v>
      </c>
      <c r="F36" s="36">
        <f t="shared" si="3"/>
        <v>2.6642047170227466E-2</v>
      </c>
      <c r="H36" s="36">
        <f>(一步步找点!$B$7*关于alpha次方!A36*关于alpha次方!$G$1+一步步找点!$C$7)*(一步步找点!$B$8*关于alpha次方!D36*关于alpha次方!$G$1+一步步找点!$C$8)</f>
        <v>0.4393148018938669</v>
      </c>
      <c r="J36" s="63">
        <f>(一步步找点!$B$7*关于alpha次方!A36*关于alpha次方!$G$1+一步步找点!$C$7)</f>
        <v>0.67999999999999994</v>
      </c>
      <c r="K36" s="63">
        <f>(一步步找点!$B$8*关于alpha次方!D36*关于alpha次方!$G$1+一步步找点!$C$8)</f>
        <v>0.64605117925568667</v>
      </c>
    </row>
    <row r="37" spans="1:11" ht="16.5">
      <c r="A37" s="84">
        <v>0.72</v>
      </c>
      <c r="B37" s="36">
        <f t="shared" si="0"/>
        <v>0.57030857642462707</v>
      </c>
      <c r="C37" s="36">
        <f t="shared" si="1"/>
        <v>0.42969142357537293</v>
      </c>
      <c r="D37" s="36">
        <f t="shared" si="2"/>
        <v>0.61011120342691461</v>
      </c>
      <c r="F37" s="36">
        <f t="shared" si="3"/>
        <v>2.6602224068538294E-2</v>
      </c>
      <c r="H37" s="36">
        <f>(一步步找点!$B$7*关于alpha次方!A37*关于alpha次方!$G$1+一步步找点!$C$7)*(一步步找点!$B$8*关于alpha次方!D37*关于alpha次方!$G$1+一步步找点!$C$8)</f>
        <v>0.43818836518228549</v>
      </c>
      <c r="J37" s="63">
        <f>(一步步找点!$B$7*关于alpha次方!A37*关于alpha次方!$G$1+一步步找点!$C$7)</f>
        <v>0.69</v>
      </c>
      <c r="K37" s="63">
        <f>(一步步找点!$B$8*关于alpha次方!D37*关于alpha次方!$G$1+一步步找点!$C$8)</f>
        <v>0.63505560171345732</v>
      </c>
    </row>
    <row r="38" spans="1:11" ht="16.5">
      <c r="A38" s="84">
        <v>0.74</v>
      </c>
      <c r="B38" s="36">
        <f t="shared" si="0"/>
        <v>0.59765646932375505</v>
      </c>
      <c r="C38" s="36">
        <f t="shared" si="1"/>
        <v>0.40234353067624495</v>
      </c>
      <c r="D38" s="36">
        <f t="shared" si="2"/>
        <v>0.5870871271403314</v>
      </c>
      <c r="F38" s="36">
        <f t="shared" si="3"/>
        <v>2.654174254280663E-2</v>
      </c>
      <c r="H38" s="36">
        <f>(一步步找点!$B$7*关于alpha次方!A38*关于alpha次方!$G$1+一步步找点!$C$7)*(一步步找点!$B$8*关于alpha次方!D38*关于alpha次方!$G$1+一步步找点!$C$8)</f>
        <v>0.43648049449911597</v>
      </c>
      <c r="J38" s="63">
        <f>(一步步找点!$B$7*关于alpha次方!A38*关于alpha次方!$G$1+一步步找点!$C$7)</f>
        <v>0.7</v>
      </c>
      <c r="K38" s="63">
        <f>(一步步找点!$B$8*关于alpha次方!D38*关于alpha次方!$G$1+一步步找点!$C$8)</f>
        <v>0.62354356357016572</v>
      </c>
    </row>
    <row r="39" spans="1:11" ht="16.5">
      <c r="A39" s="84">
        <v>0.76</v>
      </c>
      <c r="B39" s="36">
        <f t="shared" si="0"/>
        <v>0.62553387884063505</v>
      </c>
      <c r="C39" s="36">
        <f t="shared" si="1"/>
        <v>0.37446612115936495</v>
      </c>
      <c r="D39" s="36">
        <f t="shared" si="2"/>
        <v>0.56293814776332174</v>
      </c>
      <c r="F39" s="36">
        <f t="shared" si="3"/>
        <v>2.6458762955266436E-2</v>
      </c>
      <c r="H39" s="36">
        <f>(一步步找点!$B$7*关于alpha次方!A39*关于alpha次方!$G$1+一步步找点!$C$7)*(一步步找点!$B$8*关于alpha次方!D39*关于alpha次方!$G$1+一步步找点!$C$8)</f>
        <v>0.43414304245597923</v>
      </c>
      <c r="J39" s="63">
        <f>(一步步找点!$B$7*关于alpha次方!A39*关于alpha次方!$G$1+一步步找点!$C$7)</f>
        <v>0.71000000000000008</v>
      </c>
      <c r="K39" s="63">
        <f>(一步步找点!$B$8*关于alpha次方!D39*关于alpha次方!$G$1+一步步找点!$C$8)</f>
        <v>0.61146907388166083</v>
      </c>
    </row>
    <row r="40" spans="1:11" ht="16.5">
      <c r="A40" s="84">
        <v>0.78</v>
      </c>
      <c r="B40" s="36">
        <f t="shared" si="0"/>
        <v>0.65393671796974628</v>
      </c>
      <c r="C40" s="36">
        <f t="shared" si="1"/>
        <v>0.34606328203025372</v>
      </c>
      <c r="D40" s="36">
        <f t="shared" si="2"/>
        <v>0.53755323685955647</v>
      </c>
      <c r="F40" s="36">
        <f t="shared" si="3"/>
        <v>2.6351064737191131E-2</v>
      </c>
      <c r="H40" s="36">
        <f>(一步步找点!$B$7*关于alpha次方!A40*关于alpha次方!$G$1+一步步找点!$C$7)*(一步步找点!$B$8*关于alpha次方!D40*关于alpha次方!$G$1+一步步找点!$C$8)</f>
        <v>0.43111916526944039</v>
      </c>
      <c r="J40" s="63">
        <f>(一步步找点!$B$7*关于alpha次方!A40*关于alpha次方!$G$1+一步步找点!$C$7)</f>
        <v>0.72000000000000008</v>
      </c>
      <c r="K40" s="63">
        <f>(一步步找点!$B$8*关于alpha次方!D40*关于alpha次方!$G$1+一步步找点!$C$8)</f>
        <v>0.59877661842977825</v>
      </c>
    </row>
    <row r="41" spans="1:11" ht="16.5">
      <c r="A41" s="84">
        <v>0.8</v>
      </c>
      <c r="B41" s="36">
        <f t="shared" si="0"/>
        <v>0.68286103623308037</v>
      </c>
      <c r="C41" s="36">
        <f t="shared" si="1"/>
        <v>0.31713896376691963</v>
      </c>
      <c r="D41" s="36">
        <f t="shared" si="2"/>
        <v>0.5107963595774111</v>
      </c>
      <c r="F41" s="36">
        <f t="shared" si="3"/>
        <v>2.6215927191548222E-2</v>
      </c>
      <c r="H41" s="36">
        <f>(一步步找点!$B$7*关于alpha次方!A41*关于alpha次方!$G$1+一步步找点!$C$7)*(一步步找点!$B$8*关于alpha次方!D41*关于alpha次方!$G$1+一步步找点!$C$8)</f>
        <v>0.42734067124575514</v>
      </c>
      <c r="J41" s="63">
        <f>(一步步找点!$B$7*关于alpha次方!A41*关于alpha次方!$G$1+一步步找点!$C$7)</f>
        <v>0.73000000000000009</v>
      </c>
      <c r="K41" s="63">
        <f>(一步步找点!$B$8*关于alpha次方!D41*关于alpha次方!$G$1+一步步找点!$C$8)</f>
        <v>0.58539817978870556</v>
      </c>
    </row>
    <row r="42" spans="1:11" ht="16.5">
      <c r="A42" s="84">
        <v>0.82</v>
      </c>
      <c r="B42" s="36">
        <f t="shared" si="0"/>
        <v>0.71230301178843436</v>
      </c>
      <c r="C42" s="36">
        <f t="shared" si="1"/>
        <v>0.28769698821156564</v>
      </c>
      <c r="D42" s="36">
        <f t="shared" si="2"/>
        <v>0.48249782342478503</v>
      </c>
      <c r="F42" s="36">
        <f t="shared" si="3"/>
        <v>2.60499564684957E-2</v>
      </c>
      <c r="H42" s="36">
        <f>(一步步找点!$B$7*关于alpha次方!A42*关于alpha次方!$G$1+一步步找点!$C$7)*(一步步找点!$B$8*关于alpha次方!D42*关于alpha次方!$G$1+一步步找点!$C$8)</f>
        <v>0.42272419466717048</v>
      </c>
      <c r="J42" s="63">
        <f>(一步步找点!$B$7*关于alpha次方!A42*关于alpha次方!$G$1+一步步找点!$C$7)</f>
        <v>0.74</v>
      </c>
      <c r="K42" s="63">
        <f>(一步步找点!$B$8*关于alpha次方!D42*关于alpha次方!$G$1+一步步找点!$C$8)</f>
        <v>0.57124891171239256</v>
      </c>
    </row>
    <row r="43" spans="1:11" ht="16.5">
      <c r="A43" s="84">
        <v>0.84</v>
      </c>
      <c r="B43" s="36">
        <f t="shared" si="0"/>
        <v>0.74225894417698068</v>
      </c>
      <c r="C43" s="36">
        <f t="shared" si="1"/>
        <v>0.25774105582301932</v>
      </c>
      <c r="D43" s="36">
        <f t="shared" si="2"/>
        <v>0.45244127030879228</v>
      </c>
      <c r="F43" s="36">
        <f t="shared" si="3"/>
        <v>2.5848825406175845E-2</v>
      </c>
      <c r="H43" s="36">
        <f>(一步步找点!$B$7*关于alpha次方!A43*关于alpha次方!$G$1+一步步找点!$C$7)*(一步步找点!$B$8*关于alpha次方!D43*关于alpha次方!$G$1+一步步找点!$C$8)</f>
        <v>0.41716547636579709</v>
      </c>
      <c r="J43" s="63">
        <f>(一步步找点!$B$7*关于alpha次方!A43*关于alpha次方!$G$1+一步步找点!$C$7)</f>
        <v>0.75</v>
      </c>
      <c r="K43" s="63">
        <f>(一步步找点!$B$8*关于alpha次方!D43*关于alpha次方!$G$1+一步步找点!$C$8)</f>
        <v>0.55622063515439613</v>
      </c>
    </row>
    <row r="44" spans="1:11" ht="16.5">
      <c r="A44" s="84">
        <v>0.86</v>
      </c>
      <c r="B44" s="36">
        <f t="shared" si="0"/>
        <v>0.77272524764420325</v>
      </c>
      <c r="C44" s="36">
        <f t="shared" si="1"/>
        <v>0.22727475235579675</v>
      </c>
      <c r="D44" s="36">
        <f t="shared" si="2"/>
        <v>0.42034326260361937</v>
      </c>
      <c r="F44" s="36">
        <f t="shared" si="3"/>
        <v>2.560686525207239E-2</v>
      </c>
      <c r="H44" s="36">
        <f>(一步步找点!$B$7*关于alpha次方!A44*关于alpha次方!$G$1+一步步找点!$C$7)*(一步步找点!$B$8*关于alpha次方!D44*关于alpha次方!$G$1+一步步找点!$C$8)</f>
        <v>0.41053043978937537</v>
      </c>
      <c r="J44" s="63">
        <f>(一步步找点!$B$7*关于alpha次方!A44*关于alpha次方!$G$1+一步步找点!$C$7)</f>
        <v>0.76</v>
      </c>
      <c r="K44" s="63">
        <f>(一步步找点!$B$8*关于alpha次方!D44*关于alpha次方!$G$1+一步步找点!$C$8)</f>
        <v>0.54017163130180967</v>
      </c>
    </row>
    <row r="45" spans="1:11" ht="16.5">
      <c r="A45" s="84">
        <v>0.88</v>
      </c>
      <c r="B45" s="36">
        <f t="shared" si="0"/>
        <v>0.80369844497647625</v>
      </c>
      <c r="C45" s="36">
        <f t="shared" si="1"/>
        <v>0.19630155502352375</v>
      </c>
      <c r="D45" s="36">
        <f t="shared" si="2"/>
        <v>0.38581949723836911</v>
      </c>
      <c r="F45" s="36">
        <f t="shared" si="3"/>
        <v>2.5316389944767384E-2</v>
      </c>
      <c r="H45" s="36">
        <f>(一步步找点!$B$7*关于alpha次方!A45*关于alpha次方!$G$1+一步步找点!$C$7)*(一步步找点!$B$8*关于alpha次方!D45*关于alpha次方!$G$1+一步步找点!$C$8)</f>
        <v>0.40264050643677213</v>
      </c>
      <c r="J45" s="63">
        <f>(一步步找点!$B$7*关于alpha次方!A45*关于alpha次方!$G$1+一步步找点!$C$7)</f>
        <v>0.77</v>
      </c>
      <c r="K45" s="63">
        <f>(一步步找点!$B$8*关于alpha次方!D45*关于alpha次方!$G$1+一步步找点!$C$8)</f>
        <v>0.5229097486191846</v>
      </c>
    </row>
    <row r="46" spans="1:11" ht="16.5">
      <c r="A46" s="84">
        <v>0.9</v>
      </c>
      <c r="B46" s="36">
        <f t="shared" si="0"/>
        <v>0.83517516180256079</v>
      </c>
      <c r="C46" s="36">
        <f t="shared" si="1"/>
        <v>0.16482483819743921</v>
      </c>
      <c r="D46" s="36">
        <f t="shared" si="2"/>
        <v>0.34832495595366136</v>
      </c>
      <c r="F46" s="36">
        <f t="shared" si="3"/>
        <v>2.496649911907323E-2</v>
      </c>
      <c r="H46" s="36">
        <f>(一步步找点!$B$7*关于alpha次方!A46*关于alpha次方!$G$1+一步步找点!$C$7)*(一步步找点!$B$8*关于alpha次方!D46*关于alpha次方!$G$1+一步步找点!$C$8)</f>
        <v>0.39324673282192796</v>
      </c>
      <c r="J46" s="63">
        <f>(一步步找点!$B$7*关于alpha次方!A46*关于alpha次方!$G$1+一步步找点!$C$7)</f>
        <v>0.78</v>
      </c>
      <c r="K46" s="63">
        <f>(一步步找点!$B$8*关于alpha次方!D46*关于alpha次方!$G$1+一步步找点!$C$8)</f>
        <v>0.50416247797683067</v>
      </c>
    </row>
    <row r="47" spans="1:11" ht="16.5">
      <c r="A47" s="84">
        <v>0.92</v>
      </c>
      <c r="B47" s="36">
        <f t="shared" si="0"/>
        <v>0.86715212131531172</v>
      </c>
      <c r="C47" s="36">
        <f t="shared" si="1"/>
        <v>0.13284787868468828</v>
      </c>
      <c r="D47" s="36">
        <f t="shared" si="2"/>
        <v>0.30703786781186898</v>
      </c>
      <c r="F47" s="36">
        <f t="shared" si="3"/>
        <v>2.454075735623738E-2</v>
      </c>
      <c r="H47" s="36">
        <f>(一步步找点!$B$7*关于alpha次方!A47*关于alpha次方!$G$1+一步步找点!$C$7)*(一步步找点!$B$8*关于alpha次方!D47*关于alpha次方!$G$1+一步步找点!$C$8)</f>
        <v>0.38197995778568827</v>
      </c>
      <c r="J47" s="63">
        <f>(一步步找点!$B$7*关于alpha次方!A47*关于alpha次方!$G$1+一步步找点!$C$7)</f>
        <v>0.79</v>
      </c>
      <c r="K47" s="63">
        <f>(一步步找点!$B$8*关于alpha次方!D47*关于alpha次方!$G$1+一步步找点!$C$8)</f>
        <v>0.48351893390593448</v>
      </c>
    </row>
    <row r="48" spans="1:11" ht="16.5">
      <c r="A48" s="84">
        <v>0.94</v>
      </c>
      <c r="B48" s="36">
        <f t="shared" si="0"/>
        <v>0.89962613937407299</v>
      </c>
      <c r="C48" s="36">
        <f t="shared" si="1"/>
        <v>0.10037386062592701</v>
      </c>
      <c r="D48" s="36">
        <f t="shared" si="2"/>
        <v>0.26060434283764883</v>
      </c>
      <c r="F48" s="36">
        <f t="shared" si="3"/>
        <v>2.4012086856752976E-2</v>
      </c>
      <c r="H48" s="36">
        <f>(一步步找点!$B$7*关于alpha次方!A48*关于alpha次方!$G$1+一步步找点!$C$7)*(一步步找点!$B$8*关于alpha次方!D48*关于alpha次方!$G$1+一步步找点!$C$8)</f>
        <v>0.36824173713505959</v>
      </c>
      <c r="J48" s="63">
        <f>(一步步找点!$B$7*关于alpha次方!A48*关于alpha次方!$G$1+一步步找点!$C$7)</f>
        <v>0.8</v>
      </c>
      <c r="K48" s="63">
        <f>(一步步找点!$B$8*关于alpha次方!D48*关于alpha次方!$G$1+一步步找点!$C$8)</f>
        <v>0.46030217141882446</v>
      </c>
    </row>
    <row r="49" spans="1:11" ht="16.5">
      <c r="A49" s="84">
        <v>0.96</v>
      </c>
      <c r="B49" s="36">
        <f t="shared" si="0"/>
        <v>0.9325941199527259</v>
      </c>
      <c r="C49" s="36">
        <f t="shared" si="1"/>
        <v>6.7405880047274103E-2</v>
      </c>
      <c r="D49" s="36">
        <f t="shared" si="2"/>
        <v>0.20645604362648351</v>
      </c>
      <c r="F49" s="36">
        <f t="shared" si="3"/>
        <v>2.3329120872529668E-2</v>
      </c>
      <c r="H49" s="36">
        <f>(一步步找点!$B$7*关于alpha次方!A49*关于alpha次方!$G$1+一步步找点!$C$7)*(一步步找点!$B$8*关于alpha次方!D49*关于alpha次方!$G$1+一步步找点!$C$8)</f>
        <v>0.35091469766872585</v>
      </c>
      <c r="J49" s="63">
        <f>(一步步找点!$B$7*关于alpha次方!A49*关于alpha次方!$G$1+一步步找点!$C$7)</f>
        <v>0.81</v>
      </c>
      <c r="K49" s="63">
        <f>(一步步找点!$B$8*关于alpha次方!D49*关于alpha次方!$G$1+一步步找点!$C$8)</f>
        <v>0.43322802181324177</v>
      </c>
    </row>
    <row r="50" spans="1:11" ht="16.5">
      <c r="A50" s="84">
        <v>0.98</v>
      </c>
      <c r="B50" s="36">
        <f t="shared" si="0"/>
        <v>0.96605305090224314</v>
      </c>
      <c r="C50" s="36">
        <f t="shared" si="1"/>
        <v>3.3946949097756862E-2</v>
      </c>
      <c r="D50" s="36">
        <f t="shared" si="2"/>
        <v>0.13821903470520666</v>
      </c>
      <c r="F50" s="36">
        <f t="shared" si="3"/>
        <v>2.2364380694104131E-2</v>
      </c>
      <c r="H50" s="36">
        <f>(一步步找点!$B$7*关于alpha次方!A50*关于alpha次方!$G$1+一步步找点!$C$7)*(一步步找点!$B$8*关于alpha次方!D50*关于alpha次方!$G$1+一步步找点!$C$8)</f>
        <v>0.32726980422913476</v>
      </c>
      <c r="J50" s="63">
        <f>(一步步找点!$B$7*关于alpha次方!A50*关于alpha次方!$G$1+一步步找点!$C$7)</f>
        <v>0.82000000000000006</v>
      </c>
      <c r="K50" s="63">
        <f>(一步步找点!$B$8*关于alpha次方!D50*关于alpha次方!$G$1+一步步找点!$C$8)</f>
        <v>0.39910951735260336</v>
      </c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G21" sqref="G21"/>
    </sheetView>
  </sheetViews>
  <sheetFormatPr defaultColWidth="9" defaultRowHeight="13.5"/>
  <cols>
    <col min="1" max="1" width="9.375" style="12" customWidth="1"/>
    <col min="2" max="2" width="16.75" style="12" customWidth="1"/>
    <col min="3" max="16384" width="9" style="12"/>
  </cols>
  <sheetData>
    <row r="1" spans="1:2">
      <c r="A1" s="14" t="s">
        <v>79</v>
      </c>
      <c r="B1" s="15" t="s">
        <v>80</v>
      </c>
    </row>
    <row r="2" spans="1:2">
      <c r="A2" s="8" t="s">
        <v>26</v>
      </c>
      <c r="B2" s="16" t="s">
        <v>67</v>
      </c>
    </row>
    <row r="3" spans="1:2">
      <c r="A3" s="8" t="s">
        <v>66</v>
      </c>
      <c r="B3" s="17" t="s">
        <v>68</v>
      </c>
    </row>
    <row r="4" spans="1:2">
      <c r="A4" s="8" t="s">
        <v>29</v>
      </c>
      <c r="B4" s="17" t="s">
        <v>69</v>
      </c>
    </row>
    <row r="5" spans="1:2">
      <c r="A5" s="8" t="s">
        <v>18</v>
      </c>
      <c r="B5" s="18" t="s">
        <v>70</v>
      </c>
    </row>
    <row r="6" spans="1:2">
      <c r="A6" s="8" t="s">
        <v>28</v>
      </c>
      <c r="B6" s="18" t="s">
        <v>71</v>
      </c>
    </row>
    <row r="7" spans="1:2">
      <c r="A7" s="8" t="s">
        <v>52</v>
      </c>
      <c r="B7" s="18" t="s">
        <v>72</v>
      </c>
    </row>
    <row r="8" spans="1:2">
      <c r="A8" s="8" t="s">
        <v>54</v>
      </c>
      <c r="B8" s="18" t="s">
        <v>73</v>
      </c>
    </row>
    <row r="9" spans="1:2">
      <c r="A9" s="8" t="s">
        <v>53</v>
      </c>
      <c r="B9" s="18" t="s">
        <v>74</v>
      </c>
    </row>
    <row r="10" spans="1:2">
      <c r="A10" s="8" t="s">
        <v>65</v>
      </c>
      <c r="B10" s="18" t="s">
        <v>75</v>
      </c>
    </row>
    <row r="11" spans="1:2">
      <c r="A11" s="8" t="s">
        <v>64</v>
      </c>
      <c r="B11" s="18" t="s">
        <v>76</v>
      </c>
    </row>
    <row r="12" spans="1:2">
      <c r="A12" s="8" t="s">
        <v>59</v>
      </c>
      <c r="B12" s="18" t="s">
        <v>77</v>
      </c>
    </row>
    <row r="13" spans="1:2" ht="14.25" thickBot="1">
      <c r="A13" s="19" t="s">
        <v>60</v>
      </c>
      <c r="B13" s="20" t="s">
        <v>78</v>
      </c>
    </row>
  </sheetData>
  <sortState ref="A2:B14">
    <sortCondition ref="B2:B14"/>
  </sortState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L12" sqref="L11:L12"/>
    </sheetView>
  </sheetViews>
  <sheetFormatPr defaultRowHeight="13.5"/>
  <sheetData>
    <row r="1" spans="1:5" ht="14.25">
      <c r="A1" s="100" t="s">
        <v>30</v>
      </c>
      <c r="B1" s="96"/>
      <c r="C1" s="96" t="s">
        <v>31</v>
      </c>
      <c r="D1" s="96"/>
      <c r="E1" s="97"/>
    </row>
    <row r="2" spans="1:5" ht="14.25">
      <c r="A2" s="98"/>
      <c r="B2" s="101"/>
      <c r="C2" s="1" t="s">
        <v>32</v>
      </c>
      <c r="D2" s="1" t="s">
        <v>33</v>
      </c>
      <c r="E2" s="2" t="s">
        <v>34</v>
      </c>
    </row>
    <row r="3" spans="1:5" ht="14.25">
      <c r="A3" s="98" t="s">
        <v>35</v>
      </c>
      <c r="B3" s="1" t="s">
        <v>36</v>
      </c>
      <c r="C3" s="3">
        <v>0.9</v>
      </c>
      <c r="D3" s="3">
        <v>1.1000000000000001</v>
      </c>
      <c r="E3" s="4">
        <v>1</v>
      </c>
    </row>
    <row r="4" spans="1:5" ht="14.25">
      <c r="A4" s="98"/>
      <c r="B4" s="1" t="s">
        <v>37</v>
      </c>
      <c r="C4" s="3">
        <v>1.1000000000000001</v>
      </c>
      <c r="D4" s="3">
        <v>1</v>
      </c>
      <c r="E4" s="4">
        <v>0.9</v>
      </c>
    </row>
    <row r="5" spans="1:5" ht="15" thickBot="1">
      <c r="A5" s="99"/>
      <c r="B5" s="5" t="s">
        <v>38</v>
      </c>
      <c r="C5" s="6">
        <v>1</v>
      </c>
      <c r="D5" s="6">
        <v>0.9</v>
      </c>
      <c r="E5" s="7">
        <v>1.1000000000000001</v>
      </c>
    </row>
  </sheetData>
  <mergeCells count="3">
    <mergeCell ref="C1:E1"/>
    <mergeCell ref="A3:A5"/>
    <mergeCell ref="A1:B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计算基础值，极值问题</vt:lpstr>
      <vt:lpstr>属性种类</vt:lpstr>
      <vt:lpstr>属性价值参考</vt:lpstr>
      <vt:lpstr>装等示例</vt:lpstr>
      <vt:lpstr>属性价值成长</vt:lpstr>
      <vt:lpstr>属性价值成长（以火炮为例）</vt:lpstr>
      <vt:lpstr>属性成长（300-120,裸车比率）</vt:lpstr>
      <vt:lpstr>计算24级时装备属性位数</vt:lpstr>
      <vt:lpstr>一步步找点</vt:lpstr>
      <vt:lpstr>关于alpha次方</vt:lpstr>
      <vt:lpstr>改变属性的效果</vt:lpstr>
      <vt:lpstr>攻防相克系数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Song</dc:creator>
  <cp:lastModifiedBy>Fu Song</cp:lastModifiedBy>
  <dcterms:created xsi:type="dcterms:W3CDTF">2014-07-25T07:15:24Z</dcterms:created>
  <dcterms:modified xsi:type="dcterms:W3CDTF">2014-09-21T10:21:40Z</dcterms:modified>
</cp:coreProperties>
</file>
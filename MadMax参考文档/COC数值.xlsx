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6200" windowHeight="11640" activeTab="3"/>
  </bookViews>
  <sheets>
    <sheet name="付费点收益" sheetId="1" r:id="rId1"/>
    <sheet name="战斗数值" sheetId="6" r:id="rId2"/>
    <sheet name="数据整合" sheetId="2" r:id="rId3"/>
    <sheet name="建筑配置" sheetId="5" r:id="rId4"/>
    <sheet name="等级参数" sheetId="4" r:id="rId5"/>
  </sheets>
  <externalReferences>
    <externalReference r:id="rId6"/>
  </externalReferences>
  <calcPr calcId="152511"/>
</workbook>
</file>

<file path=xl/calcChain.xml><?xml version="1.0" encoding="utf-8"?>
<calcChain xmlns="http://schemas.openxmlformats.org/spreadsheetml/2006/main">
  <c r="D6" i="1" l="1"/>
  <c r="AT118" i="6" l="1"/>
  <c r="AS118" i="6"/>
  <c r="AR118" i="6"/>
  <c r="AQ118" i="6"/>
  <c r="AP118" i="6"/>
  <c r="AO118" i="6"/>
  <c r="AN118" i="6"/>
  <c r="AT117" i="6"/>
  <c r="AS117" i="6"/>
  <c r="AR117" i="6"/>
  <c r="AQ117" i="6"/>
  <c r="AP117" i="6"/>
  <c r="AO117" i="6"/>
  <c r="AN117" i="6"/>
  <c r="AT116" i="6"/>
  <c r="AS116" i="6"/>
  <c r="AR116" i="6"/>
  <c r="AQ116" i="6"/>
  <c r="AP116" i="6"/>
  <c r="AO116" i="6"/>
  <c r="AN116" i="6"/>
  <c r="AT115" i="6"/>
  <c r="AS115" i="6"/>
  <c r="AR115" i="6"/>
  <c r="AQ115" i="6"/>
  <c r="AP115" i="6"/>
  <c r="AO115" i="6"/>
  <c r="AN115" i="6"/>
  <c r="AT114" i="6"/>
  <c r="AS114" i="6"/>
  <c r="AR114" i="6"/>
  <c r="AQ114" i="6"/>
  <c r="AP114" i="6"/>
  <c r="AO114" i="6"/>
  <c r="AN114" i="6"/>
  <c r="AT113" i="6"/>
  <c r="AS113" i="6"/>
  <c r="AR113" i="6"/>
  <c r="AQ113" i="6"/>
  <c r="AP113" i="6"/>
  <c r="AO113" i="6"/>
  <c r="AN113" i="6"/>
  <c r="AK118" i="6"/>
  <c r="AJ118" i="6"/>
  <c r="AI118" i="6"/>
  <c r="AH118" i="6"/>
  <c r="AG118" i="6"/>
  <c r="AF118" i="6"/>
  <c r="AE118" i="6"/>
  <c r="AK117" i="6"/>
  <c r="AJ117" i="6"/>
  <c r="AI117" i="6"/>
  <c r="AH117" i="6"/>
  <c r="AG117" i="6"/>
  <c r="AF117" i="6"/>
  <c r="AE117" i="6"/>
  <c r="AK116" i="6"/>
  <c r="AJ116" i="6"/>
  <c r="AI116" i="6"/>
  <c r="AH116" i="6"/>
  <c r="AG116" i="6"/>
  <c r="AF116" i="6"/>
  <c r="AE116" i="6"/>
  <c r="AK115" i="6"/>
  <c r="AJ115" i="6"/>
  <c r="AI115" i="6"/>
  <c r="AH115" i="6"/>
  <c r="AG115" i="6"/>
  <c r="AF115" i="6"/>
  <c r="AE115" i="6"/>
  <c r="AK114" i="6"/>
  <c r="AJ114" i="6"/>
  <c r="AI114" i="6"/>
  <c r="AH114" i="6"/>
  <c r="AG114" i="6"/>
  <c r="AF114" i="6"/>
  <c r="AE114" i="6"/>
  <c r="AK113" i="6"/>
  <c r="AJ113" i="6"/>
  <c r="AI113" i="6"/>
  <c r="AH113" i="6"/>
  <c r="AG113" i="6"/>
  <c r="AF113" i="6"/>
  <c r="AE113" i="6"/>
  <c r="AC118" i="6"/>
  <c r="AB118" i="6"/>
  <c r="AA118" i="6"/>
  <c r="Z118" i="6"/>
  <c r="Y118" i="6"/>
  <c r="X118" i="6"/>
  <c r="W118" i="6"/>
  <c r="V118" i="6"/>
  <c r="U118" i="6"/>
  <c r="T118" i="6"/>
  <c r="S118" i="6"/>
  <c r="AC117" i="6"/>
  <c r="AB117" i="6"/>
  <c r="AA117" i="6"/>
  <c r="Z117" i="6"/>
  <c r="Y117" i="6"/>
  <c r="X117" i="6"/>
  <c r="W117" i="6"/>
  <c r="V117" i="6"/>
  <c r="U117" i="6"/>
  <c r="T117" i="6"/>
  <c r="S117" i="6"/>
  <c r="AC116" i="6"/>
  <c r="AB116" i="6"/>
  <c r="AA116" i="6"/>
  <c r="Z116" i="6"/>
  <c r="Y116" i="6"/>
  <c r="X116" i="6"/>
  <c r="W116" i="6"/>
  <c r="V116" i="6"/>
  <c r="U116" i="6"/>
  <c r="T116" i="6"/>
  <c r="S116" i="6"/>
  <c r="AC115" i="6"/>
  <c r="AB115" i="6"/>
  <c r="AA115" i="6"/>
  <c r="Z115" i="6"/>
  <c r="Y115" i="6"/>
  <c r="X115" i="6"/>
  <c r="W115" i="6"/>
  <c r="V115" i="6"/>
  <c r="U115" i="6"/>
  <c r="T115" i="6"/>
  <c r="S115" i="6"/>
  <c r="AC114" i="6"/>
  <c r="AB114" i="6"/>
  <c r="AA114" i="6"/>
  <c r="Z114" i="6"/>
  <c r="Y114" i="6"/>
  <c r="X114" i="6"/>
  <c r="W114" i="6"/>
  <c r="V114" i="6"/>
  <c r="U114" i="6"/>
  <c r="T114" i="6"/>
  <c r="S114" i="6"/>
  <c r="AC113" i="6"/>
  <c r="AB113" i="6"/>
  <c r="AA113" i="6"/>
  <c r="Z113" i="6"/>
  <c r="Y113" i="6"/>
  <c r="X113" i="6"/>
  <c r="W113" i="6"/>
  <c r="V113" i="6"/>
  <c r="U113" i="6"/>
  <c r="T113" i="6"/>
  <c r="S113" i="6"/>
  <c r="F113" i="6"/>
  <c r="G113" i="6"/>
  <c r="H113" i="6"/>
  <c r="I113" i="6"/>
  <c r="J113" i="6"/>
  <c r="K113" i="6"/>
  <c r="L113" i="6"/>
  <c r="M113" i="6"/>
  <c r="N113" i="6"/>
  <c r="O113" i="6"/>
  <c r="P113" i="6"/>
  <c r="F114" i="6"/>
  <c r="G114" i="6"/>
  <c r="H114" i="6"/>
  <c r="I114" i="6"/>
  <c r="J114" i="6"/>
  <c r="K114" i="6"/>
  <c r="L114" i="6"/>
  <c r="M114" i="6"/>
  <c r="N114" i="6"/>
  <c r="O114" i="6"/>
  <c r="P114" i="6"/>
  <c r="F115" i="6"/>
  <c r="G115" i="6"/>
  <c r="H115" i="6"/>
  <c r="I115" i="6"/>
  <c r="J115" i="6"/>
  <c r="K115" i="6"/>
  <c r="L115" i="6"/>
  <c r="M115" i="6"/>
  <c r="N115" i="6"/>
  <c r="O115" i="6"/>
  <c r="P115" i="6"/>
  <c r="F116" i="6"/>
  <c r="G116" i="6"/>
  <c r="H116" i="6"/>
  <c r="I116" i="6"/>
  <c r="J116" i="6"/>
  <c r="K116" i="6"/>
  <c r="L116" i="6"/>
  <c r="M116" i="6"/>
  <c r="N116" i="6"/>
  <c r="O116" i="6"/>
  <c r="P116" i="6"/>
  <c r="F117" i="6"/>
  <c r="G117" i="6"/>
  <c r="H117" i="6"/>
  <c r="I117" i="6"/>
  <c r="J117" i="6"/>
  <c r="K117" i="6"/>
  <c r="L117" i="6"/>
  <c r="M117" i="6"/>
  <c r="N117" i="6"/>
  <c r="O117" i="6"/>
  <c r="P117" i="6"/>
  <c r="F118" i="6"/>
  <c r="G118" i="6"/>
  <c r="H118" i="6"/>
  <c r="I118" i="6"/>
  <c r="J118" i="6"/>
  <c r="K118" i="6"/>
  <c r="L118" i="6"/>
  <c r="M118" i="6"/>
  <c r="N118" i="6"/>
  <c r="O118" i="6"/>
  <c r="P118" i="6"/>
  <c r="E114" i="6"/>
  <c r="E115" i="6"/>
  <c r="E116" i="6"/>
  <c r="E117" i="6"/>
  <c r="E118" i="6"/>
  <c r="E113" i="6"/>
  <c r="F145" i="1"/>
  <c r="J92" i="6" l="1"/>
  <c r="I92" i="6"/>
  <c r="H92" i="6"/>
  <c r="G92" i="6"/>
  <c r="F92" i="6"/>
  <c r="E92" i="6"/>
  <c r="J91" i="6"/>
  <c r="I91" i="6"/>
  <c r="H91" i="6"/>
  <c r="G91" i="6"/>
  <c r="F91" i="6"/>
  <c r="E91" i="6"/>
  <c r="J90" i="6"/>
  <c r="I90" i="6"/>
  <c r="H90" i="6"/>
  <c r="G90" i="6"/>
  <c r="F90" i="6"/>
  <c r="E90" i="6"/>
  <c r="J89" i="6"/>
  <c r="I89" i="6"/>
  <c r="H89" i="6"/>
  <c r="G89" i="6"/>
  <c r="F89" i="6"/>
  <c r="E89" i="6"/>
  <c r="J88" i="6"/>
  <c r="I88" i="6"/>
  <c r="H88" i="6"/>
  <c r="G88" i="6"/>
  <c r="F88" i="6"/>
  <c r="E88" i="6"/>
  <c r="J87" i="6"/>
  <c r="I87" i="6"/>
  <c r="H87" i="6"/>
  <c r="G87" i="6"/>
  <c r="F87" i="6"/>
  <c r="E87" i="6"/>
  <c r="J86" i="6"/>
  <c r="I86" i="6"/>
  <c r="H86" i="6"/>
  <c r="G86" i="6"/>
  <c r="F86" i="6"/>
  <c r="E86" i="6"/>
  <c r="J85" i="6"/>
  <c r="I85" i="6"/>
  <c r="H85" i="6"/>
  <c r="G85" i="6"/>
  <c r="F85" i="6"/>
  <c r="E85" i="6"/>
  <c r="AL79" i="6"/>
  <c r="AK79" i="6"/>
  <c r="AJ79" i="6"/>
  <c r="AI79" i="6"/>
  <c r="AH79" i="6"/>
  <c r="AG79" i="6"/>
  <c r="AL78" i="6"/>
  <c r="AK78" i="6"/>
  <c r="AJ78" i="6"/>
  <c r="AI78" i="6"/>
  <c r="AH78" i="6"/>
  <c r="AG78" i="6"/>
  <c r="AL77" i="6"/>
  <c r="AK77" i="6"/>
  <c r="AJ77" i="6"/>
  <c r="AI77" i="6"/>
  <c r="AH77" i="6"/>
  <c r="AG77" i="6"/>
  <c r="AL76" i="6"/>
  <c r="AK76" i="6"/>
  <c r="AJ76" i="6"/>
  <c r="AI76" i="6"/>
  <c r="AH76" i="6"/>
  <c r="AG76" i="6"/>
  <c r="AL75" i="6"/>
  <c r="AK75" i="6"/>
  <c r="AJ75" i="6"/>
  <c r="AI75" i="6"/>
  <c r="AH75" i="6"/>
  <c r="AG75" i="6"/>
  <c r="AL74" i="6"/>
  <c r="AK74" i="6"/>
  <c r="AJ74" i="6"/>
  <c r="AI74" i="6"/>
  <c r="AH74" i="6"/>
  <c r="AG74" i="6"/>
  <c r="AL73" i="6"/>
  <c r="AK73" i="6"/>
  <c r="AJ73" i="6"/>
  <c r="AI73" i="6"/>
  <c r="AH73" i="6"/>
  <c r="AG73" i="6"/>
  <c r="AS79" i="6"/>
  <c r="AR79" i="6"/>
  <c r="AQ79" i="6"/>
  <c r="AP79" i="6"/>
  <c r="AO79" i="6"/>
  <c r="AN79" i="6"/>
  <c r="AS78" i="6"/>
  <c r="AR78" i="6"/>
  <c r="AQ78" i="6"/>
  <c r="AP78" i="6"/>
  <c r="AO78" i="6"/>
  <c r="AN78" i="6"/>
  <c r="AS77" i="6"/>
  <c r="AR77" i="6"/>
  <c r="AQ77" i="6"/>
  <c r="AP77" i="6"/>
  <c r="AO77" i="6"/>
  <c r="AN77" i="6"/>
  <c r="AS76" i="6"/>
  <c r="AR76" i="6"/>
  <c r="AQ76" i="6"/>
  <c r="AP76" i="6"/>
  <c r="AO76" i="6"/>
  <c r="AN76" i="6"/>
  <c r="AS75" i="6"/>
  <c r="AR75" i="6"/>
  <c r="AQ75" i="6"/>
  <c r="AP75" i="6"/>
  <c r="AO75" i="6"/>
  <c r="AN75" i="6"/>
  <c r="AS74" i="6"/>
  <c r="AR74" i="6"/>
  <c r="AQ74" i="6"/>
  <c r="AP74" i="6"/>
  <c r="AO74" i="6"/>
  <c r="AN74" i="6"/>
  <c r="AS73" i="6"/>
  <c r="AR73" i="6"/>
  <c r="AQ73" i="6"/>
  <c r="AP73" i="6"/>
  <c r="AO73" i="6"/>
  <c r="AN73" i="6"/>
  <c r="AE79" i="6"/>
  <c r="AD79" i="6"/>
  <c r="AC79" i="6"/>
  <c r="AB79" i="6"/>
  <c r="AA79" i="6"/>
  <c r="Z79" i="6"/>
  <c r="AE78" i="6"/>
  <c r="AD78" i="6"/>
  <c r="AC78" i="6"/>
  <c r="AB78" i="6"/>
  <c r="AA78" i="6"/>
  <c r="Z78" i="6"/>
  <c r="AE77" i="6"/>
  <c r="AD77" i="6"/>
  <c r="AC77" i="6"/>
  <c r="AB77" i="6"/>
  <c r="AA77" i="6"/>
  <c r="Z77" i="6"/>
  <c r="AE76" i="6"/>
  <c r="AD76" i="6"/>
  <c r="AC76" i="6"/>
  <c r="AB76" i="6"/>
  <c r="AA76" i="6"/>
  <c r="Z76" i="6"/>
  <c r="AE75" i="6"/>
  <c r="AD75" i="6"/>
  <c r="AC75" i="6"/>
  <c r="AB75" i="6"/>
  <c r="AA75" i="6"/>
  <c r="Z75" i="6"/>
  <c r="AE74" i="6"/>
  <c r="AD74" i="6"/>
  <c r="AC74" i="6"/>
  <c r="AB74" i="6"/>
  <c r="AA74" i="6"/>
  <c r="Z74" i="6"/>
  <c r="AE73" i="6"/>
  <c r="AD73" i="6"/>
  <c r="AC73" i="6"/>
  <c r="AB73" i="6"/>
  <c r="AA73" i="6"/>
  <c r="Z73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Q79" i="6"/>
  <c r="P79" i="6"/>
  <c r="O79" i="6"/>
  <c r="N79" i="6"/>
  <c r="M79" i="6"/>
  <c r="L79" i="6"/>
  <c r="Q78" i="6"/>
  <c r="P78" i="6"/>
  <c r="O78" i="6"/>
  <c r="N78" i="6"/>
  <c r="M78" i="6"/>
  <c r="L78" i="6"/>
  <c r="Q77" i="6"/>
  <c r="P77" i="6"/>
  <c r="O77" i="6"/>
  <c r="N77" i="6"/>
  <c r="M77" i="6"/>
  <c r="L77" i="6"/>
  <c r="Q76" i="6"/>
  <c r="P76" i="6"/>
  <c r="O76" i="6"/>
  <c r="N76" i="6"/>
  <c r="M76" i="6"/>
  <c r="L76" i="6"/>
  <c r="Q75" i="6"/>
  <c r="P75" i="6"/>
  <c r="O75" i="6"/>
  <c r="N75" i="6"/>
  <c r="M75" i="6"/>
  <c r="L75" i="6"/>
  <c r="Q74" i="6"/>
  <c r="P74" i="6"/>
  <c r="O74" i="6"/>
  <c r="N74" i="6"/>
  <c r="M74" i="6"/>
  <c r="L74" i="6"/>
  <c r="Q73" i="6"/>
  <c r="P73" i="6"/>
  <c r="O73" i="6"/>
  <c r="N73" i="6"/>
  <c r="M73" i="6"/>
  <c r="L73" i="6"/>
  <c r="F73" i="6"/>
  <c r="G73" i="6"/>
  <c r="H73" i="6"/>
  <c r="I73" i="6"/>
  <c r="J73" i="6"/>
  <c r="F74" i="6"/>
  <c r="G74" i="6"/>
  <c r="H74" i="6"/>
  <c r="I74" i="6"/>
  <c r="J74" i="6"/>
  <c r="F75" i="6"/>
  <c r="G75" i="6"/>
  <c r="H75" i="6"/>
  <c r="I75" i="6"/>
  <c r="J75" i="6"/>
  <c r="F76" i="6"/>
  <c r="G76" i="6"/>
  <c r="H76" i="6"/>
  <c r="I76" i="6"/>
  <c r="J76" i="6"/>
  <c r="F77" i="6"/>
  <c r="G77" i="6"/>
  <c r="H77" i="6"/>
  <c r="I77" i="6"/>
  <c r="J77" i="6"/>
  <c r="F78" i="6"/>
  <c r="G78" i="6"/>
  <c r="H78" i="6"/>
  <c r="I78" i="6"/>
  <c r="J78" i="6"/>
  <c r="F79" i="6"/>
  <c r="G79" i="6"/>
  <c r="H79" i="6"/>
  <c r="I79" i="6"/>
  <c r="J79" i="6"/>
  <c r="E74" i="6"/>
  <c r="E75" i="6"/>
  <c r="E76" i="6"/>
  <c r="E77" i="6"/>
  <c r="E78" i="6"/>
  <c r="E79" i="6"/>
  <c r="E73" i="6"/>
  <c r="AK67" i="6"/>
  <c r="AJ67" i="6"/>
  <c r="AI67" i="6"/>
  <c r="AH67" i="6"/>
  <c r="AG67" i="6"/>
  <c r="AK66" i="6"/>
  <c r="AJ66" i="6"/>
  <c r="AI66" i="6"/>
  <c r="AH66" i="6"/>
  <c r="AG66" i="6"/>
  <c r="AK65" i="6"/>
  <c r="AJ65" i="6"/>
  <c r="AI65" i="6"/>
  <c r="AH65" i="6"/>
  <c r="AG65" i="6"/>
  <c r="AK64" i="6"/>
  <c r="AJ64" i="6"/>
  <c r="AI64" i="6"/>
  <c r="AH64" i="6"/>
  <c r="AG64" i="6"/>
  <c r="AK63" i="6"/>
  <c r="AJ63" i="6"/>
  <c r="AI63" i="6"/>
  <c r="AH63" i="6"/>
  <c r="AG63" i="6"/>
  <c r="AK62" i="6"/>
  <c r="AJ62" i="6"/>
  <c r="AI62" i="6"/>
  <c r="AH62" i="6"/>
  <c r="AG62" i="6"/>
  <c r="AK61" i="6"/>
  <c r="AJ61" i="6"/>
  <c r="AI61" i="6"/>
  <c r="AH61" i="6"/>
  <c r="AG61" i="6"/>
  <c r="AE67" i="6"/>
  <c r="AD67" i="6"/>
  <c r="AC67" i="6"/>
  <c r="AB67" i="6"/>
  <c r="AA67" i="6"/>
  <c r="Z67" i="6"/>
  <c r="AE66" i="6"/>
  <c r="AD66" i="6"/>
  <c r="AC66" i="6"/>
  <c r="AB66" i="6"/>
  <c r="AA66" i="6"/>
  <c r="Z66" i="6"/>
  <c r="AE65" i="6"/>
  <c r="AD65" i="6"/>
  <c r="AC65" i="6"/>
  <c r="AB65" i="6"/>
  <c r="AA65" i="6"/>
  <c r="Z65" i="6"/>
  <c r="AE64" i="6"/>
  <c r="AD64" i="6"/>
  <c r="AC64" i="6"/>
  <c r="AB64" i="6"/>
  <c r="AA64" i="6"/>
  <c r="Z64" i="6"/>
  <c r="AE63" i="6"/>
  <c r="AD63" i="6"/>
  <c r="AC63" i="6"/>
  <c r="AB63" i="6"/>
  <c r="AA63" i="6"/>
  <c r="Z63" i="6"/>
  <c r="AE62" i="6"/>
  <c r="AD62" i="6"/>
  <c r="AC62" i="6"/>
  <c r="AB62" i="6"/>
  <c r="AA62" i="6"/>
  <c r="Z62" i="6"/>
  <c r="AE61" i="6"/>
  <c r="AD61" i="6"/>
  <c r="AC61" i="6"/>
  <c r="AB61" i="6"/>
  <c r="AA61" i="6"/>
  <c r="Z61" i="6"/>
  <c r="W67" i="6"/>
  <c r="V67" i="6"/>
  <c r="U67" i="6"/>
  <c r="T67" i="6"/>
  <c r="S67" i="6"/>
  <c r="W66" i="6"/>
  <c r="V66" i="6"/>
  <c r="U66" i="6"/>
  <c r="T66" i="6"/>
  <c r="S66" i="6"/>
  <c r="W65" i="6"/>
  <c r="V65" i="6"/>
  <c r="U65" i="6"/>
  <c r="T65" i="6"/>
  <c r="S65" i="6"/>
  <c r="W64" i="6"/>
  <c r="V64" i="6"/>
  <c r="U64" i="6"/>
  <c r="T64" i="6"/>
  <c r="S64" i="6"/>
  <c r="W63" i="6"/>
  <c r="V63" i="6"/>
  <c r="U63" i="6"/>
  <c r="T63" i="6"/>
  <c r="S63" i="6"/>
  <c r="W62" i="6"/>
  <c r="V62" i="6"/>
  <c r="U62" i="6"/>
  <c r="T62" i="6"/>
  <c r="S62" i="6"/>
  <c r="W61" i="6"/>
  <c r="V61" i="6"/>
  <c r="U61" i="6"/>
  <c r="T61" i="6"/>
  <c r="S61" i="6"/>
  <c r="Q67" i="6"/>
  <c r="P67" i="6"/>
  <c r="O67" i="6"/>
  <c r="N67" i="6"/>
  <c r="M67" i="6"/>
  <c r="L67" i="6"/>
  <c r="Q66" i="6"/>
  <c r="P66" i="6"/>
  <c r="O66" i="6"/>
  <c r="N66" i="6"/>
  <c r="M66" i="6"/>
  <c r="L66" i="6"/>
  <c r="Q65" i="6"/>
  <c r="P65" i="6"/>
  <c r="O65" i="6"/>
  <c r="N65" i="6"/>
  <c r="M65" i="6"/>
  <c r="L65" i="6"/>
  <c r="Q64" i="6"/>
  <c r="P64" i="6"/>
  <c r="O64" i="6"/>
  <c r="N64" i="6"/>
  <c r="M64" i="6"/>
  <c r="L64" i="6"/>
  <c r="Q63" i="6"/>
  <c r="P63" i="6"/>
  <c r="O63" i="6"/>
  <c r="N63" i="6"/>
  <c r="M63" i="6"/>
  <c r="L63" i="6"/>
  <c r="Q62" i="6"/>
  <c r="P62" i="6"/>
  <c r="O62" i="6"/>
  <c r="N62" i="6"/>
  <c r="M62" i="6"/>
  <c r="L62" i="6"/>
  <c r="Q61" i="6"/>
  <c r="P61" i="6"/>
  <c r="O61" i="6"/>
  <c r="N61" i="6"/>
  <c r="M61" i="6"/>
  <c r="L61" i="6"/>
  <c r="F61" i="6"/>
  <c r="G61" i="6"/>
  <c r="H61" i="6"/>
  <c r="I61" i="6"/>
  <c r="J61" i="6"/>
  <c r="F62" i="6"/>
  <c r="G62" i="6"/>
  <c r="H62" i="6"/>
  <c r="I62" i="6"/>
  <c r="J62" i="6"/>
  <c r="F63" i="6"/>
  <c r="G63" i="6"/>
  <c r="H63" i="6"/>
  <c r="I63" i="6"/>
  <c r="J63" i="6"/>
  <c r="F64" i="6"/>
  <c r="G64" i="6"/>
  <c r="H64" i="6"/>
  <c r="I64" i="6"/>
  <c r="J64" i="6"/>
  <c r="F65" i="6"/>
  <c r="G65" i="6"/>
  <c r="H65" i="6"/>
  <c r="I65" i="6"/>
  <c r="J65" i="6"/>
  <c r="F66" i="6"/>
  <c r="G66" i="6"/>
  <c r="H66" i="6"/>
  <c r="I66" i="6"/>
  <c r="J66" i="6"/>
  <c r="F67" i="6"/>
  <c r="G67" i="6"/>
  <c r="H67" i="6"/>
  <c r="I67" i="6"/>
  <c r="J67" i="6"/>
  <c r="E62" i="6"/>
  <c r="E63" i="6"/>
  <c r="E64" i="6"/>
  <c r="E65" i="6"/>
  <c r="E66" i="6"/>
  <c r="E67" i="6"/>
  <c r="E61" i="6"/>
  <c r="AR56" i="6"/>
  <c r="AQ56" i="6"/>
  <c r="AP56" i="6"/>
  <c r="AO56" i="6"/>
  <c r="AN56" i="6"/>
  <c r="AR55" i="6"/>
  <c r="AQ55" i="6"/>
  <c r="AP55" i="6"/>
  <c r="AO55" i="6"/>
  <c r="AN55" i="6"/>
  <c r="AR54" i="6"/>
  <c r="AQ54" i="6"/>
  <c r="AP54" i="6"/>
  <c r="AO54" i="6"/>
  <c r="AN54" i="6"/>
  <c r="AR53" i="6"/>
  <c r="AQ53" i="6"/>
  <c r="AP53" i="6"/>
  <c r="AO53" i="6"/>
  <c r="AN53" i="6"/>
  <c r="AR52" i="6"/>
  <c r="AQ52" i="6"/>
  <c r="AP52" i="6"/>
  <c r="AO52" i="6"/>
  <c r="AN52" i="6"/>
  <c r="AR51" i="6"/>
  <c r="AQ51" i="6"/>
  <c r="AP51" i="6"/>
  <c r="AO51" i="6"/>
  <c r="AN51" i="6"/>
  <c r="AR50" i="6"/>
  <c r="AQ50" i="6"/>
  <c r="AP50" i="6"/>
  <c r="AO50" i="6"/>
  <c r="AN50" i="6"/>
  <c r="AR49" i="6"/>
  <c r="AQ49" i="6"/>
  <c r="AP49" i="6"/>
  <c r="AO49" i="6"/>
  <c r="AN49" i="6"/>
  <c r="AR48" i="6"/>
  <c r="AQ48" i="6"/>
  <c r="AP48" i="6"/>
  <c r="AO48" i="6"/>
  <c r="AN48" i="6"/>
  <c r="AR47" i="6"/>
  <c r="AQ47" i="6"/>
  <c r="AP47" i="6"/>
  <c r="AO47" i="6"/>
  <c r="AN47" i="6"/>
  <c r="AR46" i="6"/>
  <c r="AQ46" i="6"/>
  <c r="AP46" i="6"/>
  <c r="AO46" i="6"/>
  <c r="AN46" i="6"/>
  <c r="AE56" i="6"/>
  <c r="AD56" i="6"/>
  <c r="AC56" i="6"/>
  <c r="AB56" i="6"/>
  <c r="AA56" i="6"/>
  <c r="Z56" i="6"/>
  <c r="AE55" i="6"/>
  <c r="AD55" i="6"/>
  <c r="AC55" i="6"/>
  <c r="AB55" i="6"/>
  <c r="AA55" i="6"/>
  <c r="Z55" i="6"/>
  <c r="AE54" i="6"/>
  <c r="AD54" i="6"/>
  <c r="AC54" i="6"/>
  <c r="AB54" i="6"/>
  <c r="AA54" i="6"/>
  <c r="Z54" i="6"/>
  <c r="AE53" i="6"/>
  <c r="AD53" i="6"/>
  <c r="AC53" i="6"/>
  <c r="AB53" i="6"/>
  <c r="AA53" i="6"/>
  <c r="Z53" i="6"/>
  <c r="AE52" i="6"/>
  <c r="AD52" i="6"/>
  <c r="AC52" i="6"/>
  <c r="AB52" i="6"/>
  <c r="AA52" i="6"/>
  <c r="Z52" i="6"/>
  <c r="AE51" i="6"/>
  <c r="AD51" i="6"/>
  <c r="AC51" i="6"/>
  <c r="AB51" i="6"/>
  <c r="AA51" i="6"/>
  <c r="Z51" i="6"/>
  <c r="AE50" i="6"/>
  <c r="AD50" i="6"/>
  <c r="AC50" i="6"/>
  <c r="AB50" i="6"/>
  <c r="AA50" i="6"/>
  <c r="Z50" i="6"/>
  <c r="AE49" i="6"/>
  <c r="AD49" i="6"/>
  <c r="AC49" i="6"/>
  <c r="AB49" i="6"/>
  <c r="AA49" i="6"/>
  <c r="Z49" i="6"/>
  <c r="AE48" i="6"/>
  <c r="AD48" i="6"/>
  <c r="AC48" i="6"/>
  <c r="AB48" i="6"/>
  <c r="AA48" i="6"/>
  <c r="Z48" i="6"/>
  <c r="AE47" i="6"/>
  <c r="AD47" i="6"/>
  <c r="AC47" i="6"/>
  <c r="AB47" i="6"/>
  <c r="AA47" i="6"/>
  <c r="Z47" i="6"/>
  <c r="AE46" i="6"/>
  <c r="AD46" i="6"/>
  <c r="AC46" i="6"/>
  <c r="AB46" i="6"/>
  <c r="AA46" i="6"/>
  <c r="Z46" i="6"/>
  <c r="W56" i="6"/>
  <c r="V56" i="6"/>
  <c r="U56" i="6"/>
  <c r="T56" i="6"/>
  <c r="S56" i="6"/>
  <c r="W55" i="6"/>
  <c r="V55" i="6"/>
  <c r="U55" i="6"/>
  <c r="T55" i="6"/>
  <c r="S55" i="6"/>
  <c r="W54" i="6"/>
  <c r="V54" i="6"/>
  <c r="U54" i="6"/>
  <c r="T54" i="6"/>
  <c r="S54" i="6"/>
  <c r="W53" i="6"/>
  <c r="V53" i="6"/>
  <c r="U53" i="6"/>
  <c r="T53" i="6"/>
  <c r="S53" i="6"/>
  <c r="W52" i="6"/>
  <c r="V52" i="6"/>
  <c r="U52" i="6"/>
  <c r="T52" i="6"/>
  <c r="S52" i="6"/>
  <c r="W51" i="6"/>
  <c r="V51" i="6"/>
  <c r="U51" i="6"/>
  <c r="T51" i="6"/>
  <c r="S51" i="6"/>
  <c r="W50" i="6"/>
  <c r="V50" i="6"/>
  <c r="U50" i="6"/>
  <c r="T50" i="6"/>
  <c r="S50" i="6"/>
  <c r="W49" i="6"/>
  <c r="V49" i="6"/>
  <c r="U49" i="6"/>
  <c r="T49" i="6"/>
  <c r="S49" i="6"/>
  <c r="W48" i="6"/>
  <c r="V48" i="6"/>
  <c r="U48" i="6"/>
  <c r="T48" i="6"/>
  <c r="S48" i="6"/>
  <c r="W47" i="6"/>
  <c r="V47" i="6"/>
  <c r="U47" i="6"/>
  <c r="T47" i="6"/>
  <c r="S47" i="6"/>
  <c r="W46" i="6"/>
  <c r="V46" i="6"/>
  <c r="U46" i="6"/>
  <c r="T46" i="6"/>
  <c r="S46" i="6"/>
  <c r="Q56" i="6"/>
  <c r="P56" i="6"/>
  <c r="O56" i="6"/>
  <c r="N56" i="6"/>
  <c r="M56" i="6"/>
  <c r="L56" i="6"/>
  <c r="Q55" i="6"/>
  <c r="P55" i="6"/>
  <c r="O55" i="6"/>
  <c r="N55" i="6"/>
  <c r="M55" i="6"/>
  <c r="L55" i="6"/>
  <c r="Q54" i="6"/>
  <c r="P54" i="6"/>
  <c r="O54" i="6"/>
  <c r="N54" i="6"/>
  <c r="M54" i="6"/>
  <c r="L54" i="6"/>
  <c r="Q53" i="6"/>
  <c r="P53" i="6"/>
  <c r="O53" i="6"/>
  <c r="N53" i="6"/>
  <c r="M53" i="6"/>
  <c r="L53" i="6"/>
  <c r="Q52" i="6"/>
  <c r="P52" i="6"/>
  <c r="O52" i="6"/>
  <c r="N52" i="6"/>
  <c r="M52" i="6"/>
  <c r="L52" i="6"/>
  <c r="Q51" i="6"/>
  <c r="P51" i="6"/>
  <c r="O51" i="6"/>
  <c r="N51" i="6"/>
  <c r="M51" i="6"/>
  <c r="L51" i="6"/>
  <c r="Q50" i="6"/>
  <c r="P50" i="6"/>
  <c r="O50" i="6"/>
  <c r="N50" i="6"/>
  <c r="M50" i="6"/>
  <c r="L50" i="6"/>
  <c r="Q49" i="6"/>
  <c r="P49" i="6"/>
  <c r="O49" i="6"/>
  <c r="N49" i="6"/>
  <c r="M49" i="6"/>
  <c r="L49" i="6"/>
  <c r="Q48" i="6"/>
  <c r="P48" i="6"/>
  <c r="O48" i="6"/>
  <c r="N48" i="6"/>
  <c r="M48" i="6"/>
  <c r="L48" i="6"/>
  <c r="Q47" i="6"/>
  <c r="P47" i="6"/>
  <c r="O47" i="6"/>
  <c r="N47" i="6"/>
  <c r="M47" i="6"/>
  <c r="L47" i="6"/>
  <c r="Q46" i="6"/>
  <c r="P46" i="6"/>
  <c r="O46" i="6"/>
  <c r="N46" i="6"/>
  <c r="M46" i="6"/>
  <c r="L46" i="6"/>
  <c r="F46" i="6"/>
  <c r="G46" i="6"/>
  <c r="H46" i="6"/>
  <c r="I46" i="6"/>
  <c r="J46" i="6"/>
  <c r="F47" i="6"/>
  <c r="G47" i="6"/>
  <c r="H47" i="6"/>
  <c r="I47" i="6"/>
  <c r="J47" i="6"/>
  <c r="F48" i="6"/>
  <c r="G48" i="6"/>
  <c r="H48" i="6"/>
  <c r="I48" i="6"/>
  <c r="J48" i="6"/>
  <c r="F49" i="6"/>
  <c r="G49" i="6"/>
  <c r="H49" i="6"/>
  <c r="I49" i="6"/>
  <c r="J49" i="6"/>
  <c r="F50" i="6"/>
  <c r="G50" i="6"/>
  <c r="H50" i="6"/>
  <c r="I50" i="6"/>
  <c r="J50" i="6"/>
  <c r="F51" i="6"/>
  <c r="G51" i="6"/>
  <c r="H51" i="6"/>
  <c r="I51" i="6"/>
  <c r="J51" i="6"/>
  <c r="F52" i="6"/>
  <c r="G52" i="6"/>
  <c r="H52" i="6"/>
  <c r="I52" i="6"/>
  <c r="J52" i="6"/>
  <c r="F53" i="6"/>
  <c r="G53" i="6"/>
  <c r="H53" i="6"/>
  <c r="I53" i="6"/>
  <c r="J53" i="6"/>
  <c r="F54" i="6"/>
  <c r="G54" i="6"/>
  <c r="H54" i="6"/>
  <c r="I54" i="6"/>
  <c r="J54" i="6"/>
  <c r="F55" i="6"/>
  <c r="G55" i="6"/>
  <c r="H55" i="6"/>
  <c r="I55" i="6"/>
  <c r="J55" i="6"/>
  <c r="F56" i="6"/>
  <c r="G56" i="6"/>
  <c r="H56" i="6"/>
  <c r="I56" i="6"/>
  <c r="J56" i="6"/>
  <c r="E47" i="6"/>
  <c r="E48" i="6"/>
  <c r="E49" i="6"/>
  <c r="E50" i="6"/>
  <c r="E51" i="6"/>
  <c r="E52" i="6"/>
  <c r="E53" i="6"/>
  <c r="E54" i="6"/>
  <c r="E55" i="6"/>
  <c r="E56" i="6"/>
  <c r="E46" i="6"/>
  <c r="AH46" i="6"/>
  <c r="AI46" i="6"/>
  <c r="AJ46" i="6"/>
  <c r="AK46" i="6"/>
  <c r="AL46" i="6"/>
  <c r="AH47" i="6"/>
  <c r="AI47" i="6"/>
  <c r="AJ47" i="6"/>
  <c r="AK47" i="6"/>
  <c r="AL47" i="6"/>
  <c r="AH48" i="6"/>
  <c r="AI48" i="6"/>
  <c r="AJ48" i="6"/>
  <c r="AK48" i="6"/>
  <c r="AL48" i="6"/>
  <c r="AH49" i="6"/>
  <c r="AI49" i="6"/>
  <c r="AJ49" i="6"/>
  <c r="AK49" i="6"/>
  <c r="AL49" i="6"/>
  <c r="AH50" i="6"/>
  <c r="AI50" i="6"/>
  <c r="AJ50" i="6"/>
  <c r="AK50" i="6"/>
  <c r="AL50" i="6"/>
  <c r="AH51" i="6"/>
  <c r="AI51" i="6"/>
  <c r="AJ51" i="6"/>
  <c r="AK51" i="6"/>
  <c r="AL51" i="6"/>
  <c r="AH52" i="6"/>
  <c r="AI52" i="6"/>
  <c r="AJ52" i="6"/>
  <c r="AK52" i="6"/>
  <c r="AL52" i="6"/>
  <c r="AH53" i="6"/>
  <c r="AI53" i="6"/>
  <c r="AJ53" i="6"/>
  <c r="AK53" i="6"/>
  <c r="AL53" i="6"/>
  <c r="AH54" i="6"/>
  <c r="AI54" i="6"/>
  <c r="AJ54" i="6"/>
  <c r="AK54" i="6"/>
  <c r="AL54" i="6"/>
  <c r="AH55" i="6"/>
  <c r="AI55" i="6"/>
  <c r="AJ55" i="6"/>
  <c r="AK55" i="6"/>
  <c r="AL55" i="6"/>
  <c r="AH56" i="6"/>
  <c r="AI56" i="6"/>
  <c r="AJ56" i="6"/>
  <c r="AK56" i="6"/>
  <c r="AL56" i="6"/>
  <c r="AG47" i="6"/>
  <c r="AG48" i="6"/>
  <c r="AG49" i="6"/>
  <c r="AG50" i="6"/>
  <c r="AG51" i="6"/>
  <c r="AG52" i="6"/>
  <c r="AG53" i="6"/>
  <c r="AG54" i="6"/>
  <c r="AG55" i="6"/>
  <c r="AG56" i="6"/>
  <c r="AG46" i="6"/>
  <c r="AK41" i="6"/>
  <c r="AJ41" i="6"/>
  <c r="AI41" i="6"/>
  <c r="AH41" i="6"/>
  <c r="AG41" i="6"/>
  <c r="AK40" i="6"/>
  <c r="AJ40" i="6"/>
  <c r="AI40" i="6"/>
  <c r="AH40" i="6"/>
  <c r="AG40" i="6"/>
  <c r="AK39" i="6"/>
  <c r="AJ39" i="6"/>
  <c r="AI39" i="6"/>
  <c r="AH39" i="6"/>
  <c r="AG39" i="6"/>
  <c r="AK38" i="6"/>
  <c r="AJ38" i="6"/>
  <c r="AI38" i="6"/>
  <c r="AH38" i="6"/>
  <c r="AG38" i="6"/>
  <c r="AK37" i="6"/>
  <c r="AJ37" i="6"/>
  <c r="AI37" i="6"/>
  <c r="AH37" i="6"/>
  <c r="AG37" i="6"/>
  <c r="AK36" i="6"/>
  <c r="AJ36" i="6"/>
  <c r="AI36" i="6"/>
  <c r="AH36" i="6"/>
  <c r="AG36" i="6"/>
  <c r="AK35" i="6"/>
  <c r="AJ35" i="6"/>
  <c r="AI35" i="6"/>
  <c r="AH35" i="6"/>
  <c r="AG35" i="6"/>
  <c r="AK34" i="6"/>
  <c r="AJ34" i="6"/>
  <c r="AI34" i="6"/>
  <c r="AH34" i="6"/>
  <c r="AG34" i="6"/>
  <c r="AK33" i="6"/>
  <c r="AJ33" i="6"/>
  <c r="AI33" i="6"/>
  <c r="AH33" i="6"/>
  <c r="AG33" i="6"/>
  <c r="AK32" i="6"/>
  <c r="AJ32" i="6"/>
  <c r="AI32" i="6"/>
  <c r="AH32" i="6"/>
  <c r="AG32" i="6"/>
  <c r="AK31" i="6"/>
  <c r="AJ31" i="6"/>
  <c r="AI31" i="6"/>
  <c r="AH31" i="6"/>
  <c r="AG31" i="6"/>
  <c r="AK30" i="6"/>
  <c r="AJ30" i="6"/>
  <c r="AI30" i="6"/>
  <c r="AH30" i="6"/>
  <c r="AG30" i="6"/>
  <c r="F97" i="6"/>
  <c r="G97" i="6"/>
  <c r="H97" i="6"/>
  <c r="I97" i="6"/>
  <c r="F98" i="6"/>
  <c r="G98" i="6"/>
  <c r="H98" i="6"/>
  <c r="I98" i="6"/>
  <c r="F99" i="6"/>
  <c r="G99" i="6"/>
  <c r="H99" i="6"/>
  <c r="I99" i="6"/>
  <c r="F100" i="6"/>
  <c r="G100" i="6"/>
  <c r="H100" i="6"/>
  <c r="I100" i="6"/>
  <c r="F101" i="6"/>
  <c r="G101" i="6"/>
  <c r="H101" i="6"/>
  <c r="I101" i="6"/>
  <c r="F102" i="6"/>
  <c r="G102" i="6"/>
  <c r="H102" i="6"/>
  <c r="I102" i="6"/>
  <c r="F103" i="6"/>
  <c r="G103" i="6"/>
  <c r="H103" i="6"/>
  <c r="I103" i="6"/>
  <c r="F104" i="6"/>
  <c r="G104" i="6"/>
  <c r="H104" i="6"/>
  <c r="I104" i="6"/>
  <c r="F105" i="6"/>
  <c r="G105" i="6"/>
  <c r="H105" i="6"/>
  <c r="I105" i="6"/>
  <c r="F106" i="6"/>
  <c r="G106" i="6"/>
  <c r="H106" i="6"/>
  <c r="I106" i="6"/>
  <c r="F107" i="6"/>
  <c r="G107" i="6"/>
  <c r="H107" i="6"/>
  <c r="I107" i="6"/>
  <c r="E98" i="6"/>
  <c r="E99" i="6"/>
  <c r="E100" i="6"/>
  <c r="E101" i="6"/>
  <c r="E102" i="6"/>
  <c r="E103" i="6"/>
  <c r="E104" i="6"/>
  <c r="E105" i="6"/>
  <c r="E106" i="6"/>
  <c r="E107" i="6"/>
  <c r="E97" i="6"/>
  <c r="AE41" i="6"/>
  <c r="AD41" i="6"/>
  <c r="AC41" i="6"/>
  <c r="AB41" i="6"/>
  <c r="AA41" i="6"/>
  <c r="Z41" i="6"/>
  <c r="AE40" i="6"/>
  <c r="AD40" i="6"/>
  <c r="AC40" i="6"/>
  <c r="AB40" i="6"/>
  <c r="AA40" i="6"/>
  <c r="Z40" i="6"/>
  <c r="AE39" i="6"/>
  <c r="AD39" i="6"/>
  <c r="AC39" i="6"/>
  <c r="AB39" i="6"/>
  <c r="AA39" i="6"/>
  <c r="Z39" i="6"/>
  <c r="AE38" i="6"/>
  <c r="AD38" i="6"/>
  <c r="AC38" i="6"/>
  <c r="AB38" i="6"/>
  <c r="AA38" i="6"/>
  <c r="Z38" i="6"/>
  <c r="AE37" i="6"/>
  <c r="AD37" i="6"/>
  <c r="AC37" i="6"/>
  <c r="AB37" i="6"/>
  <c r="AA37" i="6"/>
  <c r="Z37" i="6"/>
  <c r="AE36" i="6"/>
  <c r="AD36" i="6"/>
  <c r="AC36" i="6"/>
  <c r="AB36" i="6"/>
  <c r="AA36" i="6"/>
  <c r="Z36" i="6"/>
  <c r="AE35" i="6"/>
  <c r="AD35" i="6"/>
  <c r="AC35" i="6"/>
  <c r="AB35" i="6"/>
  <c r="AA35" i="6"/>
  <c r="Z35" i="6"/>
  <c r="AE34" i="6"/>
  <c r="AD34" i="6"/>
  <c r="AC34" i="6"/>
  <c r="AB34" i="6"/>
  <c r="AA34" i="6"/>
  <c r="Z34" i="6"/>
  <c r="AE33" i="6"/>
  <c r="AD33" i="6"/>
  <c r="AC33" i="6"/>
  <c r="AB33" i="6"/>
  <c r="AA33" i="6"/>
  <c r="Z33" i="6"/>
  <c r="AE32" i="6"/>
  <c r="AD32" i="6"/>
  <c r="AC32" i="6"/>
  <c r="AB32" i="6"/>
  <c r="AA32" i="6"/>
  <c r="Z32" i="6"/>
  <c r="AE31" i="6"/>
  <c r="AD31" i="6"/>
  <c r="AC31" i="6"/>
  <c r="AB31" i="6"/>
  <c r="AA31" i="6"/>
  <c r="Z31" i="6"/>
  <c r="AE30" i="6"/>
  <c r="AD30" i="6"/>
  <c r="AC30" i="6"/>
  <c r="AB30" i="6"/>
  <c r="AA30" i="6"/>
  <c r="Z30" i="6"/>
  <c r="W41" i="6"/>
  <c r="V41" i="6"/>
  <c r="U41" i="6"/>
  <c r="T41" i="6"/>
  <c r="S41" i="6"/>
  <c r="W40" i="6"/>
  <c r="V40" i="6"/>
  <c r="U40" i="6"/>
  <c r="T40" i="6"/>
  <c r="S40" i="6"/>
  <c r="W39" i="6"/>
  <c r="V39" i="6"/>
  <c r="U39" i="6"/>
  <c r="T39" i="6"/>
  <c r="S39" i="6"/>
  <c r="W38" i="6"/>
  <c r="V38" i="6"/>
  <c r="U38" i="6"/>
  <c r="T38" i="6"/>
  <c r="S38" i="6"/>
  <c r="W37" i="6"/>
  <c r="V37" i="6"/>
  <c r="U37" i="6"/>
  <c r="T37" i="6"/>
  <c r="S37" i="6"/>
  <c r="W36" i="6"/>
  <c r="V36" i="6"/>
  <c r="U36" i="6"/>
  <c r="T36" i="6"/>
  <c r="S36" i="6"/>
  <c r="W35" i="6"/>
  <c r="V35" i="6"/>
  <c r="U35" i="6"/>
  <c r="T35" i="6"/>
  <c r="S35" i="6"/>
  <c r="W34" i="6"/>
  <c r="V34" i="6"/>
  <c r="U34" i="6"/>
  <c r="T34" i="6"/>
  <c r="S34" i="6"/>
  <c r="W33" i="6"/>
  <c r="V33" i="6"/>
  <c r="U33" i="6"/>
  <c r="T33" i="6"/>
  <c r="S33" i="6"/>
  <c r="W32" i="6"/>
  <c r="V32" i="6"/>
  <c r="U32" i="6"/>
  <c r="T32" i="6"/>
  <c r="S32" i="6"/>
  <c r="W31" i="6"/>
  <c r="V31" i="6"/>
  <c r="U31" i="6"/>
  <c r="T31" i="6"/>
  <c r="S31" i="6"/>
  <c r="W30" i="6"/>
  <c r="V30" i="6"/>
  <c r="U30" i="6"/>
  <c r="T30" i="6"/>
  <c r="S30" i="6"/>
  <c r="Q30" i="6"/>
  <c r="Q41" i="6"/>
  <c r="P41" i="6"/>
  <c r="O41" i="6"/>
  <c r="N41" i="6"/>
  <c r="M41" i="6"/>
  <c r="L41" i="6"/>
  <c r="Q40" i="6"/>
  <c r="P40" i="6"/>
  <c r="O40" i="6"/>
  <c r="N40" i="6"/>
  <c r="M40" i="6"/>
  <c r="L40" i="6"/>
  <c r="Q39" i="6"/>
  <c r="P39" i="6"/>
  <c r="O39" i="6"/>
  <c r="N39" i="6"/>
  <c r="M39" i="6"/>
  <c r="L39" i="6"/>
  <c r="Q38" i="6"/>
  <c r="P38" i="6"/>
  <c r="O38" i="6"/>
  <c r="N38" i="6"/>
  <c r="M38" i="6"/>
  <c r="L38" i="6"/>
  <c r="Q37" i="6"/>
  <c r="P37" i="6"/>
  <c r="O37" i="6"/>
  <c r="N37" i="6"/>
  <c r="M37" i="6"/>
  <c r="L37" i="6"/>
  <c r="Q36" i="6"/>
  <c r="P36" i="6"/>
  <c r="O36" i="6"/>
  <c r="N36" i="6"/>
  <c r="M36" i="6"/>
  <c r="L36" i="6"/>
  <c r="Q35" i="6"/>
  <c r="P35" i="6"/>
  <c r="O35" i="6"/>
  <c r="N35" i="6"/>
  <c r="M35" i="6"/>
  <c r="L35" i="6"/>
  <c r="Q34" i="6"/>
  <c r="P34" i="6"/>
  <c r="O34" i="6"/>
  <c r="N34" i="6"/>
  <c r="M34" i="6"/>
  <c r="L34" i="6"/>
  <c r="Q33" i="6"/>
  <c r="P33" i="6"/>
  <c r="O33" i="6"/>
  <c r="N33" i="6"/>
  <c r="M33" i="6"/>
  <c r="L33" i="6"/>
  <c r="Q32" i="6"/>
  <c r="P32" i="6"/>
  <c r="O32" i="6"/>
  <c r="N32" i="6"/>
  <c r="M32" i="6"/>
  <c r="L32" i="6"/>
  <c r="Q31" i="6"/>
  <c r="P31" i="6"/>
  <c r="O31" i="6"/>
  <c r="N31" i="6"/>
  <c r="M31" i="6"/>
  <c r="L31" i="6"/>
  <c r="P30" i="6"/>
  <c r="O30" i="6"/>
  <c r="N30" i="6"/>
  <c r="M30" i="6"/>
  <c r="L30" i="6"/>
  <c r="F30" i="6"/>
  <c r="G30" i="6"/>
  <c r="H30" i="6"/>
  <c r="I30" i="6"/>
  <c r="J30" i="6"/>
  <c r="F31" i="6"/>
  <c r="G31" i="6"/>
  <c r="H31" i="6"/>
  <c r="I31" i="6"/>
  <c r="J31" i="6"/>
  <c r="F32" i="6"/>
  <c r="G32" i="6"/>
  <c r="H32" i="6"/>
  <c r="I32" i="6"/>
  <c r="J32" i="6"/>
  <c r="F33" i="6"/>
  <c r="G33" i="6"/>
  <c r="H33" i="6"/>
  <c r="I33" i="6"/>
  <c r="J33" i="6"/>
  <c r="F34" i="6"/>
  <c r="G34" i="6"/>
  <c r="H34" i="6"/>
  <c r="I34" i="6"/>
  <c r="J34" i="6"/>
  <c r="F35" i="6"/>
  <c r="G35" i="6"/>
  <c r="H35" i="6"/>
  <c r="I35" i="6"/>
  <c r="J35" i="6"/>
  <c r="F36" i="6"/>
  <c r="G36" i="6"/>
  <c r="H36" i="6"/>
  <c r="I36" i="6"/>
  <c r="J36" i="6"/>
  <c r="F37" i="6"/>
  <c r="G37" i="6"/>
  <c r="H37" i="6"/>
  <c r="I37" i="6"/>
  <c r="J37" i="6"/>
  <c r="F38" i="6"/>
  <c r="G38" i="6"/>
  <c r="H38" i="6"/>
  <c r="I38" i="6"/>
  <c r="J38" i="6"/>
  <c r="F39" i="6"/>
  <c r="G39" i="6"/>
  <c r="H39" i="6"/>
  <c r="I39" i="6"/>
  <c r="J39" i="6"/>
  <c r="F40" i="6"/>
  <c r="G40" i="6"/>
  <c r="H40" i="6"/>
  <c r="I40" i="6"/>
  <c r="J40" i="6"/>
  <c r="F41" i="6"/>
  <c r="G41" i="6"/>
  <c r="H41" i="6"/>
  <c r="I41" i="6"/>
  <c r="J41" i="6"/>
  <c r="E31" i="6"/>
  <c r="E32" i="6"/>
  <c r="E33" i="6"/>
  <c r="E34" i="6"/>
  <c r="E35" i="6"/>
  <c r="E36" i="6"/>
  <c r="E37" i="6"/>
  <c r="E38" i="6"/>
  <c r="E39" i="6"/>
  <c r="E40" i="6"/>
  <c r="E41" i="6"/>
  <c r="E30" i="6"/>
  <c r="M8" i="6"/>
  <c r="C90" i="2"/>
  <c r="C91" i="2"/>
  <c r="C92" i="2"/>
  <c r="C93" i="2"/>
  <c r="C94" i="2"/>
  <c r="C95" i="2"/>
  <c r="C96" i="2"/>
  <c r="C97" i="2"/>
  <c r="C98" i="2"/>
  <c r="C89" i="2"/>
  <c r="F150" i="1" l="1"/>
  <c r="I145" i="1"/>
  <c r="H145" i="1"/>
  <c r="G150" i="1"/>
  <c r="E25" i="1"/>
  <c r="D25" i="1"/>
  <c r="G141" i="1"/>
  <c r="G140" i="1"/>
  <c r="G139" i="1"/>
  <c r="G138" i="1"/>
  <c r="E169" i="1"/>
  <c r="E168" i="1"/>
  <c r="E167" i="1"/>
  <c r="C150" i="1"/>
  <c r="E150" i="1" s="1"/>
  <c r="C145" i="1"/>
  <c r="E145" i="1" s="1"/>
  <c r="G134" i="1"/>
  <c r="G133" i="1"/>
  <c r="G132" i="1"/>
  <c r="G131" i="1"/>
  <c r="G116" i="1"/>
  <c r="G117" i="1"/>
  <c r="G118" i="1"/>
  <c r="G119" i="1"/>
  <c r="G120" i="1"/>
  <c r="G121" i="1"/>
  <c r="G115" i="1"/>
  <c r="H106" i="1"/>
  <c r="H107" i="1"/>
  <c r="H108" i="1"/>
  <c r="H109" i="1"/>
  <c r="H110" i="1"/>
  <c r="H105" i="1"/>
  <c r="G70" i="1"/>
  <c r="G71" i="1"/>
  <c r="G72" i="1"/>
  <c r="G69" i="1"/>
  <c r="E35" i="1"/>
  <c r="E36" i="1"/>
  <c r="E37" i="1"/>
  <c r="E38" i="1"/>
  <c r="D34" i="1"/>
  <c r="D35" i="1"/>
  <c r="D36" i="1"/>
  <c r="D37" i="1"/>
  <c r="D38" i="1"/>
  <c r="E34" i="1"/>
  <c r="F36" i="1"/>
  <c r="F37" i="1"/>
  <c r="F38" i="1"/>
  <c r="F34" i="1"/>
  <c r="F35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E83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E82" i="1"/>
  <c r="K72" i="2"/>
  <c r="K73" i="2"/>
  <c r="L73" i="2" s="1"/>
  <c r="K74" i="2"/>
  <c r="K71" i="2"/>
  <c r="I72" i="2"/>
  <c r="I71" i="2"/>
  <c r="J72" i="2" s="1"/>
  <c r="G72" i="2"/>
  <c r="G73" i="2"/>
  <c r="G74" i="2"/>
  <c r="G75" i="2"/>
  <c r="H76" i="2" s="1"/>
  <c r="G76" i="2"/>
  <c r="G71" i="2"/>
  <c r="H72" i="2" s="1"/>
  <c r="J71" i="2"/>
  <c r="D242" i="5"/>
  <c r="K76" i="2" s="1"/>
  <c r="E242" i="5"/>
  <c r="K77" i="2" s="1"/>
  <c r="L77" i="2" s="1"/>
  <c r="F242" i="5"/>
  <c r="K78" i="2" s="1"/>
  <c r="C242" i="5"/>
  <c r="K75" i="2" s="1"/>
  <c r="L75" i="2" s="1"/>
  <c r="L180" i="5"/>
  <c r="I80" i="2" s="1"/>
  <c r="J180" i="5"/>
  <c r="I79" i="2" s="1"/>
  <c r="J80" i="2" s="1"/>
  <c r="H180" i="5"/>
  <c r="I78" i="2" s="1"/>
  <c r="D180" i="5"/>
  <c r="I74" i="2" s="1"/>
  <c r="E180" i="5"/>
  <c r="I75" i="2" s="1"/>
  <c r="F180" i="5"/>
  <c r="I76" i="2" s="1"/>
  <c r="G180" i="5"/>
  <c r="I77" i="2" s="1"/>
  <c r="C180" i="5"/>
  <c r="I73" i="2" s="1"/>
  <c r="D171" i="5"/>
  <c r="G77" i="2" s="1"/>
  <c r="H77" i="2" s="1"/>
  <c r="E171" i="5"/>
  <c r="F171" i="5"/>
  <c r="G78" i="2" s="1"/>
  <c r="C171" i="5"/>
  <c r="D162" i="5"/>
  <c r="E162" i="5"/>
  <c r="E71" i="2" s="1"/>
  <c r="F71" i="2" s="1"/>
  <c r="F162" i="5"/>
  <c r="E72" i="2" s="1"/>
  <c r="G162" i="5"/>
  <c r="E73" i="2" s="1"/>
  <c r="H162" i="5"/>
  <c r="E74" i="2" s="1"/>
  <c r="I162" i="5"/>
  <c r="E75" i="2" s="1"/>
  <c r="J162" i="5"/>
  <c r="E76" i="2" s="1"/>
  <c r="K162" i="5"/>
  <c r="E77" i="2" s="1"/>
  <c r="L162" i="5"/>
  <c r="E79" i="2" s="1"/>
  <c r="C162" i="5"/>
  <c r="D153" i="5"/>
  <c r="C72" i="2" s="1"/>
  <c r="E153" i="5"/>
  <c r="C73" i="2" s="1"/>
  <c r="F153" i="5"/>
  <c r="C74" i="2" s="1"/>
  <c r="G153" i="5"/>
  <c r="C75" i="2" s="1"/>
  <c r="H153" i="5"/>
  <c r="C76" i="2" s="1"/>
  <c r="I153" i="5"/>
  <c r="C153" i="5"/>
  <c r="C71" i="2" s="1"/>
  <c r="D71" i="2" s="1"/>
  <c r="S45" i="2"/>
  <c r="S46" i="2"/>
  <c r="S47" i="2"/>
  <c r="S48" i="2"/>
  <c r="S49" i="2"/>
  <c r="S50" i="2"/>
  <c r="S51" i="2"/>
  <c r="S52" i="2"/>
  <c r="S44" i="2"/>
  <c r="T44" i="2" s="1"/>
  <c r="Q45" i="2"/>
  <c r="Q46" i="2"/>
  <c r="Q47" i="2"/>
  <c r="Q48" i="2"/>
  <c r="Q49" i="2"/>
  <c r="Q50" i="2"/>
  <c r="Q51" i="2"/>
  <c r="Q44" i="2"/>
  <c r="R44" i="2" s="1"/>
  <c r="P53" i="2"/>
  <c r="P52" i="2"/>
  <c r="P51" i="2"/>
  <c r="P50" i="2"/>
  <c r="P49" i="2"/>
  <c r="P48" i="2"/>
  <c r="P47" i="2"/>
  <c r="P46" i="2"/>
  <c r="P45" i="2"/>
  <c r="P44" i="2"/>
  <c r="M45" i="2"/>
  <c r="M46" i="2"/>
  <c r="M47" i="2"/>
  <c r="M48" i="2"/>
  <c r="M49" i="2"/>
  <c r="M44" i="2"/>
  <c r="N44" i="2" s="1"/>
  <c r="K45" i="2"/>
  <c r="K46" i="2"/>
  <c r="K47" i="2"/>
  <c r="K44" i="2"/>
  <c r="L44" i="2" s="1"/>
  <c r="I45" i="2"/>
  <c r="I46" i="2"/>
  <c r="E45" i="2"/>
  <c r="I44" i="2"/>
  <c r="J44" i="2" s="1"/>
  <c r="G44" i="2"/>
  <c r="H44" i="2" s="1"/>
  <c r="E44" i="2"/>
  <c r="F44" i="2" s="1"/>
  <c r="D142" i="5"/>
  <c r="S53" i="2" s="1"/>
  <c r="C142" i="5"/>
  <c r="D133" i="5"/>
  <c r="E133" i="5"/>
  <c r="Q52" i="2" s="1"/>
  <c r="F133" i="5"/>
  <c r="Q53" i="2" s="1"/>
  <c r="C133" i="5"/>
  <c r="D118" i="5"/>
  <c r="E118" i="5"/>
  <c r="M50" i="2" s="1"/>
  <c r="F118" i="5"/>
  <c r="G118" i="5"/>
  <c r="H118" i="5"/>
  <c r="M51" i="2" s="1"/>
  <c r="I118" i="5"/>
  <c r="M53" i="2" s="1"/>
  <c r="C118" i="5"/>
  <c r="D109" i="5"/>
  <c r="K48" i="2" s="1"/>
  <c r="E109" i="5"/>
  <c r="K49" i="2" s="1"/>
  <c r="F109" i="5"/>
  <c r="K50" i="2" s="1"/>
  <c r="G109" i="5"/>
  <c r="H109" i="5"/>
  <c r="K51" i="2" s="1"/>
  <c r="I109" i="5"/>
  <c r="K52" i="2" s="1"/>
  <c r="C109" i="5"/>
  <c r="D100" i="5"/>
  <c r="I47" i="2" s="1"/>
  <c r="E100" i="5"/>
  <c r="I48" i="2" s="1"/>
  <c r="F100" i="5"/>
  <c r="I49" i="2" s="1"/>
  <c r="G100" i="5"/>
  <c r="I50" i="2" s="1"/>
  <c r="H100" i="5"/>
  <c r="I51" i="2" s="1"/>
  <c r="I100" i="5"/>
  <c r="I52" i="2" s="1"/>
  <c r="J100" i="5"/>
  <c r="I53" i="2" s="1"/>
  <c r="C100" i="5"/>
  <c r="D91" i="5"/>
  <c r="G45" i="2" s="1"/>
  <c r="E91" i="5"/>
  <c r="G46" i="2" s="1"/>
  <c r="F91" i="5"/>
  <c r="G47" i="2" s="1"/>
  <c r="G91" i="5"/>
  <c r="H91" i="5"/>
  <c r="G48" i="2" s="1"/>
  <c r="I91" i="5"/>
  <c r="G49" i="2" s="1"/>
  <c r="J91" i="5"/>
  <c r="G50" i="2" s="1"/>
  <c r="K91" i="5"/>
  <c r="L91" i="5"/>
  <c r="G51" i="2" s="1"/>
  <c r="M91" i="5"/>
  <c r="G52" i="2" s="1"/>
  <c r="C91" i="5"/>
  <c r="D82" i="5"/>
  <c r="E47" i="2" s="1"/>
  <c r="E82" i="5"/>
  <c r="E48" i="2" s="1"/>
  <c r="F82" i="5"/>
  <c r="E49" i="2" s="1"/>
  <c r="G82" i="5"/>
  <c r="E50" i="2" s="1"/>
  <c r="H82" i="5"/>
  <c r="E51" i="2" s="1"/>
  <c r="I82" i="5"/>
  <c r="E52" i="2" s="1"/>
  <c r="C82" i="5"/>
  <c r="E46" i="2" s="1"/>
  <c r="D73" i="5"/>
  <c r="C44" i="2" s="1"/>
  <c r="D44" i="2" s="1"/>
  <c r="E73" i="5"/>
  <c r="C45" i="2" s="1"/>
  <c r="F73" i="5"/>
  <c r="C46" i="2" s="1"/>
  <c r="G73" i="5"/>
  <c r="C47" i="2" s="1"/>
  <c r="H73" i="5"/>
  <c r="C48" i="2" s="1"/>
  <c r="I73" i="5"/>
  <c r="C49" i="2" s="1"/>
  <c r="J73" i="5"/>
  <c r="C50" i="2" s="1"/>
  <c r="K73" i="5"/>
  <c r="L73" i="5"/>
  <c r="C51" i="2" s="1"/>
  <c r="M73" i="5"/>
  <c r="C52" i="2" s="1"/>
  <c r="C73" i="5"/>
  <c r="L18" i="2"/>
  <c r="L19" i="2"/>
  <c r="L20" i="2"/>
  <c r="L21" i="2"/>
  <c r="L22" i="2"/>
  <c r="L17" i="2"/>
  <c r="M17" i="2" s="1"/>
  <c r="D64" i="5"/>
  <c r="E64" i="5"/>
  <c r="F64" i="5"/>
  <c r="G64" i="5"/>
  <c r="H64" i="5"/>
  <c r="C64" i="5"/>
  <c r="J18" i="2"/>
  <c r="J19" i="2"/>
  <c r="J20" i="2"/>
  <c r="J21" i="2"/>
  <c r="J22" i="2"/>
  <c r="J23" i="2"/>
  <c r="J17" i="2"/>
  <c r="K17" i="2" s="1"/>
  <c r="D54" i="5"/>
  <c r="L23" i="2" s="1"/>
  <c r="E54" i="5"/>
  <c r="J24" i="2" s="1"/>
  <c r="F54" i="5"/>
  <c r="L24" i="2" s="1"/>
  <c r="G54" i="5"/>
  <c r="H54" i="5"/>
  <c r="L25" i="2" s="1"/>
  <c r="C54" i="5"/>
  <c r="G19" i="2"/>
  <c r="G26" i="2"/>
  <c r="G17" i="2"/>
  <c r="H17" i="2" s="1"/>
  <c r="I17" i="2" s="1"/>
  <c r="M37" i="5"/>
  <c r="G25" i="2" s="1"/>
  <c r="D37" i="5"/>
  <c r="E37" i="5"/>
  <c r="G18" i="2" s="1"/>
  <c r="F37" i="5"/>
  <c r="G37" i="5"/>
  <c r="H37" i="5"/>
  <c r="I37" i="5"/>
  <c r="J37" i="5"/>
  <c r="G20" i="2" s="1"/>
  <c r="K37" i="5"/>
  <c r="G21" i="2" s="1"/>
  <c r="L37" i="5"/>
  <c r="G22" i="2" s="1"/>
  <c r="C37" i="5"/>
  <c r="D22" i="2"/>
  <c r="D18" i="5"/>
  <c r="D17" i="2" s="1"/>
  <c r="E17" i="2" s="1"/>
  <c r="F17" i="2" s="1"/>
  <c r="E18" i="5"/>
  <c r="F18" i="5"/>
  <c r="D18" i="2" s="1"/>
  <c r="G18" i="5"/>
  <c r="H18" i="5"/>
  <c r="D19" i="2" s="1"/>
  <c r="I18" i="5"/>
  <c r="J18" i="5"/>
  <c r="D20" i="2" s="1"/>
  <c r="K18" i="5"/>
  <c r="L18" i="5"/>
  <c r="D21" i="2" s="1"/>
  <c r="M18" i="5"/>
  <c r="D24" i="2" s="1"/>
  <c r="C18" i="5"/>
  <c r="AV65" i="4"/>
  <c r="AM65" i="4"/>
  <c r="AC65" i="4"/>
  <c r="AA65" i="4"/>
  <c r="R65" i="4"/>
  <c r="Q65" i="4"/>
  <c r="M65" i="4"/>
  <c r="A65" i="4"/>
  <c r="AV64" i="4"/>
  <c r="AU64" i="4"/>
  <c r="AT64" i="4"/>
  <c r="AS64" i="4"/>
  <c r="AR64" i="4"/>
  <c r="AL64" i="4"/>
  <c r="AJ64" i="4"/>
  <c r="AH64" i="4"/>
  <c r="AF64" i="4"/>
  <c r="AE64" i="4"/>
  <c r="AD64" i="4"/>
  <c r="AC64" i="4"/>
  <c r="AA64" i="4"/>
  <c r="R64" i="4"/>
  <c r="Q64" i="4"/>
  <c r="P64" i="4"/>
  <c r="O64" i="4"/>
  <c r="N64" i="4"/>
  <c r="M64" i="4"/>
  <c r="L64" i="4"/>
  <c r="K64" i="4"/>
  <c r="J64" i="4"/>
  <c r="H64" i="4"/>
  <c r="G64" i="4"/>
  <c r="B64" i="4"/>
  <c r="A64" i="4"/>
  <c r="AV63" i="4"/>
  <c r="AU63" i="4"/>
  <c r="AT63" i="4"/>
  <c r="AS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R63" i="4"/>
  <c r="Q63" i="4"/>
  <c r="P63" i="4"/>
  <c r="O63" i="4"/>
  <c r="N63" i="4"/>
  <c r="M63" i="4"/>
  <c r="L63" i="4"/>
  <c r="K63" i="4"/>
  <c r="J63" i="4"/>
  <c r="H63" i="4"/>
  <c r="G63" i="4"/>
  <c r="B63" i="4"/>
  <c r="A63" i="4"/>
  <c r="AT62" i="4"/>
  <c r="AS62" i="4"/>
  <c r="AQ62" i="4"/>
  <c r="AP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R62" i="4"/>
  <c r="Q62" i="4"/>
  <c r="P62" i="4"/>
  <c r="O62" i="4"/>
  <c r="N62" i="4"/>
  <c r="M62" i="4"/>
  <c r="L62" i="4"/>
  <c r="K62" i="4"/>
  <c r="J62" i="4"/>
  <c r="H62" i="4"/>
  <c r="G62" i="4"/>
  <c r="F62" i="4"/>
  <c r="E62" i="4"/>
  <c r="D62" i="4"/>
  <c r="C62" i="4"/>
  <c r="A62" i="4"/>
  <c r="AQ61" i="4"/>
  <c r="AP61" i="4"/>
  <c r="AK61" i="4"/>
  <c r="AJ61" i="4"/>
  <c r="AI61" i="4"/>
  <c r="AH61" i="4"/>
  <c r="AD61" i="4"/>
  <c r="AC61" i="4"/>
  <c r="AB61" i="4"/>
  <c r="AA61" i="4"/>
  <c r="Z61" i="4"/>
  <c r="Y61" i="4"/>
  <c r="X61" i="4"/>
  <c r="R61" i="4"/>
  <c r="Q61" i="4"/>
  <c r="P61" i="4"/>
  <c r="O61" i="4"/>
  <c r="N61" i="4"/>
  <c r="M61" i="4"/>
  <c r="L61" i="4"/>
  <c r="K61" i="4"/>
  <c r="J61" i="4"/>
  <c r="H61" i="4"/>
  <c r="G61" i="4"/>
  <c r="F61" i="4"/>
  <c r="E61" i="4"/>
  <c r="B61" i="4"/>
  <c r="A61" i="4"/>
  <c r="AQ60" i="4"/>
  <c r="AO60" i="4"/>
  <c r="AK60" i="4"/>
  <c r="AG60" i="4"/>
  <c r="AF60" i="4"/>
  <c r="AE60" i="4"/>
  <c r="AD60" i="4"/>
  <c r="AC60" i="4"/>
  <c r="AB60" i="4"/>
  <c r="AA60" i="4"/>
  <c r="Z60" i="4"/>
  <c r="Y60" i="4"/>
  <c r="X60" i="4"/>
  <c r="R60" i="4"/>
  <c r="Q60" i="4"/>
  <c r="P60" i="4"/>
  <c r="O60" i="4"/>
  <c r="N60" i="4"/>
  <c r="M60" i="4"/>
  <c r="L60" i="4"/>
  <c r="K60" i="4"/>
  <c r="J60" i="4"/>
  <c r="H60" i="4"/>
  <c r="G60" i="4"/>
  <c r="F60" i="4"/>
  <c r="E60" i="4"/>
  <c r="D60" i="4"/>
  <c r="C60" i="4"/>
  <c r="A60" i="4"/>
  <c r="AP59" i="4"/>
  <c r="AO59" i="4"/>
  <c r="AJ59" i="4"/>
  <c r="AI59" i="4"/>
  <c r="AH59" i="4"/>
  <c r="AD59" i="4"/>
  <c r="AC59" i="4"/>
  <c r="AB59" i="4"/>
  <c r="AA59" i="4"/>
  <c r="Z59" i="4"/>
  <c r="Y59" i="4"/>
  <c r="X59" i="4"/>
  <c r="R59" i="4"/>
  <c r="Q59" i="4"/>
  <c r="P59" i="4"/>
  <c r="O59" i="4"/>
  <c r="N59" i="4"/>
  <c r="M59" i="4"/>
  <c r="L59" i="4"/>
  <c r="K59" i="4"/>
  <c r="J59" i="4"/>
  <c r="H59" i="4"/>
  <c r="G59" i="4"/>
  <c r="F59" i="4"/>
  <c r="E59" i="4"/>
  <c r="D59" i="4"/>
  <c r="C59" i="4"/>
  <c r="B59" i="4"/>
  <c r="A59" i="4"/>
  <c r="AO58" i="4"/>
  <c r="AG58" i="4"/>
  <c r="AF58" i="4"/>
  <c r="AE58" i="4"/>
  <c r="AD58" i="4"/>
  <c r="AC58" i="4"/>
  <c r="AB58" i="4"/>
  <c r="AA58" i="4"/>
  <c r="Z58" i="4"/>
  <c r="Y58" i="4"/>
  <c r="X58" i="4"/>
  <c r="R58" i="4"/>
  <c r="Q58" i="4"/>
  <c r="P58" i="4"/>
  <c r="O58" i="4"/>
  <c r="N58" i="4"/>
  <c r="M58" i="4"/>
  <c r="L58" i="4"/>
  <c r="K58" i="4"/>
  <c r="J58" i="4"/>
  <c r="H58" i="4"/>
  <c r="G58" i="4"/>
  <c r="F58" i="4"/>
  <c r="E58" i="4"/>
  <c r="D58" i="4"/>
  <c r="C58" i="4"/>
  <c r="B58" i="4"/>
  <c r="A58" i="4"/>
  <c r="AD57" i="4"/>
  <c r="AC57" i="4"/>
  <c r="AB57" i="4"/>
  <c r="AA57" i="4"/>
  <c r="Z57" i="4"/>
  <c r="Y57" i="4"/>
  <c r="X57" i="4"/>
  <c r="R57" i="4"/>
  <c r="Q57" i="4"/>
  <c r="P57" i="4"/>
  <c r="O57" i="4"/>
  <c r="N57" i="4"/>
  <c r="M57" i="4"/>
  <c r="L57" i="4"/>
  <c r="K57" i="4"/>
  <c r="J57" i="4"/>
  <c r="H57" i="4"/>
  <c r="G57" i="4"/>
  <c r="F57" i="4"/>
  <c r="E57" i="4"/>
  <c r="D57" i="4"/>
  <c r="C57" i="4"/>
  <c r="B57" i="4"/>
  <c r="A57" i="4"/>
  <c r="AD56" i="4"/>
  <c r="AC56" i="4"/>
  <c r="AB56" i="4"/>
  <c r="AA56" i="4"/>
  <c r="Z56" i="4"/>
  <c r="Y56" i="4"/>
  <c r="X56" i="4"/>
  <c r="R56" i="4"/>
  <c r="Q56" i="4"/>
  <c r="P56" i="4"/>
  <c r="O56" i="4"/>
  <c r="N56" i="4"/>
  <c r="M56" i="4"/>
  <c r="L56" i="4"/>
  <c r="K56" i="4"/>
  <c r="J56" i="4"/>
  <c r="H56" i="4"/>
  <c r="G56" i="4"/>
  <c r="F56" i="4"/>
  <c r="E56" i="4"/>
  <c r="D56" i="4"/>
  <c r="C56" i="4"/>
  <c r="B56" i="4"/>
  <c r="AU51" i="4"/>
  <c r="AT51" i="4"/>
  <c r="AS51" i="4"/>
  <c r="AR51" i="4"/>
  <c r="AQ51" i="4"/>
  <c r="AP51" i="4"/>
  <c r="AO51" i="4"/>
  <c r="AN51" i="4"/>
  <c r="AL51" i="4"/>
  <c r="AK51" i="4"/>
  <c r="AJ51" i="4"/>
  <c r="AI51" i="4"/>
  <c r="AH51" i="4"/>
  <c r="AG51" i="4"/>
  <c r="AF51" i="4"/>
  <c r="AE51" i="4"/>
  <c r="AQ50" i="4"/>
  <c r="AP50" i="4"/>
  <c r="AO50" i="4"/>
  <c r="AN50" i="4"/>
  <c r="AM50" i="4"/>
  <c r="AK50" i="4"/>
  <c r="AI50" i="4"/>
  <c r="AG50" i="4"/>
  <c r="AR49" i="4"/>
  <c r="AV48" i="4"/>
  <c r="AU48" i="4"/>
  <c r="AR48" i="4"/>
  <c r="AO48" i="4"/>
  <c r="AN48" i="4"/>
  <c r="AV47" i="4"/>
  <c r="AU47" i="4"/>
  <c r="AT47" i="4"/>
  <c r="AS47" i="4"/>
  <c r="AR47" i="4"/>
  <c r="AO47" i="4"/>
  <c r="AN47" i="4"/>
  <c r="AM47" i="4"/>
  <c r="AL47" i="4"/>
  <c r="AG47" i="4"/>
  <c r="AF47" i="4"/>
  <c r="AE47" i="4"/>
  <c r="AV46" i="4"/>
  <c r="AU46" i="4"/>
  <c r="AT46" i="4"/>
  <c r="AS46" i="4"/>
  <c r="AR46" i="4"/>
  <c r="AP46" i="4"/>
  <c r="AN46" i="4"/>
  <c r="AM46" i="4"/>
  <c r="AL46" i="4"/>
  <c r="AJ46" i="4"/>
  <c r="AI46" i="4"/>
  <c r="AH46" i="4"/>
  <c r="AV45" i="4"/>
  <c r="AU45" i="4"/>
  <c r="AT45" i="4"/>
  <c r="AS45" i="4"/>
  <c r="AR45" i="4"/>
  <c r="AQ45" i="4"/>
  <c r="AN45" i="4"/>
  <c r="AM45" i="4"/>
  <c r="AL45" i="4"/>
  <c r="AK45" i="4"/>
  <c r="AG45" i="4"/>
  <c r="AF45" i="4"/>
  <c r="AE45" i="4"/>
  <c r="AV44" i="4"/>
  <c r="AU44" i="4"/>
  <c r="AT44" i="4"/>
  <c r="AS44" i="4"/>
  <c r="AR44" i="4"/>
  <c r="AQ44" i="4"/>
  <c r="AP44" i="4"/>
  <c r="AN44" i="4"/>
  <c r="AM44" i="4"/>
  <c r="AL44" i="4"/>
  <c r="AK44" i="4"/>
  <c r="AJ44" i="4"/>
  <c r="AI44" i="4"/>
  <c r="AH44" i="4"/>
  <c r="B43" i="4"/>
  <c r="I42" i="4"/>
  <c r="B42" i="4"/>
  <c r="A42" i="4"/>
  <c r="AV38" i="4"/>
  <c r="AV51" i="4" s="1"/>
  <c r="AM38" i="4"/>
  <c r="AM51" i="4" s="1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A38" i="4"/>
  <c r="A51" i="4" s="1"/>
  <c r="AV37" i="4"/>
  <c r="AV50" i="4" s="1"/>
  <c r="AU37" i="4"/>
  <c r="AU50" i="4" s="1"/>
  <c r="AT37" i="4"/>
  <c r="AT50" i="4" s="1"/>
  <c r="AS37" i="4"/>
  <c r="AS50" i="4" s="1"/>
  <c r="AR37" i="4"/>
  <c r="AR50" i="4" s="1"/>
  <c r="AL37" i="4"/>
  <c r="AL50" i="4" s="1"/>
  <c r="AJ37" i="4"/>
  <c r="AJ50" i="4" s="1"/>
  <c r="AH37" i="4"/>
  <c r="AH50" i="4" s="1"/>
  <c r="AF37" i="4"/>
  <c r="AF50" i="4" s="1"/>
  <c r="AE37" i="4"/>
  <c r="AE50" i="4" s="1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O37" i="4"/>
  <c r="N37" i="4"/>
  <c r="M37" i="4"/>
  <c r="L37" i="4"/>
  <c r="K37" i="4"/>
  <c r="J37" i="4"/>
  <c r="I37" i="4"/>
  <c r="H37" i="4"/>
  <c r="G37" i="4"/>
  <c r="F37" i="4"/>
  <c r="E37" i="4"/>
  <c r="B37" i="4"/>
  <c r="A37" i="4"/>
  <c r="A50" i="4" s="1"/>
  <c r="AV36" i="4"/>
  <c r="AV49" i="4" s="1"/>
  <c r="AU36" i="4"/>
  <c r="AU49" i="4" s="1"/>
  <c r="AT36" i="4"/>
  <c r="AT49" i="4" s="1"/>
  <c r="AS36" i="4"/>
  <c r="AS49" i="4" s="1"/>
  <c r="AQ36" i="4"/>
  <c r="AQ49" i="4" s="1"/>
  <c r="AP36" i="4"/>
  <c r="AP49" i="4" s="1"/>
  <c r="AO36" i="4"/>
  <c r="AO49" i="4" s="1"/>
  <c r="AN36" i="4"/>
  <c r="AN49" i="4" s="1"/>
  <c r="AM36" i="4"/>
  <c r="AM49" i="4" s="1"/>
  <c r="AL36" i="4"/>
  <c r="AL49" i="4" s="1"/>
  <c r="AK36" i="4"/>
  <c r="AK49" i="4" s="1"/>
  <c r="AJ36" i="4"/>
  <c r="AJ49" i="4" s="1"/>
  <c r="AI36" i="4"/>
  <c r="AI49" i="4" s="1"/>
  <c r="AH36" i="4"/>
  <c r="AH49" i="4" s="1"/>
  <c r="AG36" i="4"/>
  <c r="AG49" i="4" s="1"/>
  <c r="AF36" i="4"/>
  <c r="AF49" i="4" s="1"/>
  <c r="AE36" i="4"/>
  <c r="AE49" i="4" s="1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B36" i="4"/>
  <c r="A36" i="4"/>
  <c r="A49" i="4" s="1"/>
  <c r="AT35" i="4"/>
  <c r="AT48" i="4" s="1"/>
  <c r="AS35" i="4"/>
  <c r="AS48" i="4" s="1"/>
  <c r="AQ35" i="4"/>
  <c r="AQ48" i="4" s="1"/>
  <c r="AP35" i="4"/>
  <c r="AP48" i="4" s="1"/>
  <c r="AM35" i="4"/>
  <c r="AM48" i="4" s="1"/>
  <c r="AL35" i="4"/>
  <c r="AL48" i="4" s="1"/>
  <c r="AK35" i="4"/>
  <c r="AK48" i="4" s="1"/>
  <c r="AJ35" i="4"/>
  <c r="AJ48" i="4" s="1"/>
  <c r="AI35" i="4"/>
  <c r="AI48" i="4" s="1"/>
  <c r="AH35" i="4"/>
  <c r="AH48" i="4" s="1"/>
  <c r="AG35" i="4"/>
  <c r="AG48" i="4" s="1"/>
  <c r="AF35" i="4"/>
  <c r="AF48" i="4" s="1"/>
  <c r="AE35" i="4"/>
  <c r="AE48" i="4" s="1"/>
  <c r="AD35" i="4"/>
  <c r="AC35" i="4"/>
  <c r="AB35" i="4"/>
  <c r="AA35" i="4"/>
  <c r="Z35" i="4"/>
  <c r="Y35" i="4"/>
  <c r="X35" i="4"/>
  <c r="V35" i="4"/>
  <c r="U35" i="4"/>
  <c r="T35" i="4"/>
  <c r="S35" i="4"/>
  <c r="R35" i="4"/>
  <c r="Q35" i="4"/>
  <c r="O35" i="4"/>
  <c r="N35" i="4"/>
  <c r="M35" i="4"/>
  <c r="L35" i="4"/>
  <c r="K35" i="4"/>
  <c r="J35" i="4"/>
  <c r="I35" i="4"/>
  <c r="H35" i="4"/>
  <c r="G35" i="4"/>
  <c r="F35" i="4"/>
  <c r="E35" i="4"/>
  <c r="A35" i="4"/>
  <c r="A48" i="4" s="1"/>
  <c r="AQ34" i="4"/>
  <c r="AQ47" i="4" s="1"/>
  <c r="AP34" i="4"/>
  <c r="AP47" i="4" s="1"/>
  <c r="AK34" i="4"/>
  <c r="AK47" i="4" s="1"/>
  <c r="AJ34" i="4"/>
  <c r="AJ47" i="4" s="1"/>
  <c r="AI34" i="4"/>
  <c r="AI47" i="4" s="1"/>
  <c r="AH34" i="4"/>
  <c r="AH47" i="4" s="1"/>
  <c r="AD34" i="4"/>
  <c r="AC34" i="4"/>
  <c r="AB34" i="4"/>
  <c r="AA34" i="4"/>
  <c r="Z34" i="4"/>
  <c r="Y34" i="4"/>
  <c r="X34" i="4"/>
  <c r="W34" i="4"/>
  <c r="V34" i="4"/>
  <c r="T34" i="4"/>
  <c r="S34" i="4"/>
  <c r="R34" i="4"/>
  <c r="Q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A47" i="4" s="1"/>
  <c r="AQ33" i="4"/>
  <c r="AQ46" i="4" s="1"/>
  <c r="AO33" i="4"/>
  <c r="AO46" i="4" s="1"/>
  <c r="AK33" i="4"/>
  <c r="AK46" i="4" s="1"/>
  <c r="AG33" i="4"/>
  <c r="AG46" i="4" s="1"/>
  <c r="AF33" i="4"/>
  <c r="AF46" i="4" s="1"/>
  <c r="AE33" i="4"/>
  <c r="AE46" i="4" s="1"/>
  <c r="AD33" i="4"/>
  <c r="AC33" i="4"/>
  <c r="AB33" i="4"/>
  <c r="AA33" i="4"/>
  <c r="Z33" i="4"/>
  <c r="Y33" i="4"/>
  <c r="X33" i="4"/>
  <c r="W33" i="4"/>
  <c r="U33" i="4"/>
  <c r="T33" i="4"/>
  <c r="S33" i="4"/>
  <c r="R33" i="4"/>
  <c r="Q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A46" i="4" s="1"/>
  <c r="AP32" i="4"/>
  <c r="AP45" i="4" s="1"/>
  <c r="AO32" i="4"/>
  <c r="AO45" i="4" s="1"/>
  <c r="AJ32" i="4"/>
  <c r="AJ45" i="4" s="1"/>
  <c r="AI32" i="4"/>
  <c r="AI45" i="4" s="1"/>
  <c r="AH32" i="4"/>
  <c r="AH45" i="4" s="1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O32" i="4"/>
  <c r="N32" i="4"/>
  <c r="N45" i="4" s="1"/>
  <c r="M32" i="4"/>
  <c r="L32" i="4"/>
  <c r="K32" i="4"/>
  <c r="J32" i="4"/>
  <c r="J45" i="4" s="1"/>
  <c r="I32" i="4"/>
  <c r="H32" i="4"/>
  <c r="G32" i="4"/>
  <c r="F32" i="4"/>
  <c r="F45" i="4" s="1"/>
  <c r="E32" i="4"/>
  <c r="D32" i="4"/>
  <c r="C32" i="4"/>
  <c r="B32" i="4"/>
  <c r="B45" i="4" s="1"/>
  <c r="A32" i="4"/>
  <c r="A45" i="4" s="1"/>
  <c r="AO31" i="4"/>
  <c r="AO44" i="4" s="1"/>
  <c r="AG31" i="4"/>
  <c r="AG44" i="4" s="1"/>
  <c r="AF31" i="4"/>
  <c r="AF44" i="4" s="1"/>
  <c r="AE31" i="4"/>
  <c r="AE44" i="4" s="1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44" i="4" s="1"/>
  <c r="AV30" i="4"/>
  <c r="AV43" i="4" s="1"/>
  <c r="AU30" i="4"/>
  <c r="AU43" i="4" s="1"/>
  <c r="AT30" i="4"/>
  <c r="AT43" i="4" s="1"/>
  <c r="AS30" i="4"/>
  <c r="AS43" i="4" s="1"/>
  <c r="AR30" i="4"/>
  <c r="AR43" i="4" s="1"/>
  <c r="AQ30" i="4"/>
  <c r="AQ43" i="4" s="1"/>
  <c r="AP30" i="4"/>
  <c r="AP43" i="4" s="1"/>
  <c r="AO30" i="4"/>
  <c r="AO43" i="4" s="1"/>
  <c r="AN30" i="4"/>
  <c r="AN43" i="4" s="1"/>
  <c r="AM30" i="4"/>
  <c r="AM43" i="4" s="1"/>
  <c r="AL30" i="4"/>
  <c r="AL43" i="4" s="1"/>
  <c r="AK30" i="4"/>
  <c r="AK43" i="4" s="1"/>
  <c r="AJ30" i="4"/>
  <c r="AJ43" i="4" s="1"/>
  <c r="AI30" i="4"/>
  <c r="AI43" i="4" s="1"/>
  <c r="AH30" i="4"/>
  <c r="AH43" i="4" s="1"/>
  <c r="AG30" i="4"/>
  <c r="AG43" i="4" s="1"/>
  <c r="AF30" i="4"/>
  <c r="AF43" i="4" s="1"/>
  <c r="AE30" i="4"/>
  <c r="AE43" i="4" s="1"/>
  <c r="AD30" i="4"/>
  <c r="AC30" i="4"/>
  <c r="AB30" i="4"/>
  <c r="AA30" i="4"/>
  <c r="Z30" i="4"/>
  <c r="Y30" i="4"/>
  <c r="X30" i="4"/>
  <c r="W30" i="4"/>
  <c r="V30" i="4"/>
  <c r="U30" i="4"/>
  <c r="T30" i="4"/>
  <c r="R30" i="4"/>
  <c r="R43" i="4" s="1"/>
  <c r="Q30" i="4"/>
  <c r="O30" i="4"/>
  <c r="N30" i="4"/>
  <c r="M30" i="4"/>
  <c r="L30" i="4"/>
  <c r="K30" i="4"/>
  <c r="J30" i="4"/>
  <c r="I30" i="4"/>
  <c r="I43" i="4" s="1"/>
  <c r="H30" i="4"/>
  <c r="G30" i="4"/>
  <c r="F30" i="4"/>
  <c r="F43" i="4" s="1"/>
  <c r="E30" i="4"/>
  <c r="E43" i="4" s="1"/>
  <c r="D30" i="4"/>
  <c r="C30" i="4"/>
  <c r="A30" i="4"/>
  <c r="A43" i="4" s="1"/>
  <c r="AV29" i="4"/>
  <c r="AV42" i="4" s="1"/>
  <c r="AU29" i="4"/>
  <c r="AU42" i="4" s="1"/>
  <c r="AT29" i="4"/>
  <c r="AT42" i="4" s="1"/>
  <c r="AS29" i="4"/>
  <c r="AS42" i="4" s="1"/>
  <c r="AR29" i="4"/>
  <c r="AR42" i="4" s="1"/>
  <c r="AQ29" i="4"/>
  <c r="AQ42" i="4" s="1"/>
  <c r="AP29" i="4"/>
  <c r="AP42" i="4" s="1"/>
  <c r="AO29" i="4"/>
  <c r="AO42" i="4" s="1"/>
  <c r="AN29" i="4"/>
  <c r="AN42" i="4" s="1"/>
  <c r="AM29" i="4"/>
  <c r="AM42" i="4" s="1"/>
  <c r="AL29" i="4"/>
  <c r="AL42" i="4" s="1"/>
  <c r="AK29" i="4"/>
  <c r="AK42" i="4" s="1"/>
  <c r="AJ29" i="4"/>
  <c r="AJ42" i="4" s="1"/>
  <c r="AI29" i="4"/>
  <c r="AI42" i="4" s="1"/>
  <c r="AH29" i="4"/>
  <c r="AH42" i="4" s="1"/>
  <c r="AG29" i="4"/>
  <c r="AG42" i="4" s="1"/>
  <c r="AF29" i="4"/>
  <c r="AF42" i="4" s="1"/>
  <c r="AE29" i="4"/>
  <c r="AE42" i="4" s="1"/>
  <c r="AD29" i="4"/>
  <c r="AD42" i="4" s="1"/>
  <c r="AC29" i="4"/>
  <c r="AC43" i="4" s="1"/>
  <c r="AB29" i="4"/>
  <c r="AB44" i="4" s="1"/>
  <c r="AA29" i="4"/>
  <c r="Z29" i="4"/>
  <c r="Z42" i="4" s="1"/>
  <c r="Y29" i="4"/>
  <c r="Y43" i="4" s="1"/>
  <c r="X29" i="4"/>
  <c r="X44" i="4" s="1"/>
  <c r="W29" i="4"/>
  <c r="V29" i="4"/>
  <c r="U29" i="4"/>
  <c r="U47" i="4" s="1"/>
  <c r="T29" i="4"/>
  <c r="T44" i="4" s="1"/>
  <c r="S29" i="4"/>
  <c r="S43" i="4" s="1"/>
  <c r="R29" i="4"/>
  <c r="R42" i="4" s="1"/>
  <c r="Q29" i="4"/>
  <c r="Q42" i="4" s="1"/>
  <c r="P29" i="4"/>
  <c r="P49" i="4" s="1"/>
  <c r="O29" i="4"/>
  <c r="N29" i="4"/>
  <c r="N42" i="4" s="1"/>
  <c r="M29" i="4"/>
  <c r="L29" i="4"/>
  <c r="L42" i="4" s="1"/>
  <c r="K29" i="4"/>
  <c r="J29" i="4"/>
  <c r="J42" i="4" s="1"/>
  <c r="H29" i="4"/>
  <c r="H42" i="4" s="1"/>
  <c r="G29" i="4"/>
  <c r="G42" i="4" s="1"/>
  <c r="F29" i="4"/>
  <c r="F42" i="4" s="1"/>
  <c r="E29" i="4"/>
  <c r="E42" i="4" s="1"/>
  <c r="D29" i="4"/>
  <c r="C29" i="4"/>
  <c r="C42" i="4" s="1"/>
  <c r="D51" i="4" l="1"/>
  <c r="AW60" i="4"/>
  <c r="BA62" i="4"/>
  <c r="J77" i="2"/>
  <c r="V46" i="4"/>
  <c r="C43" i="4"/>
  <c r="G43" i="4"/>
  <c r="G23" i="2"/>
  <c r="H23" i="2" s="1"/>
  <c r="I23" i="2" s="1"/>
  <c r="H74" i="2"/>
  <c r="L72" i="2"/>
  <c r="BA56" i="4"/>
  <c r="BB61" i="4"/>
  <c r="BB63" i="4"/>
  <c r="BA57" i="4"/>
  <c r="BB65" i="4"/>
  <c r="D26" i="2"/>
  <c r="J26" i="2"/>
  <c r="F77" i="2"/>
  <c r="F73" i="2"/>
  <c r="J75" i="2"/>
  <c r="L76" i="2"/>
  <c r="J74" i="2"/>
  <c r="J78" i="2"/>
  <c r="R44" i="4"/>
  <c r="Z44" i="4"/>
  <c r="D45" i="4"/>
  <c r="L45" i="4"/>
  <c r="V45" i="4"/>
  <c r="AD45" i="4"/>
  <c r="H46" i="4"/>
  <c r="AD46" i="4"/>
  <c r="B47" i="4"/>
  <c r="BD47" i="4" s="1"/>
  <c r="J47" i="4"/>
  <c r="AB47" i="4"/>
  <c r="H49" i="4"/>
  <c r="H50" i="4"/>
  <c r="K43" i="4"/>
  <c r="O43" i="4"/>
  <c r="W48" i="4"/>
  <c r="AA43" i="4"/>
  <c r="D43" i="4"/>
  <c r="H43" i="4"/>
  <c r="L43" i="4"/>
  <c r="Q43" i="4"/>
  <c r="V43" i="4"/>
  <c r="Z43" i="4"/>
  <c r="AD43" i="4"/>
  <c r="B51" i="4"/>
  <c r="F44" i="4"/>
  <c r="J44" i="4"/>
  <c r="N44" i="4"/>
  <c r="E45" i="4"/>
  <c r="BD45" i="4" s="1"/>
  <c r="I45" i="4"/>
  <c r="R45" i="4"/>
  <c r="R46" i="4"/>
  <c r="T47" i="4"/>
  <c r="H48" i="4"/>
  <c r="L48" i="4"/>
  <c r="Z48" i="4"/>
  <c r="AD48" i="4"/>
  <c r="R49" i="4"/>
  <c r="V49" i="4"/>
  <c r="Z49" i="4"/>
  <c r="AD49" i="4"/>
  <c r="R50" i="4"/>
  <c r="V50" i="4"/>
  <c r="Z50" i="4"/>
  <c r="AD50" i="4"/>
  <c r="D23" i="2"/>
  <c r="G24" i="2"/>
  <c r="C53" i="2"/>
  <c r="M52" i="2"/>
  <c r="N52" i="2" s="1"/>
  <c r="C80" i="2"/>
  <c r="C77" i="2"/>
  <c r="C78" i="2"/>
  <c r="C79" i="2"/>
  <c r="D79" i="2" s="1"/>
  <c r="E78" i="2"/>
  <c r="F78" i="2" s="1"/>
  <c r="G80" i="2"/>
  <c r="K80" i="2"/>
  <c r="X45" i="4"/>
  <c r="AB45" i="4"/>
  <c r="F46" i="4"/>
  <c r="J46" i="4"/>
  <c r="N46" i="4"/>
  <c r="X46" i="4"/>
  <c r="AB46" i="4"/>
  <c r="D47" i="4"/>
  <c r="H47" i="4"/>
  <c r="L47" i="4"/>
  <c r="V47" i="4"/>
  <c r="Z47" i="4"/>
  <c r="AD47" i="4"/>
  <c r="R48" i="4"/>
  <c r="V48" i="4"/>
  <c r="F49" i="4"/>
  <c r="J49" i="4"/>
  <c r="N49" i="4"/>
  <c r="F50" i="4"/>
  <c r="J50" i="4"/>
  <c r="N50" i="4"/>
  <c r="BA58" i="4"/>
  <c r="BA59" i="4"/>
  <c r="E53" i="2"/>
  <c r="F53" i="2" s="1"/>
  <c r="K53" i="2"/>
  <c r="L53" i="2" s="1"/>
  <c r="G79" i="2"/>
  <c r="H79" i="2" s="1"/>
  <c r="K79" i="2"/>
  <c r="L79" i="2" s="1"/>
  <c r="J145" i="1"/>
  <c r="H150" i="1" s="1"/>
  <c r="M43" i="4"/>
  <c r="J43" i="4"/>
  <c r="N43" i="4"/>
  <c r="T43" i="4"/>
  <c r="X43" i="4"/>
  <c r="AB43" i="4"/>
  <c r="D44" i="4"/>
  <c r="H44" i="4"/>
  <c r="L44" i="4"/>
  <c r="C45" i="4"/>
  <c r="G45" i="4"/>
  <c r="T46" i="4"/>
  <c r="R47" i="4"/>
  <c r="F48" i="4"/>
  <c r="J48" i="4"/>
  <c r="N48" i="4"/>
  <c r="X48" i="4"/>
  <c r="AB48" i="4"/>
  <c r="T49" i="4"/>
  <c r="X49" i="4"/>
  <c r="AB49" i="4"/>
  <c r="T50" i="4"/>
  <c r="X50" i="4"/>
  <c r="AB50" i="4"/>
  <c r="BB56" i="4"/>
  <c r="BB57" i="4"/>
  <c r="AY59" i="4"/>
  <c r="BA60" i="4"/>
  <c r="D25" i="2"/>
  <c r="E25" i="2" s="1"/>
  <c r="F25" i="2" s="1"/>
  <c r="L26" i="2"/>
  <c r="G53" i="2"/>
  <c r="E80" i="2"/>
  <c r="H75" i="2"/>
  <c r="J73" i="2"/>
  <c r="V44" i="4"/>
  <c r="AD44" i="4"/>
  <c r="H45" i="4"/>
  <c r="Z45" i="4"/>
  <c r="D46" i="4"/>
  <c r="L46" i="4"/>
  <c r="Z46" i="4"/>
  <c r="F47" i="4"/>
  <c r="N47" i="4"/>
  <c r="X47" i="4"/>
  <c r="T48" i="4"/>
  <c r="B49" i="4"/>
  <c r="L49" i="4"/>
  <c r="B50" i="4"/>
  <c r="L50" i="4"/>
  <c r="BA64" i="4"/>
  <c r="J25" i="2"/>
  <c r="F80" i="2"/>
  <c r="F76" i="2"/>
  <c r="F72" i="2"/>
  <c r="H73" i="2"/>
  <c r="J79" i="2"/>
  <c r="H78" i="2"/>
  <c r="F75" i="2"/>
  <c r="F74" i="2"/>
  <c r="F79" i="2"/>
  <c r="J76" i="2"/>
  <c r="L71" i="2"/>
  <c r="J48" i="2"/>
  <c r="L50" i="2"/>
  <c r="L46" i="2"/>
  <c r="N48" i="2"/>
  <c r="R52" i="2"/>
  <c r="R48" i="2"/>
  <c r="T50" i="2"/>
  <c r="H71" i="2"/>
  <c r="L78" i="2"/>
  <c r="L74" i="2"/>
  <c r="D48" i="2"/>
  <c r="F49" i="2"/>
  <c r="H50" i="2"/>
  <c r="H46" i="2"/>
  <c r="D50" i="2"/>
  <c r="D46" i="2"/>
  <c r="F51" i="2"/>
  <c r="F47" i="2"/>
  <c r="H52" i="2"/>
  <c r="H48" i="2"/>
  <c r="J53" i="2"/>
  <c r="J49" i="2"/>
  <c r="L51" i="2"/>
  <c r="L47" i="2"/>
  <c r="N53" i="2"/>
  <c r="N49" i="2"/>
  <c r="R53" i="2"/>
  <c r="R49" i="2"/>
  <c r="T51" i="2"/>
  <c r="T47" i="2"/>
  <c r="D72" i="2"/>
  <c r="D76" i="2"/>
  <c r="D80" i="2"/>
  <c r="J51" i="2"/>
  <c r="J47" i="2"/>
  <c r="L49" i="2"/>
  <c r="N51" i="2"/>
  <c r="N47" i="2"/>
  <c r="R51" i="2"/>
  <c r="R47" i="2"/>
  <c r="T53" i="2"/>
  <c r="T49" i="2"/>
  <c r="D74" i="2"/>
  <c r="J50" i="2"/>
  <c r="J46" i="2"/>
  <c r="L52" i="2"/>
  <c r="L48" i="2"/>
  <c r="N50" i="2"/>
  <c r="N46" i="2"/>
  <c r="T52" i="2"/>
  <c r="T48" i="2"/>
  <c r="D78" i="2"/>
  <c r="T46" i="2"/>
  <c r="E23" i="2"/>
  <c r="F23" i="2" s="1"/>
  <c r="E21" i="2"/>
  <c r="F21" i="2" s="1"/>
  <c r="E19" i="2"/>
  <c r="F19" i="2" s="1"/>
  <c r="D53" i="2"/>
  <c r="D51" i="2"/>
  <c r="D49" i="2"/>
  <c r="F52" i="2"/>
  <c r="F50" i="2"/>
  <c r="F48" i="2"/>
  <c r="F46" i="2"/>
  <c r="H53" i="2"/>
  <c r="H51" i="2"/>
  <c r="H49" i="2"/>
  <c r="H47" i="2"/>
  <c r="J52" i="2"/>
  <c r="R46" i="2"/>
  <c r="D73" i="2"/>
  <c r="D75" i="2"/>
  <c r="D77" i="2"/>
  <c r="D52" i="2"/>
  <c r="F45" i="2"/>
  <c r="J45" i="2"/>
  <c r="L45" i="2"/>
  <c r="N45" i="2"/>
  <c r="R45" i="2"/>
  <c r="T45" i="2"/>
  <c r="H45" i="2"/>
  <c r="R50" i="2"/>
  <c r="U44" i="2"/>
  <c r="D42" i="1" s="1"/>
  <c r="D47" i="2"/>
  <c r="D45" i="2"/>
  <c r="E26" i="2"/>
  <c r="F26" i="2" s="1"/>
  <c r="E24" i="2"/>
  <c r="F24" i="2" s="1"/>
  <c r="E22" i="2"/>
  <c r="F22" i="2" s="1"/>
  <c r="E20" i="2"/>
  <c r="F20" i="2" s="1"/>
  <c r="H25" i="2"/>
  <c r="I25" i="2" s="1"/>
  <c r="H21" i="2"/>
  <c r="I21" i="2" s="1"/>
  <c r="E18" i="2"/>
  <c r="F18" i="2" s="1"/>
  <c r="H26" i="2"/>
  <c r="I26" i="2" s="1"/>
  <c r="H22" i="2"/>
  <c r="I22" i="2" s="1"/>
  <c r="H20" i="2"/>
  <c r="I20" i="2" s="1"/>
  <c r="K26" i="2"/>
  <c r="K24" i="2"/>
  <c r="M26" i="2"/>
  <c r="M24" i="2"/>
  <c r="M22" i="2"/>
  <c r="M20" i="2"/>
  <c r="K25" i="2"/>
  <c r="K23" i="2"/>
  <c r="K21" i="2"/>
  <c r="M23" i="2"/>
  <c r="K19" i="2"/>
  <c r="M25" i="2"/>
  <c r="K22" i="2"/>
  <c r="K20" i="2"/>
  <c r="H19" i="2"/>
  <c r="I19" i="2" s="1"/>
  <c r="M21" i="2"/>
  <c r="M19" i="2"/>
  <c r="M18" i="2"/>
  <c r="K18" i="2"/>
  <c r="N17" i="2"/>
  <c r="C42" i="1" s="1"/>
  <c r="H18" i="2"/>
  <c r="I18" i="2" s="1"/>
  <c r="C51" i="4"/>
  <c r="C50" i="4"/>
  <c r="C49" i="4"/>
  <c r="BD49" i="4" s="1"/>
  <c r="C48" i="4"/>
  <c r="AX48" i="4" s="1"/>
  <c r="S44" i="4"/>
  <c r="W44" i="4"/>
  <c r="AA44" i="4"/>
  <c r="K45" i="4"/>
  <c r="O45" i="4"/>
  <c r="W45" i="4"/>
  <c r="AA45" i="4"/>
  <c r="C46" i="4"/>
  <c r="G46" i="4"/>
  <c r="K46" i="4"/>
  <c r="O46" i="4"/>
  <c r="W46" i="4"/>
  <c r="AA46" i="4"/>
  <c r="C47" i="4"/>
  <c r="G47" i="4"/>
  <c r="K47" i="4"/>
  <c r="O47" i="4"/>
  <c r="Y47" i="4"/>
  <c r="AC47" i="4"/>
  <c r="S48" i="4"/>
  <c r="G49" i="4"/>
  <c r="K49" i="4"/>
  <c r="M49" i="4"/>
  <c r="G50" i="4"/>
  <c r="K50" i="4"/>
  <c r="O50" i="4"/>
  <c r="E51" i="4"/>
  <c r="I51" i="4"/>
  <c r="M51" i="4"/>
  <c r="Q51" i="4"/>
  <c r="U51" i="4"/>
  <c r="W51" i="4"/>
  <c r="AA51" i="4"/>
  <c r="AC51" i="4"/>
  <c r="K42" i="4"/>
  <c r="M42" i="4"/>
  <c r="O42" i="4"/>
  <c r="S42" i="4"/>
  <c r="U42" i="4"/>
  <c r="W42" i="4"/>
  <c r="Y42" i="4"/>
  <c r="AA42" i="4"/>
  <c r="AC42" i="4"/>
  <c r="U43" i="4"/>
  <c r="W43" i="4"/>
  <c r="C44" i="4"/>
  <c r="E44" i="4"/>
  <c r="G44" i="4"/>
  <c r="I44" i="4"/>
  <c r="K44" i="4"/>
  <c r="M44" i="4"/>
  <c r="O44" i="4"/>
  <c r="Q45" i="4"/>
  <c r="S45" i="4"/>
  <c r="Q46" i="4"/>
  <c r="S46" i="4"/>
  <c r="U46" i="4"/>
  <c r="Q47" i="4"/>
  <c r="S47" i="4"/>
  <c r="E48" i="4"/>
  <c r="G48" i="4"/>
  <c r="I48" i="4"/>
  <c r="K48" i="4"/>
  <c r="M48" i="4"/>
  <c r="O48" i="4"/>
  <c r="Y48" i="4"/>
  <c r="AA48" i="4"/>
  <c r="AC48" i="4"/>
  <c r="Q49" i="4"/>
  <c r="S49" i="4"/>
  <c r="U49" i="4"/>
  <c r="W49" i="4"/>
  <c r="Y49" i="4"/>
  <c r="AA49" i="4"/>
  <c r="AC49" i="4"/>
  <c r="Q50" i="4"/>
  <c r="S50" i="4"/>
  <c r="U50" i="4"/>
  <c r="W50" i="4"/>
  <c r="Y50" i="4"/>
  <c r="AA50" i="4"/>
  <c r="AC50" i="4"/>
  <c r="F51" i="4"/>
  <c r="H51" i="4"/>
  <c r="J51" i="4"/>
  <c r="L51" i="4"/>
  <c r="N51" i="4"/>
  <c r="P51" i="4"/>
  <c r="R51" i="4"/>
  <c r="T51" i="4"/>
  <c r="V51" i="4"/>
  <c r="X51" i="4"/>
  <c r="Z51" i="4"/>
  <c r="AB51" i="4"/>
  <c r="AD51" i="4"/>
  <c r="D42" i="4"/>
  <c r="BD42" i="4" s="1"/>
  <c r="P42" i="4"/>
  <c r="T42" i="4"/>
  <c r="V42" i="4"/>
  <c r="X42" i="4"/>
  <c r="AB42" i="4"/>
  <c r="P43" i="4"/>
  <c r="B44" i="4"/>
  <c r="P45" i="4"/>
  <c r="T45" i="4"/>
  <c r="P46" i="4"/>
  <c r="D48" i="4"/>
  <c r="P48" i="4"/>
  <c r="D50" i="4"/>
  <c r="P50" i="4"/>
  <c r="BC56" i="4"/>
  <c r="BC57" i="4"/>
  <c r="Q44" i="4"/>
  <c r="U44" i="4"/>
  <c r="Y44" i="4"/>
  <c r="AC44" i="4"/>
  <c r="M45" i="4"/>
  <c r="U45" i="4"/>
  <c r="Y45" i="4"/>
  <c r="AC45" i="4"/>
  <c r="E46" i="4"/>
  <c r="I46" i="4"/>
  <c r="M46" i="4"/>
  <c r="Y46" i="4"/>
  <c r="AC46" i="4"/>
  <c r="E47" i="4"/>
  <c r="I47" i="4"/>
  <c r="M47" i="4"/>
  <c r="W47" i="4"/>
  <c r="AA47" i="4"/>
  <c r="Q48" i="4"/>
  <c r="U48" i="4"/>
  <c r="E49" i="4"/>
  <c r="I49" i="4"/>
  <c r="O49" i="4"/>
  <c r="E50" i="4"/>
  <c r="I50" i="4"/>
  <c r="M50" i="4"/>
  <c r="G51" i="4"/>
  <c r="K51" i="4"/>
  <c r="O51" i="4"/>
  <c r="S51" i="4"/>
  <c r="Y51" i="4"/>
  <c r="P44" i="4"/>
  <c r="B46" i="4"/>
  <c r="P47" i="4"/>
  <c r="B48" i="4"/>
  <c r="D49" i="4"/>
  <c r="AX56" i="4"/>
  <c r="AW57" i="4"/>
  <c r="AY57" i="4"/>
  <c r="AX58" i="4"/>
  <c r="BB58" i="4"/>
  <c r="BC58" i="4" s="1"/>
  <c r="AX59" i="4"/>
  <c r="AZ59" i="4" s="1"/>
  <c r="BB59" i="4"/>
  <c r="BC59" i="4" s="1"/>
  <c r="AX60" i="4"/>
  <c r="BB60" i="4"/>
  <c r="AW61" i="4"/>
  <c r="AY61" i="4"/>
  <c r="BA61" i="4"/>
  <c r="AX62" i="4"/>
  <c r="BB62" i="4"/>
  <c r="BC62" i="4" s="1"/>
  <c r="AW63" i="4"/>
  <c r="AY63" i="4"/>
  <c r="BA63" i="4"/>
  <c r="BC63" i="4" s="1"/>
  <c r="AX64" i="4"/>
  <c r="BB64" i="4"/>
  <c r="BC64" i="4" s="1"/>
  <c r="AW65" i="4"/>
  <c r="AY65" i="4"/>
  <c r="BA65" i="4"/>
  <c r="BC65" i="4" s="1"/>
  <c r="AW56" i="4"/>
  <c r="AY56" i="4"/>
  <c r="AZ56" i="4" s="1"/>
  <c r="AX57" i="4"/>
  <c r="AW58" i="4"/>
  <c r="AY58" i="4"/>
  <c r="AZ58" i="4" s="1"/>
  <c r="AW59" i="4"/>
  <c r="AY60" i="4"/>
  <c r="AZ60" i="4" s="1"/>
  <c r="AX61" i="4"/>
  <c r="AW62" i="4"/>
  <c r="AY62" i="4"/>
  <c r="AZ62" i="4" s="1"/>
  <c r="AX63" i="4"/>
  <c r="AW64" i="4"/>
  <c r="AY64" i="4"/>
  <c r="AZ64" i="4" s="1"/>
  <c r="AX65" i="4"/>
  <c r="AW43" i="4" l="1"/>
  <c r="BC60" i="4"/>
  <c r="AW48" i="4"/>
  <c r="AX46" i="4"/>
  <c r="AX45" i="4"/>
  <c r="M77" i="2"/>
  <c r="E48" i="1" s="1"/>
  <c r="AW46" i="4"/>
  <c r="BC61" i="4"/>
  <c r="BD44" i="4"/>
  <c r="BF42" i="4"/>
  <c r="BF43" i="4" s="1"/>
  <c r="H24" i="2"/>
  <c r="I24" i="2" s="1"/>
  <c r="M75" i="2"/>
  <c r="E46" i="1" s="1"/>
  <c r="BC50" i="4"/>
  <c r="AX47" i="4"/>
  <c r="M72" i="2"/>
  <c r="E43" i="1" s="1"/>
  <c r="M71" i="2"/>
  <c r="E42" i="1" s="1"/>
  <c r="F42" i="1" s="1"/>
  <c r="I42" i="1" s="1"/>
  <c r="H80" i="2"/>
  <c r="AW44" i="4"/>
  <c r="AX42" i="4"/>
  <c r="BB42" i="4" s="1"/>
  <c r="BC47" i="4"/>
  <c r="AW42" i="4"/>
  <c r="AW45" i="4"/>
  <c r="BD50" i="4"/>
  <c r="AX51" i="4"/>
  <c r="AW49" i="4"/>
  <c r="L80" i="2"/>
  <c r="M80" i="2" s="1"/>
  <c r="E51" i="1" s="1"/>
  <c r="M76" i="2"/>
  <c r="E47" i="1" s="1"/>
  <c r="M73" i="2"/>
  <c r="E44" i="1" s="1"/>
  <c r="M79" i="2"/>
  <c r="E50" i="1" s="1"/>
  <c r="M74" i="2"/>
  <c r="E45" i="1" s="1"/>
  <c r="U52" i="2"/>
  <c r="D50" i="1" s="1"/>
  <c r="M78" i="2"/>
  <c r="E49" i="1" s="1"/>
  <c r="U46" i="2"/>
  <c r="D44" i="1" s="1"/>
  <c r="U48" i="2"/>
  <c r="D46" i="1" s="1"/>
  <c r="N20" i="2"/>
  <c r="C45" i="1" s="1"/>
  <c r="N19" i="2"/>
  <c r="C44" i="1" s="1"/>
  <c r="N22" i="2"/>
  <c r="C47" i="1" s="1"/>
  <c r="U47" i="2"/>
  <c r="D45" i="1" s="1"/>
  <c r="U50" i="2"/>
  <c r="D48" i="1" s="1"/>
  <c r="U51" i="2"/>
  <c r="D49" i="1" s="1"/>
  <c r="U49" i="2"/>
  <c r="D47" i="1" s="1"/>
  <c r="U53" i="2"/>
  <c r="D51" i="1" s="1"/>
  <c r="U45" i="2"/>
  <c r="D43" i="1" s="1"/>
  <c r="N26" i="2"/>
  <c r="C51" i="1" s="1"/>
  <c r="N25" i="2"/>
  <c r="C50" i="1" s="1"/>
  <c r="N23" i="2"/>
  <c r="C48" i="1" s="1"/>
  <c r="N24" i="2"/>
  <c r="C49" i="1" s="1"/>
  <c r="N21" i="2"/>
  <c r="C46" i="1" s="1"/>
  <c r="N18" i="2"/>
  <c r="C43" i="1" s="1"/>
  <c r="BA42" i="4"/>
  <c r="AY42" i="4"/>
  <c r="AZ65" i="4"/>
  <c r="AZ61" i="4"/>
  <c r="AZ57" i="4"/>
  <c r="AW50" i="4"/>
  <c r="AX50" i="4"/>
  <c r="AW47" i="4"/>
  <c r="AX49" i="4"/>
  <c r="BD46" i="4"/>
  <c r="BF44" i="4"/>
  <c r="BF45" i="4" s="1"/>
  <c r="BF46" i="4" s="1"/>
  <c r="BF47" i="4" s="1"/>
  <c r="BF48" i="4" s="1"/>
  <c r="BF49" i="4" s="1"/>
  <c r="BF50" i="4" s="1"/>
  <c r="BF51" i="4" s="1"/>
  <c r="BC51" i="4"/>
  <c r="BD51" i="4"/>
  <c r="BC46" i="4"/>
  <c r="BC44" i="4"/>
  <c r="BC49" i="4"/>
  <c r="BC48" i="4"/>
  <c r="BC45" i="4"/>
  <c r="AX43" i="4"/>
  <c r="BC43" i="4"/>
  <c r="AZ63" i="4"/>
  <c r="BD48" i="4"/>
  <c r="AX44" i="4"/>
  <c r="BC42" i="4"/>
  <c r="BE42" i="4" s="1"/>
  <c r="AW51" i="4"/>
  <c r="BD43" i="4"/>
  <c r="AZ42" i="4" l="1"/>
  <c r="H42" i="1"/>
  <c r="F45" i="1"/>
  <c r="F50" i="1"/>
  <c r="H50" i="1" s="1"/>
  <c r="G42" i="1"/>
  <c r="J42" i="1"/>
  <c r="F43" i="1"/>
  <c r="I43" i="1" s="1"/>
  <c r="F46" i="1"/>
  <c r="H46" i="1" s="1"/>
  <c r="F44" i="1"/>
  <c r="G44" i="1" s="1"/>
  <c r="F48" i="1"/>
  <c r="F49" i="1"/>
  <c r="I49" i="1" s="1"/>
  <c r="J45" i="1"/>
  <c r="I45" i="1"/>
  <c r="H45" i="1"/>
  <c r="G45" i="1"/>
  <c r="G50" i="1"/>
  <c r="F47" i="1"/>
  <c r="F51" i="1"/>
  <c r="BD56" i="4"/>
  <c r="AY43" i="4"/>
  <c r="BE43" i="4"/>
  <c r="BE44" i="4" s="1"/>
  <c r="BE45" i="4" s="1"/>
  <c r="BE46" i="4" s="1"/>
  <c r="BE47" i="4" s="1"/>
  <c r="BE48" i="4" s="1"/>
  <c r="BE49" i="4" s="1"/>
  <c r="BE50" i="4" s="1"/>
  <c r="BE51" i="4" s="1"/>
  <c r="AZ43" i="4"/>
  <c r="AZ44" i="4" s="1"/>
  <c r="AZ45" i="4" s="1"/>
  <c r="AZ46" i="4" s="1"/>
  <c r="AZ47" i="4" s="1"/>
  <c r="AZ48" i="4" s="1"/>
  <c r="AZ49" i="4" s="1"/>
  <c r="AZ50" i="4" s="1"/>
  <c r="AZ51" i="4" s="1"/>
  <c r="BB43" i="4"/>
  <c r="BB44" i="4" s="1"/>
  <c r="BB45" i="4" s="1"/>
  <c r="BB46" i="4" s="1"/>
  <c r="BB47" i="4" s="1"/>
  <c r="BB48" i="4" s="1"/>
  <c r="BB49" i="4" s="1"/>
  <c r="BB50" i="4" s="1"/>
  <c r="BB51" i="4" s="1"/>
  <c r="BA43" i="4"/>
  <c r="BA44" i="4" s="1"/>
  <c r="BA45" i="4" s="1"/>
  <c r="BA46" i="4" s="1"/>
  <c r="BA47" i="4" s="1"/>
  <c r="BA48" i="4" s="1"/>
  <c r="BA49" i="4" s="1"/>
  <c r="BA50" i="4" s="1"/>
  <c r="BA51" i="4" s="1"/>
  <c r="I50" i="1" l="1"/>
  <c r="J50" i="1"/>
  <c r="G43" i="1"/>
  <c r="H43" i="1"/>
  <c r="J43" i="1"/>
  <c r="H44" i="1"/>
  <c r="J44" i="1"/>
  <c r="J46" i="1"/>
  <c r="I46" i="1"/>
  <c r="G46" i="1"/>
  <c r="H49" i="1"/>
  <c r="I44" i="1"/>
  <c r="H48" i="1"/>
  <c r="G48" i="1"/>
  <c r="I48" i="1"/>
  <c r="J48" i="1"/>
  <c r="J49" i="1"/>
  <c r="G49" i="1"/>
  <c r="J47" i="1"/>
  <c r="G47" i="1"/>
  <c r="I47" i="1"/>
  <c r="H47" i="1"/>
  <c r="J51" i="1"/>
  <c r="I51" i="1"/>
  <c r="G51" i="1"/>
  <c r="H51" i="1"/>
  <c r="BE56" i="4"/>
  <c r="BH56" i="4" s="1"/>
  <c r="BG56" i="4"/>
  <c r="BD57" i="4"/>
  <c r="AY44" i="4"/>
  <c r="BG57" i="4" l="1"/>
  <c r="BE57" i="4"/>
  <c r="BH57" i="4" s="1"/>
  <c r="BD58" i="4"/>
  <c r="AY45" i="4"/>
  <c r="BE58" i="4" l="1"/>
  <c r="BH58" i="4" s="1"/>
  <c r="BG58" i="4"/>
  <c r="BD59" i="4"/>
  <c r="AY46" i="4"/>
  <c r="BE59" i="4" l="1"/>
  <c r="BH59" i="4" s="1"/>
  <c r="BG59" i="4"/>
  <c r="BD60" i="4"/>
  <c r="AY47" i="4"/>
  <c r="BE60" i="4" l="1"/>
  <c r="BH60" i="4" s="1"/>
  <c r="BG60" i="4"/>
  <c r="BD61" i="4"/>
  <c r="AY48" i="4"/>
  <c r="BG61" i="4" l="1"/>
  <c r="BE61" i="4"/>
  <c r="BH61" i="4" s="1"/>
  <c r="BD62" i="4"/>
  <c r="AY49" i="4"/>
  <c r="BD63" i="4" l="1"/>
  <c r="AY50" i="4"/>
  <c r="BE62" i="4"/>
  <c r="BH62" i="4" s="1"/>
  <c r="BG62" i="4"/>
  <c r="BD64" i="4" l="1"/>
  <c r="AY51" i="4"/>
  <c r="BD65" i="4" s="1"/>
  <c r="BG63" i="4"/>
  <c r="BE63" i="4"/>
  <c r="BH63" i="4" s="1"/>
  <c r="BG65" i="4" l="1"/>
  <c r="BE65" i="4"/>
  <c r="BH65" i="4" s="1"/>
  <c r="BE64" i="4"/>
  <c r="BH64" i="4" s="1"/>
  <c r="BG64" i="4"/>
  <c r="D7" i="1" l="1"/>
  <c r="D8" i="1"/>
  <c r="D9" i="1"/>
  <c r="D10" i="1"/>
  <c r="E8" i="1" l="1"/>
  <c r="E6" i="1"/>
  <c r="E9" i="1"/>
  <c r="E7" i="1"/>
  <c r="E10" i="1"/>
</calcChain>
</file>

<file path=xl/sharedStrings.xml><?xml version="1.0" encoding="utf-8"?>
<sst xmlns="http://schemas.openxmlformats.org/spreadsheetml/2006/main" count="1358" uniqueCount="426">
  <si>
    <t>RMB-&gt;Gem</t>
    <phoneticPr fontId="1" type="noConversion"/>
  </si>
  <si>
    <t>RMB</t>
    <phoneticPr fontId="1" type="noConversion"/>
  </si>
  <si>
    <t>Gem</t>
    <phoneticPr fontId="1" type="noConversion"/>
  </si>
  <si>
    <t>折扣</t>
    <phoneticPr fontId="1" type="noConversion"/>
  </si>
  <si>
    <t>汇率 Gem/RMB</t>
    <phoneticPr fontId="1" type="noConversion"/>
  </si>
  <si>
    <t>分析：</t>
    <phoneticPr fontId="1" type="noConversion"/>
  </si>
  <si>
    <t>收费点</t>
    <phoneticPr fontId="1" type="noConversion"/>
  </si>
  <si>
    <t>1、RMB梯度是以2为指数的分布。符合购买习惯。</t>
    <phoneticPr fontId="1" type="noConversion"/>
  </si>
  <si>
    <t>工人数</t>
    <phoneticPr fontId="1" type="noConversion"/>
  </si>
  <si>
    <t>建筑数量限制关系</t>
    <phoneticPr fontId="4" type="noConversion"/>
  </si>
  <si>
    <t>大本营等级</t>
  </si>
  <si>
    <t>部落城堡</t>
  </si>
  <si>
    <t>金矿</t>
  </si>
  <si>
    <t>圣水收集器</t>
  </si>
  <si>
    <t>储金罐</t>
  </si>
  <si>
    <t>圣水瓶</t>
  </si>
  <si>
    <t>暗黑石油钻井</t>
  </si>
  <si>
    <t>暗黑石油罐</t>
  </si>
  <si>
    <t>工房</t>
  </si>
  <si>
    <t>加农炮</t>
  </si>
  <si>
    <t>迫击炮</t>
  </si>
  <si>
    <t>弓箭塔</t>
  </si>
  <si>
    <t>防空火箭</t>
  </si>
  <si>
    <t>法师塔</t>
  </si>
  <si>
    <t>电磁塔</t>
  </si>
  <si>
    <t>城墙</t>
  </si>
  <si>
    <t>X弩</t>
  </si>
  <si>
    <t>地狱之塔</t>
  </si>
  <si>
    <t>隐身炸弹</t>
  </si>
  <si>
    <t>隐身弹簧</t>
  </si>
  <si>
    <t>巨型炸弹</t>
  </si>
  <si>
    <t>空中炸弹</t>
  </si>
  <si>
    <t>追踪式空中炸弹</t>
  </si>
  <si>
    <t>营地</t>
  </si>
  <si>
    <t>训练营</t>
  </si>
  <si>
    <t>黑暗训练营</t>
  </si>
  <si>
    <t>试验室</t>
  </si>
  <si>
    <t>法术工厂</t>
  </si>
  <si>
    <t>野蛮人之王</t>
  </si>
  <si>
    <t>弓箭女王</t>
  </si>
  <si>
    <t>建筑等级限制关系</t>
    <phoneticPr fontId="4" type="noConversion"/>
  </si>
  <si>
    <t>单建筑升级时间</t>
    <phoneticPr fontId="4" type="noConversion"/>
  </si>
  <si>
    <t>大本营</t>
    <phoneticPr fontId="4" type="noConversion"/>
  </si>
  <si>
    <t>野蛮人科技</t>
  </si>
  <si>
    <t>弓箭手科技</t>
  </si>
  <si>
    <t>哥布林科技</t>
  </si>
  <si>
    <t>巨人科技</t>
  </si>
  <si>
    <t>炸弹人科技</t>
  </si>
  <si>
    <t>气球兵科技</t>
  </si>
  <si>
    <t>巫师科技</t>
  </si>
  <si>
    <t>天使科技</t>
  </si>
  <si>
    <t>飞龙科技</t>
  </si>
  <si>
    <t>魔王科技</t>
  </si>
  <si>
    <t>闪电咒语科技</t>
  </si>
  <si>
    <t>治疗咒语科技</t>
  </si>
  <si>
    <t>狂暴咒语科技</t>
  </si>
  <si>
    <t>跳跃咒语科技</t>
  </si>
  <si>
    <t>小飞龙科技</t>
  </si>
  <si>
    <t>野猪骑士科技</t>
  </si>
  <si>
    <t>瓦尔基里科技</t>
  </si>
  <si>
    <t>石头人科技</t>
  </si>
  <si>
    <t>升级总时间</t>
    <phoneticPr fontId="4" type="noConversion"/>
  </si>
  <si>
    <t>建筑时间</t>
    <phoneticPr fontId="4" type="noConversion"/>
  </si>
  <si>
    <t>科技时间</t>
    <phoneticPr fontId="4" type="noConversion"/>
  </si>
  <si>
    <t>英雄时间</t>
    <phoneticPr fontId="4" type="noConversion"/>
  </si>
  <si>
    <t>金币</t>
    <phoneticPr fontId="4" type="noConversion"/>
  </si>
  <si>
    <t>圣水</t>
    <phoneticPr fontId="4" type="noConversion"/>
  </si>
  <si>
    <t>建筑时间（2排程）</t>
    <phoneticPr fontId="4" type="noConversion"/>
  </si>
  <si>
    <t>建筑时间（3排程）</t>
    <phoneticPr fontId="4" type="noConversion"/>
  </si>
  <si>
    <t>建筑时间（4排程）</t>
    <phoneticPr fontId="4" type="noConversion"/>
  </si>
  <si>
    <t>建筑时间（5排程）</t>
    <phoneticPr fontId="4" type="noConversion"/>
  </si>
  <si>
    <t>黑水</t>
    <phoneticPr fontId="4" type="noConversion"/>
  </si>
  <si>
    <t>金币</t>
    <phoneticPr fontId="4" type="noConversion"/>
  </si>
  <si>
    <t>圣水</t>
    <phoneticPr fontId="4" type="noConversion"/>
  </si>
  <si>
    <t>宝石</t>
    <phoneticPr fontId="4" type="noConversion"/>
  </si>
  <si>
    <t>黑水</t>
    <phoneticPr fontId="4" type="noConversion"/>
  </si>
  <si>
    <t>黑水英雄</t>
    <phoneticPr fontId="4" type="noConversion"/>
  </si>
  <si>
    <t>圣水科技</t>
    <phoneticPr fontId="4" type="noConversion"/>
  </si>
  <si>
    <t>黑水科技</t>
    <phoneticPr fontId="4" type="noConversion"/>
  </si>
  <si>
    <t>单建筑升级消耗</t>
    <phoneticPr fontId="4" type="noConversion"/>
  </si>
  <si>
    <t>金币消耗</t>
    <phoneticPr fontId="4" type="noConversion"/>
  </si>
  <si>
    <t>圣水消耗</t>
    <phoneticPr fontId="4" type="noConversion"/>
  </si>
  <si>
    <t>黑水消耗</t>
    <phoneticPr fontId="4" type="noConversion"/>
  </si>
  <si>
    <t>生产资源（2排程）</t>
    <phoneticPr fontId="4" type="noConversion"/>
  </si>
  <si>
    <t>大本营</t>
    <phoneticPr fontId="4" type="noConversion"/>
  </si>
  <si>
    <t>建筑金币</t>
    <phoneticPr fontId="4" type="noConversion"/>
  </si>
  <si>
    <t>建筑消耗</t>
    <phoneticPr fontId="4" type="noConversion"/>
  </si>
  <si>
    <t>科技消耗</t>
    <phoneticPr fontId="4" type="noConversion"/>
  </si>
  <si>
    <t>总消耗</t>
    <phoneticPr fontId="4" type="noConversion"/>
  </si>
  <si>
    <t>英雄消耗</t>
    <phoneticPr fontId="4" type="noConversion"/>
  </si>
  <si>
    <t>资源类</t>
    <phoneticPr fontId="1" type="noConversion"/>
  </si>
  <si>
    <t>金矿个数</t>
    <phoneticPr fontId="1" type="noConversion"/>
  </si>
  <si>
    <t>金矿等级</t>
    <phoneticPr fontId="1" type="noConversion"/>
  </si>
  <si>
    <t>圣水个数</t>
    <phoneticPr fontId="1" type="noConversion"/>
  </si>
  <si>
    <t>圣水等级</t>
    <phoneticPr fontId="1" type="noConversion"/>
  </si>
  <si>
    <t>储金罐等级</t>
    <phoneticPr fontId="1" type="noConversion"/>
  </si>
  <si>
    <t>圣水瓶个数</t>
    <phoneticPr fontId="1" type="noConversion"/>
  </si>
  <si>
    <t>圣水瓶等级</t>
    <phoneticPr fontId="1" type="noConversion"/>
  </si>
  <si>
    <t>建筑等级</t>
    <phoneticPr fontId="4" type="noConversion"/>
  </si>
  <si>
    <t>建造时间</t>
    <phoneticPr fontId="4" type="noConversion"/>
  </si>
  <si>
    <t>--</t>
    <phoneticPr fontId="4" type="noConversion"/>
  </si>
  <si>
    <t>消耗金币</t>
    <phoneticPr fontId="4" type="noConversion"/>
  </si>
  <si>
    <t>增加经验</t>
    <phoneticPr fontId="4" type="noConversion"/>
  </si>
  <si>
    <t>生命值</t>
    <phoneticPr fontId="4" type="noConversion"/>
  </si>
  <si>
    <t>部落城堡</t>
    <phoneticPr fontId="4" type="noConversion"/>
  </si>
  <si>
    <t>金矿</t>
    <phoneticPr fontId="4" type="noConversion"/>
  </si>
  <si>
    <t>消耗圣水</t>
    <phoneticPr fontId="4" type="noConversion"/>
  </si>
  <si>
    <t>生产速度（每小时）</t>
    <phoneticPr fontId="4" type="noConversion"/>
  </si>
  <si>
    <t>容量</t>
    <phoneticPr fontId="4" type="noConversion"/>
  </si>
  <si>
    <t>圣水收集器</t>
    <phoneticPr fontId="4" type="noConversion"/>
  </si>
  <si>
    <t>储金器</t>
    <phoneticPr fontId="4" type="noConversion"/>
  </si>
  <si>
    <t>库存容量</t>
    <phoneticPr fontId="4" type="noConversion"/>
  </si>
  <si>
    <t>圣水瓶</t>
    <phoneticPr fontId="4" type="noConversion"/>
  </si>
  <si>
    <t>暗黑石油钻井</t>
    <phoneticPr fontId="4" type="noConversion"/>
  </si>
  <si>
    <t>暗黑石油罐</t>
    <phoneticPr fontId="4" type="noConversion"/>
  </si>
  <si>
    <t>单次伤害（攻速0.8）</t>
    <phoneticPr fontId="4" type="noConversion"/>
  </si>
  <si>
    <t>迫击炮</t>
    <phoneticPr fontId="4" type="noConversion"/>
  </si>
  <si>
    <t>单次伤害（攻速5）</t>
    <phoneticPr fontId="4" type="noConversion"/>
  </si>
  <si>
    <t>弓箭塔</t>
    <phoneticPr fontId="4" type="noConversion"/>
  </si>
  <si>
    <t>单次伤害（攻速1）</t>
    <phoneticPr fontId="4" type="noConversion"/>
  </si>
  <si>
    <t>防空火箭</t>
    <phoneticPr fontId="4" type="noConversion"/>
  </si>
  <si>
    <t>法师塔</t>
    <phoneticPr fontId="4" type="noConversion"/>
  </si>
  <si>
    <t>单次伤害（攻速1.3）</t>
    <phoneticPr fontId="4" type="noConversion"/>
  </si>
  <si>
    <t>电磁塔</t>
    <phoneticPr fontId="4" type="noConversion"/>
  </si>
  <si>
    <t>单次伤害（攻速0.6）</t>
    <phoneticPr fontId="4" type="noConversion"/>
  </si>
  <si>
    <t>城墙</t>
    <phoneticPr fontId="4" type="noConversion"/>
  </si>
  <si>
    <t>X弩</t>
    <phoneticPr fontId="4" type="noConversion"/>
  </si>
  <si>
    <t>单次伤害（攻速0.128）</t>
    <phoneticPr fontId="4" type="noConversion"/>
  </si>
  <si>
    <t>地狱之塔</t>
    <phoneticPr fontId="4" type="noConversion"/>
  </si>
  <si>
    <t>初始伤害（攻速0.128）</t>
    <phoneticPr fontId="4" type="noConversion"/>
  </si>
  <si>
    <t>2s后伤害（攻速0.128）</t>
    <phoneticPr fontId="4" type="noConversion"/>
  </si>
  <si>
    <t>5s后伤害（攻速0.128）</t>
    <phoneticPr fontId="4" type="noConversion"/>
  </si>
  <si>
    <t>营地</t>
    <phoneticPr fontId="4" type="noConversion"/>
  </si>
  <si>
    <t>可容纳部队</t>
    <phoneticPr fontId="4" type="noConversion"/>
  </si>
  <si>
    <t>训练营</t>
    <phoneticPr fontId="4" type="noConversion"/>
  </si>
  <si>
    <t>解锁新兵种</t>
    <phoneticPr fontId="4" type="noConversion"/>
  </si>
  <si>
    <t>野蛮人</t>
    <phoneticPr fontId="4" type="noConversion"/>
  </si>
  <si>
    <t>弓箭手</t>
    <phoneticPr fontId="4" type="noConversion"/>
  </si>
  <si>
    <t>哥布林</t>
    <phoneticPr fontId="4" type="noConversion"/>
  </si>
  <si>
    <t>巨人</t>
    <phoneticPr fontId="4" type="noConversion"/>
  </si>
  <si>
    <t>炸弹人</t>
    <phoneticPr fontId="4" type="noConversion"/>
  </si>
  <si>
    <t>气球兵</t>
    <phoneticPr fontId="4" type="noConversion"/>
  </si>
  <si>
    <t>巫师</t>
    <phoneticPr fontId="4" type="noConversion"/>
  </si>
  <si>
    <t>天使</t>
    <phoneticPr fontId="4" type="noConversion"/>
  </si>
  <si>
    <t>飞龙</t>
    <phoneticPr fontId="4" type="noConversion"/>
  </si>
  <si>
    <t>魔王</t>
    <phoneticPr fontId="4" type="noConversion"/>
  </si>
  <si>
    <t>黑暗训练营</t>
    <phoneticPr fontId="4" type="noConversion"/>
  </si>
  <si>
    <t>小飞龙</t>
    <phoneticPr fontId="4" type="noConversion"/>
  </si>
  <si>
    <t>野猪骑士</t>
    <phoneticPr fontId="4" type="noConversion"/>
  </si>
  <si>
    <t>瓦尔基里</t>
    <phoneticPr fontId="4" type="noConversion"/>
  </si>
  <si>
    <t>石头人</t>
    <phoneticPr fontId="4" type="noConversion"/>
  </si>
  <si>
    <t>试验室</t>
    <phoneticPr fontId="4" type="noConversion"/>
  </si>
  <si>
    <t>等级</t>
    <phoneticPr fontId="4" type="noConversion"/>
  </si>
  <si>
    <t>升级时间</t>
    <phoneticPr fontId="4" type="noConversion"/>
  </si>
  <si>
    <t>2</t>
    <phoneticPr fontId="4" type="noConversion"/>
  </si>
  <si>
    <t>闪电咒语</t>
    <phoneticPr fontId="4" type="noConversion"/>
  </si>
  <si>
    <t>治疗咒语</t>
    <phoneticPr fontId="4" type="noConversion"/>
  </si>
  <si>
    <t>狂暴咒语</t>
    <phoneticPr fontId="4" type="noConversion"/>
  </si>
  <si>
    <t>跳跃咒语</t>
    <phoneticPr fontId="4" type="noConversion"/>
  </si>
  <si>
    <t>消耗黑水</t>
    <phoneticPr fontId="4" type="noConversion"/>
  </si>
  <si>
    <t>法术工厂</t>
    <phoneticPr fontId="4" type="noConversion"/>
  </si>
  <si>
    <t>野蛮人之王</t>
    <phoneticPr fontId="4" type="noConversion"/>
  </si>
  <si>
    <t>单次伤害（攻速1.2）</t>
    <phoneticPr fontId="4" type="noConversion"/>
  </si>
  <si>
    <t>重生时间</t>
    <phoneticPr fontId="4" type="noConversion"/>
  </si>
  <si>
    <t>弓箭女王</t>
    <phoneticPr fontId="4" type="noConversion"/>
  </si>
  <si>
    <t>单次伤害（攻速0.75）</t>
    <phoneticPr fontId="4" type="noConversion"/>
  </si>
  <si>
    <t>黑水等级</t>
    <phoneticPr fontId="1" type="noConversion"/>
  </si>
  <si>
    <t>黑水瓶个数</t>
    <phoneticPr fontId="1" type="noConversion"/>
  </si>
  <si>
    <t>黑水瓶等级</t>
    <phoneticPr fontId="1" type="noConversion"/>
  </si>
  <si>
    <t>金矿时间</t>
    <phoneticPr fontId="1" type="noConversion"/>
  </si>
  <si>
    <t>大本营时间</t>
    <phoneticPr fontId="1" type="noConversion"/>
  </si>
  <si>
    <t>建造累计时间</t>
    <phoneticPr fontId="1" type="noConversion"/>
  </si>
  <si>
    <t>金矿总时间</t>
    <phoneticPr fontId="1" type="noConversion"/>
  </si>
  <si>
    <t>圣水时间</t>
    <phoneticPr fontId="1" type="noConversion"/>
  </si>
  <si>
    <t>储金罐个数</t>
    <phoneticPr fontId="1" type="noConversion"/>
  </si>
  <si>
    <t>黑水个数</t>
    <phoneticPr fontId="1" type="noConversion"/>
  </si>
  <si>
    <t>黑水总时间</t>
    <phoneticPr fontId="1" type="noConversion"/>
  </si>
  <si>
    <t>黑水时间</t>
    <phoneticPr fontId="1" type="noConversion"/>
  </si>
  <si>
    <t>黑水瓶总时间</t>
    <phoneticPr fontId="1" type="noConversion"/>
  </si>
  <si>
    <t>黑水瓶时间</t>
    <phoneticPr fontId="1" type="noConversion"/>
  </si>
  <si>
    <t>总时间</t>
    <phoneticPr fontId="1" type="noConversion"/>
  </si>
  <si>
    <t>防御类</t>
    <phoneticPr fontId="1" type="noConversion"/>
  </si>
  <si>
    <t>工房</t>
    <phoneticPr fontId="1" type="noConversion"/>
  </si>
  <si>
    <t>加农炮LV</t>
    <phoneticPr fontId="1" type="noConversion"/>
  </si>
  <si>
    <t>迫击炮LV</t>
    <phoneticPr fontId="1" type="noConversion"/>
  </si>
  <si>
    <t>弓箭塔lv</t>
    <phoneticPr fontId="1" type="noConversion"/>
  </si>
  <si>
    <t>防空火箭lv</t>
    <phoneticPr fontId="1" type="noConversion"/>
  </si>
  <si>
    <t>法师塔LV</t>
    <phoneticPr fontId="1" type="noConversion"/>
  </si>
  <si>
    <t>电磁塔lv</t>
    <phoneticPr fontId="1" type="noConversion"/>
  </si>
  <si>
    <t>城墙LV</t>
    <phoneticPr fontId="1" type="noConversion"/>
  </si>
  <si>
    <t>X弩lv</t>
    <phoneticPr fontId="1" type="noConversion"/>
  </si>
  <si>
    <t>地狱之塔lv</t>
    <phoneticPr fontId="1" type="noConversion"/>
  </si>
  <si>
    <t>加农炮</t>
    <phoneticPr fontId="1" type="noConversion"/>
  </si>
  <si>
    <t>时间统计</t>
    <phoneticPr fontId="1" type="noConversion"/>
  </si>
  <si>
    <t>迫击炮</t>
    <phoneticPr fontId="1" type="noConversion"/>
  </si>
  <si>
    <t>防空火箭</t>
    <phoneticPr fontId="1" type="noConversion"/>
  </si>
  <si>
    <t>加农炮</t>
    <phoneticPr fontId="1" type="noConversion"/>
  </si>
  <si>
    <t>迫击炮</t>
    <phoneticPr fontId="1" type="noConversion"/>
  </si>
  <si>
    <t>弓箭塔</t>
    <phoneticPr fontId="1" type="noConversion"/>
  </si>
  <si>
    <t>防空火箭</t>
    <phoneticPr fontId="1" type="noConversion"/>
  </si>
  <si>
    <t>进攻类</t>
    <phoneticPr fontId="1" type="noConversion"/>
  </si>
  <si>
    <t>营地LV</t>
    <phoneticPr fontId="1" type="noConversion"/>
  </si>
  <si>
    <t>营地</t>
    <phoneticPr fontId="1" type="noConversion"/>
  </si>
  <si>
    <t>训练营LV</t>
    <phoneticPr fontId="1" type="noConversion"/>
  </si>
  <si>
    <t>黑暗训练营LV</t>
    <phoneticPr fontId="1" type="noConversion"/>
  </si>
  <si>
    <t>试验室LV</t>
    <phoneticPr fontId="1" type="noConversion"/>
  </si>
  <si>
    <t>法术工厂LV</t>
    <phoneticPr fontId="1" type="noConversion"/>
  </si>
  <si>
    <t>3工人</t>
  </si>
  <si>
    <t>4工人</t>
  </si>
  <si>
    <t>5工人</t>
  </si>
  <si>
    <t>var ranges=[100,1000,10000,100000,1000000,10000000];</t>
  </si>
  <si>
    <t>var gems=[1,5,25,125,600,3000];</t>
  </si>
  <si>
    <t>var storagemax=8001000;</t>
  </si>
  <si>
    <t>for(var i=1;i&lt;ranges.length-1;i++)</t>
  </si>
  <si>
    <t>if(x&lt;=ranges[i])</t>
  </si>
  <si>
    <t>return(Math.round((x-ranges[i-1])/((ranges[i]-ranges[i-1])/(gems[i]-gems[i-1]))+gems[i-1]));</t>
  </si>
  <si>
    <t>大于storagemax则</t>
  </si>
  <si>
    <t>return(Math.round((x-ranges[ranges.length-2])/((ranges[ranges.length-1]-ranges[ranges.length-2])/(gems[gems.length-1]-gems[gems.length-2]))+gems[gems.length-2]));</t>
  </si>
  <si>
    <t>抠出wiki上的JS源码，处理混淆以后得到分段公式</t>
  </si>
  <si>
    <t>核心收费点：购买建筑工人</t>
    <phoneticPr fontId="1" type="noConversion"/>
  </si>
  <si>
    <t>资源类消耗时间</t>
    <phoneticPr fontId="1" type="noConversion"/>
  </si>
  <si>
    <t>防御类消耗时间</t>
    <phoneticPr fontId="1" type="noConversion"/>
  </si>
  <si>
    <t>进攻类消耗时间</t>
    <phoneticPr fontId="1" type="noConversion"/>
  </si>
  <si>
    <t>时间求和</t>
    <phoneticPr fontId="1" type="noConversion"/>
  </si>
  <si>
    <t>2工人</t>
    <phoneticPr fontId="1" type="noConversion"/>
  </si>
  <si>
    <t>分析：</t>
    <phoneticPr fontId="1" type="noConversion"/>
  </si>
  <si>
    <t>加速建造</t>
    <phoneticPr fontId="1" type="noConversion"/>
  </si>
  <si>
    <t>var ranges=[60,3600,86400,604800];</t>
    <phoneticPr fontId="1" type="noConversion"/>
  </si>
  <si>
    <t>var gems=[1,20,260,1000];</t>
    <phoneticPr fontId="1" type="noConversion"/>
  </si>
  <si>
    <t>if(sec&lt;=ranges[i])</t>
    <phoneticPr fontId="1" type="noConversion"/>
  </si>
  <si>
    <t>t区间min</t>
    <phoneticPr fontId="1" type="noConversion"/>
  </si>
  <si>
    <t>t区间max</t>
    <phoneticPr fontId="1" type="noConversion"/>
  </si>
  <si>
    <t>Gem区间min</t>
    <phoneticPr fontId="1" type="noConversion"/>
  </si>
  <si>
    <t>Gem区间max</t>
    <phoneticPr fontId="1" type="noConversion"/>
  </si>
  <si>
    <t>1、通过加速建造购买时间收益远远小于购买工人,大约玩7天以内的玩家才有可能出现加速建造收益大于购买工人的情况</t>
    <phoneticPr fontId="1" type="noConversion"/>
  </si>
  <si>
    <t>2、购买的时间越多，收益越高</t>
    <phoneticPr fontId="1" type="noConversion"/>
  </si>
  <si>
    <t>渠道1：商城直接购买</t>
    <phoneticPr fontId="1" type="noConversion"/>
  </si>
  <si>
    <t>方法1：采样反推</t>
    <phoneticPr fontId="1" type="noConversion"/>
  </si>
  <si>
    <t>购买数</t>
    <phoneticPr fontId="1" type="noConversion"/>
  </si>
  <si>
    <t>gem</t>
    <phoneticPr fontId="1" type="noConversion"/>
  </si>
  <si>
    <t>幂偏差</t>
    <phoneticPr fontId="1" type="noConversion"/>
  </si>
  <si>
    <t>线性偏差</t>
    <phoneticPr fontId="1" type="noConversion"/>
  </si>
  <si>
    <t>模拟偏差较大，说明不是纯线性函数或者是幂函数</t>
    <phoneticPr fontId="1" type="noConversion"/>
  </si>
  <si>
    <t>方法2 抠出wiki上的JS源码，处理混淆以后得到分段公式</t>
    <phoneticPr fontId="1" type="noConversion"/>
  </si>
  <si>
    <t>R区间min</t>
    <phoneticPr fontId="1" type="noConversion"/>
  </si>
  <si>
    <t>R区间max</t>
    <phoneticPr fontId="1" type="noConversion"/>
  </si>
  <si>
    <t>玩2个月(H/Gem)</t>
    <phoneticPr fontId="1" type="noConversion"/>
  </si>
  <si>
    <t>玩1个月(H/Gem)</t>
    <phoneticPr fontId="1" type="noConversion"/>
  </si>
  <si>
    <t>玩半个月(H/Gem)</t>
    <phoneticPr fontId="1" type="noConversion"/>
  </si>
  <si>
    <t>1、工人收益为使用工人的时间，使用时间越长，工人收益H/Gem越高。</t>
    <phoneticPr fontId="1" type="noConversion"/>
  </si>
  <si>
    <t>4、一般来说玩家在大本营6级时能通过非付费途径获得第三个工人，所以灰色区域表示无用数据。</t>
    <phoneticPr fontId="1" type="noConversion"/>
  </si>
  <si>
    <t>平均（H/Gem）</t>
    <phoneticPr fontId="1" type="noConversion"/>
  </si>
  <si>
    <t>平均（资源/Gem）</t>
    <phoneticPr fontId="1" type="noConversion"/>
  </si>
  <si>
    <t>渠道2：加速收集</t>
    <phoneticPr fontId="1" type="noConversion"/>
  </si>
  <si>
    <t>资源等级</t>
    <phoneticPr fontId="1" type="noConversion"/>
  </si>
  <si>
    <t>花费Gem</t>
    <phoneticPr fontId="1" type="noConversion"/>
  </si>
  <si>
    <t>时间</t>
    <phoneticPr fontId="1" type="noConversion"/>
  </si>
  <si>
    <t>每小时收集</t>
    <phoneticPr fontId="1" type="noConversion"/>
  </si>
  <si>
    <t>效率（资源/Gem）</t>
    <phoneticPr fontId="1" type="noConversion"/>
  </si>
  <si>
    <t>5级开始可以花Gem加速6h</t>
    <phoneticPr fontId="1" type="noConversion"/>
  </si>
  <si>
    <t>购买金币/圣水</t>
    <phoneticPr fontId="1" type="noConversion"/>
  </si>
  <si>
    <t>分析</t>
    <phoneticPr fontId="1" type="noConversion"/>
  </si>
  <si>
    <t>购买建造时间</t>
    <phoneticPr fontId="1" type="noConversion"/>
  </si>
  <si>
    <t>购买战斗能力/时间</t>
    <phoneticPr fontId="1" type="noConversion"/>
  </si>
  <si>
    <t>科技秒时间：同建筑</t>
    <phoneticPr fontId="1" type="noConversion"/>
  </si>
  <si>
    <t>加速训练营</t>
    <phoneticPr fontId="1" type="noConversion"/>
  </si>
  <si>
    <t>效率（H/Gem）</t>
    <phoneticPr fontId="1" type="noConversion"/>
  </si>
  <si>
    <t>加速法术工厂</t>
    <phoneticPr fontId="1" type="noConversion"/>
  </si>
  <si>
    <t>分析</t>
    <phoneticPr fontId="1" type="noConversion"/>
  </si>
  <si>
    <t>2、玩家一般不会把所有非大本营建筑都升满再升级大本营，并且不同玩家的升级取向不同，所以该统计方法存在较大偏差。</t>
    <phoneticPr fontId="1" type="noConversion"/>
  </si>
  <si>
    <t>预估每波部队建造时间</t>
    <phoneticPr fontId="1" type="noConversion"/>
  </si>
  <si>
    <t>预估每次掠夺可以获得资源</t>
    <phoneticPr fontId="1" type="noConversion"/>
  </si>
  <si>
    <t>预估每支部队消耗资源</t>
    <phoneticPr fontId="1" type="noConversion"/>
  </si>
  <si>
    <t>3、加速训练营的预估是以笔者等级的资源作为参考，不同能力的玩家效率偏差会非常大。不过由此可见，资源获得均值最高为加速训练营。</t>
    <phoneticPr fontId="1" type="noConversion"/>
  </si>
  <si>
    <t>其他</t>
    <phoneticPr fontId="1" type="noConversion"/>
  </si>
  <si>
    <t>海盗旗</t>
  </si>
  <si>
    <t>购买装饰</t>
    <phoneticPr fontId="1" type="noConversion"/>
  </si>
  <si>
    <t>万能神像</t>
  </si>
  <si>
    <t>1、装饰性道具不够帅，没有消费欲望</t>
    <phoneticPr fontId="1" type="noConversion"/>
  </si>
  <si>
    <t>护盾</t>
    <phoneticPr fontId="1" type="noConversion"/>
  </si>
  <si>
    <t>道具</t>
    <phoneticPr fontId="1" type="noConversion"/>
  </si>
  <si>
    <t>时间（天）</t>
    <phoneticPr fontId="1" type="noConversion"/>
  </si>
  <si>
    <t>Gem的获取</t>
    <phoneticPr fontId="1" type="noConversion"/>
  </si>
  <si>
    <t>免费途径获得Gem</t>
    <phoneticPr fontId="1" type="noConversion"/>
  </si>
  <si>
    <t>阶段一</t>
    <phoneticPr fontId="1" type="noConversion"/>
  </si>
  <si>
    <t>阶段二</t>
    <phoneticPr fontId="1" type="noConversion"/>
  </si>
  <si>
    <t>阶段一：玩家获得第三个工人</t>
    <phoneticPr fontId="1" type="noConversion"/>
  </si>
  <si>
    <t>阶段二：剩余过程</t>
    <phoneticPr fontId="1" type="noConversion"/>
  </si>
  <si>
    <t>途径</t>
    <phoneticPr fontId="1" type="noConversion"/>
  </si>
  <si>
    <t>新手教程后获得</t>
    <phoneticPr fontId="1" type="noConversion"/>
  </si>
  <si>
    <t>清理原有石头和树木</t>
    <phoneticPr fontId="1" type="noConversion"/>
  </si>
  <si>
    <t>清理再生树木</t>
    <phoneticPr fontId="1" type="noConversion"/>
  </si>
  <si>
    <t>成就</t>
    <phoneticPr fontId="1" type="noConversion"/>
  </si>
  <si>
    <t>SUM</t>
    <phoneticPr fontId="1" type="noConversion"/>
  </si>
  <si>
    <t>训练营&amp;法术工厂秒时间：同建筑</t>
    <phoneticPr fontId="1" type="noConversion"/>
  </si>
  <si>
    <t>成就统计</t>
    <phoneticPr fontId="1" type="noConversion"/>
  </si>
  <si>
    <t>储金罐</t>
    <phoneticPr fontId="1" type="noConversion"/>
  </si>
  <si>
    <t>成就名</t>
    <phoneticPr fontId="1" type="noConversion"/>
  </si>
  <si>
    <t>1星奖励</t>
    <phoneticPr fontId="1" type="noConversion"/>
  </si>
  <si>
    <t>2星奖励</t>
    <phoneticPr fontId="1" type="noConversion"/>
  </si>
  <si>
    <t>3星奖励</t>
    <phoneticPr fontId="1" type="noConversion"/>
  </si>
  <si>
    <t>消灭哥布林</t>
    <phoneticPr fontId="1" type="noConversion"/>
  </si>
  <si>
    <t>更大更好</t>
    <phoneticPr fontId="1" type="noConversion"/>
  </si>
  <si>
    <t>清爽整洁</t>
    <phoneticPr fontId="1" type="noConversion"/>
  </si>
  <si>
    <t>释放猛兽</t>
    <phoneticPr fontId="1" type="noConversion"/>
  </si>
  <si>
    <t>抓金手</t>
    <phoneticPr fontId="1" type="noConversion"/>
  </si>
  <si>
    <t>圣水恶作剧</t>
    <phoneticPr fontId="1" type="noConversion"/>
  </si>
  <si>
    <t>战无不胜</t>
    <phoneticPr fontId="1" type="noConversion"/>
  </si>
  <si>
    <t>帝国制造者</t>
    <phoneticPr fontId="1" type="noConversion"/>
  </si>
  <si>
    <t>拆墙达人</t>
    <phoneticPr fontId="1" type="noConversion"/>
  </si>
  <si>
    <t>攻城拔寨</t>
    <phoneticPr fontId="1" type="noConversion"/>
  </si>
  <si>
    <t>工棚破坏者</t>
    <phoneticPr fontId="1" type="noConversion"/>
  </si>
  <si>
    <t>常胜将军</t>
    <phoneticPr fontId="1" type="noConversion"/>
  </si>
  <si>
    <t>固若金汤</t>
    <phoneticPr fontId="1" type="noConversion"/>
  </si>
  <si>
    <t>患难之交</t>
    <phoneticPr fontId="1" type="noConversion"/>
  </si>
  <si>
    <t>破坏迫击炮</t>
    <phoneticPr fontId="1" type="noConversion"/>
  </si>
  <si>
    <t>盗亦有道</t>
    <phoneticPr fontId="1" type="noConversion"/>
  </si>
  <si>
    <t>2Gem/day</t>
    <phoneticPr fontId="1" type="noConversion"/>
  </si>
  <si>
    <t>1、购买第三个工人是免费玩家贯穿1-6级最重要的目标，时间周期大概是半个月到一个月。第四个工人要求比较苛刻，较难完成，不太能形成有效的目标</t>
    <phoneticPr fontId="1" type="noConversion"/>
  </si>
  <si>
    <t>预估法术消耗资源</t>
    <phoneticPr fontId="1" type="noConversion"/>
  </si>
  <si>
    <t>1、加速训练营和加速法术工厂的效率从数值上看和建筑效率相比较低，但是需要转换为兵平均抢劫资源才能判断效率。</t>
    <phoneticPr fontId="1" type="noConversion"/>
  </si>
  <si>
    <t>法术提供的资源效率（资源/Gem）</t>
    <phoneticPr fontId="1" type="noConversion"/>
  </si>
  <si>
    <t>2、法术占战斗水平较难估计，以上估算模型是以资源数为标准，模型较为粗糙。但数量级基本正确</t>
    <phoneticPr fontId="1" type="noConversion"/>
  </si>
  <si>
    <t>攻防战术博弈</t>
    <phoneticPr fontId="1" type="noConversion"/>
  </si>
  <si>
    <t>攻击方</t>
    <phoneticPr fontId="1" type="noConversion"/>
  </si>
  <si>
    <t>攻击方策略</t>
    <phoneticPr fontId="1" type="noConversion"/>
  </si>
  <si>
    <t>防守方</t>
    <phoneticPr fontId="1" type="noConversion"/>
  </si>
  <si>
    <t>防御方策略</t>
    <phoneticPr fontId="1" type="noConversion"/>
  </si>
  <si>
    <t>野蛮人</t>
  </si>
  <si>
    <t>野蛮人</t>
    <phoneticPr fontId="1" type="noConversion"/>
  </si>
  <si>
    <t>掠夺资源</t>
    <phoneticPr fontId="1" type="noConversion"/>
  </si>
  <si>
    <t>建造兵种时间统计</t>
    <phoneticPr fontId="1" type="noConversion"/>
  </si>
  <si>
    <t>弓箭手</t>
  </si>
  <si>
    <t>哥布林</t>
  </si>
  <si>
    <t>巨人</t>
  </si>
  <si>
    <t>炸弹人</t>
  </si>
  <si>
    <t>气球兵</t>
  </si>
  <si>
    <t>巫师</t>
  </si>
  <si>
    <t>建造兵种人口统计</t>
    <phoneticPr fontId="1" type="noConversion"/>
  </si>
  <si>
    <t>营地</t>
    <phoneticPr fontId="1" type="noConversion"/>
  </si>
  <si>
    <t>人口</t>
    <phoneticPr fontId="1" type="noConversion"/>
  </si>
  <si>
    <t>进攻方配置预估</t>
    <phoneticPr fontId="1" type="noConversion"/>
  </si>
  <si>
    <t>建造资源</t>
    <phoneticPr fontId="1" type="noConversion"/>
  </si>
  <si>
    <t>20野蛮人</t>
    <phoneticPr fontId="1" type="noConversion"/>
  </si>
  <si>
    <t>建造时间 min</t>
    <phoneticPr fontId="1" type="noConversion"/>
  </si>
  <si>
    <t>*红色数字表示在阶段一能获得的成就</t>
    <phoneticPr fontId="1" type="noConversion"/>
  </si>
  <si>
    <t>掠夺效率</t>
    <phoneticPr fontId="1" type="noConversion"/>
  </si>
  <si>
    <t>通过城墙保护加农炮，增加加农炮的输出时间;通过分散建筑拖延时间</t>
    <phoneticPr fontId="1" type="noConversion"/>
  </si>
  <si>
    <t>集中火力突破城墙，优先消灭加农炮；通过单独给野外的建筑配置兵力，减少战斗时间，争取更高胜利收益</t>
    <phoneticPr fontId="1" type="noConversion"/>
  </si>
  <si>
    <t>箭塔</t>
    <phoneticPr fontId="1" type="noConversion"/>
  </si>
  <si>
    <t>同加农炮</t>
    <phoneticPr fontId="1" type="noConversion"/>
  </si>
  <si>
    <t>弓箭手</t>
    <phoneticPr fontId="1" type="noConversion"/>
  </si>
  <si>
    <t>不破坏城墙直接攻击内部设施，通过选择落点有限处理攻击型建筑</t>
    <phoneticPr fontId="1" type="noConversion"/>
  </si>
  <si>
    <t>哥布林</t>
    <phoneticPr fontId="1" type="noConversion"/>
  </si>
  <si>
    <t>当玩家策略是以获取资源优先时优先使用的兵种，一般会在出巨人之后，通过巨人当肉盾，哥布林进行掠夺，最大化资源获取。对于单层城墙和资源外置型阵型效果较好</t>
    <phoneticPr fontId="1" type="noConversion"/>
  </si>
  <si>
    <t>迫击炮</t>
    <phoneticPr fontId="1" type="noConversion"/>
  </si>
  <si>
    <t>对付大量野蛮人、弓箭手、哥布林效果明显。所以在前期战术核心围绕如何保护/消灭迫击炮展开。防守方多采用多层城墙，瓮城等布局</t>
    <phoneticPr fontId="1" type="noConversion"/>
  </si>
  <si>
    <t>进攻方前期处理迫击炮较为困难，需要对迫击炮的攻击规律有较好把握，通过放置单个诱饵，让迫击炮不攻击大部队，然后大部队近身处理掉迫击炮。</t>
    <phoneticPr fontId="1" type="noConversion"/>
  </si>
  <si>
    <t>巨人</t>
    <phoneticPr fontId="1" type="noConversion"/>
  </si>
  <si>
    <t>核心肉盾型兵种，优先破坏防御武器，处理好迫击炮以后再放置弓箭手/哥布林，完成剩余破坏任务。</t>
    <phoneticPr fontId="1" type="noConversion"/>
  </si>
  <si>
    <t>城墙、加农炮、地雷</t>
    <phoneticPr fontId="1" type="noConversion"/>
  </si>
  <si>
    <t>隐身弹簧</t>
    <phoneticPr fontId="1" type="noConversion"/>
  </si>
  <si>
    <t>炸弹人</t>
    <phoneticPr fontId="1" type="noConversion"/>
  </si>
  <si>
    <t>针对越来越坚固的城墙进行的针对性的攻击。配合巨人吸引火力，炸弹人能有效的破话防御方的城墙。（炸弹人的操作细节很多，非常考验进攻者的技术水平）炸弹人等级与城墙等级的博弈参见下文</t>
    <phoneticPr fontId="1" type="noConversion"/>
  </si>
  <si>
    <t>防御方可以考虑如何构建瓮城让炸弹人的寻路ai不优先攻击关键城墙。难度较大。</t>
    <phoneticPr fontId="1" type="noConversion"/>
  </si>
  <si>
    <t>防空火箭</t>
    <phoneticPr fontId="1" type="noConversion"/>
  </si>
  <si>
    <t>防空火箭拥有所有防御设施中最高的血量，初期可以用于构建瓮城，吸引巨人，拖延时间，给别的攻击武器更多的攻击时间。</t>
    <phoneticPr fontId="1" type="noConversion"/>
  </si>
  <si>
    <t>气球兵</t>
    <phoneticPr fontId="1" type="noConversion"/>
  </si>
  <si>
    <t>无视城墙，攻击防御武器，但是由于必须在防御设置头顶攻击，所以较难做好保护。相对难用好的兵种。</t>
    <phoneticPr fontId="1" type="noConversion"/>
  </si>
  <si>
    <t>部落城堡</t>
    <phoneticPr fontId="1" type="noConversion"/>
  </si>
  <si>
    <t>10个单位的防守，可以有效针对敌人的进攻手段，比如巨人和炸弹人</t>
    <phoneticPr fontId="1" type="noConversion"/>
  </si>
  <si>
    <t>根据公会内部的人捐献的兵种来制定使用的战术。</t>
    <phoneticPr fontId="1" type="noConversion"/>
  </si>
  <si>
    <t>雷电法术</t>
    <phoneticPr fontId="1" type="noConversion"/>
  </si>
  <si>
    <t>法师塔</t>
    <phoneticPr fontId="1" type="noConversion"/>
  </si>
  <si>
    <t>用于破坏城墙、迫击炮、法师塔等关键防御建筑。同时，对部落城堡的援军有较大杀伤。</t>
    <phoneticPr fontId="1" type="noConversion"/>
  </si>
  <si>
    <t>区域攻击，且没有盲区，处理抱团巨人、大数量部队的有效手段。通过制造内部的通道，聚拢敌人造成片杀伤，是非常有效的策略。</t>
    <phoneticPr fontId="1" type="noConversion"/>
  </si>
  <si>
    <t>与处理迫击炮同，需要设置诱饵。减少大部队受到伤害。</t>
    <phoneticPr fontId="1" type="noConversion"/>
  </si>
  <si>
    <t>天使</t>
    <phoneticPr fontId="1" type="noConversion"/>
  </si>
  <si>
    <t>后期未玩到，待补充</t>
    <phoneticPr fontId="1" type="noConversion"/>
  </si>
  <si>
    <t>兵种等级与防御设施等级博弈</t>
    <phoneticPr fontId="1" type="noConversion"/>
  </si>
  <si>
    <t>从此阶段开始，除了兵种上的博弈之外，还有兵种科技等级和防御武器等级之间的博弈，详细参见下文</t>
    <phoneticPr fontId="1" type="noConversion"/>
  </si>
  <si>
    <t>加农炮</t>
    <phoneticPr fontId="4" type="noConversion"/>
  </si>
  <si>
    <t>加农炮</t>
    <phoneticPr fontId="1" type="noConversion"/>
  </si>
  <si>
    <t>等级</t>
    <phoneticPr fontId="1" type="noConversion"/>
  </si>
  <si>
    <t>射速</t>
    <phoneticPr fontId="1" type="noConversion"/>
  </si>
  <si>
    <t>攻击力</t>
    <phoneticPr fontId="1" type="noConversion"/>
  </si>
  <si>
    <t xml:space="preserve">0.8s </t>
    <phoneticPr fontId="1" type="noConversion"/>
  </si>
  <si>
    <t>攻击次数</t>
    <phoneticPr fontId="1" type="noConversion"/>
  </si>
  <si>
    <t>血量</t>
    <phoneticPr fontId="1" type="noConversion"/>
  </si>
  <si>
    <t>弓箭手</t>
    <phoneticPr fontId="1" type="noConversion"/>
  </si>
  <si>
    <t>巨人</t>
    <phoneticPr fontId="1" type="noConversion"/>
  </si>
  <si>
    <t>城墙</t>
    <phoneticPr fontId="1" type="noConversion"/>
  </si>
  <si>
    <t>使用个数</t>
    <phoneticPr fontId="1" type="noConversion"/>
  </si>
  <si>
    <t>法师</t>
    <phoneticPr fontId="1" type="noConversion"/>
  </si>
  <si>
    <t xml:space="preserve">1s </t>
    <phoneticPr fontId="1" type="noConversion"/>
  </si>
  <si>
    <t>弓箭塔</t>
    <phoneticPr fontId="1" type="noConversion"/>
  </si>
  <si>
    <t>迫击炮</t>
    <phoneticPr fontId="1" type="noConversion"/>
  </si>
  <si>
    <t xml:space="preserve">5s </t>
    <phoneticPr fontId="1" type="noConversion"/>
  </si>
  <si>
    <t>魔法塔</t>
    <phoneticPr fontId="1" type="noConversion"/>
  </si>
  <si>
    <t xml:space="preserve">1.3s </t>
    <phoneticPr fontId="1" type="noConversion"/>
  </si>
  <si>
    <t>对空塔</t>
    <phoneticPr fontId="1" type="noConversion"/>
  </si>
  <si>
    <t>放置在关键，可一次最多弹飞3个巨人。可以制造陷阱（例如特别脆弱的墙、开口的墙，城墙内部可投放兵的区域）诱惑进攻者向陷阱内投放巨人。</t>
    <phoneticPr fontId="1" type="noConversion"/>
  </si>
  <si>
    <t>分析：</t>
    <phoneticPr fontId="1" type="noConversion"/>
  </si>
  <si>
    <t>2、弓手6级和迫击炮6级点似乎有故意为之的嫌疑，目的是为了淘汰弓手，让玩家更多的转型法师</t>
    <phoneticPr fontId="1" type="noConversion"/>
  </si>
  <si>
    <t>3、每个工人的收益是相同的，而费用以2为指数上升，每个性价比递减严重，推测低R玩家在购买第四个工人和第五个工人的时候会有较大心理门槛。相比较之后的购买时间收益，购买工人的收益是最高的。</t>
    <phoneticPr fontId="1" type="noConversion"/>
  </si>
  <si>
    <t>2、第一个点刚好为购买3号工人的钱，符合刚入门玩家的心理。第二个点和第三个点比购买4号和5号工人多一些，同时折扣也会更高，诱惑玩家选择更高的档次，购买更多的Gem。</t>
    <phoneticPr fontId="1" type="noConversion"/>
  </si>
  <si>
    <t>3、折扣随购买量的增多而增多，但是第四个点折扣变动幅度略小，原因可能是如果玩家选择一次性购买所有农民就会选择第4个点，坑这类玩家，能让玩家付更多的钱。</t>
    <phoneticPr fontId="1" type="noConversion"/>
  </si>
  <si>
    <t>1、购买100000以上的资源，效率比加速高。</t>
    <phoneticPr fontId="1" type="noConversion"/>
  </si>
  <si>
    <t>2、小额付费点，但是相较于其他模块效率偏低，可以认为加速模块设计不当。</t>
    <phoneticPr fontId="1" type="noConversion"/>
  </si>
  <si>
    <t>1、COC相对崇尚进攻，预计护盾销量不高。</t>
    <phoneticPr fontId="1" type="noConversion"/>
  </si>
  <si>
    <t>2、应该可以做成即使抢劫也不会消失的护盾(对竞技排名公平性影响较大)，或者被抢比例减少</t>
    <phoneticPr fontId="1" type="noConversion"/>
  </si>
  <si>
    <t>群体加血，配合巨人，有效对付片伤塔。</t>
    <phoneticPr fontId="1" type="noConversion"/>
  </si>
  <si>
    <t>3、表格应增加主城等级，以便显示同一等级下附近的博弈点。</t>
    <phoneticPr fontId="1" type="noConversion"/>
  </si>
  <si>
    <t>结论</t>
    <phoneticPr fontId="1" type="noConversion"/>
  </si>
  <si>
    <t>买时间：买农民&gt;加速建筑</t>
  </si>
  <si>
    <t>买资源：加速部队&gt;100000以上直接购买&gt;加速资源&gt;100000以下直接购买</t>
  </si>
  <si>
    <t>闪电</t>
    <phoneticPr fontId="1" type="noConversion"/>
  </si>
  <si>
    <t>剩余血量</t>
    <phoneticPr fontId="1" type="noConversion"/>
  </si>
  <si>
    <t>加农炮</t>
    <phoneticPr fontId="1" type="noConversion"/>
  </si>
  <si>
    <t>箭塔</t>
    <phoneticPr fontId="1" type="noConversion"/>
  </si>
  <si>
    <t>迫击炮</t>
    <phoneticPr fontId="1" type="noConversion"/>
  </si>
  <si>
    <t>魔法塔</t>
    <phoneticPr fontId="1" type="noConversion"/>
  </si>
  <si>
    <t>4、闪电机制较为复杂，表格表现结果与实际有较大差距，还需研究。</t>
    <phoneticPr fontId="1" type="noConversion"/>
  </si>
  <si>
    <t>1、成长线属性设计非常合理，没有出现收益特别高或者特别低的点。升级效果明显。</t>
    <phoneticPr fontId="1" type="noConversion"/>
  </si>
  <si>
    <t>随着玩家的成长，玩家会获得不同类型的攻防单位，而就前中期（笔者玩到的6级）来说，所有的兵种和防御在设计上环环相扣，战术基本上是被限制住的，变化空间不大</t>
    <phoneticPr fontId="1" type="noConversion"/>
  </si>
  <si>
    <t xml:space="preserve">*2、此点跟朋友有争议，朋友认为高门槛高性价比无限量是合理的，笔者认为低门槛高性价比限量，高门槛低性价比无限量，合理。不过宗旨始终是保证穷人吃喝，保证中产性价比，保证高端持续付费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</si>
</sst>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"/>
    <numFmt numFmtId="177" formatCode="0.00_);[Red]\(0.00\)"/>
    <numFmt numFmtId="178" formatCode="0.0_ "/>
    <numFmt numFmtId="179" formatCode="0.0%"/>
    <numFmt numFmtId="180" formatCode="0.000_ "/>
    <numFmt numFmtId="181" formatCode="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6"/>
      </patternFill>
    </fill>
    <fill>
      <patternFill patternType="solid">
        <fgColor theme="0" tint="-0.14999847407452621"/>
        <bgColor theme="6" tint="0.59999389629810485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/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/>
      <right/>
      <top/>
      <bottom style="thin">
        <color theme="3" tint="0.7999816888943144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64">
    <xf numFmtId="0" fontId="0" fillId="0" borderId="0" xfId="0">
      <alignment vertical="center"/>
    </xf>
    <xf numFmtId="0" fontId="3" fillId="2" borderId="1" xfId="1" applyFont="1" applyFill="1" applyBorder="1"/>
    <xf numFmtId="0" fontId="5" fillId="0" borderId="2" xfId="1" applyFont="1" applyBorder="1"/>
    <xf numFmtId="0" fontId="5" fillId="0" borderId="3" xfId="1" applyFont="1" applyBorder="1"/>
    <xf numFmtId="0" fontId="2" fillId="0" borderId="3" xfId="1" applyBorder="1"/>
    <xf numFmtId="0" fontId="2" fillId="0" borderId="4" xfId="1" applyBorder="1"/>
    <xf numFmtId="0" fontId="5" fillId="0" borderId="5" xfId="1" applyFont="1" applyBorder="1"/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4" xfId="1" applyFont="1" applyBorder="1"/>
    <xf numFmtId="0" fontId="5" fillId="0" borderId="9" xfId="1" applyFont="1" applyBorder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5" fillId="0" borderId="1" xfId="1" applyFont="1" applyBorder="1"/>
    <xf numFmtId="0" fontId="5" fillId="0" borderId="13" xfId="1" applyFont="1" applyBorder="1"/>
    <xf numFmtId="0" fontId="5" fillId="0" borderId="14" xfId="1" applyFont="1" applyBorder="1"/>
    <xf numFmtId="0" fontId="2" fillId="0" borderId="14" xfId="1" applyBorder="1"/>
    <xf numFmtId="0" fontId="2" fillId="0" borderId="8" xfId="1" applyBorder="1"/>
    <xf numFmtId="0" fontId="5" fillId="0" borderId="15" xfId="1" applyFont="1" applyBorder="1"/>
    <xf numFmtId="0" fontId="6" fillId="5" borderId="10" xfId="1" applyFont="1" applyFill="1" applyBorder="1"/>
    <xf numFmtId="0" fontId="6" fillId="5" borderId="11" xfId="1" applyFont="1" applyFill="1" applyBorder="1"/>
    <xf numFmtId="0" fontId="2" fillId="0" borderId="10" xfId="1" applyNumberFormat="1" applyBorder="1"/>
    <xf numFmtId="21" fontId="2" fillId="0" borderId="10" xfId="1" applyNumberFormat="1" applyBorder="1"/>
    <xf numFmtId="0" fontId="2" fillId="0" borderId="11" xfId="1" applyNumberFormat="1" applyBorder="1"/>
    <xf numFmtId="0" fontId="2" fillId="0" borderId="10" xfId="1" applyBorder="1"/>
    <xf numFmtId="0" fontId="2" fillId="0" borderId="11" xfId="1" applyBorder="1"/>
    <xf numFmtId="0" fontId="2" fillId="0" borderId="10" xfId="1" applyNumberFormat="1" applyBorder="1" applyAlignment="1">
      <alignment horizontal="right"/>
    </xf>
    <xf numFmtId="0" fontId="2" fillId="0" borderId="6" xfId="1" applyBorder="1"/>
    <xf numFmtId="0" fontId="2" fillId="0" borderId="16" xfId="1" applyBorder="1"/>
    <xf numFmtId="0" fontId="3" fillId="2" borderId="10" xfId="1" applyFont="1" applyFill="1" applyBorder="1" applyAlignment="1"/>
    <xf numFmtId="0" fontId="6" fillId="5" borderId="1" xfId="1" applyFont="1" applyFill="1" applyBorder="1"/>
    <xf numFmtId="0" fontId="6" fillId="5" borderId="13" xfId="1" applyFont="1" applyFill="1" applyBorder="1"/>
    <xf numFmtId="0" fontId="2" fillId="0" borderId="7" xfId="1" applyBorder="1"/>
    <xf numFmtId="2" fontId="2" fillId="0" borderId="10" xfId="1" applyNumberFormat="1" applyBorder="1"/>
    <xf numFmtId="176" fontId="2" fillId="0" borderId="10" xfId="1" applyNumberFormat="1" applyBorder="1"/>
    <xf numFmtId="0" fontId="2" fillId="0" borderId="1" xfId="1" applyBorder="1"/>
    <xf numFmtId="0" fontId="2" fillId="0" borderId="13" xfId="1" applyBorder="1"/>
    <xf numFmtId="2" fontId="2" fillId="0" borderId="14" xfId="1" applyNumberFormat="1" applyBorder="1"/>
    <xf numFmtId="0" fontId="3" fillId="2" borderId="11" xfId="1" applyFont="1" applyFill="1" applyBorder="1" applyAlignment="1"/>
    <xf numFmtId="0" fontId="2" fillId="0" borderId="18" xfId="1" applyBorder="1"/>
    <xf numFmtId="0" fontId="2" fillId="0" borderId="0" xfId="1" applyBorder="1"/>
    <xf numFmtId="0" fontId="2" fillId="0" borderId="9" xfId="1" applyBorder="1"/>
    <xf numFmtId="1" fontId="2" fillId="0" borderId="10" xfId="1" applyNumberFormat="1" applyBorder="1"/>
    <xf numFmtId="1" fontId="2" fillId="0" borderId="11" xfId="1" applyNumberFormat="1" applyBorder="1"/>
    <xf numFmtId="0" fontId="6" fillId="5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5" borderId="10" xfId="1" applyFont="1" applyFill="1" applyBorder="1" applyAlignment="1">
      <alignment horizontal="center"/>
    </xf>
    <xf numFmtId="0" fontId="5" fillId="6" borderId="10" xfId="1" applyFont="1" applyFill="1" applyBorder="1" applyAlignment="1">
      <alignment horizontal="center"/>
    </xf>
    <xf numFmtId="0" fontId="5" fillId="7" borderId="10" xfId="1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top"/>
    </xf>
    <xf numFmtId="0" fontId="5" fillId="6" borderId="10" xfId="0" applyFont="1" applyFill="1" applyBorder="1" applyAlignment="1">
      <alignment horizontal="center" vertical="top"/>
    </xf>
    <xf numFmtId="0" fontId="5" fillId="7" borderId="10" xfId="0" applyFont="1" applyFill="1" applyBorder="1" applyAlignment="1">
      <alignment horizontal="center" vertical="top"/>
    </xf>
    <xf numFmtId="0" fontId="2" fillId="0" borderId="2" xfId="1" applyBorder="1"/>
    <xf numFmtId="0" fontId="2" fillId="0" borderId="9" xfId="1" quotePrefix="1" applyBorder="1"/>
    <xf numFmtId="0" fontId="2" fillId="0" borderId="15" xfId="1" applyBorder="1"/>
    <xf numFmtId="0" fontId="2" fillId="0" borderId="19" xfId="1" applyBorder="1"/>
    <xf numFmtId="21" fontId="2" fillId="0" borderId="9" xfId="1" applyNumberFormat="1" applyBorder="1"/>
    <xf numFmtId="0" fontId="2" fillId="0" borderId="9" xfId="1" applyNumberFormat="1" applyBorder="1"/>
    <xf numFmtId="0" fontId="2" fillId="0" borderId="12" xfId="1" applyBorder="1"/>
    <xf numFmtId="0" fontId="2" fillId="0" borderId="10" xfId="1" quotePrefix="1" applyBorder="1"/>
    <xf numFmtId="0" fontId="3" fillId="8" borderId="17" xfId="1" applyFont="1" applyFill="1" applyBorder="1" applyAlignment="1"/>
    <xf numFmtId="0" fontId="2" fillId="0" borderId="11" xfId="1" quotePrefix="1" applyBorder="1"/>
    <xf numFmtId="49" fontId="2" fillId="0" borderId="11" xfId="1" applyNumberFormat="1" applyBorder="1"/>
    <xf numFmtId="177" fontId="2" fillId="0" borderId="11" xfId="1" applyNumberFormat="1" applyBorder="1"/>
    <xf numFmtId="177" fontId="2" fillId="0" borderId="10" xfId="1" applyNumberFormat="1" applyBorder="1"/>
    <xf numFmtId="0" fontId="2" fillId="0" borderId="11" xfId="1" applyBorder="1" applyAlignment="1">
      <alignment wrapText="1"/>
    </xf>
    <xf numFmtId="0" fontId="2" fillId="0" borderId="1" xfId="1" quotePrefix="1" applyBorder="1"/>
    <xf numFmtId="0" fontId="2" fillId="0" borderId="20" xfId="1" applyBorder="1"/>
    <xf numFmtId="0" fontId="6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6" fillId="10" borderId="10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3" fillId="8" borderId="10" xfId="1" applyFont="1" applyFill="1" applyBorder="1" applyAlignment="1">
      <alignment horizontal="center"/>
    </xf>
    <xf numFmtId="0" fontId="6" fillId="5" borderId="10" xfId="1" applyFont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178" fontId="5" fillId="6" borderId="10" xfId="0" applyNumberFormat="1" applyFont="1" applyFill="1" applyBorder="1" applyAlignment="1">
      <alignment horizontal="center"/>
    </xf>
    <xf numFmtId="178" fontId="5" fillId="7" borderId="10" xfId="0" applyNumberFormat="1" applyFont="1" applyFill="1" applyBorder="1" applyAlignment="1">
      <alignment horizontal="center"/>
    </xf>
    <xf numFmtId="178" fontId="5" fillId="12" borderId="10" xfId="0" applyNumberFormat="1" applyFont="1" applyFill="1" applyBorder="1" applyAlignment="1">
      <alignment horizontal="center"/>
    </xf>
    <xf numFmtId="178" fontId="5" fillId="11" borderId="10" xfId="0" applyNumberFormat="1" applyFont="1" applyFill="1" applyBorder="1" applyAlignment="1">
      <alignment horizontal="center"/>
    </xf>
    <xf numFmtId="0" fontId="5" fillId="6" borderId="10" xfId="0" applyNumberFormat="1" applyFont="1" applyFill="1" applyBorder="1" applyAlignment="1">
      <alignment horizontal="center"/>
    </xf>
    <xf numFmtId="0" fontId="5" fillId="7" borderId="10" xfId="0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179" fontId="5" fillId="0" borderId="0" xfId="0" applyNumberFormat="1" applyFont="1">
      <alignment vertical="center"/>
    </xf>
    <xf numFmtId="180" fontId="5" fillId="6" borderId="10" xfId="0" applyNumberFormat="1" applyFont="1" applyFill="1" applyBorder="1" applyAlignment="1">
      <alignment horizontal="center"/>
    </xf>
    <xf numFmtId="181" fontId="5" fillId="6" borderId="10" xfId="0" applyNumberFormat="1" applyFont="1" applyFill="1" applyBorder="1" applyAlignment="1">
      <alignment horizontal="center"/>
    </xf>
    <xf numFmtId="181" fontId="5" fillId="7" borderId="10" xfId="0" applyNumberFormat="1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178" fontId="5" fillId="6" borderId="0" xfId="0" applyNumberFormat="1" applyFont="1" applyFill="1" applyBorder="1" applyAlignment="1">
      <alignment horizontal="center"/>
    </xf>
    <xf numFmtId="0" fontId="5" fillId="6" borderId="10" xfId="0" applyNumberFormat="1" applyFont="1" applyFill="1" applyBorder="1" applyAlignment="1">
      <alignment horizontal="center" vertical="center"/>
    </xf>
    <xf numFmtId="0" fontId="5" fillId="7" borderId="10" xfId="0" applyNumberFormat="1" applyFont="1" applyFill="1" applyBorder="1" applyAlignment="1">
      <alignment horizontal="center" vertical="center"/>
    </xf>
    <xf numFmtId="0" fontId="7" fillId="6" borderId="10" xfId="0" applyNumberFormat="1" applyFont="1" applyFill="1" applyBorder="1" applyAlignment="1">
      <alignment horizontal="center" vertical="center"/>
    </xf>
    <xf numFmtId="0" fontId="7" fillId="7" borderId="10" xfId="0" applyNumberFormat="1" applyFont="1" applyFill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6" fillId="17" borderId="25" xfId="0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0" fontId="6" fillId="21" borderId="33" xfId="0" applyFont="1" applyFill="1" applyBorder="1" applyAlignment="1">
      <alignment horizontal="center" vertical="center"/>
    </xf>
    <xf numFmtId="0" fontId="5" fillId="20" borderId="32" xfId="0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6" fillId="22" borderId="30" xfId="0" applyFont="1" applyFill="1" applyBorder="1" applyAlignment="1">
      <alignment horizontal="center" vertical="center"/>
    </xf>
    <xf numFmtId="0" fontId="6" fillId="21" borderId="0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 wrapText="1"/>
    </xf>
    <xf numFmtId="0" fontId="5" fillId="14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6" borderId="21" xfId="0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6" fillId="19" borderId="29" xfId="0" applyFont="1" applyFill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6" fillId="19" borderId="31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 vertical="center"/>
    </xf>
    <xf numFmtId="0" fontId="5" fillId="20" borderId="35" xfId="0" applyFont="1" applyFill="1" applyBorder="1" applyAlignment="1">
      <alignment horizontal="center" vertical="center"/>
    </xf>
    <xf numFmtId="0" fontId="6" fillId="19" borderId="36" xfId="0" applyFont="1" applyFill="1" applyBorder="1" applyAlignment="1">
      <alignment horizontal="center" vertical="center"/>
    </xf>
    <xf numFmtId="0" fontId="6" fillId="19" borderId="37" xfId="0" applyFont="1" applyFill="1" applyBorder="1" applyAlignment="1">
      <alignment horizontal="center" vertical="center"/>
    </xf>
    <xf numFmtId="0" fontId="2" fillId="0" borderId="11" xfId="1" applyNumberFormat="1" applyBorder="1" applyAlignment="1">
      <alignment horizontal="center"/>
    </xf>
    <xf numFmtId="0" fontId="2" fillId="0" borderId="9" xfId="1" applyNumberFormat="1" applyBorder="1" applyAlignment="1">
      <alignment horizontal="center"/>
    </xf>
    <xf numFmtId="0" fontId="3" fillId="8" borderId="10" xfId="1" applyFont="1" applyFill="1" applyBorder="1" applyAlignment="1">
      <alignment horizontal="center"/>
    </xf>
    <xf numFmtId="0" fontId="3" fillId="8" borderId="11" xfId="1" applyFont="1" applyFill="1" applyBorder="1" applyAlignment="1">
      <alignment horizontal="center"/>
    </xf>
    <xf numFmtId="0" fontId="3" fillId="8" borderId="17" xfId="1" applyFont="1" applyFill="1" applyBorder="1" applyAlignment="1">
      <alignment horizontal="center"/>
    </xf>
    <xf numFmtId="0" fontId="3" fillId="8" borderId="10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9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3" fillId="8" borderId="9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</cellXfs>
  <cellStyles count="2">
    <cellStyle name="Normal" xfId="0" builtinId="0"/>
    <cellStyle name="常规 2" xfId="1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14" formatCode="0.00%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付费点收益!$B$6:$B$10</c:f>
              <c:numCache>
                <c:formatCode>General</c:formatCode>
                <c:ptCount val="5"/>
                <c:pt idx="0">
                  <c:v>30</c:v>
                </c:pt>
                <c:pt idx="1">
                  <c:v>68</c:v>
                </c:pt>
                <c:pt idx="2">
                  <c:v>128</c:v>
                </c:pt>
                <c:pt idx="3">
                  <c:v>328</c:v>
                </c:pt>
                <c:pt idx="4">
                  <c:v>648</c:v>
                </c:pt>
              </c:numCache>
            </c:numRef>
          </c:xVal>
          <c:yVal>
            <c:numRef>
              <c:f>付费点收益!$E$6:$E$10</c:f>
              <c:numCache>
                <c:formatCode>0.00%</c:formatCode>
                <c:ptCount val="5"/>
                <c:pt idx="0">
                  <c:v>1</c:v>
                </c:pt>
                <c:pt idx="1">
                  <c:v>0.94447592067988684</c:v>
                </c:pt>
                <c:pt idx="2">
                  <c:v>0.85355862775217617</c:v>
                </c:pt>
                <c:pt idx="3">
                  <c:v>0.84106962663975793</c:v>
                </c:pt>
                <c:pt idx="4">
                  <c:v>0.77175925925925926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036224"/>
        <c:axId val="608036784"/>
      </c:scatterChart>
      <c:valAx>
        <c:axId val="60803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8036784"/>
        <c:crosses val="autoZero"/>
        <c:crossBetween val="midCat"/>
      </c:valAx>
      <c:valAx>
        <c:axId val="608036784"/>
        <c:scaling>
          <c:orientation val="minMax"/>
          <c:max val="1"/>
          <c:min val="0.70000000000000062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6080362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付费点收益!$G$41</c:f>
              <c:strCache>
                <c:ptCount val="1"/>
                <c:pt idx="0">
                  <c:v>2工人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付费点收益!$G$42:$G$51</c:f>
              <c:numCache>
                <c:formatCode>0.0_ </c:formatCode>
                <c:ptCount val="10"/>
                <c:pt idx="0">
                  <c:v>1.8331666666666666</c:v>
                </c:pt>
                <c:pt idx="1">
                  <c:v>12.358333333333333</c:v>
                </c:pt>
                <c:pt idx="2">
                  <c:v>77.266666666666666</c:v>
                </c:pt>
                <c:pt idx="3">
                  <c:v>279.23333333333335</c:v>
                </c:pt>
                <c:pt idx="4">
                  <c:v>958.65000000000009</c:v>
                </c:pt>
                <c:pt idx="5">
                  <c:v>841.34999999999991</c:v>
                </c:pt>
                <c:pt idx="6">
                  <c:v>2752.4416666666666</c:v>
                </c:pt>
                <c:pt idx="7">
                  <c:v>4842</c:v>
                </c:pt>
                <c:pt idx="8">
                  <c:v>5609.25</c:v>
                </c:pt>
                <c:pt idx="9">
                  <c:v>1987.2583333333337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付费点收益!$H$41</c:f>
              <c:strCache>
                <c:ptCount val="1"/>
                <c:pt idx="0">
                  <c:v>3工人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付费点收益!$H$42:$H$51</c:f>
              <c:numCache>
                <c:formatCode>0.0_ </c:formatCode>
                <c:ptCount val="10"/>
                <c:pt idx="0">
                  <c:v>1.2221111111111111</c:v>
                </c:pt>
                <c:pt idx="1">
                  <c:v>8.2388888888888889</c:v>
                </c:pt>
                <c:pt idx="2">
                  <c:v>51.511111111111113</c:v>
                </c:pt>
                <c:pt idx="3">
                  <c:v>186.15555555555557</c:v>
                </c:pt>
                <c:pt idx="4">
                  <c:v>639.1</c:v>
                </c:pt>
                <c:pt idx="5">
                  <c:v>560.9</c:v>
                </c:pt>
                <c:pt idx="6">
                  <c:v>1834.961111111111</c:v>
                </c:pt>
                <c:pt idx="7">
                  <c:v>3228</c:v>
                </c:pt>
                <c:pt idx="8">
                  <c:v>3739.5</c:v>
                </c:pt>
                <c:pt idx="9">
                  <c:v>1324.8388888888892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付费点收益!$I$41</c:f>
              <c:strCache>
                <c:ptCount val="1"/>
                <c:pt idx="0">
                  <c:v>4工人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付费点收益!$I$42:$I$51</c:f>
              <c:numCache>
                <c:formatCode>0.0_ </c:formatCode>
                <c:ptCount val="10"/>
                <c:pt idx="0">
                  <c:v>0.91658333333333331</c:v>
                </c:pt>
                <c:pt idx="1">
                  <c:v>6.1791666666666663</c:v>
                </c:pt>
                <c:pt idx="2">
                  <c:v>38.633333333333333</c:v>
                </c:pt>
                <c:pt idx="3">
                  <c:v>139.61666666666667</c:v>
                </c:pt>
                <c:pt idx="4">
                  <c:v>479.32500000000005</c:v>
                </c:pt>
                <c:pt idx="5">
                  <c:v>420.67499999999995</c:v>
                </c:pt>
                <c:pt idx="6">
                  <c:v>1376.2208333333333</c:v>
                </c:pt>
                <c:pt idx="7">
                  <c:v>2421</c:v>
                </c:pt>
                <c:pt idx="8">
                  <c:v>2804.625</c:v>
                </c:pt>
                <c:pt idx="9">
                  <c:v>993.62916666666683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付费点收益!$J$41</c:f>
              <c:strCache>
                <c:ptCount val="1"/>
                <c:pt idx="0">
                  <c:v>5工人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付费点收益!$J$42:$J$51</c:f>
              <c:numCache>
                <c:formatCode>0.0_ </c:formatCode>
                <c:ptCount val="10"/>
                <c:pt idx="0">
                  <c:v>0.73326666666666662</c:v>
                </c:pt>
                <c:pt idx="1">
                  <c:v>4.9433333333333334</c:v>
                </c:pt>
                <c:pt idx="2">
                  <c:v>30.906666666666666</c:v>
                </c:pt>
                <c:pt idx="3">
                  <c:v>111.69333333333334</c:v>
                </c:pt>
                <c:pt idx="4">
                  <c:v>383.46000000000004</c:v>
                </c:pt>
                <c:pt idx="5">
                  <c:v>336.53999999999996</c:v>
                </c:pt>
                <c:pt idx="6">
                  <c:v>1100.9766666666667</c:v>
                </c:pt>
                <c:pt idx="7">
                  <c:v>1936.8</c:v>
                </c:pt>
                <c:pt idx="8">
                  <c:v>2243.6999999999998</c:v>
                </c:pt>
                <c:pt idx="9">
                  <c:v>794.90333333333342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487904"/>
        <c:axId val="609488464"/>
      </c:scatterChart>
      <c:valAx>
        <c:axId val="609487904"/>
        <c:scaling>
          <c:orientation val="minMax"/>
          <c:max val="10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609488464"/>
        <c:crosses val="autoZero"/>
        <c:crossBetween val="midCat"/>
        <c:majorUnit val="1"/>
      </c:valAx>
      <c:valAx>
        <c:axId val="609488464"/>
        <c:scaling>
          <c:orientation val="minMax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609487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6404175041143124"/>
                  <c:y val="-8.8485143060821128E-2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1"/>
            <c:trendlineLbl>
              <c:layout>
                <c:manualLayout>
                  <c:x val="0.18086413419285788"/>
                  <c:y val="0.14393689837049869"/>
                </c:manualLayout>
              </c:layout>
              <c:numFmt formatCode="General" sourceLinked="0"/>
            </c:trendlineLbl>
          </c:trendline>
          <c:xVal>
            <c:numRef>
              <c:f>付费点收益!$E$80:$T$80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  <c:pt idx="10">
                  <c:v>200000</c:v>
                </c:pt>
                <c:pt idx="11">
                  <c:v>500000</c:v>
                </c:pt>
                <c:pt idx="12">
                  <c:v>1000000</c:v>
                </c:pt>
                <c:pt idx="13">
                  <c:v>2000000</c:v>
                </c:pt>
                <c:pt idx="14">
                  <c:v>5000000</c:v>
                </c:pt>
                <c:pt idx="15">
                  <c:v>10000000</c:v>
                </c:pt>
              </c:numCache>
            </c:numRef>
          </c:xVal>
          <c:yVal>
            <c:numRef>
              <c:f>付费点收益!$E$81:$T$81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14</c:v>
                </c:pt>
                <c:pt idx="6">
                  <c:v>25</c:v>
                </c:pt>
                <c:pt idx="7">
                  <c:v>36</c:v>
                </c:pt>
                <c:pt idx="8">
                  <c:v>69</c:v>
                </c:pt>
                <c:pt idx="9">
                  <c:v>125</c:v>
                </c:pt>
                <c:pt idx="10">
                  <c:v>178</c:v>
                </c:pt>
                <c:pt idx="11">
                  <c:v>336</c:v>
                </c:pt>
                <c:pt idx="12">
                  <c:v>600</c:v>
                </c:pt>
                <c:pt idx="13">
                  <c:v>867</c:v>
                </c:pt>
                <c:pt idx="14">
                  <c:v>1667</c:v>
                </c:pt>
                <c:pt idx="15">
                  <c:v>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491264"/>
        <c:axId val="609491824"/>
      </c:scatterChart>
      <c:valAx>
        <c:axId val="609491264"/>
        <c:scaling>
          <c:orientation val="minMax"/>
          <c:max val="10000000"/>
        </c:scaling>
        <c:delete val="0"/>
        <c:axPos val="b"/>
        <c:numFmt formatCode="General" sourceLinked="1"/>
        <c:majorTickMark val="out"/>
        <c:minorTickMark val="none"/>
        <c:tickLblPos val="nextTo"/>
        <c:crossAx val="609491824"/>
        <c:crosses val="autoZero"/>
        <c:crossBetween val="midCat"/>
      </c:valAx>
      <c:valAx>
        <c:axId val="60949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949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3118035882908403"/>
          <c:y val="0.46981287244636732"/>
          <c:w val="0.14092099704267022"/>
          <c:h val="0.5241420182266208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建筑配置!$C$28:$M$28</c:f>
              <c:numCache>
                <c:formatCode>General</c:formatCode>
                <c:ptCount val="11"/>
                <c:pt idx="0">
                  <c:v>150</c:v>
                </c:pt>
                <c:pt idx="1">
                  <c:v>300</c:v>
                </c:pt>
                <c:pt idx="2">
                  <c:v>700</c:v>
                </c:pt>
                <c:pt idx="3">
                  <c:v>1400</c:v>
                </c:pt>
                <c:pt idx="4">
                  <c:v>3000</c:v>
                </c:pt>
                <c:pt idx="5">
                  <c:v>7000</c:v>
                </c:pt>
                <c:pt idx="6">
                  <c:v>14000</c:v>
                </c:pt>
                <c:pt idx="7">
                  <c:v>28000</c:v>
                </c:pt>
                <c:pt idx="8">
                  <c:v>56000</c:v>
                </c:pt>
                <c:pt idx="9">
                  <c:v>84000</c:v>
                </c:pt>
                <c:pt idx="10">
                  <c:v>168000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027840"/>
        <c:axId val="685005536"/>
      </c:scatterChart>
      <c:valAx>
        <c:axId val="68902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5005536"/>
        <c:crosses val="autoZero"/>
        <c:crossBetween val="midCat"/>
      </c:valAx>
      <c:valAx>
        <c:axId val="6850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02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3</xdr:row>
      <xdr:rowOff>152399</xdr:rowOff>
    </xdr:from>
    <xdr:to>
      <xdr:col>12</xdr:col>
      <xdr:colOff>276224</xdr:colOff>
      <xdr:row>10</xdr:row>
      <xdr:rowOff>66674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95250</xdr:colOff>
      <xdr:row>39</xdr:row>
      <xdr:rowOff>152400</xdr:rowOff>
    </xdr:from>
    <xdr:to>
      <xdr:col>16</xdr:col>
      <xdr:colOff>552450</xdr:colOff>
      <xdr:row>51</xdr:row>
      <xdr:rowOff>28575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83</xdr:row>
      <xdr:rowOff>114299</xdr:rowOff>
    </xdr:from>
    <xdr:to>
      <xdr:col>13</xdr:col>
      <xdr:colOff>495300</xdr:colOff>
      <xdr:row>91</xdr:row>
      <xdr:rowOff>57150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403412</xdr:colOff>
      <xdr:row>1</xdr:row>
      <xdr:rowOff>89646</xdr:rowOff>
    </xdr:from>
    <xdr:to>
      <xdr:col>17</xdr:col>
      <xdr:colOff>414618</xdr:colOff>
      <xdr:row>5</xdr:row>
      <xdr:rowOff>78441</xdr:rowOff>
    </xdr:to>
    <xdr:sp macro="" textlink="">
      <xdr:nvSpPr>
        <xdr:cNvPr id="2" name="圆角矩形 1"/>
        <xdr:cNvSpPr/>
      </xdr:nvSpPr>
      <xdr:spPr>
        <a:xfrm>
          <a:off x="9699812" y="280146"/>
          <a:ext cx="3440206" cy="750795"/>
        </a:xfrm>
        <a:prstGeom prst="roundRect">
          <a:avLst>
            <a:gd name="adj" fmla="val 7576"/>
          </a:avLst>
        </a:prstGeom>
        <a:solidFill>
          <a:schemeClr val="accent1">
            <a:lumMod val="20000"/>
            <a:lumOff val="80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增加经验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=power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（建造时间（小时数），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0.5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）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*60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得杯数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=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总杯数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*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破坏星数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/3</a:t>
          </a:r>
          <a:endParaRPr lang="zh-CN" altLang="en-US" sz="1100">
            <a:solidFill>
              <a:schemeClr val="tx1"/>
            </a:solidFill>
            <a:latin typeface="微软雅黑" pitchFamily="34" charset="-122"/>
            <a:ea typeface="微软雅黑" pitchFamily="34" charset="-122"/>
          </a:endParaRPr>
        </a:p>
      </xdr:txBody>
    </xdr:sp>
    <xdr:clientData/>
  </xdr:twoCellAnchor>
  <xdr:twoCellAnchor>
    <xdr:from>
      <xdr:col>4</xdr:col>
      <xdr:colOff>0</xdr:colOff>
      <xdr:row>40</xdr:row>
      <xdr:rowOff>129988</xdr:rowOff>
    </xdr:from>
    <xdr:to>
      <xdr:col>10</xdr:col>
      <xdr:colOff>291353</xdr:colOff>
      <xdr:row>55</xdr:row>
      <xdr:rowOff>60512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zhushengji.jeffrey\&#26700;&#38754;\COC&#25968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建筑全表"/>
      <sheetName val="建筑配置"/>
      <sheetName val="等级参数"/>
      <sheetName val="资源效率"/>
      <sheetName val="战斗属性"/>
    </sheetNames>
    <sheetDataSet>
      <sheetData sheetId="0"/>
      <sheetData sheetId="1">
        <row r="3">
          <cell r="D3">
            <v>3.472222222222222E-3</v>
          </cell>
          <cell r="E3">
            <v>0.125</v>
          </cell>
          <cell r="F3">
            <v>1</v>
          </cell>
          <cell r="G3">
            <v>2</v>
          </cell>
          <cell r="H3">
            <v>4</v>
          </cell>
          <cell r="I3">
            <v>6</v>
          </cell>
          <cell r="J3">
            <v>8</v>
          </cell>
          <cell r="K3">
            <v>10</v>
          </cell>
          <cell r="L3">
            <v>14</v>
          </cell>
        </row>
        <row r="4">
          <cell r="D4">
            <v>1000</v>
          </cell>
          <cell r="E4">
            <v>4000</v>
          </cell>
          <cell r="F4">
            <v>25000</v>
          </cell>
          <cell r="G4">
            <v>150000</v>
          </cell>
          <cell r="H4">
            <v>750000</v>
          </cell>
          <cell r="I4">
            <v>1200000</v>
          </cell>
          <cell r="J4">
            <v>2000000</v>
          </cell>
          <cell r="K4">
            <v>3000000</v>
          </cell>
          <cell r="L4">
            <v>4000000</v>
          </cell>
        </row>
        <row r="10">
          <cell r="C10">
            <v>0</v>
          </cell>
          <cell r="E10">
            <v>1</v>
          </cell>
          <cell r="F10">
            <v>2</v>
          </cell>
          <cell r="G10">
            <v>7</v>
          </cell>
        </row>
        <row r="11">
          <cell r="C11">
            <v>40000</v>
          </cell>
          <cell r="D11">
            <v>100000</v>
          </cell>
          <cell r="E11">
            <v>800000</v>
          </cell>
          <cell r="F11">
            <v>1800000</v>
          </cell>
          <cell r="G11">
            <v>7000000</v>
          </cell>
        </row>
        <row r="17">
          <cell r="C17">
            <v>6.9444444444444447E-4</v>
          </cell>
          <cell r="D17">
            <v>3.472222222222222E-3</v>
          </cell>
          <cell r="E17">
            <v>1.0416666666666666E-2</v>
          </cell>
          <cell r="F17">
            <v>4.1666666666666664E-2</v>
          </cell>
          <cell r="G17">
            <v>8.3333333333333329E-2</v>
          </cell>
          <cell r="H17">
            <v>0.25</v>
          </cell>
          <cell r="I17">
            <v>0.5</v>
          </cell>
          <cell r="J17">
            <v>1</v>
          </cell>
          <cell r="K17">
            <v>2</v>
          </cell>
          <cell r="L17">
            <v>3</v>
          </cell>
          <cell r="M17">
            <v>4</v>
          </cell>
        </row>
        <row r="18">
          <cell r="C18">
            <v>150</v>
          </cell>
          <cell r="D18">
            <v>300</v>
          </cell>
          <cell r="E18">
            <v>700</v>
          </cell>
          <cell r="F18">
            <v>1400</v>
          </cell>
          <cell r="G18">
            <v>3000</v>
          </cell>
          <cell r="H18">
            <v>7000</v>
          </cell>
          <cell r="I18">
            <v>14000</v>
          </cell>
          <cell r="J18">
            <v>28000</v>
          </cell>
          <cell r="K18">
            <v>56000</v>
          </cell>
          <cell r="L18">
            <v>84000</v>
          </cell>
          <cell r="M18">
            <v>168000</v>
          </cell>
        </row>
        <row r="26">
          <cell r="C26">
            <v>6.9444444444444447E-4</v>
          </cell>
          <cell r="D26">
            <v>3.472222222222222E-3</v>
          </cell>
          <cell r="E26">
            <v>1.0416666666666666E-2</v>
          </cell>
          <cell r="F26">
            <v>4.1666666666666664E-2</v>
          </cell>
          <cell r="G26">
            <v>8.3333333333333329E-2</v>
          </cell>
          <cell r="H26">
            <v>0.25</v>
          </cell>
          <cell r="I26">
            <v>0.5</v>
          </cell>
          <cell r="J26">
            <v>1</v>
          </cell>
          <cell r="K26">
            <v>2</v>
          </cell>
          <cell r="L26">
            <v>3</v>
          </cell>
          <cell r="M26">
            <v>4</v>
          </cell>
        </row>
        <row r="27">
          <cell r="C27">
            <v>150</v>
          </cell>
          <cell r="D27">
            <v>300</v>
          </cell>
          <cell r="E27">
            <v>700</v>
          </cell>
          <cell r="F27">
            <v>1400</v>
          </cell>
          <cell r="G27">
            <v>3000</v>
          </cell>
          <cell r="H27">
            <v>7000</v>
          </cell>
          <cell r="I27">
            <v>14000</v>
          </cell>
          <cell r="J27">
            <v>28000</v>
          </cell>
          <cell r="K27">
            <v>56000</v>
          </cell>
          <cell r="L27">
            <v>84000</v>
          </cell>
          <cell r="M27">
            <v>168000</v>
          </cell>
        </row>
        <row r="35">
          <cell r="C35">
            <v>1.0416666666666666E-2</v>
          </cell>
          <cell r="D35">
            <v>2.0833333333333332E-2</v>
          </cell>
          <cell r="E35">
            <v>4.1666666666666664E-2</v>
          </cell>
          <cell r="I35">
            <v>0.25</v>
          </cell>
          <cell r="J35">
            <v>0.33333333333333331</v>
          </cell>
          <cell r="K35">
            <v>0.5</v>
          </cell>
          <cell r="L35">
            <v>1</v>
          </cell>
          <cell r="M35">
            <v>2</v>
          </cell>
        </row>
        <row r="36">
          <cell r="C36">
            <v>300</v>
          </cell>
          <cell r="D36">
            <v>750</v>
          </cell>
          <cell r="E36">
            <v>1500</v>
          </cell>
          <cell r="F36">
            <v>3000</v>
          </cell>
          <cell r="G36">
            <v>6000</v>
          </cell>
          <cell r="H36">
            <v>12000</v>
          </cell>
          <cell r="I36">
            <v>25000</v>
          </cell>
          <cell r="J36">
            <v>50000</v>
          </cell>
          <cell r="K36">
            <v>100000</v>
          </cell>
          <cell r="L36">
            <v>250000</v>
          </cell>
          <cell r="M36">
            <v>500000</v>
          </cell>
        </row>
        <row r="43">
          <cell r="C43">
            <v>1.0416666666666666E-2</v>
          </cell>
          <cell r="D43">
            <v>2.0833333333333332E-2</v>
          </cell>
          <cell r="E43">
            <v>4.1666666666666664E-2</v>
          </cell>
          <cell r="F43">
            <v>8.3333333333333329E-2</v>
          </cell>
          <cell r="G43">
            <v>0.125</v>
          </cell>
          <cell r="H43">
            <v>0.16666666666666666</v>
          </cell>
          <cell r="I43">
            <v>0.25</v>
          </cell>
          <cell r="J43">
            <v>0.33333333333333331</v>
          </cell>
          <cell r="K43">
            <v>0.5</v>
          </cell>
          <cell r="L43">
            <v>1</v>
          </cell>
          <cell r="M43">
            <v>2</v>
          </cell>
        </row>
        <row r="44">
          <cell r="C44">
            <v>300</v>
          </cell>
          <cell r="D44">
            <v>750</v>
          </cell>
          <cell r="E44">
            <v>1500</v>
          </cell>
          <cell r="F44">
            <v>3000</v>
          </cell>
          <cell r="G44">
            <v>6000</v>
          </cell>
          <cell r="H44">
            <v>12000</v>
          </cell>
          <cell r="I44">
            <v>25000</v>
          </cell>
          <cell r="J44">
            <v>50000</v>
          </cell>
          <cell r="K44">
            <v>100000</v>
          </cell>
          <cell r="L44">
            <v>250000</v>
          </cell>
          <cell r="M44">
            <v>500000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6</v>
          </cell>
          <cell r="H51">
            <v>8</v>
          </cell>
        </row>
        <row r="52">
          <cell r="C52">
            <v>1000000</v>
          </cell>
          <cell r="D52">
            <v>1500000</v>
          </cell>
          <cell r="E52">
            <v>2000000</v>
          </cell>
          <cell r="F52">
            <v>3000000</v>
          </cell>
          <cell r="G52">
            <v>4000000</v>
          </cell>
          <cell r="H52">
            <v>5000000</v>
          </cell>
        </row>
        <row r="60">
          <cell r="C60">
            <v>1</v>
          </cell>
          <cell r="D60">
            <v>2</v>
          </cell>
          <cell r="E60">
            <v>3</v>
          </cell>
          <cell r="F60">
            <v>4</v>
          </cell>
          <cell r="G60">
            <v>5</v>
          </cell>
          <cell r="H60">
            <v>6</v>
          </cell>
        </row>
        <row r="61">
          <cell r="C61">
            <v>750000</v>
          </cell>
          <cell r="D61">
            <v>1200000</v>
          </cell>
          <cell r="E61">
            <v>1800000</v>
          </cell>
          <cell r="F61">
            <v>2400000</v>
          </cell>
          <cell r="G61">
            <v>3000000</v>
          </cell>
          <cell r="H61">
            <v>3600000</v>
          </cell>
        </row>
        <row r="68">
          <cell r="C68">
            <v>6.9444444444444447E-4</v>
          </cell>
          <cell r="D68">
            <v>1.0416666666666666E-2</v>
          </cell>
          <cell r="E68">
            <v>3.125E-2</v>
          </cell>
          <cell r="F68">
            <v>8.3333333333333329E-2</v>
          </cell>
          <cell r="G68">
            <v>0.25</v>
          </cell>
          <cell r="H68">
            <v>0.5</v>
          </cell>
          <cell r="I68">
            <v>1</v>
          </cell>
          <cell r="J68">
            <v>2</v>
          </cell>
          <cell r="K68">
            <v>3</v>
          </cell>
          <cell r="L68">
            <v>4</v>
          </cell>
          <cell r="M68">
            <v>5</v>
          </cell>
        </row>
        <row r="69">
          <cell r="C69">
            <v>250</v>
          </cell>
          <cell r="D69">
            <v>1000</v>
          </cell>
          <cell r="E69">
            <v>4000</v>
          </cell>
          <cell r="F69">
            <v>16000</v>
          </cell>
          <cell r="G69">
            <v>50000</v>
          </cell>
          <cell r="H69">
            <v>100000</v>
          </cell>
          <cell r="I69">
            <v>200000</v>
          </cell>
          <cell r="J69">
            <v>400000</v>
          </cell>
          <cell r="K69">
            <v>800000</v>
          </cell>
          <cell r="L69">
            <v>1600000</v>
          </cell>
          <cell r="M69">
            <v>3200000</v>
          </cell>
        </row>
        <row r="76">
          <cell r="C76">
            <v>0.33333333333333331</v>
          </cell>
          <cell r="D76">
            <v>0.5</v>
          </cell>
          <cell r="E76">
            <v>1</v>
          </cell>
          <cell r="F76">
            <v>2</v>
          </cell>
          <cell r="G76">
            <v>4</v>
          </cell>
          <cell r="H76">
            <v>5</v>
          </cell>
          <cell r="I76">
            <v>7</v>
          </cell>
        </row>
        <row r="77">
          <cell r="C77">
            <v>8000</v>
          </cell>
          <cell r="D77">
            <v>32000</v>
          </cell>
          <cell r="E77">
            <v>120000</v>
          </cell>
          <cell r="F77">
            <v>400000</v>
          </cell>
          <cell r="G77">
            <v>800000</v>
          </cell>
          <cell r="H77">
            <v>1600000</v>
          </cell>
          <cell r="I77">
            <v>3200000</v>
          </cell>
        </row>
        <row r="84">
          <cell r="C84">
            <v>1.0416666666666666E-2</v>
          </cell>
          <cell r="D84">
            <v>2.0833333333333332E-2</v>
          </cell>
          <cell r="E84">
            <v>3.125E-2</v>
          </cell>
          <cell r="F84">
            <v>0.16666666666666666</v>
          </cell>
          <cell r="G84">
            <v>0.5</v>
          </cell>
          <cell r="H84">
            <v>1</v>
          </cell>
          <cell r="I84">
            <v>3</v>
          </cell>
          <cell r="J84">
            <v>4</v>
          </cell>
          <cell r="K84">
            <v>5</v>
          </cell>
          <cell r="L84">
            <v>6</v>
          </cell>
          <cell r="M84">
            <v>7</v>
          </cell>
        </row>
        <row r="85">
          <cell r="C85">
            <v>1000</v>
          </cell>
          <cell r="D85">
            <v>2000</v>
          </cell>
          <cell r="E85">
            <v>5000</v>
          </cell>
          <cell r="F85">
            <v>20000</v>
          </cell>
          <cell r="G85">
            <v>80000</v>
          </cell>
          <cell r="H85">
            <v>180000</v>
          </cell>
          <cell r="I85">
            <v>360000</v>
          </cell>
          <cell r="J85">
            <v>720000</v>
          </cell>
          <cell r="K85">
            <v>1500000</v>
          </cell>
          <cell r="L85">
            <v>2500000</v>
          </cell>
          <cell r="M85">
            <v>5000000</v>
          </cell>
        </row>
        <row r="92">
          <cell r="C92">
            <v>0.20833333333333334</v>
          </cell>
          <cell r="D92">
            <v>1</v>
          </cell>
          <cell r="E92">
            <v>3</v>
          </cell>
          <cell r="F92">
            <v>5</v>
          </cell>
          <cell r="G92">
            <v>6</v>
          </cell>
          <cell r="H92">
            <v>8</v>
          </cell>
          <cell r="I92">
            <v>10</v>
          </cell>
          <cell r="J92">
            <v>12</v>
          </cell>
        </row>
        <row r="93">
          <cell r="C93">
            <v>22500</v>
          </cell>
          <cell r="D93">
            <v>90000</v>
          </cell>
          <cell r="E93">
            <v>270000</v>
          </cell>
          <cell r="F93">
            <v>540000</v>
          </cell>
          <cell r="G93">
            <v>1080000</v>
          </cell>
          <cell r="H93">
            <v>2160000</v>
          </cell>
          <cell r="I93">
            <v>4320000</v>
          </cell>
          <cell r="J93">
            <v>7560000</v>
          </cell>
        </row>
        <row r="100">
          <cell r="C100">
            <v>0.5</v>
          </cell>
          <cell r="D100">
            <v>1</v>
          </cell>
          <cell r="E100">
            <v>2</v>
          </cell>
          <cell r="F100">
            <v>4</v>
          </cell>
          <cell r="G100">
            <v>6</v>
          </cell>
          <cell r="H100">
            <v>8</v>
          </cell>
          <cell r="I100">
            <v>10</v>
          </cell>
        </row>
        <row r="101">
          <cell r="C101">
            <v>180000</v>
          </cell>
          <cell r="D101">
            <v>360000</v>
          </cell>
          <cell r="E101">
            <v>720000</v>
          </cell>
          <cell r="F101">
            <v>1280000</v>
          </cell>
          <cell r="G101">
            <v>1960000</v>
          </cell>
          <cell r="H101">
            <v>2680000</v>
          </cell>
          <cell r="I101">
            <v>5360000</v>
          </cell>
        </row>
        <row r="108">
          <cell r="C108">
            <v>2</v>
          </cell>
          <cell r="D108">
            <v>4</v>
          </cell>
          <cell r="E108">
            <v>6</v>
          </cell>
          <cell r="F108">
            <v>8</v>
          </cell>
          <cell r="G108">
            <v>10</v>
          </cell>
          <cell r="H108">
            <v>12</v>
          </cell>
          <cell r="I108">
            <v>14</v>
          </cell>
        </row>
        <row r="109">
          <cell r="C109">
            <v>1000000</v>
          </cell>
          <cell r="D109">
            <v>1250000</v>
          </cell>
          <cell r="E109">
            <v>1500000</v>
          </cell>
          <cell r="F109">
            <v>2000000</v>
          </cell>
          <cell r="G109">
            <v>2500000</v>
          </cell>
          <cell r="H109">
            <v>3000000</v>
          </cell>
          <cell r="I109">
            <v>3500000</v>
          </cell>
        </row>
        <row r="117">
          <cell r="C117">
            <v>200</v>
          </cell>
          <cell r="D117">
            <v>1000</v>
          </cell>
          <cell r="E117">
            <v>5000</v>
          </cell>
          <cell r="F117">
            <v>10000</v>
          </cell>
          <cell r="G117">
            <v>30000</v>
          </cell>
          <cell r="H117">
            <v>75000</v>
          </cell>
          <cell r="I117">
            <v>200000</v>
          </cell>
          <cell r="J117">
            <v>500000</v>
          </cell>
          <cell r="K117">
            <v>1000000</v>
          </cell>
          <cell r="L117">
            <v>3000000</v>
          </cell>
        </row>
        <row r="122">
          <cell r="C122">
            <v>7</v>
          </cell>
          <cell r="D122">
            <v>10</v>
          </cell>
          <cell r="E122">
            <v>14</v>
          </cell>
          <cell r="F122">
            <v>14</v>
          </cell>
        </row>
        <row r="123">
          <cell r="C123">
            <v>3000000</v>
          </cell>
          <cell r="D123">
            <v>6000000</v>
          </cell>
          <cell r="E123">
            <v>7000000</v>
          </cell>
          <cell r="F123">
            <v>8000000</v>
          </cell>
        </row>
        <row r="130">
          <cell r="C130">
            <v>7</v>
          </cell>
          <cell r="D130">
            <v>10</v>
          </cell>
        </row>
        <row r="131">
          <cell r="C131">
            <v>5000000</v>
          </cell>
          <cell r="D131">
            <v>8000000</v>
          </cell>
        </row>
        <row r="140">
          <cell r="C140">
            <v>3.472222222222222E-3</v>
          </cell>
          <cell r="D140">
            <v>4.1666666666666664E-2</v>
          </cell>
          <cell r="E140">
            <v>0.125</v>
          </cell>
          <cell r="F140">
            <v>0.33333333333333331</v>
          </cell>
          <cell r="G140">
            <v>1</v>
          </cell>
          <cell r="H140">
            <v>3</v>
          </cell>
          <cell r="I140">
            <v>5</v>
          </cell>
        </row>
        <row r="141">
          <cell r="C141">
            <v>250</v>
          </cell>
          <cell r="D141">
            <v>2500</v>
          </cell>
          <cell r="E141">
            <v>10000</v>
          </cell>
          <cell r="F141">
            <v>100000</v>
          </cell>
          <cell r="G141">
            <v>250000</v>
          </cell>
          <cell r="H141">
            <v>750000</v>
          </cell>
          <cell r="I141">
            <v>2250000</v>
          </cell>
        </row>
        <row r="148">
          <cell r="C148">
            <v>6.9444444444444447E-4</v>
          </cell>
          <cell r="D148">
            <v>1.0416666666666666E-2</v>
          </cell>
          <cell r="E148">
            <v>8.3333333333333329E-2</v>
          </cell>
          <cell r="F148">
            <v>0.16666666666666666</v>
          </cell>
          <cell r="G148">
            <v>0.41666666666666669</v>
          </cell>
          <cell r="H148">
            <v>0.66666666666666663</v>
          </cell>
          <cell r="I148">
            <v>1</v>
          </cell>
          <cell r="J148">
            <v>2</v>
          </cell>
          <cell r="K148">
            <v>4</v>
          </cell>
          <cell r="L148">
            <v>6</v>
          </cell>
        </row>
        <row r="149">
          <cell r="C149">
            <v>200</v>
          </cell>
          <cell r="D149">
            <v>1000</v>
          </cell>
          <cell r="E149">
            <v>2500</v>
          </cell>
          <cell r="F149">
            <v>5000</v>
          </cell>
          <cell r="G149">
            <v>10000</v>
          </cell>
          <cell r="H149">
            <v>80000</v>
          </cell>
          <cell r="I149">
            <v>240000</v>
          </cell>
          <cell r="J149">
            <v>700000</v>
          </cell>
          <cell r="K149">
            <v>1500000</v>
          </cell>
          <cell r="L149">
            <v>2000000</v>
          </cell>
        </row>
        <row r="156">
          <cell r="C156">
            <v>3</v>
          </cell>
          <cell r="D156">
            <v>5</v>
          </cell>
          <cell r="E156">
            <v>6</v>
          </cell>
          <cell r="F156">
            <v>7</v>
          </cell>
        </row>
        <row r="157">
          <cell r="C157">
            <v>750000</v>
          </cell>
          <cell r="D157">
            <v>1500000</v>
          </cell>
          <cell r="E157">
            <v>3000000</v>
          </cell>
          <cell r="F157">
            <v>4000000</v>
          </cell>
        </row>
        <row r="164">
          <cell r="C164">
            <v>2.0833333333333332E-2</v>
          </cell>
          <cell r="D164">
            <v>0.20833333333333334</v>
          </cell>
          <cell r="E164">
            <v>0.5</v>
          </cell>
          <cell r="F164">
            <v>1</v>
          </cell>
          <cell r="G164">
            <v>2</v>
          </cell>
          <cell r="H164">
            <v>4</v>
          </cell>
          <cell r="J164">
            <v>5</v>
          </cell>
          <cell r="L164">
            <v>6</v>
          </cell>
        </row>
        <row r="165">
          <cell r="C165">
            <v>25000</v>
          </cell>
          <cell r="D165">
            <v>50000</v>
          </cell>
          <cell r="E165">
            <v>90000</v>
          </cell>
          <cell r="F165">
            <v>270000</v>
          </cell>
          <cell r="G165">
            <v>500000</v>
          </cell>
          <cell r="H165">
            <v>1000000</v>
          </cell>
          <cell r="J165">
            <v>2500000</v>
          </cell>
          <cell r="L165">
            <v>4000000</v>
          </cell>
        </row>
        <row r="169">
          <cell r="C169">
            <v>0.25</v>
          </cell>
          <cell r="E169">
            <v>1</v>
          </cell>
          <cell r="G169">
            <v>3</v>
          </cell>
          <cell r="H169">
            <v>5</v>
          </cell>
          <cell r="J169">
            <v>10</v>
          </cell>
        </row>
        <row r="170">
          <cell r="C170">
            <v>50000</v>
          </cell>
          <cell r="E170">
            <v>150000</v>
          </cell>
          <cell r="G170">
            <v>500000</v>
          </cell>
          <cell r="H170">
            <v>1500000</v>
          </cell>
          <cell r="J170">
            <v>4500000</v>
          </cell>
        </row>
        <row r="172">
          <cell r="C172">
            <v>0.5</v>
          </cell>
          <cell r="E172">
            <v>2</v>
          </cell>
          <cell r="G172">
            <v>3</v>
          </cell>
          <cell r="H172">
            <v>5</v>
          </cell>
          <cell r="J172">
            <v>14</v>
          </cell>
        </row>
        <row r="173">
          <cell r="C173">
            <v>50000</v>
          </cell>
          <cell r="E173">
            <v>250000</v>
          </cell>
          <cell r="G173">
            <v>750000</v>
          </cell>
          <cell r="H173">
            <v>2250000</v>
          </cell>
          <cell r="J173">
            <v>7500000</v>
          </cell>
        </row>
        <row r="175">
          <cell r="C175">
            <v>0.5</v>
          </cell>
          <cell r="E175">
            <v>2</v>
          </cell>
          <cell r="G175">
            <v>3</v>
          </cell>
          <cell r="H175">
            <v>5</v>
          </cell>
        </row>
        <row r="176">
          <cell r="C176">
            <v>50000</v>
          </cell>
          <cell r="E176">
            <v>250000</v>
          </cell>
          <cell r="G176">
            <v>750000</v>
          </cell>
          <cell r="H176">
            <v>2250000</v>
          </cell>
        </row>
        <row r="178">
          <cell r="D178">
            <v>1</v>
          </cell>
          <cell r="F178">
            <v>2</v>
          </cell>
          <cell r="G178">
            <v>3</v>
          </cell>
          <cell r="H178">
            <v>5</v>
          </cell>
          <cell r="J178">
            <v>10</v>
          </cell>
        </row>
        <row r="179">
          <cell r="D179">
            <v>100000</v>
          </cell>
          <cell r="F179">
            <v>250000</v>
          </cell>
          <cell r="G179">
            <v>750000</v>
          </cell>
          <cell r="H179">
            <v>2250000</v>
          </cell>
          <cell r="J179">
            <v>6000000</v>
          </cell>
        </row>
        <row r="181">
          <cell r="D181">
            <v>1</v>
          </cell>
          <cell r="F181">
            <v>2</v>
          </cell>
          <cell r="G181">
            <v>3</v>
          </cell>
          <cell r="H181">
            <v>5</v>
          </cell>
        </row>
        <row r="182">
          <cell r="D182">
            <v>100000</v>
          </cell>
          <cell r="F182">
            <v>250000</v>
          </cell>
          <cell r="G182">
            <v>750000</v>
          </cell>
          <cell r="H182">
            <v>2250000</v>
          </cell>
        </row>
        <row r="184">
          <cell r="D184">
            <v>1</v>
          </cell>
          <cell r="F184">
            <v>2</v>
          </cell>
          <cell r="G184">
            <v>3</v>
          </cell>
          <cell r="H184">
            <v>5</v>
          </cell>
          <cell r="J184">
            <v>10</v>
          </cell>
        </row>
        <row r="185">
          <cell r="D185">
            <v>150000</v>
          </cell>
          <cell r="F185">
            <v>450000</v>
          </cell>
          <cell r="G185">
            <v>1350000</v>
          </cell>
          <cell r="H185">
            <v>2500000</v>
          </cell>
          <cell r="J185">
            <v>6000000</v>
          </cell>
        </row>
        <row r="187">
          <cell r="E187">
            <v>1</v>
          </cell>
          <cell r="F187">
            <v>2</v>
          </cell>
          <cell r="G187">
            <v>3</v>
          </cell>
          <cell r="H187">
            <v>5</v>
          </cell>
        </row>
        <row r="188">
          <cell r="E188">
            <v>150000</v>
          </cell>
          <cell r="F188">
            <v>450000</v>
          </cell>
          <cell r="G188">
            <v>1350000</v>
          </cell>
          <cell r="H188">
            <v>2500000</v>
          </cell>
        </row>
        <row r="190">
          <cell r="G190">
            <v>3</v>
          </cell>
          <cell r="H190">
            <v>5</v>
          </cell>
          <cell r="J190">
            <v>7</v>
          </cell>
        </row>
        <row r="191">
          <cell r="G191">
            <v>750000</v>
          </cell>
          <cell r="H191">
            <v>1500000</v>
          </cell>
          <cell r="J191">
            <v>3000000</v>
          </cell>
        </row>
        <row r="193">
          <cell r="G193">
            <v>7</v>
          </cell>
          <cell r="H193">
            <v>10</v>
          </cell>
          <cell r="L193">
            <v>12</v>
          </cell>
        </row>
        <row r="194">
          <cell r="G194">
            <v>2000000</v>
          </cell>
          <cell r="H194">
            <v>3000000</v>
          </cell>
          <cell r="L194">
            <v>8000000</v>
          </cell>
        </row>
        <row r="196">
          <cell r="H196">
            <v>10</v>
          </cell>
          <cell r="I196">
            <v>12</v>
          </cell>
        </row>
        <row r="197">
          <cell r="H197">
            <v>3000000</v>
          </cell>
          <cell r="I197">
            <v>6000000</v>
          </cell>
        </row>
        <row r="199">
          <cell r="C199">
            <v>1</v>
          </cell>
          <cell r="D199">
            <v>2</v>
          </cell>
          <cell r="E199">
            <v>3</v>
          </cell>
          <cell r="H199">
            <v>4</v>
          </cell>
        </row>
        <row r="200">
          <cell r="C200">
            <v>200000</v>
          </cell>
          <cell r="D200">
            <v>500000</v>
          </cell>
          <cell r="E200">
            <v>1000000</v>
          </cell>
          <cell r="H200">
            <v>2000000</v>
          </cell>
        </row>
        <row r="202">
          <cell r="D202">
            <v>1</v>
          </cell>
          <cell r="F202">
            <v>2</v>
          </cell>
          <cell r="G202">
            <v>3</v>
          </cell>
          <cell r="H202">
            <v>5</v>
          </cell>
        </row>
        <row r="203">
          <cell r="D203">
            <v>300000</v>
          </cell>
          <cell r="F203">
            <v>600000</v>
          </cell>
          <cell r="G203">
            <v>1200000</v>
          </cell>
          <cell r="H203">
            <v>2400000</v>
          </cell>
        </row>
        <row r="205">
          <cell r="E205">
            <v>2</v>
          </cell>
          <cell r="F205">
            <v>3</v>
          </cell>
          <cell r="G205">
            <v>5</v>
          </cell>
          <cell r="H205">
            <v>7</v>
          </cell>
        </row>
        <row r="206">
          <cell r="E206">
            <v>450000</v>
          </cell>
          <cell r="F206">
            <v>900000</v>
          </cell>
          <cell r="G206">
            <v>1800000</v>
          </cell>
          <cell r="H206">
            <v>3000000</v>
          </cell>
        </row>
        <row r="208">
          <cell r="J208">
            <v>5</v>
          </cell>
        </row>
        <row r="209">
          <cell r="J209">
            <v>4000000</v>
          </cell>
        </row>
        <row r="211">
          <cell r="G211">
            <v>5</v>
          </cell>
          <cell r="H211">
            <v>6</v>
          </cell>
          <cell r="I211">
            <v>7</v>
          </cell>
          <cell r="J211">
            <v>10</v>
          </cell>
        </row>
        <row r="212">
          <cell r="G212">
            <v>10000</v>
          </cell>
          <cell r="H212">
            <v>20000</v>
          </cell>
          <cell r="I212">
            <v>30000</v>
          </cell>
          <cell r="J212">
            <v>50000</v>
          </cell>
        </row>
        <row r="214">
          <cell r="G214">
            <v>8</v>
          </cell>
          <cell r="H214">
            <v>10</v>
          </cell>
          <cell r="I214">
            <v>12</v>
          </cell>
          <cell r="J214">
            <v>14</v>
          </cell>
        </row>
        <row r="215">
          <cell r="G215">
            <v>20000</v>
          </cell>
          <cell r="H215">
            <v>30000</v>
          </cell>
          <cell r="I215">
            <v>40000</v>
          </cell>
          <cell r="J215">
            <v>50000</v>
          </cell>
        </row>
        <row r="217">
          <cell r="H217">
            <v>10</v>
          </cell>
          <cell r="J217">
            <v>12</v>
          </cell>
          <cell r="K217">
            <v>14</v>
          </cell>
        </row>
        <row r="218">
          <cell r="H218">
            <v>50000</v>
          </cell>
          <cell r="J218">
            <v>60000</v>
          </cell>
          <cell r="K218">
            <v>70000</v>
          </cell>
        </row>
        <row r="220">
          <cell r="H220">
            <v>10</v>
          </cell>
          <cell r="J220">
            <v>12</v>
          </cell>
          <cell r="K220">
            <v>14</v>
          </cell>
          <cell r="L220">
            <v>14</v>
          </cell>
        </row>
        <row r="221">
          <cell r="H221">
            <v>60000</v>
          </cell>
          <cell r="J221">
            <v>70000</v>
          </cell>
          <cell r="K221">
            <v>80000</v>
          </cell>
          <cell r="L221">
            <v>90000</v>
          </cell>
        </row>
        <row r="225">
          <cell r="C225">
            <v>1</v>
          </cell>
          <cell r="D225">
            <v>2</v>
          </cell>
          <cell r="E225">
            <v>4</v>
          </cell>
          <cell r="F225">
            <v>5</v>
          </cell>
        </row>
        <row r="226">
          <cell r="C226">
            <v>200000</v>
          </cell>
          <cell r="D226">
            <v>400000</v>
          </cell>
          <cell r="E226">
            <v>800000</v>
          </cell>
          <cell r="F226">
            <v>1600000</v>
          </cell>
        </row>
        <row r="233">
          <cell r="C233">
            <v>0</v>
          </cell>
          <cell r="D233">
            <v>0.5</v>
          </cell>
          <cell r="E233">
            <v>1</v>
          </cell>
          <cell r="F233">
            <v>1.5</v>
          </cell>
          <cell r="G233">
            <v>2</v>
          </cell>
          <cell r="H233">
            <v>2.5</v>
          </cell>
          <cell r="I233">
            <v>3</v>
          </cell>
          <cell r="J233">
            <v>3.5</v>
          </cell>
          <cell r="K233">
            <v>4</v>
          </cell>
          <cell r="L233">
            <v>4.5</v>
          </cell>
          <cell r="M233">
            <v>5</v>
          </cell>
          <cell r="N233">
            <v>5.5</v>
          </cell>
          <cell r="O233">
            <v>6</v>
          </cell>
          <cell r="P233">
            <v>6.5</v>
          </cell>
          <cell r="Q233">
            <v>7</v>
          </cell>
          <cell r="R233">
            <v>7</v>
          </cell>
          <cell r="S233">
            <v>7</v>
          </cell>
          <cell r="T233">
            <v>7</v>
          </cell>
          <cell r="U233">
            <v>7</v>
          </cell>
          <cell r="V233">
            <v>7</v>
          </cell>
          <cell r="W233">
            <v>7</v>
          </cell>
          <cell r="X233">
            <v>7</v>
          </cell>
          <cell r="Y233">
            <v>7</v>
          </cell>
          <cell r="Z233">
            <v>7</v>
          </cell>
          <cell r="AA233">
            <v>7</v>
          </cell>
          <cell r="AB233">
            <v>7</v>
          </cell>
          <cell r="AC233">
            <v>7</v>
          </cell>
          <cell r="AD233">
            <v>7</v>
          </cell>
          <cell r="AE233">
            <v>7</v>
          </cell>
          <cell r="AF233">
            <v>7</v>
          </cell>
          <cell r="AG233">
            <v>7</v>
          </cell>
          <cell r="AH233">
            <v>7</v>
          </cell>
          <cell r="AI233">
            <v>7</v>
          </cell>
          <cell r="AJ233">
            <v>7</v>
          </cell>
          <cell r="AK233">
            <v>7</v>
          </cell>
          <cell r="AL233">
            <v>7</v>
          </cell>
          <cell r="AM233">
            <v>7</v>
          </cell>
          <cell r="AN233">
            <v>7</v>
          </cell>
          <cell r="AO233">
            <v>7</v>
          </cell>
          <cell r="AP233">
            <v>7</v>
          </cell>
        </row>
        <row r="234">
          <cell r="C234">
            <v>10000</v>
          </cell>
          <cell r="D234">
            <v>12500</v>
          </cell>
          <cell r="E234">
            <v>15000</v>
          </cell>
          <cell r="F234">
            <v>17500</v>
          </cell>
          <cell r="G234">
            <v>20000</v>
          </cell>
          <cell r="H234">
            <v>22500</v>
          </cell>
          <cell r="I234">
            <v>25000</v>
          </cell>
          <cell r="J234">
            <v>30000</v>
          </cell>
          <cell r="K234">
            <v>35000</v>
          </cell>
          <cell r="L234">
            <v>40000</v>
          </cell>
          <cell r="M234">
            <v>45000</v>
          </cell>
          <cell r="N234">
            <v>50000</v>
          </cell>
          <cell r="O234">
            <v>55000</v>
          </cell>
          <cell r="P234">
            <v>60000</v>
          </cell>
          <cell r="Q234">
            <v>65000</v>
          </cell>
          <cell r="R234">
            <v>70000</v>
          </cell>
          <cell r="S234">
            <v>75000</v>
          </cell>
          <cell r="T234">
            <v>80000</v>
          </cell>
          <cell r="U234">
            <v>85000</v>
          </cell>
          <cell r="V234">
            <v>90000</v>
          </cell>
          <cell r="W234">
            <v>95000</v>
          </cell>
          <cell r="X234">
            <v>100000</v>
          </cell>
          <cell r="Y234">
            <v>105000</v>
          </cell>
          <cell r="Z234">
            <v>110000</v>
          </cell>
          <cell r="AA234">
            <v>115000</v>
          </cell>
          <cell r="AB234">
            <v>120000</v>
          </cell>
          <cell r="AC234">
            <v>125000</v>
          </cell>
          <cell r="AD234">
            <v>130000</v>
          </cell>
          <cell r="AE234">
            <v>135000</v>
          </cell>
          <cell r="AF234">
            <v>140000</v>
          </cell>
          <cell r="AG234">
            <v>145000</v>
          </cell>
          <cell r="AH234">
            <v>150000</v>
          </cell>
          <cell r="AI234">
            <v>155000</v>
          </cell>
          <cell r="AJ234">
            <v>160000</v>
          </cell>
          <cell r="AK234">
            <v>165000</v>
          </cell>
          <cell r="AL234">
            <v>170000</v>
          </cell>
          <cell r="AM234">
            <v>175000</v>
          </cell>
          <cell r="AN234">
            <v>180000</v>
          </cell>
          <cell r="AO234">
            <v>185000</v>
          </cell>
          <cell r="AP234">
            <v>190000</v>
          </cell>
        </row>
        <row r="241">
          <cell r="C241">
            <v>0</v>
          </cell>
          <cell r="D241">
            <v>0.5</v>
          </cell>
          <cell r="E241">
            <v>1</v>
          </cell>
          <cell r="F241">
            <v>1.5</v>
          </cell>
          <cell r="G241">
            <v>2</v>
          </cell>
          <cell r="H241">
            <v>2.5</v>
          </cell>
          <cell r="I241">
            <v>3</v>
          </cell>
          <cell r="J241">
            <v>3.5</v>
          </cell>
          <cell r="K241">
            <v>4</v>
          </cell>
          <cell r="L241">
            <v>4.5</v>
          </cell>
          <cell r="M241">
            <v>5</v>
          </cell>
          <cell r="N241">
            <v>5.5</v>
          </cell>
          <cell r="O241">
            <v>6</v>
          </cell>
          <cell r="P241">
            <v>6.5</v>
          </cell>
          <cell r="Q241">
            <v>7</v>
          </cell>
          <cell r="R241">
            <v>7</v>
          </cell>
          <cell r="S241">
            <v>7</v>
          </cell>
          <cell r="T241">
            <v>7</v>
          </cell>
          <cell r="U241">
            <v>7</v>
          </cell>
          <cell r="V241">
            <v>7</v>
          </cell>
          <cell r="W241">
            <v>7</v>
          </cell>
          <cell r="X241">
            <v>7</v>
          </cell>
          <cell r="Y241">
            <v>7</v>
          </cell>
          <cell r="Z241">
            <v>7</v>
          </cell>
          <cell r="AA241">
            <v>7</v>
          </cell>
          <cell r="AB241">
            <v>7</v>
          </cell>
          <cell r="AC241">
            <v>7</v>
          </cell>
          <cell r="AD241">
            <v>7</v>
          </cell>
          <cell r="AE241">
            <v>7</v>
          </cell>
          <cell r="AF241">
            <v>7</v>
          </cell>
          <cell r="AG241">
            <v>7</v>
          </cell>
          <cell r="AH241">
            <v>7</v>
          </cell>
          <cell r="AI241">
            <v>7</v>
          </cell>
          <cell r="AJ241">
            <v>7</v>
          </cell>
          <cell r="AK241">
            <v>7</v>
          </cell>
          <cell r="AL241">
            <v>7</v>
          </cell>
          <cell r="AM241">
            <v>7</v>
          </cell>
          <cell r="AN241">
            <v>7</v>
          </cell>
          <cell r="AO241">
            <v>7</v>
          </cell>
          <cell r="AP241">
            <v>7</v>
          </cell>
        </row>
        <row r="242">
          <cell r="C242">
            <v>20000</v>
          </cell>
          <cell r="D242">
            <v>22500</v>
          </cell>
          <cell r="E242">
            <v>25000</v>
          </cell>
          <cell r="F242">
            <v>27500</v>
          </cell>
          <cell r="G242">
            <v>30000</v>
          </cell>
          <cell r="H242">
            <v>32500</v>
          </cell>
          <cell r="I242">
            <v>35000</v>
          </cell>
          <cell r="J242">
            <v>37500</v>
          </cell>
          <cell r="K242">
            <v>40000</v>
          </cell>
          <cell r="L242">
            <v>45000</v>
          </cell>
          <cell r="M242">
            <v>50000</v>
          </cell>
          <cell r="N242">
            <v>55000</v>
          </cell>
          <cell r="O242">
            <v>60000</v>
          </cell>
          <cell r="P242">
            <v>65000</v>
          </cell>
          <cell r="Q242">
            <v>70000</v>
          </cell>
          <cell r="R242">
            <v>75000</v>
          </cell>
          <cell r="S242">
            <v>80000</v>
          </cell>
          <cell r="T242">
            <v>90000</v>
          </cell>
          <cell r="U242">
            <v>95000</v>
          </cell>
          <cell r="V242">
            <v>100000</v>
          </cell>
          <cell r="W242">
            <v>105000</v>
          </cell>
          <cell r="X242">
            <v>110000</v>
          </cell>
          <cell r="Y242">
            <v>115000</v>
          </cell>
          <cell r="Z242">
            <v>120000</v>
          </cell>
          <cell r="AA242">
            <v>125000</v>
          </cell>
          <cell r="AB242">
            <v>130000</v>
          </cell>
          <cell r="AC242">
            <v>135000</v>
          </cell>
          <cell r="AD242">
            <v>140000</v>
          </cell>
          <cell r="AE242">
            <v>145000</v>
          </cell>
          <cell r="AF242">
            <v>150000</v>
          </cell>
          <cell r="AG242">
            <v>155000</v>
          </cell>
          <cell r="AH242">
            <v>160000</v>
          </cell>
          <cell r="AI242">
            <v>165000</v>
          </cell>
          <cell r="AJ242">
            <v>170000</v>
          </cell>
          <cell r="AK242">
            <v>175000</v>
          </cell>
          <cell r="AL242">
            <v>180000</v>
          </cell>
          <cell r="AM242">
            <v>185000</v>
          </cell>
          <cell r="AN242">
            <v>190000</v>
          </cell>
          <cell r="AO242">
            <v>195000</v>
          </cell>
          <cell r="AP242">
            <v>200000</v>
          </cell>
        </row>
      </sheetData>
      <sheetData sheetId="2"/>
      <sheetData sheetId="3">
        <row r="3">
          <cell r="E3">
            <v>400</v>
          </cell>
        </row>
        <row r="4">
          <cell r="E4">
            <v>1600</v>
          </cell>
        </row>
        <row r="5">
          <cell r="E5">
            <v>3900</v>
          </cell>
        </row>
        <row r="6">
          <cell r="E6">
            <v>7600</v>
          </cell>
        </row>
        <row r="7">
          <cell r="E7">
            <v>12500</v>
          </cell>
        </row>
        <row r="8">
          <cell r="E8">
            <v>15000</v>
          </cell>
        </row>
        <row r="9">
          <cell r="E9">
            <v>18000</v>
          </cell>
        </row>
        <row r="10">
          <cell r="E10">
            <v>18000</v>
          </cell>
        </row>
        <row r="11">
          <cell r="E11">
            <v>18000</v>
          </cell>
        </row>
        <row r="12">
          <cell r="E12">
            <v>18000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id="2" name="表2" displayName="表2" ref="B5:E10" totalsRowShown="0" headerRowDxfId="82" dataDxfId="81">
  <tableColumns count="4">
    <tableColumn id="1" name="RMB" dataDxfId="80"/>
    <tableColumn id="2" name="Gem" dataDxfId="79"/>
    <tableColumn id="3" name="汇率 Gem/RMB" dataDxfId="78">
      <calculatedColumnFormula>ROUND(C6/B6,2)</calculatedColumnFormula>
    </tableColumn>
    <tableColumn id="5" name="折扣" dataDxfId="77">
      <calculatedColumnFormula>$D$6/D6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B33:F38" totalsRowShown="0" headerRowDxfId="76" dataDxfId="75">
  <tableColumns count="5">
    <tableColumn id="1" name="工人数" dataDxfId="74"/>
    <tableColumn id="2" name="Gem" dataDxfId="73"/>
    <tableColumn id="5" name="玩半个月(H/Gem)" dataDxfId="72">
      <calculatedColumnFormula>IFERROR((15*24)/表1[[#This Row],[Gem]],0)</calculatedColumnFormula>
    </tableColumn>
    <tableColumn id="3" name="玩1个月(H/Gem)" dataDxfId="71">
      <calculatedColumnFormula>IFERROR((30*24)/表1[[#This Row],[Gem]],0)</calculatedColumnFormula>
    </tableColumn>
    <tableColumn id="4" name="玩2个月(H/Gem)" dataDxfId="70">
      <calculatedColumnFormula>IFERROR((60*24)/表1[[#This Row],[Gem]],0)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2:AD12" totalsRowShown="0" headerRowDxfId="69" dataDxfId="67" headerRowBorderDxfId="68" tableBorderDxfId="66" totalsRowBorderDxfId="65">
  <autoFilter ref="A2:AD12"/>
  <tableColumns count="30">
    <tableColumn id="1" name="大本营等级" dataDxfId="64"/>
    <tableColumn id="2" name="部落城堡" dataDxfId="63"/>
    <tableColumn id="3" name="金矿" dataDxfId="62"/>
    <tableColumn id="4" name="圣水收集器" dataDxfId="61"/>
    <tableColumn id="5" name="储金罐" dataDxfId="60"/>
    <tableColumn id="6" name="圣水瓶" dataDxfId="59"/>
    <tableColumn id="7" name="暗黑石油钻井" dataDxfId="58"/>
    <tableColumn id="8" name="暗黑石油罐" dataDxfId="57"/>
    <tableColumn id="9" name="工房" dataDxfId="56"/>
    <tableColumn id="10" name="加农炮" dataDxfId="55"/>
    <tableColumn id="11" name="迫击炮" dataDxfId="54"/>
    <tableColumn id="12" name="弓箭塔" dataDxfId="53"/>
    <tableColumn id="13" name="防空火箭" dataDxfId="52"/>
    <tableColumn id="14" name="法师塔" dataDxfId="51"/>
    <tableColumn id="15" name="电磁塔" dataDxfId="50"/>
    <tableColumn id="16" name="城墙" dataDxfId="49"/>
    <tableColumn id="17" name="X弩" dataDxfId="48"/>
    <tableColumn id="18" name="地狱之塔" dataDxfId="47"/>
    <tableColumn id="19" name="隐身炸弹" dataDxfId="46"/>
    <tableColumn id="20" name="隐身弹簧" dataDxfId="45"/>
    <tableColumn id="21" name="巨型炸弹" dataDxfId="44"/>
    <tableColumn id="22" name="空中炸弹" dataDxfId="43"/>
    <tableColumn id="23" name="追踪式空中炸弹" dataDxfId="42"/>
    <tableColumn id="24" name="营地" dataDxfId="41"/>
    <tableColumn id="25" name="训练营" dataDxfId="40"/>
    <tableColumn id="26" name="黑暗训练营" dataDxfId="39"/>
    <tableColumn id="27" name="试验室" dataDxfId="38"/>
    <tableColumn id="28" name="法术工厂" dataDxfId="37"/>
    <tableColumn id="29" name="野蛮人之王" dataDxfId="36"/>
    <tableColumn id="30" name="弓箭女王" dataDxfId="35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表3_5" displayName="表3_5" ref="A15:AD25" totalsRowShown="0" headerRowDxfId="34" dataDxfId="32" headerRowBorderDxfId="33" tableBorderDxfId="31" totalsRowBorderDxfId="30">
  <autoFilter ref="A15:AD25"/>
  <tableColumns count="30">
    <tableColumn id="1" name="大本营等级" dataDxfId="29"/>
    <tableColumn id="2" name="部落城堡" dataDxfId="28"/>
    <tableColumn id="3" name="金矿" dataDxfId="27"/>
    <tableColumn id="4" name="圣水收集器" dataDxfId="26"/>
    <tableColumn id="5" name="储金罐" dataDxfId="25"/>
    <tableColumn id="6" name="圣水瓶" dataDxfId="24"/>
    <tableColumn id="7" name="暗黑石油钻井" dataDxfId="23"/>
    <tableColumn id="8" name="暗黑石油罐" dataDxfId="22"/>
    <tableColumn id="9" name="工房" dataDxfId="21"/>
    <tableColumn id="10" name="加农炮" dataDxfId="20"/>
    <tableColumn id="11" name="迫击炮" dataDxfId="19"/>
    <tableColumn id="12" name="弓箭塔" dataDxfId="18"/>
    <tableColumn id="13" name="防空火箭" dataDxfId="17"/>
    <tableColumn id="14" name="法师塔" dataDxfId="16"/>
    <tableColumn id="15" name="电磁塔" dataDxfId="15"/>
    <tableColumn id="16" name="城墙" dataDxfId="14"/>
    <tableColumn id="17" name="X弩" dataDxfId="13"/>
    <tableColumn id="18" name="地狱之塔" dataDxfId="12"/>
    <tableColumn id="19" name="隐身炸弹" dataDxfId="11"/>
    <tableColumn id="20" name="隐身弹簧" dataDxfId="10"/>
    <tableColumn id="21" name="巨型炸弹" dataDxfId="9"/>
    <tableColumn id="22" name="空中炸弹" dataDxfId="8"/>
    <tableColumn id="23" name="追踪式空中炸弹" dataDxfId="7"/>
    <tableColumn id="24" name="营地" dataDxfId="6"/>
    <tableColumn id="25" name="训练营" dataDxfId="5"/>
    <tableColumn id="26" name="黑暗训练营" dataDxfId="4"/>
    <tableColumn id="27" name="试验室" dataDxfId="3"/>
    <tableColumn id="28" name="法术工厂" dataDxfId="2"/>
    <tableColumn id="29" name="野蛮人之王" dataDxfId="1"/>
    <tableColumn id="30" name="弓箭女王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176"/>
  <sheetViews>
    <sheetView topLeftCell="A7" zoomScale="85" zoomScaleNormal="85" workbookViewId="0">
      <selection activeCell="H52" sqref="H52"/>
    </sheetView>
  </sheetViews>
  <sheetFormatPr defaultRowHeight="16.5" x14ac:dyDescent="0.15"/>
  <cols>
    <col min="1" max="2" width="9" style="88"/>
    <col min="3" max="3" width="9.5" style="88" bestFit="1" customWidth="1"/>
    <col min="4" max="4" width="10.125" style="88" customWidth="1"/>
    <col min="5" max="5" width="12" style="88" customWidth="1"/>
    <col min="6" max="6" width="10.625" style="88" customWidth="1"/>
    <col min="7" max="7" width="14.625" style="88" bestFit="1" customWidth="1"/>
    <col min="8" max="8" width="12.5" style="88" customWidth="1"/>
    <col min="9" max="9" width="10.375" style="88" customWidth="1"/>
    <col min="10" max="10" width="10.875" style="88" customWidth="1"/>
    <col min="11" max="18" width="9" style="88"/>
    <col min="19" max="19" width="9.5" style="88" bestFit="1" customWidth="1"/>
    <col min="20" max="16384" width="9" style="88"/>
  </cols>
  <sheetData>
    <row r="3" spans="2:5" s="94" customFormat="1" x14ac:dyDescent="0.15">
      <c r="B3" s="94" t="s">
        <v>282</v>
      </c>
    </row>
    <row r="4" spans="2:5" x14ac:dyDescent="0.15">
      <c r="B4" s="123" t="s">
        <v>0</v>
      </c>
      <c r="C4" s="123"/>
      <c r="D4" s="89"/>
      <c r="E4" s="89"/>
    </row>
    <row r="5" spans="2:5" ht="34.5" customHeight="1" x14ac:dyDescent="0.15">
      <c r="B5" s="89" t="s">
        <v>1</v>
      </c>
      <c r="C5" s="89" t="s">
        <v>2</v>
      </c>
      <c r="D5" s="90" t="s">
        <v>4</v>
      </c>
      <c r="E5" s="89" t="s">
        <v>3</v>
      </c>
    </row>
    <row r="6" spans="2:5" x14ac:dyDescent="0.15">
      <c r="B6" s="89">
        <v>30</v>
      </c>
      <c r="C6" s="89">
        <v>500</v>
      </c>
      <c r="D6" s="89">
        <f>ROUND(C6/B6,2)</f>
        <v>16.670000000000002</v>
      </c>
      <c r="E6" s="92">
        <f>$D$6/D6</f>
        <v>1</v>
      </c>
    </row>
    <row r="7" spans="2:5" x14ac:dyDescent="0.15">
      <c r="B7" s="89">
        <v>68</v>
      </c>
      <c r="C7" s="89">
        <v>1200</v>
      </c>
      <c r="D7" s="89">
        <f t="shared" ref="D7:D10" si="0">ROUND(C7/B7,2)</f>
        <v>17.649999999999999</v>
      </c>
      <c r="E7" s="92">
        <f>$D$6/D7</f>
        <v>0.94447592067988684</v>
      </c>
    </row>
    <row r="8" spans="2:5" x14ac:dyDescent="0.15">
      <c r="B8" s="89">
        <v>128</v>
      </c>
      <c r="C8" s="89">
        <v>2500</v>
      </c>
      <c r="D8" s="89">
        <f t="shared" si="0"/>
        <v>19.53</v>
      </c>
      <c r="E8" s="92">
        <f>$D$6/D8</f>
        <v>0.85355862775217617</v>
      </c>
    </row>
    <row r="9" spans="2:5" x14ac:dyDescent="0.15">
      <c r="B9" s="89">
        <v>328</v>
      </c>
      <c r="C9" s="89">
        <v>6500</v>
      </c>
      <c r="D9" s="89">
        <f t="shared" si="0"/>
        <v>19.82</v>
      </c>
      <c r="E9" s="92">
        <f>$D$6/D9</f>
        <v>0.84106962663975793</v>
      </c>
    </row>
    <row r="10" spans="2:5" x14ac:dyDescent="0.15">
      <c r="B10" s="89">
        <v>648</v>
      </c>
      <c r="C10" s="89">
        <v>14000</v>
      </c>
      <c r="D10" s="89">
        <f t="shared" si="0"/>
        <v>21.6</v>
      </c>
      <c r="E10" s="92">
        <f>$D$6/D10</f>
        <v>0.77175925925925926</v>
      </c>
    </row>
    <row r="12" spans="2:5" x14ac:dyDescent="0.15">
      <c r="B12" s="88" t="s">
        <v>5</v>
      </c>
    </row>
    <row r="13" spans="2:5" x14ac:dyDescent="0.15">
      <c r="C13" s="93" t="s">
        <v>7</v>
      </c>
    </row>
    <row r="14" spans="2:5" x14ac:dyDescent="0.15">
      <c r="C14" s="88" t="s">
        <v>405</v>
      </c>
    </row>
    <row r="15" spans="2:5" s="122" customFormat="1" x14ac:dyDescent="0.15">
      <c r="C15" s="122" t="s">
        <v>406</v>
      </c>
    </row>
    <row r="17" spans="1:24" x14ac:dyDescent="0.15">
      <c r="B17" s="123" t="s">
        <v>283</v>
      </c>
      <c r="C17" s="123"/>
    </row>
    <row r="18" spans="1:24" x14ac:dyDescent="0.15">
      <c r="C18" s="88" t="s">
        <v>286</v>
      </c>
    </row>
    <row r="19" spans="1:24" x14ac:dyDescent="0.15">
      <c r="C19" s="88" t="s">
        <v>287</v>
      </c>
    </row>
    <row r="20" spans="1:24" x14ac:dyDescent="0.15">
      <c r="B20" s="125" t="s">
        <v>288</v>
      </c>
      <c r="C20" s="126"/>
      <c r="D20" s="81" t="s">
        <v>284</v>
      </c>
      <c r="E20" s="81" t="s">
        <v>285</v>
      </c>
    </row>
    <row r="21" spans="1:24" x14ac:dyDescent="0.15">
      <c r="B21" s="127" t="s">
        <v>289</v>
      </c>
      <c r="C21" s="128"/>
      <c r="D21" s="102">
        <v>240</v>
      </c>
      <c r="E21" s="102">
        <v>0</v>
      </c>
      <c r="G21" s="81" t="s">
        <v>295</v>
      </c>
    </row>
    <row r="22" spans="1:24" x14ac:dyDescent="0.15">
      <c r="B22" s="129" t="s">
        <v>290</v>
      </c>
      <c r="C22" s="130"/>
      <c r="D22" s="103">
        <v>38</v>
      </c>
      <c r="E22" s="103">
        <v>0</v>
      </c>
      <c r="G22" s="103" t="s">
        <v>297</v>
      </c>
      <c r="H22" s="103" t="s">
        <v>296</v>
      </c>
      <c r="I22" s="103" t="s">
        <v>301</v>
      </c>
      <c r="J22" s="103" t="s">
        <v>302</v>
      </c>
      <c r="K22" s="103" t="s">
        <v>303</v>
      </c>
      <c r="L22" s="103" t="s">
        <v>304</v>
      </c>
      <c r="M22" s="103" t="s">
        <v>305</v>
      </c>
      <c r="N22" s="103" t="s">
        <v>306</v>
      </c>
      <c r="O22" s="103" t="s">
        <v>307</v>
      </c>
      <c r="P22" s="103" t="s">
        <v>308</v>
      </c>
      <c r="Q22" s="103" t="s">
        <v>309</v>
      </c>
      <c r="R22" s="103" t="s">
        <v>310</v>
      </c>
      <c r="S22" s="103" t="s">
        <v>311</v>
      </c>
      <c r="T22" s="103" t="s">
        <v>312</v>
      </c>
      <c r="U22" s="103" t="s">
        <v>313</v>
      </c>
      <c r="V22" s="103" t="s">
        <v>314</v>
      </c>
      <c r="W22" s="103" t="s">
        <v>315</v>
      </c>
      <c r="X22" s="103" t="s">
        <v>316</v>
      </c>
    </row>
    <row r="23" spans="1:24" x14ac:dyDescent="0.15">
      <c r="B23" s="127" t="s">
        <v>291</v>
      </c>
      <c r="C23" s="128"/>
      <c r="D23" s="102">
        <v>20</v>
      </c>
      <c r="E23" s="102" t="s">
        <v>317</v>
      </c>
      <c r="G23" s="102" t="s">
        <v>298</v>
      </c>
      <c r="H23" s="104">
        <v>2</v>
      </c>
      <c r="I23" s="104">
        <v>5</v>
      </c>
      <c r="J23" s="104">
        <v>5</v>
      </c>
      <c r="K23" s="104">
        <v>5</v>
      </c>
      <c r="L23" s="104">
        <v>5</v>
      </c>
      <c r="M23" s="104">
        <v>5</v>
      </c>
      <c r="N23" s="104">
        <v>5</v>
      </c>
      <c r="O23" s="104">
        <v>5</v>
      </c>
      <c r="P23" s="104">
        <v>5</v>
      </c>
      <c r="Q23" s="104">
        <v>5</v>
      </c>
      <c r="R23" s="104">
        <v>5</v>
      </c>
      <c r="S23" s="104">
        <v>5</v>
      </c>
      <c r="T23" s="104">
        <v>5</v>
      </c>
      <c r="U23" s="104">
        <v>5</v>
      </c>
      <c r="V23" s="104">
        <v>5</v>
      </c>
      <c r="W23" s="104">
        <v>5</v>
      </c>
      <c r="X23" s="102">
        <v>5</v>
      </c>
    </row>
    <row r="24" spans="1:24" x14ac:dyDescent="0.15">
      <c r="B24" s="129" t="s">
        <v>292</v>
      </c>
      <c r="C24" s="130"/>
      <c r="D24" s="103">
        <v>202</v>
      </c>
      <c r="E24" s="103">
        <v>1210</v>
      </c>
      <c r="G24" s="103" t="s">
        <v>299</v>
      </c>
      <c r="H24" s="105">
        <v>5</v>
      </c>
      <c r="I24" s="105">
        <v>10</v>
      </c>
      <c r="J24" s="105">
        <v>10</v>
      </c>
      <c r="K24" s="105">
        <v>10</v>
      </c>
      <c r="L24" s="105">
        <v>10</v>
      </c>
      <c r="M24" s="105">
        <v>10</v>
      </c>
      <c r="N24" s="105">
        <v>10</v>
      </c>
      <c r="O24" s="105">
        <v>10</v>
      </c>
      <c r="P24" s="105">
        <v>10</v>
      </c>
      <c r="Q24" s="105">
        <v>10</v>
      </c>
      <c r="R24" s="105">
        <v>10</v>
      </c>
      <c r="S24" s="105">
        <v>10</v>
      </c>
      <c r="T24" s="105">
        <v>10</v>
      </c>
      <c r="U24" s="103">
        <v>50</v>
      </c>
      <c r="V24" s="103">
        <v>25</v>
      </c>
      <c r="W24" s="103">
        <v>10</v>
      </c>
      <c r="X24" s="103">
        <v>10</v>
      </c>
    </row>
    <row r="25" spans="1:24" x14ac:dyDescent="0.15">
      <c r="B25" s="127" t="s">
        <v>293</v>
      </c>
      <c r="C25" s="128"/>
      <c r="D25" s="102">
        <f>SUM(D21:D24)</f>
        <v>500</v>
      </c>
      <c r="E25" s="102">
        <f>SUM(E21:E24)</f>
        <v>1210</v>
      </c>
      <c r="G25" s="102" t="s">
        <v>300</v>
      </c>
      <c r="H25" s="102">
        <v>10</v>
      </c>
      <c r="I25" s="102">
        <v>20</v>
      </c>
      <c r="J25" s="102">
        <v>20</v>
      </c>
      <c r="K25" s="102">
        <v>20</v>
      </c>
      <c r="L25" s="102">
        <v>20</v>
      </c>
      <c r="M25" s="102">
        <v>20</v>
      </c>
      <c r="N25" s="102">
        <v>20</v>
      </c>
      <c r="O25" s="102">
        <v>450</v>
      </c>
      <c r="P25" s="102">
        <v>20</v>
      </c>
      <c r="Q25" s="102">
        <v>20</v>
      </c>
      <c r="R25" s="102">
        <v>50</v>
      </c>
      <c r="S25" s="102">
        <v>30</v>
      </c>
      <c r="T25" s="102">
        <v>20</v>
      </c>
      <c r="U25" s="102">
        <v>100</v>
      </c>
      <c r="V25" s="102">
        <v>250</v>
      </c>
      <c r="W25" s="102">
        <v>20</v>
      </c>
      <c r="X25" s="102">
        <v>20</v>
      </c>
    </row>
    <row r="26" spans="1:24" x14ac:dyDescent="0.15">
      <c r="B26" s="88" t="s">
        <v>5</v>
      </c>
      <c r="G26" s="122" t="s">
        <v>345</v>
      </c>
    </row>
    <row r="27" spans="1:24" x14ac:dyDescent="0.15">
      <c r="C27" s="88" t="s">
        <v>318</v>
      </c>
    </row>
    <row r="30" spans="1:24" x14ac:dyDescent="0.15">
      <c r="A30" s="88" t="s">
        <v>6</v>
      </c>
    </row>
    <row r="31" spans="1:24" s="94" customFormat="1" x14ac:dyDescent="0.15">
      <c r="B31" s="94" t="s">
        <v>262</v>
      </c>
    </row>
    <row r="32" spans="1:24" ht="19.5" customHeight="1" x14ac:dyDescent="0.15">
      <c r="B32" s="124" t="s">
        <v>219</v>
      </c>
      <c r="C32" s="124"/>
      <c r="D32" s="124"/>
    </row>
    <row r="33" spans="2:10" ht="37.5" customHeight="1" x14ac:dyDescent="0.15">
      <c r="B33" s="89" t="s">
        <v>8</v>
      </c>
      <c r="C33" s="89" t="s">
        <v>2</v>
      </c>
      <c r="D33" s="90" t="s">
        <v>248</v>
      </c>
      <c r="E33" s="90" t="s">
        <v>247</v>
      </c>
      <c r="F33" s="90" t="s">
        <v>246</v>
      </c>
    </row>
    <row r="34" spans="2:10" x14ac:dyDescent="0.15">
      <c r="B34" s="89">
        <v>1</v>
      </c>
      <c r="C34" s="89">
        <v>0</v>
      </c>
      <c r="D34" s="91">
        <f>IFERROR((15*24)/表1[[#This Row],[Gem]],0)</f>
        <v>0</v>
      </c>
      <c r="E34" s="91">
        <f>IFERROR((30*24)/表1[[#This Row],[Gem]],0)</f>
        <v>0</v>
      </c>
      <c r="F34" s="91">
        <f>IFERROR((60*24)/表1[[#This Row],[Gem]],0)</f>
        <v>0</v>
      </c>
    </row>
    <row r="35" spans="2:10" x14ac:dyDescent="0.15">
      <c r="B35" s="89">
        <v>2</v>
      </c>
      <c r="C35" s="89">
        <v>250</v>
      </c>
      <c r="D35" s="91">
        <f>IFERROR((15*24)/表1[[#This Row],[Gem]],0)</f>
        <v>1.44</v>
      </c>
      <c r="E35" s="91">
        <f>IFERROR((30*24)/表1[[#This Row],[Gem]],0)</f>
        <v>2.88</v>
      </c>
      <c r="F35" s="91">
        <f>IFERROR((60*24)/表1[[#This Row],[Gem]],0)</f>
        <v>5.76</v>
      </c>
    </row>
    <row r="36" spans="2:10" x14ac:dyDescent="0.15">
      <c r="B36" s="89">
        <v>3</v>
      </c>
      <c r="C36" s="89">
        <v>500</v>
      </c>
      <c r="D36" s="91">
        <f>IFERROR((15*24)/表1[[#This Row],[Gem]],0)</f>
        <v>0.72</v>
      </c>
      <c r="E36" s="91">
        <f>IFERROR((30*24)/表1[[#This Row],[Gem]],0)</f>
        <v>1.44</v>
      </c>
      <c r="F36" s="91">
        <f>IFERROR((60*24)/表1[[#This Row],[Gem]],0)</f>
        <v>2.88</v>
      </c>
    </row>
    <row r="37" spans="2:10" x14ac:dyDescent="0.15">
      <c r="B37" s="89">
        <v>4</v>
      </c>
      <c r="C37" s="89">
        <v>1000</v>
      </c>
      <c r="D37" s="91">
        <f>IFERROR((15*24)/表1[[#This Row],[Gem]],0)</f>
        <v>0.36</v>
      </c>
      <c r="E37" s="91">
        <f>IFERROR((30*24)/表1[[#This Row],[Gem]],0)</f>
        <v>0.72</v>
      </c>
      <c r="F37" s="91">
        <f>IFERROR((60*24)/表1[[#This Row],[Gem]],0)</f>
        <v>1.44</v>
      </c>
    </row>
    <row r="38" spans="2:10" x14ac:dyDescent="0.15">
      <c r="B38" s="89">
        <v>5</v>
      </c>
      <c r="C38" s="89">
        <v>2000</v>
      </c>
      <c r="D38" s="91">
        <f>IFERROR((15*24)/表1[[#This Row],[Gem]],0)</f>
        <v>0.18</v>
      </c>
      <c r="E38" s="91">
        <f>IFERROR((30*24)/表1[[#This Row],[Gem]],0)</f>
        <v>0.36</v>
      </c>
      <c r="F38" s="91">
        <f>IFERROR((60*24)/表1[[#This Row],[Gem]],0)</f>
        <v>0.72</v>
      </c>
    </row>
    <row r="41" spans="2:10" ht="30.75" customHeight="1" x14ac:dyDescent="0.15">
      <c r="B41" s="81" t="s">
        <v>10</v>
      </c>
      <c r="C41" s="81" t="s">
        <v>220</v>
      </c>
      <c r="D41" s="81" t="s">
        <v>221</v>
      </c>
      <c r="E41" s="81" t="s">
        <v>222</v>
      </c>
      <c r="F41" s="81" t="s">
        <v>223</v>
      </c>
      <c r="G41" s="81" t="s">
        <v>224</v>
      </c>
      <c r="H41" s="81" t="s">
        <v>207</v>
      </c>
      <c r="I41" s="81" t="s">
        <v>208</v>
      </c>
      <c r="J41" s="81" t="s">
        <v>209</v>
      </c>
    </row>
    <row r="42" spans="2:10" x14ac:dyDescent="0.3">
      <c r="B42" s="47">
        <v>1</v>
      </c>
      <c r="C42" s="82">
        <f>数据整合!N17</f>
        <v>0.78300000000000003</v>
      </c>
      <c r="D42" s="82">
        <f>数据整合!U44</f>
        <v>0.53333333333333321</v>
      </c>
      <c r="E42" s="82">
        <f>数据整合!M71</f>
        <v>2.35</v>
      </c>
      <c r="F42" s="82">
        <f>SUM(C42:E42)</f>
        <v>3.6663333333333332</v>
      </c>
      <c r="G42" s="82">
        <f>F42/2</f>
        <v>1.8331666666666666</v>
      </c>
      <c r="H42" s="82">
        <f>F42/3</f>
        <v>1.2221111111111111</v>
      </c>
      <c r="I42" s="82">
        <f>F42/4</f>
        <v>0.91658333333333331</v>
      </c>
      <c r="J42" s="82">
        <f>F42/5</f>
        <v>0.73326666666666662</v>
      </c>
    </row>
    <row r="43" spans="2:10" x14ac:dyDescent="0.3">
      <c r="B43" s="48">
        <v>2</v>
      </c>
      <c r="C43" s="83">
        <f>数据整合!N18</f>
        <v>11.2</v>
      </c>
      <c r="D43" s="83">
        <f>数据整合!U45</f>
        <v>2.25</v>
      </c>
      <c r="E43" s="83">
        <f>数据整合!M72</f>
        <v>11.266666666666666</v>
      </c>
      <c r="F43" s="83">
        <f t="shared" ref="F43:F51" si="1">SUM(C43:E43)</f>
        <v>24.716666666666665</v>
      </c>
      <c r="G43" s="83">
        <f t="shared" ref="G43:G51" si="2">F43/2</f>
        <v>12.358333333333333</v>
      </c>
      <c r="H43" s="83">
        <f t="shared" ref="H43:H51" si="3">F43/3</f>
        <v>8.2388888888888889</v>
      </c>
      <c r="I43" s="83">
        <f t="shared" ref="I43:I51" si="4">F43/4</f>
        <v>6.1791666666666663</v>
      </c>
      <c r="J43" s="83">
        <f t="shared" ref="J43:J51" si="5">F43/5</f>
        <v>4.9433333333333334</v>
      </c>
    </row>
    <row r="44" spans="2:10" x14ac:dyDescent="0.3">
      <c r="B44" s="47">
        <v>3</v>
      </c>
      <c r="C44" s="82">
        <f>数据整合!N19</f>
        <v>114.19999999999999</v>
      </c>
      <c r="D44" s="82">
        <f>数据整合!U46</f>
        <v>12.75</v>
      </c>
      <c r="E44" s="82">
        <f>数据整合!M73</f>
        <v>27.583333333333336</v>
      </c>
      <c r="F44" s="82">
        <f t="shared" si="1"/>
        <v>154.53333333333333</v>
      </c>
      <c r="G44" s="82">
        <f t="shared" si="2"/>
        <v>77.266666666666666</v>
      </c>
      <c r="H44" s="82">
        <f t="shared" si="3"/>
        <v>51.511111111111113</v>
      </c>
      <c r="I44" s="82">
        <f t="shared" si="4"/>
        <v>38.633333333333333</v>
      </c>
      <c r="J44" s="82">
        <f t="shared" si="5"/>
        <v>30.906666666666666</v>
      </c>
    </row>
    <row r="45" spans="2:10" x14ac:dyDescent="0.3">
      <c r="B45" s="48">
        <v>4</v>
      </c>
      <c r="C45" s="83">
        <f>数据整合!N20</f>
        <v>410.70000000000005</v>
      </c>
      <c r="D45" s="83">
        <f>数据整合!U47</f>
        <v>62.5</v>
      </c>
      <c r="E45" s="83">
        <f>数据整合!M74</f>
        <v>85.266666666666666</v>
      </c>
      <c r="F45" s="83">
        <f t="shared" si="1"/>
        <v>558.4666666666667</v>
      </c>
      <c r="G45" s="83">
        <f t="shared" si="2"/>
        <v>279.23333333333335</v>
      </c>
      <c r="H45" s="83">
        <f t="shared" si="3"/>
        <v>186.15555555555557</v>
      </c>
      <c r="I45" s="83">
        <f t="shared" si="4"/>
        <v>139.61666666666667</v>
      </c>
      <c r="J45" s="83">
        <f t="shared" si="5"/>
        <v>111.69333333333334</v>
      </c>
    </row>
    <row r="46" spans="2:10" x14ac:dyDescent="0.3">
      <c r="B46" s="47">
        <v>5</v>
      </c>
      <c r="C46" s="82">
        <f>数据整合!N21</f>
        <v>1434.7</v>
      </c>
      <c r="D46" s="82">
        <f>数据整合!U48</f>
        <v>290.51666666666665</v>
      </c>
      <c r="E46" s="82">
        <f>数据整合!M75</f>
        <v>192.08333333333337</v>
      </c>
      <c r="F46" s="82">
        <f t="shared" si="1"/>
        <v>1917.3000000000002</v>
      </c>
      <c r="G46" s="82">
        <f t="shared" si="2"/>
        <v>958.65000000000009</v>
      </c>
      <c r="H46" s="82">
        <f t="shared" si="3"/>
        <v>639.1</v>
      </c>
      <c r="I46" s="82">
        <f t="shared" si="4"/>
        <v>479.32500000000005</v>
      </c>
      <c r="J46" s="82">
        <f t="shared" si="5"/>
        <v>383.46000000000004</v>
      </c>
    </row>
    <row r="47" spans="2:10" x14ac:dyDescent="0.3">
      <c r="B47" s="48">
        <v>6</v>
      </c>
      <c r="C47" s="83">
        <f>数据整合!N22</f>
        <v>570.69999999999982</v>
      </c>
      <c r="D47" s="83">
        <f>数据整合!U49</f>
        <v>679.99999999999989</v>
      </c>
      <c r="E47" s="83">
        <f>数据整合!M76</f>
        <v>432.00000000000006</v>
      </c>
      <c r="F47" s="83">
        <f t="shared" si="1"/>
        <v>1682.6999999999998</v>
      </c>
      <c r="G47" s="84">
        <f t="shared" si="2"/>
        <v>841.34999999999991</v>
      </c>
      <c r="H47" s="83">
        <f t="shared" si="3"/>
        <v>560.9</v>
      </c>
      <c r="I47" s="83">
        <f t="shared" si="4"/>
        <v>420.67499999999995</v>
      </c>
      <c r="J47" s="83">
        <f t="shared" si="5"/>
        <v>336.53999999999996</v>
      </c>
    </row>
    <row r="48" spans="2:10" x14ac:dyDescent="0.3">
      <c r="B48" s="47">
        <v>7</v>
      </c>
      <c r="C48" s="82">
        <f>数据整合!N23</f>
        <v>1608.0000000000005</v>
      </c>
      <c r="D48" s="82">
        <f>数据整合!U50</f>
        <v>2484.5333333333333</v>
      </c>
      <c r="E48" s="82">
        <f>数据整合!M77</f>
        <v>1412.35</v>
      </c>
      <c r="F48" s="82">
        <f t="shared" si="1"/>
        <v>5504.8833333333332</v>
      </c>
      <c r="G48" s="85">
        <f t="shared" si="2"/>
        <v>2752.4416666666666</v>
      </c>
      <c r="H48" s="82">
        <f t="shared" si="3"/>
        <v>1834.961111111111</v>
      </c>
      <c r="I48" s="82">
        <f t="shared" si="4"/>
        <v>1376.2208333333333</v>
      </c>
      <c r="J48" s="82">
        <f t="shared" si="5"/>
        <v>1100.9766666666667</v>
      </c>
    </row>
    <row r="49" spans="2:10" x14ac:dyDescent="0.3">
      <c r="B49" s="48">
        <v>8</v>
      </c>
      <c r="C49" s="83">
        <f>数据整合!N24</f>
        <v>769.5</v>
      </c>
      <c r="D49" s="83">
        <f>数据整合!U51</f>
        <v>7306.5</v>
      </c>
      <c r="E49" s="83">
        <f>数据整合!M78</f>
        <v>1608</v>
      </c>
      <c r="F49" s="83">
        <f t="shared" si="1"/>
        <v>9684</v>
      </c>
      <c r="G49" s="84">
        <f t="shared" si="2"/>
        <v>4842</v>
      </c>
      <c r="H49" s="83">
        <f t="shared" si="3"/>
        <v>3228</v>
      </c>
      <c r="I49" s="83">
        <f t="shared" si="4"/>
        <v>2421</v>
      </c>
      <c r="J49" s="83">
        <f t="shared" si="5"/>
        <v>1936.8</v>
      </c>
    </row>
    <row r="50" spans="2:10" x14ac:dyDescent="0.3">
      <c r="B50" s="47">
        <v>9</v>
      </c>
      <c r="C50" s="82">
        <f>数据整合!N25</f>
        <v>1680</v>
      </c>
      <c r="D50" s="82">
        <f>数据整合!U52</f>
        <v>9418.5</v>
      </c>
      <c r="E50" s="82">
        <f>数据整合!M79</f>
        <v>120</v>
      </c>
      <c r="F50" s="82">
        <f t="shared" si="1"/>
        <v>11218.5</v>
      </c>
      <c r="G50" s="85">
        <f t="shared" si="2"/>
        <v>5609.25</v>
      </c>
      <c r="H50" s="82">
        <f t="shared" si="3"/>
        <v>3739.5</v>
      </c>
      <c r="I50" s="82">
        <f t="shared" si="4"/>
        <v>2804.625</v>
      </c>
      <c r="J50" s="82">
        <f t="shared" si="5"/>
        <v>2243.6999999999998</v>
      </c>
    </row>
    <row r="51" spans="2:10" x14ac:dyDescent="0.3">
      <c r="B51" s="48">
        <v>10</v>
      </c>
      <c r="C51" s="83">
        <f>数据整合!N26</f>
        <v>576</v>
      </c>
      <c r="D51" s="83">
        <f>数据整合!U53</f>
        <v>3254.5166666666673</v>
      </c>
      <c r="E51" s="83">
        <f>数据整合!M80</f>
        <v>144</v>
      </c>
      <c r="F51" s="83">
        <f t="shared" si="1"/>
        <v>3974.5166666666673</v>
      </c>
      <c r="G51" s="84">
        <f t="shared" si="2"/>
        <v>1987.2583333333337</v>
      </c>
      <c r="H51" s="83">
        <f t="shared" si="3"/>
        <v>1324.8388888888892</v>
      </c>
      <c r="I51" s="83">
        <f t="shared" si="4"/>
        <v>993.62916666666683</v>
      </c>
      <c r="J51" s="83">
        <f t="shared" si="5"/>
        <v>794.90333333333342</v>
      </c>
    </row>
    <row r="53" spans="2:10" x14ac:dyDescent="0.15">
      <c r="B53" s="88" t="s">
        <v>225</v>
      </c>
    </row>
    <row r="54" spans="2:10" x14ac:dyDescent="0.15">
      <c r="C54" s="88" t="s">
        <v>249</v>
      </c>
    </row>
    <row r="55" spans="2:10" x14ac:dyDescent="0.15">
      <c r="C55" s="88" t="s">
        <v>269</v>
      </c>
    </row>
    <row r="56" spans="2:10" x14ac:dyDescent="0.15">
      <c r="C56" s="88" t="s">
        <v>404</v>
      </c>
    </row>
    <row r="57" spans="2:10" x14ac:dyDescent="0.15">
      <c r="C57" s="88" t="s">
        <v>250</v>
      </c>
    </row>
    <row r="60" spans="2:10" x14ac:dyDescent="0.15">
      <c r="B60" s="95" t="s">
        <v>226</v>
      </c>
      <c r="C60" s="95"/>
    </row>
    <row r="61" spans="2:10" x14ac:dyDescent="0.15">
      <c r="C61" s="88" t="s">
        <v>218</v>
      </c>
    </row>
    <row r="62" spans="2:10" x14ac:dyDescent="0.15">
      <c r="C62" s="88" t="s">
        <v>227</v>
      </c>
    </row>
    <row r="63" spans="2:10" x14ac:dyDescent="0.15">
      <c r="C63" s="88" t="s">
        <v>228</v>
      </c>
    </row>
    <row r="64" spans="2:10" x14ac:dyDescent="0.15">
      <c r="C64" s="88" t="s">
        <v>213</v>
      </c>
    </row>
    <row r="65" spans="2:20" x14ac:dyDescent="0.15">
      <c r="D65" s="88" t="s">
        <v>229</v>
      </c>
    </row>
    <row r="66" spans="2:20" x14ac:dyDescent="0.15">
      <c r="D66" s="88" t="s">
        <v>215</v>
      </c>
    </row>
    <row r="68" spans="2:20" ht="30" x14ac:dyDescent="0.15">
      <c r="C68" s="81" t="s">
        <v>230</v>
      </c>
      <c r="D68" s="81" t="s">
        <v>231</v>
      </c>
      <c r="E68" s="81" t="s">
        <v>232</v>
      </c>
      <c r="F68" s="81" t="s">
        <v>233</v>
      </c>
      <c r="G68" s="81" t="s">
        <v>251</v>
      </c>
    </row>
    <row r="69" spans="2:20" x14ac:dyDescent="0.3">
      <c r="C69" s="86">
        <v>0</v>
      </c>
      <c r="D69" s="86">
        <v>1.6660000000000001E-2</v>
      </c>
      <c r="E69" s="82">
        <v>0</v>
      </c>
      <c r="F69" s="82">
        <v>1</v>
      </c>
      <c r="G69" s="97">
        <f>((C69+D69)/2)/(E69+(F69+E69)/2)</f>
        <v>1.6660000000000001E-2</v>
      </c>
    </row>
    <row r="70" spans="2:20" x14ac:dyDescent="0.3">
      <c r="C70" s="87">
        <v>1.6660000000000001E-2</v>
      </c>
      <c r="D70" s="87">
        <v>1</v>
      </c>
      <c r="E70" s="83">
        <v>1</v>
      </c>
      <c r="F70" s="83">
        <v>20</v>
      </c>
      <c r="G70" s="97">
        <f t="shared" ref="G70:G72" si="6">((C70+D70)/2)/(E70+(F70+E70)/2)</f>
        <v>4.4202608695652172E-2</v>
      </c>
    </row>
    <row r="71" spans="2:20" x14ac:dyDescent="0.3">
      <c r="C71" s="86">
        <v>1</v>
      </c>
      <c r="D71" s="86">
        <v>24</v>
      </c>
      <c r="E71" s="82">
        <v>20</v>
      </c>
      <c r="F71" s="82">
        <v>260</v>
      </c>
      <c r="G71" s="97">
        <f t="shared" si="6"/>
        <v>7.8125E-2</v>
      </c>
    </row>
    <row r="72" spans="2:20" x14ac:dyDescent="0.3">
      <c r="C72" s="87">
        <v>24</v>
      </c>
      <c r="D72" s="87">
        <v>168</v>
      </c>
      <c r="E72" s="83">
        <v>260</v>
      </c>
      <c r="F72" s="83">
        <v>1000</v>
      </c>
      <c r="G72" s="97">
        <f t="shared" si="6"/>
        <v>0.10786516853932585</v>
      </c>
    </row>
    <row r="74" spans="2:20" x14ac:dyDescent="0.15">
      <c r="B74" s="88" t="s">
        <v>225</v>
      </c>
    </row>
    <row r="75" spans="2:20" x14ac:dyDescent="0.15">
      <c r="C75" s="88" t="s">
        <v>234</v>
      </c>
    </row>
    <row r="76" spans="2:20" x14ac:dyDescent="0.15">
      <c r="C76" s="88" t="s">
        <v>235</v>
      </c>
    </row>
    <row r="77" spans="2:20" s="94" customFormat="1" x14ac:dyDescent="0.15">
      <c r="B77" s="94" t="s">
        <v>260</v>
      </c>
    </row>
    <row r="78" spans="2:20" x14ac:dyDescent="0.15">
      <c r="B78" s="88" t="s">
        <v>236</v>
      </c>
    </row>
    <row r="79" spans="2:20" x14ac:dyDescent="0.15">
      <c r="C79" s="88" t="s">
        <v>237</v>
      </c>
    </row>
    <row r="80" spans="2:20" x14ac:dyDescent="0.15">
      <c r="D80" s="88" t="s">
        <v>238</v>
      </c>
      <c r="E80" s="88">
        <v>100</v>
      </c>
      <c r="F80" s="88">
        <v>200</v>
      </c>
      <c r="G80" s="88">
        <v>500</v>
      </c>
      <c r="H80" s="88">
        <v>1000</v>
      </c>
      <c r="I80" s="88">
        <v>2000</v>
      </c>
      <c r="J80" s="88">
        <v>5000</v>
      </c>
      <c r="K80" s="88">
        <v>10000</v>
      </c>
      <c r="L80" s="88">
        <v>20000</v>
      </c>
      <c r="M80" s="88">
        <v>50000</v>
      </c>
      <c r="N80" s="88">
        <v>100000</v>
      </c>
      <c r="O80" s="88">
        <v>200000</v>
      </c>
      <c r="P80" s="88">
        <v>500000</v>
      </c>
      <c r="Q80" s="88">
        <v>1000000</v>
      </c>
      <c r="R80" s="88">
        <v>2000000</v>
      </c>
      <c r="S80" s="88">
        <v>5000000</v>
      </c>
      <c r="T80" s="88">
        <v>10000000</v>
      </c>
    </row>
    <row r="81" spans="3:20" x14ac:dyDescent="0.15">
      <c r="D81" s="88" t="s">
        <v>239</v>
      </c>
      <c r="E81" s="88">
        <v>1</v>
      </c>
      <c r="F81" s="88">
        <v>1</v>
      </c>
      <c r="G81" s="88">
        <v>3</v>
      </c>
      <c r="H81" s="88">
        <v>5</v>
      </c>
      <c r="I81" s="88">
        <v>7</v>
      </c>
      <c r="J81" s="88">
        <v>14</v>
      </c>
      <c r="K81" s="88">
        <v>25</v>
      </c>
      <c r="L81" s="88">
        <v>36</v>
      </c>
      <c r="M81" s="88">
        <v>69</v>
      </c>
      <c r="N81" s="88">
        <v>125</v>
      </c>
      <c r="O81" s="88">
        <v>178</v>
      </c>
      <c r="P81" s="88">
        <v>336</v>
      </c>
      <c r="Q81" s="88">
        <v>600</v>
      </c>
      <c r="R81" s="88">
        <v>867</v>
      </c>
      <c r="S81" s="88">
        <v>1667</v>
      </c>
      <c r="T81" s="88">
        <v>3333</v>
      </c>
    </row>
    <row r="82" spans="3:20" x14ac:dyDescent="0.15">
      <c r="D82" s="88" t="s">
        <v>240</v>
      </c>
      <c r="E82" s="96">
        <f>(0.0339*POWER(E80,0.7059)-E81)/E81</f>
        <v>-0.1250168328100264</v>
      </c>
      <c r="F82" s="96">
        <f t="shared" ref="F82:T82" si="7">(0.0339*POWER(F80,0.7059)-F81)/F81</f>
        <v>0.42723922228833699</v>
      </c>
      <c r="G82" s="96">
        <f t="shared" si="7"/>
        <v>-9.1591122923651305E-2</v>
      </c>
      <c r="H82" s="96">
        <f t="shared" si="7"/>
        <v>-0.11094281957304819</v>
      </c>
      <c r="I82" s="96">
        <f t="shared" si="7"/>
        <v>3.5854440522320452E-2</v>
      </c>
      <c r="J82" s="96">
        <f t="shared" si="7"/>
        <v>-1.104942209260835E-2</v>
      </c>
      <c r="K82" s="96">
        <f t="shared" si="7"/>
        <v>-9.6642427296994099E-2</v>
      </c>
      <c r="L82" s="96">
        <f t="shared" si="7"/>
        <v>2.3279494473617508E-2</v>
      </c>
      <c r="M82" s="96">
        <f t="shared" si="7"/>
        <v>1.9420900817943919E-2</v>
      </c>
      <c r="N82" s="96">
        <f t="shared" si="7"/>
        <v>-8.211201469856963E-2</v>
      </c>
      <c r="O82" s="96">
        <f t="shared" si="7"/>
        <v>5.1421297572525379E-2</v>
      </c>
      <c r="P82" s="96">
        <f t="shared" si="7"/>
        <v>6.3563309798136097E-2</v>
      </c>
      <c r="Q82" s="96">
        <f t="shared" si="7"/>
        <v>-2.8487377005012793E-2</v>
      </c>
      <c r="R82" s="96">
        <f t="shared" si="7"/>
        <v>9.6674321578934755E-2</v>
      </c>
      <c r="S82" s="96">
        <f t="shared" si="7"/>
        <v>8.9098160302745907E-2</v>
      </c>
      <c r="T82" s="96">
        <f t="shared" si="7"/>
        <v>-0.11148577633795505</v>
      </c>
    </row>
    <row r="83" spans="3:20" x14ac:dyDescent="0.15">
      <c r="D83" s="88" t="s">
        <v>241</v>
      </c>
      <c r="E83" s="96">
        <f>((0.0003*E80 + 64.614)-E81)/E81</f>
        <v>63.644000000000005</v>
      </c>
      <c r="F83" s="96">
        <f t="shared" ref="F83:T83" si="8">((0.0003*F80 + 64.614)-F81)/F81</f>
        <v>63.674000000000007</v>
      </c>
      <c r="G83" s="96">
        <f t="shared" si="8"/>
        <v>20.588000000000005</v>
      </c>
      <c r="H83" s="96">
        <f t="shared" si="8"/>
        <v>11.982800000000001</v>
      </c>
      <c r="I83" s="96">
        <f t="shared" si="8"/>
        <v>8.3162857142857138</v>
      </c>
      <c r="J83" s="96">
        <f t="shared" si="8"/>
        <v>3.7224285714285719</v>
      </c>
      <c r="K83" s="96">
        <f t="shared" si="8"/>
        <v>1.7045600000000001</v>
      </c>
      <c r="L83" s="96">
        <f t="shared" si="8"/>
        <v>0.96150000000000013</v>
      </c>
      <c r="M83" s="96">
        <f t="shared" si="8"/>
        <v>0.15382608695652181</v>
      </c>
      <c r="N83" s="96">
        <f t="shared" si="8"/>
        <v>-0.24308799999999997</v>
      </c>
      <c r="O83" s="96">
        <f t="shared" si="8"/>
        <v>-0.29992134831460671</v>
      </c>
      <c r="P83" s="96">
        <f t="shared" si="8"/>
        <v>-0.36126785714285714</v>
      </c>
      <c r="Q83" s="96">
        <f t="shared" si="8"/>
        <v>-0.39230999999999994</v>
      </c>
      <c r="R83" s="96">
        <f t="shared" si="8"/>
        <v>-0.23343252595155706</v>
      </c>
      <c r="S83" s="96">
        <f t="shared" si="8"/>
        <v>-6.1419316136772761E-2</v>
      </c>
      <c r="T83" s="96">
        <f t="shared" si="8"/>
        <v>-8.0523852385238653E-2</v>
      </c>
    </row>
    <row r="93" spans="3:20" x14ac:dyDescent="0.15">
      <c r="D93" s="88" t="s">
        <v>242</v>
      </c>
    </row>
    <row r="94" spans="3:20" x14ac:dyDescent="0.15">
      <c r="C94" s="88" t="s">
        <v>243</v>
      </c>
    </row>
    <row r="95" spans="3:20" x14ac:dyDescent="0.15">
      <c r="D95" s="88" t="s">
        <v>210</v>
      </c>
    </row>
    <row r="96" spans="3:20" x14ac:dyDescent="0.15">
      <c r="D96" s="88" t="s">
        <v>211</v>
      </c>
    </row>
    <row r="97" spans="2:8" x14ac:dyDescent="0.15">
      <c r="D97" s="88" t="s">
        <v>212</v>
      </c>
    </row>
    <row r="98" spans="2:8" x14ac:dyDescent="0.15">
      <c r="D98" s="88" t="s">
        <v>213</v>
      </c>
    </row>
    <row r="99" spans="2:8" x14ac:dyDescent="0.15">
      <c r="E99" s="88" t="s">
        <v>214</v>
      </c>
    </row>
    <row r="100" spans="2:8" x14ac:dyDescent="0.15">
      <c r="E100" s="88" t="s">
        <v>215</v>
      </c>
    </row>
    <row r="101" spans="2:8" x14ac:dyDescent="0.15">
      <c r="D101" s="88" t="s">
        <v>216</v>
      </c>
    </row>
    <row r="102" spans="2:8" x14ac:dyDescent="0.15">
      <c r="D102" s="88" t="s">
        <v>217</v>
      </c>
    </row>
    <row r="104" spans="2:8" ht="30" x14ac:dyDescent="0.15">
      <c r="D104" s="81" t="s">
        <v>244</v>
      </c>
      <c r="E104" s="81" t="s">
        <v>245</v>
      </c>
      <c r="F104" s="81" t="s">
        <v>232</v>
      </c>
      <c r="G104" s="81" t="s">
        <v>233</v>
      </c>
      <c r="H104" s="81" t="s">
        <v>252</v>
      </c>
    </row>
    <row r="105" spans="2:8" x14ac:dyDescent="0.3">
      <c r="D105" s="47">
        <v>0</v>
      </c>
      <c r="E105" s="47">
        <v>100</v>
      </c>
      <c r="F105" s="47">
        <v>0</v>
      </c>
      <c r="G105" s="47">
        <v>1</v>
      </c>
      <c r="H105" s="82">
        <f>(D105+E105)/(G105+F105)</f>
        <v>100</v>
      </c>
    </row>
    <row r="106" spans="2:8" x14ac:dyDescent="0.3">
      <c r="D106" s="48">
        <v>100</v>
      </c>
      <c r="E106" s="48">
        <v>1000</v>
      </c>
      <c r="F106" s="48">
        <v>1</v>
      </c>
      <c r="G106" s="48">
        <v>5</v>
      </c>
      <c r="H106" s="82">
        <f t="shared" ref="H106:H110" si="9">(D106+E106)/(G106+F106)</f>
        <v>183.33333333333334</v>
      </c>
    </row>
    <row r="107" spans="2:8" x14ac:dyDescent="0.3">
      <c r="D107" s="47">
        <v>1000</v>
      </c>
      <c r="E107" s="47">
        <v>10000</v>
      </c>
      <c r="F107" s="47">
        <v>5</v>
      </c>
      <c r="G107" s="47">
        <v>25</v>
      </c>
      <c r="H107" s="82">
        <f t="shared" si="9"/>
        <v>366.66666666666669</v>
      </c>
    </row>
    <row r="108" spans="2:8" x14ac:dyDescent="0.3">
      <c r="D108" s="48">
        <v>10000</v>
      </c>
      <c r="E108" s="48">
        <v>100000</v>
      </c>
      <c r="F108" s="48">
        <v>25</v>
      </c>
      <c r="G108" s="48">
        <v>125</v>
      </c>
      <c r="H108" s="82">
        <f t="shared" si="9"/>
        <v>733.33333333333337</v>
      </c>
    </row>
    <row r="109" spans="2:8" x14ac:dyDescent="0.3">
      <c r="D109" s="47">
        <v>100000</v>
      </c>
      <c r="E109" s="47">
        <v>1000000</v>
      </c>
      <c r="F109" s="47">
        <v>125</v>
      </c>
      <c r="G109" s="47">
        <v>600</v>
      </c>
      <c r="H109" s="82">
        <f t="shared" si="9"/>
        <v>1517.2413793103449</v>
      </c>
    </row>
    <row r="110" spans="2:8" x14ac:dyDescent="0.3">
      <c r="D110" s="48">
        <v>1000000</v>
      </c>
      <c r="E110" s="48">
        <v>10000000</v>
      </c>
      <c r="F110" s="48">
        <v>600</v>
      </c>
      <c r="G110" s="48">
        <v>3000</v>
      </c>
      <c r="H110" s="82">
        <f t="shared" si="9"/>
        <v>3055.5555555555557</v>
      </c>
    </row>
    <row r="111" spans="2:8" x14ac:dyDescent="0.3">
      <c r="D111" s="100"/>
      <c r="E111" s="100"/>
      <c r="F111" s="100"/>
      <c r="G111" s="100"/>
      <c r="H111" s="101"/>
    </row>
    <row r="112" spans="2:8" x14ac:dyDescent="0.15">
      <c r="B112" s="88" t="s">
        <v>253</v>
      </c>
    </row>
    <row r="113" spans="2:7" x14ac:dyDescent="0.15">
      <c r="C113" s="88" t="s">
        <v>259</v>
      </c>
    </row>
    <row r="114" spans="2:7" ht="30" x14ac:dyDescent="0.15">
      <c r="C114" s="81" t="s">
        <v>254</v>
      </c>
      <c r="D114" s="81" t="s">
        <v>255</v>
      </c>
      <c r="E114" s="81" t="s">
        <v>256</v>
      </c>
      <c r="F114" s="81" t="s">
        <v>257</v>
      </c>
      <c r="G114" s="81" t="s">
        <v>258</v>
      </c>
    </row>
    <row r="115" spans="2:7" x14ac:dyDescent="0.3">
      <c r="C115" s="47">
        <v>5</v>
      </c>
      <c r="D115" s="98">
        <v>10</v>
      </c>
      <c r="E115" s="98">
        <v>6</v>
      </c>
      <c r="F115" s="86">
        <v>1000</v>
      </c>
      <c r="G115" s="98">
        <f>F115*E115/D115</f>
        <v>600</v>
      </c>
    </row>
    <row r="116" spans="2:7" x14ac:dyDescent="0.3">
      <c r="C116" s="48">
        <v>6</v>
      </c>
      <c r="D116" s="99">
        <v>12</v>
      </c>
      <c r="E116" s="99">
        <v>6</v>
      </c>
      <c r="F116" s="87">
        <v>1300</v>
      </c>
      <c r="G116" s="99">
        <f t="shared" ref="G116:G121" si="10">F116*E116/D116</f>
        <v>650</v>
      </c>
    </row>
    <row r="117" spans="2:7" x14ac:dyDescent="0.3">
      <c r="C117" s="47">
        <v>7</v>
      </c>
      <c r="D117" s="98">
        <v>14</v>
      </c>
      <c r="E117" s="98">
        <v>6</v>
      </c>
      <c r="F117" s="86">
        <v>1600</v>
      </c>
      <c r="G117" s="98">
        <f t="shared" si="10"/>
        <v>685.71428571428567</v>
      </c>
    </row>
    <row r="118" spans="2:7" x14ac:dyDescent="0.3">
      <c r="C118" s="48">
        <v>8</v>
      </c>
      <c r="D118" s="99">
        <v>16</v>
      </c>
      <c r="E118" s="99">
        <v>6</v>
      </c>
      <c r="F118" s="87">
        <v>1900</v>
      </c>
      <c r="G118" s="99">
        <f t="shared" si="10"/>
        <v>712.5</v>
      </c>
    </row>
    <row r="119" spans="2:7" x14ac:dyDescent="0.3">
      <c r="C119" s="47">
        <v>9</v>
      </c>
      <c r="D119" s="98">
        <v>17</v>
      </c>
      <c r="E119" s="98">
        <v>6</v>
      </c>
      <c r="F119" s="86">
        <v>2200</v>
      </c>
      <c r="G119" s="98">
        <f t="shared" si="10"/>
        <v>776.47058823529414</v>
      </c>
    </row>
    <row r="120" spans="2:7" x14ac:dyDescent="0.3">
      <c r="C120" s="48">
        <v>10</v>
      </c>
      <c r="D120" s="99">
        <v>19</v>
      </c>
      <c r="E120" s="99">
        <v>6</v>
      </c>
      <c r="F120" s="87">
        <v>2500</v>
      </c>
      <c r="G120" s="99">
        <f t="shared" si="10"/>
        <v>789.47368421052636</v>
      </c>
    </row>
    <row r="121" spans="2:7" x14ac:dyDescent="0.3">
      <c r="C121" s="47">
        <v>11</v>
      </c>
      <c r="D121" s="98">
        <v>20</v>
      </c>
      <c r="E121" s="98">
        <v>6</v>
      </c>
      <c r="F121" s="86">
        <v>3000</v>
      </c>
      <c r="G121" s="98">
        <f t="shared" si="10"/>
        <v>900</v>
      </c>
    </row>
    <row r="123" spans="2:7" x14ac:dyDescent="0.15">
      <c r="B123" s="88" t="s">
        <v>261</v>
      </c>
    </row>
    <row r="124" spans="2:7" x14ac:dyDescent="0.15">
      <c r="C124" s="88" t="s">
        <v>407</v>
      </c>
    </row>
    <row r="125" spans="2:7" x14ac:dyDescent="0.15">
      <c r="C125" s="88" t="s">
        <v>408</v>
      </c>
    </row>
    <row r="126" spans="2:7" x14ac:dyDescent="0.15">
      <c r="C126" s="93" t="s">
        <v>425</v>
      </c>
    </row>
    <row r="128" spans="2:7" s="94" customFormat="1" x14ac:dyDescent="0.15">
      <c r="B128" s="94" t="s">
        <v>263</v>
      </c>
    </row>
    <row r="129" spans="2:10" x14ac:dyDescent="0.15">
      <c r="B129" s="95" t="s">
        <v>264</v>
      </c>
      <c r="C129" s="95"/>
    </row>
    <row r="130" spans="2:10" ht="30" x14ac:dyDescent="0.15">
      <c r="C130" s="81" t="s">
        <v>230</v>
      </c>
      <c r="D130" s="81" t="s">
        <v>231</v>
      </c>
      <c r="E130" s="81" t="s">
        <v>232</v>
      </c>
      <c r="F130" s="81" t="s">
        <v>233</v>
      </c>
      <c r="G130" s="81" t="s">
        <v>251</v>
      </c>
    </row>
    <row r="131" spans="2:10" x14ac:dyDescent="0.3">
      <c r="C131" s="86">
        <v>0</v>
      </c>
      <c r="D131" s="86">
        <v>1.6660000000000001E-2</v>
      </c>
      <c r="E131" s="82">
        <v>0</v>
      </c>
      <c r="F131" s="82">
        <v>1</v>
      </c>
      <c r="G131" s="97">
        <f>((C131+D131)/2)/(E131+(F131+E131)/2)</f>
        <v>1.6660000000000001E-2</v>
      </c>
    </row>
    <row r="132" spans="2:10" x14ac:dyDescent="0.3">
      <c r="C132" s="87">
        <v>1.6660000000000001E-2</v>
      </c>
      <c r="D132" s="87">
        <v>1</v>
      </c>
      <c r="E132" s="83">
        <v>1</v>
      </c>
      <c r="F132" s="83">
        <v>20</v>
      </c>
      <c r="G132" s="97">
        <f t="shared" ref="G132:G134" si="11">((C132+D132)/2)/(E132+(F132+E132)/2)</f>
        <v>4.4202608695652172E-2</v>
      </c>
    </row>
    <row r="133" spans="2:10" x14ac:dyDescent="0.3">
      <c r="C133" s="86">
        <v>1</v>
      </c>
      <c r="D133" s="86">
        <v>24</v>
      </c>
      <c r="E133" s="82">
        <v>20</v>
      </c>
      <c r="F133" s="82">
        <v>260</v>
      </c>
      <c r="G133" s="97">
        <f t="shared" si="11"/>
        <v>7.8125E-2</v>
      </c>
    </row>
    <row r="134" spans="2:10" x14ac:dyDescent="0.3">
      <c r="C134" s="87">
        <v>24</v>
      </c>
      <c r="D134" s="87">
        <v>168</v>
      </c>
      <c r="E134" s="83">
        <v>260</v>
      </c>
      <c r="F134" s="83">
        <v>1000</v>
      </c>
      <c r="G134" s="97">
        <f t="shared" si="11"/>
        <v>0.10786516853932585</v>
      </c>
    </row>
    <row r="136" spans="2:10" x14ac:dyDescent="0.15">
      <c r="B136" s="95" t="s">
        <v>294</v>
      </c>
      <c r="C136" s="95"/>
      <c r="D136" s="95"/>
    </row>
    <row r="137" spans="2:10" ht="30" x14ac:dyDescent="0.15">
      <c r="C137" s="81" t="s">
        <v>230</v>
      </c>
      <c r="D137" s="81" t="s">
        <v>231</v>
      </c>
      <c r="E137" s="81" t="s">
        <v>232</v>
      </c>
      <c r="F137" s="81" t="s">
        <v>233</v>
      </c>
      <c r="G137" s="81" t="s">
        <v>251</v>
      </c>
    </row>
    <row r="138" spans="2:10" x14ac:dyDescent="0.3">
      <c r="C138" s="86">
        <v>0</v>
      </c>
      <c r="D138" s="86">
        <v>1.6660000000000001E-2</v>
      </c>
      <c r="E138" s="82">
        <v>0</v>
      </c>
      <c r="F138" s="82">
        <v>1</v>
      </c>
      <c r="G138" s="97">
        <f>((C138+D138)/2)/(E138+(F138+E138)/2)</f>
        <v>1.6660000000000001E-2</v>
      </c>
    </row>
    <row r="139" spans="2:10" x14ac:dyDescent="0.3">
      <c r="C139" s="87">
        <v>1.6660000000000001E-2</v>
      </c>
      <c r="D139" s="87">
        <v>1</v>
      </c>
      <c r="E139" s="83">
        <v>1</v>
      </c>
      <c r="F139" s="83">
        <v>20</v>
      </c>
      <c r="G139" s="97">
        <f t="shared" ref="G139:G141" si="12">((C139+D139)/2)/(E139+(F139+E139)/2)</f>
        <v>4.4202608695652172E-2</v>
      </c>
    </row>
    <row r="140" spans="2:10" x14ac:dyDescent="0.3">
      <c r="C140" s="86">
        <v>1</v>
      </c>
      <c r="D140" s="86">
        <v>24</v>
      </c>
      <c r="E140" s="82">
        <v>20</v>
      </c>
      <c r="F140" s="82">
        <v>260</v>
      </c>
      <c r="G140" s="97">
        <f t="shared" si="12"/>
        <v>7.8125E-2</v>
      </c>
    </row>
    <row r="141" spans="2:10" x14ac:dyDescent="0.3">
      <c r="C141" s="87">
        <v>24</v>
      </c>
      <c r="D141" s="87">
        <v>168</v>
      </c>
      <c r="E141" s="83">
        <v>260</v>
      </c>
      <c r="F141" s="83">
        <v>1000</v>
      </c>
      <c r="G141" s="97">
        <f t="shared" si="12"/>
        <v>0.10786516853932585</v>
      </c>
    </row>
    <row r="143" spans="2:10" x14ac:dyDescent="0.15">
      <c r="B143" s="95" t="s">
        <v>265</v>
      </c>
      <c r="C143" s="95"/>
    </row>
    <row r="144" spans="2:10" ht="30" x14ac:dyDescent="0.15">
      <c r="C144" s="81" t="s">
        <v>256</v>
      </c>
      <c r="D144" s="81" t="s">
        <v>2</v>
      </c>
      <c r="E144" s="81" t="s">
        <v>266</v>
      </c>
      <c r="F144" s="81" t="s">
        <v>270</v>
      </c>
      <c r="G144" s="81" t="s">
        <v>271</v>
      </c>
      <c r="H144" s="81" t="s">
        <v>272</v>
      </c>
      <c r="I144" s="81" t="s">
        <v>319</v>
      </c>
      <c r="J144" s="81" t="s">
        <v>258</v>
      </c>
    </row>
    <row r="145" spans="2:10" x14ac:dyDescent="0.3">
      <c r="C145" s="86">
        <f>45/60</f>
        <v>0.75</v>
      </c>
      <c r="D145" s="86">
        <v>25</v>
      </c>
      <c r="E145" s="97">
        <f>C145/D145</f>
        <v>0.03</v>
      </c>
      <c r="F145" s="97">
        <f>20/60/3</f>
        <v>0.1111111111111111</v>
      </c>
      <c r="G145" s="98">
        <v>60000</v>
      </c>
      <c r="H145" s="86">
        <f>4*1500+1000*14+1500*4+120*40</f>
        <v>30800</v>
      </c>
      <c r="I145" s="86">
        <f>16500/2</f>
        <v>8250</v>
      </c>
      <c r="J145" s="86">
        <f>(G145-H145-I145)*(C145/F145)/D145</f>
        <v>5656.5</v>
      </c>
    </row>
    <row r="147" spans="2:10" x14ac:dyDescent="0.15">
      <c r="B147" s="95" t="s">
        <v>267</v>
      </c>
      <c r="C147" s="95"/>
    </row>
    <row r="149" spans="2:10" ht="45" x14ac:dyDescent="0.15">
      <c r="C149" s="81" t="s">
        <v>256</v>
      </c>
      <c r="D149" s="81" t="s">
        <v>2</v>
      </c>
      <c r="E149" s="81" t="s">
        <v>266</v>
      </c>
      <c r="F149" s="81" t="s">
        <v>319</v>
      </c>
      <c r="G149" s="81" t="s">
        <v>272</v>
      </c>
      <c r="H149" s="81" t="s">
        <v>321</v>
      </c>
    </row>
    <row r="150" spans="2:10" x14ac:dyDescent="0.3">
      <c r="C150" s="86">
        <f>45/60</f>
        <v>0.75</v>
      </c>
      <c r="D150" s="86">
        <v>25</v>
      </c>
      <c r="E150" s="97">
        <f>C150/D150</f>
        <v>0.03</v>
      </c>
      <c r="F150" s="86">
        <f>16500/2</f>
        <v>8250</v>
      </c>
      <c r="G150" s="86">
        <f>4*1500+1000*14+1500*4+120*40</f>
        <v>30800</v>
      </c>
      <c r="H150" s="97">
        <f>F150/(F150+G150)*J145</f>
        <v>1195.0352112676055</v>
      </c>
    </row>
    <row r="152" spans="2:10" x14ac:dyDescent="0.15">
      <c r="B152" s="88" t="s">
        <v>5</v>
      </c>
    </row>
    <row r="153" spans="2:10" x14ac:dyDescent="0.15">
      <c r="C153" s="88" t="s">
        <v>320</v>
      </c>
    </row>
    <row r="154" spans="2:10" x14ac:dyDescent="0.15">
      <c r="C154" s="88" t="s">
        <v>322</v>
      </c>
    </row>
    <row r="155" spans="2:10" x14ac:dyDescent="0.15">
      <c r="C155" s="88" t="s">
        <v>273</v>
      </c>
    </row>
    <row r="158" spans="2:10" s="94" customFormat="1" x14ac:dyDescent="0.15">
      <c r="B158" s="94" t="s">
        <v>274</v>
      </c>
    </row>
    <row r="159" spans="2:10" x14ac:dyDescent="0.15">
      <c r="B159" s="88" t="s">
        <v>276</v>
      </c>
    </row>
    <row r="160" spans="2:10" x14ac:dyDescent="0.15">
      <c r="C160" s="81" t="s">
        <v>280</v>
      </c>
      <c r="D160" s="81" t="s">
        <v>2</v>
      </c>
    </row>
    <row r="161" spans="2:5" x14ac:dyDescent="0.3">
      <c r="C161" s="86" t="s">
        <v>275</v>
      </c>
      <c r="D161" s="86">
        <v>500</v>
      </c>
    </row>
    <row r="162" spans="2:5" x14ac:dyDescent="0.3">
      <c r="C162" s="87" t="s">
        <v>277</v>
      </c>
      <c r="D162" s="87">
        <v>500</v>
      </c>
    </row>
    <row r="163" spans="2:5" x14ac:dyDescent="0.15">
      <c r="C163" s="88" t="s">
        <v>268</v>
      </c>
    </row>
    <row r="164" spans="2:5" x14ac:dyDescent="0.15">
      <c r="D164" s="88" t="s">
        <v>278</v>
      </c>
    </row>
    <row r="165" spans="2:5" x14ac:dyDescent="0.15">
      <c r="B165" s="88" t="s">
        <v>279</v>
      </c>
    </row>
    <row r="166" spans="2:5" ht="30" x14ac:dyDescent="0.15">
      <c r="C166" s="81" t="s">
        <v>281</v>
      </c>
      <c r="D166" s="81" t="s">
        <v>2</v>
      </c>
      <c r="E166" s="81" t="s">
        <v>266</v>
      </c>
    </row>
    <row r="167" spans="2:5" x14ac:dyDescent="0.3">
      <c r="C167" s="86">
        <v>5</v>
      </c>
      <c r="D167" s="86">
        <v>100</v>
      </c>
      <c r="E167" s="86">
        <f>C167*24/D167</f>
        <v>1.2</v>
      </c>
    </row>
    <row r="168" spans="2:5" x14ac:dyDescent="0.3">
      <c r="C168" s="87">
        <v>10</v>
      </c>
      <c r="D168" s="87">
        <v>150</v>
      </c>
      <c r="E168" s="86">
        <f t="shared" ref="E168" si="13">C168*24/D168</f>
        <v>1.6</v>
      </c>
    </row>
    <row r="169" spans="2:5" x14ac:dyDescent="0.3">
      <c r="C169" s="86">
        <v>35</v>
      </c>
      <c r="D169" s="86">
        <v>250</v>
      </c>
      <c r="E169" s="86">
        <f>C169*24/D169</f>
        <v>3.36</v>
      </c>
    </row>
    <row r="170" spans="2:5" x14ac:dyDescent="0.15">
      <c r="C170" s="88" t="s">
        <v>268</v>
      </c>
    </row>
    <row r="171" spans="2:5" x14ac:dyDescent="0.15">
      <c r="D171" s="88" t="s">
        <v>409</v>
      </c>
    </row>
    <row r="172" spans="2:5" x14ac:dyDescent="0.15">
      <c r="D172" s="88" t="s">
        <v>410</v>
      </c>
    </row>
    <row r="174" spans="2:5" s="94" customFormat="1" x14ac:dyDescent="0.15">
      <c r="B174" s="94" t="s">
        <v>413</v>
      </c>
    </row>
    <row r="175" spans="2:5" x14ac:dyDescent="0.15">
      <c r="C175" s="88" t="s">
        <v>414</v>
      </c>
    </row>
    <row r="176" spans="2:5" x14ac:dyDescent="0.15">
      <c r="C176" s="88" t="s">
        <v>415</v>
      </c>
    </row>
  </sheetData>
  <mergeCells count="9">
    <mergeCell ref="B4:C4"/>
    <mergeCell ref="B32:D32"/>
    <mergeCell ref="B17:C17"/>
    <mergeCell ref="B20:C20"/>
    <mergeCell ref="B21:C21"/>
    <mergeCell ref="B22:C22"/>
    <mergeCell ref="B23:C23"/>
    <mergeCell ref="B24:C24"/>
    <mergeCell ref="B25:C2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T123"/>
  <sheetViews>
    <sheetView zoomScale="70" zoomScaleNormal="70" workbookViewId="0">
      <selection activeCell="B5" sqref="B5"/>
    </sheetView>
  </sheetViews>
  <sheetFormatPr defaultRowHeight="16.5" x14ac:dyDescent="0.15"/>
  <cols>
    <col min="1" max="5" width="9" style="88"/>
    <col min="6" max="6" width="11" style="88" customWidth="1"/>
    <col min="7" max="9" width="9" style="88"/>
    <col min="10" max="10" width="11.375" style="88" customWidth="1"/>
    <col min="11" max="11" width="3.875" style="88" customWidth="1"/>
    <col min="12" max="17" width="9" style="88"/>
    <col min="18" max="18" width="4.125" style="88" customWidth="1"/>
    <col min="19" max="24" width="9" style="88"/>
    <col min="25" max="25" width="3.75" style="88" customWidth="1"/>
    <col min="26" max="31" width="9" style="88"/>
    <col min="32" max="32" width="4.75" style="88" customWidth="1"/>
    <col min="33" max="38" width="9" style="88"/>
    <col min="39" max="39" width="3.875" style="88" customWidth="1"/>
    <col min="40" max="16384" width="9" style="88"/>
  </cols>
  <sheetData>
    <row r="3" spans="2:20" s="94" customFormat="1" x14ac:dyDescent="0.15">
      <c r="B3" s="94" t="s">
        <v>323</v>
      </c>
    </row>
    <row r="4" spans="2:20" x14ac:dyDescent="0.15">
      <c r="B4" s="88" t="s">
        <v>424</v>
      </c>
    </row>
    <row r="6" spans="2:20" x14ac:dyDescent="0.15">
      <c r="C6" s="131" t="s">
        <v>324</v>
      </c>
      <c r="D6" s="132"/>
      <c r="E6" s="131" t="s">
        <v>325</v>
      </c>
      <c r="F6" s="132"/>
      <c r="G6" s="131" t="s">
        <v>326</v>
      </c>
      <c r="H6" s="132"/>
      <c r="I6" s="131" t="s">
        <v>327</v>
      </c>
      <c r="J6" s="132"/>
      <c r="K6" s="141" t="s">
        <v>341</v>
      </c>
      <c r="L6" s="142"/>
      <c r="M6" s="141" t="s">
        <v>344</v>
      </c>
      <c r="N6" s="142"/>
      <c r="O6" s="141" t="s">
        <v>342</v>
      </c>
      <c r="P6" s="142"/>
      <c r="Q6" s="141" t="s">
        <v>330</v>
      </c>
      <c r="R6" s="142"/>
      <c r="S6" s="141" t="s">
        <v>346</v>
      </c>
      <c r="T6" s="142"/>
    </row>
    <row r="7" spans="2:20" ht="81" customHeight="1" x14ac:dyDescent="0.15">
      <c r="C7" s="133"/>
      <c r="D7" s="137"/>
      <c r="E7" s="133"/>
      <c r="F7" s="137"/>
      <c r="G7" s="133" t="s">
        <v>360</v>
      </c>
      <c r="H7" s="137"/>
      <c r="I7" s="133" t="s">
        <v>347</v>
      </c>
      <c r="J7" s="134"/>
      <c r="K7" s="138"/>
      <c r="L7" s="139"/>
      <c r="M7" s="138"/>
      <c r="N7" s="139"/>
      <c r="O7" s="138"/>
      <c r="P7" s="139"/>
      <c r="Q7" s="138"/>
      <c r="R7" s="139"/>
      <c r="S7" s="138"/>
      <c r="T7" s="139"/>
    </row>
    <row r="8" spans="2:20" ht="111.75" customHeight="1" x14ac:dyDescent="0.15">
      <c r="C8" s="135" t="s">
        <v>329</v>
      </c>
      <c r="D8" s="135"/>
      <c r="E8" s="136" t="s">
        <v>348</v>
      </c>
      <c r="F8" s="136"/>
      <c r="G8" s="135"/>
      <c r="H8" s="135"/>
      <c r="I8" s="135"/>
      <c r="J8" s="135"/>
      <c r="K8" s="140" t="s">
        <v>343</v>
      </c>
      <c r="L8" s="140"/>
      <c r="M8" s="140">
        <f>数据整合!B85*20</f>
        <v>6.66</v>
      </c>
      <c r="N8" s="140"/>
      <c r="O8" s="140"/>
      <c r="P8" s="140"/>
      <c r="Q8" s="140"/>
      <c r="R8" s="140"/>
      <c r="S8" s="140"/>
      <c r="T8" s="140"/>
    </row>
    <row r="9" spans="2:20" ht="69.75" customHeight="1" x14ac:dyDescent="0.15">
      <c r="C9" s="133"/>
      <c r="D9" s="137"/>
      <c r="E9" s="133"/>
      <c r="F9" s="137"/>
      <c r="G9" s="133" t="s">
        <v>349</v>
      </c>
      <c r="H9" s="137"/>
      <c r="I9" s="133" t="s">
        <v>350</v>
      </c>
      <c r="J9" s="137"/>
      <c r="K9" s="138"/>
      <c r="L9" s="139"/>
      <c r="M9" s="138"/>
      <c r="N9" s="139"/>
      <c r="O9" s="138"/>
      <c r="P9" s="139"/>
      <c r="Q9" s="138"/>
      <c r="R9" s="139"/>
      <c r="S9" s="138"/>
      <c r="T9" s="139"/>
    </row>
    <row r="10" spans="2:20" ht="75" customHeight="1" x14ac:dyDescent="0.15">
      <c r="C10" s="135" t="s">
        <v>351</v>
      </c>
      <c r="D10" s="135"/>
      <c r="E10" s="135" t="s">
        <v>352</v>
      </c>
      <c r="F10" s="135"/>
      <c r="G10" s="135"/>
      <c r="H10" s="135"/>
      <c r="I10" s="135"/>
      <c r="J10" s="135"/>
      <c r="K10" s="140"/>
      <c r="L10" s="140"/>
      <c r="M10" s="140"/>
      <c r="N10" s="140"/>
      <c r="O10" s="140"/>
      <c r="P10" s="140"/>
      <c r="Q10" s="140"/>
      <c r="R10" s="140"/>
      <c r="S10" s="140"/>
      <c r="T10" s="140"/>
    </row>
    <row r="11" spans="2:20" ht="153.75" customHeight="1" x14ac:dyDescent="0.15">
      <c r="C11" s="133" t="s">
        <v>353</v>
      </c>
      <c r="D11" s="137"/>
      <c r="E11" s="133" t="s">
        <v>354</v>
      </c>
      <c r="F11" s="137"/>
      <c r="G11" s="133"/>
      <c r="H11" s="137"/>
      <c r="I11" s="133"/>
      <c r="J11" s="137"/>
      <c r="K11" s="138"/>
      <c r="L11" s="139"/>
      <c r="M11" s="138"/>
      <c r="N11" s="139"/>
      <c r="O11" s="138"/>
      <c r="P11" s="139"/>
      <c r="Q11" s="138"/>
      <c r="R11" s="139"/>
      <c r="S11" s="138"/>
      <c r="T11" s="139"/>
    </row>
    <row r="12" spans="2:20" ht="138.75" customHeight="1" x14ac:dyDescent="0.15">
      <c r="C12" s="135"/>
      <c r="D12" s="135"/>
      <c r="E12" s="135" t="s">
        <v>357</v>
      </c>
      <c r="F12" s="135"/>
      <c r="G12" s="135" t="s">
        <v>355</v>
      </c>
      <c r="H12" s="135"/>
      <c r="I12" s="135" t="s">
        <v>356</v>
      </c>
      <c r="J12" s="135"/>
      <c r="K12" s="140"/>
      <c r="L12" s="140"/>
      <c r="M12" s="140"/>
      <c r="N12" s="140"/>
      <c r="O12" s="140"/>
      <c r="P12" s="140"/>
      <c r="Q12" s="140"/>
      <c r="R12" s="140"/>
      <c r="S12" s="140"/>
      <c r="T12" s="140"/>
    </row>
    <row r="13" spans="2:20" ht="137.25" customHeight="1" x14ac:dyDescent="0.15">
      <c r="C13" s="133" t="s">
        <v>358</v>
      </c>
      <c r="D13" s="137"/>
      <c r="E13" s="133" t="s">
        <v>359</v>
      </c>
      <c r="F13" s="137"/>
      <c r="G13" s="133"/>
      <c r="H13" s="137"/>
      <c r="I13" s="133"/>
      <c r="J13" s="137"/>
      <c r="K13" s="138"/>
      <c r="L13" s="139"/>
      <c r="M13" s="138"/>
      <c r="N13" s="139"/>
      <c r="O13" s="138"/>
      <c r="P13" s="139"/>
      <c r="Q13" s="138"/>
      <c r="R13" s="139"/>
      <c r="S13" s="138"/>
      <c r="T13" s="139"/>
    </row>
    <row r="14" spans="2:20" ht="111.75" customHeight="1" x14ac:dyDescent="0.15">
      <c r="C14" s="135"/>
      <c r="D14" s="135"/>
      <c r="E14" s="135"/>
      <c r="F14" s="135"/>
      <c r="G14" s="135" t="s">
        <v>361</v>
      </c>
      <c r="H14" s="135"/>
      <c r="I14" s="135" t="s">
        <v>401</v>
      </c>
      <c r="J14" s="135"/>
      <c r="K14" s="140"/>
      <c r="L14" s="140"/>
      <c r="M14" s="140"/>
      <c r="N14" s="140"/>
      <c r="O14" s="140"/>
      <c r="P14" s="140"/>
      <c r="Q14" s="140"/>
      <c r="R14" s="140"/>
      <c r="S14" s="140"/>
      <c r="T14" s="140"/>
    </row>
    <row r="15" spans="2:20" ht="90" customHeight="1" x14ac:dyDescent="0.15">
      <c r="C15" s="133" t="s">
        <v>380</v>
      </c>
      <c r="D15" s="137"/>
      <c r="E15" s="137"/>
      <c r="F15" s="137"/>
      <c r="G15" s="137"/>
      <c r="H15" s="137"/>
      <c r="I15" s="137"/>
      <c r="J15" s="134"/>
      <c r="K15" s="138"/>
      <c r="L15" s="139"/>
      <c r="M15" s="138"/>
      <c r="N15" s="139"/>
      <c r="O15" s="138"/>
      <c r="P15" s="139"/>
      <c r="Q15" s="138"/>
      <c r="R15" s="139"/>
      <c r="S15" s="138"/>
      <c r="T15" s="139"/>
    </row>
    <row r="16" spans="2:20" ht="200.25" customHeight="1" x14ac:dyDescent="0.15">
      <c r="C16" s="135" t="s">
        <v>362</v>
      </c>
      <c r="D16" s="135"/>
      <c r="E16" s="135" t="s">
        <v>363</v>
      </c>
      <c r="F16" s="135"/>
      <c r="G16" s="135"/>
      <c r="H16" s="135"/>
      <c r="I16" s="135" t="s">
        <v>364</v>
      </c>
      <c r="J16" s="135"/>
      <c r="K16" s="140"/>
      <c r="L16" s="140"/>
      <c r="M16" s="140"/>
      <c r="N16" s="140"/>
      <c r="O16" s="140"/>
      <c r="P16" s="140"/>
      <c r="Q16" s="140"/>
      <c r="R16" s="140"/>
      <c r="S16" s="140"/>
      <c r="T16" s="140"/>
    </row>
    <row r="17" spans="2:37" ht="150.75" customHeight="1" x14ac:dyDescent="0.15">
      <c r="C17" s="133"/>
      <c r="D17" s="137"/>
      <c r="E17" s="133"/>
      <c r="F17" s="137"/>
      <c r="G17" s="133" t="s">
        <v>365</v>
      </c>
      <c r="H17" s="137"/>
      <c r="I17" s="133" t="s">
        <v>366</v>
      </c>
      <c r="J17" s="137"/>
      <c r="K17" s="138"/>
      <c r="L17" s="139"/>
      <c r="M17" s="138"/>
      <c r="N17" s="139"/>
      <c r="O17" s="138"/>
      <c r="P17" s="139"/>
      <c r="Q17" s="138"/>
      <c r="R17" s="139"/>
      <c r="S17" s="138"/>
      <c r="T17" s="139"/>
    </row>
    <row r="18" spans="2:37" ht="120.75" customHeight="1" x14ac:dyDescent="0.15">
      <c r="C18" s="135" t="s">
        <v>367</v>
      </c>
      <c r="D18" s="135"/>
      <c r="E18" s="135" t="s">
        <v>368</v>
      </c>
      <c r="F18" s="135"/>
      <c r="G18" s="135"/>
      <c r="H18" s="135"/>
      <c r="I18" s="135"/>
      <c r="J18" s="135"/>
      <c r="K18" s="140"/>
      <c r="L18" s="140"/>
      <c r="M18" s="140"/>
      <c r="N18" s="140"/>
      <c r="O18" s="140"/>
      <c r="P18" s="140"/>
      <c r="Q18" s="140"/>
      <c r="R18" s="140"/>
      <c r="S18" s="140"/>
      <c r="T18" s="140"/>
    </row>
    <row r="19" spans="2:37" ht="66" customHeight="1" x14ac:dyDescent="0.15">
      <c r="C19" s="133" t="s">
        <v>369</v>
      </c>
      <c r="D19" s="137"/>
      <c r="E19" s="133" t="s">
        <v>371</v>
      </c>
      <c r="F19" s="137"/>
      <c r="G19" s="133" t="s">
        <v>369</v>
      </c>
      <c r="H19" s="137"/>
      <c r="I19" s="133" t="s">
        <v>370</v>
      </c>
      <c r="J19" s="137"/>
      <c r="K19" s="138"/>
      <c r="L19" s="139"/>
      <c r="M19" s="138"/>
      <c r="N19" s="139"/>
      <c r="O19" s="138"/>
      <c r="P19" s="139"/>
      <c r="Q19" s="138"/>
      <c r="R19" s="139"/>
      <c r="S19" s="138"/>
      <c r="T19" s="139"/>
    </row>
    <row r="20" spans="2:37" ht="100.5" customHeight="1" x14ac:dyDescent="0.15">
      <c r="C20" s="135" t="s">
        <v>372</v>
      </c>
      <c r="D20" s="135"/>
      <c r="E20" s="135" t="s">
        <v>374</v>
      </c>
      <c r="F20" s="135"/>
      <c r="G20" s="135"/>
      <c r="H20" s="135"/>
      <c r="I20" s="135"/>
      <c r="J20" s="135"/>
      <c r="K20" s="140"/>
      <c r="L20" s="140"/>
      <c r="M20" s="140"/>
      <c r="N20" s="140"/>
      <c r="O20" s="140"/>
      <c r="P20" s="140"/>
      <c r="Q20" s="140"/>
      <c r="R20" s="140"/>
      <c r="S20" s="140"/>
      <c r="T20" s="140"/>
    </row>
    <row r="21" spans="2:37" ht="133.5" customHeight="1" x14ac:dyDescent="0.15">
      <c r="C21" s="133"/>
      <c r="D21" s="137"/>
      <c r="E21" s="133" t="s">
        <v>376</v>
      </c>
      <c r="F21" s="137"/>
      <c r="G21" s="133" t="s">
        <v>373</v>
      </c>
      <c r="H21" s="137"/>
      <c r="I21" s="133" t="s">
        <v>375</v>
      </c>
      <c r="J21" s="137"/>
      <c r="K21" s="138"/>
      <c r="L21" s="139"/>
      <c r="M21" s="138"/>
      <c r="N21" s="139"/>
      <c r="O21" s="138"/>
      <c r="P21" s="139"/>
      <c r="Q21" s="138"/>
      <c r="R21" s="139"/>
      <c r="S21" s="138"/>
      <c r="T21" s="139"/>
    </row>
    <row r="22" spans="2:37" ht="49.5" customHeight="1" x14ac:dyDescent="0.15">
      <c r="C22" s="135" t="s">
        <v>377</v>
      </c>
      <c r="D22" s="135"/>
      <c r="E22" s="135" t="s">
        <v>411</v>
      </c>
      <c r="F22" s="135"/>
      <c r="G22" s="135"/>
      <c r="H22" s="135"/>
      <c r="I22" s="135"/>
      <c r="J22" s="135"/>
      <c r="K22" s="140"/>
      <c r="L22" s="140"/>
      <c r="M22" s="140"/>
      <c r="N22" s="140"/>
      <c r="O22" s="140"/>
      <c r="P22" s="140"/>
      <c r="Q22" s="140"/>
      <c r="R22" s="140"/>
      <c r="S22" s="140"/>
      <c r="T22" s="140"/>
    </row>
    <row r="23" spans="2:37" ht="48" customHeight="1" x14ac:dyDescent="0.15">
      <c r="C23" s="133" t="s">
        <v>378</v>
      </c>
      <c r="D23" s="137"/>
      <c r="E23" s="137"/>
      <c r="F23" s="137"/>
      <c r="G23" s="137"/>
      <c r="H23" s="137"/>
      <c r="I23" s="137"/>
      <c r="J23" s="134"/>
      <c r="K23" s="138"/>
      <c r="L23" s="139"/>
      <c r="M23" s="138"/>
      <c r="N23" s="139"/>
      <c r="O23" s="138"/>
      <c r="P23" s="139"/>
      <c r="Q23" s="138"/>
      <c r="R23" s="139"/>
      <c r="S23" s="138"/>
      <c r="T23" s="139"/>
    </row>
    <row r="25" spans="2:37" s="94" customFormat="1" x14ac:dyDescent="0.15">
      <c r="B25" s="94" t="s">
        <v>379</v>
      </c>
    </row>
    <row r="27" spans="2:37" x14ac:dyDescent="0.15">
      <c r="B27" s="106" t="s">
        <v>382</v>
      </c>
      <c r="C27" s="110"/>
      <c r="E27" s="143" t="s">
        <v>329</v>
      </c>
      <c r="F27" s="144"/>
      <c r="G27" s="144"/>
      <c r="H27" s="144"/>
      <c r="I27" s="144"/>
      <c r="J27" s="145"/>
      <c r="K27" s="117"/>
      <c r="L27" s="143" t="s">
        <v>389</v>
      </c>
      <c r="M27" s="144"/>
      <c r="N27" s="144"/>
      <c r="O27" s="144"/>
      <c r="P27" s="144"/>
      <c r="Q27" s="145"/>
      <c r="R27" s="117"/>
      <c r="S27" s="143" t="s">
        <v>353</v>
      </c>
      <c r="T27" s="144"/>
      <c r="U27" s="144"/>
      <c r="V27" s="144"/>
      <c r="W27" s="144"/>
      <c r="X27" s="116"/>
      <c r="Y27" s="117"/>
      <c r="Z27" s="143" t="s">
        <v>390</v>
      </c>
      <c r="AA27" s="144"/>
      <c r="AB27" s="144"/>
      <c r="AC27" s="144"/>
      <c r="AD27" s="144"/>
      <c r="AE27" s="145"/>
      <c r="AF27" s="117"/>
      <c r="AG27" s="143" t="s">
        <v>393</v>
      </c>
      <c r="AH27" s="144"/>
      <c r="AI27" s="144"/>
      <c r="AJ27" s="144"/>
      <c r="AK27" s="144"/>
    </row>
    <row r="28" spans="2:37" x14ac:dyDescent="0.15">
      <c r="B28" s="106" t="s">
        <v>384</v>
      </c>
      <c r="C28" s="106" t="s">
        <v>386</v>
      </c>
      <c r="D28" s="111" t="s">
        <v>383</v>
      </c>
      <c r="E28" s="111">
        <v>1</v>
      </c>
      <c r="F28" s="111">
        <v>2</v>
      </c>
      <c r="G28" s="111">
        <v>3</v>
      </c>
      <c r="H28" s="111">
        <v>4</v>
      </c>
      <c r="I28" s="111">
        <v>5</v>
      </c>
      <c r="J28" s="111">
        <v>6</v>
      </c>
      <c r="K28" s="117"/>
      <c r="L28" s="111">
        <v>1</v>
      </c>
      <c r="M28" s="111">
        <v>2</v>
      </c>
      <c r="N28" s="111">
        <v>3</v>
      </c>
      <c r="O28" s="111">
        <v>4</v>
      </c>
      <c r="P28" s="111">
        <v>5</v>
      </c>
      <c r="Q28" s="111">
        <v>6</v>
      </c>
      <c r="R28" s="117"/>
      <c r="S28" s="111">
        <v>1</v>
      </c>
      <c r="T28" s="111">
        <v>2</v>
      </c>
      <c r="U28" s="111">
        <v>3</v>
      </c>
      <c r="V28" s="111">
        <v>4</v>
      </c>
      <c r="W28" s="111">
        <v>5</v>
      </c>
      <c r="X28" s="116"/>
      <c r="Y28" s="117"/>
      <c r="Z28" s="111">
        <v>1</v>
      </c>
      <c r="AA28" s="111">
        <v>2</v>
      </c>
      <c r="AB28" s="111">
        <v>3</v>
      </c>
      <c r="AC28" s="111">
        <v>4</v>
      </c>
      <c r="AD28" s="111">
        <v>5</v>
      </c>
      <c r="AE28" s="111">
        <v>6</v>
      </c>
      <c r="AF28" s="117"/>
      <c r="AG28" s="111">
        <v>1</v>
      </c>
      <c r="AH28" s="111">
        <v>2</v>
      </c>
      <c r="AI28" s="111">
        <v>3</v>
      </c>
      <c r="AJ28" s="111">
        <v>4</v>
      </c>
      <c r="AK28" s="111">
        <v>5</v>
      </c>
    </row>
    <row r="29" spans="2:37" x14ac:dyDescent="0.15">
      <c r="B29" s="107" t="s">
        <v>383</v>
      </c>
      <c r="C29" s="107" t="s">
        <v>385</v>
      </c>
      <c r="D29" s="112" t="s">
        <v>388</v>
      </c>
      <c r="E29" s="112">
        <v>45</v>
      </c>
      <c r="F29" s="112">
        <v>54</v>
      </c>
      <c r="G29" s="112">
        <v>65</v>
      </c>
      <c r="H29" s="112">
        <v>78</v>
      </c>
      <c r="I29" s="112">
        <v>95</v>
      </c>
      <c r="J29" s="112">
        <v>110</v>
      </c>
      <c r="K29" s="117"/>
      <c r="L29" s="112">
        <v>20</v>
      </c>
      <c r="M29" s="112">
        <v>23</v>
      </c>
      <c r="N29" s="112">
        <v>28</v>
      </c>
      <c r="O29" s="112">
        <v>33</v>
      </c>
      <c r="P29" s="112">
        <v>40</v>
      </c>
      <c r="Q29" s="112">
        <v>44</v>
      </c>
      <c r="R29" s="117"/>
      <c r="S29" s="112">
        <v>25</v>
      </c>
      <c r="T29" s="112">
        <v>30</v>
      </c>
      <c r="U29" s="112">
        <v>36</v>
      </c>
      <c r="V29" s="112">
        <v>43</v>
      </c>
      <c r="W29" s="112">
        <v>52</v>
      </c>
      <c r="X29" s="118"/>
      <c r="Y29" s="117"/>
      <c r="Z29" s="112">
        <v>300</v>
      </c>
      <c r="AA29" s="112">
        <v>360</v>
      </c>
      <c r="AB29" s="112">
        <v>430</v>
      </c>
      <c r="AC29" s="112">
        <v>520</v>
      </c>
      <c r="AD29" s="112">
        <v>670</v>
      </c>
      <c r="AE29" s="112">
        <v>800</v>
      </c>
      <c r="AF29" s="117"/>
      <c r="AG29" s="112">
        <v>75</v>
      </c>
      <c r="AH29" s="112">
        <v>90</v>
      </c>
      <c r="AI29" s="112">
        <v>108</v>
      </c>
      <c r="AJ29" s="112">
        <v>130</v>
      </c>
      <c r="AK29" s="112">
        <v>156</v>
      </c>
    </row>
    <row r="30" spans="2:37" x14ac:dyDescent="0.15">
      <c r="B30" s="108">
        <v>1</v>
      </c>
      <c r="C30" s="108">
        <v>7</v>
      </c>
      <c r="D30" s="146" t="s">
        <v>387</v>
      </c>
      <c r="E30" s="114">
        <f>INT(E$29/$C30)+1</f>
        <v>7</v>
      </c>
      <c r="F30" s="114">
        <f t="shared" ref="F30:W41" si="0">INT(F$29/$C30)+1</f>
        <v>8</v>
      </c>
      <c r="G30" s="114">
        <f t="shared" si="0"/>
        <v>10</v>
      </c>
      <c r="H30" s="114">
        <f t="shared" si="0"/>
        <v>12</v>
      </c>
      <c r="I30" s="114">
        <f t="shared" si="0"/>
        <v>14</v>
      </c>
      <c r="J30" s="114">
        <f t="shared" si="0"/>
        <v>16</v>
      </c>
      <c r="K30" s="117"/>
      <c r="L30" s="114">
        <f>INT(L$29/$C30)+1</f>
        <v>3</v>
      </c>
      <c r="M30" s="114">
        <f t="shared" si="0"/>
        <v>4</v>
      </c>
      <c r="N30" s="114">
        <f t="shared" si="0"/>
        <v>5</v>
      </c>
      <c r="O30" s="114">
        <f t="shared" si="0"/>
        <v>5</v>
      </c>
      <c r="P30" s="114">
        <f t="shared" si="0"/>
        <v>6</v>
      </c>
      <c r="Q30" s="114">
        <f t="shared" si="0"/>
        <v>7</v>
      </c>
      <c r="R30" s="117"/>
      <c r="S30" s="114">
        <f>INT(S$29/$C30)+1</f>
        <v>4</v>
      </c>
      <c r="T30" s="114">
        <f t="shared" si="0"/>
        <v>5</v>
      </c>
      <c r="U30" s="114">
        <f t="shared" si="0"/>
        <v>6</v>
      </c>
      <c r="V30" s="114">
        <f t="shared" si="0"/>
        <v>7</v>
      </c>
      <c r="W30" s="114">
        <f t="shared" si="0"/>
        <v>8</v>
      </c>
      <c r="X30" s="119"/>
      <c r="Y30" s="117"/>
      <c r="Z30" s="114">
        <f>INT(Z$29/$C30)+1</f>
        <v>43</v>
      </c>
      <c r="AA30" s="114">
        <f t="shared" ref="AA30:AE30" si="1">INT(AA$29/$C30)+1</f>
        <v>52</v>
      </c>
      <c r="AB30" s="114">
        <f t="shared" si="1"/>
        <v>62</v>
      </c>
      <c r="AC30" s="114">
        <f t="shared" si="1"/>
        <v>75</v>
      </c>
      <c r="AD30" s="114">
        <f t="shared" si="1"/>
        <v>96</v>
      </c>
      <c r="AE30" s="114">
        <f t="shared" si="1"/>
        <v>115</v>
      </c>
      <c r="AF30" s="117"/>
      <c r="AG30" s="114">
        <f>INT(AG$29/$C30)+1</f>
        <v>11</v>
      </c>
      <c r="AH30" s="114">
        <f t="shared" ref="AG30:AK41" si="2">INT(AH$29/$C30)+1</f>
        <v>13</v>
      </c>
      <c r="AI30" s="114">
        <f t="shared" si="2"/>
        <v>16</v>
      </c>
      <c r="AJ30" s="114">
        <f t="shared" si="2"/>
        <v>19</v>
      </c>
      <c r="AK30" s="114">
        <f t="shared" si="2"/>
        <v>23</v>
      </c>
    </row>
    <row r="31" spans="2:37" x14ac:dyDescent="0.15">
      <c r="B31" s="109">
        <v>2</v>
      </c>
      <c r="C31" s="109">
        <v>9</v>
      </c>
      <c r="D31" s="146"/>
      <c r="E31" s="115">
        <f t="shared" ref="E31:V41" si="3">INT(E$29/$C31)+1</f>
        <v>6</v>
      </c>
      <c r="F31" s="115">
        <f t="shared" si="3"/>
        <v>7</v>
      </c>
      <c r="G31" s="115">
        <f t="shared" si="3"/>
        <v>8</v>
      </c>
      <c r="H31" s="115">
        <f t="shared" si="3"/>
        <v>9</v>
      </c>
      <c r="I31" s="115">
        <f t="shared" si="3"/>
        <v>11</v>
      </c>
      <c r="J31" s="115">
        <f t="shared" si="3"/>
        <v>13</v>
      </c>
      <c r="K31" s="117"/>
      <c r="L31" s="115">
        <f t="shared" si="3"/>
        <v>3</v>
      </c>
      <c r="M31" s="115">
        <f t="shared" si="3"/>
        <v>3</v>
      </c>
      <c r="N31" s="115">
        <f t="shared" si="3"/>
        <v>4</v>
      </c>
      <c r="O31" s="115">
        <f t="shared" si="3"/>
        <v>4</v>
      </c>
      <c r="P31" s="115">
        <f t="shared" si="3"/>
        <v>5</v>
      </c>
      <c r="Q31" s="115">
        <f t="shared" si="3"/>
        <v>5</v>
      </c>
      <c r="R31" s="117"/>
      <c r="S31" s="115">
        <f t="shared" si="3"/>
        <v>3</v>
      </c>
      <c r="T31" s="115">
        <f t="shared" si="3"/>
        <v>4</v>
      </c>
      <c r="U31" s="115">
        <f t="shared" si="3"/>
        <v>5</v>
      </c>
      <c r="V31" s="115">
        <f t="shared" si="3"/>
        <v>5</v>
      </c>
      <c r="W31" s="115">
        <f t="shared" si="0"/>
        <v>6</v>
      </c>
      <c r="X31" s="120"/>
      <c r="Y31" s="117"/>
      <c r="Z31" s="115">
        <f t="shared" ref="Z31:AE41" si="4">INT(Z$29/$C31)+1</f>
        <v>34</v>
      </c>
      <c r="AA31" s="115">
        <f t="shared" si="4"/>
        <v>41</v>
      </c>
      <c r="AB31" s="115">
        <f t="shared" si="4"/>
        <v>48</v>
      </c>
      <c r="AC31" s="115">
        <f t="shared" si="4"/>
        <v>58</v>
      </c>
      <c r="AD31" s="115">
        <f t="shared" si="4"/>
        <v>75</v>
      </c>
      <c r="AE31" s="115">
        <f t="shared" si="4"/>
        <v>89</v>
      </c>
      <c r="AF31" s="117"/>
      <c r="AG31" s="115">
        <f t="shared" ref="AG31:AJ31" si="5">INT(AG$29/$C31)+1</f>
        <v>9</v>
      </c>
      <c r="AH31" s="115">
        <f t="shared" si="5"/>
        <v>11</v>
      </c>
      <c r="AI31" s="115">
        <f t="shared" si="5"/>
        <v>13</v>
      </c>
      <c r="AJ31" s="115">
        <f t="shared" si="5"/>
        <v>15</v>
      </c>
      <c r="AK31" s="115">
        <f t="shared" si="2"/>
        <v>18</v>
      </c>
    </row>
    <row r="32" spans="2:37" x14ac:dyDescent="0.15">
      <c r="B32" s="108">
        <v>3</v>
      </c>
      <c r="C32" s="108">
        <v>12</v>
      </c>
      <c r="D32" s="146"/>
      <c r="E32" s="113">
        <f t="shared" si="3"/>
        <v>4</v>
      </c>
      <c r="F32" s="113">
        <f t="shared" si="3"/>
        <v>5</v>
      </c>
      <c r="G32" s="113">
        <f t="shared" si="3"/>
        <v>6</v>
      </c>
      <c r="H32" s="113">
        <f t="shared" si="3"/>
        <v>7</v>
      </c>
      <c r="I32" s="113">
        <f t="shared" si="3"/>
        <v>8</v>
      </c>
      <c r="J32" s="113">
        <f t="shared" si="3"/>
        <v>10</v>
      </c>
      <c r="K32" s="117"/>
      <c r="L32" s="113">
        <f t="shared" si="3"/>
        <v>2</v>
      </c>
      <c r="M32" s="113">
        <f t="shared" si="3"/>
        <v>2</v>
      </c>
      <c r="N32" s="113">
        <f t="shared" si="3"/>
        <v>3</v>
      </c>
      <c r="O32" s="113">
        <f t="shared" si="3"/>
        <v>3</v>
      </c>
      <c r="P32" s="113">
        <f t="shared" si="3"/>
        <v>4</v>
      </c>
      <c r="Q32" s="113">
        <f t="shared" si="3"/>
        <v>4</v>
      </c>
      <c r="R32" s="117"/>
      <c r="S32" s="113">
        <f t="shared" si="0"/>
        <v>3</v>
      </c>
      <c r="T32" s="113">
        <f t="shared" si="0"/>
        <v>3</v>
      </c>
      <c r="U32" s="113">
        <f t="shared" si="0"/>
        <v>4</v>
      </c>
      <c r="V32" s="113">
        <f t="shared" si="0"/>
        <v>4</v>
      </c>
      <c r="W32" s="113">
        <f t="shared" si="0"/>
        <v>5</v>
      </c>
      <c r="X32" s="119"/>
      <c r="Y32" s="117"/>
      <c r="Z32" s="113">
        <f t="shared" si="4"/>
        <v>26</v>
      </c>
      <c r="AA32" s="113">
        <f t="shared" si="4"/>
        <v>31</v>
      </c>
      <c r="AB32" s="113">
        <f t="shared" si="4"/>
        <v>36</v>
      </c>
      <c r="AC32" s="113">
        <f t="shared" si="4"/>
        <v>44</v>
      </c>
      <c r="AD32" s="113">
        <f t="shared" si="4"/>
        <v>56</v>
      </c>
      <c r="AE32" s="113">
        <f t="shared" si="4"/>
        <v>67</v>
      </c>
      <c r="AF32" s="117"/>
      <c r="AG32" s="113">
        <f t="shared" si="2"/>
        <v>7</v>
      </c>
      <c r="AH32" s="113">
        <f t="shared" si="2"/>
        <v>8</v>
      </c>
      <c r="AI32" s="113">
        <f t="shared" si="2"/>
        <v>10</v>
      </c>
      <c r="AJ32" s="113">
        <f t="shared" si="2"/>
        <v>11</v>
      </c>
      <c r="AK32" s="113">
        <f t="shared" si="2"/>
        <v>14</v>
      </c>
    </row>
    <row r="33" spans="2:44" x14ac:dyDescent="0.15">
      <c r="B33" s="109">
        <v>4</v>
      </c>
      <c r="C33" s="109">
        <v>15</v>
      </c>
      <c r="D33" s="146"/>
      <c r="E33" s="115">
        <f t="shared" si="3"/>
        <v>4</v>
      </c>
      <c r="F33" s="115">
        <f t="shared" si="3"/>
        <v>4</v>
      </c>
      <c r="G33" s="115">
        <f t="shared" si="3"/>
        <v>5</v>
      </c>
      <c r="H33" s="115">
        <f t="shared" si="3"/>
        <v>6</v>
      </c>
      <c r="I33" s="115">
        <f t="shared" si="3"/>
        <v>7</v>
      </c>
      <c r="J33" s="115">
        <f t="shared" si="3"/>
        <v>8</v>
      </c>
      <c r="K33" s="117"/>
      <c r="L33" s="115">
        <f t="shared" si="3"/>
        <v>2</v>
      </c>
      <c r="M33" s="115">
        <f t="shared" si="3"/>
        <v>2</v>
      </c>
      <c r="N33" s="115">
        <f t="shared" si="3"/>
        <v>2</v>
      </c>
      <c r="O33" s="115">
        <f t="shared" si="3"/>
        <v>3</v>
      </c>
      <c r="P33" s="115">
        <f t="shared" si="3"/>
        <v>3</v>
      </c>
      <c r="Q33" s="115">
        <f t="shared" si="3"/>
        <v>3</v>
      </c>
      <c r="R33" s="117"/>
      <c r="S33" s="115">
        <f t="shared" si="0"/>
        <v>2</v>
      </c>
      <c r="T33" s="115">
        <f t="shared" si="0"/>
        <v>3</v>
      </c>
      <c r="U33" s="115">
        <f t="shared" si="0"/>
        <v>3</v>
      </c>
      <c r="V33" s="115">
        <f t="shared" si="0"/>
        <v>3</v>
      </c>
      <c r="W33" s="115">
        <f t="shared" si="0"/>
        <v>4</v>
      </c>
      <c r="X33" s="120"/>
      <c r="Y33" s="117"/>
      <c r="Z33" s="115">
        <f t="shared" si="4"/>
        <v>21</v>
      </c>
      <c r="AA33" s="115">
        <f t="shared" si="4"/>
        <v>25</v>
      </c>
      <c r="AB33" s="115">
        <f t="shared" si="4"/>
        <v>29</v>
      </c>
      <c r="AC33" s="115">
        <f t="shared" si="4"/>
        <v>35</v>
      </c>
      <c r="AD33" s="115">
        <f t="shared" si="4"/>
        <v>45</v>
      </c>
      <c r="AE33" s="115">
        <f t="shared" si="4"/>
        <v>54</v>
      </c>
      <c r="AF33" s="117"/>
      <c r="AG33" s="115">
        <f t="shared" si="2"/>
        <v>6</v>
      </c>
      <c r="AH33" s="115">
        <f t="shared" si="2"/>
        <v>7</v>
      </c>
      <c r="AI33" s="115">
        <f t="shared" si="2"/>
        <v>8</v>
      </c>
      <c r="AJ33" s="115">
        <f t="shared" si="2"/>
        <v>9</v>
      </c>
      <c r="AK33" s="115">
        <f t="shared" si="2"/>
        <v>11</v>
      </c>
    </row>
    <row r="34" spans="2:44" x14ac:dyDescent="0.15">
      <c r="B34" s="108">
        <v>5</v>
      </c>
      <c r="C34" s="108">
        <v>20</v>
      </c>
      <c r="D34" s="146"/>
      <c r="E34" s="114">
        <f t="shared" si="3"/>
        <v>3</v>
      </c>
      <c r="F34" s="114">
        <f t="shared" si="3"/>
        <v>3</v>
      </c>
      <c r="G34" s="114">
        <f t="shared" si="3"/>
        <v>4</v>
      </c>
      <c r="H34" s="114">
        <f t="shared" si="3"/>
        <v>4</v>
      </c>
      <c r="I34" s="114">
        <f t="shared" si="3"/>
        <v>5</v>
      </c>
      <c r="J34" s="114">
        <f t="shared" si="3"/>
        <v>6</v>
      </c>
      <c r="K34" s="117"/>
      <c r="L34" s="114">
        <f t="shared" si="3"/>
        <v>2</v>
      </c>
      <c r="M34" s="114">
        <f t="shared" si="3"/>
        <v>2</v>
      </c>
      <c r="N34" s="114">
        <f t="shared" si="3"/>
        <v>2</v>
      </c>
      <c r="O34" s="114">
        <f t="shared" si="3"/>
        <v>2</v>
      </c>
      <c r="P34" s="114">
        <f t="shared" si="3"/>
        <v>3</v>
      </c>
      <c r="Q34" s="114">
        <f t="shared" si="3"/>
        <v>3</v>
      </c>
      <c r="R34" s="117"/>
      <c r="S34" s="114">
        <f t="shared" si="0"/>
        <v>2</v>
      </c>
      <c r="T34" s="114">
        <f t="shared" si="0"/>
        <v>2</v>
      </c>
      <c r="U34" s="114">
        <f t="shared" si="0"/>
        <v>2</v>
      </c>
      <c r="V34" s="114">
        <f t="shared" si="0"/>
        <v>3</v>
      </c>
      <c r="W34" s="114">
        <f t="shared" si="0"/>
        <v>3</v>
      </c>
      <c r="X34" s="119"/>
      <c r="Y34" s="117"/>
      <c r="Z34" s="114">
        <f t="shared" si="4"/>
        <v>16</v>
      </c>
      <c r="AA34" s="114">
        <f t="shared" si="4"/>
        <v>19</v>
      </c>
      <c r="AB34" s="114">
        <f t="shared" si="4"/>
        <v>22</v>
      </c>
      <c r="AC34" s="114">
        <f t="shared" si="4"/>
        <v>27</v>
      </c>
      <c r="AD34" s="114">
        <f t="shared" si="4"/>
        <v>34</v>
      </c>
      <c r="AE34" s="114">
        <f t="shared" si="4"/>
        <v>41</v>
      </c>
      <c r="AF34" s="117"/>
      <c r="AG34" s="114">
        <f t="shared" si="2"/>
        <v>4</v>
      </c>
      <c r="AH34" s="114">
        <f t="shared" si="2"/>
        <v>5</v>
      </c>
      <c r="AI34" s="114">
        <f t="shared" si="2"/>
        <v>6</v>
      </c>
      <c r="AJ34" s="114">
        <f t="shared" si="2"/>
        <v>7</v>
      </c>
      <c r="AK34" s="114">
        <f t="shared" si="2"/>
        <v>8</v>
      </c>
    </row>
    <row r="35" spans="2:44" x14ac:dyDescent="0.15">
      <c r="B35" s="109">
        <v>6</v>
      </c>
      <c r="C35" s="109">
        <v>25</v>
      </c>
      <c r="D35" s="146"/>
      <c r="E35" s="115">
        <f t="shared" si="3"/>
        <v>2</v>
      </c>
      <c r="F35" s="115">
        <f t="shared" si="3"/>
        <v>3</v>
      </c>
      <c r="G35" s="115">
        <f t="shared" si="3"/>
        <v>3</v>
      </c>
      <c r="H35" s="115">
        <f t="shared" si="3"/>
        <v>4</v>
      </c>
      <c r="I35" s="115">
        <f t="shared" si="3"/>
        <v>4</v>
      </c>
      <c r="J35" s="115">
        <f t="shared" si="3"/>
        <v>5</v>
      </c>
      <c r="K35" s="117"/>
      <c r="L35" s="115">
        <f t="shared" si="3"/>
        <v>1</v>
      </c>
      <c r="M35" s="115">
        <f t="shared" si="3"/>
        <v>1</v>
      </c>
      <c r="N35" s="115">
        <f t="shared" si="3"/>
        <v>2</v>
      </c>
      <c r="O35" s="115">
        <f t="shared" si="3"/>
        <v>2</v>
      </c>
      <c r="P35" s="115">
        <f t="shared" si="3"/>
        <v>2</v>
      </c>
      <c r="Q35" s="115">
        <f t="shared" si="3"/>
        <v>2</v>
      </c>
      <c r="R35" s="117"/>
      <c r="S35" s="115">
        <f t="shared" si="0"/>
        <v>2</v>
      </c>
      <c r="T35" s="115">
        <f t="shared" si="0"/>
        <v>2</v>
      </c>
      <c r="U35" s="115">
        <f t="shared" si="0"/>
        <v>2</v>
      </c>
      <c r="V35" s="115">
        <f t="shared" si="0"/>
        <v>2</v>
      </c>
      <c r="W35" s="115">
        <f t="shared" si="0"/>
        <v>3</v>
      </c>
      <c r="X35" s="120"/>
      <c r="Y35" s="117"/>
      <c r="Z35" s="115">
        <f t="shared" si="4"/>
        <v>13</v>
      </c>
      <c r="AA35" s="115">
        <f t="shared" si="4"/>
        <v>15</v>
      </c>
      <c r="AB35" s="115">
        <f t="shared" si="4"/>
        <v>18</v>
      </c>
      <c r="AC35" s="115">
        <f t="shared" si="4"/>
        <v>21</v>
      </c>
      <c r="AD35" s="115">
        <f t="shared" si="4"/>
        <v>27</v>
      </c>
      <c r="AE35" s="115">
        <f t="shared" si="4"/>
        <v>33</v>
      </c>
      <c r="AF35" s="117"/>
      <c r="AG35" s="115">
        <f t="shared" si="2"/>
        <v>4</v>
      </c>
      <c r="AH35" s="115">
        <f t="shared" si="2"/>
        <v>4</v>
      </c>
      <c r="AI35" s="115">
        <f t="shared" si="2"/>
        <v>5</v>
      </c>
      <c r="AJ35" s="115">
        <f t="shared" si="2"/>
        <v>6</v>
      </c>
      <c r="AK35" s="115">
        <f t="shared" si="2"/>
        <v>7</v>
      </c>
    </row>
    <row r="36" spans="2:44" x14ac:dyDescent="0.15">
      <c r="B36" s="108">
        <v>7</v>
      </c>
      <c r="C36" s="108">
        <v>32</v>
      </c>
      <c r="D36" s="146"/>
      <c r="E36" s="113">
        <f t="shared" si="3"/>
        <v>2</v>
      </c>
      <c r="F36" s="113">
        <f t="shared" si="3"/>
        <v>2</v>
      </c>
      <c r="G36" s="113">
        <f t="shared" si="3"/>
        <v>3</v>
      </c>
      <c r="H36" s="113">
        <f t="shared" si="3"/>
        <v>3</v>
      </c>
      <c r="I36" s="113">
        <f t="shared" si="3"/>
        <v>3</v>
      </c>
      <c r="J36" s="113">
        <f t="shared" si="3"/>
        <v>4</v>
      </c>
      <c r="K36" s="117"/>
      <c r="L36" s="113">
        <f t="shared" si="3"/>
        <v>1</v>
      </c>
      <c r="M36" s="113">
        <f t="shared" si="3"/>
        <v>1</v>
      </c>
      <c r="N36" s="113">
        <f t="shared" si="3"/>
        <v>1</v>
      </c>
      <c r="O36" s="113">
        <f t="shared" si="3"/>
        <v>2</v>
      </c>
      <c r="P36" s="113">
        <f t="shared" si="3"/>
        <v>2</v>
      </c>
      <c r="Q36" s="113">
        <f t="shared" si="3"/>
        <v>2</v>
      </c>
      <c r="R36" s="117"/>
      <c r="S36" s="113">
        <f t="shared" si="0"/>
        <v>1</v>
      </c>
      <c r="T36" s="113">
        <f t="shared" si="0"/>
        <v>1</v>
      </c>
      <c r="U36" s="113">
        <f t="shared" si="0"/>
        <v>2</v>
      </c>
      <c r="V36" s="113">
        <f t="shared" si="0"/>
        <v>2</v>
      </c>
      <c r="W36" s="113">
        <f t="shared" si="0"/>
        <v>2</v>
      </c>
      <c r="X36" s="119"/>
      <c r="Y36" s="117"/>
      <c r="Z36" s="113">
        <f t="shared" si="4"/>
        <v>10</v>
      </c>
      <c r="AA36" s="113">
        <f t="shared" si="4"/>
        <v>12</v>
      </c>
      <c r="AB36" s="113">
        <f t="shared" si="4"/>
        <v>14</v>
      </c>
      <c r="AC36" s="113">
        <f t="shared" si="4"/>
        <v>17</v>
      </c>
      <c r="AD36" s="113">
        <f t="shared" si="4"/>
        <v>21</v>
      </c>
      <c r="AE36" s="113">
        <f t="shared" si="4"/>
        <v>26</v>
      </c>
      <c r="AF36" s="117"/>
      <c r="AG36" s="113">
        <f t="shared" si="2"/>
        <v>3</v>
      </c>
      <c r="AH36" s="113">
        <f t="shared" si="2"/>
        <v>3</v>
      </c>
      <c r="AI36" s="113">
        <f t="shared" si="2"/>
        <v>4</v>
      </c>
      <c r="AJ36" s="113">
        <f t="shared" si="2"/>
        <v>5</v>
      </c>
      <c r="AK36" s="113">
        <f t="shared" si="2"/>
        <v>5</v>
      </c>
    </row>
    <row r="37" spans="2:44" x14ac:dyDescent="0.15">
      <c r="B37" s="109">
        <v>8</v>
      </c>
      <c r="C37" s="109">
        <v>38</v>
      </c>
      <c r="D37" s="146"/>
      <c r="E37" s="115">
        <f t="shared" si="3"/>
        <v>2</v>
      </c>
      <c r="F37" s="115">
        <f t="shared" si="3"/>
        <v>2</v>
      </c>
      <c r="G37" s="115">
        <f t="shared" si="3"/>
        <v>2</v>
      </c>
      <c r="H37" s="115">
        <f t="shared" si="3"/>
        <v>3</v>
      </c>
      <c r="I37" s="115">
        <f t="shared" si="3"/>
        <v>3</v>
      </c>
      <c r="J37" s="115">
        <f t="shared" si="3"/>
        <v>3</v>
      </c>
      <c r="K37" s="117"/>
      <c r="L37" s="115">
        <f t="shared" si="3"/>
        <v>1</v>
      </c>
      <c r="M37" s="115">
        <f t="shared" si="3"/>
        <v>1</v>
      </c>
      <c r="N37" s="115">
        <f t="shared" si="3"/>
        <v>1</v>
      </c>
      <c r="O37" s="115">
        <f t="shared" si="3"/>
        <v>1</v>
      </c>
      <c r="P37" s="115">
        <f t="shared" si="3"/>
        <v>2</v>
      </c>
      <c r="Q37" s="115">
        <f t="shared" si="3"/>
        <v>2</v>
      </c>
      <c r="R37" s="117"/>
      <c r="S37" s="115">
        <f t="shared" si="0"/>
        <v>1</v>
      </c>
      <c r="T37" s="115">
        <f t="shared" si="0"/>
        <v>1</v>
      </c>
      <c r="U37" s="115">
        <f t="shared" si="0"/>
        <v>1</v>
      </c>
      <c r="V37" s="115">
        <f t="shared" si="0"/>
        <v>2</v>
      </c>
      <c r="W37" s="115">
        <f t="shared" si="0"/>
        <v>2</v>
      </c>
      <c r="X37" s="120"/>
      <c r="Y37" s="117"/>
      <c r="Z37" s="115">
        <f t="shared" si="4"/>
        <v>8</v>
      </c>
      <c r="AA37" s="115">
        <f t="shared" si="4"/>
        <v>10</v>
      </c>
      <c r="AB37" s="115">
        <f t="shared" si="4"/>
        <v>12</v>
      </c>
      <c r="AC37" s="115">
        <f t="shared" si="4"/>
        <v>14</v>
      </c>
      <c r="AD37" s="115">
        <f t="shared" si="4"/>
        <v>18</v>
      </c>
      <c r="AE37" s="115">
        <f t="shared" si="4"/>
        <v>22</v>
      </c>
      <c r="AF37" s="117"/>
      <c r="AG37" s="115">
        <f t="shared" si="2"/>
        <v>2</v>
      </c>
      <c r="AH37" s="115">
        <f t="shared" si="2"/>
        <v>3</v>
      </c>
      <c r="AI37" s="115">
        <f t="shared" si="2"/>
        <v>3</v>
      </c>
      <c r="AJ37" s="115">
        <f t="shared" si="2"/>
        <v>4</v>
      </c>
      <c r="AK37" s="115">
        <f t="shared" si="2"/>
        <v>5</v>
      </c>
    </row>
    <row r="38" spans="2:44" x14ac:dyDescent="0.15">
      <c r="B38" s="108">
        <v>9</v>
      </c>
      <c r="C38" s="108">
        <v>45</v>
      </c>
      <c r="D38" s="146"/>
      <c r="E38" s="114">
        <f t="shared" si="3"/>
        <v>2</v>
      </c>
      <c r="F38" s="114">
        <f t="shared" si="3"/>
        <v>2</v>
      </c>
      <c r="G38" s="114">
        <f t="shared" si="3"/>
        <v>2</v>
      </c>
      <c r="H38" s="114">
        <f t="shared" si="3"/>
        <v>2</v>
      </c>
      <c r="I38" s="114">
        <f t="shared" si="3"/>
        <v>3</v>
      </c>
      <c r="J38" s="114">
        <f t="shared" si="3"/>
        <v>3</v>
      </c>
      <c r="K38" s="117"/>
      <c r="L38" s="114">
        <f t="shared" si="3"/>
        <v>1</v>
      </c>
      <c r="M38" s="114">
        <f t="shared" si="3"/>
        <v>1</v>
      </c>
      <c r="N38" s="114">
        <f t="shared" si="3"/>
        <v>1</v>
      </c>
      <c r="O38" s="114">
        <f t="shared" si="3"/>
        <v>1</v>
      </c>
      <c r="P38" s="114">
        <f t="shared" si="3"/>
        <v>1</v>
      </c>
      <c r="Q38" s="114">
        <f t="shared" si="3"/>
        <v>1</v>
      </c>
      <c r="R38" s="117"/>
      <c r="S38" s="114">
        <f t="shared" si="0"/>
        <v>1</v>
      </c>
      <c r="T38" s="114">
        <f t="shared" si="0"/>
        <v>1</v>
      </c>
      <c r="U38" s="114">
        <f t="shared" si="0"/>
        <v>1</v>
      </c>
      <c r="V38" s="114">
        <f t="shared" si="0"/>
        <v>1</v>
      </c>
      <c r="W38" s="114">
        <f t="shared" si="0"/>
        <v>2</v>
      </c>
      <c r="X38" s="119"/>
      <c r="Y38" s="117"/>
      <c r="Z38" s="114">
        <f t="shared" si="4"/>
        <v>7</v>
      </c>
      <c r="AA38" s="114">
        <f t="shared" si="4"/>
        <v>9</v>
      </c>
      <c r="AB38" s="114">
        <f t="shared" si="4"/>
        <v>10</v>
      </c>
      <c r="AC38" s="114">
        <f t="shared" si="4"/>
        <v>12</v>
      </c>
      <c r="AD38" s="114">
        <f t="shared" si="4"/>
        <v>15</v>
      </c>
      <c r="AE38" s="114">
        <f t="shared" si="4"/>
        <v>18</v>
      </c>
      <c r="AF38" s="117"/>
      <c r="AG38" s="114">
        <f t="shared" si="2"/>
        <v>2</v>
      </c>
      <c r="AH38" s="114">
        <f t="shared" si="2"/>
        <v>3</v>
      </c>
      <c r="AI38" s="114">
        <f t="shared" si="2"/>
        <v>3</v>
      </c>
      <c r="AJ38" s="114">
        <f t="shared" si="2"/>
        <v>3</v>
      </c>
      <c r="AK38" s="114">
        <f t="shared" si="2"/>
        <v>4</v>
      </c>
    </row>
    <row r="39" spans="2:44" x14ac:dyDescent="0.15">
      <c r="B39" s="109">
        <v>10</v>
      </c>
      <c r="C39" s="109">
        <v>52</v>
      </c>
      <c r="D39" s="146"/>
      <c r="E39" s="115">
        <f t="shared" si="3"/>
        <v>1</v>
      </c>
      <c r="F39" s="115">
        <f t="shared" si="3"/>
        <v>2</v>
      </c>
      <c r="G39" s="115">
        <f t="shared" si="3"/>
        <v>2</v>
      </c>
      <c r="H39" s="115">
        <f t="shared" si="3"/>
        <v>2</v>
      </c>
      <c r="I39" s="115">
        <f t="shared" si="3"/>
        <v>2</v>
      </c>
      <c r="J39" s="115">
        <f t="shared" si="3"/>
        <v>3</v>
      </c>
      <c r="K39" s="117"/>
      <c r="L39" s="115">
        <f t="shared" si="3"/>
        <v>1</v>
      </c>
      <c r="M39" s="115">
        <f t="shared" si="3"/>
        <v>1</v>
      </c>
      <c r="N39" s="115">
        <f t="shared" si="3"/>
        <v>1</v>
      </c>
      <c r="O39" s="115">
        <f t="shared" si="3"/>
        <v>1</v>
      </c>
      <c r="P39" s="115">
        <f t="shared" si="3"/>
        <v>1</v>
      </c>
      <c r="Q39" s="115">
        <f t="shared" si="3"/>
        <v>1</v>
      </c>
      <c r="R39" s="117"/>
      <c r="S39" s="115">
        <f t="shared" si="0"/>
        <v>1</v>
      </c>
      <c r="T39" s="115">
        <f t="shared" si="0"/>
        <v>1</v>
      </c>
      <c r="U39" s="115">
        <f t="shared" si="0"/>
        <v>1</v>
      </c>
      <c r="V39" s="115">
        <f t="shared" si="0"/>
        <v>1</v>
      </c>
      <c r="W39" s="115">
        <f t="shared" si="0"/>
        <v>2</v>
      </c>
      <c r="X39" s="120"/>
      <c r="Y39" s="117"/>
      <c r="Z39" s="115">
        <f t="shared" si="4"/>
        <v>6</v>
      </c>
      <c r="AA39" s="115">
        <f t="shared" si="4"/>
        <v>7</v>
      </c>
      <c r="AB39" s="115">
        <f t="shared" si="4"/>
        <v>9</v>
      </c>
      <c r="AC39" s="115">
        <f t="shared" si="4"/>
        <v>11</v>
      </c>
      <c r="AD39" s="115">
        <f t="shared" si="4"/>
        <v>13</v>
      </c>
      <c r="AE39" s="115">
        <f t="shared" si="4"/>
        <v>16</v>
      </c>
      <c r="AF39" s="117"/>
      <c r="AG39" s="115">
        <f t="shared" si="2"/>
        <v>2</v>
      </c>
      <c r="AH39" s="115">
        <f t="shared" si="2"/>
        <v>2</v>
      </c>
      <c r="AI39" s="115">
        <f t="shared" si="2"/>
        <v>3</v>
      </c>
      <c r="AJ39" s="115">
        <f t="shared" si="2"/>
        <v>3</v>
      </c>
      <c r="AK39" s="115">
        <f t="shared" si="2"/>
        <v>4</v>
      </c>
    </row>
    <row r="40" spans="2:44" x14ac:dyDescent="0.15">
      <c r="B40" s="108">
        <v>11</v>
      </c>
      <c r="C40" s="108">
        <v>60</v>
      </c>
      <c r="D40" s="146"/>
      <c r="E40" s="113">
        <f t="shared" si="3"/>
        <v>1</v>
      </c>
      <c r="F40" s="113">
        <f t="shared" si="3"/>
        <v>1</v>
      </c>
      <c r="G40" s="113">
        <f t="shared" si="3"/>
        <v>2</v>
      </c>
      <c r="H40" s="113">
        <f t="shared" si="3"/>
        <v>2</v>
      </c>
      <c r="I40" s="113">
        <f t="shared" si="3"/>
        <v>2</v>
      </c>
      <c r="J40" s="113">
        <f t="shared" si="3"/>
        <v>2</v>
      </c>
      <c r="K40" s="117"/>
      <c r="L40" s="113">
        <f t="shared" si="3"/>
        <v>1</v>
      </c>
      <c r="M40" s="113">
        <f t="shared" si="3"/>
        <v>1</v>
      </c>
      <c r="N40" s="113">
        <f t="shared" si="3"/>
        <v>1</v>
      </c>
      <c r="O40" s="113">
        <f t="shared" si="3"/>
        <v>1</v>
      </c>
      <c r="P40" s="113">
        <f t="shared" si="3"/>
        <v>1</v>
      </c>
      <c r="Q40" s="113">
        <f t="shared" si="3"/>
        <v>1</v>
      </c>
      <c r="R40" s="117"/>
      <c r="S40" s="113">
        <f t="shared" si="0"/>
        <v>1</v>
      </c>
      <c r="T40" s="113">
        <f t="shared" si="0"/>
        <v>1</v>
      </c>
      <c r="U40" s="113">
        <f t="shared" si="0"/>
        <v>1</v>
      </c>
      <c r="V40" s="113">
        <f t="shared" si="0"/>
        <v>1</v>
      </c>
      <c r="W40" s="113">
        <f t="shared" si="0"/>
        <v>1</v>
      </c>
      <c r="X40" s="119"/>
      <c r="Y40" s="117"/>
      <c r="Z40" s="113">
        <f t="shared" si="4"/>
        <v>6</v>
      </c>
      <c r="AA40" s="113">
        <f t="shared" si="4"/>
        <v>7</v>
      </c>
      <c r="AB40" s="113">
        <f t="shared" si="4"/>
        <v>8</v>
      </c>
      <c r="AC40" s="113">
        <f t="shared" si="4"/>
        <v>9</v>
      </c>
      <c r="AD40" s="113">
        <f t="shared" si="4"/>
        <v>12</v>
      </c>
      <c r="AE40" s="113">
        <f t="shared" si="4"/>
        <v>14</v>
      </c>
      <c r="AF40" s="117"/>
      <c r="AG40" s="113">
        <f t="shared" si="2"/>
        <v>2</v>
      </c>
      <c r="AH40" s="113">
        <f t="shared" si="2"/>
        <v>2</v>
      </c>
      <c r="AI40" s="113">
        <f t="shared" si="2"/>
        <v>2</v>
      </c>
      <c r="AJ40" s="113">
        <f t="shared" si="2"/>
        <v>3</v>
      </c>
      <c r="AK40" s="113">
        <f t="shared" si="2"/>
        <v>3</v>
      </c>
    </row>
    <row r="41" spans="2:44" x14ac:dyDescent="0.15">
      <c r="B41" s="109">
        <v>12</v>
      </c>
      <c r="C41" s="109">
        <v>69</v>
      </c>
      <c r="D41" s="147"/>
      <c r="E41" s="115">
        <f t="shared" si="3"/>
        <v>1</v>
      </c>
      <c r="F41" s="115">
        <f t="shared" si="3"/>
        <v>1</v>
      </c>
      <c r="G41" s="115">
        <f t="shared" si="3"/>
        <v>1</v>
      </c>
      <c r="H41" s="115">
        <f t="shared" si="3"/>
        <v>2</v>
      </c>
      <c r="I41" s="115">
        <f t="shared" si="3"/>
        <v>2</v>
      </c>
      <c r="J41" s="115">
        <f t="shared" si="3"/>
        <v>2</v>
      </c>
      <c r="K41" s="117"/>
      <c r="L41" s="115">
        <f t="shared" si="3"/>
        <v>1</v>
      </c>
      <c r="M41" s="115">
        <f t="shared" si="3"/>
        <v>1</v>
      </c>
      <c r="N41" s="115">
        <f t="shared" si="3"/>
        <v>1</v>
      </c>
      <c r="O41" s="115">
        <f t="shared" si="3"/>
        <v>1</v>
      </c>
      <c r="P41" s="115">
        <f t="shared" si="3"/>
        <v>1</v>
      </c>
      <c r="Q41" s="115">
        <f t="shared" si="3"/>
        <v>1</v>
      </c>
      <c r="R41" s="117"/>
      <c r="S41" s="115">
        <f t="shared" si="0"/>
        <v>1</v>
      </c>
      <c r="T41" s="115">
        <f t="shared" si="0"/>
        <v>1</v>
      </c>
      <c r="U41" s="115">
        <f t="shared" si="0"/>
        <v>1</v>
      </c>
      <c r="V41" s="115">
        <f t="shared" si="0"/>
        <v>1</v>
      </c>
      <c r="W41" s="115">
        <f t="shared" si="0"/>
        <v>1</v>
      </c>
      <c r="X41" s="120"/>
      <c r="Y41" s="117"/>
      <c r="Z41" s="115">
        <f t="shared" si="4"/>
        <v>5</v>
      </c>
      <c r="AA41" s="115">
        <f t="shared" si="4"/>
        <v>6</v>
      </c>
      <c r="AB41" s="115">
        <f t="shared" si="4"/>
        <v>7</v>
      </c>
      <c r="AC41" s="115">
        <f t="shared" si="4"/>
        <v>8</v>
      </c>
      <c r="AD41" s="115">
        <f t="shared" si="4"/>
        <v>10</v>
      </c>
      <c r="AE41" s="115">
        <f t="shared" si="4"/>
        <v>12</v>
      </c>
      <c r="AF41" s="117"/>
      <c r="AG41" s="115">
        <f t="shared" si="2"/>
        <v>2</v>
      </c>
      <c r="AH41" s="115">
        <f t="shared" si="2"/>
        <v>2</v>
      </c>
      <c r="AI41" s="115">
        <f t="shared" si="2"/>
        <v>2</v>
      </c>
      <c r="AJ41" s="115">
        <f t="shared" si="2"/>
        <v>2</v>
      </c>
      <c r="AK41" s="115">
        <f t="shared" si="2"/>
        <v>3</v>
      </c>
    </row>
    <row r="43" spans="2:44" x14ac:dyDescent="0.15">
      <c r="B43" s="106" t="s">
        <v>395</v>
      </c>
      <c r="C43" s="110"/>
      <c r="E43" s="143" t="s">
        <v>329</v>
      </c>
      <c r="F43" s="144"/>
      <c r="G43" s="144"/>
      <c r="H43" s="144"/>
      <c r="I43" s="144"/>
      <c r="J43" s="145"/>
      <c r="K43" s="117"/>
      <c r="L43" s="143" t="s">
        <v>389</v>
      </c>
      <c r="M43" s="144"/>
      <c r="N43" s="144"/>
      <c r="O43" s="144"/>
      <c r="P43" s="144"/>
      <c r="Q43" s="145"/>
      <c r="R43" s="117"/>
      <c r="S43" s="143" t="s">
        <v>353</v>
      </c>
      <c r="T43" s="144"/>
      <c r="U43" s="144"/>
      <c r="V43" s="144"/>
      <c r="W43" s="144"/>
      <c r="X43" s="116"/>
      <c r="Y43" s="117"/>
      <c r="Z43" s="143" t="s">
        <v>390</v>
      </c>
      <c r="AA43" s="144"/>
      <c r="AB43" s="144"/>
      <c r="AC43" s="144"/>
      <c r="AD43" s="144"/>
      <c r="AE43" s="145"/>
      <c r="AF43" s="117"/>
      <c r="AG43" s="143" t="s">
        <v>367</v>
      </c>
      <c r="AH43" s="144"/>
      <c r="AI43" s="144"/>
      <c r="AJ43" s="144"/>
      <c r="AK43" s="144"/>
      <c r="AL43" s="145"/>
      <c r="AM43" s="117"/>
      <c r="AN43" s="143" t="s">
        <v>393</v>
      </c>
      <c r="AO43" s="144"/>
      <c r="AP43" s="144"/>
      <c r="AQ43" s="144"/>
      <c r="AR43" s="144"/>
    </row>
    <row r="44" spans="2:44" x14ac:dyDescent="0.15">
      <c r="B44" s="106" t="s">
        <v>384</v>
      </c>
      <c r="C44" s="106" t="s">
        <v>394</v>
      </c>
      <c r="D44" s="111" t="s">
        <v>383</v>
      </c>
      <c r="E44" s="111">
        <v>1</v>
      </c>
      <c r="F44" s="111">
        <v>2</v>
      </c>
      <c r="G44" s="111">
        <v>3</v>
      </c>
      <c r="H44" s="111">
        <v>4</v>
      </c>
      <c r="I44" s="111">
        <v>5</v>
      </c>
      <c r="J44" s="111">
        <v>6</v>
      </c>
      <c r="K44" s="117"/>
      <c r="L44" s="111">
        <v>1</v>
      </c>
      <c r="M44" s="111">
        <v>2</v>
      </c>
      <c r="N44" s="111">
        <v>3</v>
      </c>
      <c r="O44" s="111">
        <v>4</v>
      </c>
      <c r="P44" s="111">
        <v>5</v>
      </c>
      <c r="Q44" s="111">
        <v>6</v>
      </c>
      <c r="R44" s="117"/>
      <c r="S44" s="111">
        <v>1</v>
      </c>
      <c r="T44" s="111">
        <v>2</v>
      </c>
      <c r="U44" s="111">
        <v>3</v>
      </c>
      <c r="V44" s="111">
        <v>4</v>
      </c>
      <c r="W44" s="111">
        <v>5</v>
      </c>
      <c r="X44" s="116"/>
      <c r="Y44" s="117"/>
      <c r="Z44" s="111">
        <v>1</v>
      </c>
      <c r="AA44" s="111">
        <v>2</v>
      </c>
      <c r="AB44" s="111">
        <v>3</v>
      </c>
      <c r="AC44" s="111">
        <v>4</v>
      </c>
      <c r="AD44" s="111">
        <v>5</v>
      </c>
      <c r="AE44" s="111">
        <v>6</v>
      </c>
      <c r="AF44" s="117"/>
      <c r="AG44" s="111">
        <v>1</v>
      </c>
      <c r="AH44" s="111">
        <v>2</v>
      </c>
      <c r="AI44" s="111">
        <v>3</v>
      </c>
      <c r="AJ44" s="111">
        <v>4</v>
      </c>
      <c r="AK44" s="111">
        <v>5</v>
      </c>
      <c r="AL44" s="111">
        <v>6</v>
      </c>
      <c r="AM44" s="117"/>
      <c r="AN44" s="111">
        <v>1</v>
      </c>
      <c r="AO44" s="111">
        <v>2</v>
      </c>
      <c r="AP44" s="111">
        <v>3</v>
      </c>
      <c r="AQ44" s="111">
        <v>4</v>
      </c>
      <c r="AR44" s="111">
        <v>5</v>
      </c>
    </row>
    <row r="45" spans="2:44" x14ac:dyDescent="0.15">
      <c r="B45" s="107" t="s">
        <v>383</v>
      </c>
      <c r="C45" s="107" t="s">
        <v>385</v>
      </c>
      <c r="D45" s="112" t="s">
        <v>388</v>
      </c>
      <c r="E45" s="112">
        <v>45</v>
      </c>
      <c r="F45" s="112">
        <v>54</v>
      </c>
      <c r="G45" s="112">
        <v>65</v>
      </c>
      <c r="H45" s="112">
        <v>78</v>
      </c>
      <c r="I45" s="112">
        <v>95</v>
      </c>
      <c r="J45" s="112">
        <v>110</v>
      </c>
      <c r="K45" s="117"/>
      <c r="L45" s="112">
        <v>20</v>
      </c>
      <c r="M45" s="112">
        <v>23</v>
      </c>
      <c r="N45" s="112">
        <v>28</v>
      </c>
      <c r="O45" s="112">
        <v>33</v>
      </c>
      <c r="P45" s="112">
        <v>40</v>
      </c>
      <c r="Q45" s="112">
        <v>44</v>
      </c>
      <c r="R45" s="117"/>
      <c r="S45" s="112">
        <v>25</v>
      </c>
      <c r="T45" s="112">
        <v>30</v>
      </c>
      <c r="U45" s="112">
        <v>36</v>
      </c>
      <c r="V45" s="112">
        <v>43</v>
      </c>
      <c r="W45" s="112">
        <v>52</v>
      </c>
      <c r="X45" s="118"/>
      <c r="Y45" s="117"/>
      <c r="Z45" s="112">
        <v>300</v>
      </c>
      <c r="AA45" s="112">
        <v>360</v>
      </c>
      <c r="AB45" s="112">
        <v>430</v>
      </c>
      <c r="AC45" s="112">
        <v>520</v>
      </c>
      <c r="AD45" s="112">
        <v>670</v>
      </c>
      <c r="AE45" s="112">
        <v>800</v>
      </c>
      <c r="AF45" s="117"/>
      <c r="AG45" s="112">
        <v>150</v>
      </c>
      <c r="AH45" s="112">
        <v>180</v>
      </c>
      <c r="AI45" s="112">
        <v>216</v>
      </c>
      <c r="AJ45" s="112">
        <v>280</v>
      </c>
      <c r="AK45" s="112">
        <v>390</v>
      </c>
      <c r="AL45" s="112">
        <v>545</v>
      </c>
      <c r="AM45" s="117"/>
      <c r="AN45" s="112">
        <v>75</v>
      </c>
      <c r="AO45" s="112">
        <v>90</v>
      </c>
      <c r="AP45" s="112">
        <v>108</v>
      </c>
      <c r="AQ45" s="112">
        <v>130</v>
      </c>
      <c r="AR45" s="112">
        <v>156</v>
      </c>
    </row>
    <row r="46" spans="2:44" x14ac:dyDescent="0.15">
      <c r="B46" s="108">
        <v>1</v>
      </c>
      <c r="C46" s="108">
        <v>11</v>
      </c>
      <c r="D46" s="146" t="s">
        <v>387</v>
      </c>
      <c r="E46" s="114">
        <f>INT(E$45/$C46)+1</f>
        <v>5</v>
      </c>
      <c r="F46" s="114">
        <f t="shared" ref="F46:J46" si="6">INT(F$45/$C46)+1</f>
        <v>5</v>
      </c>
      <c r="G46" s="114">
        <f t="shared" si="6"/>
        <v>6</v>
      </c>
      <c r="H46" s="114">
        <f t="shared" si="6"/>
        <v>8</v>
      </c>
      <c r="I46" s="114">
        <f t="shared" si="6"/>
        <v>9</v>
      </c>
      <c r="J46" s="114">
        <f t="shared" si="6"/>
        <v>11</v>
      </c>
      <c r="K46" s="117"/>
      <c r="L46" s="114">
        <f>INT(L$45/$C46)+1</f>
        <v>2</v>
      </c>
      <c r="M46" s="114">
        <f t="shared" ref="M46:Q46" si="7">INT(M$45/$C46)+1</f>
        <v>3</v>
      </c>
      <c r="N46" s="114">
        <f t="shared" si="7"/>
        <v>3</v>
      </c>
      <c r="O46" s="114">
        <f t="shared" si="7"/>
        <v>4</v>
      </c>
      <c r="P46" s="114">
        <f t="shared" si="7"/>
        <v>4</v>
      </c>
      <c r="Q46" s="114">
        <f t="shared" si="7"/>
        <v>5</v>
      </c>
      <c r="R46" s="117"/>
      <c r="S46" s="114">
        <f>INT(S$45/$C46)+1</f>
        <v>3</v>
      </c>
      <c r="T46" s="114">
        <f t="shared" ref="S46:W56" si="8">INT(T$45/$C46)+1</f>
        <v>3</v>
      </c>
      <c r="U46" s="114">
        <f t="shared" si="8"/>
        <v>4</v>
      </c>
      <c r="V46" s="114">
        <f t="shared" si="8"/>
        <v>4</v>
      </c>
      <c r="W46" s="114">
        <f t="shared" si="8"/>
        <v>5</v>
      </c>
      <c r="X46" s="114"/>
      <c r="Y46" s="117"/>
      <c r="Z46" s="114">
        <f>INT(Z$45/$C46)+1</f>
        <v>28</v>
      </c>
      <c r="AA46" s="114">
        <f t="shared" ref="AA46:AE46" si="9">INT(AA$45/$C46)+1</f>
        <v>33</v>
      </c>
      <c r="AB46" s="114">
        <f t="shared" si="9"/>
        <v>40</v>
      </c>
      <c r="AC46" s="114">
        <f t="shared" si="9"/>
        <v>48</v>
      </c>
      <c r="AD46" s="114">
        <f t="shared" si="9"/>
        <v>61</v>
      </c>
      <c r="AE46" s="114">
        <f t="shared" si="9"/>
        <v>73</v>
      </c>
      <c r="AF46" s="117"/>
      <c r="AG46" s="114">
        <f t="shared" ref="AG46:AL56" si="10">INT(AG$45/$C46)+1</f>
        <v>14</v>
      </c>
      <c r="AH46" s="114">
        <f t="shared" si="10"/>
        <v>17</v>
      </c>
      <c r="AI46" s="114">
        <f t="shared" si="10"/>
        <v>20</v>
      </c>
      <c r="AJ46" s="114">
        <f t="shared" si="10"/>
        <v>26</v>
      </c>
      <c r="AK46" s="114">
        <f t="shared" si="10"/>
        <v>36</v>
      </c>
      <c r="AL46" s="114">
        <f t="shared" si="10"/>
        <v>50</v>
      </c>
      <c r="AM46" s="117"/>
      <c r="AN46" s="114">
        <f t="shared" ref="AN46:AR56" si="11">INT(AN$45/$C46)+1</f>
        <v>7</v>
      </c>
      <c r="AO46" s="114">
        <f t="shared" si="11"/>
        <v>9</v>
      </c>
      <c r="AP46" s="114">
        <f t="shared" si="11"/>
        <v>10</v>
      </c>
      <c r="AQ46" s="114">
        <f t="shared" si="11"/>
        <v>12</v>
      </c>
      <c r="AR46" s="114">
        <f t="shared" si="11"/>
        <v>15</v>
      </c>
    </row>
    <row r="47" spans="2:44" x14ac:dyDescent="0.15">
      <c r="B47" s="109">
        <v>2</v>
      </c>
      <c r="C47" s="109">
        <v>15</v>
      </c>
      <c r="D47" s="146"/>
      <c r="E47" s="115">
        <f t="shared" ref="E47:T56" si="12">INT(E$45/$C47)+1</f>
        <v>4</v>
      </c>
      <c r="F47" s="115">
        <f t="shared" si="12"/>
        <v>4</v>
      </c>
      <c r="G47" s="115">
        <f t="shared" si="12"/>
        <v>5</v>
      </c>
      <c r="H47" s="115">
        <f t="shared" si="12"/>
        <v>6</v>
      </c>
      <c r="I47" s="115">
        <f t="shared" si="12"/>
        <v>7</v>
      </c>
      <c r="J47" s="115">
        <f t="shared" si="12"/>
        <v>8</v>
      </c>
      <c r="K47" s="117"/>
      <c r="L47" s="115">
        <f t="shared" si="12"/>
        <v>2</v>
      </c>
      <c r="M47" s="115">
        <f t="shared" si="12"/>
        <v>2</v>
      </c>
      <c r="N47" s="115">
        <f t="shared" si="12"/>
        <v>2</v>
      </c>
      <c r="O47" s="115">
        <f t="shared" si="12"/>
        <v>3</v>
      </c>
      <c r="P47" s="115">
        <f t="shared" si="12"/>
        <v>3</v>
      </c>
      <c r="Q47" s="115">
        <f t="shared" si="12"/>
        <v>3</v>
      </c>
      <c r="R47" s="117"/>
      <c r="S47" s="115">
        <f t="shared" si="12"/>
        <v>2</v>
      </c>
      <c r="T47" s="115">
        <f t="shared" si="12"/>
        <v>3</v>
      </c>
      <c r="U47" s="115">
        <f t="shared" si="8"/>
        <v>3</v>
      </c>
      <c r="V47" s="115">
        <f t="shared" si="8"/>
        <v>3</v>
      </c>
      <c r="W47" s="115">
        <f t="shared" si="8"/>
        <v>4</v>
      </c>
      <c r="X47" s="115"/>
      <c r="Y47" s="117"/>
      <c r="Z47" s="115">
        <f t="shared" ref="Z47:AE56" si="13">INT(Z$45/$C47)+1</f>
        <v>21</v>
      </c>
      <c r="AA47" s="115">
        <f t="shared" si="13"/>
        <v>25</v>
      </c>
      <c r="AB47" s="115">
        <f t="shared" si="13"/>
        <v>29</v>
      </c>
      <c r="AC47" s="115">
        <f t="shared" si="13"/>
        <v>35</v>
      </c>
      <c r="AD47" s="115">
        <f t="shared" si="13"/>
        <v>45</v>
      </c>
      <c r="AE47" s="115">
        <f t="shared" si="13"/>
        <v>54</v>
      </c>
      <c r="AF47" s="117"/>
      <c r="AG47" s="115">
        <f t="shared" si="10"/>
        <v>11</v>
      </c>
      <c r="AH47" s="115">
        <f t="shared" si="10"/>
        <v>13</v>
      </c>
      <c r="AI47" s="115">
        <f t="shared" si="10"/>
        <v>15</v>
      </c>
      <c r="AJ47" s="115">
        <f t="shared" si="10"/>
        <v>19</v>
      </c>
      <c r="AK47" s="115">
        <f t="shared" si="10"/>
        <v>27</v>
      </c>
      <c r="AL47" s="115">
        <f t="shared" si="10"/>
        <v>37</v>
      </c>
      <c r="AM47" s="117"/>
      <c r="AN47" s="115">
        <f t="shared" si="11"/>
        <v>6</v>
      </c>
      <c r="AO47" s="115">
        <f t="shared" si="11"/>
        <v>7</v>
      </c>
      <c r="AP47" s="115">
        <f t="shared" si="11"/>
        <v>8</v>
      </c>
      <c r="AQ47" s="115">
        <f t="shared" si="11"/>
        <v>9</v>
      </c>
      <c r="AR47" s="115">
        <f t="shared" si="11"/>
        <v>11</v>
      </c>
    </row>
    <row r="48" spans="2:44" x14ac:dyDescent="0.15">
      <c r="B48" s="108">
        <v>3</v>
      </c>
      <c r="C48" s="108">
        <v>19</v>
      </c>
      <c r="D48" s="146"/>
      <c r="E48" s="113">
        <f t="shared" si="12"/>
        <v>3</v>
      </c>
      <c r="F48" s="113">
        <f t="shared" si="12"/>
        <v>3</v>
      </c>
      <c r="G48" s="113">
        <f t="shared" si="12"/>
        <v>4</v>
      </c>
      <c r="H48" s="113">
        <f t="shared" si="12"/>
        <v>5</v>
      </c>
      <c r="I48" s="113">
        <f t="shared" si="12"/>
        <v>6</v>
      </c>
      <c r="J48" s="113">
        <f t="shared" si="12"/>
        <v>6</v>
      </c>
      <c r="K48" s="117"/>
      <c r="L48" s="113">
        <f t="shared" si="12"/>
        <v>2</v>
      </c>
      <c r="M48" s="113">
        <f t="shared" si="12"/>
        <v>2</v>
      </c>
      <c r="N48" s="113">
        <f t="shared" si="12"/>
        <v>2</v>
      </c>
      <c r="O48" s="113">
        <f t="shared" si="12"/>
        <v>2</v>
      </c>
      <c r="P48" s="113">
        <f t="shared" si="12"/>
        <v>3</v>
      </c>
      <c r="Q48" s="113">
        <f t="shared" si="12"/>
        <v>3</v>
      </c>
      <c r="R48" s="117"/>
      <c r="S48" s="113">
        <f t="shared" si="8"/>
        <v>2</v>
      </c>
      <c r="T48" s="113">
        <f t="shared" si="8"/>
        <v>2</v>
      </c>
      <c r="U48" s="113">
        <f t="shared" si="8"/>
        <v>2</v>
      </c>
      <c r="V48" s="113">
        <f t="shared" si="8"/>
        <v>3</v>
      </c>
      <c r="W48" s="113">
        <f t="shared" si="8"/>
        <v>3</v>
      </c>
      <c r="X48" s="113"/>
      <c r="Y48" s="117"/>
      <c r="Z48" s="113">
        <f t="shared" si="13"/>
        <v>16</v>
      </c>
      <c r="AA48" s="113">
        <f t="shared" si="13"/>
        <v>19</v>
      </c>
      <c r="AB48" s="113">
        <f t="shared" si="13"/>
        <v>23</v>
      </c>
      <c r="AC48" s="113">
        <f t="shared" si="13"/>
        <v>28</v>
      </c>
      <c r="AD48" s="113">
        <f t="shared" si="13"/>
        <v>36</v>
      </c>
      <c r="AE48" s="113">
        <f t="shared" si="13"/>
        <v>43</v>
      </c>
      <c r="AF48" s="117"/>
      <c r="AG48" s="113">
        <f t="shared" si="10"/>
        <v>8</v>
      </c>
      <c r="AH48" s="113">
        <f t="shared" si="10"/>
        <v>10</v>
      </c>
      <c r="AI48" s="113">
        <f t="shared" si="10"/>
        <v>12</v>
      </c>
      <c r="AJ48" s="113">
        <f t="shared" si="10"/>
        <v>15</v>
      </c>
      <c r="AK48" s="113">
        <f t="shared" si="10"/>
        <v>21</v>
      </c>
      <c r="AL48" s="113">
        <f t="shared" si="10"/>
        <v>29</v>
      </c>
      <c r="AM48" s="117"/>
      <c r="AN48" s="113">
        <f t="shared" si="11"/>
        <v>4</v>
      </c>
      <c r="AO48" s="113">
        <f t="shared" si="11"/>
        <v>5</v>
      </c>
      <c r="AP48" s="113">
        <f t="shared" si="11"/>
        <v>6</v>
      </c>
      <c r="AQ48" s="113">
        <f t="shared" si="11"/>
        <v>7</v>
      </c>
      <c r="AR48" s="113">
        <f t="shared" si="11"/>
        <v>9</v>
      </c>
    </row>
    <row r="49" spans="2:44" x14ac:dyDescent="0.15">
      <c r="B49" s="109">
        <v>4</v>
      </c>
      <c r="C49" s="109">
        <v>25</v>
      </c>
      <c r="D49" s="146"/>
      <c r="E49" s="115">
        <f t="shared" si="12"/>
        <v>2</v>
      </c>
      <c r="F49" s="115">
        <f t="shared" si="12"/>
        <v>3</v>
      </c>
      <c r="G49" s="115">
        <f t="shared" si="12"/>
        <v>3</v>
      </c>
      <c r="H49" s="115">
        <f t="shared" si="12"/>
        <v>4</v>
      </c>
      <c r="I49" s="115">
        <f t="shared" si="12"/>
        <v>4</v>
      </c>
      <c r="J49" s="115">
        <f t="shared" si="12"/>
        <v>5</v>
      </c>
      <c r="K49" s="117"/>
      <c r="L49" s="115">
        <f t="shared" si="12"/>
        <v>1</v>
      </c>
      <c r="M49" s="115">
        <f t="shared" si="12"/>
        <v>1</v>
      </c>
      <c r="N49" s="115">
        <f t="shared" si="12"/>
        <v>2</v>
      </c>
      <c r="O49" s="115">
        <f t="shared" si="12"/>
        <v>2</v>
      </c>
      <c r="P49" s="115">
        <f t="shared" si="12"/>
        <v>2</v>
      </c>
      <c r="Q49" s="115">
        <f t="shared" si="12"/>
        <v>2</v>
      </c>
      <c r="R49" s="117"/>
      <c r="S49" s="115">
        <f t="shared" si="8"/>
        <v>2</v>
      </c>
      <c r="T49" s="115">
        <f t="shared" si="8"/>
        <v>2</v>
      </c>
      <c r="U49" s="115">
        <f t="shared" si="8"/>
        <v>2</v>
      </c>
      <c r="V49" s="115">
        <f t="shared" si="8"/>
        <v>2</v>
      </c>
      <c r="W49" s="115">
        <f t="shared" si="8"/>
        <v>3</v>
      </c>
      <c r="X49" s="115"/>
      <c r="Y49" s="117"/>
      <c r="Z49" s="115">
        <f t="shared" si="13"/>
        <v>13</v>
      </c>
      <c r="AA49" s="115">
        <f t="shared" si="13"/>
        <v>15</v>
      </c>
      <c r="AB49" s="115">
        <f t="shared" si="13"/>
        <v>18</v>
      </c>
      <c r="AC49" s="115">
        <f t="shared" si="13"/>
        <v>21</v>
      </c>
      <c r="AD49" s="115">
        <f t="shared" si="13"/>
        <v>27</v>
      </c>
      <c r="AE49" s="115">
        <f t="shared" si="13"/>
        <v>33</v>
      </c>
      <c r="AF49" s="117"/>
      <c r="AG49" s="115">
        <f t="shared" si="10"/>
        <v>7</v>
      </c>
      <c r="AH49" s="115">
        <f t="shared" si="10"/>
        <v>8</v>
      </c>
      <c r="AI49" s="115">
        <f t="shared" si="10"/>
        <v>9</v>
      </c>
      <c r="AJ49" s="115">
        <f t="shared" si="10"/>
        <v>12</v>
      </c>
      <c r="AK49" s="115">
        <f t="shared" si="10"/>
        <v>16</v>
      </c>
      <c r="AL49" s="115">
        <f t="shared" si="10"/>
        <v>22</v>
      </c>
      <c r="AM49" s="117"/>
      <c r="AN49" s="115">
        <f t="shared" si="11"/>
        <v>4</v>
      </c>
      <c r="AO49" s="115">
        <f t="shared" si="11"/>
        <v>4</v>
      </c>
      <c r="AP49" s="115">
        <f t="shared" si="11"/>
        <v>5</v>
      </c>
      <c r="AQ49" s="115">
        <f t="shared" si="11"/>
        <v>6</v>
      </c>
      <c r="AR49" s="115">
        <f t="shared" si="11"/>
        <v>7</v>
      </c>
    </row>
    <row r="50" spans="2:44" x14ac:dyDescent="0.15">
      <c r="B50" s="108">
        <v>5</v>
      </c>
      <c r="C50" s="108">
        <v>30</v>
      </c>
      <c r="D50" s="146"/>
      <c r="E50" s="114">
        <f t="shared" si="12"/>
        <v>2</v>
      </c>
      <c r="F50" s="114">
        <f t="shared" si="12"/>
        <v>2</v>
      </c>
      <c r="G50" s="114">
        <f t="shared" si="12"/>
        <v>3</v>
      </c>
      <c r="H50" s="114">
        <f t="shared" si="12"/>
        <v>3</v>
      </c>
      <c r="I50" s="114">
        <f t="shared" si="12"/>
        <v>4</v>
      </c>
      <c r="J50" s="114">
        <f t="shared" si="12"/>
        <v>4</v>
      </c>
      <c r="K50" s="117"/>
      <c r="L50" s="114">
        <f t="shared" si="12"/>
        <v>1</v>
      </c>
      <c r="M50" s="114">
        <f t="shared" si="12"/>
        <v>1</v>
      </c>
      <c r="N50" s="114">
        <f t="shared" si="12"/>
        <v>1</v>
      </c>
      <c r="O50" s="114">
        <f t="shared" si="12"/>
        <v>2</v>
      </c>
      <c r="P50" s="114">
        <f t="shared" si="12"/>
        <v>2</v>
      </c>
      <c r="Q50" s="114">
        <f t="shared" si="12"/>
        <v>2</v>
      </c>
      <c r="R50" s="117"/>
      <c r="S50" s="114">
        <f t="shared" si="8"/>
        <v>1</v>
      </c>
      <c r="T50" s="114">
        <f t="shared" si="8"/>
        <v>2</v>
      </c>
      <c r="U50" s="114">
        <f t="shared" si="8"/>
        <v>2</v>
      </c>
      <c r="V50" s="114">
        <f t="shared" si="8"/>
        <v>2</v>
      </c>
      <c r="W50" s="114">
        <f t="shared" si="8"/>
        <v>2</v>
      </c>
      <c r="X50" s="114"/>
      <c r="Y50" s="117"/>
      <c r="Z50" s="114">
        <f t="shared" si="13"/>
        <v>11</v>
      </c>
      <c r="AA50" s="114">
        <f t="shared" si="13"/>
        <v>13</v>
      </c>
      <c r="AB50" s="114">
        <f t="shared" si="13"/>
        <v>15</v>
      </c>
      <c r="AC50" s="114">
        <f t="shared" si="13"/>
        <v>18</v>
      </c>
      <c r="AD50" s="114">
        <f t="shared" si="13"/>
        <v>23</v>
      </c>
      <c r="AE50" s="114">
        <f t="shared" si="13"/>
        <v>27</v>
      </c>
      <c r="AF50" s="117"/>
      <c r="AG50" s="114">
        <f t="shared" si="10"/>
        <v>6</v>
      </c>
      <c r="AH50" s="114">
        <f t="shared" si="10"/>
        <v>7</v>
      </c>
      <c r="AI50" s="114">
        <f t="shared" si="10"/>
        <v>8</v>
      </c>
      <c r="AJ50" s="114">
        <f t="shared" si="10"/>
        <v>10</v>
      </c>
      <c r="AK50" s="114">
        <f t="shared" si="10"/>
        <v>14</v>
      </c>
      <c r="AL50" s="114">
        <f t="shared" si="10"/>
        <v>19</v>
      </c>
      <c r="AM50" s="117"/>
      <c r="AN50" s="114">
        <f t="shared" si="11"/>
        <v>3</v>
      </c>
      <c r="AO50" s="114">
        <f t="shared" si="11"/>
        <v>4</v>
      </c>
      <c r="AP50" s="114">
        <f t="shared" si="11"/>
        <v>4</v>
      </c>
      <c r="AQ50" s="114">
        <f t="shared" si="11"/>
        <v>5</v>
      </c>
      <c r="AR50" s="114">
        <f t="shared" si="11"/>
        <v>6</v>
      </c>
    </row>
    <row r="51" spans="2:44" x14ac:dyDescent="0.15">
      <c r="B51" s="109">
        <v>6</v>
      </c>
      <c r="C51" s="109">
        <v>35</v>
      </c>
      <c r="D51" s="146"/>
      <c r="E51" s="115">
        <f t="shared" si="12"/>
        <v>2</v>
      </c>
      <c r="F51" s="115">
        <f t="shared" si="12"/>
        <v>2</v>
      </c>
      <c r="G51" s="115">
        <f t="shared" si="12"/>
        <v>2</v>
      </c>
      <c r="H51" s="115">
        <f t="shared" si="12"/>
        <v>3</v>
      </c>
      <c r="I51" s="115">
        <f t="shared" si="12"/>
        <v>3</v>
      </c>
      <c r="J51" s="115">
        <f t="shared" si="12"/>
        <v>4</v>
      </c>
      <c r="K51" s="117"/>
      <c r="L51" s="115">
        <f t="shared" si="12"/>
        <v>1</v>
      </c>
      <c r="M51" s="115">
        <f t="shared" si="12"/>
        <v>1</v>
      </c>
      <c r="N51" s="115">
        <f t="shared" si="12"/>
        <v>1</v>
      </c>
      <c r="O51" s="115">
        <f t="shared" si="12"/>
        <v>1</v>
      </c>
      <c r="P51" s="115">
        <f t="shared" si="12"/>
        <v>2</v>
      </c>
      <c r="Q51" s="115">
        <f t="shared" si="12"/>
        <v>2</v>
      </c>
      <c r="R51" s="117"/>
      <c r="S51" s="115">
        <f t="shared" si="8"/>
        <v>1</v>
      </c>
      <c r="T51" s="115">
        <f t="shared" si="8"/>
        <v>1</v>
      </c>
      <c r="U51" s="115">
        <f t="shared" si="8"/>
        <v>2</v>
      </c>
      <c r="V51" s="115">
        <f t="shared" si="8"/>
        <v>2</v>
      </c>
      <c r="W51" s="115">
        <f t="shared" si="8"/>
        <v>2</v>
      </c>
      <c r="X51" s="115"/>
      <c r="Y51" s="117"/>
      <c r="Z51" s="115">
        <f t="shared" si="13"/>
        <v>9</v>
      </c>
      <c r="AA51" s="115">
        <f t="shared" si="13"/>
        <v>11</v>
      </c>
      <c r="AB51" s="115">
        <f t="shared" si="13"/>
        <v>13</v>
      </c>
      <c r="AC51" s="115">
        <f t="shared" si="13"/>
        <v>15</v>
      </c>
      <c r="AD51" s="115">
        <f t="shared" si="13"/>
        <v>20</v>
      </c>
      <c r="AE51" s="115">
        <f t="shared" si="13"/>
        <v>23</v>
      </c>
      <c r="AF51" s="117"/>
      <c r="AG51" s="115">
        <f t="shared" si="10"/>
        <v>5</v>
      </c>
      <c r="AH51" s="115">
        <f t="shared" si="10"/>
        <v>6</v>
      </c>
      <c r="AI51" s="115">
        <f t="shared" si="10"/>
        <v>7</v>
      </c>
      <c r="AJ51" s="115">
        <f t="shared" si="10"/>
        <v>9</v>
      </c>
      <c r="AK51" s="115">
        <f t="shared" si="10"/>
        <v>12</v>
      </c>
      <c r="AL51" s="115">
        <f t="shared" si="10"/>
        <v>16</v>
      </c>
      <c r="AM51" s="117"/>
      <c r="AN51" s="115">
        <f t="shared" si="11"/>
        <v>3</v>
      </c>
      <c r="AO51" s="115">
        <f t="shared" si="11"/>
        <v>3</v>
      </c>
      <c r="AP51" s="115">
        <f t="shared" si="11"/>
        <v>4</v>
      </c>
      <c r="AQ51" s="115">
        <f t="shared" si="11"/>
        <v>4</v>
      </c>
      <c r="AR51" s="115">
        <f t="shared" si="11"/>
        <v>5</v>
      </c>
    </row>
    <row r="52" spans="2:44" x14ac:dyDescent="0.15">
      <c r="B52" s="108">
        <v>7</v>
      </c>
      <c r="C52" s="108">
        <v>42</v>
      </c>
      <c r="D52" s="146"/>
      <c r="E52" s="113">
        <f t="shared" si="12"/>
        <v>2</v>
      </c>
      <c r="F52" s="113">
        <f t="shared" si="12"/>
        <v>2</v>
      </c>
      <c r="G52" s="113">
        <f t="shared" si="12"/>
        <v>2</v>
      </c>
      <c r="H52" s="113">
        <f t="shared" si="12"/>
        <v>2</v>
      </c>
      <c r="I52" s="113">
        <f t="shared" si="12"/>
        <v>3</v>
      </c>
      <c r="J52" s="113">
        <f t="shared" si="12"/>
        <v>3</v>
      </c>
      <c r="K52" s="117"/>
      <c r="L52" s="113">
        <f t="shared" si="12"/>
        <v>1</v>
      </c>
      <c r="M52" s="113">
        <f t="shared" si="12"/>
        <v>1</v>
      </c>
      <c r="N52" s="113">
        <f t="shared" si="12"/>
        <v>1</v>
      </c>
      <c r="O52" s="113">
        <f t="shared" si="12"/>
        <v>1</v>
      </c>
      <c r="P52" s="113">
        <f t="shared" si="12"/>
        <v>1</v>
      </c>
      <c r="Q52" s="113">
        <f t="shared" si="12"/>
        <v>2</v>
      </c>
      <c r="R52" s="117"/>
      <c r="S52" s="113">
        <f t="shared" si="8"/>
        <v>1</v>
      </c>
      <c r="T52" s="113">
        <f t="shared" si="8"/>
        <v>1</v>
      </c>
      <c r="U52" s="113">
        <f t="shared" si="8"/>
        <v>1</v>
      </c>
      <c r="V52" s="113">
        <f t="shared" si="8"/>
        <v>2</v>
      </c>
      <c r="W52" s="113">
        <f t="shared" si="8"/>
        <v>2</v>
      </c>
      <c r="X52" s="113"/>
      <c r="Y52" s="117"/>
      <c r="Z52" s="113">
        <f t="shared" si="13"/>
        <v>8</v>
      </c>
      <c r="AA52" s="113">
        <f t="shared" si="13"/>
        <v>9</v>
      </c>
      <c r="AB52" s="113">
        <f t="shared" si="13"/>
        <v>11</v>
      </c>
      <c r="AC52" s="113">
        <f t="shared" si="13"/>
        <v>13</v>
      </c>
      <c r="AD52" s="113">
        <f t="shared" si="13"/>
        <v>16</v>
      </c>
      <c r="AE52" s="113">
        <f t="shared" si="13"/>
        <v>20</v>
      </c>
      <c r="AF52" s="117"/>
      <c r="AG52" s="113">
        <f t="shared" si="10"/>
        <v>4</v>
      </c>
      <c r="AH52" s="113">
        <f t="shared" si="10"/>
        <v>5</v>
      </c>
      <c r="AI52" s="113">
        <f t="shared" si="10"/>
        <v>6</v>
      </c>
      <c r="AJ52" s="113">
        <f t="shared" si="10"/>
        <v>7</v>
      </c>
      <c r="AK52" s="113">
        <f t="shared" si="10"/>
        <v>10</v>
      </c>
      <c r="AL52" s="113">
        <f t="shared" si="10"/>
        <v>13</v>
      </c>
      <c r="AM52" s="117"/>
      <c r="AN52" s="113">
        <f t="shared" si="11"/>
        <v>2</v>
      </c>
      <c r="AO52" s="113">
        <f t="shared" si="11"/>
        <v>3</v>
      </c>
      <c r="AP52" s="113">
        <f t="shared" si="11"/>
        <v>3</v>
      </c>
      <c r="AQ52" s="113">
        <f t="shared" si="11"/>
        <v>4</v>
      </c>
      <c r="AR52" s="113">
        <f t="shared" si="11"/>
        <v>4</v>
      </c>
    </row>
    <row r="53" spans="2:44" x14ac:dyDescent="0.15">
      <c r="B53" s="109">
        <v>8</v>
      </c>
      <c r="C53" s="109">
        <v>48</v>
      </c>
      <c r="D53" s="146"/>
      <c r="E53" s="115">
        <f t="shared" si="12"/>
        <v>1</v>
      </c>
      <c r="F53" s="115">
        <f t="shared" si="12"/>
        <v>2</v>
      </c>
      <c r="G53" s="115">
        <f t="shared" si="12"/>
        <v>2</v>
      </c>
      <c r="H53" s="115">
        <f t="shared" si="12"/>
        <v>2</v>
      </c>
      <c r="I53" s="115">
        <f t="shared" si="12"/>
        <v>2</v>
      </c>
      <c r="J53" s="115">
        <f t="shared" si="12"/>
        <v>3</v>
      </c>
      <c r="K53" s="117"/>
      <c r="L53" s="115">
        <f t="shared" si="12"/>
        <v>1</v>
      </c>
      <c r="M53" s="115">
        <f t="shared" si="12"/>
        <v>1</v>
      </c>
      <c r="N53" s="115">
        <f t="shared" si="12"/>
        <v>1</v>
      </c>
      <c r="O53" s="115">
        <f t="shared" si="12"/>
        <v>1</v>
      </c>
      <c r="P53" s="115">
        <f t="shared" si="12"/>
        <v>1</v>
      </c>
      <c r="Q53" s="115">
        <f t="shared" si="12"/>
        <v>1</v>
      </c>
      <c r="R53" s="117"/>
      <c r="S53" s="115">
        <f t="shared" si="8"/>
        <v>1</v>
      </c>
      <c r="T53" s="115">
        <f t="shared" si="8"/>
        <v>1</v>
      </c>
      <c r="U53" s="115">
        <f t="shared" si="8"/>
        <v>1</v>
      </c>
      <c r="V53" s="115">
        <f t="shared" si="8"/>
        <v>1</v>
      </c>
      <c r="W53" s="115">
        <f t="shared" si="8"/>
        <v>2</v>
      </c>
      <c r="X53" s="115"/>
      <c r="Y53" s="117"/>
      <c r="Z53" s="115">
        <f t="shared" si="13"/>
        <v>7</v>
      </c>
      <c r="AA53" s="115">
        <f t="shared" si="13"/>
        <v>8</v>
      </c>
      <c r="AB53" s="115">
        <f t="shared" si="13"/>
        <v>9</v>
      </c>
      <c r="AC53" s="115">
        <f t="shared" si="13"/>
        <v>11</v>
      </c>
      <c r="AD53" s="115">
        <f t="shared" si="13"/>
        <v>14</v>
      </c>
      <c r="AE53" s="115">
        <f t="shared" si="13"/>
        <v>17</v>
      </c>
      <c r="AF53" s="117"/>
      <c r="AG53" s="115">
        <f t="shared" si="10"/>
        <v>4</v>
      </c>
      <c r="AH53" s="115">
        <f t="shared" si="10"/>
        <v>4</v>
      </c>
      <c r="AI53" s="115">
        <f t="shared" si="10"/>
        <v>5</v>
      </c>
      <c r="AJ53" s="115">
        <f t="shared" si="10"/>
        <v>6</v>
      </c>
      <c r="AK53" s="115">
        <f t="shared" si="10"/>
        <v>9</v>
      </c>
      <c r="AL53" s="115">
        <f t="shared" si="10"/>
        <v>12</v>
      </c>
      <c r="AM53" s="117"/>
      <c r="AN53" s="115">
        <f t="shared" si="11"/>
        <v>2</v>
      </c>
      <c r="AO53" s="115">
        <f t="shared" si="11"/>
        <v>2</v>
      </c>
      <c r="AP53" s="115">
        <f t="shared" si="11"/>
        <v>3</v>
      </c>
      <c r="AQ53" s="115">
        <f t="shared" si="11"/>
        <v>3</v>
      </c>
      <c r="AR53" s="115">
        <f t="shared" si="11"/>
        <v>4</v>
      </c>
    </row>
    <row r="54" spans="2:44" x14ac:dyDescent="0.15">
      <c r="B54" s="108">
        <v>9</v>
      </c>
      <c r="C54" s="108">
        <v>56</v>
      </c>
      <c r="D54" s="146"/>
      <c r="E54" s="114">
        <f t="shared" si="12"/>
        <v>1</v>
      </c>
      <c r="F54" s="114">
        <f t="shared" si="12"/>
        <v>1</v>
      </c>
      <c r="G54" s="114">
        <f t="shared" si="12"/>
        <v>2</v>
      </c>
      <c r="H54" s="114">
        <f t="shared" si="12"/>
        <v>2</v>
      </c>
      <c r="I54" s="114">
        <f t="shared" si="12"/>
        <v>2</v>
      </c>
      <c r="J54" s="114">
        <f t="shared" si="12"/>
        <v>2</v>
      </c>
      <c r="K54" s="117"/>
      <c r="L54" s="114">
        <f t="shared" si="12"/>
        <v>1</v>
      </c>
      <c r="M54" s="114">
        <f t="shared" si="12"/>
        <v>1</v>
      </c>
      <c r="N54" s="114">
        <f t="shared" si="12"/>
        <v>1</v>
      </c>
      <c r="O54" s="114">
        <f t="shared" si="12"/>
        <v>1</v>
      </c>
      <c r="P54" s="114">
        <f t="shared" si="12"/>
        <v>1</v>
      </c>
      <c r="Q54" s="114">
        <f t="shared" si="12"/>
        <v>1</v>
      </c>
      <c r="R54" s="117"/>
      <c r="S54" s="114">
        <f t="shared" si="8"/>
        <v>1</v>
      </c>
      <c r="T54" s="114">
        <f t="shared" si="8"/>
        <v>1</v>
      </c>
      <c r="U54" s="114">
        <f t="shared" si="8"/>
        <v>1</v>
      </c>
      <c r="V54" s="114">
        <f t="shared" si="8"/>
        <v>1</v>
      </c>
      <c r="W54" s="114">
        <f t="shared" si="8"/>
        <v>1</v>
      </c>
      <c r="X54" s="114"/>
      <c r="Y54" s="117"/>
      <c r="Z54" s="114">
        <f t="shared" si="13"/>
        <v>6</v>
      </c>
      <c r="AA54" s="114">
        <f t="shared" si="13"/>
        <v>7</v>
      </c>
      <c r="AB54" s="114">
        <f t="shared" si="13"/>
        <v>8</v>
      </c>
      <c r="AC54" s="114">
        <f t="shared" si="13"/>
        <v>10</v>
      </c>
      <c r="AD54" s="114">
        <f t="shared" si="13"/>
        <v>12</v>
      </c>
      <c r="AE54" s="114">
        <f t="shared" si="13"/>
        <v>15</v>
      </c>
      <c r="AF54" s="117"/>
      <c r="AG54" s="114">
        <f t="shared" si="10"/>
        <v>3</v>
      </c>
      <c r="AH54" s="114">
        <f t="shared" si="10"/>
        <v>4</v>
      </c>
      <c r="AI54" s="114">
        <f t="shared" si="10"/>
        <v>4</v>
      </c>
      <c r="AJ54" s="114">
        <f t="shared" si="10"/>
        <v>6</v>
      </c>
      <c r="AK54" s="114">
        <f t="shared" si="10"/>
        <v>7</v>
      </c>
      <c r="AL54" s="114">
        <f t="shared" si="10"/>
        <v>10</v>
      </c>
      <c r="AM54" s="117"/>
      <c r="AN54" s="114">
        <f t="shared" si="11"/>
        <v>2</v>
      </c>
      <c r="AO54" s="114">
        <f t="shared" si="11"/>
        <v>2</v>
      </c>
      <c r="AP54" s="114">
        <f t="shared" si="11"/>
        <v>2</v>
      </c>
      <c r="AQ54" s="114">
        <f t="shared" si="11"/>
        <v>3</v>
      </c>
      <c r="AR54" s="114">
        <f t="shared" si="11"/>
        <v>3</v>
      </c>
    </row>
    <row r="55" spans="2:44" x14ac:dyDescent="0.15">
      <c r="B55" s="109">
        <v>10</v>
      </c>
      <c r="C55" s="109">
        <v>65</v>
      </c>
      <c r="D55" s="146"/>
      <c r="E55" s="115">
        <f t="shared" si="12"/>
        <v>1</v>
      </c>
      <c r="F55" s="115">
        <f t="shared" si="12"/>
        <v>1</v>
      </c>
      <c r="G55" s="115">
        <f t="shared" si="12"/>
        <v>2</v>
      </c>
      <c r="H55" s="115">
        <f t="shared" si="12"/>
        <v>2</v>
      </c>
      <c r="I55" s="115">
        <f t="shared" si="12"/>
        <v>2</v>
      </c>
      <c r="J55" s="115">
        <f t="shared" si="12"/>
        <v>2</v>
      </c>
      <c r="K55" s="117"/>
      <c r="L55" s="115">
        <f t="shared" si="12"/>
        <v>1</v>
      </c>
      <c r="M55" s="115">
        <f t="shared" si="12"/>
        <v>1</v>
      </c>
      <c r="N55" s="115">
        <f t="shared" si="12"/>
        <v>1</v>
      </c>
      <c r="O55" s="115">
        <f t="shared" si="12"/>
        <v>1</v>
      </c>
      <c r="P55" s="115">
        <f t="shared" si="12"/>
        <v>1</v>
      </c>
      <c r="Q55" s="115">
        <f t="shared" si="12"/>
        <v>1</v>
      </c>
      <c r="R55" s="117"/>
      <c r="S55" s="115">
        <f t="shared" si="8"/>
        <v>1</v>
      </c>
      <c r="T55" s="115">
        <f t="shared" si="8"/>
        <v>1</v>
      </c>
      <c r="U55" s="115">
        <f t="shared" si="8"/>
        <v>1</v>
      </c>
      <c r="V55" s="115">
        <f t="shared" si="8"/>
        <v>1</v>
      </c>
      <c r="W55" s="115">
        <f t="shared" si="8"/>
        <v>1</v>
      </c>
      <c r="X55" s="115"/>
      <c r="Y55" s="117"/>
      <c r="Z55" s="115">
        <f t="shared" si="13"/>
        <v>5</v>
      </c>
      <c r="AA55" s="115">
        <f t="shared" si="13"/>
        <v>6</v>
      </c>
      <c r="AB55" s="115">
        <f t="shared" si="13"/>
        <v>7</v>
      </c>
      <c r="AC55" s="115">
        <f t="shared" si="13"/>
        <v>9</v>
      </c>
      <c r="AD55" s="115">
        <f t="shared" si="13"/>
        <v>11</v>
      </c>
      <c r="AE55" s="115">
        <f t="shared" si="13"/>
        <v>13</v>
      </c>
      <c r="AF55" s="117"/>
      <c r="AG55" s="115">
        <f t="shared" si="10"/>
        <v>3</v>
      </c>
      <c r="AH55" s="115">
        <f t="shared" si="10"/>
        <v>3</v>
      </c>
      <c r="AI55" s="115">
        <f t="shared" si="10"/>
        <v>4</v>
      </c>
      <c r="AJ55" s="115">
        <f t="shared" si="10"/>
        <v>5</v>
      </c>
      <c r="AK55" s="115">
        <f t="shared" si="10"/>
        <v>7</v>
      </c>
      <c r="AL55" s="115">
        <f t="shared" si="10"/>
        <v>9</v>
      </c>
      <c r="AM55" s="117"/>
      <c r="AN55" s="115">
        <f t="shared" si="11"/>
        <v>2</v>
      </c>
      <c r="AO55" s="115">
        <f t="shared" si="11"/>
        <v>2</v>
      </c>
      <c r="AP55" s="115">
        <f t="shared" si="11"/>
        <v>2</v>
      </c>
      <c r="AQ55" s="115">
        <f t="shared" si="11"/>
        <v>3</v>
      </c>
      <c r="AR55" s="115">
        <f t="shared" si="11"/>
        <v>3</v>
      </c>
    </row>
    <row r="56" spans="2:44" x14ac:dyDescent="0.15">
      <c r="B56" s="108">
        <v>11</v>
      </c>
      <c r="C56" s="108">
        <v>75</v>
      </c>
      <c r="D56" s="146"/>
      <c r="E56" s="113">
        <f t="shared" si="12"/>
        <v>1</v>
      </c>
      <c r="F56" s="113">
        <f t="shared" si="12"/>
        <v>1</v>
      </c>
      <c r="G56" s="113">
        <f t="shared" si="12"/>
        <v>1</v>
      </c>
      <c r="H56" s="113">
        <f t="shared" si="12"/>
        <v>2</v>
      </c>
      <c r="I56" s="113">
        <f t="shared" si="12"/>
        <v>2</v>
      </c>
      <c r="J56" s="113">
        <f t="shared" si="12"/>
        <v>2</v>
      </c>
      <c r="K56" s="117"/>
      <c r="L56" s="113">
        <f t="shared" si="12"/>
        <v>1</v>
      </c>
      <c r="M56" s="113">
        <f t="shared" si="12"/>
        <v>1</v>
      </c>
      <c r="N56" s="113">
        <f t="shared" si="12"/>
        <v>1</v>
      </c>
      <c r="O56" s="113">
        <f t="shared" si="12"/>
        <v>1</v>
      </c>
      <c r="P56" s="113">
        <f t="shared" si="12"/>
        <v>1</v>
      </c>
      <c r="Q56" s="113">
        <f t="shared" si="12"/>
        <v>1</v>
      </c>
      <c r="R56" s="117"/>
      <c r="S56" s="113">
        <f t="shared" si="8"/>
        <v>1</v>
      </c>
      <c r="T56" s="113">
        <f t="shared" si="8"/>
        <v>1</v>
      </c>
      <c r="U56" s="113">
        <f t="shared" si="8"/>
        <v>1</v>
      </c>
      <c r="V56" s="113">
        <f t="shared" si="8"/>
        <v>1</v>
      </c>
      <c r="W56" s="113">
        <f t="shared" si="8"/>
        <v>1</v>
      </c>
      <c r="X56" s="113"/>
      <c r="Y56" s="117"/>
      <c r="Z56" s="113">
        <f t="shared" si="13"/>
        <v>5</v>
      </c>
      <c r="AA56" s="113">
        <f t="shared" si="13"/>
        <v>5</v>
      </c>
      <c r="AB56" s="113">
        <f t="shared" si="13"/>
        <v>6</v>
      </c>
      <c r="AC56" s="113">
        <f t="shared" si="13"/>
        <v>7</v>
      </c>
      <c r="AD56" s="113">
        <f t="shared" si="13"/>
        <v>9</v>
      </c>
      <c r="AE56" s="113">
        <f t="shared" si="13"/>
        <v>11</v>
      </c>
      <c r="AF56" s="117"/>
      <c r="AG56" s="113">
        <f t="shared" si="10"/>
        <v>3</v>
      </c>
      <c r="AH56" s="113">
        <f t="shared" si="10"/>
        <v>3</v>
      </c>
      <c r="AI56" s="113">
        <f t="shared" si="10"/>
        <v>3</v>
      </c>
      <c r="AJ56" s="113">
        <f t="shared" si="10"/>
        <v>4</v>
      </c>
      <c r="AK56" s="113">
        <f t="shared" si="10"/>
        <v>6</v>
      </c>
      <c r="AL56" s="113">
        <f t="shared" si="10"/>
        <v>8</v>
      </c>
      <c r="AM56" s="117"/>
      <c r="AN56" s="113">
        <f t="shared" si="11"/>
        <v>2</v>
      </c>
      <c r="AO56" s="113">
        <f t="shared" si="11"/>
        <v>2</v>
      </c>
      <c r="AP56" s="113">
        <f t="shared" si="11"/>
        <v>2</v>
      </c>
      <c r="AQ56" s="113">
        <f t="shared" si="11"/>
        <v>2</v>
      </c>
      <c r="AR56" s="113">
        <f t="shared" si="11"/>
        <v>3</v>
      </c>
    </row>
    <row r="58" spans="2:44" x14ac:dyDescent="0.15">
      <c r="B58" s="106" t="s">
        <v>396</v>
      </c>
      <c r="C58" s="110"/>
      <c r="E58" s="143" t="s">
        <v>329</v>
      </c>
      <c r="F58" s="144"/>
      <c r="G58" s="144"/>
      <c r="H58" s="144"/>
      <c r="I58" s="144"/>
      <c r="J58" s="145"/>
      <c r="K58" s="117"/>
      <c r="L58" s="143" t="s">
        <v>389</v>
      </c>
      <c r="M58" s="144"/>
      <c r="N58" s="144"/>
      <c r="O58" s="144"/>
      <c r="P58" s="144"/>
      <c r="Q58" s="145"/>
      <c r="R58" s="117"/>
      <c r="S58" s="143" t="s">
        <v>353</v>
      </c>
      <c r="T58" s="144"/>
      <c r="U58" s="144"/>
      <c r="V58" s="144"/>
      <c r="W58" s="144"/>
      <c r="X58" s="116"/>
      <c r="Y58" s="117"/>
      <c r="Z58" s="143" t="s">
        <v>390</v>
      </c>
      <c r="AA58" s="144"/>
      <c r="AB58" s="144"/>
      <c r="AC58" s="144"/>
      <c r="AD58" s="144"/>
      <c r="AE58" s="145"/>
      <c r="AF58" s="117"/>
      <c r="AG58" s="143" t="s">
        <v>393</v>
      </c>
      <c r="AH58" s="144"/>
      <c r="AI58" s="144"/>
      <c r="AJ58" s="144"/>
      <c r="AK58" s="144"/>
    </row>
    <row r="59" spans="2:44" x14ac:dyDescent="0.15">
      <c r="B59" s="106" t="s">
        <v>384</v>
      </c>
      <c r="C59" s="106" t="s">
        <v>397</v>
      </c>
      <c r="D59" s="111" t="s">
        <v>383</v>
      </c>
      <c r="E59" s="111">
        <v>1</v>
      </c>
      <c r="F59" s="111">
        <v>2</v>
      </c>
      <c r="G59" s="111">
        <v>3</v>
      </c>
      <c r="H59" s="111">
        <v>4</v>
      </c>
      <c r="I59" s="111">
        <v>5</v>
      </c>
      <c r="J59" s="111">
        <v>6</v>
      </c>
      <c r="K59" s="117"/>
      <c r="L59" s="111">
        <v>1</v>
      </c>
      <c r="M59" s="111">
        <v>2</v>
      </c>
      <c r="N59" s="111">
        <v>3</v>
      </c>
      <c r="O59" s="111">
        <v>4</v>
      </c>
      <c r="P59" s="111">
        <v>5</v>
      </c>
      <c r="Q59" s="111">
        <v>6</v>
      </c>
      <c r="R59" s="117"/>
      <c r="S59" s="111">
        <v>1</v>
      </c>
      <c r="T59" s="111">
        <v>2</v>
      </c>
      <c r="U59" s="111">
        <v>3</v>
      </c>
      <c r="V59" s="111">
        <v>4</v>
      </c>
      <c r="W59" s="111">
        <v>5</v>
      </c>
      <c r="X59" s="116"/>
      <c r="Y59" s="117"/>
      <c r="Z59" s="111">
        <v>1</v>
      </c>
      <c r="AA59" s="111">
        <v>2</v>
      </c>
      <c r="AB59" s="111">
        <v>3</v>
      </c>
      <c r="AC59" s="111">
        <v>4</v>
      </c>
      <c r="AD59" s="111">
        <v>5</v>
      </c>
      <c r="AE59" s="111">
        <v>6</v>
      </c>
      <c r="AF59" s="117"/>
      <c r="AG59" s="111">
        <v>1</v>
      </c>
      <c r="AH59" s="111">
        <v>2</v>
      </c>
      <c r="AI59" s="111">
        <v>3</v>
      </c>
      <c r="AJ59" s="111">
        <v>4</v>
      </c>
      <c r="AK59" s="111">
        <v>5</v>
      </c>
    </row>
    <row r="60" spans="2:44" x14ac:dyDescent="0.15">
      <c r="B60" s="107" t="s">
        <v>383</v>
      </c>
      <c r="C60" s="107" t="s">
        <v>385</v>
      </c>
      <c r="D60" s="112" t="s">
        <v>388</v>
      </c>
      <c r="E60" s="112">
        <v>45</v>
      </c>
      <c r="F60" s="112">
        <v>54</v>
      </c>
      <c r="G60" s="112">
        <v>65</v>
      </c>
      <c r="H60" s="112">
        <v>78</v>
      </c>
      <c r="I60" s="112">
        <v>95</v>
      </c>
      <c r="J60" s="112">
        <v>110</v>
      </c>
      <c r="K60" s="117"/>
      <c r="L60" s="112">
        <v>20</v>
      </c>
      <c r="M60" s="112">
        <v>23</v>
      </c>
      <c r="N60" s="112">
        <v>28</v>
      </c>
      <c r="O60" s="112">
        <v>33</v>
      </c>
      <c r="P60" s="112">
        <v>40</v>
      </c>
      <c r="Q60" s="112">
        <v>44</v>
      </c>
      <c r="R60" s="117"/>
      <c r="S60" s="112">
        <v>25</v>
      </c>
      <c r="T60" s="112">
        <v>30</v>
      </c>
      <c r="U60" s="112">
        <v>36</v>
      </c>
      <c r="V60" s="112">
        <v>43</v>
      </c>
      <c r="W60" s="112">
        <v>52</v>
      </c>
      <c r="X60" s="118"/>
      <c r="Y60" s="117"/>
      <c r="Z60" s="112">
        <v>300</v>
      </c>
      <c r="AA60" s="112">
        <v>360</v>
      </c>
      <c r="AB60" s="112">
        <v>430</v>
      </c>
      <c r="AC60" s="112">
        <v>520</v>
      </c>
      <c r="AD60" s="112">
        <v>670</v>
      </c>
      <c r="AE60" s="112">
        <v>800</v>
      </c>
      <c r="AF60" s="117"/>
      <c r="AG60" s="112">
        <v>75</v>
      </c>
      <c r="AH60" s="112">
        <v>90</v>
      </c>
      <c r="AI60" s="112">
        <v>108</v>
      </c>
      <c r="AJ60" s="112">
        <v>130</v>
      </c>
      <c r="AK60" s="112">
        <v>156</v>
      </c>
    </row>
    <row r="61" spans="2:44" x14ac:dyDescent="0.15">
      <c r="B61" s="108">
        <v>1</v>
      </c>
      <c r="C61" s="108">
        <v>20</v>
      </c>
      <c r="D61" s="146" t="s">
        <v>387</v>
      </c>
      <c r="E61" s="114">
        <f>INT(E$60/$C61)+1</f>
        <v>3</v>
      </c>
      <c r="F61" s="114">
        <f t="shared" ref="F61:J61" si="14">INT(F$60/$C61)+1</f>
        <v>3</v>
      </c>
      <c r="G61" s="114">
        <f t="shared" si="14"/>
        <v>4</v>
      </c>
      <c r="H61" s="114">
        <f t="shared" si="14"/>
        <v>4</v>
      </c>
      <c r="I61" s="114">
        <f t="shared" si="14"/>
        <v>5</v>
      </c>
      <c r="J61" s="114">
        <f t="shared" si="14"/>
        <v>6</v>
      </c>
      <c r="K61" s="117"/>
      <c r="L61" s="114">
        <f>INT(L$60/$C61)+1</f>
        <v>2</v>
      </c>
      <c r="M61" s="114">
        <f t="shared" ref="M61:Q61" si="15">INT(M$60/$C61)+1</f>
        <v>2</v>
      </c>
      <c r="N61" s="114">
        <f t="shared" si="15"/>
        <v>2</v>
      </c>
      <c r="O61" s="114">
        <f t="shared" si="15"/>
        <v>2</v>
      </c>
      <c r="P61" s="114">
        <f t="shared" si="15"/>
        <v>3</v>
      </c>
      <c r="Q61" s="114">
        <f t="shared" si="15"/>
        <v>3</v>
      </c>
      <c r="R61" s="117"/>
      <c r="S61" s="114">
        <f>INT(S$60/$C61)+1</f>
        <v>2</v>
      </c>
      <c r="T61" s="114">
        <f t="shared" ref="S61:W67" si="16">INT(T$60/$C61)+1</f>
        <v>2</v>
      </c>
      <c r="U61" s="114">
        <f t="shared" si="16"/>
        <v>2</v>
      </c>
      <c r="V61" s="114">
        <f t="shared" si="16"/>
        <v>3</v>
      </c>
      <c r="W61" s="114">
        <f t="shared" si="16"/>
        <v>3</v>
      </c>
      <c r="X61" s="114"/>
      <c r="Y61" s="117"/>
      <c r="Z61" s="114">
        <f>INT(Z$60/$C61)+1</f>
        <v>16</v>
      </c>
      <c r="AA61" s="114">
        <f t="shared" ref="AA61:AE61" si="17">INT(AA$60/$C61)+1</f>
        <v>19</v>
      </c>
      <c r="AB61" s="114">
        <f t="shared" si="17"/>
        <v>22</v>
      </c>
      <c r="AC61" s="114">
        <f t="shared" si="17"/>
        <v>27</v>
      </c>
      <c r="AD61" s="114">
        <f t="shared" si="17"/>
        <v>34</v>
      </c>
      <c r="AE61" s="114">
        <f t="shared" si="17"/>
        <v>41</v>
      </c>
      <c r="AF61" s="117"/>
      <c r="AG61" s="114">
        <f>INT(AG$60/$C61)+1</f>
        <v>4</v>
      </c>
      <c r="AH61" s="114">
        <f t="shared" ref="AH61:AK61" si="18">INT(AH$60/$C61)+1</f>
        <v>5</v>
      </c>
      <c r="AI61" s="114">
        <f t="shared" si="18"/>
        <v>6</v>
      </c>
      <c r="AJ61" s="114">
        <f t="shared" si="18"/>
        <v>7</v>
      </c>
      <c r="AK61" s="114">
        <f t="shared" si="18"/>
        <v>8</v>
      </c>
      <c r="AL61" s="114"/>
    </row>
    <row r="62" spans="2:44" x14ac:dyDescent="0.15">
      <c r="B62" s="109">
        <v>2</v>
      </c>
      <c r="C62" s="109">
        <v>25</v>
      </c>
      <c r="D62" s="146"/>
      <c r="E62" s="115">
        <f t="shared" ref="E62:T67" si="19">INT(E$60/$C62)+1</f>
        <v>2</v>
      </c>
      <c r="F62" s="115">
        <f t="shared" si="19"/>
        <v>3</v>
      </c>
      <c r="G62" s="115">
        <f t="shared" si="19"/>
        <v>3</v>
      </c>
      <c r="H62" s="115">
        <f t="shared" si="19"/>
        <v>4</v>
      </c>
      <c r="I62" s="115">
        <f t="shared" si="19"/>
        <v>4</v>
      </c>
      <c r="J62" s="115">
        <f t="shared" si="19"/>
        <v>5</v>
      </c>
      <c r="K62" s="117"/>
      <c r="L62" s="115">
        <f t="shared" si="19"/>
        <v>1</v>
      </c>
      <c r="M62" s="115">
        <f t="shared" si="19"/>
        <v>1</v>
      </c>
      <c r="N62" s="115">
        <f t="shared" si="19"/>
        <v>2</v>
      </c>
      <c r="O62" s="115">
        <f t="shared" si="19"/>
        <v>2</v>
      </c>
      <c r="P62" s="115">
        <f t="shared" si="19"/>
        <v>2</v>
      </c>
      <c r="Q62" s="115">
        <f t="shared" si="19"/>
        <v>2</v>
      </c>
      <c r="R62" s="117"/>
      <c r="S62" s="115">
        <f t="shared" si="19"/>
        <v>2</v>
      </c>
      <c r="T62" s="115">
        <f t="shared" si="19"/>
        <v>2</v>
      </c>
      <c r="U62" s="115">
        <f t="shared" si="16"/>
        <v>2</v>
      </c>
      <c r="V62" s="115">
        <f t="shared" si="16"/>
        <v>2</v>
      </c>
      <c r="W62" s="115">
        <f t="shared" si="16"/>
        <v>3</v>
      </c>
      <c r="X62" s="115"/>
      <c r="Y62" s="117"/>
      <c r="Z62" s="115">
        <f t="shared" ref="Z62:AE67" si="20">INT(Z$60/$C62)+1</f>
        <v>13</v>
      </c>
      <c r="AA62" s="115">
        <f t="shared" si="20"/>
        <v>15</v>
      </c>
      <c r="AB62" s="115">
        <f t="shared" si="20"/>
        <v>18</v>
      </c>
      <c r="AC62" s="115">
        <f t="shared" si="20"/>
        <v>21</v>
      </c>
      <c r="AD62" s="115">
        <f t="shared" si="20"/>
        <v>27</v>
      </c>
      <c r="AE62" s="115">
        <f t="shared" si="20"/>
        <v>33</v>
      </c>
      <c r="AF62" s="117"/>
      <c r="AG62" s="115">
        <f t="shared" ref="AG62:AK67" si="21">INT(AG$60/$C62)+1</f>
        <v>4</v>
      </c>
      <c r="AH62" s="115">
        <f t="shared" si="21"/>
        <v>4</v>
      </c>
      <c r="AI62" s="115">
        <f t="shared" si="21"/>
        <v>5</v>
      </c>
      <c r="AJ62" s="115">
        <f t="shared" si="21"/>
        <v>6</v>
      </c>
      <c r="AK62" s="115">
        <f t="shared" si="21"/>
        <v>7</v>
      </c>
      <c r="AL62" s="115"/>
    </row>
    <row r="63" spans="2:44" x14ac:dyDescent="0.15">
      <c r="B63" s="108">
        <v>3</v>
      </c>
      <c r="C63" s="108">
        <v>30</v>
      </c>
      <c r="D63" s="146"/>
      <c r="E63" s="113">
        <f t="shared" si="19"/>
        <v>2</v>
      </c>
      <c r="F63" s="113">
        <f t="shared" si="19"/>
        <v>2</v>
      </c>
      <c r="G63" s="113">
        <f t="shared" si="19"/>
        <v>3</v>
      </c>
      <c r="H63" s="113">
        <f t="shared" si="19"/>
        <v>3</v>
      </c>
      <c r="I63" s="113">
        <f t="shared" si="19"/>
        <v>4</v>
      </c>
      <c r="J63" s="113">
        <f t="shared" si="19"/>
        <v>4</v>
      </c>
      <c r="K63" s="117"/>
      <c r="L63" s="113">
        <f t="shared" si="19"/>
        <v>1</v>
      </c>
      <c r="M63" s="113">
        <f t="shared" si="19"/>
        <v>1</v>
      </c>
      <c r="N63" s="113">
        <f t="shared" si="19"/>
        <v>1</v>
      </c>
      <c r="O63" s="113">
        <f t="shared" si="19"/>
        <v>2</v>
      </c>
      <c r="P63" s="113">
        <f t="shared" si="19"/>
        <v>2</v>
      </c>
      <c r="Q63" s="113">
        <f t="shared" si="19"/>
        <v>2</v>
      </c>
      <c r="R63" s="117"/>
      <c r="S63" s="113">
        <f t="shared" si="16"/>
        <v>1</v>
      </c>
      <c r="T63" s="113">
        <f t="shared" si="16"/>
        <v>2</v>
      </c>
      <c r="U63" s="113">
        <f t="shared" si="16"/>
        <v>2</v>
      </c>
      <c r="V63" s="113">
        <f t="shared" si="16"/>
        <v>2</v>
      </c>
      <c r="W63" s="113">
        <f t="shared" si="16"/>
        <v>2</v>
      </c>
      <c r="X63" s="113"/>
      <c r="Y63" s="117"/>
      <c r="Z63" s="113">
        <f t="shared" si="20"/>
        <v>11</v>
      </c>
      <c r="AA63" s="113">
        <f t="shared" si="20"/>
        <v>13</v>
      </c>
      <c r="AB63" s="113">
        <f t="shared" si="20"/>
        <v>15</v>
      </c>
      <c r="AC63" s="113">
        <f t="shared" si="20"/>
        <v>18</v>
      </c>
      <c r="AD63" s="113">
        <f t="shared" si="20"/>
        <v>23</v>
      </c>
      <c r="AE63" s="113">
        <f t="shared" si="20"/>
        <v>27</v>
      </c>
      <c r="AF63" s="117"/>
      <c r="AG63" s="113">
        <f t="shared" si="21"/>
        <v>3</v>
      </c>
      <c r="AH63" s="113">
        <f t="shared" si="21"/>
        <v>4</v>
      </c>
      <c r="AI63" s="113">
        <f t="shared" si="21"/>
        <v>4</v>
      </c>
      <c r="AJ63" s="113">
        <f t="shared" si="21"/>
        <v>5</v>
      </c>
      <c r="AK63" s="113">
        <f t="shared" si="21"/>
        <v>6</v>
      </c>
      <c r="AL63" s="113"/>
    </row>
    <row r="64" spans="2:44" x14ac:dyDescent="0.15">
      <c r="B64" s="109">
        <v>4</v>
      </c>
      <c r="C64" s="109">
        <v>35</v>
      </c>
      <c r="D64" s="146"/>
      <c r="E64" s="115">
        <f t="shared" si="19"/>
        <v>2</v>
      </c>
      <c r="F64" s="115">
        <f t="shared" si="19"/>
        <v>2</v>
      </c>
      <c r="G64" s="115">
        <f t="shared" si="19"/>
        <v>2</v>
      </c>
      <c r="H64" s="115">
        <f t="shared" si="19"/>
        <v>3</v>
      </c>
      <c r="I64" s="115">
        <f t="shared" si="19"/>
        <v>3</v>
      </c>
      <c r="J64" s="115">
        <f t="shared" si="19"/>
        <v>4</v>
      </c>
      <c r="K64" s="117"/>
      <c r="L64" s="115">
        <f t="shared" si="19"/>
        <v>1</v>
      </c>
      <c r="M64" s="115">
        <f t="shared" si="19"/>
        <v>1</v>
      </c>
      <c r="N64" s="115">
        <f t="shared" si="19"/>
        <v>1</v>
      </c>
      <c r="O64" s="115">
        <f t="shared" si="19"/>
        <v>1</v>
      </c>
      <c r="P64" s="115">
        <f t="shared" si="19"/>
        <v>2</v>
      </c>
      <c r="Q64" s="115">
        <f t="shared" si="19"/>
        <v>2</v>
      </c>
      <c r="R64" s="117"/>
      <c r="S64" s="115">
        <f t="shared" si="16"/>
        <v>1</v>
      </c>
      <c r="T64" s="115">
        <f t="shared" si="16"/>
        <v>1</v>
      </c>
      <c r="U64" s="115">
        <f t="shared" si="16"/>
        <v>2</v>
      </c>
      <c r="V64" s="115">
        <f t="shared" si="16"/>
        <v>2</v>
      </c>
      <c r="W64" s="115">
        <f t="shared" si="16"/>
        <v>2</v>
      </c>
      <c r="X64" s="115"/>
      <c r="Y64" s="117"/>
      <c r="Z64" s="115">
        <f t="shared" si="20"/>
        <v>9</v>
      </c>
      <c r="AA64" s="115">
        <f t="shared" si="20"/>
        <v>11</v>
      </c>
      <c r="AB64" s="115">
        <f t="shared" si="20"/>
        <v>13</v>
      </c>
      <c r="AC64" s="115">
        <f t="shared" si="20"/>
        <v>15</v>
      </c>
      <c r="AD64" s="115">
        <f t="shared" si="20"/>
        <v>20</v>
      </c>
      <c r="AE64" s="115">
        <f t="shared" si="20"/>
        <v>23</v>
      </c>
      <c r="AF64" s="117"/>
      <c r="AG64" s="115">
        <f t="shared" si="21"/>
        <v>3</v>
      </c>
      <c r="AH64" s="115">
        <f t="shared" si="21"/>
        <v>3</v>
      </c>
      <c r="AI64" s="115">
        <f t="shared" si="21"/>
        <v>4</v>
      </c>
      <c r="AJ64" s="115">
        <f t="shared" si="21"/>
        <v>4</v>
      </c>
      <c r="AK64" s="115">
        <f t="shared" si="21"/>
        <v>5</v>
      </c>
      <c r="AL64" s="115"/>
    </row>
    <row r="65" spans="2:45" x14ac:dyDescent="0.15">
      <c r="B65" s="108">
        <v>5</v>
      </c>
      <c r="C65" s="108">
        <v>40</v>
      </c>
      <c r="D65" s="146"/>
      <c r="E65" s="114">
        <f t="shared" si="19"/>
        <v>2</v>
      </c>
      <c r="F65" s="114">
        <f t="shared" si="19"/>
        <v>2</v>
      </c>
      <c r="G65" s="114">
        <f t="shared" si="19"/>
        <v>2</v>
      </c>
      <c r="H65" s="114">
        <f t="shared" si="19"/>
        <v>2</v>
      </c>
      <c r="I65" s="114">
        <f t="shared" si="19"/>
        <v>3</v>
      </c>
      <c r="J65" s="114">
        <f t="shared" si="19"/>
        <v>3</v>
      </c>
      <c r="K65" s="117"/>
      <c r="L65" s="114">
        <f t="shared" si="19"/>
        <v>1</v>
      </c>
      <c r="M65" s="114">
        <f t="shared" si="19"/>
        <v>1</v>
      </c>
      <c r="N65" s="114">
        <f t="shared" si="19"/>
        <v>1</v>
      </c>
      <c r="O65" s="114">
        <f t="shared" si="19"/>
        <v>1</v>
      </c>
      <c r="P65" s="114">
        <f t="shared" si="19"/>
        <v>2</v>
      </c>
      <c r="Q65" s="114">
        <f t="shared" si="19"/>
        <v>2</v>
      </c>
      <c r="R65" s="117"/>
      <c r="S65" s="114">
        <f t="shared" si="16"/>
        <v>1</v>
      </c>
      <c r="T65" s="114">
        <f t="shared" si="16"/>
        <v>1</v>
      </c>
      <c r="U65" s="114">
        <f t="shared" si="16"/>
        <v>1</v>
      </c>
      <c r="V65" s="114">
        <f t="shared" si="16"/>
        <v>2</v>
      </c>
      <c r="W65" s="114">
        <f t="shared" si="16"/>
        <v>2</v>
      </c>
      <c r="X65" s="114"/>
      <c r="Y65" s="117"/>
      <c r="Z65" s="114">
        <f t="shared" si="20"/>
        <v>8</v>
      </c>
      <c r="AA65" s="114">
        <f t="shared" si="20"/>
        <v>10</v>
      </c>
      <c r="AB65" s="114">
        <f t="shared" si="20"/>
        <v>11</v>
      </c>
      <c r="AC65" s="114">
        <f t="shared" si="20"/>
        <v>14</v>
      </c>
      <c r="AD65" s="114">
        <f t="shared" si="20"/>
        <v>17</v>
      </c>
      <c r="AE65" s="114">
        <f t="shared" si="20"/>
        <v>21</v>
      </c>
      <c r="AF65" s="117"/>
      <c r="AG65" s="114">
        <f t="shared" si="21"/>
        <v>2</v>
      </c>
      <c r="AH65" s="114">
        <f t="shared" si="21"/>
        <v>3</v>
      </c>
      <c r="AI65" s="114">
        <f t="shared" si="21"/>
        <v>3</v>
      </c>
      <c r="AJ65" s="114">
        <f t="shared" si="21"/>
        <v>4</v>
      </c>
      <c r="AK65" s="114">
        <f t="shared" si="21"/>
        <v>4</v>
      </c>
      <c r="AL65" s="114"/>
    </row>
    <row r="66" spans="2:45" x14ac:dyDescent="0.15">
      <c r="B66" s="109">
        <v>6</v>
      </c>
      <c r="C66" s="109">
        <v>45</v>
      </c>
      <c r="D66" s="146"/>
      <c r="E66" s="115">
        <f t="shared" si="19"/>
        <v>2</v>
      </c>
      <c r="F66" s="115">
        <f t="shared" si="19"/>
        <v>2</v>
      </c>
      <c r="G66" s="115">
        <f t="shared" si="19"/>
        <v>2</v>
      </c>
      <c r="H66" s="115">
        <f t="shared" si="19"/>
        <v>2</v>
      </c>
      <c r="I66" s="115">
        <f t="shared" si="19"/>
        <v>3</v>
      </c>
      <c r="J66" s="115">
        <f t="shared" si="19"/>
        <v>3</v>
      </c>
      <c r="K66" s="117"/>
      <c r="L66" s="115">
        <f t="shared" si="19"/>
        <v>1</v>
      </c>
      <c r="M66" s="115">
        <f t="shared" si="19"/>
        <v>1</v>
      </c>
      <c r="N66" s="115">
        <f t="shared" si="19"/>
        <v>1</v>
      </c>
      <c r="O66" s="115">
        <f t="shared" si="19"/>
        <v>1</v>
      </c>
      <c r="P66" s="115">
        <f t="shared" si="19"/>
        <v>1</v>
      </c>
      <c r="Q66" s="115">
        <f t="shared" si="19"/>
        <v>1</v>
      </c>
      <c r="R66" s="117"/>
      <c r="S66" s="115">
        <f t="shared" si="16"/>
        <v>1</v>
      </c>
      <c r="T66" s="115">
        <f t="shared" si="16"/>
        <v>1</v>
      </c>
      <c r="U66" s="115">
        <f t="shared" si="16"/>
        <v>1</v>
      </c>
      <c r="V66" s="115">
        <f t="shared" si="16"/>
        <v>1</v>
      </c>
      <c r="W66" s="115">
        <f t="shared" si="16"/>
        <v>2</v>
      </c>
      <c r="X66" s="115"/>
      <c r="Y66" s="117"/>
      <c r="Z66" s="115">
        <f t="shared" si="20"/>
        <v>7</v>
      </c>
      <c r="AA66" s="115">
        <f t="shared" si="20"/>
        <v>9</v>
      </c>
      <c r="AB66" s="115">
        <f t="shared" si="20"/>
        <v>10</v>
      </c>
      <c r="AC66" s="115">
        <f t="shared" si="20"/>
        <v>12</v>
      </c>
      <c r="AD66" s="115">
        <f t="shared" si="20"/>
        <v>15</v>
      </c>
      <c r="AE66" s="115">
        <f t="shared" si="20"/>
        <v>18</v>
      </c>
      <c r="AF66" s="117"/>
      <c r="AG66" s="115">
        <f t="shared" si="21"/>
        <v>2</v>
      </c>
      <c r="AH66" s="115">
        <f t="shared" si="21"/>
        <v>3</v>
      </c>
      <c r="AI66" s="115">
        <f t="shared" si="21"/>
        <v>3</v>
      </c>
      <c r="AJ66" s="115">
        <f t="shared" si="21"/>
        <v>3</v>
      </c>
      <c r="AK66" s="115">
        <f t="shared" si="21"/>
        <v>4</v>
      </c>
      <c r="AL66" s="115"/>
    </row>
    <row r="67" spans="2:45" x14ac:dyDescent="0.15">
      <c r="B67" s="108">
        <v>7</v>
      </c>
      <c r="C67" s="108">
        <v>55</v>
      </c>
      <c r="D67" s="146"/>
      <c r="E67" s="113">
        <f t="shared" si="19"/>
        <v>1</v>
      </c>
      <c r="F67" s="113">
        <f t="shared" si="19"/>
        <v>1</v>
      </c>
      <c r="G67" s="113">
        <f t="shared" si="19"/>
        <v>2</v>
      </c>
      <c r="H67" s="113">
        <f t="shared" si="19"/>
        <v>2</v>
      </c>
      <c r="I67" s="113">
        <f t="shared" si="19"/>
        <v>2</v>
      </c>
      <c r="J67" s="113">
        <f t="shared" si="19"/>
        <v>3</v>
      </c>
      <c r="K67" s="117"/>
      <c r="L67" s="113">
        <f t="shared" si="19"/>
        <v>1</v>
      </c>
      <c r="M67" s="113">
        <f t="shared" si="19"/>
        <v>1</v>
      </c>
      <c r="N67" s="113">
        <f t="shared" si="19"/>
        <v>1</v>
      </c>
      <c r="O67" s="113">
        <f t="shared" si="19"/>
        <v>1</v>
      </c>
      <c r="P67" s="113">
        <f t="shared" si="19"/>
        <v>1</v>
      </c>
      <c r="Q67" s="113">
        <f t="shared" si="19"/>
        <v>1</v>
      </c>
      <c r="R67" s="117"/>
      <c r="S67" s="113">
        <f t="shared" si="16"/>
        <v>1</v>
      </c>
      <c r="T67" s="113">
        <f t="shared" si="16"/>
        <v>1</v>
      </c>
      <c r="U67" s="113">
        <f t="shared" si="16"/>
        <v>1</v>
      </c>
      <c r="V67" s="113">
        <f t="shared" si="16"/>
        <v>1</v>
      </c>
      <c r="W67" s="113">
        <f t="shared" si="16"/>
        <v>1</v>
      </c>
      <c r="X67" s="113"/>
      <c r="Y67" s="117"/>
      <c r="Z67" s="113">
        <f t="shared" si="20"/>
        <v>6</v>
      </c>
      <c r="AA67" s="113">
        <f t="shared" si="20"/>
        <v>7</v>
      </c>
      <c r="AB67" s="113">
        <f t="shared" si="20"/>
        <v>8</v>
      </c>
      <c r="AC67" s="113">
        <f t="shared" si="20"/>
        <v>10</v>
      </c>
      <c r="AD67" s="113">
        <f t="shared" si="20"/>
        <v>13</v>
      </c>
      <c r="AE67" s="113">
        <f t="shared" si="20"/>
        <v>15</v>
      </c>
      <c r="AF67" s="117"/>
      <c r="AG67" s="113">
        <f t="shared" si="21"/>
        <v>2</v>
      </c>
      <c r="AH67" s="113">
        <f t="shared" si="21"/>
        <v>2</v>
      </c>
      <c r="AI67" s="113">
        <f t="shared" si="21"/>
        <v>2</v>
      </c>
      <c r="AJ67" s="113">
        <f t="shared" si="21"/>
        <v>3</v>
      </c>
      <c r="AK67" s="113">
        <f t="shared" si="21"/>
        <v>3</v>
      </c>
      <c r="AL67" s="113"/>
    </row>
    <row r="70" spans="2:45" x14ac:dyDescent="0.15">
      <c r="B70" s="106" t="s">
        <v>398</v>
      </c>
      <c r="C70" s="110"/>
      <c r="E70" s="143" t="s">
        <v>329</v>
      </c>
      <c r="F70" s="144"/>
      <c r="G70" s="144"/>
      <c r="H70" s="144"/>
      <c r="I70" s="144"/>
      <c r="J70" s="145"/>
      <c r="K70" s="117"/>
      <c r="L70" s="143" t="s">
        <v>389</v>
      </c>
      <c r="M70" s="144"/>
      <c r="N70" s="144"/>
      <c r="O70" s="144"/>
      <c r="P70" s="144"/>
      <c r="Q70" s="145"/>
      <c r="R70" s="117"/>
      <c r="S70" s="143" t="s">
        <v>353</v>
      </c>
      <c r="T70" s="144"/>
      <c r="U70" s="144"/>
      <c r="V70" s="144"/>
      <c r="W70" s="144"/>
      <c r="X70" s="116"/>
      <c r="Y70" s="117"/>
      <c r="Z70" s="143" t="s">
        <v>390</v>
      </c>
      <c r="AA70" s="144"/>
      <c r="AB70" s="144"/>
      <c r="AC70" s="144"/>
      <c r="AD70" s="144"/>
      <c r="AE70" s="145"/>
      <c r="AF70" s="117"/>
      <c r="AG70" s="143" t="s">
        <v>367</v>
      </c>
      <c r="AH70" s="144"/>
      <c r="AI70" s="144"/>
      <c r="AJ70" s="144"/>
      <c r="AK70" s="144"/>
      <c r="AL70" s="145"/>
      <c r="AM70" s="117"/>
      <c r="AN70" s="143" t="s">
        <v>393</v>
      </c>
      <c r="AO70" s="144"/>
      <c r="AP70" s="144"/>
      <c r="AQ70" s="144"/>
      <c r="AR70" s="144"/>
    </row>
    <row r="71" spans="2:45" x14ac:dyDescent="0.15">
      <c r="B71" s="106" t="s">
        <v>384</v>
      </c>
      <c r="C71" s="106" t="s">
        <v>399</v>
      </c>
      <c r="D71" s="111" t="s">
        <v>383</v>
      </c>
      <c r="E71" s="111">
        <v>1</v>
      </c>
      <c r="F71" s="111">
        <v>2</v>
      </c>
      <c r="G71" s="111">
        <v>3</v>
      </c>
      <c r="H71" s="111">
        <v>4</v>
      </c>
      <c r="I71" s="111">
        <v>5</v>
      </c>
      <c r="J71" s="111">
        <v>6</v>
      </c>
      <c r="K71" s="117"/>
      <c r="L71" s="111">
        <v>1</v>
      </c>
      <c r="M71" s="111">
        <v>2</v>
      </c>
      <c r="N71" s="111">
        <v>3</v>
      </c>
      <c r="O71" s="111">
        <v>4</v>
      </c>
      <c r="P71" s="111">
        <v>5</v>
      </c>
      <c r="Q71" s="111">
        <v>6</v>
      </c>
      <c r="R71" s="117"/>
      <c r="S71" s="111">
        <v>1</v>
      </c>
      <c r="T71" s="111">
        <v>2</v>
      </c>
      <c r="U71" s="111">
        <v>3</v>
      </c>
      <c r="V71" s="111">
        <v>4</v>
      </c>
      <c r="W71" s="111">
        <v>5</v>
      </c>
      <c r="X71" s="116"/>
      <c r="Y71" s="117"/>
      <c r="Z71" s="111">
        <v>1</v>
      </c>
      <c r="AA71" s="111">
        <v>2</v>
      </c>
      <c r="AB71" s="111">
        <v>3</v>
      </c>
      <c r="AC71" s="111">
        <v>4</v>
      </c>
      <c r="AD71" s="111">
        <v>5</v>
      </c>
      <c r="AE71" s="111">
        <v>6</v>
      </c>
      <c r="AF71" s="117"/>
      <c r="AG71" s="111">
        <v>1</v>
      </c>
      <c r="AH71" s="111">
        <v>2</v>
      </c>
      <c r="AI71" s="111">
        <v>3</v>
      </c>
      <c r="AJ71" s="111">
        <v>4</v>
      </c>
      <c r="AK71" s="111">
        <v>5</v>
      </c>
      <c r="AL71" s="111">
        <v>6</v>
      </c>
      <c r="AM71" s="117"/>
      <c r="AN71" s="111">
        <v>1</v>
      </c>
      <c r="AO71" s="111">
        <v>2</v>
      </c>
      <c r="AP71" s="111">
        <v>3</v>
      </c>
      <c r="AQ71" s="111">
        <v>4</v>
      </c>
      <c r="AR71" s="111">
        <v>5</v>
      </c>
    </row>
    <row r="72" spans="2:45" x14ac:dyDescent="0.15">
      <c r="B72" s="107" t="s">
        <v>383</v>
      </c>
      <c r="C72" s="107" t="s">
        <v>385</v>
      </c>
      <c r="D72" s="112" t="s">
        <v>388</v>
      </c>
      <c r="E72" s="112">
        <v>45</v>
      </c>
      <c r="F72" s="112">
        <v>54</v>
      </c>
      <c r="G72" s="112">
        <v>65</v>
      </c>
      <c r="H72" s="112">
        <v>78</v>
      </c>
      <c r="I72" s="112">
        <v>95</v>
      </c>
      <c r="J72" s="112">
        <v>110</v>
      </c>
      <c r="K72" s="117"/>
      <c r="L72" s="112">
        <v>20</v>
      </c>
      <c r="M72" s="112">
        <v>23</v>
      </c>
      <c r="N72" s="112">
        <v>28</v>
      </c>
      <c r="O72" s="112">
        <v>33</v>
      </c>
      <c r="P72" s="112">
        <v>40</v>
      </c>
      <c r="Q72" s="112">
        <v>44</v>
      </c>
      <c r="R72" s="117"/>
      <c r="S72" s="112">
        <v>25</v>
      </c>
      <c r="T72" s="112">
        <v>30</v>
      </c>
      <c r="U72" s="112">
        <v>36</v>
      </c>
      <c r="V72" s="112">
        <v>43</v>
      </c>
      <c r="W72" s="112">
        <v>52</v>
      </c>
      <c r="X72" s="118"/>
      <c r="Y72" s="117"/>
      <c r="Z72" s="112">
        <v>300</v>
      </c>
      <c r="AA72" s="112">
        <v>360</v>
      </c>
      <c r="AB72" s="112">
        <v>430</v>
      </c>
      <c r="AC72" s="112">
        <v>520</v>
      </c>
      <c r="AD72" s="112">
        <v>670</v>
      </c>
      <c r="AE72" s="112">
        <v>800</v>
      </c>
      <c r="AF72" s="117"/>
      <c r="AG72" s="112">
        <v>150</v>
      </c>
      <c r="AH72" s="112">
        <v>180</v>
      </c>
      <c r="AI72" s="112">
        <v>216</v>
      </c>
      <c r="AJ72" s="112">
        <v>280</v>
      </c>
      <c r="AK72" s="112">
        <v>390</v>
      </c>
      <c r="AL72" s="112">
        <v>545</v>
      </c>
      <c r="AM72" s="117"/>
      <c r="AN72" s="112">
        <v>75</v>
      </c>
      <c r="AO72" s="112">
        <v>90</v>
      </c>
      <c r="AP72" s="112">
        <v>108</v>
      </c>
      <c r="AQ72" s="112">
        <v>130</v>
      </c>
      <c r="AR72" s="112">
        <v>156</v>
      </c>
    </row>
    <row r="73" spans="2:45" x14ac:dyDescent="0.15">
      <c r="B73" s="108">
        <v>1</v>
      </c>
      <c r="C73" s="108">
        <v>14</v>
      </c>
      <c r="D73" s="146" t="s">
        <v>387</v>
      </c>
      <c r="E73" s="114">
        <f>INT(E$72/$C73)+1</f>
        <v>4</v>
      </c>
      <c r="F73" s="114">
        <f t="shared" ref="F73:J73" si="22">INT(F$72/$C73)+1</f>
        <v>4</v>
      </c>
      <c r="G73" s="114">
        <f t="shared" si="22"/>
        <v>5</v>
      </c>
      <c r="H73" s="114">
        <f t="shared" si="22"/>
        <v>6</v>
      </c>
      <c r="I73" s="114">
        <f t="shared" si="22"/>
        <v>7</v>
      </c>
      <c r="J73" s="114">
        <f t="shared" si="22"/>
        <v>8</v>
      </c>
      <c r="K73" s="117"/>
      <c r="L73" s="114">
        <f>INT(L$72/$C73)+1</f>
        <v>2</v>
      </c>
      <c r="M73" s="114">
        <f t="shared" ref="M73:Q73" si="23">INT(M$72/$C73)+1</f>
        <v>2</v>
      </c>
      <c r="N73" s="114">
        <f t="shared" si="23"/>
        <v>3</v>
      </c>
      <c r="O73" s="114">
        <f t="shared" si="23"/>
        <v>3</v>
      </c>
      <c r="P73" s="114">
        <f t="shared" si="23"/>
        <v>3</v>
      </c>
      <c r="Q73" s="114">
        <f t="shared" si="23"/>
        <v>4</v>
      </c>
      <c r="R73" s="117"/>
      <c r="S73" s="114">
        <f>INT(S$72/$C73)+1</f>
        <v>2</v>
      </c>
      <c r="T73" s="114">
        <f t="shared" ref="S73:X79" si="24">INT(T$72/$C73)+1</f>
        <v>3</v>
      </c>
      <c r="U73" s="114">
        <f t="shared" si="24"/>
        <v>3</v>
      </c>
      <c r="V73" s="114">
        <f t="shared" si="24"/>
        <v>4</v>
      </c>
      <c r="W73" s="114">
        <f t="shared" si="24"/>
        <v>4</v>
      </c>
      <c r="X73" s="114">
        <f t="shared" si="24"/>
        <v>1</v>
      </c>
      <c r="Y73" s="117"/>
      <c r="Z73" s="114">
        <f>INT(Z$72/$C73)+1</f>
        <v>22</v>
      </c>
      <c r="AA73" s="114">
        <f t="shared" ref="AA73:AE73" si="25">INT(AA$72/$C73)+1</f>
        <v>26</v>
      </c>
      <c r="AB73" s="114">
        <f t="shared" si="25"/>
        <v>31</v>
      </c>
      <c r="AC73" s="114">
        <f t="shared" si="25"/>
        <v>38</v>
      </c>
      <c r="AD73" s="114">
        <f t="shared" si="25"/>
        <v>48</v>
      </c>
      <c r="AE73" s="114">
        <f t="shared" si="25"/>
        <v>58</v>
      </c>
      <c r="AF73" s="117"/>
      <c r="AG73" s="114">
        <f>INT(AG$72/$C73)+1</f>
        <v>11</v>
      </c>
      <c r="AH73" s="114">
        <f t="shared" ref="AH73:AL73" si="26">INT(AH$72/$C73)+1</f>
        <v>13</v>
      </c>
      <c r="AI73" s="114">
        <f t="shared" si="26"/>
        <v>16</v>
      </c>
      <c r="AJ73" s="114">
        <f t="shared" si="26"/>
        <v>21</v>
      </c>
      <c r="AK73" s="114">
        <f t="shared" si="26"/>
        <v>28</v>
      </c>
      <c r="AL73" s="114">
        <f t="shared" si="26"/>
        <v>39</v>
      </c>
      <c r="AM73" s="117"/>
      <c r="AN73" s="114">
        <f>INT(AN$72/$C73)+1</f>
        <v>6</v>
      </c>
      <c r="AO73" s="114">
        <f t="shared" ref="AO73:AS73" si="27">INT(AO$72/$C73)+1</f>
        <v>7</v>
      </c>
      <c r="AP73" s="114">
        <f t="shared" si="27"/>
        <v>8</v>
      </c>
      <c r="AQ73" s="114">
        <f t="shared" si="27"/>
        <v>10</v>
      </c>
      <c r="AR73" s="114">
        <f t="shared" si="27"/>
        <v>12</v>
      </c>
      <c r="AS73" s="114">
        <f t="shared" si="27"/>
        <v>1</v>
      </c>
    </row>
    <row r="74" spans="2:45" x14ac:dyDescent="0.15">
      <c r="B74" s="109">
        <v>2</v>
      </c>
      <c r="C74" s="109">
        <v>17</v>
      </c>
      <c r="D74" s="146"/>
      <c r="E74" s="115">
        <f t="shared" ref="E74:T79" si="28">INT(E$72/$C74)+1</f>
        <v>3</v>
      </c>
      <c r="F74" s="115">
        <f t="shared" si="28"/>
        <v>4</v>
      </c>
      <c r="G74" s="115">
        <f t="shared" si="28"/>
        <v>4</v>
      </c>
      <c r="H74" s="115">
        <f t="shared" si="28"/>
        <v>5</v>
      </c>
      <c r="I74" s="115">
        <f t="shared" si="28"/>
        <v>6</v>
      </c>
      <c r="J74" s="115">
        <f t="shared" si="28"/>
        <v>7</v>
      </c>
      <c r="K74" s="117"/>
      <c r="L74" s="115">
        <f t="shared" si="28"/>
        <v>2</v>
      </c>
      <c r="M74" s="115">
        <f t="shared" si="28"/>
        <v>2</v>
      </c>
      <c r="N74" s="115">
        <f t="shared" si="28"/>
        <v>2</v>
      </c>
      <c r="O74" s="115">
        <f t="shared" si="28"/>
        <v>2</v>
      </c>
      <c r="P74" s="115">
        <f t="shared" si="28"/>
        <v>3</v>
      </c>
      <c r="Q74" s="115">
        <f t="shared" si="28"/>
        <v>3</v>
      </c>
      <c r="R74" s="117"/>
      <c r="S74" s="115">
        <f t="shared" si="28"/>
        <v>2</v>
      </c>
      <c r="T74" s="115">
        <f t="shared" si="28"/>
        <v>2</v>
      </c>
      <c r="U74" s="115">
        <f t="shared" si="24"/>
        <v>3</v>
      </c>
      <c r="V74" s="115">
        <f t="shared" si="24"/>
        <v>3</v>
      </c>
      <c r="W74" s="115">
        <f t="shared" si="24"/>
        <v>4</v>
      </c>
      <c r="X74" s="115">
        <f t="shared" si="24"/>
        <v>1</v>
      </c>
      <c r="Y74" s="117"/>
      <c r="Z74" s="115">
        <f t="shared" ref="Z74:AL79" si="29">INT(Z$72/$C74)+1</f>
        <v>18</v>
      </c>
      <c r="AA74" s="115">
        <f t="shared" si="29"/>
        <v>22</v>
      </c>
      <c r="AB74" s="115">
        <f t="shared" si="29"/>
        <v>26</v>
      </c>
      <c r="AC74" s="115">
        <f t="shared" si="29"/>
        <v>31</v>
      </c>
      <c r="AD74" s="115">
        <f t="shared" si="29"/>
        <v>40</v>
      </c>
      <c r="AE74" s="115">
        <f t="shared" si="29"/>
        <v>48</v>
      </c>
      <c r="AF74" s="117"/>
      <c r="AG74" s="115">
        <f t="shared" si="29"/>
        <v>9</v>
      </c>
      <c r="AH74" s="115">
        <f t="shared" si="29"/>
        <v>11</v>
      </c>
      <c r="AI74" s="115">
        <f t="shared" si="29"/>
        <v>13</v>
      </c>
      <c r="AJ74" s="115">
        <f t="shared" si="29"/>
        <v>17</v>
      </c>
      <c r="AK74" s="115">
        <f t="shared" si="29"/>
        <v>23</v>
      </c>
      <c r="AL74" s="115">
        <f t="shared" si="29"/>
        <v>33</v>
      </c>
      <c r="AM74" s="117"/>
      <c r="AN74" s="115">
        <f t="shared" ref="AN74:AS79" si="30">INT(AN$72/$C74)+1</f>
        <v>5</v>
      </c>
      <c r="AO74" s="115">
        <f t="shared" si="30"/>
        <v>6</v>
      </c>
      <c r="AP74" s="115">
        <f t="shared" si="30"/>
        <v>7</v>
      </c>
      <c r="AQ74" s="115">
        <f t="shared" si="30"/>
        <v>8</v>
      </c>
      <c r="AR74" s="115">
        <f t="shared" si="30"/>
        <v>10</v>
      </c>
      <c r="AS74" s="115">
        <f t="shared" si="30"/>
        <v>1</v>
      </c>
    </row>
    <row r="75" spans="2:45" x14ac:dyDescent="0.15">
      <c r="B75" s="108">
        <v>3</v>
      </c>
      <c r="C75" s="108">
        <v>21</v>
      </c>
      <c r="D75" s="146"/>
      <c r="E75" s="113">
        <f t="shared" si="28"/>
        <v>3</v>
      </c>
      <c r="F75" s="113">
        <f t="shared" si="28"/>
        <v>3</v>
      </c>
      <c r="G75" s="113">
        <f t="shared" si="28"/>
        <v>4</v>
      </c>
      <c r="H75" s="113">
        <f t="shared" si="28"/>
        <v>4</v>
      </c>
      <c r="I75" s="113">
        <f t="shared" si="28"/>
        <v>5</v>
      </c>
      <c r="J75" s="113">
        <f t="shared" si="28"/>
        <v>6</v>
      </c>
      <c r="K75" s="117"/>
      <c r="L75" s="113">
        <f t="shared" si="28"/>
        <v>1</v>
      </c>
      <c r="M75" s="113">
        <f t="shared" si="28"/>
        <v>2</v>
      </c>
      <c r="N75" s="113">
        <f t="shared" si="28"/>
        <v>2</v>
      </c>
      <c r="O75" s="113">
        <f t="shared" si="28"/>
        <v>2</v>
      </c>
      <c r="P75" s="113">
        <f t="shared" si="28"/>
        <v>2</v>
      </c>
      <c r="Q75" s="113">
        <f t="shared" si="28"/>
        <v>3</v>
      </c>
      <c r="R75" s="117"/>
      <c r="S75" s="113">
        <f t="shared" si="24"/>
        <v>2</v>
      </c>
      <c r="T75" s="113">
        <f t="shared" si="24"/>
        <v>2</v>
      </c>
      <c r="U75" s="113">
        <f t="shared" si="24"/>
        <v>2</v>
      </c>
      <c r="V75" s="113">
        <f t="shared" si="24"/>
        <v>3</v>
      </c>
      <c r="W75" s="113">
        <f t="shared" si="24"/>
        <v>3</v>
      </c>
      <c r="X75" s="113">
        <f t="shared" si="24"/>
        <v>1</v>
      </c>
      <c r="Y75" s="117"/>
      <c r="Z75" s="113">
        <f t="shared" si="29"/>
        <v>15</v>
      </c>
      <c r="AA75" s="113">
        <f t="shared" si="29"/>
        <v>18</v>
      </c>
      <c r="AB75" s="113">
        <f t="shared" si="29"/>
        <v>21</v>
      </c>
      <c r="AC75" s="113">
        <f t="shared" si="29"/>
        <v>25</v>
      </c>
      <c r="AD75" s="113">
        <f t="shared" si="29"/>
        <v>32</v>
      </c>
      <c r="AE75" s="113">
        <f t="shared" si="29"/>
        <v>39</v>
      </c>
      <c r="AF75" s="117"/>
      <c r="AG75" s="113">
        <f t="shared" si="29"/>
        <v>8</v>
      </c>
      <c r="AH75" s="113">
        <f t="shared" si="29"/>
        <v>9</v>
      </c>
      <c r="AI75" s="113">
        <f t="shared" si="29"/>
        <v>11</v>
      </c>
      <c r="AJ75" s="113">
        <f t="shared" si="29"/>
        <v>14</v>
      </c>
      <c r="AK75" s="113">
        <f t="shared" si="29"/>
        <v>19</v>
      </c>
      <c r="AL75" s="113">
        <f t="shared" si="29"/>
        <v>26</v>
      </c>
      <c r="AM75" s="117"/>
      <c r="AN75" s="113">
        <f t="shared" si="30"/>
        <v>4</v>
      </c>
      <c r="AO75" s="113">
        <f t="shared" si="30"/>
        <v>5</v>
      </c>
      <c r="AP75" s="113">
        <f t="shared" si="30"/>
        <v>6</v>
      </c>
      <c r="AQ75" s="113">
        <f t="shared" si="30"/>
        <v>7</v>
      </c>
      <c r="AR75" s="113">
        <f t="shared" si="30"/>
        <v>8</v>
      </c>
      <c r="AS75" s="113">
        <f t="shared" si="30"/>
        <v>1</v>
      </c>
    </row>
    <row r="76" spans="2:45" x14ac:dyDescent="0.15">
      <c r="B76" s="109">
        <v>4</v>
      </c>
      <c r="C76" s="109">
        <v>26</v>
      </c>
      <c r="D76" s="146"/>
      <c r="E76" s="115">
        <f t="shared" si="28"/>
        <v>2</v>
      </c>
      <c r="F76" s="115">
        <f t="shared" si="28"/>
        <v>3</v>
      </c>
      <c r="G76" s="115">
        <f t="shared" si="28"/>
        <v>3</v>
      </c>
      <c r="H76" s="115">
        <f t="shared" si="28"/>
        <v>4</v>
      </c>
      <c r="I76" s="115">
        <f t="shared" si="28"/>
        <v>4</v>
      </c>
      <c r="J76" s="115">
        <f t="shared" si="28"/>
        <v>5</v>
      </c>
      <c r="K76" s="117"/>
      <c r="L76" s="115">
        <f t="shared" si="28"/>
        <v>1</v>
      </c>
      <c r="M76" s="115">
        <f t="shared" si="28"/>
        <v>1</v>
      </c>
      <c r="N76" s="115">
        <f t="shared" si="28"/>
        <v>2</v>
      </c>
      <c r="O76" s="115">
        <f t="shared" si="28"/>
        <v>2</v>
      </c>
      <c r="P76" s="115">
        <f t="shared" si="28"/>
        <v>2</v>
      </c>
      <c r="Q76" s="115">
        <f t="shared" si="28"/>
        <v>2</v>
      </c>
      <c r="R76" s="117"/>
      <c r="S76" s="115">
        <f t="shared" si="24"/>
        <v>1</v>
      </c>
      <c r="T76" s="115">
        <f t="shared" si="24"/>
        <v>2</v>
      </c>
      <c r="U76" s="115">
        <f t="shared" si="24"/>
        <v>2</v>
      </c>
      <c r="V76" s="115">
        <f t="shared" si="24"/>
        <v>2</v>
      </c>
      <c r="W76" s="115">
        <f t="shared" si="24"/>
        <v>3</v>
      </c>
      <c r="X76" s="115">
        <f t="shared" si="24"/>
        <v>1</v>
      </c>
      <c r="Y76" s="117"/>
      <c r="Z76" s="115">
        <f t="shared" si="29"/>
        <v>12</v>
      </c>
      <c r="AA76" s="115">
        <f t="shared" si="29"/>
        <v>14</v>
      </c>
      <c r="AB76" s="115">
        <f t="shared" si="29"/>
        <v>17</v>
      </c>
      <c r="AC76" s="115">
        <f t="shared" si="29"/>
        <v>21</v>
      </c>
      <c r="AD76" s="115">
        <f t="shared" si="29"/>
        <v>26</v>
      </c>
      <c r="AE76" s="115">
        <f t="shared" si="29"/>
        <v>31</v>
      </c>
      <c r="AF76" s="117"/>
      <c r="AG76" s="115">
        <f t="shared" si="29"/>
        <v>6</v>
      </c>
      <c r="AH76" s="115">
        <f t="shared" si="29"/>
        <v>7</v>
      </c>
      <c r="AI76" s="115">
        <f t="shared" si="29"/>
        <v>9</v>
      </c>
      <c r="AJ76" s="115">
        <f t="shared" si="29"/>
        <v>11</v>
      </c>
      <c r="AK76" s="115">
        <f t="shared" si="29"/>
        <v>16</v>
      </c>
      <c r="AL76" s="115">
        <f t="shared" si="29"/>
        <v>21</v>
      </c>
      <c r="AM76" s="117"/>
      <c r="AN76" s="115">
        <f t="shared" si="30"/>
        <v>3</v>
      </c>
      <c r="AO76" s="115">
        <f t="shared" si="30"/>
        <v>4</v>
      </c>
      <c r="AP76" s="115">
        <f t="shared" si="30"/>
        <v>5</v>
      </c>
      <c r="AQ76" s="115">
        <f t="shared" si="30"/>
        <v>6</v>
      </c>
      <c r="AR76" s="115">
        <f t="shared" si="30"/>
        <v>7</v>
      </c>
      <c r="AS76" s="115">
        <f t="shared" si="30"/>
        <v>1</v>
      </c>
    </row>
    <row r="77" spans="2:45" x14ac:dyDescent="0.15">
      <c r="B77" s="108">
        <v>5</v>
      </c>
      <c r="C77" s="108">
        <v>31</v>
      </c>
      <c r="D77" s="146"/>
      <c r="E77" s="114">
        <f t="shared" si="28"/>
        <v>2</v>
      </c>
      <c r="F77" s="114">
        <f t="shared" si="28"/>
        <v>2</v>
      </c>
      <c r="G77" s="114">
        <f t="shared" si="28"/>
        <v>3</v>
      </c>
      <c r="H77" s="114">
        <f t="shared" si="28"/>
        <v>3</v>
      </c>
      <c r="I77" s="114">
        <f t="shared" si="28"/>
        <v>4</v>
      </c>
      <c r="J77" s="114">
        <f t="shared" si="28"/>
        <v>4</v>
      </c>
      <c r="K77" s="117"/>
      <c r="L77" s="114">
        <f t="shared" si="28"/>
        <v>1</v>
      </c>
      <c r="M77" s="114">
        <f t="shared" si="28"/>
        <v>1</v>
      </c>
      <c r="N77" s="114">
        <f t="shared" si="28"/>
        <v>1</v>
      </c>
      <c r="O77" s="114">
        <f t="shared" si="28"/>
        <v>2</v>
      </c>
      <c r="P77" s="114">
        <f t="shared" si="28"/>
        <v>2</v>
      </c>
      <c r="Q77" s="114">
        <f t="shared" si="28"/>
        <v>2</v>
      </c>
      <c r="R77" s="117"/>
      <c r="S77" s="114">
        <f t="shared" si="24"/>
        <v>1</v>
      </c>
      <c r="T77" s="114">
        <f t="shared" si="24"/>
        <v>1</v>
      </c>
      <c r="U77" s="114">
        <f t="shared" si="24"/>
        <v>2</v>
      </c>
      <c r="V77" s="114">
        <f t="shared" si="24"/>
        <v>2</v>
      </c>
      <c r="W77" s="114">
        <f t="shared" si="24"/>
        <v>2</v>
      </c>
      <c r="X77" s="114">
        <f t="shared" si="24"/>
        <v>1</v>
      </c>
      <c r="Y77" s="117"/>
      <c r="Z77" s="114">
        <f t="shared" si="29"/>
        <v>10</v>
      </c>
      <c r="AA77" s="114">
        <f t="shared" si="29"/>
        <v>12</v>
      </c>
      <c r="AB77" s="114">
        <f t="shared" si="29"/>
        <v>14</v>
      </c>
      <c r="AC77" s="114">
        <f t="shared" si="29"/>
        <v>17</v>
      </c>
      <c r="AD77" s="114">
        <f t="shared" si="29"/>
        <v>22</v>
      </c>
      <c r="AE77" s="114">
        <f t="shared" si="29"/>
        <v>26</v>
      </c>
      <c r="AF77" s="117"/>
      <c r="AG77" s="114">
        <f t="shared" si="29"/>
        <v>5</v>
      </c>
      <c r="AH77" s="114">
        <f t="shared" si="29"/>
        <v>6</v>
      </c>
      <c r="AI77" s="114">
        <f t="shared" si="29"/>
        <v>7</v>
      </c>
      <c r="AJ77" s="114">
        <f t="shared" si="29"/>
        <v>10</v>
      </c>
      <c r="AK77" s="114">
        <f t="shared" si="29"/>
        <v>13</v>
      </c>
      <c r="AL77" s="114">
        <f t="shared" si="29"/>
        <v>18</v>
      </c>
      <c r="AM77" s="117"/>
      <c r="AN77" s="114">
        <f t="shared" si="30"/>
        <v>3</v>
      </c>
      <c r="AO77" s="114">
        <f t="shared" si="30"/>
        <v>3</v>
      </c>
      <c r="AP77" s="114">
        <f t="shared" si="30"/>
        <v>4</v>
      </c>
      <c r="AQ77" s="114">
        <f t="shared" si="30"/>
        <v>5</v>
      </c>
      <c r="AR77" s="114">
        <f t="shared" si="30"/>
        <v>6</v>
      </c>
      <c r="AS77" s="114">
        <f t="shared" si="30"/>
        <v>1</v>
      </c>
    </row>
    <row r="78" spans="2:45" x14ac:dyDescent="0.15">
      <c r="B78" s="109">
        <v>6</v>
      </c>
      <c r="C78" s="109">
        <v>42</v>
      </c>
      <c r="D78" s="146"/>
      <c r="E78" s="115">
        <f t="shared" si="28"/>
        <v>2</v>
      </c>
      <c r="F78" s="115">
        <f t="shared" si="28"/>
        <v>2</v>
      </c>
      <c r="G78" s="115">
        <f t="shared" si="28"/>
        <v>2</v>
      </c>
      <c r="H78" s="115">
        <f t="shared" si="28"/>
        <v>2</v>
      </c>
      <c r="I78" s="115">
        <f t="shared" si="28"/>
        <v>3</v>
      </c>
      <c r="J78" s="115">
        <f t="shared" si="28"/>
        <v>3</v>
      </c>
      <c r="K78" s="117"/>
      <c r="L78" s="115">
        <f t="shared" si="28"/>
        <v>1</v>
      </c>
      <c r="M78" s="115">
        <f t="shared" si="28"/>
        <v>1</v>
      </c>
      <c r="N78" s="115">
        <f t="shared" si="28"/>
        <v>1</v>
      </c>
      <c r="O78" s="115">
        <f t="shared" si="28"/>
        <v>1</v>
      </c>
      <c r="P78" s="115">
        <f t="shared" si="28"/>
        <v>1</v>
      </c>
      <c r="Q78" s="115">
        <f t="shared" si="28"/>
        <v>2</v>
      </c>
      <c r="R78" s="117"/>
      <c r="S78" s="115">
        <f t="shared" si="24"/>
        <v>1</v>
      </c>
      <c r="T78" s="115">
        <f t="shared" si="24"/>
        <v>1</v>
      </c>
      <c r="U78" s="115">
        <f t="shared" si="24"/>
        <v>1</v>
      </c>
      <c r="V78" s="115">
        <f t="shared" si="24"/>
        <v>2</v>
      </c>
      <c r="W78" s="115">
        <f t="shared" si="24"/>
        <v>2</v>
      </c>
      <c r="X78" s="115">
        <f t="shared" si="24"/>
        <v>1</v>
      </c>
      <c r="Y78" s="117"/>
      <c r="Z78" s="115">
        <f t="shared" si="29"/>
        <v>8</v>
      </c>
      <c r="AA78" s="115">
        <f t="shared" si="29"/>
        <v>9</v>
      </c>
      <c r="AB78" s="115">
        <f t="shared" si="29"/>
        <v>11</v>
      </c>
      <c r="AC78" s="115">
        <f t="shared" si="29"/>
        <v>13</v>
      </c>
      <c r="AD78" s="115">
        <f t="shared" si="29"/>
        <v>16</v>
      </c>
      <c r="AE78" s="115">
        <f t="shared" si="29"/>
        <v>20</v>
      </c>
      <c r="AF78" s="117"/>
      <c r="AG78" s="115">
        <f t="shared" si="29"/>
        <v>4</v>
      </c>
      <c r="AH78" s="115">
        <f t="shared" si="29"/>
        <v>5</v>
      </c>
      <c r="AI78" s="115">
        <f t="shared" si="29"/>
        <v>6</v>
      </c>
      <c r="AJ78" s="115">
        <f t="shared" si="29"/>
        <v>7</v>
      </c>
      <c r="AK78" s="115">
        <f t="shared" si="29"/>
        <v>10</v>
      </c>
      <c r="AL78" s="115">
        <f t="shared" si="29"/>
        <v>13</v>
      </c>
      <c r="AM78" s="117"/>
      <c r="AN78" s="115">
        <f t="shared" si="30"/>
        <v>2</v>
      </c>
      <c r="AO78" s="115">
        <f t="shared" si="30"/>
        <v>3</v>
      </c>
      <c r="AP78" s="115">
        <f t="shared" si="30"/>
        <v>3</v>
      </c>
      <c r="AQ78" s="115">
        <f t="shared" si="30"/>
        <v>4</v>
      </c>
      <c r="AR78" s="115">
        <f t="shared" si="30"/>
        <v>4</v>
      </c>
      <c r="AS78" s="115">
        <f t="shared" si="30"/>
        <v>1</v>
      </c>
    </row>
    <row r="79" spans="2:45" x14ac:dyDescent="0.15">
      <c r="B79" s="108">
        <v>7</v>
      </c>
      <c r="C79" s="108">
        <v>52</v>
      </c>
      <c r="D79" s="146"/>
      <c r="E79" s="113">
        <f t="shared" si="28"/>
        <v>1</v>
      </c>
      <c r="F79" s="113">
        <f t="shared" si="28"/>
        <v>2</v>
      </c>
      <c r="G79" s="113">
        <f t="shared" si="28"/>
        <v>2</v>
      </c>
      <c r="H79" s="113">
        <f t="shared" si="28"/>
        <v>2</v>
      </c>
      <c r="I79" s="113">
        <f t="shared" si="28"/>
        <v>2</v>
      </c>
      <c r="J79" s="113">
        <f t="shared" si="28"/>
        <v>3</v>
      </c>
      <c r="K79" s="117"/>
      <c r="L79" s="113">
        <f t="shared" si="28"/>
        <v>1</v>
      </c>
      <c r="M79" s="113">
        <f t="shared" si="28"/>
        <v>1</v>
      </c>
      <c r="N79" s="113">
        <f t="shared" si="28"/>
        <v>1</v>
      </c>
      <c r="O79" s="113">
        <f t="shared" si="28"/>
        <v>1</v>
      </c>
      <c r="P79" s="113">
        <f t="shared" si="28"/>
        <v>1</v>
      </c>
      <c r="Q79" s="113">
        <f t="shared" si="28"/>
        <v>1</v>
      </c>
      <c r="R79" s="117"/>
      <c r="S79" s="113">
        <f t="shared" si="24"/>
        <v>1</v>
      </c>
      <c r="T79" s="113">
        <f t="shared" si="24"/>
        <v>1</v>
      </c>
      <c r="U79" s="113">
        <f t="shared" si="24"/>
        <v>1</v>
      </c>
      <c r="V79" s="113">
        <f t="shared" si="24"/>
        <v>1</v>
      </c>
      <c r="W79" s="113">
        <f t="shared" si="24"/>
        <v>2</v>
      </c>
      <c r="X79" s="113">
        <f t="shared" si="24"/>
        <v>1</v>
      </c>
      <c r="Y79" s="117"/>
      <c r="Z79" s="113">
        <f t="shared" si="29"/>
        <v>6</v>
      </c>
      <c r="AA79" s="113">
        <f t="shared" si="29"/>
        <v>7</v>
      </c>
      <c r="AB79" s="113">
        <f t="shared" si="29"/>
        <v>9</v>
      </c>
      <c r="AC79" s="113">
        <f t="shared" si="29"/>
        <v>11</v>
      </c>
      <c r="AD79" s="113">
        <f t="shared" si="29"/>
        <v>13</v>
      </c>
      <c r="AE79" s="113">
        <f t="shared" si="29"/>
        <v>16</v>
      </c>
      <c r="AF79" s="117"/>
      <c r="AG79" s="113">
        <f t="shared" si="29"/>
        <v>3</v>
      </c>
      <c r="AH79" s="113">
        <f t="shared" si="29"/>
        <v>4</v>
      </c>
      <c r="AI79" s="113">
        <f t="shared" si="29"/>
        <v>5</v>
      </c>
      <c r="AJ79" s="113">
        <f t="shared" si="29"/>
        <v>6</v>
      </c>
      <c r="AK79" s="113">
        <f t="shared" si="29"/>
        <v>8</v>
      </c>
      <c r="AL79" s="113">
        <f t="shared" si="29"/>
        <v>11</v>
      </c>
      <c r="AM79" s="117"/>
      <c r="AN79" s="113">
        <f t="shared" si="30"/>
        <v>2</v>
      </c>
      <c r="AO79" s="113">
        <f t="shared" si="30"/>
        <v>2</v>
      </c>
      <c r="AP79" s="113">
        <f t="shared" si="30"/>
        <v>3</v>
      </c>
      <c r="AQ79" s="113">
        <f t="shared" si="30"/>
        <v>3</v>
      </c>
      <c r="AR79" s="113">
        <f t="shared" si="30"/>
        <v>4</v>
      </c>
      <c r="AS79" s="113">
        <f t="shared" si="30"/>
        <v>1</v>
      </c>
    </row>
    <row r="82" spans="2:10" x14ac:dyDescent="0.15">
      <c r="B82" s="106" t="s">
        <v>400</v>
      </c>
      <c r="C82" s="110"/>
      <c r="E82" s="143" t="s">
        <v>367</v>
      </c>
      <c r="F82" s="144"/>
      <c r="G82" s="144"/>
      <c r="H82" s="144"/>
      <c r="I82" s="144"/>
      <c r="J82" s="145"/>
    </row>
    <row r="83" spans="2:10" x14ac:dyDescent="0.15">
      <c r="B83" s="106" t="s">
        <v>384</v>
      </c>
      <c r="C83" s="106" t="s">
        <v>394</v>
      </c>
      <c r="D83" s="111" t="s">
        <v>383</v>
      </c>
      <c r="E83" s="111">
        <v>1</v>
      </c>
      <c r="F83" s="111">
        <v>2</v>
      </c>
      <c r="G83" s="111">
        <v>3</v>
      </c>
      <c r="H83" s="111">
        <v>4</v>
      </c>
      <c r="I83" s="111">
        <v>5</v>
      </c>
      <c r="J83" s="111">
        <v>6</v>
      </c>
    </row>
    <row r="84" spans="2:10" x14ac:dyDescent="0.15">
      <c r="B84" s="107" t="s">
        <v>383</v>
      </c>
      <c r="C84" s="107" t="s">
        <v>385</v>
      </c>
      <c r="D84" s="112" t="s">
        <v>388</v>
      </c>
      <c r="E84" s="112">
        <v>150</v>
      </c>
      <c r="F84" s="112">
        <v>180</v>
      </c>
      <c r="G84" s="112">
        <v>216</v>
      </c>
      <c r="H84" s="112">
        <v>280</v>
      </c>
      <c r="I84" s="112">
        <v>390</v>
      </c>
      <c r="J84" s="112">
        <v>545</v>
      </c>
    </row>
    <row r="85" spans="2:10" x14ac:dyDescent="0.15">
      <c r="B85" s="108">
        <v>1</v>
      </c>
      <c r="C85" s="108">
        <v>80</v>
      </c>
      <c r="D85" s="146" t="s">
        <v>387</v>
      </c>
      <c r="E85" s="114">
        <f t="shared" ref="E85:J92" si="31">INT(AG$45/$C85)+1</f>
        <v>2</v>
      </c>
      <c r="F85" s="114">
        <f t="shared" si="31"/>
        <v>3</v>
      </c>
      <c r="G85" s="114">
        <f t="shared" si="31"/>
        <v>3</v>
      </c>
      <c r="H85" s="114">
        <f t="shared" si="31"/>
        <v>4</v>
      </c>
      <c r="I85" s="114">
        <f t="shared" si="31"/>
        <v>5</v>
      </c>
      <c r="J85" s="114">
        <f t="shared" si="31"/>
        <v>7</v>
      </c>
    </row>
    <row r="86" spans="2:10" x14ac:dyDescent="0.15">
      <c r="B86" s="109">
        <v>2</v>
      </c>
      <c r="C86" s="109">
        <v>110</v>
      </c>
      <c r="D86" s="146"/>
      <c r="E86" s="115">
        <f t="shared" si="31"/>
        <v>2</v>
      </c>
      <c r="F86" s="115">
        <f t="shared" si="31"/>
        <v>2</v>
      </c>
      <c r="G86" s="115">
        <f t="shared" si="31"/>
        <v>2</v>
      </c>
      <c r="H86" s="115">
        <f t="shared" si="31"/>
        <v>3</v>
      </c>
      <c r="I86" s="115">
        <f t="shared" si="31"/>
        <v>4</v>
      </c>
      <c r="J86" s="115">
        <f t="shared" si="31"/>
        <v>5</v>
      </c>
    </row>
    <row r="87" spans="2:10" x14ac:dyDescent="0.15">
      <c r="B87" s="108">
        <v>3</v>
      </c>
      <c r="C87" s="108">
        <v>140</v>
      </c>
      <c r="D87" s="146"/>
      <c r="E87" s="113">
        <f t="shared" si="31"/>
        <v>2</v>
      </c>
      <c r="F87" s="113">
        <f t="shared" si="31"/>
        <v>2</v>
      </c>
      <c r="G87" s="113">
        <f t="shared" si="31"/>
        <v>2</v>
      </c>
      <c r="H87" s="113">
        <f t="shared" si="31"/>
        <v>3</v>
      </c>
      <c r="I87" s="113">
        <f t="shared" si="31"/>
        <v>3</v>
      </c>
      <c r="J87" s="113">
        <f t="shared" si="31"/>
        <v>4</v>
      </c>
    </row>
    <row r="88" spans="2:10" x14ac:dyDescent="0.15">
      <c r="B88" s="109">
        <v>4</v>
      </c>
      <c r="C88" s="109">
        <v>160</v>
      </c>
      <c r="D88" s="146"/>
      <c r="E88" s="115">
        <f t="shared" si="31"/>
        <v>1</v>
      </c>
      <c r="F88" s="115">
        <f t="shared" si="31"/>
        <v>2</v>
      </c>
      <c r="G88" s="115">
        <f t="shared" si="31"/>
        <v>2</v>
      </c>
      <c r="H88" s="115">
        <f t="shared" si="31"/>
        <v>2</v>
      </c>
      <c r="I88" s="115">
        <f t="shared" si="31"/>
        <v>3</v>
      </c>
      <c r="J88" s="115">
        <f t="shared" si="31"/>
        <v>4</v>
      </c>
    </row>
    <row r="89" spans="2:10" x14ac:dyDescent="0.15">
      <c r="B89" s="108">
        <v>5</v>
      </c>
      <c r="C89" s="108">
        <v>190</v>
      </c>
      <c r="D89" s="146"/>
      <c r="E89" s="114">
        <f t="shared" si="31"/>
        <v>1</v>
      </c>
      <c r="F89" s="114">
        <f t="shared" si="31"/>
        <v>1</v>
      </c>
      <c r="G89" s="114">
        <f t="shared" si="31"/>
        <v>2</v>
      </c>
      <c r="H89" s="114">
        <f t="shared" si="31"/>
        <v>2</v>
      </c>
      <c r="I89" s="114">
        <f t="shared" si="31"/>
        <v>3</v>
      </c>
      <c r="J89" s="114">
        <f t="shared" si="31"/>
        <v>3</v>
      </c>
    </row>
    <row r="90" spans="2:10" x14ac:dyDescent="0.15">
      <c r="B90" s="109">
        <v>6</v>
      </c>
      <c r="C90" s="109">
        <v>230</v>
      </c>
      <c r="D90" s="146"/>
      <c r="E90" s="115">
        <f t="shared" si="31"/>
        <v>1</v>
      </c>
      <c r="F90" s="115">
        <f t="shared" si="31"/>
        <v>1</v>
      </c>
      <c r="G90" s="115">
        <f t="shared" si="31"/>
        <v>1</v>
      </c>
      <c r="H90" s="115">
        <f t="shared" si="31"/>
        <v>2</v>
      </c>
      <c r="I90" s="115">
        <f t="shared" si="31"/>
        <v>2</v>
      </c>
      <c r="J90" s="115">
        <f t="shared" si="31"/>
        <v>3</v>
      </c>
    </row>
    <row r="91" spans="2:10" x14ac:dyDescent="0.15">
      <c r="B91" s="108">
        <v>7</v>
      </c>
      <c r="C91" s="108">
        <v>280</v>
      </c>
      <c r="D91" s="146"/>
      <c r="E91" s="113">
        <f t="shared" si="31"/>
        <v>1</v>
      </c>
      <c r="F91" s="113">
        <f t="shared" si="31"/>
        <v>1</v>
      </c>
      <c r="G91" s="113">
        <f t="shared" si="31"/>
        <v>1</v>
      </c>
      <c r="H91" s="113">
        <f t="shared" si="31"/>
        <v>2</v>
      </c>
      <c r="I91" s="113">
        <f t="shared" si="31"/>
        <v>2</v>
      </c>
      <c r="J91" s="113">
        <f t="shared" si="31"/>
        <v>2</v>
      </c>
    </row>
    <row r="92" spans="2:10" x14ac:dyDescent="0.15">
      <c r="B92" s="109">
        <v>8</v>
      </c>
      <c r="C92" s="109">
        <v>320</v>
      </c>
      <c r="D92" s="146"/>
      <c r="E92" s="115">
        <f t="shared" si="31"/>
        <v>1</v>
      </c>
      <c r="F92" s="115">
        <f t="shared" si="31"/>
        <v>1</v>
      </c>
      <c r="G92" s="115">
        <f t="shared" si="31"/>
        <v>1</v>
      </c>
      <c r="H92" s="115">
        <f t="shared" si="31"/>
        <v>1</v>
      </c>
      <c r="I92" s="115">
        <f t="shared" si="31"/>
        <v>2</v>
      </c>
      <c r="J92" s="115">
        <f t="shared" si="31"/>
        <v>2</v>
      </c>
    </row>
    <row r="94" spans="2:10" x14ac:dyDescent="0.15">
      <c r="B94" s="106" t="s">
        <v>391</v>
      </c>
      <c r="C94" s="110"/>
      <c r="E94" s="143" t="s">
        <v>362</v>
      </c>
      <c r="F94" s="144"/>
      <c r="G94" s="144"/>
      <c r="H94" s="144"/>
      <c r="I94" s="144"/>
    </row>
    <row r="95" spans="2:10" x14ac:dyDescent="0.15">
      <c r="B95" s="106"/>
      <c r="C95" s="106"/>
      <c r="D95" s="111" t="s">
        <v>383</v>
      </c>
      <c r="E95" s="111">
        <v>1</v>
      </c>
      <c r="F95" s="111">
        <v>2</v>
      </c>
      <c r="G95" s="111">
        <v>3</v>
      </c>
      <c r="H95" s="111">
        <v>4</v>
      </c>
      <c r="I95" s="111">
        <v>5</v>
      </c>
    </row>
    <row r="96" spans="2:10" x14ac:dyDescent="0.15">
      <c r="B96" s="107" t="s">
        <v>383</v>
      </c>
      <c r="C96" s="107" t="s">
        <v>388</v>
      </c>
      <c r="D96" s="112" t="s">
        <v>385</v>
      </c>
      <c r="E96" s="112">
        <v>480</v>
      </c>
      <c r="F96" s="112">
        <v>640</v>
      </c>
      <c r="G96" s="112">
        <v>960</v>
      </c>
      <c r="H96" s="112">
        <v>1280</v>
      </c>
      <c r="I96" s="112">
        <v>1840</v>
      </c>
    </row>
    <row r="97" spans="2:46" x14ac:dyDescent="0.15">
      <c r="B97" s="108">
        <v>1</v>
      </c>
      <c r="C97" s="108">
        <v>300</v>
      </c>
      <c r="D97" s="146" t="s">
        <v>392</v>
      </c>
      <c r="E97" s="114">
        <f t="shared" ref="E97:E107" si="32">INT($C97/E$96)+1</f>
        <v>1</v>
      </c>
      <c r="F97" s="114">
        <f t="shared" ref="F97:I97" si="33">INT($C97/F$96)+1</f>
        <v>1</v>
      </c>
      <c r="G97" s="114">
        <f t="shared" si="33"/>
        <v>1</v>
      </c>
      <c r="H97" s="114">
        <f t="shared" si="33"/>
        <v>1</v>
      </c>
      <c r="I97" s="114">
        <f t="shared" si="33"/>
        <v>1</v>
      </c>
    </row>
    <row r="98" spans="2:46" x14ac:dyDescent="0.15">
      <c r="B98" s="109">
        <v>2</v>
      </c>
      <c r="C98" s="109">
        <v>500</v>
      </c>
      <c r="D98" s="146"/>
      <c r="E98" s="115">
        <f t="shared" si="32"/>
        <v>2</v>
      </c>
      <c r="F98" s="115">
        <f t="shared" ref="F98:I107" si="34">INT($C98/F$96)+1</f>
        <v>1</v>
      </c>
      <c r="G98" s="115">
        <f t="shared" si="34"/>
        <v>1</v>
      </c>
      <c r="H98" s="115">
        <f t="shared" si="34"/>
        <v>1</v>
      </c>
      <c r="I98" s="115">
        <f t="shared" si="34"/>
        <v>1</v>
      </c>
    </row>
    <row r="99" spans="2:46" x14ac:dyDescent="0.15">
      <c r="B99" s="108">
        <v>3</v>
      </c>
      <c r="C99" s="108">
        <v>700</v>
      </c>
      <c r="D99" s="146"/>
      <c r="E99" s="113">
        <f t="shared" si="32"/>
        <v>2</v>
      </c>
      <c r="F99" s="113">
        <f t="shared" si="34"/>
        <v>2</v>
      </c>
      <c r="G99" s="113">
        <f t="shared" si="34"/>
        <v>1</v>
      </c>
      <c r="H99" s="113">
        <f t="shared" si="34"/>
        <v>1</v>
      </c>
      <c r="I99" s="113">
        <f t="shared" si="34"/>
        <v>1</v>
      </c>
    </row>
    <row r="100" spans="2:46" x14ac:dyDescent="0.15">
      <c r="B100" s="109">
        <v>4</v>
      </c>
      <c r="C100" s="109">
        <v>900</v>
      </c>
      <c r="D100" s="146"/>
      <c r="E100" s="115">
        <f t="shared" si="32"/>
        <v>2</v>
      </c>
      <c r="F100" s="115">
        <f t="shared" si="34"/>
        <v>2</v>
      </c>
      <c r="G100" s="115">
        <f t="shared" si="34"/>
        <v>1</v>
      </c>
      <c r="H100" s="115">
        <f t="shared" si="34"/>
        <v>1</v>
      </c>
      <c r="I100" s="115">
        <f t="shared" si="34"/>
        <v>1</v>
      </c>
    </row>
    <row r="101" spans="2:46" x14ac:dyDescent="0.15">
      <c r="B101" s="108">
        <v>5</v>
      </c>
      <c r="C101" s="108">
        <v>1400</v>
      </c>
      <c r="D101" s="146"/>
      <c r="E101" s="114">
        <f t="shared" si="32"/>
        <v>3</v>
      </c>
      <c r="F101" s="114">
        <f t="shared" si="34"/>
        <v>3</v>
      </c>
      <c r="G101" s="114">
        <f t="shared" si="34"/>
        <v>2</v>
      </c>
      <c r="H101" s="114">
        <f t="shared" si="34"/>
        <v>2</v>
      </c>
      <c r="I101" s="114">
        <f t="shared" si="34"/>
        <v>1</v>
      </c>
    </row>
    <row r="102" spans="2:46" x14ac:dyDescent="0.15">
      <c r="B102" s="109">
        <v>6</v>
      </c>
      <c r="C102" s="109">
        <v>2000</v>
      </c>
      <c r="D102" s="146"/>
      <c r="E102" s="115">
        <f t="shared" si="32"/>
        <v>5</v>
      </c>
      <c r="F102" s="115">
        <f t="shared" si="34"/>
        <v>4</v>
      </c>
      <c r="G102" s="115">
        <f t="shared" si="34"/>
        <v>3</v>
      </c>
      <c r="H102" s="115">
        <f t="shared" si="34"/>
        <v>2</v>
      </c>
      <c r="I102" s="115">
        <f t="shared" si="34"/>
        <v>2</v>
      </c>
    </row>
    <row r="103" spans="2:46" x14ac:dyDescent="0.15">
      <c r="B103" s="108">
        <v>7</v>
      </c>
      <c r="C103" s="108">
        <v>2500</v>
      </c>
      <c r="D103" s="146"/>
      <c r="E103" s="113">
        <f t="shared" si="32"/>
        <v>6</v>
      </c>
      <c r="F103" s="113">
        <f t="shared" si="34"/>
        <v>4</v>
      </c>
      <c r="G103" s="113">
        <f t="shared" si="34"/>
        <v>3</v>
      </c>
      <c r="H103" s="113">
        <f t="shared" si="34"/>
        <v>2</v>
      </c>
      <c r="I103" s="113">
        <f t="shared" si="34"/>
        <v>2</v>
      </c>
    </row>
    <row r="104" spans="2:46" x14ac:dyDescent="0.15">
      <c r="B104" s="109">
        <v>8</v>
      </c>
      <c r="C104" s="109">
        <v>3000</v>
      </c>
      <c r="D104" s="146"/>
      <c r="E104" s="115">
        <f t="shared" si="32"/>
        <v>7</v>
      </c>
      <c r="F104" s="115">
        <f t="shared" si="34"/>
        <v>5</v>
      </c>
      <c r="G104" s="115">
        <f t="shared" si="34"/>
        <v>4</v>
      </c>
      <c r="H104" s="115">
        <f t="shared" si="34"/>
        <v>3</v>
      </c>
      <c r="I104" s="115">
        <f t="shared" si="34"/>
        <v>2</v>
      </c>
    </row>
    <row r="105" spans="2:46" x14ac:dyDescent="0.15">
      <c r="B105" s="108">
        <v>9</v>
      </c>
      <c r="C105" s="108">
        <v>4000</v>
      </c>
      <c r="D105" s="146"/>
      <c r="E105" s="114">
        <f t="shared" si="32"/>
        <v>9</v>
      </c>
      <c r="F105" s="114">
        <f t="shared" si="34"/>
        <v>7</v>
      </c>
      <c r="G105" s="114">
        <f t="shared" si="34"/>
        <v>5</v>
      </c>
      <c r="H105" s="114">
        <f t="shared" si="34"/>
        <v>4</v>
      </c>
      <c r="I105" s="114">
        <f t="shared" si="34"/>
        <v>3</v>
      </c>
    </row>
    <row r="106" spans="2:46" x14ac:dyDescent="0.15">
      <c r="B106" s="109">
        <v>10</v>
      </c>
      <c r="C106" s="109">
        <v>5500</v>
      </c>
      <c r="D106" s="146"/>
      <c r="E106" s="115">
        <f t="shared" si="32"/>
        <v>12</v>
      </c>
      <c r="F106" s="115">
        <f t="shared" si="34"/>
        <v>9</v>
      </c>
      <c r="G106" s="115">
        <f t="shared" si="34"/>
        <v>6</v>
      </c>
      <c r="H106" s="115">
        <f t="shared" si="34"/>
        <v>5</v>
      </c>
      <c r="I106" s="115">
        <f t="shared" si="34"/>
        <v>3</v>
      </c>
    </row>
    <row r="107" spans="2:46" x14ac:dyDescent="0.15">
      <c r="B107" s="108">
        <v>11</v>
      </c>
      <c r="C107" s="108">
        <v>7000</v>
      </c>
      <c r="D107" s="146"/>
      <c r="E107" s="113">
        <f t="shared" si="32"/>
        <v>15</v>
      </c>
      <c r="F107" s="113">
        <f t="shared" si="34"/>
        <v>11</v>
      </c>
      <c r="G107" s="113">
        <f t="shared" si="34"/>
        <v>8</v>
      </c>
      <c r="H107" s="113">
        <f t="shared" si="34"/>
        <v>6</v>
      </c>
      <c r="I107" s="113">
        <f t="shared" si="34"/>
        <v>4</v>
      </c>
    </row>
    <row r="110" spans="2:46" x14ac:dyDescent="0.15">
      <c r="B110" s="121" t="s">
        <v>416</v>
      </c>
      <c r="C110" s="110"/>
      <c r="E110" s="148" t="s">
        <v>418</v>
      </c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S110" s="148" t="s">
        <v>419</v>
      </c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E110" s="148" t="s">
        <v>420</v>
      </c>
      <c r="AF110" s="149"/>
      <c r="AG110" s="149"/>
      <c r="AH110" s="149"/>
      <c r="AI110" s="149"/>
      <c r="AJ110" s="149"/>
      <c r="AK110" s="149"/>
      <c r="AN110" s="148" t="s">
        <v>421</v>
      </c>
      <c r="AO110" s="149"/>
      <c r="AP110" s="149"/>
      <c r="AQ110" s="149"/>
      <c r="AR110" s="149"/>
      <c r="AS110" s="149"/>
      <c r="AT110" s="149"/>
    </row>
    <row r="111" spans="2:46" x14ac:dyDescent="0.15">
      <c r="B111" s="121"/>
      <c r="C111" s="121"/>
      <c r="D111" s="111" t="s">
        <v>383</v>
      </c>
      <c r="E111" s="111">
        <v>1</v>
      </c>
      <c r="F111" s="111">
        <v>2</v>
      </c>
      <c r="G111" s="111">
        <v>3</v>
      </c>
      <c r="H111" s="111">
        <v>4</v>
      </c>
      <c r="I111" s="111">
        <v>5</v>
      </c>
      <c r="J111" s="111">
        <v>6</v>
      </c>
      <c r="K111" s="111">
        <v>7</v>
      </c>
      <c r="L111" s="111">
        <v>8</v>
      </c>
      <c r="M111" s="111">
        <v>9</v>
      </c>
      <c r="N111" s="111">
        <v>10</v>
      </c>
      <c r="O111" s="111">
        <v>11</v>
      </c>
      <c r="P111" s="111">
        <v>12</v>
      </c>
      <c r="S111" s="111">
        <v>1</v>
      </c>
      <c r="T111" s="111">
        <v>2</v>
      </c>
      <c r="U111" s="111">
        <v>3</v>
      </c>
      <c r="V111" s="111">
        <v>4</v>
      </c>
      <c r="W111" s="111">
        <v>5</v>
      </c>
      <c r="X111" s="111">
        <v>6</v>
      </c>
      <c r="Y111" s="111">
        <v>7</v>
      </c>
      <c r="Z111" s="111">
        <v>8</v>
      </c>
      <c r="AA111" s="111">
        <v>9</v>
      </c>
      <c r="AB111" s="111">
        <v>10</v>
      </c>
      <c r="AC111" s="111">
        <v>11</v>
      </c>
      <c r="AE111" s="111">
        <v>1</v>
      </c>
      <c r="AF111" s="111">
        <v>2</v>
      </c>
      <c r="AG111" s="111">
        <v>3</v>
      </c>
      <c r="AH111" s="111">
        <v>4</v>
      </c>
      <c r="AI111" s="111">
        <v>5</v>
      </c>
      <c r="AJ111" s="111">
        <v>6</v>
      </c>
      <c r="AK111" s="111">
        <v>7</v>
      </c>
      <c r="AN111" s="111">
        <v>1</v>
      </c>
      <c r="AO111" s="111">
        <v>2</v>
      </c>
      <c r="AP111" s="111">
        <v>3</v>
      </c>
      <c r="AQ111" s="111">
        <v>4</v>
      </c>
      <c r="AR111" s="111">
        <v>5</v>
      </c>
      <c r="AS111" s="111">
        <v>6</v>
      </c>
      <c r="AT111" s="111">
        <v>7</v>
      </c>
    </row>
    <row r="112" spans="2:46" x14ac:dyDescent="0.15">
      <c r="B112" s="107" t="s">
        <v>383</v>
      </c>
      <c r="C112" s="107" t="s">
        <v>385</v>
      </c>
      <c r="D112" s="112" t="s">
        <v>388</v>
      </c>
      <c r="E112" s="112">
        <v>400</v>
      </c>
      <c r="F112" s="112">
        <v>450</v>
      </c>
      <c r="G112" s="112">
        <v>500</v>
      </c>
      <c r="H112" s="112">
        <v>550</v>
      </c>
      <c r="I112" s="112">
        <v>590</v>
      </c>
      <c r="J112" s="112">
        <v>610</v>
      </c>
      <c r="K112" s="112">
        <v>630</v>
      </c>
      <c r="L112" s="112">
        <v>660</v>
      </c>
      <c r="M112" s="112">
        <v>690</v>
      </c>
      <c r="N112" s="112">
        <v>750</v>
      </c>
      <c r="O112" s="112">
        <v>900</v>
      </c>
      <c r="P112" s="112">
        <v>1080</v>
      </c>
      <c r="S112" s="112">
        <v>400</v>
      </c>
      <c r="T112" s="112">
        <v>450</v>
      </c>
      <c r="U112" s="112">
        <v>500</v>
      </c>
      <c r="V112" s="112">
        <v>550</v>
      </c>
      <c r="W112" s="112">
        <v>590</v>
      </c>
      <c r="X112" s="112">
        <v>610</v>
      </c>
      <c r="Y112" s="112">
        <v>630</v>
      </c>
      <c r="Z112" s="112">
        <v>660</v>
      </c>
      <c r="AA112" s="112">
        <v>690</v>
      </c>
      <c r="AB112" s="112">
        <v>720</v>
      </c>
      <c r="AC112" s="112">
        <v>750</v>
      </c>
      <c r="AE112" s="112">
        <v>400</v>
      </c>
      <c r="AF112" s="112">
        <v>450</v>
      </c>
      <c r="AG112" s="112">
        <v>500</v>
      </c>
      <c r="AH112" s="112">
        <v>550</v>
      </c>
      <c r="AI112" s="112">
        <v>590</v>
      </c>
      <c r="AJ112" s="112">
        <v>610</v>
      </c>
      <c r="AK112" s="112">
        <v>640</v>
      </c>
      <c r="AN112" s="112">
        <v>620</v>
      </c>
      <c r="AO112" s="112">
        <v>660</v>
      </c>
      <c r="AP112" s="112">
        <v>690</v>
      </c>
      <c r="AQ112" s="112">
        <v>720</v>
      </c>
      <c r="AR112" s="112">
        <v>760</v>
      </c>
      <c r="AS112" s="112">
        <v>800</v>
      </c>
      <c r="AT112" s="112">
        <v>840</v>
      </c>
    </row>
    <row r="113" spans="2:46" x14ac:dyDescent="0.15">
      <c r="B113" s="108">
        <v>1</v>
      </c>
      <c r="C113" s="108">
        <v>300</v>
      </c>
      <c r="D113" s="146" t="s">
        <v>417</v>
      </c>
      <c r="E113" s="114">
        <f>IF(E$112-$C113&lt;0,0,E$112-$C113)</f>
        <v>100</v>
      </c>
      <c r="F113" s="114">
        <f t="shared" ref="F113:AB114" si="35">IF(F$112-$C113&lt;0,0,F$112-$C113)</f>
        <v>150</v>
      </c>
      <c r="G113" s="114">
        <f t="shared" si="35"/>
        <v>200</v>
      </c>
      <c r="H113" s="114">
        <f t="shared" si="35"/>
        <v>250</v>
      </c>
      <c r="I113" s="114">
        <f t="shared" si="35"/>
        <v>290</v>
      </c>
      <c r="J113" s="114">
        <f t="shared" si="35"/>
        <v>310</v>
      </c>
      <c r="K113" s="114">
        <f t="shared" si="35"/>
        <v>330</v>
      </c>
      <c r="L113" s="114">
        <f t="shared" si="35"/>
        <v>360</v>
      </c>
      <c r="M113" s="114">
        <f t="shared" si="35"/>
        <v>390</v>
      </c>
      <c r="N113" s="114">
        <f t="shared" si="35"/>
        <v>450</v>
      </c>
      <c r="O113" s="114">
        <f t="shared" si="35"/>
        <v>600</v>
      </c>
      <c r="P113" s="114">
        <f t="shared" si="35"/>
        <v>780</v>
      </c>
      <c r="S113" s="114">
        <f>IF(S$112-$C113&lt;0,0,S$112-$C113)</f>
        <v>100</v>
      </c>
      <c r="T113" s="114">
        <f t="shared" si="35"/>
        <v>150</v>
      </c>
      <c r="U113" s="114">
        <f t="shared" si="35"/>
        <v>200</v>
      </c>
      <c r="V113" s="114">
        <f t="shared" si="35"/>
        <v>250</v>
      </c>
      <c r="W113" s="114">
        <f t="shared" si="35"/>
        <v>290</v>
      </c>
      <c r="X113" s="114">
        <f t="shared" si="35"/>
        <v>310</v>
      </c>
      <c r="Y113" s="114">
        <f t="shared" si="35"/>
        <v>330</v>
      </c>
      <c r="Z113" s="114">
        <f t="shared" si="35"/>
        <v>360</v>
      </c>
      <c r="AA113" s="114">
        <f t="shared" si="35"/>
        <v>390</v>
      </c>
      <c r="AB113" s="114">
        <f t="shared" si="35"/>
        <v>420</v>
      </c>
      <c r="AC113" s="114">
        <f t="shared" ref="S113:AC118" si="36">IF(AC$112-$C113&lt;0,0,AC$112-$C113)</f>
        <v>450</v>
      </c>
      <c r="AE113" s="114">
        <f>IF(AE$112-$C113&lt;0,0,AE$112-$C113)</f>
        <v>100</v>
      </c>
      <c r="AF113" s="114">
        <f t="shared" ref="AE113:AK118" si="37">IF(AF$112-$C113&lt;0,0,AF$112-$C113)</f>
        <v>150</v>
      </c>
      <c r="AG113" s="114">
        <f t="shared" si="37"/>
        <v>200</v>
      </c>
      <c r="AH113" s="114">
        <f t="shared" si="37"/>
        <v>250</v>
      </c>
      <c r="AI113" s="114">
        <f t="shared" si="37"/>
        <v>290</v>
      </c>
      <c r="AJ113" s="114">
        <f t="shared" si="37"/>
        <v>310</v>
      </c>
      <c r="AK113" s="114">
        <f t="shared" si="37"/>
        <v>340</v>
      </c>
      <c r="AN113" s="114">
        <f>IF(AN$112-$C113&lt;0,0,AN$112-$C113)</f>
        <v>320</v>
      </c>
      <c r="AO113" s="114">
        <f t="shared" ref="AN113:AT118" si="38">IF(AO$112-$C113&lt;0,0,AO$112-$C113)</f>
        <v>360</v>
      </c>
      <c r="AP113" s="114">
        <f t="shared" si="38"/>
        <v>390</v>
      </c>
      <c r="AQ113" s="114">
        <f t="shared" si="38"/>
        <v>420</v>
      </c>
      <c r="AR113" s="114">
        <f t="shared" si="38"/>
        <v>460</v>
      </c>
      <c r="AS113" s="114">
        <f t="shared" si="38"/>
        <v>500</v>
      </c>
      <c r="AT113" s="114">
        <f t="shared" si="38"/>
        <v>540</v>
      </c>
    </row>
    <row r="114" spans="2:46" x14ac:dyDescent="0.15">
      <c r="B114" s="109">
        <v>2</v>
      </c>
      <c r="C114" s="109">
        <v>330</v>
      </c>
      <c r="D114" s="146"/>
      <c r="E114" s="115">
        <f t="shared" ref="E114:T118" si="39">IF(E$112-$C114&lt;0,0,E$112-$C114)</f>
        <v>70</v>
      </c>
      <c r="F114" s="115">
        <f t="shared" si="39"/>
        <v>120</v>
      </c>
      <c r="G114" s="115">
        <f t="shared" si="39"/>
        <v>170</v>
      </c>
      <c r="H114" s="115">
        <f t="shared" si="39"/>
        <v>220</v>
      </c>
      <c r="I114" s="115">
        <f t="shared" si="39"/>
        <v>260</v>
      </c>
      <c r="J114" s="115">
        <f t="shared" si="39"/>
        <v>280</v>
      </c>
      <c r="K114" s="115">
        <f t="shared" si="39"/>
        <v>300</v>
      </c>
      <c r="L114" s="115">
        <f t="shared" si="39"/>
        <v>330</v>
      </c>
      <c r="M114" s="115">
        <f t="shared" si="39"/>
        <v>360</v>
      </c>
      <c r="N114" s="115">
        <f t="shared" si="39"/>
        <v>420</v>
      </c>
      <c r="O114" s="115">
        <f t="shared" si="39"/>
        <v>570</v>
      </c>
      <c r="P114" s="115">
        <f t="shared" si="39"/>
        <v>750</v>
      </c>
      <c r="S114" s="115">
        <f t="shared" si="39"/>
        <v>70</v>
      </c>
      <c r="T114" s="115">
        <f t="shared" si="39"/>
        <v>120</v>
      </c>
      <c r="U114" s="115">
        <f t="shared" si="35"/>
        <v>170</v>
      </c>
      <c r="V114" s="115">
        <f t="shared" si="35"/>
        <v>220</v>
      </c>
      <c r="W114" s="115">
        <f t="shared" si="35"/>
        <v>260</v>
      </c>
      <c r="X114" s="115">
        <f t="shared" si="35"/>
        <v>280</v>
      </c>
      <c r="Y114" s="115">
        <f t="shared" si="35"/>
        <v>300</v>
      </c>
      <c r="Z114" s="115">
        <f t="shared" si="35"/>
        <v>330</v>
      </c>
      <c r="AA114" s="115">
        <f t="shared" si="35"/>
        <v>360</v>
      </c>
      <c r="AB114" s="115">
        <f t="shared" si="35"/>
        <v>390</v>
      </c>
      <c r="AC114" s="115">
        <f t="shared" si="36"/>
        <v>420</v>
      </c>
      <c r="AE114" s="115">
        <f t="shared" ref="AE114:AF114" si="40">IF(AE$112-$C114&lt;0,0,AE$112-$C114)</f>
        <v>70</v>
      </c>
      <c r="AF114" s="115">
        <f t="shared" si="40"/>
        <v>120</v>
      </c>
      <c r="AG114" s="115">
        <f t="shared" si="37"/>
        <v>170</v>
      </c>
      <c r="AH114" s="115">
        <f t="shared" si="37"/>
        <v>220</v>
      </c>
      <c r="AI114" s="115">
        <f t="shared" si="37"/>
        <v>260</v>
      </c>
      <c r="AJ114" s="115">
        <f t="shared" si="37"/>
        <v>280</v>
      </c>
      <c r="AK114" s="115">
        <f t="shared" si="37"/>
        <v>310</v>
      </c>
      <c r="AN114" s="115">
        <f t="shared" ref="AN114:AO114" si="41">IF(AN$112-$C114&lt;0,0,AN$112-$C114)</f>
        <v>290</v>
      </c>
      <c r="AO114" s="115">
        <f t="shared" si="41"/>
        <v>330</v>
      </c>
      <c r="AP114" s="115">
        <f t="shared" si="38"/>
        <v>360</v>
      </c>
      <c r="AQ114" s="115">
        <f t="shared" si="38"/>
        <v>390</v>
      </c>
      <c r="AR114" s="115">
        <f t="shared" si="38"/>
        <v>430</v>
      </c>
      <c r="AS114" s="115">
        <f t="shared" si="38"/>
        <v>470</v>
      </c>
      <c r="AT114" s="115">
        <f t="shared" si="38"/>
        <v>510</v>
      </c>
    </row>
    <row r="115" spans="2:46" x14ac:dyDescent="0.15">
      <c r="B115" s="108">
        <v>3</v>
      </c>
      <c r="C115" s="108">
        <v>360</v>
      </c>
      <c r="D115" s="146"/>
      <c r="E115" s="113">
        <f t="shared" si="39"/>
        <v>40</v>
      </c>
      <c r="F115" s="113">
        <f t="shared" si="39"/>
        <v>90</v>
      </c>
      <c r="G115" s="113">
        <f t="shared" si="39"/>
        <v>140</v>
      </c>
      <c r="H115" s="113">
        <f t="shared" si="39"/>
        <v>190</v>
      </c>
      <c r="I115" s="113">
        <f t="shared" si="39"/>
        <v>230</v>
      </c>
      <c r="J115" s="113">
        <f t="shared" si="39"/>
        <v>250</v>
      </c>
      <c r="K115" s="113">
        <f t="shared" si="39"/>
        <v>270</v>
      </c>
      <c r="L115" s="113">
        <f t="shared" si="39"/>
        <v>300</v>
      </c>
      <c r="M115" s="113">
        <f t="shared" si="39"/>
        <v>330</v>
      </c>
      <c r="N115" s="113">
        <f t="shared" si="39"/>
        <v>390</v>
      </c>
      <c r="O115" s="113">
        <f t="shared" si="39"/>
        <v>540</v>
      </c>
      <c r="P115" s="113">
        <f t="shared" si="39"/>
        <v>720</v>
      </c>
      <c r="S115" s="113">
        <f t="shared" si="36"/>
        <v>40</v>
      </c>
      <c r="T115" s="113">
        <f t="shared" si="36"/>
        <v>90</v>
      </c>
      <c r="U115" s="113">
        <f t="shared" si="36"/>
        <v>140</v>
      </c>
      <c r="V115" s="113">
        <f t="shared" si="36"/>
        <v>190</v>
      </c>
      <c r="W115" s="113">
        <f t="shared" si="36"/>
        <v>230</v>
      </c>
      <c r="X115" s="113">
        <f t="shared" si="36"/>
        <v>250</v>
      </c>
      <c r="Y115" s="113">
        <f t="shared" si="36"/>
        <v>270</v>
      </c>
      <c r="Z115" s="113">
        <f t="shared" si="36"/>
        <v>300</v>
      </c>
      <c r="AA115" s="113">
        <f t="shared" si="36"/>
        <v>330</v>
      </c>
      <c r="AB115" s="113">
        <f t="shared" si="36"/>
        <v>360</v>
      </c>
      <c r="AC115" s="113">
        <f t="shared" si="36"/>
        <v>390</v>
      </c>
      <c r="AE115" s="113">
        <f t="shared" si="37"/>
        <v>40</v>
      </c>
      <c r="AF115" s="113">
        <f t="shared" si="37"/>
        <v>90</v>
      </c>
      <c r="AG115" s="113">
        <f t="shared" si="37"/>
        <v>140</v>
      </c>
      <c r="AH115" s="113">
        <f t="shared" si="37"/>
        <v>190</v>
      </c>
      <c r="AI115" s="113">
        <f t="shared" si="37"/>
        <v>230</v>
      </c>
      <c r="AJ115" s="113">
        <f t="shared" si="37"/>
        <v>250</v>
      </c>
      <c r="AK115" s="113">
        <f t="shared" si="37"/>
        <v>280</v>
      </c>
      <c r="AN115" s="113">
        <f t="shared" si="38"/>
        <v>260</v>
      </c>
      <c r="AO115" s="113">
        <f t="shared" si="38"/>
        <v>300</v>
      </c>
      <c r="AP115" s="113">
        <f t="shared" si="38"/>
        <v>330</v>
      </c>
      <c r="AQ115" s="113">
        <f t="shared" si="38"/>
        <v>360</v>
      </c>
      <c r="AR115" s="113">
        <f t="shared" si="38"/>
        <v>400</v>
      </c>
      <c r="AS115" s="113">
        <f t="shared" si="38"/>
        <v>440</v>
      </c>
      <c r="AT115" s="113">
        <f t="shared" si="38"/>
        <v>480</v>
      </c>
    </row>
    <row r="116" spans="2:46" x14ac:dyDescent="0.15">
      <c r="B116" s="109">
        <v>4</v>
      </c>
      <c r="C116" s="109">
        <v>390</v>
      </c>
      <c r="D116" s="146"/>
      <c r="E116" s="115">
        <f t="shared" si="39"/>
        <v>10</v>
      </c>
      <c r="F116" s="115">
        <f t="shared" si="39"/>
        <v>60</v>
      </c>
      <c r="G116" s="115">
        <f t="shared" si="39"/>
        <v>110</v>
      </c>
      <c r="H116" s="115">
        <f t="shared" si="39"/>
        <v>160</v>
      </c>
      <c r="I116" s="115">
        <f t="shared" si="39"/>
        <v>200</v>
      </c>
      <c r="J116" s="115">
        <f t="shared" si="39"/>
        <v>220</v>
      </c>
      <c r="K116" s="115">
        <f t="shared" si="39"/>
        <v>240</v>
      </c>
      <c r="L116" s="115">
        <f t="shared" si="39"/>
        <v>270</v>
      </c>
      <c r="M116" s="115">
        <f t="shared" si="39"/>
        <v>300</v>
      </c>
      <c r="N116" s="115">
        <f t="shared" si="39"/>
        <v>360</v>
      </c>
      <c r="O116" s="115">
        <f t="shared" si="39"/>
        <v>510</v>
      </c>
      <c r="P116" s="115">
        <f t="shared" si="39"/>
        <v>690</v>
      </c>
      <c r="S116" s="115">
        <f t="shared" si="36"/>
        <v>10</v>
      </c>
      <c r="T116" s="115">
        <f t="shared" si="36"/>
        <v>60</v>
      </c>
      <c r="U116" s="115">
        <f t="shared" si="36"/>
        <v>110</v>
      </c>
      <c r="V116" s="115">
        <f t="shared" si="36"/>
        <v>160</v>
      </c>
      <c r="W116" s="115">
        <f t="shared" si="36"/>
        <v>200</v>
      </c>
      <c r="X116" s="115">
        <f t="shared" si="36"/>
        <v>220</v>
      </c>
      <c r="Y116" s="115">
        <f t="shared" si="36"/>
        <v>240</v>
      </c>
      <c r="Z116" s="115">
        <f t="shared" si="36"/>
        <v>270</v>
      </c>
      <c r="AA116" s="115">
        <f t="shared" si="36"/>
        <v>300</v>
      </c>
      <c r="AB116" s="115">
        <f t="shared" si="36"/>
        <v>330</v>
      </c>
      <c r="AC116" s="115">
        <f t="shared" si="36"/>
        <v>360</v>
      </c>
      <c r="AE116" s="115">
        <f t="shared" si="37"/>
        <v>10</v>
      </c>
      <c r="AF116" s="115">
        <f t="shared" si="37"/>
        <v>60</v>
      </c>
      <c r="AG116" s="115">
        <f t="shared" si="37"/>
        <v>110</v>
      </c>
      <c r="AH116" s="115">
        <f t="shared" si="37"/>
        <v>160</v>
      </c>
      <c r="AI116" s="115">
        <f t="shared" si="37"/>
        <v>200</v>
      </c>
      <c r="AJ116" s="115">
        <f t="shared" si="37"/>
        <v>220</v>
      </c>
      <c r="AK116" s="115">
        <f t="shared" si="37"/>
        <v>250</v>
      </c>
      <c r="AN116" s="115">
        <f t="shared" si="38"/>
        <v>230</v>
      </c>
      <c r="AO116" s="115">
        <f t="shared" si="38"/>
        <v>270</v>
      </c>
      <c r="AP116" s="115">
        <f t="shared" si="38"/>
        <v>300</v>
      </c>
      <c r="AQ116" s="115">
        <f t="shared" si="38"/>
        <v>330</v>
      </c>
      <c r="AR116" s="115">
        <f t="shared" si="38"/>
        <v>370</v>
      </c>
      <c r="AS116" s="115">
        <f t="shared" si="38"/>
        <v>410</v>
      </c>
      <c r="AT116" s="115">
        <f t="shared" si="38"/>
        <v>450</v>
      </c>
    </row>
    <row r="117" spans="2:46" x14ac:dyDescent="0.15">
      <c r="B117" s="108">
        <v>5</v>
      </c>
      <c r="C117" s="108">
        <v>420</v>
      </c>
      <c r="D117" s="146"/>
      <c r="E117" s="114">
        <f t="shared" si="39"/>
        <v>0</v>
      </c>
      <c r="F117" s="114">
        <f t="shared" si="39"/>
        <v>30</v>
      </c>
      <c r="G117" s="114">
        <f t="shared" si="39"/>
        <v>80</v>
      </c>
      <c r="H117" s="114">
        <f t="shared" si="39"/>
        <v>130</v>
      </c>
      <c r="I117" s="114">
        <f t="shared" si="39"/>
        <v>170</v>
      </c>
      <c r="J117" s="114">
        <f t="shared" si="39"/>
        <v>190</v>
      </c>
      <c r="K117" s="114">
        <f t="shared" si="39"/>
        <v>210</v>
      </c>
      <c r="L117" s="114">
        <f t="shared" si="39"/>
        <v>240</v>
      </c>
      <c r="M117" s="114">
        <f t="shared" si="39"/>
        <v>270</v>
      </c>
      <c r="N117" s="114">
        <f t="shared" si="39"/>
        <v>330</v>
      </c>
      <c r="O117" s="114">
        <f t="shared" si="39"/>
        <v>480</v>
      </c>
      <c r="P117" s="114">
        <f t="shared" si="39"/>
        <v>660</v>
      </c>
      <c r="S117" s="114">
        <f t="shared" si="36"/>
        <v>0</v>
      </c>
      <c r="T117" s="114">
        <f t="shared" si="36"/>
        <v>30</v>
      </c>
      <c r="U117" s="114">
        <f t="shared" si="36"/>
        <v>80</v>
      </c>
      <c r="V117" s="114">
        <f t="shared" si="36"/>
        <v>130</v>
      </c>
      <c r="W117" s="114">
        <f t="shared" si="36"/>
        <v>170</v>
      </c>
      <c r="X117" s="114">
        <f t="shared" si="36"/>
        <v>190</v>
      </c>
      <c r="Y117" s="114">
        <f t="shared" si="36"/>
        <v>210</v>
      </c>
      <c r="Z117" s="114">
        <f t="shared" si="36"/>
        <v>240</v>
      </c>
      <c r="AA117" s="114">
        <f t="shared" si="36"/>
        <v>270</v>
      </c>
      <c r="AB117" s="114">
        <f t="shared" si="36"/>
        <v>300</v>
      </c>
      <c r="AC117" s="114">
        <f t="shared" si="36"/>
        <v>330</v>
      </c>
      <c r="AE117" s="114">
        <f t="shared" si="37"/>
        <v>0</v>
      </c>
      <c r="AF117" s="114">
        <f t="shared" si="37"/>
        <v>30</v>
      </c>
      <c r="AG117" s="114">
        <f t="shared" si="37"/>
        <v>80</v>
      </c>
      <c r="AH117" s="114">
        <f t="shared" si="37"/>
        <v>130</v>
      </c>
      <c r="AI117" s="114">
        <f t="shared" si="37"/>
        <v>170</v>
      </c>
      <c r="AJ117" s="114">
        <f t="shared" si="37"/>
        <v>190</v>
      </c>
      <c r="AK117" s="114">
        <f t="shared" si="37"/>
        <v>220</v>
      </c>
      <c r="AN117" s="114">
        <f t="shared" si="38"/>
        <v>200</v>
      </c>
      <c r="AO117" s="114">
        <f t="shared" si="38"/>
        <v>240</v>
      </c>
      <c r="AP117" s="114">
        <f t="shared" si="38"/>
        <v>270</v>
      </c>
      <c r="AQ117" s="114">
        <f t="shared" si="38"/>
        <v>300</v>
      </c>
      <c r="AR117" s="114">
        <f t="shared" si="38"/>
        <v>340</v>
      </c>
      <c r="AS117" s="114">
        <f t="shared" si="38"/>
        <v>380</v>
      </c>
      <c r="AT117" s="114">
        <f t="shared" si="38"/>
        <v>420</v>
      </c>
    </row>
    <row r="118" spans="2:46" x14ac:dyDescent="0.15">
      <c r="B118" s="109">
        <v>6</v>
      </c>
      <c r="C118" s="109">
        <v>450</v>
      </c>
      <c r="D118" s="146"/>
      <c r="E118" s="115">
        <f t="shared" si="39"/>
        <v>0</v>
      </c>
      <c r="F118" s="115">
        <f t="shared" si="39"/>
        <v>0</v>
      </c>
      <c r="G118" s="115">
        <f t="shared" si="39"/>
        <v>50</v>
      </c>
      <c r="H118" s="115">
        <f t="shared" si="39"/>
        <v>100</v>
      </c>
      <c r="I118" s="115">
        <f t="shared" si="39"/>
        <v>140</v>
      </c>
      <c r="J118" s="115">
        <f t="shared" si="39"/>
        <v>160</v>
      </c>
      <c r="K118" s="115">
        <f t="shared" si="39"/>
        <v>180</v>
      </c>
      <c r="L118" s="115">
        <f t="shared" si="39"/>
        <v>210</v>
      </c>
      <c r="M118" s="115">
        <f t="shared" si="39"/>
        <v>240</v>
      </c>
      <c r="N118" s="115">
        <f t="shared" si="39"/>
        <v>300</v>
      </c>
      <c r="O118" s="115">
        <f t="shared" si="39"/>
        <v>450</v>
      </c>
      <c r="P118" s="115">
        <f t="shared" si="39"/>
        <v>630</v>
      </c>
      <c r="S118" s="115">
        <f t="shared" si="36"/>
        <v>0</v>
      </c>
      <c r="T118" s="115">
        <f t="shared" si="36"/>
        <v>0</v>
      </c>
      <c r="U118" s="115">
        <f t="shared" si="36"/>
        <v>50</v>
      </c>
      <c r="V118" s="115">
        <f t="shared" si="36"/>
        <v>100</v>
      </c>
      <c r="W118" s="115">
        <f t="shared" si="36"/>
        <v>140</v>
      </c>
      <c r="X118" s="115">
        <f t="shared" si="36"/>
        <v>160</v>
      </c>
      <c r="Y118" s="115">
        <f t="shared" si="36"/>
        <v>180</v>
      </c>
      <c r="Z118" s="115">
        <f t="shared" si="36"/>
        <v>210</v>
      </c>
      <c r="AA118" s="115">
        <f t="shared" si="36"/>
        <v>240</v>
      </c>
      <c r="AB118" s="115">
        <f t="shared" si="36"/>
        <v>270</v>
      </c>
      <c r="AC118" s="115">
        <f t="shared" si="36"/>
        <v>300</v>
      </c>
      <c r="AE118" s="115">
        <f t="shared" si="37"/>
        <v>0</v>
      </c>
      <c r="AF118" s="115">
        <f t="shared" si="37"/>
        <v>0</v>
      </c>
      <c r="AG118" s="115">
        <f t="shared" si="37"/>
        <v>50</v>
      </c>
      <c r="AH118" s="115">
        <f t="shared" si="37"/>
        <v>100</v>
      </c>
      <c r="AI118" s="115">
        <f t="shared" si="37"/>
        <v>140</v>
      </c>
      <c r="AJ118" s="115">
        <f t="shared" si="37"/>
        <v>160</v>
      </c>
      <c r="AK118" s="115">
        <f t="shared" si="37"/>
        <v>190</v>
      </c>
      <c r="AN118" s="115">
        <f t="shared" si="38"/>
        <v>170</v>
      </c>
      <c r="AO118" s="115">
        <f t="shared" si="38"/>
        <v>210</v>
      </c>
      <c r="AP118" s="115">
        <f t="shared" si="38"/>
        <v>240</v>
      </c>
      <c r="AQ118" s="115">
        <f t="shared" si="38"/>
        <v>270</v>
      </c>
      <c r="AR118" s="115">
        <f t="shared" si="38"/>
        <v>310</v>
      </c>
      <c r="AS118" s="115">
        <f t="shared" si="38"/>
        <v>350</v>
      </c>
      <c r="AT118" s="115">
        <f t="shared" si="38"/>
        <v>390</v>
      </c>
    </row>
    <row r="119" spans="2:46" x14ac:dyDescent="0.15">
      <c r="B119" s="88" t="s">
        <v>402</v>
      </c>
    </row>
    <row r="120" spans="2:46" x14ac:dyDescent="0.15">
      <c r="C120" s="88" t="s">
        <v>423</v>
      </c>
    </row>
    <row r="121" spans="2:46" x14ac:dyDescent="0.15">
      <c r="C121" s="88" t="s">
        <v>403</v>
      </c>
    </row>
    <row r="122" spans="2:46" x14ac:dyDescent="0.15">
      <c r="C122" s="88" t="s">
        <v>412</v>
      </c>
    </row>
    <row r="123" spans="2:46" x14ac:dyDescent="0.15">
      <c r="C123" s="88" t="s">
        <v>422</v>
      </c>
    </row>
  </sheetData>
  <mergeCells count="191">
    <mergeCell ref="D113:D118"/>
    <mergeCell ref="E110:P110"/>
    <mergeCell ref="S110:AC110"/>
    <mergeCell ref="AE110:AK110"/>
    <mergeCell ref="AN110:AT110"/>
    <mergeCell ref="AN43:AR43"/>
    <mergeCell ref="E58:J58"/>
    <mergeCell ref="L58:Q58"/>
    <mergeCell ref="S58:W58"/>
    <mergeCell ref="Z58:AE58"/>
    <mergeCell ref="AG58:AK58"/>
    <mergeCell ref="D97:D107"/>
    <mergeCell ref="E94:I94"/>
    <mergeCell ref="AG43:AL43"/>
    <mergeCell ref="D85:D92"/>
    <mergeCell ref="AN70:AR70"/>
    <mergeCell ref="AG70:AL70"/>
    <mergeCell ref="E82:J82"/>
    <mergeCell ref="E70:J70"/>
    <mergeCell ref="L70:Q70"/>
    <mergeCell ref="S70:W70"/>
    <mergeCell ref="Z70:AE70"/>
    <mergeCell ref="D73:D79"/>
    <mergeCell ref="AG27:AK27"/>
    <mergeCell ref="D46:D56"/>
    <mergeCell ref="E43:J43"/>
    <mergeCell ref="L43:Q43"/>
    <mergeCell ref="S43:W43"/>
    <mergeCell ref="Z43:AE43"/>
    <mergeCell ref="D61:D67"/>
    <mergeCell ref="D30:D41"/>
    <mergeCell ref="L27:Q27"/>
    <mergeCell ref="S27:W27"/>
    <mergeCell ref="Z27:AE27"/>
    <mergeCell ref="C23:J23"/>
    <mergeCell ref="E27:J27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Q21:R21"/>
    <mergeCell ref="Q22:R22"/>
    <mergeCell ref="Q23:R23"/>
    <mergeCell ref="O18:P18"/>
    <mergeCell ref="O19:P19"/>
    <mergeCell ref="O20:P20"/>
    <mergeCell ref="O21:P21"/>
    <mergeCell ref="O22:P22"/>
    <mergeCell ref="O23:P23"/>
    <mergeCell ref="O12:P12"/>
    <mergeCell ref="S6:T6"/>
    <mergeCell ref="S7:T7"/>
    <mergeCell ref="S8:T8"/>
    <mergeCell ref="S9:T9"/>
    <mergeCell ref="S10:T10"/>
    <mergeCell ref="S11:T11"/>
    <mergeCell ref="Q18:R18"/>
    <mergeCell ref="Q19:R19"/>
    <mergeCell ref="Q20:R20"/>
    <mergeCell ref="Q12:R12"/>
    <mergeCell ref="Q13:R13"/>
    <mergeCell ref="Q14:R14"/>
    <mergeCell ref="Q15:R15"/>
    <mergeCell ref="Q16:R16"/>
    <mergeCell ref="Q17:R17"/>
    <mergeCell ref="Q6:R6"/>
    <mergeCell ref="Q7:R7"/>
    <mergeCell ref="Q8:R8"/>
    <mergeCell ref="Q9:R9"/>
    <mergeCell ref="Q10:R10"/>
    <mergeCell ref="Q11:R11"/>
    <mergeCell ref="O13:P13"/>
    <mergeCell ref="O14:P14"/>
    <mergeCell ref="O15:P15"/>
    <mergeCell ref="O16:P16"/>
    <mergeCell ref="O17:P17"/>
    <mergeCell ref="O6:P6"/>
    <mergeCell ref="O7:P7"/>
    <mergeCell ref="O8:P8"/>
    <mergeCell ref="O9:P9"/>
    <mergeCell ref="O10:P10"/>
    <mergeCell ref="O11:P11"/>
    <mergeCell ref="K21:L21"/>
    <mergeCell ref="M21:N21"/>
    <mergeCell ref="K22:L22"/>
    <mergeCell ref="M22:N22"/>
    <mergeCell ref="K23:L23"/>
    <mergeCell ref="M23:N23"/>
    <mergeCell ref="K18:L18"/>
    <mergeCell ref="M18:N18"/>
    <mergeCell ref="K19:L19"/>
    <mergeCell ref="M19:N19"/>
    <mergeCell ref="K20:L20"/>
    <mergeCell ref="M20:N20"/>
    <mergeCell ref="K15:L15"/>
    <mergeCell ref="M15:N15"/>
    <mergeCell ref="K16:L16"/>
    <mergeCell ref="M16:N16"/>
    <mergeCell ref="K17:L17"/>
    <mergeCell ref="M17:N17"/>
    <mergeCell ref="K12:L12"/>
    <mergeCell ref="M12:N12"/>
    <mergeCell ref="K13:L13"/>
    <mergeCell ref="M13:N13"/>
    <mergeCell ref="K14:L14"/>
    <mergeCell ref="M14:N14"/>
    <mergeCell ref="K9:L9"/>
    <mergeCell ref="M9:N9"/>
    <mergeCell ref="K10:L10"/>
    <mergeCell ref="M10:N10"/>
    <mergeCell ref="K11:L11"/>
    <mergeCell ref="M11:N11"/>
    <mergeCell ref="K6:L6"/>
    <mergeCell ref="M6:N6"/>
    <mergeCell ref="K7:L7"/>
    <mergeCell ref="M7:N7"/>
    <mergeCell ref="K8:L8"/>
    <mergeCell ref="M8:N8"/>
    <mergeCell ref="C21:D21"/>
    <mergeCell ref="E21:F21"/>
    <mergeCell ref="G21:H21"/>
    <mergeCell ref="I21:J21"/>
    <mergeCell ref="C22:D22"/>
    <mergeCell ref="E22:F22"/>
    <mergeCell ref="G22:H22"/>
    <mergeCell ref="I22:J22"/>
    <mergeCell ref="C19:D19"/>
    <mergeCell ref="E19:F19"/>
    <mergeCell ref="G19:H19"/>
    <mergeCell ref="I19:J19"/>
    <mergeCell ref="C20:D20"/>
    <mergeCell ref="E20:F20"/>
    <mergeCell ref="G20:H20"/>
    <mergeCell ref="I20:J20"/>
    <mergeCell ref="C17:D17"/>
    <mergeCell ref="E17:F17"/>
    <mergeCell ref="G17:H17"/>
    <mergeCell ref="I17:J17"/>
    <mergeCell ref="C18:D18"/>
    <mergeCell ref="E18:F18"/>
    <mergeCell ref="G18:H18"/>
    <mergeCell ref="I18:J18"/>
    <mergeCell ref="C16:D16"/>
    <mergeCell ref="E16:F16"/>
    <mergeCell ref="G16:H16"/>
    <mergeCell ref="I16:J16"/>
    <mergeCell ref="C15:J15"/>
    <mergeCell ref="C13:D13"/>
    <mergeCell ref="E13:F13"/>
    <mergeCell ref="G13:H13"/>
    <mergeCell ref="I13:J13"/>
    <mergeCell ref="C14:D14"/>
    <mergeCell ref="E14:F14"/>
    <mergeCell ref="G14:H14"/>
    <mergeCell ref="I14:J14"/>
    <mergeCell ref="C11:D11"/>
    <mergeCell ref="E11:F11"/>
    <mergeCell ref="G11:H11"/>
    <mergeCell ref="I11:J11"/>
    <mergeCell ref="C12:D12"/>
    <mergeCell ref="E12:F12"/>
    <mergeCell ref="G12:H12"/>
    <mergeCell ref="I12:J12"/>
    <mergeCell ref="C9:D9"/>
    <mergeCell ref="E9:F9"/>
    <mergeCell ref="G9:H9"/>
    <mergeCell ref="I9:J9"/>
    <mergeCell ref="C10:D10"/>
    <mergeCell ref="E10:F10"/>
    <mergeCell ref="G10:H10"/>
    <mergeCell ref="I10:J10"/>
    <mergeCell ref="I6:J6"/>
    <mergeCell ref="I7:J7"/>
    <mergeCell ref="C8:D8"/>
    <mergeCell ref="E8:F8"/>
    <mergeCell ref="G8:H8"/>
    <mergeCell ref="I8:J8"/>
    <mergeCell ref="G7:H7"/>
    <mergeCell ref="C7:D7"/>
    <mergeCell ref="E6:F6"/>
    <mergeCell ref="C6:D6"/>
    <mergeCell ref="G6:H6"/>
    <mergeCell ref="E7:F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98"/>
  <sheetViews>
    <sheetView topLeftCell="A22" zoomScale="85" zoomScaleNormal="85" workbookViewId="0">
      <selection activeCell="D78" sqref="D78"/>
    </sheetView>
  </sheetViews>
  <sheetFormatPr defaultRowHeight="13.5" x14ac:dyDescent="0.15"/>
  <cols>
    <col min="1" max="1" width="9.375" customWidth="1"/>
  </cols>
  <sheetData>
    <row r="2" spans="1:14" s="74" customFormat="1" x14ac:dyDescent="0.15">
      <c r="A2" s="74" t="s">
        <v>90</v>
      </c>
    </row>
    <row r="3" spans="1:14" ht="15" x14ac:dyDescent="0.25">
      <c r="B3" s="46" t="s">
        <v>10</v>
      </c>
      <c r="C3" s="49" t="s">
        <v>91</v>
      </c>
      <c r="D3" s="52" t="s">
        <v>92</v>
      </c>
      <c r="E3" s="46" t="s">
        <v>93</v>
      </c>
      <c r="F3" s="46" t="s">
        <v>94</v>
      </c>
      <c r="G3" s="52" t="s">
        <v>174</v>
      </c>
      <c r="H3" s="46" t="s">
        <v>95</v>
      </c>
      <c r="I3" s="46" t="s">
        <v>96</v>
      </c>
      <c r="J3" s="71" t="s">
        <v>97</v>
      </c>
      <c r="K3" s="49" t="s">
        <v>175</v>
      </c>
      <c r="L3" s="49" t="s">
        <v>166</v>
      </c>
      <c r="M3" s="49" t="s">
        <v>167</v>
      </c>
      <c r="N3" s="49" t="s">
        <v>168</v>
      </c>
    </row>
    <row r="4" spans="1:14" ht="16.5" x14ac:dyDescent="0.3">
      <c r="B4" s="47">
        <v>1</v>
      </c>
      <c r="C4" s="50">
        <v>1</v>
      </c>
      <c r="D4" s="53">
        <v>2</v>
      </c>
      <c r="E4" s="47">
        <v>1</v>
      </c>
      <c r="F4" s="47">
        <v>2</v>
      </c>
      <c r="G4" s="53">
        <v>1</v>
      </c>
      <c r="H4" s="47">
        <v>1</v>
      </c>
      <c r="I4" s="47">
        <v>1</v>
      </c>
      <c r="J4" s="72">
        <v>1</v>
      </c>
      <c r="K4" s="50">
        <v>0</v>
      </c>
      <c r="L4" s="50">
        <v>0</v>
      </c>
      <c r="M4" s="50">
        <v>0</v>
      </c>
      <c r="N4" s="50">
        <v>0</v>
      </c>
    </row>
    <row r="5" spans="1:14" ht="16.5" x14ac:dyDescent="0.3">
      <c r="B5" s="48">
        <v>2</v>
      </c>
      <c r="C5" s="51">
        <v>2</v>
      </c>
      <c r="D5" s="54">
        <v>4</v>
      </c>
      <c r="E5" s="48">
        <v>2</v>
      </c>
      <c r="F5" s="48">
        <v>4</v>
      </c>
      <c r="G5" s="54">
        <v>1</v>
      </c>
      <c r="H5" s="48">
        <v>3</v>
      </c>
      <c r="I5" s="48">
        <v>1</v>
      </c>
      <c r="J5" s="73">
        <v>3</v>
      </c>
      <c r="K5" s="51">
        <v>0</v>
      </c>
      <c r="L5" s="51">
        <v>0</v>
      </c>
      <c r="M5" s="51">
        <v>0</v>
      </c>
      <c r="N5" s="51">
        <v>0</v>
      </c>
    </row>
    <row r="6" spans="1:14" ht="16.5" x14ac:dyDescent="0.3">
      <c r="B6" s="47">
        <v>3</v>
      </c>
      <c r="C6" s="50">
        <v>3</v>
      </c>
      <c r="D6" s="53">
        <v>6</v>
      </c>
      <c r="E6" s="47">
        <v>3</v>
      </c>
      <c r="F6" s="47">
        <v>6</v>
      </c>
      <c r="G6" s="53">
        <v>2</v>
      </c>
      <c r="H6" s="47">
        <v>6</v>
      </c>
      <c r="I6" s="47">
        <v>2</v>
      </c>
      <c r="J6" s="72">
        <v>6</v>
      </c>
      <c r="K6" s="50">
        <v>0</v>
      </c>
      <c r="L6" s="50">
        <v>0</v>
      </c>
      <c r="M6" s="50">
        <v>0</v>
      </c>
      <c r="N6" s="50">
        <v>0</v>
      </c>
    </row>
    <row r="7" spans="1:14" ht="16.5" x14ac:dyDescent="0.3">
      <c r="B7" s="48">
        <v>4</v>
      </c>
      <c r="C7" s="51">
        <v>4</v>
      </c>
      <c r="D7" s="54">
        <v>8</v>
      </c>
      <c r="E7" s="48">
        <v>4</v>
      </c>
      <c r="F7" s="48">
        <v>8</v>
      </c>
      <c r="G7" s="54">
        <v>2</v>
      </c>
      <c r="H7" s="48">
        <v>8</v>
      </c>
      <c r="I7" s="48">
        <v>2</v>
      </c>
      <c r="J7" s="73">
        <v>8</v>
      </c>
      <c r="K7" s="51">
        <v>0</v>
      </c>
      <c r="L7" s="51">
        <v>0</v>
      </c>
      <c r="M7" s="51">
        <v>0</v>
      </c>
      <c r="N7" s="51">
        <v>0</v>
      </c>
    </row>
    <row r="8" spans="1:14" ht="16.5" x14ac:dyDescent="0.3">
      <c r="B8" s="47">
        <v>5</v>
      </c>
      <c r="C8" s="50">
        <v>5</v>
      </c>
      <c r="D8" s="53">
        <v>10</v>
      </c>
      <c r="E8" s="47">
        <v>5</v>
      </c>
      <c r="F8" s="47">
        <v>10</v>
      </c>
      <c r="G8" s="53">
        <v>2</v>
      </c>
      <c r="H8" s="47">
        <v>9</v>
      </c>
      <c r="I8" s="47">
        <v>2</v>
      </c>
      <c r="J8" s="72">
        <v>9</v>
      </c>
      <c r="K8" s="50">
        <v>0</v>
      </c>
      <c r="L8" s="50">
        <v>0</v>
      </c>
      <c r="M8" s="50">
        <v>0</v>
      </c>
      <c r="N8" s="50">
        <v>0</v>
      </c>
    </row>
    <row r="9" spans="1:14" ht="16.5" x14ac:dyDescent="0.3">
      <c r="B9" s="48">
        <v>6</v>
      </c>
      <c r="C9" s="51">
        <v>6</v>
      </c>
      <c r="D9" s="54">
        <v>10</v>
      </c>
      <c r="E9" s="48">
        <v>6</v>
      </c>
      <c r="F9" s="48">
        <v>10</v>
      </c>
      <c r="G9" s="54">
        <v>2</v>
      </c>
      <c r="H9" s="48">
        <v>10</v>
      </c>
      <c r="I9" s="48">
        <v>2</v>
      </c>
      <c r="J9" s="73">
        <v>10</v>
      </c>
      <c r="K9" s="51">
        <v>0</v>
      </c>
      <c r="L9" s="51">
        <v>0</v>
      </c>
      <c r="M9" s="51">
        <v>0</v>
      </c>
      <c r="N9" s="51">
        <v>0</v>
      </c>
    </row>
    <row r="10" spans="1:14" ht="16.5" x14ac:dyDescent="0.3">
      <c r="B10" s="47">
        <v>7</v>
      </c>
      <c r="C10" s="50">
        <v>6</v>
      </c>
      <c r="D10" s="53">
        <v>11</v>
      </c>
      <c r="E10" s="47">
        <v>6</v>
      </c>
      <c r="F10" s="47">
        <v>11</v>
      </c>
      <c r="G10" s="53">
        <v>2</v>
      </c>
      <c r="H10" s="47">
        <v>11</v>
      </c>
      <c r="I10" s="47">
        <v>2</v>
      </c>
      <c r="J10" s="72">
        <v>11</v>
      </c>
      <c r="K10" s="50">
        <v>0</v>
      </c>
      <c r="L10" s="50">
        <v>0</v>
      </c>
      <c r="M10" s="50">
        <v>1</v>
      </c>
      <c r="N10" s="50">
        <v>2</v>
      </c>
    </row>
    <row r="11" spans="1:14" ht="16.5" x14ac:dyDescent="0.3">
      <c r="B11" s="48">
        <v>8</v>
      </c>
      <c r="C11" s="51">
        <v>6</v>
      </c>
      <c r="D11" s="54">
        <v>11</v>
      </c>
      <c r="E11" s="48">
        <v>6</v>
      </c>
      <c r="F11" s="48">
        <v>11</v>
      </c>
      <c r="G11" s="54">
        <v>3</v>
      </c>
      <c r="H11" s="48">
        <v>11</v>
      </c>
      <c r="I11" s="48">
        <v>3</v>
      </c>
      <c r="J11" s="73">
        <v>11</v>
      </c>
      <c r="K11" s="51">
        <v>1</v>
      </c>
      <c r="L11" s="51">
        <v>3</v>
      </c>
      <c r="M11" s="51">
        <v>1</v>
      </c>
      <c r="N11" s="51">
        <v>4</v>
      </c>
    </row>
    <row r="12" spans="1:14" ht="16.5" x14ac:dyDescent="0.3">
      <c r="B12" s="47">
        <v>9</v>
      </c>
      <c r="C12" s="50">
        <v>6</v>
      </c>
      <c r="D12" s="53">
        <v>11</v>
      </c>
      <c r="E12" s="47">
        <v>6</v>
      </c>
      <c r="F12" s="47">
        <v>11</v>
      </c>
      <c r="G12" s="53">
        <v>3</v>
      </c>
      <c r="H12" s="47">
        <v>11</v>
      </c>
      <c r="I12" s="47">
        <v>3</v>
      </c>
      <c r="J12" s="72">
        <v>11</v>
      </c>
      <c r="K12" s="50">
        <v>2</v>
      </c>
      <c r="L12" s="50">
        <v>6</v>
      </c>
      <c r="M12" s="50">
        <v>1</v>
      </c>
      <c r="N12" s="50">
        <v>6</v>
      </c>
    </row>
    <row r="13" spans="1:14" ht="16.5" x14ac:dyDescent="0.3">
      <c r="B13" s="48">
        <v>10</v>
      </c>
      <c r="C13" s="51">
        <v>6</v>
      </c>
      <c r="D13" s="54">
        <v>11</v>
      </c>
      <c r="E13" s="48">
        <v>6</v>
      </c>
      <c r="F13" s="48">
        <v>11</v>
      </c>
      <c r="G13" s="54">
        <v>3</v>
      </c>
      <c r="H13" s="48">
        <v>11</v>
      </c>
      <c r="I13" s="48">
        <v>3</v>
      </c>
      <c r="J13" s="73">
        <v>11</v>
      </c>
      <c r="K13" s="51">
        <v>3</v>
      </c>
      <c r="L13" s="51">
        <v>6</v>
      </c>
      <c r="M13" s="51">
        <v>1</v>
      </c>
      <c r="N13" s="51">
        <v>6</v>
      </c>
    </row>
    <row r="15" spans="1:14" x14ac:dyDescent="0.15">
      <c r="B15" t="s">
        <v>193</v>
      </c>
    </row>
    <row r="16" spans="1:14" ht="15" x14ac:dyDescent="0.25">
      <c r="B16" s="46" t="s">
        <v>10</v>
      </c>
      <c r="C16" s="46" t="s">
        <v>170</v>
      </c>
      <c r="D16" s="75" t="s">
        <v>172</v>
      </c>
      <c r="E16" s="46" t="s">
        <v>169</v>
      </c>
      <c r="F16" s="46" t="s">
        <v>173</v>
      </c>
      <c r="G16" s="75" t="s">
        <v>172</v>
      </c>
      <c r="H16" s="46" t="s">
        <v>169</v>
      </c>
      <c r="I16" s="46" t="s">
        <v>173</v>
      </c>
      <c r="J16" s="75" t="s">
        <v>176</v>
      </c>
      <c r="K16" s="46" t="s">
        <v>177</v>
      </c>
      <c r="L16" s="75" t="s">
        <v>178</v>
      </c>
      <c r="M16" s="46" t="s">
        <v>179</v>
      </c>
      <c r="N16" s="46" t="s">
        <v>180</v>
      </c>
    </row>
    <row r="17" spans="1:20" ht="16.5" x14ac:dyDescent="0.3">
      <c r="B17" s="47">
        <v>1</v>
      </c>
      <c r="C17" s="47">
        <v>0</v>
      </c>
      <c r="D17" s="76">
        <f>HLOOKUP(D4,建筑配置!$C$16:$M$18,3,FALSE)*C4</f>
        <v>0.1</v>
      </c>
      <c r="E17" s="47">
        <f>D17</f>
        <v>0.1</v>
      </c>
      <c r="F17" s="47">
        <f>E17</f>
        <v>0.1</v>
      </c>
      <c r="G17" s="76">
        <f>HLOOKUP(H4,建筑配置!$C$35:$M$37,3,FALSE)*G4</f>
        <v>0.25</v>
      </c>
      <c r="H17" s="47">
        <f>G17</f>
        <v>0.25</v>
      </c>
      <c r="I17" s="47">
        <f>H17</f>
        <v>0.25</v>
      </c>
      <c r="J17" s="76">
        <f>IFERROR(K4*HLOOKUP(L4,建筑配置!$C$52:$H$54,3,FALSE),0)</f>
        <v>0</v>
      </c>
      <c r="K17" s="47">
        <f>J17</f>
        <v>0</v>
      </c>
      <c r="L17" s="76">
        <f>IFERROR(HLOOKUP(N4,建筑配置!$C$52:$H$54,3,FALSE)*M4,0)</f>
        <v>0</v>
      </c>
      <c r="M17" s="47">
        <f>L17</f>
        <v>0</v>
      </c>
      <c r="N17" s="47">
        <f>SUM(C18,E17,F17,H17,I17,K17,M17)</f>
        <v>0.78300000000000003</v>
      </c>
    </row>
    <row r="18" spans="1:20" ht="16.5" x14ac:dyDescent="0.3">
      <c r="B18" s="48">
        <v>2</v>
      </c>
      <c r="C18" s="48">
        <v>8.3000000000000004E-2</v>
      </c>
      <c r="D18" s="76">
        <f>HLOOKUP(D5,建筑配置!$C$16:$M$18,3,FALSE)*C5</f>
        <v>2.7</v>
      </c>
      <c r="E18" s="48">
        <f>D18-D17</f>
        <v>2.6</v>
      </c>
      <c r="F18" s="48">
        <f t="shared" ref="F18:F26" si="0">E18</f>
        <v>2.6</v>
      </c>
      <c r="G18" s="76">
        <f>HLOOKUP(H5,建筑配置!$C$35:$M$37,3,FALSE)*G5</f>
        <v>1.75</v>
      </c>
      <c r="H18" s="48">
        <f>G18-G17</f>
        <v>1.5</v>
      </c>
      <c r="I18" s="47">
        <f t="shared" ref="I18:I26" si="1">H18</f>
        <v>1.5</v>
      </c>
      <c r="J18" s="76">
        <f>IFERROR(K5*HLOOKUP(L5,建筑配置!$C$52:$H$54,3,FALSE),0)</f>
        <v>0</v>
      </c>
      <c r="K18" s="47">
        <f>J18-J17</f>
        <v>0</v>
      </c>
      <c r="L18" s="76">
        <f>IFERROR(HLOOKUP(N5,建筑配置!$C$52:$H$54,3,FALSE)*M5,0)</f>
        <v>0</v>
      </c>
      <c r="M18" s="47">
        <f>L18-L17</f>
        <v>0</v>
      </c>
      <c r="N18" s="47">
        <f t="shared" ref="N18:N26" si="2">SUM(C19,E18,F18,H18,I18,K18,M18)</f>
        <v>11.2</v>
      </c>
    </row>
    <row r="19" spans="1:20" ht="16.5" x14ac:dyDescent="0.3">
      <c r="B19" s="47">
        <v>3</v>
      </c>
      <c r="C19" s="47">
        <v>3</v>
      </c>
      <c r="D19" s="76">
        <f>HLOOKUP(D6,建筑配置!$C$16:$M$18,3,FALSE)*C6</f>
        <v>28.049999999999997</v>
      </c>
      <c r="E19" s="47">
        <f t="shared" ref="E19:E26" si="3">D19-D18</f>
        <v>25.349999999999998</v>
      </c>
      <c r="F19" s="47">
        <f t="shared" si="0"/>
        <v>25.349999999999998</v>
      </c>
      <c r="G19" s="76">
        <f>HLOOKUP(H6,建筑配置!$C$35:$M$37,3,FALSE)*G6</f>
        <v>21.5</v>
      </c>
      <c r="H19" s="47">
        <f t="shared" ref="H19:H26" si="4">G19-G18</f>
        <v>19.75</v>
      </c>
      <c r="I19" s="47">
        <f t="shared" si="1"/>
        <v>19.75</v>
      </c>
      <c r="J19" s="76">
        <f>IFERROR(K6*HLOOKUP(L6,建筑配置!$C$52:$H$54,3,FALSE),0)</f>
        <v>0</v>
      </c>
      <c r="K19" s="47">
        <f t="shared" ref="K19:M26" si="5">J19-J18</f>
        <v>0</v>
      </c>
      <c r="L19" s="76">
        <f>IFERROR(HLOOKUP(N6,建筑配置!$C$52:$H$54,3,FALSE)*M6,0)</f>
        <v>0</v>
      </c>
      <c r="M19" s="47">
        <f t="shared" si="5"/>
        <v>0</v>
      </c>
      <c r="N19" s="47">
        <f t="shared" si="2"/>
        <v>114.19999999999999</v>
      </c>
    </row>
    <row r="20" spans="1:20" ht="16.5" x14ac:dyDescent="0.3">
      <c r="B20" s="48">
        <v>4</v>
      </c>
      <c r="C20" s="48">
        <v>24</v>
      </c>
      <c r="D20" s="76">
        <f>HLOOKUP(D7,建筑配置!$C$16:$M$18,3,FALSE)*C7</f>
        <v>181.4</v>
      </c>
      <c r="E20" s="48">
        <f t="shared" si="3"/>
        <v>153.35000000000002</v>
      </c>
      <c r="F20" s="48">
        <f t="shared" si="0"/>
        <v>153.35000000000002</v>
      </c>
      <c r="G20" s="76">
        <f>HLOOKUP(H7,建筑配置!$C$35:$M$37,3,FALSE)*G7</f>
        <v>49.5</v>
      </c>
      <c r="H20" s="48">
        <f t="shared" si="4"/>
        <v>28</v>
      </c>
      <c r="I20" s="47">
        <f t="shared" si="1"/>
        <v>28</v>
      </c>
      <c r="J20" s="76">
        <f>IFERROR(K7*HLOOKUP(L7,建筑配置!$C$52:$H$54,3,FALSE),0)</f>
        <v>0</v>
      </c>
      <c r="K20" s="47">
        <f t="shared" si="5"/>
        <v>0</v>
      </c>
      <c r="L20" s="76">
        <f>IFERROR(HLOOKUP(N7,建筑配置!$C$52:$H$54,3,FALSE)*M7,0)</f>
        <v>0</v>
      </c>
      <c r="M20" s="47">
        <f t="shared" si="5"/>
        <v>0</v>
      </c>
      <c r="N20" s="47">
        <f t="shared" si="2"/>
        <v>410.70000000000005</v>
      </c>
    </row>
    <row r="21" spans="1:20" ht="16.5" x14ac:dyDescent="0.3">
      <c r="B21" s="47">
        <v>5</v>
      </c>
      <c r="C21" s="47">
        <v>48</v>
      </c>
      <c r="D21" s="76">
        <f>HLOOKUP(D8,建筑配置!$C$16:$M$18,3,FALSE)*C8</f>
        <v>826.75</v>
      </c>
      <c r="E21" s="47">
        <f t="shared" si="3"/>
        <v>645.35</v>
      </c>
      <c r="F21" s="47">
        <f t="shared" si="0"/>
        <v>645.35</v>
      </c>
      <c r="G21" s="76">
        <f>HLOOKUP(H8,建筑配置!$C$35:$M$37,3,FALSE)*G8</f>
        <v>73.5</v>
      </c>
      <c r="H21" s="47">
        <f t="shared" si="4"/>
        <v>24</v>
      </c>
      <c r="I21" s="47">
        <f t="shared" si="1"/>
        <v>24</v>
      </c>
      <c r="J21" s="76">
        <f>IFERROR(K8*HLOOKUP(L8,建筑配置!$C$52:$H$54,3,FALSE),0)</f>
        <v>0</v>
      </c>
      <c r="K21" s="47">
        <f t="shared" si="5"/>
        <v>0</v>
      </c>
      <c r="L21" s="76">
        <f>IFERROR(HLOOKUP(N8,建筑配置!$C$52:$H$54,3,FALSE)*M8,0)</f>
        <v>0</v>
      </c>
      <c r="M21" s="47">
        <f t="shared" si="5"/>
        <v>0</v>
      </c>
      <c r="N21" s="47">
        <f t="shared" si="2"/>
        <v>1434.7</v>
      </c>
    </row>
    <row r="22" spans="1:20" ht="16.5" x14ac:dyDescent="0.3">
      <c r="B22" s="48">
        <v>6</v>
      </c>
      <c r="C22" s="48">
        <v>96</v>
      </c>
      <c r="D22" s="76">
        <f>HLOOKUP(D9,建筑配置!$C$16:$M$18,3,FALSE)*C9</f>
        <v>992.09999999999991</v>
      </c>
      <c r="E22" s="48">
        <f t="shared" si="3"/>
        <v>165.34999999999991</v>
      </c>
      <c r="F22" s="48">
        <f t="shared" si="0"/>
        <v>165.34999999999991</v>
      </c>
      <c r="G22" s="76">
        <f>HLOOKUP(H9,建筑配置!$C$35:$M$37,3,FALSE)*G9</f>
        <v>121.5</v>
      </c>
      <c r="H22" s="48">
        <f t="shared" si="4"/>
        <v>48</v>
      </c>
      <c r="I22" s="47">
        <f t="shared" si="1"/>
        <v>48</v>
      </c>
      <c r="J22" s="76">
        <f>IFERROR(K9*HLOOKUP(L9,建筑配置!$C$52:$H$54,3,FALSE),0)</f>
        <v>0</v>
      </c>
      <c r="K22" s="47">
        <f t="shared" si="5"/>
        <v>0</v>
      </c>
      <c r="L22" s="76">
        <f>IFERROR(HLOOKUP(N9,建筑配置!$C$52:$H$54,3,FALSE)*M9,0)</f>
        <v>0</v>
      </c>
      <c r="M22" s="47">
        <f t="shared" si="5"/>
        <v>0</v>
      </c>
      <c r="N22" s="47">
        <f t="shared" si="2"/>
        <v>570.69999999999982</v>
      </c>
    </row>
    <row r="23" spans="1:20" ht="16.5" x14ac:dyDescent="0.3">
      <c r="B23" s="47">
        <v>7</v>
      </c>
      <c r="C23" s="47">
        <v>144</v>
      </c>
      <c r="D23" s="76">
        <f>HLOOKUP(D10,建筑配置!$C$16:$M$18,3,FALSE)*C10</f>
        <v>1568.1000000000001</v>
      </c>
      <c r="E23" s="47">
        <f t="shared" si="3"/>
        <v>576.00000000000023</v>
      </c>
      <c r="F23" s="47">
        <f t="shared" si="0"/>
        <v>576.00000000000023</v>
      </c>
      <c r="G23" s="76">
        <f>HLOOKUP(H10,建筑配置!$C$35:$M$37,3,FALSE)*G10</f>
        <v>217.5</v>
      </c>
      <c r="H23" s="47">
        <f t="shared" si="4"/>
        <v>96</v>
      </c>
      <c r="I23" s="47">
        <f t="shared" si="1"/>
        <v>96</v>
      </c>
      <c r="J23" s="76">
        <f>IFERROR(K10*HLOOKUP(L10,建筑配置!$C$52:$H$54,3,FALSE),0)</f>
        <v>0</v>
      </c>
      <c r="K23" s="47">
        <f t="shared" si="5"/>
        <v>0</v>
      </c>
      <c r="L23" s="76">
        <f>IFERROR(HLOOKUP(N10,建筑配置!$C$52:$H$54,3,FALSE)*M10,0)</f>
        <v>72</v>
      </c>
      <c r="M23" s="47">
        <f t="shared" si="5"/>
        <v>72</v>
      </c>
      <c r="N23" s="47">
        <f t="shared" si="2"/>
        <v>1608.0000000000005</v>
      </c>
    </row>
    <row r="24" spans="1:20" ht="16.5" x14ac:dyDescent="0.3">
      <c r="B24" s="48">
        <v>8</v>
      </c>
      <c r="C24" s="48">
        <v>192</v>
      </c>
      <c r="D24" s="76">
        <f>HLOOKUP(D11,建筑配置!$C$16:$M$18,3,FALSE)*C11</f>
        <v>1568.1000000000001</v>
      </c>
      <c r="E24" s="48">
        <f t="shared" si="3"/>
        <v>0</v>
      </c>
      <c r="F24" s="48">
        <f t="shared" si="0"/>
        <v>0</v>
      </c>
      <c r="G24" s="76">
        <f>HLOOKUP(H11,建筑配置!$C$35:$M$37,3,FALSE)*G11</f>
        <v>326.25</v>
      </c>
      <c r="H24" s="48">
        <f t="shared" si="4"/>
        <v>108.75</v>
      </c>
      <c r="I24" s="47">
        <f t="shared" si="1"/>
        <v>108.75</v>
      </c>
      <c r="J24" s="76">
        <f>IFERROR(K11*HLOOKUP(L11,建筑配置!$C$52:$H$54,3,FALSE),0)</f>
        <v>144</v>
      </c>
      <c r="K24" s="47">
        <f t="shared" si="5"/>
        <v>144</v>
      </c>
      <c r="L24" s="76">
        <f>IFERROR(HLOOKUP(N11,建筑配置!$C$52:$H$54,3,FALSE)*M11,0)</f>
        <v>240</v>
      </c>
      <c r="M24" s="47">
        <f t="shared" si="5"/>
        <v>168</v>
      </c>
      <c r="N24" s="47">
        <f t="shared" si="2"/>
        <v>769.5</v>
      </c>
    </row>
    <row r="25" spans="1:20" ht="16.5" x14ac:dyDescent="0.3">
      <c r="B25" s="47">
        <v>9</v>
      </c>
      <c r="C25" s="47">
        <v>240</v>
      </c>
      <c r="D25" s="76">
        <f>HLOOKUP(D12,建筑配置!$C$16:$M$18,3,FALSE)*C12</f>
        <v>1568.1000000000001</v>
      </c>
      <c r="E25" s="47">
        <f t="shared" si="3"/>
        <v>0</v>
      </c>
      <c r="F25" s="47">
        <f t="shared" si="0"/>
        <v>0</v>
      </c>
      <c r="G25" s="76">
        <f>HLOOKUP(H12,建筑配置!$C$35:$M$37,3,FALSE)*G12</f>
        <v>326.25</v>
      </c>
      <c r="H25" s="47">
        <f t="shared" si="4"/>
        <v>0</v>
      </c>
      <c r="I25" s="47">
        <f t="shared" si="1"/>
        <v>0</v>
      </c>
      <c r="J25" s="76">
        <f>IFERROR(K12*HLOOKUP(L12,建筑配置!$C$52:$H$54,3,FALSE),0)</f>
        <v>1152</v>
      </c>
      <c r="K25" s="47">
        <f t="shared" si="5"/>
        <v>1008</v>
      </c>
      <c r="L25" s="76">
        <f>IFERROR(HLOOKUP(N12,建筑配置!$C$52:$H$54,3,FALSE)*M12,0)</f>
        <v>576</v>
      </c>
      <c r="M25" s="47">
        <f t="shared" si="5"/>
        <v>336</v>
      </c>
      <c r="N25" s="47">
        <f t="shared" si="2"/>
        <v>1680</v>
      </c>
    </row>
    <row r="26" spans="1:20" ht="16.5" x14ac:dyDescent="0.3">
      <c r="B26" s="48">
        <v>10</v>
      </c>
      <c r="C26" s="48">
        <v>336</v>
      </c>
      <c r="D26" s="76">
        <f>HLOOKUP(D13,建筑配置!$C$16:$M$18,3,FALSE)*C13</f>
        <v>1568.1000000000001</v>
      </c>
      <c r="E26" s="48">
        <f t="shared" si="3"/>
        <v>0</v>
      </c>
      <c r="F26" s="48">
        <f t="shared" si="0"/>
        <v>0</v>
      </c>
      <c r="G26" s="76">
        <f>HLOOKUP(H13,建筑配置!$C$35:$M$37,3,FALSE)*G13</f>
        <v>326.25</v>
      </c>
      <c r="H26" s="48">
        <f t="shared" si="4"/>
        <v>0</v>
      </c>
      <c r="I26" s="47">
        <f t="shared" si="1"/>
        <v>0</v>
      </c>
      <c r="J26" s="76">
        <f>IFERROR(K13*HLOOKUP(L13,建筑配置!$C$52:$H$54,3,FALSE),0)</f>
        <v>1728</v>
      </c>
      <c r="K26" s="47">
        <f t="shared" si="5"/>
        <v>576</v>
      </c>
      <c r="L26" s="76">
        <f>IFERROR(HLOOKUP(N13,建筑配置!$C$52:$H$54,3,FALSE)*M13,0)</f>
        <v>576</v>
      </c>
      <c r="M26" s="47">
        <f t="shared" si="5"/>
        <v>0</v>
      </c>
      <c r="N26" s="47">
        <f t="shared" si="2"/>
        <v>576</v>
      </c>
    </row>
    <row r="28" spans="1:20" s="74" customFormat="1" x14ac:dyDescent="0.15">
      <c r="A28" s="74" t="s">
        <v>181</v>
      </c>
    </row>
    <row r="30" spans="1:20" ht="15" x14ac:dyDescent="0.25">
      <c r="B30" s="46" t="s">
        <v>10</v>
      </c>
      <c r="C30" s="49" t="s">
        <v>19</v>
      </c>
      <c r="D30" s="49" t="s">
        <v>183</v>
      </c>
      <c r="E30" s="49" t="s">
        <v>194</v>
      </c>
      <c r="F30" s="49" t="s">
        <v>184</v>
      </c>
      <c r="G30" s="49" t="s">
        <v>21</v>
      </c>
      <c r="H30" s="49" t="s">
        <v>185</v>
      </c>
      <c r="I30" s="49" t="s">
        <v>195</v>
      </c>
      <c r="J30" s="49" t="s">
        <v>186</v>
      </c>
      <c r="K30" s="49" t="s">
        <v>23</v>
      </c>
      <c r="L30" s="49" t="s">
        <v>187</v>
      </c>
      <c r="M30" s="49" t="s">
        <v>24</v>
      </c>
      <c r="N30" s="49" t="s">
        <v>188</v>
      </c>
      <c r="O30" s="49" t="s">
        <v>25</v>
      </c>
      <c r="P30" s="49" t="s">
        <v>189</v>
      </c>
      <c r="Q30" s="49" t="s">
        <v>26</v>
      </c>
      <c r="R30" s="49" t="s">
        <v>190</v>
      </c>
      <c r="S30" s="49" t="s">
        <v>27</v>
      </c>
      <c r="T30" s="49" t="s">
        <v>191</v>
      </c>
    </row>
    <row r="31" spans="1:20" ht="16.5" x14ac:dyDescent="0.3">
      <c r="B31" s="47">
        <v>1</v>
      </c>
      <c r="C31" s="50">
        <v>2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</row>
    <row r="32" spans="1:20" ht="16.5" x14ac:dyDescent="0.3">
      <c r="B32" s="48">
        <v>2</v>
      </c>
      <c r="C32" s="51">
        <v>2</v>
      </c>
      <c r="D32" s="51">
        <v>3</v>
      </c>
      <c r="E32" s="51">
        <v>0</v>
      </c>
      <c r="F32" s="51">
        <v>0</v>
      </c>
      <c r="G32" s="51">
        <v>1</v>
      </c>
      <c r="H32" s="51">
        <v>2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25</v>
      </c>
      <c r="P32" s="51">
        <v>2</v>
      </c>
      <c r="Q32" s="51">
        <v>0</v>
      </c>
      <c r="R32" s="51">
        <v>0</v>
      </c>
      <c r="S32" s="51">
        <v>0</v>
      </c>
      <c r="T32" s="51">
        <v>0</v>
      </c>
    </row>
    <row r="33" spans="2:21" ht="16.5" x14ac:dyDescent="0.3">
      <c r="B33" s="47">
        <v>3</v>
      </c>
      <c r="C33" s="50">
        <v>2</v>
      </c>
      <c r="D33" s="50">
        <v>4</v>
      </c>
      <c r="E33" s="50">
        <v>1</v>
      </c>
      <c r="F33" s="50">
        <v>1</v>
      </c>
      <c r="G33" s="50">
        <v>1</v>
      </c>
      <c r="H33" s="50">
        <v>3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50</v>
      </c>
      <c r="P33" s="50">
        <v>3</v>
      </c>
      <c r="Q33" s="50">
        <v>0</v>
      </c>
      <c r="R33" s="50">
        <v>0</v>
      </c>
      <c r="S33" s="50">
        <v>0</v>
      </c>
      <c r="T33" s="50">
        <v>0</v>
      </c>
    </row>
    <row r="34" spans="2:21" ht="16.5" x14ac:dyDescent="0.3">
      <c r="B34" s="48">
        <v>4</v>
      </c>
      <c r="C34" s="51">
        <v>2</v>
      </c>
      <c r="D34" s="51">
        <v>5</v>
      </c>
      <c r="E34" s="51">
        <v>1</v>
      </c>
      <c r="F34" s="51">
        <v>2</v>
      </c>
      <c r="G34" s="51">
        <v>2</v>
      </c>
      <c r="H34" s="51">
        <v>4</v>
      </c>
      <c r="I34" s="51">
        <v>1</v>
      </c>
      <c r="J34" s="51">
        <v>2</v>
      </c>
      <c r="K34" s="51">
        <v>0</v>
      </c>
      <c r="L34" s="51">
        <v>0</v>
      </c>
      <c r="M34" s="51">
        <v>0</v>
      </c>
      <c r="N34" s="51">
        <v>0</v>
      </c>
      <c r="O34" s="51">
        <v>75</v>
      </c>
      <c r="P34" s="51">
        <v>4</v>
      </c>
      <c r="Q34" s="51">
        <v>0</v>
      </c>
      <c r="R34" s="51">
        <v>0</v>
      </c>
      <c r="S34" s="51">
        <v>0</v>
      </c>
      <c r="T34" s="51">
        <v>0</v>
      </c>
    </row>
    <row r="35" spans="2:21" ht="16.5" x14ac:dyDescent="0.3">
      <c r="B35" s="47">
        <v>5</v>
      </c>
      <c r="C35" s="50">
        <v>3</v>
      </c>
      <c r="D35" s="50">
        <v>6</v>
      </c>
      <c r="E35" s="50">
        <v>1</v>
      </c>
      <c r="F35" s="50">
        <v>3</v>
      </c>
      <c r="G35" s="50">
        <v>3</v>
      </c>
      <c r="H35" s="50">
        <v>6</v>
      </c>
      <c r="I35" s="50">
        <v>1</v>
      </c>
      <c r="J35" s="50">
        <v>3</v>
      </c>
      <c r="K35" s="50">
        <v>1</v>
      </c>
      <c r="L35" s="50">
        <v>2</v>
      </c>
      <c r="M35" s="50">
        <v>0</v>
      </c>
      <c r="N35" s="50">
        <v>0</v>
      </c>
      <c r="O35" s="50">
        <v>100</v>
      </c>
      <c r="P35" s="50">
        <v>5</v>
      </c>
      <c r="Q35" s="50">
        <v>0</v>
      </c>
      <c r="R35" s="50">
        <v>0</v>
      </c>
      <c r="S35" s="50">
        <v>0</v>
      </c>
      <c r="T35" s="50">
        <v>0</v>
      </c>
    </row>
    <row r="36" spans="2:21" ht="16.5" x14ac:dyDescent="0.3">
      <c r="B36" s="48">
        <v>6</v>
      </c>
      <c r="C36" s="51">
        <v>3</v>
      </c>
      <c r="D36" s="51">
        <v>7</v>
      </c>
      <c r="E36" s="51">
        <v>2</v>
      </c>
      <c r="F36" s="51">
        <v>4</v>
      </c>
      <c r="G36" s="51">
        <v>3</v>
      </c>
      <c r="H36" s="51">
        <v>7</v>
      </c>
      <c r="I36" s="51">
        <v>1</v>
      </c>
      <c r="J36" s="51">
        <v>4</v>
      </c>
      <c r="K36" s="51">
        <v>2</v>
      </c>
      <c r="L36" s="51">
        <v>3</v>
      </c>
      <c r="M36" s="51">
        <v>0</v>
      </c>
      <c r="N36" s="51">
        <v>0</v>
      </c>
      <c r="O36" s="51">
        <v>125</v>
      </c>
      <c r="P36" s="51">
        <v>6</v>
      </c>
      <c r="Q36" s="51">
        <v>0</v>
      </c>
      <c r="R36" s="51">
        <v>0</v>
      </c>
      <c r="S36" s="51">
        <v>0</v>
      </c>
      <c r="T36" s="51">
        <v>0</v>
      </c>
    </row>
    <row r="37" spans="2:21" ht="16.5" x14ac:dyDescent="0.3">
      <c r="B37" s="47">
        <v>7</v>
      </c>
      <c r="C37" s="50">
        <v>5</v>
      </c>
      <c r="D37" s="50">
        <v>8</v>
      </c>
      <c r="E37" s="50">
        <v>3</v>
      </c>
      <c r="F37" s="50">
        <v>5</v>
      </c>
      <c r="G37" s="50">
        <v>4</v>
      </c>
      <c r="H37" s="50">
        <v>8</v>
      </c>
      <c r="I37" s="50">
        <v>2</v>
      </c>
      <c r="J37" s="50">
        <v>5</v>
      </c>
      <c r="K37" s="50">
        <v>2</v>
      </c>
      <c r="L37" s="50">
        <v>4</v>
      </c>
      <c r="M37" s="50">
        <v>2</v>
      </c>
      <c r="N37" s="50">
        <v>3</v>
      </c>
      <c r="O37" s="50">
        <v>175</v>
      </c>
      <c r="P37" s="50">
        <v>7</v>
      </c>
      <c r="Q37" s="50">
        <v>0</v>
      </c>
      <c r="R37" s="50">
        <v>0</v>
      </c>
      <c r="S37" s="50">
        <v>0</v>
      </c>
      <c r="T37" s="50">
        <v>0</v>
      </c>
    </row>
    <row r="38" spans="2:21" ht="16.5" x14ac:dyDescent="0.3">
      <c r="B38" s="48">
        <v>8</v>
      </c>
      <c r="C38" s="51">
        <v>5</v>
      </c>
      <c r="D38" s="51">
        <v>10</v>
      </c>
      <c r="E38" s="51">
        <v>3</v>
      </c>
      <c r="F38" s="51">
        <v>6</v>
      </c>
      <c r="G38" s="51">
        <v>5</v>
      </c>
      <c r="H38" s="51">
        <v>10</v>
      </c>
      <c r="I38" s="51">
        <v>3</v>
      </c>
      <c r="J38" s="51">
        <v>6</v>
      </c>
      <c r="K38" s="51">
        <v>3</v>
      </c>
      <c r="L38" s="51">
        <v>6</v>
      </c>
      <c r="M38" s="51">
        <v>3</v>
      </c>
      <c r="N38" s="51">
        <v>6</v>
      </c>
      <c r="O38" s="51">
        <v>225</v>
      </c>
      <c r="P38" s="51">
        <v>8</v>
      </c>
      <c r="Q38" s="51">
        <v>0</v>
      </c>
      <c r="R38" s="51">
        <v>0</v>
      </c>
      <c r="S38" s="51">
        <v>0</v>
      </c>
      <c r="T38" s="51">
        <v>0</v>
      </c>
    </row>
    <row r="39" spans="2:21" ht="16.5" x14ac:dyDescent="0.3">
      <c r="B39" s="47">
        <v>9</v>
      </c>
      <c r="C39" s="50">
        <v>5</v>
      </c>
      <c r="D39" s="50">
        <v>11</v>
      </c>
      <c r="E39" s="50">
        <v>3</v>
      </c>
      <c r="F39" s="50">
        <v>7</v>
      </c>
      <c r="G39" s="50">
        <v>6</v>
      </c>
      <c r="H39" s="50">
        <v>11</v>
      </c>
      <c r="I39" s="50">
        <v>4</v>
      </c>
      <c r="J39" s="50">
        <v>7</v>
      </c>
      <c r="K39" s="50">
        <v>4</v>
      </c>
      <c r="L39" s="50">
        <v>7</v>
      </c>
      <c r="M39" s="50">
        <v>4</v>
      </c>
      <c r="N39" s="50">
        <v>7</v>
      </c>
      <c r="O39" s="50">
        <v>250</v>
      </c>
      <c r="P39" s="50">
        <v>10</v>
      </c>
      <c r="Q39" s="50">
        <v>2</v>
      </c>
      <c r="R39" s="50">
        <v>3</v>
      </c>
      <c r="S39" s="50">
        <v>0</v>
      </c>
      <c r="T39" s="50">
        <v>0</v>
      </c>
    </row>
    <row r="40" spans="2:21" ht="16.5" x14ac:dyDescent="0.3">
      <c r="B40" s="48">
        <v>10</v>
      </c>
      <c r="C40" s="51">
        <v>6</v>
      </c>
      <c r="D40" s="51">
        <v>11</v>
      </c>
      <c r="E40" s="51">
        <v>3</v>
      </c>
      <c r="F40" s="51">
        <v>7</v>
      </c>
      <c r="G40" s="51">
        <v>7</v>
      </c>
      <c r="H40" s="51">
        <v>11</v>
      </c>
      <c r="I40" s="51">
        <v>4</v>
      </c>
      <c r="J40" s="51">
        <v>8</v>
      </c>
      <c r="K40" s="51">
        <v>4</v>
      </c>
      <c r="L40" s="51">
        <v>7</v>
      </c>
      <c r="M40" s="51">
        <v>4</v>
      </c>
      <c r="N40" s="51">
        <v>7</v>
      </c>
      <c r="O40" s="51">
        <v>250</v>
      </c>
      <c r="P40" s="51">
        <v>10</v>
      </c>
      <c r="Q40" s="51">
        <v>2</v>
      </c>
      <c r="R40" s="51">
        <v>4</v>
      </c>
      <c r="S40" s="51">
        <v>1</v>
      </c>
      <c r="T40" s="51">
        <v>2</v>
      </c>
    </row>
    <row r="42" spans="2:21" x14ac:dyDescent="0.15">
      <c r="B42" t="s">
        <v>193</v>
      </c>
    </row>
    <row r="43" spans="2:21" ht="15" x14ac:dyDescent="0.25">
      <c r="B43" s="46" t="s">
        <v>10</v>
      </c>
      <c r="C43" s="75" t="s">
        <v>196</v>
      </c>
      <c r="D43" s="46" t="s">
        <v>192</v>
      </c>
      <c r="E43" s="75" t="s">
        <v>197</v>
      </c>
      <c r="F43" s="46" t="s">
        <v>20</v>
      </c>
      <c r="G43" s="75" t="s">
        <v>198</v>
      </c>
      <c r="H43" s="46" t="s">
        <v>21</v>
      </c>
      <c r="I43" s="75" t="s">
        <v>199</v>
      </c>
      <c r="J43" s="49" t="s">
        <v>195</v>
      </c>
      <c r="K43" s="49" t="s">
        <v>23</v>
      </c>
      <c r="L43" s="49" t="s">
        <v>23</v>
      </c>
      <c r="M43" s="49" t="s">
        <v>24</v>
      </c>
      <c r="N43" s="49" t="s">
        <v>24</v>
      </c>
      <c r="O43" s="49" t="s">
        <v>25</v>
      </c>
      <c r="P43" s="49" t="s">
        <v>25</v>
      </c>
      <c r="Q43" s="49" t="s">
        <v>26</v>
      </c>
      <c r="R43" s="49" t="s">
        <v>26</v>
      </c>
      <c r="S43" s="49" t="s">
        <v>27</v>
      </c>
      <c r="T43" s="49" t="s">
        <v>27</v>
      </c>
      <c r="U43" s="46" t="s">
        <v>180</v>
      </c>
    </row>
    <row r="44" spans="2:21" ht="16.5" x14ac:dyDescent="0.3">
      <c r="B44" s="47">
        <v>1</v>
      </c>
      <c r="C44" s="76">
        <f>C31*HLOOKUP(D31,建筑配置!$C$71:$M$73,3,FALSE)</f>
        <v>0.53333333333333321</v>
      </c>
      <c r="D44" s="47">
        <f>C44</f>
        <v>0.53333333333333321</v>
      </c>
      <c r="E44" s="76">
        <f>IFERROR(E31*HLOOKUP(F31,建筑配置!$C$80:$I$82,3,FALSE),0)</f>
        <v>0</v>
      </c>
      <c r="F44" s="47">
        <f>E44</f>
        <v>0</v>
      </c>
      <c r="G44" s="76">
        <f>IFERROR(G31*HLOOKUP(H31,建筑配置!$C$89:$M$91,3,FALSE),0)</f>
        <v>0</v>
      </c>
      <c r="H44" s="47">
        <f>G44</f>
        <v>0</v>
      </c>
      <c r="I44" s="76">
        <f>IFERROR(I31*HLOOKUP(J31,建筑配置!$C$98:$J$100,3,FALSE),0)</f>
        <v>0</v>
      </c>
      <c r="J44" s="47">
        <f>I44</f>
        <v>0</v>
      </c>
      <c r="K44" s="76">
        <f>IFERROR(K31*HLOOKUP(L31,建筑配置!$C$107:$I$109,3,FALSE),0)</f>
        <v>0</v>
      </c>
      <c r="L44" s="47">
        <f>K44</f>
        <v>0</v>
      </c>
      <c r="M44" s="76">
        <f>IFERROR(M31*HLOOKUP(N31,建筑配置!$C$116:$I$118,3,FALSE),0)</f>
        <v>0</v>
      </c>
      <c r="N44" s="47">
        <f>M44</f>
        <v>0</v>
      </c>
      <c r="O44" s="76">
        <v>0</v>
      </c>
      <c r="P44" s="47">
        <f>O44</f>
        <v>0</v>
      </c>
      <c r="Q44" s="76">
        <f>IFERROR(Q31*HLOOKUP(R31,建筑配置!$C$131:$F$133,3,FALSE),0)</f>
        <v>0</v>
      </c>
      <c r="R44" s="47">
        <f>Q44</f>
        <v>0</v>
      </c>
      <c r="S44" s="76">
        <f>IFERROR(S31*HLOOKUP(T31,建筑配置!$C$140:$D$142,3,FALSE),0)</f>
        <v>0</v>
      </c>
      <c r="T44" s="47">
        <f>S44</f>
        <v>0</v>
      </c>
      <c r="U44" s="47">
        <f>SUM(D44,F44,H44,J44,L44,N44,P44,R44,T44)</f>
        <v>0.53333333333333321</v>
      </c>
    </row>
    <row r="45" spans="2:21" ht="16.5" x14ac:dyDescent="0.3">
      <c r="B45" s="48">
        <v>2</v>
      </c>
      <c r="C45" s="76">
        <f>C32*HLOOKUP(D32,建筑配置!$C$71:$M$73,3,FALSE)</f>
        <v>2.0333333333333332</v>
      </c>
      <c r="D45" s="48">
        <f>C45-C44</f>
        <v>1.5</v>
      </c>
      <c r="E45" s="76">
        <f>IFERROR(E32*HLOOKUP(F32,建筑配置!$C$80:$I$82,3,FALSE),0)</f>
        <v>0</v>
      </c>
      <c r="F45" s="48">
        <f>E45-E44</f>
        <v>0</v>
      </c>
      <c r="G45" s="76">
        <f>IFERROR(G32*HLOOKUP(H32,建筑配置!$C$89:$M$91,3,FALSE),0)</f>
        <v>0.75</v>
      </c>
      <c r="H45" s="48">
        <f>G45-G44</f>
        <v>0.75</v>
      </c>
      <c r="I45" s="76">
        <f>IFERROR(I32*HLOOKUP(J32,建筑配置!$C$98:$J$100,3,FALSE),0)</f>
        <v>0</v>
      </c>
      <c r="J45" s="48">
        <f>I45-I44</f>
        <v>0</v>
      </c>
      <c r="K45" s="76">
        <f>IFERROR(K32*HLOOKUP(L32,建筑配置!$C$107:$I$109,3,FALSE),0)</f>
        <v>0</v>
      </c>
      <c r="L45" s="48">
        <f>K45-K44</f>
        <v>0</v>
      </c>
      <c r="M45" s="76">
        <f>IFERROR(M32*HLOOKUP(N32,建筑配置!$C$116:$I$118,3,FALSE),0)</f>
        <v>0</v>
      </c>
      <c r="N45" s="48">
        <f>M45-M44</f>
        <v>0</v>
      </c>
      <c r="O45" s="76">
        <v>0</v>
      </c>
      <c r="P45" s="48">
        <f>O45-O44</f>
        <v>0</v>
      </c>
      <c r="Q45" s="76">
        <f>IFERROR(Q32*HLOOKUP(R32,建筑配置!$C$131:$F$133,3,FALSE),0)</f>
        <v>0</v>
      </c>
      <c r="R45" s="48">
        <f>Q45-Q44</f>
        <v>0</v>
      </c>
      <c r="S45" s="76">
        <f>IFERROR(S32*HLOOKUP(T32,建筑配置!$C$140:$D$142,3,FALSE),0)</f>
        <v>0</v>
      </c>
      <c r="T45" s="48">
        <f>S45-S44</f>
        <v>0</v>
      </c>
      <c r="U45" s="47">
        <f t="shared" ref="U45:U53" si="6">SUM(D45,F45,H45,J45,L45,N45,P45,R45,T45)</f>
        <v>2.25</v>
      </c>
    </row>
    <row r="46" spans="2:21" ht="16.5" x14ac:dyDescent="0.3">
      <c r="B46" s="47">
        <v>3</v>
      </c>
      <c r="C46" s="76">
        <f>C33*HLOOKUP(D33,建筑配置!$C$71:$M$73,3,FALSE)</f>
        <v>6.0333333333333332</v>
      </c>
      <c r="D46" s="47">
        <f t="shared" ref="D46:F53" si="7">C46-C45</f>
        <v>4</v>
      </c>
      <c r="E46" s="76">
        <f>IFERROR(E33*HLOOKUP(F33,建筑配置!$C$80:$I$82,3,FALSE),0)</f>
        <v>8</v>
      </c>
      <c r="F46" s="47">
        <f t="shared" si="7"/>
        <v>8</v>
      </c>
      <c r="G46" s="76">
        <f>IFERROR(G33*HLOOKUP(H33,建筑配置!$C$89:$M$91,3,FALSE),0)</f>
        <v>1.5</v>
      </c>
      <c r="H46" s="47">
        <f t="shared" ref="H46:J46" si="8">G46-G45</f>
        <v>0.75</v>
      </c>
      <c r="I46" s="76">
        <f>IFERROR(I33*HLOOKUP(J33,建筑配置!$C$98:$J$100,3,FALSE),0)</f>
        <v>0</v>
      </c>
      <c r="J46" s="47">
        <f t="shared" si="8"/>
        <v>0</v>
      </c>
      <c r="K46" s="76">
        <f>IFERROR(K33*HLOOKUP(L33,建筑配置!$C$107:$I$109,3,FALSE),0)</f>
        <v>0</v>
      </c>
      <c r="L46" s="47">
        <f t="shared" ref="L46:N46" si="9">K46-K45</f>
        <v>0</v>
      </c>
      <c r="M46" s="76">
        <f>IFERROR(M33*HLOOKUP(N33,建筑配置!$C$116:$I$118,3,FALSE),0)</f>
        <v>0</v>
      </c>
      <c r="N46" s="47">
        <f t="shared" si="9"/>
        <v>0</v>
      </c>
      <c r="O46" s="76">
        <v>0</v>
      </c>
      <c r="P46" s="47">
        <f t="shared" ref="P46:R46" si="10">O46-O45</f>
        <v>0</v>
      </c>
      <c r="Q46" s="76">
        <f>IFERROR(Q33*HLOOKUP(R33,建筑配置!$C$131:$F$133,3,FALSE),0)</f>
        <v>0</v>
      </c>
      <c r="R46" s="47">
        <f t="shared" si="10"/>
        <v>0</v>
      </c>
      <c r="S46" s="76">
        <f>IFERROR(S33*HLOOKUP(T33,建筑配置!$C$140:$D$142,3,FALSE),0)</f>
        <v>0</v>
      </c>
      <c r="T46" s="47">
        <f t="shared" ref="T46" si="11">S46-S45</f>
        <v>0</v>
      </c>
      <c r="U46" s="47">
        <f t="shared" si="6"/>
        <v>12.75</v>
      </c>
    </row>
    <row r="47" spans="2:21" ht="16.5" x14ac:dyDescent="0.3">
      <c r="B47" s="48">
        <v>4</v>
      </c>
      <c r="C47" s="76">
        <f>C34*HLOOKUP(D34,建筑配置!$C$71:$M$73,3,FALSE)</f>
        <v>18.033333333333331</v>
      </c>
      <c r="D47" s="48">
        <f t="shared" si="7"/>
        <v>11.999999999999998</v>
      </c>
      <c r="E47" s="76">
        <f>IFERROR(E34*HLOOKUP(F34,建筑配置!$C$80:$I$82,3,FALSE),0)</f>
        <v>20</v>
      </c>
      <c r="F47" s="48">
        <f t="shared" si="7"/>
        <v>12</v>
      </c>
      <c r="G47" s="76">
        <f>IFERROR(G34*HLOOKUP(H34,建筑配置!$C$89:$M$91,3,FALSE),0)</f>
        <v>11</v>
      </c>
      <c r="H47" s="48">
        <f t="shared" ref="H47:J47" si="12">G47-G46</f>
        <v>9.5</v>
      </c>
      <c r="I47" s="76">
        <f>IFERROR(I34*HLOOKUP(J34,建筑配置!$C$98:$J$100,3,FALSE),0)</f>
        <v>29</v>
      </c>
      <c r="J47" s="48">
        <f t="shared" si="12"/>
        <v>29</v>
      </c>
      <c r="K47" s="76">
        <f>IFERROR(K34*HLOOKUP(L34,建筑配置!$C$107:$I$109,3,FALSE),0)</f>
        <v>0</v>
      </c>
      <c r="L47" s="48">
        <f t="shared" ref="L47:N47" si="13">K47-K46</f>
        <v>0</v>
      </c>
      <c r="M47" s="76">
        <f>IFERROR(M34*HLOOKUP(N34,建筑配置!$C$116:$I$118,3,FALSE),0)</f>
        <v>0</v>
      </c>
      <c r="N47" s="48">
        <f t="shared" si="13"/>
        <v>0</v>
      </c>
      <c r="O47" s="76">
        <v>0</v>
      </c>
      <c r="P47" s="48">
        <f t="shared" ref="P47:R47" si="14">O47-O46</f>
        <v>0</v>
      </c>
      <c r="Q47" s="76">
        <f>IFERROR(Q34*HLOOKUP(R34,建筑配置!$C$131:$F$133,3,FALSE),0)</f>
        <v>0</v>
      </c>
      <c r="R47" s="48">
        <f t="shared" si="14"/>
        <v>0</v>
      </c>
      <c r="S47" s="76">
        <f>IFERROR(S34*HLOOKUP(T34,建筑配置!$C$140:$D$142,3,FALSE),0)</f>
        <v>0</v>
      </c>
      <c r="T47" s="48">
        <f t="shared" ref="T47" si="15">S47-S46</f>
        <v>0</v>
      </c>
      <c r="U47" s="47">
        <f t="shared" si="6"/>
        <v>62.5</v>
      </c>
    </row>
    <row r="48" spans="2:21" ht="16.5" x14ac:dyDescent="0.3">
      <c r="B48" s="47">
        <v>5</v>
      </c>
      <c r="C48" s="76">
        <f>C35*HLOOKUP(D35,建筑配置!$C$71:$M$73,3,FALSE)</f>
        <v>63.05</v>
      </c>
      <c r="D48" s="47">
        <f t="shared" si="7"/>
        <v>45.016666666666666</v>
      </c>
      <c r="E48" s="76">
        <f>IFERROR(E35*HLOOKUP(F35,建筑配置!$C$80:$I$82,3,FALSE),0)</f>
        <v>44</v>
      </c>
      <c r="F48" s="47">
        <f t="shared" si="7"/>
        <v>24</v>
      </c>
      <c r="G48" s="76">
        <f>IFERROR(G35*HLOOKUP(H35,建筑配置!$C$89:$M$91,3,FALSE),0)</f>
        <v>124.5</v>
      </c>
      <c r="H48" s="47">
        <f t="shared" ref="H48:J48" si="16">G48-G47</f>
        <v>113.5</v>
      </c>
      <c r="I48" s="76">
        <f>IFERROR(I35*HLOOKUP(J35,建筑配置!$C$98:$J$100,3,FALSE),0)</f>
        <v>101</v>
      </c>
      <c r="J48" s="47">
        <f t="shared" si="16"/>
        <v>72</v>
      </c>
      <c r="K48" s="76">
        <f>IFERROR(K35*HLOOKUP(L35,建筑配置!$C$107:$I$109,3,FALSE),0)</f>
        <v>36</v>
      </c>
      <c r="L48" s="47">
        <f t="shared" ref="L48:N48" si="17">K48-K47</f>
        <v>36</v>
      </c>
      <c r="M48" s="76">
        <f>IFERROR(M35*HLOOKUP(N35,建筑配置!$C$116:$I$118,3,FALSE),0)</f>
        <v>0</v>
      </c>
      <c r="N48" s="47">
        <f t="shared" si="17"/>
        <v>0</v>
      </c>
      <c r="O48" s="76">
        <v>0</v>
      </c>
      <c r="P48" s="47">
        <f t="shared" ref="P48:R48" si="18">O48-O47</f>
        <v>0</v>
      </c>
      <c r="Q48" s="76">
        <f>IFERROR(Q35*HLOOKUP(R35,建筑配置!$C$131:$F$133,3,FALSE),0)</f>
        <v>0</v>
      </c>
      <c r="R48" s="47">
        <f t="shared" si="18"/>
        <v>0</v>
      </c>
      <c r="S48" s="76">
        <f>IFERROR(S35*HLOOKUP(T35,建筑配置!$C$140:$D$142,3,FALSE),0)</f>
        <v>0</v>
      </c>
      <c r="T48" s="47">
        <f t="shared" ref="T48" si="19">S48-S47</f>
        <v>0</v>
      </c>
      <c r="U48" s="47">
        <f t="shared" si="6"/>
        <v>290.51666666666665</v>
      </c>
    </row>
    <row r="49" spans="1:21" ht="16.5" x14ac:dyDescent="0.3">
      <c r="B49" s="48">
        <v>6</v>
      </c>
      <c r="C49" s="76">
        <f>C36*HLOOKUP(D36,建筑配置!$C$71:$M$73,3,FALSE)</f>
        <v>135.05000000000001</v>
      </c>
      <c r="D49" s="48">
        <f t="shared" si="7"/>
        <v>72.000000000000014</v>
      </c>
      <c r="E49" s="76">
        <f>IFERROR(E36*HLOOKUP(F36,建筑配置!$C$80:$I$82,3,FALSE),0)</f>
        <v>184</v>
      </c>
      <c r="F49" s="48">
        <f t="shared" si="7"/>
        <v>140</v>
      </c>
      <c r="G49" s="76">
        <f>IFERROR(G36*HLOOKUP(H36,建筑配置!$C$89:$M$91,3,FALSE),0)</f>
        <v>340.49999999999994</v>
      </c>
      <c r="H49" s="48">
        <f t="shared" ref="H49:J49" si="20">G49-G48</f>
        <v>215.99999999999994</v>
      </c>
      <c r="I49" s="76">
        <f>IFERROR(I36*HLOOKUP(J36,建筑配置!$C$98:$J$100,3,FALSE),0)</f>
        <v>220.99999999999997</v>
      </c>
      <c r="J49" s="48">
        <f t="shared" si="20"/>
        <v>119.99999999999997</v>
      </c>
      <c r="K49" s="76">
        <f>IFERROR(K36*HLOOKUP(L36,建筑配置!$C$107:$I$109,3,FALSE),0)</f>
        <v>168</v>
      </c>
      <c r="L49" s="48">
        <f t="shared" ref="L49:N49" si="21">K49-K48</f>
        <v>132</v>
      </c>
      <c r="M49" s="76">
        <f>IFERROR(M36*HLOOKUP(N36,建筑配置!$C$116:$I$118,3,FALSE),0)</f>
        <v>0</v>
      </c>
      <c r="N49" s="48">
        <f t="shared" si="21"/>
        <v>0</v>
      </c>
      <c r="O49" s="76">
        <v>0</v>
      </c>
      <c r="P49" s="48">
        <f t="shared" ref="P49:R49" si="22">O49-O48</f>
        <v>0</v>
      </c>
      <c r="Q49" s="76">
        <f>IFERROR(Q36*HLOOKUP(R36,建筑配置!$C$131:$F$133,3,FALSE),0)</f>
        <v>0</v>
      </c>
      <c r="R49" s="48">
        <f t="shared" si="22"/>
        <v>0</v>
      </c>
      <c r="S49" s="76">
        <f>IFERROR(S36*HLOOKUP(T36,建筑配置!$C$140:$D$142,3,FALSE),0)</f>
        <v>0</v>
      </c>
      <c r="T49" s="48">
        <f t="shared" ref="T49" si="23">S49-S48</f>
        <v>0</v>
      </c>
      <c r="U49" s="47">
        <f t="shared" si="6"/>
        <v>679.99999999999989</v>
      </c>
    </row>
    <row r="50" spans="1:21" ht="16.5" x14ac:dyDescent="0.3">
      <c r="B50" s="47">
        <v>7</v>
      </c>
      <c r="C50" s="76">
        <f>C37*HLOOKUP(D37,建筑配置!$C$71:$M$73,3,FALSE)</f>
        <v>465.08333333333331</v>
      </c>
      <c r="D50" s="47">
        <f t="shared" si="7"/>
        <v>330.0333333333333</v>
      </c>
      <c r="E50" s="76">
        <f>IFERROR(E37*HLOOKUP(F37,建筑配置!$C$80:$I$82,3,FALSE),0)</f>
        <v>564</v>
      </c>
      <c r="F50" s="47">
        <f t="shared" si="7"/>
        <v>380</v>
      </c>
      <c r="G50" s="76">
        <f>IFERROR(G37*HLOOKUP(H37,建筑配置!$C$89:$M$91,3,FALSE),0)</f>
        <v>838</v>
      </c>
      <c r="H50" s="47">
        <f t="shared" ref="H50:J50" si="24">G50-G49</f>
        <v>497.50000000000006</v>
      </c>
      <c r="I50" s="76">
        <f>IFERROR(I37*HLOOKUP(J37,建筑配置!$C$98:$J$100,3,FALSE),0)</f>
        <v>730</v>
      </c>
      <c r="J50" s="47">
        <f t="shared" si="24"/>
        <v>509</v>
      </c>
      <c r="K50" s="76">
        <f>IFERROR(K37*HLOOKUP(L37,建筑配置!$C$107:$I$109,3,FALSE),0)</f>
        <v>360</v>
      </c>
      <c r="L50" s="47">
        <f t="shared" ref="L50:N50" si="25">K50-K49</f>
        <v>192</v>
      </c>
      <c r="M50" s="76">
        <f>IFERROR(M37*HLOOKUP(N37,建筑配置!$C$116:$I$118,3,FALSE),0)</f>
        <v>576</v>
      </c>
      <c r="N50" s="47">
        <f t="shared" si="25"/>
        <v>576</v>
      </c>
      <c r="O50" s="76">
        <v>0</v>
      </c>
      <c r="P50" s="47">
        <f t="shared" ref="P50:R50" si="26">O50-O49</f>
        <v>0</v>
      </c>
      <c r="Q50" s="76">
        <f>IFERROR(Q37*HLOOKUP(R37,建筑配置!$C$131:$F$133,3,FALSE),0)</f>
        <v>0</v>
      </c>
      <c r="R50" s="47">
        <f t="shared" si="26"/>
        <v>0</v>
      </c>
      <c r="S50" s="76">
        <f>IFERROR(S37*HLOOKUP(T37,建筑配置!$C$140:$D$142,3,FALSE),0)</f>
        <v>0</v>
      </c>
      <c r="T50" s="47">
        <f t="shared" ref="T50" si="27">S50-S49</f>
        <v>0</v>
      </c>
      <c r="U50" s="47">
        <f t="shared" si="6"/>
        <v>2484.5333333333333</v>
      </c>
    </row>
    <row r="51" spans="1:21" ht="16.5" x14ac:dyDescent="0.3">
      <c r="B51" s="48">
        <v>8</v>
      </c>
      <c r="C51" s="76">
        <f>C38*HLOOKUP(D38,建筑配置!$C$71:$M$73,3,FALSE)</f>
        <v>1305.0833333333333</v>
      </c>
      <c r="D51" s="48">
        <f t="shared" si="7"/>
        <v>840</v>
      </c>
      <c r="E51" s="76">
        <f>IFERROR(E38*HLOOKUP(F38,建筑配置!$C$80:$I$82,3,FALSE),0)</f>
        <v>924</v>
      </c>
      <c r="F51" s="48">
        <f t="shared" si="7"/>
        <v>360</v>
      </c>
      <c r="G51" s="76">
        <f>IFERROR(G38*HLOOKUP(H38,建筑配置!$C$89:$M$91,3,FALSE),0)</f>
        <v>2367.4999999999995</v>
      </c>
      <c r="H51" s="48">
        <f t="shared" ref="H51:J51" si="28">G51-G50</f>
        <v>1529.4999999999995</v>
      </c>
      <c r="I51" s="76">
        <f>IFERROR(I38*HLOOKUP(J38,建筑配置!$C$98:$J$100,3,FALSE),0)</f>
        <v>1671</v>
      </c>
      <c r="J51" s="48">
        <f t="shared" si="28"/>
        <v>941</v>
      </c>
      <c r="K51" s="76">
        <f>IFERROR(K38*HLOOKUP(L38,建筑配置!$C$107:$I$109,3,FALSE),0)</f>
        <v>1548</v>
      </c>
      <c r="L51" s="48">
        <f t="shared" ref="L51:N51" si="29">K51-K50</f>
        <v>1188</v>
      </c>
      <c r="M51" s="76">
        <f>IFERROR(M38*HLOOKUP(N38,建筑配置!$C$116:$I$118,3,FALSE),0)</f>
        <v>3024</v>
      </c>
      <c r="N51" s="48">
        <f t="shared" si="29"/>
        <v>2448</v>
      </c>
      <c r="O51" s="76">
        <v>0</v>
      </c>
      <c r="P51" s="48">
        <f t="shared" ref="P51:R51" si="30">O51-O50</f>
        <v>0</v>
      </c>
      <c r="Q51" s="76">
        <f>IFERROR(Q38*HLOOKUP(R38,建筑配置!$C$131:$F$133,3,FALSE),0)</f>
        <v>0</v>
      </c>
      <c r="R51" s="48">
        <f t="shared" si="30"/>
        <v>0</v>
      </c>
      <c r="S51" s="76">
        <f>IFERROR(S38*HLOOKUP(T38,建筑配置!$C$140:$D$142,3,FALSE),0)</f>
        <v>0</v>
      </c>
      <c r="T51" s="48">
        <f t="shared" ref="T51" si="31">S51-S50</f>
        <v>0</v>
      </c>
      <c r="U51" s="47">
        <f t="shared" si="6"/>
        <v>7306.5</v>
      </c>
    </row>
    <row r="52" spans="1:21" ht="16.5" x14ac:dyDescent="0.3">
      <c r="B52" s="47">
        <v>9</v>
      </c>
      <c r="C52" s="76">
        <f>C39*HLOOKUP(D39,建筑配置!$C$71:$M$73,3,FALSE)</f>
        <v>1905.0833333333333</v>
      </c>
      <c r="D52" s="47">
        <f t="shared" si="7"/>
        <v>600</v>
      </c>
      <c r="E52" s="76">
        <f>IFERROR(E39*HLOOKUP(F39,建筑配置!$C$80:$I$82,3,FALSE),0)</f>
        <v>1428</v>
      </c>
      <c r="F52" s="47">
        <f t="shared" si="7"/>
        <v>504</v>
      </c>
      <c r="G52" s="76">
        <f>IFERROR(G39*HLOOKUP(H39,建筑配置!$C$89:$M$91,3,FALSE),0)</f>
        <v>3849</v>
      </c>
      <c r="H52" s="47">
        <f t="shared" ref="H52:J52" si="32">G52-G51</f>
        <v>1481.5000000000005</v>
      </c>
      <c r="I52" s="76">
        <f>IFERROR(I39*HLOOKUP(J39,建筑配置!$C$98:$J$100,3,FALSE),0)</f>
        <v>3187.9999999999995</v>
      </c>
      <c r="J52" s="47">
        <f t="shared" si="32"/>
        <v>1516.9999999999995</v>
      </c>
      <c r="K52" s="76">
        <f>IFERROR(K39*HLOOKUP(L39,建筑配置!$C$107:$I$109,3,FALSE),0)</f>
        <v>3024</v>
      </c>
      <c r="L52" s="47">
        <f t="shared" ref="L52:N52" si="33">K52-K51</f>
        <v>1476</v>
      </c>
      <c r="M52" s="76">
        <f>IFERROR(M39*HLOOKUP(N39,建筑配置!$C$116:$I$118,3,FALSE),0)</f>
        <v>5376</v>
      </c>
      <c r="N52" s="47">
        <f t="shared" si="33"/>
        <v>2352</v>
      </c>
      <c r="O52" s="76">
        <v>0</v>
      </c>
      <c r="P52" s="47">
        <f t="shared" ref="P52:R52" si="34">O52-O51</f>
        <v>0</v>
      </c>
      <c r="Q52" s="76">
        <f>IFERROR(Q39*HLOOKUP(R39,建筑配置!$C$131:$F$133,3,FALSE),0)</f>
        <v>1488</v>
      </c>
      <c r="R52" s="47">
        <f t="shared" si="34"/>
        <v>1488</v>
      </c>
      <c r="S52" s="76">
        <f>IFERROR(S39*HLOOKUP(T39,建筑配置!$C$140:$D$142,3,FALSE),0)</f>
        <v>0</v>
      </c>
      <c r="T52" s="47">
        <f t="shared" ref="T52" si="35">S52-S51</f>
        <v>0</v>
      </c>
      <c r="U52" s="47">
        <f t="shared" si="6"/>
        <v>9418.5</v>
      </c>
    </row>
    <row r="53" spans="1:21" ht="16.5" x14ac:dyDescent="0.3">
      <c r="B53" s="48">
        <v>10</v>
      </c>
      <c r="C53" s="76">
        <f>C40*HLOOKUP(D40,建筑配置!$C$71:$M$73,3,FALSE)</f>
        <v>2286.1</v>
      </c>
      <c r="D53" s="48">
        <f t="shared" si="7"/>
        <v>381.01666666666665</v>
      </c>
      <c r="E53" s="76">
        <f>IFERROR(E40*HLOOKUP(F40,建筑配置!$C$80:$I$82,3,FALSE),0)</f>
        <v>1428</v>
      </c>
      <c r="F53" s="48">
        <f t="shared" si="7"/>
        <v>0</v>
      </c>
      <c r="G53" s="76">
        <f>IFERROR(G40*HLOOKUP(H40,建筑配置!$C$89:$M$91,3,FALSE),0)</f>
        <v>4490.5</v>
      </c>
      <c r="H53" s="48">
        <f t="shared" ref="H53:J53" si="36">G53-G52</f>
        <v>641.5</v>
      </c>
      <c r="I53" s="76">
        <f>IFERROR(I40*HLOOKUP(J40,建筑配置!$C$98:$J$100,3,FALSE),0)</f>
        <v>4340</v>
      </c>
      <c r="J53" s="48">
        <f t="shared" si="36"/>
        <v>1152.0000000000005</v>
      </c>
      <c r="K53" s="76">
        <f>IFERROR(K40*HLOOKUP(L40,建筑配置!$C$107:$I$109,3,FALSE),0)</f>
        <v>3024</v>
      </c>
      <c r="L53" s="48">
        <f t="shared" ref="L53:N53" si="37">K53-K52</f>
        <v>0</v>
      </c>
      <c r="M53" s="76">
        <f>IFERROR(M40*HLOOKUP(N40,建筑配置!$C$116:$I$118,3,FALSE),0)</f>
        <v>5376</v>
      </c>
      <c r="N53" s="48">
        <f t="shared" si="37"/>
        <v>0</v>
      </c>
      <c r="O53" s="76">
        <v>0</v>
      </c>
      <c r="P53" s="48">
        <f t="shared" ref="P53:R53" si="38">O53-O52</f>
        <v>0</v>
      </c>
      <c r="Q53" s="76">
        <f>IFERROR(Q40*HLOOKUP(R40,建筑配置!$C$131:$F$133,3,FALSE),0)</f>
        <v>2160</v>
      </c>
      <c r="R53" s="48">
        <f t="shared" si="38"/>
        <v>672</v>
      </c>
      <c r="S53" s="76">
        <f>IFERROR(S40*HLOOKUP(T40,建筑配置!$C$140:$D$142,3,FALSE),0)</f>
        <v>408</v>
      </c>
      <c r="T53" s="48">
        <f t="shared" ref="T53" si="39">S53-S52</f>
        <v>408</v>
      </c>
      <c r="U53" s="47">
        <f t="shared" si="6"/>
        <v>3254.5166666666673</v>
      </c>
    </row>
    <row r="55" spans="1:21" s="74" customFormat="1" x14ac:dyDescent="0.15">
      <c r="A55" s="74" t="s">
        <v>200</v>
      </c>
    </row>
    <row r="57" spans="1:21" ht="15" x14ac:dyDescent="0.15">
      <c r="B57" s="71" t="s">
        <v>10</v>
      </c>
      <c r="C57" s="78" t="s">
        <v>202</v>
      </c>
      <c r="D57" s="78" t="s">
        <v>201</v>
      </c>
      <c r="E57" s="78" t="s">
        <v>34</v>
      </c>
      <c r="F57" s="78" t="s">
        <v>203</v>
      </c>
      <c r="G57" s="78" t="s">
        <v>35</v>
      </c>
      <c r="H57" s="78" t="s">
        <v>204</v>
      </c>
      <c r="I57" s="78" t="s">
        <v>36</v>
      </c>
      <c r="J57" s="78" t="s">
        <v>205</v>
      </c>
      <c r="K57" s="78" t="s">
        <v>37</v>
      </c>
      <c r="L57" s="78" t="s">
        <v>206</v>
      </c>
    </row>
    <row r="58" spans="1:21" ht="16.5" x14ac:dyDescent="0.15">
      <c r="B58" s="72">
        <v>1</v>
      </c>
      <c r="C58" s="79">
        <v>1</v>
      </c>
      <c r="D58" s="79">
        <v>1</v>
      </c>
      <c r="E58" s="79">
        <v>1</v>
      </c>
      <c r="F58" s="79">
        <v>3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</row>
    <row r="59" spans="1:21" ht="16.5" x14ac:dyDescent="0.15">
      <c r="B59" s="73">
        <v>2</v>
      </c>
      <c r="C59" s="80">
        <v>1</v>
      </c>
      <c r="D59" s="80">
        <v>2</v>
      </c>
      <c r="E59" s="80">
        <v>2</v>
      </c>
      <c r="F59" s="80">
        <v>4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</row>
    <row r="60" spans="1:21" ht="16.5" x14ac:dyDescent="0.15">
      <c r="B60" s="72">
        <v>3</v>
      </c>
      <c r="C60" s="79">
        <v>2</v>
      </c>
      <c r="D60" s="79">
        <v>3</v>
      </c>
      <c r="E60" s="79">
        <v>2</v>
      </c>
      <c r="F60" s="79">
        <v>5</v>
      </c>
      <c r="G60" s="79">
        <v>0</v>
      </c>
      <c r="H60" s="79">
        <v>0</v>
      </c>
      <c r="I60" s="79">
        <v>1</v>
      </c>
      <c r="J60" s="79">
        <v>1</v>
      </c>
      <c r="K60" s="79">
        <v>0</v>
      </c>
      <c r="L60" s="79">
        <v>0</v>
      </c>
    </row>
    <row r="61" spans="1:21" ht="16.5" x14ac:dyDescent="0.15">
      <c r="B61" s="73">
        <v>4</v>
      </c>
      <c r="C61" s="80">
        <v>2</v>
      </c>
      <c r="D61" s="80">
        <v>4</v>
      </c>
      <c r="E61" s="80">
        <v>3</v>
      </c>
      <c r="F61" s="80">
        <v>6</v>
      </c>
      <c r="G61" s="80">
        <v>0</v>
      </c>
      <c r="H61" s="80">
        <v>0</v>
      </c>
      <c r="I61" s="80">
        <v>1</v>
      </c>
      <c r="J61" s="80">
        <v>2</v>
      </c>
      <c r="K61" s="80">
        <v>0</v>
      </c>
      <c r="L61" s="80">
        <v>0</v>
      </c>
    </row>
    <row r="62" spans="1:21" ht="16.5" x14ac:dyDescent="0.15">
      <c r="B62" s="72">
        <v>5</v>
      </c>
      <c r="C62" s="79">
        <v>3</v>
      </c>
      <c r="D62" s="79">
        <v>5</v>
      </c>
      <c r="E62" s="79">
        <v>3</v>
      </c>
      <c r="F62" s="79">
        <v>7</v>
      </c>
      <c r="G62" s="79">
        <v>0</v>
      </c>
      <c r="H62" s="79">
        <v>0</v>
      </c>
      <c r="I62" s="79">
        <v>1</v>
      </c>
      <c r="J62" s="79">
        <v>3</v>
      </c>
      <c r="K62" s="79">
        <v>1</v>
      </c>
      <c r="L62" s="79">
        <v>1</v>
      </c>
    </row>
    <row r="63" spans="1:21" ht="16.5" x14ac:dyDescent="0.15">
      <c r="B63" s="73">
        <v>6</v>
      </c>
      <c r="C63" s="80">
        <v>3</v>
      </c>
      <c r="D63" s="80">
        <v>6</v>
      </c>
      <c r="E63" s="80">
        <v>3</v>
      </c>
      <c r="F63" s="80">
        <v>8</v>
      </c>
      <c r="G63" s="80">
        <v>0</v>
      </c>
      <c r="H63" s="80">
        <v>0</v>
      </c>
      <c r="I63" s="80">
        <v>1</v>
      </c>
      <c r="J63" s="80">
        <v>4</v>
      </c>
      <c r="K63" s="80">
        <v>1</v>
      </c>
      <c r="L63" s="80">
        <v>2</v>
      </c>
    </row>
    <row r="64" spans="1:21" ht="16.5" x14ac:dyDescent="0.15">
      <c r="B64" s="72">
        <v>7</v>
      </c>
      <c r="C64" s="79">
        <v>4</v>
      </c>
      <c r="D64" s="79">
        <v>7</v>
      </c>
      <c r="E64" s="79">
        <v>4</v>
      </c>
      <c r="F64" s="79">
        <v>9</v>
      </c>
      <c r="G64" s="79">
        <v>1</v>
      </c>
      <c r="H64" s="79">
        <v>2</v>
      </c>
      <c r="I64" s="79">
        <v>1</v>
      </c>
      <c r="J64" s="79">
        <v>5</v>
      </c>
      <c r="K64" s="79">
        <v>1</v>
      </c>
      <c r="L64" s="79">
        <v>3</v>
      </c>
    </row>
    <row r="65" spans="2:13" ht="16.5" x14ac:dyDescent="0.15">
      <c r="B65" s="73">
        <v>8</v>
      </c>
      <c r="C65" s="80">
        <v>4</v>
      </c>
      <c r="D65" s="80">
        <v>7</v>
      </c>
      <c r="E65" s="80">
        <v>4</v>
      </c>
      <c r="F65" s="80">
        <v>10</v>
      </c>
      <c r="G65" s="80">
        <v>2</v>
      </c>
      <c r="H65" s="80">
        <v>4</v>
      </c>
      <c r="I65" s="80">
        <v>1</v>
      </c>
      <c r="J65" s="80">
        <v>6</v>
      </c>
      <c r="K65" s="80">
        <v>1</v>
      </c>
      <c r="L65" s="80">
        <v>4</v>
      </c>
    </row>
    <row r="66" spans="2:13" ht="16.5" x14ac:dyDescent="0.15">
      <c r="B66" s="72">
        <v>9</v>
      </c>
      <c r="C66" s="79">
        <v>4</v>
      </c>
      <c r="D66" s="79">
        <v>7</v>
      </c>
      <c r="E66" s="79">
        <v>4</v>
      </c>
      <c r="F66" s="79">
        <v>10</v>
      </c>
      <c r="G66" s="79">
        <v>2</v>
      </c>
      <c r="H66" s="79">
        <v>4</v>
      </c>
      <c r="I66" s="79">
        <v>1</v>
      </c>
      <c r="J66" s="79">
        <v>7</v>
      </c>
      <c r="K66" s="79">
        <v>1</v>
      </c>
      <c r="L66" s="79">
        <v>4</v>
      </c>
    </row>
    <row r="67" spans="2:13" ht="16.5" x14ac:dyDescent="0.15">
      <c r="B67" s="73">
        <v>10</v>
      </c>
      <c r="C67" s="80">
        <v>4</v>
      </c>
      <c r="D67" s="80">
        <v>7</v>
      </c>
      <c r="E67" s="80">
        <v>4</v>
      </c>
      <c r="F67" s="80">
        <v>10</v>
      </c>
      <c r="G67" s="80">
        <v>2</v>
      </c>
      <c r="H67" s="80">
        <v>4</v>
      </c>
      <c r="I67" s="80">
        <v>1</v>
      </c>
      <c r="J67" s="80">
        <v>8</v>
      </c>
      <c r="K67" s="80">
        <v>1</v>
      </c>
      <c r="L67" s="80">
        <v>4</v>
      </c>
    </row>
    <row r="69" spans="2:13" x14ac:dyDescent="0.15">
      <c r="B69" t="s">
        <v>193</v>
      </c>
    </row>
    <row r="70" spans="2:13" ht="15" x14ac:dyDescent="0.25">
      <c r="B70" s="46" t="s">
        <v>10</v>
      </c>
      <c r="C70" s="75" t="s">
        <v>339</v>
      </c>
      <c r="D70" s="46" t="s">
        <v>339</v>
      </c>
      <c r="E70" s="78" t="s">
        <v>34</v>
      </c>
      <c r="F70" s="78" t="s">
        <v>34</v>
      </c>
      <c r="G70" s="78" t="s">
        <v>35</v>
      </c>
      <c r="H70" s="78" t="s">
        <v>35</v>
      </c>
      <c r="I70" s="78" t="s">
        <v>36</v>
      </c>
      <c r="J70" s="78" t="s">
        <v>36</v>
      </c>
      <c r="K70" s="78" t="s">
        <v>37</v>
      </c>
      <c r="L70" s="78" t="s">
        <v>37</v>
      </c>
      <c r="M70" s="46" t="s">
        <v>180</v>
      </c>
    </row>
    <row r="71" spans="2:13" ht="16.5" x14ac:dyDescent="0.3">
      <c r="B71" s="47">
        <v>1</v>
      </c>
      <c r="C71" s="76">
        <f>C58*HLOOKUP(D58,建筑配置!$C$151:$I$153,3,FALSE)</f>
        <v>8.3333333333333329E-2</v>
      </c>
      <c r="D71" s="47">
        <f>C71</f>
        <v>8.3333333333333329E-2</v>
      </c>
      <c r="E71" s="76">
        <f>E58*HLOOKUP(F58,建筑配置!$C$160:$L$162,3,FALSE)</f>
        <v>2.2666666666666666</v>
      </c>
      <c r="F71" s="47">
        <f>E71</f>
        <v>2.2666666666666666</v>
      </c>
      <c r="G71" s="76">
        <f>IFERROR(G58*HLOOKUP(H58,建筑配置!$C$169:$F$171,3,FALSE),0)</f>
        <v>0</v>
      </c>
      <c r="H71" s="47">
        <f>G71</f>
        <v>0</v>
      </c>
      <c r="I71" s="76">
        <f>IFERROR(I58*HLOOKUP(J58,建筑配置!$C$178:$M$180,3,FALSE),0)</f>
        <v>0</v>
      </c>
      <c r="J71" s="47">
        <f>I71</f>
        <v>0</v>
      </c>
      <c r="K71" s="76">
        <f>IFERROR(K58*HLOOKUP(L58,建筑配置!$C$240:$F$242,3,FALSE),0)</f>
        <v>0</v>
      </c>
      <c r="L71" s="47">
        <f>K71</f>
        <v>0</v>
      </c>
      <c r="M71" s="47">
        <f>SUM(D71,F71,H71,J71,L71)</f>
        <v>2.35</v>
      </c>
    </row>
    <row r="72" spans="2:13" ht="16.5" x14ac:dyDescent="0.3">
      <c r="B72" s="48">
        <v>2</v>
      </c>
      <c r="C72" s="76">
        <f>C59*HLOOKUP(D59,建筑配置!$C$151:$I$153,3,FALSE)</f>
        <v>1.0833333333333333</v>
      </c>
      <c r="D72" s="48">
        <f>C72-C71</f>
        <v>0.99999999999999989</v>
      </c>
      <c r="E72" s="76">
        <f>E59*HLOOKUP(F59,建筑配置!$C$160:$L$162,3,FALSE)</f>
        <v>12.533333333333331</v>
      </c>
      <c r="F72" s="48">
        <f>E72-E71</f>
        <v>10.266666666666666</v>
      </c>
      <c r="G72" s="76">
        <f>IFERROR(G59*HLOOKUP(H59,建筑配置!$C$169:$F$171,3,FALSE),0)</f>
        <v>0</v>
      </c>
      <c r="H72" s="48">
        <f>G72-G71</f>
        <v>0</v>
      </c>
      <c r="I72" s="76">
        <f>IFERROR(I59*HLOOKUP(J59,建筑配置!$C$178:$M$180,3,FALSE),0)</f>
        <v>0</v>
      </c>
      <c r="J72" s="48">
        <f>I72-I71</f>
        <v>0</v>
      </c>
      <c r="K72" s="76">
        <f>IFERROR(K59*HLOOKUP(L59,建筑配置!$C$240:$F$242,3,FALSE),0)</f>
        <v>0</v>
      </c>
      <c r="L72" s="48">
        <f>K72-K71</f>
        <v>0</v>
      </c>
      <c r="M72" s="48">
        <f t="shared" ref="M72:M80" si="40">SUM(D72,F72,H72,J72,L72)</f>
        <v>11.266666666666666</v>
      </c>
    </row>
    <row r="73" spans="2:13" ht="16.5" x14ac:dyDescent="0.3">
      <c r="B73" s="47">
        <v>3</v>
      </c>
      <c r="C73" s="76">
        <f>C60*HLOOKUP(D60,建筑配置!$C$151:$I$153,3,FALSE)</f>
        <v>8.1666666666666679</v>
      </c>
      <c r="D73" s="47">
        <f t="shared" ref="D73:F73" si="41">C73-C72</f>
        <v>7.0833333333333348</v>
      </c>
      <c r="E73" s="76">
        <f>E60*HLOOKUP(F60,建筑配置!$C$160:$L$162,3,FALSE)</f>
        <v>32.533333333333331</v>
      </c>
      <c r="F73" s="47">
        <f t="shared" si="41"/>
        <v>20</v>
      </c>
      <c r="G73" s="76">
        <f>IFERROR(G60*HLOOKUP(H60,建筑配置!$C$169:$F$171,3,FALSE),0)</f>
        <v>0</v>
      </c>
      <c r="H73" s="47">
        <f t="shared" ref="H73" si="42">G73-G72</f>
        <v>0</v>
      </c>
      <c r="I73" s="76">
        <f>IFERROR(I60*HLOOKUP(J60,建筑配置!$C$178:$M$180,3,FALSE),0)</f>
        <v>0.5</v>
      </c>
      <c r="J73" s="47">
        <f t="shared" ref="J73" si="43">I73-I72</f>
        <v>0.5</v>
      </c>
      <c r="K73" s="76">
        <f>IFERROR(K60*HLOOKUP(L60,建筑配置!$C$240:$F$242,3,FALSE),0)</f>
        <v>0</v>
      </c>
      <c r="L73" s="47">
        <f t="shared" ref="L73" si="44">K73-K72</f>
        <v>0</v>
      </c>
      <c r="M73" s="47">
        <f t="shared" si="40"/>
        <v>27.583333333333336</v>
      </c>
    </row>
    <row r="74" spans="2:13" ht="16.5" x14ac:dyDescent="0.3">
      <c r="B74" s="48">
        <v>4</v>
      </c>
      <c r="C74" s="76">
        <f>C61*HLOOKUP(D61,建筑配置!$C$151:$I$153,3,FALSE)</f>
        <v>24.166666666666664</v>
      </c>
      <c r="D74" s="48">
        <f t="shared" ref="D74:F74" si="45">C74-C73</f>
        <v>15.999999999999996</v>
      </c>
      <c r="E74" s="76">
        <f>E61*HLOOKUP(F61,建筑配置!$C$160:$L$162,3,FALSE)</f>
        <v>96.8</v>
      </c>
      <c r="F74" s="48">
        <f t="shared" si="45"/>
        <v>64.266666666666666</v>
      </c>
      <c r="G74" s="76">
        <f>IFERROR(G61*HLOOKUP(H61,建筑配置!$C$169:$F$171,3,FALSE),0)</f>
        <v>0</v>
      </c>
      <c r="H74" s="48">
        <f t="shared" ref="H74" si="46">G74-G73</f>
        <v>0</v>
      </c>
      <c r="I74" s="76">
        <f>IFERROR(I61*HLOOKUP(J61,建筑配置!$C$178:$M$180,3,FALSE),0)</f>
        <v>5.5</v>
      </c>
      <c r="J74" s="48">
        <f t="shared" ref="J74" si="47">I74-I73</f>
        <v>5</v>
      </c>
      <c r="K74" s="76">
        <f>IFERROR(K61*HLOOKUP(L61,建筑配置!$C$240:$F$242,3,FALSE),0)</f>
        <v>0</v>
      </c>
      <c r="L74" s="48">
        <f t="shared" ref="L74" si="48">K74-K73</f>
        <v>0</v>
      </c>
      <c r="M74" s="48">
        <f t="shared" si="40"/>
        <v>85.266666666666666</v>
      </c>
    </row>
    <row r="75" spans="2:13" ht="16.5" x14ac:dyDescent="0.3">
      <c r="B75" s="47">
        <v>5</v>
      </c>
      <c r="C75" s="76">
        <f>C62*HLOOKUP(D62,建筑配置!$C$151:$I$153,3,FALSE)</f>
        <v>108.25</v>
      </c>
      <c r="D75" s="47">
        <f t="shared" ref="D75:F75" si="49">C75-C74</f>
        <v>84.083333333333343</v>
      </c>
      <c r="E75" s="76">
        <f>E62*HLOOKUP(F62,建筑配置!$C$160:$L$162,3,FALSE)</f>
        <v>168.8</v>
      </c>
      <c r="F75" s="47">
        <f t="shared" si="49"/>
        <v>72.000000000000014</v>
      </c>
      <c r="G75" s="76">
        <f>IFERROR(G62*HLOOKUP(H62,建筑配置!$C$169:$F$171,3,FALSE),0)</f>
        <v>0</v>
      </c>
      <c r="H75" s="47">
        <f t="shared" ref="H75" si="50">G75-G74</f>
        <v>0</v>
      </c>
      <c r="I75" s="76">
        <f>IFERROR(I62*HLOOKUP(J62,建筑配置!$C$178:$M$180,3,FALSE),0)</f>
        <v>17.5</v>
      </c>
      <c r="J75" s="47">
        <f t="shared" ref="J75" si="51">I75-I74</f>
        <v>12</v>
      </c>
      <c r="K75" s="76">
        <f>IFERROR(K62*HLOOKUP(L62,建筑配置!$C$240:$F$242,3,FALSE),0)</f>
        <v>24</v>
      </c>
      <c r="L75" s="47">
        <f t="shared" ref="L75" si="52">K75-K74</f>
        <v>24</v>
      </c>
      <c r="M75" s="47">
        <f t="shared" si="40"/>
        <v>192.08333333333337</v>
      </c>
    </row>
    <row r="76" spans="2:13" ht="16.5" x14ac:dyDescent="0.3">
      <c r="B76" s="48">
        <v>6</v>
      </c>
      <c r="C76" s="76">
        <f>C63*HLOOKUP(D63,建筑配置!$C$151:$I$153,3,FALSE)</f>
        <v>324.25</v>
      </c>
      <c r="D76" s="48">
        <f t="shared" ref="D76:F76" si="53">C76-C75</f>
        <v>216</v>
      </c>
      <c r="E76" s="76">
        <f>E63*HLOOKUP(F63,建筑配置!$C$160:$L$162,3,FALSE)</f>
        <v>312.80000000000007</v>
      </c>
      <c r="F76" s="48">
        <f t="shared" si="53"/>
        <v>144.00000000000006</v>
      </c>
      <c r="G76" s="76">
        <f>IFERROR(G63*HLOOKUP(H63,建筑配置!$C$169:$F$171,3,FALSE),0)</f>
        <v>0</v>
      </c>
      <c r="H76" s="48">
        <f t="shared" ref="H76" si="54">G76-G75</f>
        <v>0</v>
      </c>
      <c r="I76" s="76">
        <f>IFERROR(I63*HLOOKUP(J63,建筑配置!$C$178:$M$180,3,FALSE),0)</f>
        <v>41.5</v>
      </c>
      <c r="J76" s="48">
        <f t="shared" ref="J76" si="55">I76-I75</f>
        <v>24</v>
      </c>
      <c r="K76" s="76">
        <f>IFERROR(K63*HLOOKUP(L63,建筑配置!$C$240:$F$242,3,FALSE),0)</f>
        <v>72</v>
      </c>
      <c r="L76" s="48">
        <f t="shared" ref="L76" si="56">K76-K75</f>
        <v>48</v>
      </c>
      <c r="M76" s="48">
        <f t="shared" si="40"/>
        <v>432.00000000000006</v>
      </c>
    </row>
    <row r="77" spans="2:13" ht="16.5" x14ac:dyDescent="0.3">
      <c r="B77" s="47">
        <v>7</v>
      </c>
      <c r="C77" s="76">
        <f>C64*HLOOKUP(D64,建筑配置!$C$151:$I$153,3,FALSE)</f>
        <v>912.33333333333326</v>
      </c>
      <c r="D77" s="47">
        <f t="shared" ref="D77:F77" si="57">C77-C76</f>
        <v>588.08333333333326</v>
      </c>
      <c r="E77" s="76">
        <f>E64*HLOOKUP(F64,建筑配置!$C$160:$L$162,3,FALSE)</f>
        <v>801.06666666666672</v>
      </c>
      <c r="F77" s="47">
        <f t="shared" si="57"/>
        <v>488.26666666666665</v>
      </c>
      <c r="G77" s="76">
        <f>IFERROR(G64*HLOOKUP(H64,建筑配置!$C$169:$F$171,3,FALSE),0)</f>
        <v>192</v>
      </c>
      <c r="H77" s="47">
        <f t="shared" ref="H77" si="58">G77-G76</f>
        <v>192</v>
      </c>
      <c r="I77" s="76">
        <f>IFERROR(I64*HLOOKUP(J64,建筑配置!$C$178:$M$180,3,FALSE),0)</f>
        <v>89.5</v>
      </c>
      <c r="J77" s="47">
        <f t="shared" ref="J77" si="59">I77-I76</f>
        <v>48</v>
      </c>
      <c r="K77" s="76">
        <f>IFERROR(K64*HLOOKUP(L64,建筑配置!$C$240:$F$242,3,FALSE),0)</f>
        <v>168</v>
      </c>
      <c r="L77" s="47">
        <f t="shared" ref="L77" si="60">K77-K76</f>
        <v>96</v>
      </c>
      <c r="M77" s="47">
        <f t="shared" si="40"/>
        <v>1412.35</v>
      </c>
    </row>
    <row r="78" spans="2:13" ht="16.5" x14ac:dyDescent="0.3">
      <c r="B78" s="48">
        <v>8</v>
      </c>
      <c r="C78" s="76">
        <f>C65*HLOOKUP(D65,建筑配置!$C$151:$I$153,3,FALSE)</f>
        <v>912.33333333333326</v>
      </c>
      <c r="D78" s="48">
        <f t="shared" ref="D78:F78" si="61">C78-C77</f>
        <v>0</v>
      </c>
      <c r="E78" s="76">
        <f>E65*HLOOKUP(F65,建筑配置!$C$160:$L$162,3,FALSE)</f>
        <v>1377.0666666666666</v>
      </c>
      <c r="F78" s="48">
        <f t="shared" si="61"/>
        <v>575.99999999999989</v>
      </c>
      <c r="G78" s="76">
        <f>IFERROR(G65*HLOOKUP(H65,建筑配置!$C$169:$F$171,3,FALSE),0)</f>
        <v>1008</v>
      </c>
      <c r="H78" s="48">
        <f t="shared" ref="H78" si="62">G78-G77</f>
        <v>816</v>
      </c>
      <c r="I78" s="76">
        <f>IFERROR(I65*HLOOKUP(J65,建筑配置!$C$178:$M$180,3,FALSE),0)</f>
        <v>185.5</v>
      </c>
      <c r="J78" s="48">
        <f t="shared" ref="J78" si="63">I78-I77</f>
        <v>96</v>
      </c>
      <c r="K78" s="76">
        <f>IFERROR(K65*HLOOKUP(L65,建筑配置!$C$240:$F$242,3,FALSE),0)</f>
        <v>288</v>
      </c>
      <c r="L78" s="48">
        <f t="shared" ref="L78" si="64">K78-K77</f>
        <v>120</v>
      </c>
      <c r="M78" s="48">
        <f t="shared" si="40"/>
        <v>1608</v>
      </c>
    </row>
    <row r="79" spans="2:13" ht="16.5" x14ac:dyDescent="0.3">
      <c r="B79" s="47">
        <v>9</v>
      </c>
      <c r="C79" s="76">
        <f>C66*HLOOKUP(D66,建筑配置!$C$151:$I$153,3,FALSE)</f>
        <v>912.33333333333326</v>
      </c>
      <c r="D79" s="47">
        <f t="shared" ref="D79:F79" si="65">C79-C78</f>
        <v>0</v>
      </c>
      <c r="E79" s="76">
        <f>E66*HLOOKUP(F66,建筑配置!$C$160:$L$162,3,FALSE)</f>
        <v>1377.0666666666666</v>
      </c>
      <c r="F79" s="47">
        <f t="shared" si="65"/>
        <v>0</v>
      </c>
      <c r="G79" s="76">
        <f>IFERROR(G66*HLOOKUP(H66,建筑配置!$C$169:$F$171,3,FALSE),0)</f>
        <v>1008</v>
      </c>
      <c r="H79" s="47">
        <f t="shared" ref="H79" si="66">G79-G78</f>
        <v>0</v>
      </c>
      <c r="I79" s="76">
        <f>IFERROR(I66*HLOOKUP(J66,建筑配置!$C$178:$M$180,3,FALSE),0)</f>
        <v>305.5</v>
      </c>
      <c r="J79" s="47">
        <f t="shared" ref="J79" si="67">I79-I78</f>
        <v>120</v>
      </c>
      <c r="K79" s="76">
        <f>IFERROR(K66*HLOOKUP(L66,建筑配置!$C$240:$F$242,3,FALSE),0)</f>
        <v>288</v>
      </c>
      <c r="L79" s="47">
        <f t="shared" ref="L79" si="68">K79-K78</f>
        <v>0</v>
      </c>
      <c r="M79" s="47">
        <f t="shared" si="40"/>
        <v>120</v>
      </c>
    </row>
    <row r="80" spans="2:13" ht="16.5" x14ac:dyDescent="0.3">
      <c r="B80" s="48">
        <v>10</v>
      </c>
      <c r="C80" s="76">
        <f>C67*HLOOKUP(D67,建筑配置!$C$151:$I$153,3,FALSE)</f>
        <v>912.33333333333326</v>
      </c>
      <c r="D80" s="48">
        <f t="shared" ref="D80:F80" si="69">C80-C79</f>
        <v>0</v>
      </c>
      <c r="E80" s="76">
        <f>E67*HLOOKUP(F67,建筑配置!$C$160:$L$162,3,FALSE)</f>
        <v>1377.0666666666666</v>
      </c>
      <c r="F80" s="48">
        <f t="shared" si="69"/>
        <v>0</v>
      </c>
      <c r="G80" s="76">
        <f>IFERROR(G67*HLOOKUP(H67,建筑配置!$C$169:$F$171,3,FALSE),0)</f>
        <v>1008</v>
      </c>
      <c r="H80" s="48">
        <f t="shared" ref="H80" si="70">G80-G79</f>
        <v>0</v>
      </c>
      <c r="I80" s="76">
        <f>IFERROR(I67*HLOOKUP(J67,建筑配置!$C$178:$M$180,3,FALSE),0)</f>
        <v>449.5</v>
      </c>
      <c r="J80" s="48">
        <f t="shared" ref="J80" si="71">I80-I79</f>
        <v>144</v>
      </c>
      <c r="K80" s="76">
        <f>IFERROR(K67*HLOOKUP(L67,建筑配置!$C$240:$F$242,3,FALSE),0)</f>
        <v>288</v>
      </c>
      <c r="L80" s="48">
        <f t="shared" ref="L80" si="72">K80-K79</f>
        <v>0</v>
      </c>
      <c r="M80" s="48">
        <f t="shared" si="40"/>
        <v>144</v>
      </c>
    </row>
    <row r="83" spans="2:8" x14ac:dyDescent="0.15">
      <c r="B83" t="s">
        <v>331</v>
      </c>
    </row>
    <row r="84" spans="2:8" ht="15" x14ac:dyDescent="0.25">
      <c r="B84" s="46" t="s">
        <v>328</v>
      </c>
      <c r="C84" s="46" t="s">
        <v>332</v>
      </c>
      <c r="D84" s="46" t="s">
        <v>333</v>
      </c>
      <c r="E84" s="46" t="s">
        <v>334</v>
      </c>
      <c r="F84" s="46" t="s">
        <v>335</v>
      </c>
      <c r="G84" s="46" t="s">
        <v>336</v>
      </c>
      <c r="H84" s="46" t="s">
        <v>337</v>
      </c>
    </row>
    <row r="85" spans="2:8" ht="16.5" x14ac:dyDescent="0.3">
      <c r="B85" s="47">
        <v>0.33300000000000002</v>
      </c>
      <c r="C85" s="47">
        <v>0.41699999999999998</v>
      </c>
      <c r="D85" s="47">
        <v>0.5</v>
      </c>
      <c r="E85" s="47">
        <v>2</v>
      </c>
      <c r="F85" s="47">
        <v>2</v>
      </c>
      <c r="G85" s="47">
        <v>10</v>
      </c>
      <c r="H85" s="47">
        <v>10</v>
      </c>
    </row>
    <row r="87" spans="2:8" x14ac:dyDescent="0.15">
      <c r="B87" t="s">
        <v>338</v>
      </c>
    </row>
    <row r="88" spans="2:8" ht="15" x14ac:dyDescent="0.25">
      <c r="B88" s="46" t="s">
        <v>10</v>
      </c>
      <c r="C88" s="78" t="s">
        <v>340</v>
      </c>
    </row>
    <row r="89" spans="2:8" ht="16.5" x14ac:dyDescent="0.3">
      <c r="B89" s="47">
        <v>1</v>
      </c>
      <c r="C89" s="79">
        <f>C58*HLOOKUP(D58,建筑配置!$C$151:$I$157,7,FALSE)</f>
        <v>20</v>
      </c>
    </row>
    <row r="90" spans="2:8" ht="16.5" x14ac:dyDescent="0.3">
      <c r="B90" s="48">
        <v>2</v>
      </c>
      <c r="C90" s="79">
        <f>C59*HLOOKUP(D59,建筑配置!$C$151:$I$157,7,FALSE)</f>
        <v>30</v>
      </c>
    </row>
    <row r="91" spans="2:8" ht="16.5" x14ac:dyDescent="0.3">
      <c r="B91" s="47">
        <v>3</v>
      </c>
      <c r="C91" s="79">
        <f>C60*HLOOKUP(D60,建筑配置!$C$151:$I$157,7,FALSE)</f>
        <v>70</v>
      </c>
    </row>
    <row r="92" spans="2:8" ht="16.5" x14ac:dyDescent="0.3">
      <c r="B92" s="48">
        <v>4</v>
      </c>
      <c r="C92" s="79">
        <f>C61*HLOOKUP(D61,建筑配置!$C$151:$I$157,7,FALSE)</f>
        <v>80</v>
      </c>
    </row>
    <row r="93" spans="2:8" ht="16.5" x14ac:dyDescent="0.3">
      <c r="B93" s="47">
        <v>5</v>
      </c>
      <c r="C93" s="79">
        <f>C62*HLOOKUP(D62,建筑配置!$C$151:$I$157,7,FALSE)</f>
        <v>135</v>
      </c>
    </row>
    <row r="94" spans="2:8" ht="16.5" x14ac:dyDescent="0.3">
      <c r="B94" s="48">
        <v>6</v>
      </c>
      <c r="C94" s="79">
        <f>C63*HLOOKUP(D63,建筑配置!$C$151:$I$157,7,FALSE)</f>
        <v>150</v>
      </c>
    </row>
    <row r="95" spans="2:8" ht="16.5" x14ac:dyDescent="0.3">
      <c r="B95" s="47">
        <v>7</v>
      </c>
      <c r="C95" s="79">
        <f>C64*HLOOKUP(D64,建筑配置!$C$151:$I$157,7,FALSE)</f>
        <v>220</v>
      </c>
    </row>
    <row r="96" spans="2:8" ht="16.5" x14ac:dyDescent="0.3">
      <c r="B96" s="48">
        <v>8</v>
      </c>
      <c r="C96" s="79">
        <f>C65*HLOOKUP(D65,建筑配置!$C$151:$I$157,7,FALSE)</f>
        <v>220</v>
      </c>
    </row>
    <row r="97" spans="2:3" ht="16.5" x14ac:dyDescent="0.3">
      <c r="B97" s="47">
        <v>9</v>
      </c>
      <c r="C97" s="79">
        <f>C66*HLOOKUP(D66,建筑配置!$C$151:$I$157,7,FALSE)</f>
        <v>220</v>
      </c>
    </row>
    <row r="98" spans="2:3" ht="16.5" x14ac:dyDescent="0.3">
      <c r="B98" s="48">
        <v>10</v>
      </c>
      <c r="C98" s="79">
        <f>C67*HLOOKUP(D67,建筑配置!$C$151:$I$157,7,FALSE)</f>
        <v>220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262"/>
  <sheetViews>
    <sheetView tabSelected="1" zoomScale="85" zoomScaleNormal="85" workbookViewId="0">
      <selection activeCell="M32" sqref="M32"/>
    </sheetView>
  </sheetViews>
  <sheetFormatPr defaultRowHeight="13.5" x14ac:dyDescent="0.15"/>
  <cols>
    <col min="1" max="1" width="9" style="5"/>
    <col min="2" max="2" width="19.5" style="5" bestFit="1" customWidth="1"/>
    <col min="3" max="3" width="9.75" style="5" bestFit="1" customWidth="1"/>
    <col min="4" max="5" width="9.5" style="5" bestFit="1" customWidth="1"/>
    <col min="6" max="6" width="9" style="5"/>
    <col min="7" max="9" width="9.5" style="5" bestFit="1" customWidth="1"/>
    <col min="10" max="10" width="9" style="5"/>
    <col min="11" max="11" width="9.5" style="5" bestFit="1" customWidth="1"/>
    <col min="12" max="40" width="9" style="5"/>
    <col min="41" max="41" width="9.5" style="5" bestFit="1" customWidth="1"/>
    <col min="42" max="16384" width="9" style="5"/>
  </cols>
  <sheetData>
    <row r="1" spans="1:14" ht="15" x14ac:dyDescent="0.25">
      <c r="A1" s="156" t="s">
        <v>84</v>
      </c>
      <c r="B1" s="156"/>
      <c r="C1" s="55"/>
      <c r="D1" s="4"/>
      <c r="E1" s="4"/>
      <c r="F1" s="4"/>
      <c r="G1" s="4"/>
      <c r="H1" s="4"/>
      <c r="I1" s="4"/>
      <c r="J1" s="4"/>
      <c r="K1" s="4"/>
      <c r="L1" s="4"/>
    </row>
    <row r="2" spans="1:14" ht="15" x14ac:dyDescent="0.25">
      <c r="A2" s="152" t="s">
        <v>98</v>
      </c>
      <c r="B2" s="152"/>
      <c r="C2" s="43">
        <v>1</v>
      </c>
      <c r="D2" s="26">
        <v>2</v>
      </c>
      <c r="E2" s="26">
        <v>3</v>
      </c>
      <c r="F2" s="26">
        <v>4</v>
      </c>
      <c r="G2" s="26">
        <v>5</v>
      </c>
      <c r="H2" s="26">
        <v>6</v>
      </c>
      <c r="I2" s="26">
        <v>7</v>
      </c>
      <c r="J2" s="26">
        <v>8</v>
      </c>
      <c r="K2" s="26">
        <v>9</v>
      </c>
      <c r="L2" s="26">
        <v>10</v>
      </c>
      <c r="M2" s="19"/>
    </row>
    <row r="3" spans="1:14" ht="15" x14ac:dyDescent="0.25">
      <c r="A3" s="152" t="s">
        <v>99</v>
      </c>
      <c r="B3" s="152"/>
      <c r="C3" s="56" t="s">
        <v>100</v>
      </c>
      <c r="D3" s="23">
        <v>8.3333333333333329E-2</v>
      </c>
      <c r="E3" s="23">
        <v>3</v>
      </c>
      <c r="F3" s="23">
        <v>24</v>
      </c>
      <c r="G3" s="23">
        <v>48</v>
      </c>
      <c r="H3" s="23">
        <v>96</v>
      </c>
      <c r="I3" s="23">
        <v>144</v>
      </c>
      <c r="J3" s="23">
        <v>192</v>
      </c>
      <c r="K3" s="23">
        <v>240</v>
      </c>
      <c r="L3" s="23">
        <v>336</v>
      </c>
      <c r="M3" s="19"/>
    </row>
    <row r="4" spans="1:14" ht="15" x14ac:dyDescent="0.25">
      <c r="A4" s="152" t="s">
        <v>101</v>
      </c>
      <c r="B4" s="152"/>
      <c r="C4" s="56" t="s">
        <v>100</v>
      </c>
      <c r="D4" s="26">
        <v>1000</v>
      </c>
      <c r="E4" s="26">
        <v>4000</v>
      </c>
      <c r="F4" s="26">
        <v>25000</v>
      </c>
      <c r="G4" s="26">
        <v>150000</v>
      </c>
      <c r="H4" s="26">
        <v>750000</v>
      </c>
      <c r="I4" s="26">
        <v>1200000</v>
      </c>
      <c r="J4" s="26">
        <v>2000000</v>
      </c>
      <c r="K4" s="26">
        <v>3000000</v>
      </c>
      <c r="L4" s="26">
        <v>4000000</v>
      </c>
      <c r="M4" s="19"/>
    </row>
    <row r="5" spans="1:14" ht="15" x14ac:dyDescent="0.25">
      <c r="A5" s="152" t="s">
        <v>102</v>
      </c>
      <c r="B5" s="152"/>
      <c r="C5" s="56" t="s">
        <v>100</v>
      </c>
      <c r="D5" s="26">
        <v>17</v>
      </c>
      <c r="E5" s="26">
        <v>103</v>
      </c>
      <c r="F5" s="26">
        <v>293</v>
      </c>
      <c r="G5" s="26">
        <v>415</v>
      </c>
      <c r="H5" s="26">
        <v>587</v>
      </c>
      <c r="I5" s="26">
        <v>720</v>
      </c>
      <c r="J5" s="26">
        <v>831</v>
      </c>
      <c r="K5" s="26">
        <v>929</v>
      </c>
      <c r="L5" s="26">
        <v>1099</v>
      </c>
      <c r="M5" s="19"/>
    </row>
    <row r="6" spans="1:14" ht="15" x14ac:dyDescent="0.25">
      <c r="A6" s="152" t="s">
        <v>103</v>
      </c>
      <c r="B6" s="152"/>
      <c r="C6" s="43">
        <v>1500</v>
      </c>
      <c r="D6" s="26">
        <v>1600</v>
      </c>
      <c r="E6" s="26">
        <v>1850</v>
      </c>
      <c r="F6" s="26">
        <v>2100</v>
      </c>
      <c r="G6" s="26">
        <v>2400</v>
      </c>
      <c r="H6" s="26">
        <v>2800</v>
      </c>
      <c r="I6" s="26">
        <v>3200</v>
      </c>
      <c r="J6" s="26">
        <v>3700</v>
      </c>
      <c r="K6" s="26">
        <v>4200</v>
      </c>
      <c r="L6" s="26">
        <v>5000</v>
      </c>
      <c r="M6" s="19"/>
    </row>
    <row r="7" spans="1:14" x14ac:dyDescent="0.15">
      <c r="A7" s="57"/>
      <c r="B7" s="57"/>
      <c r="C7" s="58"/>
      <c r="D7" s="18"/>
      <c r="E7" s="18"/>
      <c r="F7" s="18"/>
      <c r="G7" s="18"/>
      <c r="H7" s="18"/>
      <c r="I7" s="18"/>
      <c r="J7" s="18"/>
      <c r="K7" s="18"/>
      <c r="L7" s="18"/>
    </row>
    <row r="8" spans="1:14" ht="15" x14ac:dyDescent="0.25">
      <c r="A8" s="156" t="s">
        <v>104</v>
      </c>
      <c r="B8" s="156"/>
      <c r="C8" s="55"/>
      <c r="D8" s="4"/>
      <c r="E8" s="4"/>
      <c r="F8" s="4"/>
      <c r="G8" s="4"/>
      <c r="H8" s="4"/>
      <c r="I8" s="4"/>
      <c r="J8" s="4"/>
      <c r="K8" s="4"/>
      <c r="L8" s="4"/>
    </row>
    <row r="9" spans="1:14" ht="15" x14ac:dyDescent="0.25">
      <c r="A9" s="152" t="s">
        <v>98</v>
      </c>
      <c r="B9" s="152"/>
      <c r="C9" s="43">
        <v>1</v>
      </c>
      <c r="D9" s="26">
        <v>2</v>
      </c>
      <c r="E9" s="26">
        <v>3</v>
      </c>
      <c r="F9" s="26">
        <v>4</v>
      </c>
      <c r="G9" s="26">
        <v>5</v>
      </c>
    </row>
    <row r="10" spans="1:14" ht="15" x14ac:dyDescent="0.25">
      <c r="A10" s="152" t="s">
        <v>99</v>
      </c>
      <c r="B10" s="152"/>
      <c r="C10" s="56">
        <v>0</v>
      </c>
      <c r="D10" s="24">
        <v>0.25</v>
      </c>
      <c r="E10" s="23">
        <v>1</v>
      </c>
      <c r="F10" s="26">
        <v>2</v>
      </c>
      <c r="G10" s="26">
        <v>7</v>
      </c>
    </row>
    <row r="11" spans="1:14" ht="15" x14ac:dyDescent="0.25">
      <c r="A11" s="152" t="s">
        <v>101</v>
      </c>
      <c r="B11" s="152"/>
      <c r="C11" s="56">
        <v>40000</v>
      </c>
      <c r="D11" s="26">
        <v>100000</v>
      </c>
      <c r="E11" s="26">
        <v>800000</v>
      </c>
      <c r="F11" s="26">
        <v>1800000</v>
      </c>
      <c r="G11" s="26">
        <v>7000000</v>
      </c>
    </row>
    <row r="12" spans="1:14" ht="15" x14ac:dyDescent="0.25">
      <c r="A12" s="152" t="s">
        <v>102</v>
      </c>
      <c r="B12" s="152"/>
      <c r="C12" s="56">
        <v>0</v>
      </c>
      <c r="D12" s="26">
        <v>146</v>
      </c>
      <c r="E12" s="26">
        <v>293</v>
      </c>
      <c r="F12" s="26">
        <v>415</v>
      </c>
      <c r="G12" s="26">
        <v>777</v>
      </c>
    </row>
    <row r="13" spans="1:14" ht="15" x14ac:dyDescent="0.25">
      <c r="A13" s="152" t="s">
        <v>103</v>
      </c>
      <c r="B13" s="152"/>
      <c r="C13" s="56">
        <v>1000</v>
      </c>
      <c r="D13" s="26">
        <v>1400</v>
      </c>
      <c r="E13" s="26">
        <v>2000</v>
      </c>
      <c r="F13" s="26">
        <v>2600</v>
      </c>
      <c r="G13" s="26">
        <v>3000</v>
      </c>
    </row>
    <row r="14" spans="1:14" x14ac:dyDescent="0.15">
      <c r="A14" s="57"/>
      <c r="B14" s="57"/>
    </row>
    <row r="15" spans="1:14" ht="15" x14ac:dyDescent="0.25">
      <c r="A15" s="156" t="s">
        <v>105</v>
      </c>
      <c r="B15" s="156"/>
      <c r="C15" s="55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15" x14ac:dyDescent="0.25">
      <c r="A16" s="152" t="s">
        <v>98</v>
      </c>
      <c r="B16" s="152"/>
      <c r="C16" s="43">
        <v>1</v>
      </c>
      <c r="D16" s="26">
        <v>2</v>
      </c>
      <c r="E16" s="26">
        <v>3</v>
      </c>
      <c r="F16" s="26">
        <v>4</v>
      </c>
      <c r="G16" s="26">
        <v>5</v>
      </c>
      <c r="H16" s="26">
        <v>6</v>
      </c>
      <c r="I16" s="26">
        <v>7</v>
      </c>
      <c r="J16" s="26">
        <v>8</v>
      </c>
      <c r="K16" s="26">
        <v>9</v>
      </c>
      <c r="L16" s="27">
        <v>10</v>
      </c>
      <c r="M16" s="26">
        <v>11</v>
      </c>
      <c r="N16" s="19"/>
    </row>
    <row r="17" spans="1:14" ht="15" x14ac:dyDescent="0.25">
      <c r="A17" s="152" t="s">
        <v>99</v>
      </c>
      <c r="B17" s="152"/>
      <c r="C17" s="60">
        <v>1.7000000000000001E-2</v>
      </c>
      <c r="D17" s="23">
        <v>8.3000000000000004E-2</v>
      </c>
      <c r="E17" s="23">
        <v>0.25</v>
      </c>
      <c r="F17" s="23">
        <v>1</v>
      </c>
      <c r="G17" s="23">
        <v>2</v>
      </c>
      <c r="H17" s="23">
        <v>6</v>
      </c>
      <c r="I17" s="23">
        <v>12</v>
      </c>
      <c r="J17" s="23">
        <v>24</v>
      </c>
      <c r="K17" s="23">
        <v>48</v>
      </c>
      <c r="L17" s="25">
        <v>72</v>
      </c>
      <c r="M17" s="23">
        <v>96</v>
      </c>
      <c r="N17" s="19"/>
    </row>
    <row r="18" spans="1:14" ht="15" x14ac:dyDescent="0.25">
      <c r="A18" s="153" t="s">
        <v>171</v>
      </c>
      <c r="B18" s="161"/>
      <c r="C18" s="60">
        <f>SUM($C$17:C17)</f>
        <v>1.7000000000000001E-2</v>
      </c>
      <c r="D18" s="60">
        <f>SUM($C$17:D17)</f>
        <v>0.1</v>
      </c>
      <c r="E18" s="60">
        <f>SUM($C$17:E17)</f>
        <v>0.35</v>
      </c>
      <c r="F18" s="60">
        <f>SUM($C$17:F17)</f>
        <v>1.35</v>
      </c>
      <c r="G18" s="60">
        <f>SUM($C$17:G17)</f>
        <v>3.35</v>
      </c>
      <c r="H18" s="60">
        <f>SUM($C$17:H17)</f>
        <v>9.35</v>
      </c>
      <c r="I18" s="60">
        <f>SUM($C$17:I17)</f>
        <v>21.35</v>
      </c>
      <c r="J18" s="60">
        <f>SUM($C$17:J17)</f>
        <v>45.35</v>
      </c>
      <c r="K18" s="60">
        <f>SUM($C$17:K17)</f>
        <v>93.35</v>
      </c>
      <c r="L18" s="60">
        <f>SUM($C$17:L17)</f>
        <v>165.35</v>
      </c>
      <c r="M18" s="60">
        <f>SUM($C$17:M17)</f>
        <v>261.35000000000002</v>
      </c>
      <c r="N18" s="19"/>
    </row>
    <row r="19" spans="1:14" ht="15" x14ac:dyDescent="0.25">
      <c r="A19" s="152" t="s">
        <v>106</v>
      </c>
      <c r="B19" s="152"/>
      <c r="C19" s="56">
        <v>150</v>
      </c>
      <c r="D19" s="26">
        <v>300</v>
      </c>
      <c r="E19" s="26">
        <v>700</v>
      </c>
      <c r="F19" s="26">
        <v>1400</v>
      </c>
      <c r="G19" s="26">
        <v>3000</v>
      </c>
      <c r="H19" s="26">
        <v>7000</v>
      </c>
      <c r="I19" s="26">
        <v>14000</v>
      </c>
      <c r="J19" s="26">
        <v>28000</v>
      </c>
      <c r="K19" s="26">
        <v>56000</v>
      </c>
      <c r="L19" s="27">
        <v>84000</v>
      </c>
      <c r="M19" s="26">
        <v>168000</v>
      </c>
      <c r="N19" s="19"/>
    </row>
    <row r="20" spans="1:14" ht="15" x14ac:dyDescent="0.25">
      <c r="A20" s="152" t="s">
        <v>102</v>
      </c>
      <c r="B20" s="152"/>
      <c r="C20" s="56">
        <v>7</v>
      </c>
      <c r="D20" s="26">
        <v>17</v>
      </c>
      <c r="E20" s="26">
        <v>30</v>
      </c>
      <c r="F20" s="26">
        <v>60</v>
      </c>
      <c r="G20" s="26">
        <v>120</v>
      </c>
      <c r="H20" s="26">
        <v>207</v>
      </c>
      <c r="I20" s="26">
        <v>293</v>
      </c>
      <c r="J20" s="26">
        <v>415</v>
      </c>
      <c r="K20" s="26">
        <v>509</v>
      </c>
      <c r="L20" s="27">
        <v>587</v>
      </c>
      <c r="M20" s="26">
        <v>657</v>
      </c>
      <c r="N20" s="19"/>
    </row>
    <row r="21" spans="1:14" ht="15" x14ac:dyDescent="0.25">
      <c r="A21" s="152" t="s">
        <v>103</v>
      </c>
      <c r="B21" s="152"/>
      <c r="C21" s="43">
        <v>400</v>
      </c>
      <c r="D21" s="26">
        <v>450</v>
      </c>
      <c r="E21" s="26">
        <v>500</v>
      </c>
      <c r="F21" s="26">
        <v>550</v>
      </c>
      <c r="G21" s="26">
        <v>590</v>
      </c>
      <c r="H21" s="26">
        <v>610</v>
      </c>
      <c r="I21" s="26">
        <v>630</v>
      </c>
      <c r="J21" s="26">
        <v>660</v>
      </c>
      <c r="K21" s="26">
        <v>680</v>
      </c>
      <c r="L21" s="27">
        <v>710</v>
      </c>
      <c r="M21" s="26">
        <v>750</v>
      </c>
      <c r="N21" s="19"/>
    </row>
    <row r="22" spans="1:14" ht="15" x14ac:dyDescent="0.25">
      <c r="A22" s="152" t="s">
        <v>107</v>
      </c>
      <c r="B22" s="152"/>
      <c r="C22" s="56">
        <v>200</v>
      </c>
      <c r="D22" s="26">
        <v>400</v>
      </c>
      <c r="E22" s="26">
        <v>600</v>
      </c>
      <c r="F22" s="26">
        <v>800</v>
      </c>
      <c r="G22" s="26">
        <v>1000</v>
      </c>
      <c r="H22" s="26">
        <v>1300</v>
      </c>
      <c r="I22" s="26">
        <v>1600</v>
      </c>
      <c r="J22" s="26">
        <v>1900</v>
      </c>
      <c r="K22" s="26">
        <v>2200</v>
      </c>
      <c r="L22" s="27">
        <v>2500</v>
      </c>
      <c r="M22" s="26">
        <v>3000</v>
      </c>
    </row>
    <row r="23" spans="1:14" ht="15" x14ac:dyDescent="0.25">
      <c r="A23" s="152" t="s">
        <v>108</v>
      </c>
      <c r="B23" s="152"/>
      <c r="C23" s="43">
        <v>500</v>
      </c>
      <c r="D23" s="26">
        <v>1000</v>
      </c>
      <c r="E23" s="26">
        <v>1500</v>
      </c>
      <c r="F23" s="26">
        <v>2500</v>
      </c>
      <c r="G23" s="26">
        <v>10000</v>
      </c>
      <c r="H23" s="26">
        <v>20000</v>
      </c>
      <c r="I23" s="26">
        <v>30000</v>
      </c>
      <c r="J23" s="26">
        <v>50000</v>
      </c>
      <c r="K23" s="26">
        <v>75000</v>
      </c>
      <c r="L23" s="27">
        <v>100000</v>
      </c>
      <c r="M23" s="26">
        <v>150000</v>
      </c>
    </row>
    <row r="24" spans="1:14" x14ac:dyDescent="0.15">
      <c r="A24" s="57"/>
      <c r="B24" s="57"/>
    </row>
    <row r="25" spans="1:14" ht="15" x14ac:dyDescent="0.25">
      <c r="A25" s="156" t="s">
        <v>109</v>
      </c>
      <c r="B25" s="156"/>
      <c r="C25" s="55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4" ht="15" x14ac:dyDescent="0.25">
      <c r="A26" s="152" t="s">
        <v>98</v>
      </c>
      <c r="B26" s="152"/>
      <c r="C26" s="43">
        <v>1</v>
      </c>
      <c r="D26" s="26">
        <v>2</v>
      </c>
      <c r="E26" s="26">
        <v>3</v>
      </c>
      <c r="F26" s="26">
        <v>4</v>
      </c>
      <c r="G26" s="26">
        <v>5</v>
      </c>
      <c r="H26" s="26">
        <v>6</v>
      </c>
      <c r="I26" s="26">
        <v>7</v>
      </c>
      <c r="J26" s="26">
        <v>8</v>
      </c>
      <c r="K26" s="26">
        <v>9</v>
      </c>
      <c r="L26" s="27">
        <v>10</v>
      </c>
      <c r="M26" s="26">
        <v>11</v>
      </c>
    </row>
    <row r="27" spans="1:14" ht="15" x14ac:dyDescent="0.25">
      <c r="A27" s="152" t="s">
        <v>99</v>
      </c>
      <c r="B27" s="152"/>
      <c r="C27" s="60">
        <v>1.7000000000000001E-2</v>
      </c>
      <c r="D27" s="23">
        <v>8.3000000000000004E-2</v>
      </c>
      <c r="E27" s="23">
        <v>0.25</v>
      </c>
      <c r="F27" s="23">
        <v>1</v>
      </c>
      <c r="G27" s="23">
        <v>2</v>
      </c>
      <c r="H27" s="23">
        <v>6</v>
      </c>
      <c r="I27" s="23">
        <v>12</v>
      </c>
      <c r="J27" s="23">
        <v>24</v>
      </c>
      <c r="K27" s="23">
        <v>48</v>
      </c>
      <c r="L27" s="25">
        <v>72</v>
      </c>
      <c r="M27" s="23">
        <v>96</v>
      </c>
    </row>
    <row r="28" spans="1:14" ht="15" x14ac:dyDescent="0.25">
      <c r="A28" s="152" t="s">
        <v>101</v>
      </c>
      <c r="B28" s="152"/>
      <c r="C28" s="56">
        <v>150</v>
      </c>
      <c r="D28" s="26">
        <v>300</v>
      </c>
      <c r="E28" s="26">
        <v>700</v>
      </c>
      <c r="F28" s="26">
        <v>1400</v>
      </c>
      <c r="G28" s="26">
        <v>3000</v>
      </c>
      <c r="H28" s="26">
        <v>7000</v>
      </c>
      <c r="I28" s="26">
        <v>14000</v>
      </c>
      <c r="J28" s="26">
        <v>28000</v>
      </c>
      <c r="K28" s="26">
        <v>56000</v>
      </c>
      <c r="L28" s="27">
        <v>84000</v>
      </c>
      <c r="M28" s="26">
        <v>168000</v>
      </c>
    </row>
    <row r="29" spans="1:14" ht="15" x14ac:dyDescent="0.25">
      <c r="A29" s="152" t="s">
        <v>102</v>
      </c>
      <c r="B29" s="152"/>
      <c r="C29" s="56">
        <v>7</v>
      </c>
      <c r="D29" s="26">
        <v>17</v>
      </c>
      <c r="E29" s="26">
        <v>30</v>
      </c>
      <c r="F29" s="26">
        <v>60</v>
      </c>
      <c r="G29" s="26">
        <v>120</v>
      </c>
      <c r="H29" s="26">
        <v>207</v>
      </c>
      <c r="I29" s="26">
        <v>293</v>
      </c>
      <c r="J29" s="26">
        <v>415</v>
      </c>
      <c r="K29" s="26">
        <v>509</v>
      </c>
      <c r="L29" s="27">
        <v>587</v>
      </c>
      <c r="M29" s="26">
        <v>657</v>
      </c>
    </row>
    <row r="30" spans="1:14" ht="15" x14ac:dyDescent="0.25">
      <c r="A30" s="152" t="s">
        <v>103</v>
      </c>
      <c r="B30" s="152"/>
      <c r="C30" s="43">
        <v>400</v>
      </c>
      <c r="D30" s="26">
        <v>450</v>
      </c>
      <c r="E30" s="26">
        <v>500</v>
      </c>
      <c r="F30" s="26">
        <v>550</v>
      </c>
      <c r="G30" s="26">
        <v>590</v>
      </c>
      <c r="H30" s="26">
        <v>610</v>
      </c>
      <c r="I30" s="26">
        <v>630</v>
      </c>
      <c r="J30" s="26">
        <v>660</v>
      </c>
      <c r="K30" s="26">
        <v>680</v>
      </c>
      <c r="L30" s="27">
        <v>710</v>
      </c>
      <c r="M30" s="26">
        <v>750</v>
      </c>
    </row>
    <row r="31" spans="1:14" ht="15" x14ac:dyDescent="0.25">
      <c r="A31" s="152" t="s">
        <v>107</v>
      </c>
      <c r="B31" s="152"/>
      <c r="C31" s="56">
        <v>200</v>
      </c>
      <c r="D31" s="26">
        <v>400</v>
      </c>
      <c r="E31" s="26">
        <v>600</v>
      </c>
      <c r="F31" s="26">
        <v>800</v>
      </c>
      <c r="G31" s="26">
        <v>1000</v>
      </c>
      <c r="H31" s="26">
        <v>1300</v>
      </c>
      <c r="I31" s="26">
        <v>1600</v>
      </c>
      <c r="J31" s="26">
        <v>1900</v>
      </c>
      <c r="K31" s="26">
        <v>2200</v>
      </c>
      <c r="L31" s="27">
        <v>2500</v>
      </c>
      <c r="M31" s="26">
        <v>3000</v>
      </c>
    </row>
    <row r="32" spans="1:14" ht="15" x14ac:dyDescent="0.25">
      <c r="A32" s="152" t="s">
        <v>108</v>
      </c>
      <c r="B32" s="152"/>
      <c r="C32" s="43">
        <v>500</v>
      </c>
      <c r="D32" s="26">
        <v>1000</v>
      </c>
      <c r="E32" s="26">
        <v>1500</v>
      </c>
      <c r="F32" s="26">
        <v>2500</v>
      </c>
      <c r="G32" s="26">
        <v>10000</v>
      </c>
      <c r="H32" s="26">
        <v>20000</v>
      </c>
      <c r="I32" s="26">
        <v>30000</v>
      </c>
      <c r="J32" s="26">
        <v>50000</v>
      </c>
      <c r="K32" s="26">
        <v>75000</v>
      </c>
      <c r="L32" s="27">
        <v>100000</v>
      </c>
      <c r="M32" s="26">
        <v>150000</v>
      </c>
    </row>
    <row r="33" spans="1:13" x14ac:dyDescent="0.15">
      <c r="A33" s="57"/>
      <c r="B33" s="57"/>
    </row>
    <row r="34" spans="1:13" ht="15" x14ac:dyDescent="0.25">
      <c r="A34" s="156" t="s">
        <v>110</v>
      </c>
      <c r="B34" s="156"/>
      <c r="C34" s="55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" x14ac:dyDescent="0.25">
      <c r="A35" s="152" t="s">
        <v>98</v>
      </c>
      <c r="B35" s="152"/>
      <c r="C35" s="43">
        <v>1</v>
      </c>
      <c r="D35" s="26">
        <v>2</v>
      </c>
      <c r="E35" s="26">
        <v>3</v>
      </c>
      <c r="F35" s="26">
        <v>4</v>
      </c>
      <c r="G35" s="26">
        <v>5</v>
      </c>
      <c r="H35" s="26">
        <v>6</v>
      </c>
      <c r="I35" s="26">
        <v>7</v>
      </c>
      <c r="J35" s="26">
        <v>8</v>
      </c>
      <c r="K35" s="26">
        <v>9</v>
      </c>
      <c r="L35" s="27">
        <v>10</v>
      </c>
      <c r="M35" s="26">
        <v>11</v>
      </c>
    </row>
    <row r="36" spans="1:13" ht="15" x14ac:dyDescent="0.25">
      <c r="A36" s="152" t="s">
        <v>99</v>
      </c>
      <c r="B36" s="152"/>
      <c r="C36" s="60">
        <v>0.25</v>
      </c>
      <c r="D36" s="23">
        <v>0.5</v>
      </c>
      <c r="E36" s="23">
        <v>1</v>
      </c>
      <c r="F36" s="23">
        <v>2</v>
      </c>
      <c r="G36" s="23">
        <v>3</v>
      </c>
      <c r="H36" s="23">
        <v>4</v>
      </c>
      <c r="I36" s="23">
        <v>6</v>
      </c>
      <c r="J36" s="23">
        <v>8</v>
      </c>
      <c r="K36" s="23">
        <v>12</v>
      </c>
      <c r="L36" s="25">
        <v>24</v>
      </c>
      <c r="M36" s="23">
        <v>48</v>
      </c>
    </row>
    <row r="37" spans="1:13" ht="15" x14ac:dyDescent="0.25">
      <c r="A37" s="153" t="s">
        <v>171</v>
      </c>
      <c r="B37" s="161"/>
      <c r="C37" s="60">
        <f>SUM($C$36:C36)</f>
        <v>0.25</v>
      </c>
      <c r="D37" s="60">
        <f>SUM($C$36:D36)</f>
        <v>0.75</v>
      </c>
      <c r="E37" s="60">
        <f>SUM($C$36:E36)</f>
        <v>1.75</v>
      </c>
      <c r="F37" s="60">
        <f>SUM($C$36:F36)</f>
        <v>3.75</v>
      </c>
      <c r="G37" s="60">
        <f>SUM($C$36:G36)</f>
        <v>6.75</v>
      </c>
      <c r="H37" s="60">
        <f>SUM($C$36:H36)</f>
        <v>10.75</v>
      </c>
      <c r="I37" s="60">
        <f>SUM($C$36:I36)</f>
        <v>16.75</v>
      </c>
      <c r="J37" s="60">
        <f>SUM($C$36:J36)</f>
        <v>24.75</v>
      </c>
      <c r="K37" s="60">
        <f>SUM($C$36:K36)</f>
        <v>36.75</v>
      </c>
      <c r="L37" s="60">
        <f>SUM($C$36:L36)</f>
        <v>60.75</v>
      </c>
      <c r="M37" s="60">
        <f>SUM($C$36:M36)</f>
        <v>108.75</v>
      </c>
    </row>
    <row r="38" spans="1:13" ht="15" x14ac:dyDescent="0.25">
      <c r="A38" s="152" t="s">
        <v>106</v>
      </c>
      <c r="B38" s="152"/>
      <c r="C38" s="56">
        <v>300</v>
      </c>
      <c r="D38" s="26">
        <v>750</v>
      </c>
      <c r="E38" s="26">
        <v>1500</v>
      </c>
      <c r="F38" s="26">
        <v>3000</v>
      </c>
      <c r="G38" s="26">
        <v>6000</v>
      </c>
      <c r="H38" s="26">
        <v>12000</v>
      </c>
      <c r="I38" s="26">
        <v>25000</v>
      </c>
      <c r="J38" s="26">
        <v>50000</v>
      </c>
      <c r="K38" s="26">
        <v>100000</v>
      </c>
      <c r="L38" s="27">
        <v>250000</v>
      </c>
      <c r="M38" s="26">
        <v>500000</v>
      </c>
    </row>
    <row r="39" spans="1:13" ht="15" x14ac:dyDescent="0.25">
      <c r="A39" s="152" t="s">
        <v>102</v>
      </c>
      <c r="B39" s="152"/>
      <c r="C39" s="56">
        <v>30</v>
      </c>
      <c r="D39" s="26">
        <v>42</v>
      </c>
      <c r="E39" s="26">
        <v>60</v>
      </c>
      <c r="F39" s="26">
        <v>84</v>
      </c>
      <c r="G39" s="26">
        <v>103</v>
      </c>
      <c r="H39" s="26">
        <v>120</v>
      </c>
      <c r="I39" s="26">
        <v>146</v>
      </c>
      <c r="J39" s="26">
        <v>169</v>
      </c>
      <c r="K39" s="26">
        <v>207</v>
      </c>
      <c r="L39" s="27">
        <v>293</v>
      </c>
      <c r="M39" s="26">
        <v>415</v>
      </c>
    </row>
    <row r="40" spans="1:13" ht="15" x14ac:dyDescent="0.25">
      <c r="A40" s="152" t="s">
        <v>103</v>
      </c>
      <c r="B40" s="152"/>
      <c r="C40" s="43">
        <v>400</v>
      </c>
      <c r="D40" s="26">
        <v>600</v>
      </c>
      <c r="E40" s="26">
        <v>800</v>
      </c>
      <c r="F40" s="26">
        <v>1000</v>
      </c>
      <c r="G40" s="26">
        <v>1200</v>
      </c>
      <c r="H40" s="26">
        <v>1500</v>
      </c>
      <c r="I40" s="26">
        <v>1650</v>
      </c>
      <c r="J40" s="26">
        <v>1740</v>
      </c>
      <c r="K40" s="26">
        <v>1820</v>
      </c>
      <c r="L40" s="27">
        <v>1920</v>
      </c>
      <c r="M40" s="26">
        <v>2016</v>
      </c>
    </row>
    <row r="41" spans="1:13" ht="15" x14ac:dyDescent="0.25">
      <c r="A41" s="152" t="s">
        <v>111</v>
      </c>
      <c r="B41" s="152"/>
      <c r="C41" s="56">
        <v>1500</v>
      </c>
      <c r="D41" s="26">
        <v>3000</v>
      </c>
      <c r="E41" s="26">
        <v>6000</v>
      </c>
      <c r="F41" s="26">
        <v>12000</v>
      </c>
      <c r="G41" s="26">
        <v>25000</v>
      </c>
      <c r="H41" s="26">
        <v>50000</v>
      </c>
      <c r="I41" s="26">
        <v>100000</v>
      </c>
      <c r="J41" s="26">
        <v>250000</v>
      </c>
      <c r="K41" s="26">
        <v>500000</v>
      </c>
      <c r="L41" s="27">
        <v>1000000</v>
      </c>
      <c r="M41" s="26">
        <v>2000000</v>
      </c>
    </row>
    <row r="42" spans="1:13" x14ac:dyDescent="0.15">
      <c r="A42" s="57"/>
      <c r="B42" s="57"/>
    </row>
    <row r="43" spans="1:13" ht="15" x14ac:dyDescent="0.25">
      <c r="A43" s="156" t="s">
        <v>112</v>
      </c>
      <c r="B43" s="156"/>
      <c r="C43" s="55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5" x14ac:dyDescent="0.25">
      <c r="A44" s="152" t="s">
        <v>98</v>
      </c>
      <c r="B44" s="152"/>
      <c r="C44" s="43">
        <v>1</v>
      </c>
      <c r="D44" s="26">
        <v>2</v>
      </c>
      <c r="E44" s="26">
        <v>3</v>
      </c>
      <c r="F44" s="26">
        <v>4</v>
      </c>
      <c r="G44" s="26">
        <v>5</v>
      </c>
      <c r="H44" s="26">
        <v>6</v>
      </c>
      <c r="I44" s="26">
        <v>7</v>
      </c>
      <c r="J44" s="26">
        <v>8</v>
      </c>
      <c r="K44" s="26">
        <v>9</v>
      </c>
      <c r="L44" s="27">
        <v>10</v>
      </c>
      <c r="M44" s="26">
        <v>11</v>
      </c>
    </row>
    <row r="45" spans="1:13" ht="15" x14ac:dyDescent="0.25">
      <c r="A45" s="152" t="s">
        <v>99</v>
      </c>
      <c r="B45" s="152"/>
      <c r="C45" s="59">
        <v>1.0416666666666666E-2</v>
      </c>
      <c r="D45" s="24">
        <v>2.0833333333333332E-2</v>
      </c>
      <c r="E45" s="24">
        <v>4.1666666666666664E-2</v>
      </c>
      <c r="F45" s="24">
        <v>8.3333333333333329E-2</v>
      </c>
      <c r="G45" s="24">
        <v>0.125</v>
      </c>
      <c r="H45" s="24">
        <v>0.16666666666666666</v>
      </c>
      <c r="I45" s="24">
        <v>0.25</v>
      </c>
      <c r="J45" s="24">
        <v>0.33333333333333331</v>
      </c>
      <c r="K45" s="24">
        <v>0.5</v>
      </c>
      <c r="L45" s="27">
        <v>1</v>
      </c>
      <c r="M45" s="26">
        <v>2</v>
      </c>
    </row>
    <row r="46" spans="1:13" ht="15" x14ac:dyDescent="0.25">
      <c r="A46" s="152" t="s">
        <v>101</v>
      </c>
      <c r="B46" s="152"/>
      <c r="C46" s="56">
        <v>300</v>
      </c>
      <c r="D46" s="26">
        <v>750</v>
      </c>
      <c r="E46" s="26">
        <v>1500</v>
      </c>
      <c r="F46" s="26">
        <v>3000</v>
      </c>
      <c r="G46" s="26">
        <v>6000</v>
      </c>
      <c r="H46" s="26">
        <v>12000</v>
      </c>
      <c r="I46" s="26">
        <v>25000</v>
      </c>
      <c r="J46" s="26">
        <v>50000</v>
      </c>
      <c r="K46" s="26">
        <v>100000</v>
      </c>
      <c r="L46" s="27">
        <v>250000</v>
      </c>
      <c r="M46" s="26">
        <v>500000</v>
      </c>
    </row>
    <row r="47" spans="1:13" ht="15" x14ac:dyDescent="0.25">
      <c r="A47" s="152" t="s">
        <v>102</v>
      </c>
      <c r="B47" s="152"/>
      <c r="C47" s="56">
        <v>30</v>
      </c>
      <c r="D47" s="26">
        <v>42</v>
      </c>
      <c r="E47" s="26">
        <v>60</v>
      </c>
      <c r="F47" s="26">
        <v>84</v>
      </c>
      <c r="G47" s="26">
        <v>103</v>
      </c>
      <c r="H47" s="26">
        <v>120</v>
      </c>
      <c r="I47" s="26">
        <v>146</v>
      </c>
      <c r="J47" s="26">
        <v>169</v>
      </c>
      <c r="K47" s="26">
        <v>207</v>
      </c>
      <c r="L47" s="27">
        <v>293</v>
      </c>
      <c r="M47" s="26">
        <v>415</v>
      </c>
    </row>
    <row r="48" spans="1:13" ht="15" x14ac:dyDescent="0.25">
      <c r="A48" s="152" t="s">
        <v>103</v>
      </c>
      <c r="B48" s="152"/>
      <c r="C48" s="43">
        <v>400</v>
      </c>
      <c r="D48" s="26">
        <v>600</v>
      </c>
      <c r="E48" s="26">
        <v>800</v>
      </c>
      <c r="F48" s="26">
        <v>1000</v>
      </c>
      <c r="G48" s="26">
        <v>1200</v>
      </c>
      <c r="H48" s="26">
        <v>1500</v>
      </c>
      <c r="I48" s="26">
        <v>1650</v>
      </c>
      <c r="J48" s="26">
        <v>1740</v>
      </c>
      <c r="K48" s="26">
        <v>1820</v>
      </c>
      <c r="L48" s="27">
        <v>1920</v>
      </c>
      <c r="M48" s="26">
        <v>2016</v>
      </c>
    </row>
    <row r="49" spans="1:13" ht="15" x14ac:dyDescent="0.25">
      <c r="A49" s="152" t="s">
        <v>111</v>
      </c>
      <c r="B49" s="152"/>
      <c r="C49" s="56">
        <v>1500</v>
      </c>
      <c r="D49" s="26">
        <v>3000</v>
      </c>
      <c r="E49" s="26">
        <v>6000</v>
      </c>
      <c r="F49" s="26">
        <v>12000</v>
      </c>
      <c r="G49" s="26">
        <v>25000</v>
      </c>
      <c r="H49" s="26">
        <v>50000</v>
      </c>
      <c r="I49" s="26">
        <v>100000</v>
      </c>
      <c r="J49" s="26">
        <v>250000</v>
      </c>
      <c r="K49" s="26">
        <v>500000</v>
      </c>
      <c r="L49" s="27">
        <v>1000000</v>
      </c>
      <c r="M49" s="26">
        <v>2000000</v>
      </c>
    </row>
    <row r="50" spans="1:13" x14ac:dyDescent="0.15">
      <c r="A50" s="57"/>
      <c r="B50" s="57"/>
    </row>
    <row r="51" spans="1:13" ht="15" x14ac:dyDescent="0.25">
      <c r="A51" s="156" t="s">
        <v>113</v>
      </c>
      <c r="B51" s="156"/>
      <c r="C51" s="55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" x14ac:dyDescent="0.25">
      <c r="A52" s="152" t="s">
        <v>98</v>
      </c>
      <c r="B52" s="152"/>
      <c r="C52" s="43">
        <v>1</v>
      </c>
      <c r="D52" s="26">
        <v>2</v>
      </c>
      <c r="E52" s="26">
        <v>3</v>
      </c>
      <c r="F52" s="26">
        <v>4</v>
      </c>
      <c r="G52" s="26">
        <v>5</v>
      </c>
      <c r="H52" s="26">
        <v>6</v>
      </c>
    </row>
    <row r="53" spans="1:13" ht="15" x14ac:dyDescent="0.25">
      <c r="A53" s="152" t="s">
        <v>99</v>
      </c>
      <c r="B53" s="152"/>
      <c r="C53" s="60">
        <v>1</v>
      </c>
      <c r="D53" s="23">
        <v>2</v>
      </c>
      <c r="E53" s="23">
        <v>3</v>
      </c>
      <c r="F53" s="23">
        <v>4</v>
      </c>
      <c r="G53" s="23">
        <v>6</v>
      </c>
      <c r="H53" s="23">
        <v>8</v>
      </c>
    </row>
    <row r="54" spans="1:13" ht="15" x14ac:dyDescent="0.25">
      <c r="A54" s="153" t="s">
        <v>171</v>
      </c>
      <c r="B54" s="161"/>
      <c r="C54" s="60">
        <f>24*SUM($C$53:C53)</f>
        <v>24</v>
      </c>
      <c r="D54" s="60">
        <f>24*SUM($C$53:D53)</f>
        <v>72</v>
      </c>
      <c r="E54" s="60">
        <f>24*SUM($C$53:E53)</f>
        <v>144</v>
      </c>
      <c r="F54" s="60">
        <f>24*SUM($C$53:F53)</f>
        <v>240</v>
      </c>
      <c r="G54" s="60">
        <f>24*SUM($C$53:G53)</f>
        <v>384</v>
      </c>
      <c r="H54" s="60">
        <f>24*SUM($C$53:H53)</f>
        <v>576</v>
      </c>
    </row>
    <row r="55" spans="1:13" ht="15" x14ac:dyDescent="0.25">
      <c r="A55" s="152" t="s">
        <v>101</v>
      </c>
      <c r="B55" s="152"/>
      <c r="C55" s="56">
        <v>1000000</v>
      </c>
      <c r="D55" s="26">
        <v>1500000</v>
      </c>
      <c r="E55" s="26">
        <v>2000000</v>
      </c>
      <c r="F55" s="26">
        <v>3000000</v>
      </c>
      <c r="G55" s="26">
        <v>4000000</v>
      </c>
      <c r="H55" s="26">
        <v>5000000</v>
      </c>
    </row>
    <row r="56" spans="1:13" ht="15" x14ac:dyDescent="0.25">
      <c r="A56" s="152" t="s">
        <v>102</v>
      </c>
      <c r="B56" s="152"/>
      <c r="C56" s="56">
        <v>293</v>
      </c>
      <c r="D56" s="26">
        <v>415</v>
      </c>
      <c r="E56" s="26">
        <v>509</v>
      </c>
      <c r="F56" s="26">
        <v>587</v>
      </c>
      <c r="G56" s="26">
        <v>720</v>
      </c>
      <c r="H56" s="26">
        <v>831</v>
      </c>
    </row>
    <row r="57" spans="1:13" ht="15" x14ac:dyDescent="0.25">
      <c r="A57" s="152" t="s">
        <v>103</v>
      </c>
      <c r="B57" s="152"/>
      <c r="C57" s="43">
        <v>400</v>
      </c>
      <c r="D57" s="26">
        <v>480</v>
      </c>
      <c r="E57" s="26">
        <v>580</v>
      </c>
      <c r="F57" s="26">
        <v>690</v>
      </c>
      <c r="G57" s="26">
        <v>830</v>
      </c>
      <c r="H57" s="26">
        <v>1000</v>
      </c>
    </row>
    <row r="58" spans="1:13" ht="15" x14ac:dyDescent="0.25">
      <c r="A58" s="152" t="s">
        <v>107</v>
      </c>
      <c r="B58" s="152"/>
      <c r="C58" s="56">
        <v>20</v>
      </c>
      <c r="D58" s="26">
        <v>30</v>
      </c>
      <c r="E58" s="26">
        <v>45</v>
      </c>
      <c r="F58" s="26">
        <v>60</v>
      </c>
      <c r="G58" s="26">
        <v>80</v>
      </c>
      <c r="H58" s="26">
        <v>100</v>
      </c>
    </row>
    <row r="59" spans="1:13" ht="15" x14ac:dyDescent="0.25">
      <c r="A59" s="152" t="s">
        <v>108</v>
      </c>
      <c r="B59" s="152"/>
      <c r="C59" s="56">
        <v>120</v>
      </c>
      <c r="D59" s="26">
        <v>240</v>
      </c>
      <c r="E59" s="26">
        <v>450</v>
      </c>
      <c r="F59" s="26">
        <v>720</v>
      </c>
      <c r="G59" s="26">
        <v>1120</v>
      </c>
      <c r="H59" s="26">
        <v>1600</v>
      </c>
    </row>
    <row r="60" spans="1:13" x14ac:dyDescent="0.15">
      <c r="A60" s="57"/>
      <c r="B60" s="57"/>
    </row>
    <row r="61" spans="1:13" ht="15" x14ac:dyDescent="0.25">
      <c r="A61" s="156" t="s">
        <v>114</v>
      </c>
      <c r="B61" s="156"/>
      <c r="C61" s="55"/>
      <c r="D61" s="4"/>
      <c r="E61" s="4"/>
      <c r="F61" s="4"/>
      <c r="G61" s="4"/>
      <c r="H61" s="4"/>
    </row>
    <row r="62" spans="1:13" ht="15" x14ac:dyDescent="0.25">
      <c r="A62" s="152" t="s">
        <v>98</v>
      </c>
      <c r="B62" s="152"/>
      <c r="C62" s="43">
        <v>1</v>
      </c>
      <c r="D62" s="26">
        <v>2</v>
      </c>
      <c r="E62" s="26">
        <v>3</v>
      </c>
      <c r="F62" s="26">
        <v>4</v>
      </c>
      <c r="G62" s="26">
        <v>5</v>
      </c>
      <c r="H62" s="26">
        <v>6</v>
      </c>
    </row>
    <row r="63" spans="1:13" ht="15" x14ac:dyDescent="0.25">
      <c r="A63" s="152" t="s">
        <v>99</v>
      </c>
      <c r="B63" s="152"/>
      <c r="C63" s="60">
        <v>1</v>
      </c>
      <c r="D63" s="23">
        <v>2</v>
      </c>
      <c r="E63" s="23">
        <v>3</v>
      </c>
      <c r="F63" s="23">
        <v>4</v>
      </c>
      <c r="G63" s="23">
        <v>5</v>
      </c>
      <c r="H63" s="23">
        <v>6</v>
      </c>
    </row>
    <row r="64" spans="1:13" ht="15" x14ac:dyDescent="0.25">
      <c r="A64" s="153" t="s">
        <v>171</v>
      </c>
      <c r="B64" s="161"/>
      <c r="C64" s="60">
        <f>24*SUM($C$63:C63)</f>
        <v>24</v>
      </c>
      <c r="D64" s="60">
        <f>24*SUM($C$63:D63)</f>
        <v>72</v>
      </c>
      <c r="E64" s="60">
        <f>24*SUM($C$63:E63)</f>
        <v>144</v>
      </c>
      <c r="F64" s="60">
        <f>24*SUM($C$63:F63)</f>
        <v>240</v>
      </c>
      <c r="G64" s="60">
        <f>24*SUM($C$63:G63)</f>
        <v>360</v>
      </c>
      <c r="H64" s="60">
        <f>24*SUM($C$63:H63)</f>
        <v>504</v>
      </c>
    </row>
    <row r="65" spans="1:14" ht="15" x14ac:dyDescent="0.25">
      <c r="A65" s="152" t="s">
        <v>101</v>
      </c>
      <c r="B65" s="152"/>
      <c r="C65" s="56">
        <v>750000</v>
      </c>
      <c r="D65" s="26">
        <v>1200000</v>
      </c>
      <c r="E65" s="26">
        <v>1800000</v>
      </c>
      <c r="F65" s="26">
        <v>2400000</v>
      </c>
      <c r="G65" s="26">
        <v>3000000</v>
      </c>
      <c r="H65" s="26">
        <v>3600000</v>
      </c>
    </row>
    <row r="66" spans="1:14" ht="15" x14ac:dyDescent="0.25">
      <c r="A66" s="152" t="s">
        <v>102</v>
      </c>
      <c r="B66" s="152"/>
      <c r="C66" s="56">
        <v>293</v>
      </c>
      <c r="D66" s="26">
        <v>415</v>
      </c>
      <c r="E66" s="26">
        <v>509</v>
      </c>
      <c r="F66" s="26">
        <v>587</v>
      </c>
      <c r="G66" s="26">
        <v>657</v>
      </c>
      <c r="H66" s="26">
        <v>720</v>
      </c>
    </row>
    <row r="67" spans="1:14" ht="15" x14ac:dyDescent="0.25">
      <c r="A67" s="152" t="s">
        <v>103</v>
      </c>
      <c r="B67" s="152"/>
      <c r="C67" s="43">
        <v>1500</v>
      </c>
      <c r="D67" s="26">
        <v>1650</v>
      </c>
      <c r="E67" s="26">
        <v>2000</v>
      </c>
      <c r="F67" s="26">
        <v>2200</v>
      </c>
      <c r="G67" s="26">
        <v>2400</v>
      </c>
      <c r="H67" s="26">
        <v>2650</v>
      </c>
    </row>
    <row r="68" spans="1:14" ht="15" x14ac:dyDescent="0.25">
      <c r="A68" s="152" t="s">
        <v>111</v>
      </c>
      <c r="B68" s="152"/>
      <c r="C68" s="56">
        <v>10000</v>
      </c>
      <c r="D68" s="26">
        <v>20000</v>
      </c>
      <c r="E68" s="26">
        <v>40000</v>
      </c>
      <c r="F68" s="26">
        <v>80000</v>
      </c>
      <c r="G68" s="26">
        <v>150000</v>
      </c>
      <c r="H68" s="26">
        <v>200000</v>
      </c>
    </row>
    <row r="69" spans="1:14" x14ac:dyDescent="0.15">
      <c r="A69" s="57"/>
      <c r="B69" s="57"/>
    </row>
    <row r="70" spans="1:14" ht="15" x14ac:dyDescent="0.25">
      <c r="A70" s="156" t="s">
        <v>381</v>
      </c>
      <c r="B70" s="156"/>
      <c r="C70" s="55"/>
      <c r="D70" s="4"/>
      <c r="E70" s="4"/>
      <c r="F70" s="4"/>
      <c r="G70" s="4"/>
      <c r="H70" s="4"/>
    </row>
    <row r="71" spans="1:14" ht="15" x14ac:dyDescent="0.25">
      <c r="A71" s="152" t="s">
        <v>98</v>
      </c>
      <c r="B71" s="152"/>
      <c r="C71" s="61">
        <v>1</v>
      </c>
      <c r="D71" s="37">
        <v>2</v>
      </c>
      <c r="E71" s="37">
        <v>3</v>
      </c>
      <c r="F71" s="37">
        <v>4</v>
      </c>
      <c r="G71" s="37">
        <v>5</v>
      </c>
      <c r="H71" s="37">
        <v>6</v>
      </c>
      <c r="I71" s="37">
        <v>7</v>
      </c>
      <c r="J71" s="37">
        <v>8</v>
      </c>
      <c r="K71" s="37">
        <v>9</v>
      </c>
      <c r="L71" s="37">
        <v>10</v>
      </c>
      <c r="M71" s="37">
        <v>11</v>
      </c>
    </row>
    <row r="72" spans="1:14" ht="15" x14ac:dyDescent="0.25">
      <c r="A72" s="152" t="s">
        <v>99</v>
      </c>
      <c r="B72" s="152"/>
      <c r="C72" s="59">
        <v>6.9444444444444447E-4</v>
      </c>
      <c r="D72" s="24">
        <v>1.0416666666666666E-2</v>
      </c>
      <c r="E72" s="24">
        <v>3.125E-2</v>
      </c>
      <c r="F72" s="24">
        <v>8.3333333333333329E-2</v>
      </c>
      <c r="G72" s="24">
        <v>0.25</v>
      </c>
      <c r="H72" s="24">
        <v>0.5</v>
      </c>
      <c r="I72" s="26">
        <v>1</v>
      </c>
      <c r="J72" s="26">
        <v>2</v>
      </c>
      <c r="K72" s="26">
        <v>3</v>
      </c>
      <c r="L72" s="26">
        <v>4</v>
      </c>
      <c r="M72" s="26">
        <v>5</v>
      </c>
      <c r="N72" s="19"/>
    </row>
    <row r="73" spans="1:14" ht="15" x14ac:dyDescent="0.25">
      <c r="A73" s="153" t="s">
        <v>171</v>
      </c>
      <c r="B73" s="161"/>
      <c r="C73" s="60">
        <f>24*SUM($C$72:C72)</f>
        <v>1.6666666666666666E-2</v>
      </c>
      <c r="D73" s="60">
        <f>24*SUM($C$72:D72)</f>
        <v>0.26666666666666661</v>
      </c>
      <c r="E73" s="60">
        <f>24*SUM($C$72:E72)</f>
        <v>1.0166666666666666</v>
      </c>
      <c r="F73" s="60">
        <f>24*SUM($C$72:F72)</f>
        <v>3.0166666666666666</v>
      </c>
      <c r="G73" s="60">
        <f>24*SUM($C$72:G72)</f>
        <v>9.0166666666666657</v>
      </c>
      <c r="H73" s="60">
        <f>24*SUM($C$72:H72)</f>
        <v>21.016666666666666</v>
      </c>
      <c r="I73" s="60">
        <f>24*SUM($C$72:I72)</f>
        <v>45.016666666666666</v>
      </c>
      <c r="J73" s="60">
        <f>24*SUM($C$72:J72)</f>
        <v>93.016666666666666</v>
      </c>
      <c r="K73" s="60">
        <f>24*SUM($C$72:K72)</f>
        <v>165.01666666666668</v>
      </c>
      <c r="L73" s="60">
        <f>24*SUM($C$72:L72)</f>
        <v>261.01666666666665</v>
      </c>
      <c r="M73" s="60">
        <f>24*SUM($C$72:M72)</f>
        <v>381.01666666666665</v>
      </c>
      <c r="N73" s="19"/>
    </row>
    <row r="74" spans="1:14" ht="15" x14ac:dyDescent="0.25">
      <c r="A74" s="152" t="s">
        <v>101</v>
      </c>
      <c r="B74" s="152"/>
      <c r="C74" s="56">
        <v>250</v>
      </c>
      <c r="D74" s="26">
        <v>1000</v>
      </c>
      <c r="E74" s="26">
        <v>4000</v>
      </c>
      <c r="F74" s="26">
        <v>16000</v>
      </c>
      <c r="G74" s="26">
        <v>50000</v>
      </c>
      <c r="H74" s="26">
        <v>100000</v>
      </c>
      <c r="I74" s="26">
        <v>200000</v>
      </c>
      <c r="J74" s="26">
        <v>400000</v>
      </c>
      <c r="K74" s="26">
        <v>800000</v>
      </c>
      <c r="L74" s="26">
        <v>1600000</v>
      </c>
      <c r="M74" s="26">
        <v>3200000</v>
      </c>
      <c r="N74" s="19"/>
    </row>
    <row r="75" spans="1:14" ht="15" x14ac:dyDescent="0.25">
      <c r="A75" s="152" t="s">
        <v>102</v>
      </c>
      <c r="B75" s="152"/>
      <c r="C75" s="56">
        <v>7</v>
      </c>
      <c r="D75" s="26">
        <v>17</v>
      </c>
      <c r="E75" s="26">
        <v>51</v>
      </c>
      <c r="F75" s="26">
        <v>84</v>
      </c>
      <c r="G75" s="26">
        <v>146</v>
      </c>
      <c r="H75" s="26">
        <v>207</v>
      </c>
      <c r="I75" s="26">
        <v>293</v>
      </c>
      <c r="J75" s="26">
        <v>415</v>
      </c>
      <c r="K75" s="26">
        <v>509</v>
      </c>
      <c r="L75" s="26">
        <v>587</v>
      </c>
      <c r="M75" s="26">
        <v>657</v>
      </c>
      <c r="N75" s="19"/>
    </row>
    <row r="76" spans="1:14" ht="15" x14ac:dyDescent="0.25">
      <c r="A76" s="152" t="s">
        <v>103</v>
      </c>
      <c r="B76" s="152"/>
      <c r="C76" s="43">
        <v>400</v>
      </c>
      <c r="D76" s="26">
        <v>450</v>
      </c>
      <c r="E76" s="26">
        <v>500</v>
      </c>
      <c r="F76" s="26">
        <v>550</v>
      </c>
      <c r="G76" s="26">
        <v>590</v>
      </c>
      <c r="H76" s="26">
        <v>610</v>
      </c>
      <c r="I76" s="26">
        <v>630</v>
      </c>
      <c r="J76" s="26">
        <v>660</v>
      </c>
      <c r="K76" s="26">
        <v>690</v>
      </c>
      <c r="L76" s="26">
        <v>750</v>
      </c>
      <c r="M76" s="26">
        <v>900</v>
      </c>
      <c r="N76" s="19"/>
    </row>
    <row r="77" spans="1:14" ht="15" x14ac:dyDescent="0.25">
      <c r="A77" s="152" t="s">
        <v>115</v>
      </c>
      <c r="B77" s="152"/>
      <c r="C77" s="56">
        <v>7</v>
      </c>
      <c r="D77" s="26">
        <v>9</v>
      </c>
      <c r="E77" s="26">
        <v>12</v>
      </c>
      <c r="F77" s="26">
        <v>15</v>
      </c>
      <c r="G77" s="26">
        <v>20</v>
      </c>
      <c r="H77" s="26">
        <v>25</v>
      </c>
      <c r="I77" s="26">
        <v>32</v>
      </c>
      <c r="J77" s="26">
        <v>38</v>
      </c>
      <c r="K77" s="26">
        <v>45</v>
      </c>
      <c r="L77" s="26">
        <v>52</v>
      </c>
      <c r="M77" s="26">
        <v>60</v>
      </c>
      <c r="N77" s="19"/>
    </row>
    <row r="78" spans="1:14" ht="13.5" customHeight="1" x14ac:dyDescent="0.15">
      <c r="A78" s="57"/>
      <c r="B78" s="5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4" ht="15" customHeight="1" x14ac:dyDescent="0.25">
      <c r="A79" s="156" t="s">
        <v>116</v>
      </c>
      <c r="B79" s="156"/>
      <c r="C79" s="55"/>
      <c r="D79" s="4"/>
      <c r="E79" s="4"/>
      <c r="F79" s="4"/>
      <c r="G79" s="4"/>
      <c r="H79" s="4"/>
    </row>
    <row r="80" spans="1:14" ht="15" x14ac:dyDescent="0.25">
      <c r="A80" s="152" t="s">
        <v>98</v>
      </c>
      <c r="B80" s="152"/>
      <c r="C80" s="61">
        <v>1</v>
      </c>
      <c r="D80" s="37">
        <v>2</v>
      </c>
      <c r="E80" s="37">
        <v>3</v>
      </c>
      <c r="F80" s="37">
        <v>4</v>
      </c>
      <c r="G80" s="37">
        <v>5</v>
      </c>
      <c r="H80" s="37">
        <v>6</v>
      </c>
      <c r="I80" s="37">
        <v>7</v>
      </c>
    </row>
    <row r="81" spans="1:13" ht="15" x14ac:dyDescent="0.25">
      <c r="A81" s="152" t="s">
        <v>99</v>
      </c>
      <c r="B81" s="152"/>
      <c r="C81" s="59">
        <v>0.33333333333333331</v>
      </c>
      <c r="D81" s="24">
        <v>0.5</v>
      </c>
      <c r="E81" s="26">
        <v>1</v>
      </c>
      <c r="F81" s="26">
        <v>2</v>
      </c>
      <c r="G81" s="26">
        <v>4</v>
      </c>
      <c r="H81" s="26">
        <v>5</v>
      </c>
      <c r="I81" s="26">
        <v>7</v>
      </c>
    </row>
    <row r="82" spans="1:13" ht="15" x14ac:dyDescent="0.25">
      <c r="A82" s="77"/>
      <c r="B82" s="77"/>
      <c r="C82" s="60">
        <f>24*SUM($C$81:C81)</f>
        <v>8</v>
      </c>
      <c r="D82" s="60">
        <f>24*SUM($C$81:D81)</f>
        <v>20</v>
      </c>
      <c r="E82" s="60">
        <f>24*SUM($C$81:E81)</f>
        <v>44</v>
      </c>
      <c r="F82" s="60">
        <f>24*SUM($C$81:F81)</f>
        <v>92</v>
      </c>
      <c r="G82" s="60">
        <f>24*SUM($C$81:G81)</f>
        <v>188</v>
      </c>
      <c r="H82" s="60">
        <f>24*SUM($C$81:H81)</f>
        <v>308</v>
      </c>
      <c r="I82" s="60">
        <f>24*SUM($C$81:I81)</f>
        <v>476</v>
      </c>
    </row>
    <row r="83" spans="1:13" ht="15" x14ac:dyDescent="0.25">
      <c r="A83" s="152" t="s">
        <v>101</v>
      </c>
      <c r="B83" s="152"/>
      <c r="C83" s="56">
        <v>8000</v>
      </c>
      <c r="D83" s="26">
        <v>32000</v>
      </c>
      <c r="E83" s="26">
        <v>120000</v>
      </c>
      <c r="F83" s="26">
        <v>400000</v>
      </c>
      <c r="G83" s="26">
        <v>800000</v>
      </c>
      <c r="H83" s="26">
        <v>1600000</v>
      </c>
      <c r="I83" s="26">
        <v>3200000</v>
      </c>
    </row>
    <row r="84" spans="1:13" ht="15" x14ac:dyDescent="0.25">
      <c r="A84" s="152" t="s">
        <v>102</v>
      </c>
      <c r="B84" s="152"/>
      <c r="C84" s="56">
        <v>169</v>
      </c>
      <c r="D84" s="26">
        <v>207</v>
      </c>
      <c r="E84" s="26">
        <v>293</v>
      </c>
      <c r="F84" s="26">
        <v>415</v>
      </c>
      <c r="G84" s="26">
        <v>587</v>
      </c>
      <c r="H84" s="26">
        <v>657</v>
      </c>
      <c r="I84" s="26">
        <v>777</v>
      </c>
    </row>
    <row r="85" spans="1:13" ht="15" x14ac:dyDescent="0.25">
      <c r="A85" s="152" t="s">
        <v>103</v>
      </c>
      <c r="B85" s="152"/>
      <c r="C85" s="43">
        <v>400</v>
      </c>
      <c r="D85" s="26">
        <v>450</v>
      </c>
      <c r="E85" s="26">
        <v>500</v>
      </c>
      <c r="F85" s="26">
        <v>550</v>
      </c>
      <c r="G85" s="26">
        <v>590</v>
      </c>
      <c r="H85" s="26">
        <v>610</v>
      </c>
      <c r="I85" s="26">
        <v>640</v>
      </c>
    </row>
    <row r="86" spans="1:13" ht="15" x14ac:dyDescent="0.25">
      <c r="A86" s="152" t="s">
        <v>117</v>
      </c>
      <c r="B86" s="152"/>
      <c r="C86" s="56">
        <v>20</v>
      </c>
      <c r="D86" s="26">
        <v>25</v>
      </c>
      <c r="E86" s="26">
        <v>30</v>
      </c>
      <c r="F86" s="26">
        <v>35</v>
      </c>
      <c r="G86" s="26">
        <v>40</v>
      </c>
      <c r="H86" s="26">
        <v>45</v>
      </c>
      <c r="I86" s="26">
        <v>55</v>
      </c>
    </row>
    <row r="87" spans="1:13" x14ac:dyDescent="0.15">
      <c r="A87" s="57"/>
      <c r="B87" s="57"/>
    </row>
    <row r="88" spans="1:13" ht="15" x14ac:dyDescent="0.25">
      <c r="A88" s="156" t="s">
        <v>118</v>
      </c>
      <c r="B88" s="156"/>
      <c r="C88" s="55"/>
      <c r="D88" s="4"/>
      <c r="E88" s="4"/>
      <c r="F88" s="4"/>
      <c r="G88" s="4"/>
      <c r="H88" s="4"/>
    </row>
    <row r="89" spans="1:13" ht="15" x14ac:dyDescent="0.25">
      <c r="A89" s="152" t="s">
        <v>98</v>
      </c>
      <c r="B89" s="152"/>
      <c r="C89" s="61">
        <v>1</v>
      </c>
      <c r="D89" s="37">
        <v>2</v>
      </c>
      <c r="E89" s="37">
        <v>3</v>
      </c>
      <c r="F89" s="37">
        <v>4</v>
      </c>
      <c r="G89" s="37">
        <v>5</v>
      </c>
      <c r="H89" s="37">
        <v>6</v>
      </c>
      <c r="I89" s="37">
        <v>7</v>
      </c>
      <c r="J89" s="37">
        <v>8</v>
      </c>
      <c r="K89" s="37">
        <v>9</v>
      </c>
      <c r="L89" s="37">
        <v>10</v>
      </c>
      <c r="M89" s="37">
        <v>11</v>
      </c>
    </row>
    <row r="90" spans="1:13" ht="15" x14ac:dyDescent="0.25">
      <c r="A90" s="152" t="s">
        <v>99</v>
      </c>
      <c r="B90" s="152"/>
      <c r="C90" s="59">
        <v>1.0416666666666666E-2</v>
      </c>
      <c r="D90" s="24">
        <v>2.0833333333333332E-2</v>
      </c>
      <c r="E90" s="24">
        <v>3.125E-2</v>
      </c>
      <c r="F90" s="24">
        <v>0.16666666666666666</v>
      </c>
      <c r="G90" s="24">
        <v>0.5</v>
      </c>
      <c r="H90" s="26">
        <v>1</v>
      </c>
      <c r="I90" s="26">
        <v>3</v>
      </c>
      <c r="J90" s="26">
        <v>4</v>
      </c>
      <c r="K90" s="26">
        <v>5</v>
      </c>
      <c r="L90" s="26">
        <v>6</v>
      </c>
      <c r="M90" s="26">
        <v>7</v>
      </c>
    </row>
    <row r="91" spans="1:13" ht="15" x14ac:dyDescent="0.25">
      <c r="A91" s="77"/>
      <c r="B91" s="77"/>
      <c r="C91" s="60">
        <f>24*SUM($C$90:C90)</f>
        <v>0.25</v>
      </c>
      <c r="D91" s="60">
        <f>24*SUM($C$90:D90)</f>
        <v>0.75</v>
      </c>
      <c r="E91" s="60">
        <f>24*SUM($C$90:E90)</f>
        <v>1.5</v>
      </c>
      <c r="F91" s="60">
        <f>24*SUM($C$90:F90)</f>
        <v>5.5</v>
      </c>
      <c r="G91" s="60">
        <f>24*SUM($C$90:G90)</f>
        <v>17.5</v>
      </c>
      <c r="H91" s="60">
        <f>24*SUM($C$90:H90)</f>
        <v>41.5</v>
      </c>
      <c r="I91" s="60">
        <f>24*SUM($C$90:I90)</f>
        <v>113.49999999999999</v>
      </c>
      <c r="J91" s="60">
        <f>24*SUM($C$90:J90)</f>
        <v>209.5</v>
      </c>
      <c r="K91" s="60">
        <f>24*SUM($C$90:K90)</f>
        <v>329.5</v>
      </c>
      <c r="L91" s="60">
        <f>24*SUM($C$90:L90)</f>
        <v>473.49999999999994</v>
      </c>
      <c r="M91" s="60">
        <f>24*SUM($C$90:M90)</f>
        <v>641.5</v>
      </c>
    </row>
    <row r="92" spans="1:13" ht="15" x14ac:dyDescent="0.25">
      <c r="A92" s="152" t="s">
        <v>101</v>
      </c>
      <c r="B92" s="152"/>
      <c r="C92" s="56">
        <v>1000</v>
      </c>
      <c r="D92" s="26">
        <v>2000</v>
      </c>
      <c r="E92" s="26">
        <v>5000</v>
      </c>
      <c r="F92" s="26">
        <v>20000</v>
      </c>
      <c r="G92" s="26">
        <v>80000</v>
      </c>
      <c r="H92" s="26">
        <v>180000</v>
      </c>
      <c r="I92" s="26">
        <v>360000</v>
      </c>
      <c r="J92" s="26">
        <v>720000</v>
      </c>
      <c r="K92" s="26">
        <v>1500000</v>
      </c>
      <c r="L92" s="26">
        <v>2500000</v>
      </c>
      <c r="M92" s="26">
        <v>5000000</v>
      </c>
    </row>
    <row r="93" spans="1:13" ht="15" x14ac:dyDescent="0.25">
      <c r="A93" s="152" t="s">
        <v>102</v>
      </c>
      <c r="B93" s="152"/>
      <c r="C93" s="56">
        <v>30</v>
      </c>
      <c r="D93" s="26">
        <v>42</v>
      </c>
      <c r="E93" s="26">
        <v>51</v>
      </c>
      <c r="F93" s="26">
        <v>120</v>
      </c>
      <c r="G93" s="26">
        <v>207</v>
      </c>
      <c r="H93" s="26">
        <v>293</v>
      </c>
      <c r="I93" s="26">
        <v>509</v>
      </c>
      <c r="J93" s="26">
        <v>587</v>
      </c>
      <c r="K93" s="26">
        <v>657</v>
      </c>
      <c r="L93" s="26">
        <v>720</v>
      </c>
      <c r="M93" s="26">
        <v>777</v>
      </c>
    </row>
    <row r="94" spans="1:13" ht="15" x14ac:dyDescent="0.25">
      <c r="A94" s="152" t="s">
        <v>103</v>
      </c>
      <c r="B94" s="152"/>
      <c r="C94" s="43">
        <v>400</v>
      </c>
      <c r="D94" s="26">
        <v>450</v>
      </c>
      <c r="E94" s="26">
        <v>500</v>
      </c>
      <c r="F94" s="26">
        <v>550</v>
      </c>
      <c r="G94" s="26">
        <v>590</v>
      </c>
      <c r="H94" s="26">
        <v>610</v>
      </c>
      <c r="I94" s="26">
        <v>630</v>
      </c>
      <c r="J94" s="26">
        <v>660</v>
      </c>
      <c r="K94" s="26">
        <v>690</v>
      </c>
      <c r="L94" s="26">
        <v>720</v>
      </c>
      <c r="M94" s="26">
        <v>750</v>
      </c>
    </row>
    <row r="95" spans="1:13" ht="15" x14ac:dyDescent="0.25">
      <c r="A95" s="152" t="s">
        <v>119</v>
      </c>
      <c r="B95" s="152"/>
      <c r="C95" s="56">
        <v>11</v>
      </c>
      <c r="D95" s="26">
        <v>15</v>
      </c>
      <c r="E95" s="26">
        <v>19</v>
      </c>
      <c r="F95" s="26">
        <v>25</v>
      </c>
      <c r="G95" s="26">
        <v>30</v>
      </c>
      <c r="H95" s="26">
        <v>35</v>
      </c>
      <c r="I95" s="26">
        <v>42</v>
      </c>
      <c r="J95" s="26">
        <v>48</v>
      </c>
      <c r="K95" s="26">
        <v>56</v>
      </c>
      <c r="L95" s="26">
        <v>65</v>
      </c>
      <c r="M95" s="26">
        <v>75</v>
      </c>
    </row>
    <row r="96" spans="1:13" ht="13.5" customHeight="1" x14ac:dyDescent="0.15">
      <c r="A96" s="57"/>
      <c r="B96" s="57"/>
    </row>
    <row r="97" spans="1:10" ht="15" customHeight="1" x14ac:dyDescent="0.25">
      <c r="A97" s="156" t="s">
        <v>120</v>
      </c>
      <c r="B97" s="156"/>
      <c r="C97" s="55"/>
      <c r="D97" s="4"/>
      <c r="E97" s="4"/>
      <c r="F97" s="4"/>
      <c r="G97" s="4"/>
      <c r="H97" s="4"/>
    </row>
    <row r="98" spans="1:10" ht="15" x14ac:dyDescent="0.25">
      <c r="A98" s="152" t="s">
        <v>98</v>
      </c>
      <c r="B98" s="152"/>
      <c r="C98" s="61">
        <v>1</v>
      </c>
      <c r="D98" s="37">
        <v>2</v>
      </c>
      <c r="E98" s="37">
        <v>3</v>
      </c>
      <c r="F98" s="37">
        <v>4</v>
      </c>
      <c r="G98" s="37">
        <v>5</v>
      </c>
      <c r="H98" s="37">
        <v>6</v>
      </c>
      <c r="I98" s="37">
        <v>7</v>
      </c>
      <c r="J98" s="37">
        <v>8</v>
      </c>
    </row>
    <row r="99" spans="1:10" ht="15" x14ac:dyDescent="0.25">
      <c r="A99" s="152" t="s">
        <v>99</v>
      </c>
      <c r="B99" s="152"/>
      <c r="C99" s="59">
        <v>0.20833333333333334</v>
      </c>
      <c r="D99" s="23">
        <v>1</v>
      </c>
      <c r="E99" s="23">
        <v>3</v>
      </c>
      <c r="F99" s="23">
        <v>5</v>
      </c>
      <c r="G99" s="23">
        <v>6</v>
      </c>
      <c r="H99" s="26">
        <v>8</v>
      </c>
      <c r="I99" s="26">
        <v>10</v>
      </c>
      <c r="J99" s="26">
        <v>12</v>
      </c>
    </row>
    <row r="100" spans="1:10" ht="15" x14ac:dyDescent="0.25">
      <c r="A100" s="77"/>
      <c r="B100" s="77"/>
      <c r="C100" s="60">
        <f>24*SUM($C$99:C99)</f>
        <v>5</v>
      </c>
      <c r="D100" s="60">
        <f>24*SUM($C$99:D99)</f>
        <v>29</v>
      </c>
      <c r="E100" s="60">
        <f>24*SUM($C$99:E99)</f>
        <v>101</v>
      </c>
      <c r="F100" s="60">
        <f>24*SUM($C$99:F99)</f>
        <v>220.99999999999997</v>
      </c>
      <c r="G100" s="60">
        <f>24*SUM($C$99:G99)</f>
        <v>365</v>
      </c>
      <c r="H100" s="60">
        <f>24*SUM($C$99:H99)</f>
        <v>557</v>
      </c>
      <c r="I100" s="60">
        <f>24*SUM($C$99:I99)</f>
        <v>796.99999999999989</v>
      </c>
      <c r="J100" s="60">
        <f>24*SUM($C$99:J99)</f>
        <v>1085</v>
      </c>
    </row>
    <row r="101" spans="1:10" ht="15" x14ac:dyDescent="0.25">
      <c r="A101" s="152" t="s">
        <v>101</v>
      </c>
      <c r="B101" s="152"/>
      <c r="C101" s="56">
        <v>22500</v>
      </c>
      <c r="D101" s="26">
        <v>90000</v>
      </c>
      <c r="E101" s="26">
        <v>270000</v>
      </c>
      <c r="F101" s="26">
        <v>540000</v>
      </c>
      <c r="G101" s="26">
        <v>1080000</v>
      </c>
      <c r="H101" s="26">
        <v>2160000</v>
      </c>
      <c r="I101" s="26">
        <v>4320000</v>
      </c>
      <c r="J101" s="26">
        <v>7560000</v>
      </c>
    </row>
    <row r="102" spans="1:10" ht="15" x14ac:dyDescent="0.25">
      <c r="A102" s="152" t="s">
        <v>102</v>
      </c>
      <c r="B102" s="152"/>
      <c r="C102" s="56">
        <v>134</v>
      </c>
      <c r="D102" s="26">
        <v>293</v>
      </c>
      <c r="E102" s="26">
        <v>509</v>
      </c>
      <c r="F102" s="26">
        <v>657</v>
      </c>
      <c r="G102" s="26">
        <v>720</v>
      </c>
      <c r="H102" s="26">
        <v>831</v>
      </c>
      <c r="I102" s="26">
        <v>929</v>
      </c>
      <c r="J102" s="26">
        <v>1018</v>
      </c>
    </row>
    <row r="103" spans="1:10" ht="15" x14ac:dyDescent="0.25">
      <c r="A103" s="152" t="s">
        <v>103</v>
      </c>
      <c r="B103" s="152"/>
      <c r="C103" s="43">
        <v>800</v>
      </c>
      <c r="D103" s="26">
        <v>860</v>
      </c>
      <c r="E103" s="26">
        <v>900</v>
      </c>
      <c r="F103" s="26">
        <v>940</v>
      </c>
      <c r="G103" s="26">
        <v>990</v>
      </c>
      <c r="H103" s="26">
        <v>1040</v>
      </c>
      <c r="I103" s="26">
        <v>1100</v>
      </c>
      <c r="J103" s="26">
        <v>1160</v>
      </c>
    </row>
    <row r="104" spans="1:10" ht="15" x14ac:dyDescent="0.25">
      <c r="A104" s="152" t="s">
        <v>119</v>
      </c>
      <c r="B104" s="152"/>
      <c r="C104" s="56">
        <v>80</v>
      </c>
      <c r="D104" s="26">
        <v>110</v>
      </c>
      <c r="E104" s="26">
        <v>140</v>
      </c>
      <c r="F104" s="26">
        <v>160</v>
      </c>
      <c r="G104" s="26">
        <v>190</v>
      </c>
      <c r="H104" s="26">
        <v>230</v>
      </c>
      <c r="I104" s="26">
        <v>280</v>
      </c>
      <c r="J104" s="26">
        <v>320</v>
      </c>
    </row>
    <row r="105" spans="1:10" x14ac:dyDescent="0.15">
      <c r="A105" s="57"/>
      <c r="B105" s="57"/>
    </row>
    <row r="106" spans="1:10" ht="15" x14ac:dyDescent="0.25">
      <c r="A106" s="156" t="s">
        <v>121</v>
      </c>
      <c r="B106" s="156"/>
      <c r="C106" s="55"/>
      <c r="D106" s="4"/>
      <c r="E106" s="4"/>
      <c r="F106" s="4"/>
      <c r="G106" s="4"/>
      <c r="H106" s="4"/>
    </row>
    <row r="107" spans="1:10" ht="15" x14ac:dyDescent="0.25">
      <c r="A107" s="152" t="s">
        <v>98</v>
      </c>
      <c r="B107" s="152"/>
      <c r="C107" s="61">
        <v>1</v>
      </c>
      <c r="D107" s="37">
        <v>2</v>
      </c>
      <c r="E107" s="37">
        <v>3</v>
      </c>
      <c r="F107" s="37">
        <v>4</v>
      </c>
      <c r="G107" s="37">
        <v>5</v>
      </c>
      <c r="H107" s="37">
        <v>6</v>
      </c>
      <c r="I107" s="37">
        <v>7</v>
      </c>
    </row>
    <row r="108" spans="1:10" ht="15" x14ac:dyDescent="0.25">
      <c r="A108" s="152" t="s">
        <v>99</v>
      </c>
      <c r="B108" s="152"/>
      <c r="C108" s="59">
        <v>0.5</v>
      </c>
      <c r="D108" s="23">
        <v>1</v>
      </c>
      <c r="E108" s="23">
        <v>2</v>
      </c>
      <c r="F108" s="23">
        <v>4</v>
      </c>
      <c r="G108" s="23">
        <v>6</v>
      </c>
      <c r="H108" s="26">
        <v>8</v>
      </c>
      <c r="I108" s="26">
        <v>10</v>
      </c>
    </row>
    <row r="109" spans="1:10" ht="15" x14ac:dyDescent="0.25">
      <c r="A109" s="77"/>
      <c r="B109" s="77"/>
      <c r="C109" s="60">
        <f>24*SUM($C$108:C108)</f>
        <v>12</v>
      </c>
      <c r="D109" s="60">
        <f>24*SUM($C$108:D108)</f>
        <v>36</v>
      </c>
      <c r="E109" s="60">
        <f>24*SUM($C$108:E108)</f>
        <v>84</v>
      </c>
      <c r="F109" s="60">
        <f>24*SUM($C$108:F108)</f>
        <v>180</v>
      </c>
      <c r="G109" s="60">
        <f>24*SUM($C$108:G108)</f>
        <v>324</v>
      </c>
      <c r="H109" s="60">
        <f>24*SUM($C$108:H108)</f>
        <v>516</v>
      </c>
      <c r="I109" s="60">
        <f>24*SUM($C$108:I108)</f>
        <v>756</v>
      </c>
    </row>
    <row r="110" spans="1:10" ht="15" x14ac:dyDescent="0.25">
      <c r="A110" s="152" t="s">
        <v>101</v>
      </c>
      <c r="B110" s="152"/>
      <c r="C110" s="56">
        <v>180000</v>
      </c>
      <c r="D110" s="26">
        <v>360000</v>
      </c>
      <c r="E110" s="26">
        <v>720000</v>
      </c>
      <c r="F110" s="26">
        <v>1280000</v>
      </c>
      <c r="G110" s="26">
        <v>1960000</v>
      </c>
      <c r="H110" s="26">
        <v>2680000</v>
      </c>
      <c r="I110" s="26">
        <v>5360000</v>
      </c>
    </row>
    <row r="111" spans="1:10" ht="15" x14ac:dyDescent="0.25">
      <c r="A111" s="152" t="s">
        <v>102</v>
      </c>
      <c r="B111" s="152"/>
      <c r="C111" s="56">
        <v>207</v>
      </c>
      <c r="D111" s="26">
        <v>293</v>
      </c>
      <c r="E111" s="26">
        <v>415</v>
      </c>
      <c r="F111" s="26">
        <v>587</v>
      </c>
      <c r="G111" s="26">
        <v>720</v>
      </c>
      <c r="H111" s="26">
        <v>831</v>
      </c>
      <c r="I111" s="26">
        <v>929</v>
      </c>
    </row>
    <row r="112" spans="1:10" ht="15" x14ac:dyDescent="0.25">
      <c r="A112" s="152" t="s">
        <v>103</v>
      </c>
      <c r="B112" s="152"/>
      <c r="C112" s="43">
        <v>620</v>
      </c>
      <c r="D112" s="26">
        <v>660</v>
      </c>
      <c r="E112" s="26">
        <v>690</v>
      </c>
      <c r="F112" s="26">
        <v>720</v>
      </c>
      <c r="G112" s="26">
        <v>760</v>
      </c>
      <c r="H112" s="26">
        <v>800</v>
      </c>
      <c r="I112" s="26">
        <v>840</v>
      </c>
    </row>
    <row r="113" spans="1:13" ht="15" x14ac:dyDescent="0.25">
      <c r="A113" s="152" t="s">
        <v>122</v>
      </c>
      <c r="B113" s="152"/>
      <c r="C113" s="56">
        <v>14</v>
      </c>
      <c r="D113" s="26">
        <v>17</v>
      </c>
      <c r="E113" s="26">
        <v>21</v>
      </c>
      <c r="F113" s="26">
        <v>26</v>
      </c>
      <c r="G113" s="26">
        <v>31</v>
      </c>
      <c r="H113" s="26">
        <v>42</v>
      </c>
      <c r="I113" s="26">
        <v>52</v>
      </c>
    </row>
    <row r="114" spans="1:13" x14ac:dyDescent="0.15">
      <c r="A114" s="57"/>
      <c r="B114" s="57"/>
    </row>
    <row r="115" spans="1:13" ht="15" x14ac:dyDescent="0.25">
      <c r="A115" s="156" t="s">
        <v>123</v>
      </c>
      <c r="B115" s="156"/>
      <c r="C115" s="55"/>
      <c r="D115" s="4"/>
      <c r="E115" s="4"/>
      <c r="F115" s="4"/>
      <c r="G115" s="4"/>
      <c r="H115" s="4"/>
    </row>
    <row r="116" spans="1:13" ht="15" x14ac:dyDescent="0.25">
      <c r="A116" s="152" t="s">
        <v>98</v>
      </c>
      <c r="B116" s="152"/>
      <c r="C116" s="61">
        <v>1</v>
      </c>
      <c r="D116" s="37">
        <v>2</v>
      </c>
      <c r="E116" s="37">
        <v>3</v>
      </c>
      <c r="F116" s="37">
        <v>4</v>
      </c>
      <c r="G116" s="37">
        <v>5</v>
      </c>
      <c r="H116" s="37">
        <v>6</v>
      </c>
      <c r="I116" s="37">
        <v>7</v>
      </c>
    </row>
    <row r="117" spans="1:13" ht="15" x14ac:dyDescent="0.25">
      <c r="A117" s="152" t="s">
        <v>99</v>
      </c>
      <c r="B117" s="152"/>
      <c r="C117" s="60">
        <v>2</v>
      </c>
      <c r="D117" s="23">
        <v>4</v>
      </c>
      <c r="E117" s="23">
        <v>6</v>
      </c>
      <c r="F117" s="23">
        <v>8</v>
      </c>
      <c r="G117" s="23">
        <v>10</v>
      </c>
      <c r="H117" s="26">
        <v>12</v>
      </c>
      <c r="I117" s="26">
        <v>14</v>
      </c>
    </row>
    <row r="118" spans="1:13" ht="15" x14ac:dyDescent="0.25">
      <c r="A118" s="77"/>
      <c r="B118" s="77"/>
      <c r="C118" s="60">
        <f>24*SUM($C$117:C117)</f>
        <v>48</v>
      </c>
      <c r="D118" s="60">
        <f>24*SUM($C$117:D117)</f>
        <v>144</v>
      </c>
      <c r="E118" s="60">
        <f>24*SUM($C$117:E117)</f>
        <v>288</v>
      </c>
      <c r="F118" s="60">
        <f>24*SUM($C$117:F117)</f>
        <v>480</v>
      </c>
      <c r="G118" s="60">
        <f>24*SUM($C$117:G117)</f>
        <v>720</v>
      </c>
      <c r="H118" s="60">
        <f>24*SUM($C$117:H117)</f>
        <v>1008</v>
      </c>
      <c r="I118" s="60">
        <f>24*SUM($C$117:I117)</f>
        <v>1344</v>
      </c>
    </row>
    <row r="119" spans="1:13" ht="15" x14ac:dyDescent="0.25">
      <c r="A119" s="152" t="s">
        <v>101</v>
      </c>
      <c r="B119" s="152"/>
      <c r="C119" s="56">
        <v>1000000</v>
      </c>
      <c r="D119" s="26">
        <v>1250000</v>
      </c>
      <c r="E119" s="26">
        <v>1500000</v>
      </c>
      <c r="F119" s="26">
        <v>2000000</v>
      </c>
      <c r="G119" s="26">
        <v>2500000</v>
      </c>
      <c r="H119" s="26">
        <v>3000000</v>
      </c>
      <c r="I119" s="26">
        <v>3500000</v>
      </c>
    </row>
    <row r="120" spans="1:13" ht="15" x14ac:dyDescent="0.25">
      <c r="A120" s="152" t="s">
        <v>102</v>
      </c>
      <c r="B120" s="152"/>
      <c r="C120" s="56">
        <v>415</v>
      </c>
      <c r="D120" s="26">
        <v>587</v>
      </c>
      <c r="E120" s="26">
        <v>720</v>
      </c>
      <c r="F120" s="26">
        <v>831</v>
      </c>
      <c r="G120" s="26">
        <v>929</v>
      </c>
      <c r="H120" s="26">
        <v>1018</v>
      </c>
      <c r="I120" s="26">
        <v>1099</v>
      </c>
    </row>
    <row r="121" spans="1:13" ht="15" x14ac:dyDescent="0.25">
      <c r="A121" s="152" t="s">
        <v>103</v>
      </c>
      <c r="B121" s="152"/>
      <c r="C121" s="43">
        <v>600</v>
      </c>
      <c r="D121" s="26">
        <v>630</v>
      </c>
      <c r="E121" s="26">
        <v>660</v>
      </c>
      <c r="F121" s="26">
        <v>690</v>
      </c>
      <c r="G121" s="26">
        <v>730</v>
      </c>
      <c r="H121" s="26">
        <v>770</v>
      </c>
      <c r="I121" s="26">
        <v>810</v>
      </c>
    </row>
    <row r="122" spans="1:13" ht="15" x14ac:dyDescent="0.25">
      <c r="A122" s="152" t="s">
        <v>124</v>
      </c>
      <c r="B122" s="152"/>
      <c r="C122" s="56">
        <v>20</v>
      </c>
      <c r="D122" s="26">
        <v>24</v>
      </c>
      <c r="E122" s="26">
        <v>29</v>
      </c>
      <c r="F122" s="26">
        <v>33</v>
      </c>
      <c r="G122" s="26">
        <v>38</v>
      </c>
      <c r="H122" s="26">
        <v>45</v>
      </c>
      <c r="I122" s="26">
        <v>52</v>
      </c>
    </row>
    <row r="123" spans="1:13" x14ac:dyDescent="0.15">
      <c r="A123" s="57"/>
      <c r="B123" s="57"/>
    </row>
    <row r="124" spans="1:13" ht="15" x14ac:dyDescent="0.25">
      <c r="A124" s="156" t="s">
        <v>125</v>
      </c>
      <c r="B124" s="156"/>
      <c r="C124" s="55"/>
      <c r="D124" s="4"/>
      <c r="E124" s="4"/>
      <c r="F124" s="4"/>
      <c r="G124" s="4"/>
      <c r="H124" s="4"/>
    </row>
    <row r="125" spans="1:13" ht="15" x14ac:dyDescent="0.25">
      <c r="A125" s="152" t="s">
        <v>98</v>
      </c>
      <c r="B125" s="152"/>
      <c r="C125" s="61">
        <v>1</v>
      </c>
      <c r="D125" s="37">
        <v>2</v>
      </c>
      <c r="E125" s="37">
        <v>3</v>
      </c>
      <c r="F125" s="37">
        <v>4</v>
      </c>
      <c r="G125" s="37">
        <v>5</v>
      </c>
      <c r="H125" s="37">
        <v>6</v>
      </c>
      <c r="I125" s="37">
        <v>7</v>
      </c>
      <c r="J125" s="37">
        <v>8</v>
      </c>
      <c r="K125" s="37">
        <v>9</v>
      </c>
      <c r="L125" s="37">
        <v>10</v>
      </c>
    </row>
    <row r="126" spans="1:13" ht="15" x14ac:dyDescent="0.25">
      <c r="A126" s="152" t="s">
        <v>99</v>
      </c>
      <c r="B126" s="152"/>
      <c r="C126" s="60">
        <v>0</v>
      </c>
      <c r="D126" s="23">
        <v>0</v>
      </c>
      <c r="E126" s="23">
        <v>0</v>
      </c>
      <c r="F126" s="23">
        <v>0</v>
      </c>
      <c r="G126" s="23">
        <v>0</v>
      </c>
      <c r="H126" s="26">
        <v>0</v>
      </c>
      <c r="I126" s="27">
        <v>0</v>
      </c>
      <c r="J126" s="26">
        <v>0</v>
      </c>
      <c r="K126" s="26">
        <v>0</v>
      </c>
      <c r="L126" s="26">
        <v>0</v>
      </c>
      <c r="M126" s="19"/>
    </row>
    <row r="127" spans="1:13" ht="15" x14ac:dyDescent="0.25">
      <c r="A127" s="152" t="s">
        <v>101</v>
      </c>
      <c r="B127" s="152"/>
      <c r="C127" s="56">
        <v>200</v>
      </c>
      <c r="D127" s="26">
        <v>1000</v>
      </c>
      <c r="E127" s="26">
        <v>5000</v>
      </c>
      <c r="F127" s="26">
        <v>10000</v>
      </c>
      <c r="G127" s="26">
        <v>30000</v>
      </c>
      <c r="H127" s="26">
        <v>75000</v>
      </c>
      <c r="I127" s="27">
        <v>200000</v>
      </c>
      <c r="J127" s="26">
        <v>500000</v>
      </c>
      <c r="K127" s="26">
        <v>1000000</v>
      </c>
      <c r="L127" s="26">
        <v>3000000</v>
      </c>
      <c r="M127" s="19"/>
    </row>
    <row r="128" spans="1:13" ht="15" x14ac:dyDescent="0.25">
      <c r="A128" s="152" t="s">
        <v>103</v>
      </c>
      <c r="B128" s="152"/>
      <c r="C128" s="43">
        <v>300</v>
      </c>
      <c r="D128" s="26">
        <v>500</v>
      </c>
      <c r="E128" s="26">
        <v>700</v>
      </c>
      <c r="F128" s="26">
        <v>900</v>
      </c>
      <c r="G128" s="26">
        <v>1400</v>
      </c>
      <c r="H128" s="26">
        <v>2000</v>
      </c>
      <c r="I128" s="27">
        <v>2500</v>
      </c>
      <c r="J128" s="26">
        <v>3000</v>
      </c>
      <c r="K128" s="26">
        <v>4000</v>
      </c>
      <c r="L128" s="26">
        <v>5500</v>
      </c>
      <c r="M128" s="19"/>
    </row>
    <row r="129" spans="1:12" x14ac:dyDescent="0.15">
      <c r="A129" s="57"/>
      <c r="B129" s="57"/>
      <c r="J129" s="18"/>
      <c r="K129" s="18"/>
      <c r="L129" s="18"/>
    </row>
    <row r="130" spans="1:12" ht="15" x14ac:dyDescent="0.25">
      <c r="A130" s="156" t="s">
        <v>126</v>
      </c>
      <c r="B130" s="156"/>
      <c r="C130" s="55"/>
      <c r="D130" s="4"/>
      <c r="E130" s="4"/>
      <c r="F130" s="4"/>
      <c r="G130" s="4"/>
      <c r="H130" s="4"/>
    </row>
    <row r="131" spans="1:12" ht="15" x14ac:dyDescent="0.25">
      <c r="A131" s="152" t="s">
        <v>98</v>
      </c>
      <c r="B131" s="152"/>
      <c r="C131" s="61">
        <v>1</v>
      </c>
      <c r="D131" s="37">
        <v>2</v>
      </c>
      <c r="E131" s="37">
        <v>3</v>
      </c>
      <c r="F131" s="37">
        <v>4</v>
      </c>
    </row>
    <row r="132" spans="1:12" ht="15" x14ac:dyDescent="0.25">
      <c r="A132" s="152" t="s">
        <v>99</v>
      </c>
      <c r="B132" s="152"/>
      <c r="C132" s="60">
        <v>7</v>
      </c>
      <c r="D132" s="23">
        <v>10</v>
      </c>
      <c r="E132" s="23">
        <v>14</v>
      </c>
      <c r="F132" s="23">
        <v>14</v>
      </c>
    </row>
    <row r="133" spans="1:12" ht="15" x14ac:dyDescent="0.25">
      <c r="A133" s="77"/>
      <c r="B133" s="77"/>
      <c r="C133" s="60">
        <f>24*SUM($C$132:C132)</f>
        <v>168</v>
      </c>
      <c r="D133" s="60">
        <f>24*SUM($C$132:D132)</f>
        <v>408</v>
      </c>
      <c r="E133" s="60">
        <f>24*SUM($C$132:E132)</f>
        <v>744</v>
      </c>
      <c r="F133" s="60">
        <f>24*SUM($C$132:F132)</f>
        <v>1080</v>
      </c>
    </row>
    <row r="134" spans="1:12" ht="15" x14ac:dyDescent="0.25">
      <c r="A134" s="152" t="s">
        <v>101</v>
      </c>
      <c r="B134" s="152"/>
      <c r="C134" s="56">
        <v>3000000</v>
      </c>
      <c r="D134" s="26">
        <v>6000000</v>
      </c>
      <c r="E134" s="26">
        <v>7000000</v>
      </c>
      <c r="F134" s="26">
        <v>8000000</v>
      </c>
    </row>
    <row r="135" spans="1:12" ht="15" x14ac:dyDescent="0.25">
      <c r="A135" s="152" t="s">
        <v>102</v>
      </c>
      <c r="B135" s="152"/>
      <c r="C135" s="56">
        <v>777</v>
      </c>
      <c r="D135" s="26">
        <v>929</v>
      </c>
      <c r="E135" s="26">
        <v>1099</v>
      </c>
      <c r="F135" s="26">
        <v>1099</v>
      </c>
    </row>
    <row r="136" spans="1:12" ht="15" x14ac:dyDescent="0.25">
      <c r="A136" s="152" t="s">
        <v>103</v>
      </c>
      <c r="B136" s="152"/>
      <c r="C136" s="43">
        <v>1500</v>
      </c>
      <c r="D136" s="26">
        <v>1900</v>
      </c>
      <c r="E136" s="26">
        <v>2400</v>
      </c>
      <c r="F136" s="26">
        <v>2800</v>
      </c>
    </row>
    <row r="137" spans="1:12" ht="15" x14ac:dyDescent="0.25">
      <c r="A137" s="152" t="s">
        <v>127</v>
      </c>
      <c r="B137" s="152"/>
      <c r="C137" s="56">
        <v>6</v>
      </c>
      <c r="D137" s="26">
        <v>8</v>
      </c>
      <c r="E137" s="26">
        <v>9</v>
      </c>
      <c r="F137" s="26">
        <v>10</v>
      </c>
    </row>
    <row r="138" spans="1:12" x14ac:dyDescent="0.15">
      <c r="A138" s="57"/>
      <c r="B138" s="57"/>
    </row>
    <row r="139" spans="1:12" ht="15" x14ac:dyDescent="0.25">
      <c r="A139" s="156" t="s">
        <v>128</v>
      </c>
      <c r="B139" s="156"/>
      <c r="C139" s="55"/>
      <c r="D139" s="4"/>
      <c r="E139" s="4"/>
      <c r="F139" s="4"/>
    </row>
    <row r="140" spans="1:12" ht="15" x14ac:dyDescent="0.25">
      <c r="A140" s="152" t="s">
        <v>98</v>
      </c>
      <c r="B140" s="152"/>
      <c r="C140" s="61">
        <v>1</v>
      </c>
      <c r="D140" s="37">
        <v>2</v>
      </c>
    </row>
    <row r="141" spans="1:12" ht="15" x14ac:dyDescent="0.25">
      <c r="A141" s="152" t="s">
        <v>99</v>
      </c>
      <c r="B141" s="152"/>
      <c r="C141" s="60">
        <v>7</v>
      </c>
      <c r="D141" s="23">
        <v>10</v>
      </c>
    </row>
    <row r="142" spans="1:12" ht="15" x14ac:dyDescent="0.25">
      <c r="A142" s="77"/>
      <c r="B142" s="77"/>
      <c r="C142" s="60">
        <f>24*SUM($C$141:C141)</f>
        <v>168</v>
      </c>
      <c r="D142" s="60">
        <f>24*SUM($C$141:D141)</f>
        <v>408</v>
      </c>
    </row>
    <row r="143" spans="1:12" ht="15" x14ac:dyDescent="0.25">
      <c r="A143" s="152" t="s">
        <v>101</v>
      </c>
      <c r="B143" s="152"/>
      <c r="C143" s="56">
        <v>5000000</v>
      </c>
      <c r="D143" s="26">
        <v>8000000</v>
      </c>
    </row>
    <row r="144" spans="1:12" ht="15" x14ac:dyDescent="0.25">
      <c r="A144" s="152" t="s">
        <v>102</v>
      </c>
      <c r="B144" s="152"/>
      <c r="C144" s="56">
        <v>777</v>
      </c>
      <c r="D144" s="26">
        <v>929</v>
      </c>
    </row>
    <row r="145" spans="1:13" ht="15" x14ac:dyDescent="0.25">
      <c r="A145" s="152" t="s">
        <v>103</v>
      </c>
      <c r="B145" s="152"/>
      <c r="C145" s="43">
        <v>1500</v>
      </c>
      <c r="D145" s="26">
        <v>1900</v>
      </c>
    </row>
    <row r="146" spans="1:13" ht="15" x14ac:dyDescent="0.25">
      <c r="A146" s="152" t="s">
        <v>129</v>
      </c>
      <c r="B146" s="152"/>
      <c r="C146" s="56">
        <v>24</v>
      </c>
      <c r="D146" s="26">
        <v>30</v>
      </c>
    </row>
    <row r="147" spans="1:13" ht="15" x14ac:dyDescent="0.25">
      <c r="A147" s="152" t="s">
        <v>130</v>
      </c>
      <c r="B147" s="152"/>
      <c r="C147" s="56">
        <v>100</v>
      </c>
      <c r="D147" s="26">
        <v>125</v>
      </c>
    </row>
    <row r="148" spans="1:13" ht="15" x14ac:dyDescent="0.25">
      <c r="A148" s="152" t="s">
        <v>131</v>
      </c>
      <c r="B148" s="152"/>
      <c r="C148" s="56">
        <v>1000</v>
      </c>
      <c r="D148" s="26">
        <v>1250</v>
      </c>
    </row>
    <row r="149" spans="1:13" x14ac:dyDescent="0.15">
      <c r="A149" s="57"/>
      <c r="B149" s="57"/>
    </row>
    <row r="150" spans="1:13" ht="15" x14ac:dyDescent="0.25">
      <c r="A150" s="156" t="s">
        <v>132</v>
      </c>
      <c r="B150" s="156"/>
      <c r="C150" s="19"/>
    </row>
    <row r="151" spans="1:13" ht="15" x14ac:dyDescent="0.25">
      <c r="A151" s="152" t="s">
        <v>98</v>
      </c>
      <c r="B151" s="152"/>
      <c r="C151" s="61">
        <v>1</v>
      </c>
      <c r="D151" s="37">
        <v>2</v>
      </c>
      <c r="E151" s="37">
        <v>3</v>
      </c>
      <c r="F151" s="37">
        <v>4</v>
      </c>
      <c r="G151" s="37">
        <v>5</v>
      </c>
      <c r="H151" s="37">
        <v>6</v>
      </c>
      <c r="I151" s="37">
        <v>7</v>
      </c>
    </row>
    <row r="152" spans="1:13" ht="15" x14ac:dyDescent="0.25">
      <c r="A152" s="152" t="s">
        <v>99</v>
      </c>
      <c r="B152" s="152"/>
      <c r="C152" s="59">
        <v>3.472222222222222E-3</v>
      </c>
      <c r="D152" s="24">
        <v>4.1666666666666664E-2</v>
      </c>
      <c r="E152" s="24">
        <v>0.125</v>
      </c>
      <c r="F152" s="24">
        <v>0.33333333333333331</v>
      </c>
      <c r="G152" s="26">
        <v>1</v>
      </c>
      <c r="H152" s="26">
        <v>3</v>
      </c>
      <c r="I152" s="26">
        <v>5</v>
      </c>
      <c r="J152" s="19"/>
    </row>
    <row r="153" spans="1:13" ht="15" x14ac:dyDescent="0.25">
      <c r="A153" s="77"/>
      <c r="B153" s="77"/>
      <c r="C153" s="60">
        <f>24*SUM($C$152:C152)</f>
        <v>8.3333333333333329E-2</v>
      </c>
      <c r="D153" s="60">
        <f>24*SUM($C$152:D152)</f>
        <v>1.0833333333333333</v>
      </c>
      <c r="E153" s="60">
        <f>24*SUM($C$152:E152)</f>
        <v>4.0833333333333339</v>
      </c>
      <c r="F153" s="60">
        <f>24*SUM($C$152:F152)</f>
        <v>12.083333333333332</v>
      </c>
      <c r="G153" s="60">
        <f>24*SUM($C$152:G152)</f>
        <v>36.083333333333336</v>
      </c>
      <c r="H153" s="60">
        <f>24*SUM($C$152:H152)</f>
        <v>108.08333333333334</v>
      </c>
      <c r="I153" s="60">
        <f>24*SUM($C$152:I152)</f>
        <v>228.08333333333331</v>
      </c>
      <c r="J153" s="19"/>
    </row>
    <row r="154" spans="1:13" ht="15" x14ac:dyDescent="0.25">
      <c r="A154" s="152" t="s">
        <v>106</v>
      </c>
      <c r="B154" s="152"/>
      <c r="C154" s="56">
        <v>250</v>
      </c>
      <c r="D154" s="26">
        <v>2500</v>
      </c>
      <c r="E154" s="26">
        <v>10000</v>
      </c>
      <c r="F154" s="26">
        <v>100000</v>
      </c>
      <c r="G154" s="26">
        <v>250000</v>
      </c>
      <c r="H154" s="26">
        <v>750000</v>
      </c>
      <c r="I154" s="26">
        <v>2250000</v>
      </c>
      <c r="J154" s="19"/>
    </row>
    <row r="155" spans="1:13" ht="15" x14ac:dyDescent="0.25">
      <c r="A155" s="152" t="s">
        <v>102</v>
      </c>
      <c r="B155" s="152"/>
      <c r="C155" s="56">
        <v>17</v>
      </c>
      <c r="D155" s="26">
        <v>60</v>
      </c>
      <c r="E155" s="26">
        <v>103</v>
      </c>
      <c r="F155" s="26">
        <v>169</v>
      </c>
      <c r="G155" s="26">
        <v>293</v>
      </c>
      <c r="H155" s="26">
        <v>509</v>
      </c>
      <c r="I155" s="26">
        <v>657</v>
      </c>
      <c r="J155" s="19"/>
    </row>
    <row r="156" spans="1:13" ht="15" x14ac:dyDescent="0.25">
      <c r="A156" s="152" t="s">
        <v>103</v>
      </c>
      <c r="B156" s="152"/>
      <c r="C156" s="43">
        <v>400</v>
      </c>
      <c r="D156" s="26">
        <v>500</v>
      </c>
      <c r="E156" s="26">
        <v>600</v>
      </c>
      <c r="F156" s="26">
        <v>700</v>
      </c>
      <c r="G156" s="26">
        <v>800</v>
      </c>
      <c r="H156" s="26">
        <v>1000</v>
      </c>
      <c r="I156" s="26">
        <v>1200</v>
      </c>
      <c r="J156" s="19"/>
    </row>
    <row r="157" spans="1:13" ht="15" x14ac:dyDescent="0.25">
      <c r="A157" s="152" t="s">
        <v>133</v>
      </c>
      <c r="B157" s="152"/>
      <c r="C157" s="56">
        <v>20</v>
      </c>
      <c r="D157" s="26">
        <v>30</v>
      </c>
      <c r="E157" s="26">
        <v>35</v>
      </c>
      <c r="F157" s="26">
        <v>40</v>
      </c>
      <c r="G157" s="26">
        <v>45</v>
      </c>
      <c r="H157" s="26">
        <v>50</v>
      </c>
      <c r="I157" s="26">
        <v>55</v>
      </c>
      <c r="J157" s="19"/>
    </row>
    <row r="158" spans="1:13" x14ac:dyDescent="0.15">
      <c r="A158" s="57"/>
      <c r="B158" s="57"/>
      <c r="C158" s="18"/>
      <c r="D158" s="18"/>
      <c r="E158" s="18"/>
      <c r="F158" s="18"/>
      <c r="G158" s="18"/>
      <c r="H158" s="18"/>
      <c r="I158" s="18"/>
    </row>
    <row r="159" spans="1:13" ht="15" x14ac:dyDescent="0.25">
      <c r="A159" s="156" t="s">
        <v>134</v>
      </c>
      <c r="B159" s="156"/>
      <c r="C159" s="19"/>
      <c r="J159" s="4"/>
      <c r="K159" s="4"/>
      <c r="L159" s="4"/>
    </row>
    <row r="160" spans="1:13" ht="15" x14ac:dyDescent="0.25">
      <c r="A160" s="152" t="s">
        <v>98</v>
      </c>
      <c r="B160" s="152"/>
      <c r="C160" s="61">
        <v>1</v>
      </c>
      <c r="D160" s="37">
        <v>2</v>
      </c>
      <c r="E160" s="37">
        <v>3</v>
      </c>
      <c r="F160" s="37">
        <v>4</v>
      </c>
      <c r="G160" s="37">
        <v>5</v>
      </c>
      <c r="H160" s="37">
        <v>6</v>
      </c>
      <c r="I160" s="38">
        <v>7</v>
      </c>
      <c r="J160" s="26">
        <v>8</v>
      </c>
      <c r="K160" s="26">
        <v>9</v>
      </c>
      <c r="L160" s="26">
        <v>10</v>
      </c>
      <c r="M160" s="19"/>
    </row>
    <row r="161" spans="1:13" ht="15" x14ac:dyDescent="0.25">
      <c r="A161" s="152" t="s">
        <v>99</v>
      </c>
      <c r="B161" s="152"/>
      <c r="C161" s="59">
        <v>6.9444444444444447E-4</v>
      </c>
      <c r="D161" s="24">
        <v>1.0416666666666666E-2</v>
      </c>
      <c r="E161" s="24">
        <v>8.3333333333333329E-2</v>
      </c>
      <c r="F161" s="24">
        <v>0.16666666666666666</v>
      </c>
      <c r="G161" s="24">
        <v>0.41666666666666669</v>
      </c>
      <c r="H161" s="24">
        <v>0.66666666666666663</v>
      </c>
      <c r="I161" s="27">
        <v>1</v>
      </c>
      <c r="J161" s="26">
        <v>2</v>
      </c>
      <c r="K161" s="26">
        <v>4</v>
      </c>
      <c r="L161" s="26">
        <v>6</v>
      </c>
      <c r="M161" s="19"/>
    </row>
    <row r="162" spans="1:13" ht="15" x14ac:dyDescent="0.25">
      <c r="A162" s="77"/>
      <c r="B162" s="77"/>
      <c r="C162" s="60">
        <f>24*SUM($C$161:C161)</f>
        <v>1.6666666666666666E-2</v>
      </c>
      <c r="D162" s="60">
        <f>24*SUM($C$161:D161)</f>
        <v>0.26666666666666661</v>
      </c>
      <c r="E162" s="60">
        <f>24*SUM($C$161:E161)</f>
        <v>2.2666666666666666</v>
      </c>
      <c r="F162" s="60">
        <f>24*SUM($C$161:F161)</f>
        <v>6.2666666666666657</v>
      </c>
      <c r="G162" s="60">
        <f>24*SUM($C$161:G161)</f>
        <v>16.266666666666666</v>
      </c>
      <c r="H162" s="60">
        <f>24*SUM($C$161:H161)</f>
        <v>32.266666666666666</v>
      </c>
      <c r="I162" s="60">
        <f>24*SUM($C$161:I161)</f>
        <v>56.266666666666666</v>
      </c>
      <c r="J162" s="60">
        <f>24*SUM($C$161:J161)</f>
        <v>104.26666666666668</v>
      </c>
      <c r="K162" s="60">
        <f>24*SUM($C$161:K161)</f>
        <v>200.26666666666668</v>
      </c>
      <c r="L162" s="60">
        <f>24*SUM($C$161:L161)</f>
        <v>344.26666666666665</v>
      </c>
      <c r="M162" s="19"/>
    </row>
    <row r="163" spans="1:13" ht="15" x14ac:dyDescent="0.25">
      <c r="A163" s="152" t="s">
        <v>106</v>
      </c>
      <c r="B163" s="152"/>
      <c r="C163" s="56">
        <v>200</v>
      </c>
      <c r="D163" s="26">
        <v>1000</v>
      </c>
      <c r="E163" s="26">
        <v>2500</v>
      </c>
      <c r="F163" s="26">
        <v>5000</v>
      </c>
      <c r="G163" s="26">
        <v>10000</v>
      </c>
      <c r="H163" s="26">
        <v>80000</v>
      </c>
      <c r="I163" s="27">
        <v>240000</v>
      </c>
      <c r="J163" s="26">
        <v>700000</v>
      </c>
      <c r="K163" s="26">
        <v>1500000</v>
      </c>
      <c r="L163" s="26">
        <v>2000000</v>
      </c>
      <c r="M163" s="19"/>
    </row>
    <row r="164" spans="1:13" ht="15" x14ac:dyDescent="0.25">
      <c r="A164" s="152" t="s">
        <v>102</v>
      </c>
      <c r="B164" s="152"/>
      <c r="C164" s="56">
        <v>7</v>
      </c>
      <c r="D164" s="26">
        <v>30</v>
      </c>
      <c r="E164" s="26">
        <v>84</v>
      </c>
      <c r="F164" s="26">
        <v>120</v>
      </c>
      <c r="G164" s="26">
        <v>189</v>
      </c>
      <c r="H164" s="26">
        <v>240</v>
      </c>
      <c r="I164" s="27">
        <v>293</v>
      </c>
      <c r="J164" s="26">
        <v>415</v>
      </c>
      <c r="K164" s="26">
        <v>587</v>
      </c>
      <c r="L164" s="26">
        <v>720</v>
      </c>
      <c r="M164" s="19"/>
    </row>
    <row r="165" spans="1:13" ht="15" x14ac:dyDescent="0.25">
      <c r="A165" s="152" t="s">
        <v>103</v>
      </c>
      <c r="B165" s="152"/>
      <c r="C165" s="43">
        <v>250</v>
      </c>
      <c r="D165" s="26">
        <v>270</v>
      </c>
      <c r="E165" s="26">
        <v>280</v>
      </c>
      <c r="F165" s="26">
        <v>290</v>
      </c>
      <c r="G165" s="26">
        <v>310</v>
      </c>
      <c r="H165" s="26">
        <v>320</v>
      </c>
      <c r="I165" s="27">
        <v>340</v>
      </c>
      <c r="J165" s="26">
        <v>350</v>
      </c>
      <c r="K165" s="26">
        <v>390</v>
      </c>
      <c r="L165" s="26">
        <v>420</v>
      </c>
      <c r="M165" s="19"/>
    </row>
    <row r="166" spans="1:13" ht="15" x14ac:dyDescent="0.25">
      <c r="A166" s="152" t="s">
        <v>135</v>
      </c>
      <c r="B166" s="152"/>
      <c r="C166" s="56" t="s">
        <v>136</v>
      </c>
      <c r="D166" s="26" t="s">
        <v>137</v>
      </c>
      <c r="E166" s="26" t="s">
        <v>138</v>
      </c>
      <c r="F166" s="26" t="s">
        <v>139</v>
      </c>
      <c r="G166" s="26" t="s">
        <v>140</v>
      </c>
      <c r="H166" s="26" t="s">
        <v>141</v>
      </c>
      <c r="I166" s="27" t="s">
        <v>142</v>
      </c>
      <c r="J166" s="26" t="s">
        <v>143</v>
      </c>
      <c r="K166" s="26" t="s">
        <v>144</v>
      </c>
      <c r="L166" s="26" t="s">
        <v>145</v>
      </c>
      <c r="M166" s="19"/>
    </row>
    <row r="167" spans="1:13" x14ac:dyDescent="0.15">
      <c r="A167" s="57"/>
      <c r="B167" s="57"/>
      <c r="J167" s="18"/>
      <c r="K167" s="18"/>
      <c r="L167" s="18"/>
    </row>
    <row r="168" spans="1:13" ht="15" x14ac:dyDescent="0.25">
      <c r="A168" s="156" t="s">
        <v>146</v>
      </c>
      <c r="B168" s="156"/>
      <c r="C168" s="19"/>
      <c r="J168" s="4"/>
      <c r="K168" s="4"/>
      <c r="L168" s="4"/>
    </row>
    <row r="169" spans="1:13" ht="15" x14ac:dyDescent="0.25">
      <c r="A169" s="152" t="s">
        <v>98</v>
      </c>
      <c r="B169" s="152"/>
      <c r="C169" s="61">
        <v>1</v>
      </c>
      <c r="D169" s="37">
        <v>2</v>
      </c>
      <c r="E169" s="37">
        <v>3</v>
      </c>
      <c r="F169" s="37">
        <v>4</v>
      </c>
    </row>
    <row r="170" spans="1:13" ht="15" x14ac:dyDescent="0.25">
      <c r="A170" s="152" t="s">
        <v>99</v>
      </c>
      <c r="B170" s="152"/>
      <c r="C170" s="60">
        <v>3</v>
      </c>
      <c r="D170" s="23">
        <v>5</v>
      </c>
      <c r="E170" s="23">
        <v>6</v>
      </c>
      <c r="F170" s="23">
        <v>7</v>
      </c>
    </row>
    <row r="171" spans="1:13" ht="15" x14ac:dyDescent="0.25">
      <c r="A171" s="77"/>
      <c r="B171" s="77"/>
      <c r="C171" s="60">
        <f>24*SUM($C$170:C170)</f>
        <v>72</v>
      </c>
      <c r="D171" s="60">
        <f>24*SUM($C$170:D170)</f>
        <v>192</v>
      </c>
      <c r="E171" s="60">
        <f>24*SUM($C$170:E170)</f>
        <v>336</v>
      </c>
      <c r="F171" s="60">
        <f>24*SUM($C$170:F170)</f>
        <v>504</v>
      </c>
    </row>
    <row r="172" spans="1:13" ht="15" x14ac:dyDescent="0.25">
      <c r="A172" s="152" t="s">
        <v>106</v>
      </c>
      <c r="B172" s="152"/>
      <c r="C172" s="56">
        <v>750000</v>
      </c>
      <c r="D172" s="26">
        <v>1500000</v>
      </c>
      <c r="E172" s="26">
        <v>3000000</v>
      </c>
      <c r="F172" s="26">
        <v>4000000</v>
      </c>
    </row>
    <row r="173" spans="1:13" ht="15" x14ac:dyDescent="0.25">
      <c r="A173" s="152" t="s">
        <v>102</v>
      </c>
      <c r="B173" s="152"/>
      <c r="C173" s="56">
        <v>509</v>
      </c>
      <c r="D173" s="26">
        <v>657</v>
      </c>
      <c r="E173" s="26">
        <v>720</v>
      </c>
      <c r="F173" s="26">
        <v>770</v>
      </c>
    </row>
    <row r="174" spans="1:13" ht="15" x14ac:dyDescent="0.25">
      <c r="A174" s="152" t="s">
        <v>103</v>
      </c>
      <c r="B174" s="152"/>
      <c r="C174" s="43">
        <v>250</v>
      </c>
      <c r="D174" s="26">
        <v>300</v>
      </c>
      <c r="E174" s="26">
        <v>350</v>
      </c>
      <c r="F174" s="26">
        <v>400</v>
      </c>
    </row>
    <row r="175" spans="1:13" ht="15" x14ac:dyDescent="0.25">
      <c r="A175" s="152" t="s">
        <v>135</v>
      </c>
      <c r="B175" s="152"/>
      <c r="C175" s="56" t="s">
        <v>147</v>
      </c>
      <c r="D175" s="26" t="s">
        <v>148</v>
      </c>
      <c r="E175" s="26" t="s">
        <v>149</v>
      </c>
      <c r="F175" s="26" t="s">
        <v>150</v>
      </c>
    </row>
    <row r="176" spans="1:13" x14ac:dyDescent="0.15">
      <c r="A176" s="57"/>
      <c r="B176" s="57"/>
    </row>
    <row r="177" spans="1:14" ht="15" x14ac:dyDescent="0.25">
      <c r="A177" s="156" t="s">
        <v>151</v>
      </c>
      <c r="B177" s="156"/>
      <c r="C177" s="55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4" ht="15" x14ac:dyDescent="0.25">
      <c r="A178" s="152" t="s">
        <v>98</v>
      </c>
      <c r="B178" s="152"/>
      <c r="C178" s="43">
        <v>1</v>
      </c>
      <c r="D178" s="26">
        <v>2</v>
      </c>
      <c r="E178" s="26">
        <v>3</v>
      </c>
      <c r="F178" s="26">
        <v>4</v>
      </c>
      <c r="G178" s="27">
        <v>5</v>
      </c>
      <c r="H178" s="157">
        <v>6</v>
      </c>
      <c r="I178" s="158"/>
      <c r="J178" s="157">
        <v>7</v>
      </c>
      <c r="K178" s="158"/>
      <c r="L178" s="157">
        <v>8</v>
      </c>
      <c r="M178" s="158"/>
      <c r="N178" s="19"/>
    </row>
    <row r="179" spans="1:14" ht="15" x14ac:dyDescent="0.25">
      <c r="A179" s="152" t="s">
        <v>99</v>
      </c>
      <c r="B179" s="152"/>
      <c r="C179" s="59">
        <v>2.0833333333333332E-2</v>
      </c>
      <c r="D179" s="24">
        <v>0.20833333333333334</v>
      </c>
      <c r="E179" s="24">
        <v>0.5</v>
      </c>
      <c r="F179" s="23">
        <v>1</v>
      </c>
      <c r="G179" s="27">
        <v>2</v>
      </c>
      <c r="H179" s="157">
        <v>4</v>
      </c>
      <c r="I179" s="159"/>
      <c r="J179" s="160">
        <v>5</v>
      </c>
      <c r="K179" s="159"/>
      <c r="L179" s="160">
        <v>6</v>
      </c>
      <c r="M179" s="159"/>
      <c r="N179" s="19"/>
    </row>
    <row r="180" spans="1:14" ht="15" x14ac:dyDescent="0.25">
      <c r="A180" s="77"/>
      <c r="B180" s="77"/>
      <c r="C180" s="60">
        <f>24*SUM($C$179:C179)</f>
        <v>0.5</v>
      </c>
      <c r="D180" s="60">
        <f>24*SUM($C$179:D179)</f>
        <v>5.5</v>
      </c>
      <c r="E180" s="60">
        <f>24*SUM($C$179:E179)</f>
        <v>17.5</v>
      </c>
      <c r="F180" s="60">
        <f>24*SUM($C$179:F179)</f>
        <v>41.5</v>
      </c>
      <c r="G180" s="60">
        <f>24*SUM($C$179:G179)</f>
        <v>89.5</v>
      </c>
      <c r="H180" s="150">
        <f>24*SUM($C$179:I179)</f>
        <v>185.5</v>
      </c>
      <c r="I180" s="151"/>
      <c r="J180" s="150">
        <f>24*SUM($C$179:K179)</f>
        <v>305.5</v>
      </c>
      <c r="K180" s="151"/>
      <c r="L180" s="150">
        <f>24*SUM($C$179:M179)</f>
        <v>449.5</v>
      </c>
      <c r="M180" s="151"/>
      <c r="N180" s="19"/>
    </row>
    <row r="181" spans="1:14" ht="15" x14ac:dyDescent="0.25">
      <c r="A181" s="152" t="s">
        <v>106</v>
      </c>
      <c r="B181" s="152"/>
      <c r="C181" s="56">
        <v>25000</v>
      </c>
      <c r="D181" s="26">
        <v>50000</v>
      </c>
      <c r="E181" s="26">
        <v>90000</v>
      </c>
      <c r="F181" s="26">
        <v>270000</v>
      </c>
      <c r="G181" s="27">
        <v>500000</v>
      </c>
      <c r="H181" s="27">
        <v>1000000</v>
      </c>
      <c r="I181" s="62" t="s">
        <v>100</v>
      </c>
      <c r="J181" s="26">
        <v>2500000</v>
      </c>
      <c r="K181" s="62" t="s">
        <v>100</v>
      </c>
      <c r="L181" s="26">
        <v>4000000</v>
      </c>
      <c r="M181" s="62" t="s">
        <v>100</v>
      </c>
      <c r="N181" s="19"/>
    </row>
    <row r="182" spans="1:14" ht="15" x14ac:dyDescent="0.25">
      <c r="A182" s="152" t="s">
        <v>102</v>
      </c>
      <c r="B182" s="152"/>
      <c r="C182" s="56">
        <v>42</v>
      </c>
      <c r="D182" s="26">
        <v>134</v>
      </c>
      <c r="E182" s="26">
        <v>207</v>
      </c>
      <c r="F182" s="26">
        <v>293</v>
      </c>
      <c r="G182" s="27">
        <v>415</v>
      </c>
      <c r="H182" s="27">
        <v>587</v>
      </c>
      <c r="I182" s="62" t="s">
        <v>100</v>
      </c>
      <c r="J182" s="26">
        <v>657</v>
      </c>
      <c r="K182" s="62" t="s">
        <v>100</v>
      </c>
      <c r="L182" s="26">
        <v>720</v>
      </c>
      <c r="M182" s="62" t="s">
        <v>100</v>
      </c>
      <c r="N182" s="19"/>
    </row>
    <row r="183" spans="1:14" ht="15" x14ac:dyDescent="0.25">
      <c r="A183" s="152" t="s">
        <v>103</v>
      </c>
      <c r="B183" s="152"/>
      <c r="C183" s="43">
        <v>250</v>
      </c>
      <c r="D183" s="26">
        <v>271</v>
      </c>
      <c r="E183" s="26">
        <v>280</v>
      </c>
      <c r="F183" s="26">
        <v>290</v>
      </c>
      <c r="G183" s="27">
        <v>310</v>
      </c>
      <c r="H183" s="27">
        <v>330</v>
      </c>
      <c r="I183" s="62" t="s">
        <v>100</v>
      </c>
      <c r="J183" s="26">
        <v>350</v>
      </c>
      <c r="K183" s="62" t="s">
        <v>100</v>
      </c>
      <c r="L183" s="26">
        <v>350</v>
      </c>
      <c r="M183" s="62" t="s">
        <v>100</v>
      </c>
      <c r="N183" s="19"/>
    </row>
    <row r="184" spans="1:14" ht="15" x14ac:dyDescent="0.25">
      <c r="A184" s="155" t="s">
        <v>136</v>
      </c>
      <c r="B184" s="63" t="s">
        <v>152</v>
      </c>
      <c r="C184" s="26">
        <v>2</v>
      </c>
      <c r="D184" s="62" t="s">
        <v>100</v>
      </c>
      <c r="E184" s="26">
        <v>3</v>
      </c>
      <c r="F184" s="62" t="s">
        <v>100</v>
      </c>
      <c r="G184" s="27">
        <v>4</v>
      </c>
      <c r="H184" s="27">
        <v>5</v>
      </c>
      <c r="I184" s="62" t="s">
        <v>100</v>
      </c>
      <c r="J184" s="26">
        <v>6</v>
      </c>
      <c r="K184" s="62" t="s">
        <v>100</v>
      </c>
      <c r="L184" s="62" t="s">
        <v>100</v>
      </c>
      <c r="M184" s="62" t="s">
        <v>100</v>
      </c>
      <c r="N184" s="19"/>
    </row>
    <row r="185" spans="1:14" ht="15" x14ac:dyDescent="0.25">
      <c r="A185" s="155"/>
      <c r="B185" s="63" t="s">
        <v>153</v>
      </c>
      <c r="C185" s="24">
        <v>0.25</v>
      </c>
      <c r="D185" s="62" t="s">
        <v>100</v>
      </c>
      <c r="E185" s="26">
        <v>1</v>
      </c>
      <c r="F185" s="62" t="s">
        <v>100</v>
      </c>
      <c r="G185" s="27">
        <v>3</v>
      </c>
      <c r="H185" s="27">
        <v>5</v>
      </c>
      <c r="I185" s="62" t="s">
        <v>100</v>
      </c>
      <c r="J185" s="26">
        <v>10</v>
      </c>
      <c r="K185" s="62" t="s">
        <v>100</v>
      </c>
      <c r="L185" s="62" t="s">
        <v>100</v>
      </c>
      <c r="M185" s="62" t="s">
        <v>100</v>
      </c>
      <c r="N185" s="19"/>
    </row>
    <row r="186" spans="1:14" ht="15" x14ac:dyDescent="0.25">
      <c r="A186" s="155"/>
      <c r="B186" s="63" t="s">
        <v>106</v>
      </c>
      <c r="C186" s="26">
        <v>50000</v>
      </c>
      <c r="D186" s="62" t="s">
        <v>100</v>
      </c>
      <c r="E186" s="26">
        <v>150000</v>
      </c>
      <c r="F186" s="62" t="s">
        <v>100</v>
      </c>
      <c r="G186" s="27">
        <v>500000</v>
      </c>
      <c r="H186" s="27">
        <v>1500000</v>
      </c>
      <c r="I186" s="62" t="s">
        <v>100</v>
      </c>
      <c r="J186" s="26">
        <v>4500000</v>
      </c>
      <c r="K186" s="62" t="s">
        <v>100</v>
      </c>
      <c r="L186" s="62" t="s">
        <v>100</v>
      </c>
      <c r="M186" s="62" t="s">
        <v>100</v>
      </c>
      <c r="N186" s="19"/>
    </row>
    <row r="187" spans="1:14" ht="15" x14ac:dyDescent="0.25">
      <c r="A187" s="155" t="s">
        <v>137</v>
      </c>
      <c r="B187" s="63" t="s">
        <v>152</v>
      </c>
      <c r="C187" s="26">
        <v>2</v>
      </c>
      <c r="D187" s="62" t="s">
        <v>100</v>
      </c>
      <c r="E187" s="26">
        <v>3</v>
      </c>
      <c r="F187" s="62" t="s">
        <v>100</v>
      </c>
      <c r="G187" s="27">
        <v>4</v>
      </c>
      <c r="H187" s="27">
        <v>5</v>
      </c>
      <c r="I187" s="62" t="s">
        <v>100</v>
      </c>
      <c r="J187" s="26">
        <v>6</v>
      </c>
      <c r="K187" s="62" t="s">
        <v>100</v>
      </c>
      <c r="L187" s="62" t="s">
        <v>100</v>
      </c>
      <c r="M187" s="62" t="s">
        <v>100</v>
      </c>
      <c r="N187" s="19"/>
    </row>
    <row r="188" spans="1:14" ht="15" x14ac:dyDescent="0.25">
      <c r="A188" s="155"/>
      <c r="B188" s="63" t="s">
        <v>153</v>
      </c>
      <c r="C188" s="24">
        <v>0.5</v>
      </c>
      <c r="D188" s="62" t="s">
        <v>100</v>
      </c>
      <c r="E188" s="26">
        <v>2</v>
      </c>
      <c r="F188" s="62" t="s">
        <v>100</v>
      </c>
      <c r="G188" s="27">
        <v>3</v>
      </c>
      <c r="H188" s="27">
        <v>5</v>
      </c>
      <c r="I188" s="62" t="s">
        <v>100</v>
      </c>
      <c r="J188" s="26">
        <v>14</v>
      </c>
      <c r="K188" s="62" t="s">
        <v>100</v>
      </c>
      <c r="L188" s="62" t="s">
        <v>100</v>
      </c>
      <c r="M188" s="62" t="s">
        <v>100</v>
      </c>
      <c r="N188" s="19"/>
    </row>
    <row r="189" spans="1:14" ht="15" x14ac:dyDescent="0.25">
      <c r="A189" s="155"/>
      <c r="B189" s="63" t="s">
        <v>106</v>
      </c>
      <c r="C189" s="26">
        <v>50000</v>
      </c>
      <c r="D189" s="62" t="s">
        <v>100</v>
      </c>
      <c r="E189" s="26">
        <v>250000</v>
      </c>
      <c r="F189" s="62" t="s">
        <v>100</v>
      </c>
      <c r="G189" s="27">
        <v>750000</v>
      </c>
      <c r="H189" s="27">
        <v>2250000</v>
      </c>
      <c r="I189" s="62" t="s">
        <v>100</v>
      </c>
      <c r="J189" s="26">
        <v>7500000</v>
      </c>
      <c r="K189" s="62" t="s">
        <v>100</v>
      </c>
      <c r="L189" s="62" t="s">
        <v>100</v>
      </c>
      <c r="M189" s="62" t="s">
        <v>100</v>
      </c>
      <c r="N189" s="19"/>
    </row>
    <row r="190" spans="1:14" ht="15" x14ac:dyDescent="0.25">
      <c r="A190" s="155" t="s">
        <v>138</v>
      </c>
      <c r="B190" s="63" t="s">
        <v>152</v>
      </c>
      <c r="C190" s="26">
        <v>2</v>
      </c>
      <c r="D190" s="62" t="s">
        <v>100</v>
      </c>
      <c r="E190" s="26">
        <v>3</v>
      </c>
      <c r="F190" s="62" t="s">
        <v>100</v>
      </c>
      <c r="G190" s="27">
        <v>4</v>
      </c>
      <c r="H190" s="27">
        <v>5</v>
      </c>
      <c r="I190" s="62" t="s">
        <v>100</v>
      </c>
      <c r="J190" s="62" t="s">
        <v>100</v>
      </c>
      <c r="K190" s="62" t="s">
        <v>100</v>
      </c>
      <c r="L190" s="62" t="s">
        <v>100</v>
      </c>
      <c r="M190" s="62" t="s">
        <v>100</v>
      </c>
      <c r="N190" s="19"/>
    </row>
    <row r="191" spans="1:14" ht="15" x14ac:dyDescent="0.25">
      <c r="A191" s="155"/>
      <c r="B191" s="63" t="s">
        <v>153</v>
      </c>
      <c r="C191" s="24">
        <v>0.5</v>
      </c>
      <c r="D191" s="62" t="s">
        <v>100</v>
      </c>
      <c r="E191" s="26">
        <v>2</v>
      </c>
      <c r="F191" s="62" t="s">
        <v>100</v>
      </c>
      <c r="G191" s="27">
        <v>3</v>
      </c>
      <c r="H191" s="27">
        <v>5</v>
      </c>
      <c r="I191" s="62" t="s">
        <v>100</v>
      </c>
      <c r="J191" s="62" t="s">
        <v>100</v>
      </c>
      <c r="K191" s="62" t="s">
        <v>100</v>
      </c>
      <c r="L191" s="62" t="s">
        <v>100</v>
      </c>
      <c r="M191" s="62" t="s">
        <v>100</v>
      </c>
      <c r="N191" s="19"/>
    </row>
    <row r="192" spans="1:14" ht="15" x14ac:dyDescent="0.25">
      <c r="A192" s="155"/>
      <c r="B192" s="63" t="s">
        <v>106</v>
      </c>
      <c r="C192" s="26">
        <v>50000</v>
      </c>
      <c r="D192" s="62" t="s">
        <v>100</v>
      </c>
      <c r="E192" s="26">
        <v>250000</v>
      </c>
      <c r="F192" s="62" t="s">
        <v>100</v>
      </c>
      <c r="G192" s="27">
        <v>750000</v>
      </c>
      <c r="H192" s="27">
        <v>2250000</v>
      </c>
      <c r="I192" s="62" t="s">
        <v>100</v>
      </c>
      <c r="J192" s="62" t="s">
        <v>100</v>
      </c>
      <c r="K192" s="62" t="s">
        <v>100</v>
      </c>
      <c r="L192" s="62" t="s">
        <v>100</v>
      </c>
      <c r="M192" s="62" t="s">
        <v>100</v>
      </c>
      <c r="N192" s="19"/>
    </row>
    <row r="193" spans="1:14" ht="15" x14ac:dyDescent="0.25">
      <c r="A193" s="155" t="s">
        <v>139</v>
      </c>
      <c r="B193" s="63" t="s">
        <v>152</v>
      </c>
      <c r="C193" s="62" t="s">
        <v>100</v>
      </c>
      <c r="D193" s="26">
        <v>2</v>
      </c>
      <c r="E193" s="62" t="s">
        <v>100</v>
      </c>
      <c r="F193" s="26">
        <v>3</v>
      </c>
      <c r="G193" s="27">
        <v>4</v>
      </c>
      <c r="H193" s="27">
        <v>5</v>
      </c>
      <c r="I193" s="62" t="s">
        <v>100</v>
      </c>
      <c r="J193" s="26">
        <v>6</v>
      </c>
      <c r="K193" s="62" t="s">
        <v>100</v>
      </c>
      <c r="L193" s="62" t="s">
        <v>100</v>
      </c>
      <c r="M193" s="62" t="s">
        <v>100</v>
      </c>
      <c r="N193" s="19"/>
    </row>
    <row r="194" spans="1:14" ht="15" x14ac:dyDescent="0.25">
      <c r="A194" s="155"/>
      <c r="B194" s="63" t="s">
        <v>153</v>
      </c>
      <c r="C194" s="62" t="s">
        <v>100</v>
      </c>
      <c r="D194" s="26">
        <v>1</v>
      </c>
      <c r="E194" s="62" t="s">
        <v>100</v>
      </c>
      <c r="F194" s="26">
        <v>2</v>
      </c>
      <c r="G194" s="27">
        <v>3</v>
      </c>
      <c r="H194" s="27">
        <v>5</v>
      </c>
      <c r="I194" s="62" t="s">
        <v>100</v>
      </c>
      <c r="J194" s="26">
        <v>10</v>
      </c>
      <c r="K194" s="62" t="s">
        <v>100</v>
      </c>
      <c r="L194" s="62" t="s">
        <v>100</v>
      </c>
      <c r="M194" s="62" t="s">
        <v>100</v>
      </c>
      <c r="N194" s="19"/>
    </row>
    <row r="195" spans="1:14" ht="15" x14ac:dyDescent="0.25">
      <c r="A195" s="155"/>
      <c r="B195" s="63" t="s">
        <v>106</v>
      </c>
      <c r="C195" s="62" t="s">
        <v>100</v>
      </c>
      <c r="D195" s="26">
        <v>100000</v>
      </c>
      <c r="E195" s="62" t="s">
        <v>100</v>
      </c>
      <c r="F195" s="26">
        <v>250000</v>
      </c>
      <c r="G195" s="27">
        <v>750000</v>
      </c>
      <c r="H195" s="27">
        <v>2250000</v>
      </c>
      <c r="I195" s="62" t="s">
        <v>100</v>
      </c>
      <c r="J195" s="26">
        <v>6000000</v>
      </c>
      <c r="K195" s="62" t="s">
        <v>100</v>
      </c>
      <c r="L195" s="62" t="s">
        <v>100</v>
      </c>
      <c r="M195" s="62" t="s">
        <v>100</v>
      </c>
      <c r="N195" s="19"/>
    </row>
    <row r="196" spans="1:14" ht="15" x14ac:dyDescent="0.25">
      <c r="A196" s="155" t="s">
        <v>140</v>
      </c>
      <c r="B196" s="63" t="s">
        <v>152</v>
      </c>
      <c r="C196" s="62" t="s">
        <v>100</v>
      </c>
      <c r="D196" s="26">
        <v>2</v>
      </c>
      <c r="E196" s="62" t="s">
        <v>100</v>
      </c>
      <c r="F196" s="26">
        <v>3</v>
      </c>
      <c r="G196" s="27">
        <v>4</v>
      </c>
      <c r="H196" s="27">
        <v>5</v>
      </c>
      <c r="I196" s="62" t="s">
        <v>100</v>
      </c>
      <c r="J196" s="62" t="s">
        <v>100</v>
      </c>
      <c r="K196" s="62" t="s">
        <v>100</v>
      </c>
      <c r="L196" s="62" t="s">
        <v>100</v>
      </c>
      <c r="M196" s="62" t="s">
        <v>100</v>
      </c>
      <c r="N196" s="19"/>
    </row>
    <row r="197" spans="1:14" ht="15" x14ac:dyDescent="0.25">
      <c r="A197" s="155"/>
      <c r="B197" s="63" t="s">
        <v>153</v>
      </c>
      <c r="C197" s="62" t="s">
        <v>100</v>
      </c>
      <c r="D197" s="26">
        <v>1</v>
      </c>
      <c r="E197" s="62" t="s">
        <v>100</v>
      </c>
      <c r="F197" s="26">
        <v>2</v>
      </c>
      <c r="G197" s="27">
        <v>3</v>
      </c>
      <c r="H197" s="27">
        <v>5</v>
      </c>
      <c r="I197" s="62" t="s">
        <v>100</v>
      </c>
      <c r="J197" s="62" t="s">
        <v>100</v>
      </c>
      <c r="K197" s="62" t="s">
        <v>100</v>
      </c>
      <c r="L197" s="62" t="s">
        <v>100</v>
      </c>
      <c r="M197" s="62" t="s">
        <v>100</v>
      </c>
      <c r="N197" s="19"/>
    </row>
    <row r="198" spans="1:14" ht="15" x14ac:dyDescent="0.25">
      <c r="A198" s="155"/>
      <c r="B198" s="63" t="s">
        <v>106</v>
      </c>
      <c r="C198" s="62" t="s">
        <v>100</v>
      </c>
      <c r="D198" s="26">
        <v>100000</v>
      </c>
      <c r="E198" s="62" t="s">
        <v>100</v>
      </c>
      <c r="F198" s="26">
        <v>250000</v>
      </c>
      <c r="G198" s="27">
        <v>750000</v>
      </c>
      <c r="H198" s="27">
        <v>2250000</v>
      </c>
      <c r="I198" s="62" t="s">
        <v>100</v>
      </c>
      <c r="J198" s="62" t="s">
        <v>100</v>
      </c>
      <c r="K198" s="62" t="s">
        <v>100</v>
      </c>
      <c r="L198" s="62" t="s">
        <v>100</v>
      </c>
      <c r="M198" s="62" t="s">
        <v>100</v>
      </c>
      <c r="N198" s="19"/>
    </row>
    <row r="199" spans="1:14" ht="15" x14ac:dyDescent="0.25">
      <c r="A199" s="155" t="s">
        <v>141</v>
      </c>
      <c r="B199" s="63" t="s">
        <v>152</v>
      </c>
      <c r="C199" s="62" t="s">
        <v>100</v>
      </c>
      <c r="D199" s="26">
        <v>2</v>
      </c>
      <c r="E199" s="62" t="s">
        <v>100</v>
      </c>
      <c r="F199" s="26">
        <v>3</v>
      </c>
      <c r="G199" s="27">
        <v>4</v>
      </c>
      <c r="H199" s="27">
        <v>5</v>
      </c>
      <c r="I199" s="62" t="s">
        <v>100</v>
      </c>
      <c r="J199" s="26">
        <v>6</v>
      </c>
      <c r="K199" s="62" t="s">
        <v>100</v>
      </c>
      <c r="L199" s="62" t="s">
        <v>100</v>
      </c>
      <c r="M199" s="62" t="s">
        <v>100</v>
      </c>
      <c r="N199" s="19"/>
    </row>
    <row r="200" spans="1:14" ht="15" x14ac:dyDescent="0.25">
      <c r="A200" s="155"/>
      <c r="B200" s="63" t="s">
        <v>153</v>
      </c>
      <c r="C200" s="62" t="s">
        <v>100</v>
      </c>
      <c r="D200" s="26">
        <v>1</v>
      </c>
      <c r="E200" s="62" t="s">
        <v>100</v>
      </c>
      <c r="F200" s="26">
        <v>2</v>
      </c>
      <c r="G200" s="27">
        <v>3</v>
      </c>
      <c r="H200" s="27">
        <v>5</v>
      </c>
      <c r="I200" s="62" t="s">
        <v>100</v>
      </c>
      <c r="J200" s="26">
        <v>10</v>
      </c>
      <c r="K200" s="62" t="s">
        <v>100</v>
      </c>
      <c r="L200" s="62" t="s">
        <v>100</v>
      </c>
      <c r="M200" s="62" t="s">
        <v>100</v>
      </c>
      <c r="N200" s="19"/>
    </row>
    <row r="201" spans="1:14" ht="15" x14ac:dyDescent="0.25">
      <c r="A201" s="155"/>
      <c r="B201" s="63" t="s">
        <v>106</v>
      </c>
      <c r="C201" s="62" t="s">
        <v>100</v>
      </c>
      <c r="D201" s="26">
        <v>150000</v>
      </c>
      <c r="E201" s="62" t="s">
        <v>100</v>
      </c>
      <c r="F201" s="26">
        <v>450000</v>
      </c>
      <c r="G201" s="27">
        <v>1350000</v>
      </c>
      <c r="H201" s="27">
        <v>2500000</v>
      </c>
      <c r="I201" s="62" t="s">
        <v>100</v>
      </c>
      <c r="J201" s="26">
        <v>6000000</v>
      </c>
      <c r="K201" s="62" t="s">
        <v>100</v>
      </c>
      <c r="L201" s="62" t="s">
        <v>100</v>
      </c>
      <c r="M201" s="62" t="s">
        <v>100</v>
      </c>
      <c r="N201" s="19"/>
    </row>
    <row r="202" spans="1:14" ht="15" x14ac:dyDescent="0.25">
      <c r="A202" s="155" t="s">
        <v>142</v>
      </c>
      <c r="B202" s="63" t="s">
        <v>152</v>
      </c>
      <c r="C202" s="62" t="s">
        <v>100</v>
      </c>
      <c r="D202" s="62" t="s">
        <v>100</v>
      </c>
      <c r="E202" s="26">
        <v>2</v>
      </c>
      <c r="F202" s="26">
        <v>3</v>
      </c>
      <c r="G202" s="27">
        <v>4</v>
      </c>
      <c r="H202" s="27">
        <v>5</v>
      </c>
      <c r="I202" s="62" t="s">
        <v>100</v>
      </c>
      <c r="J202" s="62" t="s">
        <v>100</v>
      </c>
      <c r="K202" s="62" t="s">
        <v>100</v>
      </c>
      <c r="L202" s="62" t="s">
        <v>100</v>
      </c>
      <c r="M202" s="62" t="s">
        <v>100</v>
      </c>
      <c r="N202" s="19"/>
    </row>
    <row r="203" spans="1:14" ht="15" x14ac:dyDescent="0.25">
      <c r="A203" s="155"/>
      <c r="B203" s="63" t="s">
        <v>153</v>
      </c>
      <c r="C203" s="62" t="s">
        <v>100</v>
      </c>
      <c r="D203" s="62" t="s">
        <v>100</v>
      </c>
      <c r="E203" s="26">
        <v>1</v>
      </c>
      <c r="F203" s="26">
        <v>2</v>
      </c>
      <c r="G203" s="27">
        <v>3</v>
      </c>
      <c r="H203" s="27">
        <v>5</v>
      </c>
      <c r="I203" s="62" t="s">
        <v>100</v>
      </c>
      <c r="J203" s="62" t="s">
        <v>100</v>
      </c>
      <c r="K203" s="62" t="s">
        <v>100</v>
      </c>
      <c r="L203" s="62" t="s">
        <v>100</v>
      </c>
      <c r="M203" s="62" t="s">
        <v>100</v>
      </c>
      <c r="N203" s="19"/>
    </row>
    <row r="204" spans="1:14" ht="15" x14ac:dyDescent="0.25">
      <c r="A204" s="155"/>
      <c r="B204" s="63" t="s">
        <v>106</v>
      </c>
      <c r="C204" s="62" t="s">
        <v>100</v>
      </c>
      <c r="D204" s="62" t="s">
        <v>100</v>
      </c>
      <c r="E204" s="26">
        <v>150000</v>
      </c>
      <c r="F204" s="26">
        <v>450000</v>
      </c>
      <c r="G204" s="27">
        <v>1350000</v>
      </c>
      <c r="H204" s="27">
        <v>2500000</v>
      </c>
      <c r="I204" s="62" t="s">
        <v>100</v>
      </c>
      <c r="J204" s="62" t="s">
        <v>100</v>
      </c>
      <c r="K204" s="62" t="s">
        <v>100</v>
      </c>
      <c r="L204" s="62" t="s">
        <v>100</v>
      </c>
      <c r="M204" s="62" t="s">
        <v>100</v>
      </c>
      <c r="N204" s="19"/>
    </row>
    <row r="205" spans="1:14" ht="15" x14ac:dyDescent="0.25">
      <c r="A205" s="155" t="s">
        <v>143</v>
      </c>
      <c r="B205" s="63" t="s">
        <v>152</v>
      </c>
      <c r="C205" s="62" t="s">
        <v>100</v>
      </c>
      <c r="D205" s="62" t="s">
        <v>100</v>
      </c>
      <c r="E205" s="62" t="s">
        <v>100</v>
      </c>
      <c r="F205" s="62" t="s">
        <v>100</v>
      </c>
      <c r="G205" s="27">
        <v>2</v>
      </c>
      <c r="H205" s="27">
        <v>3</v>
      </c>
      <c r="I205" s="62" t="s">
        <v>100</v>
      </c>
      <c r="J205" s="26">
        <v>4</v>
      </c>
      <c r="K205" s="62" t="s">
        <v>100</v>
      </c>
      <c r="L205" s="62" t="s">
        <v>100</v>
      </c>
      <c r="M205" s="62" t="s">
        <v>100</v>
      </c>
      <c r="N205" s="19"/>
    </row>
    <row r="206" spans="1:14" ht="15" x14ac:dyDescent="0.25">
      <c r="A206" s="155"/>
      <c r="B206" s="63" t="s">
        <v>153</v>
      </c>
      <c r="C206" s="62" t="s">
        <v>100</v>
      </c>
      <c r="D206" s="62" t="s">
        <v>100</v>
      </c>
      <c r="E206" s="62" t="s">
        <v>100</v>
      </c>
      <c r="F206" s="62" t="s">
        <v>100</v>
      </c>
      <c r="G206" s="27">
        <v>3</v>
      </c>
      <c r="H206" s="27">
        <v>5</v>
      </c>
      <c r="I206" s="62" t="s">
        <v>100</v>
      </c>
      <c r="J206" s="26">
        <v>7</v>
      </c>
      <c r="K206" s="62" t="s">
        <v>100</v>
      </c>
      <c r="L206" s="62" t="s">
        <v>100</v>
      </c>
      <c r="M206" s="62" t="s">
        <v>100</v>
      </c>
      <c r="N206" s="19"/>
    </row>
    <row r="207" spans="1:14" ht="15" x14ac:dyDescent="0.25">
      <c r="A207" s="155"/>
      <c r="B207" s="63" t="s">
        <v>106</v>
      </c>
      <c r="C207" s="62" t="s">
        <v>100</v>
      </c>
      <c r="D207" s="62" t="s">
        <v>100</v>
      </c>
      <c r="E207" s="62" t="s">
        <v>100</v>
      </c>
      <c r="F207" s="62" t="s">
        <v>100</v>
      </c>
      <c r="G207" s="27">
        <v>750000</v>
      </c>
      <c r="H207" s="27">
        <v>1500000</v>
      </c>
      <c r="I207" s="62" t="s">
        <v>100</v>
      </c>
      <c r="J207" s="26">
        <v>3000000</v>
      </c>
      <c r="K207" s="62" t="s">
        <v>100</v>
      </c>
      <c r="L207" s="62" t="s">
        <v>100</v>
      </c>
      <c r="M207" s="62" t="s">
        <v>100</v>
      </c>
      <c r="N207" s="19"/>
    </row>
    <row r="208" spans="1:14" ht="15" x14ac:dyDescent="0.25">
      <c r="A208" s="155" t="s">
        <v>144</v>
      </c>
      <c r="B208" s="63" t="s">
        <v>152</v>
      </c>
      <c r="C208" s="62" t="s">
        <v>100</v>
      </c>
      <c r="D208" s="62" t="s">
        <v>100</v>
      </c>
      <c r="E208" s="62" t="s">
        <v>100</v>
      </c>
      <c r="F208" s="62" t="s">
        <v>100</v>
      </c>
      <c r="G208" s="27">
        <v>2</v>
      </c>
      <c r="H208" s="27">
        <v>3</v>
      </c>
      <c r="I208" s="62" t="s">
        <v>100</v>
      </c>
      <c r="J208" s="62" t="s">
        <v>100</v>
      </c>
      <c r="K208" s="62" t="s">
        <v>100</v>
      </c>
      <c r="L208" s="26">
        <v>4</v>
      </c>
      <c r="M208" s="62" t="s">
        <v>100</v>
      </c>
      <c r="N208" s="19"/>
    </row>
    <row r="209" spans="1:14" ht="15" x14ac:dyDescent="0.25">
      <c r="A209" s="155"/>
      <c r="B209" s="63" t="s">
        <v>153</v>
      </c>
      <c r="C209" s="62" t="s">
        <v>100</v>
      </c>
      <c r="D209" s="62" t="s">
        <v>100</v>
      </c>
      <c r="E209" s="62" t="s">
        <v>100</v>
      </c>
      <c r="F209" s="62" t="s">
        <v>100</v>
      </c>
      <c r="G209" s="27">
        <v>7</v>
      </c>
      <c r="H209" s="27">
        <v>10</v>
      </c>
      <c r="I209" s="62" t="s">
        <v>100</v>
      </c>
      <c r="J209" s="62" t="s">
        <v>100</v>
      </c>
      <c r="K209" s="62" t="s">
        <v>100</v>
      </c>
      <c r="L209" s="26">
        <v>12</v>
      </c>
      <c r="M209" s="62" t="s">
        <v>100</v>
      </c>
      <c r="N209" s="19"/>
    </row>
    <row r="210" spans="1:14" ht="15" x14ac:dyDescent="0.25">
      <c r="A210" s="155"/>
      <c r="B210" s="63" t="s">
        <v>106</v>
      </c>
      <c r="C210" s="62" t="s">
        <v>100</v>
      </c>
      <c r="D210" s="62" t="s">
        <v>100</v>
      </c>
      <c r="E210" s="62" t="s">
        <v>100</v>
      </c>
      <c r="F210" s="62" t="s">
        <v>100</v>
      </c>
      <c r="G210" s="27">
        <v>2000000</v>
      </c>
      <c r="H210" s="27">
        <v>3000000</v>
      </c>
      <c r="I210" s="62" t="s">
        <v>100</v>
      </c>
      <c r="J210" s="62" t="s">
        <v>100</v>
      </c>
      <c r="K210" s="62" t="s">
        <v>100</v>
      </c>
      <c r="L210" s="26">
        <v>8000000</v>
      </c>
      <c r="M210" s="62" t="s">
        <v>100</v>
      </c>
      <c r="N210" s="19"/>
    </row>
    <row r="211" spans="1:14" ht="15" x14ac:dyDescent="0.25">
      <c r="A211" s="155" t="s">
        <v>145</v>
      </c>
      <c r="B211" s="63" t="s">
        <v>152</v>
      </c>
      <c r="C211" s="62" t="s">
        <v>100</v>
      </c>
      <c r="D211" s="62" t="s">
        <v>100</v>
      </c>
      <c r="E211" s="62" t="s">
        <v>100</v>
      </c>
      <c r="F211" s="62" t="s">
        <v>100</v>
      </c>
      <c r="G211" s="64" t="s">
        <v>100</v>
      </c>
      <c r="H211" s="65" t="s">
        <v>154</v>
      </c>
      <c r="I211" s="26">
        <v>3</v>
      </c>
      <c r="J211" s="62" t="s">
        <v>100</v>
      </c>
      <c r="K211" s="62" t="s">
        <v>100</v>
      </c>
      <c r="L211" s="62" t="s">
        <v>100</v>
      </c>
      <c r="M211" s="62" t="s">
        <v>100</v>
      </c>
      <c r="N211" s="19"/>
    </row>
    <row r="212" spans="1:14" ht="30.75" customHeight="1" x14ac:dyDescent="0.25">
      <c r="A212" s="155"/>
      <c r="B212" s="63" t="s">
        <v>153</v>
      </c>
      <c r="C212" s="62" t="s">
        <v>100</v>
      </c>
      <c r="D212" s="62" t="s">
        <v>100</v>
      </c>
      <c r="E212" s="62" t="s">
        <v>100</v>
      </c>
      <c r="F212" s="62" t="s">
        <v>100</v>
      </c>
      <c r="G212" s="64" t="s">
        <v>100</v>
      </c>
      <c r="H212" s="66">
        <v>10</v>
      </c>
      <c r="I212" s="67">
        <v>12</v>
      </c>
      <c r="J212" s="62" t="s">
        <v>100</v>
      </c>
      <c r="K212" s="62" t="s">
        <v>100</v>
      </c>
      <c r="L212" s="62" t="s">
        <v>100</v>
      </c>
      <c r="M212" s="62" t="s">
        <v>100</v>
      </c>
      <c r="N212" s="19"/>
    </row>
    <row r="213" spans="1:14" ht="15" x14ac:dyDescent="0.25">
      <c r="A213" s="155"/>
      <c r="B213" s="63" t="s">
        <v>106</v>
      </c>
      <c r="C213" s="62" t="s">
        <v>100</v>
      </c>
      <c r="D213" s="62" t="s">
        <v>100</v>
      </c>
      <c r="E213" s="62" t="s">
        <v>100</v>
      </c>
      <c r="F213" s="62" t="s">
        <v>100</v>
      </c>
      <c r="G213" s="64" t="s">
        <v>100</v>
      </c>
      <c r="H213" s="68">
        <v>3000000</v>
      </c>
      <c r="I213" s="26">
        <v>6000000</v>
      </c>
      <c r="J213" s="62" t="s">
        <v>100</v>
      </c>
      <c r="K213" s="62" t="s">
        <v>100</v>
      </c>
      <c r="L213" s="62" t="s">
        <v>100</v>
      </c>
      <c r="M213" s="62" t="s">
        <v>100</v>
      </c>
      <c r="N213" s="19"/>
    </row>
    <row r="214" spans="1:14" ht="15" x14ac:dyDescent="0.25">
      <c r="A214" s="155" t="s">
        <v>155</v>
      </c>
      <c r="B214" s="63" t="s">
        <v>152</v>
      </c>
      <c r="C214" s="26">
        <v>2</v>
      </c>
      <c r="D214" s="26">
        <v>3</v>
      </c>
      <c r="E214" s="26">
        <v>4</v>
      </c>
      <c r="F214" s="62" t="s">
        <v>100</v>
      </c>
      <c r="G214" s="64" t="s">
        <v>100</v>
      </c>
      <c r="H214" s="27">
        <v>5</v>
      </c>
      <c r="I214" s="62" t="s">
        <v>100</v>
      </c>
      <c r="J214" s="62" t="s">
        <v>100</v>
      </c>
      <c r="K214" s="62" t="s">
        <v>100</v>
      </c>
      <c r="L214" s="62" t="s">
        <v>100</v>
      </c>
      <c r="M214" s="62" t="s">
        <v>100</v>
      </c>
      <c r="N214" s="19"/>
    </row>
    <row r="215" spans="1:14" ht="15" x14ac:dyDescent="0.25">
      <c r="A215" s="155"/>
      <c r="B215" s="63" t="s">
        <v>153</v>
      </c>
      <c r="C215" s="26">
        <v>1</v>
      </c>
      <c r="D215" s="26">
        <v>2</v>
      </c>
      <c r="E215" s="26">
        <v>3</v>
      </c>
      <c r="F215" s="62" t="s">
        <v>100</v>
      </c>
      <c r="G215" s="64" t="s">
        <v>100</v>
      </c>
      <c r="H215" s="27">
        <v>4</v>
      </c>
      <c r="I215" s="62" t="s">
        <v>100</v>
      </c>
      <c r="J215" s="62" t="s">
        <v>100</v>
      </c>
      <c r="K215" s="62" t="s">
        <v>100</v>
      </c>
      <c r="L215" s="62" t="s">
        <v>100</v>
      </c>
      <c r="M215" s="62" t="s">
        <v>100</v>
      </c>
      <c r="N215" s="19"/>
    </row>
    <row r="216" spans="1:14" ht="15" x14ac:dyDescent="0.25">
      <c r="A216" s="155"/>
      <c r="B216" s="63" t="s">
        <v>106</v>
      </c>
      <c r="C216" s="26">
        <v>200000</v>
      </c>
      <c r="D216" s="26">
        <v>500000</v>
      </c>
      <c r="E216" s="26">
        <v>1000000</v>
      </c>
      <c r="F216" s="62" t="s">
        <v>100</v>
      </c>
      <c r="G216" s="64" t="s">
        <v>100</v>
      </c>
      <c r="H216" s="27">
        <v>2000000</v>
      </c>
      <c r="I216" s="62" t="s">
        <v>100</v>
      </c>
      <c r="J216" s="62" t="s">
        <v>100</v>
      </c>
      <c r="K216" s="62" t="s">
        <v>100</v>
      </c>
      <c r="L216" s="62" t="s">
        <v>100</v>
      </c>
      <c r="M216" s="62" t="s">
        <v>100</v>
      </c>
      <c r="N216" s="19"/>
    </row>
    <row r="217" spans="1:14" ht="15" x14ac:dyDescent="0.25">
      <c r="A217" s="155" t="s">
        <v>156</v>
      </c>
      <c r="B217" s="63" t="s">
        <v>152</v>
      </c>
      <c r="C217" s="62" t="s">
        <v>100</v>
      </c>
      <c r="D217" s="26">
        <v>2</v>
      </c>
      <c r="E217" s="62" t="s">
        <v>100</v>
      </c>
      <c r="F217" s="26">
        <v>3</v>
      </c>
      <c r="G217" s="27">
        <v>4</v>
      </c>
      <c r="H217" s="27">
        <v>5</v>
      </c>
      <c r="I217" s="62" t="s">
        <v>100</v>
      </c>
      <c r="J217" s="62" t="s">
        <v>100</v>
      </c>
      <c r="K217" s="62" t="s">
        <v>100</v>
      </c>
      <c r="L217" s="62" t="s">
        <v>100</v>
      </c>
      <c r="M217" s="62" t="s">
        <v>100</v>
      </c>
      <c r="N217" s="19"/>
    </row>
    <row r="218" spans="1:14" ht="15" x14ac:dyDescent="0.25">
      <c r="A218" s="155"/>
      <c r="B218" s="63" t="s">
        <v>153</v>
      </c>
      <c r="C218" s="62" t="s">
        <v>100</v>
      </c>
      <c r="D218" s="26">
        <v>1</v>
      </c>
      <c r="E218" s="62" t="s">
        <v>100</v>
      </c>
      <c r="F218" s="26">
        <v>2</v>
      </c>
      <c r="G218" s="27">
        <v>3</v>
      </c>
      <c r="H218" s="27">
        <v>5</v>
      </c>
      <c r="I218" s="62" t="s">
        <v>100</v>
      </c>
      <c r="J218" s="62" t="s">
        <v>100</v>
      </c>
      <c r="K218" s="62" t="s">
        <v>100</v>
      </c>
      <c r="L218" s="62" t="s">
        <v>100</v>
      </c>
      <c r="M218" s="62" t="s">
        <v>100</v>
      </c>
      <c r="N218" s="19"/>
    </row>
    <row r="219" spans="1:14" ht="15" x14ac:dyDescent="0.25">
      <c r="A219" s="155"/>
      <c r="B219" s="63" t="s">
        <v>106</v>
      </c>
      <c r="C219" s="62" t="s">
        <v>100</v>
      </c>
      <c r="D219" s="26">
        <v>300000</v>
      </c>
      <c r="E219" s="62" t="s">
        <v>100</v>
      </c>
      <c r="F219" s="26">
        <v>600000</v>
      </c>
      <c r="G219" s="27">
        <v>1200000</v>
      </c>
      <c r="H219" s="27">
        <v>2400000</v>
      </c>
      <c r="I219" s="62" t="s">
        <v>100</v>
      </c>
      <c r="J219" s="62" t="s">
        <v>100</v>
      </c>
      <c r="K219" s="62" t="s">
        <v>100</v>
      </c>
      <c r="L219" s="62" t="s">
        <v>100</v>
      </c>
      <c r="M219" s="62" t="s">
        <v>100</v>
      </c>
      <c r="N219" s="19"/>
    </row>
    <row r="220" spans="1:14" ht="15" x14ac:dyDescent="0.25">
      <c r="A220" s="155" t="s">
        <v>157</v>
      </c>
      <c r="B220" s="63" t="s">
        <v>152</v>
      </c>
      <c r="C220" s="62" t="s">
        <v>100</v>
      </c>
      <c r="D220" s="62" t="s">
        <v>100</v>
      </c>
      <c r="E220" s="37">
        <v>2</v>
      </c>
      <c r="F220" s="37">
        <v>3</v>
      </c>
      <c r="G220" s="38">
        <v>4</v>
      </c>
      <c r="H220" s="27">
        <v>5</v>
      </c>
      <c r="I220" s="62" t="s">
        <v>100</v>
      </c>
      <c r="J220" s="62" t="s">
        <v>100</v>
      </c>
      <c r="K220" s="62" t="s">
        <v>100</v>
      </c>
      <c r="L220" s="62" t="s">
        <v>100</v>
      </c>
      <c r="M220" s="62" t="s">
        <v>100</v>
      </c>
      <c r="N220" s="19"/>
    </row>
    <row r="221" spans="1:14" ht="15" x14ac:dyDescent="0.25">
      <c r="A221" s="155"/>
      <c r="B221" s="63" t="s">
        <v>153</v>
      </c>
      <c r="C221" s="62" t="s">
        <v>100</v>
      </c>
      <c r="D221" s="64" t="s">
        <v>100</v>
      </c>
      <c r="E221" s="26">
        <v>2</v>
      </c>
      <c r="F221" s="26">
        <v>3</v>
      </c>
      <c r="G221" s="27">
        <v>5</v>
      </c>
      <c r="H221" s="27">
        <v>7</v>
      </c>
      <c r="I221" s="62" t="s">
        <v>100</v>
      </c>
      <c r="J221" s="62" t="s">
        <v>100</v>
      </c>
      <c r="K221" s="62" t="s">
        <v>100</v>
      </c>
      <c r="L221" s="62" t="s">
        <v>100</v>
      </c>
      <c r="M221" s="62" t="s">
        <v>100</v>
      </c>
      <c r="N221" s="19"/>
    </row>
    <row r="222" spans="1:14" ht="15" x14ac:dyDescent="0.25">
      <c r="A222" s="155"/>
      <c r="B222" s="63" t="s">
        <v>106</v>
      </c>
      <c r="C222" s="62" t="s">
        <v>100</v>
      </c>
      <c r="D222" s="62" t="s">
        <v>100</v>
      </c>
      <c r="E222" s="29">
        <v>450000</v>
      </c>
      <c r="F222" s="29">
        <v>900000</v>
      </c>
      <c r="G222" s="34">
        <v>1800000</v>
      </c>
      <c r="H222" s="27">
        <v>3000000</v>
      </c>
      <c r="I222" s="62" t="s">
        <v>100</v>
      </c>
      <c r="J222" s="62" t="s">
        <v>100</v>
      </c>
      <c r="K222" s="62" t="s">
        <v>100</v>
      </c>
      <c r="L222" s="62" t="s">
        <v>100</v>
      </c>
      <c r="M222" s="62" t="s">
        <v>100</v>
      </c>
      <c r="N222" s="19"/>
    </row>
    <row r="223" spans="1:14" ht="15" x14ac:dyDescent="0.25">
      <c r="A223" s="155" t="s">
        <v>158</v>
      </c>
      <c r="B223" s="63" t="s">
        <v>152</v>
      </c>
      <c r="C223" s="62" t="s">
        <v>100</v>
      </c>
      <c r="D223" s="62" t="s">
        <v>100</v>
      </c>
      <c r="E223" s="62" t="s">
        <v>100</v>
      </c>
      <c r="F223" s="62" t="s">
        <v>100</v>
      </c>
      <c r="G223" s="64" t="s">
        <v>100</v>
      </c>
      <c r="H223" s="64" t="s">
        <v>100</v>
      </c>
      <c r="I223" s="64" t="s">
        <v>100</v>
      </c>
      <c r="J223" s="26">
        <v>2</v>
      </c>
      <c r="K223" s="64" t="s">
        <v>100</v>
      </c>
      <c r="L223" s="64" t="s">
        <v>100</v>
      </c>
      <c r="M223" s="62" t="s">
        <v>100</v>
      </c>
      <c r="N223" s="19"/>
    </row>
    <row r="224" spans="1:14" ht="15" x14ac:dyDescent="0.25">
      <c r="A224" s="155"/>
      <c r="B224" s="63" t="s">
        <v>153</v>
      </c>
      <c r="C224" s="62" t="s">
        <v>100</v>
      </c>
      <c r="D224" s="62" t="s">
        <v>100</v>
      </c>
      <c r="E224" s="62" t="s">
        <v>100</v>
      </c>
      <c r="F224" s="62" t="s">
        <v>100</v>
      </c>
      <c r="G224" s="64" t="s">
        <v>100</v>
      </c>
      <c r="H224" s="64" t="s">
        <v>100</v>
      </c>
      <c r="I224" s="64" t="s">
        <v>100</v>
      </c>
      <c r="J224" s="26">
        <v>5</v>
      </c>
      <c r="K224" s="64" t="s">
        <v>100</v>
      </c>
      <c r="L224" s="64" t="s">
        <v>100</v>
      </c>
      <c r="M224" s="62" t="s">
        <v>100</v>
      </c>
      <c r="N224" s="19"/>
    </row>
    <row r="225" spans="1:14" ht="15" x14ac:dyDescent="0.25">
      <c r="A225" s="155"/>
      <c r="B225" s="63" t="s">
        <v>106</v>
      </c>
      <c r="C225" s="62" t="s">
        <v>100</v>
      </c>
      <c r="D225" s="62" t="s">
        <v>100</v>
      </c>
      <c r="E225" s="62" t="s">
        <v>100</v>
      </c>
      <c r="F225" s="62" t="s">
        <v>100</v>
      </c>
      <c r="G225" s="64" t="s">
        <v>100</v>
      </c>
      <c r="H225" s="64" t="s">
        <v>100</v>
      </c>
      <c r="I225" s="64" t="s">
        <v>100</v>
      </c>
      <c r="J225" s="26">
        <v>4000000</v>
      </c>
      <c r="K225" s="64" t="s">
        <v>100</v>
      </c>
      <c r="L225" s="64" t="s">
        <v>100</v>
      </c>
      <c r="M225" s="69" t="s">
        <v>100</v>
      </c>
      <c r="N225" s="19"/>
    </row>
    <row r="226" spans="1:14" ht="15" x14ac:dyDescent="0.25">
      <c r="A226" s="155" t="s">
        <v>147</v>
      </c>
      <c r="B226" s="63" t="s">
        <v>152</v>
      </c>
      <c r="C226" s="62" t="s">
        <v>100</v>
      </c>
      <c r="D226" s="62" t="s">
        <v>100</v>
      </c>
      <c r="E226" s="62" t="s">
        <v>100</v>
      </c>
      <c r="F226" s="62" t="s">
        <v>100</v>
      </c>
      <c r="G226" s="27">
        <v>2</v>
      </c>
      <c r="H226" s="26">
        <v>3</v>
      </c>
      <c r="I226" s="29">
        <v>4</v>
      </c>
      <c r="J226" s="29">
        <v>5</v>
      </c>
      <c r="K226" s="64" t="s">
        <v>100</v>
      </c>
      <c r="L226" s="64" t="s">
        <v>100</v>
      </c>
      <c r="M226" s="62" t="s">
        <v>100</v>
      </c>
      <c r="N226" s="19"/>
    </row>
    <row r="227" spans="1:14" ht="15" x14ac:dyDescent="0.25">
      <c r="A227" s="155"/>
      <c r="B227" s="63" t="s">
        <v>153</v>
      </c>
      <c r="C227" s="62" t="s">
        <v>100</v>
      </c>
      <c r="D227" s="62" t="s">
        <v>100</v>
      </c>
      <c r="E227" s="62" t="s">
        <v>100</v>
      </c>
      <c r="F227" s="62" t="s">
        <v>100</v>
      </c>
      <c r="G227" s="27">
        <v>5</v>
      </c>
      <c r="H227" s="26">
        <v>6</v>
      </c>
      <c r="I227" s="26">
        <v>7</v>
      </c>
      <c r="J227" s="26">
        <v>10</v>
      </c>
      <c r="K227" s="64" t="s">
        <v>100</v>
      </c>
      <c r="L227" s="64" t="s">
        <v>100</v>
      </c>
      <c r="M227" s="62" t="s">
        <v>100</v>
      </c>
      <c r="N227" s="19"/>
    </row>
    <row r="228" spans="1:14" ht="15" x14ac:dyDescent="0.25">
      <c r="A228" s="155"/>
      <c r="B228" s="63" t="s">
        <v>159</v>
      </c>
      <c r="C228" s="62" t="s">
        <v>100</v>
      </c>
      <c r="D228" s="62" t="s">
        <v>100</v>
      </c>
      <c r="E228" s="62" t="s">
        <v>100</v>
      </c>
      <c r="F228" s="62" t="s">
        <v>100</v>
      </c>
      <c r="G228" s="27">
        <v>10000</v>
      </c>
      <c r="H228" s="26">
        <v>20000</v>
      </c>
      <c r="I228" s="26">
        <v>30000</v>
      </c>
      <c r="J228" s="26">
        <v>50000</v>
      </c>
      <c r="K228" s="64" t="s">
        <v>100</v>
      </c>
      <c r="L228" s="64" t="s">
        <v>100</v>
      </c>
      <c r="M228" s="62" t="s">
        <v>100</v>
      </c>
      <c r="N228" s="19"/>
    </row>
    <row r="229" spans="1:14" ht="15" x14ac:dyDescent="0.25">
      <c r="A229" s="155" t="s">
        <v>148</v>
      </c>
      <c r="B229" s="63" t="s">
        <v>152</v>
      </c>
      <c r="C229" s="62" t="s">
        <v>100</v>
      </c>
      <c r="D229" s="62" t="s">
        <v>100</v>
      </c>
      <c r="E229" s="62" t="s">
        <v>100</v>
      </c>
      <c r="F229" s="62" t="s">
        <v>100</v>
      </c>
      <c r="G229" s="38">
        <v>2</v>
      </c>
      <c r="H229" s="37">
        <v>3</v>
      </c>
      <c r="I229" s="70">
        <v>4</v>
      </c>
      <c r="J229" s="70">
        <v>5</v>
      </c>
      <c r="K229" s="64" t="s">
        <v>100</v>
      </c>
      <c r="L229" s="64" t="s">
        <v>100</v>
      </c>
      <c r="M229" s="62" t="s">
        <v>100</v>
      </c>
      <c r="N229" s="19"/>
    </row>
    <row r="230" spans="1:14" ht="15" x14ac:dyDescent="0.25">
      <c r="A230" s="155"/>
      <c r="B230" s="63" t="s">
        <v>153</v>
      </c>
      <c r="C230" s="62" t="s">
        <v>100</v>
      </c>
      <c r="D230" s="62" t="s">
        <v>100</v>
      </c>
      <c r="E230" s="62" t="s">
        <v>100</v>
      </c>
      <c r="F230" s="64" t="s">
        <v>100</v>
      </c>
      <c r="G230" s="26">
        <v>8</v>
      </c>
      <c r="H230" s="26">
        <v>10</v>
      </c>
      <c r="I230" s="26">
        <v>12</v>
      </c>
      <c r="J230" s="26">
        <v>14</v>
      </c>
      <c r="K230" s="64" t="s">
        <v>100</v>
      </c>
      <c r="L230" s="64" t="s">
        <v>100</v>
      </c>
      <c r="M230" s="62" t="s">
        <v>100</v>
      </c>
      <c r="N230" s="19"/>
    </row>
    <row r="231" spans="1:14" ht="15" x14ac:dyDescent="0.25">
      <c r="A231" s="155"/>
      <c r="B231" s="63" t="s">
        <v>159</v>
      </c>
      <c r="C231" s="62" t="s">
        <v>100</v>
      </c>
      <c r="D231" s="62" t="s">
        <v>100</v>
      </c>
      <c r="E231" s="62" t="s">
        <v>100</v>
      </c>
      <c r="F231" s="62" t="s">
        <v>100</v>
      </c>
      <c r="G231" s="34">
        <v>20000</v>
      </c>
      <c r="H231" s="29">
        <v>30000</v>
      </c>
      <c r="I231" s="29">
        <v>40000</v>
      </c>
      <c r="J231" s="29">
        <v>50000</v>
      </c>
      <c r="K231" s="64" t="s">
        <v>100</v>
      </c>
      <c r="L231" s="64" t="s">
        <v>100</v>
      </c>
      <c r="M231" s="62" t="s">
        <v>100</v>
      </c>
      <c r="N231" s="19"/>
    </row>
    <row r="232" spans="1:14" ht="15" x14ac:dyDescent="0.25">
      <c r="A232" s="155" t="s">
        <v>149</v>
      </c>
      <c r="B232" s="63" t="s">
        <v>152</v>
      </c>
      <c r="C232" s="62" t="s">
        <v>100</v>
      </c>
      <c r="D232" s="62" t="s">
        <v>100</v>
      </c>
      <c r="E232" s="62" t="s">
        <v>100</v>
      </c>
      <c r="F232" s="62" t="s">
        <v>100</v>
      </c>
      <c r="G232" s="62" t="s">
        <v>100</v>
      </c>
      <c r="H232" s="26">
        <v>2</v>
      </c>
      <c r="I232" s="62" t="s">
        <v>100</v>
      </c>
      <c r="J232" s="26">
        <v>3</v>
      </c>
      <c r="K232" s="26">
        <v>4</v>
      </c>
      <c r="L232" s="62" t="s">
        <v>100</v>
      </c>
      <c r="M232" s="62" t="s">
        <v>100</v>
      </c>
      <c r="N232" s="19"/>
    </row>
    <row r="233" spans="1:14" ht="15" x14ac:dyDescent="0.25">
      <c r="A233" s="155"/>
      <c r="B233" s="63" t="s">
        <v>153</v>
      </c>
      <c r="C233" s="62" t="s">
        <v>100</v>
      </c>
      <c r="D233" s="62" t="s">
        <v>100</v>
      </c>
      <c r="E233" s="62" t="s">
        <v>100</v>
      </c>
      <c r="F233" s="62" t="s">
        <v>100</v>
      </c>
      <c r="G233" s="62" t="s">
        <v>100</v>
      </c>
      <c r="H233" s="26">
        <v>10</v>
      </c>
      <c r="I233" s="62" t="s">
        <v>100</v>
      </c>
      <c r="J233" s="26">
        <v>12</v>
      </c>
      <c r="K233" s="26">
        <v>14</v>
      </c>
      <c r="L233" s="62" t="s">
        <v>100</v>
      </c>
      <c r="M233" s="62" t="s">
        <v>100</v>
      </c>
      <c r="N233" s="19"/>
    </row>
    <row r="234" spans="1:14" ht="15" x14ac:dyDescent="0.25">
      <c r="A234" s="155"/>
      <c r="B234" s="63" t="s">
        <v>159</v>
      </c>
      <c r="C234" s="62" t="s">
        <v>100</v>
      </c>
      <c r="D234" s="62" t="s">
        <v>100</v>
      </c>
      <c r="E234" s="62" t="s">
        <v>100</v>
      </c>
      <c r="F234" s="62" t="s">
        <v>100</v>
      </c>
      <c r="G234" s="62" t="s">
        <v>100</v>
      </c>
      <c r="H234" s="26">
        <v>50000</v>
      </c>
      <c r="I234" s="62" t="s">
        <v>100</v>
      </c>
      <c r="J234" s="26">
        <v>60000</v>
      </c>
      <c r="K234" s="26">
        <v>70000</v>
      </c>
      <c r="L234" s="62" t="s">
        <v>100</v>
      </c>
      <c r="M234" s="62" t="s">
        <v>100</v>
      </c>
      <c r="N234" s="19"/>
    </row>
    <row r="235" spans="1:14" ht="15" x14ac:dyDescent="0.25">
      <c r="A235" s="155" t="s">
        <v>150</v>
      </c>
      <c r="B235" s="63" t="s">
        <v>152</v>
      </c>
      <c r="C235" s="62" t="s">
        <v>100</v>
      </c>
      <c r="D235" s="62" t="s">
        <v>100</v>
      </c>
      <c r="E235" s="62" t="s">
        <v>100</v>
      </c>
      <c r="F235" s="62" t="s">
        <v>100</v>
      </c>
      <c r="G235" s="62" t="s">
        <v>100</v>
      </c>
      <c r="H235" s="26">
        <v>2</v>
      </c>
      <c r="I235" s="62" t="s">
        <v>100</v>
      </c>
      <c r="J235" s="26">
        <v>3</v>
      </c>
      <c r="K235" s="26">
        <v>4</v>
      </c>
      <c r="L235" s="26">
        <v>5</v>
      </c>
      <c r="M235" s="62" t="s">
        <v>100</v>
      </c>
      <c r="N235" s="19"/>
    </row>
    <row r="236" spans="1:14" ht="15" x14ac:dyDescent="0.25">
      <c r="A236" s="155"/>
      <c r="B236" s="63" t="s">
        <v>153</v>
      </c>
      <c r="C236" s="62" t="s">
        <v>100</v>
      </c>
      <c r="D236" s="62" t="s">
        <v>100</v>
      </c>
      <c r="E236" s="62" t="s">
        <v>100</v>
      </c>
      <c r="F236" s="62" t="s">
        <v>100</v>
      </c>
      <c r="G236" s="62" t="s">
        <v>100</v>
      </c>
      <c r="H236" s="26">
        <v>10</v>
      </c>
      <c r="I236" s="62" t="s">
        <v>100</v>
      </c>
      <c r="J236" s="26">
        <v>12</v>
      </c>
      <c r="K236" s="26">
        <v>14</v>
      </c>
      <c r="L236" s="26">
        <v>14</v>
      </c>
      <c r="M236" s="62" t="s">
        <v>100</v>
      </c>
      <c r="N236" s="19"/>
    </row>
    <row r="237" spans="1:14" ht="15" x14ac:dyDescent="0.25">
      <c r="A237" s="155"/>
      <c r="B237" s="63" t="s">
        <v>159</v>
      </c>
      <c r="C237" s="62" t="s">
        <v>100</v>
      </c>
      <c r="D237" s="62" t="s">
        <v>100</v>
      </c>
      <c r="E237" s="62" t="s">
        <v>100</v>
      </c>
      <c r="F237" s="62" t="s">
        <v>100</v>
      </c>
      <c r="G237" s="62" t="s">
        <v>100</v>
      </c>
      <c r="H237" s="26">
        <v>60000</v>
      </c>
      <c r="I237" s="62" t="s">
        <v>100</v>
      </c>
      <c r="J237" s="26">
        <v>70000</v>
      </c>
      <c r="K237" s="26">
        <v>80000</v>
      </c>
      <c r="L237" s="26">
        <v>90000</v>
      </c>
      <c r="M237" s="62" t="s">
        <v>100</v>
      </c>
      <c r="N237" s="19"/>
    </row>
    <row r="238" spans="1:14" x14ac:dyDescent="0.15"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4" ht="15" x14ac:dyDescent="0.25">
      <c r="A239" s="156" t="s">
        <v>160</v>
      </c>
      <c r="B239" s="156"/>
      <c r="C239" s="19"/>
      <c r="J239" s="4"/>
      <c r="K239" s="4"/>
      <c r="L239" s="4"/>
    </row>
    <row r="240" spans="1:14" ht="15" x14ac:dyDescent="0.25">
      <c r="A240" s="152" t="s">
        <v>98</v>
      </c>
      <c r="B240" s="152"/>
      <c r="C240" s="61">
        <v>1</v>
      </c>
      <c r="D240" s="37">
        <v>2</v>
      </c>
      <c r="E240" s="37">
        <v>3</v>
      </c>
      <c r="F240" s="37">
        <v>4</v>
      </c>
    </row>
    <row r="241" spans="1:43" ht="15" x14ac:dyDescent="0.25">
      <c r="A241" s="152" t="s">
        <v>99</v>
      </c>
      <c r="B241" s="152"/>
      <c r="C241" s="60">
        <v>1</v>
      </c>
      <c r="D241" s="60">
        <v>2</v>
      </c>
      <c r="E241" s="60">
        <v>4</v>
      </c>
      <c r="F241" s="60">
        <v>5</v>
      </c>
    </row>
    <row r="242" spans="1:43" ht="15" x14ac:dyDescent="0.25">
      <c r="A242" s="77"/>
      <c r="B242" s="77"/>
      <c r="C242" s="60">
        <f>24*SUM($C$241:C241)</f>
        <v>24</v>
      </c>
      <c r="D242" s="60">
        <f>24*SUM($C$241:D241)</f>
        <v>72</v>
      </c>
      <c r="E242" s="60">
        <f>24*SUM($C$241:E241)</f>
        <v>168</v>
      </c>
      <c r="F242" s="60">
        <f>24*SUM($C$241:F241)</f>
        <v>288</v>
      </c>
    </row>
    <row r="243" spans="1:43" ht="15" x14ac:dyDescent="0.25">
      <c r="A243" s="152" t="s">
        <v>106</v>
      </c>
      <c r="B243" s="152"/>
      <c r="C243" s="56">
        <v>200000</v>
      </c>
      <c r="D243" s="26">
        <v>400000</v>
      </c>
      <c r="E243" s="26">
        <v>800000</v>
      </c>
      <c r="F243" s="26">
        <v>1600000</v>
      </c>
    </row>
    <row r="244" spans="1:43" ht="15" x14ac:dyDescent="0.25">
      <c r="A244" s="152" t="s">
        <v>102</v>
      </c>
      <c r="B244" s="152"/>
      <c r="C244" s="56">
        <v>293</v>
      </c>
      <c r="D244" s="26">
        <v>415</v>
      </c>
      <c r="E244" s="26">
        <v>587</v>
      </c>
      <c r="F244" s="26">
        <v>657</v>
      </c>
    </row>
    <row r="245" spans="1:43" ht="15" x14ac:dyDescent="0.25">
      <c r="A245" s="152" t="s">
        <v>103</v>
      </c>
      <c r="B245" s="152"/>
      <c r="C245" s="43">
        <v>200</v>
      </c>
      <c r="D245" s="26">
        <v>300</v>
      </c>
      <c r="E245" s="26">
        <v>400</v>
      </c>
      <c r="F245" s="26">
        <v>500</v>
      </c>
    </row>
    <row r="246" spans="1:43" ht="15" x14ac:dyDescent="0.25">
      <c r="A246" s="152" t="s">
        <v>135</v>
      </c>
      <c r="B246" s="152"/>
      <c r="C246" s="56" t="s">
        <v>155</v>
      </c>
      <c r="D246" s="26" t="s">
        <v>156</v>
      </c>
      <c r="E246" s="26" t="s">
        <v>157</v>
      </c>
      <c r="F246" s="26" t="s">
        <v>158</v>
      </c>
    </row>
    <row r="248" spans="1:43" ht="15" x14ac:dyDescent="0.25">
      <c r="A248" s="156" t="s">
        <v>161</v>
      </c>
      <c r="B248" s="156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3" ht="15" x14ac:dyDescent="0.25">
      <c r="A249" s="152" t="s">
        <v>98</v>
      </c>
      <c r="B249" s="153"/>
      <c r="C249" s="26">
        <v>1</v>
      </c>
      <c r="D249" s="26">
        <v>2</v>
      </c>
      <c r="E249" s="26">
        <v>3</v>
      </c>
      <c r="F249" s="26">
        <v>4</v>
      </c>
      <c r="G249" s="26">
        <v>5</v>
      </c>
      <c r="H249" s="26">
        <v>6</v>
      </c>
      <c r="I249" s="26">
        <v>7</v>
      </c>
      <c r="J249" s="26">
        <v>8</v>
      </c>
      <c r="K249" s="26">
        <v>9</v>
      </c>
      <c r="L249" s="26">
        <v>10</v>
      </c>
      <c r="M249" s="26">
        <v>11</v>
      </c>
      <c r="N249" s="26">
        <v>12</v>
      </c>
      <c r="O249" s="26">
        <v>13</v>
      </c>
      <c r="P249" s="26">
        <v>14</v>
      </c>
      <c r="Q249" s="26">
        <v>15</v>
      </c>
      <c r="R249" s="26">
        <v>16</v>
      </c>
      <c r="S249" s="26">
        <v>17</v>
      </c>
      <c r="T249" s="26">
        <v>18</v>
      </c>
      <c r="U249" s="26">
        <v>19</v>
      </c>
      <c r="V249" s="26">
        <v>20</v>
      </c>
      <c r="W249" s="26">
        <v>21</v>
      </c>
      <c r="X249" s="26">
        <v>22</v>
      </c>
      <c r="Y249" s="26">
        <v>23</v>
      </c>
      <c r="Z249" s="26">
        <v>24</v>
      </c>
      <c r="AA249" s="26">
        <v>25</v>
      </c>
      <c r="AB249" s="26">
        <v>26</v>
      </c>
      <c r="AC249" s="26">
        <v>27</v>
      </c>
      <c r="AD249" s="26">
        <v>28</v>
      </c>
      <c r="AE249" s="26">
        <v>29</v>
      </c>
      <c r="AF249" s="26">
        <v>30</v>
      </c>
      <c r="AG249" s="26">
        <v>31</v>
      </c>
      <c r="AH249" s="26">
        <v>32</v>
      </c>
      <c r="AI249" s="26">
        <v>33</v>
      </c>
      <c r="AJ249" s="26">
        <v>34</v>
      </c>
      <c r="AK249" s="26">
        <v>35</v>
      </c>
      <c r="AL249" s="26">
        <v>36</v>
      </c>
      <c r="AM249" s="26">
        <v>37</v>
      </c>
      <c r="AN249" s="26">
        <v>38</v>
      </c>
      <c r="AO249" s="26">
        <v>39</v>
      </c>
      <c r="AP249" s="26">
        <v>40</v>
      </c>
      <c r="AQ249" s="19"/>
    </row>
    <row r="250" spans="1:43" ht="15" x14ac:dyDescent="0.25">
      <c r="A250" s="152" t="s">
        <v>99</v>
      </c>
      <c r="B250" s="153"/>
      <c r="C250" s="26">
        <v>0</v>
      </c>
      <c r="D250" s="24">
        <v>0.5</v>
      </c>
      <c r="E250" s="26">
        <v>1</v>
      </c>
      <c r="F250" s="26">
        <v>1.5</v>
      </c>
      <c r="G250" s="26">
        <v>2</v>
      </c>
      <c r="H250" s="26">
        <v>2.5</v>
      </c>
      <c r="I250" s="26">
        <v>3</v>
      </c>
      <c r="J250" s="26">
        <v>3.5</v>
      </c>
      <c r="K250" s="26">
        <v>4</v>
      </c>
      <c r="L250" s="26">
        <v>4.5</v>
      </c>
      <c r="M250" s="26">
        <v>5</v>
      </c>
      <c r="N250" s="26">
        <v>5.5</v>
      </c>
      <c r="O250" s="26">
        <v>6</v>
      </c>
      <c r="P250" s="26">
        <v>6.5</v>
      </c>
      <c r="Q250" s="26">
        <v>7</v>
      </c>
      <c r="R250" s="26">
        <v>7</v>
      </c>
      <c r="S250" s="26">
        <v>7</v>
      </c>
      <c r="T250" s="26">
        <v>7</v>
      </c>
      <c r="U250" s="26">
        <v>7</v>
      </c>
      <c r="V250" s="26">
        <v>7</v>
      </c>
      <c r="W250" s="26">
        <v>7</v>
      </c>
      <c r="X250" s="26">
        <v>7</v>
      </c>
      <c r="Y250" s="26">
        <v>7</v>
      </c>
      <c r="Z250" s="26">
        <v>7</v>
      </c>
      <c r="AA250" s="26">
        <v>7</v>
      </c>
      <c r="AB250" s="26">
        <v>7</v>
      </c>
      <c r="AC250" s="26">
        <v>7</v>
      </c>
      <c r="AD250" s="26">
        <v>7</v>
      </c>
      <c r="AE250" s="26">
        <v>7</v>
      </c>
      <c r="AF250" s="26">
        <v>7</v>
      </c>
      <c r="AG250" s="26">
        <v>7</v>
      </c>
      <c r="AH250" s="26">
        <v>7</v>
      </c>
      <c r="AI250" s="26">
        <v>7</v>
      </c>
      <c r="AJ250" s="26">
        <v>7</v>
      </c>
      <c r="AK250" s="26">
        <v>7</v>
      </c>
      <c r="AL250" s="26">
        <v>7</v>
      </c>
      <c r="AM250" s="26">
        <v>7</v>
      </c>
      <c r="AN250" s="26">
        <v>7</v>
      </c>
      <c r="AO250" s="26">
        <v>7</v>
      </c>
      <c r="AP250" s="26">
        <v>7</v>
      </c>
      <c r="AQ250" s="19"/>
    </row>
    <row r="251" spans="1:43" ht="15" x14ac:dyDescent="0.25">
      <c r="A251" s="152" t="s">
        <v>159</v>
      </c>
      <c r="B251" s="153"/>
      <c r="C251" s="26">
        <v>10000</v>
      </c>
      <c r="D251" s="26">
        <v>12500</v>
      </c>
      <c r="E251" s="26">
        <v>15000</v>
      </c>
      <c r="F251" s="26">
        <v>17500</v>
      </c>
      <c r="G251" s="26">
        <v>20000</v>
      </c>
      <c r="H251" s="26">
        <v>22500</v>
      </c>
      <c r="I251" s="26">
        <v>25000</v>
      </c>
      <c r="J251" s="26">
        <v>30000</v>
      </c>
      <c r="K251" s="26">
        <v>35000</v>
      </c>
      <c r="L251" s="26">
        <v>40000</v>
      </c>
      <c r="M251" s="26">
        <v>45000</v>
      </c>
      <c r="N251" s="26">
        <v>50000</v>
      </c>
      <c r="O251" s="26">
        <v>55000</v>
      </c>
      <c r="P251" s="26">
        <v>60000</v>
      </c>
      <c r="Q251" s="26">
        <v>65000</v>
      </c>
      <c r="R251" s="26">
        <v>70000</v>
      </c>
      <c r="S251" s="26">
        <v>75000</v>
      </c>
      <c r="T251" s="26">
        <v>80000</v>
      </c>
      <c r="U251" s="26">
        <v>85000</v>
      </c>
      <c r="V251" s="26">
        <v>90000</v>
      </c>
      <c r="W251" s="26">
        <v>95000</v>
      </c>
      <c r="X251" s="26">
        <v>100000</v>
      </c>
      <c r="Y251" s="26">
        <v>105000</v>
      </c>
      <c r="Z251" s="26">
        <v>110000</v>
      </c>
      <c r="AA251" s="26">
        <v>115000</v>
      </c>
      <c r="AB251" s="26">
        <v>120000</v>
      </c>
      <c r="AC251" s="26">
        <v>125000</v>
      </c>
      <c r="AD251" s="26">
        <v>130000</v>
      </c>
      <c r="AE251" s="26">
        <v>135000</v>
      </c>
      <c r="AF251" s="26">
        <v>140000</v>
      </c>
      <c r="AG251" s="26">
        <v>145000</v>
      </c>
      <c r="AH251" s="26">
        <v>150000</v>
      </c>
      <c r="AI251" s="26">
        <v>155000</v>
      </c>
      <c r="AJ251" s="26">
        <v>160000</v>
      </c>
      <c r="AK251" s="26">
        <v>165000</v>
      </c>
      <c r="AL251" s="26">
        <v>170000</v>
      </c>
      <c r="AM251" s="26">
        <v>175000</v>
      </c>
      <c r="AN251" s="26">
        <v>180000</v>
      </c>
      <c r="AO251" s="26">
        <v>185000</v>
      </c>
      <c r="AP251" s="26">
        <v>190000</v>
      </c>
      <c r="AQ251" s="19"/>
    </row>
    <row r="252" spans="1:43" ht="15" x14ac:dyDescent="0.25">
      <c r="A252" s="153" t="s">
        <v>103</v>
      </c>
      <c r="B252" s="154"/>
      <c r="C252" s="26">
        <v>1500</v>
      </c>
      <c r="D252" s="26">
        <v>1560</v>
      </c>
      <c r="E252" s="26">
        <v>1622</v>
      </c>
      <c r="F252" s="26">
        <v>1687</v>
      </c>
      <c r="G252" s="26">
        <v>1755</v>
      </c>
      <c r="H252" s="26">
        <v>1825</v>
      </c>
      <c r="I252" s="26">
        <v>1898</v>
      </c>
      <c r="J252" s="26">
        <v>1974</v>
      </c>
      <c r="K252" s="26">
        <v>2053</v>
      </c>
      <c r="L252" s="26">
        <v>2135</v>
      </c>
      <c r="M252" s="26">
        <v>2220</v>
      </c>
      <c r="N252" s="26">
        <v>2309</v>
      </c>
      <c r="O252" s="26">
        <v>2402</v>
      </c>
      <c r="P252" s="26">
        <v>2498</v>
      </c>
      <c r="Q252" s="26">
        <v>2598</v>
      </c>
      <c r="R252" s="26">
        <v>2701</v>
      </c>
      <c r="S252" s="26">
        <v>2809</v>
      </c>
      <c r="T252" s="26">
        <v>2922</v>
      </c>
      <c r="U252" s="26">
        <v>3039</v>
      </c>
      <c r="V252" s="26">
        <v>3160</v>
      </c>
      <c r="W252" s="26">
        <v>3287</v>
      </c>
      <c r="X252" s="26">
        <v>3418</v>
      </c>
      <c r="Y252" s="26">
        <v>3555</v>
      </c>
      <c r="Z252" s="26">
        <v>3697</v>
      </c>
      <c r="AA252" s="26">
        <v>3845</v>
      </c>
      <c r="AB252" s="26">
        <v>3999</v>
      </c>
      <c r="AC252" s="26">
        <v>4159</v>
      </c>
      <c r="AD252" s="26">
        <v>4325</v>
      </c>
      <c r="AE252" s="26">
        <v>4498</v>
      </c>
      <c r="AF252" s="26">
        <v>4678</v>
      </c>
      <c r="AG252" s="26">
        <v>4772</v>
      </c>
      <c r="AH252" s="26">
        <v>4867</v>
      </c>
      <c r="AI252" s="26">
        <v>4964</v>
      </c>
      <c r="AJ252" s="26">
        <v>5063</v>
      </c>
      <c r="AK252" s="26">
        <v>5164</v>
      </c>
      <c r="AL252" s="26">
        <v>5267</v>
      </c>
      <c r="AM252" s="26">
        <v>5372</v>
      </c>
      <c r="AN252" s="26">
        <v>5479</v>
      </c>
      <c r="AO252" s="26">
        <v>5589</v>
      </c>
      <c r="AP252" s="26">
        <v>5701</v>
      </c>
      <c r="AQ252" s="19"/>
    </row>
    <row r="253" spans="1:43" ht="15" x14ac:dyDescent="0.25">
      <c r="A253" s="152" t="s">
        <v>162</v>
      </c>
      <c r="B253" s="153"/>
      <c r="C253" s="26">
        <v>180</v>
      </c>
      <c r="D253" s="26">
        <v>187</v>
      </c>
      <c r="E253" s="26">
        <v>194</v>
      </c>
      <c r="F253" s="26">
        <v>203</v>
      </c>
      <c r="G253" s="26">
        <v>210</v>
      </c>
      <c r="H253" s="26">
        <v>218</v>
      </c>
      <c r="I253" s="26">
        <v>228</v>
      </c>
      <c r="J253" s="26">
        <v>236</v>
      </c>
      <c r="K253" s="26">
        <v>246</v>
      </c>
      <c r="L253" s="26">
        <v>255</v>
      </c>
      <c r="M253" s="26">
        <v>266</v>
      </c>
      <c r="N253" s="26">
        <v>277</v>
      </c>
      <c r="O253" s="26">
        <v>288</v>
      </c>
      <c r="P253" s="26">
        <v>300</v>
      </c>
      <c r="Q253" s="26">
        <v>312</v>
      </c>
      <c r="R253" s="26">
        <v>324</v>
      </c>
      <c r="S253" s="26">
        <v>337</v>
      </c>
      <c r="T253" s="26">
        <v>350</v>
      </c>
      <c r="U253" s="26">
        <v>365</v>
      </c>
      <c r="V253" s="26">
        <v>379</v>
      </c>
      <c r="W253" s="26">
        <v>395</v>
      </c>
      <c r="X253" s="26">
        <v>410</v>
      </c>
      <c r="Y253" s="26">
        <v>426</v>
      </c>
      <c r="Z253" s="26">
        <v>444</v>
      </c>
      <c r="AA253" s="26">
        <v>461</v>
      </c>
      <c r="AB253" s="26">
        <v>480</v>
      </c>
      <c r="AC253" s="26">
        <v>499</v>
      </c>
      <c r="AD253" s="26">
        <v>519</v>
      </c>
      <c r="AE253" s="26">
        <v>540</v>
      </c>
      <c r="AF253" s="26">
        <v>562</v>
      </c>
      <c r="AG253" s="26">
        <v>572</v>
      </c>
      <c r="AH253" s="26">
        <v>584</v>
      </c>
      <c r="AI253" s="26">
        <v>596</v>
      </c>
      <c r="AJ253" s="26">
        <v>608</v>
      </c>
      <c r="AK253" s="26">
        <v>620</v>
      </c>
      <c r="AL253" s="26">
        <v>632</v>
      </c>
      <c r="AM253" s="26">
        <v>646</v>
      </c>
      <c r="AN253" s="26">
        <v>659</v>
      </c>
      <c r="AO253" s="26">
        <v>672</v>
      </c>
      <c r="AP253" s="26">
        <v>685</v>
      </c>
      <c r="AQ253" s="19"/>
    </row>
    <row r="254" spans="1:43" ht="15" x14ac:dyDescent="0.25">
      <c r="A254" s="152" t="s">
        <v>163</v>
      </c>
      <c r="B254" s="153"/>
      <c r="C254" s="24">
        <v>4.1666666666666664E-2</v>
      </c>
      <c r="D254" s="24">
        <v>4.4444444444444446E-2</v>
      </c>
      <c r="E254" s="24">
        <v>4.72222222222222E-2</v>
      </c>
      <c r="F254" s="24">
        <v>0.05</v>
      </c>
      <c r="G254" s="24">
        <v>5.2777777777777798E-2</v>
      </c>
      <c r="H254" s="24">
        <v>5.5555555555555601E-2</v>
      </c>
      <c r="I254" s="24">
        <v>5.8333333333333397E-2</v>
      </c>
      <c r="J254" s="24">
        <v>6.1111111111111199E-2</v>
      </c>
      <c r="K254" s="24">
        <v>6.3888888888888995E-2</v>
      </c>
      <c r="L254" s="24">
        <v>6.6666666666666693E-2</v>
      </c>
      <c r="M254" s="24">
        <v>6.9444444444444503E-2</v>
      </c>
      <c r="N254" s="24">
        <v>7.2222222222222299E-2</v>
      </c>
      <c r="O254" s="24">
        <v>7.5000000000000094E-2</v>
      </c>
      <c r="P254" s="24">
        <v>7.7777777777777904E-2</v>
      </c>
      <c r="Q254" s="24">
        <v>8.0555555555555602E-2</v>
      </c>
      <c r="R254" s="24">
        <v>8.3333333333333398E-2</v>
      </c>
      <c r="S254" s="24">
        <v>8.6111111111111194E-2</v>
      </c>
      <c r="T254" s="24">
        <v>8.8888888888889003E-2</v>
      </c>
      <c r="U254" s="24">
        <v>9.1666666666666799E-2</v>
      </c>
      <c r="V254" s="24">
        <v>9.4444444444444595E-2</v>
      </c>
      <c r="W254" s="24">
        <v>9.7222222222222293E-2</v>
      </c>
      <c r="X254" s="24">
        <v>0.1</v>
      </c>
      <c r="Y254" s="24">
        <v>0.102777777777778</v>
      </c>
      <c r="Z254" s="24">
        <v>0.105555555555556</v>
      </c>
      <c r="AA254" s="24">
        <v>0.108333333333333</v>
      </c>
      <c r="AB254" s="24">
        <v>0.11111111111111099</v>
      </c>
      <c r="AC254" s="24">
        <v>0.113888888888889</v>
      </c>
      <c r="AD254" s="24">
        <v>0.116666666666667</v>
      </c>
      <c r="AE254" s="24">
        <v>0.11944444444444501</v>
      </c>
      <c r="AF254" s="24">
        <v>0.122222222222222</v>
      </c>
      <c r="AG254" s="24">
        <v>0.125</v>
      </c>
      <c r="AH254" s="24">
        <v>0.125</v>
      </c>
      <c r="AI254" s="24">
        <v>0.125</v>
      </c>
      <c r="AJ254" s="24">
        <v>0.125</v>
      </c>
      <c r="AK254" s="24">
        <v>0.125</v>
      </c>
      <c r="AL254" s="24">
        <v>0.125</v>
      </c>
      <c r="AM254" s="24">
        <v>0.125</v>
      </c>
      <c r="AN254" s="24">
        <v>0.125</v>
      </c>
      <c r="AO254" s="24">
        <v>0.125</v>
      </c>
      <c r="AP254" s="24">
        <v>0.125</v>
      </c>
      <c r="AQ254" s="19"/>
    </row>
    <row r="255" spans="1:43" x14ac:dyDescent="0.15"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 spans="1:43" ht="15" x14ac:dyDescent="0.25">
      <c r="A256" s="156" t="s">
        <v>164</v>
      </c>
      <c r="B256" s="156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3" ht="15" x14ac:dyDescent="0.25">
      <c r="A257" s="152" t="s">
        <v>98</v>
      </c>
      <c r="B257" s="153"/>
      <c r="C257" s="26">
        <v>1</v>
      </c>
      <c r="D257" s="26">
        <v>2</v>
      </c>
      <c r="E257" s="26">
        <v>3</v>
      </c>
      <c r="F257" s="26">
        <v>4</v>
      </c>
      <c r="G257" s="26">
        <v>5</v>
      </c>
      <c r="H257" s="26">
        <v>6</v>
      </c>
      <c r="I257" s="26">
        <v>7</v>
      </c>
      <c r="J257" s="26">
        <v>8</v>
      </c>
      <c r="K257" s="26">
        <v>9</v>
      </c>
      <c r="L257" s="26">
        <v>10</v>
      </c>
      <c r="M257" s="26">
        <v>11</v>
      </c>
      <c r="N257" s="26">
        <v>12</v>
      </c>
      <c r="O257" s="26">
        <v>13</v>
      </c>
      <c r="P257" s="26">
        <v>14</v>
      </c>
      <c r="Q257" s="26">
        <v>15</v>
      </c>
      <c r="R257" s="26">
        <v>16</v>
      </c>
      <c r="S257" s="26">
        <v>17</v>
      </c>
      <c r="T257" s="26">
        <v>18</v>
      </c>
      <c r="U257" s="26">
        <v>19</v>
      </c>
      <c r="V257" s="26">
        <v>20</v>
      </c>
      <c r="W257" s="26">
        <v>21</v>
      </c>
      <c r="X257" s="26">
        <v>22</v>
      </c>
      <c r="Y257" s="26">
        <v>23</v>
      </c>
      <c r="Z257" s="26">
        <v>24</v>
      </c>
      <c r="AA257" s="26">
        <v>25</v>
      </c>
      <c r="AB257" s="26">
        <v>26</v>
      </c>
      <c r="AC257" s="26">
        <v>27</v>
      </c>
      <c r="AD257" s="26">
        <v>28</v>
      </c>
      <c r="AE257" s="26">
        <v>29</v>
      </c>
      <c r="AF257" s="26">
        <v>30</v>
      </c>
      <c r="AG257" s="26">
        <v>31</v>
      </c>
      <c r="AH257" s="26">
        <v>32</v>
      </c>
      <c r="AI257" s="26">
        <v>33</v>
      </c>
      <c r="AJ257" s="26">
        <v>34</v>
      </c>
      <c r="AK257" s="26">
        <v>35</v>
      </c>
      <c r="AL257" s="26">
        <v>36</v>
      </c>
      <c r="AM257" s="26">
        <v>37</v>
      </c>
      <c r="AN257" s="26">
        <v>38</v>
      </c>
      <c r="AO257" s="26">
        <v>39</v>
      </c>
      <c r="AP257" s="26">
        <v>40</v>
      </c>
      <c r="AQ257" s="19"/>
    </row>
    <row r="258" spans="1:43" ht="15" x14ac:dyDescent="0.25">
      <c r="A258" s="152" t="s">
        <v>99</v>
      </c>
      <c r="B258" s="153"/>
      <c r="C258" s="26">
        <v>0</v>
      </c>
      <c r="D258" s="24">
        <v>0.5</v>
      </c>
      <c r="E258" s="26">
        <v>1</v>
      </c>
      <c r="F258" s="26">
        <v>1.5</v>
      </c>
      <c r="G258" s="26">
        <v>2</v>
      </c>
      <c r="H258" s="26">
        <v>2.5</v>
      </c>
      <c r="I258" s="26">
        <v>3</v>
      </c>
      <c r="J258" s="26">
        <v>3.5</v>
      </c>
      <c r="K258" s="26">
        <v>4</v>
      </c>
      <c r="L258" s="26">
        <v>4.5</v>
      </c>
      <c r="M258" s="26">
        <v>5</v>
      </c>
      <c r="N258" s="26">
        <v>5.5</v>
      </c>
      <c r="O258" s="26">
        <v>6</v>
      </c>
      <c r="P258" s="26">
        <v>6.5</v>
      </c>
      <c r="Q258" s="26">
        <v>7</v>
      </c>
      <c r="R258" s="26">
        <v>7</v>
      </c>
      <c r="S258" s="26">
        <v>7</v>
      </c>
      <c r="T258" s="26">
        <v>7</v>
      </c>
      <c r="U258" s="26">
        <v>7</v>
      </c>
      <c r="V258" s="26">
        <v>7</v>
      </c>
      <c r="W258" s="26">
        <v>7</v>
      </c>
      <c r="X258" s="26">
        <v>7</v>
      </c>
      <c r="Y258" s="26">
        <v>7</v>
      </c>
      <c r="Z258" s="26">
        <v>7</v>
      </c>
      <c r="AA258" s="26">
        <v>7</v>
      </c>
      <c r="AB258" s="26">
        <v>7</v>
      </c>
      <c r="AC258" s="26">
        <v>7</v>
      </c>
      <c r="AD258" s="26">
        <v>7</v>
      </c>
      <c r="AE258" s="26">
        <v>7</v>
      </c>
      <c r="AF258" s="26">
        <v>7</v>
      </c>
      <c r="AG258" s="26">
        <v>7</v>
      </c>
      <c r="AH258" s="26">
        <v>7</v>
      </c>
      <c r="AI258" s="26">
        <v>7</v>
      </c>
      <c r="AJ258" s="26">
        <v>7</v>
      </c>
      <c r="AK258" s="26">
        <v>7</v>
      </c>
      <c r="AL258" s="26">
        <v>7</v>
      </c>
      <c r="AM258" s="26">
        <v>7</v>
      </c>
      <c r="AN258" s="26">
        <v>7</v>
      </c>
      <c r="AO258" s="26">
        <v>7</v>
      </c>
      <c r="AP258" s="26">
        <v>7</v>
      </c>
      <c r="AQ258" s="19"/>
    </row>
    <row r="259" spans="1:43" ht="15" x14ac:dyDescent="0.25">
      <c r="A259" s="152" t="s">
        <v>159</v>
      </c>
      <c r="B259" s="153"/>
      <c r="C259" s="26">
        <v>20000</v>
      </c>
      <c r="D259" s="26">
        <v>22500</v>
      </c>
      <c r="E259" s="26">
        <v>25000</v>
      </c>
      <c r="F259" s="26">
        <v>27500</v>
      </c>
      <c r="G259" s="26">
        <v>30000</v>
      </c>
      <c r="H259" s="26">
        <v>32500</v>
      </c>
      <c r="I259" s="26">
        <v>35000</v>
      </c>
      <c r="J259" s="26">
        <v>37500</v>
      </c>
      <c r="K259" s="26">
        <v>40000</v>
      </c>
      <c r="L259" s="26">
        <v>45000</v>
      </c>
      <c r="M259" s="26">
        <v>50000</v>
      </c>
      <c r="N259" s="26">
        <v>55000</v>
      </c>
      <c r="O259" s="26">
        <v>60000</v>
      </c>
      <c r="P259" s="26">
        <v>65000</v>
      </c>
      <c r="Q259" s="26">
        <v>70000</v>
      </c>
      <c r="R259" s="26">
        <v>75000</v>
      </c>
      <c r="S259" s="26">
        <v>80000</v>
      </c>
      <c r="T259" s="26">
        <v>90000</v>
      </c>
      <c r="U259" s="26">
        <v>95000</v>
      </c>
      <c r="V259" s="26">
        <v>100000</v>
      </c>
      <c r="W259" s="26">
        <v>105000</v>
      </c>
      <c r="X259" s="26">
        <v>110000</v>
      </c>
      <c r="Y259" s="26">
        <v>115000</v>
      </c>
      <c r="Z259" s="26">
        <v>120000</v>
      </c>
      <c r="AA259" s="26">
        <v>125000</v>
      </c>
      <c r="AB259" s="26">
        <v>130000</v>
      </c>
      <c r="AC259" s="26">
        <v>135000</v>
      </c>
      <c r="AD259" s="26">
        <v>140000</v>
      </c>
      <c r="AE259" s="26">
        <v>145000</v>
      </c>
      <c r="AF259" s="26">
        <v>150000</v>
      </c>
      <c r="AG259" s="26">
        <v>155000</v>
      </c>
      <c r="AH259" s="26">
        <v>160000</v>
      </c>
      <c r="AI259" s="26">
        <v>165000</v>
      </c>
      <c r="AJ259" s="26">
        <v>170000</v>
      </c>
      <c r="AK259" s="26">
        <v>175000</v>
      </c>
      <c r="AL259" s="26">
        <v>180000</v>
      </c>
      <c r="AM259" s="26">
        <v>185000</v>
      </c>
      <c r="AN259" s="26">
        <v>190000</v>
      </c>
      <c r="AO259" s="26">
        <v>195000</v>
      </c>
      <c r="AP259" s="26">
        <v>200000</v>
      </c>
      <c r="AQ259" s="19"/>
    </row>
    <row r="260" spans="1:43" ht="15" x14ac:dyDescent="0.25">
      <c r="A260" s="153" t="s">
        <v>103</v>
      </c>
      <c r="B260" s="154"/>
      <c r="C260" s="26">
        <v>675</v>
      </c>
      <c r="D260" s="26">
        <v>702</v>
      </c>
      <c r="E260" s="26">
        <v>730</v>
      </c>
      <c r="F260" s="26">
        <v>759</v>
      </c>
      <c r="G260" s="26">
        <v>790</v>
      </c>
      <c r="H260" s="26">
        <v>821</v>
      </c>
      <c r="I260" s="26">
        <v>854</v>
      </c>
      <c r="J260" s="26">
        <v>888</v>
      </c>
      <c r="K260" s="26">
        <v>924</v>
      </c>
      <c r="L260" s="26">
        <v>961</v>
      </c>
      <c r="M260" s="26">
        <v>999</v>
      </c>
      <c r="N260" s="26">
        <v>1039</v>
      </c>
      <c r="O260" s="26">
        <v>1081</v>
      </c>
      <c r="P260" s="26">
        <v>1124</v>
      </c>
      <c r="Q260" s="26">
        <v>1169</v>
      </c>
      <c r="R260" s="26">
        <v>1215</v>
      </c>
      <c r="S260" s="26">
        <v>1264</v>
      </c>
      <c r="T260" s="26">
        <v>1315</v>
      </c>
      <c r="U260" s="26">
        <v>1368</v>
      </c>
      <c r="V260" s="26">
        <v>1422</v>
      </c>
      <c r="W260" s="26">
        <v>1479</v>
      </c>
      <c r="X260" s="26">
        <v>1538</v>
      </c>
      <c r="Y260" s="26">
        <v>1600</v>
      </c>
      <c r="Z260" s="26">
        <v>1664</v>
      </c>
      <c r="AA260" s="26">
        <v>1730</v>
      </c>
      <c r="AB260" s="26">
        <v>1800</v>
      </c>
      <c r="AC260" s="26">
        <v>1872</v>
      </c>
      <c r="AD260" s="26">
        <v>1946</v>
      </c>
      <c r="AE260" s="26">
        <v>2024</v>
      </c>
      <c r="AF260" s="26">
        <v>2105</v>
      </c>
      <c r="AG260" s="26">
        <v>2147</v>
      </c>
      <c r="AH260" s="26">
        <v>2190</v>
      </c>
      <c r="AI260" s="26">
        <v>2234</v>
      </c>
      <c r="AJ260" s="26">
        <v>2279</v>
      </c>
      <c r="AK260" s="26">
        <v>2325</v>
      </c>
      <c r="AL260" s="26">
        <v>2372</v>
      </c>
      <c r="AM260" s="26">
        <v>2419</v>
      </c>
      <c r="AN260" s="26">
        <v>2467</v>
      </c>
      <c r="AO260" s="26">
        <v>2516</v>
      </c>
      <c r="AP260" s="26">
        <v>2566</v>
      </c>
      <c r="AQ260" s="19"/>
    </row>
    <row r="261" spans="1:43" ht="15" x14ac:dyDescent="0.25">
      <c r="A261" s="152" t="s">
        <v>165</v>
      </c>
      <c r="B261" s="153"/>
      <c r="C261" s="26">
        <v>90</v>
      </c>
      <c r="D261" s="26">
        <v>94</v>
      </c>
      <c r="E261" s="26">
        <v>98</v>
      </c>
      <c r="F261" s="26">
        <v>101</v>
      </c>
      <c r="G261" s="26">
        <v>105</v>
      </c>
      <c r="H261" s="26">
        <v>110</v>
      </c>
      <c r="I261" s="26">
        <v>114</v>
      </c>
      <c r="J261" s="26">
        <v>119</v>
      </c>
      <c r="K261" s="26">
        <v>123</v>
      </c>
      <c r="L261" s="26">
        <v>128</v>
      </c>
      <c r="M261" s="26">
        <v>134</v>
      </c>
      <c r="N261" s="26">
        <v>139</v>
      </c>
      <c r="O261" s="26">
        <v>144</v>
      </c>
      <c r="P261" s="26">
        <v>150</v>
      </c>
      <c r="Q261" s="26">
        <v>156</v>
      </c>
      <c r="R261" s="26">
        <v>162</v>
      </c>
      <c r="S261" s="26">
        <v>169</v>
      </c>
      <c r="T261" s="26">
        <v>176</v>
      </c>
      <c r="U261" s="26">
        <v>182</v>
      </c>
      <c r="V261" s="26">
        <v>190</v>
      </c>
      <c r="W261" s="26">
        <v>197</v>
      </c>
      <c r="X261" s="26">
        <v>206</v>
      </c>
      <c r="Y261" s="26">
        <v>213</v>
      </c>
      <c r="Z261" s="26">
        <v>222</v>
      </c>
      <c r="AA261" s="26">
        <v>230</v>
      </c>
      <c r="AB261" s="26">
        <v>240</v>
      </c>
      <c r="AC261" s="26">
        <v>250</v>
      </c>
      <c r="AD261" s="26">
        <v>260</v>
      </c>
      <c r="AE261" s="26">
        <v>270</v>
      </c>
      <c r="AF261" s="26">
        <v>281</v>
      </c>
      <c r="AG261" s="26">
        <v>286</v>
      </c>
      <c r="AH261" s="26">
        <v>292</v>
      </c>
      <c r="AI261" s="26">
        <v>298</v>
      </c>
      <c r="AJ261" s="26">
        <v>304</v>
      </c>
      <c r="AK261" s="26">
        <v>310</v>
      </c>
      <c r="AL261" s="26">
        <v>316</v>
      </c>
      <c r="AM261" s="26">
        <v>322</v>
      </c>
      <c r="AN261" s="26">
        <v>328</v>
      </c>
      <c r="AO261" s="26">
        <v>335</v>
      </c>
      <c r="AP261" s="26">
        <v>342</v>
      </c>
      <c r="AQ261" s="19"/>
    </row>
    <row r="262" spans="1:43" ht="15" x14ac:dyDescent="0.25">
      <c r="A262" s="152" t="s">
        <v>163</v>
      </c>
      <c r="B262" s="153"/>
      <c r="C262" s="24">
        <v>4.1666666666666664E-2</v>
      </c>
      <c r="D262" s="24">
        <v>4.4444444444444446E-2</v>
      </c>
      <c r="E262" s="24">
        <v>4.72222222222222E-2</v>
      </c>
      <c r="F262" s="24">
        <v>0.05</v>
      </c>
      <c r="G262" s="24">
        <v>5.2777777777777798E-2</v>
      </c>
      <c r="H262" s="24">
        <v>5.5555555555555601E-2</v>
      </c>
      <c r="I262" s="24">
        <v>5.8333333333333397E-2</v>
      </c>
      <c r="J262" s="24">
        <v>6.1111111111111199E-2</v>
      </c>
      <c r="K262" s="24">
        <v>6.3888888888888995E-2</v>
      </c>
      <c r="L262" s="24">
        <v>6.6666666666666693E-2</v>
      </c>
      <c r="M262" s="24">
        <v>6.9444444444444503E-2</v>
      </c>
      <c r="N262" s="24">
        <v>7.2222222222222299E-2</v>
      </c>
      <c r="O262" s="24">
        <v>7.5000000000000094E-2</v>
      </c>
      <c r="P262" s="24">
        <v>7.7777777777777904E-2</v>
      </c>
      <c r="Q262" s="24">
        <v>8.0555555555555602E-2</v>
      </c>
      <c r="R262" s="24">
        <v>8.3333333333333398E-2</v>
      </c>
      <c r="S262" s="24">
        <v>8.6111111111111194E-2</v>
      </c>
      <c r="T262" s="24">
        <v>8.8888888888889003E-2</v>
      </c>
      <c r="U262" s="24">
        <v>9.1666666666666799E-2</v>
      </c>
      <c r="V262" s="24">
        <v>9.4444444444444595E-2</v>
      </c>
      <c r="W262" s="24">
        <v>9.7222222222222293E-2</v>
      </c>
      <c r="X262" s="24">
        <v>0.1</v>
      </c>
      <c r="Y262" s="24">
        <v>0.102777777777778</v>
      </c>
      <c r="Z262" s="24">
        <v>0.105555555555556</v>
      </c>
      <c r="AA262" s="24">
        <v>0.108333333333333</v>
      </c>
      <c r="AB262" s="24">
        <v>0.11111111111111099</v>
      </c>
      <c r="AC262" s="24">
        <v>0.113888888888889</v>
      </c>
      <c r="AD262" s="24">
        <v>0.116666666666667</v>
      </c>
      <c r="AE262" s="24">
        <v>0.11944444444444501</v>
      </c>
      <c r="AF262" s="24">
        <v>0.122222222222222</v>
      </c>
      <c r="AG262" s="24">
        <v>0.125</v>
      </c>
      <c r="AH262" s="24">
        <v>0.125</v>
      </c>
      <c r="AI262" s="24">
        <v>0.125</v>
      </c>
      <c r="AJ262" s="24">
        <v>0.125</v>
      </c>
      <c r="AK262" s="24">
        <v>0.125</v>
      </c>
      <c r="AL262" s="24">
        <v>0.125</v>
      </c>
      <c r="AM262" s="24">
        <v>0.125</v>
      </c>
      <c r="AN262" s="24">
        <v>0.125</v>
      </c>
      <c r="AO262" s="24">
        <v>0.125</v>
      </c>
      <c r="AP262" s="24">
        <v>0.125</v>
      </c>
      <c r="AQ262" s="19"/>
    </row>
  </sheetData>
  <mergeCells count="200">
    <mergeCell ref="A1:B1"/>
    <mergeCell ref="A2:B2"/>
    <mergeCell ref="A3:B3"/>
    <mergeCell ref="A4:B4"/>
    <mergeCell ref="A5:B5"/>
    <mergeCell ref="A6:B6"/>
    <mergeCell ref="A15:B15"/>
    <mergeCell ref="A16:B16"/>
    <mergeCell ref="A17:B17"/>
    <mergeCell ref="A19:B19"/>
    <mergeCell ref="A20:B20"/>
    <mergeCell ref="A21:B21"/>
    <mergeCell ref="A18:B18"/>
    <mergeCell ref="A8:B8"/>
    <mergeCell ref="A9:B9"/>
    <mergeCell ref="A10:B10"/>
    <mergeCell ref="A11:B11"/>
    <mergeCell ref="A12:B12"/>
    <mergeCell ref="A13:B13"/>
    <mergeCell ref="A29:B29"/>
    <mergeCell ref="A30:B30"/>
    <mergeCell ref="A31:B31"/>
    <mergeCell ref="A32:B32"/>
    <mergeCell ref="A34:B34"/>
    <mergeCell ref="A35:B35"/>
    <mergeCell ref="A22:B22"/>
    <mergeCell ref="A23:B23"/>
    <mergeCell ref="A25:B25"/>
    <mergeCell ref="A26:B26"/>
    <mergeCell ref="A27:B27"/>
    <mergeCell ref="A28:B28"/>
    <mergeCell ref="A44:B44"/>
    <mergeCell ref="A45:B45"/>
    <mergeCell ref="A46:B46"/>
    <mergeCell ref="A47:B47"/>
    <mergeCell ref="A48:B48"/>
    <mergeCell ref="A49:B49"/>
    <mergeCell ref="A36:B36"/>
    <mergeCell ref="A38:B38"/>
    <mergeCell ref="A39:B39"/>
    <mergeCell ref="A40:B40"/>
    <mergeCell ref="A41:B41"/>
    <mergeCell ref="A43:B43"/>
    <mergeCell ref="A37:B37"/>
    <mergeCell ref="A58:B58"/>
    <mergeCell ref="A59:B59"/>
    <mergeCell ref="A61:B61"/>
    <mergeCell ref="A62:B62"/>
    <mergeCell ref="A63:B63"/>
    <mergeCell ref="A65:B65"/>
    <mergeCell ref="A64:B64"/>
    <mergeCell ref="A51:B51"/>
    <mergeCell ref="A52:B52"/>
    <mergeCell ref="A53:B53"/>
    <mergeCell ref="A55:B55"/>
    <mergeCell ref="A56:B56"/>
    <mergeCell ref="A57:B57"/>
    <mergeCell ref="A54:B54"/>
    <mergeCell ref="A74:B74"/>
    <mergeCell ref="A75:B75"/>
    <mergeCell ref="A76:B76"/>
    <mergeCell ref="A77:B77"/>
    <mergeCell ref="A79:B79"/>
    <mergeCell ref="A80:B80"/>
    <mergeCell ref="A66:B66"/>
    <mergeCell ref="A67:B67"/>
    <mergeCell ref="A68:B68"/>
    <mergeCell ref="A70:B70"/>
    <mergeCell ref="A71:B71"/>
    <mergeCell ref="A72:B72"/>
    <mergeCell ref="A73:B73"/>
    <mergeCell ref="A89:B89"/>
    <mergeCell ref="A90:B90"/>
    <mergeCell ref="A92:B92"/>
    <mergeCell ref="A93:B93"/>
    <mergeCell ref="A94:B94"/>
    <mergeCell ref="A95:B95"/>
    <mergeCell ref="A81:B81"/>
    <mergeCell ref="A83:B83"/>
    <mergeCell ref="A84:B84"/>
    <mergeCell ref="A85:B85"/>
    <mergeCell ref="A86:B86"/>
    <mergeCell ref="A88:B88"/>
    <mergeCell ref="A104:B104"/>
    <mergeCell ref="A106:B106"/>
    <mergeCell ref="A107:B107"/>
    <mergeCell ref="A108:B108"/>
    <mergeCell ref="A110:B110"/>
    <mergeCell ref="A111:B111"/>
    <mergeCell ref="A97:B97"/>
    <mergeCell ref="A98:B98"/>
    <mergeCell ref="A99:B99"/>
    <mergeCell ref="A101:B101"/>
    <mergeCell ref="A102:B102"/>
    <mergeCell ref="A103:B103"/>
    <mergeCell ref="A120:B120"/>
    <mergeCell ref="A121:B121"/>
    <mergeCell ref="A122:B122"/>
    <mergeCell ref="A124:B124"/>
    <mergeCell ref="A125:B125"/>
    <mergeCell ref="A126:B126"/>
    <mergeCell ref="A112:B112"/>
    <mergeCell ref="A113:B113"/>
    <mergeCell ref="A115:B115"/>
    <mergeCell ref="A116:B116"/>
    <mergeCell ref="A117:B117"/>
    <mergeCell ref="A119:B119"/>
    <mergeCell ref="A135:B135"/>
    <mergeCell ref="A136:B136"/>
    <mergeCell ref="A137:B137"/>
    <mergeCell ref="A139:B139"/>
    <mergeCell ref="A140:B140"/>
    <mergeCell ref="A141:B141"/>
    <mergeCell ref="A127:B127"/>
    <mergeCell ref="A128:B128"/>
    <mergeCell ref="A130:B130"/>
    <mergeCell ref="A131:B131"/>
    <mergeCell ref="A132:B132"/>
    <mergeCell ref="A134:B134"/>
    <mergeCell ref="A150:B150"/>
    <mergeCell ref="A151:B151"/>
    <mergeCell ref="A152:B152"/>
    <mergeCell ref="A154:B154"/>
    <mergeCell ref="A155:B155"/>
    <mergeCell ref="A156:B156"/>
    <mergeCell ref="A143:B143"/>
    <mergeCell ref="A144:B144"/>
    <mergeCell ref="A145:B145"/>
    <mergeCell ref="A146:B146"/>
    <mergeCell ref="A147:B147"/>
    <mergeCell ref="A148:B148"/>
    <mergeCell ref="A165:B165"/>
    <mergeCell ref="A166:B166"/>
    <mergeCell ref="A168:B168"/>
    <mergeCell ref="A169:B169"/>
    <mergeCell ref="A170:B170"/>
    <mergeCell ref="A172:B172"/>
    <mergeCell ref="A157:B157"/>
    <mergeCell ref="A159:B159"/>
    <mergeCell ref="A160:B160"/>
    <mergeCell ref="A161:B161"/>
    <mergeCell ref="A163:B163"/>
    <mergeCell ref="A164:B164"/>
    <mergeCell ref="L178:M178"/>
    <mergeCell ref="A179:B179"/>
    <mergeCell ref="H179:I179"/>
    <mergeCell ref="J179:K179"/>
    <mergeCell ref="L179:M179"/>
    <mergeCell ref="A173:B173"/>
    <mergeCell ref="A174:B174"/>
    <mergeCell ref="A175:B175"/>
    <mergeCell ref="A177:B177"/>
    <mergeCell ref="A178:B178"/>
    <mergeCell ref="H178:I178"/>
    <mergeCell ref="A181:B181"/>
    <mergeCell ref="A182:B182"/>
    <mergeCell ref="A183:B183"/>
    <mergeCell ref="A184:A186"/>
    <mergeCell ref="A187:A189"/>
    <mergeCell ref="A190:A192"/>
    <mergeCell ref="J178:K178"/>
    <mergeCell ref="H180:I180"/>
    <mergeCell ref="J180:K180"/>
    <mergeCell ref="A262:B262"/>
    <mergeCell ref="A250:B250"/>
    <mergeCell ref="A251:B251"/>
    <mergeCell ref="A252:B252"/>
    <mergeCell ref="A253:B253"/>
    <mergeCell ref="A254:B254"/>
    <mergeCell ref="A256:B256"/>
    <mergeCell ref="A243:B243"/>
    <mergeCell ref="A244:B244"/>
    <mergeCell ref="A245:B245"/>
    <mergeCell ref="A246:B246"/>
    <mergeCell ref="A248:B248"/>
    <mergeCell ref="A249:B249"/>
    <mergeCell ref="L180:M180"/>
    <mergeCell ref="A257:B257"/>
    <mergeCell ref="A258:B258"/>
    <mergeCell ref="A259:B259"/>
    <mergeCell ref="A260:B260"/>
    <mergeCell ref="A261:B261"/>
    <mergeCell ref="A229:A231"/>
    <mergeCell ref="A232:A234"/>
    <mergeCell ref="A235:A237"/>
    <mergeCell ref="A239:B239"/>
    <mergeCell ref="A240:B240"/>
    <mergeCell ref="A241:B241"/>
    <mergeCell ref="A211:A213"/>
    <mergeCell ref="A214:A216"/>
    <mergeCell ref="A217:A219"/>
    <mergeCell ref="A220:A222"/>
    <mergeCell ref="A223:A225"/>
    <mergeCell ref="A226:A228"/>
    <mergeCell ref="A193:A195"/>
    <mergeCell ref="A196:A198"/>
    <mergeCell ref="A199:A201"/>
    <mergeCell ref="A202:A204"/>
    <mergeCell ref="A205:A207"/>
    <mergeCell ref="A208:A21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H66"/>
  <sheetViews>
    <sheetView zoomScale="85" zoomScaleNormal="85" workbookViewId="0">
      <selection activeCell="I6" sqref="I6"/>
    </sheetView>
  </sheetViews>
  <sheetFormatPr defaultRowHeight="13.5" x14ac:dyDescent="0.15"/>
  <cols>
    <col min="1" max="1" width="17.25" style="5" bestFit="1" customWidth="1"/>
    <col min="2" max="2" width="10.25" style="5" customWidth="1"/>
    <col min="3" max="3" width="9.5" style="5" bestFit="1" customWidth="1"/>
    <col min="4" max="4" width="12.125" style="5" customWidth="1"/>
    <col min="5" max="6" width="9.5" style="5" bestFit="1" customWidth="1"/>
    <col min="7" max="7" width="14" style="5" customWidth="1"/>
    <col min="8" max="8" width="12.125" style="5" customWidth="1"/>
    <col min="9" max="9" width="9" style="5"/>
    <col min="10" max="12" width="9.5" style="5" bestFit="1" customWidth="1"/>
    <col min="13" max="13" width="10.25" style="5" customWidth="1"/>
    <col min="14" max="14" width="9.5" style="5" bestFit="1" customWidth="1"/>
    <col min="15" max="16" width="9" style="5"/>
    <col min="17" max="17" width="9.5" style="5" bestFit="1" customWidth="1"/>
    <col min="18" max="22" width="10.25" style="5" customWidth="1"/>
    <col min="23" max="23" width="15.875" style="5" customWidth="1"/>
    <col min="24" max="24" width="9" style="5"/>
    <col min="25" max="25" width="9.5" style="5" bestFit="1" customWidth="1"/>
    <col min="26" max="26" width="12.125" style="5" customWidth="1"/>
    <col min="27" max="27" width="9.5" style="5" bestFit="1" customWidth="1"/>
    <col min="28" max="28" width="10.25" style="5" customWidth="1"/>
    <col min="29" max="29" width="12.125" style="5" customWidth="1"/>
    <col min="30" max="30" width="10.25" style="5" customWidth="1"/>
    <col min="31" max="31" width="9" style="5"/>
    <col min="32" max="33" width="9.5" style="5" bestFit="1" customWidth="1"/>
    <col min="34" max="47" width="9" style="5"/>
    <col min="48" max="48" width="11.25" style="5" bestFit="1" customWidth="1"/>
    <col min="49" max="49" width="9" style="5" bestFit="1" customWidth="1"/>
    <col min="50" max="50" width="9" style="5" customWidth="1"/>
    <col min="51" max="51" width="15.75" style="5" customWidth="1"/>
    <col min="52" max="55" width="18.375" style="5" bestFit="1" customWidth="1"/>
    <col min="56" max="56" width="10.5" style="5" bestFit="1" customWidth="1"/>
    <col min="57" max="57" width="9" style="5" bestFit="1" customWidth="1"/>
    <col min="58" max="59" width="10.5" style="5" bestFit="1" customWidth="1"/>
    <col min="60" max="16384" width="9" style="5"/>
  </cols>
  <sheetData>
    <row r="1" spans="1:41" ht="16.5" x14ac:dyDescent="0.3">
      <c r="A1" s="1" t="s">
        <v>9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41" ht="16.5" x14ac:dyDescent="0.3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182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  <c r="T2" s="7" t="s">
        <v>29</v>
      </c>
      <c r="U2" s="7" t="s">
        <v>30</v>
      </c>
      <c r="V2" s="7" t="s">
        <v>31</v>
      </c>
      <c r="W2" s="7" t="s">
        <v>32</v>
      </c>
      <c r="X2" s="7" t="s">
        <v>33</v>
      </c>
      <c r="Y2" s="7" t="s">
        <v>34</v>
      </c>
      <c r="Z2" s="7" t="s">
        <v>35</v>
      </c>
      <c r="AA2" s="7" t="s">
        <v>36</v>
      </c>
      <c r="AB2" s="7" t="s">
        <v>37</v>
      </c>
      <c r="AC2" s="7" t="s">
        <v>38</v>
      </c>
      <c r="AD2" s="8" t="s">
        <v>39</v>
      </c>
      <c r="AE2" s="9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ht="16.5" x14ac:dyDescent="0.3">
      <c r="A3" s="11">
        <v>1</v>
      </c>
      <c r="B3" s="12">
        <v>0</v>
      </c>
      <c r="C3" s="12">
        <v>1</v>
      </c>
      <c r="D3" s="12">
        <v>1</v>
      </c>
      <c r="E3" s="12">
        <v>1</v>
      </c>
      <c r="F3" s="12">
        <v>1</v>
      </c>
      <c r="G3" s="12">
        <v>0</v>
      </c>
      <c r="H3" s="12">
        <v>0</v>
      </c>
      <c r="I3" s="12">
        <v>5</v>
      </c>
      <c r="J3" s="12">
        <v>2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1</v>
      </c>
      <c r="Y3" s="12">
        <v>1</v>
      </c>
      <c r="Z3" s="12">
        <v>0</v>
      </c>
      <c r="AA3" s="12">
        <v>0</v>
      </c>
      <c r="AB3" s="12">
        <v>0</v>
      </c>
      <c r="AC3" s="12">
        <v>0</v>
      </c>
      <c r="AD3" s="13">
        <v>0</v>
      </c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16.5" x14ac:dyDescent="0.3">
      <c r="A4" s="11">
        <v>2</v>
      </c>
      <c r="B4" s="12">
        <v>0</v>
      </c>
      <c r="C4" s="12">
        <v>2</v>
      </c>
      <c r="D4" s="12">
        <v>2</v>
      </c>
      <c r="E4" s="12">
        <v>1</v>
      </c>
      <c r="F4" s="12">
        <v>1</v>
      </c>
      <c r="G4" s="12">
        <v>0</v>
      </c>
      <c r="H4" s="12">
        <v>0</v>
      </c>
      <c r="I4" s="12">
        <v>5</v>
      </c>
      <c r="J4" s="12">
        <v>2</v>
      </c>
      <c r="K4" s="12">
        <v>0</v>
      </c>
      <c r="L4" s="12">
        <v>1</v>
      </c>
      <c r="M4" s="12">
        <v>0</v>
      </c>
      <c r="N4" s="12">
        <v>0</v>
      </c>
      <c r="O4" s="12">
        <v>0</v>
      </c>
      <c r="P4" s="12">
        <v>25</v>
      </c>
      <c r="Q4" s="12">
        <v>0</v>
      </c>
      <c r="R4" s="12">
        <v>0</v>
      </c>
      <c r="S4" s="12">
        <v>2</v>
      </c>
      <c r="T4" s="12">
        <v>0</v>
      </c>
      <c r="U4" s="12">
        <v>0</v>
      </c>
      <c r="V4" s="12">
        <v>0</v>
      </c>
      <c r="W4" s="12">
        <v>0</v>
      </c>
      <c r="X4" s="12">
        <v>1</v>
      </c>
      <c r="Y4" s="12">
        <v>2</v>
      </c>
      <c r="Z4" s="12">
        <v>0</v>
      </c>
      <c r="AA4" s="12">
        <v>0</v>
      </c>
      <c r="AB4" s="12">
        <v>0</v>
      </c>
      <c r="AC4" s="12">
        <v>0</v>
      </c>
      <c r="AD4" s="13">
        <v>0</v>
      </c>
      <c r="AE4" s="9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ht="16.5" x14ac:dyDescent="0.3">
      <c r="A5" s="11">
        <v>3</v>
      </c>
      <c r="B5" s="12">
        <v>1</v>
      </c>
      <c r="C5" s="12">
        <v>3</v>
      </c>
      <c r="D5" s="12">
        <v>3</v>
      </c>
      <c r="E5" s="12">
        <v>2</v>
      </c>
      <c r="F5" s="12">
        <v>2</v>
      </c>
      <c r="G5" s="12">
        <v>0</v>
      </c>
      <c r="H5" s="12">
        <v>0</v>
      </c>
      <c r="I5" s="12">
        <v>5</v>
      </c>
      <c r="J5" s="12">
        <v>2</v>
      </c>
      <c r="K5" s="12">
        <v>1</v>
      </c>
      <c r="L5" s="12">
        <v>1</v>
      </c>
      <c r="M5" s="12">
        <v>0</v>
      </c>
      <c r="N5" s="12">
        <v>0</v>
      </c>
      <c r="O5" s="12">
        <v>0</v>
      </c>
      <c r="P5" s="12">
        <v>50</v>
      </c>
      <c r="Q5" s="12">
        <v>0</v>
      </c>
      <c r="R5" s="12">
        <v>0</v>
      </c>
      <c r="S5" s="12">
        <v>2</v>
      </c>
      <c r="T5" s="12">
        <v>0</v>
      </c>
      <c r="U5" s="12">
        <v>0</v>
      </c>
      <c r="V5" s="12">
        <v>0</v>
      </c>
      <c r="W5" s="12">
        <v>0</v>
      </c>
      <c r="X5" s="12">
        <v>2</v>
      </c>
      <c r="Y5" s="12">
        <v>2</v>
      </c>
      <c r="Z5" s="12">
        <v>0</v>
      </c>
      <c r="AA5" s="12">
        <v>1</v>
      </c>
      <c r="AB5" s="12">
        <v>0</v>
      </c>
      <c r="AC5" s="12">
        <v>0</v>
      </c>
      <c r="AD5" s="13">
        <v>0</v>
      </c>
      <c r="AE5" s="9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ht="16.5" x14ac:dyDescent="0.3">
      <c r="A6" s="11">
        <v>4</v>
      </c>
      <c r="B6" s="12">
        <v>1</v>
      </c>
      <c r="C6" s="12">
        <v>4</v>
      </c>
      <c r="D6" s="12">
        <v>4</v>
      </c>
      <c r="E6" s="12">
        <v>2</v>
      </c>
      <c r="F6" s="12">
        <v>2</v>
      </c>
      <c r="G6" s="12">
        <v>0</v>
      </c>
      <c r="H6" s="12">
        <v>0</v>
      </c>
      <c r="I6" s="12">
        <v>5</v>
      </c>
      <c r="J6" s="12">
        <v>2</v>
      </c>
      <c r="K6" s="12">
        <v>1</v>
      </c>
      <c r="L6" s="12">
        <v>2</v>
      </c>
      <c r="M6" s="12">
        <v>1</v>
      </c>
      <c r="N6" s="12">
        <v>0</v>
      </c>
      <c r="O6" s="12">
        <v>0</v>
      </c>
      <c r="P6" s="12">
        <v>75</v>
      </c>
      <c r="Q6" s="12">
        <v>0</v>
      </c>
      <c r="R6" s="12">
        <v>0</v>
      </c>
      <c r="S6" s="12">
        <v>2</v>
      </c>
      <c r="T6" s="12">
        <v>2</v>
      </c>
      <c r="U6" s="12">
        <v>0</v>
      </c>
      <c r="V6" s="12">
        <v>0</v>
      </c>
      <c r="W6" s="12">
        <v>0</v>
      </c>
      <c r="X6" s="12">
        <v>2</v>
      </c>
      <c r="Y6" s="12">
        <v>3</v>
      </c>
      <c r="Z6" s="12">
        <v>0</v>
      </c>
      <c r="AA6" s="12">
        <v>1</v>
      </c>
      <c r="AB6" s="12">
        <v>0</v>
      </c>
      <c r="AC6" s="12">
        <v>0</v>
      </c>
      <c r="AD6" s="13">
        <v>0</v>
      </c>
      <c r="AE6" s="9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ht="16.5" x14ac:dyDescent="0.3">
      <c r="A7" s="11">
        <v>5</v>
      </c>
      <c r="B7" s="12">
        <v>1</v>
      </c>
      <c r="C7" s="12">
        <v>5</v>
      </c>
      <c r="D7" s="12">
        <v>5</v>
      </c>
      <c r="E7" s="12">
        <v>2</v>
      </c>
      <c r="F7" s="12">
        <v>2</v>
      </c>
      <c r="G7" s="12">
        <v>0</v>
      </c>
      <c r="H7" s="12">
        <v>0</v>
      </c>
      <c r="I7" s="12">
        <v>5</v>
      </c>
      <c r="J7" s="12">
        <v>3</v>
      </c>
      <c r="K7" s="12">
        <v>1</v>
      </c>
      <c r="L7" s="12">
        <v>3</v>
      </c>
      <c r="M7" s="12">
        <v>1</v>
      </c>
      <c r="N7" s="12">
        <v>1</v>
      </c>
      <c r="O7" s="12">
        <v>0</v>
      </c>
      <c r="P7" s="12">
        <v>100</v>
      </c>
      <c r="Q7" s="12">
        <v>0</v>
      </c>
      <c r="R7" s="12">
        <v>0</v>
      </c>
      <c r="S7" s="12">
        <v>4</v>
      </c>
      <c r="T7" s="12">
        <v>2</v>
      </c>
      <c r="U7" s="12">
        <v>0</v>
      </c>
      <c r="V7" s="12">
        <v>2</v>
      </c>
      <c r="W7" s="12">
        <v>0</v>
      </c>
      <c r="X7" s="12">
        <v>3</v>
      </c>
      <c r="Y7" s="12">
        <v>3</v>
      </c>
      <c r="Z7" s="12">
        <v>0</v>
      </c>
      <c r="AA7" s="12">
        <v>1</v>
      </c>
      <c r="AB7" s="12">
        <v>1</v>
      </c>
      <c r="AC7" s="12">
        <v>0</v>
      </c>
      <c r="AD7" s="13">
        <v>0</v>
      </c>
      <c r="AE7" s="9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6.5" x14ac:dyDescent="0.3">
      <c r="A8" s="11">
        <v>6</v>
      </c>
      <c r="B8" s="12">
        <v>1</v>
      </c>
      <c r="C8" s="12">
        <v>6</v>
      </c>
      <c r="D8" s="12">
        <v>6</v>
      </c>
      <c r="E8" s="12">
        <v>2</v>
      </c>
      <c r="F8" s="12">
        <v>2</v>
      </c>
      <c r="G8" s="12">
        <v>0</v>
      </c>
      <c r="H8" s="12">
        <v>0</v>
      </c>
      <c r="I8" s="12">
        <v>5</v>
      </c>
      <c r="J8" s="12">
        <v>3</v>
      </c>
      <c r="K8" s="12">
        <v>2</v>
      </c>
      <c r="L8" s="12">
        <v>3</v>
      </c>
      <c r="M8" s="12">
        <v>1</v>
      </c>
      <c r="N8" s="12">
        <v>2</v>
      </c>
      <c r="O8" s="12">
        <v>0</v>
      </c>
      <c r="P8" s="12">
        <v>125</v>
      </c>
      <c r="Q8" s="12">
        <v>0</v>
      </c>
      <c r="R8" s="12">
        <v>0</v>
      </c>
      <c r="S8" s="12">
        <v>4</v>
      </c>
      <c r="T8" s="12">
        <v>4</v>
      </c>
      <c r="U8" s="12">
        <v>1</v>
      </c>
      <c r="V8" s="12">
        <v>2</v>
      </c>
      <c r="W8" s="12">
        <v>0</v>
      </c>
      <c r="X8" s="12">
        <v>3</v>
      </c>
      <c r="Y8" s="12">
        <v>3</v>
      </c>
      <c r="Z8" s="12">
        <v>0</v>
      </c>
      <c r="AA8" s="12">
        <v>1</v>
      </c>
      <c r="AB8" s="12">
        <v>1</v>
      </c>
      <c r="AC8" s="12">
        <v>0</v>
      </c>
      <c r="AD8" s="13">
        <v>0</v>
      </c>
      <c r="AE8" s="9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ht="16.5" x14ac:dyDescent="0.3">
      <c r="A9" s="11">
        <v>7</v>
      </c>
      <c r="B9" s="12">
        <v>1</v>
      </c>
      <c r="C9" s="12">
        <v>6</v>
      </c>
      <c r="D9" s="12">
        <v>6</v>
      </c>
      <c r="E9" s="12">
        <v>2</v>
      </c>
      <c r="F9" s="12">
        <v>2</v>
      </c>
      <c r="G9" s="12">
        <v>0</v>
      </c>
      <c r="H9" s="12">
        <v>1</v>
      </c>
      <c r="I9" s="12">
        <v>5</v>
      </c>
      <c r="J9" s="12">
        <v>5</v>
      </c>
      <c r="K9" s="12">
        <v>3</v>
      </c>
      <c r="L9" s="12">
        <v>4</v>
      </c>
      <c r="M9" s="12">
        <v>2</v>
      </c>
      <c r="N9" s="12">
        <v>2</v>
      </c>
      <c r="O9" s="12">
        <v>2</v>
      </c>
      <c r="P9" s="12">
        <v>175</v>
      </c>
      <c r="Q9" s="12">
        <v>0</v>
      </c>
      <c r="R9" s="12">
        <v>0</v>
      </c>
      <c r="S9" s="12">
        <v>6</v>
      </c>
      <c r="T9" s="12">
        <v>4</v>
      </c>
      <c r="U9" s="12">
        <v>2</v>
      </c>
      <c r="V9" s="12">
        <v>2</v>
      </c>
      <c r="W9" s="12">
        <v>1</v>
      </c>
      <c r="X9" s="12">
        <v>4</v>
      </c>
      <c r="Y9" s="12">
        <v>4</v>
      </c>
      <c r="Z9" s="12">
        <v>1</v>
      </c>
      <c r="AA9" s="12">
        <v>1</v>
      </c>
      <c r="AB9" s="12">
        <v>1</v>
      </c>
      <c r="AC9" s="12">
        <v>1</v>
      </c>
      <c r="AD9" s="13">
        <v>0</v>
      </c>
      <c r="AE9" s="9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ht="16.5" x14ac:dyDescent="0.3">
      <c r="A10" s="11">
        <v>8</v>
      </c>
      <c r="B10" s="12">
        <v>1</v>
      </c>
      <c r="C10" s="12">
        <v>6</v>
      </c>
      <c r="D10" s="12">
        <v>6</v>
      </c>
      <c r="E10" s="12">
        <v>3</v>
      </c>
      <c r="F10" s="12">
        <v>3</v>
      </c>
      <c r="G10" s="12">
        <v>1</v>
      </c>
      <c r="H10" s="12">
        <v>1</v>
      </c>
      <c r="I10" s="12">
        <v>5</v>
      </c>
      <c r="J10" s="12">
        <v>5</v>
      </c>
      <c r="K10" s="12">
        <v>3</v>
      </c>
      <c r="L10" s="12">
        <v>5</v>
      </c>
      <c r="M10" s="12">
        <v>3</v>
      </c>
      <c r="N10" s="12">
        <v>3</v>
      </c>
      <c r="O10" s="12">
        <v>3</v>
      </c>
      <c r="P10" s="12">
        <v>225</v>
      </c>
      <c r="Q10" s="12">
        <v>0</v>
      </c>
      <c r="R10" s="12">
        <v>0</v>
      </c>
      <c r="S10" s="12">
        <v>6</v>
      </c>
      <c r="T10" s="12">
        <v>6</v>
      </c>
      <c r="U10" s="12">
        <v>3</v>
      </c>
      <c r="V10" s="12">
        <v>4</v>
      </c>
      <c r="W10" s="12">
        <v>2</v>
      </c>
      <c r="X10" s="12">
        <v>4</v>
      </c>
      <c r="Y10" s="12">
        <v>4</v>
      </c>
      <c r="Z10" s="12">
        <v>2</v>
      </c>
      <c r="AA10" s="12">
        <v>1</v>
      </c>
      <c r="AB10" s="12">
        <v>1</v>
      </c>
      <c r="AC10" s="12">
        <v>1</v>
      </c>
      <c r="AD10" s="13">
        <v>0</v>
      </c>
      <c r="AE10" s="9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16.5" x14ac:dyDescent="0.3">
      <c r="A11" s="11">
        <v>9</v>
      </c>
      <c r="B11" s="12">
        <v>1</v>
      </c>
      <c r="C11" s="12">
        <v>6</v>
      </c>
      <c r="D11" s="12">
        <v>6</v>
      </c>
      <c r="E11" s="12">
        <v>3</v>
      </c>
      <c r="F11" s="12">
        <v>3</v>
      </c>
      <c r="G11" s="12">
        <v>2</v>
      </c>
      <c r="H11" s="12">
        <v>1</v>
      </c>
      <c r="I11" s="12">
        <v>5</v>
      </c>
      <c r="J11" s="12">
        <v>5</v>
      </c>
      <c r="K11" s="12">
        <v>3</v>
      </c>
      <c r="L11" s="12">
        <v>6</v>
      </c>
      <c r="M11" s="12">
        <v>4</v>
      </c>
      <c r="N11" s="12">
        <v>4</v>
      </c>
      <c r="O11" s="12">
        <v>4</v>
      </c>
      <c r="P11" s="12">
        <v>250</v>
      </c>
      <c r="Q11" s="12">
        <v>2</v>
      </c>
      <c r="R11" s="12">
        <v>0</v>
      </c>
      <c r="S11" s="12">
        <v>6</v>
      </c>
      <c r="T11" s="12">
        <v>6</v>
      </c>
      <c r="U11" s="12">
        <v>4</v>
      </c>
      <c r="V11" s="12">
        <v>4</v>
      </c>
      <c r="W11" s="12">
        <v>3</v>
      </c>
      <c r="X11" s="12">
        <v>4</v>
      </c>
      <c r="Y11" s="12">
        <v>4</v>
      </c>
      <c r="Z11" s="12">
        <v>2</v>
      </c>
      <c r="AA11" s="12">
        <v>1</v>
      </c>
      <c r="AB11" s="12">
        <v>1</v>
      </c>
      <c r="AC11" s="12">
        <v>1</v>
      </c>
      <c r="AD11" s="13">
        <v>1</v>
      </c>
      <c r="AE11" s="9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ht="16.5" x14ac:dyDescent="0.3">
      <c r="A12" s="14">
        <v>10</v>
      </c>
      <c r="B12" s="15">
        <v>1</v>
      </c>
      <c r="C12" s="15">
        <v>6</v>
      </c>
      <c r="D12" s="15">
        <v>6</v>
      </c>
      <c r="E12" s="15">
        <v>3</v>
      </c>
      <c r="F12" s="15">
        <v>3</v>
      </c>
      <c r="G12" s="15">
        <v>3</v>
      </c>
      <c r="H12" s="15">
        <v>1</v>
      </c>
      <c r="I12" s="15">
        <v>5</v>
      </c>
      <c r="J12" s="15">
        <v>6</v>
      </c>
      <c r="K12" s="15">
        <v>3</v>
      </c>
      <c r="L12" s="15">
        <v>7</v>
      </c>
      <c r="M12" s="15">
        <v>4</v>
      </c>
      <c r="N12" s="15">
        <v>4</v>
      </c>
      <c r="O12" s="15">
        <v>4</v>
      </c>
      <c r="P12" s="15">
        <v>250</v>
      </c>
      <c r="Q12" s="15">
        <v>2</v>
      </c>
      <c r="R12" s="15">
        <v>1</v>
      </c>
      <c r="S12" s="15">
        <v>6</v>
      </c>
      <c r="T12" s="15">
        <v>6</v>
      </c>
      <c r="U12" s="15">
        <v>5</v>
      </c>
      <c r="V12" s="15">
        <v>4</v>
      </c>
      <c r="W12" s="15">
        <v>3</v>
      </c>
      <c r="X12" s="15">
        <v>4</v>
      </c>
      <c r="Y12" s="15">
        <v>4</v>
      </c>
      <c r="Z12" s="15">
        <v>2</v>
      </c>
      <c r="AA12" s="15">
        <v>1</v>
      </c>
      <c r="AB12" s="15">
        <v>1</v>
      </c>
      <c r="AC12" s="15">
        <v>1</v>
      </c>
      <c r="AD12" s="16">
        <v>1</v>
      </c>
      <c r="AE12" s="9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ht="16.5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41" ht="16.5" x14ac:dyDescent="0.3">
      <c r="A14" s="1" t="s">
        <v>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41" ht="16.5" x14ac:dyDescent="0.3">
      <c r="A15" s="6" t="s">
        <v>10</v>
      </c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  <c r="I15" s="7" t="s">
        <v>18</v>
      </c>
      <c r="J15" s="7" t="s">
        <v>19</v>
      </c>
      <c r="K15" s="7" t="s">
        <v>20</v>
      </c>
      <c r="L15" s="7" t="s">
        <v>21</v>
      </c>
      <c r="M15" s="7" t="s">
        <v>22</v>
      </c>
      <c r="N15" s="7" t="s">
        <v>23</v>
      </c>
      <c r="O15" s="7" t="s">
        <v>24</v>
      </c>
      <c r="P15" s="7" t="s">
        <v>25</v>
      </c>
      <c r="Q15" s="7" t="s">
        <v>26</v>
      </c>
      <c r="R15" s="7" t="s">
        <v>27</v>
      </c>
      <c r="S15" s="7" t="s">
        <v>28</v>
      </c>
      <c r="T15" s="7" t="s">
        <v>29</v>
      </c>
      <c r="U15" s="7" t="s">
        <v>30</v>
      </c>
      <c r="V15" s="7" t="s">
        <v>31</v>
      </c>
      <c r="W15" s="7" t="s">
        <v>32</v>
      </c>
      <c r="X15" s="7" t="s">
        <v>33</v>
      </c>
      <c r="Y15" s="7" t="s">
        <v>34</v>
      </c>
      <c r="Z15" s="7" t="s">
        <v>35</v>
      </c>
      <c r="AA15" s="7" t="s">
        <v>36</v>
      </c>
      <c r="AB15" s="7" t="s">
        <v>37</v>
      </c>
      <c r="AC15" s="7" t="s">
        <v>38</v>
      </c>
      <c r="AD15" s="8" t="s">
        <v>39</v>
      </c>
      <c r="AE15" s="19"/>
    </row>
    <row r="16" spans="1:41" ht="16.5" x14ac:dyDescent="0.3">
      <c r="A16" s="11">
        <v>1</v>
      </c>
      <c r="B16" s="12">
        <v>0</v>
      </c>
      <c r="C16" s="12">
        <v>2</v>
      </c>
      <c r="D16" s="12">
        <v>2</v>
      </c>
      <c r="E16" s="12">
        <v>1</v>
      </c>
      <c r="F16" s="12">
        <v>1</v>
      </c>
      <c r="G16" s="12">
        <v>0</v>
      </c>
      <c r="H16" s="12">
        <v>0</v>
      </c>
      <c r="I16" s="12">
        <v>1</v>
      </c>
      <c r="J16" s="12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3</v>
      </c>
      <c r="Z16" s="12">
        <v>0</v>
      </c>
      <c r="AA16" s="12">
        <v>0</v>
      </c>
      <c r="AB16" s="12">
        <v>0</v>
      </c>
      <c r="AC16" s="12">
        <v>0</v>
      </c>
      <c r="AD16" s="13">
        <v>0</v>
      </c>
      <c r="AE16" s="19"/>
    </row>
    <row r="17" spans="1:49" ht="16.5" x14ac:dyDescent="0.3">
      <c r="A17" s="11">
        <v>2</v>
      </c>
      <c r="B17" s="12">
        <v>0</v>
      </c>
      <c r="C17" s="12">
        <v>4</v>
      </c>
      <c r="D17" s="12">
        <v>4</v>
      </c>
      <c r="E17" s="12">
        <v>3</v>
      </c>
      <c r="F17" s="12">
        <v>3</v>
      </c>
      <c r="G17" s="12">
        <v>0</v>
      </c>
      <c r="H17" s="12">
        <v>0</v>
      </c>
      <c r="I17" s="12">
        <v>1</v>
      </c>
      <c r="J17" s="12">
        <v>3</v>
      </c>
      <c r="K17" s="12">
        <v>0</v>
      </c>
      <c r="L17" s="12">
        <v>2</v>
      </c>
      <c r="M17" s="12">
        <v>0</v>
      </c>
      <c r="N17" s="12">
        <v>0</v>
      </c>
      <c r="O17" s="12">
        <v>0</v>
      </c>
      <c r="P17" s="12">
        <v>2</v>
      </c>
      <c r="Q17" s="12">
        <v>0</v>
      </c>
      <c r="R17" s="12">
        <v>0</v>
      </c>
      <c r="S17" s="12">
        <v>1</v>
      </c>
      <c r="T17" s="12">
        <v>0</v>
      </c>
      <c r="U17" s="12">
        <v>0</v>
      </c>
      <c r="V17" s="12">
        <v>0</v>
      </c>
      <c r="W17" s="12">
        <v>0</v>
      </c>
      <c r="X17" s="12">
        <v>2</v>
      </c>
      <c r="Y17" s="12">
        <v>4</v>
      </c>
      <c r="Z17" s="12">
        <v>0</v>
      </c>
      <c r="AA17" s="12">
        <v>0</v>
      </c>
      <c r="AB17" s="12">
        <v>0</v>
      </c>
      <c r="AC17" s="12">
        <v>0</v>
      </c>
      <c r="AD17" s="13">
        <v>0</v>
      </c>
      <c r="AE17" s="19"/>
    </row>
    <row r="18" spans="1:49" ht="16.5" x14ac:dyDescent="0.3">
      <c r="A18" s="11">
        <v>3</v>
      </c>
      <c r="B18" s="12">
        <v>1</v>
      </c>
      <c r="C18" s="12">
        <v>6</v>
      </c>
      <c r="D18" s="12">
        <v>6</v>
      </c>
      <c r="E18" s="12">
        <v>6</v>
      </c>
      <c r="F18" s="12">
        <v>6</v>
      </c>
      <c r="G18" s="12">
        <v>0</v>
      </c>
      <c r="H18" s="12">
        <v>0</v>
      </c>
      <c r="I18" s="12">
        <v>1</v>
      </c>
      <c r="J18" s="12">
        <v>4</v>
      </c>
      <c r="K18" s="12">
        <v>1</v>
      </c>
      <c r="L18" s="12">
        <v>3</v>
      </c>
      <c r="M18" s="12">
        <v>0</v>
      </c>
      <c r="N18" s="12">
        <v>0</v>
      </c>
      <c r="O18" s="12">
        <v>0</v>
      </c>
      <c r="P18" s="12">
        <v>3</v>
      </c>
      <c r="Q18" s="12">
        <v>0</v>
      </c>
      <c r="R18" s="12">
        <v>0</v>
      </c>
      <c r="S18" s="12">
        <v>1</v>
      </c>
      <c r="T18" s="12">
        <v>0</v>
      </c>
      <c r="U18" s="12">
        <v>0</v>
      </c>
      <c r="V18" s="12">
        <v>0</v>
      </c>
      <c r="W18" s="12">
        <v>0</v>
      </c>
      <c r="X18" s="12">
        <v>3</v>
      </c>
      <c r="Y18" s="12">
        <v>5</v>
      </c>
      <c r="Z18" s="12">
        <v>0</v>
      </c>
      <c r="AA18" s="12">
        <v>1</v>
      </c>
      <c r="AB18" s="12">
        <v>0</v>
      </c>
      <c r="AC18" s="12">
        <v>0</v>
      </c>
      <c r="AD18" s="13">
        <v>0</v>
      </c>
      <c r="AE18" s="19"/>
    </row>
    <row r="19" spans="1:49" ht="16.5" x14ac:dyDescent="0.3">
      <c r="A19" s="11">
        <v>4</v>
      </c>
      <c r="B19" s="12">
        <v>2</v>
      </c>
      <c r="C19" s="12">
        <v>8</v>
      </c>
      <c r="D19" s="12">
        <v>8</v>
      </c>
      <c r="E19" s="12">
        <v>8</v>
      </c>
      <c r="F19" s="12">
        <v>8</v>
      </c>
      <c r="G19" s="12">
        <v>0</v>
      </c>
      <c r="H19" s="12">
        <v>0</v>
      </c>
      <c r="I19" s="12">
        <v>1</v>
      </c>
      <c r="J19" s="12">
        <v>5</v>
      </c>
      <c r="K19" s="12">
        <v>2</v>
      </c>
      <c r="L19" s="12">
        <v>4</v>
      </c>
      <c r="M19" s="12">
        <v>2</v>
      </c>
      <c r="N19" s="12">
        <v>0</v>
      </c>
      <c r="O19" s="12">
        <v>0</v>
      </c>
      <c r="P19" s="12">
        <v>4</v>
      </c>
      <c r="Q19" s="12">
        <v>0</v>
      </c>
      <c r="R19" s="12">
        <v>0</v>
      </c>
      <c r="S19" s="12">
        <v>1</v>
      </c>
      <c r="T19" s="12">
        <v>1</v>
      </c>
      <c r="U19" s="12">
        <v>0</v>
      </c>
      <c r="V19" s="12">
        <v>0</v>
      </c>
      <c r="W19" s="12">
        <v>0</v>
      </c>
      <c r="X19" s="12">
        <v>4</v>
      </c>
      <c r="Y19" s="12">
        <v>6</v>
      </c>
      <c r="Z19" s="12">
        <v>0</v>
      </c>
      <c r="AA19" s="12">
        <v>2</v>
      </c>
      <c r="AB19" s="12">
        <v>0</v>
      </c>
      <c r="AC19" s="12">
        <v>0</v>
      </c>
      <c r="AD19" s="13">
        <v>0</v>
      </c>
      <c r="AE19" s="19"/>
    </row>
    <row r="20" spans="1:49" ht="16.5" x14ac:dyDescent="0.3">
      <c r="A20" s="11">
        <v>5</v>
      </c>
      <c r="B20" s="12">
        <v>2</v>
      </c>
      <c r="C20" s="12">
        <v>10</v>
      </c>
      <c r="D20" s="12">
        <v>10</v>
      </c>
      <c r="E20" s="12">
        <v>9</v>
      </c>
      <c r="F20" s="12">
        <v>9</v>
      </c>
      <c r="G20" s="12">
        <v>0</v>
      </c>
      <c r="H20" s="12">
        <v>0</v>
      </c>
      <c r="I20" s="12">
        <v>1</v>
      </c>
      <c r="J20" s="12">
        <v>6</v>
      </c>
      <c r="K20" s="12">
        <v>3</v>
      </c>
      <c r="L20" s="12">
        <v>6</v>
      </c>
      <c r="M20" s="12">
        <v>3</v>
      </c>
      <c r="N20" s="12">
        <v>2</v>
      </c>
      <c r="O20" s="12">
        <v>0</v>
      </c>
      <c r="P20" s="12">
        <v>5</v>
      </c>
      <c r="Q20" s="12">
        <v>0</v>
      </c>
      <c r="R20" s="12">
        <v>0</v>
      </c>
      <c r="S20" s="12">
        <v>1</v>
      </c>
      <c r="T20" s="12">
        <v>1</v>
      </c>
      <c r="U20" s="12">
        <v>0</v>
      </c>
      <c r="V20" s="12">
        <v>1</v>
      </c>
      <c r="W20" s="12">
        <v>0</v>
      </c>
      <c r="X20" s="12">
        <v>5</v>
      </c>
      <c r="Y20" s="12">
        <v>7</v>
      </c>
      <c r="Z20" s="12">
        <v>0</v>
      </c>
      <c r="AA20" s="12">
        <v>3</v>
      </c>
      <c r="AB20" s="12">
        <v>1</v>
      </c>
      <c r="AC20" s="12">
        <v>0</v>
      </c>
      <c r="AD20" s="13">
        <v>0</v>
      </c>
      <c r="AE20" s="19"/>
    </row>
    <row r="21" spans="1:49" ht="16.5" x14ac:dyDescent="0.3">
      <c r="A21" s="11">
        <v>6</v>
      </c>
      <c r="B21" s="12">
        <v>3</v>
      </c>
      <c r="C21" s="12">
        <v>10</v>
      </c>
      <c r="D21" s="12">
        <v>10</v>
      </c>
      <c r="E21" s="12">
        <v>10</v>
      </c>
      <c r="F21" s="12">
        <v>10</v>
      </c>
      <c r="G21" s="12">
        <v>0</v>
      </c>
      <c r="H21" s="12">
        <v>0</v>
      </c>
      <c r="I21" s="12">
        <v>1</v>
      </c>
      <c r="J21" s="12">
        <v>7</v>
      </c>
      <c r="K21" s="12">
        <v>4</v>
      </c>
      <c r="L21" s="12">
        <v>7</v>
      </c>
      <c r="M21" s="12">
        <v>4</v>
      </c>
      <c r="N21" s="12">
        <v>3</v>
      </c>
      <c r="O21" s="12">
        <v>0</v>
      </c>
      <c r="P21" s="12">
        <v>6</v>
      </c>
      <c r="Q21" s="12">
        <v>0</v>
      </c>
      <c r="R21" s="12">
        <v>0</v>
      </c>
      <c r="S21" s="12">
        <v>1</v>
      </c>
      <c r="T21" s="12">
        <v>1</v>
      </c>
      <c r="U21" s="12">
        <v>1</v>
      </c>
      <c r="V21" s="12">
        <v>1</v>
      </c>
      <c r="W21" s="12">
        <v>0</v>
      </c>
      <c r="X21" s="12">
        <v>6</v>
      </c>
      <c r="Y21" s="12">
        <v>8</v>
      </c>
      <c r="Z21" s="12">
        <v>0</v>
      </c>
      <c r="AA21" s="12">
        <v>4</v>
      </c>
      <c r="AB21" s="12">
        <v>2</v>
      </c>
      <c r="AC21" s="12">
        <v>0</v>
      </c>
      <c r="AD21" s="13">
        <v>0</v>
      </c>
      <c r="AE21" s="19"/>
    </row>
    <row r="22" spans="1:49" ht="16.5" x14ac:dyDescent="0.3">
      <c r="A22" s="11">
        <v>7</v>
      </c>
      <c r="B22" s="12">
        <v>3</v>
      </c>
      <c r="C22" s="12">
        <v>11</v>
      </c>
      <c r="D22" s="12">
        <v>11</v>
      </c>
      <c r="E22" s="12">
        <v>11</v>
      </c>
      <c r="F22" s="12">
        <v>11</v>
      </c>
      <c r="G22" s="12">
        <v>0</v>
      </c>
      <c r="H22" s="12">
        <v>2</v>
      </c>
      <c r="I22" s="12">
        <v>1</v>
      </c>
      <c r="J22" s="12">
        <v>8</v>
      </c>
      <c r="K22" s="12">
        <v>5</v>
      </c>
      <c r="L22" s="12">
        <v>8</v>
      </c>
      <c r="M22" s="12">
        <v>5</v>
      </c>
      <c r="N22" s="12">
        <v>4</v>
      </c>
      <c r="O22" s="12">
        <v>3</v>
      </c>
      <c r="P22" s="12">
        <v>7</v>
      </c>
      <c r="Q22" s="12">
        <v>0</v>
      </c>
      <c r="R22" s="12">
        <v>0</v>
      </c>
      <c r="S22" s="12">
        <v>1</v>
      </c>
      <c r="T22" s="12">
        <v>1</v>
      </c>
      <c r="U22" s="12">
        <v>1</v>
      </c>
      <c r="V22" s="12">
        <v>1</v>
      </c>
      <c r="W22" s="12">
        <v>1</v>
      </c>
      <c r="X22" s="12">
        <v>7</v>
      </c>
      <c r="Y22" s="12">
        <v>9</v>
      </c>
      <c r="Z22" s="12">
        <v>2</v>
      </c>
      <c r="AA22" s="12">
        <v>5</v>
      </c>
      <c r="AB22" s="12">
        <v>3</v>
      </c>
      <c r="AC22" s="12">
        <v>5</v>
      </c>
      <c r="AD22" s="13">
        <v>0</v>
      </c>
      <c r="AE22" s="19"/>
    </row>
    <row r="23" spans="1:49" ht="16.5" x14ac:dyDescent="0.3">
      <c r="A23" s="11">
        <v>8</v>
      </c>
      <c r="B23" s="12">
        <v>4</v>
      </c>
      <c r="C23" s="12">
        <v>11</v>
      </c>
      <c r="D23" s="12">
        <v>11</v>
      </c>
      <c r="E23" s="12">
        <v>11</v>
      </c>
      <c r="F23" s="12">
        <v>11</v>
      </c>
      <c r="G23" s="12">
        <v>3</v>
      </c>
      <c r="H23" s="12">
        <v>4</v>
      </c>
      <c r="I23" s="12">
        <v>1</v>
      </c>
      <c r="J23" s="12">
        <v>10</v>
      </c>
      <c r="K23" s="12">
        <v>6</v>
      </c>
      <c r="L23" s="12">
        <v>10</v>
      </c>
      <c r="M23" s="12">
        <v>6</v>
      </c>
      <c r="N23" s="12">
        <v>6</v>
      </c>
      <c r="O23" s="12">
        <v>6</v>
      </c>
      <c r="P23" s="12">
        <v>8</v>
      </c>
      <c r="Q23" s="12">
        <v>0</v>
      </c>
      <c r="R23" s="12">
        <v>0</v>
      </c>
      <c r="S23" s="12">
        <v>1</v>
      </c>
      <c r="T23" s="12">
        <v>1</v>
      </c>
      <c r="U23" s="12">
        <v>1</v>
      </c>
      <c r="V23" s="12">
        <v>1</v>
      </c>
      <c r="W23" s="12">
        <v>1</v>
      </c>
      <c r="X23" s="12">
        <v>7</v>
      </c>
      <c r="Y23" s="12">
        <v>10</v>
      </c>
      <c r="Z23" s="12">
        <v>4</v>
      </c>
      <c r="AA23" s="12">
        <v>6</v>
      </c>
      <c r="AB23" s="12">
        <v>4</v>
      </c>
      <c r="AC23" s="12">
        <v>10</v>
      </c>
      <c r="AD23" s="13">
        <v>0</v>
      </c>
      <c r="AE23" s="19"/>
    </row>
    <row r="24" spans="1:49" ht="16.5" x14ac:dyDescent="0.3">
      <c r="A24" s="11">
        <v>9</v>
      </c>
      <c r="B24" s="12">
        <v>5</v>
      </c>
      <c r="C24" s="12">
        <v>11</v>
      </c>
      <c r="D24" s="12">
        <v>11</v>
      </c>
      <c r="E24" s="12">
        <v>11</v>
      </c>
      <c r="F24" s="12">
        <v>11</v>
      </c>
      <c r="G24" s="12">
        <v>6</v>
      </c>
      <c r="H24" s="12">
        <v>6</v>
      </c>
      <c r="I24" s="12">
        <v>1</v>
      </c>
      <c r="J24" s="12">
        <v>11</v>
      </c>
      <c r="K24" s="12">
        <v>7</v>
      </c>
      <c r="L24" s="12">
        <v>11</v>
      </c>
      <c r="M24" s="12">
        <v>7</v>
      </c>
      <c r="N24" s="12">
        <v>7</v>
      </c>
      <c r="O24" s="12">
        <v>7</v>
      </c>
      <c r="P24" s="12">
        <v>10</v>
      </c>
      <c r="Q24" s="12">
        <v>3</v>
      </c>
      <c r="R24" s="12">
        <v>0</v>
      </c>
      <c r="S24" s="12">
        <v>1</v>
      </c>
      <c r="T24" s="12">
        <v>1</v>
      </c>
      <c r="U24" s="12">
        <v>1</v>
      </c>
      <c r="V24" s="12">
        <v>1</v>
      </c>
      <c r="W24" s="12">
        <v>1</v>
      </c>
      <c r="X24" s="12">
        <v>7</v>
      </c>
      <c r="Y24" s="12">
        <v>10</v>
      </c>
      <c r="Z24" s="12">
        <v>4</v>
      </c>
      <c r="AA24" s="12">
        <v>7</v>
      </c>
      <c r="AB24" s="12">
        <v>4</v>
      </c>
      <c r="AC24" s="12">
        <v>30</v>
      </c>
      <c r="AD24" s="13">
        <v>40</v>
      </c>
      <c r="AE24" s="19"/>
    </row>
    <row r="25" spans="1:49" ht="16.5" x14ac:dyDescent="0.3">
      <c r="A25" s="14">
        <v>10</v>
      </c>
      <c r="B25" s="15">
        <v>5</v>
      </c>
      <c r="C25" s="15">
        <v>11</v>
      </c>
      <c r="D25" s="15">
        <v>11</v>
      </c>
      <c r="E25" s="15">
        <v>11</v>
      </c>
      <c r="F25" s="15">
        <v>11</v>
      </c>
      <c r="G25" s="15">
        <v>6</v>
      </c>
      <c r="H25" s="15">
        <v>6</v>
      </c>
      <c r="I25" s="15">
        <v>1</v>
      </c>
      <c r="J25" s="15">
        <v>11</v>
      </c>
      <c r="K25" s="15">
        <v>7</v>
      </c>
      <c r="L25" s="15">
        <v>11</v>
      </c>
      <c r="M25" s="15">
        <v>8</v>
      </c>
      <c r="N25" s="15">
        <v>7</v>
      </c>
      <c r="O25" s="15">
        <v>7</v>
      </c>
      <c r="P25" s="15">
        <v>10</v>
      </c>
      <c r="Q25" s="15">
        <v>4</v>
      </c>
      <c r="R25" s="15">
        <v>2</v>
      </c>
      <c r="S25" s="15">
        <v>1</v>
      </c>
      <c r="T25" s="15">
        <v>1</v>
      </c>
      <c r="U25" s="15">
        <v>1</v>
      </c>
      <c r="V25" s="15">
        <v>1</v>
      </c>
      <c r="W25" s="15">
        <v>1</v>
      </c>
      <c r="X25" s="15">
        <v>7</v>
      </c>
      <c r="Y25" s="15">
        <v>10</v>
      </c>
      <c r="Z25" s="15">
        <v>4</v>
      </c>
      <c r="AA25" s="15">
        <v>8</v>
      </c>
      <c r="AB25" s="15">
        <v>4</v>
      </c>
      <c r="AC25" s="15">
        <v>40</v>
      </c>
      <c r="AD25" s="16">
        <v>40</v>
      </c>
      <c r="AE25" s="19"/>
    </row>
    <row r="27" spans="1:49" ht="16.5" x14ac:dyDescent="0.3">
      <c r="A27" s="1" t="s">
        <v>41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9" ht="15" x14ac:dyDescent="0.25">
      <c r="A28" s="21" t="s">
        <v>42</v>
      </c>
      <c r="B28" s="21" t="s">
        <v>11</v>
      </c>
      <c r="C28" s="21" t="s">
        <v>12</v>
      </c>
      <c r="D28" s="21" t="s">
        <v>13</v>
      </c>
      <c r="E28" s="21" t="s">
        <v>14</v>
      </c>
      <c r="F28" s="21" t="s">
        <v>15</v>
      </c>
      <c r="G28" s="21" t="s">
        <v>16</v>
      </c>
      <c r="H28" s="21" t="s">
        <v>17</v>
      </c>
      <c r="I28" s="21" t="s">
        <v>18</v>
      </c>
      <c r="J28" s="21" t="s">
        <v>19</v>
      </c>
      <c r="K28" s="21" t="s">
        <v>20</v>
      </c>
      <c r="L28" s="21" t="s">
        <v>21</v>
      </c>
      <c r="M28" s="21" t="s">
        <v>22</v>
      </c>
      <c r="N28" s="21" t="s">
        <v>23</v>
      </c>
      <c r="O28" s="21" t="s">
        <v>24</v>
      </c>
      <c r="P28" s="21" t="s">
        <v>25</v>
      </c>
      <c r="Q28" s="21" t="s">
        <v>26</v>
      </c>
      <c r="R28" s="21" t="s">
        <v>27</v>
      </c>
      <c r="S28" s="21" t="s">
        <v>28</v>
      </c>
      <c r="T28" s="21" t="s">
        <v>29</v>
      </c>
      <c r="U28" s="21" t="s">
        <v>30</v>
      </c>
      <c r="V28" s="21" t="s">
        <v>31</v>
      </c>
      <c r="W28" s="21" t="s">
        <v>32</v>
      </c>
      <c r="X28" s="21" t="s">
        <v>33</v>
      </c>
      <c r="Y28" s="21" t="s">
        <v>34</v>
      </c>
      <c r="Z28" s="21" t="s">
        <v>35</v>
      </c>
      <c r="AA28" s="21" t="s">
        <v>36</v>
      </c>
      <c r="AB28" s="21" t="s">
        <v>37</v>
      </c>
      <c r="AC28" s="21" t="s">
        <v>38</v>
      </c>
      <c r="AD28" s="22" t="s">
        <v>39</v>
      </c>
      <c r="AE28" s="21" t="s">
        <v>43</v>
      </c>
      <c r="AF28" s="21" t="s">
        <v>44</v>
      </c>
      <c r="AG28" s="21" t="s">
        <v>45</v>
      </c>
      <c r="AH28" s="21" t="s">
        <v>46</v>
      </c>
      <c r="AI28" s="21" t="s">
        <v>47</v>
      </c>
      <c r="AJ28" s="21" t="s">
        <v>48</v>
      </c>
      <c r="AK28" s="21" t="s">
        <v>49</v>
      </c>
      <c r="AL28" s="21" t="s">
        <v>50</v>
      </c>
      <c r="AM28" s="21" t="s">
        <v>51</v>
      </c>
      <c r="AN28" s="21" t="s">
        <v>52</v>
      </c>
      <c r="AO28" s="21" t="s">
        <v>53</v>
      </c>
      <c r="AP28" s="21" t="s">
        <v>54</v>
      </c>
      <c r="AQ28" s="21" t="s">
        <v>55</v>
      </c>
      <c r="AR28" s="21" t="s">
        <v>56</v>
      </c>
      <c r="AS28" s="21" t="s">
        <v>57</v>
      </c>
      <c r="AT28" s="21" t="s">
        <v>58</v>
      </c>
      <c r="AU28" s="22" t="s">
        <v>59</v>
      </c>
      <c r="AV28" s="21" t="s">
        <v>60</v>
      </c>
      <c r="AW28" s="19"/>
    </row>
    <row r="29" spans="1:49" x14ac:dyDescent="0.15">
      <c r="A29" s="23">
        <v>0</v>
      </c>
      <c r="B29" s="23">
        <v>0</v>
      </c>
      <c r="C29" s="23">
        <f>[1]建筑配置!C17+[1]建筑配置!D17</f>
        <v>4.1666666666666666E-3</v>
      </c>
      <c r="D29" s="23">
        <f>[1]建筑配置!C26+[1]建筑配置!D26</f>
        <v>4.1666666666666666E-3</v>
      </c>
      <c r="E29" s="24">
        <f>[1]建筑配置!C35</f>
        <v>1.0416666666666666E-2</v>
      </c>
      <c r="F29" s="23">
        <f>[1]建筑配置!C43</f>
        <v>1.0416666666666666E-2</v>
      </c>
      <c r="G29" s="23">
        <f>IF(G16=0,0,"")</f>
        <v>0</v>
      </c>
      <c r="H29" s="23">
        <f>IF(H16=0,0,"")</f>
        <v>0</v>
      </c>
      <c r="I29" s="23">
        <v>0</v>
      </c>
      <c r="J29" s="23">
        <f>[1]建筑配置!C68+[1]建筑配置!D68</f>
        <v>1.111111111111111E-2</v>
      </c>
      <c r="K29" s="23">
        <f t="shared" ref="K29:W29" si="0">IF(K16=0,0,"")</f>
        <v>0</v>
      </c>
      <c r="L29" s="23">
        <f t="shared" si="0"/>
        <v>0</v>
      </c>
      <c r="M29" s="23">
        <f t="shared" si="0"/>
        <v>0</v>
      </c>
      <c r="N29" s="23">
        <f t="shared" si="0"/>
        <v>0</v>
      </c>
      <c r="O29" s="23">
        <f t="shared" si="0"/>
        <v>0</v>
      </c>
      <c r="P29" s="23">
        <f t="shared" si="0"/>
        <v>0</v>
      </c>
      <c r="Q29" s="23">
        <f t="shared" si="0"/>
        <v>0</v>
      </c>
      <c r="R29" s="23">
        <f t="shared" si="0"/>
        <v>0</v>
      </c>
      <c r="S29" s="23">
        <f t="shared" si="0"/>
        <v>0</v>
      </c>
      <c r="T29" s="23">
        <f t="shared" si="0"/>
        <v>0</v>
      </c>
      <c r="U29" s="23">
        <f t="shared" si="0"/>
        <v>0</v>
      </c>
      <c r="V29" s="23">
        <f t="shared" si="0"/>
        <v>0</v>
      </c>
      <c r="W29" s="23">
        <f t="shared" si="0"/>
        <v>0</v>
      </c>
      <c r="X29" s="23">
        <f>[1]建筑配置!C140</f>
        <v>3.472222222222222E-3</v>
      </c>
      <c r="Y29" s="23">
        <f>[1]建筑配置!C148+[1]建筑配置!D148+[1]建筑配置!E148</f>
        <v>9.4444444444444442E-2</v>
      </c>
      <c r="Z29" s="23">
        <f>IF(Z16=0,0,"")</f>
        <v>0</v>
      </c>
      <c r="AA29" s="23">
        <f>IF(AA16=0,0,"")</f>
        <v>0</v>
      </c>
      <c r="AB29" s="23">
        <f>IF(AB16=0,0,"")</f>
        <v>0</v>
      </c>
      <c r="AC29" s="23">
        <f>IF(AC16=0,0,"")</f>
        <v>0</v>
      </c>
      <c r="AD29" s="25">
        <f>IF(AD16=0,0,"")</f>
        <v>0</v>
      </c>
      <c r="AE29" s="25">
        <f t="shared" ref="AE29:AV29" si="1">IF(AE16=0,0,"")</f>
        <v>0</v>
      </c>
      <c r="AF29" s="25">
        <f t="shared" si="1"/>
        <v>0</v>
      </c>
      <c r="AG29" s="25">
        <f t="shared" si="1"/>
        <v>0</v>
      </c>
      <c r="AH29" s="25">
        <f t="shared" si="1"/>
        <v>0</v>
      </c>
      <c r="AI29" s="25">
        <f t="shared" si="1"/>
        <v>0</v>
      </c>
      <c r="AJ29" s="25">
        <f t="shared" si="1"/>
        <v>0</v>
      </c>
      <c r="AK29" s="25">
        <f t="shared" si="1"/>
        <v>0</v>
      </c>
      <c r="AL29" s="25">
        <f t="shared" si="1"/>
        <v>0</v>
      </c>
      <c r="AM29" s="25">
        <f t="shared" si="1"/>
        <v>0</v>
      </c>
      <c r="AN29" s="25">
        <f t="shared" si="1"/>
        <v>0</v>
      </c>
      <c r="AO29" s="25">
        <f t="shared" si="1"/>
        <v>0</v>
      </c>
      <c r="AP29" s="25">
        <f t="shared" si="1"/>
        <v>0</v>
      </c>
      <c r="AQ29" s="25">
        <f t="shared" si="1"/>
        <v>0</v>
      </c>
      <c r="AR29" s="25">
        <f t="shared" si="1"/>
        <v>0</v>
      </c>
      <c r="AS29" s="25">
        <f t="shared" si="1"/>
        <v>0</v>
      </c>
      <c r="AT29" s="25">
        <f t="shared" si="1"/>
        <v>0</v>
      </c>
      <c r="AU29" s="25">
        <f t="shared" si="1"/>
        <v>0</v>
      </c>
      <c r="AV29" s="23">
        <f t="shared" si="1"/>
        <v>0</v>
      </c>
      <c r="AW29" s="19"/>
    </row>
    <row r="30" spans="1:49" x14ac:dyDescent="0.15">
      <c r="A30" s="23">
        <f>[1]建筑配置!D3</f>
        <v>3.472222222222222E-3</v>
      </c>
      <c r="B30" s="23">
        <v>0</v>
      </c>
      <c r="C30" s="23">
        <f>[1]建筑配置!E17+[1]建筑配置!F17</f>
        <v>5.2083333333333329E-2</v>
      </c>
      <c r="D30" s="23">
        <f>[1]建筑配置!E26+[1]建筑配置!F26</f>
        <v>5.2083333333333329E-2</v>
      </c>
      <c r="E30" s="23">
        <f>[1]建筑配置!D35+[1]建筑配置!E35</f>
        <v>6.25E-2</v>
      </c>
      <c r="F30" s="23">
        <f>[1]建筑配置!D43+[1]建筑配置!E43</f>
        <v>6.25E-2</v>
      </c>
      <c r="G30" s="23">
        <f t="shared" ref="G30:I34" si="2">IF(G17=G16,0,"")</f>
        <v>0</v>
      </c>
      <c r="H30" s="23">
        <f t="shared" si="2"/>
        <v>0</v>
      </c>
      <c r="I30" s="23">
        <f t="shared" si="2"/>
        <v>0</v>
      </c>
      <c r="J30" s="24">
        <f>[1]建筑配置!E68</f>
        <v>3.125E-2</v>
      </c>
      <c r="K30" s="23">
        <f>IF(K17=K16,0,"")</f>
        <v>0</v>
      </c>
      <c r="L30" s="23">
        <f>[1]建筑配置!C84+[1]建筑配置!D84</f>
        <v>3.125E-2</v>
      </c>
      <c r="M30" s="23">
        <f t="shared" ref="M30:O31" si="3">IF(M17=M16,0,"")</f>
        <v>0</v>
      </c>
      <c r="N30" s="23">
        <f t="shared" si="3"/>
        <v>0</v>
      </c>
      <c r="O30" s="23">
        <f t="shared" si="3"/>
        <v>0</v>
      </c>
      <c r="P30" s="23">
        <v>0</v>
      </c>
      <c r="Q30" s="23">
        <f t="shared" ref="Q30:S38" si="4">IF(Q17=Q16,0,"")</f>
        <v>0</v>
      </c>
      <c r="R30" s="23">
        <f t="shared" si="4"/>
        <v>0</v>
      </c>
      <c r="S30" s="23">
        <v>0</v>
      </c>
      <c r="T30" s="23">
        <f t="shared" ref="T30:W31" si="5">IF(T17=T16,0,"")</f>
        <v>0</v>
      </c>
      <c r="U30" s="23">
        <f t="shared" si="5"/>
        <v>0</v>
      </c>
      <c r="V30" s="23">
        <f t="shared" si="5"/>
        <v>0</v>
      </c>
      <c r="W30" s="23">
        <f t="shared" si="5"/>
        <v>0</v>
      </c>
      <c r="X30" s="23">
        <f>[1]建筑配置!D140</f>
        <v>4.1666666666666664E-2</v>
      </c>
      <c r="Y30" s="23">
        <f>[1]建筑配置!F148</f>
        <v>0.16666666666666666</v>
      </c>
      <c r="Z30" s="23">
        <f>IF(Z17=Z16,0,"")</f>
        <v>0</v>
      </c>
      <c r="AA30" s="23">
        <f>IF(AA17=AA16,0,"")</f>
        <v>0</v>
      </c>
      <c r="AB30" s="23">
        <f>IF(AB17=AB16,0,"")</f>
        <v>0</v>
      </c>
      <c r="AC30" s="23">
        <f>IF(AC17=AC16,0,"")</f>
        <v>0</v>
      </c>
      <c r="AD30" s="25">
        <f>IF(AD17=AD16,0,"")</f>
        <v>0</v>
      </c>
      <c r="AE30" s="25">
        <f t="shared" ref="AE30:AV30" si="6">IF(AE17=AE16,0,"")</f>
        <v>0</v>
      </c>
      <c r="AF30" s="25">
        <f t="shared" si="6"/>
        <v>0</v>
      </c>
      <c r="AG30" s="25">
        <f t="shared" si="6"/>
        <v>0</v>
      </c>
      <c r="AH30" s="25">
        <f t="shared" si="6"/>
        <v>0</v>
      </c>
      <c r="AI30" s="25">
        <f t="shared" si="6"/>
        <v>0</v>
      </c>
      <c r="AJ30" s="25">
        <f t="shared" si="6"/>
        <v>0</v>
      </c>
      <c r="AK30" s="25">
        <f t="shared" si="6"/>
        <v>0</v>
      </c>
      <c r="AL30" s="25">
        <f t="shared" si="6"/>
        <v>0</v>
      </c>
      <c r="AM30" s="25">
        <f t="shared" si="6"/>
        <v>0</v>
      </c>
      <c r="AN30" s="25">
        <f t="shared" si="6"/>
        <v>0</v>
      </c>
      <c r="AO30" s="25">
        <f t="shared" si="6"/>
        <v>0</v>
      </c>
      <c r="AP30" s="25">
        <f t="shared" si="6"/>
        <v>0</v>
      </c>
      <c r="AQ30" s="25">
        <f t="shared" si="6"/>
        <v>0</v>
      </c>
      <c r="AR30" s="25">
        <f t="shared" si="6"/>
        <v>0</v>
      </c>
      <c r="AS30" s="25">
        <f t="shared" si="6"/>
        <v>0</v>
      </c>
      <c r="AT30" s="25">
        <f t="shared" si="6"/>
        <v>0</v>
      </c>
      <c r="AU30" s="25">
        <f t="shared" si="6"/>
        <v>0</v>
      </c>
      <c r="AV30" s="23">
        <f t="shared" si="6"/>
        <v>0</v>
      </c>
      <c r="AW30" s="19"/>
    </row>
    <row r="31" spans="1:49" x14ac:dyDescent="0.15">
      <c r="A31" s="23">
        <f>[1]建筑配置!E3</f>
        <v>0.125</v>
      </c>
      <c r="B31" s="23">
        <f>[1]建筑配置!C10</f>
        <v>0</v>
      </c>
      <c r="C31" s="23">
        <f>[1]建筑配置!G17+[1]建筑配置!H17</f>
        <v>0.33333333333333331</v>
      </c>
      <c r="D31" s="23">
        <f>[1]建筑配置!G26+[1]建筑配置!H26</f>
        <v>0.33333333333333331</v>
      </c>
      <c r="E31" s="23">
        <f>[1]建筑配置!F26+[1]建筑配置!G26+[1]建筑配置!H26</f>
        <v>0.375</v>
      </c>
      <c r="F31" s="23">
        <f>[1]建筑配置!F43+[1]建筑配置!G43+[1]建筑配置!H43</f>
        <v>0.375</v>
      </c>
      <c r="G31" s="23">
        <f t="shared" si="2"/>
        <v>0</v>
      </c>
      <c r="H31" s="23">
        <f t="shared" si="2"/>
        <v>0</v>
      </c>
      <c r="I31" s="23">
        <f t="shared" si="2"/>
        <v>0</v>
      </c>
      <c r="J31" s="23">
        <f>[1]建筑配置!F68</f>
        <v>8.3333333333333329E-2</v>
      </c>
      <c r="K31" s="23">
        <f>[1]建筑配置!C76</f>
        <v>0.33333333333333331</v>
      </c>
      <c r="L31" s="23">
        <f>[1]建筑配置!E84</f>
        <v>3.125E-2</v>
      </c>
      <c r="M31" s="23">
        <f t="shared" si="3"/>
        <v>0</v>
      </c>
      <c r="N31" s="23">
        <f t="shared" si="3"/>
        <v>0</v>
      </c>
      <c r="O31" s="23">
        <f t="shared" si="3"/>
        <v>0</v>
      </c>
      <c r="P31" s="23">
        <v>0</v>
      </c>
      <c r="Q31" s="23">
        <f t="shared" si="4"/>
        <v>0</v>
      </c>
      <c r="R31" s="23">
        <f t="shared" si="4"/>
        <v>0</v>
      </c>
      <c r="S31" s="23">
        <f t="shared" si="4"/>
        <v>0</v>
      </c>
      <c r="T31" s="23">
        <f t="shared" si="5"/>
        <v>0</v>
      </c>
      <c r="U31" s="23">
        <f t="shared" si="5"/>
        <v>0</v>
      </c>
      <c r="V31" s="23">
        <f t="shared" si="5"/>
        <v>0</v>
      </c>
      <c r="W31" s="23">
        <f t="shared" si="5"/>
        <v>0</v>
      </c>
      <c r="X31" s="23">
        <f>[1]建筑配置!E140</f>
        <v>0.125</v>
      </c>
      <c r="Y31" s="23">
        <f>[1]建筑配置!G148</f>
        <v>0.41666666666666669</v>
      </c>
      <c r="Z31" s="23">
        <f>IF(Z18=Z17,0,"")</f>
        <v>0</v>
      </c>
      <c r="AA31" s="23">
        <f>[1]建筑配置!C164</f>
        <v>2.0833333333333332E-2</v>
      </c>
      <c r="AB31" s="23">
        <f t="shared" ref="AB31:AD32" si="7">IF(AB18=AB17,0,"")</f>
        <v>0</v>
      </c>
      <c r="AC31" s="23">
        <f t="shared" si="7"/>
        <v>0</v>
      </c>
      <c r="AD31" s="25">
        <f t="shared" si="7"/>
        <v>0</v>
      </c>
      <c r="AE31" s="24">
        <f>[1]建筑配置!C169</f>
        <v>0.25</v>
      </c>
      <c r="AF31" s="24">
        <f>[1]建筑配置!C172</f>
        <v>0.5</v>
      </c>
      <c r="AG31" s="24">
        <f>[1]建筑配置!C175</f>
        <v>0.5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f>[1]建筑配置!C199</f>
        <v>1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7">
        <v>0</v>
      </c>
      <c r="AV31" s="26">
        <v>0</v>
      </c>
      <c r="AW31" s="19"/>
    </row>
    <row r="32" spans="1:49" x14ac:dyDescent="0.15">
      <c r="A32" s="23">
        <f>[1]建筑配置!F3</f>
        <v>1</v>
      </c>
      <c r="B32" s="23">
        <f>[1]建筑配置!D17</f>
        <v>3.472222222222222E-3</v>
      </c>
      <c r="C32" s="23">
        <f>[1]建筑配置!I17+[1]建筑配置!J17</f>
        <v>1.5</v>
      </c>
      <c r="D32" s="23">
        <f>[1]建筑配置!I26+[1]建筑配置!J26</f>
        <v>1.5</v>
      </c>
      <c r="E32" s="23">
        <f>[1]建筑配置!I35+[1]建筑配置!J35</f>
        <v>0.58333333333333326</v>
      </c>
      <c r="F32" s="23">
        <f>[1]建筑配置!I43+[1]建筑配置!J43</f>
        <v>0.58333333333333326</v>
      </c>
      <c r="G32" s="23">
        <f t="shared" si="2"/>
        <v>0</v>
      </c>
      <c r="H32" s="23">
        <f t="shared" si="2"/>
        <v>0</v>
      </c>
      <c r="I32" s="23">
        <f t="shared" si="2"/>
        <v>0</v>
      </c>
      <c r="J32" s="23">
        <f>[1]建筑配置!G68</f>
        <v>0.25</v>
      </c>
      <c r="K32" s="23">
        <f>[1]建筑配置!D76</f>
        <v>0.5</v>
      </c>
      <c r="L32" s="23">
        <f>[1]建筑配置!F84</f>
        <v>0.16666666666666666</v>
      </c>
      <c r="M32" s="23">
        <f>[1]建筑配置!C92+[1]建筑配置!D92</f>
        <v>1.2083333333333333</v>
      </c>
      <c r="N32" s="23">
        <f>IF(N19=N18,0,"")</f>
        <v>0</v>
      </c>
      <c r="O32" s="23">
        <f>IF(O19=O18,0,"")</f>
        <v>0</v>
      </c>
      <c r="P32" s="23">
        <v>0</v>
      </c>
      <c r="Q32" s="23">
        <f t="shared" si="4"/>
        <v>0</v>
      </c>
      <c r="R32" s="23">
        <f t="shared" si="4"/>
        <v>0</v>
      </c>
      <c r="S32" s="23">
        <f t="shared" si="4"/>
        <v>0</v>
      </c>
      <c r="T32" s="23">
        <v>0</v>
      </c>
      <c r="U32" s="23">
        <f>IF(U19=U18,0,"")</f>
        <v>0</v>
      </c>
      <c r="V32" s="23">
        <f>IF(V19=V18,0,"")</f>
        <v>0</v>
      </c>
      <c r="W32" s="23">
        <f>IF(W19=W18,0,"")</f>
        <v>0</v>
      </c>
      <c r="X32" s="23">
        <f>[1]建筑配置!F140</f>
        <v>0.33333333333333331</v>
      </c>
      <c r="Y32" s="23">
        <f>[1]建筑配置!H148</f>
        <v>0.66666666666666663</v>
      </c>
      <c r="Z32" s="23">
        <f>IF(Z19=Z18,0,"")</f>
        <v>0</v>
      </c>
      <c r="AA32" s="23">
        <f>[1]建筑配置!D164</f>
        <v>0.20833333333333334</v>
      </c>
      <c r="AB32" s="23">
        <f t="shared" si="7"/>
        <v>0</v>
      </c>
      <c r="AC32" s="23">
        <f t="shared" si="7"/>
        <v>0</v>
      </c>
      <c r="AD32" s="25">
        <f t="shared" si="7"/>
        <v>0</v>
      </c>
      <c r="AE32" s="26">
        <v>0</v>
      </c>
      <c r="AF32" s="26">
        <v>0</v>
      </c>
      <c r="AG32" s="26">
        <v>0</v>
      </c>
      <c r="AH32" s="26">
        <f>[1]建筑配置!D178</f>
        <v>1</v>
      </c>
      <c r="AI32" s="26">
        <f>[1]建筑配置!D181</f>
        <v>1</v>
      </c>
      <c r="AJ32" s="26">
        <f>[1]建筑配置!D184</f>
        <v>1</v>
      </c>
      <c r="AK32" s="26">
        <v>0</v>
      </c>
      <c r="AL32" s="26">
        <v>0</v>
      </c>
      <c r="AM32" s="26">
        <v>0</v>
      </c>
      <c r="AN32" s="26">
        <v>0</v>
      </c>
      <c r="AO32" s="26">
        <f>[1]建筑配置!D199</f>
        <v>2</v>
      </c>
      <c r="AP32" s="26">
        <f>[1]建筑配置!D202</f>
        <v>1</v>
      </c>
      <c r="AQ32" s="26">
        <v>0</v>
      </c>
      <c r="AR32" s="26">
        <v>0</v>
      </c>
      <c r="AS32" s="26">
        <v>0</v>
      </c>
      <c r="AT32" s="26">
        <v>0</v>
      </c>
      <c r="AU32" s="27">
        <v>0</v>
      </c>
      <c r="AV32" s="26">
        <v>0</v>
      </c>
      <c r="AW32" s="19"/>
    </row>
    <row r="33" spans="1:60" x14ac:dyDescent="0.15">
      <c r="A33" s="23">
        <f>[1]建筑配置!G3</f>
        <v>2</v>
      </c>
      <c r="B33" s="23">
        <v>0</v>
      </c>
      <c r="C33" s="23">
        <f>[1]建筑配置!K17+[1]建筑配置!L17</f>
        <v>5</v>
      </c>
      <c r="D33" s="23">
        <f>[1]建筑配置!K26+[1]建筑配置!L26</f>
        <v>5</v>
      </c>
      <c r="E33" s="23">
        <f>[1]建筑配置!K35</f>
        <v>0.5</v>
      </c>
      <c r="F33" s="23">
        <f>[1]建筑配置!K43</f>
        <v>0.5</v>
      </c>
      <c r="G33" s="23">
        <f t="shared" si="2"/>
        <v>0</v>
      </c>
      <c r="H33" s="23">
        <f t="shared" si="2"/>
        <v>0</v>
      </c>
      <c r="I33" s="23">
        <f t="shared" si="2"/>
        <v>0</v>
      </c>
      <c r="J33" s="23">
        <f>[1]建筑配置!H68</f>
        <v>0.5</v>
      </c>
      <c r="K33" s="23">
        <f>[1]建筑配置!E76</f>
        <v>1</v>
      </c>
      <c r="L33" s="23">
        <f>[1]建筑配置!G84+[1]建筑配置!H84</f>
        <v>1.5</v>
      </c>
      <c r="M33" s="23">
        <f>[1]建筑配置!E92</f>
        <v>3</v>
      </c>
      <c r="N33" s="23">
        <f>[1]建筑配置!C100+[1]建筑配置!D100</f>
        <v>1.5</v>
      </c>
      <c r="O33" s="23">
        <f>IF(O20=O19,0,"")</f>
        <v>0</v>
      </c>
      <c r="P33" s="23">
        <v>0</v>
      </c>
      <c r="Q33" s="23">
        <f t="shared" si="4"/>
        <v>0</v>
      </c>
      <c r="R33" s="23">
        <f t="shared" si="4"/>
        <v>0</v>
      </c>
      <c r="S33" s="23">
        <f t="shared" si="4"/>
        <v>0</v>
      </c>
      <c r="T33" s="23">
        <f>IF(T20=T19,0,"")</f>
        <v>0</v>
      </c>
      <c r="U33" s="23">
        <f>IF(U20=U19,0,"")</f>
        <v>0</v>
      </c>
      <c r="V33" s="23">
        <v>0</v>
      </c>
      <c r="W33" s="23">
        <f>IF(W20=W19,0,"")</f>
        <v>0</v>
      </c>
      <c r="X33" s="23">
        <f>[1]建筑配置!G140</f>
        <v>1</v>
      </c>
      <c r="Y33" s="23">
        <f>[1]建筑配置!I148</f>
        <v>1</v>
      </c>
      <c r="Z33" s="23">
        <f>IF(Z20=Z19,0,"")</f>
        <v>0</v>
      </c>
      <c r="AA33" s="23">
        <f>[1]建筑配置!E164</f>
        <v>0.5</v>
      </c>
      <c r="AB33" s="23">
        <f>[1]建筑配置!C225</f>
        <v>1</v>
      </c>
      <c r="AC33" s="23">
        <f>IF(AC20=AC19,0,"")</f>
        <v>0</v>
      </c>
      <c r="AD33" s="25">
        <f>IF(AD20=AD19,0,"")</f>
        <v>0</v>
      </c>
      <c r="AE33" s="26">
        <f>[1]建筑配置!E169</f>
        <v>1</v>
      </c>
      <c r="AF33" s="26">
        <f>[1]建筑配置!E172</f>
        <v>2</v>
      </c>
      <c r="AG33" s="26">
        <f>[1]建筑配置!E175</f>
        <v>2</v>
      </c>
      <c r="AH33" s="26">
        <v>0</v>
      </c>
      <c r="AI33" s="26">
        <v>0</v>
      </c>
      <c r="AJ33" s="26">
        <v>0</v>
      </c>
      <c r="AK33" s="26">
        <f>[1]建筑配置!E187</f>
        <v>1</v>
      </c>
      <c r="AL33" s="26">
        <v>0</v>
      </c>
      <c r="AM33" s="26">
        <v>0</v>
      </c>
      <c r="AN33" s="26">
        <v>0</v>
      </c>
      <c r="AO33" s="26">
        <f>[1]建筑配置!E199</f>
        <v>3</v>
      </c>
      <c r="AP33" s="26">
        <v>0</v>
      </c>
      <c r="AQ33" s="26">
        <f>[1]建筑配置!E205</f>
        <v>2</v>
      </c>
      <c r="AR33" s="26">
        <v>0</v>
      </c>
      <c r="AS33" s="26">
        <v>0</v>
      </c>
      <c r="AT33" s="26">
        <v>0</v>
      </c>
      <c r="AU33" s="27">
        <v>0</v>
      </c>
      <c r="AV33" s="26">
        <v>0</v>
      </c>
      <c r="AW33" s="19"/>
    </row>
    <row r="34" spans="1:60" x14ac:dyDescent="0.15">
      <c r="A34" s="23">
        <f>[1]建筑配置!H3</f>
        <v>4</v>
      </c>
      <c r="B34" s="23">
        <f>[1]建筑配置!E10</f>
        <v>1</v>
      </c>
      <c r="C34" s="23">
        <f>[1]建筑配置!M17</f>
        <v>4</v>
      </c>
      <c r="D34" s="23">
        <f>[1]建筑配置!M26</f>
        <v>4</v>
      </c>
      <c r="E34" s="23">
        <f>[1]建筑配置!L35</f>
        <v>1</v>
      </c>
      <c r="F34" s="23">
        <f>[1]建筑配置!L43</f>
        <v>1</v>
      </c>
      <c r="G34" s="23">
        <f t="shared" si="2"/>
        <v>0</v>
      </c>
      <c r="H34" s="23">
        <f t="shared" si="2"/>
        <v>0</v>
      </c>
      <c r="I34" s="23">
        <f t="shared" si="2"/>
        <v>0</v>
      </c>
      <c r="J34" s="23">
        <f>[1]建筑配置!I68</f>
        <v>1</v>
      </c>
      <c r="K34" s="23">
        <f>[1]建筑配置!F76</f>
        <v>2</v>
      </c>
      <c r="L34" s="23">
        <f>[1]建筑配置!I84</f>
        <v>3</v>
      </c>
      <c r="M34" s="23">
        <f>[1]建筑配置!F92</f>
        <v>5</v>
      </c>
      <c r="N34" s="23">
        <f>[1]建筑配置!E100</f>
        <v>2</v>
      </c>
      <c r="O34" s="23">
        <f>IF(O21=O20,0,"")</f>
        <v>0</v>
      </c>
      <c r="P34" s="23">
        <v>0</v>
      </c>
      <c r="Q34" s="23">
        <f t="shared" si="4"/>
        <v>0</v>
      </c>
      <c r="R34" s="23">
        <f t="shared" si="4"/>
        <v>0</v>
      </c>
      <c r="S34" s="23">
        <f t="shared" si="4"/>
        <v>0</v>
      </c>
      <c r="T34" s="23">
        <f>IF(T21=T20,0,"")</f>
        <v>0</v>
      </c>
      <c r="U34" s="23">
        <v>0</v>
      </c>
      <c r="V34" s="23">
        <f>IF(V21=V20,0,"")</f>
        <v>0</v>
      </c>
      <c r="W34" s="23">
        <f>IF(W21=W20,0,"")</f>
        <v>0</v>
      </c>
      <c r="X34" s="23">
        <f>[1]建筑配置!H140</f>
        <v>3</v>
      </c>
      <c r="Y34" s="23">
        <f>[1]建筑配置!J148</f>
        <v>2</v>
      </c>
      <c r="Z34" s="23">
        <f>IF(Z21=Z20,0,"")</f>
        <v>0</v>
      </c>
      <c r="AA34" s="23">
        <f>[1]建筑配置!F164</f>
        <v>1</v>
      </c>
      <c r="AB34" s="23">
        <f>[1]建筑配置!D225</f>
        <v>2</v>
      </c>
      <c r="AC34" s="23">
        <f>IF(AC21=AC20,0,"")</f>
        <v>0</v>
      </c>
      <c r="AD34" s="25">
        <f>IF(AD21=AD20,0,"")</f>
        <v>0</v>
      </c>
      <c r="AE34" s="26">
        <v>0</v>
      </c>
      <c r="AF34" s="26">
        <v>0</v>
      </c>
      <c r="AG34" s="26">
        <v>0</v>
      </c>
      <c r="AH34" s="26">
        <f>[1]建筑配置!F178</f>
        <v>2</v>
      </c>
      <c r="AI34" s="26">
        <f>[1]建筑配置!F181</f>
        <v>2</v>
      </c>
      <c r="AJ34" s="26">
        <f>[1]建筑配置!F184</f>
        <v>2</v>
      </c>
      <c r="AK34" s="26">
        <f>[1]建筑配置!F187</f>
        <v>2</v>
      </c>
      <c r="AL34" s="26">
        <v>0</v>
      </c>
      <c r="AM34" s="26">
        <v>0</v>
      </c>
      <c r="AN34" s="26">
        <v>0</v>
      </c>
      <c r="AO34" s="26">
        <v>0</v>
      </c>
      <c r="AP34" s="26">
        <f>[1]建筑配置!F202</f>
        <v>2</v>
      </c>
      <c r="AQ34" s="26">
        <f>[1]建筑配置!F205</f>
        <v>3</v>
      </c>
      <c r="AR34" s="26">
        <v>0</v>
      </c>
      <c r="AS34" s="26">
        <v>0</v>
      </c>
      <c r="AT34" s="26">
        <v>0</v>
      </c>
      <c r="AU34" s="27">
        <v>0</v>
      </c>
      <c r="AV34" s="26">
        <v>0</v>
      </c>
      <c r="AW34" s="19"/>
    </row>
    <row r="35" spans="1:60" x14ac:dyDescent="0.15">
      <c r="A35" s="23">
        <f>[1]建筑配置!I3</f>
        <v>6</v>
      </c>
      <c r="B35" s="23">
        <v>0</v>
      </c>
      <c r="C35" s="23">
        <v>0</v>
      </c>
      <c r="D35" s="23">
        <v>0</v>
      </c>
      <c r="E35" s="23">
        <f>[1]建筑配置!M35</f>
        <v>2</v>
      </c>
      <c r="F35" s="23">
        <f>[1]建筑配置!M43</f>
        <v>2</v>
      </c>
      <c r="G35" s="23">
        <f>IF(G22=G21,0,"")</f>
        <v>0</v>
      </c>
      <c r="H35" s="23">
        <f>[1]建筑配置!C60+[1]建筑配置!D60</f>
        <v>3</v>
      </c>
      <c r="I35" s="23">
        <f>IF(I22=I21,0,"")</f>
        <v>0</v>
      </c>
      <c r="J35" s="23">
        <f>[1]建筑配置!J68</f>
        <v>2</v>
      </c>
      <c r="K35" s="23">
        <f>[1]建筑配置!G76</f>
        <v>4</v>
      </c>
      <c r="L35" s="23">
        <f>[1]建筑配置!J84</f>
        <v>4</v>
      </c>
      <c r="M35" s="23">
        <f>[1]建筑配置!G92</f>
        <v>6</v>
      </c>
      <c r="N35" s="23">
        <f>[1]建筑配置!F100</f>
        <v>4</v>
      </c>
      <c r="O35" s="23">
        <f>[1]建筑配置!C108+[1]建筑配置!D108+[1]建筑配置!E108</f>
        <v>12</v>
      </c>
      <c r="P35" s="23">
        <v>0</v>
      </c>
      <c r="Q35" s="23">
        <f t="shared" si="4"/>
        <v>0</v>
      </c>
      <c r="R35" s="23">
        <f t="shared" si="4"/>
        <v>0</v>
      </c>
      <c r="S35" s="23">
        <f t="shared" si="4"/>
        <v>0</v>
      </c>
      <c r="T35" s="23">
        <f>IF(T22=T21,0,"")</f>
        <v>0</v>
      </c>
      <c r="U35" s="23">
        <f>IF(U22=U21,0,"")</f>
        <v>0</v>
      </c>
      <c r="V35" s="23">
        <f>IF(V22=V21,0,"")</f>
        <v>0</v>
      </c>
      <c r="W35" s="23">
        <v>0</v>
      </c>
      <c r="X35" s="23">
        <f>[1]建筑配置!I140</f>
        <v>5</v>
      </c>
      <c r="Y35" s="23">
        <f>[1]建筑配置!K148</f>
        <v>4</v>
      </c>
      <c r="Z35" s="23">
        <f>[1]建筑配置!C156+[1]建筑配置!D156</f>
        <v>8</v>
      </c>
      <c r="AA35" s="23">
        <f>[1]建筑配置!G164</f>
        <v>2</v>
      </c>
      <c r="AB35" s="23">
        <f>[1]建筑配置!E225</f>
        <v>4</v>
      </c>
      <c r="AC35" s="23">
        <f>[1]建筑配置!C233+[1]建筑配置!D233+[1]建筑配置!E233+[1]建筑配置!F233+[1]建筑配置!G233</f>
        <v>5</v>
      </c>
      <c r="AD35" s="25">
        <f>IF(AD22=AD21,0,"")</f>
        <v>0</v>
      </c>
      <c r="AE35" s="26">
        <f>[1]建筑配置!G169</f>
        <v>3</v>
      </c>
      <c r="AF35" s="26">
        <f>[1]建筑配置!G172</f>
        <v>3</v>
      </c>
      <c r="AG35" s="26">
        <f>[1]建筑配置!G175</f>
        <v>3</v>
      </c>
      <c r="AH35" s="26">
        <f>[1]建筑配置!G178</f>
        <v>3</v>
      </c>
      <c r="AI35" s="26">
        <f>[1]建筑配置!G181</f>
        <v>3</v>
      </c>
      <c r="AJ35" s="26">
        <f>[1]建筑配置!G184</f>
        <v>3</v>
      </c>
      <c r="AK35" s="26">
        <f>[1]建筑配置!G187</f>
        <v>3</v>
      </c>
      <c r="AL35" s="26">
        <f>[1]建筑配置!G190</f>
        <v>3</v>
      </c>
      <c r="AM35" s="26">
        <f>[1]建筑配置!G193</f>
        <v>7</v>
      </c>
      <c r="AN35" s="26">
        <v>0</v>
      </c>
      <c r="AO35" s="26">
        <v>0</v>
      </c>
      <c r="AP35" s="26">
        <f>[1]建筑配置!G202</f>
        <v>3</v>
      </c>
      <c r="AQ35" s="26">
        <f>[1]建筑配置!G205</f>
        <v>5</v>
      </c>
      <c r="AR35" s="26">
        <v>0</v>
      </c>
      <c r="AS35" s="26">
        <f>[1]建筑配置!G211</f>
        <v>5</v>
      </c>
      <c r="AT35" s="26">
        <f>[1]建筑配置!G214</f>
        <v>8</v>
      </c>
      <c r="AU35" s="27">
        <v>0</v>
      </c>
      <c r="AV35" s="26">
        <v>0</v>
      </c>
      <c r="AW35" s="19"/>
    </row>
    <row r="36" spans="1:60" x14ac:dyDescent="0.15">
      <c r="A36" s="23">
        <f>[1]建筑配置!J3</f>
        <v>8</v>
      </c>
      <c r="B36" s="23">
        <f>[1]建筑配置!F10</f>
        <v>2</v>
      </c>
      <c r="C36" s="23">
        <v>0</v>
      </c>
      <c r="D36" s="23">
        <v>0</v>
      </c>
      <c r="E36" s="23">
        <f t="shared" ref="E36:F38" si="8">IF(E23=E22,0,"")</f>
        <v>0</v>
      </c>
      <c r="F36" s="23">
        <f t="shared" si="8"/>
        <v>0</v>
      </c>
      <c r="G36" s="23">
        <f>[1]建筑配置!C51+[1]建筑配置!D51+[1]建筑配置!E51</f>
        <v>6</v>
      </c>
      <c r="H36" s="23">
        <f>[1]建筑配置!E60+[1]建筑配置!F60</f>
        <v>7</v>
      </c>
      <c r="I36" s="23">
        <f>IF(I23=I22,0,"")</f>
        <v>0</v>
      </c>
      <c r="J36" s="23">
        <f>[1]建筑配置!K68+[1]建筑配置!L68</f>
        <v>7</v>
      </c>
      <c r="K36" s="23">
        <f>[1]建筑配置!H76</f>
        <v>5</v>
      </c>
      <c r="L36" s="23">
        <f>[1]建筑配置!K84+[1]建筑配置!L84</f>
        <v>11</v>
      </c>
      <c r="M36" s="23">
        <f>[1]建筑配置!H92</f>
        <v>8</v>
      </c>
      <c r="N36" s="23">
        <f>[1]建筑配置!G100+[1]建筑配置!H100</f>
        <v>14</v>
      </c>
      <c r="O36" s="23">
        <f>[1]建筑配置!F108+[1]建筑配置!G108+[1]建筑配置!H108</f>
        <v>30</v>
      </c>
      <c r="P36" s="23">
        <v>0</v>
      </c>
      <c r="Q36" s="23">
        <f t="shared" si="4"/>
        <v>0</v>
      </c>
      <c r="R36" s="23">
        <f t="shared" si="4"/>
        <v>0</v>
      </c>
      <c r="S36" s="23">
        <f t="shared" si="4"/>
        <v>0</v>
      </c>
      <c r="T36" s="23">
        <f>IF(T23=T22,0,"")</f>
        <v>0</v>
      </c>
      <c r="U36" s="23">
        <f>IF(U23=U22,0,"")</f>
        <v>0</v>
      </c>
      <c r="V36" s="23">
        <f>IF(V23=V22,0,"")</f>
        <v>0</v>
      </c>
      <c r="W36" s="23">
        <f t="shared" ref="W36:X38" si="9">IF(W23=W22,0,"")</f>
        <v>0</v>
      </c>
      <c r="X36" s="23">
        <f t="shared" si="9"/>
        <v>0</v>
      </c>
      <c r="Y36" s="23">
        <f>[1]建筑配置!L148</f>
        <v>6</v>
      </c>
      <c r="Z36" s="23">
        <f>[1]建筑配置!E156+[1]建筑配置!F156</f>
        <v>13</v>
      </c>
      <c r="AA36" s="23">
        <f>[1]建筑配置!H164</f>
        <v>4</v>
      </c>
      <c r="AB36" s="23">
        <f>[1]建筑配置!F225</f>
        <v>5</v>
      </c>
      <c r="AC36" s="23">
        <f>[1]建筑配置!H233+[1]建筑配置!I233+[1]建筑配置!K233+[1]建筑配置!J233+[1]建筑配置!L233</f>
        <v>17.5</v>
      </c>
      <c r="AD36" s="25">
        <f>IF(AD23=AD22,0,"")</f>
        <v>0</v>
      </c>
      <c r="AE36" s="26">
        <f>[1]建筑配置!H169</f>
        <v>5</v>
      </c>
      <c r="AF36" s="26">
        <f>[1]建筑配置!H172</f>
        <v>5</v>
      </c>
      <c r="AG36" s="26">
        <f>[1]建筑配置!H175</f>
        <v>5</v>
      </c>
      <c r="AH36" s="26">
        <f>[1]建筑配置!H178</f>
        <v>5</v>
      </c>
      <c r="AI36" s="26">
        <f>[1]建筑配置!H181</f>
        <v>5</v>
      </c>
      <c r="AJ36" s="26">
        <f>[1]建筑配置!H184</f>
        <v>5</v>
      </c>
      <c r="AK36" s="26">
        <f>[1]建筑配置!H187</f>
        <v>5</v>
      </c>
      <c r="AL36" s="26">
        <f>[1]建筑配置!H190</f>
        <v>5</v>
      </c>
      <c r="AM36" s="26">
        <f>[1]建筑配置!H193</f>
        <v>10</v>
      </c>
      <c r="AN36" s="28">
        <f>[1]建筑配置!H196+[1]建筑配置!I196</f>
        <v>22</v>
      </c>
      <c r="AO36" s="26">
        <f>[1]建筑配置!H199</f>
        <v>4</v>
      </c>
      <c r="AP36" s="26">
        <f>[1]建筑配置!H202</f>
        <v>5</v>
      </c>
      <c r="AQ36" s="26">
        <f>[1]建筑配置!H205</f>
        <v>7</v>
      </c>
      <c r="AR36" s="26">
        <v>0</v>
      </c>
      <c r="AS36" s="26">
        <f>[1]建筑配置!H211+[1]建筑配置!I211</f>
        <v>13</v>
      </c>
      <c r="AT36" s="26">
        <f>[1]建筑配置!H214+[1]建筑配置!I214</f>
        <v>22</v>
      </c>
      <c r="AU36" s="27">
        <f>[1]建筑配置!H217</f>
        <v>10</v>
      </c>
      <c r="AV36" s="26">
        <f>[1]建筑配置!H220</f>
        <v>10</v>
      </c>
      <c r="AW36" s="19"/>
    </row>
    <row r="37" spans="1:60" x14ac:dyDescent="0.15">
      <c r="A37" s="23">
        <f>[1]建筑配置!K3</f>
        <v>10</v>
      </c>
      <c r="B37" s="23">
        <f>[1]建筑配置!G10</f>
        <v>7</v>
      </c>
      <c r="C37" s="23">
        <v>0</v>
      </c>
      <c r="D37" s="23">
        <v>0</v>
      </c>
      <c r="E37" s="23">
        <f t="shared" si="8"/>
        <v>0</v>
      </c>
      <c r="F37" s="23">
        <f t="shared" si="8"/>
        <v>0</v>
      </c>
      <c r="G37" s="23">
        <f>[1]建筑配置!F51+[1]建筑配置!G51+[1]建筑配置!H51</f>
        <v>18</v>
      </c>
      <c r="H37" s="23">
        <f>[1]建筑配置!G60+[1]建筑配置!H60</f>
        <v>11</v>
      </c>
      <c r="I37" s="23">
        <f>IF(I24=I23,0,"")</f>
        <v>0</v>
      </c>
      <c r="J37" s="23">
        <f>[1]建筑配置!M68</f>
        <v>5</v>
      </c>
      <c r="K37" s="23">
        <f>[1]建筑配置!I76</f>
        <v>7</v>
      </c>
      <c r="L37" s="23">
        <f>[1]建筑配置!M84</f>
        <v>7</v>
      </c>
      <c r="M37" s="23">
        <f>[1]建筑配置!I92</f>
        <v>10</v>
      </c>
      <c r="N37" s="23">
        <f>[1]建筑配置!I100</f>
        <v>10</v>
      </c>
      <c r="O37" s="23">
        <f>[1]建筑配置!I108</f>
        <v>14</v>
      </c>
      <c r="P37" s="23">
        <v>0</v>
      </c>
      <c r="Q37" s="23">
        <f>[1]建筑配置!C122+[1]建筑配置!D122+[1]建筑配置!E122</f>
        <v>31</v>
      </c>
      <c r="R37" s="23">
        <f>IF(R24=R23,0,"")</f>
        <v>0</v>
      </c>
      <c r="S37" s="23">
        <f t="shared" si="4"/>
        <v>0</v>
      </c>
      <c r="T37" s="23">
        <f>IF(T24=T23,0,"")</f>
        <v>0</v>
      </c>
      <c r="U37" s="23">
        <f>IF(U24=U23,0,"")</f>
        <v>0</v>
      </c>
      <c r="V37" s="23">
        <f>IF(V24=V23,0,"")</f>
        <v>0</v>
      </c>
      <c r="W37" s="23">
        <f t="shared" si="9"/>
        <v>0</v>
      </c>
      <c r="X37" s="23">
        <f t="shared" si="9"/>
        <v>0</v>
      </c>
      <c r="Y37" s="23">
        <f>IF(Y24=Y23,0,"")</f>
        <v>0</v>
      </c>
      <c r="Z37" s="23">
        <f>IF(Z24=Z23,0,"")</f>
        <v>0</v>
      </c>
      <c r="AA37" s="23">
        <f>[1]建筑配置!J164</f>
        <v>5</v>
      </c>
      <c r="AB37" s="23">
        <f>IF(AB24=AB23,0,"")</f>
        <v>0</v>
      </c>
      <c r="AC37" s="23">
        <f>SUM([1]建筑配置!M233:AF233)</f>
        <v>135</v>
      </c>
      <c r="AD37" s="25">
        <f>SUM([1]建筑配置!C241:AP241)</f>
        <v>227.5</v>
      </c>
      <c r="AE37" s="26">
        <f>[1]建筑配置!J169</f>
        <v>10</v>
      </c>
      <c r="AF37" s="26">
        <f>[1]建筑配置!J172</f>
        <v>14</v>
      </c>
      <c r="AG37" s="26">
        <v>0</v>
      </c>
      <c r="AH37" s="26">
        <f>[1]建筑配置!J178</f>
        <v>10</v>
      </c>
      <c r="AI37" s="26">
        <v>0</v>
      </c>
      <c r="AJ37" s="26">
        <f>[1]建筑配置!J184</f>
        <v>10</v>
      </c>
      <c r="AK37" s="26">
        <v>0</v>
      </c>
      <c r="AL37" s="26">
        <f>[1]建筑配置!J190</f>
        <v>7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f>[1]建筑配置!J208</f>
        <v>5</v>
      </c>
      <c r="AS37" s="26">
        <f>[1]建筑配置!J211</f>
        <v>10</v>
      </c>
      <c r="AT37" s="26">
        <f>[1]建筑配置!J214</f>
        <v>14</v>
      </c>
      <c r="AU37" s="27">
        <f>[1]建筑配置!J217+[1]建筑配置!K217</f>
        <v>26</v>
      </c>
      <c r="AV37" s="26">
        <f>[1]建筑配置!J220+[1]建筑配置!K220</f>
        <v>26</v>
      </c>
      <c r="AW37" s="19"/>
    </row>
    <row r="38" spans="1:60" x14ac:dyDescent="0.15">
      <c r="A38" s="23">
        <f>[1]建筑配置!L3</f>
        <v>14</v>
      </c>
      <c r="B38" s="23">
        <v>0</v>
      </c>
      <c r="C38" s="23">
        <v>0</v>
      </c>
      <c r="D38" s="23">
        <v>0</v>
      </c>
      <c r="E38" s="23">
        <f t="shared" si="8"/>
        <v>0</v>
      </c>
      <c r="F38" s="23">
        <f t="shared" si="8"/>
        <v>0</v>
      </c>
      <c r="G38" s="23">
        <f>IF(G25=G24,0,"")</f>
        <v>0</v>
      </c>
      <c r="H38" s="23">
        <f>IF(H25=H24,0,"")</f>
        <v>0</v>
      </c>
      <c r="I38" s="23">
        <f>IF(I25=I24,0,"")</f>
        <v>0</v>
      </c>
      <c r="J38" s="23">
        <f>IF(J25=J24,0,"")</f>
        <v>0</v>
      </c>
      <c r="K38" s="23">
        <f>IF(K25=K24,0,"")</f>
        <v>0</v>
      </c>
      <c r="L38" s="23">
        <f>IF(L25=L24,0,"")</f>
        <v>0</v>
      </c>
      <c r="M38" s="23">
        <f>[1]建筑配置!J92</f>
        <v>12</v>
      </c>
      <c r="N38" s="23">
        <f>IF(N25=N24,0,"")</f>
        <v>0</v>
      </c>
      <c r="O38" s="23">
        <f>IF(O25=O24,0,"")</f>
        <v>0</v>
      </c>
      <c r="P38" s="23">
        <f>IF(P25=P24,0,"")</f>
        <v>0</v>
      </c>
      <c r="Q38" s="23">
        <f>[1]建筑配置!F122</f>
        <v>14</v>
      </c>
      <c r="R38" s="23">
        <f>[1]建筑配置!C130+[1]建筑配置!D130</f>
        <v>17</v>
      </c>
      <c r="S38" s="23">
        <f t="shared" si="4"/>
        <v>0</v>
      </c>
      <c r="T38" s="23">
        <f>IF(T25=T24,0,"")</f>
        <v>0</v>
      </c>
      <c r="U38" s="23">
        <f>IF(U25=U24,0,"")</f>
        <v>0</v>
      </c>
      <c r="V38" s="23">
        <f>IF(V25=V24,0,"")</f>
        <v>0</v>
      </c>
      <c r="W38" s="23">
        <f t="shared" si="9"/>
        <v>0</v>
      </c>
      <c r="X38" s="23">
        <f t="shared" si="9"/>
        <v>0</v>
      </c>
      <c r="Y38" s="23">
        <f>IF(Y25=Y24,0,"")</f>
        <v>0</v>
      </c>
      <c r="Z38" s="23">
        <f>IF(Z25=Z24,0,"")</f>
        <v>0</v>
      </c>
      <c r="AA38" s="23">
        <f>[1]建筑配置!L164</f>
        <v>6</v>
      </c>
      <c r="AB38" s="23">
        <f>IF(AB25=AB24,0,"")</f>
        <v>0</v>
      </c>
      <c r="AC38" s="23">
        <f>SUM([1]建筑配置!AG233:AP233)</f>
        <v>70</v>
      </c>
      <c r="AD38" s="25">
        <f>IF(AD25=AD24,0,"")</f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f>[1]建筑配置!L193</f>
        <v>12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9">
        <f>[1]建筑配置!L220</f>
        <v>14</v>
      </c>
      <c r="AW38" s="19"/>
    </row>
    <row r="39" spans="1:60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60" ht="15" x14ac:dyDescent="0.25">
      <c r="A40" s="1" t="s">
        <v>61</v>
      </c>
      <c r="AV40" s="30"/>
      <c r="AW40" s="156" t="s">
        <v>62</v>
      </c>
      <c r="AX40" s="156"/>
      <c r="AY40" s="156"/>
      <c r="AZ40" s="156"/>
      <c r="BA40" s="156"/>
      <c r="BB40" s="156"/>
      <c r="BC40" s="156" t="s">
        <v>63</v>
      </c>
      <c r="BD40" s="156"/>
      <c r="BE40" s="156"/>
      <c r="BF40" s="31" t="s">
        <v>64</v>
      </c>
      <c r="BG40" s="19"/>
      <c r="BH40" s="19"/>
    </row>
    <row r="41" spans="1:60" ht="15" x14ac:dyDescent="0.25">
      <c r="A41" s="32" t="s">
        <v>42</v>
      </c>
      <c r="B41" s="32" t="s">
        <v>11</v>
      </c>
      <c r="C41" s="32" t="s">
        <v>12</v>
      </c>
      <c r="D41" s="32" t="s">
        <v>13</v>
      </c>
      <c r="E41" s="32" t="s">
        <v>14</v>
      </c>
      <c r="F41" s="32" t="s">
        <v>15</v>
      </c>
      <c r="G41" s="32" t="s">
        <v>16</v>
      </c>
      <c r="H41" s="32" t="s">
        <v>17</v>
      </c>
      <c r="I41" s="32" t="s">
        <v>18</v>
      </c>
      <c r="J41" s="32" t="s">
        <v>19</v>
      </c>
      <c r="K41" s="32" t="s">
        <v>20</v>
      </c>
      <c r="L41" s="32" t="s">
        <v>21</v>
      </c>
      <c r="M41" s="32" t="s">
        <v>22</v>
      </c>
      <c r="N41" s="32" t="s">
        <v>23</v>
      </c>
      <c r="O41" s="32" t="s">
        <v>24</v>
      </c>
      <c r="P41" s="32" t="s">
        <v>25</v>
      </c>
      <c r="Q41" s="32" t="s">
        <v>26</v>
      </c>
      <c r="R41" s="32" t="s">
        <v>27</v>
      </c>
      <c r="S41" s="32" t="s">
        <v>28</v>
      </c>
      <c r="T41" s="32" t="s">
        <v>29</v>
      </c>
      <c r="U41" s="32" t="s">
        <v>30</v>
      </c>
      <c r="V41" s="32" t="s">
        <v>31</v>
      </c>
      <c r="W41" s="32" t="s">
        <v>32</v>
      </c>
      <c r="X41" s="32" t="s">
        <v>33</v>
      </c>
      <c r="Y41" s="32" t="s">
        <v>34</v>
      </c>
      <c r="Z41" s="32" t="s">
        <v>35</v>
      </c>
      <c r="AA41" s="32" t="s">
        <v>36</v>
      </c>
      <c r="AB41" s="32" t="s">
        <v>37</v>
      </c>
      <c r="AC41" s="32" t="s">
        <v>38</v>
      </c>
      <c r="AD41" s="33" t="s">
        <v>39</v>
      </c>
      <c r="AE41" s="32" t="s">
        <v>43</v>
      </c>
      <c r="AF41" s="32" t="s">
        <v>44</v>
      </c>
      <c r="AG41" s="32" t="s">
        <v>45</v>
      </c>
      <c r="AH41" s="32" t="s">
        <v>46</v>
      </c>
      <c r="AI41" s="32" t="s">
        <v>47</v>
      </c>
      <c r="AJ41" s="32" t="s">
        <v>48</v>
      </c>
      <c r="AK41" s="32" t="s">
        <v>49</v>
      </c>
      <c r="AL41" s="32" t="s">
        <v>50</v>
      </c>
      <c r="AM41" s="32" t="s">
        <v>51</v>
      </c>
      <c r="AN41" s="32" t="s">
        <v>52</v>
      </c>
      <c r="AO41" s="32" t="s">
        <v>53</v>
      </c>
      <c r="AP41" s="32" t="s">
        <v>54</v>
      </c>
      <c r="AQ41" s="32" t="s">
        <v>55</v>
      </c>
      <c r="AR41" s="32" t="s">
        <v>56</v>
      </c>
      <c r="AS41" s="32" t="s">
        <v>57</v>
      </c>
      <c r="AT41" s="32" t="s">
        <v>58</v>
      </c>
      <c r="AU41" s="33" t="s">
        <v>59</v>
      </c>
      <c r="AV41" s="33" t="s">
        <v>60</v>
      </c>
      <c r="AW41" s="29" t="s">
        <v>65</v>
      </c>
      <c r="AX41" s="29" t="s">
        <v>66</v>
      </c>
      <c r="AY41" s="29" t="s">
        <v>67</v>
      </c>
      <c r="AZ41" s="29" t="s">
        <v>68</v>
      </c>
      <c r="BA41" s="29" t="s">
        <v>69</v>
      </c>
      <c r="BB41" s="29" t="s">
        <v>70</v>
      </c>
      <c r="BC41" s="29" t="s">
        <v>66</v>
      </c>
      <c r="BD41" s="34" t="s">
        <v>71</v>
      </c>
      <c r="BE41" s="34" t="s">
        <v>63</v>
      </c>
      <c r="BF41" s="29" t="s">
        <v>71</v>
      </c>
      <c r="BG41" s="19"/>
    </row>
    <row r="42" spans="1:60" x14ac:dyDescent="0.15">
      <c r="A42" s="26">
        <f>A29</f>
        <v>0</v>
      </c>
      <c r="B42" s="26">
        <f t="shared" ref="B42:AV42" si="10">B3*B29</f>
        <v>0</v>
      </c>
      <c r="C42" s="26">
        <f t="shared" si="10"/>
        <v>4.1666666666666666E-3</v>
      </c>
      <c r="D42" s="26">
        <f t="shared" si="10"/>
        <v>4.1666666666666666E-3</v>
      </c>
      <c r="E42" s="26">
        <f t="shared" si="10"/>
        <v>1.0416666666666666E-2</v>
      </c>
      <c r="F42" s="26">
        <f t="shared" si="10"/>
        <v>1.0416666666666666E-2</v>
      </c>
      <c r="G42" s="26">
        <f t="shared" si="10"/>
        <v>0</v>
      </c>
      <c r="H42" s="26">
        <f t="shared" si="10"/>
        <v>0</v>
      </c>
      <c r="I42" s="26">
        <f t="shared" si="10"/>
        <v>0</v>
      </c>
      <c r="J42" s="26">
        <f t="shared" si="10"/>
        <v>2.222222222222222E-2</v>
      </c>
      <c r="K42" s="26">
        <f t="shared" si="10"/>
        <v>0</v>
      </c>
      <c r="L42" s="26">
        <f t="shared" si="10"/>
        <v>0</v>
      </c>
      <c r="M42" s="26">
        <f t="shared" si="10"/>
        <v>0</v>
      </c>
      <c r="N42" s="26">
        <f t="shared" si="10"/>
        <v>0</v>
      </c>
      <c r="O42" s="26">
        <f t="shared" si="10"/>
        <v>0</v>
      </c>
      <c r="P42" s="26">
        <f t="shared" si="10"/>
        <v>0</v>
      </c>
      <c r="Q42" s="26">
        <f t="shared" si="10"/>
        <v>0</v>
      </c>
      <c r="R42" s="26">
        <f t="shared" si="10"/>
        <v>0</v>
      </c>
      <c r="S42" s="26">
        <f t="shared" si="10"/>
        <v>0</v>
      </c>
      <c r="T42" s="26">
        <f t="shared" si="10"/>
        <v>0</v>
      </c>
      <c r="U42" s="26">
        <f t="shared" si="10"/>
        <v>0</v>
      </c>
      <c r="V42" s="26">
        <f t="shared" si="10"/>
        <v>0</v>
      </c>
      <c r="W42" s="26">
        <f t="shared" si="10"/>
        <v>0</v>
      </c>
      <c r="X42" s="26">
        <f t="shared" si="10"/>
        <v>3.472222222222222E-3</v>
      </c>
      <c r="Y42" s="26">
        <f t="shared" si="10"/>
        <v>9.4444444444444442E-2</v>
      </c>
      <c r="Z42" s="26">
        <f t="shared" si="10"/>
        <v>0</v>
      </c>
      <c r="AA42" s="26">
        <f t="shared" si="10"/>
        <v>0</v>
      </c>
      <c r="AB42" s="26">
        <f t="shared" si="10"/>
        <v>0</v>
      </c>
      <c r="AC42" s="26">
        <f t="shared" si="10"/>
        <v>0</v>
      </c>
      <c r="AD42" s="26">
        <f t="shared" si="10"/>
        <v>0</v>
      </c>
      <c r="AE42" s="26">
        <f t="shared" si="10"/>
        <v>0</v>
      </c>
      <c r="AF42" s="26">
        <f t="shared" si="10"/>
        <v>0</v>
      </c>
      <c r="AG42" s="26">
        <f t="shared" si="10"/>
        <v>0</v>
      </c>
      <c r="AH42" s="26">
        <f t="shared" si="10"/>
        <v>0</v>
      </c>
      <c r="AI42" s="26">
        <f t="shared" si="10"/>
        <v>0</v>
      </c>
      <c r="AJ42" s="26">
        <f t="shared" si="10"/>
        <v>0</v>
      </c>
      <c r="AK42" s="26">
        <f t="shared" si="10"/>
        <v>0</v>
      </c>
      <c r="AL42" s="26">
        <f t="shared" si="10"/>
        <v>0</v>
      </c>
      <c r="AM42" s="26">
        <f t="shared" si="10"/>
        <v>0</v>
      </c>
      <c r="AN42" s="26">
        <f t="shared" si="10"/>
        <v>0</v>
      </c>
      <c r="AO42" s="26">
        <f t="shared" si="10"/>
        <v>0</v>
      </c>
      <c r="AP42" s="26">
        <f t="shared" si="10"/>
        <v>0</v>
      </c>
      <c r="AQ42" s="26">
        <f t="shared" si="10"/>
        <v>0</v>
      </c>
      <c r="AR42" s="26">
        <f t="shared" si="10"/>
        <v>0</v>
      </c>
      <c r="AS42" s="26">
        <f t="shared" si="10"/>
        <v>0</v>
      </c>
      <c r="AT42" s="26">
        <f t="shared" si="10"/>
        <v>0</v>
      </c>
      <c r="AU42" s="26">
        <f t="shared" si="10"/>
        <v>0</v>
      </c>
      <c r="AV42" s="27">
        <f t="shared" si="10"/>
        <v>0</v>
      </c>
      <c r="AW42" s="35">
        <f>SUMPRODUCT(((A$52:AV$52)="金币")*(A42:AV42))</f>
        <v>3.680555555555555E-2</v>
      </c>
      <c r="AX42" s="36">
        <f>SUMPRODUCT(((A$52:AV$52)="圣水")*(A42:AV42))</f>
        <v>0.11249999999999999</v>
      </c>
      <c r="AY42" s="35">
        <f>SUM(AW42:AX42)/2</f>
        <v>7.4652777777777762E-2</v>
      </c>
      <c r="AZ42" s="35">
        <f>SUM(AW42:AX42)/3</f>
        <v>4.9768518518518511E-2</v>
      </c>
      <c r="BA42" s="35">
        <f>SUM(AW42:AX42)/4</f>
        <v>3.7326388888888881E-2</v>
      </c>
      <c r="BB42" s="35">
        <f>SUM(AW42:AX42)/5</f>
        <v>2.9861111111111106E-2</v>
      </c>
      <c r="BC42" s="26">
        <f t="shared" ref="BC42:BC51" si="11">SUMPRODUCT(((A$52:AV$52)="圣水科技")*(A42:AV42))</f>
        <v>0</v>
      </c>
      <c r="BD42" s="27">
        <f t="shared" ref="BD42:BD51" si="12">SUMPRODUCT(((A$52:AV$52)="黑水科技")*(A42:AV42))</f>
        <v>0</v>
      </c>
      <c r="BE42" s="27">
        <f>BC42+BD42</f>
        <v>0</v>
      </c>
      <c r="BF42" s="26">
        <f>SUMPRODUCT(((A$52:AV$52)="黑水英雄")*(A42:AV42))</f>
        <v>0</v>
      </c>
      <c r="BG42" s="19"/>
    </row>
    <row r="43" spans="1:60" x14ac:dyDescent="0.15">
      <c r="A43" s="26">
        <f t="shared" ref="A43:A51" si="13">A30</f>
        <v>3.472222222222222E-3</v>
      </c>
      <c r="B43" s="26">
        <f t="shared" ref="B43:AD43" si="14">B3*B30+(B4-B3)*SUM(B29:B30)</f>
        <v>0</v>
      </c>
      <c r="C43" s="26">
        <f t="shared" si="14"/>
        <v>0.10833333333333332</v>
      </c>
      <c r="D43" s="26">
        <f t="shared" si="14"/>
        <v>0.10833333333333332</v>
      </c>
      <c r="E43" s="26">
        <f t="shared" si="14"/>
        <v>6.25E-2</v>
      </c>
      <c r="F43" s="26">
        <f t="shared" si="14"/>
        <v>6.25E-2</v>
      </c>
      <c r="G43" s="26">
        <f t="shared" si="14"/>
        <v>0</v>
      </c>
      <c r="H43" s="26">
        <f t="shared" si="14"/>
        <v>0</v>
      </c>
      <c r="I43" s="26">
        <f t="shared" si="14"/>
        <v>0</v>
      </c>
      <c r="J43" s="26">
        <f t="shared" si="14"/>
        <v>6.25E-2</v>
      </c>
      <c r="K43" s="26">
        <f t="shared" si="14"/>
        <v>0</v>
      </c>
      <c r="L43" s="26">
        <f t="shared" si="14"/>
        <v>3.125E-2</v>
      </c>
      <c r="M43" s="26">
        <f t="shared" si="14"/>
        <v>0</v>
      </c>
      <c r="N43" s="26">
        <f t="shared" si="14"/>
        <v>0</v>
      </c>
      <c r="O43" s="26">
        <f t="shared" si="14"/>
        <v>0</v>
      </c>
      <c r="P43" s="26">
        <f t="shared" si="14"/>
        <v>0</v>
      </c>
      <c r="Q43" s="26">
        <f t="shared" si="14"/>
        <v>0</v>
      </c>
      <c r="R43" s="26">
        <f t="shared" si="14"/>
        <v>0</v>
      </c>
      <c r="S43" s="26">
        <f t="shared" si="14"/>
        <v>0</v>
      </c>
      <c r="T43" s="26">
        <f t="shared" si="14"/>
        <v>0</v>
      </c>
      <c r="U43" s="26">
        <f t="shared" si="14"/>
        <v>0</v>
      </c>
      <c r="V43" s="26">
        <f t="shared" si="14"/>
        <v>0</v>
      </c>
      <c r="W43" s="26">
        <f t="shared" si="14"/>
        <v>0</v>
      </c>
      <c r="X43" s="26">
        <f t="shared" si="14"/>
        <v>4.1666666666666664E-2</v>
      </c>
      <c r="Y43" s="26">
        <f t="shared" si="14"/>
        <v>0.4277777777777777</v>
      </c>
      <c r="Z43" s="26">
        <f t="shared" si="14"/>
        <v>0</v>
      </c>
      <c r="AA43" s="26">
        <f t="shared" si="14"/>
        <v>0</v>
      </c>
      <c r="AB43" s="26">
        <f t="shared" si="14"/>
        <v>0</v>
      </c>
      <c r="AC43" s="26">
        <f t="shared" si="14"/>
        <v>0</v>
      </c>
      <c r="AD43" s="26">
        <f t="shared" si="14"/>
        <v>0</v>
      </c>
      <c r="AE43" s="26">
        <f t="shared" ref="AE43:AV51" si="15">AE30</f>
        <v>0</v>
      </c>
      <c r="AF43" s="26">
        <f t="shared" si="15"/>
        <v>0</v>
      </c>
      <c r="AG43" s="26">
        <f t="shared" si="15"/>
        <v>0</v>
      </c>
      <c r="AH43" s="26">
        <f t="shared" si="15"/>
        <v>0</v>
      </c>
      <c r="AI43" s="26">
        <f t="shared" si="15"/>
        <v>0</v>
      </c>
      <c r="AJ43" s="26">
        <f t="shared" si="15"/>
        <v>0</v>
      </c>
      <c r="AK43" s="26">
        <f t="shared" si="15"/>
        <v>0</v>
      </c>
      <c r="AL43" s="26">
        <f t="shared" si="15"/>
        <v>0</v>
      </c>
      <c r="AM43" s="26">
        <f t="shared" si="15"/>
        <v>0</v>
      </c>
      <c r="AN43" s="26">
        <f t="shared" si="15"/>
        <v>0</v>
      </c>
      <c r="AO43" s="26">
        <f t="shared" si="15"/>
        <v>0</v>
      </c>
      <c r="AP43" s="26">
        <f t="shared" si="15"/>
        <v>0</v>
      </c>
      <c r="AQ43" s="26">
        <f t="shared" si="15"/>
        <v>0</v>
      </c>
      <c r="AR43" s="26">
        <f t="shared" si="15"/>
        <v>0</v>
      </c>
      <c r="AS43" s="26">
        <f t="shared" si="15"/>
        <v>0</v>
      </c>
      <c r="AT43" s="26">
        <f t="shared" si="15"/>
        <v>0</v>
      </c>
      <c r="AU43" s="26">
        <f t="shared" si="15"/>
        <v>0</v>
      </c>
      <c r="AV43" s="27">
        <f t="shared" si="15"/>
        <v>0</v>
      </c>
      <c r="AW43" s="35">
        <f t="shared" ref="AW43:AW51" si="16">SUMPRODUCT(((A$52:AV$52)="金币")*(A43:AV43))</f>
        <v>0.26805555555555555</v>
      </c>
      <c r="AX43" s="36">
        <f t="shared" ref="AX43:AX51" si="17">SUMPRODUCT(((A$52:AV$52)="圣水")*(A43:AV43))</f>
        <v>0.64027777777777772</v>
      </c>
      <c r="AY43" s="35">
        <f t="shared" ref="AY43:AY51" si="18">AY42+SUM(AW43:AX43)/2</f>
        <v>0.5288194444444444</v>
      </c>
      <c r="AZ43" s="35">
        <f t="shared" ref="AZ43:AZ51" si="19">AZ42+SUM(AW43:AX43)/3</f>
        <v>0.35254629629629625</v>
      </c>
      <c r="BA43" s="35">
        <f t="shared" ref="BA43:BA51" si="20">BA42+SUM(AW43:AX43)/4</f>
        <v>0.2644097222222222</v>
      </c>
      <c r="BB43" s="35">
        <f t="shared" ref="BB43:BB51" si="21">BB42+SUM(AW43:AX43)/5</f>
        <v>0.21152777777777776</v>
      </c>
      <c r="BC43" s="26">
        <f t="shared" si="11"/>
        <v>0</v>
      </c>
      <c r="BD43" s="27">
        <f t="shared" si="12"/>
        <v>0</v>
      </c>
      <c r="BE43" s="27">
        <f t="shared" ref="BE43:BE51" si="22">BE42+BD43+BC43</f>
        <v>0</v>
      </c>
      <c r="BF43" s="26">
        <f t="shared" ref="BF43:BF51" si="23">SUMPRODUCT(((A$52:AV$52)="黑水英雄")*(A43:AV43))+BF42</f>
        <v>0</v>
      </c>
      <c r="BG43" s="19"/>
    </row>
    <row r="44" spans="1:60" x14ac:dyDescent="0.15">
      <c r="A44" s="26">
        <f t="shared" si="13"/>
        <v>0.125</v>
      </c>
      <c r="B44" s="26">
        <f t="shared" ref="B44:AD44" si="24">B4*B31+(B5-B4)*SUM(B29:B31)</f>
        <v>0</v>
      </c>
      <c r="C44" s="26">
        <f t="shared" si="24"/>
        <v>1.0562499999999999</v>
      </c>
      <c r="D44" s="26">
        <f t="shared" si="24"/>
        <v>1.0562499999999999</v>
      </c>
      <c r="E44" s="26">
        <f t="shared" si="24"/>
        <v>0.82291666666666674</v>
      </c>
      <c r="F44" s="26">
        <f t="shared" si="24"/>
        <v>0.82291666666666674</v>
      </c>
      <c r="G44" s="26">
        <f t="shared" si="24"/>
        <v>0</v>
      </c>
      <c r="H44" s="26">
        <f t="shared" si="24"/>
        <v>0</v>
      </c>
      <c r="I44" s="26">
        <f t="shared" si="24"/>
        <v>0</v>
      </c>
      <c r="J44" s="26">
        <f t="shared" si="24"/>
        <v>0.16666666666666666</v>
      </c>
      <c r="K44" s="26">
        <f t="shared" si="24"/>
        <v>0.33333333333333331</v>
      </c>
      <c r="L44" s="26">
        <f t="shared" si="24"/>
        <v>3.125E-2</v>
      </c>
      <c r="M44" s="26">
        <f t="shared" si="24"/>
        <v>0</v>
      </c>
      <c r="N44" s="26">
        <f t="shared" si="24"/>
        <v>0</v>
      </c>
      <c r="O44" s="26">
        <f t="shared" si="24"/>
        <v>0</v>
      </c>
      <c r="P44" s="26">
        <f t="shared" si="24"/>
        <v>0</v>
      </c>
      <c r="Q44" s="26">
        <f t="shared" si="24"/>
        <v>0</v>
      </c>
      <c r="R44" s="26">
        <f t="shared" si="24"/>
        <v>0</v>
      </c>
      <c r="S44" s="26">
        <f t="shared" si="24"/>
        <v>0</v>
      </c>
      <c r="T44" s="26">
        <f t="shared" si="24"/>
        <v>0</v>
      </c>
      <c r="U44" s="26">
        <f t="shared" si="24"/>
        <v>0</v>
      </c>
      <c r="V44" s="26">
        <f t="shared" si="24"/>
        <v>0</v>
      </c>
      <c r="W44" s="26">
        <f t="shared" si="24"/>
        <v>0</v>
      </c>
      <c r="X44" s="26">
        <f t="shared" si="24"/>
        <v>0.2951388888888889</v>
      </c>
      <c r="Y44" s="26">
        <f t="shared" si="24"/>
        <v>0.83333333333333337</v>
      </c>
      <c r="Z44" s="26">
        <f t="shared" si="24"/>
        <v>0</v>
      </c>
      <c r="AA44" s="26">
        <f t="shared" si="24"/>
        <v>2.0833333333333332E-2</v>
      </c>
      <c r="AB44" s="26">
        <f t="shared" si="24"/>
        <v>0</v>
      </c>
      <c r="AC44" s="26">
        <f t="shared" si="24"/>
        <v>0</v>
      </c>
      <c r="AD44" s="26">
        <f t="shared" si="24"/>
        <v>0</v>
      </c>
      <c r="AE44" s="26">
        <f t="shared" si="15"/>
        <v>0.25</v>
      </c>
      <c r="AF44" s="26">
        <f t="shared" si="15"/>
        <v>0.5</v>
      </c>
      <c r="AG44" s="26">
        <f t="shared" si="15"/>
        <v>0.5</v>
      </c>
      <c r="AH44" s="26">
        <f t="shared" si="15"/>
        <v>0</v>
      </c>
      <c r="AI44" s="26">
        <f t="shared" si="15"/>
        <v>0</v>
      </c>
      <c r="AJ44" s="26">
        <f t="shared" si="15"/>
        <v>0</v>
      </c>
      <c r="AK44" s="26">
        <f t="shared" si="15"/>
        <v>0</v>
      </c>
      <c r="AL44" s="26">
        <f t="shared" si="15"/>
        <v>0</v>
      </c>
      <c r="AM44" s="26">
        <f t="shared" si="15"/>
        <v>0</v>
      </c>
      <c r="AN44" s="26">
        <f t="shared" si="15"/>
        <v>0</v>
      </c>
      <c r="AO44" s="26">
        <f t="shared" si="15"/>
        <v>1</v>
      </c>
      <c r="AP44" s="26">
        <f t="shared" si="15"/>
        <v>0</v>
      </c>
      <c r="AQ44" s="26">
        <f t="shared" si="15"/>
        <v>0</v>
      </c>
      <c r="AR44" s="26">
        <f t="shared" si="15"/>
        <v>0</v>
      </c>
      <c r="AS44" s="26">
        <f t="shared" si="15"/>
        <v>0</v>
      </c>
      <c r="AT44" s="26">
        <f t="shared" si="15"/>
        <v>0</v>
      </c>
      <c r="AU44" s="26">
        <f t="shared" si="15"/>
        <v>0</v>
      </c>
      <c r="AV44" s="27">
        <f t="shared" si="15"/>
        <v>0</v>
      </c>
      <c r="AW44" s="35">
        <f t="shared" si="16"/>
        <v>2.5354166666666664</v>
      </c>
      <c r="AX44" s="36">
        <f t="shared" si="17"/>
        <v>3.0284722222222227</v>
      </c>
      <c r="AY44" s="35">
        <f t="shared" si="18"/>
        <v>3.3107638888888888</v>
      </c>
      <c r="AZ44" s="35">
        <f t="shared" si="19"/>
        <v>2.207175925925926</v>
      </c>
      <c r="BA44" s="35">
        <f t="shared" si="20"/>
        <v>1.6553819444444444</v>
      </c>
      <c r="BB44" s="35">
        <f t="shared" si="21"/>
        <v>1.3243055555555556</v>
      </c>
      <c r="BC44" s="26">
        <f t="shared" si="11"/>
        <v>2.25</v>
      </c>
      <c r="BD44" s="27">
        <f t="shared" si="12"/>
        <v>0</v>
      </c>
      <c r="BE44" s="27">
        <f t="shared" si="22"/>
        <v>2.25</v>
      </c>
      <c r="BF44" s="26">
        <f t="shared" si="23"/>
        <v>0</v>
      </c>
      <c r="BG44" s="19"/>
    </row>
    <row r="45" spans="1:60" x14ac:dyDescent="0.15">
      <c r="A45" s="26">
        <f t="shared" si="13"/>
        <v>1</v>
      </c>
      <c r="B45" s="26">
        <f t="shared" ref="B45:AD45" si="25">B5*B32+(B6-B5)*SUM(B29:B32)</f>
        <v>3.472222222222222E-3</v>
      </c>
      <c r="C45" s="26">
        <f t="shared" si="25"/>
        <v>6.3895833333333334</v>
      </c>
      <c r="D45" s="26">
        <f t="shared" si="25"/>
        <v>6.3895833333333334</v>
      </c>
      <c r="E45" s="26">
        <f t="shared" si="25"/>
        <v>1.1666666666666665</v>
      </c>
      <c r="F45" s="26">
        <f t="shared" si="25"/>
        <v>1.1666666666666665</v>
      </c>
      <c r="G45" s="26">
        <f t="shared" si="25"/>
        <v>0</v>
      </c>
      <c r="H45" s="26">
        <f t="shared" si="25"/>
        <v>0</v>
      </c>
      <c r="I45" s="26">
        <f t="shared" si="25"/>
        <v>0</v>
      </c>
      <c r="J45" s="26">
        <f t="shared" si="25"/>
        <v>0.5</v>
      </c>
      <c r="K45" s="26">
        <f t="shared" si="25"/>
        <v>0.5</v>
      </c>
      <c r="L45" s="26">
        <f t="shared" si="25"/>
        <v>0.39583333333333331</v>
      </c>
      <c r="M45" s="26">
        <f t="shared" si="25"/>
        <v>1.2083333333333333</v>
      </c>
      <c r="N45" s="26">
        <f t="shared" si="25"/>
        <v>0</v>
      </c>
      <c r="O45" s="26">
        <f t="shared" si="25"/>
        <v>0</v>
      </c>
      <c r="P45" s="26">
        <f t="shared" si="25"/>
        <v>0</v>
      </c>
      <c r="Q45" s="26">
        <f t="shared" si="25"/>
        <v>0</v>
      </c>
      <c r="R45" s="26">
        <f t="shared" si="25"/>
        <v>0</v>
      </c>
      <c r="S45" s="26">
        <f t="shared" si="25"/>
        <v>0</v>
      </c>
      <c r="T45" s="26">
        <f t="shared" si="25"/>
        <v>0</v>
      </c>
      <c r="U45" s="26">
        <f t="shared" si="25"/>
        <v>0</v>
      </c>
      <c r="V45" s="26">
        <f t="shared" si="25"/>
        <v>0</v>
      </c>
      <c r="W45" s="26">
        <f t="shared" si="25"/>
        <v>0</v>
      </c>
      <c r="X45" s="26">
        <f t="shared" si="25"/>
        <v>0.66666666666666663</v>
      </c>
      <c r="Y45" s="26">
        <f t="shared" si="25"/>
        <v>2.677777777777778</v>
      </c>
      <c r="Z45" s="26">
        <f t="shared" si="25"/>
        <v>0</v>
      </c>
      <c r="AA45" s="26">
        <f t="shared" si="25"/>
        <v>0.20833333333333334</v>
      </c>
      <c r="AB45" s="26">
        <f t="shared" si="25"/>
        <v>0</v>
      </c>
      <c r="AC45" s="26">
        <f t="shared" si="25"/>
        <v>0</v>
      </c>
      <c r="AD45" s="26">
        <f t="shared" si="25"/>
        <v>0</v>
      </c>
      <c r="AE45" s="26">
        <f t="shared" si="15"/>
        <v>0</v>
      </c>
      <c r="AF45" s="26">
        <f t="shared" si="15"/>
        <v>0</v>
      </c>
      <c r="AG45" s="26">
        <f t="shared" si="15"/>
        <v>0</v>
      </c>
      <c r="AH45" s="26">
        <f t="shared" si="15"/>
        <v>1</v>
      </c>
      <c r="AI45" s="26">
        <f t="shared" si="15"/>
        <v>1</v>
      </c>
      <c r="AJ45" s="26">
        <f t="shared" si="15"/>
        <v>1</v>
      </c>
      <c r="AK45" s="26">
        <f t="shared" si="15"/>
        <v>0</v>
      </c>
      <c r="AL45" s="26">
        <f t="shared" si="15"/>
        <v>0</v>
      </c>
      <c r="AM45" s="26">
        <f t="shared" si="15"/>
        <v>0</v>
      </c>
      <c r="AN45" s="26">
        <f t="shared" si="15"/>
        <v>0</v>
      </c>
      <c r="AO45" s="26">
        <f t="shared" si="15"/>
        <v>2</v>
      </c>
      <c r="AP45" s="26">
        <f t="shared" si="15"/>
        <v>1</v>
      </c>
      <c r="AQ45" s="26">
        <f t="shared" si="15"/>
        <v>0</v>
      </c>
      <c r="AR45" s="26">
        <f t="shared" si="15"/>
        <v>0</v>
      </c>
      <c r="AS45" s="26">
        <f t="shared" si="15"/>
        <v>0</v>
      </c>
      <c r="AT45" s="26">
        <f t="shared" si="15"/>
        <v>0</v>
      </c>
      <c r="AU45" s="26">
        <f t="shared" si="15"/>
        <v>0</v>
      </c>
      <c r="AV45" s="27">
        <f t="shared" si="15"/>
        <v>0</v>
      </c>
      <c r="AW45" s="35">
        <f t="shared" si="16"/>
        <v>11.16388888888889</v>
      </c>
      <c r="AX45" s="36">
        <f t="shared" si="17"/>
        <v>11.109027777777778</v>
      </c>
      <c r="AY45" s="35">
        <f t="shared" si="18"/>
        <v>14.447222222222223</v>
      </c>
      <c r="AZ45" s="35">
        <f t="shared" si="19"/>
        <v>9.6314814814814813</v>
      </c>
      <c r="BA45" s="35">
        <f t="shared" si="20"/>
        <v>7.2236111111111114</v>
      </c>
      <c r="BB45" s="35">
        <f t="shared" si="21"/>
        <v>5.7788888888888899</v>
      </c>
      <c r="BC45" s="26">
        <f t="shared" si="11"/>
        <v>6</v>
      </c>
      <c r="BD45" s="27">
        <f t="shared" si="12"/>
        <v>0</v>
      </c>
      <c r="BE45" s="27">
        <f t="shared" si="22"/>
        <v>8.25</v>
      </c>
      <c r="BF45" s="26">
        <f t="shared" si="23"/>
        <v>0</v>
      </c>
      <c r="BG45" s="19"/>
    </row>
    <row r="46" spans="1:60" x14ac:dyDescent="0.15">
      <c r="A46" s="26">
        <f t="shared" si="13"/>
        <v>2</v>
      </c>
      <c r="B46" s="26">
        <f t="shared" ref="B46:AD46" si="26">B6*B33+(B7-B6)*SUM(B29:B33)</f>
        <v>0</v>
      </c>
      <c r="C46" s="26">
        <f t="shared" si="26"/>
        <v>26.889583333333334</v>
      </c>
      <c r="D46" s="26">
        <f t="shared" si="26"/>
        <v>26.889583333333334</v>
      </c>
      <c r="E46" s="26">
        <f t="shared" si="26"/>
        <v>1</v>
      </c>
      <c r="F46" s="26">
        <f t="shared" si="26"/>
        <v>1</v>
      </c>
      <c r="G46" s="26">
        <f t="shared" si="26"/>
        <v>0</v>
      </c>
      <c r="H46" s="26">
        <f t="shared" si="26"/>
        <v>0</v>
      </c>
      <c r="I46" s="26">
        <f t="shared" si="26"/>
        <v>0</v>
      </c>
      <c r="J46" s="26">
        <f t="shared" si="26"/>
        <v>1.8756944444444446</v>
      </c>
      <c r="K46" s="26">
        <f t="shared" si="26"/>
        <v>1</v>
      </c>
      <c r="L46" s="26">
        <f t="shared" si="26"/>
        <v>4.729166666666667</v>
      </c>
      <c r="M46" s="26">
        <f t="shared" si="26"/>
        <v>3</v>
      </c>
      <c r="N46" s="26">
        <f t="shared" si="26"/>
        <v>1.5</v>
      </c>
      <c r="O46" s="26">
        <f t="shared" si="26"/>
        <v>0</v>
      </c>
      <c r="P46" s="26">
        <f t="shared" si="26"/>
        <v>0</v>
      </c>
      <c r="Q46" s="26">
        <f t="shared" si="26"/>
        <v>0</v>
      </c>
      <c r="R46" s="26">
        <f t="shared" si="26"/>
        <v>0</v>
      </c>
      <c r="S46" s="26">
        <f t="shared" si="26"/>
        <v>0</v>
      </c>
      <c r="T46" s="26">
        <f t="shared" si="26"/>
        <v>0</v>
      </c>
      <c r="U46" s="26">
        <f t="shared" si="26"/>
        <v>0</v>
      </c>
      <c r="V46" s="26">
        <f t="shared" si="26"/>
        <v>0</v>
      </c>
      <c r="W46" s="26">
        <f t="shared" si="26"/>
        <v>0</v>
      </c>
      <c r="X46" s="26">
        <f t="shared" si="26"/>
        <v>3.5034722222222223</v>
      </c>
      <c r="Y46" s="26">
        <f t="shared" si="26"/>
        <v>3</v>
      </c>
      <c r="Z46" s="26">
        <f t="shared" si="26"/>
        <v>0</v>
      </c>
      <c r="AA46" s="26">
        <f t="shared" si="26"/>
        <v>0.5</v>
      </c>
      <c r="AB46" s="26">
        <f t="shared" si="26"/>
        <v>1</v>
      </c>
      <c r="AC46" s="26">
        <f t="shared" si="26"/>
        <v>0</v>
      </c>
      <c r="AD46" s="26">
        <f t="shared" si="26"/>
        <v>0</v>
      </c>
      <c r="AE46" s="26">
        <f t="shared" si="15"/>
        <v>1</v>
      </c>
      <c r="AF46" s="26">
        <f t="shared" si="15"/>
        <v>2</v>
      </c>
      <c r="AG46" s="26">
        <f t="shared" si="15"/>
        <v>2</v>
      </c>
      <c r="AH46" s="26">
        <f t="shared" si="15"/>
        <v>0</v>
      </c>
      <c r="AI46" s="26">
        <f t="shared" si="15"/>
        <v>0</v>
      </c>
      <c r="AJ46" s="26">
        <f t="shared" si="15"/>
        <v>0</v>
      </c>
      <c r="AK46" s="26">
        <f t="shared" si="15"/>
        <v>1</v>
      </c>
      <c r="AL46" s="26">
        <f t="shared" si="15"/>
        <v>0</v>
      </c>
      <c r="AM46" s="26">
        <f t="shared" si="15"/>
        <v>0</v>
      </c>
      <c r="AN46" s="26">
        <f t="shared" si="15"/>
        <v>0</v>
      </c>
      <c r="AO46" s="26">
        <f t="shared" si="15"/>
        <v>3</v>
      </c>
      <c r="AP46" s="26">
        <f t="shared" si="15"/>
        <v>0</v>
      </c>
      <c r="AQ46" s="26">
        <f t="shared" si="15"/>
        <v>2</v>
      </c>
      <c r="AR46" s="26">
        <f t="shared" si="15"/>
        <v>0</v>
      </c>
      <c r="AS46" s="26">
        <f t="shared" si="15"/>
        <v>0</v>
      </c>
      <c r="AT46" s="26">
        <f t="shared" si="15"/>
        <v>0</v>
      </c>
      <c r="AU46" s="26">
        <f t="shared" si="15"/>
        <v>0</v>
      </c>
      <c r="AV46" s="27">
        <f t="shared" si="15"/>
        <v>0</v>
      </c>
      <c r="AW46" s="35">
        <f t="shared" si="16"/>
        <v>41.994444444444447</v>
      </c>
      <c r="AX46" s="36">
        <f t="shared" si="17"/>
        <v>35.893055555555556</v>
      </c>
      <c r="AY46" s="35">
        <f t="shared" si="18"/>
        <v>53.390972222222224</v>
      </c>
      <c r="AZ46" s="35">
        <f t="shared" si="19"/>
        <v>35.593981481481485</v>
      </c>
      <c r="BA46" s="35">
        <f t="shared" si="20"/>
        <v>26.695486111111112</v>
      </c>
      <c r="BB46" s="35">
        <f t="shared" si="21"/>
        <v>21.35638888888889</v>
      </c>
      <c r="BC46" s="26">
        <f t="shared" si="11"/>
        <v>11</v>
      </c>
      <c r="BD46" s="27">
        <f t="shared" si="12"/>
        <v>0</v>
      </c>
      <c r="BE46" s="27">
        <f t="shared" si="22"/>
        <v>19.25</v>
      </c>
      <c r="BF46" s="26">
        <f t="shared" si="23"/>
        <v>0</v>
      </c>
      <c r="BG46" s="19"/>
    </row>
    <row r="47" spans="1:60" x14ac:dyDescent="0.15">
      <c r="A47" s="26">
        <f t="shared" si="13"/>
        <v>4</v>
      </c>
      <c r="B47" s="26">
        <f t="shared" ref="B47:AD47" si="27">B7*B34+(B8-B7)*SUM(B29:B34)</f>
        <v>1</v>
      </c>
      <c r="C47" s="26">
        <f t="shared" si="27"/>
        <v>30.889583333333334</v>
      </c>
      <c r="D47" s="26">
        <f t="shared" si="27"/>
        <v>30.889583333333334</v>
      </c>
      <c r="E47" s="26">
        <f t="shared" si="27"/>
        <v>2</v>
      </c>
      <c r="F47" s="26">
        <f t="shared" si="27"/>
        <v>2</v>
      </c>
      <c r="G47" s="26">
        <f t="shared" si="27"/>
        <v>0</v>
      </c>
      <c r="H47" s="26">
        <f t="shared" si="27"/>
        <v>0</v>
      </c>
      <c r="I47" s="26">
        <f t="shared" si="27"/>
        <v>0</v>
      </c>
      <c r="J47" s="26">
        <f t="shared" si="27"/>
        <v>3</v>
      </c>
      <c r="K47" s="26">
        <f t="shared" si="27"/>
        <v>5.833333333333333</v>
      </c>
      <c r="L47" s="26">
        <f t="shared" si="27"/>
        <v>9</v>
      </c>
      <c r="M47" s="26">
        <f t="shared" si="27"/>
        <v>5</v>
      </c>
      <c r="N47" s="26">
        <f t="shared" si="27"/>
        <v>5.5</v>
      </c>
      <c r="O47" s="26">
        <f t="shared" si="27"/>
        <v>0</v>
      </c>
      <c r="P47" s="26">
        <f t="shared" si="27"/>
        <v>0</v>
      </c>
      <c r="Q47" s="26">
        <f t="shared" si="27"/>
        <v>0</v>
      </c>
      <c r="R47" s="26">
        <f t="shared" si="27"/>
        <v>0</v>
      </c>
      <c r="S47" s="26">
        <f t="shared" si="27"/>
        <v>0</v>
      </c>
      <c r="T47" s="26">
        <f t="shared" si="27"/>
        <v>0</v>
      </c>
      <c r="U47" s="26">
        <f t="shared" si="27"/>
        <v>0</v>
      </c>
      <c r="V47" s="26">
        <f t="shared" si="27"/>
        <v>0</v>
      </c>
      <c r="W47" s="26">
        <f t="shared" si="27"/>
        <v>0</v>
      </c>
      <c r="X47" s="26">
        <f t="shared" si="27"/>
        <v>9</v>
      </c>
      <c r="Y47" s="26">
        <f t="shared" si="27"/>
        <v>6</v>
      </c>
      <c r="Z47" s="26">
        <f t="shared" si="27"/>
        <v>0</v>
      </c>
      <c r="AA47" s="26">
        <f t="shared" si="27"/>
        <v>1</v>
      </c>
      <c r="AB47" s="26">
        <f t="shared" si="27"/>
        <v>2</v>
      </c>
      <c r="AC47" s="26">
        <f t="shared" si="27"/>
        <v>0</v>
      </c>
      <c r="AD47" s="26">
        <f t="shared" si="27"/>
        <v>0</v>
      </c>
      <c r="AE47" s="26">
        <f t="shared" si="15"/>
        <v>0</v>
      </c>
      <c r="AF47" s="26">
        <f t="shared" si="15"/>
        <v>0</v>
      </c>
      <c r="AG47" s="26">
        <f t="shared" si="15"/>
        <v>0</v>
      </c>
      <c r="AH47" s="26">
        <f t="shared" si="15"/>
        <v>2</v>
      </c>
      <c r="AI47" s="26">
        <f t="shared" si="15"/>
        <v>2</v>
      </c>
      <c r="AJ47" s="26">
        <f t="shared" si="15"/>
        <v>2</v>
      </c>
      <c r="AK47" s="26">
        <f t="shared" si="15"/>
        <v>2</v>
      </c>
      <c r="AL47" s="26">
        <f t="shared" si="15"/>
        <v>0</v>
      </c>
      <c r="AM47" s="26">
        <f t="shared" si="15"/>
        <v>0</v>
      </c>
      <c r="AN47" s="26">
        <f t="shared" si="15"/>
        <v>0</v>
      </c>
      <c r="AO47" s="26">
        <f t="shared" si="15"/>
        <v>0</v>
      </c>
      <c r="AP47" s="26">
        <f t="shared" si="15"/>
        <v>2</v>
      </c>
      <c r="AQ47" s="26">
        <f t="shared" si="15"/>
        <v>3</v>
      </c>
      <c r="AR47" s="26">
        <f t="shared" si="15"/>
        <v>0</v>
      </c>
      <c r="AS47" s="26">
        <f t="shared" si="15"/>
        <v>0</v>
      </c>
      <c r="AT47" s="26">
        <f t="shared" si="15"/>
        <v>0</v>
      </c>
      <c r="AU47" s="26">
        <f t="shared" si="15"/>
        <v>0</v>
      </c>
      <c r="AV47" s="27">
        <f t="shared" si="15"/>
        <v>0</v>
      </c>
      <c r="AW47" s="35">
        <f t="shared" si="16"/>
        <v>66.222916666666663</v>
      </c>
      <c r="AX47" s="36">
        <f t="shared" si="17"/>
        <v>50.889583333333334</v>
      </c>
      <c r="AY47" s="35">
        <f t="shared" si="18"/>
        <v>111.94722222222222</v>
      </c>
      <c r="AZ47" s="35">
        <f t="shared" si="19"/>
        <v>74.631481481481487</v>
      </c>
      <c r="BA47" s="35">
        <f t="shared" si="20"/>
        <v>55.973611111111111</v>
      </c>
      <c r="BB47" s="35">
        <f t="shared" si="21"/>
        <v>44.778888888888886</v>
      </c>
      <c r="BC47" s="26">
        <f t="shared" si="11"/>
        <v>13</v>
      </c>
      <c r="BD47" s="27">
        <f t="shared" si="12"/>
        <v>0</v>
      </c>
      <c r="BE47" s="27">
        <f t="shared" si="22"/>
        <v>32.25</v>
      </c>
      <c r="BF47" s="26">
        <f t="shared" si="23"/>
        <v>0</v>
      </c>
      <c r="BG47" s="19"/>
    </row>
    <row r="48" spans="1:60" x14ac:dyDescent="0.15">
      <c r="A48" s="26">
        <f t="shared" si="13"/>
        <v>6</v>
      </c>
      <c r="B48" s="26">
        <f t="shared" ref="B48:AD48" si="28">B8*B35+(B9-B8)*SUM(B29:B35)</f>
        <v>0</v>
      </c>
      <c r="C48" s="26">
        <f t="shared" si="28"/>
        <v>0</v>
      </c>
      <c r="D48" s="26">
        <f t="shared" si="28"/>
        <v>0</v>
      </c>
      <c r="E48" s="26">
        <f t="shared" si="28"/>
        <v>4</v>
      </c>
      <c r="F48" s="26">
        <f t="shared" si="28"/>
        <v>4</v>
      </c>
      <c r="G48" s="26">
        <f t="shared" si="28"/>
        <v>0</v>
      </c>
      <c r="H48" s="26">
        <f t="shared" si="28"/>
        <v>3</v>
      </c>
      <c r="I48" s="26">
        <f t="shared" si="28"/>
        <v>0</v>
      </c>
      <c r="J48" s="26">
        <f t="shared" si="28"/>
        <v>13.75138888888889</v>
      </c>
      <c r="K48" s="26">
        <f t="shared" si="28"/>
        <v>15.833333333333332</v>
      </c>
      <c r="L48" s="26">
        <f t="shared" si="28"/>
        <v>20.729166666666668</v>
      </c>
      <c r="M48" s="26">
        <f t="shared" si="28"/>
        <v>21.208333333333332</v>
      </c>
      <c r="N48" s="26">
        <f t="shared" si="28"/>
        <v>8</v>
      </c>
      <c r="O48" s="26">
        <f t="shared" si="28"/>
        <v>24</v>
      </c>
      <c r="P48" s="26">
        <f t="shared" si="28"/>
        <v>0</v>
      </c>
      <c r="Q48" s="26">
        <f t="shared" si="28"/>
        <v>0</v>
      </c>
      <c r="R48" s="26">
        <f t="shared" si="28"/>
        <v>0</v>
      </c>
      <c r="S48" s="26">
        <f t="shared" si="28"/>
        <v>0</v>
      </c>
      <c r="T48" s="26">
        <f t="shared" si="28"/>
        <v>0</v>
      </c>
      <c r="U48" s="26">
        <f t="shared" si="28"/>
        <v>0</v>
      </c>
      <c r="V48" s="26">
        <f t="shared" si="28"/>
        <v>0</v>
      </c>
      <c r="W48" s="26">
        <f t="shared" si="28"/>
        <v>0</v>
      </c>
      <c r="X48" s="26">
        <f t="shared" si="28"/>
        <v>24.503472222222221</v>
      </c>
      <c r="Y48" s="26">
        <f t="shared" si="28"/>
        <v>20.344444444444445</v>
      </c>
      <c r="Z48" s="26">
        <f t="shared" si="28"/>
        <v>8</v>
      </c>
      <c r="AA48" s="26">
        <f t="shared" si="28"/>
        <v>2</v>
      </c>
      <c r="AB48" s="26">
        <f t="shared" si="28"/>
        <v>4</v>
      </c>
      <c r="AC48" s="26">
        <f t="shared" si="28"/>
        <v>5</v>
      </c>
      <c r="AD48" s="26">
        <f t="shared" si="28"/>
        <v>0</v>
      </c>
      <c r="AE48" s="26">
        <f t="shared" si="15"/>
        <v>3</v>
      </c>
      <c r="AF48" s="26">
        <f t="shared" si="15"/>
        <v>3</v>
      </c>
      <c r="AG48" s="26">
        <f t="shared" si="15"/>
        <v>3</v>
      </c>
      <c r="AH48" s="26">
        <f t="shared" si="15"/>
        <v>3</v>
      </c>
      <c r="AI48" s="26">
        <f t="shared" si="15"/>
        <v>3</v>
      </c>
      <c r="AJ48" s="26">
        <f t="shared" si="15"/>
        <v>3</v>
      </c>
      <c r="AK48" s="26">
        <f t="shared" si="15"/>
        <v>3</v>
      </c>
      <c r="AL48" s="26">
        <f t="shared" si="15"/>
        <v>3</v>
      </c>
      <c r="AM48" s="26">
        <f t="shared" si="15"/>
        <v>7</v>
      </c>
      <c r="AN48" s="26">
        <f t="shared" si="15"/>
        <v>0</v>
      </c>
      <c r="AO48" s="26">
        <f t="shared" si="15"/>
        <v>0</v>
      </c>
      <c r="AP48" s="26">
        <f t="shared" si="15"/>
        <v>3</v>
      </c>
      <c r="AQ48" s="26">
        <f t="shared" si="15"/>
        <v>5</v>
      </c>
      <c r="AR48" s="26">
        <f t="shared" si="15"/>
        <v>0</v>
      </c>
      <c r="AS48" s="26">
        <f t="shared" si="15"/>
        <v>5</v>
      </c>
      <c r="AT48" s="26">
        <f t="shared" si="15"/>
        <v>8</v>
      </c>
      <c r="AU48" s="26">
        <f t="shared" si="15"/>
        <v>0</v>
      </c>
      <c r="AV48" s="27">
        <f t="shared" si="15"/>
        <v>0</v>
      </c>
      <c r="AW48" s="35">
        <f t="shared" si="16"/>
        <v>116.52222222222223</v>
      </c>
      <c r="AX48" s="36">
        <f t="shared" si="17"/>
        <v>62.847916666666663</v>
      </c>
      <c r="AY48" s="35">
        <f t="shared" si="18"/>
        <v>201.63229166666667</v>
      </c>
      <c r="AZ48" s="35">
        <f t="shared" si="19"/>
        <v>134.42152777777778</v>
      </c>
      <c r="BA48" s="35">
        <f t="shared" si="20"/>
        <v>100.81614583333334</v>
      </c>
      <c r="BB48" s="35">
        <f t="shared" si="21"/>
        <v>80.65291666666667</v>
      </c>
      <c r="BC48" s="26">
        <f t="shared" si="11"/>
        <v>39</v>
      </c>
      <c r="BD48" s="27">
        <f t="shared" si="12"/>
        <v>13</v>
      </c>
      <c r="BE48" s="27">
        <f t="shared" si="22"/>
        <v>84.25</v>
      </c>
      <c r="BF48" s="26">
        <f t="shared" si="23"/>
        <v>5</v>
      </c>
      <c r="BG48" s="19"/>
    </row>
    <row r="49" spans="1:60" x14ac:dyDescent="0.15">
      <c r="A49" s="26">
        <f t="shared" si="13"/>
        <v>8</v>
      </c>
      <c r="B49" s="26">
        <f t="shared" ref="B49:AD49" si="29">B9*B36+(B10-B9)*SUM(B29:B36)</f>
        <v>2</v>
      </c>
      <c r="C49" s="26">
        <f t="shared" si="29"/>
        <v>0</v>
      </c>
      <c r="D49" s="26">
        <f t="shared" si="29"/>
        <v>0</v>
      </c>
      <c r="E49" s="26">
        <f t="shared" si="29"/>
        <v>4.53125</v>
      </c>
      <c r="F49" s="26">
        <f t="shared" si="29"/>
        <v>4.53125</v>
      </c>
      <c r="G49" s="26">
        <f t="shared" si="29"/>
        <v>6</v>
      </c>
      <c r="H49" s="26">
        <f t="shared" si="29"/>
        <v>7</v>
      </c>
      <c r="I49" s="26">
        <f t="shared" si="29"/>
        <v>0</v>
      </c>
      <c r="J49" s="26">
        <f t="shared" si="29"/>
        <v>35</v>
      </c>
      <c r="K49" s="26">
        <f t="shared" si="29"/>
        <v>15</v>
      </c>
      <c r="L49" s="26">
        <f t="shared" si="29"/>
        <v>63.729166666666671</v>
      </c>
      <c r="M49" s="26">
        <f t="shared" si="29"/>
        <v>39.208333333333329</v>
      </c>
      <c r="N49" s="26">
        <f t="shared" si="29"/>
        <v>49.5</v>
      </c>
      <c r="O49" s="26">
        <f t="shared" si="29"/>
        <v>102</v>
      </c>
      <c r="P49" s="26">
        <f t="shared" si="29"/>
        <v>0</v>
      </c>
      <c r="Q49" s="26">
        <f t="shared" si="29"/>
        <v>0</v>
      </c>
      <c r="R49" s="26">
        <f t="shared" si="29"/>
        <v>0</v>
      </c>
      <c r="S49" s="26">
        <f t="shared" si="29"/>
        <v>0</v>
      </c>
      <c r="T49" s="26">
        <f t="shared" si="29"/>
        <v>0</v>
      </c>
      <c r="U49" s="26">
        <f t="shared" si="29"/>
        <v>0</v>
      </c>
      <c r="V49" s="26">
        <f t="shared" si="29"/>
        <v>0</v>
      </c>
      <c r="W49" s="26">
        <f t="shared" si="29"/>
        <v>0</v>
      </c>
      <c r="X49" s="26">
        <f t="shared" si="29"/>
        <v>0</v>
      </c>
      <c r="Y49" s="26">
        <f t="shared" si="29"/>
        <v>24</v>
      </c>
      <c r="Z49" s="26">
        <f t="shared" si="29"/>
        <v>34</v>
      </c>
      <c r="AA49" s="26">
        <f t="shared" si="29"/>
        <v>4</v>
      </c>
      <c r="AB49" s="26">
        <f t="shared" si="29"/>
        <v>5</v>
      </c>
      <c r="AC49" s="26">
        <f t="shared" si="29"/>
        <v>17.5</v>
      </c>
      <c r="AD49" s="26">
        <f t="shared" si="29"/>
        <v>0</v>
      </c>
      <c r="AE49" s="26">
        <f t="shared" si="15"/>
        <v>5</v>
      </c>
      <c r="AF49" s="26">
        <f t="shared" si="15"/>
        <v>5</v>
      </c>
      <c r="AG49" s="26">
        <f t="shared" si="15"/>
        <v>5</v>
      </c>
      <c r="AH49" s="26">
        <f t="shared" si="15"/>
        <v>5</v>
      </c>
      <c r="AI49" s="26">
        <f t="shared" si="15"/>
        <v>5</v>
      </c>
      <c r="AJ49" s="26">
        <f t="shared" si="15"/>
        <v>5</v>
      </c>
      <c r="AK49" s="26">
        <f t="shared" si="15"/>
        <v>5</v>
      </c>
      <c r="AL49" s="26">
        <f t="shared" si="15"/>
        <v>5</v>
      </c>
      <c r="AM49" s="26">
        <f t="shared" si="15"/>
        <v>10</v>
      </c>
      <c r="AN49" s="23">
        <f>AN36</f>
        <v>22</v>
      </c>
      <c r="AO49" s="26">
        <f t="shared" si="15"/>
        <v>4</v>
      </c>
      <c r="AP49" s="26">
        <f t="shared" si="15"/>
        <v>5</v>
      </c>
      <c r="AQ49" s="26">
        <f t="shared" si="15"/>
        <v>7</v>
      </c>
      <c r="AR49" s="26">
        <f t="shared" si="15"/>
        <v>0</v>
      </c>
      <c r="AS49" s="26">
        <f t="shared" si="15"/>
        <v>13</v>
      </c>
      <c r="AT49" s="26">
        <f t="shared" si="15"/>
        <v>22</v>
      </c>
      <c r="AU49" s="26">
        <f t="shared" si="15"/>
        <v>10</v>
      </c>
      <c r="AV49" s="27">
        <f t="shared" si="15"/>
        <v>10</v>
      </c>
      <c r="AW49" s="35">
        <f t="shared" si="16"/>
        <v>331.96875</v>
      </c>
      <c r="AX49" s="36">
        <f t="shared" si="17"/>
        <v>71.53125</v>
      </c>
      <c r="AY49" s="35">
        <f t="shared" si="18"/>
        <v>403.38229166666667</v>
      </c>
      <c r="AZ49" s="35">
        <f t="shared" si="19"/>
        <v>268.92152777777778</v>
      </c>
      <c r="BA49" s="35">
        <f t="shared" si="20"/>
        <v>201.69114583333334</v>
      </c>
      <c r="BB49" s="35">
        <f t="shared" si="21"/>
        <v>161.35291666666666</v>
      </c>
      <c r="BC49" s="26">
        <f t="shared" si="11"/>
        <v>88</v>
      </c>
      <c r="BD49" s="27">
        <f t="shared" si="12"/>
        <v>55</v>
      </c>
      <c r="BE49" s="27">
        <f t="shared" si="22"/>
        <v>227.25</v>
      </c>
      <c r="BF49" s="26">
        <f t="shared" si="23"/>
        <v>22.5</v>
      </c>
      <c r="BG49" s="19"/>
    </row>
    <row r="50" spans="1:60" x14ac:dyDescent="0.15">
      <c r="A50" s="26">
        <f t="shared" si="13"/>
        <v>10</v>
      </c>
      <c r="B50" s="26">
        <f t="shared" ref="B50:AD50" si="30">B10*B37+(B11-B10)*SUM(B29:B37)</f>
        <v>7</v>
      </c>
      <c r="C50" s="26">
        <f t="shared" si="30"/>
        <v>0</v>
      </c>
      <c r="D50" s="26">
        <f t="shared" si="30"/>
        <v>0</v>
      </c>
      <c r="E50" s="26">
        <f t="shared" si="30"/>
        <v>0</v>
      </c>
      <c r="F50" s="26">
        <f t="shared" si="30"/>
        <v>0</v>
      </c>
      <c r="G50" s="26">
        <f t="shared" si="30"/>
        <v>42</v>
      </c>
      <c r="H50" s="26">
        <f t="shared" si="30"/>
        <v>11</v>
      </c>
      <c r="I50" s="26">
        <f t="shared" si="30"/>
        <v>0</v>
      </c>
      <c r="J50" s="26">
        <f t="shared" si="30"/>
        <v>25</v>
      </c>
      <c r="K50" s="26">
        <f t="shared" si="30"/>
        <v>21</v>
      </c>
      <c r="L50" s="26">
        <f t="shared" si="30"/>
        <v>61.729166666666671</v>
      </c>
      <c r="M50" s="26">
        <f t="shared" si="30"/>
        <v>63.208333333333329</v>
      </c>
      <c r="N50" s="26">
        <f t="shared" si="30"/>
        <v>61.5</v>
      </c>
      <c r="O50" s="26">
        <f t="shared" si="30"/>
        <v>98</v>
      </c>
      <c r="P50" s="26">
        <f t="shared" si="30"/>
        <v>0</v>
      </c>
      <c r="Q50" s="26">
        <f t="shared" si="30"/>
        <v>62</v>
      </c>
      <c r="R50" s="26">
        <f t="shared" si="30"/>
        <v>0</v>
      </c>
      <c r="S50" s="26">
        <f t="shared" si="30"/>
        <v>0</v>
      </c>
      <c r="T50" s="26">
        <f t="shared" si="30"/>
        <v>0</v>
      </c>
      <c r="U50" s="26">
        <f t="shared" si="30"/>
        <v>0</v>
      </c>
      <c r="V50" s="26">
        <f t="shared" si="30"/>
        <v>0</v>
      </c>
      <c r="W50" s="26">
        <f t="shared" si="30"/>
        <v>0</v>
      </c>
      <c r="X50" s="26">
        <f t="shared" si="30"/>
        <v>0</v>
      </c>
      <c r="Y50" s="26">
        <f t="shared" si="30"/>
        <v>0</v>
      </c>
      <c r="Z50" s="26">
        <f t="shared" si="30"/>
        <v>0</v>
      </c>
      <c r="AA50" s="26">
        <f t="shared" si="30"/>
        <v>5</v>
      </c>
      <c r="AB50" s="26">
        <f t="shared" si="30"/>
        <v>0</v>
      </c>
      <c r="AC50" s="26">
        <f t="shared" si="30"/>
        <v>135</v>
      </c>
      <c r="AD50" s="26">
        <f t="shared" si="30"/>
        <v>227.5</v>
      </c>
      <c r="AE50" s="26">
        <f t="shared" si="15"/>
        <v>10</v>
      </c>
      <c r="AF50" s="26">
        <f t="shared" si="15"/>
        <v>14</v>
      </c>
      <c r="AG50" s="26">
        <f t="shared" si="15"/>
        <v>0</v>
      </c>
      <c r="AH50" s="26">
        <f t="shared" si="15"/>
        <v>10</v>
      </c>
      <c r="AI50" s="26">
        <f t="shared" si="15"/>
        <v>0</v>
      </c>
      <c r="AJ50" s="26">
        <f t="shared" si="15"/>
        <v>10</v>
      </c>
      <c r="AK50" s="26">
        <f t="shared" si="15"/>
        <v>0</v>
      </c>
      <c r="AL50" s="26">
        <f t="shared" si="15"/>
        <v>7</v>
      </c>
      <c r="AM50" s="26">
        <f t="shared" si="15"/>
        <v>0</v>
      </c>
      <c r="AN50" s="26">
        <f t="shared" si="15"/>
        <v>0</v>
      </c>
      <c r="AO50" s="26">
        <f t="shared" si="15"/>
        <v>0</v>
      </c>
      <c r="AP50" s="26">
        <f t="shared" si="15"/>
        <v>0</v>
      </c>
      <c r="AQ50" s="26">
        <f t="shared" si="15"/>
        <v>0</v>
      </c>
      <c r="AR50" s="26">
        <f t="shared" si="15"/>
        <v>5</v>
      </c>
      <c r="AS50" s="26">
        <f t="shared" si="15"/>
        <v>10</v>
      </c>
      <c r="AT50" s="26">
        <f t="shared" si="15"/>
        <v>14</v>
      </c>
      <c r="AU50" s="26">
        <f t="shared" si="15"/>
        <v>26</v>
      </c>
      <c r="AV50" s="27">
        <f t="shared" si="15"/>
        <v>26</v>
      </c>
      <c r="AW50" s="35">
        <f t="shared" si="16"/>
        <v>462.4375</v>
      </c>
      <c r="AX50" s="36">
        <f t="shared" si="17"/>
        <v>5</v>
      </c>
      <c r="AY50" s="35">
        <f t="shared" si="18"/>
        <v>637.10104166666667</v>
      </c>
      <c r="AZ50" s="35">
        <f t="shared" si="19"/>
        <v>424.73402777777778</v>
      </c>
      <c r="BA50" s="35">
        <f t="shared" si="20"/>
        <v>318.55052083333334</v>
      </c>
      <c r="BB50" s="35">
        <f t="shared" si="21"/>
        <v>254.84041666666667</v>
      </c>
      <c r="BC50" s="26">
        <f t="shared" si="11"/>
        <v>56</v>
      </c>
      <c r="BD50" s="27">
        <f t="shared" si="12"/>
        <v>76</v>
      </c>
      <c r="BE50" s="27">
        <f t="shared" si="22"/>
        <v>359.25</v>
      </c>
      <c r="BF50" s="26">
        <f t="shared" si="23"/>
        <v>385</v>
      </c>
      <c r="BG50" s="19"/>
    </row>
    <row r="51" spans="1:60" x14ac:dyDescent="0.15">
      <c r="A51" s="37">
        <f t="shared" si="13"/>
        <v>14</v>
      </c>
      <c r="B51" s="37">
        <f t="shared" ref="B51:AD51" si="31">B11*B38+(B12-B11)*SUM(B29:B38)</f>
        <v>0</v>
      </c>
      <c r="C51" s="37">
        <f t="shared" si="31"/>
        <v>0</v>
      </c>
      <c r="D51" s="37">
        <f t="shared" si="31"/>
        <v>0</v>
      </c>
      <c r="E51" s="37">
        <f t="shared" si="31"/>
        <v>0</v>
      </c>
      <c r="F51" s="37">
        <f t="shared" si="31"/>
        <v>0</v>
      </c>
      <c r="G51" s="37">
        <f t="shared" si="31"/>
        <v>24</v>
      </c>
      <c r="H51" s="37">
        <f t="shared" si="31"/>
        <v>0</v>
      </c>
      <c r="I51" s="37">
        <f t="shared" si="31"/>
        <v>0</v>
      </c>
      <c r="J51" s="37">
        <f t="shared" si="31"/>
        <v>15.875694444444445</v>
      </c>
      <c r="K51" s="37">
        <f t="shared" si="31"/>
        <v>0</v>
      </c>
      <c r="L51" s="37">
        <f t="shared" si="31"/>
        <v>26.729166666666668</v>
      </c>
      <c r="M51" s="37">
        <f t="shared" si="31"/>
        <v>48</v>
      </c>
      <c r="N51" s="37">
        <f t="shared" si="31"/>
        <v>0</v>
      </c>
      <c r="O51" s="37">
        <f t="shared" si="31"/>
        <v>0</v>
      </c>
      <c r="P51" s="37">
        <f t="shared" si="31"/>
        <v>0</v>
      </c>
      <c r="Q51" s="37">
        <f t="shared" si="31"/>
        <v>28</v>
      </c>
      <c r="R51" s="37">
        <f t="shared" si="31"/>
        <v>17</v>
      </c>
      <c r="S51" s="37">
        <f t="shared" si="31"/>
        <v>0</v>
      </c>
      <c r="T51" s="37">
        <f t="shared" si="31"/>
        <v>0</v>
      </c>
      <c r="U51" s="37">
        <f t="shared" si="31"/>
        <v>0</v>
      </c>
      <c r="V51" s="37">
        <f t="shared" si="31"/>
        <v>0</v>
      </c>
      <c r="W51" s="37">
        <f t="shared" si="31"/>
        <v>0</v>
      </c>
      <c r="X51" s="37">
        <f t="shared" si="31"/>
        <v>0</v>
      </c>
      <c r="Y51" s="37">
        <f t="shared" si="31"/>
        <v>0</v>
      </c>
      <c r="Z51" s="37">
        <f t="shared" si="31"/>
        <v>0</v>
      </c>
      <c r="AA51" s="37">
        <f t="shared" si="31"/>
        <v>6</v>
      </c>
      <c r="AB51" s="37">
        <f t="shared" si="31"/>
        <v>0</v>
      </c>
      <c r="AC51" s="37">
        <f t="shared" si="31"/>
        <v>70</v>
      </c>
      <c r="AD51" s="37">
        <f t="shared" si="31"/>
        <v>0</v>
      </c>
      <c r="AE51" s="37">
        <f t="shared" si="15"/>
        <v>0</v>
      </c>
      <c r="AF51" s="37">
        <f t="shared" si="15"/>
        <v>0</v>
      </c>
      <c r="AG51" s="37">
        <f t="shared" si="15"/>
        <v>0</v>
      </c>
      <c r="AH51" s="37">
        <f t="shared" si="15"/>
        <v>0</v>
      </c>
      <c r="AI51" s="37">
        <f t="shared" si="15"/>
        <v>0</v>
      </c>
      <c r="AJ51" s="37">
        <f t="shared" si="15"/>
        <v>0</v>
      </c>
      <c r="AK51" s="37">
        <f t="shared" si="15"/>
        <v>0</v>
      </c>
      <c r="AL51" s="37">
        <f t="shared" si="15"/>
        <v>0</v>
      </c>
      <c r="AM51" s="37">
        <f t="shared" si="15"/>
        <v>12</v>
      </c>
      <c r="AN51" s="37">
        <f t="shared" si="15"/>
        <v>0</v>
      </c>
      <c r="AO51" s="37">
        <f t="shared" si="15"/>
        <v>0</v>
      </c>
      <c r="AP51" s="37">
        <f t="shared" si="15"/>
        <v>0</v>
      </c>
      <c r="AQ51" s="37">
        <f t="shared" si="15"/>
        <v>0</v>
      </c>
      <c r="AR51" s="37">
        <f t="shared" si="15"/>
        <v>0</v>
      </c>
      <c r="AS51" s="37">
        <f t="shared" si="15"/>
        <v>0</v>
      </c>
      <c r="AT51" s="37">
        <f t="shared" si="15"/>
        <v>0</v>
      </c>
      <c r="AU51" s="37">
        <f t="shared" si="15"/>
        <v>0</v>
      </c>
      <c r="AV51" s="38">
        <f t="shared" si="15"/>
        <v>14</v>
      </c>
      <c r="AW51" s="35">
        <f t="shared" si="16"/>
        <v>173.60486111111112</v>
      </c>
      <c r="AX51" s="36">
        <f t="shared" si="17"/>
        <v>6</v>
      </c>
      <c r="AY51" s="35">
        <f t="shared" si="18"/>
        <v>726.90347222222226</v>
      </c>
      <c r="AZ51" s="35">
        <f t="shared" si="19"/>
        <v>484.6023148148148</v>
      </c>
      <c r="BA51" s="35">
        <f t="shared" si="20"/>
        <v>363.45173611111113</v>
      </c>
      <c r="BB51" s="35">
        <f t="shared" si="21"/>
        <v>290.76138888888892</v>
      </c>
      <c r="BC51" s="26">
        <f t="shared" si="11"/>
        <v>12</v>
      </c>
      <c r="BD51" s="27">
        <f t="shared" si="12"/>
        <v>14</v>
      </c>
      <c r="BE51" s="27">
        <f t="shared" si="22"/>
        <v>385.25</v>
      </c>
      <c r="BF51" s="26">
        <f t="shared" si="23"/>
        <v>455</v>
      </c>
      <c r="BG51" s="19"/>
    </row>
    <row r="52" spans="1:60" x14ac:dyDescent="0.15">
      <c r="A52" s="26" t="s">
        <v>72</v>
      </c>
      <c r="B52" s="26" t="s">
        <v>72</v>
      </c>
      <c r="C52" s="26" t="s">
        <v>73</v>
      </c>
      <c r="D52" s="26" t="s">
        <v>72</v>
      </c>
      <c r="E52" s="26" t="s">
        <v>73</v>
      </c>
      <c r="F52" s="26" t="s">
        <v>72</v>
      </c>
      <c r="G52" s="26" t="s">
        <v>72</v>
      </c>
      <c r="H52" s="26" t="s">
        <v>72</v>
      </c>
      <c r="I52" s="26" t="s">
        <v>74</v>
      </c>
      <c r="J52" s="26" t="s">
        <v>72</v>
      </c>
      <c r="K52" s="26" t="s">
        <v>72</v>
      </c>
      <c r="L52" s="26" t="s">
        <v>72</v>
      </c>
      <c r="M52" s="26" t="s">
        <v>72</v>
      </c>
      <c r="N52" s="26" t="s">
        <v>72</v>
      </c>
      <c r="O52" s="26" t="s">
        <v>72</v>
      </c>
      <c r="P52" s="26" t="s">
        <v>72</v>
      </c>
      <c r="Q52" s="26" t="s">
        <v>72</v>
      </c>
      <c r="R52" s="26" t="s">
        <v>72</v>
      </c>
      <c r="S52" s="26" t="s">
        <v>72</v>
      </c>
      <c r="T52" s="26" t="s">
        <v>72</v>
      </c>
      <c r="U52" s="26" t="s">
        <v>72</v>
      </c>
      <c r="V52" s="26" t="s">
        <v>72</v>
      </c>
      <c r="W52" s="26" t="s">
        <v>75</v>
      </c>
      <c r="X52" s="26" t="s">
        <v>73</v>
      </c>
      <c r="Y52" s="26" t="s">
        <v>73</v>
      </c>
      <c r="Z52" s="26" t="s">
        <v>73</v>
      </c>
      <c r="AA52" s="26" t="s">
        <v>73</v>
      </c>
      <c r="AB52" s="26" t="s">
        <v>73</v>
      </c>
      <c r="AC52" s="26" t="s">
        <v>76</v>
      </c>
      <c r="AD52" s="26" t="s">
        <v>76</v>
      </c>
      <c r="AE52" s="26" t="s">
        <v>77</v>
      </c>
      <c r="AF52" s="26" t="s">
        <v>77</v>
      </c>
      <c r="AG52" s="26" t="s">
        <v>77</v>
      </c>
      <c r="AH52" s="26" t="s">
        <v>77</v>
      </c>
      <c r="AI52" s="26" t="s">
        <v>77</v>
      </c>
      <c r="AJ52" s="26" t="s">
        <v>77</v>
      </c>
      <c r="AK52" s="26" t="s">
        <v>77</v>
      </c>
      <c r="AL52" s="26" t="s">
        <v>77</v>
      </c>
      <c r="AM52" s="26" t="s">
        <v>77</v>
      </c>
      <c r="AN52" s="26" t="s">
        <v>77</v>
      </c>
      <c r="AO52" s="26" t="s">
        <v>77</v>
      </c>
      <c r="AP52" s="26" t="s">
        <v>77</v>
      </c>
      <c r="AQ52" s="26" t="s">
        <v>77</v>
      </c>
      <c r="AR52" s="26" t="s">
        <v>77</v>
      </c>
      <c r="AS52" s="26" t="s">
        <v>78</v>
      </c>
      <c r="AT52" s="26" t="s">
        <v>78</v>
      </c>
      <c r="AU52" s="26" t="s">
        <v>78</v>
      </c>
      <c r="AV52" s="26" t="s">
        <v>78</v>
      </c>
      <c r="AW52" s="39"/>
      <c r="AX52" s="39"/>
      <c r="AY52" s="39"/>
      <c r="AZ52" s="39"/>
      <c r="BA52" s="39"/>
      <c r="BB52" s="18"/>
      <c r="BC52" s="18"/>
      <c r="BD52" s="18"/>
      <c r="BE52" s="18"/>
      <c r="BG52" s="18"/>
    </row>
    <row r="53" spans="1:60" x14ac:dyDescent="0.1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X53" s="4"/>
      <c r="AY53" s="4"/>
      <c r="AZ53" s="4"/>
    </row>
    <row r="54" spans="1:60" ht="15" x14ac:dyDescent="0.25">
      <c r="A54" s="1" t="s">
        <v>79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0" t="s">
        <v>80</v>
      </c>
      <c r="AX54" s="156" t="s">
        <v>81</v>
      </c>
      <c r="AY54" s="156"/>
      <c r="AZ54" s="156"/>
      <c r="BA54" s="162" t="s">
        <v>82</v>
      </c>
      <c r="BB54" s="162"/>
      <c r="BC54" s="162"/>
      <c r="BD54" s="163" t="s">
        <v>83</v>
      </c>
      <c r="BE54" s="163"/>
      <c r="BF54" s="163"/>
    </row>
    <row r="55" spans="1:60" ht="15" x14ac:dyDescent="0.25">
      <c r="A55" s="21" t="s">
        <v>84</v>
      </c>
      <c r="B55" s="21" t="s">
        <v>11</v>
      </c>
      <c r="C55" s="21" t="s">
        <v>12</v>
      </c>
      <c r="D55" s="21" t="s">
        <v>13</v>
      </c>
      <c r="E55" s="21" t="s">
        <v>14</v>
      </c>
      <c r="F55" s="21" t="s">
        <v>15</v>
      </c>
      <c r="G55" s="21" t="s">
        <v>16</v>
      </c>
      <c r="H55" s="21" t="s">
        <v>17</v>
      </c>
      <c r="I55" s="21" t="s">
        <v>18</v>
      </c>
      <c r="J55" s="21" t="s">
        <v>19</v>
      </c>
      <c r="K55" s="21" t="s">
        <v>20</v>
      </c>
      <c r="L55" s="21" t="s">
        <v>21</v>
      </c>
      <c r="M55" s="21" t="s">
        <v>22</v>
      </c>
      <c r="N55" s="21" t="s">
        <v>23</v>
      </c>
      <c r="O55" s="21" t="s">
        <v>24</v>
      </c>
      <c r="P55" s="21" t="s">
        <v>25</v>
      </c>
      <c r="Q55" s="21" t="s">
        <v>26</v>
      </c>
      <c r="R55" s="21" t="s">
        <v>27</v>
      </c>
      <c r="S55" s="21" t="s">
        <v>28</v>
      </c>
      <c r="T55" s="21" t="s">
        <v>29</v>
      </c>
      <c r="U55" s="21" t="s">
        <v>30</v>
      </c>
      <c r="V55" s="21" t="s">
        <v>31</v>
      </c>
      <c r="W55" s="21" t="s">
        <v>32</v>
      </c>
      <c r="X55" s="21" t="s">
        <v>33</v>
      </c>
      <c r="Y55" s="21" t="s">
        <v>34</v>
      </c>
      <c r="Z55" s="21" t="s">
        <v>35</v>
      </c>
      <c r="AA55" s="21" t="s">
        <v>36</v>
      </c>
      <c r="AB55" s="21" t="s">
        <v>37</v>
      </c>
      <c r="AC55" s="21" t="s">
        <v>38</v>
      </c>
      <c r="AD55" s="21" t="s">
        <v>39</v>
      </c>
      <c r="AE55" s="21" t="s">
        <v>43</v>
      </c>
      <c r="AF55" s="21" t="s">
        <v>44</v>
      </c>
      <c r="AG55" s="21" t="s">
        <v>45</v>
      </c>
      <c r="AH55" s="21" t="s">
        <v>46</v>
      </c>
      <c r="AI55" s="21" t="s">
        <v>47</v>
      </c>
      <c r="AJ55" s="21" t="s">
        <v>48</v>
      </c>
      <c r="AK55" s="21" t="s">
        <v>49</v>
      </c>
      <c r="AL55" s="21" t="s">
        <v>50</v>
      </c>
      <c r="AM55" s="21" t="s">
        <v>51</v>
      </c>
      <c r="AN55" s="21" t="s">
        <v>52</v>
      </c>
      <c r="AO55" s="21" t="s">
        <v>53</v>
      </c>
      <c r="AP55" s="21" t="s">
        <v>54</v>
      </c>
      <c r="AQ55" s="21" t="s">
        <v>55</v>
      </c>
      <c r="AR55" s="21" t="s">
        <v>56</v>
      </c>
      <c r="AS55" s="21" t="s">
        <v>57</v>
      </c>
      <c r="AT55" s="21" t="s">
        <v>58</v>
      </c>
      <c r="AU55" s="21" t="s">
        <v>59</v>
      </c>
      <c r="AV55" s="21" t="s">
        <v>60</v>
      </c>
      <c r="AW55" s="41" t="s">
        <v>85</v>
      </c>
      <c r="AX55" s="26" t="s">
        <v>86</v>
      </c>
      <c r="AY55" s="26" t="s">
        <v>87</v>
      </c>
      <c r="AZ55" s="26" t="s">
        <v>88</v>
      </c>
      <c r="BA55" s="42" t="s">
        <v>87</v>
      </c>
      <c r="BB55" s="41" t="s">
        <v>89</v>
      </c>
      <c r="BC55" s="41" t="s">
        <v>88</v>
      </c>
      <c r="BD55" s="26" t="s">
        <v>72</v>
      </c>
      <c r="BE55" s="26" t="s">
        <v>73</v>
      </c>
      <c r="BF55" s="26" t="s">
        <v>75</v>
      </c>
      <c r="BG55" s="19"/>
    </row>
    <row r="56" spans="1:60" x14ac:dyDescent="0.15">
      <c r="A56" s="26">
        <v>0</v>
      </c>
      <c r="B56" s="26">
        <f>IF(B3=0,0,"")</f>
        <v>0</v>
      </c>
      <c r="C56" s="26">
        <f>[1]建筑配置!C18+[1]建筑配置!D18</f>
        <v>450</v>
      </c>
      <c r="D56" s="26">
        <f>[1]建筑配置!C27+[1]建筑配置!D27</f>
        <v>450</v>
      </c>
      <c r="E56" s="26">
        <f>[1]建筑配置!C36</f>
        <v>300</v>
      </c>
      <c r="F56" s="26">
        <f>[1]建筑配置!C44</f>
        <v>300</v>
      </c>
      <c r="G56" s="26">
        <f t="shared" ref="G56:AD64" si="32">IF(G3=0,0,"")</f>
        <v>0</v>
      </c>
      <c r="H56" s="26">
        <f t="shared" si="32"/>
        <v>0</v>
      </c>
      <c r="I56" s="26">
        <v>0</v>
      </c>
      <c r="J56" s="26">
        <f>[1]建筑配置!C69+[1]建筑配置!D69</f>
        <v>1250</v>
      </c>
      <c r="K56" s="26">
        <f t="shared" si="32"/>
        <v>0</v>
      </c>
      <c r="L56" s="26">
        <f t="shared" si="32"/>
        <v>0</v>
      </c>
      <c r="M56" s="26">
        <f t="shared" si="32"/>
        <v>0</v>
      </c>
      <c r="N56" s="26">
        <f t="shared" si="32"/>
        <v>0</v>
      </c>
      <c r="O56" s="26">
        <f t="shared" si="32"/>
        <v>0</v>
      </c>
      <c r="P56" s="26">
        <f t="shared" si="32"/>
        <v>0</v>
      </c>
      <c r="Q56" s="26">
        <f t="shared" si="32"/>
        <v>0</v>
      </c>
      <c r="R56" s="26">
        <f t="shared" si="32"/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f>[1]建筑配置!C141</f>
        <v>250</v>
      </c>
      <c r="Y56" s="26">
        <f>[1]建筑配置!C149+[1]建筑配置!D149+[1]建筑配置!E149</f>
        <v>3700</v>
      </c>
      <c r="Z56" s="26">
        <f t="shared" si="32"/>
        <v>0</v>
      </c>
      <c r="AA56" s="26">
        <f t="shared" si="32"/>
        <v>0</v>
      </c>
      <c r="AB56" s="26">
        <f t="shared" si="32"/>
        <v>0</v>
      </c>
      <c r="AC56" s="26">
        <f t="shared" si="32"/>
        <v>0</v>
      </c>
      <c r="AD56" s="26">
        <f t="shared" si="32"/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0</v>
      </c>
      <c r="AK56" s="26">
        <v>0</v>
      </c>
      <c r="AL56" s="26">
        <v>0</v>
      </c>
      <c r="AM56" s="26">
        <v>0</v>
      </c>
      <c r="AN56" s="26">
        <v>0</v>
      </c>
      <c r="AO56" s="26">
        <v>0</v>
      </c>
      <c r="AP56" s="26">
        <v>0</v>
      </c>
      <c r="AQ56" s="26">
        <v>0</v>
      </c>
      <c r="AR56" s="26">
        <v>0</v>
      </c>
      <c r="AS56" s="26">
        <v>0</v>
      </c>
      <c r="AT56" s="26">
        <v>0</v>
      </c>
      <c r="AU56" s="26">
        <v>0</v>
      </c>
      <c r="AV56" s="27">
        <v>0</v>
      </c>
      <c r="AW56" s="27">
        <f>SUMPRODUCT(((A$52:AV$52)="金币")*(A56:AV56))</f>
        <v>2000</v>
      </c>
      <c r="AX56" s="26">
        <f>SUMPRODUCT(((A$52:AV$52)="圣水")*(A56:AV56))</f>
        <v>4700</v>
      </c>
      <c r="AY56" s="26">
        <f t="shared" ref="AY56:AY65" si="33">SUMPRODUCT(((A$52:AV$52)="圣水科技")*(A56:AV56))</f>
        <v>0</v>
      </c>
      <c r="AZ56" s="26">
        <f>AY56+AX56</f>
        <v>4700</v>
      </c>
      <c r="BA56" s="43">
        <f t="shared" ref="BA56:BA65" si="34">SUMPRODUCT(((A$52:AV$52)="黑水科技")*(A56:AV56))</f>
        <v>0</v>
      </c>
      <c r="BB56" s="44">
        <f>SUMPRODUCT(((A$52:AV$52)="黑水英雄")*(A56:AV56))</f>
        <v>0</v>
      </c>
      <c r="BC56" s="45">
        <f>BB56+BA56</f>
        <v>0</v>
      </c>
      <c r="BD56" s="44">
        <f>AY42*[1]资源效率!E3*24</f>
        <v>716.66666666666652</v>
      </c>
      <c r="BE56" s="44">
        <f>BD56</f>
        <v>716.66666666666652</v>
      </c>
      <c r="BF56" s="26"/>
      <c r="BG56" s="19">
        <f>BD56/AW56</f>
        <v>0.35833333333333328</v>
      </c>
      <c r="BH56" s="5">
        <f>BE56/AZ56</f>
        <v>0.15248226950354607</v>
      </c>
    </row>
    <row r="57" spans="1:60" x14ac:dyDescent="0.15">
      <c r="A57" s="23">
        <f>[1]建筑配置!D4</f>
        <v>1000</v>
      </c>
      <c r="B57" s="26">
        <f t="shared" ref="B57:Q57" si="35">IF(B4=0,0,"")</f>
        <v>0</v>
      </c>
      <c r="C57" s="26">
        <f>[1]建筑配置!E18+[1]建筑配置!F18</f>
        <v>2100</v>
      </c>
      <c r="D57" s="26">
        <f>[1]建筑配置!E27+[1]建筑配置!F27</f>
        <v>2100</v>
      </c>
      <c r="E57" s="26">
        <f>[1]建筑配置!D36+[1]建筑配置!E36</f>
        <v>2250</v>
      </c>
      <c r="F57" s="26">
        <f>[1]建筑配置!D44+[1]建筑配置!E44</f>
        <v>2250</v>
      </c>
      <c r="G57" s="26">
        <f t="shared" si="35"/>
        <v>0</v>
      </c>
      <c r="H57" s="26">
        <f t="shared" si="35"/>
        <v>0</v>
      </c>
      <c r="I57" s="26">
        <v>0</v>
      </c>
      <c r="J57" s="26">
        <f>[1]建筑配置!E69</f>
        <v>4000</v>
      </c>
      <c r="K57" s="26">
        <f t="shared" si="35"/>
        <v>0</v>
      </c>
      <c r="L57" s="26">
        <f>[1]建筑配置!C85+[1]建筑配置!D85</f>
        <v>3000</v>
      </c>
      <c r="M57" s="26">
        <f t="shared" si="35"/>
        <v>0</v>
      </c>
      <c r="N57" s="26">
        <f t="shared" si="35"/>
        <v>0</v>
      </c>
      <c r="O57" s="26">
        <f t="shared" si="35"/>
        <v>0</v>
      </c>
      <c r="P57" s="26">
        <f>[1]建筑配置!C117+[1]建筑配置!D117</f>
        <v>1200</v>
      </c>
      <c r="Q57" s="26">
        <f t="shared" si="35"/>
        <v>0</v>
      </c>
      <c r="R57" s="26">
        <f t="shared" si="32"/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f>[1]建筑配置!D141</f>
        <v>2500</v>
      </c>
      <c r="Y57" s="26">
        <f>[1]建筑配置!F149</f>
        <v>5000</v>
      </c>
      <c r="Z57" s="26">
        <f t="shared" si="32"/>
        <v>0</v>
      </c>
      <c r="AA57" s="26">
        <f t="shared" si="32"/>
        <v>0</v>
      </c>
      <c r="AB57" s="26">
        <f t="shared" si="32"/>
        <v>0</v>
      </c>
      <c r="AC57" s="26">
        <f t="shared" si="32"/>
        <v>0</v>
      </c>
      <c r="AD57" s="26">
        <f t="shared" si="32"/>
        <v>0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T57" s="26">
        <v>0</v>
      </c>
      <c r="AU57" s="26">
        <v>0</v>
      </c>
      <c r="AV57" s="27">
        <v>0</v>
      </c>
      <c r="AW57" s="27">
        <f t="shared" ref="AW57:AW65" si="36">SUMPRODUCT(((A$52:AV$52)="金币")*(A57:AV57))</f>
        <v>13550</v>
      </c>
      <c r="AX57" s="26">
        <f t="shared" ref="AX57:AX65" si="37">SUMPRODUCT(((A$52:AV$52)="圣水")*(A57:AV57))</f>
        <v>11850</v>
      </c>
      <c r="AY57" s="26">
        <f t="shared" si="33"/>
        <v>0</v>
      </c>
      <c r="AZ57" s="26">
        <f t="shared" ref="AZ57:AZ65" si="38">AY57+AX57</f>
        <v>11850</v>
      </c>
      <c r="BA57" s="43">
        <f t="shared" si="34"/>
        <v>0</v>
      </c>
      <c r="BB57" s="44">
        <f t="shared" ref="BB57:BB65" si="39">SUMPRODUCT(((A$52:AV$52)="黑水英雄")*(A57:AV57))</f>
        <v>0</v>
      </c>
      <c r="BC57" s="45">
        <f t="shared" ref="BC57:BC65" si="40">BB57+BA57</f>
        <v>0</v>
      </c>
      <c r="BD57" s="44">
        <f>(AY43-AY42)*[1]资源效率!E4*24</f>
        <v>17439.999999999996</v>
      </c>
      <c r="BE57" s="44">
        <f t="shared" ref="BE57:BE65" si="41">BD57</f>
        <v>17439.999999999996</v>
      </c>
      <c r="BF57" s="26"/>
      <c r="BG57" s="19">
        <f t="shared" ref="BG57:BG65" si="42">BD57/AW57</f>
        <v>1.2870848708487082</v>
      </c>
      <c r="BH57" s="5">
        <f t="shared" ref="BH57:BH65" si="43">BE57/AZ57</f>
        <v>1.4717299578059069</v>
      </c>
    </row>
    <row r="58" spans="1:60" x14ac:dyDescent="0.15">
      <c r="A58" s="26">
        <f>[1]建筑配置!E4</f>
        <v>4000</v>
      </c>
      <c r="B58" s="26">
        <f>[1]建筑配置!C11</f>
        <v>40000</v>
      </c>
      <c r="C58" s="26">
        <f>[1]建筑配置!G18+[1]建筑配置!H18</f>
        <v>10000</v>
      </c>
      <c r="D58" s="26">
        <f>[1]建筑配置!G27+[1]建筑配置!H27</f>
        <v>10000</v>
      </c>
      <c r="E58" s="26">
        <f>[1]建筑配置!F36+[1]建筑配置!G36+[1]建筑配置!H36</f>
        <v>21000</v>
      </c>
      <c r="F58" s="26">
        <f>[1]建筑配置!F44+[1]建筑配置!G44+[1]建筑配置!H44</f>
        <v>21000</v>
      </c>
      <c r="G58" s="26">
        <f t="shared" si="32"/>
        <v>0</v>
      </c>
      <c r="H58" s="26">
        <f t="shared" si="32"/>
        <v>0</v>
      </c>
      <c r="I58" s="26">
        <v>0</v>
      </c>
      <c r="J58" s="26">
        <f>[1]建筑配置!F69</f>
        <v>16000</v>
      </c>
      <c r="K58" s="26">
        <f>[1]建筑配置!C77</f>
        <v>8000</v>
      </c>
      <c r="L58" s="26">
        <f>[1]建筑配置!E85</f>
        <v>5000</v>
      </c>
      <c r="M58" s="26">
        <f t="shared" si="32"/>
        <v>0</v>
      </c>
      <c r="N58" s="26">
        <f t="shared" si="32"/>
        <v>0</v>
      </c>
      <c r="O58" s="26">
        <f t="shared" si="32"/>
        <v>0</v>
      </c>
      <c r="P58" s="26">
        <f>[1]建筑配置!E117</f>
        <v>5000</v>
      </c>
      <c r="Q58" s="26">
        <f t="shared" si="32"/>
        <v>0</v>
      </c>
      <c r="R58" s="26">
        <f t="shared" si="32"/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f>[1]建筑配置!E141</f>
        <v>10000</v>
      </c>
      <c r="Y58" s="26">
        <f>[1]建筑配置!G149</f>
        <v>10000</v>
      </c>
      <c r="Z58" s="26">
        <f t="shared" si="32"/>
        <v>0</v>
      </c>
      <c r="AA58" s="26">
        <f>[1]建筑配置!C165</f>
        <v>25000</v>
      </c>
      <c r="AB58" s="26">
        <f t="shared" si="32"/>
        <v>0</v>
      </c>
      <c r="AC58" s="26">
        <f t="shared" si="32"/>
        <v>0</v>
      </c>
      <c r="AD58" s="26">
        <f t="shared" si="32"/>
        <v>0</v>
      </c>
      <c r="AE58" s="26">
        <f>[1]建筑配置!C170</f>
        <v>50000</v>
      </c>
      <c r="AF58" s="26">
        <f>[1]建筑配置!C173</f>
        <v>50000</v>
      </c>
      <c r="AG58" s="26">
        <f>[1]建筑配置!C176</f>
        <v>50000</v>
      </c>
      <c r="AH58" s="26">
        <v>0</v>
      </c>
      <c r="AI58" s="26">
        <v>0</v>
      </c>
      <c r="AJ58" s="26">
        <v>0</v>
      </c>
      <c r="AK58" s="26">
        <v>0</v>
      </c>
      <c r="AL58" s="26">
        <v>0</v>
      </c>
      <c r="AM58" s="26">
        <v>0</v>
      </c>
      <c r="AN58" s="26">
        <v>0</v>
      </c>
      <c r="AO58" s="26">
        <f>[1]建筑配置!C200</f>
        <v>200000</v>
      </c>
      <c r="AP58" s="26">
        <v>0</v>
      </c>
      <c r="AQ58" s="26">
        <v>0</v>
      </c>
      <c r="AR58" s="26">
        <v>0</v>
      </c>
      <c r="AS58" s="26">
        <v>0</v>
      </c>
      <c r="AT58" s="26">
        <v>0</v>
      </c>
      <c r="AU58" s="26">
        <v>0</v>
      </c>
      <c r="AV58" s="27">
        <v>0</v>
      </c>
      <c r="AW58" s="27">
        <f t="shared" si="36"/>
        <v>109000</v>
      </c>
      <c r="AX58" s="26">
        <f t="shared" si="37"/>
        <v>76000</v>
      </c>
      <c r="AY58" s="26">
        <f t="shared" si="33"/>
        <v>350000</v>
      </c>
      <c r="AZ58" s="26">
        <f t="shared" si="38"/>
        <v>426000</v>
      </c>
      <c r="BA58" s="43">
        <f t="shared" si="34"/>
        <v>0</v>
      </c>
      <c r="BB58" s="44">
        <f t="shared" si="39"/>
        <v>0</v>
      </c>
      <c r="BC58" s="45">
        <f t="shared" si="40"/>
        <v>0</v>
      </c>
      <c r="BD58" s="44">
        <f>(AY44-AY43)*[1]资源效率!E5*24</f>
        <v>260390</v>
      </c>
      <c r="BE58" s="44">
        <f t="shared" si="41"/>
        <v>260390</v>
      </c>
      <c r="BF58" s="26"/>
      <c r="BG58" s="19">
        <f t="shared" si="42"/>
        <v>2.3888990825688072</v>
      </c>
      <c r="BH58" s="5">
        <f t="shared" si="43"/>
        <v>0.61124413145539902</v>
      </c>
    </row>
    <row r="59" spans="1:60" x14ac:dyDescent="0.15">
      <c r="A59" s="26">
        <f>[1]建筑配置!F4</f>
        <v>25000</v>
      </c>
      <c r="B59" s="26">
        <f>[1]建筑配置!D11</f>
        <v>100000</v>
      </c>
      <c r="C59" s="26">
        <f>[1]建筑配置!I18+[1]建筑配置!J18</f>
        <v>42000</v>
      </c>
      <c r="D59" s="26">
        <f>[1]建筑配置!I27+[1]建筑配置!J27</f>
        <v>42000</v>
      </c>
      <c r="E59" s="26">
        <f>[1]建筑配置!I36+[1]建筑配置!J36</f>
        <v>75000</v>
      </c>
      <c r="F59" s="26">
        <f>[1]建筑配置!I44+[1]建筑配置!J44</f>
        <v>75000</v>
      </c>
      <c r="G59" s="26">
        <f t="shared" si="32"/>
        <v>0</v>
      </c>
      <c r="H59" s="26">
        <f t="shared" si="32"/>
        <v>0</v>
      </c>
      <c r="I59" s="26">
        <v>0</v>
      </c>
      <c r="J59" s="26">
        <f>[1]建筑配置!G69</f>
        <v>50000</v>
      </c>
      <c r="K59" s="26">
        <f>[1]建筑配置!D77</f>
        <v>32000</v>
      </c>
      <c r="L59" s="26">
        <f>[1]建筑配置!F85</f>
        <v>20000</v>
      </c>
      <c r="M59" s="26">
        <f>[1]建筑配置!C93+[1]建筑配置!D93</f>
        <v>112500</v>
      </c>
      <c r="N59" s="26">
        <f t="shared" si="32"/>
        <v>0</v>
      </c>
      <c r="O59" s="26">
        <f t="shared" si="32"/>
        <v>0</v>
      </c>
      <c r="P59" s="26">
        <f>[1]建筑配置!F117</f>
        <v>10000</v>
      </c>
      <c r="Q59" s="26">
        <f t="shared" si="32"/>
        <v>0</v>
      </c>
      <c r="R59" s="26">
        <f t="shared" si="32"/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f>[1]建筑配置!F141</f>
        <v>100000</v>
      </c>
      <c r="Y59" s="26">
        <f>[1]建筑配置!H149</f>
        <v>80000</v>
      </c>
      <c r="Z59" s="26">
        <f t="shared" si="32"/>
        <v>0</v>
      </c>
      <c r="AA59" s="26">
        <f>[1]建筑配置!D165</f>
        <v>50000</v>
      </c>
      <c r="AB59" s="26">
        <f t="shared" si="32"/>
        <v>0</v>
      </c>
      <c r="AC59" s="26">
        <f t="shared" si="32"/>
        <v>0</v>
      </c>
      <c r="AD59" s="26">
        <f t="shared" si="32"/>
        <v>0</v>
      </c>
      <c r="AE59" s="26">
        <v>0</v>
      </c>
      <c r="AF59" s="26">
        <v>0</v>
      </c>
      <c r="AG59" s="26">
        <v>0</v>
      </c>
      <c r="AH59" s="26">
        <f>[1]建筑配置!D179</f>
        <v>100000</v>
      </c>
      <c r="AI59" s="26">
        <f>[1]建筑配置!D182</f>
        <v>100000</v>
      </c>
      <c r="AJ59" s="26">
        <f>[1]建筑配置!D185</f>
        <v>150000</v>
      </c>
      <c r="AK59" s="26">
        <v>0</v>
      </c>
      <c r="AL59" s="26">
        <v>0</v>
      </c>
      <c r="AM59" s="26">
        <v>0</v>
      </c>
      <c r="AN59" s="26">
        <v>0</v>
      </c>
      <c r="AO59" s="26">
        <f>[1]建筑配置!D200</f>
        <v>500000</v>
      </c>
      <c r="AP59" s="26">
        <f>[1]建筑配置!D203</f>
        <v>300000</v>
      </c>
      <c r="AQ59" s="26">
        <v>0</v>
      </c>
      <c r="AR59" s="26">
        <v>0</v>
      </c>
      <c r="AS59" s="26">
        <v>0</v>
      </c>
      <c r="AT59" s="26">
        <v>0</v>
      </c>
      <c r="AU59" s="26">
        <v>0</v>
      </c>
      <c r="AV59" s="27">
        <v>0</v>
      </c>
      <c r="AW59" s="27">
        <f t="shared" si="36"/>
        <v>466500</v>
      </c>
      <c r="AX59" s="26">
        <f t="shared" si="37"/>
        <v>347000</v>
      </c>
      <c r="AY59" s="26">
        <f t="shared" si="33"/>
        <v>1150000</v>
      </c>
      <c r="AZ59" s="26">
        <f t="shared" si="38"/>
        <v>1497000</v>
      </c>
      <c r="BA59" s="43">
        <f t="shared" si="34"/>
        <v>0</v>
      </c>
      <c r="BB59" s="44">
        <f t="shared" si="39"/>
        <v>0</v>
      </c>
      <c r="BC59" s="45">
        <f t="shared" si="40"/>
        <v>0</v>
      </c>
      <c r="BD59" s="44">
        <f>(AY45-AY44)*[1]资源效率!E6*24</f>
        <v>2031290</v>
      </c>
      <c r="BE59" s="44">
        <f t="shared" si="41"/>
        <v>2031290</v>
      </c>
      <c r="BF59" s="26"/>
      <c r="BG59" s="19">
        <f t="shared" si="42"/>
        <v>4.3543193997856378</v>
      </c>
      <c r="BH59" s="5">
        <f t="shared" si="43"/>
        <v>1.3569071476285905</v>
      </c>
    </row>
    <row r="60" spans="1:60" x14ac:dyDescent="0.15">
      <c r="A60" s="26">
        <f>[1]建筑配置!G4</f>
        <v>150000</v>
      </c>
      <c r="B60" s="26">
        <v>0</v>
      </c>
      <c r="C60" s="26">
        <f>[1]建筑配置!K18+[1]建筑配置!L18</f>
        <v>140000</v>
      </c>
      <c r="D60" s="26">
        <f>[1]建筑配置!K27+[1]建筑配置!L27</f>
        <v>140000</v>
      </c>
      <c r="E60" s="26">
        <f>[1]建筑配置!K36</f>
        <v>100000</v>
      </c>
      <c r="F60" s="26">
        <f>[1]建筑配置!K44</f>
        <v>100000</v>
      </c>
      <c r="G60" s="26">
        <f t="shared" si="32"/>
        <v>0</v>
      </c>
      <c r="H60" s="26">
        <f t="shared" si="32"/>
        <v>0</v>
      </c>
      <c r="I60" s="26">
        <v>0</v>
      </c>
      <c r="J60" s="26">
        <f>[1]建筑配置!H69</f>
        <v>100000</v>
      </c>
      <c r="K60" s="26">
        <f>[1]建筑配置!E77</f>
        <v>120000</v>
      </c>
      <c r="L60" s="26">
        <f>[1]建筑配置!G85+[1]建筑配置!H85</f>
        <v>260000</v>
      </c>
      <c r="M60" s="26">
        <f>[1]建筑配置!E93</f>
        <v>270000</v>
      </c>
      <c r="N60" s="26">
        <f>[1]建筑配置!C101+[1]建筑配置!D101</f>
        <v>540000</v>
      </c>
      <c r="O60" s="26">
        <f t="shared" si="32"/>
        <v>0</v>
      </c>
      <c r="P60" s="26">
        <f>[1]建筑配置!G117</f>
        <v>30000</v>
      </c>
      <c r="Q60" s="26">
        <f t="shared" si="32"/>
        <v>0</v>
      </c>
      <c r="R60" s="26">
        <f t="shared" si="32"/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f>[1]建筑配置!G141</f>
        <v>250000</v>
      </c>
      <c r="Y60" s="26">
        <f>[1]建筑配置!I149</f>
        <v>240000</v>
      </c>
      <c r="Z60" s="26">
        <f t="shared" si="32"/>
        <v>0</v>
      </c>
      <c r="AA60" s="26">
        <f>[1]建筑配置!E165</f>
        <v>90000</v>
      </c>
      <c r="AB60" s="26">
        <f>[1]建筑配置!C226</f>
        <v>200000</v>
      </c>
      <c r="AC60" s="26">
        <f t="shared" si="32"/>
        <v>0</v>
      </c>
      <c r="AD60" s="26">
        <f t="shared" si="32"/>
        <v>0</v>
      </c>
      <c r="AE60" s="26">
        <f>[1]建筑配置!E170</f>
        <v>150000</v>
      </c>
      <c r="AF60" s="26">
        <f>[1]建筑配置!E173</f>
        <v>250000</v>
      </c>
      <c r="AG60" s="26">
        <f>[1]建筑配置!E176</f>
        <v>250000</v>
      </c>
      <c r="AH60" s="26">
        <v>0</v>
      </c>
      <c r="AI60" s="26">
        <v>0</v>
      </c>
      <c r="AJ60" s="26">
        <v>0</v>
      </c>
      <c r="AK60" s="26">
        <f>[1]建筑配置!E188</f>
        <v>150000</v>
      </c>
      <c r="AL60" s="26">
        <v>0</v>
      </c>
      <c r="AM60" s="26">
        <v>0</v>
      </c>
      <c r="AN60" s="26">
        <v>0</v>
      </c>
      <c r="AO60" s="26">
        <f>[1]建筑配置!E200</f>
        <v>1000000</v>
      </c>
      <c r="AP60" s="26">
        <v>0</v>
      </c>
      <c r="AQ60" s="26">
        <f>[1]建筑配置!E206</f>
        <v>450000</v>
      </c>
      <c r="AR60" s="26">
        <v>0</v>
      </c>
      <c r="AS60" s="26">
        <v>0</v>
      </c>
      <c r="AT60" s="26">
        <v>0</v>
      </c>
      <c r="AU60" s="26">
        <v>0</v>
      </c>
      <c r="AV60" s="27">
        <v>0</v>
      </c>
      <c r="AW60" s="27">
        <f t="shared" si="36"/>
        <v>1710000</v>
      </c>
      <c r="AX60" s="26">
        <f t="shared" si="37"/>
        <v>1020000</v>
      </c>
      <c r="AY60" s="26">
        <f t="shared" si="33"/>
        <v>2250000</v>
      </c>
      <c r="AZ60" s="26">
        <f t="shared" si="38"/>
        <v>3270000</v>
      </c>
      <c r="BA60" s="43">
        <f t="shared" si="34"/>
        <v>0</v>
      </c>
      <c r="BB60" s="44">
        <f t="shared" si="39"/>
        <v>0</v>
      </c>
      <c r="BC60" s="45">
        <f t="shared" si="40"/>
        <v>0</v>
      </c>
      <c r="BD60" s="44">
        <f>(AY46-AY45)*[1]资源效率!E7*24</f>
        <v>11683125</v>
      </c>
      <c r="BE60" s="44">
        <f t="shared" si="41"/>
        <v>11683125</v>
      </c>
      <c r="BF60" s="26"/>
      <c r="BG60" s="19">
        <f t="shared" si="42"/>
        <v>6.8322368421052628</v>
      </c>
      <c r="BH60" s="5">
        <f t="shared" si="43"/>
        <v>3.5728211009174311</v>
      </c>
    </row>
    <row r="61" spans="1:60" x14ac:dyDescent="0.15">
      <c r="A61" s="26">
        <f>[1]建筑配置!H4</f>
        <v>750000</v>
      </c>
      <c r="B61" s="26">
        <f>[1]建筑配置!E11</f>
        <v>800000</v>
      </c>
      <c r="C61" s="26">
        <v>0</v>
      </c>
      <c r="D61" s="26">
        <v>0</v>
      </c>
      <c r="E61" s="26">
        <f>[1]建筑配置!L36</f>
        <v>250000</v>
      </c>
      <c r="F61" s="26">
        <f>[1]建筑配置!L44</f>
        <v>250000</v>
      </c>
      <c r="G61" s="26">
        <f t="shared" si="32"/>
        <v>0</v>
      </c>
      <c r="H61" s="26">
        <f t="shared" si="32"/>
        <v>0</v>
      </c>
      <c r="I61" s="26">
        <v>0</v>
      </c>
      <c r="J61" s="26">
        <f>[1]建筑配置!I69</f>
        <v>200000</v>
      </c>
      <c r="K61" s="26">
        <f>[1]建筑配置!F77</f>
        <v>400000</v>
      </c>
      <c r="L61" s="26">
        <f>[1]建筑配置!I85</f>
        <v>360000</v>
      </c>
      <c r="M61" s="26">
        <f>[1]建筑配置!F93</f>
        <v>540000</v>
      </c>
      <c r="N61" s="26">
        <f>[1]建筑配置!E101</f>
        <v>720000</v>
      </c>
      <c r="O61" s="26">
        <f t="shared" si="32"/>
        <v>0</v>
      </c>
      <c r="P61" s="26">
        <f>[1]建筑配置!H117</f>
        <v>75000</v>
      </c>
      <c r="Q61" s="26">
        <f t="shared" si="32"/>
        <v>0</v>
      </c>
      <c r="R61" s="26">
        <f t="shared" si="32"/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f>[1]建筑配置!H141</f>
        <v>750000</v>
      </c>
      <c r="Y61" s="26">
        <f>[1]建筑配置!J149</f>
        <v>700000</v>
      </c>
      <c r="Z61" s="26">
        <f t="shared" si="32"/>
        <v>0</v>
      </c>
      <c r="AA61" s="26">
        <f>[1]建筑配置!F165</f>
        <v>270000</v>
      </c>
      <c r="AB61" s="26">
        <f>[1]建筑配置!D226</f>
        <v>400000</v>
      </c>
      <c r="AC61" s="26">
        <f t="shared" si="32"/>
        <v>0</v>
      </c>
      <c r="AD61" s="26">
        <f t="shared" si="32"/>
        <v>0</v>
      </c>
      <c r="AE61" s="26">
        <v>0</v>
      </c>
      <c r="AF61" s="26">
        <v>0</v>
      </c>
      <c r="AG61" s="26">
        <v>0</v>
      </c>
      <c r="AH61" s="26">
        <f>[1]建筑配置!F179</f>
        <v>250000</v>
      </c>
      <c r="AI61" s="26">
        <f>[1]建筑配置!F182</f>
        <v>250000</v>
      </c>
      <c r="AJ61" s="26">
        <f>[1]建筑配置!F185</f>
        <v>450000</v>
      </c>
      <c r="AK61" s="26">
        <f>[1]建筑配置!F188</f>
        <v>450000</v>
      </c>
      <c r="AL61" s="26">
        <v>0</v>
      </c>
      <c r="AM61" s="26">
        <v>0</v>
      </c>
      <c r="AN61" s="26">
        <v>0</v>
      </c>
      <c r="AO61" s="26">
        <v>0</v>
      </c>
      <c r="AP61" s="26">
        <f>[1]建筑配置!F203</f>
        <v>600000</v>
      </c>
      <c r="AQ61" s="26">
        <f>[1]建筑配置!F206</f>
        <v>900000</v>
      </c>
      <c r="AR61" s="26">
        <v>0</v>
      </c>
      <c r="AS61" s="26">
        <v>0</v>
      </c>
      <c r="AT61" s="26">
        <v>0</v>
      </c>
      <c r="AU61" s="26">
        <v>0</v>
      </c>
      <c r="AV61" s="27">
        <v>0</v>
      </c>
      <c r="AW61" s="27">
        <f t="shared" si="36"/>
        <v>4095000</v>
      </c>
      <c r="AX61" s="26">
        <f t="shared" si="37"/>
        <v>2370000</v>
      </c>
      <c r="AY61" s="26">
        <f t="shared" si="33"/>
        <v>2900000</v>
      </c>
      <c r="AZ61" s="26">
        <f t="shared" si="38"/>
        <v>5270000</v>
      </c>
      <c r="BA61" s="43">
        <f t="shared" si="34"/>
        <v>0</v>
      </c>
      <c r="BB61" s="44">
        <f t="shared" si="39"/>
        <v>0</v>
      </c>
      <c r="BC61" s="45">
        <f t="shared" si="40"/>
        <v>0</v>
      </c>
      <c r="BD61" s="44">
        <f>(AY47-AY46)*[1]资源效率!E8*24</f>
        <v>21080250</v>
      </c>
      <c r="BE61" s="44">
        <f t="shared" si="41"/>
        <v>21080250</v>
      </c>
      <c r="BF61" s="26"/>
      <c r="BG61" s="19">
        <f t="shared" si="42"/>
        <v>5.1478021978021982</v>
      </c>
      <c r="BH61" s="5">
        <f t="shared" si="43"/>
        <v>4.0000474383301707</v>
      </c>
    </row>
    <row r="62" spans="1:60" x14ac:dyDescent="0.15">
      <c r="A62" s="26">
        <f>[1]建筑配置!I4</f>
        <v>1200000</v>
      </c>
      <c r="B62" s="26">
        <v>0</v>
      </c>
      <c r="C62" s="26">
        <f>[1]建筑配置!M18</f>
        <v>168000</v>
      </c>
      <c r="D62" s="26">
        <f>[1]建筑配置!M27</f>
        <v>168000</v>
      </c>
      <c r="E62" s="26">
        <f>[1]建筑配置!M36</f>
        <v>500000</v>
      </c>
      <c r="F62" s="26">
        <f>[1]建筑配置!M44</f>
        <v>500000</v>
      </c>
      <c r="G62" s="26">
        <f t="shared" si="32"/>
        <v>0</v>
      </c>
      <c r="H62" s="26">
        <f>[1]建筑配置!C61+[1]建筑配置!D61</f>
        <v>1950000</v>
      </c>
      <c r="I62" s="26">
        <v>0</v>
      </c>
      <c r="J62" s="26">
        <f>[1]建筑配置!J69</f>
        <v>400000</v>
      </c>
      <c r="K62" s="26">
        <f>[1]建筑配置!G77</f>
        <v>800000</v>
      </c>
      <c r="L62" s="26">
        <f>[1]建筑配置!J85</f>
        <v>720000</v>
      </c>
      <c r="M62" s="26">
        <f>[1]建筑配置!G93</f>
        <v>1080000</v>
      </c>
      <c r="N62" s="26">
        <f>[1]建筑配置!F101</f>
        <v>1280000</v>
      </c>
      <c r="O62" s="26">
        <f>[1]建筑配置!C109+[1]建筑配置!D109+[1]建筑配置!E109</f>
        <v>3750000</v>
      </c>
      <c r="P62" s="26">
        <f>[1]建筑配置!I117</f>
        <v>200000</v>
      </c>
      <c r="Q62" s="26">
        <f t="shared" si="32"/>
        <v>0</v>
      </c>
      <c r="R62" s="26">
        <f t="shared" si="32"/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f>[1]建筑配置!I141</f>
        <v>2250000</v>
      </c>
      <c r="Y62" s="26">
        <f>[1]建筑配置!K149</f>
        <v>1500000</v>
      </c>
      <c r="Z62" s="26">
        <f>[1]建筑配置!C157+[1]建筑配置!D157</f>
        <v>2250000</v>
      </c>
      <c r="AA62" s="26">
        <f>[1]建筑配置!G165</f>
        <v>500000</v>
      </c>
      <c r="AB62" s="26">
        <f>[1]建筑配置!E226</f>
        <v>800000</v>
      </c>
      <c r="AC62" s="26">
        <f>[1]建筑配置!C234+[1]建筑配置!D234+[1]建筑配置!E234+[1]建筑配置!F234+[1]建筑配置!G234</f>
        <v>75000</v>
      </c>
      <c r="AD62" s="26">
        <f t="shared" si="32"/>
        <v>0</v>
      </c>
      <c r="AE62" s="26">
        <f>[1]建筑配置!G170</f>
        <v>500000</v>
      </c>
      <c r="AF62" s="26">
        <f>[1]建筑配置!G173</f>
        <v>750000</v>
      </c>
      <c r="AG62" s="26">
        <f>[1]建筑配置!G176</f>
        <v>750000</v>
      </c>
      <c r="AH62" s="26">
        <f>[1]建筑配置!G179</f>
        <v>750000</v>
      </c>
      <c r="AI62" s="26">
        <f>[1]建筑配置!G182</f>
        <v>750000</v>
      </c>
      <c r="AJ62" s="26">
        <f>[1]建筑配置!G185</f>
        <v>1350000</v>
      </c>
      <c r="AK62" s="26">
        <f>[1]建筑配置!G188</f>
        <v>1350000</v>
      </c>
      <c r="AL62" s="26">
        <f>[1]建筑配置!G191</f>
        <v>750000</v>
      </c>
      <c r="AM62" s="26">
        <f>[1]建筑配置!G194</f>
        <v>2000000</v>
      </c>
      <c r="AN62" s="26">
        <v>0</v>
      </c>
      <c r="AO62" s="26">
        <v>0</v>
      </c>
      <c r="AP62" s="26">
        <f>[1]建筑配置!G203</f>
        <v>1200000</v>
      </c>
      <c r="AQ62" s="26">
        <f>[1]建筑配置!G206</f>
        <v>1800000</v>
      </c>
      <c r="AR62" s="26">
        <v>0</v>
      </c>
      <c r="AS62" s="26">
        <f>[1]建筑配置!G212</f>
        <v>10000</v>
      </c>
      <c r="AT62" s="26">
        <f>[1]建筑配置!G215</f>
        <v>20000</v>
      </c>
      <c r="AU62" s="26">
        <v>0</v>
      </c>
      <c r="AV62" s="27">
        <v>0</v>
      </c>
      <c r="AW62" s="27">
        <f t="shared" si="36"/>
        <v>12048000</v>
      </c>
      <c r="AX62" s="26">
        <f t="shared" si="37"/>
        <v>7968000</v>
      </c>
      <c r="AY62" s="26">
        <f t="shared" si="33"/>
        <v>11950000</v>
      </c>
      <c r="AZ62" s="26">
        <f t="shared" si="38"/>
        <v>19918000</v>
      </c>
      <c r="BA62" s="43">
        <f t="shared" si="34"/>
        <v>30000</v>
      </c>
      <c r="BB62" s="44">
        <f t="shared" si="39"/>
        <v>75000</v>
      </c>
      <c r="BC62" s="45">
        <f t="shared" si="40"/>
        <v>105000</v>
      </c>
      <c r="BD62" s="44">
        <f>(AY48-AY47)*[1]资源效率!E9*24</f>
        <v>38743950.000000007</v>
      </c>
      <c r="BE62" s="44">
        <f t="shared" si="41"/>
        <v>38743950.000000007</v>
      </c>
      <c r="BF62" s="26"/>
      <c r="BG62" s="19">
        <f t="shared" si="42"/>
        <v>3.2157993027888452</v>
      </c>
      <c r="BH62" s="5">
        <f t="shared" si="43"/>
        <v>1.9451727081032235</v>
      </c>
    </row>
    <row r="63" spans="1:60" x14ac:dyDescent="0.15">
      <c r="A63" s="26">
        <f>[1]建筑配置!J4</f>
        <v>2000000</v>
      </c>
      <c r="B63" s="26">
        <f>[1]建筑配置!F11</f>
        <v>1800000</v>
      </c>
      <c r="C63" s="26">
        <v>0</v>
      </c>
      <c r="D63" s="26">
        <v>0</v>
      </c>
      <c r="E63" s="26">
        <v>0</v>
      </c>
      <c r="F63" s="26">
        <v>0</v>
      </c>
      <c r="G63" s="26">
        <f>[1]建筑配置!C52+[1]建筑配置!D52+[1]建筑配置!E52</f>
        <v>4500000</v>
      </c>
      <c r="H63" s="26">
        <f>[1]建筑配置!E61+[1]建筑配置!F61</f>
        <v>4200000</v>
      </c>
      <c r="I63" s="26">
        <v>0</v>
      </c>
      <c r="J63" s="26">
        <f>[1]建筑配置!K69+[1]建筑配置!L69</f>
        <v>2400000</v>
      </c>
      <c r="K63" s="26">
        <f>[1]建筑配置!H77</f>
        <v>1600000</v>
      </c>
      <c r="L63" s="26">
        <f>[1]建筑配置!K85+[1]建筑配置!L85</f>
        <v>4000000</v>
      </c>
      <c r="M63" s="26">
        <f>[1]建筑配置!H93</f>
        <v>2160000</v>
      </c>
      <c r="N63" s="26">
        <f>[1]建筑配置!G101+[1]建筑配置!H101</f>
        <v>4640000</v>
      </c>
      <c r="O63" s="26">
        <f>[1]建筑配置!F109+[1]建筑配置!G109+[1]建筑配置!H109</f>
        <v>7500000</v>
      </c>
      <c r="P63" s="26">
        <f>[1]建筑配置!J117</f>
        <v>500000</v>
      </c>
      <c r="Q63" s="26">
        <f t="shared" si="32"/>
        <v>0</v>
      </c>
      <c r="R63" s="26">
        <f t="shared" si="32"/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f>[1]建筑配置!L149</f>
        <v>2000000</v>
      </c>
      <c r="Z63" s="26">
        <f>[1]建筑配置!E157+[1]建筑配置!F157</f>
        <v>7000000</v>
      </c>
      <c r="AA63" s="26">
        <f>[1]建筑配置!H165</f>
        <v>1000000</v>
      </c>
      <c r="AB63" s="26">
        <f>[1]建筑配置!F226</f>
        <v>1600000</v>
      </c>
      <c r="AC63" s="26">
        <f>[1]建筑配置!H234+[1]建筑配置!I234+[1]建筑配置!J234+[1]建筑配置!K234+[1]建筑配置!L234</f>
        <v>152500</v>
      </c>
      <c r="AD63" s="26">
        <f t="shared" si="32"/>
        <v>0</v>
      </c>
      <c r="AE63" s="26">
        <f>[1]建筑配置!H170</f>
        <v>1500000</v>
      </c>
      <c r="AF63" s="26">
        <f>[1]建筑配置!H173</f>
        <v>2250000</v>
      </c>
      <c r="AG63" s="26">
        <f>[1]建筑配置!H176</f>
        <v>2250000</v>
      </c>
      <c r="AH63" s="26">
        <f>[1]建筑配置!H179</f>
        <v>2250000</v>
      </c>
      <c r="AI63" s="26">
        <f>[1]建筑配置!H182</f>
        <v>2250000</v>
      </c>
      <c r="AJ63" s="26">
        <f>[1]建筑配置!H185</f>
        <v>2500000</v>
      </c>
      <c r="AK63" s="26">
        <f>[1]建筑配置!H188</f>
        <v>2500000</v>
      </c>
      <c r="AL63" s="26">
        <f>[1]建筑配置!H191</f>
        <v>1500000</v>
      </c>
      <c r="AM63" s="26">
        <f>[1]建筑配置!H194</f>
        <v>3000000</v>
      </c>
      <c r="AN63" s="26">
        <f>[1]建筑配置!H197+[1]建筑配置!I197</f>
        <v>9000000</v>
      </c>
      <c r="AO63" s="26">
        <f>[1]建筑配置!H200</f>
        <v>2000000</v>
      </c>
      <c r="AP63" s="26">
        <f>[1]建筑配置!H203</f>
        <v>2400000</v>
      </c>
      <c r="AQ63" s="26">
        <f>[1]建筑配置!H206</f>
        <v>3000000</v>
      </c>
      <c r="AR63" s="26">
        <v>0</v>
      </c>
      <c r="AS63" s="26">
        <f>[1]建筑配置!H212+[1]建筑配置!I212</f>
        <v>50000</v>
      </c>
      <c r="AT63" s="26">
        <f>[1]建筑配置!H215+[1]建筑配置!I215</f>
        <v>70000</v>
      </c>
      <c r="AU63" s="26">
        <f>[1]建筑配置!H218</f>
        <v>50000</v>
      </c>
      <c r="AV63" s="27">
        <f>[1]建筑配置!H221</f>
        <v>60000</v>
      </c>
      <c r="AW63" s="27">
        <f t="shared" si="36"/>
        <v>35300000</v>
      </c>
      <c r="AX63" s="26">
        <f t="shared" si="37"/>
        <v>11600000</v>
      </c>
      <c r="AY63" s="26">
        <f t="shared" si="33"/>
        <v>36400000</v>
      </c>
      <c r="AZ63" s="26">
        <f t="shared" si="38"/>
        <v>48000000</v>
      </c>
      <c r="BA63" s="43">
        <f t="shared" si="34"/>
        <v>230000</v>
      </c>
      <c r="BB63" s="44">
        <f t="shared" si="39"/>
        <v>152500</v>
      </c>
      <c r="BC63" s="45">
        <f t="shared" si="40"/>
        <v>382500</v>
      </c>
      <c r="BD63" s="44">
        <f>(AY49-AY48)*[1]资源效率!E10*24</f>
        <v>87156000</v>
      </c>
      <c r="BE63" s="44">
        <f t="shared" si="41"/>
        <v>87156000</v>
      </c>
      <c r="BF63" s="26"/>
      <c r="BG63" s="19">
        <f t="shared" si="42"/>
        <v>2.4690084985835692</v>
      </c>
      <c r="BH63" s="5">
        <f t="shared" si="43"/>
        <v>1.81575</v>
      </c>
    </row>
    <row r="64" spans="1:60" x14ac:dyDescent="0.15">
      <c r="A64" s="26">
        <f>[1]建筑配置!K4</f>
        <v>3000000</v>
      </c>
      <c r="B64" s="26">
        <f>[1]建筑配置!G11</f>
        <v>7000000</v>
      </c>
      <c r="C64" s="26">
        <v>0</v>
      </c>
      <c r="D64" s="26">
        <v>0</v>
      </c>
      <c r="E64" s="26">
        <v>0</v>
      </c>
      <c r="F64" s="26">
        <v>0</v>
      </c>
      <c r="G64" s="26">
        <f>[1]建筑配置!F52+[1]建筑配置!G52+[1]建筑配置!H52</f>
        <v>12000000</v>
      </c>
      <c r="H64" s="26">
        <f>[1]建筑配置!G61+[1]建筑配置!H61</f>
        <v>6600000</v>
      </c>
      <c r="I64" s="26">
        <v>0</v>
      </c>
      <c r="J64" s="26">
        <f>[1]建筑配置!M69</f>
        <v>3200000</v>
      </c>
      <c r="K64" s="26">
        <f>[1]建筑配置!I77</f>
        <v>3200000</v>
      </c>
      <c r="L64" s="26">
        <f>[1]建筑配置!M85</f>
        <v>5000000</v>
      </c>
      <c r="M64" s="26">
        <f>[1]建筑配置!I93</f>
        <v>4320000</v>
      </c>
      <c r="N64" s="26">
        <f>[1]建筑配置!I101</f>
        <v>5360000</v>
      </c>
      <c r="O64" s="26">
        <f>[1]建筑配置!I109</f>
        <v>3500000</v>
      </c>
      <c r="P64" s="26">
        <f>[1]建筑配置!K117+[1]建筑配置!L117</f>
        <v>4000000</v>
      </c>
      <c r="Q64" s="26">
        <f>[1]建筑配置!C123+[1]建筑配置!D123+[1]建筑配置!E123</f>
        <v>16000000</v>
      </c>
      <c r="R64" s="26">
        <f t="shared" si="32"/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f>[1]建筑配置!J165</f>
        <v>2500000</v>
      </c>
      <c r="AB64" s="26">
        <v>0</v>
      </c>
      <c r="AC64" s="26">
        <f>SUM([1]建筑配置!M234:AF234)</f>
        <v>1850000</v>
      </c>
      <c r="AD64" s="26">
        <f>SUM([1]建筑配置!C242:AP242)</f>
        <v>4105000</v>
      </c>
      <c r="AE64" s="26">
        <f>[1]建筑配置!J170</f>
        <v>4500000</v>
      </c>
      <c r="AF64" s="26">
        <f>[1]建筑配置!J173</f>
        <v>7500000</v>
      </c>
      <c r="AG64" s="26">
        <v>0</v>
      </c>
      <c r="AH64" s="26">
        <f>[1]建筑配置!J179</f>
        <v>6000000</v>
      </c>
      <c r="AI64" s="26">
        <v>0</v>
      </c>
      <c r="AJ64" s="26">
        <f>[1]建筑配置!J185</f>
        <v>6000000</v>
      </c>
      <c r="AK64" s="26">
        <v>0</v>
      </c>
      <c r="AL64" s="26">
        <f>[1]建筑配置!J191</f>
        <v>3000000</v>
      </c>
      <c r="AM64" s="26">
        <v>0</v>
      </c>
      <c r="AN64" s="26">
        <v>0</v>
      </c>
      <c r="AO64" s="26">
        <v>0</v>
      </c>
      <c r="AP64" s="26">
        <v>0</v>
      </c>
      <c r="AQ64" s="26">
        <v>0</v>
      </c>
      <c r="AR64" s="26">
        <f>[1]建筑配置!J209</f>
        <v>4000000</v>
      </c>
      <c r="AS64" s="26">
        <f>[1]建筑配置!J212</f>
        <v>50000</v>
      </c>
      <c r="AT64" s="26">
        <f>[1]建筑配置!J215</f>
        <v>50000</v>
      </c>
      <c r="AU64" s="26">
        <f>[1]建筑配置!J218+[1]建筑配置!K218</f>
        <v>130000</v>
      </c>
      <c r="AV64" s="27">
        <f>[1]建筑配置!J221+[1]建筑配置!K221</f>
        <v>150000</v>
      </c>
      <c r="AW64" s="27">
        <f t="shared" si="36"/>
        <v>73180000</v>
      </c>
      <c r="AX64" s="26">
        <f t="shared" si="37"/>
        <v>2500000</v>
      </c>
      <c r="AY64" s="26">
        <f t="shared" si="33"/>
        <v>31000000</v>
      </c>
      <c r="AZ64" s="26">
        <f t="shared" si="38"/>
        <v>33500000</v>
      </c>
      <c r="BA64" s="43">
        <f t="shared" si="34"/>
        <v>380000</v>
      </c>
      <c r="BB64" s="44">
        <f t="shared" si="39"/>
        <v>5955000</v>
      </c>
      <c r="BC64" s="45">
        <f t="shared" si="40"/>
        <v>6335000</v>
      </c>
      <c r="BD64" s="44">
        <f>(AY50-AY49)*[1]资源效率!E11*24</f>
        <v>100966500</v>
      </c>
      <c r="BE64" s="44">
        <f t="shared" si="41"/>
        <v>100966500</v>
      </c>
      <c r="BF64" s="26"/>
      <c r="BG64" s="19">
        <f t="shared" si="42"/>
        <v>1.3797007379065318</v>
      </c>
      <c r="BH64" s="5">
        <f t="shared" si="43"/>
        <v>3.0139253731343283</v>
      </c>
    </row>
    <row r="65" spans="1:60" x14ac:dyDescent="0.15">
      <c r="A65" s="26">
        <f>[1]建筑配置!L4</f>
        <v>4000000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f>[1]建筑配置!J93</f>
        <v>7560000</v>
      </c>
      <c r="N65" s="26">
        <v>0</v>
      </c>
      <c r="O65" s="26">
        <v>0</v>
      </c>
      <c r="P65" s="26">
        <v>0</v>
      </c>
      <c r="Q65" s="26">
        <f>[1]建筑配置!F123</f>
        <v>8000000</v>
      </c>
      <c r="R65" s="26">
        <f>[1]建筑配置!C131+[1]建筑配置!D131</f>
        <v>13000000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f>[1]建筑配置!L165</f>
        <v>4000000</v>
      </c>
      <c r="AB65" s="26">
        <v>0</v>
      </c>
      <c r="AC65" s="26">
        <f>SUM([1]建筑配置!AG234:AP234)</f>
        <v>1675000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f>[1]建筑配置!L194</f>
        <v>8000000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T65" s="26">
        <v>0</v>
      </c>
      <c r="AU65" s="26">
        <v>0</v>
      </c>
      <c r="AV65" s="27">
        <f>[1]建筑配置!L221</f>
        <v>90000</v>
      </c>
      <c r="AW65" s="27">
        <f t="shared" si="36"/>
        <v>32560000</v>
      </c>
      <c r="AX65" s="26">
        <f t="shared" si="37"/>
        <v>4000000</v>
      </c>
      <c r="AY65" s="26">
        <f t="shared" si="33"/>
        <v>8000000</v>
      </c>
      <c r="AZ65" s="26">
        <f t="shared" si="38"/>
        <v>12000000</v>
      </c>
      <c r="BA65" s="43">
        <f t="shared" si="34"/>
        <v>90000</v>
      </c>
      <c r="BB65" s="44">
        <f t="shared" si="39"/>
        <v>1675000</v>
      </c>
      <c r="BC65" s="45">
        <f t="shared" si="40"/>
        <v>1765000</v>
      </c>
      <c r="BD65" s="44">
        <f>(AY51-AY50)*[1]资源效率!E12*24</f>
        <v>38794650.000000015</v>
      </c>
      <c r="BE65" s="44">
        <f t="shared" si="41"/>
        <v>38794650.000000015</v>
      </c>
      <c r="BF65" s="26"/>
      <c r="BG65" s="19">
        <f t="shared" si="42"/>
        <v>1.19148187960688</v>
      </c>
      <c r="BH65" s="5">
        <f t="shared" si="43"/>
        <v>3.2328875000000012</v>
      </c>
    </row>
    <row r="66" spans="1:60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</row>
  </sheetData>
  <mergeCells count="5">
    <mergeCell ref="AW40:BB40"/>
    <mergeCell ref="BC40:BE40"/>
    <mergeCell ref="AX54:AZ54"/>
    <mergeCell ref="BA54:BC54"/>
    <mergeCell ref="BD54:BF54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付费点收益</vt:lpstr>
      <vt:lpstr>战斗数值</vt:lpstr>
      <vt:lpstr>数据整合</vt:lpstr>
      <vt:lpstr>建筑配置</vt:lpstr>
      <vt:lpstr>等级参数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2014-09-02T06:53:54Z</dcterms:modified>
</cp:coreProperties>
</file>
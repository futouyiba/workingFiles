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90" windowWidth="9360" windowHeight="3420" tabRatio="862" activeTab="4"/>
  </bookViews>
  <sheets>
    <sheet name="角色战力" sheetId="5" r:id="rId1"/>
    <sheet name="道具列表" sheetId="9" r:id="rId2"/>
    <sheet name="任务及升级奖励" sheetId="21" r:id="rId3"/>
    <sheet name="金币产出" sheetId="10" r:id="rId4"/>
    <sheet name="资源产出" sheetId="2" r:id="rId5"/>
    <sheet name="野蛮营地怪及资源及掉落" sheetId="24" r:id="rId6"/>
    <sheet name="资源点怪及奖励" sheetId="25" r:id="rId7"/>
    <sheet name="战役兵种及资源" sheetId="26" r:id="rId8"/>
    <sheet name="建筑消耗" sheetId="3" r:id="rId9"/>
    <sheet name="科技消耗" sheetId="16" r:id="rId10"/>
    <sheet name="将领" sheetId="8" r:id="rId11"/>
    <sheet name="造兵时间" sheetId="11" r:id="rId12"/>
    <sheet name="龙v龙" sheetId="1" r:id="rId13"/>
    <sheet name="兵种" sheetId="12" r:id="rId14"/>
    <sheet name="物品价格" sheetId="27" r:id="rId15"/>
    <sheet name="各兵种资源消耗产出详细计算" sheetId="19" r:id="rId16"/>
    <sheet name="buff加成" sheetId="14" r:id="rId17"/>
    <sheet name="军队资源点等" sheetId="17" r:id="rId18"/>
    <sheet name="recovery" sheetId="29" r:id="rId19"/>
    <sheet name="龙属性json用" sheetId="20" r:id="rId20"/>
    <sheet name="运营活动" sheetId="28" r:id="rId21"/>
  </sheets>
  <definedNames>
    <definedName name="_xlnm._FilterDatabase" localSheetId="1" hidden="1">道具列表!$D$1:$D$61</definedName>
    <definedName name="_xlnm._FilterDatabase" localSheetId="15" hidden="1">各兵种资源消耗产出详细计算!$B$1:$B$37</definedName>
    <definedName name="_xlnm._FilterDatabase" localSheetId="8" hidden="1">建筑消耗!$B$1:$B$419</definedName>
    <definedName name="_xlnm._FilterDatabase" localSheetId="3" hidden="1">金币产出!$E$1:$E$58</definedName>
    <definedName name="_xlnm._FilterDatabase" localSheetId="2" hidden="1">任务及升级奖励!$A$1:$A$4780</definedName>
    <definedName name="_xlnm._FilterDatabase" localSheetId="11" hidden="1">造兵时间!$I$1:$I$1001</definedName>
  </definedNames>
  <calcPr calcId="152511"/>
</workbook>
</file>

<file path=xl/calcChain.xml><?xml version="1.0" encoding="utf-8"?>
<calcChain xmlns="http://schemas.openxmlformats.org/spreadsheetml/2006/main">
  <c r="D415" i="3" l="1"/>
  <c r="G17" i="1" l="1"/>
  <c r="G18" i="1"/>
  <c r="G19" i="1"/>
  <c r="G20" i="1"/>
  <c r="G21" i="1"/>
  <c r="G22" i="1"/>
  <c r="G23" i="1"/>
  <c r="G24" i="1"/>
  <c r="G16" i="1"/>
  <c r="L13" i="12"/>
  <c r="N13" i="12" s="1"/>
  <c r="L14" i="12"/>
  <c r="L15" i="12"/>
  <c r="N15" i="12" s="1"/>
  <c r="N14" i="12"/>
  <c r="L16" i="12"/>
  <c r="N16" i="12"/>
  <c r="C90" i="12" l="1"/>
  <c r="B90" i="12"/>
  <c r="B91" i="12"/>
  <c r="C91" i="12"/>
  <c r="D91" i="12"/>
  <c r="D90" i="12" s="1"/>
  <c r="E91" i="12"/>
  <c r="E90" i="12" s="1"/>
  <c r="B92" i="12"/>
  <c r="C92" i="12"/>
  <c r="D92" i="12"/>
  <c r="E92" i="12"/>
  <c r="B93" i="12"/>
  <c r="C93" i="12"/>
  <c r="D93" i="12"/>
  <c r="E93" i="12"/>
  <c r="B94" i="12"/>
  <c r="C94" i="12"/>
  <c r="D94" i="12"/>
  <c r="E94" i="12"/>
  <c r="B95" i="12"/>
  <c r="C95" i="12"/>
  <c r="D95" i="12"/>
  <c r="E95" i="12"/>
  <c r="B96" i="12"/>
  <c r="C96" i="12"/>
  <c r="D96" i="12"/>
  <c r="E96" i="12"/>
  <c r="B97" i="12"/>
  <c r="C97" i="12"/>
  <c r="D97" i="12"/>
  <c r="E97" i="12"/>
  <c r="B98" i="12"/>
  <c r="C98" i="12"/>
  <c r="D98" i="12"/>
  <c r="E98" i="12"/>
  <c r="B99" i="12"/>
  <c r="C99" i="12"/>
  <c r="D99" i="12"/>
  <c r="E99" i="12"/>
  <c r="B100" i="12"/>
  <c r="C100" i="12"/>
  <c r="D100" i="12"/>
  <c r="E100" i="12"/>
  <c r="B101" i="12"/>
  <c r="C101" i="12"/>
  <c r="D101" i="12"/>
  <c r="E101" i="12"/>
  <c r="B102" i="12"/>
  <c r="C102" i="12"/>
  <c r="D102" i="12"/>
  <c r="E102" i="12"/>
  <c r="B103" i="12"/>
  <c r="C103" i="12"/>
  <c r="D103" i="12"/>
  <c r="E103" i="12"/>
  <c r="B104" i="12"/>
  <c r="C104" i="12"/>
  <c r="D104" i="12"/>
  <c r="E104" i="12"/>
  <c r="B105" i="12"/>
  <c r="C105" i="12"/>
  <c r="D105" i="12"/>
  <c r="E105" i="12"/>
  <c r="B106" i="12"/>
  <c r="C106" i="12"/>
  <c r="D106" i="12"/>
  <c r="E106" i="12"/>
  <c r="B107" i="12"/>
  <c r="C107" i="12"/>
  <c r="D107" i="12"/>
  <c r="E107" i="12"/>
  <c r="B108" i="12"/>
  <c r="C108" i="12"/>
  <c r="D108" i="12"/>
  <c r="E108" i="12"/>
  <c r="B89" i="12"/>
  <c r="D89" i="12"/>
  <c r="E89" i="12"/>
  <c r="C89" i="12"/>
  <c r="D7" i="1"/>
  <c r="C7" i="1"/>
  <c r="C3" i="1" s="1"/>
  <c r="B7" i="1"/>
  <c r="B3" i="1" s="1"/>
  <c r="E7" i="1"/>
  <c r="N20" i="2"/>
  <c r="N24" i="2"/>
  <c r="N28" i="2"/>
  <c r="N32" i="2"/>
  <c r="N36" i="2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394" i="3"/>
  <c r="R21" i="12"/>
  <c r="R22" i="12"/>
  <c r="R23" i="12"/>
  <c r="S23" i="12" s="1"/>
  <c r="R24" i="12"/>
  <c r="S24" i="12" s="1"/>
  <c r="R25" i="12"/>
  <c r="R26" i="12"/>
  <c r="R27" i="12"/>
  <c r="S27" i="12" s="1"/>
  <c r="R28" i="12"/>
  <c r="S28" i="12" s="1"/>
  <c r="R29" i="12"/>
  <c r="R30" i="12"/>
  <c r="R20" i="12"/>
  <c r="S21" i="12" s="1"/>
  <c r="N9" i="28"/>
  <c r="N10" i="28"/>
  <c r="N11" i="28"/>
  <c r="N12" i="28"/>
  <c r="N8" i="28"/>
  <c r="E374" i="3"/>
  <c r="F374" i="3"/>
  <c r="G374" i="3"/>
  <c r="H374" i="3"/>
  <c r="I374" i="3"/>
  <c r="E375" i="3"/>
  <c r="F375" i="3"/>
  <c r="G375" i="3"/>
  <c r="H375" i="3"/>
  <c r="I375" i="3"/>
  <c r="E376" i="3"/>
  <c r="F376" i="3"/>
  <c r="G376" i="3"/>
  <c r="H376" i="3"/>
  <c r="I376" i="3"/>
  <c r="E377" i="3"/>
  <c r="F377" i="3"/>
  <c r="G377" i="3"/>
  <c r="H377" i="3"/>
  <c r="I377" i="3"/>
  <c r="E378" i="3"/>
  <c r="F378" i="3"/>
  <c r="G378" i="3"/>
  <c r="H378" i="3"/>
  <c r="I378" i="3"/>
  <c r="E379" i="3"/>
  <c r="F379" i="3"/>
  <c r="G379" i="3"/>
  <c r="H379" i="3"/>
  <c r="I379" i="3"/>
  <c r="E380" i="3"/>
  <c r="F380" i="3"/>
  <c r="G380" i="3"/>
  <c r="H380" i="3"/>
  <c r="I380" i="3"/>
  <c r="E381" i="3"/>
  <c r="F381" i="3"/>
  <c r="G381" i="3"/>
  <c r="H381" i="3"/>
  <c r="I381" i="3"/>
  <c r="E382" i="3"/>
  <c r="F382" i="3"/>
  <c r="G382" i="3"/>
  <c r="H382" i="3"/>
  <c r="I382" i="3"/>
  <c r="E383" i="3"/>
  <c r="F383" i="3"/>
  <c r="G383" i="3"/>
  <c r="H383" i="3"/>
  <c r="I383" i="3"/>
  <c r="E384" i="3"/>
  <c r="F384" i="3"/>
  <c r="G384" i="3"/>
  <c r="H384" i="3"/>
  <c r="I384" i="3"/>
  <c r="E385" i="3"/>
  <c r="F385" i="3"/>
  <c r="G385" i="3"/>
  <c r="H385" i="3"/>
  <c r="I385" i="3"/>
  <c r="E386" i="3"/>
  <c r="F386" i="3"/>
  <c r="G386" i="3"/>
  <c r="H386" i="3"/>
  <c r="I386" i="3"/>
  <c r="E387" i="3"/>
  <c r="F387" i="3"/>
  <c r="G387" i="3"/>
  <c r="H387" i="3"/>
  <c r="I387" i="3"/>
  <c r="E388" i="3"/>
  <c r="F388" i="3"/>
  <c r="G388" i="3"/>
  <c r="H388" i="3"/>
  <c r="I388" i="3"/>
  <c r="E389" i="3"/>
  <c r="F389" i="3"/>
  <c r="G389" i="3"/>
  <c r="H389" i="3"/>
  <c r="I389" i="3"/>
  <c r="E390" i="3"/>
  <c r="F390" i="3"/>
  <c r="G390" i="3"/>
  <c r="H390" i="3"/>
  <c r="I390" i="3"/>
  <c r="E391" i="3"/>
  <c r="F391" i="3"/>
  <c r="G391" i="3"/>
  <c r="H391" i="3"/>
  <c r="I391" i="3"/>
  <c r="E392" i="3"/>
  <c r="F392" i="3"/>
  <c r="G392" i="3"/>
  <c r="H392" i="3"/>
  <c r="I392" i="3"/>
  <c r="D376" i="3"/>
  <c r="D377" i="3"/>
  <c r="D380" i="3"/>
  <c r="D381" i="3"/>
  <c r="D384" i="3"/>
  <c r="D385" i="3"/>
  <c r="D388" i="3"/>
  <c r="D389" i="3"/>
  <c r="D392" i="3"/>
  <c r="C374" i="3"/>
  <c r="D374" i="3" s="1"/>
  <c r="C375" i="3"/>
  <c r="D375" i="3" s="1"/>
  <c r="C376" i="3"/>
  <c r="C377" i="3"/>
  <c r="C378" i="3"/>
  <c r="D378" i="3" s="1"/>
  <c r="C379" i="3"/>
  <c r="D379" i="3" s="1"/>
  <c r="C380" i="3"/>
  <c r="C381" i="3"/>
  <c r="C382" i="3"/>
  <c r="D382" i="3" s="1"/>
  <c r="C383" i="3"/>
  <c r="D383" i="3" s="1"/>
  <c r="C384" i="3"/>
  <c r="C385" i="3"/>
  <c r="C386" i="3"/>
  <c r="D386" i="3" s="1"/>
  <c r="C387" i="3"/>
  <c r="D387" i="3" s="1"/>
  <c r="C388" i="3"/>
  <c r="C389" i="3"/>
  <c r="C390" i="3"/>
  <c r="D390" i="3" s="1"/>
  <c r="C391" i="3"/>
  <c r="D391" i="3" s="1"/>
  <c r="C392" i="3"/>
  <c r="F373" i="3"/>
  <c r="G373" i="3"/>
  <c r="H373" i="3"/>
  <c r="I373" i="3"/>
  <c r="E373" i="3"/>
  <c r="C373" i="3"/>
  <c r="D373" i="3" s="1"/>
  <c r="I397" i="3"/>
  <c r="I398" i="3"/>
  <c r="I401" i="3"/>
  <c r="I402" i="3"/>
  <c r="I405" i="3"/>
  <c r="I406" i="3"/>
  <c r="I409" i="3"/>
  <c r="I410" i="3"/>
  <c r="I413" i="3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17" i="2"/>
  <c r="P18" i="2"/>
  <c r="N18" i="2" s="1"/>
  <c r="P19" i="2"/>
  <c r="N19" i="2" s="1"/>
  <c r="P20" i="2"/>
  <c r="P21" i="2"/>
  <c r="N21" i="2" s="1"/>
  <c r="P22" i="2"/>
  <c r="N22" i="2" s="1"/>
  <c r="P23" i="2"/>
  <c r="N23" i="2" s="1"/>
  <c r="P24" i="2"/>
  <c r="P25" i="2"/>
  <c r="N25" i="2" s="1"/>
  <c r="P26" i="2"/>
  <c r="N26" i="2" s="1"/>
  <c r="P27" i="2"/>
  <c r="N27" i="2" s="1"/>
  <c r="P28" i="2"/>
  <c r="P29" i="2"/>
  <c r="N29" i="2" s="1"/>
  <c r="P30" i="2"/>
  <c r="N30" i="2" s="1"/>
  <c r="P31" i="2"/>
  <c r="N31" i="2" s="1"/>
  <c r="P32" i="2"/>
  <c r="P33" i="2"/>
  <c r="N33" i="2" s="1"/>
  <c r="P34" i="2"/>
  <c r="N34" i="2" s="1"/>
  <c r="P35" i="2"/>
  <c r="N35" i="2" s="1"/>
  <c r="P36" i="2"/>
  <c r="P17" i="2"/>
  <c r="N17" i="2" s="1"/>
  <c r="E395" i="3"/>
  <c r="F395" i="3"/>
  <c r="I395" i="3" s="1"/>
  <c r="G395" i="3"/>
  <c r="H395" i="3"/>
  <c r="E396" i="3"/>
  <c r="F396" i="3"/>
  <c r="I396" i="3" s="1"/>
  <c r="G396" i="3"/>
  <c r="H396" i="3"/>
  <c r="E397" i="3"/>
  <c r="F397" i="3"/>
  <c r="G397" i="3"/>
  <c r="H397" i="3"/>
  <c r="E398" i="3"/>
  <c r="F398" i="3"/>
  <c r="G398" i="3"/>
  <c r="H398" i="3"/>
  <c r="E399" i="3"/>
  <c r="F399" i="3"/>
  <c r="I399" i="3" s="1"/>
  <c r="G399" i="3"/>
  <c r="H399" i="3"/>
  <c r="E400" i="3"/>
  <c r="F400" i="3"/>
  <c r="I400" i="3" s="1"/>
  <c r="G400" i="3"/>
  <c r="H400" i="3"/>
  <c r="E401" i="3"/>
  <c r="F401" i="3"/>
  <c r="G401" i="3"/>
  <c r="H401" i="3"/>
  <c r="E402" i="3"/>
  <c r="F402" i="3"/>
  <c r="G402" i="3"/>
  <c r="H402" i="3"/>
  <c r="E403" i="3"/>
  <c r="F403" i="3"/>
  <c r="I403" i="3" s="1"/>
  <c r="G403" i="3"/>
  <c r="H403" i="3"/>
  <c r="E404" i="3"/>
  <c r="F404" i="3"/>
  <c r="I404" i="3" s="1"/>
  <c r="G404" i="3"/>
  <c r="H404" i="3"/>
  <c r="E405" i="3"/>
  <c r="F405" i="3"/>
  <c r="G405" i="3"/>
  <c r="H405" i="3"/>
  <c r="E406" i="3"/>
  <c r="F406" i="3"/>
  <c r="G406" i="3"/>
  <c r="H406" i="3"/>
  <c r="E407" i="3"/>
  <c r="F407" i="3"/>
  <c r="I407" i="3" s="1"/>
  <c r="G407" i="3"/>
  <c r="H407" i="3"/>
  <c r="E408" i="3"/>
  <c r="F408" i="3"/>
  <c r="I408" i="3" s="1"/>
  <c r="G408" i="3"/>
  <c r="H408" i="3"/>
  <c r="E409" i="3"/>
  <c r="F409" i="3"/>
  <c r="G409" i="3"/>
  <c r="H409" i="3"/>
  <c r="E410" i="3"/>
  <c r="F410" i="3"/>
  <c r="G410" i="3"/>
  <c r="H410" i="3"/>
  <c r="E411" i="3"/>
  <c r="F411" i="3"/>
  <c r="I411" i="3" s="1"/>
  <c r="G411" i="3"/>
  <c r="H411" i="3"/>
  <c r="E412" i="3"/>
  <c r="F412" i="3"/>
  <c r="I412" i="3" s="1"/>
  <c r="G412" i="3"/>
  <c r="H412" i="3"/>
  <c r="E413" i="3"/>
  <c r="F413" i="3"/>
  <c r="G413" i="3"/>
  <c r="H413" i="3"/>
  <c r="D395" i="3"/>
  <c r="D398" i="3"/>
  <c r="D399" i="3"/>
  <c r="D402" i="3"/>
  <c r="D403" i="3"/>
  <c r="D406" i="3"/>
  <c r="D407" i="3"/>
  <c r="D410" i="3"/>
  <c r="D411" i="3"/>
  <c r="C395" i="3"/>
  <c r="C396" i="3"/>
  <c r="D396" i="3" s="1"/>
  <c r="C397" i="3"/>
  <c r="D397" i="3" s="1"/>
  <c r="C398" i="3"/>
  <c r="C399" i="3"/>
  <c r="C400" i="3"/>
  <c r="D400" i="3" s="1"/>
  <c r="C401" i="3"/>
  <c r="D401" i="3" s="1"/>
  <c r="C402" i="3"/>
  <c r="C403" i="3"/>
  <c r="C404" i="3"/>
  <c r="D404" i="3" s="1"/>
  <c r="C405" i="3"/>
  <c r="D405" i="3" s="1"/>
  <c r="C406" i="3"/>
  <c r="C407" i="3"/>
  <c r="C408" i="3"/>
  <c r="D408" i="3" s="1"/>
  <c r="C409" i="3"/>
  <c r="D409" i="3" s="1"/>
  <c r="C410" i="3"/>
  <c r="C411" i="3"/>
  <c r="C412" i="3"/>
  <c r="D412" i="3" s="1"/>
  <c r="C413" i="3"/>
  <c r="D413" i="3" s="1"/>
  <c r="F394" i="3"/>
  <c r="I394" i="3" s="1"/>
  <c r="G394" i="3"/>
  <c r="H394" i="3"/>
  <c r="E394" i="3"/>
  <c r="C394" i="3"/>
  <c r="D394" i="3" s="1"/>
  <c r="B72" i="12"/>
  <c r="C72" i="12"/>
  <c r="D72" i="12"/>
  <c r="E72" i="12"/>
  <c r="B73" i="12"/>
  <c r="C73" i="12"/>
  <c r="D73" i="12"/>
  <c r="E73" i="12"/>
  <c r="B74" i="12"/>
  <c r="C74" i="12"/>
  <c r="D74" i="12"/>
  <c r="E74" i="12"/>
  <c r="B75" i="12"/>
  <c r="C75" i="12"/>
  <c r="D75" i="12"/>
  <c r="E75" i="12"/>
  <c r="B76" i="12"/>
  <c r="C76" i="12"/>
  <c r="D76" i="12"/>
  <c r="E76" i="12"/>
  <c r="B77" i="12"/>
  <c r="C77" i="12"/>
  <c r="D77" i="12"/>
  <c r="E77" i="12"/>
  <c r="B78" i="12"/>
  <c r="C78" i="12"/>
  <c r="D78" i="12"/>
  <c r="E78" i="12"/>
  <c r="B79" i="12"/>
  <c r="C79" i="12"/>
  <c r="D79" i="12"/>
  <c r="E79" i="12"/>
  <c r="B80" i="12"/>
  <c r="C80" i="12"/>
  <c r="D80" i="12"/>
  <c r="E80" i="12"/>
  <c r="B81" i="12"/>
  <c r="C81" i="12"/>
  <c r="D81" i="12"/>
  <c r="E81" i="12"/>
  <c r="B82" i="12"/>
  <c r="C82" i="12"/>
  <c r="D82" i="12"/>
  <c r="E82" i="12"/>
  <c r="B83" i="12"/>
  <c r="C83" i="12"/>
  <c r="D83" i="12"/>
  <c r="E83" i="12"/>
  <c r="B84" i="12"/>
  <c r="C84" i="12"/>
  <c r="D84" i="12"/>
  <c r="E84" i="12"/>
  <c r="B85" i="12"/>
  <c r="C85" i="12"/>
  <c r="D85" i="12"/>
  <c r="E85" i="12"/>
  <c r="B86" i="12"/>
  <c r="C86" i="12"/>
  <c r="D86" i="12"/>
  <c r="E86" i="12"/>
  <c r="B87" i="12"/>
  <c r="C87" i="12"/>
  <c r="D87" i="12"/>
  <c r="E87" i="12"/>
  <c r="B88" i="12"/>
  <c r="C88" i="12"/>
  <c r="D88" i="12"/>
  <c r="E88" i="12"/>
  <c r="E71" i="12"/>
  <c r="D71" i="12"/>
  <c r="C71" i="12"/>
  <c r="B71" i="12"/>
  <c r="D3" i="1"/>
  <c r="E3" i="1"/>
  <c r="L2" i="12"/>
  <c r="N2" i="12" s="1"/>
  <c r="L3" i="12"/>
  <c r="N3" i="12" s="1"/>
  <c r="L4" i="12"/>
  <c r="N4" i="12" s="1"/>
  <c r="L5" i="12"/>
  <c r="N5" i="12" s="1"/>
  <c r="L6" i="12"/>
  <c r="N6" i="12" s="1"/>
  <c r="L7" i="12"/>
  <c r="N7" i="12" s="1"/>
  <c r="L8" i="12"/>
  <c r="N8" i="12" s="1"/>
  <c r="L9" i="12"/>
  <c r="N9" i="12" s="1"/>
  <c r="L10" i="12"/>
  <c r="N10" i="12" s="1"/>
  <c r="L11" i="12"/>
  <c r="N11" i="12" s="1"/>
  <c r="L12" i="12"/>
  <c r="N12" i="12" s="1"/>
  <c r="S30" i="12" l="1"/>
  <c r="S26" i="12"/>
  <c r="S22" i="12"/>
  <c r="S20" i="12"/>
  <c r="S29" i="12"/>
  <c r="S25" i="12"/>
  <c r="C212" i="3"/>
  <c r="K362" i="3"/>
  <c r="C363" i="3"/>
  <c r="C364" i="3" s="1"/>
  <c r="C365" i="3" s="1"/>
  <c r="C366" i="3" s="1"/>
  <c r="C367" i="3" s="1"/>
  <c r="C368" i="3" s="1"/>
  <c r="C369" i="3" s="1"/>
  <c r="C370" i="3" s="1"/>
  <c r="C371" i="3" s="1"/>
  <c r="D361" i="3" l="1"/>
  <c r="D362" i="3"/>
  <c r="D363" i="3"/>
  <c r="D364" i="3"/>
  <c r="D365" i="3"/>
  <c r="D366" i="3"/>
  <c r="D367" i="3"/>
  <c r="D368" i="3"/>
  <c r="D369" i="3"/>
  <c r="D370" i="3"/>
  <c r="D37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2" i="3"/>
  <c r="J414" i="3"/>
  <c r="F59" i="28" l="1"/>
  <c r="G59" i="28" s="1"/>
  <c r="G19" i="28"/>
  <c r="G23" i="28"/>
  <c r="G27" i="28"/>
  <c r="G31" i="28"/>
  <c r="G35" i="28"/>
  <c r="G39" i="28"/>
  <c r="G43" i="28"/>
  <c r="F60" i="28"/>
  <c r="G60" i="28" s="1"/>
  <c r="F61" i="28"/>
  <c r="G61" i="28" s="1"/>
  <c r="F62" i="28"/>
  <c r="G62" i="28" s="1"/>
  <c r="F63" i="28"/>
  <c r="G63" i="28" s="1"/>
  <c r="F64" i="28"/>
  <c r="G64" i="28" s="1"/>
  <c r="F65" i="28"/>
  <c r="G65" i="28" s="1"/>
  <c r="F66" i="28"/>
  <c r="G66" i="28" s="1"/>
  <c r="F67" i="28"/>
  <c r="G67" i="28" s="1"/>
  <c r="F68" i="28"/>
  <c r="G68" i="28" s="1"/>
  <c r="F69" i="28"/>
  <c r="G69" i="28" s="1"/>
  <c r="F70" i="28"/>
  <c r="G70" i="28" s="1"/>
  <c r="F71" i="28"/>
  <c r="G71" i="28" s="1"/>
  <c r="F72" i="28"/>
  <c r="G72" i="28" s="1"/>
  <c r="F73" i="28"/>
  <c r="G73" i="28" s="1"/>
  <c r="F74" i="28"/>
  <c r="G74" i="28" s="1"/>
  <c r="F75" i="28"/>
  <c r="G75" i="28" s="1"/>
  <c r="F58" i="28"/>
  <c r="G58" i="28" s="1"/>
  <c r="F44" i="28"/>
  <c r="G44" i="28" s="1"/>
  <c r="F45" i="28"/>
  <c r="G45" i="28" s="1"/>
  <c r="F46" i="28"/>
  <c r="G46" i="28" s="1"/>
  <c r="F47" i="28"/>
  <c r="G47" i="28" s="1"/>
  <c r="F48" i="28"/>
  <c r="G48" i="28" s="1"/>
  <c r="F49" i="28"/>
  <c r="G49" i="28" s="1"/>
  <c r="F50" i="28"/>
  <c r="G50" i="28" s="1"/>
  <c r="F51" i="28"/>
  <c r="G51" i="28" s="1"/>
  <c r="F52" i="28"/>
  <c r="G52" i="28" s="1"/>
  <c r="F53" i="28"/>
  <c r="G53" i="28" s="1"/>
  <c r="F54" i="28"/>
  <c r="G54" i="28" s="1"/>
  <c r="F55" i="28"/>
  <c r="G55" i="28" s="1"/>
  <c r="F56" i="28"/>
  <c r="G56" i="28" s="1"/>
  <c r="F57" i="28"/>
  <c r="G57" i="28" s="1"/>
  <c r="F43" i="28"/>
  <c r="F40" i="28"/>
  <c r="G40" i="28" s="1"/>
  <c r="F41" i="28"/>
  <c r="G41" i="28" s="1"/>
  <c r="F42" i="28"/>
  <c r="G42" i="28" s="1"/>
  <c r="F37" i="28"/>
  <c r="G37" i="28" s="1"/>
  <c r="F38" i="28"/>
  <c r="G38" i="28" s="1"/>
  <c r="F39" i="28"/>
  <c r="F36" i="28"/>
  <c r="G36" i="28" s="1"/>
  <c r="F28" i="28"/>
  <c r="G28" i="28" s="1"/>
  <c r="F29" i="28"/>
  <c r="G29" i="28" s="1"/>
  <c r="F30" i="28"/>
  <c r="G30" i="28" s="1"/>
  <c r="F31" i="28"/>
  <c r="F32" i="28"/>
  <c r="G32" i="28" s="1"/>
  <c r="F33" i="28"/>
  <c r="G33" i="28" s="1"/>
  <c r="F34" i="28"/>
  <c r="G34" i="28" s="1"/>
  <c r="F35" i="28"/>
  <c r="F19" i="28"/>
  <c r="F20" i="28"/>
  <c r="G20" i="28" s="1"/>
  <c r="F21" i="28"/>
  <c r="G21" i="28" s="1"/>
  <c r="F22" i="28"/>
  <c r="G22" i="28" s="1"/>
  <c r="F23" i="28"/>
  <c r="F24" i="28"/>
  <c r="G24" i="28" s="1"/>
  <c r="F25" i="28"/>
  <c r="G25" i="28" s="1"/>
  <c r="F26" i="28"/>
  <c r="G26" i="28" s="1"/>
  <c r="F27" i="28"/>
  <c r="G9" i="28"/>
  <c r="F5" i="28"/>
  <c r="G5" i="28" s="1"/>
  <c r="F6" i="28"/>
  <c r="G6" i="28" s="1"/>
  <c r="F7" i="28"/>
  <c r="G7" i="28" s="1"/>
  <c r="F8" i="28"/>
  <c r="G8" i="28" s="1"/>
  <c r="F9" i="28"/>
  <c r="F10" i="28"/>
  <c r="G10" i="28" s="1"/>
  <c r="F11" i="28"/>
  <c r="G11" i="28" s="1"/>
  <c r="F12" i="28"/>
  <c r="G12" i="28" s="1"/>
  <c r="F13" i="28"/>
  <c r="G13" i="28" s="1"/>
  <c r="F14" i="28"/>
  <c r="G14" i="28" s="1"/>
  <c r="F15" i="28"/>
  <c r="G15" i="28" s="1"/>
  <c r="F16" i="28"/>
  <c r="G16" i="28" s="1"/>
  <c r="F17" i="28"/>
  <c r="G17" i="28" s="1"/>
  <c r="F18" i="28"/>
  <c r="G18" i="28" s="1"/>
  <c r="F4" i="28"/>
  <c r="G4" i="28" s="1"/>
  <c r="F3" i="28"/>
  <c r="G3" i="28" s="1"/>
  <c r="Q19" i="12"/>
  <c r="O21" i="12"/>
  <c r="Q21" i="12" s="1"/>
  <c r="O22" i="12"/>
  <c r="Q22" i="12" s="1"/>
  <c r="O23" i="12"/>
  <c r="P23" i="12" s="1"/>
  <c r="O24" i="12"/>
  <c r="P24" i="12" s="1"/>
  <c r="O25" i="12"/>
  <c r="Q25" i="12" s="1"/>
  <c r="O26" i="12"/>
  <c r="Q26" i="12" s="1"/>
  <c r="O27" i="12"/>
  <c r="P27" i="12" s="1"/>
  <c r="O28" i="12"/>
  <c r="Q28" i="12" s="1"/>
  <c r="O29" i="12"/>
  <c r="Q29" i="12" s="1"/>
  <c r="O30" i="12"/>
  <c r="Q30" i="12" s="1"/>
  <c r="O20" i="12"/>
  <c r="P20" i="12" s="1"/>
  <c r="C157" i="16"/>
  <c r="C158" i="16"/>
  <c r="C159" i="16"/>
  <c r="C160" i="16"/>
  <c r="C161" i="16"/>
  <c r="C162" i="16"/>
  <c r="C163" i="16"/>
  <c r="C164" i="16"/>
  <c r="C165" i="16"/>
  <c r="C156" i="16"/>
  <c r="D157" i="16"/>
  <c r="D158" i="16" s="1"/>
  <c r="D159" i="16" s="1"/>
  <c r="D160" i="16" s="1"/>
  <c r="D161" i="16" s="1"/>
  <c r="D162" i="16" s="1"/>
  <c r="D163" i="16" s="1"/>
  <c r="D164" i="16" s="1"/>
  <c r="D165" i="16" s="1"/>
  <c r="F158" i="16"/>
  <c r="F159" i="16" s="1"/>
  <c r="F160" i="16" s="1"/>
  <c r="F161" i="16" s="1"/>
  <c r="F162" i="16" s="1"/>
  <c r="F163" i="16" s="1"/>
  <c r="F164" i="16" s="1"/>
  <c r="F165" i="16" s="1"/>
  <c r="I158" i="16"/>
  <c r="I159" i="16" s="1"/>
  <c r="I160" i="16" s="1"/>
  <c r="I161" i="16" s="1"/>
  <c r="I162" i="16" s="1"/>
  <c r="I163" i="16" s="1"/>
  <c r="I164" i="16" s="1"/>
  <c r="I165" i="16" s="1"/>
  <c r="F157" i="16"/>
  <c r="G157" i="16"/>
  <c r="G158" i="16" s="1"/>
  <c r="G159" i="16" s="1"/>
  <c r="G160" i="16" s="1"/>
  <c r="G161" i="16" s="1"/>
  <c r="G162" i="16" s="1"/>
  <c r="G163" i="16" s="1"/>
  <c r="G164" i="16" s="1"/>
  <c r="G165" i="16" s="1"/>
  <c r="H157" i="16"/>
  <c r="H158" i="16" s="1"/>
  <c r="H159" i="16" s="1"/>
  <c r="H160" i="16" s="1"/>
  <c r="H161" i="16" s="1"/>
  <c r="H162" i="16" s="1"/>
  <c r="H163" i="16" s="1"/>
  <c r="H164" i="16" s="1"/>
  <c r="H165" i="16" s="1"/>
  <c r="I157" i="16"/>
  <c r="O157" i="16"/>
  <c r="P157" i="16"/>
  <c r="Q157" i="16"/>
  <c r="R157" i="16"/>
  <c r="E157" i="16"/>
  <c r="E158" i="16" s="1"/>
  <c r="E159" i="16" s="1"/>
  <c r="E160" i="16" s="1"/>
  <c r="E161" i="16" s="1"/>
  <c r="E162" i="16" s="1"/>
  <c r="E163" i="16" s="1"/>
  <c r="E164" i="16" s="1"/>
  <c r="E165" i="16" s="1"/>
  <c r="G155" i="16"/>
  <c r="F155" i="16"/>
  <c r="E155" i="16"/>
  <c r="D155" i="16"/>
  <c r="C155" i="16"/>
  <c r="H147" i="16"/>
  <c r="H148" i="16" s="1"/>
  <c r="H149" i="16" s="1"/>
  <c r="H150" i="16" s="1"/>
  <c r="H151" i="16" s="1"/>
  <c r="H152" i="16" s="1"/>
  <c r="H153" i="16" s="1"/>
  <c r="H154" i="16" s="1"/>
  <c r="J146" i="16"/>
  <c r="I146" i="16"/>
  <c r="I147" i="16" s="1"/>
  <c r="H146" i="16"/>
  <c r="J145" i="16"/>
  <c r="K17" i="24"/>
  <c r="M4" i="24"/>
  <c r="N4" i="24" s="1"/>
  <c r="M5" i="24"/>
  <c r="N5" i="24" s="1"/>
  <c r="M6" i="24"/>
  <c r="N6" i="24" s="1"/>
  <c r="M7" i="24"/>
  <c r="N7" i="24" s="1"/>
  <c r="M8" i="24"/>
  <c r="N8" i="24" s="1"/>
  <c r="M9" i="24"/>
  <c r="N9" i="24" s="1"/>
  <c r="M10" i="24"/>
  <c r="N10" i="24" s="1"/>
  <c r="M11" i="24"/>
  <c r="N11" i="24" s="1"/>
  <c r="M12" i="24"/>
  <c r="N12" i="24" s="1"/>
  <c r="M3" i="24"/>
  <c r="N3" i="24" s="1"/>
  <c r="C17" i="24"/>
  <c r="D17" i="24"/>
  <c r="E17" i="24"/>
  <c r="F17" i="24"/>
  <c r="G17" i="24"/>
  <c r="H17" i="24"/>
  <c r="I17" i="24"/>
  <c r="J17" i="24"/>
  <c r="B17" i="24"/>
  <c r="C11" i="25"/>
  <c r="D11" i="25"/>
  <c r="E11" i="25"/>
  <c r="F11" i="25"/>
  <c r="B11" i="25"/>
  <c r="C418" i="3"/>
  <c r="C417" i="3"/>
  <c r="C416" i="3"/>
  <c r="J169" i="16"/>
  <c r="K169" i="16"/>
  <c r="L169" i="16"/>
  <c r="M169" i="16"/>
  <c r="N169" i="16"/>
  <c r="O169" i="16"/>
  <c r="Q169" i="16"/>
  <c r="R169" i="16"/>
  <c r="P415" i="3"/>
  <c r="C169" i="16" s="1"/>
  <c r="E415" i="3"/>
  <c r="E169" i="16" s="1"/>
  <c r="F415" i="3"/>
  <c r="F169" i="16" s="1"/>
  <c r="G415" i="3"/>
  <c r="G169" i="16" s="1"/>
  <c r="H415" i="3"/>
  <c r="H169" i="16" s="1"/>
  <c r="I415" i="3"/>
  <c r="I169" i="16" s="1"/>
  <c r="C415" i="3"/>
  <c r="H22" i="28" l="1"/>
  <c r="I22" i="28" s="1"/>
  <c r="H59" i="28"/>
  <c r="I59" i="28" s="1"/>
  <c r="Q24" i="12"/>
  <c r="P28" i="12"/>
  <c r="Q27" i="12"/>
  <c r="Q20" i="12"/>
  <c r="Q23" i="12"/>
  <c r="C419" i="3"/>
  <c r="D169" i="16" s="1"/>
  <c r="D171" i="16" s="1"/>
  <c r="P169" i="16"/>
  <c r="H75" i="28"/>
  <c r="I75" i="28" s="1"/>
  <c r="H14" i="28"/>
  <c r="I14" i="28" s="1"/>
  <c r="H9" i="28"/>
  <c r="I9" i="28" s="1"/>
  <c r="H44" i="28"/>
  <c r="I44" i="28" s="1"/>
  <c r="H5" i="28"/>
  <c r="I5" i="28" s="1"/>
  <c r="H31" i="28"/>
  <c r="I31" i="28" s="1"/>
  <c r="P29" i="12"/>
  <c r="P25" i="12"/>
  <c r="P21" i="12"/>
  <c r="P30" i="12"/>
  <c r="P26" i="12"/>
  <c r="P22" i="12"/>
  <c r="J147" i="16"/>
  <c r="I148" i="16"/>
  <c r="H155" i="16"/>
  <c r="O168" i="16"/>
  <c r="Q168" i="16"/>
  <c r="D28" i="2"/>
  <c r="E19" i="2"/>
  <c r="C19" i="2" s="1"/>
  <c r="D19" i="2" s="1"/>
  <c r="E20" i="2"/>
  <c r="C20" i="2" s="1"/>
  <c r="D20" i="2" s="1"/>
  <c r="E21" i="2"/>
  <c r="C21" i="2" s="1"/>
  <c r="D21" i="2" s="1"/>
  <c r="E22" i="2"/>
  <c r="C22" i="2" s="1"/>
  <c r="D22" i="2" s="1"/>
  <c r="E23" i="2"/>
  <c r="C23" i="2" s="1"/>
  <c r="D23" i="2" s="1"/>
  <c r="E24" i="2"/>
  <c r="C24" i="2" s="1"/>
  <c r="D24" i="2" s="1"/>
  <c r="E25" i="2"/>
  <c r="C25" i="2" s="1"/>
  <c r="D25" i="2" s="1"/>
  <c r="E26" i="2"/>
  <c r="C26" i="2" s="1"/>
  <c r="E27" i="2"/>
  <c r="C27" i="2" s="1"/>
  <c r="D27" i="2" s="1"/>
  <c r="E18" i="2"/>
  <c r="C18" i="2" s="1"/>
  <c r="D18" i="2" s="1"/>
  <c r="E3" i="27"/>
  <c r="E4" i="27"/>
  <c r="E5" i="27"/>
  <c r="E8" i="27"/>
  <c r="E9" i="27"/>
  <c r="E13" i="27"/>
  <c r="E14" i="27"/>
  <c r="E15" i="27"/>
  <c r="E2" i="27"/>
  <c r="C11" i="27"/>
  <c r="E11" i="27" s="1"/>
  <c r="C10" i="27"/>
  <c r="E10" i="27" s="1"/>
  <c r="C9" i="27"/>
  <c r="C8" i="27"/>
  <c r="C7" i="27"/>
  <c r="E7" i="27" s="1"/>
  <c r="C6" i="27"/>
  <c r="E6" i="27" s="1"/>
  <c r="C5" i="27"/>
  <c r="C4" i="27"/>
  <c r="C28" i="2" l="1"/>
  <c r="D26" i="2"/>
  <c r="G8" i="19" s="1"/>
  <c r="G7" i="19"/>
  <c r="J148" i="16"/>
  <c r="I149" i="16"/>
  <c r="M1" i="19"/>
  <c r="M2" i="19" s="1"/>
  <c r="M3" i="19"/>
  <c r="V14" i="19"/>
  <c r="V15" i="19"/>
  <c r="V16" i="19"/>
  <c r="V17" i="19"/>
  <c r="V18" i="19"/>
  <c r="V19" i="19"/>
  <c r="V20" i="19"/>
  <c r="V21" i="19"/>
  <c r="V22" i="19"/>
  <c r="V23" i="19"/>
  <c r="V24" i="19"/>
  <c r="V13" i="19"/>
  <c r="B24" i="19"/>
  <c r="T14" i="19"/>
  <c r="T15" i="19"/>
  <c r="T16" i="19"/>
  <c r="T17" i="19"/>
  <c r="T18" i="19"/>
  <c r="T19" i="19"/>
  <c r="T20" i="19"/>
  <c r="T21" i="19"/>
  <c r="T22" i="19"/>
  <c r="T23" i="19"/>
  <c r="T24" i="19"/>
  <c r="T25" i="19"/>
  <c r="T26" i="19"/>
  <c r="T27" i="19"/>
  <c r="T28" i="19"/>
  <c r="T29" i="19"/>
  <c r="T30" i="19"/>
  <c r="T31" i="19"/>
  <c r="T32" i="19"/>
  <c r="T33" i="19"/>
  <c r="T34" i="19"/>
  <c r="T35" i="19"/>
  <c r="T13" i="19"/>
  <c r="K3" i="19"/>
  <c r="K5" i="19" s="1"/>
  <c r="A14" i="19"/>
  <c r="B14" i="19"/>
  <c r="C14" i="19"/>
  <c r="D14" i="19"/>
  <c r="E14" i="19"/>
  <c r="F14" i="19"/>
  <c r="G14" i="19"/>
  <c r="A15" i="19"/>
  <c r="B15" i="19"/>
  <c r="C15" i="19"/>
  <c r="D15" i="19"/>
  <c r="E15" i="19"/>
  <c r="F15" i="19"/>
  <c r="G15" i="19"/>
  <c r="A16" i="19"/>
  <c r="B16" i="19"/>
  <c r="C16" i="19"/>
  <c r="D16" i="19"/>
  <c r="E16" i="19"/>
  <c r="F16" i="19"/>
  <c r="G16" i="19"/>
  <c r="A17" i="19"/>
  <c r="B17" i="19"/>
  <c r="C17" i="19"/>
  <c r="D17" i="19"/>
  <c r="E17" i="19"/>
  <c r="F17" i="19"/>
  <c r="G17" i="19"/>
  <c r="A18" i="19"/>
  <c r="B18" i="19"/>
  <c r="C18" i="19"/>
  <c r="D18" i="19"/>
  <c r="E18" i="19"/>
  <c r="F18" i="19"/>
  <c r="G18" i="19"/>
  <c r="A19" i="19"/>
  <c r="B19" i="19"/>
  <c r="C19" i="19"/>
  <c r="D19" i="19"/>
  <c r="E19" i="19"/>
  <c r="F19" i="19"/>
  <c r="G19" i="19"/>
  <c r="A20" i="19"/>
  <c r="B20" i="19"/>
  <c r="C20" i="19"/>
  <c r="D20" i="19"/>
  <c r="E20" i="19"/>
  <c r="F20" i="19"/>
  <c r="G20" i="19"/>
  <c r="A21" i="19"/>
  <c r="B21" i="19"/>
  <c r="C21" i="19"/>
  <c r="D21" i="19"/>
  <c r="E21" i="19"/>
  <c r="F21" i="19"/>
  <c r="G21" i="19"/>
  <c r="A22" i="19"/>
  <c r="B22" i="19"/>
  <c r="C22" i="19"/>
  <c r="D22" i="19"/>
  <c r="E22" i="19"/>
  <c r="F22" i="19"/>
  <c r="G22" i="19"/>
  <c r="A23" i="19"/>
  <c r="B23" i="19"/>
  <c r="C23" i="19"/>
  <c r="D23" i="19"/>
  <c r="E23" i="19"/>
  <c r="F23" i="19"/>
  <c r="G23" i="19"/>
  <c r="A24" i="19"/>
  <c r="C24" i="19"/>
  <c r="D24" i="19"/>
  <c r="E24" i="19"/>
  <c r="F24" i="19"/>
  <c r="G24" i="19"/>
  <c r="A25" i="19"/>
  <c r="B25" i="19"/>
  <c r="G25" i="19"/>
  <c r="A26" i="19"/>
  <c r="B26" i="19"/>
  <c r="G26" i="19"/>
  <c r="A27" i="19"/>
  <c r="B27" i="19"/>
  <c r="G27" i="19"/>
  <c r="A28" i="19"/>
  <c r="B28" i="19"/>
  <c r="G28" i="19"/>
  <c r="A29" i="19"/>
  <c r="B29" i="19"/>
  <c r="G29" i="19"/>
  <c r="A30" i="19"/>
  <c r="B30" i="19"/>
  <c r="G30" i="19"/>
  <c r="A31" i="19"/>
  <c r="B31" i="19"/>
  <c r="G31" i="19"/>
  <c r="A32" i="19"/>
  <c r="B32" i="19"/>
  <c r="G32" i="19"/>
  <c r="A33" i="19"/>
  <c r="B33" i="19"/>
  <c r="G33" i="19"/>
  <c r="A34" i="19"/>
  <c r="B34" i="19"/>
  <c r="G34" i="19"/>
  <c r="A35" i="19"/>
  <c r="B35" i="19"/>
  <c r="G35" i="19"/>
  <c r="D13" i="19"/>
  <c r="E13" i="19"/>
  <c r="F13" i="19"/>
  <c r="G13" i="19"/>
  <c r="C13" i="19"/>
  <c r="B13" i="19"/>
  <c r="A13" i="19"/>
  <c r="H5" i="19"/>
  <c r="H2" i="19"/>
  <c r="F8" i="11"/>
  <c r="J10" i="3"/>
  <c r="C2" i="1"/>
  <c r="D2" i="1"/>
  <c r="E2" i="1"/>
  <c r="E8" i="1" s="1"/>
  <c r="B2" i="1"/>
  <c r="E6" i="1"/>
  <c r="D6" i="1"/>
  <c r="C6" i="1"/>
  <c r="B19" i="2"/>
  <c r="B20" i="2"/>
  <c r="B21" i="2"/>
  <c r="B22" i="2"/>
  <c r="B23" i="2"/>
  <c r="B24" i="2"/>
  <c r="B25" i="2"/>
  <c r="B26" i="2"/>
  <c r="B27" i="2"/>
  <c r="B18" i="2"/>
  <c r="B28" i="2" s="1"/>
  <c r="H20" i="19" l="1"/>
  <c r="J20" i="19" s="1"/>
  <c r="H19" i="19"/>
  <c r="I150" i="16"/>
  <c r="J149" i="16"/>
  <c r="H15" i="19"/>
  <c r="J15" i="19" s="1"/>
  <c r="M5" i="19"/>
  <c r="H24" i="19"/>
  <c r="K24" i="19" s="1"/>
  <c r="H28" i="19"/>
  <c r="K28" i="19" s="1"/>
  <c r="H32" i="19"/>
  <c r="K32" i="19" s="1"/>
  <c r="H16" i="19"/>
  <c r="J16" i="19" s="1"/>
  <c r="H13" i="19"/>
  <c r="K13" i="19" s="1"/>
  <c r="H29" i="19"/>
  <c r="H21" i="19"/>
  <c r="H34" i="19"/>
  <c r="H30" i="19"/>
  <c r="H26" i="19"/>
  <c r="H22" i="19"/>
  <c r="H18" i="19"/>
  <c r="H14" i="19"/>
  <c r="H33" i="19"/>
  <c r="H25" i="19"/>
  <c r="H17" i="19"/>
  <c r="H35" i="19"/>
  <c r="H31" i="19"/>
  <c r="H27" i="19"/>
  <c r="H23" i="19"/>
  <c r="G9" i="19"/>
  <c r="K6" i="25"/>
  <c r="K11" i="25" s="1"/>
  <c r="J5" i="25"/>
  <c r="J11" i="25" s="1"/>
  <c r="I4" i="25"/>
  <c r="I11" i="25" s="1"/>
  <c r="H3" i="25"/>
  <c r="H11" i="25" s="1"/>
  <c r="G3" i="25"/>
  <c r="G11" i="25" s="1"/>
  <c r="I21" i="5"/>
  <c r="I20" i="5"/>
  <c r="K20" i="5" s="1"/>
  <c r="I25" i="5"/>
  <c r="I24" i="5"/>
  <c r="I3" i="5"/>
  <c r="K3" i="5" s="1"/>
  <c r="I4" i="5"/>
  <c r="K4" i="5" s="1"/>
  <c r="I5" i="5"/>
  <c r="K5" i="5" s="1"/>
  <c r="I6" i="5"/>
  <c r="K6" i="5" s="1"/>
  <c r="I7" i="5"/>
  <c r="K7" i="5" s="1"/>
  <c r="I8" i="5"/>
  <c r="K8" i="5" s="1"/>
  <c r="I9" i="5"/>
  <c r="K9" i="5" s="1"/>
  <c r="I10" i="5"/>
  <c r="K10" i="5" s="1"/>
  <c r="I11" i="5"/>
  <c r="K11" i="5" s="1"/>
  <c r="I12" i="5"/>
  <c r="K12" i="5" s="1"/>
  <c r="I13" i="5"/>
  <c r="K13" i="5" s="1"/>
  <c r="I14" i="5"/>
  <c r="K14" i="5" s="1"/>
  <c r="I15" i="5"/>
  <c r="K15" i="5" s="1"/>
  <c r="I16" i="5"/>
  <c r="K16" i="5" s="1"/>
  <c r="I17" i="5"/>
  <c r="K17" i="5" s="1"/>
  <c r="I18" i="5"/>
  <c r="K18" i="5" s="1"/>
  <c r="I19" i="5"/>
  <c r="K19" i="5" s="1"/>
  <c r="I2" i="5"/>
  <c r="K2" i="5" s="1"/>
  <c r="E2" i="20"/>
  <c r="E3" i="20"/>
  <c r="E4" i="20"/>
  <c r="E5" i="20"/>
  <c r="E6" i="20"/>
  <c r="E7" i="20"/>
  <c r="E8" i="20"/>
  <c r="E9" i="20"/>
  <c r="E10" i="20"/>
  <c r="E11" i="20"/>
  <c r="E12" i="20"/>
  <c r="E13" i="20"/>
  <c r="E14" i="20"/>
  <c r="E15" i="20"/>
  <c r="E16" i="20"/>
  <c r="E17" i="20"/>
  <c r="E18" i="20"/>
  <c r="E19" i="20"/>
  <c r="E20" i="20"/>
  <c r="E21" i="20"/>
  <c r="E22" i="20"/>
  <c r="E23" i="20"/>
  <c r="E24" i="20"/>
  <c r="E25" i="20"/>
  <c r="E26" i="20"/>
  <c r="E27" i="20"/>
  <c r="E28" i="20"/>
  <c r="E29" i="20"/>
  <c r="E30" i="20"/>
  <c r="E31" i="20"/>
  <c r="E32" i="20"/>
  <c r="E33" i="20"/>
  <c r="E34" i="20"/>
  <c r="E35" i="20"/>
  <c r="E36" i="20"/>
  <c r="E37" i="20"/>
  <c r="E38" i="20"/>
  <c r="E39" i="20"/>
  <c r="E40" i="20"/>
  <c r="E41" i="20"/>
  <c r="E42" i="20"/>
  <c r="E43" i="20"/>
  <c r="E44" i="20"/>
  <c r="E45" i="20"/>
  <c r="E46" i="20"/>
  <c r="E47" i="20"/>
  <c r="E48" i="20"/>
  <c r="E49" i="20"/>
  <c r="E50" i="20"/>
  <c r="E51" i="20"/>
  <c r="E52" i="20"/>
  <c r="E53" i="20"/>
  <c r="E54" i="20"/>
  <c r="E55" i="20"/>
  <c r="E56" i="20"/>
  <c r="E57" i="20"/>
  <c r="E58" i="20"/>
  <c r="E59" i="20"/>
  <c r="E60" i="20"/>
  <c r="E61" i="20"/>
  <c r="E62" i="20"/>
  <c r="E63" i="20"/>
  <c r="E64" i="20"/>
  <c r="E65" i="20"/>
  <c r="E66" i="20"/>
  <c r="E67" i="20"/>
  <c r="E68" i="20"/>
  <c r="E69" i="20"/>
  <c r="E70" i="20"/>
  <c r="E71" i="20"/>
  <c r="E72" i="20"/>
  <c r="E73" i="20"/>
  <c r="E74" i="20"/>
  <c r="E75" i="20"/>
  <c r="E76" i="20"/>
  <c r="E77" i="20"/>
  <c r="E78" i="20"/>
  <c r="E79" i="20"/>
  <c r="E80" i="20"/>
  <c r="E81" i="20"/>
  <c r="E82" i="20"/>
  <c r="E83" i="20"/>
  <c r="E84" i="20"/>
  <c r="E85" i="20"/>
  <c r="E86" i="20"/>
  <c r="E87" i="20"/>
  <c r="E88" i="20"/>
  <c r="E89" i="20"/>
  <c r="E90" i="20"/>
  <c r="E91" i="20"/>
  <c r="E92" i="20"/>
  <c r="E93" i="20"/>
  <c r="E94" i="20"/>
  <c r="E95" i="20"/>
  <c r="E96" i="20"/>
  <c r="E97" i="20"/>
  <c r="E98" i="20"/>
  <c r="E99" i="20"/>
  <c r="E100" i="20"/>
  <c r="E101" i="20"/>
  <c r="E102" i="20"/>
  <c r="E103" i="20"/>
  <c r="E104" i="20"/>
  <c r="E105" i="20"/>
  <c r="E106" i="20"/>
  <c r="E107" i="20"/>
  <c r="E108" i="20"/>
  <c r="E109" i="20"/>
  <c r="E110" i="20"/>
  <c r="E111" i="20"/>
  <c r="E112" i="20"/>
  <c r="E113" i="20"/>
  <c r="E114" i="20"/>
  <c r="E115" i="20"/>
  <c r="E116" i="20"/>
  <c r="E117" i="20"/>
  <c r="E118" i="20"/>
  <c r="E119" i="20"/>
  <c r="E120" i="20"/>
  <c r="E121" i="20"/>
  <c r="E122" i="20"/>
  <c r="E123" i="20"/>
  <c r="E124" i="20"/>
  <c r="E125" i="20"/>
  <c r="E126" i="20"/>
  <c r="E127" i="20"/>
  <c r="E128" i="20"/>
  <c r="E129" i="20"/>
  <c r="E130" i="20"/>
  <c r="E131" i="20"/>
  <c r="E132" i="20"/>
  <c r="E133" i="20"/>
  <c r="E134" i="20"/>
  <c r="E135" i="20"/>
  <c r="E136" i="20"/>
  <c r="E137" i="20"/>
  <c r="E138" i="20"/>
  <c r="E139" i="20"/>
  <c r="E140" i="20"/>
  <c r="E141" i="20"/>
  <c r="E142" i="20"/>
  <c r="E143" i="20"/>
  <c r="E144" i="20"/>
  <c r="E145" i="20"/>
  <c r="E146" i="20"/>
  <c r="E147" i="20"/>
  <c r="E148" i="20"/>
  <c r="E149" i="20"/>
  <c r="E150" i="20"/>
  <c r="E151" i="20"/>
  <c r="E152" i="20"/>
  <c r="E153" i="20"/>
  <c r="E154" i="20"/>
  <c r="E155" i="20"/>
  <c r="E156" i="20"/>
  <c r="E157" i="20"/>
  <c r="E158" i="20"/>
  <c r="E159" i="20"/>
  <c r="E160" i="20"/>
  <c r="E161" i="20"/>
  <c r="E162" i="20"/>
  <c r="E163" i="20"/>
  <c r="E164" i="20"/>
  <c r="E165" i="20"/>
  <c r="E166" i="20"/>
  <c r="E167" i="20"/>
  <c r="E168" i="20"/>
  <c r="E169" i="20"/>
  <c r="E170" i="20"/>
  <c r="E171" i="20"/>
  <c r="E172" i="20"/>
  <c r="E173" i="20"/>
  <c r="E174" i="20"/>
  <c r="E175" i="20"/>
  <c r="E176" i="20"/>
  <c r="E177" i="20"/>
  <c r="E178" i="20"/>
  <c r="E179" i="20"/>
  <c r="E180" i="20"/>
  <c r="E181" i="20"/>
  <c r="E182" i="20"/>
  <c r="E183" i="20"/>
  <c r="E184" i="20"/>
  <c r="E185" i="20"/>
  <c r="E186" i="20"/>
  <c r="E187" i="20"/>
  <c r="E188" i="20"/>
  <c r="E189" i="20"/>
  <c r="E190" i="20"/>
  <c r="E191" i="20"/>
  <c r="E192" i="20"/>
  <c r="E193" i="20"/>
  <c r="E194" i="20"/>
  <c r="E195" i="20"/>
  <c r="E196" i="20"/>
  <c r="E197" i="20"/>
  <c r="E198" i="20"/>
  <c r="E199" i="20"/>
  <c r="E200" i="20"/>
  <c r="E201" i="20"/>
  <c r="E202" i="20"/>
  <c r="E203" i="20"/>
  <c r="E204" i="20"/>
  <c r="E205" i="20"/>
  <c r="E206" i="20"/>
  <c r="E207" i="20"/>
  <c r="E208" i="20"/>
  <c r="E209" i="20"/>
  <c r="E210" i="20"/>
  <c r="E211" i="20"/>
  <c r="E212" i="20"/>
  <c r="E213" i="20"/>
  <c r="E214" i="20"/>
  <c r="E215" i="20"/>
  <c r="E216" i="20"/>
  <c r="E217" i="20"/>
  <c r="E218" i="20"/>
  <c r="E219" i="20"/>
  <c r="E220" i="20"/>
  <c r="E221" i="20"/>
  <c r="E222" i="20"/>
  <c r="E223" i="20"/>
  <c r="E224" i="20"/>
  <c r="E225" i="20"/>
  <c r="E226" i="20"/>
  <c r="E227" i="20"/>
  <c r="E228" i="20"/>
  <c r="E229" i="20"/>
  <c r="E230" i="20"/>
  <c r="E231" i="20"/>
  <c r="E232" i="20"/>
  <c r="E233" i="20"/>
  <c r="E234" i="20"/>
  <c r="E235" i="20"/>
  <c r="E236" i="20"/>
  <c r="E237" i="20"/>
  <c r="E238" i="20"/>
  <c r="E239" i="20"/>
  <c r="E240" i="20"/>
  <c r="E241" i="20"/>
  <c r="E242" i="20"/>
  <c r="E243" i="20"/>
  <c r="E244" i="20"/>
  <c r="E245" i="20"/>
  <c r="E246" i="20"/>
  <c r="E247" i="20"/>
  <c r="E248" i="20"/>
  <c r="E249" i="20"/>
  <c r="E250" i="20"/>
  <c r="E251" i="20"/>
  <c r="E252" i="20"/>
  <c r="E253" i="20"/>
  <c r="E254" i="20"/>
  <c r="E255" i="20"/>
  <c r="E256" i="20"/>
  <c r="E257" i="20"/>
  <c r="E258" i="20"/>
  <c r="E259" i="20"/>
  <c r="E260" i="20"/>
  <c r="E261" i="20"/>
  <c r="E262" i="20"/>
  <c r="E1" i="20"/>
  <c r="B51" i="12"/>
  <c r="C51" i="12"/>
  <c r="D51" i="12"/>
  <c r="E51" i="12"/>
  <c r="B52" i="12"/>
  <c r="C52" i="12"/>
  <c r="D52" i="12"/>
  <c r="E52" i="12"/>
  <c r="B53" i="12"/>
  <c r="C53" i="12"/>
  <c r="D53" i="12"/>
  <c r="E53" i="12"/>
  <c r="B54" i="12"/>
  <c r="C54" i="12"/>
  <c r="D54" i="12"/>
  <c r="E54" i="12"/>
  <c r="B55" i="12"/>
  <c r="C55" i="12"/>
  <c r="D55" i="12"/>
  <c r="E55" i="12"/>
  <c r="B56" i="12"/>
  <c r="C56" i="12"/>
  <c r="D56" i="12"/>
  <c r="E56" i="12"/>
  <c r="B57" i="12"/>
  <c r="C57" i="12"/>
  <c r="D57" i="12"/>
  <c r="E57" i="12"/>
  <c r="B58" i="12"/>
  <c r="C58" i="12"/>
  <c r="D58" i="12"/>
  <c r="E58" i="12"/>
  <c r="B59" i="12"/>
  <c r="C59" i="12"/>
  <c r="D59" i="12"/>
  <c r="E59" i="12"/>
  <c r="B60" i="12"/>
  <c r="C60" i="12"/>
  <c r="D60" i="12"/>
  <c r="E60" i="12"/>
  <c r="B61" i="12"/>
  <c r="C61" i="12"/>
  <c r="D61" i="12"/>
  <c r="E61" i="12"/>
  <c r="B62" i="12"/>
  <c r="C62" i="12"/>
  <c r="D62" i="12"/>
  <c r="E62" i="12"/>
  <c r="B63" i="12"/>
  <c r="C63" i="12"/>
  <c r="D63" i="12"/>
  <c r="E63" i="12"/>
  <c r="B64" i="12"/>
  <c r="C64" i="12"/>
  <c r="D64" i="12"/>
  <c r="E64" i="12"/>
  <c r="B65" i="12"/>
  <c r="C65" i="12"/>
  <c r="D65" i="12"/>
  <c r="E65" i="12"/>
  <c r="B66" i="12"/>
  <c r="C66" i="12"/>
  <c r="D66" i="12"/>
  <c r="E66" i="12"/>
  <c r="B67" i="12"/>
  <c r="C67" i="12"/>
  <c r="D67" i="12"/>
  <c r="E67" i="12"/>
  <c r="E68" i="12"/>
  <c r="D68" i="12"/>
  <c r="C68" i="12"/>
  <c r="B68" i="12"/>
  <c r="K4" i="1"/>
  <c r="K5" i="1" s="1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" i="10"/>
  <c r="B5" i="17"/>
  <c r="B7" i="17" s="1"/>
  <c r="B9" i="17" s="1"/>
  <c r="B11" i="17" s="1"/>
  <c r="B13" i="17" s="1"/>
  <c r="B15" i="17" s="1"/>
  <c r="B17" i="17" s="1"/>
  <c r="B19" i="17" s="1"/>
  <c r="B21" i="17" s="1"/>
  <c r="B4" i="17"/>
  <c r="B6" i="17" s="1"/>
  <c r="B8" i="17" s="1"/>
  <c r="B10" i="17" s="1"/>
  <c r="B12" i="17" s="1"/>
  <c r="B14" i="17" s="1"/>
  <c r="B16" i="17" s="1"/>
  <c r="B18" i="17" s="1"/>
  <c r="M3" i="11"/>
  <c r="O3" i="11" s="1"/>
  <c r="M4" i="11"/>
  <c r="O4" i="11" s="1"/>
  <c r="M5" i="11"/>
  <c r="M6" i="11"/>
  <c r="O6" i="11" s="1"/>
  <c r="M7" i="11"/>
  <c r="O7" i="11" s="1"/>
  <c r="M8" i="11"/>
  <c r="O8" i="11" s="1"/>
  <c r="M9" i="11"/>
  <c r="O9" i="11" s="1"/>
  <c r="M10" i="11"/>
  <c r="O10" i="11" s="1"/>
  <c r="M11" i="11"/>
  <c r="O11" i="11" s="1"/>
  <c r="M12" i="11"/>
  <c r="O12" i="11" s="1"/>
  <c r="M13" i="11"/>
  <c r="O13" i="11" s="1"/>
  <c r="M14" i="11"/>
  <c r="M15" i="11"/>
  <c r="O15" i="11" s="1"/>
  <c r="M16" i="11"/>
  <c r="O16" i="11" s="1"/>
  <c r="M17" i="11"/>
  <c r="O17" i="11" s="1"/>
  <c r="M18" i="11"/>
  <c r="O18" i="11" s="1"/>
  <c r="M19" i="11"/>
  <c r="O19" i="11" s="1"/>
  <c r="M20" i="11"/>
  <c r="O20" i="11" s="1"/>
  <c r="M21" i="11"/>
  <c r="O21" i="11" s="1"/>
  <c r="M2" i="11"/>
  <c r="O2" i="11" s="1"/>
  <c r="I23" i="11"/>
  <c r="I43" i="11" s="1"/>
  <c r="I63" i="11" s="1"/>
  <c r="I83" i="11" s="1"/>
  <c r="I103" i="11" s="1"/>
  <c r="I123" i="11" s="1"/>
  <c r="I143" i="11" s="1"/>
  <c r="I163" i="11" s="1"/>
  <c r="I183" i="11" s="1"/>
  <c r="I203" i="11" s="1"/>
  <c r="I223" i="11" s="1"/>
  <c r="I243" i="11" s="1"/>
  <c r="I263" i="11" s="1"/>
  <c r="I283" i="11" s="1"/>
  <c r="I303" i="11" s="1"/>
  <c r="I323" i="11" s="1"/>
  <c r="I343" i="11" s="1"/>
  <c r="I363" i="11" s="1"/>
  <c r="I383" i="11" s="1"/>
  <c r="I403" i="11" s="1"/>
  <c r="I423" i="11" s="1"/>
  <c r="I443" i="11" s="1"/>
  <c r="I463" i="11" s="1"/>
  <c r="I483" i="11" s="1"/>
  <c r="I503" i="11" s="1"/>
  <c r="I523" i="11" s="1"/>
  <c r="I543" i="11" s="1"/>
  <c r="I563" i="11" s="1"/>
  <c r="I583" i="11" s="1"/>
  <c r="I603" i="11" s="1"/>
  <c r="I623" i="11" s="1"/>
  <c r="I643" i="11" s="1"/>
  <c r="I663" i="11" s="1"/>
  <c r="I683" i="11" s="1"/>
  <c r="I703" i="11" s="1"/>
  <c r="I723" i="11" s="1"/>
  <c r="I743" i="11" s="1"/>
  <c r="I763" i="11" s="1"/>
  <c r="I783" i="11" s="1"/>
  <c r="I803" i="11" s="1"/>
  <c r="I823" i="11" s="1"/>
  <c r="I843" i="11" s="1"/>
  <c r="I863" i="11" s="1"/>
  <c r="I883" i="11" s="1"/>
  <c r="I903" i="11" s="1"/>
  <c r="I923" i="11" s="1"/>
  <c r="I943" i="11" s="1"/>
  <c r="I963" i="11" s="1"/>
  <c r="I983" i="11" s="1"/>
  <c r="I24" i="11"/>
  <c r="I44" i="11" s="1"/>
  <c r="I64" i="11" s="1"/>
  <c r="I84" i="11" s="1"/>
  <c r="I104" i="11" s="1"/>
  <c r="I124" i="11" s="1"/>
  <c r="I144" i="11" s="1"/>
  <c r="I164" i="11" s="1"/>
  <c r="I184" i="11" s="1"/>
  <c r="I204" i="11" s="1"/>
  <c r="I224" i="11" s="1"/>
  <c r="I244" i="11" s="1"/>
  <c r="I264" i="11" s="1"/>
  <c r="I284" i="11" s="1"/>
  <c r="I304" i="11" s="1"/>
  <c r="I324" i="11" s="1"/>
  <c r="I344" i="11" s="1"/>
  <c r="I364" i="11" s="1"/>
  <c r="I384" i="11" s="1"/>
  <c r="I404" i="11" s="1"/>
  <c r="I424" i="11" s="1"/>
  <c r="I444" i="11" s="1"/>
  <c r="I464" i="11" s="1"/>
  <c r="I484" i="11" s="1"/>
  <c r="I504" i="11" s="1"/>
  <c r="I524" i="11" s="1"/>
  <c r="I544" i="11" s="1"/>
  <c r="I564" i="11" s="1"/>
  <c r="I584" i="11" s="1"/>
  <c r="I604" i="11" s="1"/>
  <c r="I624" i="11" s="1"/>
  <c r="I644" i="11" s="1"/>
  <c r="I664" i="11" s="1"/>
  <c r="I684" i="11" s="1"/>
  <c r="I704" i="11" s="1"/>
  <c r="I724" i="11" s="1"/>
  <c r="I744" i="11" s="1"/>
  <c r="I764" i="11" s="1"/>
  <c r="I784" i="11" s="1"/>
  <c r="I804" i="11" s="1"/>
  <c r="I824" i="11" s="1"/>
  <c r="I844" i="11" s="1"/>
  <c r="I864" i="11" s="1"/>
  <c r="I884" i="11" s="1"/>
  <c r="I904" i="11" s="1"/>
  <c r="I924" i="11" s="1"/>
  <c r="I944" i="11" s="1"/>
  <c r="I964" i="11" s="1"/>
  <c r="I984" i="11" s="1"/>
  <c r="I25" i="11"/>
  <c r="I45" i="11" s="1"/>
  <c r="I65" i="11" s="1"/>
  <c r="I85" i="11" s="1"/>
  <c r="I105" i="11" s="1"/>
  <c r="I125" i="11" s="1"/>
  <c r="I145" i="11" s="1"/>
  <c r="I165" i="11" s="1"/>
  <c r="I185" i="11" s="1"/>
  <c r="I205" i="11" s="1"/>
  <c r="I225" i="11" s="1"/>
  <c r="I245" i="11" s="1"/>
  <c r="I265" i="11" s="1"/>
  <c r="I285" i="11" s="1"/>
  <c r="I305" i="11" s="1"/>
  <c r="I325" i="11" s="1"/>
  <c r="I345" i="11" s="1"/>
  <c r="I365" i="11" s="1"/>
  <c r="I385" i="11" s="1"/>
  <c r="I405" i="11" s="1"/>
  <c r="I425" i="11" s="1"/>
  <c r="I445" i="11" s="1"/>
  <c r="I465" i="11" s="1"/>
  <c r="I485" i="11" s="1"/>
  <c r="I505" i="11" s="1"/>
  <c r="I525" i="11" s="1"/>
  <c r="I545" i="11" s="1"/>
  <c r="I565" i="11" s="1"/>
  <c r="I585" i="11" s="1"/>
  <c r="I605" i="11" s="1"/>
  <c r="I625" i="11" s="1"/>
  <c r="I645" i="11" s="1"/>
  <c r="I665" i="11" s="1"/>
  <c r="I685" i="11" s="1"/>
  <c r="I705" i="11" s="1"/>
  <c r="I725" i="11" s="1"/>
  <c r="I745" i="11" s="1"/>
  <c r="I765" i="11" s="1"/>
  <c r="I785" i="11" s="1"/>
  <c r="I805" i="11" s="1"/>
  <c r="I825" i="11" s="1"/>
  <c r="I845" i="11" s="1"/>
  <c r="I865" i="11" s="1"/>
  <c r="I885" i="11" s="1"/>
  <c r="I905" i="11" s="1"/>
  <c r="I925" i="11" s="1"/>
  <c r="I945" i="11" s="1"/>
  <c r="I965" i="11" s="1"/>
  <c r="I985" i="11" s="1"/>
  <c r="I26" i="11"/>
  <c r="I27" i="11"/>
  <c r="I47" i="11" s="1"/>
  <c r="I67" i="11" s="1"/>
  <c r="I87" i="11" s="1"/>
  <c r="I107" i="11" s="1"/>
  <c r="I127" i="11" s="1"/>
  <c r="I147" i="11" s="1"/>
  <c r="I167" i="11" s="1"/>
  <c r="I187" i="11" s="1"/>
  <c r="I207" i="11" s="1"/>
  <c r="I227" i="11" s="1"/>
  <c r="I247" i="11" s="1"/>
  <c r="I267" i="11" s="1"/>
  <c r="I287" i="11" s="1"/>
  <c r="I307" i="11" s="1"/>
  <c r="I327" i="11" s="1"/>
  <c r="I347" i="11" s="1"/>
  <c r="I367" i="11" s="1"/>
  <c r="I387" i="11" s="1"/>
  <c r="I407" i="11" s="1"/>
  <c r="I427" i="11" s="1"/>
  <c r="I447" i="11" s="1"/>
  <c r="I467" i="11" s="1"/>
  <c r="I487" i="11" s="1"/>
  <c r="I507" i="11" s="1"/>
  <c r="I527" i="11" s="1"/>
  <c r="I547" i="11" s="1"/>
  <c r="I567" i="11" s="1"/>
  <c r="I587" i="11" s="1"/>
  <c r="I607" i="11" s="1"/>
  <c r="I627" i="11" s="1"/>
  <c r="I647" i="11" s="1"/>
  <c r="I667" i="11" s="1"/>
  <c r="I687" i="11" s="1"/>
  <c r="I707" i="11" s="1"/>
  <c r="I727" i="11" s="1"/>
  <c r="I747" i="11" s="1"/>
  <c r="I767" i="11" s="1"/>
  <c r="I787" i="11" s="1"/>
  <c r="I807" i="11" s="1"/>
  <c r="I827" i="11" s="1"/>
  <c r="I847" i="11" s="1"/>
  <c r="I867" i="11" s="1"/>
  <c r="I887" i="11" s="1"/>
  <c r="I907" i="11" s="1"/>
  <c r="I927" i="11" s="1"/>
  <c r="I947" i="11" s="1"/>
  <c r="I967" i="11" s="1"/>
  <c r="I987" i="11" s="1"/>
  <c r="I28" i="11"/>
  <c r="I29" i="11"/>
  <c r="I49" i="11" s="1"/>
  <c r="I69" i="11" s="1"/>
  <c r="I89" i="11" s="1"/>
  <c r="I109" i="11" s="1"/>
  <c r="I129" i="11" s="1"/>
  <c r="I149" i="11" s="1"/>
  <c r="I169" i="11" s="1"/>
  <c r="I189" i="11" s="1"/>
  <c r="I209" i="11" s="1"/>
  <c r="I229" i="11" s="1"/>
  <c r="I249" i="11" s="1"/>
  <c r="I269" i="11" s="1"/>
  <c r="I289" i="11" s="1"/>
  <c r="I309" i="11" s="1"/>
  <c r="I329" i="11" s="1"/>
  <c r="I349" i="11" s="1"/>
  <c r="I369" i="11" s="1"/>
  <c r="I389" i="11" s="1"/>
  <c r="I409" i="11" s="1"/>
  <c r="I429" i="11" s="1"/>
  <c r="I449" i="11" s="1"/>
  <c r="I469" i="11" s="1"/>
  <c r="I489" i="11" s="1"/>
  <c r="I509" i="11" s="1"/>
  <c r="I529" i="11" s="1"/>
  <c r="I549" i="11" s="1"/>
  <c r="I569" i="11" s="1"/>
  <c r="I589" i="11" s="1"/>
  <c r="I609" i="11" s="1"/>
  <c r="I629" i="11" s="1"/>
  <c r="I649" i="11" s="1"/>
  <c r="I669" i="11" s="1"/>
  <c r="I689" i="11" s="1"/>
  <c r="I709" i="11" s="1"/>
  <c r="I729" i="11" s="1"/>
  <c r="I749" i="11" s="1"/>
  <c r="I769" i="11" s="1"/>
  <c r="I789" i="11" s="1"/>
  <c r="I809" i="11" s="1"/>
  <c r="I829" i="11" s="1"/>
  <c r="I849" i="11" s="1"/>
  <c r="I869" i="11" s="1"/>
  <c r="I889" i="11" s="1"/>
  <c r="I909" i="11" s="1"/>
  <c r="I929" i="11" s="1"/>
  <c r="I949" i="11" s="1"/>
  <c r="I969" i="11" s="1"/>
  <c r="I989" i="11" s="1"/>
  <c r="I30" i="11"/>
  <c r="I50" i="11" s="1"/>
  <c r="I70" i="11" s="1"/>
  <c r="I90" i="11" s="1"/>
  <c r="I110" i="11" s="1"/>
  <c r="I130" i="11" s="1"/>
  <c r="I150" i="11" s="1"/>
  <c r="I170" i="11" s="1"/>
  <c r="I190" i="11" s="1"/>
  <c r="I210" i="11" s="1"/>
  <c r="I230" i="11" s="1"/>
  <c r="I250" i="11" s="1"/>
  <c r="I270" i="11" s="1"/>
  <c r="I290" i="11" s="1"/>
  <c r="I310" i="11" s="1"/>
  <c r="I330" i="11" s="1"/>
  <c r="I350" i="11" s="1"/>
  <c r="I370" i="11" s="1"/>
  <c r="I390" i="11" s="1"/>
  <c r="I410" i="11" s="1"/>
  <c r="I430" i="11" s="1"/>
  <c r="I450" i="11" s="1"/>
  <c r="I470" i="11" s="1"/>
  <c r="I490" i="11" s="1"/>
  <c r="I510" i="11" s="1"/>
  <c r="I530" i="11" s="1"/>
  <c r="I550" i="11" s="1"/>
  <c r="I570" i="11" s="1"/>
  <c r="I590" i="11" s="1"/>
  <c r="I610" i="11" s="1"/>
  <c r="I630" i="11" s="1"/>
  <c r="I650" i="11" s="1"/>
  <c r="I670" i="11" s="1"/>
  <c r="I690" i="11" s="1"/>
  <c r="I710" i="11" s="1"/>
  <c r="I730" i="11" s="1"/>
  <c r="I750" i="11" s="1"/>
  <c r="I770" i="11" s="1"/>
  <c r="I790" i="11" s="1"/>
  <c r="I810" i="11" s="1"/>
  <c r="I830" i="11" s="1"/>
  <c r="I850" i="11" s="1"/>
  <c r="I870" i="11" s="1"/>
  <c r="I890" i="11" s="1"/>
  <c r="I910" i="11" s="1"/>
  <c r="I930" i="11" s="1"/>
  <c r="I950" i="11" s="1"/>
  <c r="I970" i="11" s="1"/>
  <c r="I990" i="11" s="1"/>
  <c r="I31" i="11"/>
  <c r="I51" i="11" s="1"/>
  <c r="I71" i="11" s="1"/>
  <c r="I91" i="11" s="1"/>
  <c r="I111" i="11" s="1"/>
  <c r="I131" i="11" s="1"/>
  <c r="I151" i="11" s="1"/>
  <c r="I171" i="11" s="1"/>
  <c r="I191" i="11" s="1"/>
  <c r="I211" i="11" s="1"/>
  <c r="I231" i="11" s="1"/>
  <c r="I251" i="11" s="1"/>
  <c r="I271" i="11" s="1"/>
  <c r="I291" i="11" s="1"/>
  <c r="I311" i="11" s="1"/>
  <c r="I331" i="11" s="1"/>
  <c r="I351" i="11" s="1"/>
  <c r="I371" i="11" s="1"/>
  <c r="I391" i="11" s="1"/>
  <c r="I411" i="11" s="1"/>
  <c r="I431" i="11" s="1"/>
  <c r="I451" i="11" s="1"/>
  <c r="I471" i="11" s="1"/>
  <c r="I491" i="11" s="1"/>
  <c r="I511" i="11" s="1"/>
  <c r="I531" i="11" s="1"/>
  <c r="I551" i="11" s="1"/>
  <c r="I571" i="11" s="1"/>
  <c r="I591" i="11" s="1"/>
  <c r="I611" i="11" s="1"/>
  <c r="I631" i="11" s="1"/>
  <c r="I651" i="11" s="1"/>
  <c r="I671" i="11" s="1"/>
  <c r="I691" i="11" s="1"/>
  <c r="I711" i="11" s="1"/>
  <c r="I731" i="11" s="1"/>
  <c r="I751" i="11" s="1"/>
  <c r="I771" i="11" s="1"/>
  <c r="I791" i="11" s="1"/>
  <c r="I811" i="11" s="1"/>
  <c r="I831" i="11" s="1"/>
  <c r="I851" i="11" s="1"/>
  <c r="I871" i="11" s="1"/>
  <c r="I891" i="11" s="1"/>
  <c r="I911" i="11" s="1"/>
  <c r="I931" i="11" s="1"/>
  <c r="I951" i="11" s="1"/>
  <c r="I971" i="11" s="1"/>
  <c r="I991" i="11" s="1"/>
  <c r="I32" i="11"/>
  <c r="I52" i="11" s="1"/>
  <c r="I72" i="11" s="1"/>
  <c r="I92" i="11" s="1"/>
  <c r="I112" i="11" s="1"/>
  <c r="I132" i="11" s="1"/>
  <c r="I152" i="11" s="1"/>
  <c r="I172" i="11" s="1"/>
  <c r="I192" i="11" s="1"/>
  <c r="I212" i="11" s="1"/>
  <c r="I232" i="11" s="1"/>
  <c r="I252" i="11" s="1"/>
  <c r="I272" i="11" s="1"/>
  <c r="I292" i="11" s="1"/>
  <c r="I312" i="11" s="1"/>
  <c r="I332" i="11" s="1"/>
  <c r="I352" i="11" s="1"/>
  <c r="I372" i="11" s="1"/>
  <c r="I392" i="11" s="1"/>
  <c r="I412" i="11" s="1"/>
  <c r="I432" i="11" s="1"/>
  <c r="I452" i="11" s="1"/>
  <c r="I472" i="11" s="1"/>
  <c r="I492" i="11" s="1"/>
  <c r="I512" i="11" s="1"/>
  <c r="I532" i="11" s="1"/>
  <c r="I552" i="11" s="1"/>
  <c r="I572" i="11" s="1"/>
  <c r="I592" i="11" s="1"/>
  <c r="I612" i="11" s="1"/>
  <c r="I632" i="11" s="1"/>
  <c r="I652" i="11" s="1"/>
  <c r="I672" i="11" s="1"/>
  <c r="I692" i="11" s="1"/>
  <c r="I712" i="11" s="1"/>
  <c r="I732" i="11" s="1"/>
  <c r="I752" i="11" s="1"/>
  <c r="I772" i="11" s="1"/>
  <c r="I792" i="11" s="1"/>
  <c r="I812" i="11" s="1"/>
  <c r="I832" i="11" s="1"/>
  <c r="I852" i="11" s="1"/>
  <c r="I872" i="11" s="1"/>
  <c r="I892" i="11" s="1"/>
  <c r="I912" i="11" s="1"/>
  <c r="I932" i="11" s="1"/>
  <c r="I952" i="11" s="1"/>
  <c r="I972" i="11" s="1"/>
  <c r="I992" i="11" s="1"/>
  <c r="I33" i="11"/>
  <c r="I53" i="11" s="1"/>
  <c r="I73" i="11" s="1"/>
  <c r="I93" i="11" s="1"/>
  <c r="I113" i="11" s="1"/>
  <c r="I133" i="11" s="1"/>
  <c r="I153" i="11" s="1"/>
  <c r="I173" i="11" s="1"/>
  <c r="I193" i="11" s="1"/>
  <c r="I213" i="11" s="1"/>
  <c r="I233" i="11" s="1"/>
  <c r="I253" i="11" s="1"/>
  <c r="I273" i="11" s="1"/>
  <c r="I293" i="11" s="1"/>
  <c r="I313" i="11" s="1"/>
  <c r="I333" i="11" s="1"/>
  <c r="I353" i="11" s="1"/>
  <c r="I373" i="11" s="1"/>
  <c r="I393" i="11" s="1"/>
  <c r="I413" i="11" s="1"/>
  <c r="I433" i="11" s="1"/>
  <c r="I453" i="11" s="1"/>
  <c r="I473" i="11" s="1"/>
  <c r="I493" i="11" s="1"/>
  <c r="I513" i="11" s="1"/>
  <c r="I533" i="11" s="1"/>
  <c r="I553" i="11" s="1"/>
  <c r="I573" i="11" s="1"/>
  <c r="I593" i="11" s="1"/>
  <c r="I613" i="11" s="1"/>
  <c r="I633" i="11" s="1"/>
  <c r="I653" i="11" s="1"/>
  <c r="I673" i="11" s="1"/>
  <c r="I693" i="11" s="1"/>
  <c r="I713" i="11" s="1"/>
  <c r="I733" i="11" s="1"/>
  <c r="I753" i="11" s="1"/>
  <c r="I773" i="11" s="1"/>
  <c r="I793" i="11" s="1"/>
  <c r="I813" i="11" s="1"/>
  <c r="I833" i="11" s="1"/>
  <c r="I853" i="11" s="1"/>
  <c r="I873" i="11" s="1"/>
  <c r="I893" i="11" s="1"/>
  <c r="I913" i="11" s="1"/>
  <c r="I933" i="11" s="1"/>
  <c r="I953" i="11" s="1"/>
  <c r="I973" i="11" s="1"/>
  <c r="I993" i="11" s="1"/>
  <c r="I34" i="11"/>
  <c r="I54" i="11" s="1"/>
  <c r="I74" i="11" s="1"/>
  <c r="I94" i="11" s="1"/>
  <c r="I114" i="11" s="1"/>
  <c r="I134" i="11" s="1"/>
  <c r="I154" i="11" s="1"/>
  <c r="I174" i="11" s="1"/>
  <c r="I194" i="11" s="1"/>
  <c r="I214" i="11" s="1"/>
  <c r="I234" i="11" s="1"/>
  <c r="I254" i="11" s="1"/>
  <c r="I274" i="11" s="1"/>
  <c r="I294" i="11" s="1"/>
  <c r="I314" i="11" s="1"/>
  <c r="I334" i="11" s="1"/>
  <c r="I354" i="11" s="1"/>
  <c r="I374" i="11" s="1"/>
  <c r="I394" i="11" s="1"/>
  <c r="I414" i="11" s="1"/>
  <c r="I434" i="11" s="1"/>
  <c r="I454" i="11" s="1"/>
  <c r="I474" i="11" s="1"/>
  <c r="I494" i="11" s="1"/>
  <c r="I514" i="11" s="1"/>
  <c r="I534" i="11" s="1"/>
  <c r="I554" i="11" s="1"/>
  <c r="I574" i="11" s="1"/>
  <c r="I594" i="11" s="1"/>
  <c r="I614" i="11" s="1"/>
  <c r="I634" i="11" s="1"/>
  <c r="I654" i="11" s="1"/>
  <c r="I674" i="11" s="1"/>
  <c r="I694" i="11" s="1"/>
  <c r="I714" i="11" s="1"/>
  <c r="I734" i="11" s="1"/>
  <c r="I754" i="11" s="1"/>
  <c r="I774" i="11" s="1"/>
  <c r="I794" i="11" s="1"/>
  <c r="I814" i="11" s="1"/>
  <c r="I834" i="11" s="1"/>
  <c r="I854" i="11" s="1"/>
  <c r="I874" i="11" s="1"/>
  <c r="I894" i="11" s="1"/>
  <c r="I914" i="11" s="1"/>
  <c r="I934" i="11" s="1"/>
  <c r="I954" i="11" s="1"/>
  <c r="I974" i="11" s="1"/>
  <c r="I994" i="11" s="1"/>
  <c r="I35" i="11"/>
  <c r="I55" i="11" s="1"/>
  <c r="I75" i="11" s="1"/>
  <c r="I95" i="11" s="1"/>
  <c r="I115" i="11" s="1"/>
  <c r="I135" i="11" s="1"/>
  <c r="I155" i="11" s="1"/>
  <c r="I175" i="11" s="1"/>
  <c r="I195" i="11" s="1"/>
  <c r="I215" i="11" s="1"/>
  <c r="I235" i="11" s="1"/>
  <c r="I255" i="11" s="1"/>
  <c r="I275" i="11" s="1"/>
  <c r="I295" i="11" s="1"/>
  <c r="I315" i="11" s="1"/>
  <c r="I335" i="11" s="1"/>
  <c r="I355" i="11" s="1"/>
  <c r="I375" i="11" s="1"/>
  <c r="I395" i="11" s="1"/>
  <c r="I415" i="11" s="1"/>
  <c r="I435" i="11" s="1"/>
  <c r="I455" i="11" s="1"/>
  <c r="I475" i="11" s="1"/>
  <c r="I495" i="11" s="1"/>
  <c r="I515" i="11" s="1"/>
  <c r="I535" i="11" s="1"/>
  <c r="I555" i="11" s="1"/>
  <c r="I575" i="11" s="1"/>
  <c r="I595" i="11" s="1"/>
  <c r="I615" i="11" s="1"/>
  <c r="I635" i="11" s="1"/>
  <c r="I655" i="11" s="1"/>
  <c r="I675" i="11" s="1"/>
  <c r="I695" i="11" s="1"/>
  <c r="I715" i="11" s="1"/>
  <c r="I735" i="11" s="1"/>
  <c r="I755" i="11" s="1"/>
  <c r="I775" i="11" s="1"/>
  <c r="I795" i="11" s="1"/>
  <c r="I815" i="11" s="1"/>
  <c r="I835" i="11" s="1"/>
  <c r="I855" i="11" s="1"/>
  <c r="I875" i="11" s="1"/>
  <c r="I895" i="11" s="1"/>
  <c r="I915" i="11" s="1"/>
  <c r="I935" i="11" s="1"/>
  <c r="I955" i="11" s="1"/>
  <c r="I975" i="11" s="1"/>
  <c r="I995" i="11" s="1"/>
  <c r="I36" i="11"/>
  <c r="I56" i="11" s="1"/>
  <c r="I76" i="11" s="1"/>
  <c r="I96" i="11" s="1"/>
  <c r="I116" i="11" s="1"/>
  <c r="I136" i="11" s="1"/>
  <c r="I156" i="11" s="1"/>
  <c r="I176" i="11" s="1"/>
  <c r="I196" i="11" s="1"/>
  <c r="I216" i="11" s="1"/>
  <c r="I236" i="11" s="1"/>
  <c r="I256" i="11" s="1"/>
  <c r="I276" i="11" s="1"/>
  <c r="I296" i="11" s="1"/>
  <c r="I316" i="11" s="1"/>
  <c r="I336" i="11" s="1"/>
  <c r="I356" i="11" s="1"/>
  <c r="I376" i="11" s="1"/>
  <c r="I396" i="11" s="1"/>
  <c r="I416" i="11" s="1"/>
  <c r="I436" i="11" s="1"/>
  <c r="I456" i="11" s="1"/>
  <c r="I476" i="11" s="1"/>
  <c r="I496" i="11" s="1"/>
  <c r="I516" i="11" s="1"/>
  <c r="I536" i="11" s="1"/>
  <c r="I556" i="11" s="1"/>
  <c r="I576" i="11" s="1"/>
  <c r="I596" i="11" s="1"/>
  <c r="I616" i="11" s="1"/>
  <c r="I636" i="11" s="1"/>
  <c r="I656" i="11" s="1"/>
  <c r="I676" i="11" s="1"/>
  <c r="I696" i="11" s="1"/>
  <c r="I716" i="11" s="1"/>
  <c r="I736" i="11" s="1"/>
  <c r="I756" i="11" s="1"/>
  <c r="I776" i="11" s="1"/>
  <c r="I796" i="11" s="1"/>
  <c r="I816" i="11" s="1"/>
  <c r="I836" i="11" s="1"/>
  <c r="I856" i="11" s="1"/>
  <c r="I876" i="11" s="1"/>
  <c r="I896" i="11" s="1"/>
  <c r="I916" i="11" s="1"/>
  <c r="I936" i="11" s="1"/>
  <c r="I956" i="11" s="1"/>
  <c r="I976" i="11" s="1"/>
  <c r="I996" i="11" s="1"/>
  <c r="I37" i="11"/>
  <c r="I57" i="11" s="1"/>
  <c r="I77" i="11" s="1"/>
  <c r="I97" i="11" s="1"/>
  <c r="I117" i="11" s="1"/>
  <c r="I137" i="11" s="1"/>
  <c r="I157" i="11" s="1"/>
  <c r="I177" i="11" s="1"/>
  <c r="I197" i="11" s="1"/>
  <c r="I217" i="11" s="1"/>
  <c r="I237" i="11" s="1"/>
  <c r="I257" i="11" s="1"/>
  <c r="I277" i="11" s="1"/>
  <c r="I297" i="11" s="1"/>
  <c r="I317" i="11" s="1"/>
  <c r="I337" i="11" s="1"/>
  <c r="I357" i="11" s="1"/>
  <c r="I377" i="11" s="1"/>
  <c r="I397" i="11" s="1"/>
  <c r="I417" i="11" s="1"/>
  <c r="I437" i="11" s="1"/>
  <c r="I457" i="11" s="1"/>
  <c r="I477" i="11" s="1"/>
  <c r="I497" i="11" s="1"/>
  <c r="I517" i="11" s="1"/>
  <c r="I537" i="11" s="1"/>
  <c r="I557" i="11" s="1"/>
  <c r="I577" i="11" s="1"/>
  <c r="I597" i="11" s="1"/>
  <c r="I617" i="11" s="1"/>
  <c r="I637" i="11" s="1"/>
  <c r="I657" i="11" s="1"/>
  <c r="I677" i="11" s="1"/>
  <c r="I697" i="11" s="1"/>
  <c r="I717" i="11" s="1"/>
  <c r="I737" i="11" s="1"/>
  <c r="I757" i="11" s="1"/>
  <c r="I777" i="11" s="1"/>
  <c r="I797" i="11" s="1"/>
  <c r="I817" i="11" s="1"/>
  <c r="I837" i="11" s="1"/>
  <c r="I857" i="11" s="1"/>
  <c r="I877" i="11" s="1"/>
  <c r="I897" i="11" s="1"/>
  <c r="I917" i="11" s="1"/>
  <c r="I937" i="11" s="1"/>
  <c r="I957" i="11" s="1"/>
  <c r="I977" i="11" s="1"/>
  <c r="I997" i="11" s="1"/>
  <c r="I38" i="11"/>
  <c r="I58" i="11" s="1"/>
  <c r="I78" i="11" s="1"/>
  <c r="I98" i="11" s="1"/>
  <c r="I118" i="11" s="1"/>
  <c r="I138" i="11" s="1"/>
  <c r="I158" i="11" s="1"/>
  <c r="I178" i="11" s="1"/>
  <c r="I198" i="11" s="1"/>
  <c r="I218" i="11" s="1"/>
  <c r="I238" i="11" s="1"/>
  <c r="I258" i="11" s="1"/>
  <c r="I278" i="11" s="1"/>
  <c r="I298" i="11" s="1"/>
  <c r="I318" i="11" s="1"/>
  <c r="I338" i="11" s="1"/>
  <c r="I358" i="11" s="1"/>
  <c r="I378" i="11" s="1"/>
  <c r="I398" i="11" s="1"/>
  <c r="I418" i="11" s="1"/>
  <c r="I438" i="11" s="1"/>
  <c r="I458" i="11" s="1"/>
  <c r="I478" i="11" s="1"/>
  <c r="I498" i="11" s="1"/>
  <c r="I518" i="11" s="1"/>
  <c r="I538" i="11" s="1"/>
  <c r="I558" i="11" s="1"/>
  <c r="I578" i="11" s="1"/>
  <c r="I598" i="11" s="1"/>
  <c r="I618" i="11" s="1"/>
  <c r="I638" i="11" s="1"/>
  <c r="I658" i="11" s="1"/>
  <c r="I678" i="11" s="1"/>
  <c r="I698" i="11" s="1"/>
  <c r="I718" i="11" s="1"/>
  <c r="I738" i="11" s="1"/>
  <c r="I758" i="11" s="1"/>
  <c r="I778" i="11" s="1"/>
  <c r="I798" i="11" s="1"/>
  <c r="I818" i="11" s="1"/>
  <c r="I838" i="11" s="1"/>
  <c r="I858" i="11" s="1"/>
  <c r="I878" i="11" s="1"/>
  <c r="I898" i="11" s="1"/>
  <c r="I918" i="11" s="1"/>
  <c r="I938" i="11" s="1"/>
  <c r="I958" i="11" s="1"/>
  <c r="I978" i="11" s="1"/>
  <c r="I998" i="11" s="1"/>
  <c r="I39" i="11"/>
  <c r="I59" i="11" s="1"/>
  <c r="I79" i="11" s="1"/>
  <c r="I99" i="11" s="1"/>
  <c r="I119" i="11" s="1"/>
  <c r="I139" i="11" s="1"/>
  <c r="I159" i="11" s="1"/>
  <c r="I179" i="11" s="1"/>
  <c r="I199" i="11" s="1"/>
  <c r="I219" i="11" s="1"/>
  <c r="I239" i="11" s="1"/>
  <c r="I259" i="11" s="1"/>
  <c r="I279" i="11" s="1"/>
  <c r="I299" i="11" s="1"/>
  <c r="I319" i="11" s="1"/>
  <c r="I339" i="11" s="1"/>
  <c r="I359" i="11" s="1"/>
  <c r="I379" i="11" s="1"/>
  <c r="I399" i="11" s="1"/>
  <c r="I419" i="11" s="1"/>
  <c r="I439" i="11" s="1"/>
  <c r="I459" i="11" s="1"/>
  <c r="I479" i="11" s="1"/>
  <c r="I499" i="11" s="1"/>
  <c r="I519" i="11" s="1"/>
  <c r="I539" i="11" s="1"/>
  <c r="I559" i="11" s="1"/>
  <c r="I579" i="11" s="1"/>
  <c r="I599" i="11" s="1"/>
  <c r="I619" i="11" s="1"/>
  <c r="I639" i="11" s="1"/>
  <c r="I659" i="11" s="1"/>
  <c r="I679" i="11" s="1"/>
  <c r="I699" i="11" s="1"/>
  <c r="I719" i="11" s="1"/>
  <c r="I739" i="11" s="1"/>
  <c r="I759" i="11" s="1"/>
  <c r="I779" i="11" s="1"/>
  <c r="I799" i="11" s="1"/>
  <c r="I819" i="11" s="1"/>
  <c r="I839" i="11" s="1"/>
  <c r="I859" i="11" s="1"/>
  <c r="I879" i="11" s="1"/>
  <c r="I899" i="11" s="1"/>
  <c r="I919" i="11" s="1"/>
  <c r="I939" i="11" s="1"/>
  <c r="I959" i="11" s="1"/>
  <c r="I979" i="11" s="1"/>
  <c r="I999" i="11" s="1"/>
  <c r="I40" i="11"/>
  <c r="I60" i="11" s="1"/>
  <c r="I80" i="11" s="1"/>
  <c r="I100" i="11" s="1"/>
  <c r="I120" i="11" s="1"/>
  <c r="I140" i="11" s="1"/>
  <c r="I160" i="11" s="1"/>
  <c r="I180" i="11" s="1"/>
  <c r="I200" i="11" s="1"/>
  <c r="I220" i="11" s="1"/>
  <c r="I240" i="11" s="1"/>
  <c r="I260" i="11" s="1"/>
  <c r="I280" i="11" s="1"/>
  <c r="I300" i="11" s="1"/>
  <c r="I320" i="11" s="1"/>
  <c r="I340" i="11" s="1"/>
  <c r="I360" i="11" s="1"/>
  <c r="I380" i="11" s="1"/>
  <c r="I400" i="11" s="1"/>
  <c r="I420" i="11" s="1"/>
  <c r="I440" i="11" s="1"/>
  <c r="I460" i="11" s="1"/>
  <c r="I480" i="11" s="1"/>
  <c r="I500" i="11" s="1"/>
  <c r="I520" i="11" s="1"/>
  <c r="I540" i="11" s="1"/>
  <c r="I560" i="11" s="1"/>
  <c r="I580" i="11" s="1"/>
  <c r="I600" i="11" s="1"/>
  <c r="I620" i="11" s="1"/>
  <c r="I640" i="11" s="1"/>
  <c r="I660" i="11" s="1"/>
  <c r="I680" i="11" s="1"/>
  <c r="I700" i="11" s="1"/>
  <c r="I720" i="11" s="1"/>
  <c r="I740" i="11" s="1"/>
  <c r="I760" i="11" s="1"/>
  <c r="I780" i="11" s="1"/>
  <c r="I800" i="11" s="1"/>
  <c r="I820" i="11" s="1"/>
  <c r="I840" i="11" s="1"/>
  <c r="I860" i="11" s="1"/>
  <c r="I880" i="11" s="1"/>
  <c r="I900" i="11" s="1"/>
  <c r="I920" i="11" s="1"/>
  <c r="I940" i="11" s="1"/>
  <c r="I960" i="11" s="1"/>
  <c r="I980" i="11" s="1"/>
  <c r="I1000" i="11" s="1"/>
  <c r="I41" i="11"/>
  <c r="I61" i="11" s="1"/>
  <c r="I81" i="11" s="1"/>
  <c r="I101" i="11" s="1"/>
  <c r="I121" i="11" s="1"/>
  <c r="I141" i="11" s="1"/>
  <c r="I161" i="11" s="1"/>
  <c r="I181" i="11" s="1"/>
  <c r="I201" i="11" s="1"/>
  <c r="I221" i="11" s="1"/>
  <c r="I241" i="11" s="1"/>
  <c r="I261" i="11" s="1"/>
  <c r="I281" i="11" s="1"/>
  <c r="I301" i="11" s="1"/>
  <c r="I321" i="11" s="1"/>
  <c r="I341" i="11" s="1"/>
  <c r="I361" i="11" s="1"/>
  <c r="I381" i="11" s="1"/>
  <c r="I401" i="11" s="1"/>
  <c r="I421" i="11" s="1"/>
  <c r="I441" i="11" s="1"/>
  <c r="I461" i="11" s="1"/>
  <c r="I481" i="11" s="1"/>
  <c r="I501" i="11" s="1"/>
  <c r="I521" i="11" s="1"/>
  <c r="I541" i="11" s="1"/>
  <c r="I561" i="11" s="1"/>
  <c r="I581" i="11" s="1"/>
  <c r="I601" i="11" s="1"/>
  <c r="I621" i="11" s="1"/>
  <c r="I641" i="11" s="1"/>
  <c r="I661" i="11" s="1"/>
  <c r="I681" i="11" s="1"/>
  <c r="I701" i="11" s="1"/>
  <c r="I721" i="11" s="1"/>
  <c r="I741" i="11" s="1"/>
  <c r="I761" i="11" s="1"/>
  <c r="I781" i="11" s="1"/>
  <c r="I801" i="11" s="1"/>
  <c r="I821" i="11" s="1"/>
  <c r="I841" i="11" s="1"/>
  <c r="I861" i="11" s="1"/>
  <c r="I881" i="11" s="1"/>
  <c r="I901" i="11" s="1"/>
  <c r="I921" i="11" s="1"/>
  <c r="I941" i="11" s="1"/>
  <c r="I961" i="11" s="1"/>
  <c r="I981" i="11" s="1"/>
  <c r="I1001" i="11" s="1"/>
  <c r="I46" i="11"/>
  <c r="I66" i="11" s="1"/>
  <c r="I86" i="11" s="1"/>
  <c r="I106" i="11" s="1"/>
  <c r="I126" i="11" s="1"/>
  <c r="I146" i="11" s="1"/>
  <c r="I166" i="11" s="1"/>
  <c r="I186" i="11" s="1"/>
  <c r="I206" i="11" s="1"/>
  <c r="I226" i="11" s="1"/>
  <c r="I246" i="11" s="1"/>
  <c r="I266" i="11" s="1"/>
  <c r="I286" i="11" s="1"/>
  <c r="I306" i="11" s="1"/>
  <c r="I326" i="11" s="1"/>
  <c r="I346" i="11" s="1"/>
  <c r="I366" i="11" s="1"/>
  <c r="I386" i="11" s="1"/>
  <c r="I406" i="11" s="1"/>
  <c r="I426" i="11" s="1"/>
  <c r="I446" i="11" s="1"/>
  <c r="I466" i="11" s="1"/>
  <c r="I486" i="11" s="1"/>
  <c r="I506" i="11" s="1"/>
  <c r="I526" i="11" s="1"/>
  <c r="I546" i="11" s="1"/>
  <c r="I566" i="11" s="1"/>
  <c r="I586" i="11" s="1"/>
  <c r="I606" i="11" s="1"/>
  <c r="I626" i="11" s="1"/>
  <c r="I646" i="11" s="1"/>
  <c r="I666" i="11" s="1"/>
  <c r="I686" i="11" s="1"/>
  <c r="I706" i="11" s="1"/>
  <c r="I726" i="11" s="1"/>
  <c r="I746" i="11" s="1"/>
  <c r="I766" i="11" s="1"/>
  <c r="I786" i="11" s="1"/>
  <c r="I806" i="11" s="1"/>
  <c r="I826" i="11" s="1"/>
  <c r="I846" i="11" s="1"/>
  <c r="I866" i="11" s="1"/>
  <c r="I886" i="11" s="1"/>
  <c r="I906" i="11" s="1"/>
  <c r="I926" i="11" s="1"/>
  <c r="I946" i="11" s="1"/>
  <c r="I966" i="11" s="1"/>
  <c r="I986" i="11" s="1"/>
  <c r="I48" i="11"/>
  <c r="I68" i="11" s="1"/>
  <c r="I88" i="11" s="1"/>
  <c r="I108" i="11" s="1"/>
  <c r="I128" i="11" s="1"/>
  <c r="I148" i="11" s="1"/>
  <c r="I168" i="11" s="1"/>
  <c r="I188" i="11" s="1"/>
  <c r="I208" i="11" s="1"/>
  <c r="I228" i="11" s="1"/>
  <c r="I248" i="11" s="1"/>
  <c r="I268" i="11" s="1"/>
  <c r="I288" i="11" s="1"/>
  <c r="I308" i="11" s="1"/>
  <c r="I328" i="11" s="1"/>
  <c r="I348" i="11" s="1"/>
  <c r="I368" i="11" s="1"/>
  <c r="I388" i="11" s="1"/>
  <c r="I408" i="11" s="1"/>
  <c r="I428" i="11" s="1"/>
  <c r="I448" i="11" s="1"/>
  <c r="I468" i="11" s="1"/>
  <c r="I488" i="11" s="1"/>
  <c r="I508" i="11" s="1"/>
  <c r="I528" i="11" s="1"/>
  <c r="I548" i="11" s="1"/>
  <c r="I568" i="11" s="1"/>
  <c r="I588" i="11" s="1"/>
  <c r="I608" i="11" s="1"/>
  <c r="I628" i="11" s="1"/>
  <c r="I648" i="11" s="1"/>
  <c r="I668" i="11" s="1"/>
  <c r="I688" i="11" s="1"/>
  <c r="I708" i="11" s="1"/>
  <c r="I728" i="11" s="1"/>
  <c r="I748" i="11" s="1"/>
  <c r="I768" i="11" s="1"/>
  <c r="I788" i="11" s="1"/>
  <c r="I808" i="11" s="1"/>
  <c r="I828" i="11" s="1"/>
  <c r="I848" i="11" s="1"/>
  <c r="I868" i="11" s="1"/>
  <c r="I888" i="11" s="1"/>
  <c r="I908" i="11" s="1"/>
  <c r="I928" i="11" s="1"/>
  <c r="I948" i="11" s="1"/>
  <c r="I968" i="11" s="1"/>
  <c r="I988" i="11" s="1"/>
  <c r="I22" i="11"/>
  <c r="I42" i="11" s="1"/>
  <c r="I62" i="11" s="1"/>
  <c r="I82" i="11" s="1"/>
  <c r="I102" i="11" s="1"/>
  <c r="I122" i="11" s="1"/>
  <c r="I142" i="11" s="1"/>
  <c r="I162" i="11" s="1"/>
  <c r="I182" i="11" s="1"/>
  <c r="I202" i="11" s="1"/>
  <c r="I222" i="11" s="1"/>
  <c r="I242" i="11" s="1"/>
  <c r="I262" i="11" s="1"/>
  <c r="I282" i="11" s="1"/>
  <c r="I302" i="11" s="1"/>
  <c r="I322" i="11" s="1"/>
  <c r="I342" i="11" s="1"/>
  <c r="I362" i="11" s="1"/>
  <c r="I382" i="11" s="1"/>
  <c r="I402" i="11" s="1"/>
  <c r="I422" i="11" s="1"/>
  <c r="I442" i="11" s="1"/>
  <c r="I462" i="11" s="1"/>
  <c r="I482" i="11" s="1"/>
  <c r="I502" i="11" s="1"/>
  <c r="I522" i="11" s="1"/>
  <c r="I542" i="11" s="1"/>
  <c r="I562" i="11" s="1"/>
  <c r="I582" i="11" s="1"/>
  <c r="I602" i="11" s="1"/>
  <c r="I622" i="11" s="1"/>
  <c r="I642" i="11" s="1"/>
  <c r="I662" i="11" s="1"/>
  <c r="I682" i="11" s="1"/>
  <c r="I702" i="11" s="1"/>
  <c r="I722" i="11" s="1"/>
  <c r="I742" i="11" s="1"/>
  <c r="I762" i="11" s="1"/>
  <c r="I782" i="11" s="1"/>
  <c r="I802" i="11" s="1"/>
  <c r="I822" i="11" s="1"/>
  <c r="I842" i="11" s="1"/>
  <c r="I862" i="11" s="1"/>
  <c r="I882" i="11" s="1"/>
  <c r="I902" i="11" s="1"/>
  <c r="I922" i="11" s="1"/>
  <c r="I942" i="11" s="1"/>
  <c r="I962" i="11" s="1"/>
  <c r="I982" i="11" s="1"/>
  <c r="O5" i="11"/>
  <c r="O14" i="11"/>
  <c r="L2" i="11"/>
  <c r="N2" i="11" s="1"/>
  <c r="L3" i="11"/>
  <c r="N3" i="11" s="1"/>
  <c r="L4" i="11"/>
  <c r="N4" i="11" s="1"/>
  <c r="L5" i="11"/>
  <c r="N5" i="11" s="1"/>
  <c r="L6" i="11"/>
  <c r="N6" i="11" s="1"/>
  <c r="L7" i="11"/>
  <c r="N7" i="11" s="1"/>
  <c r="L8" i="11"/>
  <c r="N8" i="11" s="1"/>
  <c r="L9" i="11"/>
  <c r="N9" i="11" s="1"/>
  <c r="L10" i="11"/>
  <c r="N10" i="11" s="1"/>
  <c r="L11" i="11"/>
  <c r="N11" i="11" s="1"/>
  <c r="L12" i="11"/>
  <c r="N12" i="11" s="1"/>
  <c r="L13" i="11"/>
  <c r="N13" i="11" s="1"/>
  <c r="L14" i="11"/>
  <c r="N14" i="11" s="1"/>
  <c r="L15" i="11"/>
  <c r="N15" i="11" s="1"/>
  <c r="L16" i="11"/>
  <c r="N16" i="11" s="1"/>
  <c r="L17" i="11"/>
  <c r="N17" i="11" s="1"/>
  <c r="L18" i="11"/>
  <c r="N18" i="11" s="1"/>
  <c r="L19" i="11"/>
  <c r="N19" i="11" s="1"/>
  <c r="L20" i="11"/>
  <c r="N20" i="11" s="1"/>
  <c r="L21" i="11"/>
  <c r="N21" i="11" s="1"/>
  <c r="J23" i="11"/>
  <c r="J24" i="11"/>
  <c r="J25" i="11"/>
  <c r="J26" i="11"/>
  <c r="J27" i="11"/>
  <c r="J28" i="11"/>
  <c r="J29" i="11"/>
  <c r="J49" i="11" s="1"/>
  <c r="J30" i="11"/>
  <c r="J31" i="11"/>
  <c r="J32" i="11"/>
  <c r="J33" i="11"/>
  <c r="J34" i="11"/>
  <c r="J54" i="11" s="1"/>
  <c r="J35" i="11"/>
  <c r="J36" i="11"/>
  <c r="J37" i="11"/>
  <c r="J38" i="11"/>
  <c r="J39" i="11"/>
  <c r="J59" i="11" s="1"/>
  <c r="J40" i="11"/>
  <c r="J41" i="11"/>
  <c r="J46" i="11"/>
  <c r="J22" i="11"/>
  <c r="E166" i="16"/>
  <c r="F166" i="16"/>
  <c r="G166" i="16"/>
  <c r="D166" i="16"/>
  <c r="C166" i="16"/>
  <c r="J156" i="16"/>
  <c r="J157" i="16" s="1"/>
  <c r="D144" i="16"/>
  <c r="C144" i="16"/>
  <c r="G142" i="16"/>
  <c r="G143" i="16" s="1"/>
  <c r="G135" i="16"/>
  <c r="G136" i="16" s="1"/>
  <c r="G137" i="16" s="1"/>
  <c r="G138" i="16" s="1"/>
  <c r="G139" i="16" s="1"/>
  <c r="G140" i="16" s="1"/>
  <c r="G141" i="16" s="1"/>
  <c r="I135" i="16"/>
  <c r="I136" i="16" s="1"/>
  <c r="I137" i="16" s="1"/>
  <c r="J134" i="16"/>
  <c r="D133" i="16"/>
  <c r="C133" i="16"/>
  <c r="F125" i="16"/>
  <c r="F126" i="16" s="1"/>
  <c r="F127" i="16" s="1"/>
  <c r="F128" i="16" s="1"/>
  <c r="F129" i="16" s="1"/>
  <c r="F130" i="16" s="1"/>
  <c r="F131" i="16" s="1"/>
  <c r="F132" i="16" s="1"/>
  <c r="E124" i="16"/>
  <c r="E125" i="16" s="1"/>
  <c r="E126" i="16" s="1"/>
  <c r="E127" i="16" s="1"/>
  <c r="E128" i="16" s="1"/>
  <c r="E129" i="16" s="1"/>
  <c r="E130" i="16" s="1"/>
  <c r="E131" i="16" s="1"/>
  <c r="E132" i="16" s="1"/>
  <c r="H124" i="16"/>
  <c r="H125" i="16" s="1"/>
  <c r="H126" i="16" s="1"/>
  <c r="H127" i="16" s="1"/>
  <c r="H128" i="16" s="1"/>
  <c r="H129" i="16" s="1"/>
  <c r="H130" i="16" s="1"/>
  <c r="H131" i="16" s="1"/>
  <c r="H132" i="16" s="1"/>
  <c r="F124" i="16"/>
  <c r="G124" i="16"/>
  <c r="I124" i="16"/>
  <c r="I125" i="16" s="1"/>
  <c r="J123" i="16"/>
  <c r="H122" i="16"/>
  <c r="F122" i="16"/>
  <c r="D122" i="16"/>
  <c r="C122" i="16"/>
  <c r="E113" i="16"/>
  <c r="G113" i="16"/>
  <c r="I113" i="16"/>
  <c r="I114" i="16" s="1"/>
  <c r="J112" i="16"/>
  <c r="H111" i="16"/>
  <c r="F111" i="16"/>
  <c r="D111" i="16"/>
  <c r="C111" i="16"/>
  <c r="E102" i="16"/>
  <c r="E103" i="16" s="1"/>
  <c r="E104" i="16" s="1"/>
  <c r="E105" i="16" s="1"/>
  <c r="E106" i="16" s="1"/>
  <c r="E107" i="16" s="1"/>
  <c r="E108" i="16" s="1"/>
  <c r="E109" i="16" s="1"/>
  <c r="E110" i="16" s="1"/>
  <c r="G102" i="16"/>
  <c r="G103" i="16" s="1"/>
  <c r="G104" i="16" s="1"/>
  <c r="G105" i="16" s="1"/>
  <c r="G106" i="16" s="1"/>
  <c r="G107" i="16" s="1"/>
  <c r="G108" i="16" s="1"/>
  <c r="G109" i="16" s="1"/>
  <c r="G110" i="16" s="1"/>
  <c r="I102" i="16"/>
  <c r="I103" i="16" s="1"/>
  <c r="J101" i="16"/>
  <c r="E100" i="16"/>
  <c r="H100" i="16"/>
  <c r="F100" i="16"/>
  <c r="D100" i="16"/>
  <c r="C100" i="16"/>
  <c r="G91" i="16"/>
  <c r="G92" i="16" s="1"/>
  <c r="I91" i="16"/>
  <c r="J90" i="16"/>
  <c r="G89" i="16"/>
  <c r="D89" i="16"/>
  <c r="C89" i="16"/>
  <c r="E80" i="16"/>
  <c r="H80" i="16"/>
  <c r="H81" i="16" s="1"/>
  <c r="H82" i="16" s="1"/>
  <c r="H83" i="16" s="1"/>
  <c r="H84" i="16" s="1"/>
  <c r="H85" i="16" s="1"/>
  <c r="H86" i="16" s="1"/>
  <c r="H87" i="16" s="1"/>
  <c r="H88" i="16" s="1"/>
  <c r="F80" i="16"/>
  <c r="F81" i="16" s="1"/>
  <c r="F82" i="16" s="1"/>
  <c r="F83" i="16" s="1"/>
  <c r="F84" i="16" s="1"/>
  <c r="F85" i="16" s="1"/>
  <c r="F86" i="16" s="1"/>
  <c r="F87" i="16" s="1"/>
  <c r="I80" i="16"/>
  <c r="I81" i="16" s="1"/>
  <c r="J79" i="16"/>
  <c r="E78" i="16"/>
  <c r="H78" i="16"/>
  <c r="F78" i="16"/>
  <c r="D78" i="16"/>
  <c r="C78" i="16"/>
  <c r="G69" i="16"/>
  <c r="G70" i="16" s="1"/>
  <c r="G71" i="16" s="1"/>
  <c r="G72" i="16" s="1"/>
  <c r="G73" i="16" s="1"/>
  <c r="G74" i="16" s="1"/>
  <c r="G75" i="16" s="1"/>
  <c r="G76" i="16" s="1"/>
  <c r="G77" i="16" s="1"/>
  <c r="I69" i="16"/>
  <c r="J68" i="16"/>
  <c r="E67" i="16"/>
  <c r="H67" i="16"/>
  <c r="F67" i="16"/>
  <c r="D67" i="16"/>
  <c r="C67" i="16"/>
  <c r="G58" i="16"/>
  <c r="I58" i="16"/>
  <c r="I59" i="16" s="1"/>
  <c r="J57" i="16"/>
  <c r="D56" i="16"/>
  <c r="C56" i="16"/>
  <c r="E47" i="16"/>
  <c r="E48" i="16" s="1"/>
  <c r="E49" i="16" s="1"/>
  <c r="H47" i="16"/>
  <c r="H48" i="16" s="1"/>
  <c r="H49" i="16" s="1"/>
  <c r="H50" i="16" s="1"/>
  <c r="H51" i="16" s="1"/>
  <c r="H52" i="16" s="1"/>
  <c r="H53" i="16" s="1"/>
  <c r="H54" i="16" s="1"/>
  <c r="H55" i="16" s="1"/>
  <c r="F47" i="16"/>
  <c r="G47" i="16"/>
  <c r="G48" i="16" s="1"/>
  <c r="G49" i="16" s="1"/>
  <c r="G50" i="16" s="1"/>
  <c r="G51" i="16" s="1"/>
  <c r="G52" i="16" s="1"/>
  <c r="G53" i="16" s="1"/>
  <c r="G54" i="16" s="1"/>
  <c r="G55" i="16" s="1"/>
  <c r="I47" i="16"/>
  <c r="J46" i="16"/>
  <c r="H45" i="16"/>
  <c r="F45" i="16"/>
  <c r="G45" i="16"/>
  <c r="D45" i="16"/>
  <c r="C45" i="16"/>
  <c r="E36" i="16"/>
  <c r="E37" i="16" s="1"/>
  <c r="E38" i="16" s="1"/>
  <c r="E39" i="16" s="1"/>
  <c r="E40" i="16" s="1"/>
  <c r="E41" i="16" s="1"/>
  <c r="E42" i="16" s="1"/>
  <c r="E43" i="16" s="1"/>
  <c r="E44" i="16" s="1"/>
  <c r="I36" i="16"/>
  <c r="J36" i="16" s="1"/>
  <c r="J35" i="16"/>
  <c r="F34" i="16"/>
  <c r="G34" i="16"/>
  <c r="D34" i="16"/>
  <c r="C34" i="16"/>
  <c r="E25" i="16"/>
  <c r="H25" i="16"/>
  <c r="H26" i="16" s="1"/>
  <c r="H27" i="16" s="1"/>
  <c r="H28" i="16" s="1"/>
  <c r="H29" i="16" s="1"/>
  <c r="I25" i="16"/>
  <c r="J24" i="16"/>
  <c r="E23" i="16"/>
  <c r="H23" i="16"/>
  <c r="F23" i="16"/>
  <c r="G23" i="16"/>
  <c r="I23" i="16"/>
  <c r="D23" i="16"/>
  <c r="C23" i="16"/>
  <c r="J22" i="16"/>
  <c r="J21" i="16"/>
  <c r="J20" i="16"/>
  <c r="J19" i="16"/>
  <c r="J18" i="16"/>
  <c r="J17" i="16"/>
  <c r="J16" i="16"/>
  <c r="R15" i="16"/>
  <c r="J15" i="16"/>
  <c r="R14" i="16"/>
  <c r="J14" i="16"/>
  <c r="R13" i="16"/>
  <c r="J13" i="16"/>
  <c r="E12" i="16"/>
  <c r="H12" i="16"/>
  <c r="F12" i="16"/>
  <c r="G12" i="16"/>
  <c r="I12" i="16"/>
  <c r="D12" i="16"/>
  <c r="C12" i="16"/>
  <c r="P11" i="16"/>
  <c r="R11" i="16" s="1"/>
  <c r="J11" i="16"/>
  <c r="P10" i="16"/>
  <c r="J10" i="16"/>
  <c r="P9" i="16"/>
  <c r="R9" i="16" s="1"/>
  <c r="J9" i="16"/>
  <c r="P8" i="16"/>
  <c r="R8" i="16" s="1"/>
  <c r="J8" i="16"/>
  <c r="P7" i="16"/>
  <c r="R7" i="16" s="1"/>
  <c r="J7" i="16"/>
  <c r="P6" i="16"/>
  <c r="R6" i="16" s="1"/>
  <c r="J6" i="16"/>
  <c r="K6" i="16" s="1"/>
  <c r="P5" i="16"/>
  <c r="R5" i="16" s="1"/>
  <c r="J5" i="16"/>
  <c r="P4" i="16"/>
  <c r="J4" i="16"/>
  <c r="R3" i="16"/>
  <c r="J3" i="16"/>
  <c r="R2" i="16"/>
  <c r="J2" i="16"/>
  <c r="D168" i="16" l="1"/>
  <c r="D170" i="16" s="1"/>
  <c r="R4" i="16"/>
  <c r="P168" i="16"/>
  <c r="L151" i="16"/>
  <c r="M151" i="16" s="1"/>
  <c r="L149" i="16"/>
  <c r="M149" i="16" s="1"/>
  <c r="L145" i="16"/>
  <c r="M145" i="16" s="1"/>
  <c r="L154" i="16"/>
  <c r="M154" i="16" s="1"/>
  <c r="L153" i="16"/>
  <c r="M153" i="16" s="1"/>
  <c r="L150" i="16"/>
  <c r="M150" i="16" s="1"/>
  <c r="L148" i="16"/>
  <c r="M148" i="16" s="1"/>
  <c r="L146" i="16"/>
  <c r="M146" i="16" s="1"/>
  <c r="L152" i="16"/>
  <c r="M152" i="16" s="1"/>
  <c r="L147" i="16"/>
  <c r="M147" i="16" s="1"/>
  <c r="L155" i="16"/>
  <c r="M155" i="16" s="1"/>
  <c r="K146" i="16"/>
  <c r="N146" i="16" s="1"/>
  <c r="K145" i="16"/>
  <c r="N145" i="16" s="1"/>
  <c r="K147" i="16"/>
  <c r="K149" i="16"/>
  <c r="N149" i="16" s="1"/>
  <c r="K3" i="16"/>
  <c r="K21" i="16"/>
  <c r="K148" i="16"/>
  <c r="C168" i="16"/>
  <c r="I15" i="19"/>
  <c r="N148" i="16"/>
  <c r="I151" i="16"/>
  <c r="J150" i="16"/>
  <c r="K7" i="16"/>
  <c r="J25" i="16"/>
  <c r="K25" i="16" s="1"/>
  <c r="J135" i="16"/>
  <c r="K135" i="16" s="1"/>
  <c r="N135" i="16" s="1"/>
  <c r="K11" i="16"/>
  <c r="K22" i="16"/>
  <c r="K46" i="16"/>
  <c r="K57" i="16"/>
  <c r="K10" i="16"/>
  <c r="K4" i="16"/>
  <c r="K19" i="16"/>
  <c r="K17" i="16"/>
  <c r="K2" i="16"/>
  <c r="K5" i="16"/>
  <c r="K14" i="16"/>
  <c r="K16" i="16"/>
  <c r="K36" i="16"/>
  <c r="K79" i="16"/>
  <c r="K24" i="16"/>
  <c r="K35" i="16"/>
  <c r="J91" i="16"/>
  <c r="K91" i="16" s="1"/>
  <c r="K13" i="16"/>
  <c r="K15" i="16"/>
  <c r="K18" i="16"/>
  <c r="K68" i="16"/>
  <c r="K90" i="16"/>
  <c r="M32" i="19"/>
  <c r="R32" i="19" s="1"/>
  <c r="L32" i="19"/>
  <c r="U16" i="19"/>
  <c r="X16" i="19" s="1"/>
  <c r="W16" i="19"/>
  <c r="I32" i="19"/>
  <c r="U32" i="19"/>
  <c r="U15" i="19"/>
  <c r="K15" i="19"/>
  <c r="M15" i="19"/>
  <c r="R15" i="19" s="1"/>
  <c r="W15" i="19"/>
  <c r="L15" i="19"/>
  <c r="J13" i="19"/>
  <c r="L28" i="19"/>
  <c r="M16" i="19"/>
  <c r="R16" i="19" s="1"/>
  <c r="J32" i="19"/>
  <c r="W13" i="19"/>
  <c r="J24" i="19"/>
  <c r="L13" i="19"/>
  <c r="L20" i="19"/>
  <c r="I20" i="19"/>
  <c r="L16" i="19"/>
  <c r="L24" i="19"/>
  <c r="M13" i="19"/>
  <c r="R13" i="19" s="1"/>
  <c r="U28" i="19"/>
  <c r="M24" i="19"/>
  <c r="R24" i="19" s="1"/>
  <c r="I24" i="19"/>
  <c r="K20" i="19"/>
  <c r="I16" i="19"/>
  <c r="J28" i="19"/>
  <c r="U20" i="19"/>
  <c r="X20" i="19" s="1"/>
  <c r="M28" i="19"/>
  <c r="R28" i="19" s="1"/>
  <c r="W24" i="19"/>
  <c r="K16" i="19"/>
  <c r="U24" i="19"/>
  <c r="X24" i="19" s="1"/>
  <c r="M20" i="19"/>
  <c r="R20" i="19" s="1"/>
  <c r="I28" i="19"/>
  <c r="I13" i="19"/>
  <c r="W20" i="19"/>
  <c r="U13" i="19"/>
  <c r="U27" i="19"/>
  <c r="L27" i="19"/>
  <c r="I27" i="19"/>
  <c r="K27" i="19"/>
  <c r="J27" i="19"/>
  <c r="M27" i="19"/>
  <c r="R27" i="19" s="1"/>
  <c r="I17" i="19"/>
  <c r="M17" i="19"/>
  <c r="R17" i="19" s="1"/>
  <c r="J17" i="19"/>
  <c r="U17" i="19"/>
  <c r="X17" i="19" s="1"/>
  <c r="L17" i="19"/>
  <c r="W17" i="19"/>
  <c r="K17" i="19"/>
  <c r="I34" i="19"/>
  <c r="M34" i="19"/>
  <c r="R34" i="19" s="1"/>
  <c r="U34" i="19"/>
  <c r="L34" i="19"/>
  <c r="K34" i="19"/>
  <c r="J34" i="19"/>
  <c r="I21" i="19"/>
  <c r="M21" i="19"/>
  <c r="R21" i="19" s="1"/>
  <c r="U21" i="19"/>
  <c r="X21" i="19" s="1"/>
  <c r="L21" i="19"/>
  <c r="W21" i="19"/>
  <c r="K21" i="19"/>
  <c r="J21" i="19"/>
  <c r="W23" i="19"/>
  <c r="K23" i="19"/>
  <c r="J23" i="19"/>
  <c r="I23" i="19"/>
  <c r="M23" i="19"/>
  <c r="R23" i="19" s="1"/>
  <c r="U23" i="19"/>
  <c r="X23" i="19" s="1"/>
  <c r="L23" i="19"/>
  <c r="U14" i="19"/>
  <c r="L14" i="19"/>
  <c r="W14" i="19"/>
  <c r="K14" i="19"/>
  <c r="J14" i="19"/>
  <c r="I14" i="19"/>
  <c r="M14" i="19"/>
  <c r="R14" i="19" s="1"/>
  <c r="I30" i="19"/>
  <c r="M30" i="19"/>
  <c r="R30" i="19" s="1"/>
  <c r="J30" i="19"/>
  <c r="U30" i="19"/>
  <c r="L30" i="19"/>
  <c r="K30" i="19"/>
  <c r="W19" i="19"/>
  <c r="K19" i="19"/>
  <c r="J19" i="19"/>
  <c r="I19" i="19"/>
  <c r="M19" i="19"/>
  <c r="R19" i="19" s="1"/>
  <c r="U19" i="19"/>
  <c r="X19" i="19" s="1"/>
  <c r="L19" i="19"/>
  <c r="U35" i="19"/>
  <c r="L35" i="19"/>
  <c r="I35" i="19"/>
  <c r="K35" i="19"/>
  <c r="J35" i="19"/>
  <c r="M35" i="19"/>
  <c r="R35" i="19" s="1"/>
  <c r="J33" i="19"/>
  <c r="K33" i="19"/>
  <c r="I33" i="19"/>
  <c r="M33" i="19"/>
  <c r="R33" i="19" s="1"/>
  <c r="U33" i="19"/>
  <c r="L33" i="19"/>
  <c r="I26" i="19"/>
  <c r="M26" i="19"/>
  <c r="R26" i="19" s="1"/>
  <c r="U26" i="19"/>
  <c r="L26" i="19"/>
  <c r="K26" i="19"/>
  <c r="J26" i="19"/>
  <c r="U18" i="19"/>
  <c r="X18" i="19" s="1"/>
  <c r="L18" i="19"/>
  <c r="M18" i="19"/>
  <c r="R18" i="19" s="1"/>
  <c r="W18" i="19"/>
  <c r="K18" i="19"/>
  <c r="J18" i="19"/>
  <c r="I18" i="19"/>
  <c r="U31" i="19"/>
  <c r="L31" i="19"/>
  <c r="M31" i="19"/>
  <c r="R31" i="19" s="1"/>
  <c r="K31" i="19"/>
  <c r="J31" i="19"/>
  <c r="I31" i="19"/>
  <c r="J25" i="19"/>
  <c r="K25" i="19"/>
  <c r="I25" i="19"/>
  <c r="M25" i="19"/>
  <c r="R25" i="19" s="1"/>
  <c r="U25" i="19"/>
  <c r="L25" i="19"/>
  <c r="U22" i="19"/>
  <c r="X22" i="19" s="1"/>
  <c r="L22" i="19"/>
  <c r="I22" i="19"/>
  <c r="W22" i="19"/>
  <c r="K22" i="19"/>
  <c r="J22" i="19"/>
  <c r="M22" i="19"/>
  <c r="R22" i="19" s="1"/>
  <c r="J29" i="19"/>
  <c r="I29" i="19"/>
  <c r="M29" i="19"/>
  <c r="R29" i="19" s="1"/>
  <c r="U29" i="19"/>
  <c r="L29" i="19"/>
  <c r="K29" i="19"/>
  <c r="K21" i="5"/>
  <c r="J102" i="16"/>
  <c r="K102" i="16" s="1"/>
  <c r="J12" i="16"/>
  <c r="K12" i="16" s="1"/>
  <c r="K20" i="16"/>
  <c r="I26" i="16"/>
  <c r="I27" i="16" s="1"/>
  <c r="K8" i="16"/>
  <c r="I37" i="16"/>
  <c r="I38" i="16" s="1"/>
  <c r="I92" i="16"/>
  <c r="J92" i="16" s="1"/>
  <c r="K92" i="16" s="1"/>
  <c r="E81" i="16"/>
  <c r="E82" i="16" s="1"/>
  <c r="E83" i="16" s="1"/>
  <c r="E84" i="16" s="1"/>
  <c r="E85" i="16" s="1"/>
  <c r="E86" i="16" s="1"/>
  <c r="E87" i="16" s="1"/>
  <c r="E88" i="16" s="1"/>
  <c r="J79" i="11"/>
  <c r="J69" i="11"/>
  <c r="J51" i="11"/>
  <c r="J43" i="11"/>
  <c r="J61" i="11"/>
  <c r="J57" i="11"/>
  <c r="J45" i="11"/>
  <c r="J42" i="11"/>
  <c r="J66" i="11"/>
  <c r="J74" i="11"/>
  <c r="J55" i="11"/>
  <c r="J47" i="11"/>
  <c r="J53" i="11"/>
  <c r="J60" i="11"/>
  <c r="J56" i="11"/>
  <c r="J52" i="11"/>
  <c r="J48" i="11"/>
  <c r="J44" i="11"/>
  <c r="J58" i="11"/>
  <c r="J50" i="11"/>
  <c r="K22" i="11"/>
  <c r="K23" i="11" s="1"/>
  <c r="K24" i="11" s="1"/>
  <c r="K25" i="11" s="1"/>
  <c r="K26" i="11" s="1"/>
  <c r="K27" i="11" s="1"/>
  <c r="K28" i="11" s="1"/>
  <c r="K29" i="11" s="1"/>
  <c r="H30" i="16"/>
  <c r="H31" i="16" s="1"/>
  <c r="H32" i="16" s="1"/>
  <c r="H33" i="16" s="1"/>
  <c r="F88" i="16"/>
  <c r="F89" i="16" s="1"/>
  <c r="L23" i="16"/>
  <c r="L162" i="16"/>
  <c r="M162" i="16" s="1"/>
  <c r="L158" i="16"/>
  <c r="M158" i="16" s="1"/>
  <c r="L143" i="16"/>
  <c r="M143" i="16" s="1"/>
  <c r="L139" i="16"/>
  <c r="M139" i="16" s="1"/>
  <c r="L135" i="16"/>
  <c r="M135" i="16" s="1"/>
  <c r="L132" i="16"/>
  <c r="M132" i="16" s="1"/>
  <c r="L128" i="16"/>
  <c r="M128" i="16" s="1"/>
  <c r="L126" i="16"/>
  <c r="M126" i="16" s="1"/>
  <c r="L124" i="16"/>
  <c r="M124" i="16" s="1"/>
  <c r="L110" i="16"/>
  <c r="M110" i="16" s="1"/>
  <c r="L109" i="16"/>
  <c r="M109" i="16" s="1"/>
  <c r="L108" i="16"/>
  <c r="M108" i="16" s="1"/>
  <c r="L106" i="16"/>
  <c r="M106" i="16" s="1"/>
  <c r="L105" i="16"/>
  <c r="M105" i="16" s="1"/>
  <c r="L104" i="16"/>
  <c r="M104" i="16" s="1"/>
  <c r="L103" i="16"/>
  <c r="M103" i="16" s="1"/>
  <c r="L102" i="16"/>
  <c r="M102" i="16" s="1"/>
  <c r="L101" i="16"/>
  <c r="M101" i="16" s="1"/>
  <c r="L98" i="16"/>
  <c r="M98" i="16" s="1"/>
  <c r="L94" i="16"/>
  <c r="M94" i="16" s="1"/>
  <c r="L90" i="16"/>
  <c r="M90" i="16" s="1"/>
  <c r="L81" i="16"/>
  <c r="M81" i="16" s="1"/>
  <c r="L70" i="16"/>
  <c r="M70" i="16" s="1"/>
  <c r="L63" i="16"/>
  <c r="M63" i="16" s="1"/>
  <c r="L159" i="16"/>
  <c r="M159" i="16" s="1"/>
  <c r="L136" i="16"/>
  <c r="M136" i="16" s="1"/>
  <c r="L99" i="16"/>
  <c r="M99" i="16" s="1"/>
  <c r="L95" i="16"/>
  <c r="M95" i="16" s="1"/>
  <c r="L91" i="16"/>
  <c r="M91" i="16" s="1"/>
  <c r="L88" i="16"/>
  <c r="M88" i="16" s="1"/>
  <c r="L84" i="16"/>
  <c r="M84" i="16" s="1"/>
  <c r="L80" i="16"/>
  <c r="M80" i="16" s="1"/>
  <c r="L75" i="16"/>
  <c r="M75" i="16" s="1"/>
  <c r="L71" i="16"/>
  <c r="M71" i="16" s="1"/>
  <c r="L64" i="16"/>
  <c r="M64" i="16" s="1"/>
  <c r="L60" i="16"/>
  <c r="M60" i="16" s="1"/>
  <c r="L54" i="16"/>
  <c r="M54" i="16" s="1"/>
  <c r="L50" i="16"/>
  <c r="M50" i="16" s="1"/>
  <c r="L48" i="16"/>
  <c r="M48" i="16" s="1"/>
  <c r="L46" i="16"/>
  <c r="M46" i="16" s="1"/>
  <c r="L39" i="16"/>
  <c r="M39" i="16" s="1"/>
  <c r="L35" i="16"/>
  <c r="M35" i="16" s="1"/>
  <c r="L20" i="16"/>
  <c r="M20" i="16" s="1"/>
  <c r="L16" i="16"/>
  <c r="M16" i="16" s="1"/>
  <c r="L160" i="16"/>
  <c r="M160" i="16" s="1"/>
  <c r="L142" i="16"/>
  <c r="M142" i="16" s="1"/>
  <c r="L112" i="16"/>
  <c r="M112" i="16" s="1"/>
  <c r="L93" i="16"/>
  <c r="M93" i="16" s="1"/>
  <c r="L83" i="16"/>
  <c r="M83" i="16" s="1"/>
  <c r="L76" i="16"/>
  <c r="M76" i="16" s="1"/>
  <c r="L68" i="16"/>
  <c r="M68" i="16" s="1"/>
  <c r="L66" i="16"/>
  <c r="M66" i="16" s="1"/>
  <c r="L57" i="16"/>
  <c r="M57" i="16" s="1"/>
  <c r="L36" i="16"/>
  <c r="M36" i="16" s="1"/>
  <c r="N36" i="16" s="1"/>
  <c r="L22" i="16"/>
  <c r="M22" i="16" s="1"/>
  <c r="L19" i="16"/>
  <c r="M19" i="16" s="1"/>
  <c r="L18" i="16"/>
  <c r="M18" i="16" s="1"/>
  <c r="L14" i="16"/>
  <c r="M14" i="16" s="1"/>
  <c r="R10" i="16"/>
  <c r="L163" i="16" s="1"/>
  <c r="M163" i="16" s="1"/>
  <c r="L6" i="16"/>
  <c r="M6" i="16" s="1"/>
  <c r="N6" i="16" s="1"/>
  <c r="L3" i="16"/>
  <c r="M3" i="16" s="1"/>
  <c r="N3" i="16" s="1"/>
  <c r="L72" i="16"/>
  <c r="M72" i="16" s="1"/>
  <c r="L165" i="16"/>
  <c r="M165" i="16" s="1"/>
  <c r="L141" i="16"/>
  <c r="M141" i="16" s="1"/>
  <c r="L125" i="16"/>
  <c r="M125" i="16" s="1"/>
  <c r="L123" i="16"/>
  <c r="M123" i="16" s="1"/>
  <c r="L121" i="16"/>
  <c r="M121" i="16" s="1"/>
  <c r="L120" i="16"/>
  <c r="M120" i="16" s="1"/>
  <c r="L119" i="16"/>
  <c r="M119" i="16" s="1"/>
  <c r="L117" i="16"/>
  <c r="M117" i="16" s="1"/>
  <c r="L116" i="16"/>
  <c r="M116" i="16" s="1"/>
  <c r="L115" i="16"/>
  <c r="M115" i="16" s="1"/>
  <c r="L114" i="16"/>
  <c r="M114" i="16" s="1"/>
  <c r="L113" i="16"/>
  <c r="M113" i="16" s="1"/>
  <c r="L92" i="16"/>
  <c r="M92" i="16" s="1"/>
  <c r="L86" i="16"/>
  <c r="M86" i="16" s="1"/>
  <c r="L73" i="16"/>
  <c r="M73" i="16" s="1"/>
  <c r="L61" i="16"/>
  <c r="M61" i="16" s="1"/>
  <c r="L58" i="16"/>
  <c r="M58" i="16" s="1"/>
  <c r="L51" i="16"/>
  <c r="M51" i="16" s="1"/>
  <c r="L40" i="16"/>
  <c r="M40" i="16" s="1"/>
  <c r="L37" i="16"/>
  <c r="M37" i="16" s="1"/>
  <c r="L33" i="16"/>
  <c r="M33" i="16" s="1"/>
  <c r="L31" i="16"/>
  <c r="M31" i="16" s="1"/>
  <c r="L29" i="16"/>
  <c r="M29" i="16" s="1"/>
  <c r="L27" i="16"/>
  <c r="M27" i="16" s="1"/>
  <c r="L25" i="16"/>
  <c r="M25" i="16" s="1"/>
  <c r="L9" i="16"/>
  <c r="M9" i="16" s="1"/>
  <c r="L5" i="16"/>
  <c r="M5" i="16" s="1"/>
  <c r="N5" i="16" s="1"/>
  <c r="L166" i="16"/>
  <c r="M166" i="16" s="1"/>
  <c r="L164" i="16"/>
  <c r="M164" i="16" s="1"/>
  <c r="L156" i="16"/>
  <c r="L157" i="16" s="1"/>
  <c r="L144" i="16"/>
  <c r="M144" i="16" s="1"/>
  <c r="L138" i="16"/>
  <c r="M138" i="16" s="1"/>
  <c r="L97" i="16"/>
  <c r="M97" i="16" s="1"/>
  <c r="L87" i="16"/>
  <c r="M87" i="16" s="1"/>
  <c r="L62" i="16"/>
  <c r="M62" i="16" s="1"/>
  <c r="L59" i="16"/>
  <c r="M59" i="16" s="1"/>
  <c r="L49" i="16"/>
  <c r="M49" i="16" s="1"/>
  <c r="L44" i="16"/>
  <c r="M44" i="16" s="1"/>
  <c r="G59" i="16"/>
  <c r="G60" i="16" s="1"/>
  <c r="G61" i="16" s="1"/>
  <c r="G62" i="16" s="1"/>
  <c r="G63" i="16" s="1"/>
  <c r="G64" i="16" s="1"/>
  <c r="G65" i="16" s="1"/>
  <c r="G66" i="16" s="1"/>
  <c r="J137" i="16"/>
  <c r="K137" i="16" s="1"/>
  <c r="I138" i="16"/>
  <c r="L67" i="16"/>
  <c r="M67" i="16" s="1"/>
  <c r="G125" i="16"/>
  <c r="G126" i="16" s="1"/>
  <c r="G127" i="16" s="1"/>
  <c r="G128" i="16" s="1"/>
  <c r="G129" i="16" s="1"/>
  <c r="G130" i="16" s="1"/>
  <c r="G131" i="16" s="1"/>
  <c r="G132" i="16" s="1"/>
  <c r="I104" i="16"/>
  <c r="J103" i="16"/>
  <c r="K103" i="16" s="1"/>
  <c r="I60" i="16"/>
  <c r="I82" i="16"/>
  <c r="L24" i="16"/>
  <c r="M24" i="16" s="1"/>
  <c r="N24" i="16" s="1"/>
  <c r="L28" i="16"/>
  <c r="M28" i="16" s="1"/>
  <c r="L55" i="16"/>
  <c r="M55" i="16" s="1"/>
  <c r="L79" i="16"/>
  <c r="M79" i="16" s="1"/>
  <c r="E111" i="16"/>
  <c r="L127" i="16"/>
  <c r="M127" i="16" s="1"/>
  <c r="L133" i="16"/>
  <c r="M133" i="16" s="1"/>
  <c r="L137" i="16"/>
  <c r="M137" i="16" s="1"/>
  <c r="L2" i="16"/>
  <c r="M2" i="16" s="1"/>
  <c r="N2" i="16" s="1"/>
  <c r="L4" i="16"/>
  <c r="M4" i="16" s="1"/>
  <c r="L11" i="16"/>
  <c r="M11" i="16" s="1"/>
  <c r="L12" i="16"/>
  <c r="M12" i="16" s="1"/>
  <c r="N12" i="16" s="1"/>
  <c r="L17" i="16"/>
  <c r="M17" i="16" s="1"/>
  <c r="L47" i="16"/>
  <c r="M47" i="16" s="1"/>
  <c r="L69" i="16"/>
  <c r="M69" i="16" s="1"/>
  <c r="L82" i="16"/>
  <c r="M82" i="16" s="1"/>
  <c r="J124" i="16"/>
  <c r="K124" i="16" s="1"/>
  <c r="L134" i="16"/>
  <c r="M134" i="16" s="1"/>
  <c r="H166" i="16"/>
  <c r="L161" i="16"/>
  <c r="M161" i="16" s="1"/>
  <c r="M23" i="16"/>
  <c r="L26" i="16"/>
  <c r="M26" i="16" s="1"/>
  <c r="L30" i="16"/>
  <c r="M30" i="16" s="1"/>
  <c r="L38" i="16"/>
  <c r="M38" i="16" s="1"/>
  <c r="L41" i="16"/>
  <c r="M41" i="16" s="1"/>
  <c r="L45" i="16"/>
  <c r="M45" i="16" s="1"/>
  <c r="E50" i="16"/>
  <c r="E51" i="16" s="1"/>
  <c r="E52" i="16" s="1"/>
  <c r="E53" i="16" s="1"/>
  <c r="E54" i="16" s="1"/>
  <c r="E55" i="16" s="1"/>
  <c r="L56" i="16"/>
  <c r="M56" i="16" s="1"/>
  <c r="L77" i="16"/>
  <c r="M77" i="16" s="1"/>
  <c r="L122" i="16"/>
  <c r="M122" i="16" s="1"/>
  <c r="L7" i="16"/>
  <c r="M7" i="16" s="1"/>
  <c r="L8" i="16"/>
  <c r="M8" i="16" s="1"/>
  <c r="K9" i="16"/>
  <c r="L13" i="16"/>
  <c r="M13" i="16" s="1"/>
  <c r="L15" i="16"/>
  <c r="M15" i="16" s="1"/>
  <c r="L34" i="16"/>
  <c r="M34" i="16" s="1"/>
  <c r="L42" i="16"/>
  <c r="M42" i="16" s="1"/>
  <c r="F48" i="16"/>
  <c r="F49" i="16" s="1"/>
  <c r="F50" i="16" s="1"/>
  <c r="F51" i="16" s="1"/>
  <c r="F52" i="16" s="1"/>
  <c r="F53" i="16" s="1"/>
  <c r="F54" i="16" s="1"/>
  <c r="F55" i="16" s="1"/>
  <c r="L78" i="16"/>
  <c r="M78" i="16" s="1"/>
  <c r="G93" i="16"/>
  <c r="G94" i="16" s="1"/>
  <c r="G95" i="16" s="1"/>
  <c r="G96" i="16" s="1"/>
  <c r="G97" i="16" s="1"/>
  <c r="G98" i="16" s="1"/>
  <c r="G99" i="16" s="1"/>
  <c r="G114" i="16"/>
  <c r="G115" i="16" s="1"/>
  <c r="G116" i="16" s="1"/>
  <c r="G117" i="16" s="1"/>
  <c r="G118" i="16" s="1"/>
  <c r="G119" i="16" s="1"/>
  <c r="G120" i="16" s="1"/>
  <c r="G121" i="16" s="1"/>
  <c r="L131" i="16"/>
  <c r="M131" i="16" s="1"/>
  <c r="I115" i="16"/>
  <c r="K134" i="16"/>
  <c r="K112" i="16"/>
  <c r="I70" i="16"/>
  <c r="J69" i="16"/>
  <c r="K69" i="16" s="1"/>
  <c r="G56" i="16"/>
  <c r="J58" i="16"/>
  <c r="K58" i="16" s="1"/>
  <c r="N58" i="16" s="1"/>
  <c r="L111" i="16"/>
  <c r="M111" i="16" s="1"/>
  <c r="I126" i="16"/>
  <c r="E133" i="16"/>
  <c r="J136" i="16"/>
  <c r="K136" i="16" s="1"/>
  <c r="E45" i="16"/>
  <c r="J47" i="16"/>
  <c r="K47" i="16" s="1"/>
  <c r="I48" i="16"/>
  <c r="H56" i="16"/>
  <c r="L89" i="16"/>
  <c r="M89" i="16" s="1"/>
  <c r="H133" i="16"/>
  <c r="G144" i="16"/>
  <c r="K156" i="16"/>
  <c r="K157" i="16" s="1"/>
  <c r="G78" i="16"/>
  <c r="H89" i="16"/>
  <c r="J23" i="16"/>
  <c r="K23" i="16" s="1"/>
  <c r="J80" i="16"/>
  <c r="K80" i="16" s="1"/>
  <c r="L100" i="16"/>
  <c r="M100" i="16" s="1"/>
  <c r="K101" i="16"/>
  <c r="G111" i="16"/>
  <c r="E114" i="16"/>
  <c r="E115" i="16" s="1"/>
  <c r="E116" i="16" s="1"/>
  <c r="E117" i="16" s="1"/>
  <c r="E118" i="16" s="1"/>
  <c r="E119" i="16" s="1"/>
  <c r="E120" i="16" s="1"/>
  <c r="E121" i="16" s="1"/>
  <c r="K123" i="16"/>
  <c r="F133" i="16"/>
  <c r="E26" i="16"/>
  <c r="E27" i="16" s="1"/>
  <c r="E28" i="16" s="1"/>
  <c r="E29" i="16" s="1"/>
  <c r="E30" i="16" s="1"/>
  <c r="E31" i="16" s="1"/>
  <c r="E32" i="16" s="1"/>
  <c r="E33" i="16" s="1"/>
  <c r="J113" i="16"/>
  <c r="K113" i="16" s="1"/>
  <c r="F168" i="16" l="1"/>
  <c r="L32" i="16"/>
  <c r="M32" i="16" s="1"/>
  <c r="N147" i="16"/>
  <c r="R168" i="16"/>
  <c r="M156" i="16"/>
  <c r="I152" i="16"/>
  <c r="J151" i="16"/>
  <c r="K151" i="16" s="1"/>
  <c r="N151" i="16" s="1"/>
  <c r="K150" i="16"/>
  <c r="N4" i="16"/>
  <c r="N7" i="16"/>
  <c r="N11" i="16"/>
  <c r="N16" i="16"/>
  <c r="N13" i="16"/>
  <c r="E56" i="16"/>
  <c r="J37" i="16"/>
  <c r="K37" i="16" s="1"/>
  <c r="N37" i="16" s="1"/>
  <c r="N17" i="16"/>
  <c r="N22" i="16"/>
  <c r="N79" i="16"/>
  <c r="N46" i="16"/>
  <c r="N103" i="16"/>
  <c r="N18" i="16"/>
  <c r="N57" i="16"/>
  <c r="N91" i="16"/>
  <c r="N90" i="16"/>
  <c r="N102" i="16"/>
  <c r="L65" i="16"/>
  <c r="M65" i="16" s="1"/>
  <c r="L53" i="16"/>
  <c r="M53" i="16" s="1"/>
  <c r="L130" i="16"/>
  <c r="M130" i="16" s="1"/>
  <c r="L96" i="16"/>
  <c r="M96" i="16" s="1"/>
  <c r="I93" i="16"/>
  <c r="J93" i="16" s="1"/>
  <c r="K93" i="16" s="1"/>
  <c r="N93" i="16" s="1"/>
  <c r="L129" i="16"/>
  <c r="M129" i="16" s="1"/>
  <c r="N14" i="16"/>
  <c r="N68" i="16"/>
  <c r="F56" i="16"/>
  <c r="E34" i="16"/>
  <c r="E168" i="16" s="1"/>
  <c r="N101" i="16"/>
  <c r="L21" i="16"/>
  <c r="M21" i="16" s="1"/>
  <c r="N21" i="16" s="1"/>
  <c r="L118" i="16"/>
  <c r="M118" i="16" s="1"/>
  <c r="N19" i="16"/>
  <c r="N112" i="16"/>
  <c r="N15" i="16"/>
  <c r="J59" i="16"/>
  <c r="K59" i="16" s="1"/>
  <c r="N59" i="16" s="1"/>
  <c r="N25" i="16"/>
  <c r="L107" i="16"/>
  <c r="M107" i="16" s="1"/>
  <c r="N20" i="16"/>
  <c r="G67" i="16"/>
  <c r="N35" i="16"/>
  <c r="N47" i="16"/>
  <c r="E122" i="16"/>
  <c r="N23" i="16"/>
  <c r="N124" i="16"/>
  <c r="N92" i="16"/>
  <c r="L10" i="16"/>
  <c r="M10" i="16" s="1"/>
  <c r="N10" i="16" s="1"/>
  <c r="L140" i="16"/>
  <c r="M140" i="16" s="1"/>
  <c r="L74" i="16"/>
  <c r="M74" i="16" s="1"/>
  <c r="N8" i="16"/>
  <c r="N136" i="16"/>
  <c r="J81" i="16"/>
  <c r="K81" i="16" s="1"/>
  <c r="N81" i="16" s="1"/>
  <c r="E89" i="16"/>
  <c r="J78" i="11"/>
  <c r="J68" i="11"/>
  <c r="J76" i="11"/>
  <c r="J94" i="11"/>
  <c r="J62" i="11"/>
  <c r="J77" i="11"/>
  <c r="J89" i="11"/>
  <c r="J73" i="11"/>
  <c r="J70" i="11"/>
  <c r="J64" i="11"/>
  <c r="J72" i="11"/>
  <c r="J80" i="11"/>
  <c r="J86" i="11"/>
  <c r="J65" i="11"/>
  <c r="J81" i="11"/>
  <c r="J67" i="11"/>
  <c r="J75" i="11"/>
  <c r="J71" i="11"/>
  <c r="J99" i="11"/>
  <c r="M23" i="11"/>
  <c r="O23" i="11" s="1"/>
  <c r="M26" i="11"/>
  <c r="O26" i="11" s="1"/>
  <c r="M28" i="11"/>
  <c r="O28" i="11" s="1"/>
  <c r="M27" i="11"/>
  <c r="O27" i="11" s="1"/>
  <c r="K42" i="11"/>
  <c r="K43" i="11" s="1"/>
  <c r="K44" i="11" s="1"/>
  <c r="K45" i="11" s="1"/>
  <c r="L45" i="11" s="1"/>
  <c r="N45" i="11" s="1"/>
  <c r="M24" i="11"/>
  <c r="O24" i="11" s="1"/>
  <c r="M25" i="11"/>
  <c r="O25" i="11" s="1"/>
  <c r="J63" i="11"/>
  <c r="M29" i="11"/>
  <c r="O29" i="11" s="1"/>
  <c r="M22" i="11"/>
  <c r="O22" i="11" s="1"/>
  <c r="L23" i="11"/>
  <c r="N23" i="11" s="1"/>
  <c r="L24" i="11"/>
  <c r="N24" i="11" s="1"/>
  <c r="L22" i="11"/>
  <c r="N22" i="11" s="1"/>
  <c r="L26" i="11"/>
  <c r="N26" i="11" s="1"/>
  <c r="L27" i="11"/>
  <c r="N27" i="11" s="1"/>
  <c r="L25" i="11"/>
  <c r="N25" i="11" s="1"/>
  <c r="L28" i="11"/>
  <c r="N28" i="11" s="1"/>
  <c r="K30" i="11"/>
  <c r="M30" i="11" s="1"/>
  <c r="L29" i="11"/>
  <c r="N29" i="11" s="1"/>
  <c r="I127" i="16"/>
  <c r="J126" i="16"/>
  <c r="K126" i="16" s="1"/>
  <c r="N126" i="16" s="1"/>
  <c r="I39" i="16"/>
  <c r="J38" i="16"/>
  <c r="K38" i="16" s="1"/>
  <c r="N38" i="16" s="1"/>
  <c r="J60" i="16"/>
  <c r="K60" i="16" s="1"/>
  <c r="N60" i="16" s="1"/>
  <c r="I61" i="16"/>
  <c r="I139" i="16"/>
  <c r="J138" i="16"/>
  <c r="K138" i="16" s="1"/>
  <c r="N138" i="16" s="1"/>
  <c r="I71" i="16"/>
  <c r="J70" i="16"/>
  <c r="K70" i="16" s="1"/>
  <c r="N70" i="16" s="1"/>
  <c r="I28" i="16"/>
  <c r="J27" i="16"/>
  <c r="K27" i="16" s="1"/>
  <c r="N27" i="16" s="1"/>
  <c r="I49" i="16"/>
  <c r="J48" i="16"/>
  <c r="K48" i="16" s="1"/>
  <c r="N48" i="16" s="1"/>
  <c r="I83" i="16"/>
  <c r="J82" i="16"/>
  <c r="K82" i="16" s="1"/>
  <c r="N82" i="16" s="1"/>
  <c r="G100" i="16"/>
  <c r="H34" i="16"/>
  <c r="H168" i="16" s="1"/>
  <c r="N80" i="16"/>
  <c r="N69" i="16"/>
  <c r="J114" i="16"/>
  <c r="K114" i="16" s="1"/>
  <c r="N114" i="16" s="1"/>
  <c r="N9" i="16"/>
  <c r="G133" i="16"/>
  <c r="J26" i="16"/>
  <c r="K26" i="16" s="1"/>
  <c r="N26" i="16" s="1"/>
  <c r="N137" i="16"/>
  <c r="L43" i="16"/>
  <c r="M43" i="16" s="1"/>
  <c r="L52" i="16"/>
  <c r="M52" i="16" s="1"/>
  <c r="L85" i="16"/>
  <c r="M85" i="16" s="1"/>
  <c r="I116" i="16"/>
  <c r="J115" i="16"/>
  <c r="K115" i="16" s="1"/>
  <c r="N115" i="16" s="1"/>
  <c r="J158" i="16"/>
  <c r="K158" i="16" s="1"/>
  <c r="N158" i="16" s="1"/>
  <c r="I105" i="16"/>
  <c r="J104" i="16"/>
  <c r="K104" i="16" s="1"/>
  <c r="N104" i="16" s="1"/>
  <c r="N113" i="16"/>
  <c r="N123" i="16"/>
  <c r="J125" i="16"/>
  <c r="K125" i="16" s="1"/>
  <c r="N125" i="16" s="1"/>
  <c r="N134" i="16"/>
  <c r="G122" i="16"/>
  <c r="G168" i="16" s="1"/>
  <c r="L168" i="16" l="1"/>
  <c r="M168" i="16"/>
  <c r="M157" i="16"/>
  <c r="N156" i="16"/>
  <c r="N157" i="16" s="1"/>
  <c r="J152" i="16"/>
  <c r="K152" i="16" s="1"/>
  <c r="N152" i="16" s="1"/>
  <c r="I153" i="16"/>
  <c r="N150" i="16"/>
  <c r="I94" i="16"/>
  <c r="J94" i="16" s="1"/>
  <c r="K94" i="16" s="1"/>
  <c r="N94" i="16" s="1"/>
  <c r="L42" i="11"/>
  <c r="N42" i="11" s="1"/>
  <c r="L43" i="11"/>
  <c r="N43" i="11" s="1"/>
  <c r="K46" i="11"/>
  <c r="M46" i="11" s="1"/>
  <c r="O46" i="11" s="1"/>
  <c r="M43" i="11"/>
  <c r="O43" i="11" s="1"/>
  <c r="L44" i="11"/>
  <c r="N44" i="11" s="1"/>
  <c r="M42" i="11"/>
  <c r="O42" i="11" s="1"/>
  <c r="J119" i="11"/>
  <c r="J101" i="11"/>
  <c r="J106" i="11"/>
  <c r="J92" i="11"/>
  <c r="J90" i="11"/>
  <c r="J109" i="11"/>
  <c r="J82" i="11"/>
  <c r="K62" i="11"/>
  <c r="K63" i="11" s="1"/>
  <c r="M63" i="11" s="1"/>
  <c r="O63" i="11" s="1"/>
  <c r="J96" i="11"/>
  <c r="J98" i="11"/>
  <c r="J95" i="11"/>
  <c r="J91" i="11"/>
  <c r="J85" i="11"/>
  <c r="J100" i="11"/>
  <c r="J84" i="11"/>
  <c r="J93" i="11"/>
  <c r="J97" i="11"/>
  <c r="J114" i="11"/>
  <c r="J88" i="11"/>
  <c r="J83" i="11"/>
  <c r="J87" i="11"/>
  <c r="M45" i="11"/>
  <c r="O45" i="11" s="1"/>
  <c r="M44" i="11"/>
  <c r="O44" i="11" s="1"/>
  <c r="K31" i="11"/>
  <c r="M31" i="11" s="1"/>
  <c r="L30" i="11"/>
  <c r="N30" i="11" s="1"/>
  <c r="O30" i="11"/>
  <c r="I72" i="16"/>
  <c r="J71" i="16"/>
  <c r="K71" i="16" s="1"/>
  <c r="N71" i="16" s="1"/>
  <c r="J159" i="16"/>
  <c r="K159" i="16" s="1"/>
  <c r="N159" i="16" s="1"/>
  <c r="I62" i="16"/>
  <c r="J61" i="16"/>
  <c r="K61" i="16" s="1"/>
  <c r="N61" i="16" s="1"/>
  <c r="J83" i="16"/>
  <c r="K83" i="16" s="1"/>
  <c r="N83" i="16" s="1"/>
  <c r="I84" i="16"/>
  <c r="I140" i="16"/>
  <c r="J139" i="16"/>
  <c r="K139" i="16" s="1"/>
  <c r="N139" i="16" s="1"/>
  <c r="I40" i="16"/>
  <c r="J39" i="16"/>
  <c r="K39" i="16" s="1"/>
  <c r="N39" i="16" s="1"/>
  <c r="I106" i="16"/>
  <c r="J105" i="16"/>
  <c r="K105" i="16" s="1"/>
  <c r="N105" i="16" s="1"/>
  <c r="I117" i="16"/>
  <c r="J116" i="16"/>
  <c r="K116" i="16" s="1"/>
  <c r="N116" i="16" s="1"/>
  <c r="J49" i="16"/>
  <c r="K49" i="16" s="1"/>
  <c r="N49" i="16" s="1"/>
  <c r="I50" i="16"/>
  <c r="I29" i="16"/>
  <c r="J28" i="16"/>
  <c r="K28" i="16" s="1"/>
  <c r="N28" i="16" s="1"/>
  <c r="J127" i="16"/>
  <c r="K127" i="16" s="1"/>
  <c r="N127" i="16" s="1"/>
  <c r="I128" i="16"/>
  <c r="C29" i="14"/>
  <c r="D29" i="14"/>
  <c r="F29" i="14"/>
  <c r="G29" i="14"/>
  <c r="H29" i="14"/>
  <c r="I29" i="14"/>
  <c r="J29" i="14"/>
  <c r="K29" i="14"/>
  <c r="L29" i="14"/>
  <c r="M29" i="14"/>
  <c r="N29" i="14"/>
  <c r="E28" i="14"/>
  <c r="F28" i="14"/>
  <c r="G28" i="14"/>
  <c r="H28" i="14"/>
  <c r="I28" i="14"/>
  <c r="J28" i="14"/>
  <c r="K28" i="14"/>
  <c r="L28" i="14"/>
  <c r="M28" i="14"/>
  <c r="N28" i="14"/>
  <c r="C22" i="14"/>
  <c r="D22" i="14"/>
  <c r="E22" i="14"/>
  <c r="F22" i="14"/>
  <c r="G22" i="14"/>
  <c r="H22" i="14"/>
  <c r="I22" i="14"/>
  <c r="J22" i="14"/>
  <c r="K22" i="14"/>
  <c r="L22" i="14"/>
  <c r="M22" i="14"/>
  <c r="N22" i="14"/>
  <c r="C23" i="14"/>
  <c r="D23" i="14"/>
  <c r="E23" i="14"/>
  <c r="F23" i="14"/>
  <c r="G23" i="14"/>
  <c r="H23" i="14"/>
  <c r="I23" i="14"/>
  <c r="J23" i="14"/>
  <c r="K23" i="14"/>
  <c r="L23" i="14"/>
  <c r="M23" i="14"/>
  <c r="N23" i="14"/>
  <c r="C24" i="14"/>
  <c r="D24" i="14"/>
  <c r="E24" i="14"/>
  <c r="F24" i="14"/>
  <c r="G24" i="14"/>
  <c r="H24" i="14"/>
  <c r="I24" i="14"/>
  <c r="J24" i="14"/>
  <c r="K24" i="14"/>
  <c r="L24" i="14"/>
  <c r="M24" i="14"/>
  <c r="N24" i="14"/>
  <c r="C25" i="14"/>
  <c r="D25" i="14"/>
  <c r="E25" i="14"/>
  <c r="F25" i="14"/>
  <c r="G25" i="14"/>
  <c r="H25" i="14"/>
  <c r="I25" i="14"/>
  <c r="J25" i="14"/>
  <c r="K25" i="14"/>
  <c r="L25" i="14"/>
  <c r="M25" i="14"/>
  <c r="N25" i="14"/>
  <c r="C26" i="14"/>
  <c r="D26" i="14"/>
  <c r="E26" i="14"/>
  <c r="F26" i="14"/>
  <c r="G26" i="14"/>
  <c r="H26" i="14"/>
  <c r="I26" i="14"/>
  <c r="J26" i="14"/>
  <c r="K26" i="14"/>
  <c r="L26" i="14"/>
  <c r="M26" i="14"/>
  <c r="N26" i="14"/>
  <c r="C27" i="14"/>
  <c r="D27" i="14"/>
  <c r="E27" i="14"/>
  <c r="F27" i="14"/>
  <c r="G27" i="14"/>
  <c r="H27" i="14"/>
  <c r="I27" i="14"/>
  <c r="J27" i="14"/>
  <c r="K27" i="14"/>
  <c r="L27" i="14"/>
  <c r="M27" i="14"/>
  <c r="N27" i="14"/>
  <c r="C30" i="14"/>
  <c r="D30" i="14"/>
  <c r="E30" i="14"/>
  <c r="F30" i="14"/>
  <c r="G30" i="14"/>
  <c r="H30" i="14"/>
  <c r="I30" i="14"/>
  <c r="J30" i="14"/>
  <c r="K30" i="14"/>
  <c r="L30" i="14"/>
  <c r="M30" i="14"/>
  <c r="N30" i="14"/>
  <c r="C31" i="14"/>
  <c r="D31" i="14"/>
  <c r="E31" i="14"/>
  <c r="F31" i="14"/>
  <c r="G31" i="14"/>
  <c r="H31" i="14"/>
  <c r="I31" i="14"/>
  <c r="J31" i="14"/>
  <c r="K31" i="14"/>
  <c r="L31" i="14"/>
  <c r="M31" i="14"/>
  <c r="N31" i="14"/>
  <c r="C32" i="14"/>
  <c r="D32" i="14"/>
  <c r="E32" i="14"/>
  <c r="F32" i="14"/>
  <c r="G32" i="14"/>
  <c r="H32" i="14"/>
  <c r="I32" i="14"/>
  <c r="J32" i="14"/>
  <c r="K32" i="14"/>
  <c r="L32" i="14"/>
  <c r="M32" i="14"/>
  <c r="N32" i="14"/>
  <c r="C33" i="14"/>
  <c r="D33" i="14"/>
  <c r="E33" i="14"/>
  <c r="F33" i="14"/>
  <c r="G33" i="14"/>
  <c r="H33" i="14"/>
  <c r="I33" i="14"/>
  <c r="J33" i="14"/>
  <c r="K33" i="14"/>
  <c r="L33" i="14"/>
  <c r="M33" i="14"/>
  <c r="N33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C35" i="14"/>
  <c r="D35" i="14"/>
  <c r="E35" i="14"/>
  <c r="F35" i="14"/>
  <c r="G35" i="14"/>
  <c r="H35" i="14"/>
  <c r="I35" i="14"/>
  <c r="J35" i="14"/>
  <c r="K35" i="14"/>
  <c r="L35" i="14"/>
  <c r="M35" i="14"/>
  <c r="N35" i="14"/>
  <c r="D21" i="14"/>
  <c r="E21" i="14"/>
  <c r="F21" i="14"/>
  <c r="G21" i="14"/>
  <c r="H21" i="14"/>
  <c r="I21" i="14"/>
  <c r="I37" i="14" s="1"/>
  <c r="J21" i="14"/>
  <c r="K21" i="14"/>
  <c r="K37" i="14" s="1"/>
  <c r="L21" i="14"/>
  <c r="M21" i="14"/>
  <c r="M37" i="14" s="1"/>
  <c r="N21" i="14"/>
  <c r="C21" i="14"/>
  <c r="E11" i="14"/>
  <c r="E29" i="14" s="1"/>
  <c r="C10" i="14"/>
  <c r="D10" i="14" s="1"/>
  <c r="D28" i="14" s="1"/>
  <c r="F3" i="11"/>
  <c r="E37" i="14" l="1"/>
  <c r="J37" i="14"/>
  <c r="F37" i="14"/>
  <c r="C28" i="14"/>
  <c r="C37" i="14" s="1"/>
  <c r="H37" i="14"/>
  <c r="L37" i="14"/>
  <c r="D37" i="14"/>
  <c r="J153" i="16"/>
  <c r="I154" i="16"/>
  <c r="I95" i="16"/>
  <c r="J95" i="16" s="1"/>
  <c r="K95" i="16" s="1"/>
  <c r="N95" i="16" s="1"/>
  <c r="N37" i="14"/>
  <c r="G37" i="14"/>
  <c r="K47" i="11"/>
  <c r="M47" i="11" s="1"/>
  <c r="O47" i="11" s="1"/>
  <c r="L46" i="11"/>
  <c r="N46" i="11" s="1"/>
  <c r="L62" i="11"/>
  <c r="N62" i="11" s="1"/>
  <c r="J107" i="11"/>
  <c r="J102" i="11"/>
  <c r="K82" i="11"/>
  <c r="K83" i="11" s="1"/>
  <c r="K84" i="11" s="1"/>
  <c r="K85" i="11" s="1"/>
  <c r="K86" i="11" s="1"/>
  <c r="J110" i="11"/>
  <c r="J126" i="11"/>
  <c r="J139" i="11"/>
  <c r="J103" i="11"/>
  <c r="J134" i="11"/>
  <c r="J113" i="11"/>
  <c r="J120" i="11"/>
  <c r="J111" i="11"/>
  <c r="J118" i="11"/>
  <c r="M62" i="11"/>
  <c r="O62" i="11" s="1"/>
  <c r="K64" i="11"/>
  <c r="L63" i="11"/>
  <c r="N63" i="11" s="1"/>
  <c r="J129" i="11"/>
  <c r="J112" i="11"/>
  <c r="J121" i="11"/>
  <c r="J108" i="11"/>
  <c r="J117" i="11"/>
  <c r="J104" i="11"/>
  <c r="J105" i="11"/>
  <c r="J115" i="11"/>
  <c r="J116" i="11"/>
  <c r="K32" i="11"/>
  <c r="M32" i="11" s="1"/>
  <c r="O31" i="11"/>
  <c r="L31" i="11"/>
  <c r="N31" i="11" s="1"/>
  <c r="B54" i="11"/>
  <c r="B58" i="11"/>
  <c r="B62" i="11"/>
  <c r="B66" i="11"/>
  <c r="B70" i="11"/>
  <c r="B74" i="11"/>
  <c r="B78" i="11"/>
  <c r="B82" i="11"/>
  <c r="B86" i="11"/>
  <c r="B90" i="11"/>
  <c r="B94" i="11"/>
  <c r="B98" i="11"/>
  <c r="B102" i="11"/>
  <c r="B106" i="11"/>
  <c r="B110" i="11"/>
  <c r="B114" i="11"/>
  <c r="B118" i="11"/>
  <c r="B122" i="11"/>
  <c r="B126" i="11"/>
  <c r="B130" i="11"/>
  <c r="B134" i="11"/>
  <c r="B138" i="11"/>
  <c r="B142" i="11"/>
  <c r="B146" i="11"/>
  <c r="B150" i="11"/>
  <c r="B154" i="11"/>
  <c r="B158" i="11"/>
  <c r="B162" i="11"/>
  <c r="B166" i="11"/>
  <c r="B170" i="11"/>
  <c r="B174" i="11"/>
  <c r="B178" i="11"/>
  <c r="B52" i="11"/>
  <c r="B56" i="11"/>
  <c r="B60" i="11"/>
  <c r="B64" i="11"/>
  <c r="B68" i="11"/>
  <c r="B72" i="11"/>
  <c r="B76" i="11"/>
  <c r="B80" i="11"/>
  <c r="B84" i="11"/>
  <c r="B88" i="11"/>
  <c r="B92" i="11"/>
  <c r="B96" i="11"/>
  <c r="B100" i="11"/>
  <c r="B104" i="11"/>
  <c r="B108" i="11"/>
  <c r="B112" i="11"/>
  <c r="B116" i="11"/>
  <c r="B120" i="11"/>
  <c r="B124" i="11"/>
  <c r="B128" i="11"/>
  <c r="B132" i="11"/>
  <c r="B136" i="11"/>
  <c r="B140" i="11"/>
  <c r="B144" i="11"/>
  <c r="B148" i="11"/>
  <c r="B152" i="11"/>
  <c r="B156" i="11"/>
  <c r="B160" i="11"/>
  <c r="B164" i="11"/>
  <c r="B168" i="11"/>
  <c r="B172" i="11"/>
  <c r="B176" i="11"/>
  <c r="B180" i="11"/>
  <c r="B57" i="11"/>
  <c r="B65" i="11"/>
  <c r="B73" i="11"/>
  <c r="B81" i="11"/>
  <c r="B89" i="11"/>
  <c r="B97" i="11"/>
  <c r="B105" i="11"/>
  <c r="B113" i="11"/>
  <c r="B121" i="11"/>
  <c r="B129" i="11"/>
  <c r="B137" i="11"/>
  <c r="B145" i="11"/>
  <c r="B153" i="11"/>
  <c r="B161" i="11"/>
  <c r="B169" i="11"/>
  <c r="B177" i="11"/>
  <c r="B55" i="11"/>
  <c r="B63" i="11"/>
  <c r="B71" i="11"/>
  <c r="B79" i="11"/>
  <c r="B87" i="11"/>
  <c r="B95" i="11"/>
  <c r="B103" i="11"/>
  <c r="B111" i="11"/>
  <c r="B119" i="11"/>
  <c r="B127" i="11"/>
  <c r="B135" i="11"/>
  <c r="B143" i="11"/>
  <c r="B151" i="11"/>
  <c r="B159" i="11"/>
  <c r="B167" i="11"/>
  <c r="B175" i="11"/>
  <c r="B61" i="11"/>
  <c r="B77" i="11"/>
  <c r="B93" i="11"/>
  <c r="B109" i="11"/>
  <c r="B125" i="11"/>
  <c r="B141" i="11"/>
  <c r="B157" i="11"/>
  <c r="B173" i="11"/>
  <c r="B53" i="11"/>
  <c r="B69" i="11"/>
  <c r="B85" i="11"/>
  <c r="B101" i="11"/>
  <c r="B117" i="11"/>
  <c r="B133" i="11"/>
  <c r="B149" i="11"/>
  <c r="B165" i="11"/>
  <c r="B75" i="11"/>
  <c r="B107" i="11"/>
  <c r="B139" i="11"/>
  <c r="B171" i="11"/>
  <c r="B59" i="11"/>
  <c r="B91" i="11"/>
  <c r="B123" i="11"/>
  <c r="B155" i="11"/>
  <c r="B99" i="11"/>
  <c r="B163" i="11"/>
  <c r="B67" i="11"/>
  <c r="B131" i="11"/>
  <c r="B147" i="11"/>
  <c r="B115" i="11"/>
  <c r="B83" i="11"/>
  <c r="B51" i="11"/>
  <c r="B179" i="11"/>
  <c r="I51" i="16"/>
  <c r="J50" i="16"/>
  <c r="K50" i="16" s="1"/>
  <c r="N50" i="16" s="1"/>
  <c r="I41" i="16"/>
  <c r="J40" i="16"/>
  <c r="K40" i="16" s="1"/>
  <c r="N40" i="16" s="1"/>
  <c r="I85" i="16"/>
  <c r="J84" i="16"/>
  <c r="K84" i="16" s="1"/>
  <c r="N84" i="16" s="1"/>
  <c r="I63" i="16"/>
  <c r="J62" i="16"/>
  <c r="K62" i="16" s="1"/>
  <c r="N62" i="16" s="1"/>
  <c r="J160" i="16"/>
  <c r="K160" i="16" s="1"/>
  <c r="N160" i="16" s="1"/>
  <c r="I107" i="16"/>
  <c r="J106" i="16"/>
  <c r="K106" i="16" s="1"/>
  <c r="N106" i="16" s="1"/>
  <c r="J140" i="16"/>
  <c r="K140" i="16" s="1"/>
  <c r="N140" i="16" s="1"/>
  <c r="I141" i="16"/>
  <c r="J72" i="16"/>
  <c r="K72" i="16" s="1"/>
  <c r="N72" i="16" s="1"/>
  <c r="I73" i="16"/>
  <c r="I129" i="16"/>
  <c r="J128" i="16"/>
  <c r="K128" i="16" s="1"/>
  <c r="N128" i="16" s="1"/>
  <c r="J29" i="16"/>
  <c r="K29" i="16" s="1"/>
  <c r="N29" i="16" s="1"/>
  <c r="I30" i="16"/>
  <c r="I118" i="16"/>
  <c r="J117" i="16"/>
  <c r="K117" i="16" s="1"/>
  <c r="N117" i="16" s="1"/>
  <c r="J10" i="2"/>
  <c r="J9" i="2"/>
  <c r="J7" i="2"/>
  <c r="D4" i="2"/>
  <c r="D2" i="2"/>
  <c r="C3" i="2"/>
  <c r="C4" i="2"/>
  <c r="C5" i="2"/>
  <c r="D5" i="2" s="1"/>
  <c r="C6" i="2"/>
  <c r="C7" i="2"/>
  <c r="C8" i="2"/>
  <c r="D8" i="2" s="1"/>
  <c r="C9" i="2"/>
  <c r="D9" i="2" s="1"/>
  <c r="C10" i="2"/>
  <c r="C11" i="2"/>
  <c r="C2" i="2"/>
  <c r="B2" i="11"/>
  <c r="B3" i="11"/>
  <c r="B4" i="11"/>
  <c r="B7" i="11"/>
  <c r="B8" i="11"/>
  <c r="B11" i="11"/>
  <c r="B12" i="11"/>
  <c r="B15" i="11"/>
  <c r="B16" i="11"/>
  <c r="B19" i="11"/>
  <c r="B20" i="11"/>
  <c r="B23" i="11"/>
  <c r="B24" i="11"/>
  <c r="B27" i="11"/>
  <c r="B28" i="11"/>
  <c r="B31" i="11"/>
  <c r="B32" i="11"/>
  <c r="B35" i="11"/>
  <c r="B36" i="11"/>
  <c r="B39" i="11"/>
  <c r="B40" i="11"/>
  <c r="B43" i="11"/>
  <c r="B44" i="11"/>
  <c r="B47" i="11"/>
  <c r="B48" i="11"/>
  <c r="B1" i="11"/>
  <c r="K6" i="10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 s="1"/>
  <c r="H2" i="10"/>
  <c r="I22" i="8"/>
  <c r="J6" i="8" s="1"/>
  <c r="K6" i="8" s="1"/>
  <c r="D7" i="19" l="1"/>
  <c r="C7" i="19"/>
  <c r="E7" i="19"/>
  <c r="F7" i="19"/>
  <c r="K153" i="16"/>
  <c r="J154" i="16"/>
  <c r="K154" i="16" s="1"/>
  <c r="N154" i="16" s="1"/>
  <c r="I155" i="16"/>
  <c r="J155" i="16" s="1"/>
  <c r="K155" i="16" s="1"/>
  <c r="N155" i="16" s="1"/>
  <c r="I96" i="16"/>
  <c r="I97" i="16" s="1"/>
  <c r="J19" i="8"/>
  <c r="K19" i="8" s="1"/>
  <c r="J15" i="8"/>
  <c r="K15" i="8" s="1"/>
  <c r="J11" i="8"/>
  <c r="K11" i="8" s="1"/>
  <c r="J7" i="8"/>
  <c r="K7" i="8" s="1"/>
  <c r="J3" i="8"/>
  <c r="K3" i="8" s="1"/>
  <c r="J20" i="8"/>
  <c r="K20" i="8" s="1"/>
  <c r="J16" i="8"/>
  <c r="K16" i="8" s="1"/>
  <c r="J12" i="8"/>
  <c r="K12" i="8" s="1"/>
  <c r="J8" i="8"/>
  <c r="K8" i="8" s="1"/>
  <c r="J4" i="8"/>
  <c r="K4" i="8" s="1"/>
  <c r="K8" i="10"/>
  <c r="K13" i="10" s="1"/>
  <c r="J21" i="8"/>
  <c r="K21" i="8" s="1"/>
  <c r="J17" i="8"/>
  <c r="K17" i="8" s="1"/>
  <c r="J13" i="8"/>
  <c r="K13" i="8" s="1"/>
  <c r="J9" i="8"/>
  <c r="K9" i="8" s="1"/>
  <c r="J5" i="8"/>
  <c r="K5" i="8" s="1"/>
  <c r="D10" i="2"/>
  <c r="D6" i="2"/>
  <c r="H12" i="2"/>
  <c r="J2" i="8"/>
  <c r="J18" i="8"/>
  <c r="K18" i="8" s="1"/>
  <c r="J14" i="8"/>
  <c r="K14" i="8" s="1"/>
  <c r="J10" i="8"/>
  <c r="K10" i="8" s="1"/>
  <c r="D11" i="2"/>
  <c r="D7" i="2"/>
  <c r="D3" i="2"/>
  <c r="K48" i="11"/>
  <c r="M48" i="11" s="1"/>
  <c r="O48" i="11" s="1"/>
  <c r="L47" i="11"/>
  <c r="N47" i="11" s="1"/>
  <c r="L84" i="11"/>
  <c r="N84" i="11" s="1"/>
  <c r="M85" i="11"/>
  <c r="O85" i="11" s="1"/>
  <c r="J136" i="11"/>
  <c r="J124" i="11"/>
  <c r="J128" i="11"/>
  <c r="J132" i="11"/>
  <c r="J138" i="11"/>
  <c r="J140" i="11"/>
  <c r="J154" i="11"/>
  <c r="J146" i="11"/>
  <c r="K87" i="11"/>
  <c r="M86" i="11"/>
  <c r="O86" i="11" s="1"/>
  <c r="L86" i="11"/>
  <c r="N86" i="11" s="1"/>
  <c r="J127" i="11"/>
  <c r="J149" i="11"/>
  <c r="J123" i="11"/>
  <c r="L85" i="11"/>
  <c r="N85" i="11" s="1"/>
  <c r="M84" i="11"/>
  <c r="O84" i="11" s="1"/>
  <c r="L82" i="11"/>
  <c r="N82" i="11" s="1"/>
  <c r="J135" i="11"/>
  <c r="J137" i="11"/>
  <c r="J141" i="11"/>
  <c r="J131" i="11"/>
  <c r="J133" i="11"/>
  <c r="J130" i="11"/>
  <c r="J122" i="11"/>
  <c r="K102" i="11"/>
  <c r="K103" i="11" s="1"/>
  <c r="K104" i="11" s="1"/>
  <c r="K105" i="11" s="1"/>
  <c r="K106" i="11" s="1"/>
  <c r="J125" i="11"/>
  <c r="K65" i="11"/>
  <c r="L64" i="11"/>
  <c r="N64" i="11" s="1"/>
  <c r="M64" i="11"/>
  <c r="O64" i="11" s="1"/>
  <c r="J159" i="11"/>
  <c r="M83" i="11"/>
  <c r="O83" i="11" s="1"/>
  <c r="L83" i="11"/>
  <c r="N83" i="11" s="1"/>
  <c r="M82" i="11"/>
  <c r="O82" i="11" s="1"/>
  <c r="K33" i="11"/>
  <c r="M33" i="11" s="1"/>
  <c r="O32" i="11"/>
  <c r="L32" i="11"/>
  <c r="N32" i="11" s="1"/>
  <c r="I86" i="16"/>
  <c r="J85" i="16"/>
  <c r="K85" i="16" s="1"/>
  <c r="N85" i="16" s="1"/>
  <c r="I119" i="16"/>
  <c r="J118" i="16"/>
  <c r="K118" i="16" s="1"/>
  <c r="N118" i="16" s="1"/>
  <c r="I108" i="16"/>
  <c r="J107" i="16"/>
  <c r="K107" i="16" s="1"/>
  <c r="N107" i="16" s="1"/>
  <c r="I64" i="16"/>
  <c r="J63" i="16"/>
  <c r="K63" i="16" s="1"/>
  <c r="N63" i="16" s="1"/>
  <c r="J41" i="16"/>
  <c r="K41" i="16" s="1"/>
  <c r="N41" i="16" s="1"/>
  <c r="I42" i="16"/>
  <c r="J51" i="16"/>
  <c r="K51" i="16" s="1"/>
  <c r="N51" i="16" s="1"/>
  <c r="I52" i="16"/>
  <c r="I74" i="16"/>
  <c r="J73" i="16"/>
  <c r="K73" i="16" s="1"/>
  <c r="N73" i="16" s="1"/>
  <c r="I31" i="16"/>
  <c r="J30" i="16"/>
  <c r="K30" i="16" s="1"/>
  <c r="N30" i="16" s="1"/>
  <c r="J129" i="16"/>
  <c r="K129" i="16" s="1"/>
  <c r="N129" i="16" s="1"/>
  <c r="I130" i="16"/>
  <c r="J141" i="16"/>
  <c r="K141" i="16" s="1"/>
  <c r="N141" i="16" s="1"/>
  <c r="I142" i="16"/>
  <c r="J161" i="16"/>
  <c r="K161" i="16" s="1"/>
  <c r="N161" i="16" s="1"/>
  <c r="B49" i="11"/>
  <c r="B45" i="11"/>
  <c r="B41" i="11"/>
  <c r="B37" i="11"/>
  <c r="B33" i="11"/>
  <c r="B29" i="11"/>
  <c r="B25" i="11"/>
  <c r="B21" i="11"/>
  <c r="B17" i="11"/>
  <c r="B13" i="11"/>
  <c r="B9" i="11"/>
  <c r="B5" i="11"/>
  <c r="F9" i="11"/>
  <c r="F10" i="11" s="1"/>
  <c r="B50" i="11"/>
  <c r="B46" i="11"/>
  <c r="B42" i="11"/>
  <c r="B38" i="11"/>
  <c r="B34" i="11"/>
  <c r="B30" i="11"/>
  <c r="B26" i="11"/>
  <c r="B22" i="11"/>
  <c r="B18" i="11"/>
  <c r="B14" i="11"/>
  <c r="B10" i="11"/>
  <c r="B6" i="11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3" i="5"/>
  <c r="D8" i="19" l="1"/>
  <c r="E8" i="19"/>
  <c r="E9" i="19" s="1"/>
  <c r="F8" i="19"/>
  <c r="C8" i="19"/>
  <c r="F9" i="19"/>
  <c r="D9" i="19"/>
  <c r="C9" i="19"/>
  <c r="N153" i="16"/>
  <c r="J96" i="16"/>
  <c r="K96" i="16" s="1"/>
  <c r="N96" i="16" s="1"/>
  <c r="K2" i="8"/>
  <c r="K22" i="8" s="1"/>
  <c r="J22" i="8"/>
  <c r="K49" i="11"/>
  <c r="M49" i="11" s="1"/>
  <c r="L48" i="11"/>
  <c r="N48" i="11" s="1"/>
  <c r="K107" i="11"/>
  <c r="L106" i="11"/>
  <c r="N106" i="11" s="1"/>
  <c r="M106" i="11"/>
  <c r="O106" i="11" s="1"/>
  <c r="J160" i="11"/>
  <c r="J152" i="11"/>
  <c r="J156" i="11"/>
  <c r="K66" i="11"/>
  <c r="L65" i="11"/>
  <c r="N65" i="11" s="1"/>
  <c r="M65" i="11"/>
  <c r="O65" i="11" s="1"/>
  <c r="J153" i="11"/>
  <c r="J161" i="11"/>
  <c r="J155" i="11"/>
  <c r="J169" i="11"/>
  <c r="J148" i="11"/>
  <c r="J145" i="11"/>
  <c r="J142" i="11"/>
  <c r="K122" i="11"/>
  <c r="K123" i="11" s="1"/>
  <c r="K124" i="11" s="1"/>
  <c r="K125" i="11" s="1"/>
  <c r="J147" i="11"/>
  <c r="J174" i="11"/>
  <c r="J158" i="11"/>
  <c r="J144" i="11"/>
  <c r="M103" i="11"/>
  <c r="O103" i="11" s="1"/>
  <c r="L104" i="11"/>
  <c r="N104" i="11" s="1"/>
  <c r="L102" i="11"/>
  <c r="N102" i="11" s="1"/>
  <c r="L103" i="11"/>
  <c r="N103" i="11" s="1"/>
  <c r="J179" i="11"/>
  <c r="J166" i="11"/>
  <c r="J150" i="11"/>
  <c r="J151" i="11"/>
  <c r="J157" i="11"/>
  <c r="J143" i="11"/>
  <c r="K88" i="11"/>
  <c r="M87" i="11"/>
  <c r="O87" i="11" s="1"/>
  <c r="L87" i="11"/>
  <c r="N87" i="11" s="1"/>
  <c r="L105" i="11"/>
  <c r="N105" i="11" s="1"/>
  <c r="M105" i="11"/>
  <c r="O105" i="11" s="1"/>
  <c r="M102" i="11"/>
  <c r="O102" i="11" s="1"/>
  <c r="M104" i="11"/>
  <c r="O104" i="11" s="1"/>
  <c r="K34" i="11"/>
  <c r="M34" i="11" s="1"/>
  <c r="O33" i="11"/>
  <c r="L33" i="11"/>
  <c r="N33" i="11" s="1"/>
  <c r="O49" i="11"/>
  <c r="I109" i="16"/>
  <c r="J108" i="16"/>
  <c r="K108" i="16" s="1"/>
  <c r="N108" i="16" s="1"/>
  <c r="I120" i="16"/>
  <c r="J119" i="16"/>
  <c r="K119" i="16" s="1"/>
  <c r="N119" i="16" s="1"/>
  <c r="I143" i="16"/>
  <c r="J142" i="16"/>
  <c r="K142" i="16" s="1"/>
  <c r="N142" i="16" s="1"/>
  <c r="I75" i="16"/>
  <c r="J74" i="16"/>
  <c r="K74" i="16" s="1"/>
  <c r="N74" i="16" s="1"/>
  <c r="I43" i="16"/>
  <c r="J42" i="16"/>
  <c r="K42" i="16" s="1"/>
  <c r="N42" i="16" s="1"/>
  <c r="J64" i="16"/>
  <c r="K64" i="16" s="1"/>
  <c r="N64" i="16" s="1"/>
  <c r="I65" i="16"/>
  <c r="I98" i="16"/>
  <c r="J97" i="16"/>
  <c r="K97" i="16" s="1"/>
  <c r="N97" i="16" s="1"/>
  <c r="J162" i="16"/>
  <c r="K162" i="16" s="1"/>
  <c r="N162" i="16" s="1"/>
  <c r="I131" i="16"/>
  <c r="J130" i="16"/>
  <c r="K130" i="16" s="1"/>
  <c r="N130" i="16" s="1"/>
  <c r="I32" i="16"/>
  <c r="J31" i="16"/>
  <c r="K31" i="16" s="1"/>
  <c r="N31" i="16" s="1"/>
  <c r="J52" i="16"/>
  <c r="K52" i="16" s="1"/>
  <c r="N52" i="16" s="1"/>
  <c r="I53" i="16"/>
  <c r="I87" i="16"/>
  <c r="J86" i="16"/>
  <c r="K86" i="16" s="1"/>
  <c r="N86" i="16" s="1"/>
  <c r="P24" i="19" l="1"/>
  <c r="P15" i="19"/>
  <c r="P28" i="19"/>
  <c r="P13" i="19"/>
  <c r="P32" i="19"/>
  <c r="P33" i="19"/>
  <c r="P27" i="19"/>
  <c r="P31" i="19"/>
  <c r="P17" i="19"/>
  <c r="P16" i="19"/>
  <c r="P35" i="19"/>
  <c r="P21" i="19"/>
  <c r="P25" i="19"/>
  <c r="P30" i="19"/>
  <c r="P19" i="19"/>
  <c r="P20" i="19"/>
  <c r="P26" i="19"/>
  <c r="P22" i="19"/>
  <c r="P34" i="19"/>
  <c r="P29" i="19"/>
  <c r="P14" i="19"/>
  <c r="P18" i="19"/>
  <c r="P23" i="19"/>
  <c r="N34" i="19"/>
  <c r="N20" i="19"/>
  <c r="N19" i="19"/>
  <c r="N31" i="19"/>
  <c r="N35" i="19"/>
  <c r="N32" i="19"/>
  <c r="N29" i="19"/>
  <c r="N17" i="19"/>
  <c r="N16" i="19"/>
  <c r="N18" i="19"/>
  <c r="N30" i="19"/>
  <c r="N13" i="19"/>
  <c r="N15" i="19"/>
  <c r="N27" i="19"/>
  <c r="N21" i="19"/>
  <c r="N14" i="19"/>
  <c r="N26" i="19"/>
  <c r="N22" i="19"/>
  <c r="N28" i="19"/>
  <c r="N33" i="19"/>
  <c r="N23" i="19"/>
  <c r="N25" i="19"/>
  <c r="N24" i="19"/>
  <c r="O15" i="19"/>
  <c r="O20" i="19"/>
  <c r="O16" i="19"/>
  <c r="O18" i="19"/>
  <c r="O23" i="19"/>
  <c r="O17" i="19"/>
  <c r="O29" i="19"/>
  <c r="O26" i="19"/>
  <c r="S26" i="19" s="1"/>
  <c r="O21" i="19"/>
  <c r="O25" i="19"/>
  <c r="S25" i="19" s="1"/>
  <c r="O19" i="19"/>
  <c r="O27" i="19"/>
  <c r="S27" i="19" s="1"/>
  <c r="O13" i="19"/>
  <c r="O35" i="19"/>
  <c r="O33" i="19"/>
  <c r="O14" i="19"/>
  <c r="O28" i="19"/>
  <c r="O22" i="19"/>
  <c r="O30" i="19"/>
  <c r="O34" i="19"/>
  <c r="S34" i="19" s="1"/>
  <c r="O24" i="19"/>
  <c r="O32" i="19"/>
  <c r="O31" i="19"/>
  <c r="S31" i="19" s="1"/>
  <c r="Q25" i="19"/>
  <c r="Q30" i="19"/>
  <c r="Q27" i="19"/>
  <c r="Q15" i="19"/>
  <c r="Q14" i="19"/>
  <c r="Q13" i="19"/>
  <c r="Q33" i="19"/>
  <c r="Q23" i="19"/>
  <c r="Q18" i="19"/>
  <c r="Q31" i="19"/>
  <c r="Q35" i="19"/>
  <c r="Q21" i="19"/>
  <c r="Q28" i="19"/>
  <c r="Q22" i="19"/>
  <c r="Q29" i="19"/>
  <c r="Q17" i="19"/>
  <c r="Q16" i="19"/>
  <c r="Q26" i="19"/>
  <c r="Q19" i="19"/>
  <c r="Q34" i="19"/>
  <c r="Q32" i="19"/>
  <c r="Q20" i="19"/>
  <c r="Q24" i="19"/>
  <c r="L49" i="11"/>
  <c r="N49" i="11" s="1"/>
  <c r="K50" i="11"/>
  <c r="M50" i="11" s="1"/>
  <c r="O50" i="11" s="1"/>
  <c r="M123" i="11"/>
  <c r="O123" i="11" s="1"/>
  <c r="J199" i="11"/>
  <c r="K126" i="11"/>
  <c r="J175" i="11"/>
  <c r="J173" i="11"/>
  <c r="K108" i="11"/>
  <c r="M107" i="11"/>
  <c r="O107" i="11" s="1"/>
  <c r="L107" i="11"/>
  <c r="N107" i="11" s="1"/>
  <c r="J177" i="11"/>
  <c r="J170" i="11"/>
  <c r="J164" i="11"/>
  <c r="J194" i="11"/>
  <c r="J168" i="11"/>
  <c r="K67" i="11"/>
  <c r="L66" i="11"/>
  <c r="N66" i="11" s="1"/>
  <c r="M66" i="11"/>
  <c r="O66" i="11" s="1"/>
  <c r="J172" i="11"/>
  <c r="M88" i="11"/>
  <c r="O88" i="11" s="1"/>
  <c r="K89" i="11"/>
  <c r="L88" i="11"/>
  <c r="N88" i="11" s="1"/>
  <c r="J186" i="11"/>
  <c r="J167" i="11"/>
  <c r="K142" i="11"/>
  <c r="K143" i="11" s="1"/>
  <c r="K144" i="11" s="1"/>
  <c r="J162" i="11"/>
  <c r="J189" i="11"/>
  <c r="J181" i="11"/>
  <c r="M125" i="11"/>
  <c r="O125" i="11" s="1"/>
  <c r="L123" i="11"/>
  <c r="N123" i="11" s="1"/>
  <c r="L122" i="11"/>
  <c r="N122" i="11" s="1"/>
  <c r="L125" i="11"/>
  <c r="N125" i="11" s="1"/>
  <c r="M124" i="11"/>
  <c r="O124" i="11" s="1"/>
  <c r="J163" i="11"/>
  <c r="J171" i="11"/>
  <c r="J178" i="11"/>
  <c r="J165" i="11"/>
  <c r="J176" i="11"/>
  <c r="J180" i="11"/>
  <c r="L124" i="11"/>
  <c r="N124" i="11" s="1"/>
  <c r="M122" i="11"/>
  <c r="O122" i="11" s="1"/>
  <c r="K51" i="11"/>
  <c r="M51" i="11" s="1"/>
  <c r="K35" i="11"/>
  <c r="M35" i="11" s="1"/>
  <c r="L34" i="11"/>
  <c r="N34" i="11" s="1"/>
  <c r="O34" i="11"/>
  <c r="J53" i="16"/>
  <c r="K53" i="16" s="1"/>
  <c r="N53" i="16" s="1"/>
  <c r="I54" i="16"/>
  <c r="I76" i="16"/>
  <c r="J75" i="16"/>
  <c r="K75" i="16" s="1"/>
  <c r="N75" i="16" s="1"/>
  <c r="I121" i="16"/>
  <c r="J120" i="16"/>
  <c r="K120" i="16" s="1"/>
  <c r="N120" i="16" s="1"/>
  <c r="J87" i="16"/>
  <c r="K87" i="16" s="1"/>
  <c r="N87" i="16" s="1"/>
  <c r="I88" i="16"/>
  <c r="J88" i="16" s="1"/>
  <c r="K88" i="16" s="1"/>
  <c r="N88" i="16" s="1"/>
  <c r="I33" i="16"/>
  <c r="J32" i="16"/>
  <c r="K32" i="16" s="1"/>
  <c r="N32" i="16" s="1"/>
  <c r="J65" i="16"/>
  <c r="K65" i="16" s="1"/>
  <c r="N65" i="16" s="1"/>
  <c r="I66" i="16"/>
  <c r="J66" i="16" s="1"/>
  <c r="K66" i="16" s="1"/>
  <c r="N66" i="16" s="1"/>
  <c r="I110" i="16"/>
  <c r="J109" i="16"/>
  <c r="K109" i="16" s="1"/>
  <c r="N109" i="16" s="1"/>
  <c r="J131" i="16"/>
  <c r="K131" i="16" s="1"/>
  <c r="N131" i="16" s="1"/>
  <c r="I132" i="16"/>
  <c r="I99" i="16"/>
  <c r="J98" i="16"/>
  <c r="K98" i="16" s="1"/>
  <c r="N98" i="16" s="1"/>
  <c r="J43" i="16"/>
  <c r="K43" i="16" s="1"/>
  <c r="N43" i="16" s="1"/>
  <c r="I44" i="16"/>
  <c r="J143" i="16"/>
  <c r="K143" i="16" s="1"/>
  <c r="N143" i="16" s="1"/>
  <c r="I144" i="16"/>
  <c r="J144" i="16" s="1"/>
  <c r="K144" i="16" s="1"/>
  <c r="N144" i="16" s="1"/>
  <c r="J163" i="16"/>
  <c r="S32" i="19" l="1"/>
  <c r="S22" i="19"/>
  <c r="S35" i="19"/>
  <c r="S17" i="19"/>
  <c r="S20" i="19"/>
  <c r="S24" i="19"/>
  <c r="S28" i="19"/>
  <c r="S13" i="19"/>
  <c r="S21" i="19"/>
  <c r="S23" i="19"/>
  <c r="S15" i="19"/>
  <c r="S14" i="19"/>
  <c r="S18" i="19"/>
  <c r="S30" i="19"/>
  <c r="S33" i="19"/>
  <c r="S19" i="19"/>
  <c r="S29" i="19"/>
  <c r="S16" i="19"/>
  <c r="K163" i="16"/>
  <c r="L50" i="11"/>
  <c r="N50" i="11" s="1"/>
  <c r="J196" i="11"/>
  <c r="J191" i="11"/>
  <c r="K145" i="11"/>
  <c r="J187" i="11"/>
  <c r="K68" i="11"/>
  <c r="L67" i="11"/>
  <c r="N67" i="11" s="1"/>
  <c r="M67" i="11"/>
  <c r="O67" i="11" s="1"/>
  <c r="J184" i="11"/>
  <c r="K109" i="11"/>
  <c r="L108" i="11"/>
  <c r="N108" i="11" s="1"/>
  <c r="M108" i="11"/>
  <c r="O108" i="11" s="1"/>
  <c r="J195" i="11"/>
  <c r="J219" i="11"/>
  <c r="J185" i="11"/>
  <c r="J183" i="11"/>
  <c r="J201" i="11"/>
  <c r="J182" i="11"/>
  <c r="K162" i="11"/>
  <c r="K163" i="11" s="1"/>
  <c r="K164" i="11" s="1"/>
  <c r="K165" i="11" s="1"/>
  <c r="M165" i="11" s="1"/>
  <c r="J206" i="11"/>
  <c r="J188" i="11"/>
  <c r="J190" i="11"/>
  <c r="J200" i="11"/>
  <c r="J193" i="11"/>
  <c r="M144" i="11"/>
  <c r="O144" i="11" s="1"/>
  <c r="M143" i="11"/>
  <c r="O143" i="11" s="1"/>
  <c r="L142" i="11"/>
  <c r="N142" i="11" s="1"/>
  <c r="L144" i="11"/>
  <c r="N144" i="11" s="1"/>
  <c r="J198" i="11"/>
  <c r="J209" i="11"/>
  <c r="M89" i="11"/>
  <c r="O89" i="11" s="1"/>
  <c r="K90" i="11"/>
  <c r="L89" i="11"/>
  <c r="N89" i="11" s="1"/>
  <c r="J192" i="11"/>
  <c r="J214" i="11"/>
  <c r="J197" i="11"/>
  <c r="K127" i="11"/>
  <c r="L126" i="11"/>
  <c r="N126" i="11" s="1"/>
  <c r="M126" i="11"/>
  <c r="O126" i="11" s="1"/>
  <c r="L143" i="11"/>
  <c r="N143" i="11" s="1"/>
  <c r="M142" i="11"/>
  <c r="O142" i="11" s="1"/>
  <c r="K52" i="11"/>
  <c r="M52" i="11" s="1"/>
  <c r="L51" i="11"/>
  <c r="N51" i="11" s="1"/>
  <c r="O51" i="11"/>
  <c r="K36" i="11"/>
  <c r="M36" i="11" s="1"/>
  <c r="O35" i="11"/>
  <c r="L35" i="11"/>
  <c r="N35" i="11" s="1"/>
  <c r="J99" i="16"/>
  <c r="K99" i="16" s="1"/>
  <c r="N99" i="16" s="1"/>
  <c r="I100" i="16"/>
  <c r="J100" i="16" s="1"/>
  <c r="K100" i="16" s="1"/>
  <c r="N100" i="16" s="1"/>
  <c r="J110" i="16"/>
  <c r="K110" i="16" s="1"/>
  <c r="N110" i="16" s="1"/>
  <c r="I111" i="16"/>
  <c r="J111" i="16" s="1"/>
  <c r="K111" i="16" s="1"/>
  <c r="N111" i="16" s="1"/>
  <c r="J164" i="16"/>
  <c r="K164" i="16" s="1"/>
  <c r="N164" i="16" s="1"/>
  <c r="J121" i="16"/>
  <c r="K121" i="16" s="1"/>
  <c r="N121" i="16" s="1"/>
  <c r="I122" i="16"/>
  <c r="J122" i="16" s="1"/>
  <c r="K122" i="16" s="1"/>
  <c r="N122" i="16" s="1"/>
  <c r="I55" i="16"/>
  <c r="J55" i="16" s="1"/>
  <c r="K55" i="16" s="1"/>
  <c r="N55" i="16" s="1"/>
  <c r="J54" i="16"/>
  <c r="K54" i="16" s="1"/>
  <c r="N54" i="16" s="1"/>
  <c r="J44" i="16"/>
  <c r="K44" i="16" s="1"/>
  <c r="N44" i="16" s="1"/>
  <c r="I45" i="16"/>
  <c r="J45" i="16" s="1"/>
  <c r="K45" i="16" s="1"/>
  <c r="N45" i="16" s="1"/>
  <c r="J132" i="16"/>
  <c r="K132" i="16" s="1"/>
  <c r="N132" i="16" s="1"/>
  <c r="I133" i="16"/>
  <c r="J133" i="16" s="1"/>
  <c r="K133" i="16" s="1"/>
  <c r="N133" i="16" s="1"/>
  <c r="J33" i="16"/>
  <c r="K33" i="16" s="1"/>
  <c r="N33" i="16" s="1"/>
  <c r="I34" i="16"/>
  <c r="J34" i="16" s="1"/>
  <c r="K34" i="16" s="1"/>
  <c r="N34" i="16" s="1"/>
  <c r="I89" i="16"/>
  <c r="J89" i="16" s="1"/>
  <c r="K89" i="16" s="1"/>
  <c r="N89" i="16" s="1"/>
  <c r="I67" i="16"/>
  <c r="J67" i="16" s="1"/>
  <c r="K67" i="16" s="1"/>
  <c r="N67" i="16" s="1"/>
  <c r="J76" i="16"/>
  <c r="K76" i="16" s="1"/>
  <c r="N76" i="16" s="1"/>
  <c r="I77" i="16"/>
  <c r="N163" i="16" l="1"/>
  <c r="I56" i="16"/>
  <c r="J56" i="16" s="1"/>
  <c r="K56" i="16" s="1"/>
  <c r="N56" i="16" s="1"/>
  <c r="L162" i="11"/>
  <c r="N162" i="11" s="1"/>
  <c r="L165" i="11"/>
  <c r="N165" i="11" s="1"/>
  <c r="L163" i="11"/>
  <c r="N163" i="11" s="1"/>
  <c r="M162" i="11"/>
  <c r="O162" i="11" s="1"/>
  <c r="K110" i="11"/>
  <c r="L109" i="11"/>
  <c r="N109" i="11" s="1"/>
  <c r="M109" i="11"/>
  <c r="O109" i="11" s="1"/>
  <c r="K128" i="11"/>
  <c r="M127" i="11"/>
  <c r="O127" i="11" s="1"/>
  <c r="L127" i="11"/>
  <c r="N127" i="11" s="1"/>
  <c r="J234" i="11"/>
  <c r="M90" i="11"/>
  <c r="O90" i="11" s="1"/>
  <c r="K91" i="11"/>
  <c r="L90" i="11"/>
  <c r="N90" i="11" s="1"/>
  <c r="J229" i="11"/>
  <c r="J213" i="11"/>
  <c r="J210" i="11"/>
  <c r="J221" i="11"/>
  <c r="J239" i="11"/>
  <c r="J204" i="11"/>
  <c r="J216" i="11"/>
  <c r="J208" i="11"/>
  <c r="O165" i="11"/>
  <c r="K166" i="11"/>
  <c r="J203" i="11"/>
  <c r="K69" i="11"/>
  <c r="L68" i="11"/>
  <c r="N68" i="11" s="1"/>
  <c r="M68" i="11"/>
  <c r="O68" i="11" s="1"/>
  <c r="K146" i="11"/>
  <c r="L145" i="11"/>
  <c r="N145" i="11" s="1"/>
  <c r="M145" i="11"/>
  <c r="O145" i="11" s="1"/>
  <c r="J217" i="11"/>
  <c r="J212" i="11"/>
  <c r="J218" i="11"/>
  <c r="J220" i="11"/>
  <c r="J226" i="11"/>
  <c r="J202" i="11"/>
  <c r="K182" i="11"/>
  <c r="K183" i="11" s="1"/>
  <c r="K184" i="11" s="1"/>
  <c r="K185" i="11" s="1"/>
  <c r="K186" i="11" s="1"/>
  <c r="J205" i="11"/>
  <c r="J215" i="11"/>
  <c r="J207" i="11"/>
  <c r="J211" i="11"/>
  <c r="M164" i="11"/>
  <c r="O164" i="11" s="1"/>
  <c r="M163" i="11"/>
  <c r="O163" i="11" s="1"/>
  <c r="L164" i="11"/>
  <c r="N164" i="11" s="1"/>
  <c r="K37" i="11"/>
  <c r="M37" i="11" s="1"/>
  <c r="O36" i="11"/>
  <c r="L36" i="11"/>
  <c r="N36" i="11" s="1"/>
  <c r="K53" i="11"/>
  <c r="M53" i="11" s="1"/>
  <c r="O52" i="11"/>
  <c r="L52" i="11"/>
  <c r="N52" i="11" s="1"/>
  <c r="J165" i="16"/>
  <c r="K165" i="16" s="1"/>
  <c r="N165" i="16" s="1"/>
  <c r="I166" i="16"/>
  <c r="J77" i="16"/>
  <c r="K77" i="16" s="1"/>
  <c r="N77" i="16" s="1"/>
  <c r="I78" i="16"/>
  <c r="J78" i="16" s="1"/>
  <c r="K78" i="16" s="1"/>
  <c r="N78" i="16" s="1"/>
  <c r="J166" i="16" l="1"/>
  <c r="K166" i="16" s="1"/>
  <c r="N166" i="16" s="1"/>
  <c r="N168" i="16" s="1"/>
  <c r="I168" i="16"/>
  <c r="L185" i="11"/>
  <c r="N185" i="11" s="1"/>
  <c r="L182" i="11"/>
  <c r="N182" i="11" s="1"/>
  <c r="M183" i="11"/>
  <c r="O183" i="11" s="1"/>
  <c r="L183" i="11"/>
  <c r="N183" i="11" s="1"/>
  <c r="M185" i="11"/>
  <c r="O185" i="11" s="1"/>
  <c r="M182" i="11"/>
  <c r="O182" i="11" s="1"/>
  <c r="L184" i="11"/>
  <c r="N184" i="11" s="1"/>
  <c r="J231" i="11"/>
  <c r="J225" i="11"/>
  <c r="J222" i="11"/>
  <c r="K202" i="11"/>
  <c r="K203" i="11" s="1"/>
  <c r="K204" i="11" s="1"/>
  <c r="K205" i="11" s="1"/>
  <c r="J237" i="11"/>
  <c r="J236" i="11"/>
  <c r="J249" i="11"/>
  <c r="K129" i="11"/>
  <c r="M128" i="11"/>
  <c r="O128" i="11" s="1"/>
  <c r="L128" i="11"/>
  <c r="N128" i="11" s="1"/>
  <c r="J227" i="11"/>
  <c r="J246" i="11"/>
  <c r="J238" i="11"/>
  <c r="K147" i="11"/>
  <c r="M146" i="11"/>
  <c r="O146" i="11" s="1"/>
  <c r="L146" i="11"/>
  <c r="N146" i="11" s="1"/>
  <c r="J224" i="11"/>
  <c r="J241" i="11"/>
  <c r="K111" i="11"/>
  <c r="L110" i="11"/>
  <c r="N110" i="11" s="1"/>
  <c r="M110" i="11"/>
  <c r="O110" i="11" s="1"/>
  <c r="K187" i="11"/>
  <c r="L186" i="11"/>
  <c r="N186" i="11" s="1"/>
  <c r="M186" i="11"/>
  <c r="O186" i="11" s="1"/>
  <c r="J232" i="11"/>
  <c r="L69" i="11"/>
  <c r="N69" i="11" s="1"/>
  <c r="K70" i="11"/>
  <c r="M69" i="11"/>
  <c r="O69" i="11" s="1"/>
  <c r="K167" i="11"/>
  <c r="L166" i="11"/>
  <c r="N166" i="11" s="1"/>
  <c r="M166" i="11"/>
  <c r="O166" i="11" s="1"/>
  <c r="J228" i="11"/>
  <c r="J230" i="11"/>
  <c r="M91" i="11"/>
  <c r="O91" i="11" s="1"/>
  <c r="L91" i="11"/>
  <c r="N91" i="11" s="1"/>
  <c r="K92" i="11"/>
  <c r="M184" i="11"/>
  <c r="O184" i="11" s="1"/>
  <c r="J235" i="11"/>
  <c r="J240" i="11"/>
  <c r="J223" i="11"/>
  <c r="J259" i="11"/>
  <c r="J233" i="11"/>
  <c r="J254" i="11"/>
  <c r="K54" i="11"/>
  <c r="M54" i="11" s="1"/>
  <c r="L53" i="11"/>
  <c r="N53" i="11" s="1"/>
  <c r="O53" i="11"/>
  <c r="K38" i="11"/>
  <c r="M38" i="11" s="1"/>
  <c r="L37" i="11"/>
  <c r="N37" i="11" s="1"/>
  <c r="O37" i="11"/>
  <c r="J168" i="16" l="1"/>
  <c r="K168" i="16"/>
  <c r="L204" i="11"/>
  <c r="N204" i="11" s="1"/>
  <c r="J243" i="11"/>
  <c r="J255" i="11"/>
  <c r="M129" i="11"/>
  <c r="O129" i="11" s="1"/>
  <c r="K130" i="11"/>
  <c r="L129" i="11"/>
  <c r="N129" i="11" s="1"/>
  <c r="J256" i="11"/>
  <c r="K206" i="11"/>
  <c r="J251" i="11"/>
  <c r="J253" i="11"/>
  <c r="J250" i="11"/>
  <c r="M70" i="11"/>
  <c r="O70" i="11" s="1"/>
  <c r="L70" i="11"/>
  <c r="N70" i="11" s="1"/>
  <c r="K71" i="11"/>
  <c r="J252" i="11"/>
  <c r="J261" i="11"/>
  <c r="J258" i="11"/>
  <c r="J260" i="11"/>
  <c r="M92" i="11"/>
  <c r="O92" i="11" s="1"/>
  <c r="K93" i="11"/>
  <c r="L92" i="11"/>
  <c r="N92" i="11" s="1"/>
  <c r="J248" i="11"/>
  <c r="K188" i="11"/>
  <c r="L187" i="11"/>
  <c r="N187" i="11" s="1"/>
  <c r="M187" i="11"/>
  <c r="O187" i="11" s="1"/>
  <c r="J244" i="11"/>
  <c r="J266" i="11"/>
  <c r="J269" i="11"/>
  <c r="J257" i="11"/>
  <c r="J242" i="11"/>
  <c r="K222" i="11"/>
  <c r="K223" i="11" s="1"/>
  <c r="K224" i="11" s="1"/>
  <c r="K225" i="11" s="1"/>
  <c r="K226" i="11" s="1"/>
  <c r="M205" i="11"/>
  <c r="O205" i="11" s="1"/>
  <c r="M203" i="11"/>
  <c r="O203" i="11" s="1"/>
  <c r="L202" i="11"/>
  <c r="N202" i="11" s="1"/>
  <c r="L205" i="11"/>
  <c r="N205" i="11" s="1"/>
  <c r="L203" i="11"/>
  <c r="N203" i="11" s="1"/>
  <c r="J274" i="11"/>
  <c r="J279" i="11"/>
  <c r="K168" i="11"/>
  <c r="L167" i="11"/>
  <c r="N167" i="11" s="1"/>
  <c r="M167" i="11"/>
  <c r="O167" i="11" s="1"/>
  <c r="K112" i="11"/>
  <c r="L111" i="11"/>
  <c r="N111" i="11" s="1"/>
  <c r="M111" i="11"/>
  <c r="O111" i="11" s="1"/>
  <c r="K148" i="11"/>
  <c r="L147" i="11"/>
  <c r="N147" i="11" s="1"/>
  <c r="M147" i="11"/>
  <c r="O147" i="11" s="1"/>
  <c r="J247" i="11"/>
  <c r="J245" i="11"/>
  <c r="M204" i="11"/>
  <c r="O204" i="11" s="1"/>
  <c r="M202" i="11"/>
  <c r="O202" i="11" s="1"/>
  <c r="K39" i="11"/>
  <c r="M39" i="11" s="1"/>
  <c r="O38" i="11"/>
  <c r="L38" i="11"/>
  <c r="N38" i="11" s="1"/>
  <c r="K55" i="11"/>
  <c r="M55" i="11" s="1"/>
  <c r="L54" i="11"/>
  <c r="N54" i="11" s="1"/>
  <c r="O54" i="11"/>
  <c r="M225" i="11" l="1"/>
  <c r="O225" i="11" s="1"/>
  <c r="M223" i="11"/>
  <c r="O223" i="11" s="1"/>
  <c r="L225" i="11"/>
  <c r="N225" i="11" s="1"/>
  <c r="L222" i="11"/>
  <c r="N222" i="11" s="1"/>
  <c r="M224" i="11"/>
  <c r="O224" i="11" s="1"/>
  <c r="M222" i="11"/>
  <c r="O222" i="11" s="1"/>
  <c r="L224" i="11"/>
  <c r="N224" i="11" s="1"/>
  <c r="J289" i="11"/>
  <c r="J270" i="11"/>
  <c r="J271" i="11"/>
  <c r="J276" i="11"/>
  <c r="K169" i="11"/>
  <c r="M168" i="11"/>
  <c r="O168" i="11" s="1"/>
  <c r="L168" i="11"/>
  <c r="N168" i="11" s="1"/>
  <c r="J294" i="11"/>
  <c r="J262" i="11"/>
  <c r="K242" i="11"/>
  <c r="K243" i="11" s="1"/>
  <c r="K244" i="11" s="1"/>
  <c r="K245" i="11" s="1"/>
  <c r="K246" i="11" s="1"/>
  <c r="J286" i="11"/>
  <c r="J278" i="11"/>
  <c r="J272" i="11"/>
  <c r="J267" i="11"/>
  <c r="K227" i="11"/>
  <c r="M226" i="11"/>
  <c r="O226" i="11" s="1"/>
  <c r="L226" i="11"/>
  <c r="N226" i="11" s="1"/>
  <c r="J277" i="11"/>
  <c r="J264" i="11"/>
  <c r="M93" i="11"/>
  <c r="O93" i="11" s="1"/>
  <c r="L93" i="11"/>
  <c r="N93" i="11" s="1"/>
  <c r="K94" i="11"/>
  <c r="J273" i="11"/>
  <c r="M130" i="11"/>
  <c r="O130" i="11" s="1"/>
  <c r="K131" i="11"/>
  <c r="L130" i="11"/>
  <c r="N130" i="11" s="1"/>
  <c r="L223" i="11"/>
  <c r="N223" i="11" s="1"/>
  <c r="K113" i="11"/>
  <c r="M112" i="11"/>
  <c r="O112" i="11" s="1"/>
  <c r="L112" i="11"/>
  <c r="N112" i="11" s="1"/>
  <c r="J268" i="11"/>
  <c r="M71" i="11"/>
  <c r="O71" i="11" s="1"/>
  <c r="L71" i="11"/>
  <c r="N71" i="11" s="1"/>
  <c r="K72" i="11"/>
  <c r="J263" i="11"/>
  <c r="J265" i="11"/>
  <c r="K149" i="11"/>
  <c r="L148" i="11"/>
  <c r="N148" i="11" s="1"/>
  <c r="M148" i="11"/>
  <c r="O148" i="11" s="1"/>
  <c r="J299" i="11"/>
  <c r="K189" i="11"/>
  <c r="M188" i="11"/>
  <c r="O188" i="11" s="1"/>
  <c r="L188" i="11"/>
  <c r="N188" i="11" s="1"/>
  <c r="J280" i="11"/>
  <c r="J281" i="11"/>
  <c r="K207" i="11"/>
  <c r="L206" i="11"/>
  <c r="N206" i="11" s="1"/>
  <c r="M206" i="11"/>
  <c r="O206" i="11" s="1"/>
  <c r="J275" i="11"/>
  <c r="K56" i="11"/>
  <c r="M56" i="11" s="1"/>
  <c r="L55" i="11"/>
  <c r="N55" i="11" s="1"/>
  <c r="O55" i="11"/>
  <c r="K40" i="11"/>
  <c r="M40" i="11" s="1"/>
  <c r="L39" i="11"/>
  <c r="N39" i="11" s="1"/>
  <c r="O39" i="11"/>
  <c r="L243" i="11" l="1"/>
  <c r="N243" i="11" s="1"/>
  <c r="L242" i="11"/>
  <c r="N242" i="11" s="1"/>
  <c r="L245" i="11"/>
  <c r="N245" i="11" s="1"/>
  <c r="M243" i="11"/>
  <c r="O243" i="11" s="1"/>
  <c r="K208" i="11"/>
  <c r="L207" i="11"/>
  <c r="N207" i="11" s="1"/>
  <c r="M207" i="11"/>
  <c r="O207" i="11" s="1"/>
  <c r="J300" i="11"/>
  <c r="K150" i="11"/>
  <c r="M149" i="11"/>
  <c r="O149" i="11" s="1"/>
  <c r="L149" i="11"/>
  <c r="N149" i="11" s="1"/>
  <c r="J288" i="11"/>
  <c r="J284" i="11"/>
  <c r="L264" i="11"/>
  <c r="N264" i="11" s="1"/>
  <c r="J287" i="11"/>
  <c r="J298" i="11"/>
  <c r="L169" i="11"/>
  <c r="N169" i="11" s="1"/>
  <c r="K170" i="11"/>
  <c r="M169" i="11"/>
  <c r="O169" i="11" s="1"/>
  <c r="J291" i="11"/>
  <c r="J309" i="11"/>
  <c r="K190" i="11"/>
  <c r="L189" i="11"/>
  <c r="N189" i="11" s="1"/>
  <c r="M189" i="11"/>
  <c r="O189" i="11" s="1"/>
  <c r="J285" i="11"/>
  <c r="M265" i="11"/>
  <c r="O265" i="11" s="1"/>
  <c r="M72" i="11"/>
  <c r="O72" i="11" s="1"/>
  <c r="K73" i="11"/>
  <c r="L72" i="11"/>
  <c r="N72" i="11" s="1"/>
  <c r="M113" i="11"/>
  <c r="O113" i="11" s="1"/>
  <c r="L113" i="11"/>
  <c r="N113" i="11" s="1"/>
  <c r="K114" i="11"/>
  <c r="M131" i="11"/>
  <c r="O131" i="11" s="1"/>
  <c r="L131" i="11"/>
  <c r="N131" i="11" s="1"/>
  <c r="K132" i="11"/>
  <c r="M94" i="11"/>
  <c r="O94" i="11" s="1"/>
  <c r="K95" i="11"/>
  <c r="L94" i="11"/>
  <c r="N94" i="11" s="1"/>
  <c r="J306" i="11"/>
  <c r="J301" i="11"/>
  <c r="J283" i="11"/>
  <c r="M263" i="11"/>
  <c r="O263" i="11" s="1"/>
  <c r="J293" i="11"/>
  <c r="J297" i="11"/>
  <c r="J292" i="11"/>
  <c r="M262" i="11"/>
  <c r="O262" i="11" s="1"/>
  <c r="K262" i="11"/>
  <c r="K263" i="11" s="1"/>
  <c r="K264" i="11" s="1"/>
  <c r="K265" i="11" s="1"/>
  <c r="K266" i="11" s="1"/>
  <c r="J282" i="11"/>
  <c r="J296" i="11"/>
  <c r="J290" i="11"/>
  <c r="M244" i="11"/>
  <c r="O244" i="11" s="1"/>
  <c r="M242" i="11"/>
  <c r="O242" i="11" s="1"/>
  <c r="M245" i="11"/>
  <c r="O245" i="11" s="1"/>
  <c r="L244" i="11"/>
  <c r="N244" i="11" s="1"/>
  <c r="J295" i="11"/>
  <c r="J319" i="11"/>
  <c r="K228" i="11"/>
  <c r="M227" i="11"/>
  <c r="O227" i="11" s="1"/>
  <c r="L227" i="11"/>
  <c r="N227" i="11" s="1"/>
  <c r="K247" i="11"/>
  <c r="L246" i="11"/>
  <c r="N246" i="11" s="1"/>
  <c r="M246" i="11"/>
  <c r="O246" i="11" s="1"/>
  <c r="J314" i="11"/>
  <c r="K57" i="11"/>
  <c r="M57" i="11" s="1"/>
  <c r="O56" i="11"/>
  <c r="L56" i="11"/>
  <c r="N56" i="11" s="1"/>
  <c r="K41" i="11"/>
  <c r="M41" i="11" s="1"/>
  <c r="L40" i="11"/>
  <c r="N40" i="11" s="1"/>
  <c r="O40" i="11"/>
  <c r="L262" i="11" l="1"/>
  <c r="N262" i="11" s="1"/>
  <c r="J310" i="11"/>
  <c r="J302" i="11"/>
  <c r="K282" i="11"/>
  <c r="K283" i="11" s="1"/>
  <c r="K284" i="11" s="1"/>
  <c r="K285" i="11" s="1"/>
  <c r="K286" i="11" s="1"/>
  <c r="J312" i="11"/>
  <c r="J313" i="11"/>
  <c r="J321" i="11"/>
  <c r="M132" i="11"/>
  <c r="O132" i="11" s="1"/>
  <c r="L132" i="11"/>
  <c r="N132" i="11" s="1"/>
  <c r="K133" i="11"/>
  <c r="J329" i="11"/>
  <c r="J318" i="11"/>
  <c r="K151" i="11"/>
  <c r="L150" i="11"/>
  <c r="N150" i="11" s="1"/>
  <c r="M150" i="11"/>
  <c r="O150" i="11" s="1"/>
  <c r="J334" i="11"/>
  <c r="K248" i="11"/>
  <c r="L247" i="11"/>
  <c r="N247" i="11" s="1"/>
  <c r="M247" i="11"/>
  <c r="O247" i="11" s="1"/>
  <c r="J339" i="11"/>
  <c r="J303" i="11"/>
  <c r="J326" i="11"/>
  <c r="M114" i="11"/>
  <c r="O114" i="11" s="1"/>
  <c r="L114" i="11"/>
  <c r="N114" i="11" s="1"/>
  <c r="K115" i="11"/>
  <c r="M73" i="11"/>
  <c r="O73" i="11" s="1"/>
  <c r="L73" i="11"/>
  <c r="N73" i="11" s="1"/>
  <c r="K74" i="11"/>
  <c r="J305" i="11"/>
  <c r="J311" i="11"/>
  <c r="J307" i="11"/>
  <c r="J320" i="11"/>
  <c r="K229" i="11"/>
  <c r="L228" i="11"/>
  <c r="N228" i="11" s="1"/>
  <c r="M228" i="11"/>
  <c r="O228" i="11" s="1"/>
  <c r="J315" i="11"/>
  <c r="J316" i="11"/>
  <c r="J317" i="11"/>
  <c r="M95" i="11"/>
  <c r="O95" i="11" s="1"/>
  <c r="K96" i="11"/>
  <c r="L95" i="11"/>
  <c r="N95" i="11" s="1"/>
  <c r="K191" i="11"/>
  <c r="M190" i="11"/>
  <c r="O190" i="11" s="1"/>
  <c r="L190" i="11"/>
  <c r="N190" i="11" s="1"/>
  <c r="J304" i="11"/>
  <c r="K209" i="11"/>
  <c r="M208" i="11"/>
  <c r="O208" i="11" s="1"/>
  <c r="L208" i="11"/>
  <c r="N208" i="11" s="1"/>
  <c r="K267" i="11"/>
  <c r="L266" i="11"/>
  <c r="N266" i="11" s="1"/>
  <c r="M266" i="11"/>
  <c r="O266" i="11" s="1"/>
  <c r="L170" i="11"/>
  <c r="N170" i="11" s="1"/>
  <c r="K171" i="11"/>
  <c r="M170" i="11"/>
  <c r="O170" i="11" s="1"/>
  <c r="J308" i="11"/>
  <c r="L263" i="11"/>
  <c r="N263" i="11" s="1"/>
  <c r="L265" i="11"/>
  <c r="N265" i="11" s="1"/>
  <c r="M264" i="11"/>
  <c r="O264" i="11" s="1"/>
  <c r="O41" i="11"/>
  <c r="L41" i="11"/>
  <c r="N41" i="11" s="1"/>
  <c r="K58" i="11"/>
  <c r="M58" i="11" s="1"/>
  <c r="L57" i="11"/>
  <c r="N57" i="11" s="1"/>
  <c r="O57" i="11"/>
  <c r="L284" i="11" l="1"/>
  <c r="N284" i="11" s="1"/>
  <c r="L171" i="11"/>
  <c r="N171" i="11" s="1"/>
  <c r="M171" i="11"/>
  <c r="O171" i="11" s="1"/>
  <c r="K172" i="11"/>
  <c r="K268" i="11"/>
  <c r="L267" i="11"/>
  <c r="N267" i="11" s="1"/>
  <c r="M267" i="11"/>
  <c r="O267" i="11" s="1"/>
  <c r="J331" i="11"/>
  <c r="M74" i="11"/>
  <c r="O74" i="11" s="1"/>
  <c r="L74" i="11"/>
  <c r="N74" i="11" s="1"/>
  <c r="K75" i="11"/>
  <c r="J359" i="11"/>
  <c r="K249" i="11"/>
  <c r="L248" i="11"/>
  <c r="N248" i="11" s="1"/>
  <c r="M248" i="11"/>
  <c r="O248" i="11" s="1"/>
  <c r="J349" i="11"/>
  <c r="K287" i="11"/>
  <c r="L286" i="11"/>
  <c r="N286" i="11" s="1"/>
  <c r="M286" i="11"/>
  <c r="O286" i="11" s="1"/>
  <c r="J330" i="11"/>
  <c r="K210" i="11"/>
  <c r="L209" i="11"/>
  <c r="N209" i="11" s="1"/>
  <c r="M209" i="11"/>
  <c r="O209" i="11" s="1"/>
  <c r="M96" i="11"/>
  <c r="O96" i="11" s="1"/>
  <c r="K97" i="11"/>
  <c r="L96" i="11"/>
  <c r="N96" i="11" s="1"/>
  <c r="J336" i="11"/>
  <c r="M115" i="11"/>
  <c r="O115" i="11" s="1"/>
  <c r="L115" i="11"/>
  <c r="N115" i="11" s="1"/>
  <c r="K116" i="11"/>
  <c r="J346" i="11"/>
  <c r="J333" i="11"/>
  <c r="J335" i="11"/>
  <c r="J340" i="11"/>
  <c r="J327" i="11"/>
  <c r="J325" i="11"/>
  <c r="J323" i="11"/>
  <c r="J338" i="11"/>
  <c r="M133" i="11"/>
  <c r="O133" i="11" s="1"/>
  <c r="L133" i="11"/>
  <c r="N133" i="11" s="1"/>
  <c r="K134" i="11"/>
  <c r="M285" i="11"/>
  <c r="O285" i="11" s="1"/>
  <c r="M283" i="11"/>
  <c r="O283" i="11" s="1"/>
  <c r="L282" i="11"/>
  <c r="N282" i="11" s="1"/>
  <c r="M284" i="11"/>
  <c r="O284" i="11" s="1"/>
  <c r="M282" i="11"/>
  <c r="O282" i="11" s="1"/>
  <c r="J328" i="11"/>
  <c r="J324" i="11"/>
  <c r="K192" i="11"/>
  <c r="L191" i="11"/>
  <c r="N191" i="11" s="1"/>
  <c r="M191" i="11"/>
  <c r="O191" i="11" s="1"/>
  <c r="J337" i="11"/>
  <c r="M229" i="11"/>
  <c r="O229" i="11" s="1"/>
  <c r="K230" i="11"/>
  <c r="L229" i="11"/>
  <c r="N229" i="11" s="1"/>
  <c r="J354" i="11"/>
  <c r="K152" i="11"/>
  <c r="L151" i="11"/>
  <c r="N151" i="11" s="1"/>
  <c r="M151" i="11"/>
  <c r="O151" i="11" s="1"/>
  <c r="J341" i="11"/>
  <c r="J332" i="11"/>
  <c r="J322" i="11"/>
  <c r="K302" i="11"/>
  <c r="K303" i="11" s="1"/>
  <c r="K304" i="11" s="1"/>
  <c r="K305" i="11" s="1"/>
  <c r="K306" i="11" s="1"/>
  <c r="L285" i="11"/>
  <c r="N285" i="11" s="1"/>
  <c r="L283" i="11"/>
  <c r="N283" i="11" s="1"/>
  <c r="K59" i="11"/>
  <c r="M59" i="11" s="1"/>
  <c r="O58" i="11"/>
  <c r="L58" i="11"/>
  <c r="N58" i="11" s="1"/>
  <c r="L302" i="11" l="1"/>
  <c r="N302" i="11" s="1"/>
  <c r="M302" i="11"/>
  <c r="O302" i="11" s="1"/>
  <c r="L305" i="11"/>
  <c r="N305" i="11" s="1"/>
  <c r="M304" i="11"/>
  <c r="O304" i="11" s="1"/>
  <c r="M303" i="11"/>
  <c r="O303" i="11" s="1"/>
  <c r="J357" i="11"/>
  <c r="M134" i="11"/>
  <c r="O134" i="11" s="1"/>
  <c r="L134" i="11"/>
  <c r="N134" i="11" s="1"/>
  <c r="K135" i="11"/>
  <c r="J355" i="11"/>
  <c r="J379" i="11"/>
  <c r="J374" i="11"/>
  <c r="J358" i="11"/>
  <c r="M116" i="11"/>
  <c r="O116" i="11" s="1"/>
  <c r="L116" i="11"/>
  <c r="N116" i="11" s="1"/>
  <c r="K117" i="11"/>
  <c r="J369" i="11"/>
  <c r="L249" i="11"/>
  <c r="N249" i="11" s="1"/>
  <c r="K250" i="11"/>
  <c r="M249" i="11"/>
  <c r="O249" i="11" s="1"/>
  <c r="K322" i="11"/>
  <c r="K323" i="11" s="1"/>
  <c r="K324" i="11" s="1"/>
  <c r="K325" i="11" s="1"/>
  <c r="K326" i="11" s="1"/>
  <c r="J342" i="11"/>
  <c r="J361" i="11"/>
  <c r="K153" i="11"/>
  <c r="L152" i="11"/>
  <c r="N152" i="11" s="1"/>
  <c r="M152" i="11"/>
  <c r="O152" i="11" s="1"/>
  <c r="M230" i="11"/>
  <c r="O230" i="11" s="1"/>
  <c r="L230" i="11"/>
  <c r="N230" i="11" s="1"/>
  <c r="K231" i="11"/>
  <c r="J344" i="11"/>
  <c r="J343" i="11"/>
  <c r="J360" i="11"/>
  <c r="J353" i="11"/>
  <c r="J356" i="11"/>
  <c r="J350" i="11"/>
  <c r="K288" i="11"/>
  <c r="M287" i="11"/>
  <c r="O287" i="11" s="1"/>
  <c r="L287" i="11"/>
  <c r="N287" i="11" s="1"/>
  <c r="M75" i="11"/>
  <c r="O75" i="11" s="1"/>
  <c r="K76" i="11"/>
  <c r="L75" i="11"/>
  <c r="N75" i="11" s="1"/>
  <c r="J351" i="11"/>
  <c r="M172" i="11"/>
  <c r="O172" i="11" s="1"/>
  <c r="K173" i="11"/>
  <c r="L172" i="11"/>
  <c r="N172" i="11" s="1"/>
  <c r="M305" i="11"/>
  <c r="O305" i="11" s="1"/>
  <c r="J352" i="11"/>
  <c r="K193" i="11"/>
  <c r="M192" i="11"/>
  <c r="O192" i="11" s="1"/>
  <c r="L192" i="11"/>
  <c r="N192" i="11" s="1"/>
  <c r="J347" i="11"/>
  <c r="K307" i="11"/>
  <c r="L306" i="11"/>
  <c r="N306" i="11" s="1"/>
  <c r="M306" i="11"/>
  <c r="O306" i="11" s="1"/>
  <c r="J348" i="11"/>
  <c r="J345" i="11"/>
  <c r="J366" i="11"/>
  <c r="M97" i="11"/>
  <c r="O97" i="11" s="1"/>
  <c r="K98" i="11"/>
  <c r="L97" i="11"/>
  <c r="N97" i="11" s="1"/>
  <c r="K211" i="11"/>
  <c r="L210" i="11"/>
  <c r="N210" i="11" s="1"/>
  <c r="M210" i="11"/>
  <c r="O210" i="11" s="1"/>
  <c r="K269" i="11"/>
  <c r="L268" i="11"/>
  <c r="N268" i="11" s="1"/>
  <c r="M268" i="11"/>
  <c r="O268" i="11" s="1"/>
  <c r="L304" i="11"/>
  <c r="N304" i="11" s="1"/>
  <c r="L303" i="11"/>
  <c r="N303" i="11" s="1"/>
  <c r="K60" i="11"/>
  <c r="M60" i="11" s="1"/>
  <c r="O59" i="11"/>
  <c r="L59" i="11"/>
  <c r="N59" i="11" s="1"/>
  <c r="M325" i="11" l="1"/>
  <c r="O325" i="11" s="1"/>
  <c r="M322" i="11"/>
  <c r="O322" i="11" s="1"/>
  <c r="M323" i="11"/>
  <c r="O323" i="11" s="1"/>
  <c r="L323" i="11"/>
  <c r="N323" i="11" s="1"/>
  <c r="M324" i="11"/>
  <c r="O324" i="11" s="1"/>
  <c r="L322" i="11"/>
  <c r="N322" i="11" s="1"/>
  <c r="M98" i="11"/>
  <c r="O98" i="11" s="1"/>
  <c r="L98" i="11"/>
  <c r="N98" i="11" s="1"/>
  <c r="K99" i="11"/>
  <c r="J372" i="11"/>
  <c r="M173" i="11"/>
  <c r="O173" i="11" s="1"/>
  <c r="L173" i="11"/>
  <c r="N173" i="11" s="1"/>
  <c r="K174" i="11"/>
  <c r="J376" i="11"/>
  <c r="J380" i="11"/>
  <c r="M231" i="11"/>
  <c r="O231" i="11" s="1"/>
  <c r="K232" i="11"/>
  <c r="L231" i="11"/>
  <c r="N231" i="11" s="1"/>
  <c r="J378" i="11"/>
  <c r="J399" i="11"/>
  <c r="M135" i="11"/>
  <c r="O135" i="11" s="1"/>
  <c r="L135" i="11"/>
  <c r="N135" i="11" s="1"/>
  <c r="K136" i="11"/>
  <c r="K270" i="11"/>
  <c r="L269" i="11"/>
  <c r="N269" i="11" s="1"/>
  <c r="M269" i="11"/>
  <c r="O269" i="11" s="1"/>
  <c r="J386" i="11"/>
  <c r="J367" i="11"/>
  <c r="K194" i="11"/>
  <c r="L193" i="11"/>
  <c r="N193" i="11" s="1"/>
  <c r="M193" i="11"/>
  <c r="O193" i="11" s="1"/>
  <c r="J363" i="11"/>
  <c r="J389" i="11"/>
  <c r="J377" i="11"/>
  <c r="K212" i="11"/>
  <c r="L211" i="11"/>
  <c r="N211" i="11" s="1"/>
  <c r="M211" i="11"/>
  <c r="O211" i="11" s="1"/>
  <c r="J365" i="11"/>
  <c r="J371" i="11"/>
  <c r="J370" i="11"/>
  <c r="J373" i="11"/>
  <c r="J364" i="11"/>
  <c r="J381" i="11"/>
  <c r="K327" i="11"/>
  <c r="M326" i="11"/>
  <c r="O326" i="11" s="1"/>
  <c r="L326" i="11"/>
  <c r="N326" i="11" s="1"/>
  <c r="J394" i="11"/>
  <c r="J375" i="11"/>
  <c r="J368" i="11"/>
  <c r="K308" i="11"/>
  <c r="M307" i="11"/>
  <c r="O307" i="11" s="1"/>
  <c r="L307" i="11"/>
  <c r="N307" i="11" s="1"/>
  <c r="M76" i="11"/>
  <c r="O76" i="11" s="1"/>
  <c r="K77" i="11"/>
  <c r="L76" i="11"/>
  <c r="N76" i="11" s="1"/>
  <c r="K289" i="11"/>
  <c r="M288" i="11"/>
  <c r="O288" i="11" s="1"/>
  <c r="L288" i="11"/>
  <c r="N288" i="11" s="1"/>
  <c r="K154" i="11"/>
  <c r="M153" i="11"/>
  <c r="O153" i="11" s="1"/>
  <c r="L153" i="11"/>
  <c r="N153" i="11" s="1"/>
  <c r="K342" i="11"/>
  <c r="K343" i="11" s="1"/>
  <c r="K344" i="11" s="1"/>
  <c r="K345" i="11" s="1"/>
  <c r="K346" i="11" s="1"/>
  <c r="J362" i="11"/>
  <c r="M250" i="11"/>
  <c r="O250" i="11" s="1"/>
  <c r="L250" i="11"/>
  <c r="N250" i="11" s="1"/>
  <c r="K251" i="11"/>
  <c r="M117" i="11"/>
  <c r="O117" i="11" s="1"/>
  <c r="K118" i="11"/>
  <c r="L117" i="11"/>
  <c r="N117" i="11" s="1"/>
  <c r="L325" i="11"/>
  <c r="N325" i="11" s="1"/>
  <c r="L324" i="11"/>
  <c r="N324" i="11" s="1"/>
  <c r="K61" i="11"/>
  <c r="M61" i="11" s="1"/>
  <c r="O60" i="11"/>
  <c r="L60" i="11"/>
  <c r="N60" i="11" s="1"/>
  <c r="L345" i="11" l="1"/>
  <c r="N345" i="11" s="1"/>
  <c r="L342" i="11"/>
  <c r="N342" i="11" s="1"/>
  <c r="M342" i="11"/>
  <c r="O342" i="11" s="1"/>
  <c r="L344" i="11"/>
  <c r="N344" i="11" s="1"/>
  <c r="L343" i="11"/>
  <c r="N343" i="11" s="1"/>
  <c r="M345" i="11"/>
  <c r="O345" i="11" s="1"/>
  <c r="M343" i="11"/>
  <c r="O343" i="11" s="1"/>
  <c r="K347" i="11"/>
  <c r="L346" i="11"/>
  <c r="N346" i="11" s="1"/>
  <c r="M346" i="11"/>
  <c r="O346" i="11" s="1"/>
  <c r="M154" i="11"/>
  <c r="O154" i="11" s="1"/>
  <c r="L154" i="11"/>
  <c r="N154" i="11" s="1"/>
  <c r="K155" i="11"/>
  <c r="J401" i="11"/>
  <c r="J385" i="11"/>
  <c r="L212" i="11"/>
  <c r="N212" i="11" s="1"/>
  <c r="K213" i="11"/>
  <c r="M212" i="11"/>
  <c r="O212" i="11" s="1"/>
  <c r="J387" i="11"/>
  <c r="M136" i="11"/>
  <c r="O136" i="11" s="1"/>
  <c r="L136" i="11"/>
  <c r="N136" i="11" s="1"/>
  <c r="K137" i="11"/>
  <c r="M232" i="11"/>
  <c r="O232" i="11" s="1"/>
  <c r="L232" i="11"/>
  <c r="N232" i="11" s="1"/>
  <c r="K233" i="11"/>
  <c r="J396" i="11"/>
  <c r="M344" i="11"/>
  <c r="O344" i="11" s="1"/>
  <c r="M118" i="11"/>
  <c r="O118" i="11" s="1"/>
  <c r="L118" i="11"/>
  <c r="N118" i="11" s="1"/>
  <c r="K119" i="11"/>
  <c r="M77" i="11"/>
  <c r="O77" i="11" s="1"/>
  <c r="L77" i="11"/>
  <c r="N77" i="11" s="1"/>
  <c r="K78" i="11"/>
  <c r="K309" i="11"/>
  <c r="M308" i="11"/>
  <c r="O308" i="11" s="1"/>
  <c r="L308" i="11"/>
  <c r="N308" i="11" s="1"/>
  <c r="J395" i="11"/>
  <c r="J393" i="11"/>
  <c r="J391" i="11"/>
  <c r="J397" i="11"/>
  <c r="J398" i="11"/>
  <c r="J392" i="11"/>
  <c r="M251" i="11"/>
  <c r="O251" i="11" s="1"/>
  <c r="K252" i="11"/>
  <c r="L251" i="11"/>
  <c r="N251" i="11" s="1"/>
  <c r="K362" i="11"/>
  <c r="K363" i="11" s="1"/>
  <c r="K364" i="11" s="1"/>
  <c r="K365" i="11" s="1"/>
  <c r="K366" i="11" s="1"/>
  <c r="J382" i="11"/>
  <c r="M289" i="11"/>
  <c r="O289" i="11" s="1"/>
  <c r="K290" i="11"/>
  <c r="L289" i="11"/>
  <c r="N289" i="11" s="1"/>
  <c r="J388" i="11"/>
  <c r="J414" i="11"/>
  <c r="K328" i="11"/>
  <c r="L327" i="11"/>
  <c r="N327" i="11" s="1"/>
  <c r="M327" i="11"/>
  <c r="O327" i="11" s="1"/>
  <c r="J384" i="11"/>
  <c r="J390" i="11"/>
  <c r="J409" i="11"/>
  <c r="J406" i="11"/>
  <c r="L270" i="11"/>
  <c r="N270" i="11" s="1"/>
  <c r="K271" i="11"/>
  <c r="M270" i="11"/>
  <c r="O270" i="11" s="1"/>
  <c r="J419" i="11"/>
  <c r="M99" i="11"/>
  <c r="O99" i="11" s="1"/>
  <c r="L99" i="11"/>
  <c r="N99" i="11" s="1"/>
  <c r="K100" i="11"/>
  <c r="J383" i="11"/>
  <c r="K195" i="11"/>
  <c r="M194" i="11"/>
  <c r="O194" i="11" s="1"/>
  <c r="L194" i="11"/>
  <c r="N194" i="11" s="1"/>
  <c r="J400" i="11"/>
  <c r="M174" i="11"/>
  <c r="O174" i="11" s="1"/>
  <c r="K175" i="11"/>
  <c r="L174" i="11"/>
  <c r="N174" i="11" s="1"/>
  <c r="L61" i="11"/>
  <c r="N61" i="11" s="1"/>
  <c r="O61" i="11"/>
  <c r="M363" i="11" l="1"/>
  <c r="O363" i="11" s="1"/>
  <c r="L364" i="11"/>
  <c r="N364" i="11" s="1"/>
  <c r="L290" i="11"/>
  <c r="N290" i="11" s="1"/>
  <c r="M290" i="11"/>
  <c r="O290" i="11" s="1"/>
  <c r="K291" i="11"/>
  <c r="K367" i="11"/>
  <c r="L366" i="11"/>
  <c r="N366" i="11" s="1"/>
  <c r="M366" i="11"/>
  <c r="O366" i="11" s="1"/>
  <c r="M78" i="11"/>
  <c r="O78" i="11" s="1"/>
  <c r="L78" i="11"/>
  <c r="N78" i="11" s="1"/>
  <c r="K79" i="11"/>
  <c r="M137" i="11"/>
  <c r="O137" i="11" s="1"/>
  <c r="K138" i="11"/>
  <c r="L137" i="11"/>
  <c r="N137" i="11" s="1"/>
  <c r="J407" i="11"/>
  <c r="J421" i="11"/>
  <c r="M175" i="11"/>
  <c r="O175" i="11" s="1"/>
  <c r="L175" i="11"/>
  <c r="N175" i="11" s="1"/>
  <c r="K176" i="11"/>
  <c r="J403" i="11"/>
  <c r="K272" i="11"/>
  <c r="M271" i="11"/>
  <c r="O271" i="11" s="1"/>
  <c r="L271" i="11"/>
  <c r="N271" i="11" s="1"/>
  <c r="J402" i="11"/>
  <c r="K382" i="11"/>
  <c r="K383" i="11" s="1"/>
  <c r="K384" i="11" s="1"/>
  <c r="K385" i="11" s="1"/>
  <c r="K386" i="11" s="1"/>
  <c r="M252" i="11"/>
  <c r="O252" i="11" s="1"/>
  <c r="L252" i="11"/>
  <c r="N252" i="11" s="1"/>
  <c r="K253" i="11"/>
  <c r="J418" i="11"/>
  <c r="J411" i="11"/>
  <c r="J415" i="11"/>
  <c r="K310" i="11"/>
  <c r="L309" i="11"/>
  <c r="N309" i="11" s="1"/>
  <c r="M309" i="11"/>
  <c r="O309" i="11" s="1"/>
  <c r="M119" i="11"/>
  <c r="O119" i="11" s="1"/>
  <c r="L119" i="11"/>
  <c r="N119" i="11" s="1"/>
  <c r="K120" i="11"/>
  <c r="J416" i="11"/>
  <c r="M213" i="11"/>
  <c r="O213" i="11" s="1"/>
  <c r="L213" i="11"/>
  <c r="N213" i="11" s="1"/>
  <c r="K214" i="11"/>
  <c r="K348" i="11"/>
  <c r="L347" i="11"/>
  <c r="N347" i="11" s="1"/>
  <c r="M347" i="11"/>
  <c r="O347" i="11" s="1"/>
  <c r="J426" i="11"/>
  <c r="J410" i="11"/>
  <c r="J434" i="11"/>
  <c r="J405" i="11"/>
  <c r="M155" i="11"/>
  <c r="O155" i="11" s="1"/>
  <c r="L155" i="11"/>
  <c r="N155" i="11" s="1"/>
  <c r="K156" i="11"/>
  <c r="M365" i="11"/>
  <c r="O365" i="11" s="1"/>
  <c r="L363" i="11"/>
  <c r="N363" i="11" s="1"/>
  <c r="M364" i="11"/>
  <c r="O364" i="11" s="1"/>
  <c r="L362" i="11"/>
  <c r="N362" i="11" s="1"/>
  <c r="J439" i="11"/>
  <c r="J429" i="11"/>
  <c r="J420" i="11"/>
  <c r="K196" i="11"/>
  <c r="L195" i="11"/>
  <c r="N195" i="11" s="1"/>
  <c r="M195" i="11"/>
  <c r="O195" i="11" s="1"/>
  <c r="M100" i="11"/>
  <c r="O100" i="11" s="1"/>
  <c r="L100" i="11"/>
  <c r="N100" i="11" s="1"/>
  <c r="K101" i="11"/>
  <c r="J404" i="11"/>
  <c r="K329" i="11"/>
  <c r="M328" i="11"/>
  <c r="O328" i="11" s="1"/>
  <c r="L328" i="11"/>
  <c r="N328" i="11" s="1"/>
  <c r="J408" i="11"/>
  <c r="J412" i="11"/>
  <c r="J417" i="11"/>
  <c r="J413" i="11"/>
  <c r="M233" i="11"/>
  <c r="O233" i="11" s="1"/>
  <c r="K234" i="11"/>
  <c r="L233" i="11"/>
  <c r="N233" i="11" s="1"/>
  <c r="M362" i="11"/>
  <c r="O362" i="11" s="1"/>
  <c r="L365" i="11"/>
  <c r="N365" i="11" s="1"/>
  <c r="L384" i="11" l="1"/>
  <c r="N384" i="11" s="1"/>
  <c r="M385" i="11"/>
  <c r="O385" i="11" s="1"/>
  <c r="J433" i="11"/>
  <c r="J432" i="11"/>
  <c r="L196" i="11"/>
  <c r="N196" i="11" s="1"/>
  <c r="M196" i="11"/>
  <c r="O196" i="11" s="1"/>
  <c r="K197" i="11"/>
  <c r="M120" i="11"/>
  <c r="O120" i="11" s="1"/>
  <c r="L120" i="11"/>
  <c r="N120" i="11" s="1"/>
  <c r="K121" i="11"/>
  <c r="J431" i="11"/>
  <c r="M253" i="11"/>
  <c r="O253" i="11" s="1"/>
  <c r="L253" i="11"/>
  <c r="N253" i="11" s="1"/>
  <c r="K254" i="11"/>
  <c r="K387" i="11"/>
  <c r="L386" i="11"/>
  <c r="N386" i="11" s="1"/>
  <c r="M386" i="11"/>
  <c r="O386" i="11" s="1"/>
  <c r="J441" i="11"/>
  <c r="M79" i="11"/>
  <c r="O79" i="11" s="1"/>
  <c r="K80" i="11"/>
  <c r="L79" i="11"/>
  <c r="N79" i="11" s="1"/>
  <c r="J428" i="11"/>
  <c r="L329" i="11"/>
  <c r="N329" i="11" s="1"/>
  <c r="K330" i="11"/>
  <c r="M329" i="11"/>
  <c r="O329" i="11" s="1"/>
  <c r="M101" i="11"/>
  <c r="O101" i="11" s="1"/>
  <c r="L101" i="11"/>
  <c r="N101" i="11" s="1"/>
  <c r="J449" i="11"/>
  <c r="M156" i="11"/>
  <c r="O156" i="11" s="1"/>
  <c r="L156" i="11"/>
  <c r="N156" i="11" s="1"/>
  <c r="K157" i="11"/>
  <c r="J425" i="11"/>
  <c r="J430" i="11"/>
  <c r="M214" i="11"/>
  <c r="O214" i="11" s="1"/>
  <c r="L214" i="11"/>
  <c r="N214" i="11" s="1"/>
  <c r="K215" i="11"/>
  <c r="J423" i="11"/>
  <c r="J427" i="11"/>
  <c r="M234" i="11"/>
  <c r="O234" i="11" s="1"/>
  <c r="L234" i="11"/>
  <c r="N234" i="11" s="1"/>
  <c r="K235" i="11"/>
  <c r="J437" i="11"/>
  <c r="J446" i="11"/>
  <c r="K349" i="11"/>
  <c r="L348" i="11"/>
  <c r="N348" i="11" s="1"/>
  <c r="M348" i="11"/>
  <c r="O348" i="11" s="1"/>
  <c r="J436" i="11"/>
  <c r="J435" i="11"/>
  <c r="J438" i="11"/>
  <c r="M138" i="11"/>
  <c r="O138" i="11" s="1"/>
  <c r="L138" i="11"/>
  <c r="N138" i="11" s="1"/>
  <c r="K139" i="11"/>
  <c r="M291" i="11"/>
  <c r="O291" i="11" s="1"/>
  <c r="K292" i="11"/>
  <c r="L291" i="11"/>
  <c r="N291" i="11" s="1"/>
  <c r="J424" i="11"/>
  <c r="J440" i="11"/>
  <c r="J459" i="11"/>
  <c r="J454" i="11"/>
  <c r="K311" i="11"/>
  <c r="L310" i="11"/>
  <c r="N310" i="11" s="1"/>
  <c r="M310" i="11"/>
  <c r="O310" i="11" s="1"/>
  <c r="J422" i="11"/>
  <c r="K402" i="11"/>
  <c r="K403" i="11" s="1"/>
  <c r="K404" i="11" s="1"/>
  <c r="K405" i="11" s="1"/>
  <c r="K406" i="11" s="1"/>
  <c r="M272" i="11"/>
  <c r="O272" i="11" s="1"/>
  <c r="K273" i="11"/>
  <c r="L272" i="11"/>
  <c r="N272" i="11" s="1"/>
  <c r="M176" i="11"/>
  <c r="O176" i="11" s="1"/>
  <c r="L176" i="11"/>
  <c r="N176" i="11" s="1"/>
  <c r="K177" i="11"/>
  <c r="K368" i="11"/>
  <c r="M367" i="11"/>
  <c r="O367" i="11" s="1"/>
  <c r="L367" i="11"/>
  <c r="N367" i="11" s="1"/>
  <c r="M383" i="11"/>
  <c r="O383" i="11" s="1"/>
  <c r="L382" i="11"/>
  <c r="N382" i="11" s="1"/>
  <c r="M384" i="11"/>
  <c r="O384" i="11" s="1"/>
  <c r="L385" i="11"/>
  <c r="N385" i="11" s="1"/>
  <c r="M382" i="11"/>
  <c r="O382" i="11" s="1"/>
  <c r="L383" i="11"/>
  <c r="N383" i="11" s="1"/>
  <c r="L402" i="11" l="1"/>
  <c r="N402" i="11" s="1"/>
  <c r="M405" i="11"/>
  <c r="O405" i="11" s="1"/>
  <c r="M403" i="11"/>
  <c r="O403" i="11" s="1"/>
  <c r="J455" i="11"/>
  <c r="J466" i="11"/>
  <c r="M235" i="11"/>
  <c r="O235" i="11" s="1"/>
  <c r="K236" i="11"/>
  <c r="L235" i="11"/>
  <c r="N235" i="11" s="1"/>
  <c r="J447" i="11"/>
  <c r="J450" i="11"/>
  <c r="J469" i="11"/>
  <c r="J448" i="11"/>
  <c r="J474" i="11"/>
  <c r="J460" i="11"/>
  <c r="M139" i="11"/>
  <c r="O139" i="11" s="1"/>
  <c r="K140" i="11"/>
  <c r="L139" i="11"/>
  <c r="N139" i="11" s="1"/>
  <c r="J443" i="11"/>
  <c r="J445" i="11"/>
  <c r="M80" i="11"/>
  <c r="O80" i="11" s="1"/>
  <c r="K81" i="11"/>
  <c r="L80" i="11"/>
  <c r="N80" i="11" s="1"/>
  <c r="M121" i="11"/>
  <c r="O121" i="11" s="1"/>
  <c r="L121" i="11"/>
  <c r="N121" i="11" s="1"/>
  <c r="J453" i="11"/>
  <c r="M177" i="11"/>
  <c r="O177" i="11" s="1"/>
  <c r="L177" i="11"/>
  <c r="N177" i="11" s="1"/>
  <c r="K178" i="11"/>
  <c r="M273" i="11"/>
  <c r="O273" i="11" s="1"/>
  <c r="K274" i="11"/>
  <c r="L273" i="11"/>
  <c r="N273" i="11" s="1"/>
  <c r="K422" i="11"/>
  <c r="K423" i="11" s="1"/>
  <c r="K424" i="11" s="1"/>
  <c r="K425" i="11" s="1"/>
  <c r="K426" i="11" s="1"/>
  <c r="J442" i="11"/>
  <c r="M311" i="11"/>
  <c r="O311" i="11" s="1"/>
  <c r="K312" i="11"/>
  <c r="L311" i="11"/>
  <c r="N311" i="11" s="1"/>
  <c r="J444" i="11"/>
  <c r="J458" i="11"/>
  <c r="J456" i="11"/>
  <c r="L349" i="11"/>
  <c r="N349" i="11" s="1"/>
  <c r="K350" i="11"/>
  <c r="M349" i="11"/>
  <c r="O349" i="11" s="1"/>
  <c r="J457" i="11"/>
  <c r="M254" i="11"/>
  <c r="O254" i="11" s="1"/>
  <c r="K255" i="11"/>
  <c r="L254" i="11"/>
  <c r="N254" i="11" s="1"/>
  <c r="M197" i="11"/>
  <c r="O197" i="11" s="1"/>
  <c r="L197" i="11"/>
  <c r="N197" i="11" s="1"/>
  <c r="K198" i="11"/>
  <c r="M402" i="11"/>
  <c r="O402" i="11" s="1"/>
  <c r="M404" i="11"/>
  <c r="O404" i="11" s="1"/>
  <c r="L403" i="11"/>
  <c r="N403" i="11" s="1"/>
  <c r="L405" i="11"/>
  <c r="N405" i="11" s="1"/>
  <c r="K369" i="11"/>
  <c r="M368" i="11"/>
  <c r="O368" i="11" s="1"/>
  <c r="L368" i="11"/>
  <c r="N368" i="11" s="1"/>
  <c r="K407" i="11"/>
  <c r="L406" i="11"/>
  <c r="N406" i="11" s="1"/>
  <c r="M406" i="11"/>
  <c r="O406" i="11" s="1"/>
  <c r="J479" i="11"/>
  <c r="M292" i="11"/>
  <c r="O292" i="11" s="1"/>
  <c r="K293" i="11"/>
  <c r="L292" i="11"/>
  <c r="N292" i="11" s="1"/>
  <c r="M215" i="11"/>
  <c r="O215" i="11" s="1"/>
  <c r="K216" i="11"/>
  <c r="L215" i="11"/>
  <c r="N215" i="11" s="1"/>
  <c r="M157" i="11"/>
  <c r="O157" i="11" s="1"/>
  <c r="L157" i="11"/>
  <c r="N157" i="11" s="1"/>
  <c r="K158" i="11"/>
  <c r="K331" i="11"/>
  <c r="L330" i="11"/>
  <c r="N330" i="11" s="1"/>
  <c r="M330" i="11"/>
  <c r="O330" i="11" s="1"/>
  <c r="J461" i="11"/>
  <c r="K388" i="11"/>
  <c r="L387" i="11"/>
  <c r="N387" i="11" s="1"/>
  <c r="M387" i="11"/>
  <c r="O387" i="11" s="1"/>
  <c r="J451" i="11"/>
  <c r="J452" i="11"/>
  <c r="L404" i="11"/>
  <c r="N404" i="11" s="1"/>
  <c r="L424" i="11" l="1"/>
  <c r="N424" i="11" s="1"/>
  <c r="M422" i="11"/>
  <c r="O422" i="11" s="1"/>
  <c r="M424" i="11"/>
  <c r="O424" i="11" s="1"/>
  <c r="L422" i="11"/>
  <c r="N422" i="11" s="1"/>
  <c r="L423" i="11"/>
  <c r="N423" i="11" s="1"/>
  <c r="M425" i="11"/>
  <c r="O425" i="11" s="1"/>
  <c r="J499" i="11"/>
  <c r="K408" i="11"/>
  <c r="M407" i="11"/>
  <c r="O407" i="11" s="1"/>
  <c r="L407" i="11"/>
  <c r="N407" i="11" s="1"/>
  <c r="M198" i="11"/>
  <c r="O198" i="11" s="1"/>
  <c r="L198" i="11"/>
  <c r="N198" i="11" s="1"/>
  <c r="K199" i="11"/>
  <c r="M255" i="11"/>
  <c r="O255" i="11" s="1"/>
  <c r="L255" i="11"/>
  <c r="N255" i="11" s="1"/>
  <c r="K256" i="11"/>
  <c r="J464" i="11"/>
  <c r="M178" i="11"/>
  <c r="O178" i="11" s="1"/>
  <c r="L178" i="11"/>
  <c r="N178" i="11" s="1"/>
  <c r="K179" i="11"/>
  <c r="M81" i="11"/>
  <c r="O81" i="11" s="1"/>
  <c r="L81" i="11"/>
  <c r="N81" i="11" s="1"/>
  <c r="J468" i="11"/>
  <c r="J470" i="11"/>
  <c r="J472" i="11"/>
  <c r="M158" i="11"/>
  <c r="O158" i="11" s="1"/>
  <c r="K159" i="11"/>
  <c r="L158" i="11"/>
  <c r="N158" i="11" s="1"/>
  <c r="M216" i="11"/>
  <c r="O216" i="11" s="1"/>
  <c r="L216" i="11"/>
  <c r="N216" i="11" s="1"/>
  <c r="K217" i="11"/>
  <c r="K370" i="11"/>
  <c r="L369" i="11"/>
  <c r="N369" i="11" s="1"/>
  <c r="M369" i="11"/>
  <c r="O369" i="11" s="1"/>
  <c r="J476" i="11"/>
  <c r="M312" i="11"/>
  <c r="O312" i="11" s="1"/>
  <c r="K313" i="11"/>
  <c r="L312" i="11"/>
  <c r="N312" i="11" s="1"/>
  <c r="K427" i="11"/>
  <c r="M426" i="11"/>
  <c r="O426" i="11" s="1"/>
  <c r="L426" i="11"/>
  <c r="N426" i="11" s="1"/>
  <c r="J473" i="11"/>
  <c r="J465" i="11"/>
  <c r="J480" i="11"/>
  <c r="J467" i="11"/>
  <c r="J475" i="11"/>
  <c r="J481" i="11"/>
  <c r="L331" i="11"/>
  <c r="N331" i="11" s="1"/>
  <c r="M331" i="11"/>
  <c r="O331" i="11" s="1"/>
  <c r="K332" i="11"/>
  <c r="M293" i="11"/>
  <c r="O293" i="11" s="1"/>
  <c r="K294" i="11"/>
  <c r="L293" i="11"/>
  <c r="N293" i="11" s="1"/>
  <c r="J477" i="11"/>
  <c r="K442" i="11"/>
  <c r="K443" i="11" s="1"/>
  <c r="K444" i="11" s="1"/>
  <c r="K445" i="11" s="1"/>
  <c r="K446" i="11" s="1"/>
  <c r="J462" i="11"/>
  <c r="M274" i="11"/>
  <c r="O274" i="11" s="1"/>
  <c r="L274" i="11"/>
  <c r="N274" i="11" s="1"/>
  <c r="K275" i="11"/>
  <c r="J463" i="11"/>
  <c r="J489" i="11"/>
  <c r="M236" i="11"/>
  <c r="O236" i="11" s="1"/>
  <c r="L236" i="11"/>
  <c r="N236" i="11" s="1"/>
  <c r="K237" i="11"/>
  <c r="M423" i="11"/>
  <c r="O423" i="11" s="1"/>
  <c r="L425" i="11"/>
  <c r="N425" i="11" s="1"/>
  <c r="J471" i="11"/>
  <c r="K389" i="11"/>
  <c r="L388" i="11"/>
  <c r="N388" i="11" s="1"/>
  <c r="M388" i="11"/>
  <c r="O388" i="11" s="1"/>
  <c r="L350" i="11"/>
  <c r="N350" i="11" s="1"/>
  <c r="K351" i="11"/>
  <c r="M350" i="11"/>
  <c r="O350" i="11" s="1"/>
  <c r="J478" i="11"/>
  <c r="M140" i="11"/>
  <c r="O140" i="11" s="1"/>
  <c r="L140" i="11"/>
  <c r="N140" i="11" s="1"/>
  <c r="K141" i="11"/>
  <c r="J494" i="11"/>
  <c r="J486" i="11"/>
  <c r="L443" i="11" l="1"/>
  <c r="N443" i="11" s="1"/>
  <c r="M443" i="11"/>
  <c r="O443" i="11" s="1"/>
  <c r="L442" i="11"/>
  <c r="N442" i="11" s="1"/>
  <c r="M445" i="11"/>
  <c r="O445" i="11" s="1"/>
  <c r="M442" i="11"/>
  <c r="O442" i="11" s="1"/>
  <c r="L444" i="11"/>
  <c r="N444" i="11" s="1"/>
  <c r="J514" i="11"/>
  <c r="M351" i="11"/>
  <c r="O351" i="11" s="1"/>
  <c r="L351" i="11"/>
  <c r="N351" i="11" s="1"/>
  <c r="K352" i="11"/>
  <c r="L389" i="11"/>
  <c r="N389" i="11" s="1"/>
  <c r="K390" i="11"/>
  <c r="M389" i="11"/>
  <c r="O389" i="11" s="1"/>
  <c r="J509" i="11"/>
  <c r="J497" i="11"/>
  <c r="J501" i="11"/>
  <c r="J493" i="11"/>
  <c r="K428" i="11"/>
  <c r="L427" i="11"/>
  <c r="N427" i="11" s="1"/>
  <c r="M427" i="11"/>
  <c r="O427" i="11" s="1"/>
  <c r="J496" i="11"/>
  <c r="K371" i="11"/>
  <c r="M370" i="11"/>
  <c r="O370" i="11" s="1"/>
  <c r="L370" i="11"/>
  <c r="N370" i="11" s="1"/>
  <c r="J488" i="11"/>
  <c r="M179" i="11"/>
  <c r="O179" i="11" s="1"/>
  <c r="K180" i="11"/>
  <c r="L179" i="11"/>
  <c r="N179" i="11" s="1"/>
  <c r="J484" i="11"/>
  <c r="J483" i="11"/>
  <c r="M294" i="11"/>
  <c r="O294" i="11" s="1"/>
  <c r="K295" i="11"/>
  <c r="L294" i="11"/>
  <c r="N294" i="11" s="1"/>
  <c r="J500" i="11"/>
  <c r="J492" i="11"/>
  <c r="J519" i="11"/>
  <c r="J506" i="11"/>
  <c r="M141" i="11"/>
  <c r="O141" i="11" s="1"/>
  <c r="L141" i="11"/>
  <c r="N141" i="11" s="1"/>
  <c r="K447" i="11"/>
  <c r="M446" i="11"/>
  <c r="O446" i="11" s="1"/>
  <c r="L446" i="11"/>
  <c r="N446" i="11" s="1"/>
  <c r="J495" i="11"/>
  <c r="J485" i="11"/>
  <c r="M313" i="11"/>
  <c r="O313" i="11" s="1"/>
  <c r="K314" i="11"/>
  <c r="L313" i="11"/>
  <c r="N313" i="11" s="1"/>
  <c r="M256" i="11"/>
  <c r="O256" i="11" s="1"/>
  <c r="L256" i="11"/>
  <c r="N256" i="11" s="1"/>
  <c r="K257" i="11"/>
  <c r="K409" i="11"/>
  <c r="M408" i="11"/>
  <c r="O408" i="11" s="1"/>
  <c r="L408" i="11"/>
  <c r="N408" i="11" s="1"/>
  <c r="J498" i="11"/>
  <c r="J491" i="11"/>
  <c r="M237" i="11"/>
  <c r="O237" i="11" s="1"/>
  <c r="L237" i="11"/>
  <c r="N237" i="11" s="1"/>
  <c r="K238" i="11"/>
  <c r="M275" i="11"/>
  <c r="O275" i="11" s="1"/>
  <c r="K276" i="11"/>
  <c r="L275" i="11"/>
  <c r="N275" i="11" s="1"/>
  <c r="K462" i="11"/>
  <c r="K463" i="11" s="1"/>
  <c r="K464" i="11" s="1"/>
  <c r="K465" i="11" s="1"/>
  <c r="K466" i="11" s="1"/>
  <c r="J482" i="11"/>
  <c r="M332" i="11"/>
  <c r="O332" i="11" s="1"/>
  <c r="K333" i="11"/>
  <c r="L332" i="11"/>
  <c r="N332" i="11" s="1"/>
  <c r="J487" i="11"/>
  <c r="M217" i="11"/>
  <c r="O217" i="11" s="1"/>
  <c r="K218" i="11"/>
  <c r="L217" i="11"/>
  <c r="N217" i="11" s="1"/>
  <c r="M159" i="11"/>
  <c r="O159" i="11" s="1"/>
  <c r="K160" i="11"/>
  <c r="L159" i="11"/>
  <c r="N159" i="11" s="1"/>
  <c r="J490" i="11"/>
  <c r="M199" i="11"/>
  <c r="O199" i="11" s="1"/>
  <c r="L199" i="11"/>
  <c r="N199" i="11" s="1"/>
  <c r="K200" i="11"/>
  <c r="L445" i="11"/>
  <c r="N445" i="11" s="1"/>
  <c r="M444" i="11"/>
  <c r="O444" i="11" s="1"/>
  <c r="L465" i="11" l="1"/>
  <c r="N465" i="11" s="1"/>
  <c r="L463" i="11"/>
  <c r="N463" i="11" s="1"/>
  <c r="L462" i="11"/>
  <c r="N462" i="11" s="1"/>
  <c r="L464" i="11"/>
  <c r="N464" i="11" s="1"/>
  <c r="M462" i="11"/>
  <c r="O462" i="11" s="1"/>
  <c r="M465" i="11"/>
  <c r="O465" i="11" s="1"/>
  <c r="M463" i="11"/>
  <c r="O463" i="11" s="1"/>
  <c r="M218" i="11"/>
  <c r="O218" i="11" s="1"/>
  <c r="K219" i="11"/>
  <c r="L218" i="11"/>
  <c r="N218" i="11" s="1"/>
  <c r="J518" i="11"/>
  <c r="K410" i="11"/>
  <c r="M409" i="11"/>
  <c r="O409" i="11" s="1"/>
  <c r="L409" i="11"/>
  <c r="N409" i="11" s="1"/>
  <c r="J505" i="11"/>
  <c r="J539" i="11"/>
  <c r="J520" i="11"/>
  <c r="M180" i="11"/>
  <c r="O180" i="11" s="1"/>
  <c r="K181" i="11"/>
  <c r="L180" i="11"/>
  <c r="N180" i="11" s="1"/>
  <c r="J516" i="11"/>
  <c r="K429" i="11"/>
  <c r="M428" i="11"/>
  <c r="O428" i="11" s="1"/>
  <c r="L428" i="11"/>
  <c r="N428" i="11" s="1"/>
  <c r="M352" i="11"/>
  <c r="O352" i="11" s="1"/>
  <c r="L352" i="11"/>
  <c r="N352" i="11" s="1"/>
  <c r="K353" i="11"/>
  <c r="M200" i="11"/>
  <c r="O200" i="11" s="1"/>
  <c r="K201" i="11"/>
  <c r="L200" i="11"/>
  <c r="N200" i="11" s="1"/>
  <c r="J507" i="11"/>
  <c r="M238" i="11"/>
  <c r="O238" i="11" s="1"/>
  <c r="K239" i="11"/>
  <c r="L238" i="11"/>
  <c r="N238" i="11" s="1"/>
  <c r="M295" i="11"/>
  <c r="O295" i="11" s="1"/>
  <c r="K296" i="11"/>
  <c r="L295" i="11"/>
  <c r="N295" i="11" s="1"/>
  <c r="J508" i="11"/>
  <c r="L371" i="11"/>
  <c r="N371" i="11" s="1"/>
  <c r="K372" i="11"/>
  <c r="M371" i="11"/>
  <c r="O371" i="11" s="1"/>
  <c r="J521" i="11"/>
  <c r="J529" i="11"/>
  <c r="J534" i="11"/>
  <c r="J510" i="11"/>
  <c r="M333" i="11"/>
  <c r="O333" i="11" s="1"/>
  <c r="K334" i="11"/>
  <c r="L333" i="11"/>
  <c r="N333" i="11" s="1"/>
  <c r="K467" i="11"/>
  <c r="L466" i="11"/>
  <c r="N466" i="11" s="1"/>
  <c r="M466" i="11"/>
  <c r="O466" i="11" s="1"/>
  <c r="J511" i="11"/>
  <c r="J515" i="11"/>
  <c r="K448" i="11"/>
  <c r="M447" i="11"/>
  <c r="O447" i="11" s="1"/>
  <c r="L447" i="11"/>
  <c r="N447" i="11" s="1"/>
  <c r="J526" i="11"/>
  <c r="J512" i="11"/>
  <c r="J503" i="11"/>
  <c r="K391" i="11"/>
  <c r="L390" i="11"/>
  <c r="N390" i="11" s="1"/>
  <c r="M390" i="11"/>
  <c r="O390" i="11" s="1"/>
  <c r="M464" i="11"/>
  <c r="O464" i="11" s="1"/>
  <c r="M160" i="11"/>
  <c r="O160" i="11" s="1"/>
  <c r="L160" i="11"/>
  <c r="N160" i="11" s="1"/>
  <c r="K161" i="11"/>
  <c r="K482" i="11"/>
  <c r="K483" i="11" s="1"/>
  <c r="K484" i="11" s="1"/>
  <c r="K485" i="11" s="1"/>
  <c r="K486" i="11" s="1"/>
  <c r="J502" i="11"/>
  <c r="M276" i="11"/>
  <c r="O276" i="11" s="1"/>
  <c r="K277" i="11"/>
  <c r="L276" i="11"/>
  <c r="N276" i="11" s="1"/>
  <c r="M257" i="11"/>
  <c r="O257" i="11" s="1"/>
  <c r="L257" i="11"/>
  <c r="N257" i="11" s="1"/>
  <c r="K258" i="11"/>
  <c r="M314" i="11"/>
  <c r="O314" i="11" s="1"/>
  <c r="L314" i="11"/>
  <c r="N314" i="11" s="1"/>
  <c r="K315" i="11"/>
  <c r="J504" i="11"/>
  <c r="J513" i="11"/>
  <c r="J517" i="11"/>
  <c r="M484" i="11" l="1"/>
  <c r="O484" i="11" s="1"/>
  <c r="L484" i="11"/>
  <c r="N484" i="11" s="1"/>
  <c r="L482" i="11"/>
  <c r="N482" i="11" s="1"/>
  <c r="M482" i="11"/>
  <c r="O482" i="11" s="1"/>
  <c r="L483" i="11"/>
  <c r="N483" i="11" s="1"/>
  <c r="M485" i="11"/>
  <c r="O485" i="11" s="1"/>
  <c r="M161" i="11"/>
  <c r="O161" i="11" s="1"/>
  <c r="L161" i="11"/>
  <c r="N161" i="11" s="1"/>
  <c r="K430" i="11"/>
  <c r="L429" i="11"/>
  <c r="N429" i="11" s="1"/>
  <c r="M429" i="11"/>
  <c r="O429" i="11" s="1"/>
  <c r="J559" i="11"/>
  <c r="J538" i="11"/>
  <c r="M391" i="11"/>
  <c r="O391" i="11" s="1"/>
  <c r="L391" i="11"/>
  <c r="N391" i="11" s="1"/>
  <c r="K392" i="11"/>
  <c r="J535" i="11"/>
  <c r="M334" i="11"/>
  <c r="O334" i="11" s="1"/>
  <c r="K335" i="11"/>
  <c r="L334" i="11"/>
  <c r="N334" i="11" s="1"/>
  <c r="J541" i="11"/>
  <c r="M239" i="11"/>
  <c r="O239" i="11" s="1"/>
  <c r="K240" i="11"/>
  <c r="L239" i="11"/>
  <c r="N239" i="11" s="1"/>
  <c r="M353" i="11"/>
  <c r="O353" i="11" s="1"/>
  <c r="K354" i="11"/>
  <c r="L353" i="11"/>
  <c r="N353" i="11" s="1"/>
  <c r="J525" i="11"/>
  <c r="K411" i="11"/>
  <c r="L410" i="11"/>
  <c r="N410" i="11" s="1"/>
  <c r="M410" i="11"/>
  <c r="O410" i="11" s="1"/>
  <c r="M219" i="11"/>
  <c r="O219" i="11" s="1"/>
  <c r="L219" i="11"/>
  <c r="N219" i="11" s="1"/>
  <c r="K220" i="11"/>
  <c r="J533" i="11"/>
  <c r="M258" i="11"/>
  <c r="O258" i="11" s="1"/>
  <c r="K259" i="11"/>
  <c r="L258" i="11"/>
  <c r="N258" i="11" s="1"/>
  <c r="M277" i="11"/>
  <c r="O277" i="11" s="1"/>
  <c r="K278" i="11"/>
  <c r="L277" i="11"/>
  <c r="N277" i="11" s="1"/>
  <c r="K487" i="11"/>
  <c r="L486" i="11"/>
  <c r="N486" i="11" s="1"/>
  <c r="M486" i="11"/>
  <c r="O486" i="11" s="1"/>
  <c r="J546" i="11"/>
  <c r="K449" i="11"/>
  <c r="M448" i="11"/>
  <c r="O448" i="11" s="1"/>
  <c r="L448" i="11"/>
  <c r="N448" i="11" s="1"/>
  <c r="M372" i="11"/>
  <c r="O372" i="11" s="1"/>
  <c r="L372" i="11"/>
  <c r="N372" i="11" s="1"/>
  <c r="K373" i="11"/>
  <c r="J527" i="11"/>
  <c r="J540" i="11"/>
  <c r="M483" i="11"/>
  <c r="O483" i="11" s="1"/>
  <c r="L485" i="11"/>
  <c r="N485" i="11" s="1"/>
  <c r="J537" i="11"/>
  <c r="M296" i="11"/>
  <c r="O296" i="11" s="1"/>
  <c r="K297" i="11"/>
  <c r="L296" i="11"/>
  <c r="N296" i="11" s="1"/>
  <c r="M181" i="11"/>
  <c r="O181" i="11" s="1"/>
  <c r="L181" i="11"/>
  <c r="N181" i="11" s="1"/>
  <c r="M315" i="11"/>
  <c r="O315" i="11" s="1"/>
  <c r="K316" i="11"/>
  <c r="L315" i="11"/>
  <c r="N315" i="11" s="1"/>
  <c r="J532" i="11"/>
  <c r="J554" i="11"/>
  <c r="J524" i="11"/>
  <c r="J522" i="11"/>
  <c r="K502" i="11"/>
  <c r="K503" i="11" s="1"/>
  <c r="K504" i="11" s="1"/>
  <c r="K505" i="11" s="1"/>
  <c r="K506" i="11" s="1"/>
  <c r="J523" i="11"/>
  <c r="J531" i="11"/>
  <c r="K468" i="11"/>
  <c r="M467" i="11"/>
  <c r="O467" i="11" s="1"/>
  <c r="L467" i="11"/>
  <c r="N467" i="11" s="1"/>
  <c r="J530" i="11"/>
  <c r="J549" i="11"/>
  <c r="J528" i="11"/>
  <c r="M201" i="11"/>
  <c r="O201" i="11" s="1"/>
  <c r="L201" i="11"/>
  <c r="N201" i="11" s="1"/>
  <c r="J536" i="11"/>
  <c r="L503" i="11" l="1"/>
  <c r="N503" i="11" s="1"/>
  <c r="J556" i="11"/>
  <c r="K522" i="11"/>
  <c r="K523" i="11" s="1"/>
  <c r="K524" i="11" s="1"/>
  <c r="K525" i="11" s="1"/>
  <c r="K526" i="11" s="1"/>
  <c r="J542" i="11"/>
  <c r="J544" i="11"/>
  <c r="J552" i="11"/>
  <c r="M297" i="11"/>
  <c r="O297" i="11" s="1"/>
  <c r="K298" i="11"/>
  <c r="L297" i="11"/>
  <c r="N297" i="11" s="1"/>
  <c r="K450" i="11"/>
  <c r="L449" i="11"/>
  <c r="N449" i="11" s="1"/>
  <c r="M449" i="11"/>
  <c r="O449" i="11" s="1"/>
  <c r="M278" i="11"/>
  <c r="O278" i="11" s="1"/>
  <c r="L278" i="11"/>
  <c r="N278" i="11" s="1"/>
  <c r="K279" i="11"/>
  <c r="K412" i="11"/>
  <c r="M411" i="11"/>
  <c r="O411" i="11" s="1"/>
  <c r="L411" i="11"/>
  <c r="N411" i="11" s="1"/>
  <c r="M240" i="11"/>
  <c r="O240" i="11" s="1"/>
  <c r="K241" i="11"/>
  <c r="L240" i="11"/>
  <c r="N240" i="11" s="1"/>
  <c r="J558" i="11"/>
  <c r="J569" i="11"/>
  <c r="K507" i="11"/>
  <c r="L506" i="11"/>
  <c r="N506" i="11" s="1"/>
  <c r="M506" i="11"/>
  <c r="O506" i="11" s="1"/>
  <c r="M316" i="11"/>
  <c r="O316" i="11" s="1"/>
  <c r="K317" i="11"/>
  <c r="L316" i="11"/>
  <c r="N316" i="11" s="1"/>
  <c r="M373" i="11"/>
  <c r="O373" i="11" s="1"/>
  <c r="K374" i="11"/>
  <c r="L373" i="11"/>
  <c r="N373" i="11" s="1"/>
  <c r="M259" i="11"/>
  <c r="O259" i="11" s="1"/>
  <c r="K260" i="11"/>
  <c r="L259" i="11"/>
  <c r="N259" i="11" s="1"/>
  <c r="M220" i="11"/>
  <c r="O220" i="11" s="1"/>
  <c r="L220" i="11"/>
  <c r="N220" i="11" s="1"/>
  <c r="K221" i="11"/>
  <c r="J555" i="11"/>
  <c r="J551" i="11"/>
  <c r="J574" i="11"/>
  <c r="J557" i="11"/>
  <c r="J560" i="11"/>
  <c r="J566" i="11"/>
  <c r="K488" i="11"/>
  <c r="L487" i="11"/>
  <c r="N487" i="11" s="1"/>
  <c r="M487" i="11"/>
  <c r="O487" i="11" s="1"/>
  <c r="J545" i="11"/>
  <c r="J561" i="11"/>
  <c r="J579" i="11"/>
  <c r="L430" i="11"/>
  <c r="N430" i="11" s="1"/>
  <c r="K431" i="11"/>
  <c r="M430" i="11"/>
  <c r="O430" i="11" s="1"/>
  <c r="J548" i="11"/>
  <c r="J550" i="11"/>
  <c r="K469" i="11"/>
  <c r="L468" i="11"/>
  <c r="N468" i="11" s="1"/>
  <c r="M468" i="11"/>
  <c r="O468" i="11" s="1"/>
  <c r="J543" i="11"/>
  <c r="J547" i="11"/>
  <c r="J553" i="11"/>
  <c r="M354" i="11"/>
  <c r="O354" i="11" s="1"/>
  <c r="K355" i="11"/>
  <c r="L354" i="11"/>
  <c r="N354" i="11" s="1"/>
  <c r="M335" i="11"/>
  <c r="O335" i="11" s="1"/>
  <c r="K336" i="11"/>
  <c r="L335" i="11"/>
  <c r="N335" i="11" s="1"/>
  <c r="M392" i="11"/>
  <c r="O392" i="11" s="1"/>
  <c r="L392" i="11"/>
  <c r="N392" i="11" s="1"/>
  <c r="K393" i="11"/>
  <c r="L504" i="11"/>
  <c r="N504" i="11" s="1"/>
  <c r="M505" i="11"/>
  <c r="O505" i="11" s="1"/>
  <c r="M503" i="11"/>
  <c r="O503" i="11" s="1"/>
  <c r="M502" i="11"/>
  <c r="O502" i="11" s="1"/>
  <c r="L502" i="11"/>
  <c r="N502" i="11" s="1"/>
  <c r="M504" i="11"/>
  <c r="O504" i="11" s="1"/>
  <c r="L505" i="11"/>
  <c r="N505" i="11" s="1"/>
  <c r="L523" i="11" l="1"/>
  <c r="N523" i="11" s="1"/>
  <c r="M522" i="11"/>
  <c r="O522" i="11" s="1"/>
  <c r="M525" i="11"/>
  <c r="O525" i="11" s="1"/>
  <c r="M524" i="11"/>
  <c r="O524" i="11" s="1"/>
  <c r="M523" i="11"/>
  <c r="O523" i="11" s="1"/>
  <c r="L524" i="11"/>
  <c r="N524" i="11" s="1"/>
  <c r="L525" i="11"/>
  <c r="N525" i="11" s="1"/>
  <c r="L522" i="11"/>
  <c r="N522" i="11" s="1"/>
  <c r="M355" i="11"/>
  <c r="O355" i="11" s="1"/>
  <c r="L355" i="11"/>
  <c r="N355" i="11" s="1"/>
  <c r="K356" i="11"/>
  <c r="J563" i="11"/>
  <c r="L469" i="11"/>
  <c r="N469" i="11" s="1"/>
  <c r="K470" i="11"/>
  <c r="M469" i="11"/>
  <c r="O469" i="11" s="1"/>
  <c r="J568" i="11"/>
  <c r="J586" i="11"/>
  <c r="J577" i="11"/>
  <c r="J571" i="11"/>
  <c r="M221" i="11"/>
  <c r="O221" i="11" s="1"/>
  <c r="L221" i="11"/>
  <c r="N221" i="11" s="1"/>
  <c r="M260" i="11"/>
  <c r="O260" i="11" s="1"/>
  <c r="L260" i="11"/>
  <c r="N260" i="11" s="1"/>
  <c r="K261" i="11"/>
  <c r="M241" i="11"/>
  <c r="O241" i="11" s="1"/>
  <c r="L241" i="11"/>
  <c r="N241" i="11" s="1"/>
  <c r="M412" i="11"/>
  <c r="O412" i="11" s="1"/>
  <c r="L412" i="11"/>
  <c r="N412" i="11" s="1"/>
  <c r="K413" i="11"/>
  <c r="M298" i="11"/>
  <c r="O298" i="11" s="1"/>
  <c r="L298" i="11"/>
  <c r="N298" i="11" s="1"/>
  <c r="K299" i="11"/>
  <c r="K542" i="11"/>
  <c r="K543" i="11" s="1"/>
  <c r="K544" i="11" s="1"/>
  <c r="K545" i="11" s="1"/>
  <c r="K546" i="11" s="1"/>
  <c r="J562" i="11"/>
  <c r="M431" i="11"/>
  <c r="O431" i="11" s="1"/>
  <c r="K432" i="11"/>
  <c r="L431" i="11"/>
  <c r="N431" i="11" s="1"/>
  <c r="J581" i="11"/>
  <c r="M374" i="11"/>
  <c r="O374" i="11" s="1"/>
  <c r="K375" i="11"/>
  <c r="L374" i="11"/>
  <c r="N374" i="11" s="1"/>
  <c r="J589" i="11"/>
  <c r="J576" i="11"/>
  <c r="J573" i="11"/>
  <c r="J565" i="11"/>
  <c r="K489" i="11"/>
  <c r="M488" i="11"/>
  <c r="O488" i="11" s="1"/>
  <c r="L488" i="11"/>
  <c r="N488" i="11" s="1"/>
  <c r="J580" i="11"/>
  <c r="J594" i="11"/>
  <c r="J575" i="11"/>
  <c r="M317" i="11"/>
  <c r="O317" i="11" s="1"/>
  <c r="K318" i="11"/>
  <c r="L317" i="11"/>
  <c r="N317" i="11" s="1"/>
  <c r="K508" i="11"/>
  <c r="M507" i="11"/>
  <c r="O507" i="11" s="1"/>
  <c r="L507" i="11"/>
  <c r="N507" i="11" s="1"/>
  <c r="K451" i="11"/>
  <c r="M450" i="11"/>
  <c r="O450" i="11" s="1"/>
  <c r="L450" i="11"/>
  <c r="N450" i="11" s="1"/>
  <c r="J572" i="11"/>
  <c r="M393" i="11"/>
  <c r="O393" i="11" s="1"/>
  <c r="K394" i="11"/>
  <c r="L393" i="11"/>
  <c r="N393" i="11" s="1"/>
  <c r="M336" i="11"/>
  <c r="O336" i="11" s="1"/>
  <c r="L336" i="11"/>
  <c r="N336" i="11" s="1"/>
  <c r="K337" i="11"/>
  <c r="J567" i="11"/>
  <c r="J570" i="11"/>
  <c r="J599" i="11"/>
  <c r="J578" i="11"/>
  <c r="M279" i="11"/>
  <c r="O279" i="11" s="1"/>
  <c r="K280" i="11"/>
  <c r="L279" i="11"/>
  <c r="N279" i="11" s="1"/>
  <c r="J564" i="11"/>
  <c r="L544" i="11"/>
  <c r="N544" i="11" s="1"/>
  <c r="K527" i="11"/>
  <c r="L526" i="11"/>
  <c r="N526" i="11" s="1"/>
  <c r="M526" i="11"/>
  <c r="O526" i="11" s="1"/>
  <c r="L545" i="11" l="1"/>
  <c r="N545" i="11" s="1"/>
  <c r="M544" i="11"/>
  <c r="O544" i="11" s="1"/>
  <c r="M542" i="11"/>
  <c r="O542" i="11" s="1"/>
  <c r="J587" i="11"/>
  <c r="J592" i="11"/>
  <c r="J601" i="11"/>
  <c r="M413" i="11"/>
  <c r="O413" i="11" s="1"/>
  <c r="L413" i="11"/>
  <c r="N413" i="11" s="1"/>
  <c r="K414" i="11"/>
  <c r="J597" i="11"/>
  <c r="M280" i="11"/>
  <c r="O280" i="11" s="1"/>
  <c r="L280" i="11"/>
  <c r="N280" i="11" s="1"/>
  <c r="K281" i="11"/>
  <c r="J619" i="11"/>
  <c r="K509" i="11"/>
  <c r="M508" i="11"/>
  <c r="O508" i="11" s="1"/>
  <c r="L508" i="11"/>
  <c r="N508" i="11" s="1"/>
  <c r="J595" i="11"/>
  <c r="J600" i="11"/>
  <c r="K490" i="11"/>
  <c r="L489" i="11"/>
  <c r="N489" i="11" s="1"/>
  <c r="M489" i="11"/>
  <c r="O489" i="11" s="1"/>
  <c r="J593" i="11"/>
  <c r="J609" i="11"/>
  <c r="M432" i="11"/>
  <c r="O432" i="11" s="1"/>
  <c r="K433" i="11"/>
  <c r="L432" i="11"/>
  <c r="N432" i="11" s="1"/>
  <c r="K547" i="11"/>
  <c r="M546" i="11"/>
  <c r="O546" i="11" s="1"/>
  <c r="L546" i="11"/>
  <c r="N546" i="11" s="1"/>
  <c r="J606" i="11"/>
  <c r="K528" i="11"/>
  <c r="M527" i="11"/>
  <c r="O527" i="11" s="1"/>
  <c r="L527" i="11"/>
  <c r="N527" i="11" s="1"/>
  <c r="M337" i="11"/>
  <c r="O337" i="11" s="1"/>
  <c r="L337" i="11"/>
  <c r="N337" i="11" s="1"/>
  <c r="K338" i="11"/>
  <c r="M394" i="11"/>
  <c r="O394" i="11" s="1"/>
  <c r="K395" i="11"/>
  <c r="L394" i="11"/>
  <c r="N394" i="11" s="1"/>
  <c r="M375" i="11"/>
  <c r="O375" i="11" s="1"/>
  <c r="L375" i="11"/>
  <c r="N375" i="11" s="1"/>
  <c r="K376" i="11"/>
  <c r="J582" i="11"/>
  <c r="K562" i="11"/>
  <c r="K563" i="11" s="1"/>
  <c r="K564" i="11" s="1"/>
  <c r="K565" i="11" s="1"/>
  <c r="K566" i="11" s="1"/>
  <c r="J591" i="11"/>
  <c r="J588" i="11"/>
  <c r="M356" i="11"/>
  <c r="O356" i="11" s="1"/>
  <c r="L356" i="11"/>
  <c r="N356" i="11" s="1"/>
  <c r="K357" i="11"/>
  <c r="L543" i="11"/>
  <c r="N543" i="11" s="1"/>
  <c r="M545" i="11"/>
  <c r="O545" i="11" s="1"/>
  <c r="J584" i="11"/>
  <c r="M451" i="11"/>
  <c r="O451" i="11" s="1"/>
  <c r="K452" i="11"/>
  <c r="L451" i="11"/>
  <c r="N451" i="11" s="1"/>
  <c r="J583" i="11"/>
  <c r="J598" i="11"/>
  <c r="J590" i="11"/>
  <c r="M318" i="11"/>
  <c r="O318" i="11" s="1"/>
  <c r="L318" i="11"/>
  <c r="N318" i="11" s="1"/>
  <c r="K319" i="11"/>
  <c r="J614" i="11"/>
  <c r="J585" i="11"/>
  <c r="J596" i="11"/>
  <c r="M299" i="11"/>
  <c r="O299" i="11" s="1"/>
  <c r="K300" i="11"/>
  <c r="L299" i="11"/>
  <c r="N299" i="11" s="1"/>
  <c r="M261" i="11"/>
  <c r="O261" i="11" s="1"/>
  <c r="L261" i="11"/>
  <c r="N261" i="11" s="1"/>
  <c r="L470" i="11"/>
  <c r="N470" i="11" s="1"/>
  <c r="K471" i="11"/>
  <c r="M470" i="11"/>
  <c r="O470" i="11" s="1"/>
  <c r="L542" i="11"/>
  <c r="N542" i="11" s="1"/>
  <c r="M543" i="11"/>
  <c r="O543" i="11" s="1"/>
  <c r="K472" i="11" l="1"/>
  <c r="M471" i="11"/>
  <c r="O471" i="11" s="1"/>
  <c r="L471" i="11"/>
  <c r="N471" i="11" s="1"/>
  <c r="J634" i="11"/>
  <c r="J604" i="11"/>
  <c r="K567" i="11"/>
  <c r="L566" i="11"/>
  <c r="N566" i="11" s="1"/>
  <c r="M566" i="11"/>
  <c r="O566" i="11" s="1"/>
  <c r="M395" i="11"/>
  <c r="O395" i="11" s="1"/>
  <c r="L395" i="11"/>
  <c r="N395" i="11" s="1"/>
  <c r="K396" i="11"/>
  <c r="J617" i="11"/>
  <c r="J616" i="11"/>
  <c r="J618" i="11"/>
  <c r="K529" i="11"/>
  <c r="M528" i="11"/>
  <c r="O528" i="11" s="1"/>
  <c r="L528" i="11"/>
  <c r="N528" i="11" s="1"/>
  <c r="M433" i="11"/>
  <c r="O433" i="11" s="1"/>
  <c r="K434" i="11"/>
  <c r="L433" i="11"/>
  <c r="N433" i="11" s="1"/>
  <c r="J613" i="11"/>
  <c r="K491" i="11"/>
  <c r="L490" i="11"/>
  <c r="N490" i="11" s="1"/>
  <c r="M490" i="11"/>
  <c r="O490" i="11" s="1"/>
  <c r="J639" i="11"/>
  <c r="J612" i="11"/>
  <c r="J605" i="11"/>
  <c r="M319" i="11"/>
  <c r="O319" i="11" s="1"/>
  <c r="K320" i="11"/>
  <c r="L319" i="11"/>
  <c r="N319" i="11" s="1"/>
  <c r="J603" i="11"/>
  <c r="J611" i="11"/>
  <c r="M338" i="11"/>
  <c r="O338" i="11" s="1"/>
  <c r="K339" i="11"/>
  <c r="L338" i="11"/>
  <c r="N338" i="11" s="1"/>
  <c r="J615" i="11"/>
  <c r="K510" i="11"/>
  <c r="L509" i="11"/>
  <c r="N509" i="11" s="1"/>
  <c r="M509" i="11"/>
  <c r="O509" i="11" s="1"/>
  <c r="M414" i="11"/>
  <c r="O414" i="11" s="1"/>
  <c r="L414" i="11"/>
  <c r="N414" i="11" s="1"/>
  <c r="K415" i="11"/>
  <c r="J607" i="11"/>
  <c r="M565" i="11"/>
  <c r="O565" i="11" s="1"/>
  <c r="M563" i="11"/>
  <c r="O563" i="11" s="1"/>
  <c r="L564" i="11"/>
  <c r="N564" i="11" s="1"/>
  <c r="M562" i="11"/>
  <c r="O562" i="11" s="1"/>
  <c r="L562" i="11"/>
  <c r="N562" i="11" s="1"/>
  <c r="M357" i="11"/>
  <c r="O357" i="11" s="1"/>
  <c r="K358" i="11"/>
  <c r="L357" i="11"/>
  <c r="N357" i="11" s="1"/>
  <c r="J608" i="11"/>
  <c r="M376" i="11"/>
  <c r="O376" i="11" s="1"/>
  <c r="K377" i="11"/>
  <c r="L376" i="11"/>
  <c r="N376" i="11" s="1"/>
  <c r="J620" i="11"/>
  <c r="M300" i="11"/>
  <c r="O300" i="11" s="1"/>
  <c r="L300" i="11"/>
  <c r="N300" i="11" s="1"/>
  <c r="K301" i="11"/>
  <c r="J610" i="11"/>
  <c r="M452" i="11"/>
  <c r="O452" i="11" s="1"/>
  <c r="K453" i="11"/>
  <c r="L452" i="11"/>
  <c r="N452" i="11" s="1"/>
  <c r="J602" i="11"/>
  <c r="K582" i="11"/>
  <c r="K583" i="11" s="1"/>
  <c r="K584" i="11" s="1"/>
  <c r="K585" i="11" s="1"/>
  <c r="K586" i="11" s="1"/>
  <c r="J626" i="11"/>
  <c r="K548" i="11"/>
  <c r="M547" i="11"/>
  <c r="O547" i="11" s="1"/>
  <c r="L547" i="11"/>
  <c r="N547" i="11" s="1"/>
  <c r="J629" i="11"/>
  <c r="M281" i="11"/>
  <c r="O281" i="11" s="1"/>
  <c r="L281" i="11"/>
  <c r="N281" i="11" s="1"/>
  <c r="J621" i="11"/>
  <c r="L565" i="11"/>
  <c r="N565" i="11" s="1"/>
  <c r="L563" i="11"/>
  <c r="N563" i="11" s="1"/>
  <c r="M564" i="11"/>
  <c r="O564" i="11" s="1"/>
  <c r="L582" i="11" l="1"/>
  <c r="N582" i="11" s="1"/>
  <c r="L583" i="11"/>
  <c r="N583" i="11" s="1"/>
  <c r="M585" i="11"/>
  <c r="O585" i="11" s="1"/>
  <c r="M584" i="11"/>
  <c r="O584" i="11" s="1"/>
  <c r="M582" i="11"/>
  <c r="O582" i="11" s="1"/>
  <c r="M583" i="11"/>
  <c r="O583" i="11" s="1"/>
  <c r="L585" i="11"/>
  <c r="N585" i="11" s="1"/>
  <c r="L584" i="11"/>
  <c r="N584" i="11" s="1"/>
  <c r="J630" i="11"/>
  <c r="M377" i="11"/>
  <c r="O377" i="11" s="1"/>
  <c r="K378" i="11"/>
  <c r="L377" i="11"/>
  <c r="N377" i="11" s="1"/>
  <c r="M415" i="11"/>
  <c r="O415" i="11" s="1"/>
  <c r="K416" i="11"/>
  <c r="L415" i="11"/>
  <c r="N415" i="11" s="1"/>
  <c r="J659" i="11"/>
  <c r="M434" i="11"/>
  <c r="O434" i="11" s="1"/>
  <c r="K435" i="11"/>
  <c r="L434" i="11"/>
  <c r="N434" i="11" s="1"/>
  <c r="L529" i="11"/>
  <c r="N529" i="11" s="1"/>
  <c r="K530" i="11"/>
  <c r="M529" i="11"/>
  <c r="O529" i="11" s="1"/>
  <c r="K568" i="11"/>
  <c r="L567" i="11"/>
  <c r="N567" i="11" s="1"/>
  <c r="M567" i="11"/>
  <c r="O567" i="11" s="1"/>
  <c r="J654" i="11"/>
  <c r="J646" i="11"/>
  <c r="K602" i="11"/>
  <c r="K603" i="11" s="1"/>
  <c r="K604" i="11" s="1"/>
  <c r="K605" i="11" s="1"/>
  <c r="K606" i="11" s="1"/>
  <c r="J622" i="11"/>
  <c r="J628" i="11"/>
  <c r="J631" i="11"/>
  <c r="J636" i="11"/>
  <c r="M396" i="11"/>
  <c r="O396" i="11" s="1"/>
  <c r="K397" i="11"/>
  <c r="L396" i="11"/>
  <c r="N396" i="11" s="1"/>
  <c r="K587" i="11"/>
  <c r="M586" i="11"/>
  <c r="O586" i="11" s="1"/>
  <c r="L586" i="11"/>
  <c r="N586" i="11" s="1"/>
  <c r="M453" i="11"/>
  <c r="O453" i="11" s="1"/>
  <c r="L453" i="11"/>
  <c r="N453" i="11" s="1"/>
  <c r="K454" i="11"/>
  <c r="M301" i="11"/>
  <c r="O301" i="11" s="1"/>
  <c r="L301" i="11"/>
  <c r="N301" i="11" s="1"/>
  <c r="M358" i="11"/>
  <c r="O358" i="11" s="1"/>
  <c r="L358" i="11"/>
  <c r="N358" i="11" s="1"/>
  <c r="K359" i="11"/>
  <c r="J627" i="11"/>
  <c r="J635" i="11"/>
  <c r="J623" i="11"/>
  <c r="J632" i="11"/>
  <c r="J624" i="11"/>
  <c r="J625" i="11"/>
  <c r="M491" i="11"/>
  <c r="O491" i="11" s="1"/>
  <c r="K492" i="11"/>
  <c r="L491" i="11"/>
  <c r="N491" i="11" s="1"/>
  <c r="M472" i="11"/>
  <c r="O472" i="11" s="1"/>
  <c r="L472" i="11"/>
  <c r="N472" i="11" s="1"/>
  <c r="K473" i="11"/>
  <c r="J641" i="11"/>
  <c r="J649" i="11"/>
  <c r="K549" i="11"/>
  <c r="L548" i="11"/>
  <c r="N548" i="11" s="1"/>
  <c r="M548" i="11"/>
  <c r="O548" i="11" s="1"/>
  <c r="J640" i="11"/>
  <c r="L510" i="11"/>
  <c r="N510" i="11" s="1"/>
  <c r="K511" i="11"/>
  <c r="M510" i="11"/>
  <c r="O510" i="11" s="1"/>
  <c r="M339" i="11"/>
  <c r="O339" i="11" s="1"/>
  <c r="L339" i="11"/>
  <c r="N339" i="11" s="1"/>
  <c r="K340" i="11"/>
  <c r="M320" i="11"/>
  <c r="O320" i="11" s="1"/>
  <c r="K321" i="11"/>
  <c r="L320" i="11"/>
  <c r="N320" i="11" s="1"/>
  <c r="J633" i="11"/>
  <c r="J638" i="11"/>
  <c r="J637" i="11"/>
  <c r="M604" i="11" l="1"/>
  <c r="O604" i="11" s="1"/>
  <c r="L605" i="11"/>
  <c r="N605" i="11" s="1"/>
  <c r="L604" i="11"/>
  <c r="N604" i="11" s="1"/>
  <c r="L603" i="11"/>
  <c r="N603" i="11" s="1"/>
  <c r="M602" i="11"/>
  <c r="O602" i="11" s="1"/>
  <c r="J661" i="11"/>
  <c r="J644" i="11"/>
  <c r="M359" i="11"/>
  <c r="O359" i="11" s="1"/>
  <c r="K360" i="11"/>
  <c r="L359" i="11"/>
  <c r="N359" i="11" s="1"/>
  <c r="M397" i="11"/>
  <c r="O397" i="11" s="1"/>
  <c r="L397" i="11"/>
  <c r="N397" i="11" s="1"/>
  <c r="K398" i="11"/>
  <c r="J674" i="11"/>
  <c r="K569" i="11"/>
  <c r="M568" i="11"/>
  <c r="O568" i="11" s="1"/>
  <c r="L568" i="11"/>
  <c r="N568" i="11" s="1"/>
  <c r="M340" i="11"/>
  <c r="O340" i="11" s="1"/>
  <c r="K341" i="11"/>
  <c r="L340" i="11"/>
  <c r="N340" i="11" s="1"/>
  <c r="M511" i="11"/>
  <c r="O511" i="11" s="1"/>
  <c r="K512" i="11"/>
  <c r="L511" i="11"/>
  <c r="N511" i="11" s="1"/>
  <c r="J655" i="11"/>
  <c r="J648" i="11"/>
  <c r="K607" i="11"/>
  <c r="M606" i="11"/>
  <c r="O606" i="11" s="1"/>
  <c r="L606" i="11"/>
  <c r="N606" i="11" s="1"/>
  <c r="J679" i="11"/>
  <c r="J650" i="11"/>
  <c r="J657" i="11"/>
  <c r="J653" i="11"/>
  <c r="J669" i="11"/>
  <c r="M473" i="11"/>
  <c r="O473" i="11" s="1"/>
  <c r="L473" i="11"/>
  <c r="N473" i="11" s="1"/>
  <c r="K474" i="11"/>
  <c r="M492" i="11"/>
  <c r="O492" i="11" s="1"/>
  <c r="K493" i="11"/>
  <c r="L492" i="11"/>
  <c r="N492" i="11" s="1"/>
  <c r="J652" i="11"/>
  <c r="J647" i="11"/>
  <c r="K588" i="11"/>
  <c r="L587" i="11"/>
  <c r="N587" i="11" s="1"/>
  <c r="M587" i="11"/>
  <c r="O587" i="11" s="1"/>
  <c r="J656" i="11"/>
  <c r="J642" i="11"/>
  <c r="K622" i="11"/>
  <c r="K623" i="11" s="1"/>
  <c r="K624" i="11" s="1"/>
  <c r="K625" i="11" s="1"/>
  <c r="K626" i="11" s="1"/>
  <c r="J666" i="11"/>
  <c r="L530" i="11"/>
  <c r="N530" i="11" s="1"/>
  <c r="K531" i="11"/>
  <c r="M530" i="11"/>
  <c r="O530" i="11" s="1"/>
  <c r="M416" i="11"/>
  <c r="O416" i="11" s="1"/>
  <c r="L416" i="11"/>
  <c r="N416" i="11" s="1"/>
  <c r="K417" i="11"/>
  <c r="M605" i="11"/>
  <c r="O605" i="11" s="1"/>
  <c r="M603" i="11"/>
  <c r="O603" i="11" s="1"/>
  <c r="J658" i="11"/>
  <c r="J651" i="11"/>
  <c r="M321" i="11"/>
  <c r="O321" i="11" s="1"/>
  <c r="L321" i="11"/>
  <c r="N321" i="11" s="1"/>
  <c r="J660" i="11"/>
  <c r="K550" i="11"/>
  <c r="L549" i="11"/>
  <c r="N549" i="11" s="1"/>
  <c r="M549" i="11"/>
  <c r="O549" i="11" s="1"/>
  <c r="J645" i="11"/>
  <c r="J643" i="11"/>
  <c r="L623" i="11"/>
  <c r="N623" i="11" s="1"/>
  <c r="M454" i="11"/>
  <c r="O454" i="11" s="1"/>
  <c r="L454" i="11"/>
  <c r="N454" i="11" s="1"/>
  <c r="K455" i="11"/>
  <c r="M435" i="11"/>
  <c r="O435" i="11" s="1"/>
  <c r="L435" i="11"/>
  <c r="N435" i="11" s="1"/>
  <c r="K436" i="11"/>
  <c r="M378" i="11"/>
  <c r="O378" i="11" s="1"/>
  <c r="K379" i="11"/>
  <c r="L378" i="11"/>
  <c r="N378" i="11" s="1"/>
  <c r="L602" i="11"/>
  <c r="N602" i="11" s="1"/>
  <c r="M623" i="11" l="1"/>
  <c r="O623" i="11" s="1"/>
  <c r="M622" i="11"/>
  <c r="O622" i="11" s="1"/>
  <c r="M625" i="11"/>
  <c r="O625" i="11" s="1"/>
  <c r="L624" i="11"/>
  <c r="N624" i="11" s="1"/>
  <c r="L625" i="11"/>
  <c r="N625" i="11" s="1"/>
  <c r="L622" i="11"/>
  <c r="N622" i="11" s="1"/>
  <c r="M417" i="11"/>
  <c r="O417" i="11" s="1"/>
  <c r="L417" i="11"/>
  <c r="N417" i="11" s="1"/>
  <c r="K418" i="11"/>
  <c r="M531" i="11"/>
  <c r="O531" i="11" s="1"/>
  <c r="K532" i="11"/>
  <c r="L531" i="11"/>
  <c r="N531" i="11" s="1"/>
  <c r="M493" i="11"/>
  <c r="O493" i="11" s="1"/>
  <c r="K494" i="11"/>
  <c r="L493" i="11"/>
  <c r="N493" i="11" s="1"/>
  <c r="M512" i="11"/>
  <c r="O512" i="11" s="1"/>
  <c r="L512" i="11"/>
  <c r="N512" i="11" s="1"/>
  <c r="K513" i="11"/>
  <c r="J694" i="11"/>
  <c r="M436" i="11"/>
  <c r="O436" i="11" s="1"/>
  <c r="L436" i="11"/>
  <c r="N436" i="11" s="1"/>
  <c r="K437" i="11"/>
  <c r="J686" i="11"/>
  <c r="K642" i="11"/>
  <c r="K643" i="11" s="1"/>
  <c r="K644" i="11" s="1"/>
  <c r="K645" i="11" s="1"/>
  <c r="K646" i="11" s="1"/>
  <c r="J662" i="11"/>
  <c r="J667" i="11"/>
  <c r="J673" i="11"/>
  <c r="J670" i="11"/>
  <c r="J668" i="11"/>
  <c r="M341" i="11"/>
  <c r="O341" i="11" s="1"/>
  <c r="L341" i="11"/>
  <c r="N341" i="11" s="1"/>
  <c r="L569" i="11"/>
  <c r="N569" i="11" s="1"/>
  <c r="K570" i="11"/>
  <c r="M569" i="11"/>
  <c r="O569" i="11" s="1"/>
  <c r="J681" i="11"/>
  <c r="M455" i="11"/>
  <c r="O455" i="11" s="1"/>
  <c r="K456" i="11"/>
  <c r="L455" i="11"/>
  <c r="N455" i="11" s="1"/>
  <c r="J663" i="11"/>
  <c r="J680" i="11"/>
  <c r="J671" i="11"/>
  <c r="K627" i="11"/>
  <c r="L626" i="11"/>
  <c r="N626" i="11" s="1"/>
  <c r="M626" i="11"/>
  <c r="O626" i="11" s="1"/>
  <c r="M474" i="11"/>
  <c r="O474" i="11" s="1"/>
  <c r="K475" i="11"/>
  <c r="L474" i="11"/>
  <c r="N474" i="11" s="1"/>
  <c r="M398" i="11"/>
  <c r="O398" i="11" s="1"/>
  <c r="L398" i="11"/>
  <c r="N398" i="11" s="1"/>
  <c r="K399" i="11"/>
  <c r="M360" i="11"/>
  <c r="O360" i="11" s="1"/>
  <c r="L360" i="11"/>
  <c r="N360" i="11" s="1"/>
  <c r="K361" i="11"/>
  <c r="M624" i="11"/>
  <c r="O624" i="11" s="1"/>
  <c r="J678" i="11"/>
  <c r="M379" i="11"/>
  <c r="O379" i="11" s="1"/>
  <c r="L379" i="11"/>
  <c r="N379" i="11" s="1"/>
  <c r="K380" i="11"/>
  <c r="J665" i="11"/>
  <c r="K551" i="11"/>
  <c r="L550" i="11"/>
  <c r="N550" i="11" s="1"/>
  <c r="M550" i="11"/>
  <c r="O550" i="11" s="1"/>
  <c r="J676" i="11"/>
  <c r="K589" i="11"/>
  <c r="M588" i="11"/>
  <c r="O588" i="11" s="1"/>
  <c r="L588" i="11"/>
  <c r="N588" i="11" s="1"/>
  <c r="J672" i="11"/>
  <c r="J689" i="11"/>
  <c r="J677" i="11"/>
  <c r="J699" i="11"/>
  <c r="K608" i="11"/>
  <c r="L607" i="11"/>
  <c r="N607" i="11" s="1"/>
  <c r="M607" i="11"/>
  <c r="O607" i="11" s="1"/>
  <c r="J675" i="11"/>
  <c r="J664" i="11"/>
  <c r="L645" i="11" l="1"/>
  <c r="N645" i="11" s="1"/>
  <c r="L644" i="11"/>
  <c r="N644" i="11" s="1"/>
  <c r="M643" i="11"/>
  <c r="O643" i="11" s="1"/>
  <c r="M642" i="11"/>
  <c r="O642" i="11" s="1"/>
  <c r="J719" i="11"/>
  <c r="J700" i="11"/>
  <c r="J701" i="11"/>
  <c r="J688" i="11"/>
  <c r="J693" i="11"/>
  <c r="M437" i="11"/>
  <c r="O437" i="11" s="1"/>
  <c r="K438" i="11"/>
  <c r="L437" i="11"/>
  <c r="N437" i="11" s="1"/>
  <c r="M532" i="11"/>
  <c r="O532" i="11" s="1"/>
  <c r="L532" i="11"/>
  <c r="N532" i="11" s="1"/>
  <c r="K533" i="11"/>
  <c r="J695" i="11"/>
  <c r="K609" i="11"/>
  <c r="L608" i="11"/>
  <c r="N608" i="11" s="1"/>
  <c r="M608" i="11"/>
  <c r="O608" i="11" s="1"/>
  <c r="J696" i="11"/>
  <c r="L551" i="11"/>
  <c r="N551" i="11" s="1"/>
  <c r="K552" i="11"/>
  <c r="M551" i="11"/>
  <c r="O551" i="11" s="1"/>
  <c r="M380" i="11"/>
  <c r="O380" i="11" s="1"/>
  <c r="K381" i="11"/>
  <c r="L380" i="11"/>
  <c r="N380" i="11" s="1"/>
  <c r="J683" i="11"/>
  <c r="K571" i="11"/>
  <c r="M570" i="11"/>
  <c r="O570" i="11" s="1"/>
  <c r="L570" i="11"/>
  <c r="N570" i="11" s="1"/>
  <c r="J687" i="11"/>
  <c r="K647" i="11"/>
  <c r="M646" i="11"/>
  <c r="O646" i="11" s="1"/>
  <c r="L646" i="11"/>
  <c r="N646" i="11" s="1"/>
  <c r="J714" i="11"/>
  <c r="J697" i="11"/>
  <c r="J692" i="11"/>
  <c r="L589" i="11"/>
  <c r="N589" i="11" s="1"/>
  <c r="K590" i="11"/>
  <c r="M589" i="11"/>
  <c r="O589" i="11" s="1"/>
  <c r="J698" i="11"/>
  <c r="M361" i="11"/>
  <c r="O361" i="11" s="1"/>
  <c r="L361" i="11"/>
  <c r="N361" i="11" s="1"/>
  <c r="J691" i="11"/>
  <c r="M456" i="11"/>
  <c r="O456" i="11" s="1"/>
  <c r="K457" i="11"/>
  <c r="L456" i="11"/>
  <c r="N456" i="11" s="1"/>
  <c r="J690" i="11"/>
  <c r="J682" i="11"/>
  <c r="K662" i="11"/>
  <c r="K663" i="11" s="1"/>
  <c r="K664" i="11" s="1"/>
  <c r="K665" i="11" s="1"/>
  <c r="K666" i="11" s="1"/>
  <c r="J706" i="11"/>
  <c r="M418" i="11"/>
  <c r="O418" i="11" s="1"/>
  <c r="L418" i="11"/>
  <c r="N418" i="11" s="1"/>
  <c r="K419" i="11"/>
  <c r="M644" i="11"/>
  <c r="O644" i="11" s="1"/>
  <c r="M645" i="11"/>
  <c r="O645" i="11" s="1"/>
  <c r="L643" i="11"/>
  <c r="N643" i="11" s="1"/>
  <c r="J709" i="11"/>
  <c r="J684" i="11"/>
  <c r="J685" i="11"/>
  <c r="M399" i="11"/>
  <c r="O399" i="11" s="1"/>
  <c r="L399" i="11"/>
  <c r="N399" i="11" s="1"/>
  <c r="K400" i="11"/>
  <c r="M475" i="11"/>
  <c r="O475" i="11" s="1"/>
  <c r="L475" i="11"/>
  <c r="N475" i="11" s="1"/>
  <c r="K476" i="11"/>
  <c r="K628" i="11"/>
  <c r="L627" i="11"/>
  <c r="N627" i="11" s="1"/>
  <c r="M627" i="11"/>
  <c r="O627" i="11" s="1"/>
  <c r="M513" i="11"/>
  <c r="O513" i="11" s="1"/>
  <c r="K514" i="11"/>
  <c r="L513" i="11"/>
  <c r="N513" i="11" s="1"/>
  <c r="M494" i="11"/>
  <c r="O494" i="11" s="1"/>
  <c r="K495" i="11"/>
  <c r="L494" i="11"/>
  <c r="N494" i="11" s="1"/>
  <c r="L642" i="11"/>
  <c r="N642" i="11" s="1"/>
  <c r="M665" i="11" l="1"/>
  <c r="O665" i="11" s="1"/>
  <c r="L664" i="11"/>
  <c r="N664" i="11" s="1"/>
  <c r="J720" i="11"/>
  <c r="M476" i="11"/>
  <c r="O476" i="11" s="1"/>
  <c r="K477" i="11"/>
  <c r="L476" i="11"/>
  <c r="N476" i="11" s="1"/>
  <c r="J729" i="11"/>
  <c r="K667" i="11"/>
  <c r="L666" i="11"/>
  <c r="N666" i="11" s="1"/>
  <c r="M666" i="11"/>
  <c r="O666" i="11" s="1"/>
  <c r="J711" i="11"/>
  <c r="J718" i="11"/>
  <c r="M381" i="11"/>
  <c r="O381" i="11" s="1"/>
  <c r="L381" i="11"/>
  <c r="N381" i="11" s="1"/>
  <c r="M533" i="11"/>
  <c r="O533" i="11" s="1"/>
  <c r="K534" i="11"/>
  <c r="L533" i="11"/>
  <c r="N533" i="11" s="1"/>
  <c r="M438" i="11"/>
  <c r="O438" i="11" s="1"/>
  <c r="K439" i="11"/>
  <c r="L438" i="11"/>
  <c r="N438" i="11" s="1"/>
  <c r="M514" i="11"/>
  <c r="O514" i="11" s="1"/>
  <c r="K515" i="11"/>
  <c r="L514" i="11"/>
  <c r="N514" i="11" s="1"/>
  <c r="K629" i="11"/>
  <c r="L628" i="11"/>
  <c r="N628" i="11" s="1"/>
  <c r="M628" i="11"/>
  <c r="O628" i="11" s="1"/>
  <c r="M400" i="11"/>
  <c r="O400" i="11" s="1"/>
  <c r="K401" i="11"/>
  <c r="L400" i="11"/>
  <c r="N400" i="11" s="1"/>
  <c r="J705" i="11"/>
  <c r="J710" i="11"/>
  <c r="K591" i="11"/>
  <c r="L590" i="11"/>
  <c r="N590" i="11" s="1"/>
  <c r="M590" i="11"/>
  <c r="O590" i="11" s="1"/>
  <c r="J717" i="11"/>
  <c r="J707" i="11"/>
  <c r="L571" i="11"/>
  <c r="N571" i="11" s="1"/>
  <c r="M571" i="11"/>
  <c r="O571" i="11" s="1"/>
  <c r="K572" i="11"/>
  <c r="M552" i="11"/>
  <c r="O552" i="11" s="1"/>
  <c r="K553" i="11"/>
  <c r="L552" i="11"/>
  <c r="N552" i="11" s="1"/>
  <c r="J721" i="11"/>
  <c r="J739" i="11"/>
  <c r="L663" i="11"/>
  <c r="N663" i="11" s="1"/>
  <c r="M664" i="11"/>
  <c r="O664" i="11" s="1"/>
  <c r="L662" i="11"/>
  <c r="N662" i="11" s="1"/>
  <c r="M419" i="11"/>
  <c r="O419" i="11" s="1"/>
  <c r="L419" i="11"/>
  <c r="N419" i="11" s="1"/>
  <c r="K420" i="11"/>
  <c r="J726" i="11"/>
  <c r="K682" i="11"/>
  <c r="K683" i="11" s="1"/>
  <c r="K684" i="11" s="1"/>
  <c r="K685" i="11" s="1"/>
  <c r="K686" i="11" s="1"/>
  <c r="J702" i="11"/>
  <c r="J712" i="11"/>
  <c r="J734" i="11"/>
  <c r="K648" i="11"/>
  <c r="L647" i="11"/>
  <c r="N647" i="11" s="1"/>
  <c r="M647" i="11"/>
  <c r="O647" i="11" s="1"/>
  <c r="J703" i="11"/>
  <c r="L683" i="11"/>
  <c r="N683" i="11" s="1"/>
  <c r="J716" i="11"/>
  <c r="L609" i="11"/>
  <c r="N609" i="11" s="1"/>
  <c r="K610" i="11"/>
  <c r="M609" i="11"/>
  <c r="O609" i="11" s="1"/>
  <c r="J708" i="11"/>
  <c r="M495" i="11"/>
  <c r="O495" i="11" s="1"/>
  <c r="L495" i="11"/>
  <c r="N495" i="11" s="1"/>
  <c r="K496" i="11"/>
  <c r="J704" i="11"/>
  <c r="M457" i="11"/>
  <c r="O457" i="11" s="1"/>
  <c r="L457" i="11"/>
  <c r="N457" i="11" s="1"/>
  <c r="K458" i="11"/>
  <c r="J715" i="11"/>
  <c r="J713" i="11"/>
  <c r="L665" i="11"/>
  <c r="N665" i="11" s="1"/>
  <c r="M662" i="11"/>
  <c r="O662" i="11" s="1"/>
  <c r="M663" i="11"/>
  <c r="O663" i="11" s="1"/>
  <c r="M684" i="11" l="1"/>
  <c r="O684" i="11" s="1"/>
  <c r="K611" i="11"/>
  <c r="L610" i="11"/>
  <c r="N610" i="11" s="1"/>
  <c r="M610" i="11"/>
  <c r="O610" i="11" s="1"/>
  <c r="J732" i="11"/>
  <c r="M553" i="11"/>
  <c r="O553" i="11" s="1"/>
  <c r="L553" i="11"/>
  <c r="N553" i="11" s="1"/>
  <c r="K554" i="11"/>
  <c r="J737" i="11"/>
  <c r="J725" i="11"/>
  <c r="M439" i="11"/>
  <c r="O439" i="11" s="1"/>
  <c r="K440" i="11"/>
  <c r="L439" i="11"/>
  <c r="N439" i="11" s="1"/>
  <c r="J733" i="11"/>
  <c r="M458" i="11"/>
  <c r="O458" i="11" s="1"/>
  <c r="K459" i="11"/>
  <c r="L458" i="11"/>
  <c r="N458" i="11" s="1"/>
  <c r="J724" i="11"/>
  <c r="K702" i="11"/>
  <c r="K703" i="11" s="1"/>
  <c r="K704" i="11" s="1"/>
  <c r="K705" i="11" s="1"/>
  <c r="K706" i="11" s="1"/>
  <c r="J722" i="11"/>
  <c r="J746" i="11"/>
  <c r="J759" i="11"/>
  <c r="M401" i="11"/>
  <c r="O401" i="11" s="1"/>
  <c r="L401" i="11"/>
  <c r="N401" i="11" s="1"/>
  <c r="L629" i="11"/>
  <c r="N629" i="11" s="1"/>
  <c r="K630" i="11"/>
  <c r="M629" i="11"/>
  <c r="O629" i="11" s="1"/>
  <c r="M534" i="11"/>
  <c r="O534" i="11" s="1"/>
  <c r="L534" i="11"/>
  <c r="N534" i="11" s="1"/>
  <c r="K535" i="11"/>
  <c r="J738" i="11"/>
  <c r="J740" i="11"/>
  <c r="J736" i="11"/>
  <c r="J754" i="11"/>
  <c r="M572" i="11"/>
  <c r="O572" i="11" s="1"/>
  <c r="K573" i="11"/>
  <c r="L572" i="11"/>
  <c r="N572" i="11" s="1"/>
  <c r="J727" i="11"/>
  <c r="J749" i="11"/>
  <c r="L685" i="11"/>
  <c r="N685" i="11" s="1"/>
  <c r="L684" i="11"/>
  <c r="N684" i="11" s="1"/>
  <c r="M683" i="11"/>
  <c r="O683" i="11" s="1"/>
  <c r="L682" i="11"/>
  <c r="N682" i="11" s="1"/>
  <c r="K687" i="11"/>
  <c r="M686" i="11"/>
  <c r="O686" i="11" s="1"/>
  <c r="L686" i="11"/>
  <c r="N686" i="11" s="1"/>
  <c r="K592" i="11"/>
  <c r="L591" i="11"/>
  <c r="N591" i="11" s="1"/>
  <c r="M591" i="11"/>
  <c r="O591" i="11" s="1"/>
  <c r="J735" i="11"/>
  <c r="M496" i="11"/>
  <c r="O496" i="11" s="1"/>
  <c r="K497" i="11"/>
  <c r="L496" i="11"/>
  <c r="N496" i="11" s="1"/>
  <c r="J728" i="11"/>
  <c r="J723" i="11"/>
  <c r="K649" i="11"/>
  <c r="M648" i="11"/>
  <c r="O648" i="11" s="1"/>
  <c r="L648" i="11"/>
  <c r="N648" i="11" s="1"/>
  <c r="M420" i="11"/>
  <c r="O420" i="11" s="1"/>
  <c r="L420" i="11"/>
  <c r="N420" i="11" s="1"/>
  <c r="K421" i="11"/>
  <c r="J741" i="11"/>
  <c r="J730" i="11"/>
  <c r="M515" i="11"/>
  <c r="O515" i="11" s="1"/>
  <c r="K516" i="11"/>
  <c r="L515" i="11"/>
  <c r="N515" i="11" s="1"/>
  <c r="J731" i="11"/>
  <c r="K668" i="11"/>
  <c r="L667" i="11"/>
  <c r="N667" i="11" s="1"/>
  <c r="M667" i="11"/>
  <c r="O667" i="11" s="1"/>
  <c r="M477" i="11"/>
  <c r="O477" i="11" s="1"/>
  <c r="K478" i="11"/>
  <c r="L477" i="11"/>
  <c r="N477" i="11" s="1"/>
  <c r="M682" i="11"/>
  <c r="O682" i="11" s="1"/>
  <c r="M685" i="11"/>
  <c r="O685" i="11" s="1"/>
  <c r="L703" i="11" l="1"/>
  <c r="N703" i="11" s="1"/>
  <c r="L705" i="11"/>
  <c r="N705" i="11" s="1"/>
  <c r="M702" i="11"/>
  <c r="O702" i="11" s="1"/>
  <c r="M592" i="11"/>
  <c r="O592" i="11" s="1"/>
  <c r="L592" i="11"/>
  <c r="N592" i="11" s="1"/>
  <c r="K593" i="11"/>
  <c r="J769" i="11"/>
  <c r="J774" i="11"/>
  <c r="M535" i="11"/>
  <c r="O535" i="11" s="1"/>
  <c r="K536" i="11"/>
  <c r="L535" i="11"/>
  <c r="N535" i="11" s="1"/>
  <c r="J779" i="11"/>
  <c r="M611" i="11"/>
  <c r="O611" i="11" s="1"/>
  <c r="L611" i="11"/>
  <c r="N611" i="11" s="1"/>
  <c r="K612" i="11"/>
  <c r="M478" i="11"/>
  <c r="O478" i="11" s="1"/>
  <c r="L478" i="11"/>
  <c r="N478" i="11" s="1"/>
  <c r="K479" i="11"/>
  <c r="M516" i="11"/>
  <c r="O516" i="11" s="1"/>
  <c r="K517" i="11"/>
  <c r="L516" i="11"/>
  <c r="N516" i="11" s="1"/>
  <c r="J748" i="11"/>
  <c r="K688" i="11"/>
  <c r="L687" i="11"/>
  <c r="N687" i="11" s="1"/>
  <c r="M687" i="11"/>
  <c r="O687" i="11" s="1"/>
  <c r="J747" i="11"/>
  <c r="J766" i="11"/>
  <c r="J757" i="11"/>
  <c r="K650" i="11"/>
  <c r="L649" i="11"/>
  <c r="N649" i="11" s="1"/>
  <c r="M649" i="11"/>
  <c r="O649" i="11" s="1"/>
  <c r="M497" i="11"/>
  <c r="O497" i="11" s="1"/>
  <c r="K498" i="11"/>
  <c r="L497" i="11"/>
  <c r="N497" i="11" s="1"/>
  <c r="M573" i="11"/>
  <c r="O573" i="11" s="1"/>
  <c r="L573" i="11"/>
  <c r="N573" i="11" s="1"/>
  <c r="K574" i="11"/>
  <c r="J756" i="11"/>
  <c r="J758" i="11"/>
  <c r="K722" i="11"/>
  <c r="K723" i="11" s="1"/>
  <c r="K724" i="11" s="1"/>
  <c r="K725" i="11" s="1"/>
  <c r="K726" i="11" s="1"/>
  <c r="J742" i="11"/>
  <c r="J744" i="11"/>
  <c r="M440" i="11"/>
  <c r="O440" i="11" s="1"/>
  <c r="L440" i="11"/>
  <c r="N440" i="11" s="1"/>
  <c r="K441" i="11"/>
  <c r="M704" i="11"/>
  <c r="O704" i="11" s="1"/>
  <c r="M705" i="11"/>
  <c r="O705" i="11" s="1"/>
  <c r="J751" i="11"/>
  <c r="J743" i="11"/>
  <c r="J755" i="11"/>
  <c r="J760" i="11"/>
  <c r="L630" i="11"/>
  <c r="N630" i="11" s="1"/>
  <c r="K631" i="11"/>
  <c r="M630" i="11"/>
  <c r="O630" i="11" s="1"/>
  <c r="J752" i="11"/>
  <c r="K669" i="11"/>
  <c r="M668" i="11"/>
  <c r="O668" i="11" s="1"/>
  <c r="L668" i="11"/>
  <c r="N668" i="11" s="1"/>
  <c r="J761" i="11"/>
  <c r="K707" i="11"/>
  <c r="L706" i="11"/>
  <c r="N706" i="11" s="1"/>
  <c r="M706" i="11"/>
  <c r="O706" i="11" s="1"/>
  <c r="J753" i="11"/>
  <c r="J750" i="11"/>
  <c r="M421" i="11"/>
  <c r="O421" i="11" s="1"/>
  <c r="L421" i="11"/>
  <c r="N421" i="11" s="1"/>
  <c r="M459" i="11"/>
  <c r="O459" i="11" s="1"/>
  <c r="L459" i="11"/>
  <c r="N459" i="11" s="1"/>
  <c r="K460" i="11"/>
  <c r="J745" i="11"/>
  <c r="M554" i="11"/>
  <c r="O554" i="11" s="1"/>
  <c r="L554" i="11"/>
  <c r="N554" i="11" s="1"/>
  <c r="K555" i="11"/>
  <c r="M703" i="11"/>
  <c r="O703" i="11" s="1"/>
  <c r="L702" i="11"/>
  <c r="N702" i="11" s="1"/>
  <c r="L704" i="11"/>
  <c r="N704" i="11" s="1"/>
  <c r="M723" i="11" l="1"/>
  <c r="O723" i="11" s="1"/>
  <c r="L723" i="11"/>
  <c r="N723" i="11" s="1"/>
  <c r="L722" i="11"/>
  <c r="N722" i="11" s="1"/>
  <c r="L725" i="11"/>
  <c r="N725" i="11" s="1"/>
  <c r="L724" i="11"/>
  <c r="N724" i="11" s="1"/>
  <c r="M725" i="11"/>
  <c r="O725" i="11" s="1"/>
  <c r="M724" i="11"/>
  <c r="O724" i="11" s="1"/>
  <c r="M722" i="11"/>
  <c r="O722" i="11" s="1"/>
  <c r="M460" i="11"/>
  <c r="O460" i="11" s="1"/>
  <c r="L460" i="11"/>
  <c r="N460" i="11" s="1"/>
  <c r="K461" i="11"/>
  <c r="M555" i="11"/>
  <c r="O555" i="11" s="1"/>
  <c r="K556" i="11"/>
  <c r="L555" i="11"/>
  <c r="N555" i="11" s="1"/>
  <c r="J765" i="11"/>
  <c r="J780" i="11"/>
  <c r="J767" i="11"/>
  <c r="K689" i="11"/>
  <c r="L688" i="11"/>
  <c r="N688" i="11" s="1"/>
  <c r="M688" i="11"/>
  <c r="O688" i="11" s="1"/>
  <c r="M536" i="11"/>
  <c r="O536" i="11" s="1"/>
  <c r="K537" i="11"/>
  <c r="L536" i="11"/>
  <c r="N536" i="11" s="1"/>
  <c r="J789" i="11"/>
  <c r="J770" i="11"/>
  <c r="J772" i="11"/>
  <c r="J771" i="11"/>
  <c r="M441" i="11"/>
  <c r="O441" i="11" s="1"/>
  <c r="L441" i="11"/>
  <c r="N441" i="11" s="1"/>
  <c r="J764" i="11"/>
  <c r="K727" i="11"/>
  <c r="M726" i="11"/>
  <c r="O726" i="11" s="1"/>
  <c r="L726" i="11"/>
  <c r="N726" i="11" s="1"/>
  <c r="J776" i="11"/>
  <c r="M479" i="11"/>
  <c r="O479" i="11" s="1"/>
  <c r="L479" i="11"/>
  <c r="N479" i="11" s="1"/>
  <c r="K480" i="11"/>
  <c r="J781" i="11"/>
  <c r="K670" i="11"/>
  <c r="L669" i="11"/>
  <c r="N669" i="11" s="1"/>
  <c r="M669" i="11"/>
  <c r="O669" i="11" s="1"/>
  <c r="K632" i="11"/>
  <c r="M631" i="11"/>
  <c r="O631" i="11" s="1"/>
  <c r="L631" i="11"/>
  <c r="N631" i="11" s="1"/>
  <c r="J775" i="11"/>
  <c r="K742" i="11"/>
  <c r="K743" i="11" s="1"/>
  <c r="K744" i="11" s="1"/>
  <c r="K745" i="11" s="1"/>
  <c r="K746" i="11" s="1"/>
  <c r="J762" i="11"/>
  <c r="J777" i="11"/>
  <c r="J768" i="11"/>
  <c r="M612" i="11"/>
  <c r="O612" i="11" s="1"/>
  <c r="L612" i="11"/>
  <c r="N612" i="11" s="1"/>
  <c r="K613" i="11"/>
  <c r="J794" i="11"/>
  <c r="M593" i="11"/>
  <c r="O593" i="11" s="1"/>
  <c r="K594" i="11"/>
  <c r="L593" i="11"/>
  <c r="N593" i="11" s="1"/>
  <c r="J773" i="11"/>
  <c r="K708" i="11"/>
  <c r="M707" i="11"/>
  <c r="O707" i="11" s="1"/>
  <c r="L707" i="11"/>
  <c r="N707" i="11" s="1"/>
  <c r="J763" i="11"/>
  <c r="J778" i="11"/>
  <c r="M574" i="11"/>
  <c r="O574" i="11" s="1"/>
  <c r="L574" i="11"/>
  <c r="N574" i="11" s="1"/>
  <c r="K575" i="11"/>
  <c r="M498" i="11"/>
  <c r="O498" i="11" s="1"/>
  <c r="K499" i="11"/>
  <c r="L498" i="11"/>
  <c r="N498" i="11" s="1"/>
  <c r="K651" i="11"/>
  <c r="L650" i="11"/>
  <c r="N650" i="11" s="1"/>
  <c r="M650" i="11"/>
  <c r="O650" i="11" s="1"/>
  <c r="J786" i="11"/>
  <c r="M517" i="11"/>
  <c r="O517" i="11" s="1"/>
  <c r="L517" i="11"/>
  <c r="N517" i="11" s="1"/>
  <c r="K518" i="11"/>
  <c r="J799" i="11"/>
  <c r="L742" i="11" l="1"/>
  <c r="N742" i="11" s="1"/>
  <c r="M744" i="11"/>
  <c r="O744" i="11" s="1"/>
  <c r="M745" i="11"/>
  <c r="O745" i="11" s="1"/>
  <c r="J819" i="11"/>
  <c r="M499" i="11"/>
  <c r="O499" i="11" s="1"/>
  <c r="L499" i="11"/>
  <c r="N499" i="11" s="1"/>
  <c r="K500" i="11"/>
  <c r="J783" i="11"/>
  <c r="M594" i="11"/>
  <c r="O594" i="11" s="1"/>
  <c r="L594" i="11"/>
  <c r="N594" i="11" s="1"/>
  <c r="K595" i="11"/>
  <c r="J788" i="11"/>
  <c r="M518" i="11"/>
  <c r="O518" i="11" s="1"/>
  <c r="K519" i="11"/>
  <c r="L518" i="11"/>
  <c r="N518" i="11" s="1"/>
  <c r="J806" i="11"/>
  <c r="L651" i="11"/>
  <c r="N651" i="11" s="1"/>
  <c r="M651" i="11"/>
  <c r="O651" i="11" s="1"/>
  <c r="K652" i="11"/>
  <c r="M575" i="11"/>
  <c r="O575" i="11" s="1"/>
  <c r="L575" i="11"/>
  <c r="N575" i="11" s="1"/>
  <c r="K576" i="11"/>
  <c r="J814" i="11"/>
  <c r="J797" i="11"/>
  <c r="K747" i="11"/>
  <c r="M746" i="11"/>
  <c r="O746" i="11" s="1"/>
  <c r="L746" i="11"/>
  <c r="N746" i="11" s="1"/>
  <c r="M480" i="11"/>
  <c r="O480" i="11" s="1"/>
  <c r="K481" i="11"/>
  <c r="L480" i="11"/>
  <c r="N480" i="11" s="1"/>
  <c r="J787" i="11"/>
  <c r="M556" i="11"/>
  <c r="O556" i="11" s="1"/>
  <c r="L556" i="11"/>
  <c r="N556" i="11" s="1"/>
  <c r="K557" i="11"/>
  <c r="J798" i="11"/>
  <c r="J793" i="11"/>
  <c r="J782" i="11"/>
  <c r="K762" i="11"/>
  <c r="K763" i="11" s="1"/>
  <c r="K764" i="11" s="1"/>
  <c r="K765" i="11" s="1"/>
  <c r="K766" i="11" s="1"/>
  <c r="J796" i="11"/>
  <c r="K728" i="11"/>
  <c r="M727" i="11"/>
  <c r="O727" i="11" s="1"/>
  <c r="L727" i="11"/>
  <c r="N727" i="11" s="1"/>
  <c r="J792" i="11"/>
  <c r="J809" i="11"/>
  <c r="L744" i="11"/>
  <c r="N744" i="11" s="1"/>
  <c r="L745" i="11"/>
  <c r="N745" i="11" s="1"/>
  <c r="M743" i="11"/>
  <c r="O743" i="11" s="1"/>
  <c r="K709" i="11"/>
  <c r="L708" i="11"/>
  <c r="N708" i="11" s="1"/>
  <c r="M708" i="11"/>
  <c r="O708" i="11" s="1"/>
  <c r="M613" i="11"/>
  <c r="O613" i="11" s="1"/>
  <c r="K614" i="11"/>
  <c r="L613" i="11"/>
  <c r="N613" i="11" s="1"/>
  <c r="J795" i="11"/>
  <c r="M632" i="11"/>
  <c r="O632" i="11" s="1"/>
  <c r="L632" i="11"/>
  <c r="N632" i="11" s="1"/>
  <c r="K633" i="11"/>
  <c r="J801" i="11"/>
  <c r="M537" i="11"/>
  <c r="O537" i="11" s="1"/>
  <c r="L537" i="11"/>
  <c r="N537" i="11" s="1"/>
  <c r="K538" i="11"/>
  <c r="K690" i="11"/>
  <c r="L689" i="11"/>
  <c r="N689" i="11" s="1"/>
  <c r="M689" i="11"/>
  <c r="O689" i="11" s="1"/>
  <c r="J800" i="11"/>
  <c r="M461" i="11"/>
  <c r="O461" i="11" s="1"/>
  <c r="L461" i="11"/>
  <c r="N461" i="11" s="1"/>
  <c r="K671" i="11"/>
  <c r="L670" i="11"/>
  <c r="N670" i="11" s="1"/>
  <c r="M670" i="11"/>
  <c r="O670" i="11" s="1"/>
  <c r="J784" i="11"/>
  <c r="J791" i="11"/>
  <c r="J790" i="11"/>
  <c r="J785" i="11"/>
  <c r="L743" i="11"/>
  <c r="N743" i="11" s="1"/>
  <c r="M742" i="11"/>
  <c r="O742" i="11" s="1"/>
  <c r="M762" i="11" l="1"/>
  <c r="O762" i="11" s="1"/>
  <c r="L764" i="11"/>
  <c r="N764" i="11" s="1"/>
  <c r="M764" i="11"/>
  <c r="O764" i="11" s="1"/>
  <c r="J810" i="11"/>
  <c r="J820" i="11"/>
  <c r="J821" i="11"/>
  <c r="M614" i="11"/>
  <c r="O614" i="11" s="1"/>
  <c r="K615" i="11"/>
  <c r="L614" i="11"/>
  <c r="N614" i="11" s="1"/>
  <c r="J805" i="11"/>
  <c r="J811" i="11"/>
  <c r="M633" i="11"/>
  <c r="O633" i="11" s="1"/>
  <c r="L633" i="11"/>
  <c r="N633" i="11" s="1"/>
  <c r="K634" i="11"/>
  <c r="J812" i="11"/>
  <c r="K729" i="11"/>
  <c r="L728" i="11"/>
  <c r="N728" i="11" s="1"/>
  <c r="M728" i="11"/>
  <c r="O728" i="11" s="1"/>
  <c r="K767" i="11"/>
  <c r="M766" i="11"/>
  <c r="O766" i="11" s="1"/>
  <c r="L766" i="11"/>
  <c r="N766" i="11" s="1"/>
  <c r="J808" i="11"/>
  <c r="M500" i="11"/>
  <c r="O500" i="11" s="1"/>
  <c r="K501" i="11"/>
  <c r="L500" i="11"/>
  <c r="N500" i="11" s="1"/>
  <c r="J804" i="11"/>
  <c r="M671" i="11"/>
  <c r="O671" i="11" s="1"/>
  <c r="L671" i="11"/>
  <c r="N671" i="11" s="1"/>
  <c r="K672" i="11"/>
  <c r="M538" i="11"/>
  <c r="O538" i="11" s="1"/>
  <c r="K539" i="11"/>
  <c r="L538" i="11"/>
  <c r="N538" i="11" s="1"/>
  <c r="J815" i="11"/>
  <c r="J813" i="11"/>
  <c r="M557" i="11"/>
  <c r="O557" i="11" s="1"/>
  <c r="L557" i="11"/>
  <c r="N557" i="11" s="1"/>
  <c r="K558" i="11"/>
  <c r="J807" i="11"/>
  <c r="J817" i="11"/>
  <c r="M576" i="11"/>
  <c r="O576" i="11" s="1"/>
  <c r="L576" i="11"/>
  <c r="N576" i="11" s="1"/>
  <c r="K577" i="11"/>
  <c r="J839" i="11"/>
  <c r="L765" i="11"/>
  <c r="N765" i="11" s="1"/>
  <c r="L762" i="11"/>
  <c r="N762" i="11" s="1"/>
  <c r="M763" i="11"/>
  <c r="O763" i="11" s="1"/>
  <c r="K691" i="11"/>
  <c r="L690" i="11"/>
  <c r="N690" i="11" s="1"/>
  <c r="M690" i="11"/>
  <c r="O690" i="11" s="1"/>
  <c r="L709" i="11"/>
  <c r="N709" i="11" s="1"/>
  <c r="K710" i="11"/>
  <c r="M709" i="11"/>
  <c r="O709" i="11" s="1"/>
  <c r="J829" i="11"/>
  <c r="M481" i="11"/>
  <c r="O481" i="11" s="1"/>
  <c r="L481" i="11"/>
  <c r="N481" i="11" s="1"/>
  <c r="K748" i="11"/>
  <c r="M747" i="11"/>
  <c r="O747" i="11" s="1"/>
  <c r="L747" i="11"/>
  <c r="N747" i="11" s="1"/>
  <c r="M652" i="11"/>
  <c r="O652" i="11" s="1"/>
  <c r="L652" i="11"/>
  <c r="N652" i="11" s="1"/>
  <c r="K653" i="11"/>
  <c r="J826" i="11"/>
  <c r="M595" i="11"/>
  <c r="O595" i="11" s="1"/>
  <c r="L595" i="11"/>
  <c r="N595" i="11" s="1"/>
  <c r="K596" i="11"/>
  <c r="J803" i="11"/>
  <c r="J816" i="11"/>
  <c r="K782" i="11"/>
  <c r="K783" i="11" s="1"/>
  <c r="K784" i="11" s="1"/>
  <c r="K785" i="11" s="1"/>
  <c r="K786" i="11" s="1"/>
  <c r="J802" i="11"/>
  <c r="J818" i="11"/>
  <c r="J834" i="11"/>
  <c r="M519" i="11"/>
  <c r="O519" i="11" s="1"/>
  <c r="L519" i="11"/>
  <c r="N519" i="11" s="1"/>
  <c r="K520" i="11"/>
  <c r="M765" i="11"/>
  <c r="O765" i="11" s="1"/>
  <c r="L763" i="11"/>
  <c r="N763" i="11" s="1"/>
  <c r="L782" i="11" l="1"/>
  <c r="N782" i="11" s="1"/>
  <c r="M782" i="11"/>
  <c r="O782" i="11" s="1"/>
  <c r="M784" i="11"/>
  <c r="O784" i="11" s="1"/>
  <c r="L785" i="11"/>
  <c r="N785" i="11" s="1"/>
  <c r="M783" i="11"/>
  <c r="O783" i="11" s="1"/>
  <c r="L784" i="11"/>
  <c r="N784" i="11" s="1"/>
  <c r="M785" i="11"/>
  <c r="O785" i="11" s="1"/>
  <c r="J846" i="11"/>
  <c r="J823" i="11"/>
  <c r="M653" i="11"/>
  <c r="O653" i="11" s="1"/>
  <c r="L653" i="11"/>
  <c r="N653" i="11" s="1"/>
  <c r="K654" i="11"/>
  <c r="J849" i="11"/>
  <c r="J837" i="11"/>
  <c r="J833" i="11"/>
  <c r="L729" i="11"/>
  <c r="N729" i="11" s="1"/>
  <c r="K730" i="11"/>
  <c r="M729" i="11"/>
  <c r="O729" i="11" s="1"/>
  <c r="M615" i="11"/>
  <c r="O615" i="11" s="1"/>
  <c r="L615" i="11"/>
  <c r="N615" i="11" s="1"/>
  <c r="K616" i="11"/>
  <c r="J840" i="11"/>
  <c r="J838" i="11"/>
  <c r="K787" i="11"/>
  <c r="L786" i="11"/>
  <c r="N786" i="11" s="1"/>
  <c r="M786" i="11"/>
  <c r="O786" i="11" s="1"/>
  <c r="K711" i="11"/>
  <c r="L710" i="11"/>
  <c r="N710" i="11" s="1"/>
  <c r="M710" i="11"/>
  <c r="O710" i="11" s="1"/>
  <c r="L691" i="11"/>
  <c r="N691" i="11" s="1"/>
  <c r="K692" i="11"/>
  <c r="M691" i="11"/>
  <c r="O691" i="11" s="1"/>
  <c r="J859" i="11"/>
  <c r="J827" i="11"/>
  <c r="M672" i="11"/>
  <c r="O672" i="11" s="1"/>
  <c r="K673" i="11"/>
  <c r="L672" i="11"/>
  <c r="N672" i="11" s="1"/>
  <c r="J824" i="11"/>
  <c r="M634" i="11"/>
  <c r="O634" i="11" s="1"/>
  <c r="K635" i="11"/>
  <c r="L634" i="11"/>
  <c r="N634" i="11" s="1"/>
  <c r="L783" i="11"/>
  <c r="N783" i="11" s="1"/>
  <c r="M520" i="11"/>
  <c r="O520" i="11" s="1"/>
  <c r="L520" i="11"/>
  <c r="N520" i="11" s="1"/>
  <c r="K521" i="11"/>
  <c r="K802" i="11"/>
  <c r="K803" i="11" s="1"/>
  <c r="K804" i="11" s="1"/>
  <c r="K805" i="11" s="1"/>
  <c r="K806" i="11" s="1"/>
  <c r="J822" i="11"/>
  <c r="M596" i="11"/>
  <c r="O596" i="11" s="1"/>
  <c r="K597" i="11"/>
  <c r="L596" i="11"/>
  <c r="N596" i="11" s="1"/>
  <c r="J835" i="11"/>
  <c r="M501" i="11"/>
  <c r="O501" i="11" s="1"/>
  <c r="L501" i="11"/>
  <c r="N501" i="11" s="1"/>
  <c r="J831" i="11"/>
  <c r="J841" i="11"/>
  <c r="J830" i="11"/>
  <c r="J854" i="11"/>
  <c r="J836" i="11"/>
  <c r="K749" i="11"/>
  <c r="L748" i="11"/>
  <c r="N748" i="11" s="1"/>
  <c r="M748" i="11"/>
  <c r="O748" i="11" s="1"/>
  <c r="M577" i="11"/>
  <c r="O577" i="11" s="1"/>
  <c r="K578" i="11"/>
  <c r="L577" i="11"/>
  <c r="N577" i="11" s="1"/>
  <c r="M558" i="11"/>
  <c r="O558" i="11" s="1"/>
  <c r="K559" i="11"/>
  <c r="L558" i="11"/>
  <c r="N558" i="11" s="1"/>
  <c r="M539" i="11"/>
  <c r="O539" i="11" s="1"/>
  <c r="K540" i="11"/>
  <c r="L539" i="11"/>
  <c r="N539" i="11" s="1"/>
  <c r="J828" i="11"/>
  <c r="K768" i="11"/>
  <c r="L767" i="11"/>
  <c r="N767" i="11" s="1"/>
  <c r="M767" i="11"/>
  <c r="O767" i="11" s="1"/>
  <c r="J832" i="11"/>
  <c r="J825" i="11"/>
  <c r="L805" i="11" l="1"/>
  <c r="N805" i="11" s="1"/>
  <c r="M804" i="11"/>
  <c r="O804" i="11" s="1"/>
  <c r="L802" i="11"/>
  <c r="N802" i="11" s="1"/>
  <c r="M805" i="11"/>
  <c r="O805" i="11" s="1"/>
  <c r="M802" i="11"/>
  <c r="O802" i="11" s="1"/>
  <c r="L804" i="11"/>
  <c r="N804" i="11" s="1"/>
  <c r="J874" i="11"/>
  <c r="J861" i="11"/>
  <c r="J860" i="11"/>
  <c r="J853" i="11"/>
  <c r="J869" i="11"/>
  <c r="J852" i="11"/>
  <c r="K769" i="11"/>
  <c r="M768" i="11"/>
  <c r="O768" i="11" s="1"/>
  <c r="L768" i="11"/>
  <c r="N768" i="11" s="1"/>
  <c r="M559" i="11"/>
  <c r="O559" i="11" s="1"/>
  <c r="L559" i="11"/>
  <c r="N559" i="11" s="1"/>
  <c r="K560" i="11"/>
  <c r="J856" i="11"/>
  <c r="J850" i="11"/>
  <c r="J851" i="11"/>
  <c r="J855" i="11"/>
  <c r="M673" i="11"/>
  <c r="O673" i="11" s="1"/>
  <c r="K674" i="11"/>
  <c r="L673" i="11"/>
  <c r="N673" i="11" s="1"/>
  <c r="M692" i="11"/>
  <c r="O692" i="11" s="1"/>
  <c r="K693" i="11"/>
  <c r="L692" i="11"/>
  <c r="N692" i="11" s="1"/>
  <c r="M711" i="11"/>
  <c r="O711" i="11" s="1"/>
  <c r="L711" i="11"/>
  <c r="N711" i="11" s="1"/>
  <c r="K712" i="11"/>
  <c r="J858" i="11"/>
  <c r="M616" i="11"/>
  <c r="O616" i="11" s="1"/>
  <c r="K617" i="11"/>
  <c r="L616" i="11"/>
  <c r="N616" i="11" s="1"/>
  <c r="L730" i="11"/>
  <c r="N730" i="11" s="1"/>
  <c r="K731" i="11"/>
  <c r="M730" i="11"/>
  <c r="O730" i="11" s="1"/>
  <c r="J857" i="11"/>
  <c r="M654" i="11"/>
  <c r="O654" i="11" s="1"/>
  <c r="L654" i="11"/>
  <c r="N654" i="11" s="1"/>
  <c r="K655" i="11"/>
  <c r="J843" i="11"/>
  <c r="M578" i="11"/>
  <c r="O578" i="11" s="1"/>
  <c r="K579" i="11"/>
  <c r="L578" i="11"/>
  <c r="N578" i="11" s="1"/>
  <c r="K750" i="11"/>
  <c r="L749" i="11"/>
  <c r="N749" i="11" s="1"/>
  <c r="M749" i="11"/>
  <c r="O749" i="11" s="1"/>
  <c r="M597" i="11"/>
  <c r="O597" i="11" s="1"/>
  <c r="K598" i="11"/>
  <c r="L597" i="11"/>
  <c r="N597" i="11" s="1"/>
  <c r="K807" i="11"/>
  <c r="L806" i="11"/>
  <c r="N806" i="11" s="1"/>
  <c r="M806" i="11"/>
  <c r="O806" i="11" s="1"/>
  <c r="J847" i="11"/>
  <c r="K788" i="11"/>
  <c r="M787" i="11"/>
  <c r="O787" i="11" s="1"/>
  <c r="L787" i="11"/>
  <c r="N787" i="11" s="1"/>
  <c r="J866" i="11"/>
  <c r="L803" i="11"/>
  <c r="N803" i="11" s="1"/>
  <c r="J845" i="11"/>
  <c r="J848" i="11"/>
  <c r="K822" i="11"/>
  <c r="K823" i="11" s="1"/>
  <c r="K824" i="11" s="1"/>
  <c r="K825" i="11" s="1"/>
  <c r="K826" i="11" s="1"/>
  <c r="J842" i="11"/>
  <c r="M635" i="11"/>
  <c r="O635" i="11" s="1"/>
  <c r="L635" i="11"/>
  <c r="N635" i="11" s="1"/>
  <c r="K636" i="11"/>
  <c r="M540" i="11"/>
  <c r="O540" i="11" s="1"/>
  <c r="L540" i="11"/>
  <c r="N540" i="11" s="1"/>
  <c r="K541" i="11"/>
  <c r="M521" i="11"/>
  <c r="O521" i="11" s="1"/>
  <c r="L521" i="11"/>
  <c r="N521" i="11" s="1"/>
  <c r="J844" i="11"/>
  <c r="J879" i="11"/>
  <c r="M803" i="11"/>
  <c r="O803" i="11" s="1"/>
  <c r="L822" i="11" l="1"/>
  <c r="N822" i="11" s="1"/>
  <c r="L823" i="11"/>
  <c r="N823" i="11" s="1"/>
  <c r="J865" i="11"/>
  <c r="J886" i="11"/>
  <c r="M693" i="11"/>
  <c r="O693" i="11" s="1"/>
  <c r="K694" i="11"/>
  <c r="L693" i="11"/>
  <c r="N693" i="11" s="1"/>
  <c r="J864" i="11"/>
  <c r="M541" i="11"/>
  <c r="O541" i="11" s="1"/>
  <c r="L541" i="11"/>
  <c r="N541" i="11" s="1"/>
  <c r="K827" i="11"/>
  <c r="L826" i="11"/>
  <c r="N826" i="11" s="1"/>
  <c r="M826" i="11"/>
  <c r="O826" i="11" s="1"/>
  <c r="J867" i="11"/>
  <c r="K808" i="11"/>
  <c r="L807" i="11"/>
  <c r="N807" i="11" s="1"/>
  <c r="M807" i="11"/>
  <c r="O807" i="11" s="1"/>
  <c r="M579" i="11"/>
  <c r="O579" i="11" s="1"/>
  <c r="L579" i="11"/>
  <c r="N579" i="11" s="1"/>
  <c r="K580" i="11"/>
  <c r="J877" i="11"/>
  <c r="J878" i="11"/>
  <c r="L769" i="11"/>
  <c r="N769" i="11" s="1"/>
  <c r="K770" i="11"/>
  <c r="M769" i="11"/>
  <c r="O769" i="11" s="1"/>
  <c r="M636" i="11"/>
  <c r="O636" i="11" s="1"/>
  <c r="K637" i="11"/>
  <c r="L636" i="11"/>
  <c r="N636" i="11" s="1"/>
  <c r="J862" i="11"/>
  <c r="K842" i="11"/>
  <c r="K843" i="11" s="1"/>
  <c r="K844" i="11" s="1"/>
  <c r="K845" i="11" s="1"/>
  <c r="K846" i="11" s="1"/>
  <c r="J868" i="11"/>
  <c r="J863" i="11"/>
  <c r="L731" i="11"/>
  <c r="N731" i="11" s="1"/>
  <c r="M731" i="11"/>
  <c r="O731" i="11" s="1"/>
  <c r="K732" i="11"/>
  <c r="J875" i="11"/>
  <c r="J870" i="11"/>
  <c r="M560" i="11"/>
  <c r="O560" i="11" s="1"/>
  <c r="L560" i="11"/>
  <c r="N560" i="11" s="1"/>
  <c r="K561" i="11"/>
  <c r="J889" i="11"/>
  <c r="J880" i="11"/>
  <c r="J894" i="11"/>
  <c r="M823" i="11"/>
  <c r="O823" i="11" s="1"/>
  <c r="L824" i="11"/>
  <c r="N824" i="11" s="1"/>
  <c r="M825" i="11"/>
  <c r="O825" i="11" s="1"/>
  <c r="K789" i="11"/>
  <c r="M788" i="11"/>
  <c r="O788" i="11" s="1"/>
  <c r="L788" i="11"/>
  <c r="N788" i="11" s="1"/>
  <c r="M598" i="11"/>
  <c r="O598" i="11" s="1"/>
  <c r="L598" i="11"/>
  <c r="N598" i="11" s="1"/>
  <c r="K599" i="11"/>
  <c r="L750" i="11"/>
  <c r="N750" i="11" s="1"/>
  <c r="K751" i="11"/>
  <c r="M750" i="11"/>
  <c r="O750" i="11" s="1"/>
  <c r="M617" i="11"/>
  <c r="O617" i="11" s="1"/>
  <c r="K618" i="11"/>
  <c r="L617" i="11"/>
  <c r="N617" i="11" s="1"/>
  <c r="M712" i="11"/>
  <c r="O712" i="11" s="1"/>
  <c r="L712" i="11"/>
  <c r="N712" i="11" s="1"/>
  <c r="K713" i="11"/>
  <c r="J899" i="11"/>
  <c r="M655" i="11"/>
  <c r="O655" i="11" s="1"/>
  <c r="L655" i="11"/>
  <c r="N655" i="11" s="1"/>
  <c r="K656" i="11"/>
  <c r="M674" i="11"/>
  <c r="O674" i="11" s="1"/>
  <c r="K675" i="11"/>
  <c r="L674" i="11"/>
  <c r="N674" i="11" s="1"/>
  <c r="J871" i="11"/>
  <c r="J876" i="11"/>
  <c r="J872" i="11"/>
  <c r="J873" i="11"/>
  <c r="J881" i="11"/>
  <c r="M824" i="11"/>
  <c r="O824" i="11" s="1"/>
  <c r="M822" i="11"/>
  <c r="O822" i="11" s="1"/>
  <c r="L825" i="11"/>
  <c r="N825" i="11" s="1"/>
  <c r="M599" i="11" l="1"/>
  <c r="O599" i="11" s="1"/>
  <c r="K600" i="11"/>
  <c r="L599" i="11"/>
  <c r="N599" i="11" s="1"/>
  <c r="J895" i="11"/>
  <c r="M656" i="11"/>
  <c r="O656" i="11" s="1"/>
  <c r="K657" i="11"/>
  <c r="L656" i="11"/>
  <c r="N656" i="11" s="1"/>
  <c r="M751" i="11"/>
  <c r="O751" i="11" s="1"/>
  <c r="K752" i="11"/>
  <c r="L751" i="11"/>
  <c r="N751" i="11" s="1"/>
  <c r="J890" i="11"/>
  <c r="M732" i="11"/>
  <c r="O732" i="11" s="1"/>
  <c r="L732" i="11"/>
  <c r="N732" i="11" s="1"/>
  <c r="K733" i="11"/>
  <c r="J883" i="11"/>
  <c r="K809" i="11"/>
  <c r="L808" i="11"/>
  <c r="N808" i="11" s="1"/>
  <c r="M808" i="11"/>
  <c r="O808" i="11" s="1"/>
  <c r="J906" i="11"/>
  <c r="J901" i="11"/>
  <c r="J892" i="11"/>
  <c r="J891" i="11"/>
  <c r="J919" i="11"/>
  <c r="K790" i="11"/>
  <c r="L789" i="11"/>
  <c r="N789" i="11" s="1"/>
  <c r="M789" i="11"/>
  <c r="O789" i="11" s="1"/>
  <c r="J914" i="11"/>
  <c r="J909" i="11"/>
  <c r="J888" i="11"/>
  <c r="K862" i="11"/>
  <c r="K863" i="11" s="1"/>
  <c r="K864" i="11" s="1"/>
  <c r="K865" i="11" s="1"/>
  <c r="K866" i="11" s="1"/>
  <c r="J882" i="11"/>
  <c r="J898" i="11"/>
  <c r="M580" i="11"/>
  <c r="O580" i="11" s="1"/>
  <c r="L580" i="11"/>
  <c r="N580" i="11" s="1"/>
  <c r="K581" i="11"/>
  <c r="J885" i="11"/>
  <c r="M842" i="11"/>
  <c r="O842" i="11" s="1"/>
  <c r="M845" i="11"/>
  <c r="O845" i="11" s="1"/>
  <c r="L843" i="11"/>
  <c r="N843" i="11" s="1"/>
  <c r="M844" i="11"/>
  <c r="O844" i="11" s="1"/>
  <c r="M675" i="11"/>
  <c r="O675" i="11" s="1"/>
  <c r="K676" i="11"/>
  <c r="L675" i="11"/>
  <c r="N675" i="11" s="1"/>
  <c r="K847" i="11"/>
  <c r="L846" i="11"/>
  <c r="N846" i="11" s="1"/>
  <c r="M846" i="11"/>
  <c r="O846" i="11" s="1"/>
  <c r="M637" i="11"/>
  <c r="O637" i="11" s="1"/>
  <c r="L637" i="11"/>
  <c r="N637" i="11" s="1"/>
  <c r="K638" i="11"/>
  <c r="J887" i="11"/>
  <c r="K828" i="11"/>
  <c r="M827" i="11"/>
  <c r="O827" i="11" s="1"/>
  <c r="L827" i="11"/>
  <c r="N827" i="11" s="1"/>
  <c r="J884" i="11"/>
  <c r="J893" i="11"/>
  <c r="J896" i="11"/>
  <c r="M713" i="11"/>
  <c r="O713" i="11" s="1"/>
  <c r="L713" i="11"/>
  <c r="N713" i="11" s="1"/>
  <c r="K714" i="11"/>
  <c r="M618" i="11"/>
  <c r="O618" i="11" s="1"/>
  <c r="L618" i="11"/>
  <c r="N618" i="11" s="1"/>
  <c r="K619" i="11"/>
  <c r="J900" i="11"/>
  <c r="M561" i="11"/>
  <c r="O561" i="11" s="1"/>
  <c r="L561" i="11"/>
  <c r="N561" i="11" s="1"/>
  <c r="K771" i="11"/>
  <c r="L770" i="11"/>
  <c r="N770" i="11" s="1"/>
  <c r="M770" i="11"/>
  <c r="O770" i="11" s="1"/>
  <c r="J897" i="11"/>
  <c r="M694" i="11"/>
  <c r="O694" i="11" s="1"/>
  <c r="L694" i="11"/>
  <c r="N694" i="11" s="1"/>
  <c r="K695" i="11"/>
  <c r="L845" i="11"/>
  <c r="N845" i="11" s="1"/>
  <c r="M843" i="11"/>
  <c r="O843" i="11" s="1"/>
  <c r="L842" i="11"/>
  <c r="N842" i="11" s="1"/>
  <c r="L844" i="11"/>
  <c r="N844" i="11" s="1"/>
  <c r="L864" i="11" l="1"/>
  <c r="N864" i="11" s="1"/>
  <c r="J920" i="11"/>
  <c r="J918" i="11"/>
  <c r="J939" i="11"/>
  <c r="J910" i="11"/>
  <c r="J915" i="11"/>
  <c r="J907" i="11"/>
  <c r="J908" i="11"/>
  <c r="K791" i="11"/>
  <c r="L790" i="11"/>
  <c r="N790" i="11" s="1"/>
  <c r="M790" i="11"/>
  <c r="O790" i="11" s="1"/>
  <c r="M695" i="11"/>
  <c r="O695" i="11" s="1"/>
  <c r="L695" i="11"/>
  <c r="N695" i="11" s="1"/>
  <c r="K696" i="11"/>
  <c r="M619" i="11"/>
  <c r="O619" i="11" s="1"/>
  <c r="K620" i="11"/>
  <c r="L619" i="11"/>
  <c r="N619" i="11" s="1"/>
  <c r="J913" i="11"/>
  <c r="K848" i="11"/>
  <c r="L847" i="11"/>
  <c r="N847" i="11" s="1"/>
  <c r="M847" i="11"/>
  <c r="O847" i="11" s="1"/>
  <c r="J911" i="11"/>
  <c r="J921" i="11"/>
  <c r="M657" i="11"/>
  <c r="O657" i="11" s="1"/>
  <c r="L657" i="11"/>
  <c r="N657" i="11" s="1"/>
  <c r="K658" i="11"/>
  <c r="M865" i="11"/>
  <c r="O865" i="11" s="1"/>
  <c r="M863" i="11"/>
  <c r="O863" i="11" s="1"/>
  <c r="M864" i="11"/>
  <c r="O864" i="11" s="1"/>
  <c r="L865" i="11"/>
  <c r="N865" i="11" s="1"/>
  <c r="L862" i="11"/>
  <c r="N862" i="11" s="1"/>
  <c r="L863" i="11"/>
  <c r="N863" i="11" s="1"/>
  <c r="J916" i="11"/>
  <c r="M676" i="11"/>
  <c r="O676" i="11" s="1"/>
  <c r="K677" i="11"/>
  <c r="L676" i="11"/>
  <c r="N676" i="11" s="1"/>
  <c r="K867" i="11"/>
  <c r="M866" i="11"/>
  <c r="O866" i="11" s="1"/>
  <c r="L866" i="11"/>
  <c r="N866" i="11" s="1"/>
  <c r="J912" i="11"/>
  <c r="J905" i="11"/>
  <c r="K882" i="11"/>
  <c r="K883" i="11" s="1"/>
  <c r="K884" i="11" s="1"/>
  <c r="K885" i="11" s="1"/>
  <c r="K886" i="11" s="1"/>
  <c r="J902" i="11"/>
  <c r="J934" i="11"/>
  <c r="J903" i="11"/>
  <c r="M752" i="11"/>
  <c r="O752" i="11" s="1"/>
  <c r="K753" i="11"/>
  <c r="L752" i="11"/>
  <c r="N752" i="11" s="1"/>
  <c r="M600" i="11"/>
  <c r="O600" i="11" s="1"/>
  <c r="K601" i="11"/>
  <c r="L600" i="11"/>
  <c r="N600" i="11" s="1"/>
  <c r="J917" i="11"/>
  <c r="M771" i="11"/>
  <c r="O771" i="11" s="1"/>
  <c r="K772" i="11"/>
  <c r="L771" i="11"/>
  <c r="N771" i="11" s="1"/>
  <c r="M714" i="11"/>
  <c r="O714" i="11" s="1"/>
  <c r="L714" i="11"/>
  <c r="N714" i="11" s="1"/>
  <c r="K715" i="11"/>
  <c r="J904" i="11"/>
  <c r="K829" i="11"/>
  <c r="L828" i="11"/>
  <c r="N828" i="11" s="1"/>
  <c r="M828" i="11"/>
  <c r="O828" i="11" s="1"/>
  <c r="M638" i="11"/>
  <c r="O638" i="11" s="1"/>
  <c r="L638" i="11"/>
  <c r="N638" i="11" s="1"/>
  <c r="K639" i="11"/>
  <c r="M581" i="11"/>
  <c r="O581" i="11" s="1"/>
  <c r="L581" i="11"/>
  <c r="N581" i="11" s="1"/>
  <c r="J929" i="11"/>
  <c r="J926" i="11"/>
  <c r="K810" i="11"/>
  <c r="M809" i="11"/>
  <c r="O809" i="11" s="1"/>
  <c r="L809" i="11"/>
  <c r="N809" i="11" s="1"/>
  <c r="M733" i="11"/>
  <c r="O733" i="11" s="1"/>
  <c r="K734" i="11"/>
  <c r="L733" i="11"/>
  <c r="N733" i="11" s="1"/>
  <c r="M862" i="11"/>
  <c r="O862" i="11" s="1"/>
  <c r="L883" i="11" l="1"/>
  <c r="N883" i="11" s="1"/>
  <c r="L884" i="11"/>
  <c r="N884" i="11" s="1"/>
  <c r="M882" i="11"/>
  <c r="O882" i="11" s="1"/>
  <c r="J924" i="11"/>
  <c r="J937" i="11"/>
  <c r="J932" i="11"/>
  <c r="J936" i="11"/>
  <c r="M791" i="11"/>
  <c r="O791" i="11" s="1"/>
  <c r="L791" i="11"/>
  <c r="N791" i="11" s="1"/>
  <c r="K792" i="11"/>
  <c r="J954" i="11"/>
  <c r="M696" i="11"/>
  <c r="O696" i="11" s="1"/>
  <c r="L696" i="11"/>
  <c r="N696" i="11" s="1"/>
  <c r="K697" i="11"/>
  <c r="J959" i="11"/>
  <c r="K830" i="11"/>
  <c r="L829" i="11"/>
  <c r="N829" i="11" s="1"/>
  <c r="M829" i="11"/>
  <c r="O829" i="11" s="1"/>
  <c r="M715" i="11"/>
  <c r="O715" i="11" s="1"/>
  <c r="K716" i="11"/>
  <c r="L715" i="11"/>
  <c r="N715" i="11" s="1"/>
  <c r="M753" i="11"/>
  <c r="O753" i="11" s="1"/>
  <c r="L753" i="11"/>
  <c r="N753" i="11" s="1"/>
  <c r="K754" i="11"/>
  <c r="J922" i="11"/>
  <c r="K902" i="11"/>
  <c r="K903" i="11" s="1"/>
  <c r="K904" i="11" s="1"/>
  <c r="K905" i="11" s="1"/>
  <c r="K906" i="11" s="1"/>
  <c r="J925" i="11"/>
  <c r="M677" i="11"/>
  <c r="O677" i="11" s="1"/>
  <c r="L677" i="11"/>
  <c r="N677" i="11" s="1"/>
  <c r="K678" i="11"/>
  <c r="J933" i="11"/>
  <c r="J928" i="11"/>
  <c r="M883" i="11"/>
  <c r="O883" i="11" s="1"/>
  <c r="K868" i="11"/>
  <c r="L867" i="11"/>
  <c r="N867" i="11" s="1"/>
  <c r="M867" i="11"/>
  <c r="O867" i="11" s="1"/>
  <c r="M658" i="11"/>
  <c r="O658" i="11" s="1"/>
  <c r="L658" i="11"/>
  <c r="N658" i="11" s="1"/>
  <c r="K659" i="11"/>
  <c r="J946" i="11"/>
  <c r="M601" i="11"/>
  <c r="O601" i="11" s="1"/>
  <c r="L601" i="11"/>
  <c r="N601" i="11" s="1"/>
  <c r="K887" i="11"/>
  <c r="M886" i="11"/>
  <c r="O886" i="11" s="1"/>
  <c r="L886" i="11"/>
  <c r="N886" i="11" s="1"/>
  <c r="J941" i="11"/>
  <c r="J935" i="11"/>
  <c r="J940" i="11"/>
  <c r="M772" i="11"/>
  <c r="O772" i="11" s="1"/>
  <c r="L772" i="11"/>
  <c r="N772" i="11" s="1"/>
  <c r="K773" i="11"/>
  <c r="M734" i="11"/>
  <c r="O734" i="11" s="1"/>
  <c r="L734" i="11"/>
  <c r="N734" i="11" s="1"/>
  <c r="K735" i="11"/>
  <c r="K811" i="11"/>
  <c r="L810" i="11"/>
  <c r="N810" i="11" s="1"/>
  <c r="M810" i="11"/>
  <c r="O810" i="11" s="1"/>
  <c r="J949" i="11"/>
  <c r="M639" i="11"/>
  <c r="O639" i="11" s="1"/>
  <c r="K640" i="11"/>
  <c r="L639" i="11"/>
  <c r="N639" i="11" s="1"/>
  <c r="J923" i="11"/>
  <c r="J931" i="11"/>
  <c r="K849" i="11"/>
  <c r="M848" i="11"/>
  <c r="O848" i="11" s="1"/>
  <c r="L848" i="11"/>
  <c r="N848" i="11" s="1"/>
  <c r="M620" i="11"/>
  <c r="O620" i="11" s="1"/>
  <c r="L620" i="11"/>
  <c r="N620" i="11" s="1"/>
  <c r="K621" i="11"/>
  <c r="J927" i="11"/>
  <c r="J930" i="11"/>
  <c r="J938" i="11"/>
  <c r="M885" i="11"/>
  <c r="O885" i="11" s="1"/>
  <c r="M884" i="11"/>
  <c r="O884" i="11" s="1"/>
  <c r="L882" i="11"/>
  <c r="N882" i="11" s="1"/>
  <c r="L885" i="11"/>
  <c r="N885" i="11" s="1"/>
  <c r="L905" i="11" l="1"/>
  <c r="N905" i="11" s="1"/>
  <c r="M904" i="11"/>
  <c r="O904" i="11" s="1"/>
  <c r="M903" i="11"/>
  <c r="O903" i="11" s="1"/>
  <c r="L903" i="11"/>
  <c r="N903" i="11" s="1"/>
  <c r="L902" i="11"/>
  <c r="N902" i="11" s="1"/>
  <c r="L904" i="11"/>
  <c r="N904" i="11" s="1"/>
  <c r="M905" i="11"/>
  <c r="O905" i="11" s="1"/>
  <c r="M902" i="11"/>
  <c r="O902" i="11" s="1"/>
  <c r="M659" i="11"/>
  <c r="O659" i="11" s="1"/>
  <c r="L659" i="11"/>
  <c r="N659" i="11" s="1"/>
  <c r="K660" i="11"/>
  <c r="M678" i="11"/>
  <c r="O678" i="11" s="1"/>
  <c r="L678" i="11"/>
  <c r="N678" i="11" s="1"/>
  <c r="K679" i="11"/>
  <c r="K922" i="11"/>
  <c r="K923" i="11" s="1"/>
  <c r="K924" i="11" s="1"/>
  <c r="K925" i="11" s="1"/>
  <c r="K926" i="11" s="1"/>
  <c r="J942" i="11"/>
  <c r="J947" i="11"/>
  <c r="J969" i="11"/>
  <c r="M773" i="11"/>
  <c r="O773" i="11" s="1"/>
  <c r="L773" i="11"/>
  <c r="N773" i="11" s="1"/>
  <c r="K774" i="11"/>
  <c r="J979" i="11"/>
  <c r="J952" i="11"/>
  <c r="M621" i="11"/>
  <c r="O621" i="11" s="1"/>
  <c r="L621" i="11"/>
  <c r="N621" i="11" s="1"/>
  <c r="M640" i="11"/>
  <c r="O640" i="11" s="1"/>
  <c r="K641" i="11"/>
  <c r="L640" i="11"/>
  <c r="N640" i="11" s="1"/>
  <c r="K869" i="11"/>
  <c r="L868" i="11"/>
  <c r="N868" i="11" s="1"/>
  <c r="M868" i="11"/>
  <c r="O868" i="11" s="1"/>
  <c r="M697" i="11"/>
  <c r="O697" i="11" s="1"/>
  <c r="L697" i="11"/>
  <c r="N697" i="11" s="1"/>
  <c r="K698" i="11"/>
  <c r="J956" i="11"/>
  <c r="J957" i="11"/>
  <c r="J950" i="11"/>
  <c r="M735" i="11"/>
  <c r="O735" i="11" s="1"/>
  <c r="L735" i="11"/>
  <c r="N735" i="11" s="1"/>
  <c r="K736" i="11"/>
  <c r="J955" i="11"/>
  <c r="J948" i="11"/>
  <c r="J945" i="11"/>
  <c r="J974" i="11"/>
  <c r="J944" i="11"/>
  <c r="J951" i="11"/>
  <c r="M811" i="11"/>
  <c r="O811" i="11" s="1"/>
  <c r="K812" i="11"/>
  <c r="L811" i="11"/>
  <c r="N811" i="11" s="1"/>
  <c r="J958" i="11"/>
  <c r="K850" i="11"/>
  <c r="L849" i="11"/>
  <c r="N849" i="11" s="1"/>
  <c r="M849" i="11"/>
  <c r="O849" i="11" s="1"/>
  <c r="M923" i="11"/>
  <c r="O923" i="11" s="1"/>
  <c r="J943" i="11"/>
  <c r="L923" i="11"/>
  <c r="N923" i="11" s="1"/>
  <c r="J960" i="11"/>
  <c r="J961" i="11"/>
  <c r="K888" i="11"/>
  <c r="L887" i="11"/>
  <c r="N887" i="11" s="1"/>
  <c r="M887" i="11"/>
  <c r="O887" i="11" s="1"/>
  <c r="J966" i="11"/>
  <c r="J953" i="11"/>
  <c r="K907" i="11"/>
  <c r="L906" i="11"/>
  <c r="N906" i="11" s="1"/>
  <c r="M906" i="11"/>
  <c r="O906" i="11" s="1"/>
  <c r="M754" i="11"/>
  <c r="O754" i="11" s="1"/>
  <c r="K755" i="11"/>
  <c r="L754" i="11"/>
  <c r="N754" i="11" s="1"/>
  <c r="M716" i="11"/>
  <c r="O716" i="11" s="1"/>
  <c r="K717" i="11"/>
  <c r="L716" i="11"/>
  <c r="N716" i="11" s="1"/>
  <c r="K831" i="11"/>
  <c r="M830" i="11"/>
  <c r="O830" i="11" s="1"/>
  <c r="L830" i="11"/>
  <c r="N830" i="11" s="1"/>
  <c r="M792" i="11"/>
  <c r="O792" i="11" s="1"/>
  <c r="K793" i="11"/>
  <c r="L792" i="11"/>
  <c r="N792" i="11" s="1"/>
  <c r="L925" i="11" l="1"/>
  <c r="N925" i="11" s="1"/>
  <c r="L922" i="11"/>
  <c r="N922" i="11" s="1"/>
  <c r="M922" i="11"/>
  <c r="O922" i="11" s="1"/>
  <c r="L924" i="11"/>
  <c r="N924" i="11" s="1"/>
  <c r="M924" i="11"/>
  <c r="O924" i="11" s="1"/>
  <c r="M925" i="11"/>
  <c r="O925" i="11" s="1"/>
  <c r="K908" i="11"/>
  <c r="L907" i="11"/>
  <c r="N907" i="11" s="1"/>
  <c r="M907" i="11"/>
  <c r="O907" i="11" s="1"/>
  <c r="J971" i="11"/>
  <c r="J965" i="11"/>
  <c r="J977" i="11"/>
  <c r="M831" i="11"/>
  <c r="O831" i="11" s="1"/>
  <c r="L831" i="11"/>
  <c r="N831" i="11" s="1"/>
  <c r="K832" i="11"/>
  <c r="J980" i="11"/>
  <c r="J978" i="11"/>
  <c r="J968" i="11"/>
  <c r="J972" i="11"/>
  <c r="M679" i="11"/>
  <c r="O679" i="11" s="1"/>
  <c r="K680" i="11"/>
  <c r="L679" i="11"/>
  <c r="N679" i="11" s="1"/>
  <c r="J963" i="11"/>
  <c r="K851" i="11"/>
  <c r="L850" i="11"/>
  <c r="N850" i="11" s="1"/>
  <c r="M850" i="11"/>
  <c r="O850" i="11" s="1"/>
  <c r="M812" i="11"/>
  <c r="O812" i="11" s="1"/>
  <c r="K813" i="11"/>
  <c r="L812" i="11"/>
  <c r="N812" i="11" s="1"/>
  <c r="J970" i="11"/>
  <c r="J976" i="11"/>
  <c r="J989" i="11"/>
  <c r="M660" i="11"/>
  <c r="O660" i="11" s="1"/>
  <c r="L660" i="11"/>
  <c r="N660" i="11" s="1"/>
  <c r="K661" i="11"/>
  <c r="M755" i="11"/>
  <c r="O755" i="11" s="1"/>
  <c r="L755" i="11"/>
  <c r="N755" i="11" s="1"/>
  <c r="K756" i="11"/>
  <c r="J986" i="11"/>
  <c r="K889" i="11"/>
  <c r="L888" i="11"/>
  <c r="N888" i="11" s="1"/>
  <c r="M888" i="11"/>
  <c r="O888" i="11" s="1"/>
  <c r="M698" i="11"/>
  <c r="O698" i="11" s="1"/>
  <c r="L698" i="11"/>
  <c r="N698" i="11" s="1"/>
  <c r="K699" i="11"/>
  <c r="J962" i="11"/>
  <c r="K942" i="11"/>
  <c r="K943" i="11" s="1"/>
  <c r="K944" i="11" s="1"/>
  <c r="K945" i="11" s="1"/>
  <c r="K946" i="11" s="1"/>
  <c r="M793" i="11"/>
  <c r="O793" i="11" s="1"/>
  <c r="K794" i="11"/>
  <c r="L793" i="11"/>
  <c r="N793" i="11" s="1"/>
  <c r="M944" i="11"/>
  <c r="O944" i="11" s="1"/>
  <c r="J964" i="11"/>
  <c r="M736" i="11"/>
  <c r="O736" i="11" s="1"/>
  <c r="K737" i="11"/>
  <c r="L736" i="11"/>
  <c r="N736" i="11" s="1"/>
  <c r="M641" i="11"/>
  <c r="O641" i="11" s="1"/>
  <c r="L641" i="11"/>
  <c r="N641" i="11" s="1"/>
  <c r="M774" i="11"/>
  <c r="O774" i="11" s="1"/>
  <c r="K775" i="11"/>
  <c r="L774" i="11"/>
  <c r="N774" i="11" s="1"/>
  <c r="M717" i="11"/>
  <c r="O717" i="11" s="1"/>
  <c r="K718" i="11"/>
  <c r="L717" i="11"/>
  <c r="N717" i="11" s="1"/>
  <c r="J973" i="11"/>
  <c r="J981" i="11"/>
  <c r="J994" i="11"/>
  <c r="J975" i="11"/>
  <c r="L869" i="11"/>
  <c r="N869" i="11" s="1"/>
  <c r="K870" i="11"/>
  <c r="M869" i="11"/>
  <c r="O869" i="11" s="1"/>
  <c r="J999" i="11"/>
  <c r="J967" i="11"/>
  <c r="K927" i="11"/>
  <c r="L926" i="11"/>
  <c r="N926" i="11" s="1"/>
  <c r="M926" i="11"/>
  <c r="O926" i="11" s="1"/>
  <c r="M945" i="11" l="1"/>
  <c r="O945" i="11" s="1"/>
  <c r="L944" i="11"/>
  <c r="N944" i="11" s="1"/>
  <c r="M943" i="11"/>
  <c r="O943" i="11" s="1"/>
  <c r="L942" i="11"/>
  <c r="N942" i="11" s="1"/>
  <c r="K928" i="11"/>
  <c r="L927" i="11"/>
  <c r="N927" i="11" s="1"/>
  <c r="M927" i="11"/>
  <c r="O927" i="11" s="1"/>
  <c r="M794" i="11"/>
  <c r="O794" i="11" s="1"/>
  <c r="L794" i="11"/>
  <c r="N794" i="11" s="1"/>
  <c r="K795" i="11"/>
  <c r="J982" i="11"/>
  <c r="K962" i="11"/>
  <c r="K963" i="11" s="1"/>
  <c r="K964" i="11" s="1"/>
  <c r="K965" i="11" s="1"/>
  <c r="K966" i="11" s="1"/>
  <c r="M813" i="11"/>
  <c r="O813" i="11" s="1"/>
  <c r="L813" i="11"/>
  <c r="N813" i="11" s="1"/>
  <c r="K814" i="11"/>
  <c r="M832" i="11"/>
  <c r="O832" i="11" s="1"/>
  <c r="K833" i="11"/>
  <c r="L832" i="11"/>
  <c r="N832" i="11" s="1"/>
  <c r="J991" i="11"/>
  <c r="M737" i="11"/>
  <c r="O737" i="11" s="1"/>
  <c r="L737" i="11"/>
  <c r="N737" i="11" s="1"/>
  <c r="K738" i="11"/>
  <c r="K947" i="11"/>
  <c r="M946" i="11"/>
  <c r="O946" i="11" s="1"/>
  <c r="L946" i="11"/>
  <c r="N946" i="11" s="1"/>
  <c r="M699" i="11"/>
  <c r="O699" i="11" s="1"/>
  <c r="K700" i="11"/>
  <c r="L699" i="11"/>
  <c r="N699" i="11" s="1"/>
  <c r="M661" i="11"/>
  <c r="O661" i="11" s="1"/>
  <c r="L661" i="11"/>
  <c r="N661" i="11" s="1"/>
  <c r="J983" i="11"/>
  <c r="J988" i="11"/>
  <c r="J1000" i="11"/>
  <c r="J985" i="11"/>
  <c r="K852" i="11"/>
  <c r="M851" i="11"/>
  <c r="O851" i="11" s="1"/>
  <c r="L851" i="11"/>
  <c r="N851" i="11" s="1"/>
  <c r="J998" i="11"/>
  <c r="K909" i="11"/>
  <c r="L908" i="11"/>
  <c r="N908" i="11" s="1"/>
  <c r="M908" i="11"/>
  <c r="O908" i="11" s="1"/>
  <c r="L870" i="11"/>
  <c r="N870" i="11" s="1"/>
  <c r="K871" i="11"/>
  <c r="M870" i="11"/>
  <c r="O870" i="11" s="1"/>
  <c r="J993" i="11"/>
  <c r="L889" i="11"/>
  <c r="N889" i="11" s="1"/>
  <c r="K890" i="11"/>
  <c r="M889" i="11"/>
  <c r="O889" i="11" s="1"/>
  <c r="M756" i="11"/>
  <c r="O756" i="11" s="1"/>
  <c r="L756" i="11"/>
  <c r="N756" i="11" s="1"/>
  <c r="K757" i="11"/>
  <c r="J996" i="11"/>
  <c r="J992" i="11"/>
  <c r="J997" i="11"/>
  <c r="J987" i="11"/>
  <c r="M718" i="11"/>
  <c r="O718" i="11" s="1"/>
  <c r="K719" i="11"/>
  <c r="L718" i="11"/>
  <c r="N718" i="11" s="1"/>
  <c r="J995" i="11"/>
  <c r="J1001" i="11"/>
  <c r="M775" i="11"/>
  <c r="O775" i="11" s="1"/>
  <c r="K776" i="11"/>
  <c r="L775" i="11"/>
  <c r="N775" i="11" s="1"/>
  <c r="J984" i="11"/>
  <c r="J990" i="11"/>
  <c r="M680" i="11"/>
  <c r="O680" i="11" s="1"/>
  <c r="K681" i="11"/>
  <c r="L680" i="11"/>
  <c r="N680" i="11" s="1"/>
  <c r="M942" i="11"/>
  <c r="O942" i="11" s="1"/>
  <c r="L943" i="11"/>
  <c r="N943" i="11" s="1"/>
  <c r="L945" i="11"/>
  <c r="N945" i="11" s="1"/>
  <c r="M814" i="11" l="1"/>
  <c r="O814" i="11" s="1"/>
  <c r="L814" i="11"/>
  <c r="N814" i="11" s="1"/>
  <c r="K815" i="11"/>
  <c r="K929" i="11"/>
  <c r="M928" i="11"/>
  <c r="O928" i="11" s="1"/>
  <c r="L928" i="11"/>
  <c r="N928" i="11" s="1"/>
  <c r="M852" i="11"/>
  <c r="O852" i="11" s="1"/>
  <c r="K853" i="11"/>
  <c r="L852" i="11"/>
  <c r="N852" i="11" s="1"/>
  <c r="M700" i="11"/>
  <c r="O700" i="11" s="1"/>
  <c r="L700" i="11"/>
  <c r="N700" i="11" s="1"/>
  <c r="K701" i="11"/>
  <c r="M795" i="11"/>
  <c r="O795" i="11" s="1"/>
  <c r="K796" i="11"/>
  <c r="L795" i="11"/>
  <c r="N795" i="11" s="1"/>
  <c r="M719" i="11"/>
  <c r="O719" i="11" s="1"/>
  <c r="L719" i="11"/>
  <c r="N719" i="11" s="1"/>
  <c r="K720" i="11"/>
  <c r="L871" i="11"/>
  <c r="N871" i="11" s="1"/>
  <c r="M871" i="11"/>
  <c r="O871" i="11" s="1"/>
  <c r="K872" i="11"/>
  <c r="K910" i="11"/>
  <c r="L909" i="11"/>
  <c r="N909" i="11" s="1"/>
  <c r="M909" i="11"/>
  <c r="O909" i="11" s="1"/>
  <c r="M833" i="11"/>
  <c r="O833" i="11" s="1"/>
  <c r="L833" i="11"/>
  <c r="N833" i="11" s="1"/>
  <c r="K834" i="11"/>
  <c r="L964" i="11"/>
  <c r="N964" i="11" s="1"/>
  <c r="L962" i="11"/>
  <c r="N962" i="11" s="1"/>
  <c r="M962" i="11"/>
  <c r="O962" i="11" s="1"/>
  <c r="M738" i="11"/>
  <c r="O738" i="11" s="1"/>
  <c r="K739" i="11"/>
  <c r="L738" i="11"/>
  <c r="N738" i="11" s="1"/>
  <c r="K967" i="11"/>
  <c r="M966" i="11"/>
  <c r="O966" i="11" s="1"/>
  <c r="L966" i="11"/>
  <c r="N966" i="11" s="1"/>
  <c r="M776" i="11"/>
  <c r="O776" i="11" s="1"/>
  <c r="K777" i="11"/>
  <c r="L776" i="11"/>
  <c r="N776" i="11" s="1"/>
  <c r="K948" i="11"/>
  <c r="L947" i="11"/>
  <c r="N947" i="11" s="1"/>
  <c r="M947" i="11"/>
  <c r="O947" i="11" s="1"/>
  <c r="M681" i="11"/>
  <c r="O681" i="11" s="1"/>
  <c r="L681" i="11"/>
  <c r="N681" i="11" s="1"/>
  <c r="M757" i="11"/>
  <c r="O757" i="11" s="1"/>
  <c r="K758" i="11"/>
  <c r="L757" i="11"/>
  <c r="N757" i="11" s="1"/>
  <c r="K891" i="11"/>
  <c r="L890" i="11"/>
  <c r="N890" i="11" s="1"/>
  <c r="M890" i="11"/>
  <c r="O890" i="11" s="1"/>
  <c r="K982" i="11"/>
  <c r="K983" i="11" s="1"/>
  <c r="K984" i="11" s="1"/>
  <c r="K985" i="11" s="1"/>
  <c r="K986" i="11" s="1"/>
  <c r="M965" i="11"/>
  <c r="O965" i="11" s="1"/>
  <c r="M963" i="11"/>
  <c r="O963" i="11" s="1"/>
  <c r="M964" i="11"/>
  <c r="O964" i="11" s="1"/>
  <c r="L965" i="11"/>
  <c r="N965" i="11" s="1"/>
  <c r="L963" i="11"/>
  <c r="N963" i="11" s="1"/>
  <c r="K892" i="11" l="1"/>
  <c r="M891" i="11"/>
  <c r="O891" i="11" s="1"/>
  <c r="L891" i="11"/>
  <c r="N891" i="11" s="1"/>
  <c r="K968" i="11"/>
  <c r="M967" i="11"/>
  <c r="O967" i="11" s="1"/>
  <c r="L967" i="11"/>
  <c r="N967" i="11" s="1"/>
  <c r="M815" i="11"/>
  <c r="O815" i="11" s="1"/>
  <c r="K816" i="11"/>
  <c r="L815" i="11"/>
  <c r="N815" i="11" s="1"/>
  <c r="M720" i="11"/>
  <c r="O720" i="11" s="1"/>
  <c r="L720" i="11"/>
  <c r="N720" i="11" s="1"/>
  <c r="K721" i="11"/>
  <c r="L929" i="11"/>
  <c r="N929" i="11" s="1"/>
  <c r="K930" i="11"/>
  <c r="M929" i="11"/>
  <c r="O929" i="11" s="1"/>
  <c r="K949" i="11"/>
  <c r="L948" i="11"/>
  <c r="N948" i="11" s="1"/>
  <c r="M948" i="11"/>
  <c r="O948" i="11" s="1"/>
  <c r="M739" i="11"/>
  <c r="O739" i="11" s="1"/>
  <c r="K740" i="11"/>
  <c r="L739" i="11"/>
  <c r="N739" i="11" s="1"/>
  <c r="M834" i="11"/>
  <c r="O834" i="11" s="1"/>
  <c r="K835" i="11"/>
  <c r="L834" i="11"/>
  <c r="N834" i="11" s="1"/>
  <c r="M985" i="11"/>
  <c r="O985" i="11" s="1"/>
  <c r="M983" i="11"/>
  <c r="O983" i="11" s="1"/>
  <c r="K987" i="11"/>
  <c r="L986" i="11"/>
  <c r="N986" i="11" s="1"/>
  <c r="M986" i="11"/>
  <c r="O986" i="11" s="1"/>
  <c r="M777" i="11"/>
  <c r="O777" i="11" s="1"/>
  <c r="K778" i="11"/>
  <c r="L777" i="11"/>
  <c r="N777" i="11" s="1"/>
  <c r="M872" i="11"/>
  <c r="O872" i="11" s="1"/>
  <c r="L872" i="11"/>
  <c r="N872" i="11" s="1"/>
  <c r="K873" i="11"/>
  <c r="K911" i="11"/>
  <c r="L910" i="11"/>
  <c r="N910" i="11" s="1"/>
  <c r="M910" i="11"/>
  <c r="O910" i="11" s="1"/>
  <c r="M796" i="11"/>
  <c r="O796" i="11" s="1"/>
  <c r="L796" i="11"/>
  <c r="N796" i="11" s="1"/>
  <c r="K797" i="11"/>
  <c r="M853" i="11"/>
  <c r="O853" i="11" s="1"/>
  <c r="K854" i="11"/>
  <c r="L853" i="11"/>
  <c r="N853" i="11" s="1"/>
  <c r="M758" i="11"/>
  <c r="O758" i="11" s="1"/>
  <c r="L758" i="11"/>
  <c r="N758" i="11" s="1"/>
  <c r="K759" i="11"/>
  <c r="M701" i="11"/>
  <c r="O701" i="11" s="1"/>
  <c r="L701" i="11"/>
  <c r="N701" i="11" s="1"/>
  <c r="M984" i="11"/>
  <c r="O984" i="11" s="1"/>
  <c r="L982" i="11"/>
  <c r="N982" i="11" s="1"/>
  <c r="L985" i="11"/>
  <c r="N985" i="11" s="1"/>
  <c r="L984" i="11"/>
  <c r="N984" i="11" s="1"/>
  <c r="M982" i="11"/>
  <c r="O982" i="11" s="1"/>
  <c r="L983" i="11"/>
  <c r="N983" i="11" s="1"/>
  <c r="M797" i="11" l="1"/>
  <c r="O797" i="11" s="1"/>
  <c r="K798" i="11"/>
  <c r="L797" i="11"/>
  <c r="N797" i="11" s="1"/>
  <c r="K931" i="11"/>
  <c r="L930" i="11"/>
  <c r="N930" i="11" s="1"/>
  <c r="M930" i="11"/>
  <c r="O930" i="11" s="1"/>
  <c r="M854" i="11"/>
  <c r="O854" i="11" s="1"/>
  <c r="K855" i="11"/>
  <c r="L854" i="11"/>
  <c r="N854" i="11" s="1"/>
  <c r="M873" i="11"/>
  <c r="O873" i="11" s="1"/>
  <c r="L873" i="11"/>
  <c r="N873" i="11" s="1"/>
  <c r="K874" i="11"/>
  <c r="M778" i="11"/>
  <c r="O778" i="11" s="1"/>
  <c r="K779" i="11"/>
  <c r="L778" i="11"/>
  <c r="N778" i="11" s="1"/>
  <c r="K988" i="11"/>
  <c r="M987" i="11"/>
  <c r="O987" i="11" s="1"/>
  <c r="L987" i="11"/>
  <c r="N987" i="11" s="1"/>
  <c r="M835" i="11"/>
  <c r="O835" i="11" s="1"/>
  <c r="K836" i="11"/>
  <c r="L835" i="11"/>
  <c r="N835" i="11" s="1"/>
  <c r="M892" i="11"/>
  <c r="O892" i="11" s="1"/>
  <c r="L892" i="11"/>
  <c r="N892" i="11" s="1"/>
  <c r="K893" i="11"/>
  <c r="M759" i="11"/>
  <c r="O759" i="11" s="1"/>
  <c r="L759" i="11"/>
  <c r="N759" i="11" s="1"/>
  <c r="K760" i="11"/>
  <c r="M911" i="11"/>
  <c r="O911" i="11" s="1"/>
  <c r="K912" i="11"/>
  <c r="L911" i="11"/>
  <c r="N911" i="11" s="1"/>
  <c r="M740" i="11"/>
  <c r="O740" i="11" s="1"/>
  <c r="L740" i="11"/>
  <c r="N740" i="11" s="1"/>
  <c r="K741" i="11"/>
  <c r="K950" i="11"/>
  <c r="L949" i="11"/>
  <c r="N949" i="11" s="1"/>
  <c r="M949" i="11"/>
  <c r="O949" i="11" s="1"/>
  <c r="M721" i="11"/>
  <c r="O721" i="11" s="1"/>
  <c r="L721" i="11"/>
  <c r="N721" i="11" s="1"/>
  <c r="M816" i="11"/>
  <c r="O816" i="11" s="1"/>
  <c r="K817" i="11"/>
  <c r="L816" i="11"/>
  <c r="N816" i="11" s="1"/>
  <c r="K969" i="11"/>
  <c r="L968" i="11"/>
  <c r="N968" i="11" s="1"/>
  <c r="M968" i="11"/>
  <c r="O968" i="11" s="1"/>
  <c r="M741" i="11" l="1"/>
  <c r="O741" i="11" s="1"/>
  <c r="L741" i="11"/>
  <c r="N741" i="11" s="1"/>
  <c r="M912" i="11"/>
  <c r="O912" i="11" s="1"/>
  <c r="L912" i="11"/>
  <c r="N912" i="11" s="1"/>
  <c r="K913" i="11"/>
  <c r="L969" i="11"/>
  <c r="N969" i="11" s="1"/>
  <c r="K970" i="11"/>
  <c r="M969" i="11"/>
  <c r="O969" i="11" s="1"/>
  <c r="K951" i="11"/>
  <c r="L950" i="11"/>
  <c r="N950" i="11" s="1"/>
  <c r="M950" i="11"/>
  <c r="O950" i="11" s="1"/>
  <c r="M779" i="11"/>
  <c r="O779" i="11" s="1"/>
  <c r="K780" i="11"/>
  <c r="L779" i="11"/>
  <c r="N779" i="11" s="1"/>
  <c r="M798" i="11"/>
  <c r="O798" i="11" s="1"/>
  <c r="L798" i="11"/>
  <c r="N798" i="11" s="1"/>
  <c r="K799" i="11"/>
  <c r="M760" i="11"/>
  <c r="O760" i="11" s="1"/>
  <c r="K761" i="11"/>
  <c r="L760" i="11"/>
  <c r="N760" i="11" s="1"/>
  <c r="M817" i="11"/>
  <c r="O817" i="11" s="1"/>
  <c r="L817" i="11"/>
  <c r="N817" i="11" s="1"/>
  <c r="K818" i="11"/>
  <c r="M893" i="11"/>
  <c r="O893" i="11" s="1"/>
  <c r="L893" i="11"/>
  <c r="N893" i="11" s="1"/>
  <c r="K894" i="11"/>
  <c r="M836" i="11"/>
  <c r="O836" i="11" s="1"/>
  <c r="L836" i="11"/>
  <c r="N836" i="11" s="1"/>
  <c r="K837" i="11"/>
  <c r="K989" i="11"/>
  <c r="M988" i="11"/>
  <c r="O988" i="11" s="1"/>
  <c r="L988" i="11"/>
  <c r="N988" i="11" s="1"/>
  <c r="M874" i="11"/>
  <c r="O874" i="11" s="1"/>
  <c r="K875" i="11"/>
  <c r="L874" i="11"/>
  <c r="N874" i="11" s="1"/>
  <c r="M855" i="11"/>
  <c r="O855" i="11" s="1"/>
  <c r="K856" i="11"/>
  <c r="L855" i="11"/>
  <c r="N855" i="11" s="1"/>
  <c r="M931" i="11"/>
  <c r="O931" i="11" s="1"/>
  <c r="K932" i="11"/>
  <c r="L931" i="11"/>
  <c r="N931" i="11" s="1"/>
  <c r="M856" i="11" l="1"/>
  <c r="O856" i="11" s="1"/>
  <c r="L856" i="11"/>
  <c r="N856" i="11" s="1"/>
  <c r="K857" i="11"/>
  <c r="M837" i="11"/>
  <c r="O837" i="11" s="1"/>
  <c r="K838" i="11"/>
  <c r="L837" i="11"/>
  <c r="N837" i="11" s="1"/>
  <c r="M799" i="11"/>
  <c r="O799" i="11" s="1"/>
  <c r="K800" i="11"/>
  <c r="L799" i="11"/>
  <c r="N799" i="11" s="1"/>
  <c r="M780" i="11"/>
  <c r="O780" i="11" s="1"/>
  <c r="L780" i="11"/>
  <c r="N780" i="11" s="1"/>
  <c r="K781" i="11"/>
  <c r="M951" i="11"/>
  <c r="O951" i="11" s="1"/>
  <c r="K952" i="11"/>
  <c r="L951" i="11"/>
  <c r="N951" i="11" s="1"/>
  <c r="M913" i="11"/>
  <c r="O913" i="11" s="1"/>
  <c r="L913" i="11"/>
  <c r="N913" i="11" s="1"/>
  <c r="K914" i="11"/>
  <c r="M875" i="11"/>
  <c r="O875" i="11" s="1"/>
  <c r="L875" i="11"/>
  <c r="N875" i="11" s="1"/>
  <c r="K876" i="11"/>
  <c r="K990" i="11"/>
  <c r="L989" i="11"/>
  <c r="N989" i="11" s="1"/>
  <c r="M989" i="11"/>
  <c r="O989" i="11" s="1"/>
  <c r="M894" i="11"/>
  <c r="O894" i="11" s="1"/>
  <c r="L894" i="11"/>
  <c r="N894" i="11" s="1"/>
  <c r="K895" i="11"/>
  <c r="M818" i="11"/>
  <c r="O818" i="11" s="1"/>
  <c r="L818" i="11"/>
  <c r="N818" i="11" s="1"/>
  <c r="K819" i="11"/>
  <c r="M761" i="11"/>
  <c r="O761" i="11" s="1"/>
  <c r="L761" i="11"/>
  <c r="N761" i="11" s="1"/>
  <c r="L970" i="11"/>
  <c r="N970" i="11" s="1"/>
  <c r="K971" i="11"/>
  <c r="M970" i="11"/>
  <c r="O970" i="11" s="1"/>
  <c r="M932" i="11"/>
  <c r="O932" i="11" s="1"/>
  <c r="K933" i="11"/>
  <c r="L932" i="11"/>
  <c r="N932" i="11" s="1"/>
  <c r="M933" i="11" l="1"/>
  <c r="O933" i="11" s="1"/>
  <c r="K934" i="11"/>
  <c r="L933" i="11"/>
  <c r="N933" i="11" s="1"/>
  <c r="M876" i="11"/>
  <c r="O876" i="11" s="1"/>
  <c r="K877" i="11"/>
  <c r="L876" i="11"/>
  <c r="N876" i="11" s="1"/>
  <c r="M838" i="11"/>
  <c r="O838" i="11" s="1"/>
  <c r="K839" i="11"/>
  <c r="L838" i="11"/>
  <c r="N838" i="11" s="1"/>
  <c r="L971" i="11"/>
  <c r="N971" i="11" s="1"/>
  <c r="M971" i="11"/>
  <c r="O971" i="11" s="1"/>
  <c r="K972" i="11"/>
  <c r="M819" i="11"/>
  <c r="O819" i="11" s="1"/>
  <c r="L819" i="11"/>
  <c r="N819" i="11" s="1"/>
  <c r="K820" i="11"/>
  <c r="K991" i="11"/>
  <c r="L990" i="11"/>
  <c r="N990" i="11" s="1"/>
  <c r="M990" i="11"/>
  <c r="O990" i="11" s="1"/>
  <c r="M914" i="11"/>
  <c r="O914" i="11" s="1"/>
  <c r="L914" i="11"/>
  <c r="N914" i="11" s="1"/>
  <c r="K915" i="11"/>
  <c r="M952" i="11"/>
  <c r="O952" i="11" s="1"/>
  <c r="K953" i="11"/>
  <c r="L952" i="11"/>
  <c r="N952" i="11" s="1"/>
  <c r="M895" i="11"/>
  <c r="O895" i="11" s="1"/>
  <c r="K896" i="11"/>
  <c r="L895" i="11"/>
  <c r="N895" i="11" s="1"/>
  <c r="M857" i="11"/>
  <c r="O857" i="11" s="1"/>
  <c r="L857" i="11"/>
  <c r="N857" i="11" s="1"/>
  <c r="K858" i="11"/>
  <c r="M781" i="11"/>
  <c r="O781" i="11" s="1"/>
  <c r="L781" i="11"/>
  <c r="N781" i="11" s="1"/>
  <c r="M800" i="11"/>
  <c r="O800" i="11" s="1"/>
  <c r="K801" i="11"/>
  <c r="L800" i="11"/>
  <c r="N800" i="11" s="1"/>
  <c r="M915" i="11" l="1"/>
  <c r="O915" i="11" s="1"/>
  <c r="K916" i="11"/>
  <c r="L915" i="11"/>
  <c r="N915" i="11" s="1"/>
  <c r="M877" i="11"/>
  <c r="O877" i="11" s="1"/>
  <c r="K878" i="11"/>
  <c r="L877" i="11"/>
  <c r="N877" i="11" s="1"/>
  <c r="M801" i="11"/>
  <c r="O801" i="11" s="1"/>
  <c r="L801" i="11"/>
  <c r="N801" i="11" s="1"/>
  <c r="M858" i="11"/>
  <c r="O858" i="11" s="1"/>
  <c r="K859" i="11"/>
  <c r="L858" i="11"/>
  <c r="N858" i="11" s="1"/>
  <c r="M896" i="11"/>
  <c r="O896" i="11" s="1"/>
  <c r="L896" i="11"/>
  <c r="N896" i="11" s="1"/>
  <c r="K897" i="11"/>
  <c r="M934" i="11"/>
  <c r="O934" i="11" s="1"/>
  <c r="K935" i="11"/>
  <c r="L934" i="11"/>
  <c r="N934" i="11" s="1"/>
  <c r="M953" i="11"/>
  <c r="O953" i="11" s="1"/>
  <c r="K954" i="11"/>
  <c r="L953" i="11"/>
  <c r="N953" i="11" s="1"/>
  <c r="M820" i="11"/>
  <c r="O820" i="11" s="1"/>
  <c r="L820" i="11"/>
  <c r="N820" i="11" s="1"/>
  <c r="K821" i="11"/>
  <c r="L991" i="11"/>
  <c r="N991" i="11" s="1"/>
  <c r="K992" i="11"/>
  <c r="M991" i="11"/>
  <c r="O991" i="11" s="1"/>
  <c r="M972" i="11"/>
  <c r="O972" i="11" s="1"/>
  <c r="K973" i="11"/>
  <c r="L972" i="11"/>
  <c r="N972" i="11" s="1"/>
  <c r="M839" i="11"/>
  <c r="O839" i="11" s="1"/>
  <c r="L839" i="11"/>
  <c r="N839" i="11" s="1"/>
  <c r="K840" i="11"/>
  <c r="M992" i="11" l="1"/>
  <c r="O992" i="11" s="1"/>
  <c r="L992" i="11"/>
  <c r="N992" i="11" s="1"/>
  <c r="K993" i="11"/>
  <c r="M878" i="11"/>
  <c r="O878" i="11" s="1"/>
  <c r="K879" i="11"/>
  <c r="L878" i="11"/>
  <c r="N878" i="11" s="1"/>
  <c r="M897" i="11"/>
  <c r="O897" i="11" s="1"/>
  <c r="K898" i="11"/>
  <c r="L897" i="11"/>
  <c r="N897" i="11" s="1"/>
  <c r="M859" i="11"/>
  <c r="O859" i="11" s="1"/>
  <c r="L859" i="11"/>
  <c r="N859" i="11" s="1"/>
  <c r="K860" i="11"/>
  <c r="M916" i="11"/>
  <c r="O916" i="11" s="1"/>
  <c r="L916" i="11"/>
  <c r="N916" i="11" s="1"/>
  <c r="K917" i="11"/>
  <c r="M821" i="11"/>
  <c r="O821" i="11" s="1"/>
  <c r="L821" i="11"/>
  <c r="N821" i="11" s="1"/>
  <c r="M954" i="11"/>
  <c r="O954" i="11" s="1"/>
  <c r="K955" i="11"/>
  <c r="L954" i="11"/>
  <c r="N954" i="11" s="1"/>
  <c r="M840" i="11"/>
  <c r="O840" i="11" s="1"/>
  <c r="K841" i="11"/>
  <c r="L840" i="11"/>
  <c r="N840" i="11" s="1"/>
  <c r="M973" i="11"/>
  <c r="O973" i="11" s="1"/>
  <c r="L973" i="11"/>
  <c r="N973" i="11" s="1"/>
  <c r="K974" i="11"/>
  <c r="M935" i="11"/>
  <c r="O935" i="11" s="1"/>
  <c r="L935" i="11"/>
  <c r="N935" i="11" s="1"/>
  <c r="K936" i="11"/>
  <c r="M879" i="11" l="1"/>
  <c r="O879" i="11" s="1"/>
  <c r="L879" i="11"/>
  <c r="N879" i="11" s="1"/>
  <c r="K880" i="11"/>
  <c r="M974" i="11"/>
  <c r="O974" i="11" s="1"/>
  <c r="L974" i="11"/>
  <c r="N974" i="11" s="1"/>
  <c r="K975" i="11"/>
  <c r="M841" i="11"/>
  <c r="O841" i="11" s="1"/>
  <c r="L841" i="11"/>
  <c r="N841" i="11" s="1"/>
  <c r="M936" i="11"/>
  <c r="O936" i="11" s="1"/>
  <c r="L936" i="11"/>
  <c r="N936" i="11" s="1"/>
  <c r="K937" i="11"/>
  <c r="M955" i="11"/>
  <c r="O955" i="11" s="1"/>
  <c r="L955" i="11"/>
  <c r="N955" i="11" s="1"/>
  <c r="K956" i="11"/>
  <c r="M917" i="11"/>
  <c r="O917" i="11" s="1"/>
  <c r="K918" i="11"/>
  <c r="L917" i="11"/>
  <c r="N917" i="11" s="1"/>
  <c r="M993" i="11"/>
  <c r="O993" i="11" s="1"/>
  <c r="K994" i="11"/>
  <c r="L993" i="11"/>
  <c r="N993" i="11" s="1"/>
  <c r="M860" i="11"/>
  <c r="O860" i="11" s="1"/>
  <c r="K861" i="11"/>
  <c r="L860" i="11"/>
  <c r="N860" i="11" s="1"/>
  <c r="M898" i="11"/>
  <c r="O898" i="11" s="1"/>
  <c r="L898" i="11"/>
  <c r="N898" i="11" s="1"/>
  <c r="K899" i="11"/>
  <c r="M899" i="11" l="1"/>
  <c r="O899" i="11" s="1"/>
  <c r="L899" i="11"/>
  <c r="N899" i="11" s="1"/>
  <c r="K900" i="11"/>
  <c r="M861" i="11"/>
  <c r="O861" i="11" s="1"/>
  <c r="L861" i="11"/>
  <c r="N861" i="11" s="1"/>
  <c r="M956" i="11"/>
  <c r="O956" i="11" s="1"/>
  <c r="L956" i="11"/>
  <c r="N956" i="11" s="1"/>
  <c r="K957" i="11"/>
  <c r="M975" i="11"/>
  <c r="O975" i="11" s="1"/>
  <c r="L975" i="11"/>
  <c r="N975" i="11" s="1"/>
  <c r="K976" i="11"/>
  <c r="M994" i="11"/>
  <c r="O994" i="11" s="1"/>
  <c r="L994" i="11"/>
  <c r="N994" i="11" s="1"/>
  <c r="K995" i="11"/>
  <c r="M937" i="11"/>
  <c r="O937" i="11" s="1"/>
  <c r="K938" i="11"/>
  <c r="L937" i="11"/>
  <c r="N937" i="11" s="1"/>
  <c r="M880" i="11"/>
  <c r="O880" i="11" s="1"/>
  <c r="L880" i="11"/>
  <c r="N880" i="11" s="1"/>
  <c r="K881" i="11"/>
  <c r="M918" i="11"/>
  <c r="O918" i="11" s="1"/>
  <c r="K919" i="11"/>
  <c r="L918" i="11"/>
  <c r="N918" i="11" s="1"/>
  <c r="M919" i="11" l="1"/>
  <c r="O919" i="11" s="1"/>
  <c r="L919" i="11"/>
  <c r="N919" i="11" s="1"/>
  <c r="K920" i="11"/>
  <c r="M995" i="11"/>
  <c r="O995" i="11" s="1"/>
  <c r="L995" i="11"/>
  <c r="N995" i="11" s="1"/>
  <c r="K996" i="11"/>
  <c r="M976" i="11"/>
  <c r="O976" i="11" s="1"/>
  <c r="L976" i="11"/>
  <c r="N976" i="11" s="1"/>
  <c r="K977" i="11"/>
  <c r="M900" i="11"/>
  <c r="O900" i="11" s="1"/>
  <c r="K901" i="11"/>
  <c r="L900" i="11"/>
  <c r="N900" i="11" s="1"/>
  <c r="M881" i="11"/>
  <c r="O881" i="11" s="1"/>
  <c r="L881" i="11"/>
  <c r="N881" i="11" s="1"/>
  <c r="M938" i="11"/>
  <c r="O938" i="11" s="1"/>
  <c r="L938" i="11"/>
  <c r="N938" i="11" s="1"/>
  <c r="K939" i="11"/>
  <c r="M957" i="11"/>
  <c r="O957" i="11" s="1"/>
  <c r="K958" i="11"/>
  <c r="L957" i="11"/>
  <c r="N957" i="11" s="1"/>
  <c r="M996" i="11" l="1"/>
  <c r="O996" i="11" s="1"/>
  <c r="K997" i="11"/>
  <c r="L996" i="11"/>
  <c r="N996" i="11" s="1"/>
  <c r="M939" i="11"/>
  <c r="O939" i="11" s="1"/>
  <c r="K940" i="11"/>
  <c r="L939" i="11"/>
  <c r="N939" i="11" s="1"/>
  <c r="M977" i="11"/>
  <c r="O977" i="11" s="1"/>
  <c r="L977" i="11"/>
  <c r="N977" i="11" s="1"/>
  <c r="K978" i="11"/>
  <c r="M958" i="11"/>
  <c r="O958" i="11" s="1"/>
  <c r="L958" i="11"/>
  <c r="N958" i="11" s="1"/>
  <c r="K959" i="11"/>
  <c r="M901" i="11"/>
  <c r="O901" i="11" s="1"/>
  <c r="L901" i="11"/>
  <c r="N901" i="11" s="1"/>
  <c r="M920" i="11"/>
  <c r="O920" i="11" s="1"/>
  <c r="K921" i="11"/>
  <c r="L920" i="11"/>
  <c r="N920" i="11" s="1"/>
  <c r="M940" i="11" l="1"/>
  <c r="O940" i="11" s="1"/>
  <c r="K941" i="11"/>
  <c r="L940" i="11"/>
  <c r="N940" i="11" s="1"/>
  <c r="M997" i="11"/>
  <c r="O997" i="11" s="1"/>
  <c r="L997" i="11"/>
  <c r="N997" i="11" s="1"/>
  <c r="K998" i="11"/>
  <c r="M978" i="11"/>
  <c r="O978" i="11" s="1"/>
  <c r="L978" i="11"/>
  <c r="N978" i="11" s="1"/>
  <c r="K979" i="11"/>
  <c r="M921" i="11"/>
  <c r="O921" i="11" s="1"/>
  <c r="L921" i="11"/>
  <c r="N921" i="11" s="1"/>
  <c r="M959" i="11"/>
  <c r="O959" i="11" s="1"/>
  <c r="L959" i="11"/>
  <c r="N959" i="11" s="1"/>
  <c r="K960" i="11"/>
  <c r="M960" i="11" l="1"/>
  <c r="O960" i="11" s="1"/>
  <c r="L960" i="11"/>
  <c r="N960" i="11" s="1"/>
  <c r="K961" i="11"/>
  <c r="M998" i="11"/>
  <c r="O998" i="11" s="1"/>
  <c r="K999" i="11"/>
  <c r="L998" i="11"/>
  <c r="N998" i="11" s="1"/>
  <c r="M941" i="11"/>
  <c r="O941" i="11" s="1"/>
  <c r="L941" i="11"/>
  <c r="N941" i="11" s="1"/>
  <c r="M979" i="11"/>
  <c r="O979" i="11" s="1"/>
  <c r="K980" i="11"/>
  <c r="L979" i="11"/>
  <c r="N979" i="11" s="1"/>
  <c r="M980" i="11" l="1"/>
  <c r="O980" i="11" s="1"/>
  <c r="L980" i="11"/>
  <c r="N980" i="11" s="1"/>
  <c r="K981" i="11"/>
  <c r="M999" i="11"/>
  <c r="O999" i="11" s="1"/>
  <c r="K1000" i="11"/>
  <c r="L999" i="11"/>
  <c r="N999" i="11" s="1"/>
  <c r="M961" i="11"/>
  <c r="O961" i="11" s="1"/>
  <c r="L961" i="11"/>
  <c r="N961" i="11" s="1"/>
  <c r="M1000" i="11" l="1"/>
  <c r="O1000" i="11" s="1"/>
  <c r="K1001" i="11"/>
  <c r="L1000" i="11"/>
  <c r="N1000" i="11" s="1"/>
  <c r="M981" i="11"/>
  <c r="O981" i="11" s="1"/>
  <c r="L981" i="11"/>
  <c r="N981" i="11" s="1"/>
  <c r="M1001" i="11" l="1"/>
  <c r="O1001" i="11" s="1"/>
  <c r="L1001" i="11"/>
  <c r="N1001" i="11" s="1"/>
</calcChain>
</file>

<file path=xl/sharedStrings.xml><?xml version="1.0" encoding="utf-8"?>
<sst xmlns="http://schemas.openxmlformats.org/spreadsheetml/2006/main" count="2989" uniqueCount="1131">
  <si>
    <t>兵种</t>
    <phoneticPr fontId="1" type="noConversion"/>
  </si>
  <si>
    <t>生命</t>
    <phoneticPr fontId="1" type="noConversion"/>
  </si>
  <si>
    <t>防御</t>
    <phoneticPr fontId="1" type="noConversion"/>
  </si>
  <si>
    <t>近战攻击</t>
    <phoneticPr fontId="1" type="noConversion"/>
  </si>
  <si>
    <t>远程攻击</t>
    <phoneticPr fontId="1" type="noConversion"/>
  </si>
  <si>
    <t>射程</t>
    <phoneticPr fontId="1" type="noConversion"/>
  </si>
  <si>
    <t>速度</t>
    <phoneticPr fontId="1" type="noConversion"/>
  </si>
  <si>
    <t>加载</t>
    <phoneticPr fontId="1" type="noConversion"/>
  </si>
  <si>
    <t>维持</t>
    <phoneticPr fontId="1" type="noConversion"/>
  </si>
  <si>
    <t>龙1</t>
    <phoneticPr fontId="1" type="noConversion"/>
  </si>
  <si>
    <t>龙2</t>
    <phoneticPr fontId="1" type="noConversion"/>
  </si>
  <si>
    <t>攻击方</t>
    <phoneticPr fontId="1" type="noConversion"/>
  </si>
  <si>
    <t>防守方</t>
    <phoneticPr fontId="1" type="noConversion"/>
  </si>
  <si>
    <t>攻击伤害＝兵种数量＊攻击力（科技、将军、物品加成后）＊攻击对比 ＊随机值</t>
  </si>
  <si>
    <t>伤害</t>
    <phoneticPr fontId="1" type="noConversion"/>
  </si>
  <si>
    <t>lv</t>
    <phoneticPr fontId="1" type="noConversion"/>
  </si>
  <si>
    <t>might</t>
    <phoneticPr fontId="1" type="noConversion"/>
  </si>
  <si>
    <t>Item Title</t>
  </si>
  <si>
    <t>Item Icon</t>
  </si>
  <si>
    <t>Item Type</t>
  </si>
  <si>
    <t>Category</t>
  </si>
  <si>
    <t>Rubies</t>
  </si>
  <si>
    <t>Enabled</t>
  </si>
  <si>
    <t>Buyable</t>
  </si>
  <si>
    <t>Usable</t>
  </si>
  <si>
    <t>Visible</t>
  </si>
  <si>
    <t>AtlagenHarvestNanosDay</t>
  </si>
  <si>
    <t>1 Day Food Nanos</t>
  </si>
  <si>
    <t>Items::Types::ResourceBoost</t>
  </si>
  <si>
    <t>production</t>
  </si>
  <si>
    <t>Yes</t>
  </si>
  <si>
    <t>AtlagenHarvestNanosWeek</t>
  </si>
  <si>
    <t>1 Week Food Nanos</t>
  </si>
  <si>
    <t>BeginnerChestOne</t>
  </si>
  <si>
    <t>Beginner's Chest</t>
  </si>
  <si>
    <t>Items::Types::Chest</t>
  </si>
  <si>
    <t>No</t>
  </si>
  <si>
    <t>BeginnerOfferChest</t>
  </si>
  <si>
    <t>translation missing: en.items.beginnerofferchest.name</t>
  </si>
  <si>
    <t>Blast</t>
  </si>
  <si>
    <t>2.5 Day Speedup</t>
  </si>
  <si>
    <t>Items::Types::SpeedUp</t>
  </si>
  <si>
    <t>speedup</t>
  </si>
  <si>
    <t>1 Minute Speedup</t>
  </si>
  <si>
    <t>Blitz</t>
  </si>
  <si>
    <t>4 Day Speedup</t>
  </si>
  <si>
    <t>Bolt</t>
  </si>
  <si>
    <t>24-Hour Speedup</t>
  </si>
  <si>
    <t>Bore</t>
  </si>
  <si>
    <t>15-Hour Speedup</t>
  </si>
  <si>
    <t>Bounce</t>
  </si>
  <si>
    <t>8-Hour Speedup</t>
  </si>
  <si>
    <t>BreatheFire</t>
  </si>
  <si>
    <t>Fire</t>
  </si>
  <si>
    <t>Items::Types::DoNothing</t>
  </si>
  <si>
    <t>dragon_actions</t>
  </si>
  <si>
    <t>CeaseFireTreaty</t>
  </si>
  <si>
    <t>Ceasefire Treaty</t>
  </si>
  <si>
    <t>Items::Types::SafetyBoost</t>
  </si>
  <si>
    <t>general</t>
  </si>
  <si>
    <t>ChartedWarpDevice</t>
  </si>
  <si>
    <t>Charted Warp Device</t>
  </si>
  <si>
    <t>Items::Types::WarpDevice</t>
  </si>
  <si>
    <t>CompletionGrant</t>
  </si>
  <si>
    <t>Completion Grant</t>
  </si>
  <si>
    <t>CompletionGrantPortfolio</t>
  </si>
  <si>
    <t>Completion Portfolio</t>
  </si>
  <si>
    <t>chest</t>
  </si>
  <si>
    <t>CrimsonBull</t>
  </si>
  <si>
    <t>Crimson Bull</t>
  </si>
  <si>
    <t>DarkWarpDevice</t>
  </si>
  <si>
    <t>Dark Warp Device</t>
  </si>
  <si>
    <t>DoubleTaxDayDeclaration</t>
  </si>
  <si>
    <t>Double Tax Day Writ</t>
  </si>
  <si>
    <t>DoubleTaxWeekDeclaration</t>
  </si>
  <si>
    <t>Double Tax Week Writ</t>
  </si>
  <si>
    <t>DragonHearts</t>
  </si>
  <si>
    <t>Dragon Hearts</t>
  </si>
  <si>
    <t>DragonRoar</t>
  </si>
  <si>
    <t>Roar</t>
  </si>
  <si>
    <t>DragonTransform</t>
  </si>
  <si>
    <t>Transform</t>
  </si>
  <si>
    <t>Items::Types::DragonTransform</t>
  </si>
  <si>
    <t>DryadForestNanosDay</t>
  </si>
  <si>
    <t>DryadForestNanosWeek</t>
  </si>
  <si>
    <t>1 Week Wood Nanos</t>
  </si>
  <si>
    <t>EpeoradMetalsNanosDay</t>
  </si>
  <si>
    <t>1 Day Metals Nanos</t>
  </si>
  <si>
    <t>EpeoradMetalsNanosWeek</t>
  </si>
  <si>
    <t>1 Week Metals Nanos</t>
  </si>
  <si>
    <t>Food250K</t>
  </si>
  <si>
    <t>250,000 Food</t>
  </si>
  <si>
    <t>Items::Types::ResourceBundle</t>
  </si>
  <si>
    <t>resource</t>
  </si>
  <si>
    <t>Food80K</t>
  </si>
  <si>
    <t>80,000 Food</t>
  </si>
  <si>
    <t>ForcedMarchDrops</t>
  </si>
  <si>
    <t>Forced March Drops</t>
  </si>
  <si>
    <t>GeneralRename</t>
  </si>
  <si>
    <t>Identity Alternator</t>
  </si>
  <si>
    <t>Items::Types::IdentityAlternator</t>
  </si>
  <si>
    <t>GlowingShields</t>
  </si>
  <si>
    <t>Glowing Shields</t>
  </si>
  <si>
    <t>Gold250K</t>
  </si>
  <si>
    <t>250,000 Gold</t>
  </si>
  <si>
    <t>Gold80K</t>
  </si>
  <si>
    <t>80,000 Gold</t>
  </si>
  <si>
    <t>GreatDragonArmorChest</t>
  </si>
  <si>
    <t>Great Dragon Armor Chest</t>
  </si>
  <si>
    <t>GreatDragonChest</t>
  </si>
  <si>
    <t>Great Dragon Chest</t>
  </si>
  <si>
    <t>HoldAndWarpChest</t>
  </si>
  <si>
    <t>Hold and Warp Chest</t>
  </si>
  <si>
    <t>Hop</t>
  </si>
  <si>
    <t>5-Minute Speedup</t>
  </si>
  <si>
    <t>Jump</t>
  </si>
  <si>
    <t>1-Hour Speedup</t>
  </si>
  <si>
    <t>Leap</t>
  </si>
  <si>
    <t>2.5-Hour Speedup</t>
  </si>
  <si>
    <t>MassNullifier</t>
  </si>
  <si>
    <t>Mass Nullifier</t>
  </si>
  <si>
    <t>Items::Types::MassNullifier</t>
  </si>
  <si>
    <t>NanoCanisters</t>
  </si>
  <si>
    <t>Nano Canisters</t>
  </si>
  <si>
    <t>NanoCrates</t>
  </si>
  <si>
    <t>Nano Crates</t>
  </si>
  <si>
    <t>NewPlayerProtection</t>
  </si>
  <si>
    <t>translation missing: en.items.newplayerprotection.name</t>
  </si>
  <si>
    <t>NomadicRecruitsDay</t>
  </si>
  <si>
    <t>Dragon's Call</t>
  </si>
  <si>
    <t>NpcInstanceGreatDragonChest</t>
  </si>
  <si>
    <t>Ore250K</t>
  </si>
  <si>
    <t>250,000 Metals</t>
  </si>
  <si>
    <t>80,000 Metals</t>
  </si>
  <si>
    <t>OreadStoneNanosDay</t>
  </si>
  <si>
    <t>1 Day Stone Nanos</t>
  </si>
  <si>
    <t>OreadStoneNanosWeek</t>
  </si>
  <si>
    <t>1 Week Stone Nanos</t>
  </si>
  <si>
    <t>PurpleBones</t>
  </si>
  <si>
    <t>Purple Bones</t>
  </si>
  <si>
    <t>RefreshProGeneral</t>
  </si>
  <si>
    <t>General Refresh</t>
  </si>
  <si>
    <t>Items::Types::GeneralRefresh</t>
  </si>
  <si>
    <t>ResourceChest</t>
  </si>
  <si>
    <t>Resource Chest</t>
  </si>
  <si>
    <t>Skip</t>
  </si>
  <si>
    <t>15-Minute Speedup</t>
  </si>
  <si>
    <t>Stone250K</t>
  </si>
  <si>
    <t>250,000 Stone</t>
  </si>
  <si>
    <t>Stone80K</t>
  </si>
  <si>
    <t>80,000 Stone</t>
  </si>
  <si>
    <t>TestroniusPowder</t>
  </si>
  <si>
    <t>TimeTrickstersBag</t>
  </si>
  <si>
    <t>Chronos Bag</t>
  </si>
  <si>
    <t>TranceMarchDrops</t>
  </si>
  <si>
    <t>Trance March Drops</t>
  </si>
  <si>
    <t>Wood250K</t>
  </si>
  <si>
    <t>250,000 Wood</t>
  </si>
  <si>
    <t>Wood80K</t>
  </si>
  <si>
    <t>80,000 Wood</t>
  </si>
  <si>
    <t>item Name</t>
    <phoneticPr fontId="1" type="noConversion"/>
  </si>
  <si>
    <t>1 Day Wood Nanos</t>
    <phoneticPr fontId="1" type="noConversion"/>
  </si>
  <si>
    <t>Blink</t>
    <phoneticPr fontId="1" type="noConversion"/>
  </si>
  <si>
    <t>Ore80K</t>
    <phoneticPr fontId="1" type="noConversion"/>
  </si>
  <si>
    <t>Testronius Powder</t>
    <phoneticPr fontId="1" type="noConversion"/>
  </si>
  <si>
    <t>建筑等级</t>
    <phoneticPr fontId="1" type="noConversion"/>
  </si>
  <si>
    <t>刷新出将领数量</t>
    <phoneticPr fontId="1" type="noConversion"/>
  </si>
  <si>
    <t>将领lv</t>
    <phoneticPr fontId="1" type="noConversion"/>
  </si>
  <si>
    <t>需要取胜次数</t>
    <phoneticPr fontId="1" type="noConversion"/>
  </si>
  <si>
    <t>攻击加成百分比</t>
    <phoneticPr fontId="1" type="noConversion"/>
  </si>
  <si>
    <t>防御加成百分比</t>
    <phoneticPr fontId="1" type="noConversion"/>
  </si>
  <si>
    <t>花费价钱</t>
    <phoneticPr fontId="1" type="noConversion"/>
  </si>
  <si>
    <t>出现权重</t>
    <phoneticPr fontId="1" type="noConversion"/>
  </si>
  <si>
    <t>total</t>
    <phoneticPr fontId="1" type="noConversion"/>
  </si>
  <si>
    <t>几率</t>
    <phoneticPr fontId="1" type="noConversion"/>
  </si>
  <si>
    <t>20级期望出现个数</t>
    <phoneticPr fontId="1" type="noConversion"/>
  </si>
  <si>
    <t>home</t>
    <phoneticPr fontId="1" type="noConversion"/>
  </si>
  <si>
    <t>增加人口上限</t>
    <phoneticPr fontId="1" type="noConversion"/>
  </si>
  <si>
    <t>数量</t>
    <phoneticPr fontId="1" type="noConversion"/>
  </si>
  <si>
    <t>初始人口</t>
    <phoneticPr fontId="1" type="noConversion"/>
  </si>
  <si>
    <t>总上限</t>
    <phoneticPr fontId="1" type="noConversion"/>
  </si>
  <si>
    <t>total</t>
    <phoneticPr fontId="1" type="noConversion"/>
  </si>
  <si>
    <t>剧场等级</t>
    <phoneticPr fontId="1" type="noConversion"/>
  </si>
  <si>
    <t>幸福感</t>
    <phoneticPr fontId="1" type="noConversion"/>
  </si>
  <si>
    <t>纳税人口</t>
    <phoneticPr fontId="1" type="noConversion"/>
  </si>
  <si>
    <t>税率</t>
    <phoneticPr fontId="1" type="noConversion"/>
  </si>
  <si>
    <t>金币产量/小时</t>
    <phoneticPr fontId="1" type="noConversion"/>
  </si>
  <si>
    <t> [0, [100 - tax_rate + happiness_per_level[level.to_s] , 100].min].max</t>
  </si>
  <si>
    <t>"happiness_per_level" : {"0":0,"1":1,"2":3,"3":4,"4":5,"5":6,"6":7,"7":8,"8":9,"9":10,"10":11,"11":12,"12":14,"13":15,"14":16,"15":18,"16":19,"17":20,"18":22,"19":23,"20":25},</t>
  </si>
  <si>
    <t>幸福感系数</t>
    <phoneticPr fontId="1" type="noConversion"/>
  </si>
  <si>
    <t>系数</t>
    <phoneticPr fontId="1" type="noConversion"/>
  </si>
  <si>
    <t>兵营总等级</t>
    <phoneticPr fontId="1" type="noConversion"/>
  </si>
  <si>
    <t>兵营总数量</t>
    <phoneticPr fontId="1" type="noConversion"/>
  </si>
  <si>
    <t>单位基础建造时间</t>
    <phoneticPr fontId="1" type="noConversion"/>
  </si>
  <si>
    <t>修正后时间</t>
    <phoneticPr fontId="1" type="noConversion"/>
  </si>
  <si>
    <t>龙v龙伤害计算公式</t>
    <phoneticPr fontId="1" type="noConversion"/>
  </si>
  <si>
    <t xml:space="preserve"> Ranged Damage</t>
  </si>
  <si>
    <t xml:space="preserve"> Melee Damage</t>
  </si>
  <si>
    <t xml:space="preserve"> Defense</t>
  </si>
  <si>
    <t xml:space="preserve"> Life</t>
  </si>
  <si>
    <t xml:space="preserve"> Speed</t>
  </si>
  <si>
    <t xml:space="preserve"> Range</t>
  </si>
  <si>
    <t xml:space="preserve"> Load</t>
  </si>
  <si>
    <t xml:space="preserve"> Upkeep</t>
  </si>
  <si>
    <t xml:space="preserve"> Might</t>
  </si>
  <si>
    <t>初始速度/小时</t>
    <phoneticPr fontId="1" type="noConversion"/>
  </si>
  <si>
    <t>资源建筑等级</t>
    <phoneticPr fontId="1" type="noConversion"/>
  </si>
  <si>
    <t>雇佣人口</t>
    <phoneticPr fontId="1" type="noConversion"/>
  </si>
  <si>
    <t>产量每小时</t>
    <phoneticPr fontId="1" type="noConversion"/>
  </si>
  <si>
    <t>上限</t>
    <phoneticPr fontId="1" type="noConversion"/>
  </si>
  <si>
    <t>（初始速度+建筑产出速度）*（1+科技加成+野外资源点加成+道具加成）</t>
    <phoneticPr fontId="1" type="noConversion"/>
  </si>
  <si>
    <t>科技等级</t>
    <phoneticPr fontId="1" type="noConversion"/>
  </si>
  <si>
    <t>科技加成</t>
    <phoneticPr fontId="1" type="noConversion"/>
  </si>
  <si>
    <t>野外点等级</t>
    <phoneticPr fontId="1" type="noConversion"/>
  </si>
  <si>
    <t>野外点加成</t>
    <phoneticPr fontId="1" type="noConversion"/>
  </si>
  <si>
    <t>道具</t>
    <phoneticPr fontId="1" type="noConversion"/>
  </si>
  <si>
    <t>道具加成</t>
    <phoneticPr fontId="1" type="noConversion"/>
  </si>
  <si>
    <t>建筑数量</t>
    <phoneticPr fontId="1" type="noConversion"/>
  </si>
  <si>
    <t>建筑等级</t>
    <phoneticPr fontId="1" type="noConversion"/>
  </si>
  <si>
    <t>野外点数量</t>
    <phoneticPr fontId="1" type="noConversion"/>
  </si>
  <si>
    <t>加倍税收道具</t>
    <phoneticPr fontId="1" type="noConversion"/>
  </si>
  <si>
    <t>龙之召唤</t>
    <phoneticPr fontId="1" type="noConversion"/>
  </si>
  <si>
    <t>资源产出速度</t>
    <phoneticPr fontId="1" type="noConversion"/>
  </si>
  <si>
    <t>building_type</t>
  </si>
  <si>
    <t>level</t>
  </si>
  <si>
    <t>time</t>
  </si>
  <si>
    <t>ore</t>
  </si>
  <si>
    <t>wood</t>
  </si>
  <si>
    <t>stone</t>
  </si>
  <si>
    <t>food</t>
  </si>
  <si>
    <t>gold</t>
  </si>
  <si>
    <t>items</t>
  </si>
  <si>
    <t>time value</t>
  </si>
  <si>
    <t>total resource</t>
  </si>
  <si>
    <t>resource value</t>
  </si>
  <si>
    <t>DI value</t>
  </si>
  <si>
    <t>total instant upgrade price</t>
  </si>
  <si>
    <t>modified price</t>
  </si>
  <si>
    <t>Buildings::DragonKeep</t>
  </si>
  <si>
    <t>Buildings::Wall</t>
  </si>
  <si>
    <t>Buildings::OfficerQuarter</t>
  </si>
  <si>
    <t>Buildings::ScienceCenter</t>
  </si>
  <si>
    <t>Buildings::Factory</t>
  </si>
  <si>
    <t>Buildings::StorageVault</t>
  </si>
  <si>
    <t>Buildings::Fortress</t>
  </si>
  <si>
    <t>Buildings::MusterPoint</t>
  </si>
  <si>
    <t>Buildings::Home</t>
  </si>
  <si>
    <t>Buildings::Rookery</t>
  </si>
  <si>
    <t>Buildings::Garrison</t>
  </si>
  <si>
    <t>Buildings::Sentinel</t>
  </si>
  <si>
    <t>Buildings::Metalsmith</t>
  </si>
  <si>
    <t>Buildings::Theater</t>
  </si>
  <si>
    <t>Buildings::Farm</t>
  </si>
  <si>
    <t>Buildings::Quarry</t>
  </si>
  <si>
    <t>Buildings::Mine</t>
  </si>
  <si>
    <t>Buildings::Lumbermill</t>
  </si>
  <si>
    <t>是否是龙兵种</t>
    <phoneticPr fontId="1" type="noConversion"/>
  </si>
  <si>
    <t>Unit</t>
  </si>
  <si>
    <t xml:space="preserve"> Unit Training Time</t>
  </si>
  <si>
    <t>Conscript</t>
  </si>
  <si>
    <t>Porter</t>
  </si>
  <si>
    <t>Spy</t>
  </si>
  <si>
    <t>Halberdsman</t>
  </si>
  <si>
    <t>Minotaur</t>
  </si>
  <si>
    <t>Longbowman</t>
  </si>
  <si>
    <t>SwiftStrikeDragon</t>
  </si>
  <si>
    <t>BattleDragon</t>
  </si>
  <si>
    <t>ArmoredTransport</t>
  </si>
  <si>
    <t>Giant</t>
  </si>
  <si>
    <t>FireMirror</t>
  </si>
  <si>
    <t>BlackholeOne</t>
  </si>
  <si>
    <t>Shredder</t>
  </si>
  <si>
    <t>Rager</t>
  </si>
  <si>
    <t>Cannibal</t>
  </si>
  <si>
    <t>Chieftan</t>
  </si>
  <si>
    <t>Brat</t>
  </si>
  <si>
    <t>SheDevil</t>
  </si>
  <si>
    <t>Clubber</t>
  </si>
  <si>
    <t>Blood</t>
  </si>
  <si>
    <t>Hurler</t>
  </si>
  <si>
    <t>Stench</t>
  </si>
  <si>
    <t>Fangtooth</t>
  </si>
  <si>
    <t>Great Dragon1</t>
  </si>
  <si>
    <t>Great Dragon2</t>
  </si>
  <si>
    <t>Great Dragon3</t>
  </si>
  <si>
    <t>Great Dragon4</t>
  </si>
  <si>
    <t>Great Dragon5</t>
  </si>
  <si>
    <t>Great Dragon6</t>
  </si>
  <si>
    <t>Great Dragon7</t>
  </si>
  <si>
    <t>Great Dragon8</t>
  </si>
  <si>
    <t>Great Dragon9</t>
  </si>
  <si>
    <t>Great Dragon10</t>
  </si>
  <si>
    <t>Great Dragon11</t>
  </si>
  <si>
    <t>Great Dragon12</t>
  </si>
  <si>
    <t>Great Dragon13</t>
  </si>
  <si>
    <t>Great Dragon14</t>
  </si>
  <si>
    <t>Great Dragon15</t>
  </si>
  <si>
    <t>Great Dragon16</t>
  </si>
  <si>
    <t>Great Dragon17</t>
  </si>
  <si>
    <t>Great Dragon18</t>
  </si>
  <si>
    <t>Great Dragon19</t>
  </si>
  <si>
    <t>Great Dragon20</t>
  </si>
  <si>
    <t>Water Dragon1</t>
    <phoneticPr fontId="1" type="noConversion"/>
  </si>
  <si>
    <t>Water Dragon2</t>
  </si>
  <si>
    <t>Water Dragon3</t>
  </si>
  <si>
    <t>Water Dragon4</t>
  </si>
  <si>
    <t>Water Dragon5</t>
  </si>
  <si>
    <t>Water Dragon6</t>
  </si>
  <si>
    <t>Water Dragon7</t>
  </si>
  <si>
    <t>Water Dragon8</t>
  </si>
  <si>
    <t>Water Dragon9</t>
  </si>
  <si>
    <t>Water Dragon10</t>
  </si>
  <si>
    <t>Water Dragon11</t>
  </si>
  <si>
    <t>Water Dragon12</t>
  </si>
  <si>
    <t>Water Dragon13</t>
  </si>
  <si>
    <t>Water Dragon14</t>
  </si>
  <si>
    <t>Water Dragon15</t>
  </si>
  <si>
    <t>Water Dragon16</t>
  </si>
  <si>
    <t>Water Dragon17</t>
  </si>
  <si>
    <t>Water Dragon18</t>
  </si>
  <si>
    <t>Water Dragon19</t>
  </si>
  <si>
    <t>Water Dragon20</t>
  </si>
  <si>
    <t>Garrison</t>
  </si>
  <si>
    <t>population</t>
  </si>
  <si>
    <t>Metallurgy</t>
  </si>
  <si>
    <t>Metalsmith</t>
  </si>
  <si>
    <t>Ballistics</t>
  </si>
  <si>
    <t>Rookery</t>
  </si>
  <si>
    <t>RapidDeployment</t>
  </si>
  <si>
    <t>Dragonry</t>
  </si>
  <si>
    <t>Factory</t>
  </si>
  <si>
    <t>Levitation</t>
  </si>
  <si>
    <t>建造单位</t>
    <phoneticPr fontId="1" type="noConversion"/>
  </si>
  <si>
    <t>建造数量</t>
    <phoneticPr fontId="1" type="noConversion"/>
  </si>
  <si>
    <t>AerialCombat</t>
  </si>
  <si>
    <t>unit</t>
    <phoneticPr fontId="1" type="noConversion"/>
  </si>
  <si>
    <t>guard dragon</t>
    <phoneticPr fontId="1" type="noConversion"/>
  </si>
  <si>
    <t xml:space="preserve"> Ranged</t>
    <phoneticPr fontId="1" type="noConversion"/>
  </si>
  <si>
    <t xml:space="preserve"> Melee</t>
    <phoneticPr fontId="1" type="noConversion"/>
  </si>
  <si>
    <t>max lv</t>
    <phoneticPr fontId="1" type="noConversion"/>
  </si>
  <si>
    <t>wall</t>
    <phoneticPr fontId="1" type="noConversion"/>
  </si>
  <si>
    <t>player</t>
    <phoneticPr fontId="1" type="noConversion"/>
  </si>
  <si>
    <t>dragon_attack</t>
  </si>
  <si>
    <t>dragon_defence</t>
    <phoneticPr fontId="1" type="noConversion"/>
  </si>
  <si>
    <t>dragon hearts</t>
    <phoneticPr fontId="1" type="noConversion"/>
  </si>
  <si>
    <t>glowing shields</t>
    <phoneticPr fontId="1" type="noConversion"/>
  </si>
  <si>
    <t>general attack</t>
    <phoneticPr fontId="1" type="noConversion"/>
  </si>
  <si>
    <t>general defence</t>
    <phoneticPr fontId="1" type="noConversion"/>
  </si>
  <si>
    <t>with_dragon</t>
    <phoneticPr fontId="1" type="noConversion"/>
  </si>
  <si>
    <t>medicine</t>
    <phoneticPr fontId="1" type="noConversion"/>
  </si>
  <si>
    <t>最大</t>
    <phoneticPr fontId="1" type="noConversion"/>
  </si>
  <si>
    <t>单层</t>
    <phoneticPr fontId="1" type="noConversion"/>
  </si>
  <si>
    <t>research type</t>
    <phoneticPr fontId="1" type="noConversion"/>
  </si>
  <si>
    <t>instance</t>
    <phoneticPr fontId="1" type="noConversion"/>
  </si>
  <si>
    <t>time</t>
    <phoneticPr fontId="1" type="noConversion"/>
  </si>
  <si>
    <t>gold</t>
    <phoneticPr fontId="1" type="noConversion"/>
  </si>
  <si>
    <t>food</t>
    <phoneticPr fontId="1" type="noConversion"/>
  </si>
  <si>
    <t>wood</t>
    <phoneticPr fontId="1" type="noConversion"/>
  </si>
  <si>
    <t>stone</t>
    <phoneticPr fontId="1" type="noConversion"/>
  </si>
  <si>
    <t>ore</t>
    <phoneticPr fontId="1" type="noConversion"/>
  </si>
  <si>
    <t>item</t>
  </si>
  <si>
    <t>quantity</t>
  </si>
  <si>
    <t>price</t>
  </si>
  <si>
    <t>单价</t>
    <phoneticPr fontId="1" type="noConversion"/>
  </si>
  <si>
    <t>ScienceCenter</t>
    <phoneticPr fontId="1" type="noConversion"/>
  </si>
  <si>
    <t>Farm</t>
    <phoneticPr fontId="1" type="noConversion"/>
  </si>
  <si>
    <t>Lumbermill</t>
    <phoneticPr fontId="1" type="noConversion"/>
  </si>
  <si>
    <t>Quarry</t>
    <phoneticPr fontId="1" type="noConversion"/>
  </si>
  <si>
    <t>mine</t>
    <phoneticPr fontId="1" type="noConversion"/>
  </si>
  <si>
    <t>Mining</t>
  </si>
  <si>
    <t>Woodcraft</t>
  </si>
  <si>
    <t>Sentinel</t>
  </si>
  <si>
    <t>DragonKeep</t>
  </si>
  <si>
    <t>Agriculture</t>
  </si>
  <si>
    <t>1m</t>
  </si>
  <si>
    <t>5m</t>
  </si>
  <si>
    <t>15m</t>
  </si>
  <si>
    <t>1h</t>
  </si>
  <si>
    <t>2.5h</t>
  </si>
  <si>
    <t>8h</t>
  </si>
  <si>
    <t>15hr</t>
  </si>
  <si>
    <t>24h</t>
  </si>
  <si>
    <t>2.5d</t>
  </si>
  <si>
    <t>4d</t>
  </si>
  <si>
    <t>Masonry</t>
    <phoneticPr fontId="1" type="noConversion"/>
  </si>
  <si>
    <t>Mining</t>
    <phoneticPr fontId="1" type="noConversion"/>
  </si>
  <si>
    <t>Metallurgy</t>
    <phoneticPr fontId="1" type="noConversion"/>
  </si>
  <si>
    <t>Clairvoyance</t>
    <phoneticPr fontId="1" type="noConversion"/>
  </si>
  <si>
    <t>Medicine</t>
  </si>
  <si>
    <t>Levitation</t>
    <phoneticPr fontId="1" type="noConversion"/>
  </si>
  <si>
    <t xml:space="preserve">Mercantilism
</t>
    <phoneticPr fontId="1" type="noConversion"/>
  </si>
  <si>
    <t xml:space="preserve">AerialCombat
</t>
    <phoneticPr fontId="1" type="noConversion"/>
  </si>
  <si>
    <t>兵营数量</t>
    <phoneticPr fontId="1" type="noConversion"/>
  </si>
  <si>
    <t>兵营等级</t>
    <phoneticPr fontId="1" type="noConversion"/>
  </si>
  <si>
    <t>v1</t>
    <phoneticPr fontId="1" type="noConversion"/>
  </si>
  <si>
    <t>0.9*兵营数量+0.05*兵营等级</t>
    <phoneticPr fontId="1" type="noConversion"/>
  </si>
  <si>
    <t>v2</t>
    <phoneticPr fontId="1" type="noConversion"/>
  </si>
  <si>
    <t>v1时间</t>
    <phoneticPr fontId="1" type="noConversion"/>
  </si>
  <si>
    <t>v2时间</t>
    <phoneticPr fontId="1" type="noConversion"/>
  </si>
  <si>
    <t>集结点</t>
    <phoneticPr fontId="1" type="noConversion"/>
  </si>
  <si>
    <t>可派出军队支数</t>
    <phoneticPr fontId="1" type="noConversion"/>
  </si>
  <si>
    <t>每只军队数量上限</t>
    <phoneticPr fontId="1" type="noConversion"/>
  </si>
  <si>
    <t>城堡等级</t>
    <phoneticPr fontId="1" type="noConversion"/>
  </si>
  <si>
    <t>Dragonry（BD SSD）</t>
    <phoneticPr fontId="1" type="noConversion"/>
  </si>
  <si>
    <t>（幸福感系数+1）/2</t>
    <phoneticPr fontId="1" type="noConversion"/>
  </si>
  <si>
    <t>最优税率:</t>
    <phoneticPr fontId="1" type="noConversion"/>
  </si>
  <si>
    <t>对应的最优税率</t>
    <phoneticPr fontId="1" type="noConversion"/>
  </si>
  <si>
    <t>所需次数</t>
    <phoneticPr fontId="1" type="noConversion"/>
  </si>
  <si>
    <t>攻击（加成完）*攻击对比*随机值*5</t>
    <phoneticPr fontId="1" type="noConversion"/>
  </si>
  <si>
    <t>野外共38个资源点</t>
    <phoneticPr fontId="1" type="noConversion"/>
  </si>
  <si>
    <t>Ballistics</t>
    <phoneticPr fontId="1" type="noConversion"/>
  </si>
  <si>
    <t>RapidDeployment</t>
    <phoneticPr fontId="1" type="noConversion"/>
  </si>
  <si>
    <t>{</t>
  </si>
  <si>
    <t xml:space="preserve">  },</t>
  </si>
  <si>
    <t xml:space="preserve">  }</t>
  </si>
  <si>
    <t>}</t>
  </si>
  <si>
    <t xml:space="preserve">  "1"</t>
  </si>
  <si>
    <t xml:space="preserve"> {</t>
  </si>
  <si>
    <t xml:space="preserve">    "level"</t>
  </si>
  <si>
    <t xml:space="preserve">    "ranged"</t>
  </si>
  <si>
    <t xml:space="preserve">    "melee"</t>
  </si>
  <si>
    <t xml:space="preserve">    "defense"</t>
  </si>
  <si>
    <t xml:space="preserve">    "life"</t>
  </si>
  <si>
    <t xml:space="preserve">    "speed"</t>
  </si>
  <si>
    <t xml:space="preserve">    "range"</t>
  </si>
  <si>
    <t xml:space="preserve">    "load"</t>
  </si>
  <si>
    <t xml:space="preserve">    "upkeep"</t>
  </si>
  <si>
    <t xml:space="preserve">    "might"</t>
  </si>
  <si>
    <t xml:space="preserve">    "transform"</t>
  </si>
  <si>
    <t xml:space="preserve">  "2"</t>
  </si>
  <si>
    <t xml:space="preserve">  "3"</t>
  </si>
  <si>
    <t xml:space="preserve">  "4"</t>
  </si>
  <si>
    <t xml:space="preserve">  "5"</t>
  </si>
  <si>
    <t xml:space="preserve">  "6"</t>
  </si>
  <si>
    <t xml:space="preserve">  "7"</t>
  </si>
  <si>
    <t xml:space="preserve">  "8"</t>
  </si>
  <si>
    <t xml:space="preserve">  "9"</t>
  </si>
  <si>
    <t xml:space="preserve">  "10"</t>
  </si>
  <si>
    <t xml:space="preserve">  "11"</t>
  </si>
  <si>
    <t xml:space="preserve">  "12"</t>
  </si>
  <si>
    <t xml:space="preserve">  "13"</t>
  </si>
  <si>
    <t xml:space="preserve">  "14"</t>
  </si>
  <si>
    <t xml:space="preserve">  "15"</t>
  </si>
  <si>
    <t xml:space="preserve">  "16"</t>
  </si>
  <si>
    <t xml:space="preserve">  "17"</t>
  </si>
  <si>
    <t xml:space="preserve">  "18"</t>
  </si>
  <si>
    <t xml:space="preserve">  "19"</t>
  </si>
  <si>
    <t xml:space="preserve">  "20"</t>
  </si>
  <si>
    <t xml:space="preserve">    "ranged": 0,</t>
  </si>
  <si>
    <t xml:space="preserve">    "melee": 0,</t>
  </si>
  <si>
    <t xml:space="preserve">    "defense": 0,</t>
  </si>
  <si>
    <t xml:space="preserve">    "life": 0,</t>
  </si>
  <si>
    <t xml:space="preserve">    "speed": 375,</t>
  </si>
  <si>
    <t xml:space="preserve">    "range": 650,</t>
  </si>
  <si>
    <t xml:space="preserve">    "load": 0,</t>
  </si>
  <si>
    <t xml:space="preserve">    "upkeep": 0,</t>
  </si>
  <si>
    <t xml:space="preserve">    "might": 0,</t>
  </si>
  <si>
    <t xml:space="preserve">    "transform": 0</t>
  </si>
  <si>
    <t xml:space="preserve">  "2": {</t>
  </si>
  <si>
    <t xml:space="preserve">    "level": 2,</t>
  </si>
  <si>
    <t xml:space="preserve">    "speed": 650,</t>
  </si>
  <si>
    <t xml:space="preserve">    "range": 1400,</t>
  </si>
  <si>
    <t xml:space="preserve">  "3": {</t>
  </si>
  <si>
    <t xml:space="preserve">    "level": 3,</t>
  </si>
  <si>
    <t xml:space="preserve">    "ranged": 50,</t>
  </si>
  <si>
    <t xml:space="preserve">    "melee": 50,</t>
  </si>
  <si>
    <t xml:space="preserve">    "defense": 50,</t>
  </si>
  <si>
    <t xml:space="preserve">    "life": 5000,</t>
  </si>
  <si>
    <t xml:space="preserve">    "upkeep": 50,</t>
  </si>
  <si>
    <t xml:space="preserve">  "4": {</t>
  </si>
  <si>
    <t xml:space="preserve">    "level": 4,</t>
  </si>
  <si>
    <t xml:space="preserve">    "ranged": 100,</t>
  </si>
  <si>
    <t xml:space="preserve">    "melee": 100,</t>
  </si>
  <si>
    <t xml:space="preserve">    "defense": 100,</t>
  </si>
  <si>
    <t xml:space="preserve">    "life": 10000,</t>
  </si>
  <si>
    <t xml:space="preserve">    "upkeep": 100,</t>
  </si>
  <si>
    <t xml:space="preserve">  "5": {</t>
  </si>
  <si>
    <t xml:space="preserve">    "level": 5,</t>
  </si>
  <si>
    <t xml:space="preserve">    "ranged": 150,</t>
  </si>
  <si>
    <t xml:space="preserve">    "melee": 150,</t>
  </si>
  <si>
    <t xml:space="preserve">    "defense": 150,</t>
  </si>
  <si>
    <t xml:space="preserve">    "life": 14000,</t>
  </si>
  <si>
    <t xml:space="preserve">    "upkeep": 150,</t>
  </si>
  <si>
    <t xml:space="preserve">  "6": {</t>
  </si>
  <si>
    <t xml:space="preserve">    "level": 6,</t>
  </si>
  <si>
    <t xml:space="preserve">    "ranged": 200,</t>
  </si>
  <si>
    <t xml:space="preserve">    "melee": 200,</t>
  </si>
  <si>
    <t xml:space="preserve">    "defense": 200,</t>
  </si>
  <si>
    <t xml:space="preserve">    "life": 20000,</t>
  </si>
  <si>
    <t xml:space="preserve">    "upkeep": 200,</t>
  </si>
  <si>
    <t xml:space="preserve">  "7": {</t>
  </si>
  <si>
    <t xml:space="preserve">    "level": 7,</t>
  </si>
  <si>
    <t xml:space="preserve">    "ranged": 329,</t>
  </si>
  <si>
    <t xml:space="preserve">    "melee": 329,</t>
  </si>
  <si>
    <t xml:space="preserve">    "defense": 329,</t>
  </si>
  <si>
    <t xml:space="preserve">    "life": 32973,</t>
  </si>
  <si>
    <t xml:space="preserve">    "upkeep": 300,</t>
  </si>
  <si>
    <t xml:space="preserve">  "8": {</t>
  </si>
  <si>
    <t xml:space="preserve">    "level": 8,</t>
  </si>
  <si>
    <t xml:space="preserve">    "ranged": 459,</t>
  </si>
  <si>
    <t xml:space="preserve">    "melee": 459,</t>
  </si>
  <si>
    <t xml:space="preserve">    "defense": 459,</t>
  </si>
  <si>
    <t xml:space="preserve">    "life": 45947,</t>
  </si>
  <si>
    <t xml:space="preserve">    "upkeep": 400,</t>
  </si>
  <si>
    <t xml:space="preserve">  "9": {</t>
  </si>
  <si>
    <t xml:space="preserve">    "level": 9,</t>
  </si>
  <si>
    <t xml:space="preserve">    "ranged": 603,</t>
  </si>
  <si>
    <t xml:space="preserve">    "melee": 603,</t>
  </si>
  <si>
    <t xml:space="preserve">    "defense": 603,</t>
  </si>
  <si>
    <t xml:space="preserve">    "life": 60345,</t>
  </si>
  <si>
    <t xml:space="preserve">    "upkeep": 500,</t>
  </si>
  <si>
    <t xml:space="preserve">  "10": {</t>
  </si>
  <si>
    <t xml:space="preserve">    "level": 10,</t>
  </si>
  <si>
    <t xml:space="preserve">    "ranged": 747,</t>
  </si>
  <si>
    <t xml:space="preserve">    "melee": 747,</t>
  </si>
  <si>
    <t xml:space="preserve">    "defense": 747,</t>
  </si>
  <si>
    <t xml:space="preserve">    "life": 74743,</t>
  </si>
  <si>
    <t xml:space="preserve">    "upkeep": 600,</t>
  </si>
  <si>
    <t xml:space="preserve">    "transform": 1</t>
  </si>
  <si>
    <t xml:space="preserve">  "11": {</t>
  </si>
  <si>
    <t xml:space="preserve">    "level": 11,</t>
  </si>
  <si>
    <t xml:space="preserve">    "ranged": 901,</t>
  </si>
  <si>
    <t xml:space="preserve">    "melee": 901,</t>
  </si>
  <si>
    <t xml:space="preserve">    "defense": 901,</t>
  </si>
  <si>
    <t xml:space="preserve">    "life": 90151,</t>
  </si>
  <si>
    <t xml:space="preserve">    "upkeep": 700,</t>
  </si>
  <si>
    <t xml:space="preserve">  "12": {</t>
  </si>
  <si>
    <t xml:space="preserve">    "level": 12,</t>
  </si>
  <si>
    <t xml:space="preserve">    "ranged": 1055,</t>
  </si>
  <si>
    <t xml:space="preserve">    "melee": 1055,</t>
  </si>
  <si>
    <t xml:space="preserve">    "defense": 1055,</t>
  </si>
  <si>
    <t xml:space="preserve">    "life": 105560,</t>
  </si>
  <si>
    <t xml:space="preserve">    "upkeep": 800,</t>
  </si>
  <si>
    <t xml:space="preserve">  "13": {</t>
  </si>
  <si>
    <t xml:space="preserve">    "level": 13,</t>
  </si>
  <si>
    <t xml:space="preserve">    "ranged": 1217,</t>
  </si>
  <si>
    <t xml:space="preserve">    "melee": 1217,</t>
  </si>
  <si>
    <t xml:space="preserve">    "defense": 1217,</t>
  </si>
  <si>
    <t xml:space="preserve">    "life": 121766,</t>
  </si>
  <si>
    <t xml:space="preserve">    "upkeep": 900,</t>
  </si>
  <si>
    <t xml:space="preserve">  "14": {</t>
  </si>
  <si>
    <t xml:space="preserve">    "level": 14,</t>
  </si>
  <si>
    <t xml:space="preserve">    "ranged": 1379,</t>
  </si>
  <si>
    <t xml:space="preserve">    "melee": 1379,</t>
  </si>
  <si>
    <t xml:space="preserve">    "defense": 1379,</t>
  </si>
  <si>
    <t xml:space="preserve">    "life": 137972,</t>
  </si>
  <si>
    <t xml:space="preserve">    "upkeep": 1000,</t>
  </si>
  <si>
    <t xml:space="preserve">  "15": {</t>
  </si>
  <si>
    <t xml:space="preserve">    "level": 15,</t>
  </si>
  <si>
    <t xml:space="preserve">    "ranged": 1548,</t>
  </si>
  <si>
    <t xml:space="preserve">    "melee": 1548,</t>
  </si>
  <si>
    <t xml:space="preserve">    "defense": 1548,</t>
  </si>
  <si>
    <t xml:space="preserve">    "life": 154844,</t>
  </si>
  <si>
    <t xml:space="preserve">    "upkeep": 1100,</t>
  </si>
  <si>
    <t xml:space="preserve">  "16": {</t>
  </si>
  <si>
    <t xml:space="preserve">    "level": 16,</t>
  </si>
  <si>
    <t xml:space="preserve">    "ranged": 1717,</t>
  </si>
  <si>
    <t xml:space="preserve">    "melee": 1717,</t>
  </si>
  <si>
    <t xml:space="preserve">    "defense": 1717,</t>
  </si>
  <si>
    <t xml:space="preserve">    "life": 171716,</t>
  </si>
  <si>
    <t xml:space="preserve">    "upkeep": 1200,</t>
  </si>
  <si>
    <t xml:space="preserve">    "transform": 2</t>
  </si>
  <si>
    <t xml:space="preserve">  "17": {</t>
  </si>
  <si>
    <t xml:space="preserve">    "level": 17,</t>
  </si>
  <si>
    <t xml:space="preserve">    "ranged": 1891,</t>
  </si>
  <si>
    <t xml:space="preserve">    "melee": 1891,</t>
  </si>
  <si>
    <t xml:space="preserve">    "defense": 1891,</t>
  </si>
  <si>
    <t xml:space="preserve">    "life": 189162,</t>
  </si>
  <si>
    <t xml:space="preserve">    "upkeep": 1300,</t>
  </si>
  <si>
    <t xml:space="preserve">  "18": {</t>
  </si>
  <si>
    <t xml:space="preserve">    "level": 18,</t>
  </si>
  <si>
    <t xml:space="preserve">    "ranged": 2066,</t>
  </si>
  <si>
    <t xml:space="preserve">    "melee": 2066,</t>
  </si>
  <si>
    <t xml:space="preserve">    "defense": 2066,</t>
  </si>
  <si>
    <t xml:space="preserve">    "life": 206608,</t>
  </si>
  <si>
    <t xml:space="preserve">    "upkeep": 1400,</t>
  </si>
  <si>
    <t xml:space="preserve">  "19": {</t>
  </si>
  <si>
    <t xml:space="preserve">    "level": 19,</t>
  </si>
  <si>
    <t xml:space="preserve">    "ranged": 2245,</t>
  </si>
  <si>
    <t xml:space="preserve">    "melee": 2245,</t>
  </si>
  <si>
    <t xml:space="preserve">    "defense": 2245,</t>
  </si>
  <si>
    <t xml:space="preserve">    "life": 224561,</t>
  </si>
  <si>
    <t xml:space="preserve">  "20": {</t>
  </si>
  <si>
    <t xml:space="preserve">    "level": 20,</t>
  </si>
  <si>
    <t xml:space="preserve">    "ranged": 2425,</t>
  </si>
  <si>
    <t xml:space="preserve">    "melee": 2425,</t>
  </si>
  <si>
    <t xml:space="preserve">    "defense": 2425,</t>
  </si>
  <si>
    <t xml:space="preserve">    "life": 242514,</t>
  </si>
  <si>
    <t xml:space="preserve">    "upkeep": 1600,</t>
  </si>
  <si>
    <t xml:space="preserve">  "1": {</t>
    <phoneticPr fontId="1" type="noConversion"/>
  </si>
  <si>
    <t xml:space="preserve">: </t>
  </si>
  <si>
    <t xml:space="preserve">    "level": 1,</t>
    <phoneticPr fontId="1" type="noConversion"/>
  </si>
  <si>
    <t>,</t>
  </si>
  <si>
    <t>资源达到上限后资源点不再产出</t>
    <phoneticPr fontId="1" type="noConversion"/>
  </si>
  <si>
    <t>仓库</t>
    <phoneticPr fontId="1" type="noConversion"/>
  </si>
  <si>
    <t>保护资源</t>
    <phoneticPr fontId="1" type="noConversion"/>
  </si>
  <si>
    <t xml:space="preserve">      food</t>
  </si>
  <si>
    <t xml:space="preserve">      wood</t>
  </si>
  <si>
    <t xml:space="preserve">      stone</t>
  </si>
  <si>
    <t xml:space="preserve">      ore</t>
  </si>
  <si>
    <t xml:space="preserve">      gold</t>
  </si>
  <si>
    <t>position</t>
  </si>
  <si>
    <t xml:space="preserve"> farm_build_1</t>
  </si>
  <si>
    <t xml:space="preserve"> lumbermill_build_2</t>
  </si>
  <si>
    <t xml:space="preserve"> lumbermill_upgrade_1</t>
  </si>
  <si>
    <t xml:space="preserve"> farm_build_2</t>
  </si>
  <si>
    <t xml:space="preserve"> farm_upgrade_1</t>
  </si>
  <si>
    <t xml:space="preserve"> quarry_build_1</t>
  </si>
  <si>
    <t xml:space="preserve"> quarry_build_2</t>
  </si>
  <si>
    <t xml:space="preserve"> quarry_upgrade_1</t>
  </si>
  <si>
    <t xml:space="preserve"> mine_build_1</t>
  </si>
  <si>
    <t xml:space="preserve"> mine_build_2</t>
  </si>
  <si>
    <t xml:space="preserve"> mine_upgrade_1</t>
  </si>
  <si>
    <t xml:space="preserve"> food_production_2</t>
  </si>
  <si>
    <t xml:space="preserve"> food_production_3</t>
  </si>
  <si>
    <t xml:space="preserve"> food_production_4</t>
  </si>
  <si>
    <t xml:space="preserve"> wood_production_1</t>
  </si>
  <si>
    <t xml:space="preserve"> wood_production_2</t>
  </si>
  <si>
    <t xml:space="preserve"> wood_production_3</t>
  </si>
  <si>
    <t xml:space="preserve"> wood_production_4</t>
  </si>
  <si>
    <t xml:space="preserve"> stone_production_1</t>
  </si>
  <si>
    <t xml:space="preserve"> stone_production_2</t>
  </si>
  <si>
    <t xml:space="preserve"> stone_production_3</t>
  </si>
  <si>
    <t xml:space="preserve"> stone_production_4</t>
  </si>
  <si>
    <t xml:space="preserve"> ore_production_1</t>
  </si>
  <si>
    <t xml:space="preserve"> ore_production_2</t>
  </si>
  <si>
    <t xml:space="preserve"> ore_production_3</t>
  </si>
  <si>
    <t xml:space="preserve"> ore_production_4</t>
  </si>
  <si>
    <t xml:space="preserve"> home_build_2</t>
  </si>
  <si>
    <t xml:space="preserve"> home_upgrade_1</t>
  </si>
  <si>
    <t xml:space="preserve"> raise_pop_cap_1</t>
  </si>
  <si>
    <t xml:space="preserve"> raise_pop_cap_2</t>
  </si>
  <si>
    <t xml:space="preserve"> raise_pop_cap_3</t>
  </si>
  <si>
    <t xml:space="preserve"> raise_pop_cap_4</t>
  </si>
  <si>
    <t xml:space="preserve"> raise_pop_cap_5</t>
  </si>
  <si>
    <t xml:space="preserve"> raise_pop_cap_6</t>
  </si>
  <si>
    <t xml:space="preserve"> raise_pop_cap_7</t>
  </si>
  <si>
    <t xml:space="preserve"> raise_pop_cap_8</t>
  </si>
  <si>
    <t xml:space="preserve"> theater_build_1</t>
  </si>
  <si>
    <t xml:space="preserve"> factory_build_1</t>
  </si>
  <si>
    <t xml:space="preserve"> metalsmith_build_1</t>
  </si>
  <si>
    <t xml:space="preserve"> metalsmith_upgrade_1</t>
  </si>
  <si>
    <t xml:space="preserve"> rookery_build_1</t>
  </si>
  <si>
    <t xml:space="preserve"> rookery_upgrade_1</t>
  </si>
  <si>
    <t xml:space="preserve"> rookery_upgrade_2</t>
  </si>
  <si>
    <t xml:space="preserve"> storage_vault_1</t>
  </si>
  <si>
    <t xml:space="preserve"> officer_quarter_upgrade_1</t>
  </si>
  <si>
    <t xml:space="preserve"> muster_point_upgrade_1</t>
  </si>
  <si>
    <t xml:space="preserve"> garrison_build_1</t>
  </si>
  <si>
    <t xml:space="preserve"> garrison_upgrade_1</t>
  </si>
  <si>
    <t xml:space="preserve"> garrison_upgrade_1a</t>
  </si>
  <si>
    <t xml:space="preserve"> garrison_upgrade_2</t>
  </si>
  <si>
    <t xml:space="preserve"> garrison_upgrade_3</t>
  </si>
  <si>
    <t xml:space="preserve"> garrison_upgrade_4</t>
  </si>
  <si>
    <t xml:space="preserve"> garrison_upgrade_5</t>
  </si>
  <si>
    <t xml:space="preserve"> garrison_upgrade_6</t>
  </si>
  <si>
    <t xml:space="preserve"> garrison_upgrade_7</t>
  </si>
  <si>
    <t xml:space="preserve"> garrison_upgrade_8</t>
  </si>
  <si>
    <t xml:space="preserve"> garrison_upgrade_9</t>
  </si>
  <si>
    <t xml:space="preserve"> garrison_build_2</t>
  </si>
  <si>
    <t xml:space="preserve"> garrison_build_3</t>
  </si>
  <si>
    <t xml:space="preserve"> garrison_build_4</t>
  </si>
  <si>
    <t xml:space="preserve"> garrison_build_5</t>
  </si>
  <si>
    <t xml:space="preserve"> train_porters</t>
  </si>
  <si>
    <t xml:space="preserve"> train_conscripts</t>
  </si>
  <si>
    <t xml:space="preserve"> train_longbowman</t>
  </si>
  <si>
    <t xml:space="preserve"> train_spies</t>
  </si>
  <si>
    <t xml:space="preserve"> train_halberdsman</t>
  </si>
  <si>
    <t xml:space="preserve"> train_minotaur</t>
  </si>
  <si>
    <t xml:space="preserve"> train_armored_transport</t>
  </si>
  <si>
    <t xml:space="preserve"> train_swift_strike_dragon</t>
  </si>
  <si>
    <t xml:space="preserve"> train_battle_dragon</t>
  </si>
  <si>
    <t xml:space="preserve"> train_giant</t>
  </si>
  <si>
    <t xml:space="preserve"> science_center_upgrade_1a</t>
  </si>
  <si>
    <t xml:space="preserve"> science_center_upgrade_1</t>
  </si>
  <si>
    <t xml:space="preserve"> science_center_upgrade_2</t>
  </si>
  <si>
    <t xml:space="preserve"> science_center_upgrade_3</t>
  </si>
  <si>
    <t xml:space="preserve"> science_center_upgrade_4</t>
  </si>
  <si>
    <t xml:space="preserve"> science_center_upgrade_5</t>
  </si>
  <si>
    <t xml:space="preserve"> science_center_upgrade_6</t>
  </si>
  <si>
    <t xml:space="preserve"> science_center_upgrade_7</t>
  </si>
  <si>
    <t xml:space="preserve"> science_center_upgrade_8</t>
  </si>
  <si>
    <t xml:space="preserve"> science_center_upgrade_9</t>
  </si>
  <si>
    <t xml:space="preserve"> agriculture_research_1</t>
  </si>
  <si>
    <t xml:space="preserve"> woodcraft_research_1</t>
  </si>
  <si>
    <t xml:space="preserve"> masonry_research_1</t>
  </si>
  <si>
    <t xml:space="preserve"> mining_research_1</t>
  </si>
  <si>
    <t xml:space="preserve"> metallurgy_research_1</t>
  </si>
  <si>
    <t xml:space="preserve"> clairvoyance_1</t>
  </si>
  <si>
    <t xml:space="preserve"> rapid_deployment_1</t>
  </si>
  <si>
    <t xml:space="preserve"> ballistics_1</t>
  </si>
  <si>
    <t xml:space="preserve"> levitation_1</t>
  </si>
  <si>
    <t xml:space="preserve"> medicine</t>
  </si>
  <si>
    <t xml:space="preserve"> dragonry_research_1</t>
  </si>
  <si>
    <t xml:space="preserve"> fortress_upgrade_1</t>
  </si>
  <si>
    <t xml:space="preserve"> fortress_upgrade_2</t>
  </si>
  <si>
    <t xml:space="preserve"> fortress_upgrade_3</t>
  </si>
  <si>
    <t xml:space="preserve"> fortress_upgrade_4</t>
  </si>
  <si>
    <t xml:space="preserve"> fortress_upgrade_5</t>
  </si>
  <si>
    <t xml:space="preserve"> fortress_upgrade_6</t>
  </si>
  <si>
    <t xml:space="preserve"> fortress_upgrade_7</t>
  </si>
  <si>
    <t xml:space="preserve"> fortress_upgrade_8</t>
  </si>
  <si>
    <t xml:space="preserve"> fortress_upgrade_9</t>
  </si>
  <si>
    <t xml:space="preserve"> wall_upgrade_1</t>
  </si>
  <si>
    <t xml:space="preserve"> wall_upgrade_2</t>
  </si>
  <si>
    <t xml:space="preserve"> wall_upgrade_3</t>
  </si>
  <si>
    <t xml:space="preserve"> wall_upgrade_4</t>
  </si>
  <si>
    <t xml:space="preserve"> wall_upgrade_5</t>
  </si>
  <si>
    <t xml:space="preserve"> wall_upgrade_6</t>
  </si>
  <si>
    <t xml:space="preserve"> wall_upgrade_7</t>
  </si>
  <si>
    <t xml:space="preserve"> wall_upgrade_8</t>
  </si>
  <si>
    <t xml:space="preserve"> wall_upgrade_9</t>
  </si>
  <si>
    <t xml:space="preserve"> sentinel_build_1</t>
  </si>
  <si>
    <t xml:space="preserve"> sentinel_upgrade_1</t>
  </si>
  <si>
    <t xml:space="preserve"> sentinel_upgrade_2</t>
  </si>
  <si>
    <t xml:space="preserve"> sentinel_upgrade_3</t>
  </si>
  <si>
    <t xml:space="preserve"> sentinel_upgrade_4</t>
  </si>
  <si>
    <t xml:space="preserve"> sentinel_upgrade_5</t>
  </si>
  <si>
    <t xml:space="preserve"> sentinel_upgrade_6</t>
  </si>
  <si>
    <t xml:space="preserve"> sentinel_upgrade_7</t>
  </si>
  <si>
    <t xml:space="preserve"> sentinel_upgrade_8</t>
  </si>
  <si>
    <t xml:space="preserve"> sentinel_upgrade_9</t>
  </si>
  <si>
    <t xml:space="preserve"> adjust_taxes</t>
  </si>
  <si>
    <t xml:space="preserve"> gold_production_1</t>
  </si>
  <si>
    <t xml:space="preserve"> gold_production_2</t>
  </si>
  <si>
    <t xml:space="preserve"> gold_production_3</t>
  </si>
  <si>
    <t xml:space="preserve"> gold_production_4</t>
  </si>
  <si>
    <t xml:space="preserve"> gold_production_5</t>
  </si>
  <si>
    <t xml:space="preserve"> wilderness_conquer_6</t>
  </si>
  <si>
    <t xml:space="preserve"> wilderness_conquer_7</t>
  </si>
  <si>
    <t xml:space="preserve"> wilderness_conquer_8</t>
  </si>
  <si>
    <t xml:space="preserve"> wilderness_conquer_9</t>
  </si>
  <si>
    <t xml:space="preserve"> wilderness_conquer_10</t>
  </si>
  <si>
    <t xml:space="preserve"> anthropus_conquer</t>
  </si>
  <si>
    <t xml:space="preserve"> reach_level_4</t>
  </si>
  <si>
    <t xml:space="preserve"> reach_level_5</t>
  </si>
  <si>
    <t xml:space="preserve"> reach_level_6</t>
  </si>
  <si>
    <t xml:space="preserve"> reach_level_7</t>
  </si>
  <si>
    <t xml:space="preserve"> reach_level_8</t>
  </si>
  <si>
    <t xml:space="preserve"> reach_level_9</t>
  </si>
  <si>
    <t xml:space="preserve"> reach_level_10</t>
  </si>
  <si>
    <t xml:space="preserve"> reach_level_11</t>
  </si>
  <si>
    <t xml:space="preserve"> reach_level_12</t>
  </si>
  <si>
    <t xml:space="preserve"> reach_level_13</t>
  </si>
  <si>
    <t xml:space="preserve"> reach_level_14</t>
  </si>
  <si>
    <t xml:space="preserve"> reach_level_15</t>
  </si>
  <si>
    <t xml:space="preserve"> reach_level_16</t>
  </si>
  <si>
    <t xml:space="preserve"> reach_level_17</t>
  </si>
  <si>
    <t xml:space="preserve"> reach_level_18</t>
  </si>
  <si>
    <t xml:space="preserve"> reach_level_19</t>
  </si>
  <si>
    <t xml:space="preserve"> reach_level_20</t>
  </si>
  <si>
    <t xml:space="preserve"> reach_level_21</t>
  </si>
  <si>
    <t xml:space="preserve"> reach_level_22</t>
  </si>
  <si>
    <t xml:space="preserve"> reach_level_23</t>
  </si>
  <si>
    <t xml:space="preserve"> reach_level_24</t>
  </si>
  <si>
    <t xml:space="preserve"> reach_level_25</t>
  </si>
  <si>
    <t xml:space="preserve"> reach_level_26</t>
  </si>
  <si>
    <t xml:space="preserve"> reach_level_27</t>
  </si>
  <si>
    <t xml:space="preserve"> reach_level_28</t>
  </si>
  <si>
    <t xml:space="preserve"> reach_level_29</t>
  </si>
  <si>
    <t xml:space="preserve"> reach_level_30</t>
  </si>
  <si>
    <t xml:space="preserve"> reach_level_31</t>
  </si>
  <si>
    <t xml:space="preserve"> reach_level_32</t>
  </si>
  <si>
    <t xml:space="preserve"> reach_level_33</t>
  </si>
  <si>
    <t xml:space="preserve"> reach_level_34</t>
  </si>
  <si>
    <t xml:space="preserve"> reach_level_35</t>
  </si>
  <si>
    <t xml:space="preserve"> reach_level_36</t>
  </si>
  <si>
    <t xml:space="preserve"> reach_level_37</t>
  </si>
  <si>
    <t xml:space="preserve"> reach_level_38</t>
  </si>
  <si>
    <t xml:space="preserve"> reach_level_39</t>
  </si>
  <si>
    <t xml:space="preserve"> reach_level_40</t>
  </si>
  <si>
    <t xml:space="preserve"> reach_level_41</t>
  </si>
  <si>
    <t xml:space="preserve"> reach_level_42</t>
  </si>
  <si>
    <t xml:space="preserve"> reach_level_43</t>
  </si>
  <si>
    <t xml:space="preserve"> reach_level_44</t>
  </si>
  <si>
    <t xml:space="preserve"> reach_level_45</t>
  </si>
  <si>
    <t xml:space="preserve"> reach_level_46</t>
  </si>
  <si>
    <t xml:space="preserve"> reach_level_47</t>
  </si>
  <si>
    <t xml:space="preserve"> great_dragon_01</t>
  </si>
  <si>
    <t xml:space="preserve"> great_dragon_02</t>
  </si>
  <si>
    <t xml:space="preserve"> great_dragon_03</t>
  </si>
  <si>
    <t xml:space="preserve"> great_dragon_04</t>
  </si>
  <si>
    <t xml:space="preserve"> great_dragon_05</t>
  </si>
  <si>
    <t xml:space="preserve"> great_dragon_06</t>
  </si>
  <si>
    <t xml:space="preserve"> great_dragon_07</t>
  </si>
  <si>
    <t xml:space="preserve"> great_dragon_08</t>
  </si>
  <si>
    <t xml:space="preserve"> aerial_combat_1</t>
  </si>
  <si>
    <t xml:space="preserve"> great_dragon_claw_guards</t>
  </si>
  <si>
    <t xml:space="preserve"> great_dragon_body_armor</t>
  </si>
  <si>
    <t xml:space="preserve"> great_dragon_tail_guard</t>
  </si>
  <si>
    <t xml:space="preserve"> great_dragon_helmet</t>
  </si>
  <si>
    <t xml:space="preserve"> fill_resource_1</t>
  </si>
  <si>
    <t xml:space="preserve"> hire_general_1</t>
  </si>
  <si>
    <t xml:space="preserve"> hire_general_2</t>
  </si>
  <si>
    <t xml:space="preserve"> hire_general_3</t>
  </si>
  <si>
    <t xml:space="preserve"> hire_high_level_general_1</t>
  </si>
  <si>
    <t xml:space="preserve"> hire_high_level_general_2</t>
  </si>
  <si>
    <t xml:space="preserve"> hire_high_level_general_3</t>
  </si>
  <si>
    <t xml:space="preserve"> join_alliance_1</t>
  </si>
  <si>
    <t xml:space="preserve"> empire_1</t>
  </si>
  <si>
    <t xml:space="preserve"> conquer_hill_1</t>
  </si>
  <si>
    <t xml:space="preserve"> conquer_grassland_1</t>
  </si>
  <si>
    <t xml:space="preserve"> conquer_forest_1</t>
  </si>
  <si>
    <t xml:space="preserve"> conquer_mountain_1</t>
  </si>
  <si>
    <t xml:space="preserve"> conquer_lake_1</t>
  </si>
  <si>
    <t xml:space="preserve"> conquer_high_level_hill_1</t>
  </si>
  <si>
    <t xml:space="preserve"> conquer_high_level_hill_2</t>
  </si>
  <si>
    <t xml:space="preserve"> conquer_high_level_hill_3</t>
  </si>
  <si>
    <t xml:space="preserve"> conquer_high_level_grassland_1</t>
  </si>
  <si>
    <t xml:space="preserve"> conquer_high_level_grassland_2</t>
  </si>
  <si>
    <t xml:space="preserve"> conquer_high_level_grassland_3</t>
  </si>
  <si>
    <t xml:space="preserve"> conquer_high_level_forest_1</t>
  </si>
  <si>
    <t xml:space="preserve"> conquer_high_level_forest_2</t>
  </si>
  <si>
    <t xml:space="preserve"> conquer_high_level_forest_3</t>
  </si>
  <si>
    <t xml:space="preserve"> conquer_high_level_mountain_1</t>
  </si>
  <si>
    <t xml:space="preserve"> conquer_high_level_mountain_2</t>
  </si>
  <si>
    <t xml:space="preserve"> conquer_high_level_mountain_3</t>
  </si>
  <si>
    <t xml:space="preserve"> conquer_high_level_lake_1</t>
  </si>
  <si>
    <t xml:space="preserve"> conquer_high_level_lake_2</t>
  </si>
  <si>
    <t xml:space="preserve"> conquer_high_level_lake_3</t>
  </si>
  <si>
    <t xml:space="preserve"> instance_1</t>
  </si>
  <si>
    <t xml:space="preserve"> instance_2</t>
  </si>
  <si>
    <t xml:space="preserve"> refresh_general_1</t>
  </si>
  <si>
    <t xml:space="preserve"> instance_3</t>
  </si>
  <si>
    <t xml:space="preserve"> instance_4</t>
  </si>
  <si>
    <t xml:space="preserve"> instance_5</t>
  </si>
  <si>
    <t xml:space="preserve"> instance_6</t>
  </si>
  <si>
    <t xml:space="preserve"> instance_7</t>
  </si>
  <si>
    <t xml:space="preserve"> instance_8</t>
  </si>
  <si>
    <t xml:space="preserve"> instance_9</t>
  </si>
  <si>
    <t xml:space="preserve"> instance_10</t>
  </si>
  <si>
    <t xml:space="preserve"> wilderness_conquer_1</t>
  </si>
  <si>
    <t xml:space="preserve"> home_build_1</t>
  </si>
  <si>
    <t xml:space="preserve"> stone</t>
    <phoneticPr fontId="1" type="noConversion"/>
  </si>
  <si>
    <t xml:space="preserve"> food</t>
    <phoneticPr fontId="1" type="noConversion"/>
  </si>
  <si>
    <t>level</t>
    <phoneticPr fontId="1" type="noConversion"/>
  </si>
  <si>
    <t>Level</t>
  </si>
  <si>
    <t>Info Gathered</t>
  </si>
  <si>
    <t>Food</t>
  </si>
  <si>
    <t>Gold</t>
  </si>
  <si>
    <t>Exact # of Resources</t>
  </si>
  <si>
    <t>Idea of Troops</t>
  </si>
  <si>
    <t>Exact # of Troops</t>
  </si>
  <si>
    <t>Type of troops</t>
  </si>
  <si>
    <t>Wilderness Owner</t>
  </si>
  <si>
    <t>Idea of Researches</t>
  </si>
  <si>
    <t>Exact Researches</t>
  </si>
  <si>
    <t>Exact # of Gold</t>
  </si>
  <si>
    <t>Last Login time/date</t>
  </si>
  <si>
    <t>clairvoyance</t>
    <phoneticPr fontId="1" type="noConversion"/>
  </si>
  <si>
    <t>Idea of Resources</t>
    <phoneticPr fontId="1" type="noConversion"/>
  </si>
  <si>
    <t>Anthropus Troops and Resources by Level</t>
  </si>
  <si>
    <t>Equiv</t>
  </si>
  <si>
    <t>Brats</t>
  </si>
  <si>
    <t>Con</t>
  </si>
  <si>
    <t>She-Devil</t>
  </si>
  <si>
    <t>Mino</t>
  </si>
  <si>
    <t>LBM</t>
  </si>
  <si>
    <t>SSD</t>
  </si>
  <si>
    <t>Chieftain</t>
  </si>
  <si>
    <t>BD</t>
  </si>
  <si>
    <t>Bloods</t>
  </si>
  <si>
    <t>FM</t>
  </si>
  <si>
    <t>Launchers</t>
  </si>
  <si>
    <t>Smash</t>
  </si>
  <si>
    <t>Gnashers</t>
  </si>
  <si>
    <t>Divers</t>
  </si>
  <si>
    <t>Wood</t>
  </si>
  <si>
    <t>Stone</t>
  </si>
  <si>
    <t>metal</t>
    <phoneticPr fontId="1" type="noConversion"/>
  </si>
  <si>
    <t>间谍科技效果</t>
    <phoneticPr fontId="1" type="noConversion"/>
  </si>
  <si>
    <t>Home</t>
  </si>
  <si>
    <t>Theater</t>
  </si>
  <si>
    <t>Fortress</t>
  </si>
  <si>
    <t>OfficerQuarter</t>
  </si>
  <si>
    <t>MusterPoint</t>
  </si>
  <si>
    <t>ScienceCenter</t>
  </si>
  <si>
    <t>StorageVault</t>
  </si>
  <si>
    <t>Wall</t>
  </si>
  <si>
    <t>TrainingCamp</t>
  </si>
  <si>
    <t>Silo</t>
  </si>
  <si>
    <t>Farm</t>
  </si>
  <si>
    <t>Lumbermill</t>
  </si>
  <si>
    <t>Mine</t>
  </si>
  <si>
    <t>Quarry</t>
  </si>
  <si>
    <t>建筑战力</t>
    <phoneticPr fontId="1" type="noConversion"/>
  </si>
  <si>
    <t>基础值</t>
    <phoneticPr fontId="1" type="noConversion"/>
  </si>
  <si>
    <t>系数</t>
    <phoneticPr fontId="1" type="noConversion"/>
  </si>
  <si>
    <t>等级</t>
    <phoneticPr fontId="1" type="noConversion"/>
  </si>
  <si>
    <t>数量</t>
    <phoneticPr fontId="1" type="noConversion"/>
  </si>
  <si>
    <t>战力</t>
    <phoneticPr fontId="1" type="noConversion"/>
  </si>
  <si>
    <t>total</t>
    <phoneticPr fontId="1" type="noConversion"/>
  </si>
  <si>
    <t>地块数量</t>
    <phoneticPr fontId="1" type="noConversion"/>
  </si>
  <si>
    <t>city</t>
    <phoneticPr fontId="1" type="noConversion"/>
  </si>
  <si>
    <t>resouce</t>
    <phoneticPr fontId="1" type="noConversion"/>
  </si>
  <si>
    <t>waterdragon</t>
    <phoneticPr fontId="1" type="noConversion"/>
  </si>
  <si>
    <t>Sentinel</t>
    <phoneticPr fontId="1" type="noConversion"/>
  </si>
  <si>
    <t>Sentinel Reports</t>
  </si>
  <si>
    <t>Enemy approaching</t>
  </si>
  <si>
    <t>Spy or Attack</t>
  </si>
  <si>
    <t>Knows the time of attack</t>
  </si>
  <si>
    <t>Title and Alliance of attacker</t>
  </si>
  <si>
    <t>Strength of General</t>
  </si>
  <si>
    <t>Approx. how many troops</t>
  </si>
  <si>
    <t>Troop types</t>
  </si>
  <si>
    <t>Approx. # of troops in type</t>
  </si>
  <si>
    <t>Exact # of troops</t>
  </si>
  <si>
    <t>Attacker's name</t>
  </si>
  <si>
    <t>岗哨效果</t>
    <phoneticPr fontId="1" type="noConversion"/>
  </si>
  <si>
    <t>waterdragonkeep</t>
    <phoneticPr fontId="1" type="noConversion"/>
  </si>
  <si>
    <t>lv</t>
    <phoneticPr fontId="1" type="noConversion"/>
  </si>
  <si>
    <t>建筑总战力</t>
    <phoneticPr fontId="1" type="noConversion"/>
  </si>
  <si>
    <t>0.45+0.4*兵营数量+0.1*兵营等级</t>
    <phoneticPr fontId="1" type="noConversion"/>
  </si>
  <si>
    <t>Cannibals</t>
  </si>
  <si>
    <t>Hal</t>
  </si>
  <si>
    <t>Clubbers</t>
  </si>
  <si>
    <t>Hurlers</t>
  </si>
  <si>
    <t>Shredders</t>
  </si>
  <si>
    <t>Chieftains</t>
  </si>
  <si>
    <t>Ragers</t>
  </si>
  <si>
    <t>Lake</t>
  </si>
  <si>
    <t>Hill</t>
  </si>
  <si>
    <t>Mountain</t>
  </si>
  <si>
    <t>Forest</t>
  </si>
  <si>
    <t>Savanna</t>
  </si>
  <si>
    <t>porter</t>
    <phoneticPr fontId="1" type="noConversion"/>
  </si>
  <si>
    <t>每级野外资源点对应资源产出加速5%</t>
    <phoneticPr fontId="1" type="noConversion"/>
  </si>
  <si>
    <t xml:space="preserve"> Blink</t>
  </si>
  <si>
    <t xml:space="preserve"> Hop</t>
  </si>
  <si>
    <t xml:space="preserve"> Skip</t>
  </si>
  <si>
    <t xml:space="preserve"> Jump</t>
  </si>
  <si>
    <t>权重</t>
    <phoneticPr fontId="1" type="noConversion"/>
  </si>
  <si>
    <t>几率</t>
    <phoneticPr fontId="1" type="noConversion"/>
  </si>
  <si>
    <t>道具产出</t>
    <phoneticPr fontId="1" type="noConversion"/>
  </si>
  <si>
    <t>兵量及资源每5分钟恢复10%</t>
    <phoneticPr fontId="1" type="noConversion"/>
  </si>
  <si>
    <t>Porter</t>
    <phoneticPr fontId="1" type="noConversion"/>
  </si>
  <si>
    <t>Conscript</t>
    <phoneticPr fontId="1" type="noConversion"/>
  </si>
  <si>
    <t>Halberdsman</t>
    <phoneticPr fontId="1" type="noConversion"/>
  </si>
  <si>
    <t>Minotaur</t>
    <phoneticPr fontId="1" type="noConversion"/>
  </si>
  <si>
    <t>Longbowman</t>
    <phoneticPr fontId="1" type="noConversion"/>
  </si>
  <si>
    <t>SwiftStrikeDragon</t>
    <phoneticPr fontId="1" type="noConversion"/>
  </si>
  <si>
    <t>BattleDragon</t>
    <phoneticPr fontId="1" type="noConversion"/>
  </si>
  <si>
    <t>Giant</t>
    <phoneticPr fontId="1" type="noConversion"/>
  </si>
  <si>
    <t>BlackholeOne</t>
    <phoneticPr fontId="1" type="noConversion"/>
  </si>
  <si>
    <t>掉落：</t>
    <phoneticPr fontId="1" type="noConversion"/>
  </si>
  <si>
    <t>replace</t>
  </si>
  <si>
    <t>once</t>
  </si>
  <si>
    <t>Helmet</t>
  </si>
  <si>
    <t>Tail</t>
  </si>
  <si>
    <t>Body</t>
  </si>
  <si>
    <t>Claw</t>
  </si>
  <si>
    <t>可占领资源点等级取决于城堡等级</t>
    <phoneticPr fontId="1" type="noConversion"/>
  </si>
  <si>
    <t>龙2</t>
  </si>
  <si>
    <t>孵化室等级</t>
    <phoneticPr fontId="1" type="noConversion"/>
  </si>
  <si>
    <t>开启资源点</t>
    <phoneticPr fontId="1" type="noConversion"/>
  </si>
  <si>
    <t>可接受援军</t>
    <phoneticPr fontId="1" type="noConversion"/>
  </si>
  <si>
    <t>Giant</t>
    <phoneticPr fontId="1" type="noConversion"/>
  </si>
  <si>
    <t>可占据资源点数量</t>
    <phoneticPr fontId="1" type="noConversion"/>
  </si>
  <si>
    <t>newresource</t>
  </si>
  <si>
    <t>建筑数量</t>
    <phoneticPr fontId="1" type="noConversion"/>
  </si>
  <si>
    <t>建筑级别</t>
    <phoneticPr fontId="1" type="noConversion"/>
  </si>
  <si>
    <t>对应科技等级</t>
    <phoneticPr fontId="1" type="noConversion"/>
  </si>
  <si>
    <t>野外点总级别</t>
    <phoneticPr fontId="1" type="noConversion"/>
  </si>
  <si>
    <t>是否有道具</t>
    <phoneticPr fontId="1" type="noConversion"/>
  </si>
  <si>
    <t>产量每小时</t>
    <phoneticPr fontId="1" type="noConversion"/>
  </si>
  <si>
    <t>上限</t>
    <phoneticPr fontId="1" type="noConversion"/>
  </si>
  <si>
    <t>24小时产量</t>
    <phoneticPr fontId="1" type="noConversion"/>
  </si>
  <si>
    <t>兵种</t>
    <phoneticPr fontId="1" type="noConversion"/>
  </si>
  <si>
    <t>单个时间</t>
    <phoneticPr fontId="1" type="noConversion"/>
  </si>
  <si>
    <t>兵营数量</t>
    <phoneticPr fontId="1" type="noConversion"/>
  </si>
  <si>
    <t>兵营等级</t>
    <phoneticPr fontId="1" type="noConversion"/>
  </si>
  <si>
    <t>加速倍数</t>
    <phoneticPr fontId="1" type="noConversion"/>
  </si>
  <si>
    <t>24小时可造数量</t>
    <phoneticPr fontId="1" type="noConversion"/>
  </si>
  <si>
    <t>消耗资源</t>
    <phoneticPr fontId="1" type="noConversion"/>
  </si>
  <si>
    <t>消耗/产出</t>
    <phoneticPr fontId="1" type="noConversion"/>
  </si>
  <si>
    <t>total</t>
    <phoneticPr fontId="1" type="noConversion"/>
  </si>
  <si>
    <t>单个might</t>
    <phoneticPr fontId="1" type="noConversion"/>
  </si>
  <si>
    <t>一天获得might</t>
    <phoneticPr fontId="1" type="noConversion"/>
  </si>
  <si>
    <t>单个需人口</t>
    <phoneticPr fontId="1" type="noConversion"/>
  </si>
  <si>
    <t>需空闲人口</t>
    <phoneticPr fontId="1" type="noConversion"/>
  </si>
  <si>
    <t>home数量</t>
    <phoneticPr fontId="1" type="noConversion"/>
  </si>
  <si>
    <t>人口上限</t>
    <phoneticPr fontId="1" type="noConversion"/>
  </si>
  <si>
    <t>空闲人口</t>
    <phoneticPr fontId="1" type="noConversion"/>
  </si>
  <si>
    <t>雇佣人口</t>
    <phoneticPr fontId="1" type="noConversion"/>
  </si>
  <si>
    <t>幸福指数</t>
    <phoneticPr fontId="1" type="noConversion"/>
  </si>
  <si>
    <t>孵化室等级</t>
    <phoneticPr fontId="1" type="noConversion"/>
  </si>
  <si>
    <t>龙兵种加速倍数</t>
    <phoneticPr fontId="1" type="noConversion"/>
  </si>
  <si>
    <t>单价</t>
    <phoneticPr fontId="1" type="noConversion"/>
  </si>
  <si>
    <t>recovery cost</t>
    <phoneticPr fontId="1" type="noConversion"/>
  </si>
  <si>
    <t>雇佣人口</t>
    <phoneticPr fontId="1" type="noConversion"/>
  </si>
  <si>
    <t>产量每小时</t>
    <phoneticPr fontId="1" type="noConversion"/>
  </si>
  <si>
    <t>产量上限</t>
    <phoneticPr fontId="1" type="noConversion"/>
  </si>
  <si>
    <t>laborers_per_level</t>
  </si>
  <si>
    <t>laborers_per_level*(level*level+level)</t>
    <phoneticPr fontId="1" type="noConversion"/>
  </si>
  <si>
    <t>rate_increase_per_level</t>
    <phoneticPr fontId="1" type="noConversion"/>
  </si>
  <si>
    <t>rate_increase_per_level*(level*level+level)</t>
    <phoneticPr fontId="1" type="noConversion"/>
  </si>
  <si>
    <t>capacity_increase_per_level</t>
    <phoneticPr fontId="1" type="noConversion"/>
  </si>
  <si>
    <t>capacity_increase_per_level*(level*level+level)</t>
    <phoneticPr fontId="1" type="noConversion"/>
  </si>
  <si>
    <t>total</t>
    <phoneticPr fontId="1" type="noConversion"/>
  </si>
  <si>
    <t>total research</t>
    <phoneticPr fontId="1" type="noConversion"/>
  </si>
  <si>
    <t>total building</t>
    <phoneticPr fontId="1" type="noConversion"/>
  </si>
  <si>
    <t>Buildings::WaterDragonKeep</t>
    <phoneticPr fontId="11" type="noConversion"/>
  </si>
  <si>
    <t>dragonhealth</t>
    <phoneticPr fontId="1" type="noConversion"/>
  </si>
  <si>
    <t>rationing</t>
    <phoneticPr fontId="1" type="noConversion"/>
  </si>
  <si>
    <t>home</t>
    <phoneticPr fontId="1" type="noConversion"/>
  </si>
  <si>
    <t>打龙装备消耗战力</t>
    <phoneticPr fontId="1" type="noConversion"/>
  </si>
  <si>
    <t>日购买ruby达到</t>
    <phoneticPr fontId="1" type="noConversion"/>
  </si>
  <si>
    <t>物品</t>
    <phoneticPr fontId="1" type="noConversion"/>
  </si>
  <si>
    <t>数量</t>
    <phoneticPr fontId="1" type="noConversion"/>
  </si>
  <si>
    <t>物品单价</t>
    <phoneticPr fontId="1" type="noConversion"/>
  </si>
  <si>
    <t>1 Minute Speedup</t>
    <phoneticPr fontId="1" type="noConversion"/>
  </si>
  <si>
    <t>5-Minute Speedup</t>
    <phoneticPr fontId="1" type="noConversion"/>
  </si>
  <si>
    <t>总价值</t>
    <phoneticPr fontId="1" type="noConversion"/>
  </si>
  <si>
    <t>15-Minute Speedup</t>
    <phoneticPr fontId="1" type="noConversion"/>
  </si>
  <si>
    <t>General Refresh</t>
    <phoneticPr fontId="1" type="noConversion"/>
  </si>
  <si>
    <t>1-hour speedup</t>
    <phoneticPr fontId="1" type="noConversion"/>
  </si>
  <si>
    <t>2.5-hour speedup</t>
    <phoneticPr fontId="1" type="noConversion"/>
  </si>
  <si>
    <t>8-hour speedup</t>
    <phoneticPr fontId="1" type="noConversion"/>
  </si>
  <si>
    <t>15-hour speedup</t>
    <phoneticPr fontId="1" type="noConversion"/>
  </si>
  <si>
    <t>24-hour speedup</t>
    <phoneticPr fontId="1" type="noConversion"/>
  </si>
  <si>
    <t>Dark Warp Device</t>
    <phoneticPr fontId="1" type="noConversion"/>
  </si>
  <si>
    <t>Charted Warp Device</t>
    <phoneticPr fontId="1" type="noConversion"/>
  </si>
  <si>
    <t>该档赠送价值</t>
    <phoneticPr fontId="1" type="noConversion"/>
  </si>
  <si>
    <t>折扣</t>
    <phoneticPr fontId="1" type="noConversion"/>
  </si>
  <si>
    <t>ruby档次</t>
    <phoneticPr fontId="1" type="noConversion"/>
  </si>
  <si>
    <t>alliance gift品级</t>
    <phoneticPr fontId="1" type="noConversion"/>
  </si>
  <si>
    <t>价值ruby</t>
    <phoneticPr fontId="1" type="noConversion"/>
  </si>
  <si>
    <t>Buildings::Garrison</t>
    <phoneticPr fontId="1" type="noConversion"/>
  </si>
  <si>
    <t>water</t>
    <phoneticPr fontId="1" type="noConversion"/>
  </si>
  <si>
    <t>Masonry</t>
    <phoneticPr fontId="1" type="noConversion"/>
  </si>
  <si>
    <t xml:space="preserve"> great_dragon_09</t>
    <phoneticPr fontId="1" type="noConversion"/>
  </si>
  <si>
    <t xml:space="preserve"> lumbermill_build_1</t>
    <phoneticPr fontId="1" type="noConversion"/>
  </si>
  <si>
    <t>instant ruby</t>
    <phoneticPr fontId="1" type="noConversion"/>
  </si>
  <si>
    <t>recovery ruby</t>
    <phoneticPr fontId="1" type="noConversion"/>
  </si>
  <si>
    <t>复活数量</t>
    <phoneticPr fontId="1" type="noConversion"/>
  </si>
  <si>
    <t>折扣系数</t>
    <phoneticPr fontId="1" type="noConversion"/>
  </si>
  <si>
    <t>1-1000</t>
    <phoneticPr fontId="1" type="noConversion"/>
  </si>
  <si>
    <t>1001-20000</t>
    <phoneticPr fontId="1" type="noConversion"/>
  </si>
  <si>
    <t>20001-50000</t>
    <phoneticPr fontId="1" type="noConversion"/>
  </si>
  <si>
    <t>50000-</t>
    <phoneticPr fontId="1" type="noConversion"/>
  </si>
  <si>
    <t>实际recovery单价=recovery ruby*折扣系数</t>
    <phoneticPr fontId="1" type="noConversion"/>
  </si>
  <si>
    <t>Venge Wyrm</t>
  </si>
  <si>
    <t>gold</t>
    <phoneticPr fontId="1" type="noConversion"/>
  </si>
  <si>
    <t>Aerial Combat</t>
    <phoneticPr fontId="1" type="noConversion"/>
  </si>
  <si>
    <t>instant</t>
    <phoneticPr fontId="1" type="noConversion"/>
  </si>
  <si>
    <t>load</t>
    <phoneticPr fontId="1" type="noConversion"/>
  </si>
  <si>
    <t>优点</t>
    <phoneticPr fontId="1" type="noConversion"/>
  </si>
  <si>
    <t>melee attack</t>
    <phoneticPr fontId="1" type="noConversion"/>
  </si>
  <si>
    <t>life</t>
    <phoneticPr fontId="1" type="noConversion"/>
  </si>
  <si>
    <t>speed</t>
    <phoneticPr fontId="1" type="noConversion"/>
  </si>
  <si>
    <t>龙带新兵的加成</t>
    <phoneticPr fontId="1" type="noConversion"/>
  </si>
  <si>
    <t>生命 0.025*lv</t>
    <phoneticPr fontId="1" type="noConversion"/>
  </si>
  <si>
    <t>龙skill</t>
    <phoneticPr fontId="1" type="noConversion"/>
  </si>
  <si>
    <t>fake army</t>
    <phoneticPr fontId="1" type="noConversion"/>
  </si>
  <si>
    <t>敌人侦查错误，防守兵力翻倍</t>
    <phoneticPr fontId="1" type="noConversion"/>
  </si>
  <si>
    <t>Buildings::pearlfactory</t>
  </si>
  <si>
    <t>Buildings::hospital</t>
    <phoneticPr fontId="1" type="noConversion"/>
  </si>
  <si>
    <t>level</t>
    <phoneticPr fontId="1" type="noConversion"/>
  </si>
  <si>
    <t>recover</t>
    <phoneticPr fontId="1" type="noConversion"/>
  </si>
  <si>
    <t>might</t>
    <phoneticPr fontId="1" type="noConversion"/>
  </si>
  <si>
    <t>增加复活兵的上限</t>
    <phoneticPr fontId="1" type="noConversion"/>
  </si>
  <si>
    <t>medicine</t>
    <phoneticPr fontId="1" type="noConversion"/>
  </si>
  <si>
    <t>Buildings::3rdDragonKeep</t>
    <phoneticPr fontId="11" type="noConversion"/>
  </si>
  <si>
    <t>Conscript</t>
    <phoneticPr fontId="1" type="noConversion"/>
  </si>
  <si>
    <t>Porter</t>
    <phoneticPr fontId="1" type="noConversion"/>
  </si>
  <si>
    <t>Spy</t>
    <phoneticPr fontId="1" type="noConversion"/>
  </si>
  <si>
    <t>Halberdsman</t>
    <phoneticPr fontId="1" type="noConversion"/>
  </si>
  <si>
    <t>Minotaur</t>
    <phoneticPr fontId="1" type="noConversion"/>
  </si>
  <si>
    <t>Longbowman</t>
    <phoneticPr fontId="1" type="noConversion"/>
  </si>
  <si>
    <t>BattleDragon</t>
    <phoneticPr fontId="1" type="noConversion"/>
  </si>
  <si>
    <t>points</t>
    <phoneticPr fontId="1" type="noConversion"/>
  </si>
  <si>
    <t>Nightshade dragon1</t>
  </si>
  <si>
    <t>Nightshade dragon2</t>
  </si>
  <si>
    <t>Nightshade dragon3</t>
  </si>
  <si>
    <t>Nightshade dragon4</t>
  </si>
  <si>
    <t>Nightshade dragon5</t>
  </si>
  <si>
    <t>Nightshade dragon6</t>
  </si>
  <si>
    <t>Nightshade dragon7</t>
  </si>
  <si>
    <t>Nightshade dragon8</t>
  </si>
  <si>
    <t>Nightshade dragon9</t>
  </si>
  <si>
    <t>Nightshade dragon10</t>
  </si>
  <si>
    <t>Nightshade dragon11</t>
  </si>
  <si>
    <t>Nightshade dragon12</t>
  </si>
  <si>
    <t>Nightshade dragon13</t>
  </si>
  <si>
    <t>Nightshade dragon14</t>
  </si>
  <si>
    <t>Nightshade dragon15</t>
  </si>
  <si>
    <t>Nightshade dragon16</t>
  </si>
  <si>
    <t>Nightshade dragon17</t>
  </si>
  <si>
    <t>Nightshade dragon18</t>
  </si>
  <si>
    <t>Nightshade dragon19</t>
  </si>
  <si>
    <t>Nightshade dragon20</t>
  </si>
  <si>
    <t>Stone dragon1</t>
  </si>
  <si>
    <t>Stone dragon2</t>
  </si>
  <si>
    <t>Stone dragon3</t>
  </si>
  <si>
    <t>Stone dragon4</t>
  </si>
  <si>
    <t>Stone dragon5</t>
  </si>
  <si>
    <t>Stone dragon6</t>
  </si>
  <si>
    <t>Stone dragon7</t>
  </si>
  <si>
    <t>Stone dragon8</t>
  </si>
  <si>
    <t>Stone dragon9</t>
  </si>
  <si>
    <t>Stone dragon10</t>
  </si>
  <si>
    <t>Stone dragon11</t>
  </si>
  <si>
    <t>Stone dragon12</t>
  </si>
  <si>
    <t>Stone dragon13</t>
  </si>
  <si>
    <t>Stone dragon14</t>
  </si>
  <si>
    <t>Stone dragon15</t>
  </si>
  <si>
    <t>Stone dragon16</t>
  </si>
  <si>
    <t>Stone dragon17</t>
  </si>
  <si>
    <t>Stone dragon18</t>
  </si>
  <si>
    <t>Stone dragon19</t>
  </si>
  <si>
    <t>Stone dragon20</t>
  </si>
  <si>
    <t>龙1</t>
  </si>
  <si>
    <t>granite ogre</t>
    <phoneticPr fontId="1" type="noConversion"/>
  </si>
  <si>
    <t>seed</t>
    <phoneticPr fontId="1" type="noConversion"/>
  </si>
  <si>
    <t>new resource</t>
    <phoneticPr fontId="1" type="noConversion"/>
  </si>
  <si>
    <t>seed factory</t>
    <phoneticPr fontId="1" type="noConversion"/>
  </si>
  <si>
    <t>new resource building</t>
    <phoneticPr fontId="1" type="noConversion"/>
  </si>
  <si>
    <t>nightshadetroop</t>
    <phoneticPr fontId="1" type="noConversion"/>
  </si>
  <si>
    <t>0 =&gt; [],</t>
  </si>
  <si>
    <t>    1 =&gt; [:resources_estimate],  # estimated: true</t>
  </si>
  <si>
    <t>    2 =&gt; [:resources], # estimated: false</t>
  </si>
  <si>
    <t>    3 =&gt; [:resources, :defender_types],  # -1 in array, estimated: false</t>
  </si>
  <si>
    <t>    4 =&gt; [:resources, :defenders_estimate], # estimated: true</t>
  </si>
  <si>
    <t>    5 =&gt; [:resources, :defenders_estimate],</t>
  </si>
  <si>
    <t>    6 =&gt; [:resources, :defenders], # estimated: false</t>
  </si>
  <si>
    <t>    7 =&gt; [:resources, :defenders, :research_without_level],</t>
  </si>
  <si>
    <t>    8 =&gt; [:resources, :defenders, :research],</t>
  </si>
  <si>
    <t>    9 =&gt; [:resources, :defenders, :research],</t>
  </si>
  <si>
    <t>   10 =&gt; [:resources, :defenders, :research, :last_login]</t>
  </si>
  <si>
    <t>Ballistics</t>
    <phoneticPr fontId="1" type="noConversion"/>
  </si>
  <si>
    <t>newbuilding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</si>
</sst>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"/>
  </numFmts>
  <fonts count="16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0"/>
      <color rgb="FF222222"/>
      <name val="Arial"/>
      <family val="2"/>
    </font>
    <font>
      <sz val="11"/>
      <color rgb="FFFF0000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0" tint="-0.34998626667073579"/>
      <name val="宋体"/>
      <family val="2"/>
      <charset val="134"/>
      <scheme val="minor"/>
    </font>
    <font>
      <sz val="11"/>
      <color theme="0" tint="-0.34998626667073579"/>
      <name val="宋体"/>
      <family val="3"/>
      <charset val="134"/>
      <scheme val="minor"/>
    </font>
    <font>
      <sz val="11"/>
      <color theme="2" tint="-0.249977111117893"/>
      <name val="宋体"/>
      <family val="2"/>
      <charset val="134"/>
      <scheme val="minor"/>
    </font>
    <font>
      <sz val="11"/>
      <color theme="2" tint="-0.249977111117893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color rgb="FFFF0000"/>
      <name val="宋体"/>
      <family val="2"/>
      <scheme val="minor"/>
    </font>
    <font>
      <sz val="12"/>
      <color theme="1"/>
      <name val="宋体"/>
      <family val="3"/>
      <charset val="134"/>
      <scheme val="minor"/>
    </font>
    <font>
      <sz val="12"/>
      <color rgb="FF1A1A1A"/>
      <name val="宋体"/>
      <family val="3"/>
      <charset val="134"/>
      <scheme val="minor"/>
    </font>
    <font>
      <sz val="10.5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EEEEEE"/>
      </left>
      <right style="medium">
        <color rgb="FFEEEEEE"/>
      </right>
      <top style="medium">
        <color rgb="FFEEEEEE"/>
      </top>
      <bottom style="medium">
        <color rgb="FFEEEEEE"/>
      </bottom>
      <diagonal/>
    </border>
  </borders>
  <cellStyleXfs count="1">
    <xf numFmtId="0" fontId="0" fillId="0" borderId="0">
      <alignment vertical="center"/>
    </xf>
  </cellStyleXfs>
  <cellXfs count="6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2" borderId="0" xfId="0" applyFill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2" fillId="0" borderId="1" xfId="0" applyFont="1" applyBorder="1">
      <alignment vertical="center"/>
    </xf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/>
    <xf numFmtId="0" fontId="0" fillId="0" borderId="0" xfId="0" applyAlignment="1">
      <alignment horizontal="right" vertical="center"/>
    </xf>
    <xf numFmtId="0" fontId="4" fillId="0" borderId="0" xfId="0" applyFont="1" applyAlignment="1"/>
    <xf numFmtId="0" fontId="0" fillId="0" borderId="1" xfId="0" applyBorder="1">
      <alignment vertical="center"/>
    </xf>
    <xf numFmtId="9" fontId="0" fillId="0" borderId="0" xfId="0" applyNumberFormat="1">
      <alignment vertical="center"/>
    </xf>
    <xf numFmtId="0" fontId="0" fillId="3" borderId="0" xfId="0" applyFill="1">
      <alignment vertical="center"/>
    </xf>
    <xf numFmtId="3" fontId="0" fillId="0" borderId="0" xfId="0" applyNumberFormat="1">
      <alignment vertical="center"/>
    </xf>
    <xf numFmtId="0" fontId="0" fillId="2" borderId="0" xfId="0" applyFill="1" applyAlignment="1">
      <alignment horizontal="right" vertical="center"/>
    </xf>
    <xf numFmtId="0" fontId="6" fillId="0" borderId="0" xfId="0" applyFont="1">
      <alignment vertical="center"/>
    </xf>
    <xf numFmtId="0" fontId="7" fillId="0" borderId="0" xfId="0" applyFont="1" applyAlignment="1">
      <alignment horizontal="right" vertical="center"/>
    </xf>
    <xf numFmtId="0" fontId="7" fillId="0" borderId="0" xfId="0" applyFont="1">
      <alignment vertical="center"/>
    </xf>
    <xf numFmtId="0" fontId="0" fillId="0" borderId="0" xfId="0" applyNumberFormat="1">
      <alignment vertical="center"/>
    </xf>
    <xf numFmtId="3" fontId="2" fillId="0" borderId="0" xfId="0" applyNumberFormat="1" applyFont="1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0" fillId="2" borderId="0" xfId="0" applyFill="1" applyAlignment="1"/>
    <xf numFmtId="0" fontId="12" fillId="2" borderId="0" xfId="0" applyFont="1" applyFill="1" applyAlignment="1"/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0" fontId="0" fillId="2" borderId="4" xfId="0" applyNumberFormat="1" applyFill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4" borderId="6" xfId="0" applyNumberFormat="1" applyFill="1" applyBorder="1" applyAlignment="1">
      <alignment horizontal="center" vertical="center"/>
    </xf>
    <xf numFmtId="10" fontId="0" fillId="4" borderId="9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Fill="1" applyAlignment="1"/>
    <xf numFmtId="176" fontId="0" fillId="0" borderId="0" xfId="0" applyNumberFormat="1" applyFill="1" applyAlignment="1"/>
    <xf numFmtId="0" fontId="0" fillId="0" borderId="0" xfId="0" applyFill="1">
      <alignment vertical="center"/>
    </xf>
    <xf numFmtId="0" fontId="13" fillId="0" borderId="0" xfId="0" applyFont="1">
      <alignment vertical="center"/>
    </xf>
    <xf numFmtId="0" fontId="14" fillId="5" borderId="10" xfId="0" applyFont="1" applyFill="1" applyBorder="1" applyAlignment="1">
      <alignment horizontal="left" vertical="top" wrapText="1"/>
    </xf>
    <xf numFmtId="0" fontId="15" fillId="2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yVal>
            <c:numRef>
              <c:f>资源产出!$C$2:$C$11</c:f>
              <c:numCache>
                <c:formatCode>General</c:formatCode>
                <c:ptCount val="10"/>
                <c:pt idx="0">
                  <c:v>100</c:v>
                </c:pt>
                <c:pt idx="1">
                  <c:v>300</c:v>
                </c:pt>
                <c:pt idx="2">
                  <c:v>600</c:v>
                </c:pt>
                <c:pt idx="3">
                  <c:v>1000</c:v>
                </c:pt>
                <c:pt idx="4">
                  <c:v>1500</c:v>
                </c:pt>
                <c:pt idx="5">
                  <c:v>2100</c:v>
                </c:pt>
                <c:pt idx="6">
                  <c:v>2800</c:v>
                </c:pt>
                <c:pt idx="7">
                  <c:v>3600</c:v>
                </c:pt>
                <c:pt idx="8">
                  <c:v>4500</c:v>
                </c:pt>
                <c:pt idx="9">
                  <c:v>5500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5487904"/>
        <c:axId val="645486784"/>
      </c:scatterChart>
      <c:valAx>
        <c:axId val="645487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45486784"/>
        <c:crosses val="autoZero"/>
        <c:crossBetween val="midCat"/>
      </c:valAx>
      <c:valAx>
        <c:axId val="64548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45487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research</c:v>
          </c:tx>
          <c:invertIfNegative val="0"/>
          <c:cat>
            <c:strRef>
              <c:f>科技消耗!$C$1:$I$1</c:f>
              <c:strCache>
                <c:ptCount val="7"/>
                <c:pt idx="0">
                  <c:v>instance</c:v>
                </c:pt>
                <c:pt idx="1">
                  <c:v>time</c:v>
                </c:pt>
                <c:pt idx="2">
                  <c:v>ore</c:v>
                </c:pt>
                <c:pt idx="3">
                  <c:v>wood</c:v>
                </c:pt>
                <c:pt idx="4">
                  <c:v>food</c:v>
                </c:pt>
                <c:pt idx="5">
                  <c:v>stone</c:v>
                </c:pt>
                <c:pt idx="6">
                  <c:v>gold</c:v>
                </c:pt>
              </c:strCache>
            </c:strRef>
          </c:cat>
          <c:val>
            <c:numRef>
              <c:f>科技消耗!$C$168:$I$168</c:f>
              <c:numCache>
                <c:formatCode>General</c:formatCode>
                <c:ptCount val="7"/>
                <c:pt idx="0">
                  <c:v>37033</c:v>
                </c:pt>
                <c:pt idx="1">
                  <c:v>21786797</c:v>
                </c:pt>
                <c:pt idx="2">
                  <c:v>11866800</c:v>
                </c:pt>
                <c:pt idx="3">
                  <c:v>1943700</c:v>
                </c:pt>
                <c:pt idx="4">
                  <c:v>12787500</c:v>
                </c:pt>
                <c:pt idx="5">
                  <c:v>2352900</c:v>
                </c:pt>
                <c:pt idx="6">
                  <c:v>52991400</c:v>
                </c:pt>
              </c:numCache>
            </c:numRef>
          </c:val>
        </c:ser>
        <c:ser>
          <c:idx val="1"/>
          <c:order val="1"/>
          <c:tx>
            <c:v>building</c:v>
          </c:tx>
          <c:invertIfNegative val="0"/>
          <c:cat>
            <c:strRef>
              <c:f>科技消耗!$C$1:$I$1</c:f>
              <c:strCache>
                <c:ptCount val="7"/>
                <c:pt idx="0">
                  <c:v>instance</c:v>
                </c:pt>
                <c:pt idx="1">
                  <c:v>time</c:v>
                </c:pt>
                <c:pt idx="2">
                  <c:v>ore</c:v>
                </c:pt>
                <c:pt idx="3">
                  <c:v>wood</c:v>
                </c:pt>
                <c:pt idx="4">
                  <c:v>food</c:v>
                </c:pt>
                <c:pt idx="5">
                  <c:v>stone</c:v>
                </c:pt>
                <c:pt idx="6">
                  <c:v>gold</c:v>
                </c:pt>
              </c:strCache>
            </c:strRef>
          </c:cat>
          <c:val>
            <c:numRef>
              <c:f>科技消耗!$C$169:$I$169</c:f>
              <c:numCache>
                <c:formatCode>General</c:formatCode>
                <c:ptCount val="7"/>
                <c:pt idx="0">
                  <c:v>36861</c:v>
                </c:pt>
                <c:pt idx="1">
                  <c:v>12582863.072876338</c:v>
                </c:pt>
                <c:pt idx="2">
                  <c:v>9932175</c:v>
                </c:pt>
                <c:pt idx="3">
                  <c:v>26144256</c:v>
                </c:pt>
                <c:pt idx="4">
                  <c:v>35401543</c:v>
                </c:pt>
                <c:pt idx="5">
                  <c:v>8916651</c:v>
                </c:pt>
                <c:pt idx="6">
                  <c:v>3826133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6098096"/>
        <c:axId val="366096976"/>
      </c:barChart>
      <c:catAx>
        <c:axId val="36609809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crossAx val="366096976"/>
        <c:crosses val="autoZero"/>
        <c:auto val="1"/>
        <c:lblAlgn val="ctr"/>
        <c:lblOffset val="100"/>
        <c:noMultiLvlLbl val="0"/>
      </c:catAx>
      <c:valAx>
        <c:axId val="366096976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3660980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000000000001132" l="0.70000000000000062" r="0.70000000000000062" t="0.75000000000001132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造兵时间!$L$1</c:f>
              <c:strCache>
                <c:ptCount val="1"/>
                <c:pt idx="0">
                  <c:v>v1</c:v>
                </c:pt>
              </c:strCache>
            </c:strRef>
          </c:tx>
          <c:marker>
            <c:symbol val="none"/>
          </c:marker>
          <c:val>
            <c:numRef>
              <c:f>造兵时间!$L$2:$L$101</c:f>
              <c:numCache>
                <c:formatCode>General</c:formatCode>
                <c:ptCount val="100"/>
                <c:pt idx="0">
                  <c:v>0.95000000000000007</c:v>
                </c:pt>
                <c:pt idx="1">
                  <c:v>1</c:v>
                </c:pt>
                <c:pt idx="2">
                  <c:v>1.05</c:v>
                </c:pt>
                <c:pt idx="3">
                  <c:v>1.1000000000000001</c:v>
                </c:pt>
                <c:pt idx="4">
                  <c:v>1.1499999999999999</c:v>
                </c:pt>
                <c:pt idx="5">
                  <c:v>1.2000000000000002</c:v>
                </c:pt>
                <c:pt idx="6">
                  <c:v>1.25</c:v>
                </c:pt>
                <c:pt idx="7">
                  <c:v>1.3</c:v>
                </c:pt>
                <c:pt idx="8">
                  <c:v>1.35</c:v>
                </c:pt>
                <c:pt idx="9">
                  <c:v>1.4</c:v>
                </c:pt>
                <c:pt idx="10">
                  <c:v>1.4500000000000002</c:v>
                </c:pt>
                <c:pt idx="11">
                  <c:v>1.5</c:v>
                </c:pt>
                <c:pt idx="12">
                  <c:v>1.55</c:v>
                </c:pt>
                <c:pt idx="13">
                  <c:v>1.6</c:v>
                </c:pt>
                <c:pt idx="14">
                  <c:v>1.65</c:v>
                </c:pt>
                <c:pt idx="15">
                  <c:v>1.7000000000000002</c:v>
                </c:pt>
                <c:pt idx="16">
                  <c:v>1.75</c:v>
                </c:pt>
                <c:pt idx="17">
                  <c:v>1.8</c:v>
                </c:pt>
                <c:pt idx="18">
                  <c:v>1.85</c:v>
                </c:pt>
                <c:pt idx="19">
                  <c:v>1.9</c:v>
                </c:pt>
                <c:pt idx="20">
                  <c:v>1.9000000000000001</c:v>
                </c:pt>
                <c:pt idx="21">
                  <c:v>2</c:v>
                </c:pt>
                <c:pt idx="22">
                  <c:v>2.1</c:v>
                </c:pt>
                <c:pt idx="23">
                  <c:v>2.2000000000000002</c:v>
                </c:pt>
                <c:pt idx="24">
                  <c:v>2.2999999999999998</c:v>
                </c:pt>
                <c:pt idx="25">
                  <c:v>2.4000000000000004</c:v>
                </c:pt>
                <c:pt idx="26">
                  <c:v>2.5</c:v>
                </c:pt>
                <c:pt idx="27">
                  <c:v>2.6</c:v>
                </c:pt>
                <c:pt idx="28">
                  <c:v>2.7</c:v>
                </c:pt>
                <c:pt idx="29">
                  <c:v>2.8</c:v>
                </c:pt>
                <c:pt idx="30">
                  <c:v>2.9000000000000004</c:v>
                </c:pt>
                <c:pt idx="31">
                  <c:v>3</c:v>
                </c:pt>
                <c:pt idx="32">
                  <c:v>3.1</c:v>
                </c:pt>
                <c:pt idx="33">
                  <c:v>3.2</c:v>
                </c:pt>
                <c:pt idx="34">
                  <c:v>3.3</c:v>
                </c:pt>
                <c:pt idx="35">
                  <c:v>3.4000000000000004</c:v>
                </c:pt>
                <c:pt idx="36">
                  <c:v>3.5</c:v>
                </c:pt>
                <c:pt idx="37">
                  <c:v>3.6</c:v>
                </c:pt>
                <c:pt idx="38">
                  <c:v>3.7</c:v>
                </c:pt>
                <c:pt idx="39">
                  <c:v>3.8</c:v>
                </c:pt>
                <c:pt idx="40">
                  <c:v>2.85</c:v>
                </c:pt>
                <c:pt idx="41">
                  <c:v>3</c:v>
                </c:pt>
                <c:pt idx="42">
                  <c:v>3.1500000000000004</c:v>
                </c:pt>
                <c:pt idx="43">
                  <c:v>3.3000000000000003</c:v>
                </c:pt>
                <c:pt idx="44">
                  <c:v>3.45</c:v>
                </c:pt>
                <c:pt idx="45">
                  <c:v>3.6</c:v>
                </c:pt>
                <c:pt idx="46">
                  <c:v>3.75</c:v>
                </c:pt>
                <c:pt idx="47">
                  <c:v>3.9000000000000004</c:v>
                </c:pt>
                <c:pt idx="48">
                  <c:v>4.0500000000000007</c:v>
                </c:pt>
                <c:pt idx="49">
                  <c:v>4.2</c:v>
                </c:pt>
                <c:pt idx="50">
                  <c:v>4.3500000000000005</c:v>
                </c:pt>
                <c:pt idx="51">
                  <c:v>4.5</c:v>
                </c:pt>
                <c:pt idx="52">
                  <c:v>4.6500000000000004</c:v>
                </c:pt>
                <c:pt idx="53">
                  <c:v>4.8000000000000007</c:v>
                </c:pt>
                <c:pt idx="54">
                  <c:v>4.95</c:v>
                </c:pt>
                <c:pt idx="55">
                  <c:v>5.1000000000000005</c:v>
                </c:pt>
                <c:pt idx="56">
                  <c:v>5.25</c:v>
                </c:pt>
                <c:pt idx="57">
                  <c:v>5.4</c:v>
                </c:pt>
                <c:pt idx="58">
                  <c:v>5.5500000000000007</c:v>
                </c:pt>
                <c:pt idx="59">
                  <c:v>5.7</c:v>
                </c:pt>
                <c:pt idx="60">
                  <c:v>3.8000000000000003</c:v>
                </c:pt>
                <c:pt idx="61">
                  <c:v>4</c:v>
                </c:pt>
                <c:pt idx="62">
                  <c:v>4.2</c:v>
                </c:pt>
                <c:pt idx="63">
                  <c:v>4.4000000000000004</c:v>
                </c:pt>
                <c:pt idx="64">
                  <c:v>4.5999999999999996</c:v>
                </c:pt>
                <c:pt idx="65">
                  <c:v>4.8000000000000007</c:v>
                </c:pt>
                <c:pt idx="66">
                  <c:v>5</c:v>
                </c:pt>
                <c:pt idx="67">
                  <c:v>5.2</c:v>
                </c:pt>
                <c:pt idx="68">
                  <c:v>5.4</c:v>
                </c:pt>
                <c:pt idx="69">
                  <c:v>5.6</c:v>
                </c:pt>
                <c:pt idx="70">
                  <c:v>5.8000000000000007</c:v>
                </c:pt>
                <c:pt idx="71">
                  <c:v>6</c:v>
                </c:pt>
                <c:pt idx="72">
                  <c:v>6.2</c:v>
                </c:pt>
                <c:pt idx="73">
                  <c:v>6.4</c:v>
                </c:pt>
                <c:pt idx="74">
                  <c:v>6.6</c:v>
                </c:pt>
                <c:pt idx="75">
                  <c:v>6.8000000000000007</c:v>
                </c:pt>
                <c:pt idx="76">
                  <c:v>7</c:v>
                </c:pt>
                <c:pt idx="77">
                  <c:v>7.2</c:v>
                </c:pt>
                <c:pt idx="78">
                  <c:v>7.4</c:v>
                </c:pt>
                <c:pt idx="79">
                  <c:v>7.6</c:v>
                </c:pt>
                <c:pt idx="80">
                  <c:v>4.75</c:v>
                </c:pt>
                <c:pt idx="81">
                  <c:v>5</c:v>
                </c:pt>
                <c:pt idx="82">
                  <c:v>5.25</c:v>
                </c:pt>
                <c:pt idx="83">
                  <c:v>5.5</c:v>
                </c:pt>
                <c:pt idx="84">
                  <c:v>5.75</c:v>
                </c:pt>
                <c:pt idx="85">
                  <c:v>6</c:v>
                </c:pt>
                <c:pt idx="86">
                  <c:v>6.25</c:v>
                </c:pt>
                <c:pt idx="87">
                  <c:v>6.5</c:v>
                </c:pt>
                <c:pt idx="88">
                  <c:v>6.75</c:v>
                </c:pt>
                <c:pt idx="89">
                  <c:v>7</c:v>
                </c:pt>
                <c:pt idx="90">
                  <c:v>7.25</c:v>
                </c:pt>
                <c:pt idx="91">
                  <c:v>7.5</c:v>
                </c:pt>
                <c:pt idx="92">
                  <c:v>7.75</c:v>
                </c:pt>
                <c:pt idx="93">
                  <c:v>8</c:v>
                </c:pt>
                <c:pt idx="94">
                  <c:v>8.25</c:v>
                </c:pt>
                <c:pt idx="95">
                  <c:v>8.5</c:v>
                </c:pt>
                <c:pt idx="96">
                  <c:v>8.75</c:v>
                </c:pt>
                <c:pt idx="97">
                  <c:v>9</c:v>
                </c:pt>
                <c:pt idx="98">
                  <c:v>9.25</c:v>
                </c:pt>
                <c:pt idx="99">
                  <c:v>9.5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造兵时间!$M$1</c:f>
              <c:strCache>
                <c:ptCount val="1"/>
                <c:pt idx="0">
                  <c:v>v2</c:v>
                </c:pt>
              </c:strCache>
            </c:strRef>
          </c:tx>
          <c:marker>
            <c:symbol val="none"/>
          </c:marker>
          <c:val>
            <c:numRef>
              <c:f>造兵时间!$M$2:$M$101</c:f>
              <c:numCache>
                <c:formatCode>General</c:formatCode>
                <c:ptCount val="100"/>
                <c:pt idx="0">
                  <c:v>0.95000000000000007</c:v>
                </c:pt>
                <c:pt idx="1">
                  <c:v>1.05</c:v>
                </c:pt>
                <c:pt idx="2">
                  <c:v>1.1500000000000001</c:v>
                </c:pt>
                <c:pt idx="3">
                  <c:v>1.25</c:v>
                </c:pt>
                <c:pt idx="4">
                  <c:v>1.35</c:v>
                </c:pt>
                <c:pt idx="5">
                  <c:v>1.4500000000000002</c:v>
                </c:pt>
                <c:pt idx="6">
                  <c:v>1.5500000000000003</c:v>
                </c:pt>
                <c:pt idx="7">
                  <c:v>1.6500000000000001</c:v>
                </c:pt>
                <c:pt idx="8">
                  <c:v>1.75</c:v>
                </c:pt>
                <c:pt idx="9">
                  <c:v>1.85</c:v>
                </c:pt>
                <c:pt idx="10">
                  <c:v>1.9500000000000002</c:v>
                </c:pt>
                <c:pt idx="11">
                  <c:v>2.0500000000000003</c:v>
                </c:pt>
                <c:pt idx="12">
                  <c:v>2.1500000000000004</c:v>
                </c:pt>
                <c:pt idx="13">
                  <c:v>2.25</c:v>
                </c:pt>
                <c:pt idx="14">
                  <c:v>2.35</c:v>
                </c:pt>
                <c:pt idx="15">
                  <c:v>2.4500000000000002</c:v>
                </c:pt>
                <c:pt idx="16">
                  <c:v>2.5500000000000003</c:v>
                </c:pt>
                <c:pt idx="17">
                  <c:v>2.6500000000000004</c:v>
                </c:pt>
                <c:pt idx="18">
                  <c:v>2.75</c:v>
                </c:pt>
                <c:pt idx="19">
                  <c:v>2.85</c:v>
                </c:pt>
                <c:pt idx="20">
                  <c:v>1.45</c:v>
                </c:pt>
                <c:pt idx="21">
                  <c:v>1.65</c:v>
                </c:pt>
                <c:pt idx="22">
                  <c:v>1.85</c:v>
                </c:pt>
                <c:pt idx="23">
                  <c:v>2.0499999999999998</c:v>
                </c:pt>
                <c:pt idx="24">
                  <c:v>2.25</c:v>
                </c:pt>
                <c:pt idx="25">
                  <c:v>2.4500000000000002</c:v>
                </c:pt>
                <c:pt idx="26">
                  <c:v>2.6500000000000004</c:v>
                </c:pt>
                <c:pt idx="27">
                  <c:v>2.85</c:v>
                </c:pt>
                <c:pt idx="28">
                  <c:v>3.05</c:v>
                </c:pt>
                <c:pt idx="29">
                  <c:v>3.25</c:v>
                </c:pt>
                <c:pt idx="30">
                  <c:v>3.45</c:v>
                </c:pt>
                <c:pt idx="31">
                  <c:v>3.6500000000000004</c:v>
                </c:pt>
                <c:pt idx="32">
                  <c:v>3.85</c:v>
                </c:pt>
                <c:pt idx="33">
                  <c:v>4.0500000000000007</c:v>
                </c:pt>
                <c:pt idx="34">
                  <c:v>4.25</c:v>
                </c:pt>
                <c:pt idx="35">
                  <c:v>4.45</c:v>
                </c:pt>
                <c:pt idx="36">
                  <c:v>4.6500000000000004</c:v>
                </c:pt>
                <c:pt idx="37">
                  <c:v>4.8499999999999996</c:v>
                </c:pt>
                <c:pt idx="38">
                  <c:v>5.0500000000000007</c:v>
                </c:pt>
                <c:pt idx="39">
                  <c:v>5.25</c:v>
                </c:pt>
                <c:pt idx="40">
                  <c:v>1.9500000000000002</c:v>
                </c:pt>
                <c:pt idx="41">
                  <c:v>2.25</c:v>
                </c:pt>
                <c:pt idx="42">
                  <c:v>2.5500000000000003</c:v>
                </c:pt>
                <c:pt idx="43">
                  <c:v>2.8500000000000005</c:v>
                </c:pt>
                <c:pt idx="44">
                  <c:v>3.1500000000000004</c:v>
                </c:pt>
                <c:pt idx="45">
                  <c:v>3.45</c:v>
                </c:pt>
                <c:pt idx="46">
                  <c:v>3.75</c:v>
                </c:pt>
                <c:pt idx="47">
                  <c:v>4.0500000000000007</c:v>
                </c:pt>
                <c:pt idx="48">
                  <c:v>4.3500000000000005</c:v>
                </c:pt>
                <c:pt idx="49">
                  <c:v>4.6500000000000004</c:v>
                </c:pt>
                <c:pt idx="50">
                  <c:v>4.95</c:v>
                </c:pt>
                <c:pt idx="51">
                  <c:v>5.25</c:v>
                </c:pt>
                <c:pt idx="52">
                  <c:v>5.5500000000000007</c:v>
                </c:pt>
                <c:pt idx="53">
                  <c:v>5.8500000000000005</c:v>
                </c:pt>
                <c:pt idx="54">
                  <c:v>6.15</c:v>
                </c:pt>
                <c:pt idx="55">
                  <c:v>6.4500000000000011</c:v>
                </c:pt>
                <c:pt idx="56">
                  <c:v>6.7500000000000009</c:v>
                </c:pt>
                <c:pt idx="57">
                  <c:v>7.0500000000000007</c:v>
                </c:pt>
                <c:pt idx="58">
                  <c:v>7.3500000000000005</c:v>
                </c:pt>
                <c:pt idx="59">
                  <c:v>7.65</c:v>
                </c:pt>
                <c:pt idx="60">
                  <c:v>2.4500000000000002</c:v>
                </c:pt>
                <c:pt idx="61">
                  <c:v>2.8500000000000005</c:v>
                </c:pt>
                <c:pt idx="62">
                  <c:v>3.2500000000000004</c:v>
                </c:pt>
                <c:pt idx="63">
                  <c:v>3.6500000000000004</c:v>
                </c:pt>
                <c:pt idx="64">
                  <c:v>4.0500000000000007</c:v>
                </c:pt>
                <c:pt idx="65">
                  <c:v>4.4500000000000011</c:v>
                </c:pt>
                <c:pt idx="66">
                  <c:v>4.8500000000000005</c:v>
                </c:pt>
                <c:pt idx="67">
                  <c:v>5.25</c:v>
                </c:pt>
                <c:pt idx="68">
                  <c:v>5.65</c:v>
                </c:pt>
                <c:pt idx="69">
                  <c:v>6.0500000000000007</c:v>
                </c:pt>
                <c:pt idx="70">
                  <c:v>6.4500000000000011</c:v>
                </c:pt>
                <c:pt idx="71">
                  <c:v>6.8500000000000014</c:v>
                </c:pt>
                <c:pt idx="72">
                  <c:v>7.25</c:v>
                </c:pt>
                <c:pt idx="73">
                  <c:v>7.65</c:v>
                </c:pt>
                <c:pt idx="74">
                  <c:v>8.0500000000000007</c:v>
                </c:pt>
                <c:pt idx="75">
                  <c:v>8.4500000000000011</c:v>
                </c:pt>
                <c:pt idx="76">
                  <c:v>8.8500000000000014</c:v>
                </c:pt>
                <c:pt idx="77">
                  <c:v>9.25</c:v>
                </c:pt>
                <c:pt idx="78">
                  <c:v>9.65</c:v>
                </c:pt>
                <c:pt idx="79">
                  <c:v>10.050000000000001</c:v>
                </c:pt>
                <c:pt idx="80">
                  <c:v>2.95</c:v>
                </c:pt>
                <c:pt idx="81">
                  <c:v>3.45</c:v>
                </c:pt>
                <c:pt idx="82">
                  <c:v>3.95</c:v>
                </c:pt>
                <c:pt idx="83">
                  <c:v>4.45</c:v>
                </c:pt>
                <c:pt idx="84">
                  <c:v>4.95</c:v>
                </c:pt>
                <c:pt idx="85">
                  <c:v>5.45</c:v>
                </c:pt>
                <c:pt idx="86">
                  <c:v>5.95</c:v>
                </c:pt>
                <c:pt idx="87">
                  <c:v>6.45</c:v>
                </c:pt>
                <c:pt idx="88">
                  <c:v>6.95</c:v>
                </c:pt>
                <c:pt idx="89">
                  <c:v>7.45</c:v>
                </c:pt>
                <c:pt idx="90">
                  <c:v>7.95</c:v>
                </c:pt>
                <c:pt idx="91">
                  <c:v>8.4499999999999993</c:v>
                </c:pt>
                <c:pt idx="92">
                  <c:v>8.9499999999999993</c:v>
                </c:pt>
                <c:pt idx="93">
                  <c:v>9.4499999999999993</c:v>
                </c:pt>
                <c:pt idx="94">
                  <c:v>9.9499999999999993</c:v>
                </c:pt>
                <c:pt idx="95">
                  <c:v>10.45</c:v>
                </c:pt>
                <c:pt idx="96">
                  <c:v>10.95</c:v>
                </c:pt>
                <c:pt idx="97">
                  <c:v>11.45</c:v>
                </c:pt>
                <c:pt idx="98">
                  <c:v>11.95</c:v>
                </c:pt>
                <c:pt idx="99">
                  <c:v>12.45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6104256"/>
        <c:axId val="366104816"/>
      </c:lineChart>
      <c:catAx>
        <c:axId val="366104256"/>
        <c:scaling>
          <c:orientation val="minMax"/>
        </c:scaling>
        <c:delete val="0"/>
        <c:axPos val="b"/>
        <c:majorTickMark val="out"/>
        <c:minorTickMark val="none"/>
        <c:tickLblPos val="nextTo"/>
        <c:crossAx val="366104816"/>
        <c:crosses val="autoZero"/>
        <c:auto val="1"/>
        <c:lblAlgn val="ctr"/>
        <c:lblOffset val="100"/>
        <c:noMultiLvlLbl val="0"/>
      </c:catAx>
      <c:valAx>
        <c:axId val="3661048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661042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造兵时间!$N$1</c:f>
              <c:strCache>
                <c:ptCount val="1"/>
                <c:pt idx="0">
                  <c:v>v1时间</c:v>
                </c:pt>
              </c:strCache>
            </c:strRef>
          </c:tx>
          <c:marker>
            <c:symbol val="none"/>
          </c:marker>
          <c:val>
            <c:numRef>
              <c:f>造兵时间!$N$2:$N$921</c:f>
              <c:numCache>
                <c:formatCode>General</c:formatCode>
                <c:ptCount val="920"/>
                <c:pt idx="0">
                  <c:v>1.0526315789473684</c:v>
                </c:pt>
                <c:pt idx="1">
                  <c:v>1</c:v>
                </c:pt>
                <c:pt idx="2">
                  <c:v>0.95238095238095233</c:v>
                </c:pt>
                <c:pt idx="3">
                  <c:v>0.90909090909090906</c:v>
                </c:pt>
                <c:pt idx="4">
                  <c:v>0.86956521739130443</c:v>
                </c:pt>
                <c:pt idx="5">
                  <c:v>0.83333333333333326</c:v>
                </c:pt>
                <c:pt idx="6">
                  <c:v>0.8</c:v>
                </c:pt>
                <c:pt idx="7">
                  <c:v>0.76923076923076916</c:v>
                </c:pt>
                <c:pt idx="8">
                  <c:v>0.7407407407407407</c:v>
                </c:pt>
                <c:pt idx="9">
                  <c:v>0.7142857142857143</c:v>
                </c:pt>
                <c:pt idx="10">
                  <c:v>0.68965517241379304</c:v>
                </c:pt>
                <c:pt idx="11">
                  <c:v>0.66666666666666663</c:v>
                </c:pt>
                <c:pt idx="12">
                  <c:v>0.64516129032258063</c:v>
                </c:pt>
                <c:pt idx="13">
                  <c:v>0.625</c:v>
                </c:pt>
                <c:pt idx="14">
                  <c:v>0.60606060606060608</c:v>
                </c:pt>
                <c:pt idx="15">
                  <c:v>0.58823529411764697</c:v>
                </c:pt>
                <c:pt idx="16">
                  <c:v>0.5714285714285714</c:v>
                </c:pt>
                <c:pt idx="17">
                  <c:v>0.55555555555555558</c:v>
                </c:pt>
                <c:pt idx="18">
                  <c:v>0.54054054054054046</c:v>
                </c:pt>
                <c:pt idx="19">
                  <c:v>0.52631578947368418</c:v>
                </c:pt>
                <c:pt idx="20">
                  <c:v>0.52631578947368418</c:v>
                </c:pt>
                <c:pt idx="21">
                  <c:v>0.5</c:v>
                </c:pt>
                <c:pt idx="22">
                  <c:v>0.47619047619047616</c:v>
                </c:pt>
                <c:pt idx="23">
                  <c:v>0.45454545454545453</c:v>
                </c:pt>
                <c:pt idx="24">
                  <c:v>0.43478260869565222</c:v>
                </c:pt>
                <c:pt idx="25">
                  <c:v>0.41666666666666663</c:v>
                </c:pt>
                <c:pt idx="26">
                  <c:v>0.4</c:v>
                </c:pt>
                <c:pt idx="27">
                  <c:v>0.38461538461538458</c:v>
                </c:pt>
                <c:pt idx="28">
                  <c:v>0.37037037037037035</c:v>
                </c:pt>
                <c:pt idx="29">
                  <c:v>0.35714285714285715</c:v>
                </c:pt>
                <c:pt idx="30">
                  <c:v>0.34482758620689652</c:v>
                </c:pt>
                <c:pt idx="31">
                  <c:v>0.33333333333333331</c:v>
                </c:pt>
                <c:pt idx="32">
                  <c:v>0.32258064516129031</c:v>
                </c:pt>
                <c:pt idx="33">
                  <c:v>0.3125</c:v>
                </c:pt>
                <c:pt idx="34">
                  <c:v>0.30303030303030304</c:v>
                </c:pt>
                <c:pt idx="35">
                  <c:v>0.29411764705882348</c:v>
                </c:pt>
                <c:pt idx="36">
                  <c:v>0.2857142857142857</c:v>
                </c:pt>
                <c:pt idx="37">
                  <c:v>0.27777777777777779</c:v>
                </c:pt>
                <c:pt idx="38">
                  <c:v>0.27027027027027023</c:v>
                </c:pt>
                <c:pt idx="39">
                  <c:v>0.26315789473684209</c:v>
                </c:pt>
                <c:pt idx="40">
                  <c:v>0.35087719298245612</c:v>
                </c:pt>
                <c:pt idx="41">
                  <c:v>0.33333333333333331</c:v>
                </c:pt>
                <c:pt idx="42">
                  <c:v>0.31746031746031744</c:v>
                </c:pt>
                <c:pt idx="43">
                  <c:v>0.30303030303030298</c:v>
                </c:pt>
                <c:pt idx="44">
                  <c:v>0.28985507246376813</c:v>
                </c:pt>
                <c:pt idx="45">
                  <c:v>0.27777777777777779</c:v>
                </c:pt>
                <c:pt idx="46">
                  <c:v>0.26666666666666666</c:v>
                </c:pt>
                <c:pt idx="47">
                  <c:v>0.25641025641025639</c:v>
                </c:pt>
                <c:pt idx="48">
                  <c:v>0.24691358024691354</c:v>
                </c:pt>
                <c:pt idx="49">
                  <c:v>0.23809523809523808</c:v>
                </c:pt>
                <c:pt idx="50">
                  <c:v>0.22988505747126434</c:v>
                </c:pt>
                <c:pt idx="51">
                  <c:v>0.22222222222222221</c:v>
                </c:pt>
                <c:pt idx="52">
                  <c:v>0.21505376344086019</c:v>
                </c:pt>
                <c:pt idx="53">
                  <c:v>0.20833333333333331</c:v>
                </c:pt>
                <c:pt idx="54">
                  <c:v>0.20202020202020202</c:v>
                </c:pt>
                <c:pt idx="55">
                  <c:v>0.19607843137254899</c:v>
                </c:pt>
                <c:pt idx="56">
                  <c:v>0.19047619047619047</c:v>
                </c:pt>
                <c:pt idx="57">
                  <c:v>0.18518518518518517</c:v>
                </c:pt>
                <c:pt idx="58">
                  <c:v>0.18018018018018014</c:v>
                </c:pt>
                <c:pt idx="59">
                  <c:v>0.17543859649122806</c:v>
                </c:pt>
                <c:pt idx="60">
                  <c:v>0.26315789473684209</c:v>
                </c:pt>
                <c:pt idx="61">
                  <c:v>0.25</c:v>
                </c:pt>
                <c:pt idx="62">
                  <c:v>0.23809523809523808</c:v>
                </c:pt>
                <c:pt idx="63">
                  <c:v>0.22727272727272727</c:v>
                </c:pt>
                <c:pt idx="64">
                  <c:v>0.21739130434782611</c:v>
                </c:pt>
                <c:pt idx="65">
                  <c:v>0.20833333333333331</c:v>
                </c:pt>
                <c:pt idx="66">
                  <c:v>0.2</c:v>
                </c:pt>
                <c:pt idx="67">
                  <c:v>0.19230769230769229</c:v>
                </c:pt>
                <c:pt idx="68">
                  <c:v>0.18518518518518517</c:v>
                </c:pt>
                <c:pt idx="69">
                  <c:v>0.17857142857142858</c:v>
                </c:pt>
                <c:pt idx="70">
                  <c:v>0.17241379310344826</c:v>
                </c:pt>
                <c:pt idx="71">
                  <c:v>0.16666666666666666</c:v>
                </c:pt>
                <c:pt idx="72">
                  <c:v>0.16129032258064516</c:v>
                </c:pt>
                <c:pt idx="73">
                  <c:v>0.15625</c:v>
                </c:pt>
                <c:pt idx="74">
                  <c:v>0.15151515151515152</c:v>
                </c:pt>
                <c:pt idx="75">
                  <c:v>0.14705882352941174</c:v>
                </c:pt>
                <c:pt idx="76">
                  <c:v>0.14285714285714285</c:v>
                </c:pt>
                <c:pt idx="77">
                  <c:v>0.1388888888888889</c:v>
                </c:pt>
                <c:pt idx="78">
                  <c:v>0.13513513513513511</c:v>
                </c:pt>
                <c:pt idx="79">
                  <c:v>0.13157894736842105</c:v>
                </c:pt>
                <c:pt idx="80">
                  <c:v>0.21052631578947367</c:v>
                </c:pt>
                <c:pt idx="81">
                  <c:v>0.2</c:v>
                </c:pt>
                <c:pt idx="82">
                  <c:v>0.19047619047619047</c:v>
                </c:pt>
                <c:pt idx="83">
                  <c:v>0.18181818181818182</c:v>
                </c:pt>
                <c:pt idx="84">
                  <c:v>0.17391304347826086</c:v>
                </c:pt>
                <c:pt idx="85">
                  <c:v>0.16666666666666666</c:v>
                </c:pt>
                <c:pt idx="86">
                  <c:v>0.16</c:v>
                </c:pt>
                <c:pt idx="87">
                  <c:v>0.15384615384615385</c:v>
                </c:pt>
                <c:pt idx="88">
                  <c:v>0.14814814814814814</c:v>
                </c:pt>
                <c:pt idx="89">
                  <c:v>0.14285714285714285</c:v>
                </c:pt>
                <c:pt idx="90">
                  <c:v>0.13793103448275862</c:v>
                </c:pt>
                <c:pt idx="91">
                  <c:v>0.13333333333333333</c:v>
                </c:pt>
                <c:pt idx="92">
                  <c:v>0.12903225806451613</c:v>
                </c:pt>
                <c:pt idx="93">
                  <c:v>0.125</c:v>
                </c:pt>
                <c:pt idx="94">
                  <c:v>0.12121212121212122</c:v>
                </c:pt>
                <c:pt idx="95">
                  <c:v>0.11764705882352941</c:v>
                </c:pt>
                <c:pt idx="96">
                  <c:v>0.11428571428571428</c:v>
                </c:pt>
                <c:pt idx="97">
                  <c:v>0.1111111111111111</c:v>
                </c:pt>
                <c:pt idx="98">
                  <c:v>0.10810810810810811</c:v>
                </c:pt>
                <c:pt idx="99">
                  <c:v>0.10526315789473684</c:v>
                </c:pt>
                <c:pt idx="100">
                  <c:v>0.17543859649122806</c:v>
                </c:pt>
                <c:pt idx="101">
                  <c:v>0.16666666666666666</c:v>
                </c:pt>
                <c:pt idx="102">
                  <c:v>0.15873015873015872</c:v>
                </c:pt>
                <c:pt idx="103">
                  <c:v>0.15151515151515149</c:v>
                </c:pt>
                <c:pt idx="104">
                  <c:v>0.14492753623188406</c:v>
                </c:pt>
                <c:pt idx="105">
                  <c:v>0.1388888888888889</c:v>
                </c:pt>
                <c:pt idx="106">
                  <c:v>0.13333333333333333</c:v>
                </c:pt>
                <c:pt idx="107">
                  <c:v>0.12820512820512819</c:v>
                </c:pt>
                <c:pt idx="108">
                  <c:v>0.12345679012345677</c:v>
                </c:pt>
                <c:pt idx="109">
                  <c:v>0.11904761904761904</c:v>
                </c:pt>
                <c:pt idx="110">
                  <c:v>0.11494252873563217</c:v>
                </c:pt>
                <c:pt idx="111">
                  <c:v>0.1111111111111111</c:v>
                </c:pt>
                <c:pt idx="112">
                  <c:v>0.1075268817204301</c:v>
                </c:pt>
                <c:pt idx="113">
                  <c:v>0.10416666666666666</c:v>
                </c:pt>
                <c:pt idx="114">
                  <c:v>0.10101010101010101</c:v>
                </c:pt>
                <c:pt idx="115">
                  <c:v>9.8039215686274495E-2</c:v>
                </c:pt>
                <c:pt idx="116">
                  <c:v>9.5238095238095233E-2</c:v>
                </c:pt>
                <c:pt idx="117">
                  <c:v>9.2592592592592587E-2</c:v>
                </c:pt>
                <c:pt idx="118">
                  <c:v>9.0090090090090072E-2</c:v>
                </c:pt>
                <c:pt idx="119">
                  <c:v>8.771929824561403E-2</c:v>
                </c:pt>
                <c:pt idx="120">
                  <c:v>0.15037593984962408</c:v>
                </c:pt>
                <c:pt idx="121">
                  <c:v>0.14285714285714285</c:v>
                </c:pt>
                <c:pt idx="122">
                  <c:v>0.1360544217687075</c:v>
                </c:pt>
                <c:pt idx="123">
                  <c:v>0.12987012987012986</c:v>
                </c:pt>
                <c:pt idx="124">
                  <c:v>0.12422360248447203</c:v>
                </c:pt>
                <c:pt idx="125">
                  <c:v>0.11904761904761904</c:v>
                </c:pt>
                <c:pt idx="126">
                  <c:v>0.11428571428571428</c:v>
                </c:pt>
                <c:pt idx="127">
                  <c:v>0.10989010989010989</c:v>
                </c:pt>
                <c:pt idx="128">
                  <c:v>0.10582010582010583</c:v>
                </c:pt>
                <c:pt idx="129">
                  <c:v>0.1020408163265306</c:v>
                </c:pt>
                <c:pt idx="130">
                  <c:v>9.852216748768472E-2</c:v>
                </c:pt>
                <c:pt idx="131">
                  <c:v>9.5238095238095233E-2</c:v>
                </c:pt>
                <c:pt idx="132">
                  <c:v>9.2165898617511524E-2</c:v>
                </c:pt>
                <c:pt idx="133">
                  <c:v>8.9285714285714288E-2</c:v>
                </c:pt>
                <c:pt idx="134">
                  <c:v>8.6580086580086577E-2</c:v>
                </c:pt>
                <c:pt idx="135">
                  <c:v>8.4033613445378144E-2</c:v>
                </c:pt>
                <c:pt idx="136">
                  <c:v>8.1632653061224483E-2</c:v>
                </c:pt>
                <c:pt idx="137">
                  <c:v>7.9365079365079361E-2</c:v>
                </c:pt>
                <c:pt idx="138">
                  <c:v>7.7220077220077218E-2</c:v>
                </c:pt>
                <c:pt idx="139">
                  <c:v>7.5187969924812026E-2</c:v>
                </c:pt>
                <c:pt idx="140">
                  <c:v>0.13157894736842105</c:v>
                </c:pt>
                <c:pt idx="141">
                  <c:v>0.125</c:v>
                </c:pt>
                <c:pt idx="142">
                  <c:v>0.11904761904761904</c:v>
                </c:pt>
                <c:pt idx="143">
                  <c:v>0.11363636363636363</c:v>
                </c:pt>
                <c:pt idx="144">
                  <c:v>0.10869565217391305</c:v>
                </c:pt>
                <c:pt idx="145">
                  <c:v>0.10416666666666666</c:v>
                </c:pt>
                <c:pt idx="146">
                  <c:v>0.1</c:v>
                </c:pt>
                <c:pt idx="147">
                  <c:v>9.6153846153846145E-2</c:v>
                </c:pt>
                <c:pt idx="148">
                  <c:v>9.2592592592592587E-2</c:v>
                </c:pt>
                <c:pt idx="149">
                  <c:v>8.9285714285714288E-2</c:v>
                </c:pt>
                <c:pt idx="150">
                  <c:v>8.620689655172413E-2</c:v>
                </c:pt>
                <c:pt idx="151">
                  <c:v>8.3333333333333329E-2</c:v>
                </c:pt>
                <c:pt idx="152">
                  <c:v>8.0645161290322578E-2</c:v>
                </c:pt>
                <c:pt idx="153">
                  <c:v>7.8125E-2</c:v>
                </c:pt>
                <c:pt idx="154">
                  <c:v>7.575757575757576E-2</c:v>
                </c:pt>
                <c:pt idx="155">
                  <c:v>7.3529411764705871E-2</c:v>
                </c:pt>
                <c:pt idx="156">
                  <c:v>7.1428571428571425E-2</c:v>
                </c:pt>
                <c:pt idx="157">
                  <c:v>6.9444444444444448E-2</c:v>
                </c:pt>
                <c:pt idx="158">
                  <c:v>6.7567567567567557E-2</c:v>
                </c:pt>
                <c:pt idx="159">
                  <c:v>6.5789473684210523E-2</c:v>
                </c:pt>
                <c:pt idx="160">
                  <c:v>0.1169590643274854</c:v>
                </c:pt>
                <c:pt idx="161">
                  <c:v>0.1111111111111111</c:v>
                </c:pt>
                <c:pt idx="162">
                  <c:v>0.10582010582010583</c:v>
                </c:pt>
                <c:pt idx="163">
                  <c:v>0.10101010101010101</c:v>
                </c:pt>
                <c:pt idx="164">
                  <c:v>9.6618357487922704E-2</c:v>
                </c:pt>
                <c:pt idx="165">
                  <c:v>9.2592592592592587E-2</c:v>
                </c:pt>
                <c:pt idx="166">
                  <c:v>8.8888888888888892E-2</c:v>
                </c:pt>
                <c:pt idx="167">
                  <c:v>8.5470085470085472E-2</c:v>
                </c:pt>
                <c:pt idx="168">
                  <c:v>8.2304526748971207E-2</c:v>
                </c:pt>
                <c:pt idx="169">
                  <c:v>7.9365079365079361E-2</c:v>
                </c:pt>
                <c:pt idx="170">
                  <c:v>7.662835249042145E-2</c:v>
                </c:pt>
                <c:pt idx="171">
                  <c:v>7.407407407407407E-2</c:v>
                </c:pt>
                <c:pt idx="172">
                  <c:v>7.1684587813620082E-2</c:v>
                </c:pt>
                <c:pt idx="173">
                  <c:v>6.9444444444444448E-2</c:v>
                </c:pt>
                <c:pt idx="174">
                  <c:v>6.7340067340067339E-2</c:v>
                </c:pt>
                <c:pt idx="175">
                  <c:v>6.535947712418301E-2</c:v>
                </c:pt>
                <c:pt idx="176">
                  <c:v>6.3492063492063489E-2</c:v>
                </c:pt>
                <c:pt idx="177">
                  <c:v>6.1728395061728399E-2</c:v>
                </c:pt>
                <c:pt idx="178">
                  <c:v>6.0060060060060066E-2</c:v>
                </c:pt>
                <c:pt idx="179">
                  <c:v>5.8479532163742687E-2</c:v>
                </c:pt>
                <c:pt idx="180">
                  <c:v>0.10526315789473684</c:v>
                </c:pt>
                <c:pt idx="181">
                  <c:v>0.1</c:v>
                </c:pt>
                <c:pt idx="182">
                  <c:v>9.5238095238095233E-2</c:v>
                </c:pt>
                <c:pt idx="183">
                  <c:v>9.0909090909090912E-2</c:v>
                </c:pt>
                <c:pt idx="184">
                  <c:v>8.6956521739130432E-2</c:v>
                </c:pt>
                <c:pt idx="185">
                  <c:v>8.3333333333333329E-2</c:v>
                </c:pt>
                <c:pt idx="186">
                  <c:v>0.08</c:v>
                </c:pt>
                <c:pt idx="187">
                  <c:v>7.6923076923076927E-2</c:v>
                </c:pt>
                <c:pt idx="188">
                  <c:v>7.407407407407407E-2</c:v>
                </c:pt>
                <c:pt idx="189">
                  <c:v>7.1428571428571425E-2</c:v>
                </c:pt>
                <c:pt idx="190">
                  <c:v>6.8965517241379309E-2</c:v>
                </c:pt>
                <c:pt idx="191">
                  <c:v>6.6666666666666666E-2</c:v>
                </c:pt>
                <c:pt idx="192">
                  <c:v>6.4516129032258063E-2</c:v>
                </c:pt>
                <c:pt idx="193">
                  <c:v>6.25E-2</c:v>
                </c:pt>
                <c:pt idx="194">
                  <c:v>6.0606060606060608E-2</c:v>
                </c:pt>
                <c:pt idx="195">
                  <c:v>5.8823529411764705E-2</c:v>
                </c:pt>
                <c:pt idx="196">
                  <c:v>5.7142857142857141E-2</c:v>
                </c:pt>
                <c:pt idx="197">
                  <c:v>5.5555555555555552E-2</c:v>
                </c:pt>
                <c:pt idx="198">
                  <c:v>5.4054054054054057E-2</c:v>
                </c:pt>
                <c:pt idx="199">
                  <c:v>5.2631578947368418E-2</c:v>
                </c:pt>
                <c:pt idx="200">
                  <c:v>9.5693779904306206E-2</c:v>
                </c:pt>
                <c:pt idx="201">
                  <c:v>9.0909090909090912E-2</c:v>
                </c:pt>
                <c:pt idx="202">
                  <c:v>8.6580086580086577E-2</c:v>
                </c:pt>
                <c:pt idx="203">
                  <c:v>8.2644628099173542E-2</c:v>
                </c:pt>
                <c:pt idx="204">
                  <c:v>7.9051383399209488E-2</c:v>
                </c:pt>
                <c:pt idx="205">
                  <c:v>7.5757575757575746E-2</c:v>
                </c:pt>
                <c:pt idx="206">
                  <c:v>7.2727272727272724E-2</c:v>
                </c:pt>
                <c:pt idx="207">
                  <c:v>6.9930069930069921E-2</c:v>
                </c:pt>
                <c:pt idx="208">
                  <c:v>6.7340067340067339E-2</c:v>
                </c:pt>
                <c:pt idx="209">
                  <c:v>6.4935064935064929E-2</c:v>
                </c:pt>
                <c:pt idx="210">
                  <c:v>6.2695924764890276E-2</c:v>
                </c:pt>
                <c:pt idx="211">
                  <c:v>6.0606060606060608E-2</c:v>
                </c:pt>
                <c:pt idx="212">
                  <c:v>5.8651026392961873E-2</c:v>
                </c:pt>
                <c:pt idx="213">
                  <c:v>5.6818181818181816E-2</c:v>
                </c:pt>
                <c:pt idx="214">
                  <c:v>5.5096418732782371E-2</c:v>
                </c:pt>
                <c:pt idx="215">
                  <c:v>5.3475935828876997E-2</c:v>
                </c:pt>
                <c:pt idx="216">
                  <c:v>5.1948051948051951E-2</c:v>
                </c:pt>
                <c:pt idx="217">
                  <c:v>5.0505050505050504E-2</c:v>
                </c:pt>
                <c:pt idx="218">
                  <c:v>4.9140049140049137E-2</c:v>
                </c:pt>
                <c:pt idx="219">
                  <c:v>4.784688995215311E-2</c:v>
                </c:pt>
                <c:pt idx="220">
                  <c:v>8.771929824561403E-2</c:v>
                </c:pt>
                <c:pt idx="221">
                  <c:v>8.3333333333333329E-2</c:v>
                </c:pt>
                <c:pt idx="222">
                  <c:v>7.9365079365079361E-2</c:v>
                </c:pt>
                <c:pt idx="223">
                  <c:v>7.5757575757575746E-2</c:v>
                </c:pt>
                <c:pt idx="224">
                  <c:v>7.2463768115942032E-2</c:v>
                </c:pt>
                <c:pt idx="225">
                  <c:v>6.9444444444444448E-2</c:v>
                </c:pt>
                <c:pt idx="226">
                  <c:v>6.6666666666666666E-2</c:v>
                </c:pt>
                <c:pt idx="227">
                  <c:v>6.4102564102564097E-2</c:v>
                </c:pt>
                <c:pt idx="228">
                  <c:v>6.1728395061728385E-2</c:v>
                </c:pt>
                <c:pt idx="229">
                  <c:v>5.9523809523809521E-2</c:v>
                </c:pt>
                <c:pt idx="230">
                  <c:v>5.7471264367816084E-2</c:v>
                </c:pt>
                <c:pt idx="231">
                  <c:v>5.5555555555555552E-2</c:v>
                </c:pt>
                <c:pt idx="232">
                  <c:v>5.3763440860215048E-2</c:v>
                </c:pt>
                <c:pt idx="233">
                  <c:v>5.2083333333333329E-2</c:v>
                </c:pt>
                <c:pt idx="234">
                  <c:v>5.0505050505050504E-2</c:v>
                </c:pt>
                <c:pt idx="235">
                  <c:v>4.9019607843137247E-2</c:v>
                </c:pt>
                <c:pt idx="236">
                  <c:v>4.7619047619047616E-2</c:v>
                </c:pt>
                <c:pt idx="237">
                  <c:v>4.6296296296296294E-2</c:v>
                </c:pt>
                <c:pt idx="238">
                  <c:v>4.5045045045045036E-2</c:v>
                </c:pt>
                <c:pt idx="239">
                  <c:v>4.3859649122807015E-2</c:v>
                </c:pt>
                <c:pt idx="240">
                  <c:v>8.0971659919028327E-2</c:v>
                </c:pt>
                <c:pt idx="241">
                  <c:v>7.6923076923076913E-2</c:v>
                </c:pt>
                <c:pt idx="242">
                  <c:v>7.326007326007325E-2</c:v>
                </c:pt>
                <c:pt idx="243">
                  <c:v>6.9930069930069921E-2</c:v>
                </c:pt>
                <c:pt idx="244">
                  <c:v>6.6889632107023408E-2</c:v>
                </c:pt>
                <c:pt idx="245">
                  <c:v>6.4102564102564097E-2</c:v>
                </c:pt>
                <c:pt idx="246">
                  <c:v>6.1538461538461542E-2</c:v>
                </c:pt>
                <c:pt idx="247">
                  <c:v>5.9171597633136085E-2</c:v>
                </c:pt>
                <c:pt idx="248">
                  <c:v>5.6980056980056981E-2</c:v>
                </c:pt>
                <c:pt idx="249">
                  <c:v>5.4945054945054937E-2</c:v>
                </c:pt>
                <c:pt idx="250">
                  <c:v>5.305039787798408E-2</c:v>
                </c:pt>
                <c:pt idx="251">
                  <c:v>5.128205128205128E-2</c:v>
                </c:pt>
                <c:pt idx="252">
                  <c:v>4.9627791563275431E-2</c:v>
                </c:pt>
                <c:pt idx="253">
                  <c:v>4.8076923076923073E-2</c:v>
                </c:pt>
                <c:pt idx="254">
                  <c:v>4.6620046620046617E-2</c:v>
                </c:pt>
                <c:pt idx="255">
                  <c:v>4.5248868778280542E-2</c:v>
                </c:pt>
                <c:pt idx="256">
                  <c:v>4.3956043956043959E-2</c:v>
                </c:pt>
                <c:pt idx="257">
                  <c:v>4.2735042735042729E-2</c:v>
                </c:pt>
                <c:pt idx="258">
                  <c:v>4.1580041580041575E-2</c:v>
                </c:pt>
                <c:pt idx="259">
                  <c:v>4.0485829959514164E-2</c:v>
                </c:pt>
                <c:pt idx="260">
                  <c:v>7.518796992481204E-2</c:v>
                </c:pt>
                <c:pt idx="261">
                  <c:v>7.1428571428571425E-2</c:v>
                </c:pt>
                <c:pt idx="262">
                  <c:v>6.8027210884353748E-2</c:v>
                </c:pt>
                <c:pt idx="263">
                  <c:v>6.4935064935064929E-2</c:v>
                </c:pt>
                <c:pt idx="264">
                  <c:v>6.2111801242236017E-2</c:v>
                </c:pt>
                <c:pt idx="265">
                  <c:v>5.9523809523809521E-2</c:v>
                </c:pt>
                <c:pt idx="266">
                  <c:v>5.7142857142857141E-2</c:v>
                </c:pt>
                <c:pt idx="267">
                  <c:v>5.4945054945054944E-2</c:v>
                </c:pt>
                <c:pt idx="268">
                  <c:v>5.2910052910052914E-2</c:v>
                </c:pt>
                <c:pt idx="269">
                  <c:v>5.10204081632653E-2</c:v>
                </c:pt>
                <c:pt idx="270">
                  <c:v>4.926108374384236E-2</c:v>
                </c:pt>
                <c:pt idx="271">
                  <c:v>4.7619047619047616E-2</c:v>
                </c:pt>
                <c:pt idx="272">
                  <c:v>4.6082949308755762E-2</c:v>
                </c:pt>
                <c:pt idx="273">
                  <c:v>4.4642857142857144E-2</c:v>
                </c:pt>
                <c:pt idx="274">
                  <c:v>4.3290043290043288E-2</c:v>
                </c:pt>
                <c:pt idx="275">
                  <c:v>4.2016806722689072E-2</c:v>
                </c:pt>
                <c:pt idx="276">
                  <c:v>4.0816326530612242E-2</c:v>
                </c:pt>
                <c:pt idx="277">
                  <c:v>3.968253968253968E-2</c:v>
                </c:pt>
                <c:pt idx="278">
                  <c:v>3.8610038610038609E-2</c:v>
                </c:pt>
                <c:pt idx="279">
                  <c:v>3.7593984962406013E-2</c:v>
                </c:pt>
                <c:pt idx="280">
                  <c:v>7.0175438596491224E-2</c:v>
                </c:pt>
                <c:pt idx="281">
                  <c:v>6.6666666666666666E-2</c:v>
                </c:pt>
                <c:pt idx="282">
                  <c:v>6.3492063492063489E-2</c:v>
                </c:pt>
                <c:pt idx="283">
                  <c:v>6.0606060606060608E-2</c:v>
                </c:pt>
                <c:pt idx="284">
                  <c:v>5.7971014492753624E-2</c:v>
                </c:pt>
                <c:pt idx="285">
                  <c:v>5.5555555555555552E-2</c:v>
                </c:pt>
                <c:pt idx="286">
                  <c:v>5.3333333333333337E-2</c:v>
                </c:pt>
                <c:pt idx="287">
                  <c:v>5.128205128205128E-2</c:v>
                </c:pt>
                <c:pt idx="288">
                  <c:v>4.9382716049382713E-2</c:v>
                </c:pt>
                <c:pt idx="289">
                  <c:v>4.7619047619047616E-2</c:v>
                </c:pt>
                <c:pt idx="290">
                  <c:v>4.5977011494252873E-2</c:v>
                </c:pt>
                <c:pt idx="291">
                  <c:v>4.4444444444444446E-2</c:v>
                </c:pt>
                <c:pt idx="292">
                  <c:v>4.3010752688172046E-2</c:v>
                </c:pt>
                <c:pt idx="293">
                  <c:v>4.1666666666666664E-2</c:v>
                </c:pt>
                <c:pt idx="294">
                  <c:v>4.0404040404040407E-2</c:v>
                </c:pt>
                <c:pt idx="295">
                  <c:v>3.9215686274509803E-2</c:v>
                </c:pt>
                <c:pt idx="296">
                  <c:v>3.8095238095238099E-2</c:v>
                </c:pt>
                <c:pt idx="297">
                  <c:v>3.7037037037037035E-2</c:v>
                </c:pt>
                <c:pt idx="298">
                  <c:v>3.6036036036036036E-2</c:v>
                </c:pt>
                <c:pt idx="299">
                  <c:v>3.5087719298245612E-2</c:v>
                </c:pt>
                <c:pt idx="300">
                  <c:v>6.5789473684210523E-2</c:v>
                </c:pt>
                <c:pt idx="301">
                  <c:v>6.25E-2</c:v>
                </c:pt>
                <c:pt idx="302">
                  <c:v>5.9523809523809521E-2</c:v>
                </c:pt>
                <c:pt idx="303">
                  <c:v>5.6818181818181816E-2</c:v>
                </c:pt>
                <c:pt idx="304">
                  <c:v>5.4347826086956527E-2</c:v>
                </c:pt>
                <c:pt idx="305">
                  <c:v>5.2083333333333329E-2</c:v>
                </c:pt>
                <c:pt idx="306">
                  <c:v>0.05</c:v>
                </c:pt>
                <c:pt idx="307">
                  <c:v>4.8076923076923073E-2</c:v>
                </c:pt>
                <c:pt idx="308">
                  <c:v>4.6296296296296294E-2</c:v>
                </c:pt>
                <c:pt idx="309">
                  <c:v>4.4642857142857144E-2</c:v>
                </c:pt>
                <c:pt idx="310">
                  <c:v>4.3103448275862065E-2</c:v>
                </c:pt>
                <c:pt idx="311">
                  <c:v>4.1666666666666664E-2</c:v>
                </c:pt>
                <c:pt idx="312">
                  <c:v>4.0322580645161289E-2</c:v>
                </c:pt>
                <c:pt idx="313">
                  <c:v>3.90625E-2</c:v>
                </c:pt>
                <c:pt idx="314">
                  <c:v>3.787878787878788E-2</c:v>
                </c:pt>
                <c:pt idx="315">
                  <c:v>3.6764705882352935E-2</c:v>
                </c:pt>
                <c:pt idx="316">
                  <c:v>3.5714285714285712E-2</c:v>
                </c:pt>
                <c:pt idx="317">
                  <c:v>3.4722222222222224E-2</c:v>
                </c:pt>
                <c:pt idx="318">
                  <c:v>3.3783783783783779E-2</c:v>
                </c:pt>
                <c:pt idx="319">
                  <c:v>3.2894736842105261E-2</c:v>
                </c:pt>
                <c:pt idx="320">
                  <c:v>6.1919504643962842E-2</c:v>
                </c:pt>
                <c:pt idx="321">
                  <c:v>5.8823529411764705E-2</c:v>
                </c:pt>
                <c:pt idx="322">
                  <c:v>5.6022408963585429E-2</c:v>
                </c:pt>
                <c:pt idx="323">
                  <c:v>5.3475935828876997E-2</c:v>
                </c:pt>
                <c:pt idx="324">
                  <c:v>5.1150895140664961E-2</c:v>
                </c:pt>
                <c:pt idx="325">
                  <c:v>4.9019607843137247E-2</c:v>
                </c:pt>
                <c:pt idx="326">
                  <c:v>4.7058823529411764E-2</c:v>
                </c:pt>
                <c:pt idx="327">
                  <c:v>4.5248868778280542E-2</c:v>
                </c:pt>
                <c:pt idx="328">
                  <c:v>4.3572984749455333E-2</c:v>
                </c:pt>
                <c:pt idx="329">
                  <c:v>4.2016806722689072E-2</c:v>
                </c:pt>
                <c:pt idx="330">
                  <c:v>4.0567951318458417E-2</c:v>
                </c:pt>
                <c:pt idx="331">
                  <c:v>3.9215686274509803E-2</c:v>
                </c:pt>
                <c:pt idx="332">
                  <c:v>3.7950664136622389E-2</c:v>
                </c:pt>
                <c:pt idx="333">
                  <c:v>3.6764705882352935E-2</c:v>
                </c:pt>
                <c:pt idx="334">
                  <c:v>3.5650623885918005E-2</c:v>
                </c:pt>
                <c:pt idx="335">
                  <c:v>3.460207612456747E-2</c:v>
                </c:pt>
                <c:pt idx="336">
                  <c:v>3.3613445378151259E-2</c:v>
                </c:pt>
                <c:pt idx="337">
                  <c:v>3.2679738562091505E-2</c:v>
                </c:pt>
                <c:pt idx="338">
                  <c:v>3.1796502384737677E-2</c:v>
                </c:pt>
                <c:pt idx="339">
                  <c:v>3.0959752321981428E-2</c:v>
                </c:pt>
                <c:pt idx="340">
                  <c:v>5.8479532163742701E-2</c:v>
                </c:pt>
                <c:pt idx="341">
                  <c:v>5.5555555555555552E-2</c:v>
                </c:pt>
                <c:pt idx="342">
                  <c:v>5.2910052910052914E-2</c:v>
                </c:pt>
                <c:pt idx="343">
                  <c:v>5.0505050505050504E-2</c:v>
                </c:pt>
                <c:pt idx="344">
                  <c:v>4.8309178743961352E-2</c:v>
                </c:pt>
                <c:pt idx="345">
                  <c:v>4.6296296296296294E-2</c:v>
                </c:pt>
                <c:pt idx="346">
                  <c:v>4.4444444444444446E-2</c:v>
                </c:pt>
                <c:pt idx="347">
                  <c:v>4.2735042735042736E-2</c:v>
                </c:pt>
                <c:pt idx="348">
                  <c:v>4.1152263374485604E-2</c:v>
                </c:pt>
                <c:pt idx="349">
                  <c:v>3.968253968253968E-2</c:v>
                </c:pt>
                <c:pt idx="350">
                  <c:v>3.8314176245210725E-2</c:v>
                </c:pt>
                <c:pt idx="351">
                  <c:v>3.7037037037037035E-2</c:v>
                </c:pt>
                <c:pt idx="352">
                  <c:v>3.5842293906810041E-2</c:v>
                </c:pt>
                <c:pt idx="353">
                  <c:v>3.4722222222222224E-2</c:v>
                </c:pt>
                <c:pt idx="354">
                  <c:v>3.3670033670033669E-2</c:v>
                </c:pt>
                <c:pt idx="355">
                  <c:v>3.2679738562091505E-2</c:v>
                </c:pt>
                <c:pt idx="356">
                  <c:v>3.1746031746031744E-2</c:v>
                </c:pt>
                <c:pt idx="357">
                  <c:v>3.0864197530864199E-2</c:v>
                </c:pt>
                <c:pt idx="358">
                  <c:v>3.0030030030030033E-2</c:v>
                </c:pt>
                <c:pt idx="359">
                  <c:v>2.9239766081871343E-2</c:v>
                </c:pt>
                <c:pt idx="360">
                  <c:v>5.5401662049861494E-2</c:v>
                </c:pt>
                <c:pt idx="361">
                  <c:v>5.2631578947368418E-2</c:v>
                </c:pt>
                <c:pt idx="362">
                  <c:v>5.012531328320801E-2</c:v>
                </c:pt>
                <c:pt idx="363">
                  <c:v>4.7846889952153103E-2</c:v>
                </c:pt>
                <c:pt idx="364">
                  <c:v>4.5766590389016017E-2</c:v>
                </c:pt>
                <c:pt idx="365">
                  <c:v>4.3859649122807015E-2</c:v>
                </c:pt>
                <c:pt idx="366">
                  <c:v>4.2105263157894736E-2</c:v>
                </c:pt>
                <c:pt idx="367">
                  <c:v>4.0485829959514164E-2</c:v>
                </c:pt>
                <c:pt idx="368">
                  <c:v>3.8986354775828458E-2</c:v>
                </c:pt>
                <c:pt idx="369">
                  <c:v>3.7593984962406013E-2</c:v>
                </c:pt>
                <c:pt idx="370">
                  <c:v>3.6297640653357527E-2</c:v>
                </c:pt>
                <c:pt idx="371">
                  <c:v>3.5087719298245612E-2</c:v>
                </c:pt>
                <c:pt idx="372">
                  <c:v>3.3955857385398976E-2</c:v>
                </c:pt>
                <c:pt idx="373">
                  <c:v>3.2894736842105261E-2</c:v>
                </c:pt>
                <c:pt idx="374">
                  <c:v>3.1897926634768738E-2</c:v>
                </c:pt>
                <c:pt idx="375">
                  <c:v>3.0959752321981421E-2</c:v>
                </c:pt>
                <c:pt idx="376">
                  <c:v>3.007518796992481E-2</c:v>
                </c:pt>
                <c:pt idx="377">
                  <c:v>2.9239766081871343E-2</c:v>
                </c:pt>
                <c:pt idx="378">
                  <c:v>2.8449502133712657E-2</c:v>
                </c:pt>
                <c:pt idx="379">
                  <c:v>2.7700831024930747E-2</c:v>
                </c:pt>
                <c:pt idx="380">
                  <c:v>5.2631578947368418E-2</c:v>
                </c:pt>
                <c:pt idx="381">
                  <c:v>0.05</c:v>
                </c:pt>
                <c:pt idx="382">
                  <c:v>4.7619047619047616E-2</c:v>
                </c:pt>
                <c:pt idx="383">
                  <c:v>4.5454545454545456E-2</c:v>
                </c:pt>
                <c:pt idx="384">
                  <c:v>4.3478260869565216E-2</c:v>
                </c:pt>
                <c:pt idx="385">
                  <c:v>4.1666666666666664E-2</c:v>
                </c:pt>
                <c:pt idx="386">
                  <c:v>0.04</c:v>
                </c:pt>
                <c:pt idx="387">
                  <c:v>3.8461538461538464E-2</c:v>
                </c:pt>
                <c:pt idx="388">
                  <c:v>3.7037037037037035E-2</c:v>
                </c:pt>
                <c:pt idx="389">
                  <c:v>3.5714285714285712E-2</c:v>
                </c:pt>
                <c:pt idx="390">
                  <c:v>3.4482758620689655E-2</c:v>
                </c:pt>
                <c:pt idx="391">
                  <c:v>3.3333333333333333E-2</c:v>
                </c:pt>
                <c:pt idx="392">
                  <c:v>3.2258064516129031E-2</c:v>
                </c:pt>
                <c:pt idx="393">
                  <c:v>3.125E-2</c:v>
                </c:pt>
                <c:pt idx="394">
                  <c:v>3.0303030303030304E-2</c:v>
                </c:pt>
                <c:pt idx="395">
                  <c:v>2.9411764705882353E-2</c:v>
                </c:pt>
                <c:pt idx="396">
                  <c:v>2.8571428571428571E-2</c:v>
                </c:pt>
                <c:pt idx="397">
                  <c:v>2.7777777777777776E-2</c:v>
                </c:pt>
                <c:pt idx="398">
                  <c:v>2.7027027027027029E-2</c:v>
                </c:pt>
                <c:pt idx="399">
                  <c:v>2.6315789473684209E-2</c:v>
                </c:pt>
                <c:pt idx="400">
                  <c:v>5.012531328320801E-2</c:v>
                </c:pt>
                <c:pt idx="401">
                  <c:v>4.7619047619047609E-2</c:v>
                </c:pt>
                <c:pt idx="402">
                  <c:v>4.5351473922902487E-2</c:v>
                </c:pt>
                <c:pt idx="403">
                  <c:v>4.3290043290043288E-2</c:v>
                </c:pt>
                <c:pt idx="404">
                  <c:v>4.1407867494824016E-2</c:v>
                </c:pt>
                <c:pt idx="405">
                  <c:v>3.968253968253968E-2</c:v>
                </c:pt>
                <c:pt idx="406">
                  <c:v>3.8095238095238092E-2</c:v>
                </c:pt>
                <c:pt idx="407">
                  <c:v>3.6630036630036625E-2</c:v>
                </c:pt>
                <c:pt idx="408">
                  <c:v>3.5273368606701938E-2</c:v>
                </c:pt>
                <c:pt idx="409">
                  <c:v>3.4013605442176867E-2</c:v>
                </c:pt>
                <c:pt idx="410">
                  <c:v>3.2840722495894904E-2</c:v>
                </c:pt>
                <c:pt idx="411">
                  <c:v>3.1746031746031744E-2</c:v>
                </c:pt>
                <c:pt idx="412">
                  <c:v>3.072196620583717E-2</c:v>
                </c:pt>
                <c:pt idx="413">
                  <c:v>2.976190476190476E-2</c:v>
                </c:pt>
                <c:pt idx="414">
                  <c:v>2.8860028860028857E-2</c:v>
                </c:pt>
                <c:pt idx="415">
                  <c:v>2.8011204481792715E-2</c:v>
                </c:pt>
                <c:pt idx="416">
                  <c:v>2.7210884353741496E-2</c:v>
                </c:pt>
                <c:pt idx="417">
                  <c:v>2.6455026455026454E-2</c:v>
                </c:pt>
                <c:pt idx="418">
                  <c:v>2.5740025740025735E-2</c:v>
                </c:pt>
                <c:pt idx="419">
                  <c:v>2.5062656641604005E-2</c:v>
                </c:pt>
                <c:pt idx="420">
                  <c:v>4.7846889952153103E-2</c:v>
                </c:pt>
                <c:pt idx="421">
                  <c:v>4.5454545454545456E-2</c:v>
                </c:pt>
                <c:pt idx="422">
                  <c:v>4.3290043290043288E-2</c:v>
                </c:pt>
                <c:pt idx="423">
                  <c:v>4.1322314049586771E-2</c:v>
                </c:pt>
                <c:pt idx="424">
                  <c:v>3.9525691699604744E-2</c:v>
                </c:pt>
                <c:pt idx="425">
                  <c:v>3.7878787878787873E-2</c:v>
                </c:pt>
                <c:pt idx="426">
                  <c:v>3.6363636363636362E-2</c:v>
                </c:pt>
                <c:pt idx="427">
                  <c:v>3.4965034965034961E-2</c:v>
                </c:pt>
                <c:pt idx="428">
                  <c:v>3.3670033670033669E-2</c:v>
                </c:pt>
                <c:pt idx="429">
                  <c:v>3.2467532467532464E-2</c:v>
                </c:pt>
                <c:pt idx="430">
                  <c:v>3.1347962382445138E-2</c:v>
                </c:pt>
                <c:pt idx="431">
                  <c:v>3.0303030303030304E-2</c:v>
                </c:pt>
                <c:pt idx="432">
                  <c:v>2.9325513196480937E-2</c:v>
                </c:pt>
                <c:pt idx="433">
                  <c:v>2.8409090909090908E-2</c:v>
                </c:pt>
                <c:pt idx="434">
                  <c:v>2.7548209366391185E-2</c:v>
                </c:pt>
                <c:pt idx="435">
                  <c:v>2.6737967914438499E-2</c:v>
                </c:pt>
                <c:pt idx="436">
                  <c:v>2.5974025974025976E-2</c:v>
                </c:pt>
                <c:pt idx="437">
                  <c:v>2.5252525252525252E-2</c:v>
                </c:pt>
                <c:pt idx="438">
                  <c:v>2.4570024570024569E-2</c:v>
                </c:pt>
                <c:pt idx="439">
                  <c:v>2.3923444976076555E-2</c:v>
                </c:pt>
                <c:pt idx="440">
                  <c:v>4.5766590389016024E-2</c:v>
                </c:pt>
                <c:pt idx="441">
                  <c:v>4.3478260869565216E-2</c:v>
                </c:pt>
                <c:pt idx="442">
                  <c:v>4.1407867494824016E-2</c:v>
                </c:pt>
                <c:pt idx="443">
                  <c:v>3.9525691699604744E-2</c:v>
                </c:pt>
                <c:pt idx="444">
                  <c:v>3.780718336483932E-2</c:v>
                </c:pt>
                <c:pt idx="445">
                  <c:v>3.6231884057971016E-2</c:v>
                </c:pt>
                <c:pt idx="446">
                  <c:v>3.4782608695652174E-2</c:v>
                </c:pt>
                <c:pt idx="447">
                  <c:v>3.3444816053511704E-2</c:v>
                </c:pt>
                <c:pt idx="448">
                  <c:v>3.2206119162640899E-2</c:v>
                </c:pt>
                <c:pt idx="449">
                  <c:v>3.1055900621118009E-2</c:v>
                </c:pt>
                <c:pt idx="450">
                  <c:v>2.9985007496251874E-2</c:v>
                </c:pt>
                <c:pt idx="451">
                  <c:v>2.8985507246376812E-2</c:v>
                </c:pt>
                <c:pt idx="452">
                  <c:v>2.8050490883590466E-2</c:v>
                </c:pt>
                <c:pt idx="453">
                  <c:v>2.7173913043478264E-2</c:v>
                </c:pt>
                <c:pt idx="454">
                  <c:v>2.6350461133069828E-2</c:v>
                </c:pt>
                <c:pt idx="455">
                  <c:v>2.557544757033248E-2</c:v>
                </c:pt>
                <c:pt idx="456">
                  <c:v>2.4844720496894408E-2</c:v>
                </c:pt>
                <c:pt idx="457">
                  <c:v>2.4154589371980673E-2</c:v>
                </c:pt>
                <c:pt idx="458">
                  <c:v>2.3501762632197415E-2</c:v>
                </c:pt>
                <c:pt idx="459">
                  <c:v>2.2883295194508008E-2</c:v>
                </c:pt>
                <c:pt idx="460">
                  <c:v>4.3859649122807015E-2</c:v>
                </c:pt>
                <c:pt idx="461">
                  <c:v>4.1666666666666664E-2</c:v>
                </c:pt>
                <c:pt idx="462">
                  <c:v>3.968253968253968E-2</c:v>
                </c:pt>
                <c:pt idx="463">
                  <c:v>3.7878787878787873E-2</c:v>
                </c:pt>
                <c:pt idx="464">
                  <c:v>3.6231884057971016E-2</c:v>
                </c:pt>
                <c:pt idx="465">
                  <c:v>3.4722222222222224E-2</c:v>
                </c:pt>
                <c:pt idx="466">
                  <c:v>3.3333333333333333E-2</c:v>
                </c:pt>
                <c:pt idx="467">
                  <c:v>3.2051282051282048E-2</c:v>
                </c:pt>
                <c:pt idx="468">
                  <c:v>3.0864197530864192E-2</c:v>
                </c:pt>
                <c:pt idx="469">
                  <c:v>2.976190476190476E-2</c:v>
                </c:pt>
                <c:pt idx="470">
                  <c:v>2.8735632183908042E-2</c:v>
                </c:pt>
                <c:pt idx="471">
                  <c:v>2.7777777777777776E-2</c:v>
                </c:pt>
                <c:pt idx="472">
                  <c:v>2.6881720430107524E-2</c:v>
                </c:pt>
                <c:pt idx="473">
                  <c:v>2.6041666666666664E-2</c:v>
                </c:pt>
                <c:pt idx="474">
                  <c:v>2.5252525252525252E-2</c:v>
                </c:pt>
                <c:pt idx="475">
                  <c:v>2.4509803921568624E-2</c:v>
                </c:pt>
                <c:pt idx="476">
                  <c:v>2.3809523809523808E-2</c:v>
                </c:pt>
                <c:pt idx="477">
                  <c:v>2.3148148148148147E-2</c:v>
                </c:pt>
                <c:pt idx="478">
                  <c:v>2.2522522522522518E-2</c:v>
                </c:pt>
                <c:pt idx="479">
                  <c:v>2.1929824561403508E-2</c:v>
                </c:pt>
                <c:pt idx="480">
                  <c:v>4.2105263157894736E-2</c:v>
                </c:pt>
                <c:pt idx="481">
                  <c:v>0.04</c:v>
                </c:pt>
                <c:pt idx="482">
                  <c:v>3.8095238095238099E-2</c:v>
                </c:pt>
                <c:pt idx="483">
                  <c:v>3.6363636363636362E-2</c:v>
                </c:pt>
                <c:pt idx="484">
                  <c:v>3.4782608695652174E-2</c:v>
                </c:pt>
                <c:pt idx="485">
                  <c:v>3.3333333333333333E-2</c:v>
                </c:pt>
                <c:pt idx="486">
                  <c:v>3.2000000000000001E-2</c:v>
                </c:pt>
                <c:pt idx="487">
                  <c:v>3.0769230769230771E-2</c:v>
                </c:pt>
                <c:pt idx="488">
                  <c:v>2.9629629629629631E-2</c:v>
                </c:pt>
                <c:pt idx="489">
                  <c:v>2.8571428571428571E-2</c:v>
                </c:pt>
                <c:pt idx="490">
                  <c:v>2.7586206896551724E-2</c:v>
                </c:pt>
                <c:pt idx="491">
                  <c:v>2.6666666666666668E-2</c:v>
                </c:pt>
                <c:pt idx="492">
                  <c:v>2.5806451612903226E-2</c:v>
                </c:pt>
                <c:pt idx="493">
                  <c:v>2.5000000000000001E-2</c:v>
                </c:pt>
                <c:pt idx="494">
                  <c:v>2.4242424242424242E-2</c:v>
                </c:pt>
                <c:pt idx="495">
                  <c:v>2.3529411764705882E-2</c:v>
                </c:pt>
                <c:pt idx="496">
                  <c:v>2.2857142857142857E-2</c:v>
                </c:pt>
                <c:pt idx="497">
                  <c:v>2.2222222222222223E-2</c:v>
                </c:pt>
                <c:pt idx="498">
                  <c:v>2.1621621621621623E-2</c:v>
                </c:pt>
                <c:pt idx="499">
                  <c:v>2.1052631578947368E-2</c:v>
                </c:pt>
                <c:pt idx="500">
                  <c:v>4.0485829959514164E-2</c:v>
                </c:pt>
                <c:pt idx="501">
                  <c:v>3.8461538461538457E-2</c:v>
                </c:pt>
                <c:pt idx="502">
                  <c:v>3.6630036630036625E-2</c:v>
                </c:pt>
                <c:pt idx="503">
                  <c:v>3.4965034965034961E-2</c:v>
                </c:pt>
                <c:pt idx="504">
                  <c:v>3.3444816053511704E-2</c:v>
                </c:pt>
                <c:pt idx="505">
                  <c:v>3.2051282051282048E-2</c:v>
                </c:pt>
                <c:pt idx="506">
                  <c:v>3.0769230769230771E-2</c:v>
                </c:pt>
                <c:pt idx="507">
                  <c:v>2.9585798816568042E-2</c:v>
                </c:pt>
                <c:pt idx="508">
                  <c:v>2.8490028490028491E-2</c:v>
                </c:pt>
                <c:pt idx="509">
                  <c:v>2.7472527472527469E-2</c:v>
                </c:pt>
                <c:pt idx="510">
                  <c:v>2.652519893899204E-2</c:v>
                </c:pt>
                <c:pt idx="511">
                  <c:v>2.564102564102564E-2</c:v>
                </c:pt>
                <c:pt idx="512">
                  <c:v>2.4813895781637715E-2</c:v>
                </c:pt>
                <c:pt idx="513">
                  <c:v>2.4038461538461536E-2</c:v>
                </c:pt>
                <c:pt idx="514">
                  <c:v>2.3310023310023308E-2</c:v>
                </c:pt>
                <c:pt idx="515">
                  <c:v>2.2624434389140271E-2</c:v>
                </c:pt>
                <c:pt idx="516">
                  <c:v>2.197802197802198E-2</c:v>
                </c:pt>
                <c:pt idx="517">
                  <c:v>2.1367521367521364E-2</c:v>
                </c:pt>
                <c:pt idx="518">
                  <c:v>2.0790020790020788E-2</c:v>
                </c:pt>
                <c:pt idx="519">
                  <c:v>2.0242914979757082E-2</c:v>
                </c:pt>
                <c:pt idx="520">
                  <c:v>3.8986354775828458E-2</c:v>
                </c:pt>
                <c:pt idx="521">
                  <c:v>3.7037037037037035E-2</c:v>
                </c:pt>
                <c:pt idx="522">
                  <c:v>3.5273368606701938E-2</c:v>
                </c:pt>
                <c:pt idx="523">
                  <c:v>3.3670033670033669E-2</c:v>
                </c:pt>
                <c:pt idx="524">
                  <c:v>3.2206119162640899E-2</c:v>
                </c:pt>
                <c:pt idx="525">
                  <c:v>3.0864197530864199E-2</c:v>
                </c:pt>
                <c:pt idx="526">
                  <c:v>2.9629629629629631E-2</c:v>
                </c:pt>
                <c:pt idx="527">
                  <c:v>2.8490028490028491E-2</c:v>
                </c:pt>
                <c:pt idx="528">
                  <c:v>2.7434842249657063E-2</c:v>
                </c:pt>
                <c:pt idx="529">
                  <c:v>2.6455026455026457E-2</c:v>
                </c:pt>
                <c:pt idx="530">
                  <c:v>2.5542784163473813E-2</c:v>
                </c:pt>
                <c:pt idx="531">
                  <c:v>2.4691358024691357E-2</c:v>
                </c:pt>
                <c:pt idx="532">
                  <c:v>2.3894862604540022E-2</c:v>
                </c:pt>
                <c:pt idx="533">
                  <c:v>2.3148148148148147E-2</c:v>
                </c:pt>
                <c:pt idx="534">
                  <c:v>2.2446689113355782E-2</c:v>
                </c:pt>
                <c:pt idx="535">
                  <c:v>2.1786492374727667E-2</c:v>
                </c:pt>
                <c:pt idx="536">
                  <c:v>2.1164021164021163E-2</c:v>
                </c:pt>
                <c:pt idx="537">
                  <c:v>2.0576131687242798E-2</c:v>
                </c:pt>
                <c:pt idx="538">
                  <c:v>2.002002002002002E-2</c:v>
                </c:pt>
                <c:pt idx="539">
                  <c:v>1.9493177387914232E-2</c:v>
                </c:pt>
                <c:pt idx="540">
                  <c:v>3.759398496240602E-2</c:v>
                </c:pt>
                <c:pt idx="541">
                  <c:v>3.5714285714285712E-2</c:v>
                </c:pt>
                <c:pt idx="542">
                  <c:v>3.4013605442176874E-2</c:v>
                </c:pt>
                <c:pt idx="543">
                  <c:v>3.2467532467532464E-2</c:v>
                </c:pt>
                <c:pt idx="544">
                  <c:v>3.1055900621118009E-2</c:v>
                </c:pt>
                <c:pt idx="545">
                  <c:v>2.976190476190476E-2</c:v>
                </c:pt>
                <c:pt idx="546">
                  <c:v>2.8571428571428571E-2</c:v>
                </c:pt>
                <c:pt idx="547">
                  <c:v>2.7472527472527472E-2</c:v>
                </c:pt>
                <c:pt idx="548">
                  <c:v>2.6455026455026457E-2</c:v>
                </c:pt>
                <c:pt idx="549">
                  <c:v>2.551020408163265E-2</c:v>
                </c:pt>
                <c:pt idx="550">
                  <c:v>2.463054187192118E-2</c:v>
                </c:pt>
                <c:pt idx="551">
                  <c:v>2.3809523809523808E-2</c:v>
                </c:pt>
                <c:pt idx="552">
                  <c:v>2.3041474654377881E-2</c:v>
                </c:pt>
                <c:pt idx="553">
                  <c:v>2.2321428571428572E-2</c:v>
                </c:pt>
                <c:pt idx="554">
                  <c:v>2.1645021645021644E-2</c:v>
                </c:pt>
                <c:pt idx="555">
                  <c:v>2.1008403361344536E-2</c:v>
                </c:pt>
                <c:pt idx="556">
                  <c:v>2.0408163265306121E-2</c:v>
                </c:pt>
                <c:pt idx="557">
                  <c:v>1.984126984126984E-2</c:v>
                </c:pt>
                <c:pt idx="558">
                  <c:v>1.9305019305019305E-2</c:v>
                </c:pt>
                <c:pt idx="559">
                  <c:v>1.8796992481203006E-2</c:v>
                </c:pt>
                <c:pt idx="560">
                  <c:v>3.6297640653357534E-2</c:v>
                </c:pt>
                <c:pt idx="561">
                  <c:v>3.4482758620689655E-2</c:v>
                </c:pt>
                <c:pt idx="562">
                  <c:v>3.2840722495894904E-2</c:v>
                </c:pt>
                <c:pt idx="563">
                  <c:v>3.1347962382445138E-2</c:v>
                </c:pt>
                <c:pt idx="564">
                  <c:v>2.9985007496251874E-2</c:v>
                </c:pt>
                <c:pt idx="565">
                  <c:v>2.8735632183908042E-2</c:v>
                </c:pt>
                <c:pt idx="566">
                  <c:v>2.7586206896551724E-2</c:v>
                </c:pt>
                <c:pt idx="567">
                  <c:v>2.652519893899204E-2</c:v>
                </c:pt>
                <c:pt idx="568">
                  <c:v>2.5542784163473813E-2</c:v>
                </c:pt>
                <c:pt idx="569">
                  <c:v>2.463054187192118E-2</c:v>
                </c:pt>
                <c:pt idx="570">
                  <c:v>2.3781212841854932E-2</c:v>
                </c:pt>
                <c:pt idx="571">
                  <c:v>2.2988505747126436E-2</c:v>
                </c:pt>
                <c:pt idx="572">
                  <c:v>2.2246941045606226E-2</c:v>
                </c:pt>
                <c:pt idx="573">
                  <c:v>2.1551724137931032E-2</c:v>
                </c:pt>
                <c:pt idx="574">
                  <c:v>2.0898641588296761E-2</c:v>
                </c:pt>
                <c:pt idx="575">
                  <c:v>2.0283975659229209E-2</c:v>
                </c:pt>
                <c:pt idx="576">
                  <c:v>1.9704433497536946E-2</c:v>
                </c:pt>
                <c:pt idx="577">
                  <c:v>1.9157088122605363E-2</c:v>
                </c:pt>
                <c:pt idx="578">
                  <c:v>1.8639328984156569E-2</c:v>
                </c:pt>
                <c:pt idx="579">
                  <c:v>1.8148820326678767E-2</c:v>
                </c:pt>
                <c:pt idx="580">
                  <c:v>3.5087719298245612E-2</c:v>
                </c:pt>
                <c:pt idx="581">
                  <c:v>3.3333333333333333E-2</c:v>
                </c:pt>
                <c:pt idx="582">
                  <c:v>3.1746031746031744E-2</c:v>
                </c:pt>
                <c:pt idx="583">
                  <c:v>3.0303030303030304E-2</c:v>
                </c:pt>
                <c:pt idx="584">
                  <c:v>2.8985507246376812E-2</c:v>
                </c:pt>
                <c:pt idx="585">
                  <c:v>2.7777777777777776E-2</c:v>
                </c:pt>
                <c:pt idx="586">
                  <c:v>2.6666666666666668E-2</c:v>
                </c:pt>
                <c:pt idx="587">
                  <c:v>2.564102564102564E-2</c:v>
                </c:pt>
                <c:pt idx="588">
                  <c:v>2.4691358024691357E-2</c:v>
                </c:pt>
                <c:pt idx="589">
                  <c:v>2.3809523809523808E-2</c:v>
                </c:pt>
                <c:pt idx="590">
                  <c:v>2.2988505747126436E-2</c:v>
                </c:pt>
                <c:pt idx="591">
                  <c:v>2.2222222222222223E-2</c:v>
                </c:pt>
                <c:pt idx="592">
                  <c:v>2.1505376344086023E-2</c:v>
                </c:pt>
                <c:pt idx="593">
                  <c:v>2.0833333333333332E-2</c:v>
                </c:pt>
                <c:pt idx="594">
                  <c:v>2.0202020202020204E-2</c:v>
                </c:pt>
                <c:pt idx="595">
                  <c:v>1.9607843137254902E-2</c:v>
                </c:pt>
                <c:pt idx="596">
                  <c:v>1.9047619047619049E-2</c:v>
                </c:pt>
                <c:pt idx="597">
                  <c:v>1.8518518518518517E-2</c:v>
                </c:pt>
                <c:pt idx="598">
                  <c:v>1.8018018018018018E-2</c:v>
                </c:pt>
                <c:pt idx="599">
                  <c:v>1.7543859649122806E-2</c:v>
                </c:pt>
                <c:pt idx="600">
                  <c:v>3.3955857385398976E-2</c:v>
                </c:pt>
                <c:pt idx="601">
                  <c:v>3.2258064516129031E-2</c:v>
                </c:pt>
                <c:pt idx="602">
                  <c:v>3.072196620583717E-2</c:v>
                </c:pt>
                <c:pt idx="603">
                  <c:v>2.9325513196480937E-2</c:v>
                </c:pt>
                <c:pt idx="604">
                  <c:v>2.8050490883590459E-2</c:v>
                </c:pt>
                <c:pt idx="605">
                  <c:v>2.6881720430107524E-2</c:v>
                </c:pt>
                <c:pt idx="606">
                  <c:v>2.5806451612903226E-2</c:v>
                </c:pt>
                <c:pt idx="607">
                  <c:v>2.4813895781637715E-2</c:v>
                </c:pt>
                <c:pt idx="608">
                  <c:v>2.3894862604540022E-2</c:v>
                </c:pt>
                <c:pt idx="609">
                  <c:v>2.3041474654377878E-2</c:v>
                </c:pt>
                <c:pt idx="610">
                  <c:v>2.2246941045606226E-2</c:v>
                </c:pt>
                <c:pt idx="611">
                  <c:v>2.1505376344086023E-2</c:v>
                </c:pt>
                <c:pt idx="612">
                  <c:v>2.0811654526534856E-2</c:v>
                </c:pt>
                <c:pt idx="613">
                  <c:v>2.0161290322580641E-2</c:v>
                </c:pt>
                <c:pt idx="614">
                  <c:v>1.9550342130987289E-2</c:v>
                </c:pt>
                <c:pt idx="615">
                  <c:v>1.8975332068311195E-2</c:v>
                </c:pt>
                <c:pt idx="616">
                  <c:v>1.8433179723502304E-2</c:v>
                </c:pt>
                <c:pt idx="617">
                  <c:v>1.7921146953405017E-2</c:v>
                </c:pt>
                <c:pt idx="618">
                  <c:v>1.7436791630340016E-2</c:v>
                </c:pt>
                <c:pt idx="619">
                  <c:v>1.6977928692699488E-2</c:v>
                </c:pt>
                <c:pt idx="620">
                  <c:v>3.2894736842105261E-2</c:v>
                </c:pt>
                <c:pt idx="621">
                  <c:v>3.125E-2</c:v>
                </c:pt>
                <c:pt idx="622">
                  <c:v>2.976190476190476E-2</c:v>
                </c:pt>
                <c:pt idx="623">
                  <c:v>2.8409090909090908E-2</c:v>
                </c:pt>
                <c:pt idx="624">
                  <c:v>2.7173913043478264E-2</c:v>
                </c:pt>
                <c:pt idx="625">
                  <c:v>2.6041666666666664E-2</c:v>
                </c:pt>
                <c:pt idx="626">
                  <c:v>2.5000000000000001E-2</c:v>
                </c:pt>
                <c:pt idx="627">
                  <c:v>2.4038461538461536E-2</c:v>
                </c:pt>
                <c:pt idx="628">
                  <c:v>2.3148148148148147E-2</c:v>
                </c:pt>
                <c:pt idx="629">
                  <c:v>2.2321428571428572E-2</c:v>
                </c:pt>
                <c:pt idx="630">
                  <c:v>2.1551724137931032E-2</c:v>
                </c:pt>
                <c:pt idx="631">
                  <c:v>2.0833333333333332E-2</c:v>
                </c:pt>
                <c:pt idx="632">
                  <c:v>2.0161290322580645E-2</c:v>
                </c:pt>
                <c:pt idx="633">
                  <c:v>1.953125E-2</c:v>
                </c:pt>
                <c:pt idx="634">
                  <c:v>1.893939393939394E-2</c:v>
                </c:pt>
                <c:pt idx="635">
                  <c:v>1.8382352941176468E-2</c:v>
                </c:pt>
                <c:pt idx="636">
                  <c:v>1.7857142857142856E-2</c:v>
                </c:pt>
                <c:pt idx="637">
                  <c:v>1.7361111111111112E-2</c:v>
                </c:pt>
                <c:pt idx="638">
                  <c:v>1.6891891891891889E-2</c:v>
                </c:pt>
                <c:pt idx="639">
                  <c:v>1.6447368421052631E-2</c:v>
                </c:pt>
                <c:pt idx="640">
                  <c:v>3.1897926634768745E-2</c:v>
                </c:pt>
                <c:pt idx="641">
                  <c:v>3.0303030303030304E-2</c:v>
                </c:pt>
                <c:pt idx="642">
                  <c:v>2.886002886002886E-2</c:v>
                </c:pt>
                <c:pt idx="643">
                  <c:v>2.7548209366391185E-2</c:v>
                </c:pt>
                <c:pt idx="644">
                  <c:v>2.6350461133069828E-2</c:v>
                </c:pt>
                <c:pt idx="645">
                  <c:v>2.5252525252525252E-2</c:v>
                </c:pt>
                <c:pt idx="646">
                  <c:v>2.4242424242424242E-2</c:v>
                </c:pt>
                <c:pt idx="647">
                  <c:v>2.3310023310023312E-2</c:v>
                </c:pt>
                <c:pt idx="648">
                  <c:v>2.2446689113355782E-2</c:v>
                </c:pt>
                <c:pt idx="649">
                  <c:v>2.1645021645021644E-2</c:v>
                </c:pt>
                <c:pt idx="650">
                  <c:v>2.0898641588296761E-2</c:v>
                </c:pt>
                <c:pt idx="651">
                  <c:v>2.0202020202020204E-2</c:v>
                </c:pt>
                <c:pt idx="652">
                  <c:v>1.9550342130987289E-2</c:v>
                </c:pt>
                <c:pt idx="653">
                  <c:v>1.893939393939394E-2</c:v>
                </c:pt>
                <c:pt idx="654">
                  <c:v>1.8365472910927456E-2</c:v>
                </c:pt>
                <c:pt idx="655">
                  <c:v>1.7825311942959002E-2</c:v>
                </c:pt>
                <c:pt idx="656">
                  <c:v>1.7316017316017316E-2</c:v>
                </c:pt>
                <c:pt idx="657">
                  <c:v>1.6835016835016835E-2</c:v>
                </c:pt>
                <c:pt idx="658">
                  <c:v>1.638001638001638E-2</c:v>
                </c:pt>
                <c:pt idx="659">
                  <c:v>1.5948963317384369E-2</c:v>
                </c:pt>
                <c:pt idx="660">
                  <c:v>3.0959752321981421E-2</c:v>
                </c:pt>
                <c:pt idx="661">
                  <c:v>2.9411764705882353E-2</c:v>
                </c:pt>
                <c:pt idx="662">
                  <c:v>2.8011204481792715E-2</c:v>
                </c:pt>
                <c:pt idx="663">
                  <c:v>2.6737967914438499E-2</c:v>
                </c:pt>
                <c:pt idx="664">
                  <c:v>2.557544757033248E-2</c:v>
                </c:pt>
                <c:pt idx="665">
                  <c:v>2.4509803921568624E-2</c:v>
                </c:pt>
                <c:pt idx="666">
                  <c:v>2.3529411764705882E-2</c:v>
                </c:pt>
                <c:pt idx="667">
                  <c:v>2.2624434389140271E-2</c:v>
                </c:pt>
                <c:pt idx="668">
                  <c:v>2.1786492374727667E-2</c:v>
                </c:pt>
                <c:pt idx="669">
                  <c:v>2.1008403361344536E-2</c:v>
                </c:pt>
                <c:pt idx="670">
                  <c:v>2.0283975659229209E-2</c:v>
                </c:pt>
                <c:pt idx="671">
                  <c:v>1.9607843137254902E-2</c:v>
                </c:pt>
                <c:pt idx="672">
                  <c:v>1.8975332068311195E-2</c:v>
                </c:pt>
                <c:pt idx="673">
                  <c:v>1.8382352941176468E-2</c:v>
                </c:pt>
                <c:pt idx="674">
                  <c:v>1.7825311942959002E-2</c:v>
                </c:pt>
                <c:pt idx="675">
                  <c:v>1.7301038062283735E-2</c:v>
                </c:pt>
                <c:pt idx="676">
                  <c:v>1.680672268907563E-2</c:v>
                </c:pt>
                <c:pt idx="677">
                  <c:v>1.6339869281045753E-2</c:v>
                </c:pt>
                <c:pt idx="678">
                  <c:v>1.5898251192368838E-2</c:v>
                </c:pt>
                <c:pt idx="679">
                  <c:v>1.5479876160990714E-2</c:v>
                </c:pt>
                <c:pt idx="680">
                  <c:v>3.007518796992481E-2</c:v>
                </c:pt>
                <c:pt idx="681">
                  <c:v>2.8571428571428571E-2</c:v>
                </c:pt>
                <c:pt idx="682">
                  <c:v>2.7210884353741496E-2</c:v>
                </c:pt>
                <c:pt idx="683">
                  <c:v>2.5974025974025976E-2</c:v>
                </c:pt>
                <c:pt idx="684">
                  <c:v>2.4844720496894408E-2</c:v>
                </c:pt>
                <c:pt idx="685">
                  <c:v>2.3809523809523808E-2</c:v>
                </c:pt>
                <c:pt idx="686">
                  <c:v>2.2857142857142857E-2</c:v>
                </c:pt>
                <c:pt idx="687">
                  <c:v>2.197802197802198E-2</c:v>
                </c:pt>
                <c:pt idx="688">
                  <c:v>2.1164021164021163E-2</c:v>
                </c:pt>
                <c:pt idx="689">
                  <c:v>2.0408163265306121E-2</c:v>
                </c:pt>
                <c:pt idx="690">
                  <c:v>1.9704433497536946E-2</c:v>
                </c:pt>
                <c:pt idx="691">
                  <c:v>1.9047619047619049E-2</c:v>
                </c:pt>
                <c:pt idx="692">
                  <c:v>1.8433179723502304E-2</c:v>
                </c:pt>
                <c:pt idx="693">
                  <c:v>1.7857142857142856E-2</c:v>
                </c:pt>
                <c:pt idx="694">
                  <c:v>1.7316017316017316E-2</c:v>
                </c:pt>
                <c:pt idx="695">
                  <c:v>1.680672268907563E-2</c:v>
                </c:pt>
                <c:pt idx="696">
                  <c:v>1.6326530612244899E-2</c:v>
                </c:pt>
                <c:pt idx="697">
                  <c:v>1.5873015873015872E-2</c:v>
                </c:pt>
                <c:pt idx="698">
                  <c:v>1.5444015444015444E-2</c:v>
                </c:pt>
                <c:pt idx="699">
                  <c:v>1.5037593984962405E-2</c:v>
                </c:pt>
                <c:pt idx="700">
                  <c:v>2.923976608187135E-2</c:v>
                </c:pt>
                <c:pt idx="701">
                  <c:v>2.7777777777777776E-2</c:v>
                </c:pt>
                <c:pt idx="702">
                  <c:v>2.6455026455026457E-2</c:v>
                </c:pt>
                <c:pt idx="703">
                  <c:v>2.5252525252525252E-2</c:v>
                </c:pt>
                <c:pt idx="704">
                  <c:v>2.4154589371980676E-2</c:v>
                </c:pt>
                <c:pt idx="705">
                  <c:v>2.3148148148148147E-2</c:v>
                </c:pt>
                <c:pt idx="706">
                  <c:v>2.2222222222222223E-2</c:v>
                </c:pt>
                <c:pt idx="707">
                  <c:v>2.1367521367521368E-2</c:v>
                </c:pt>
                <c:pt idx="708">
                  <c:v>2.0576131687242802E-2</c:v>
                </c:pt>
                <c:pt idx="709">
                  <c:v>1.984126984126984E-2</c:v>
                </c:pt>
                <c:pt idx="710">
                  <c:v>1.9157088122605363E-2</c:v>
                </c:pt>
                <c:pt idx="711">
                  <c:v>1.8518518518518517E-2</c:v>
                </c:pt>
                <c:pt idx="712">
                  <c:v>1.7921146953405021E-2</c:v>
                </c:pt>
                <c:pt idx="713">
                  <c:v>1.7361111111111112E-2</c:v>
                </c:pt>
                <c:pt idx="714">
                  <c:v>1.6835016835016835E-2</c:v>
                </c:pt>
                <c:pt idx="715">
                  <c:v>1.6339869281045753E-2</c:v>
                </c:pt>
                <c:pt idx="716">
                  <c:v>1.5873015873015872E-2</c:v>
                </c:pt>
                <c:pt idx="717">
                  <c:v>1.54320987654321E-2</c:v>
                </c:pt>
                <c:pt idx="718">
                  <c:v>1.5015015015015017E-2</c:v>
                </c:pt>
                <c:pt idx="719">
                  <c:v>1.4619883040935672E-2</c:v>
                </c:pt>
                <c:pt idx="720">
                  <c:v>2.8449502133712657E-2</c:v>
                </c:pt>
                <c:pt idx="721">
                  <c:v>2.7027027027027022E-2</c:v>
                </c:pt>
                <c:pt idx="722">
                  <c:v>2.5740025740025735E-2</c:v>
                </c:pt>
                <c:pt idx="723">
                  <c:v>2.4570024570024569E-2</c:v>
                </c:pt>
                <c:pt idx="724">
                  <c:v>2.3501762632197411E-2</c:v>
                </c:pt>
                <c:pt idx="725">
                  <c:v>2.2522522522522518E-2</c:v>
                </c:pt>
                <c:pt idx="726">
                  <c:v>2.1621621621621619E-2</c:v>
                </c:pt>
                <c:pt idx="727">
                  <c:v>2.0790020790020788E-2</c:v>
                </c:pt>
                <c:pt idx="728">
                  <c:v>2.002002002002002E-2</c:v>
                </c:pt>
                <c:pt idx="729">
                  <c:v>1.9305019305019305E-2</c:v>
                </c:pt>
                <c:pt idx="730">
                  <c:v>1.8639328984156569E-2</c:v>
                </c:pt>
                <c:pt idx="731">
                  <c:v>1.8018018018018014E-2</c:v>
                </c:pt>
                <c:pt idx="732">
                  <c:v>1.7436791630340016E-2</c:v>
                </c:pt>
                <c:pt idx="733">
                  <c:v>1.6891891891891889E-2</c:v>
                </c:pt>
                <c:pt idx="734">
                  <c:v>1.638001638001638E-2</c:v>
                </c:pt>
                <c:pt idx="735">
                  <c:v>1.5898251192368838E-2</c:v>
                </c:pt>
                <c:pt idx="736">
                  <c:v>1.5444015444015444E-2</c:v>
                </c:pt>
                <c:pt idx="737">
                  <c:v>1.5015015015015013E-2</c:v>
                </c:pt>
                <c:pt idx="738">
                  <c:v>1.4609203798392987E-2</c:v>
                </c:pt>
                <c:pt idx="739">
                  <c:v>1.4224751066856329E-2</c:v>
                </c:pt>
                <c:pt idx="740">
                  <c:v>2.7700831024930747E-2</c:v>
                </c:pt>
                <c:pt idx="741">
                  <c:v>2.6315789473684209E-2</c:v>
                </c:pt>
                <c:pt idx="742">
                  <c:v>2.5062656641604005E-2</c:v>
                </c:pt>
                <c:pt idx="743">
                  <c:v>2.3923444976076551E-2</c:v>
                </c:pt>
                <c:pt idx="744">
                  <c:v>2.2883295194508008E-2</c:v>
                </c:pt>
                <c:pt idx="745">
                  <c:v>2.1929824561403508E-2</c:v>
                </c:pt>
                <c:pt idx="746">
                  <c:v>2.1052631578947368E-2</c:v>
                </c:pt>
                <c:pt idx="747">
                  <c:v>2.0242914979757082E-2</c:v>
                </c:pt>
                <c:pt idx="748">
                  <c:v>1.9493177387914229E-2</c:v>
                </c:pt>
                <c:pt idx="749">
                  <c:v>1.8796992481203006E-2</c:v>
                </c:pt>
                <c:pt idx="750">
                  <c:v>1.8148820326678763E-2</c:v>
                </c:pt>
                <c:pt idx="751">
                  <c:v>1.7543859649122806E-2</c:v>
                </c:pt>
                <c:pt idx="752">
                  <c:v>1.6977928692699488E-2</c:v>
                </c:pt>
                <c:pt idx="753">
                  <c:v>1.6447368421052631E-2</c:v>
                </c:pt>
                <c:pt idx="754">
                  <c:v>1.5948963317384369E-2</c:v>
                </c:pt>
                <c:pt idx="755">
                  <c:v>1.547987616099071E-2</c:v>
                </c:pt>
                <c:pt idx="756">
                  <c:v>1.5037593984962405E-2</c:v>
                </c:pt>
                <c:pt idx="757">
                  <c:v>1.4619883040935672E-2</c:v>
                </c:pt>
                <c:pt idx="758">
                  <c:v>1.4224751066856329E-2</c:v>
                </c:pt>
                <c:pt idx="759">
                  <c:v>1.3850415512465374E-2</c:v>
                </c:pt>
                <c:pt idx="760">
                  <c:v>2.6990553306342778E-2</c:v>
                </c:pt>
                <c:pt idx="761">
                  <c:v>2.564102564102564E-2</c:v>
                </c:pt>
                <c:pt idx="762">
                  <c:v>2.442002442002442E-2</c:v>
                </c:pt>
                <c:pt idx="763">
                  <c:v>2.3310023310023308E-2</c:v>
                </c:pt>
                <c:pt idx="764">
                  <c:v>2.2296544035674468E-2</c:v>
                </c:pt>
                <c:pt idx="765">
                  <c:v>2.1367521367521364E-2</c:v>
                </c:pt>
                <c:pt idx="766">
                  <c:v>2.0512820512820513E-2</c:v>
                </c:pt>
                <c:pt idx="767">
                  <c:v>1.9723865877712032E-2</c:v>
                </c:pt>
                <c:pt idx="768">
                  <c:v>1.8993352326685659E-2</c:v>
                </c:pt>
                <c:pt idx="769">
                  <c:v>1.8315018315018316E-2</c:v>
                </c:pt>
                <c:pt idx="770">
                  <c:v>1.7683465959328026E-2</c:v>
                </c:pt>
                <c:pt idx="771">
                  <c:v>1.7094017094017096E-2</c:v>
                </c:pt>
                <c:pt idx="772">
                  <c:v>1.6542597187758478E-2</c:v>
                </c:pt>
                <c:pt idx="773">
                  <c:v>1.6025641025641024E-2</c:v>
                </c:pt>
                <c:pt idx="774">
                  <c:v>1.5540015540015542E-2</c:v>
                </c:pt>
                <c:pt idx="775">
                  <c:v>1.5082956259426844E-2</c:v>
                </c:pt>
                <c:pt idx="776">
                  <c:v>1.4652014652014652E-2</c:v>
                </c:pt>
                <c:pt idx="777">
                  <c:v>1.4245014245014245E-2</c:v>
                </c:pt>
                <c:pt idx="778">
                  <c:v>1.386001386001386E-2</c:v>
                </c:pt>
                <c:pt idx="779">
                  <c:v>1.3495276653171391E-2</c:v>
                </c:pt>
                <c:pt idx="780">
                  <c:v>2.6315789473684209E-2</c:v>
                </c:pt>
                <c:pt idx="781">
                  <c:v>2.5000000000000001E-2</c:v>
                </c:pt>
                <c:pt idx="782">
                  <c:v>2.3809523809523808E-2</c:v>
                </c:pt>
                <c:pt idx="783">
                  <c:v>2.2727272727272728E-2</c:v>
                </c:pt>
                <c:pt idx="784">
                  <c:v>2.1739130434782608E-2</c:v>
                </c:pt>
                <c:pt idx="785">
                  <c:v>2.0833333333333332E-2</c:v>
                </c:pt>
                <c:pt idx="786">
                  <c:v>0.02</c:v>
                </c:pt>
                <c:pt idx="787">
                  <c:v>1.9230769230769232E-2</c:v>
                </c:pt>
                <c:pt idx="788">
                  <c:v>1.8518518518518517E-2</c:v>
                </c:pt>
                <c:pt idx="789">
                  <c:v>1.7857142857142856E-2</c:v>
                </c:pt>
                <c:pt idx="790">
                  <c:v>1.7241379310344827E-2</c:v>
                </c:pt>
                <c:pt idx="791">
                  <c:v>1.6666666666666666E-2</c:v>
                </c:pt>
                <c:pt idx="792">
                  <c:v>1.6129032258064516E-2</c:v>
                </c:pt>
                <c:pt idx="793">
                  <c:v>1.5625E-2</c:v>
                </c:pt>
                <c:pt idx="794">
                  <c:v>1.5151515151515152E-2</c:v>
                </c:pt>
                <c:pt idx="795">
                  <c:v>1.4705882352941176E-2</c:v>
                </c:pt>
                <c:pt idx="796">
                  <c:v>1.4285714285714285E-2</c:v>
                </c:pt>
                <c:pt idx="797">
                  <c:v>1.3888888888888888E-2</c:v>
                </c:pt>
                <c:pt idx="798">
                  <c:v>1.3513513513513514E-2</c:v>
                </c:pt>
                <c:pt idx="799">
                  <c:v>1.3157894736842105E-2</c:v>
                </c:pt>
                <c:pt idx="800">
                  <c:v>2.5673940949935817E-2</c:v>
                </c:pt>
                <c:pt idx="801">
                  <c:v>2.4390243902439025E-2</c:v>
                </c:pt>
                <c:pt idx="802">
                  <c:v>2.3228803716608595E-2</c:v>
                </c:pt>
                <c:pt idx="803">
                  <c:v>2.2172949002217293E-2</c:v>
                </c:pt>
                <c:pt idx="804">
                  <c:v>2.1208907741251327E-2</c:v>
                </c:pt>
                <c:pt idx="805">
                  <c:v>2.032520325203252E-2</c:v>
                </c:pt>
                <c:pt idx="806">
                  <c:v>1.9512195121951219E-2</c:v>
                </c:pt>
                <c:pt idx="807">
                  <c:v>1.8761726078799251E-2</c:v>
                </c:pt>
                <c:pt idx="808">
                  <c:v>1.806684733514002E-2</c:v>
                </c:pt>
                <c:pt idx="809">
                  <c:v>1.7421602787456445E-2</c:v>
                </c:pt>
                <c:pt idx="810">
                  <c:v>1.6820857863751051E-2</c:v>
                </c:pt>
                <c:pt idx="811">
                  <c:v>1.6260162601626018E-2</c:v>
                </c:pt>
                <c:pt idx="812">
                  <c:v>1.5735641227380016E-2</c:v>
                </c:pt>
                <c:pt idx="813">
                  <c:v>1.5243902439024392E-2</c:v>
                </c:pt>
                <c:pt idx="814">
                  <c:v>1.4781966001478195E-2</c:v>
                </c:pt>
                <c:pt idx="815">
                  <c:v>1.4347202295552367E-2</c:v>
                </c:pt>
                <c:pt idx="816">
                  <c:v>1.3937282229965157E-2</c:v>
                </c:pt>
                <c:pt idx="817">
                  <c:v>1.3550135501355014E-2</c:v>
                </c:pt>
                <c:pt idx="818">
                  <c:v>1.3183915622940015E-2</c:v>
                </c:pt>
                <c:pt idx="819">
                  <c:v>1.2836970474967907E-2</c:v>
                </c:pt>
                <c:pt idx="820">
                  <c:v>2.5062656641604005E-2</c:v>
                </c:pt>
                <c:pt idx="821">
                  <c:v>2.3809523809523805E-2</c:v>
                </c:pt>
                <c:pt idx="822">
                  <c:v>2.2675736961451243E-2</c:v>
                </c:pt>
                <c:pt idx="823">
                  <c:v>2.1645021645021644E-2</c:v>
                </c:pt>
                <c:pt idx="824">
                  <c:v>2.0703933747412008E-2</c:v>
                </c:pt>
                <c:pt idx="825">
                  <c:v>1.984126984126984E-2</c:v>
                </c:pt>
                <c:pt idx="826">
                  <c:v>1.9047619047619046E-2</c:v>
                </c:pt>
                <c:pt idx="827">
                  <c:v>1.8315018315018312E-2</c:v>
                </c:pt>
                <c:pt idx="828">
                  <c:v>1.7636684303350969E-2</c:v>
                </c:pt>
                <c:pt idx="829">
                  <c:v>1.7006802721088433E-2</c:v>
                </c:pt>
                <c:pt idx="830">
                  <c:v>1.6420361247947452E-2</c:v>
                </c:pt>
                <c:pt idx="831">
                  <c:v>1.5873015873015872E-2</c:v>
                </c:pt>
                <c:pt idx="832">
                  <c:v>1.5360983102918585E-2</c:v>
                </c:pt>
                <c:pt idx="833">
                  <c:v>1.488095238095238E-2</c:v>
                </c:pt>
                <c:pt idx="834">
                  <c:v>1.4430014430014428E-2</c:v>
                </c:pt>
                <c:pt idx="835">
                  <c:v>1.4005602240896357E-2</c:v>
                </c:pt>
                <c:pt idx="836">
                  <c:v>1.3605442176870748E-2</c:v>
                </c:pt>
                <c:pt idx="837">
                  <c:v>1.3227513227513227E-2</c:v>
                </c:pt>
                <c:pt idx="838">
                  <c:v>1.2870012870012867E-2</c:v>
                </c:pt>
                <c:pt idx="839">
                  <c:v>1.2531328320802003E-2</c:v>
                </c:pt>
                <c:pt idx="840">
                  <c:v>2.4479804161566705E-2</c:v>
                </c:pt>
                <c:pt idx="841">
                  <c:v>2.3255813953488372E-2</c:v>
                </c:pt>
                <c:pt idx="842">
                  <c:v>2.2148394241417495E-2</c:v>
                </c:pt>
                <c:pt idx="843">
                  <c:v>2.1141649048625789E-2</c:v>
                </c:pt>
                <c:pt idx="844">
                  <c:v>2.0222446916076844E-2</c:v>
                </c:pt>
                <c:pt idx="845">
                  <c:v>1.937984496124031E-2</c:v>
                </c:pt>
                <c:pt idx="846">
                  <c:v>1.8604651162790697E-2</c:v>
                </c:pt>
                <c:pt idx="847">
                  <c:v>1.7889087656529516E-2</c:v>
                </c:pt>
                <c:pt idx="848">
                  <c:v>1.7226528854435829E-2</c:v>
                </c:pt>
                <c:pt idx="849">
                  <c:v>1.6611295681063121E-2</c:v>
                </c:pt>
                <c:pt idx="850">
                  <c:v>1.6038492381716115E-2</c:v>
                </c:pt>
                <c:pt idx="851">
                  <c:v>1.5503875968992248E-2</c:v>
                </c:pt>
                <c:pt idx="852">
                  <c:v>1.5003750937734431E-2</c:v>
                </c:pt>
                <c:pt idx="853">
                  <c:v>1.4534883720930231E-2</c:v>
                </c:pt>
                <c:pt idx="854">
                  <c:v>1.4094432699083861E-2</c:v>
                </c:pt>
                <c:pt idx="855">
                  <c:v>1.3679890560875515E-2</c:v>
                </c:pt>
                <c:pt idx="856">
                  <c:v>1.3289036544850499E-2</c:v>
                </c:pt>
                <c:pt idx="857">
                  <c:v>1.2919896640826873E-2</c:v>
                </c:pt>
                <c:pt idx="858">
                  <c:v>1.2570710245128848E-2</c:v>
                </c:pt>
                <c:pt idx="859">
                  <c:v>1.2239902080783353E-2</c:v>
                </c:pt>
                <c:pt idx="860">
                  <c:v>2.3923444976076551E-2</c:v>
                </c:pt>
                <c:pt idx="861">
                  <c:v>2.2727272727272728E-2</c:v>
                </c:pt>
                <c:pt idx="862">
                  <c:v>2.1645021645021644E-2</c:v>
                </c:pt>
                <c:pt idx="863">
                  <c:v>2.0661157024793386E-2</c:v>
                </c:pt>
                <c:pt idx="864">
                  <c:v>1.9762845849802372E-2</c:v>
                </c:pt>
                <c:pt idx="865">
                  <c:v>1.8939393939393936E-2</c:v>
                </c:pt>
                <c:pt idx="866">
                  <c:v>1.8181818181818181E-2</c:v>
                </c:pt>
                <c:pt idx="867">
                  <c:v>1.748251748251748E-2</c:v>
                </c:pt>
                <c:pt idx="868">
                  <c:v>1.6835016835016835E-2</c:v>
                </c:pt>
                <c:pt idx="869">
                  <c:v>1.6233766233766232E-2</c:v>
                </c:pt>
                <c:pt idx="870">
                  <c:v>1.5673981191222569E-2</c:v>
                </c:pt>
                <c:pt idx="871">
                  <c:v>1.5151515151515152E-2</c:v>
                </c:pt>
                <c:pt idx="872">
                  <c:v>1.4662756598240468E-2</c:v>
                </c:pt>
                <c:pt idx="873">
                  <c:v>1.4204545454545454E-2</c:v>
                </c:pt>
                <c:pt idx="874">
                  <c:v>1.3774104683195593E-2</c:v>
                </c:pt>
                <c:pt idx="875">
                  <c:v>1.3368983957219249E-2</c:v>
                </c:pt>
                <c:pt idx="876">
                  <c:v>1.2987012987012988E-2</c:v>
                </c:pt>
                <c:pt idx="877">
                  <c:v>1.2626262626262626E-2</c:v>
                </c:pt>
                <c:pt idx="878">
                  <c:v>1.2285012285012284E-2</c:v>
                </c:pt>
                <c:pt idx="879">
                  <c:v>1.1961722488038277E-2</c:v>
                </c:pt>
                <c:pt idx="880">
                  <c:v>2.3391812865497075E-2</c:v>
                </c:pt>
                <c:pt idx="881">
                  <c:v>2.2222222222222223E-2</c:v>
                </c:pt>
                <c:pt idx="882">
                  <c:v>2.1164021164021163E-2</c:v>
                </c:pt>
                <c:pt idx="883">
                  <c:v>2.0202020202020204E-2</c:v>
                </c:pt>
                <c:pt idx="884">
                  <c:v>1.932367149758454E-2</c:v>
                </c:pt>
                <c:pt idx="885">
                  <c:v>1.8518518518518517E-2</c:v>
                </c:pt>
                <c:pt idx="886">
                  <c:v>1.7777777777777778E-2</c:v>
                </c:pt>
                <c:pt idx="887">
                  <c:v>1.7094017094017096E-2</c:v>
                </c:pt>
                <c:pt idx="888">
                  <c:v>1.646090534979424E-2</c:v>
                </c:pt>
                <c:pt idx="889">
                  <c:v>1.5873015873015872E-2</c:v>
                </c:pt>
                <c:pt idx="890">
                  <c:v>1.532567049808429E-2</c:v>
                </c:pt>
                <c:pt idx="891">
                  <c:v>1.4814814814814815E-2</c:v>
                </c:pt>
                <c:pt idx="892">
                  <c:v>1.4336917562724014E-2</c:v>
                </c:pt>
                <c:pt idx="893">
                  <c:v>1.3888888888888888E-2</c:v>
                </c:pt>
                <c:pt idx="894">
                  <c:v>1.3468013468013467E-2</c:v>
                </c:pt>
                <c:pt idx="895">
                  <c:v>1.3071895424836602E-2</c:v>
                </c:pt>
                <c:pt idx="896">
                  <c:v>1.2698412698412698E-2</c:v>
                </c:pt>
                <c:pt idx="897">
                  <c:v>1.2345679012345678E-2</c:v>
                </c:pt>
                <c:pt idx="898">
                  <c:v>1.2012012012012012E-2</c:v>
                </c:pt>
                <c:pt idx="899">
                  <c:v>1.1695906432748537E-2</c:v>
                </c:pt>
                <c:pt idx="900">
                  <c:v>2.2883295194508012E-2</c:v>
                </c:pt>
                <c:pt idx="901">
                  <c:v>2.1739130434782608E-2</c:v>
                </c:pt>
                <c:pt idx="902">
                  <c:v>2.0703933747412008E-2</c:v>
                </c:pt>
                <c:pt idx="903">
                  <c:v>1.9762845849802372E-2</c:v>
                </c:pt>
                <c:pt idx="904">
                  <c:v>1.890359168241966E-2</c:v>
                </c:pt>
                <c:pt idx="905">
                  <c:v>1.8115942028985508E-2</c:v>
                </c:pt>
                <c:pt idx="906">
                  <c:v>1.7391304347826087E-2</c:v>
                </c:pt>
                <c:pt idx="907">
                  <c:v>1.6722408026755852E-2</c:v>
                </c:pt>
                <c:pt idx="908">
                  <c:v>1.610305958132045E-2</c:v>
                </c:pt>
                <c:pt idx="909">
                  <c:v>1.5527950310559004E-2</c:v>
                </c:pt>
                <c:pt idx="910">
                  <c:v>1.4992503748125937E-2</c:v>
                </c:pt>
                <c:pt idx="911">
                  <c:v>1.4492753623188406E-2</c:v>
                </c:pt>
                <c:pt idx="912">
                  <c:v>1.4025245441795233E-2</c:v>
                </c:pt>
                <c:pt idx="913">
                  <c:v>1.3586956521739132E-2</c:v>
                </c:pt>
                <c:pt idx="914">
                  <c:v>1.3175230566534914E-2</c:v>
                </c:pt>
                <c:pt idx="915">
                  <c:v>1.278772378516624E-2</c:v>
                </c:pt>
                <c:pt idx="916">
                  <c:v>1.2422360248447204E-2</c:v>
                </c:pt>
                <c:pt idx="917">
                  <c:v>1.2077294685990336E-2</c:v>
                </c:pt>
                <c:pt idx="918">
                  <c:v>1.1750881316098707E-2</c:v>
                </c:pt>
                <c:pt idx="919">
                  <c:v>1.1441647597254004E-2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造兵时间!$O$1</c:f>
              <c:strCache>
                <c:ptCount val="1"/>
                <c:pt idx="0">
                  <c:v>v2时间</c:v>
                </c:pt>
              </c:strCache>
            </c:strRef>
          </c:tx>
          <c:marker>
            <c:symbol val="none"/>
          </c:marker>
          <c:val>
            <c:numRef>
              <c:f>造兵时间!$O$2:$O$921</c:f>
              <c:numCache>
                <c:formatCode>General</c:formatCode>
                <c:ptCount val="920"/>
                <c:pt idx="0">
                  <c:v>1.0526315789473684</c:v>
                </c:pt>
                <c:pt idx="1">
                  <c:v>0.95238095238095233</c:v>
                </c:pt>
                <c:pt idx="2">
                  <c:v>0.86956521739130421</c:v>
                </c:pt>
                <c:pt idx="3">
                  <c:v>0.8</c:v>
                </c:pt>
                <c:pt idx="4">
                  <c:v>0.7407407407407407</c:v>
                </c:pt>
                <c:pt idx="5">
                  <c:v>0.68965517241379304</c:v>
                </c:pt>
                <c:pt idx="6">
                  <c:v>0.64516129032258052</c:v>
                </c:pt>
                <c:pt idx="7">
                  <c:v>0.60606060606060597</c:v>
                </c:pt>
                <c:pt idx="8">
                  <c:v>0.5714285714285714</c:v>
                </c:pt>
                <c:pt idx="9">
                  <c:v>0.54054054054054046</c:v>
                </c:pt>
                <c:pt idx="10">
                  <c:v>0.51282051282051277</c:v>
                </c:pt>
                <c:pt idx="11">
                  <c:v>0.48780487804878042</c:v>
                </c:pt>
                <c:pt idx="12">
                  <c:v>0.46511627906976738</c:v>
                </c:pt>
                <c:pt idx="13">
                  <c:v>0.44444444444444442</c:v>
                </c:pt>
                <c:pt idx="14">
                  <c:v>0.42553191489361702</c:v>
                </c:pt>
                <c:pt idx="15">
                  <c:v>0.4081632653061224</c:v>
                </c:pt>
                <c:pt idx="16">
                  <c:v>0.39215686274509798</c:v>
                </c:pt>
                <c:pt idx="17">
                  <c:v>0.37735849056603771</c:v>
                </c:pt>
                <c:pt idx="18">
                  <c:v>0.36363636363636365</c:v>
                </c:pt>
                <c:pt idx="19">
                  <c:v>0.35087719298245612</c:v>
                </c:pt>
                <c:pt idx="20">
                  <c:v>0.68965517241379315</c:v>
                </c:pt>
                <c:pt idx="21">
                  <c:v>0.60606060606060608</c:v>
                </c:pt>
                <c:pt idx="22">
                  <c:v>0.54054054054054046</c:v>
                </c:pt>
                <c:pt idx="23">
                  <c:v>0.48780487804878053</c:v>
                </c:pt>
                <c:pt idx="24">
                  <c:v>0.44444444444444442</c:v>
                </c:pt>
                <c:pt idx="25">
                  <c:v>0.4081632653061224</c:v>
                </c:pt>
                <c:pt idx="26">
                  <c:v>0.37735849056603771</c:v>
                </c:pt>
                <c:pt idx="27">
                  <c:v>0.35087719298245612</c:v>
                </c:pt>
                <c:pt idx="28">
                  <c:v>0.32786885245901642</c:v>
                </c:pt>
                <c:pt idx="29">
                  <c:v>0.30769230769230771</c:v>
                </c:pt>
                <c:pt idx="30">
                  <c:v>0.28985507246376813</c:v>
                </c:pt>
                <c:pt idx="31">
                  <c:v>0.27397260273972601</c:v>
                </c:pt>
                <c:pt idx="32">
                  <c:v>0.25974025974025972</c:v>
                </c:pt>
                <c:pt idx="33">
                  <c:v>0.24691358024691354</c:v>
                </c:pt>
                <c:pt idx="34">
                  <c:v>0.23529411764705882</c:v>
                </c:pt>
                <c:pt idx="35">
                  <c:v>0.2247191011235955</c:v>
                </c:pt>
                <c:pt idx="36">
                  <c:v>0.21505376344086019</c:v>
                </c:pt>
                <c:pt idx="37">
                  <c:v>0.2061855670103093</c:v>
                </c:pt>
                <c:pt idx="38">
                  <c:v>0.198019801980198</c:v>
                </c:pt>
                <c:pt idx="39">
                  <c:v>0.19047619047619047</c:v>
                </c:pt>
                <c:pt idx="40">
                  <c:v>0.51282051282051277</c:v>
                </c:pt>
                <c:pt idx="41">
                  <c:v>0.44444444444444442</c:v>
                </c:pt>
                <c:pt idx="42">
                  <c:v>0.39215686274509798</c:v>
                </c:pt>
                <c:pt idx="43">
                  <c:v>0.35087719298245607</c:v>
                </c:pt>
                <c:pt idx="44">
                  <c:v>0.31746031746031744</c:v>
                </c:pt>
                <c:pt idx="45">
                  <c:v>0.28985507246376813</c:v>
                </c:pt>
                <c:pt idx="46">
                  <c:v>0.26666666666666666</c:v>
                </c:pt>
                <c:pt idx="47">
                  <c:v>0.24691358024691354</c:v>
                </c:pt>
                <c:pt idx="48">
                  <c:v>0.22988505747126434</c:v>
                </c:pt>
                <c:pt idx="49">
                  <c:v>0.21505376344086019</c:v>
                </c:pt>
                <c:pt idx="50">
                  <c:v>0.20202020202020202</c:v>
                </c:pt>
                <c:pt idx="51">
                  <c:v>0.19047619047619047</c:v>
                </c:pt>
                <c:pt idx="52">
                  <c:v>0.18018018018018014</c:v>
                </c:pt>
                <c:pt idx="53">
                  <c:v>0.17094017094017092</c:v>
                </c:pt>
                <c:pt idx="54">
                  <c:v>0.16260162601626016</c:v>
                </c:pt>
                <c:pt idx="55">
                  <c:v>0.15503875968992245</c:v>
                </c:pt>
                <c:pt idx="56">
                  <c:v>0.14814814814814814</c:v>
                </c:pt>
                <c:pt idx="57">
                  <c:v>0.14184397163120566</c:v>
                </c:pt>
                <c:pt idx="58">
                  <c:v>0.13605442176870747</c:v>
                </c:pt>
                <c:pt idx="59">
                  <c:v>0.13071895424836602</c:v>
                </c:pt>
                <c:pt idx="60">
                  <c:v>0.4081632653061224</c:v>
                </c:pt>
                <c:pt idx="61">
                  <c:v>0.35087719298245607</c:v>
                </c:pt>
                <c:pt idx="62">
                  <c:v>0.30769230769230765</c:v>
                </c:pt>
                <c:pt idx="63">
                  <c:v>0.27397260273972601</c:v>
                </c:pt>
                <c:pt idx="64">
                  <c:v>0.24691358024691354</c:v>
                </c:pt>
                <c:pt idx="65">
                  <c:v>0.22471910112359544</c:v>
                </c:pt>
                <c:pt idx="66">
                  <c:v>0.20618556701030927</c:v>
                </c:pt>
                <c:pt idx="67">
                  <c:v>0.19047619047619047</c:v>
                </c:pt>
                <c:pt idx="68">
                  <c:v>0.17699115044247787</c:v>
                </c:pt>
                <c:pt idx="69">
                  <c:v>0.16528925619834708</c:v>
                </c:pt>
                <c:pt idx="70">
                  <c:v>0.15503875968992245</c:v>
                </c:pt>
                <c:pt idx="71">
                  <c:v>0.14598540145985398</c:v>
                </c:pt>
                <c:pt idx="72">
                  <c:v>0.13793103448275862</c:v>
                </c:pt>
                <c:pt idx="73">
                  <c:v>0.13071895424836602</c:v>
                </c:pt>
                <c:pt idx="74">
                  <c:v>0.12422360248447203</c:v>
                </c:pt>
                <c:pt idx="75">
                  <c:v>0.11834319526627217</c:v>
                </c:pt>
                <c:pt idx="76">
                  <c:v>0.11299435028248586</c:v>
                </c:pt>
                <c:pt idx="77">
                  <c:v>0.10810810810810811</c:v>
                </c:pt>
                <c:pt idx="78">
                  <c:v>0.10362694300518134</c:v>
                </c:pt>
                <c:pt idx="79">
                  <c:v>9.9502487562189046E-2</c:v>
                </c:pt>
                <c:pt idx="80">
                  <c:v>0.33898305084745761</c:v>
                </c:pt>
                <c:pt idx="81">
                  <c:v>0.28985507246376813</c:v>
                </c:pt>
                <c:pt idx="82">
                  <c:v>0.25316455696202528</c:v>
                </c:pt>
                <c:pt idx="83">
                  <c:v>0.2247191011235955</c:v>
                </c:pt>
                <c:pt idx="84">
                  <c:v>0.20202020202020202</c:v>
                </c:pt>
                <c:pt idx="85">
                  <c:v>0.18348623853211007</c:v>
                </c:pt>
                <c:pt idx="86">
                  <c:v>0.16806722689075629</c:v>
                </c:pt>
                <c:pt idx="87">
                  <c:v>0.15503875968992248</c:v>
                </c:pt>
                <c:pt idx="88">
                  <c:v>0.14388489208633093</c:v>
                </c:pt>
                <c:pt idx="89">
                  <c:v>0.13422818791946309</c:v>
                </c:pt>
                <c:pt idx="90">
                  <c:v>0.12578616352201258</c:v>
                </c:pt>
                <c:pt idx="91">
                  <c:v>0.1183431952662722</c:v>
                </c:pt>
                <c:pt idx="92">
                  <c:v>0.111731843575419</c:v>
                </c:pt>
                <c:pt idx="93">
                  <c:v>0.10582010582010583</c:v>
                </c:pt>
                <c:pt idx="94">
                  <c:v>0.10050251256281408</c:v>
                </c:pt>
                <c:pt idx="95">
                  <c:v>9.569377990430622E-2</c:v>
                </c:pt>
                <c:pt idx="96">
                  <c:v>9.1324200913242018E-2</c:v>
                </c:pt>
                <c:pt idx="97">
                  <c:v>8.7336244541484725E-2</c:v>
                </c:pt>
                <c:pt idx="98">
                  <c:v>8.3682008368200847E-2</c:v>
                </c:pt>
                <c:pt idx="99">
                  <c:v>8.0321285140562249E-2</c:v>
                </c:pt>
                <c:pt idx="100">
                  <c:v>0.28985507246376807</c:v>
                </c:pt>
                <c:pt idx="101">
                  <c:v>0.24691358024691354</c:v>
                </c:pt>
                <c:pt idx="102">
                  <c:v>0.21505376344086019</c:v>
                </c:pt>
                <c:pt idx="103">
                  <c:v>0.19047619047619044</c:v>
                </c:pt>
                <c:pt idx="104">
                  <c:v>0.17094017094017092</c:v>
                </c:pt>
                <c:pt idx="105">
                  <c:v>0.15503875968992245</c:v>
                </c:pt>
                <c:pt idx="106">
                  <c:v>0.14184397163120566</c:v>
                </c:pt>
                <c:pt idx="107">
                  <c:v>0.13071895424836599</c:v>
                </c:pt>
                <c:pt idx="108">
                  <c:v>0.12121212121212122</c:v>
                </c:pt>
                <c:pt idx="109">
                  <c:v>0.11299435028248586</c:v>
                </c:pt>
                <c:pt idx="110">
                  <c:v>0.10582010582010581</c:v>
                </c:pt>
                <c:pt idx="111">
                  <c:v>9.9502487562189046E-2</c:v>
                </c:pt>
                <c:pt idx="112">
                  <c:v>9.3896713615023455E-2</c:v>
                </c:pt>
                <c:pt idx="113">
                  <c:v>8.8888888888888892E-2</c:v>
                </c:pt>
                <c:pt idx="114">
                  <c:v>8.4388185654008435E-2</c:v>
                </c:pt>
                <c:pt idx="115">
                  <c:v>8.0321285140562235E-2</c:v>
                </c:pt>
                <c:pt idx="116">
                  <c:v>7.662835249042145E-2</c:v>
                </c:pt>
                <c:pt idx="117">
                  <c:v>7.326007326007325E-2</c:v>
                </c:pt>
                <c:pt idx="118">
                  <c:v>7.0175438596491224E-2</c:v>
                </c:pt>
                <c:pt idx="119">
                  <c:v>6.7340067340067339E-2</c:v>
                </c:pt>
                <c:pt idx="120">
                  <c:v>0.25316455696202528</c:v>
                </c:pt>
                <c:pt idx="121">
                  <c:v>0.21505376344086019</c:v>
                </c:pt>
                <c:pt idx="122">
                  <c:v>0.18691588785046728</c:v>
                </c:pt>
                <c:pt idx="123">
                  <c:v>0.16528925619834708</c:v>
                </c:pt>
                <c:pt idx="124">
                  <c:v>0.14814814814814814</c:v>
                </c:pt>
                <c:pt idx="125">
                  <c:v>0.13422818791946306</c:v>
                </c:pt>
                <c:pt idx="126">
                  <c:v>0.12269938650306748</c:v>
                </c:pt>
                <c:pt idx="127">
                  <c:v>0.11299435028248586</c:v>
                </c:pt>
                <c:pt idx="128">
                  <c:v>0.10471204188481674</c:v>
                </c:pt>
                <c:pt idx="129">
                  <c:v>9.7560975609756101E-2</c:v>
                </c:pt>
                <c:pt idx="130">
                  <c:v>9.1324200913242004E-2</c:v>
                </c:pt>
                <c:pt idx="131">
                  <c:v>8.5836909871244635E-2</c:v>
                </c:pt>
                <c:pt idx="132">
                  <c:v>8.0971659919028341E-2</c:v>
                </c:pt>
                <c:pt idx="133">
                  <c:v>7.662835249042145E-2</c:v>
                </c:pt>
                <c:pt idx="134">
                  <c:v>7.2727272727272724E-2</c:v>
                </c:pt>
                <c:pt idx="135">
                  <c:v>6.920415224913494E-2</c:v>
                </c:pt>
                <c:pt idx="136">
                  <c:v>6.6006600660066E-2</c:v>
                </c:pt>
                <c:pt idx="137">
                  <c:v>6.3091482649842268E-2</c:v>
                </c:pt>
                <c:pt idx="138">
                  <c:v>6.0422960725075525E-2</c:v>
                </c:pt>
                <c:pt idx="139">
                  <c:v>5.7971014492753624E-2</c:v>
                </c:pt>
                <c:pt idx="140">
                  <c:v>0.2247191011235955</c:v>
                </c:pt>
                <c:pt idx="141">
                  <c:v>0.19047619047619047</c:v>
                </c:pt>
                <c:pt idx="142">
                  <c:v>0.16528925619834708</c:v>
                </c:pt>
                <c:pt idx="143">
                  <c:v>0.145985401459854</c:v>
                </c:pt>
                <c:pt idx="144">
                  <c:v>0.13071895424836602</c:v>
                </c:pt>
                <c:pt idx="145">
                  <c:v>0.11834319526627217</c:v>
                </c:pt>
                <c:pt idx="146">
                  <c:v>0.10810810810810811</c:v>
                </c:pt>
                <c:pt idx="147">
                  <c:v>9.9502487562189046E-2</c:v>
                </c:pt>
                <c:pt idx="148">
                  <c:v>9.216589861751151E-2</c:v>
                </c:pt>
                <c:pt idx="149">
                  <c:v>8.5836909871244635E-2</c:v>
                </c:pt>
                <c:pt idx="150">
                  <c:v>8.0321285140562249E-2</c:v>
                </c:pt>
                <c:pt idx="151">
                  <c:v>7.547169811320753E-2</c:v>
                </c:pt>
                <c:pt idx="152">
                  <c:v>7.1174377224199281E-2</c:v>
                </c:pt>
                <c:pt idx="153">
                  <c:v>6.7340067340067339E-2</c:v>
                </c:pt>
                <c:pt idx="154">
                  <c:v>6.3897763578274758E-2</c:v>
                </c:pt>
                <c:pt idx="155">
                  <c:v>6.0790273556230991E-2</c:v>
                </c:pt>
                <c:pt idx="156">
                  <c:v>5.7971014492753624E-2</c:v>
                </c:pt>
                <c:pt idx="157">
                  <c:v>5.5401662049861494E-2</c:v>
                </c:pt>
                <c:pt idx="158">
                  <c:v>5.305039787798408E-2</c:v>
                </c:pt>
                <c:pt idx="159">
                  <c:v>5.0890585241730284E-2</c:v>
                </c:pt>
                <c:pt idx="160">
                  <c:v>0.20202020202020202</c:v>
                </c:pt>
                <c:pt idx="161">
                  <c:v>0.17094017094017094</c:v>
                </c:pt>
                <c:pt idx="162">
                  <c:v>0.14814814814814814</c:v>
                </c:pt>
                <c:pt idx="163">
                  <c:v>0.13071895424836602</c:v>
                </c:pt>
                <c:pt idx="164">
                  <c:v>0.11695906432748537</c:v>
                </c:pt>
                <c:pt idx="165">
                  <c:v>0.10582010582010583</c:v>
                </c:pt>
                <c:pt idx="166">
                  <c:v>9.661835748792269E-2</c:v>
                </c:pt>
                <c:pt idx="167">
                  <c:v>8.8888888888888892E-2</c:v>
                </c:pt>
                <c:pt idx="168">
                  <c:v>8.2304526748971207E-2</c:v>
                </c:pt>
                <c:pt idx="169">
                  <c:v>7.662835249042145E-2</c:v>
                </c:pt>
                <c:pt idx="170">
                  <c:v>7.1684587813620082E-2</c:v>
                </c:pt>
                <c:pt idx="171">
                  <c:v>6.7340067340067339E-2</c:v>
                </c:pt>
                <c:pt idx="172">
                  <c:v>6.3492063492063489E-2</c:v>
                </c:pt>
                <c:pt idx="173">
                  <c:v>6.0060060060060053E-2</c:v>
                </c:pt>
                <c:pt idx="174">
                  <c:v>5.6980056980056981E-2</c:v>
                </c:pt>
                <c:pt idx="175">
                  <c:v>5.4200542005420058E-2</c:v>
                </c:pt>
                <c:pt idx="176">
                  <c:v>5.1679586563307491E-2</c:v>
                </c:pt>
                <c:pt idx="177">
                  <c:v>4.9382716049382713E-2</c:v>
                </c:pt>
                <c:pt idx="178">
                  <c:v>4.728132387706855E-2</c:v>
                </c:pt>
                <c:pt idx="179">
                  <c:v>4.5351473922902494E-2</c:v>
                </c:pt>
                <c:pt idx="180">
                  <c:v>0.18348623853211007</c:v>
                </c:pt>
                <c:pt idx="181">
                  <c:v>0.15503875968992248</c:v>
                </c:pt>
                <c:pt idx="182">
                  <c:v>0.13422818791946309</c:v>
                </c:pt>
                <c:pt idx="183">
                  <c:v>0.1183431952662722</c:v>
                </c:pt>
                <c:pt idx="184">
                  <c:v>0.10582010582010583</c:v>
                </c:pt>
                <c:pt idx="185">
                  <c:v>9.569377990430622E-2</c:v>
                </c:pt>
                <c:pt idx="186">
                  <c:v>8.7336244541484725E-2</c:v>
                </c:pt>
                <c:pt idx="187">
                  <c:v>8.0321285140562249E-2</c:v>
                </c:pt>
                <c:pt idx="188">
                  <c:v>7.434944237918216E-2</c:v>
                </c:pt>
                <c:pt idx="189">
                  <c:v>6.9204152249134954E-2</c:v>
                </c:pt>
                <c:pt idx="190">
                  <c:v>6.4724919093851141E-2</c:v>
                </c:pt>
                <c:pt idx="191">
                  <c:v>6.0790273556231005E-2</c:v>
                </c:pt>
                <c:pt idx="192">
                  <c:v>5.730659025787966E-2</c:v>
                </c:pt>
                <c:pt idx="193">
                  <c:v>5.4200542005420058E-2</c:v>
                </c:pt>
                <c:pt idx="194">
                  <c:v>5.1413881748071981E-2</c:v>
                </c:pt>
                <c:pt idx="195">
                  <c:v>4.8899755501222497E-2</c:v>
                </c:pt>
                <c:pt idx="196">
                  <c:v>4.6620046620046623E-2</c:v>
                </c:pt>
                <c:pt idx="197">
                  <c:v>4.4543429844097995E-2</c:v>
                </c:pt>
                <c:pt idx="198">
                  <c:v>4.2643923240938165E-2</c:v>
                </c:pt>
                <c:pt idx="199">
                  <c:v>4.0899795501022497E-2</c:v>
                </c:pt>
                <c:pt idx="200">
                  <c:v>0.16806722689075626</c:v>
                </c:pt>
                <c:pt idx="201">
                  <c:v>0.14184397163120566</c:v>
                </c:pt>
                <c:pt idx="202">
                  <c:v>0.12269938650306748</c:v>
                </c:pt>
                <c:pt idx="203">
                  <c:v>0.10810810810810811</c:v>
                </c:pt>
                <c:pt idx="204">
                  <c:v>9.661835748792269E-2</c:v>
                </c:pt>
                <c:pt idx="205">
                  <c:v>8.7336244541484712E-2</c:v>
                </c:pt>
                <c:pt idx="206">
                  <c:v>7.9681274900398405E-2</c:v>
                </c:pt>
                <c:pt idx="207">
                  <c:v>7.326007326007325E-2</c:v>
                </c:pt>
                <c:pt idx="208">
                  <c:v>6.7796610169491525E-2</c:v>
                </c:pt>
                <c:pt idx="209">
                  <c:v>6.3091482649842268E-2</c:v>
                </c:pt>
                <c:pt idx="210">
                  <c:v>5.8997050147492618E-2</c:v>
                </c:pt>
                <c:pt idx="211">
                  <c:v>5.5401662049861494E-2</c:v>
                </c:pt>
                <c:pt idx="212">
                  <c:v>5.2219321148825062E-2</c:v>
                </c:pt>
                <c:pt idx="213">
                  <c:v>4.9382716049382713E-2</c:v>
                </c:pt>
                <c:pt idx="214">
                  <c:v>4.6838407494145196E-2</c:v>
                </c:pt>
                <c:pt idx="215">
                  <c:v>4.4543429844097988E-2</c:v>
                </c:pt>
                <c:pt idx="216">
                  <c:v>4.2462845010615709E-2</c:v>
                </c:pt>
                <c:pt idx="217">
                  <c:v>4.0567951318458417E-2</c:v>
                </c:pt>
                <c:pt idx="218">
                  <c:v>3.8834951456310676E-2</c:v>
                </c:pt>
                <c:pt idx="219">
                  <c:v>3.7243947858472994E-2</c:v>
                </c:pt>
                <c:pt idx="220">
                  <c:v>0.15503875968992245</c:v>
                </c:pt>
                <c:pt idx="221">
                  <c:v>0.13071895424836599</c:v>
                </c:pt>
                <c:pt idx="222">
                  <c:v>0.11299435028248586</c:v>
                </c:pt>
                <c:pt idx="223">
                  <c:v>9.9502487562189046E-2</c:v>
                </c:pt>
                <c:pt idx="224">
                  <c:v>8.8888888888888892E-2</c:v>
                </c:pt>
                <c:pt idx="225">
                  <c:v>8.0321285140562249E-2</c:v>
                </c:pt>
                <c:pt idx="226">
                  <c:v>7.326007326007325E-2</c:v>
                </c:pt>
                <c:pt idx="227">
                  <c:v>6.7340067340067339E-2</c:v>
                </c:pt>
                <c:pt idx="228">
                  <c:v>6.2305295950155763E-2</c:v>
                </c:pt>
                <c:pt idx="229">
                  <c:v>5.7971014492753624E-2</c:v>
                </c:pt>
                <c:pt idx="230">
                  <c:v>5.4200542005420044E-2</c:v>
                </c:pt>
                <c:pt idx="231">
                  <c:v>5.0890585241730277E-2</c:v>
                </c:pt>
                <c:pt idx="232">
                  <c:v>4.7961630695443645E-2</c:v>
                </c:pt>
                <c:pt idx="233">
                  <c:v>4.5351473922902494E-2</c:v>
                </c:pt>
                <c:pt idx="234">
                  <c:v>4.3010752688172046E-2</c:v>
                </c:pt>
                <c:pt idx="235">
                  <c:v>4.089979550102249E-2</c:v>
                </c:pt>
                <c:pt idx="236">
                  <c:v>3.8986354775828458E-2</c:v>
                </c:pt>
                <c:pt idx="237">
                  <c:v>3.7243947858472994E-2</c:v>
                </c:pt>
                <c:pt idx="238">
                  <c:v>3.5650623885918005E-2</c:v>
                </c:pt>
                <c:pt idx="239">
                  <c:v>3.4188034188034191E-2</c:v>
                </c:pt>
                <c:pt idx="240">
                  <c:v>0.14388489208633093</c:v>
                </c:pt>
                <c:pt idx="241">
                  <c:v>0.12121212121212122</c:v>
                </c:pt>
                <c:pt idx="242">
                  <c:v>0.10471204188481674</c:v>
                </c:pt>
                <c:pt idx="243">
                  <c:v>9.216589861751151E-2</c:v>
                </c:pt>
                <c:pt idx="244">
                  <c:v>8.2304526748971193E-2</c:v>
                </c:pt>
                <c:pt idx="245">
                  <c:v>7.4349442379182146E-2</c:v>
                </c:pt>
                <c:pt idx="246">
                  <c:v>6.7796610169491525E-2</c:v>
                </c:pt>
                <c:pt idx="247">
                  <c:v>6.2305295950155763E-2</c:v>
                </c:pt>
                <c:pt idx="248">
                  <c:v>5.7636887608069162E-2</c:v>
                </c:pt>
                <c:pt idx="249">
                  <c:v>5.3619302949061663E-2</c:v>
                </c:pt>
                <c:pt idx="250">
                  <c:v>5.012531328320801E-2</c:v>
                </c:pt>
                <c:pt idx="251">
                  <c:v>4.7058823529411764E-2</c:v>
                </c:pt>
                <c:pt idx="252">
                  <c:v>4.4345898004434579E-2</c:v>
                </c:pt>
                <c:pt idx="253">
                  <c:v>4.1928721174004188E-2</c:v>
                </c:pt>
                <c:pt idx="254">
                  <c:v>3.9761431411530816E-2</c:v>
                </c:pt>
                <c:pt idx="255">
                  <c:v>3.7807183364839313E-2</c:v>
                </c:pt>
                <c:pt idx="256">
                  <c:v>3.6036036036036036E-2</c:v>
                </c:pt>
                <c:pt idx="257">
                  <c:v>3.4423407917383818E-2</c:v>
                </c:pt>
                <c:pt idx="258">
                  <c:v>3.2948929159802305E-2</c:v>
                </c:pt>
                <c:pt idx="259">
                  <c:v>3.1595576619273306E-2</c:v>
                </c:pt>
                <c:pt idx="260">
                  <c:v>0.13422818791946306</c:v>
                </c:pt>
                <c:pt idx="261">
                  <c:v>0.11299435028248586</c:v>
                </c:pt>
                <c:pt idx="262">
                  <c:v>9.7560975609756101E-2</c:v>
                </c:pt>
                <c:pt idx="263">
                  <c:v>8.5836909871244621E-2</c:v>
                </c:pt>
                <c:pt idx="264">
                  <c:v>7.662835249042145E-2</c:v>
                </c:pt>
                <c:pt idx="265">
                  <c:v>6.920415224913494E-2</c:v>
                </c:pt>
                <c:pt idx="266">
                  <c:v>6.3091482649842268E-2</c:v>
                </c:pt>
                <c:pt idx="267">
                  <c:v>5.7971014492753624E-2</c:v>
                </c:pt>
                <c:pt idx="268">
                  <c:v>5.3619302949061656E-2</c:v>
                </c:pt>
                <c:pt idx="269">
                  <c:v>4.987531172069825E-2</c:v>
                </c:pt>
                <c:pt idx="270">
                  <c:v>4.6620046620046617E-2</c:v>
                </c:pt>
                <c:pt idx="271">
                  <c:v>4.3763676148796497E-2</c:v>
                </c:pt>
                <c:pt idx="272">
                  <c:v>4.1237113402061855E-2</c:v>
                </c:pt>
                <c:pt idx="273">
                  <c:v>3.8986354775828458E-2</c:v>
                </c:pt>
                <c:pt idx="274">
                  <c:v>3.6968576709796669E-2</c:v>
                </c:pt>
                <c:pt idx="275">
                  <c:v>3.5149384885764495E-2</c:v>
                </c:pt>
                <c:pt idx="276">
                  <c:v>3.350083752093802E-2</c:v>
                </c:pt>
                <c:pt idx="277">
                  <c:v>3.1999999999999994E-2</c:v>
                </c:pt>
                <c:pt idx="278">
                  <c:v>3.0627871362940269E-2</c:v>
                </c:pt>
                <c:pt idx="279">
                  <c:v>2.9368575624082235E-2</c:v>
                </c:pt>
                <c:pt idx="280">
                  <c:v>0.12578616352201258</c:v>
                </c:pt>
                <c:pt idx="281">
                  <c:v>0.10582010582010583</c:v>
                </c:pt>
                <c:pt idx="282">
                  <c:v>9.1324200913242018E-2</c:v>
                </c:pt>
                <c:pt idx="283">
                  <c:v>8.0321285140562249E-2</c:v>
                </c:pt>
                <c:pt idx="284">
                  <c:v>7.1684587813620082E-2</c:v>
                </c:pt>
                <c:pt idx="285">
                  <c:v>6.4724919093851141E-2</c:v>
                </c:pt>
                <c:pt idx="286">
                  <c:v>5.8997050147492625E-2</c:v>
                </c:pt>
                <c:pt idx="287">
                  <c:v>5.4200542005420058E-2</c:v>
                </c:pt>
                <c:pt idx="288">
                  <c:v>5.0125313283208024E-2</c:v>
                </c:pt>
                <c:pt idx="289">
                  <c:v>4.6620046620046623E-2</c:v>
                </c:pt>
                <c:pt idx="290">
                  <c:v>4.357298474945534E-2</c:v>
                </c:pt>
                <c:pt idx="291">
                  <c:v>4.0899795501022497E-2</c:v>
                </c:pt>
                <c:pt idx="292">
                  <c:v>3.8535645472061661E-2</c:v>
                </c:pt>
                <c:pt idx="293">
                  <c:v>3.6429872495446269E-2</c:v>
                </c:pt>
                <c:pt idx="294">
                  <c:v>3.4542314335060449E-2</c:v>
                </c:pt>
                <c:pt idx="295">
                  <c:v>3.2840722495894911E-2</c:v>
                </c:pt>
                <c:pt idx="296">
                  <c:v>3.1298904538341159E-2</c:v>
                </c:pt>
                <c:pt idx="297">
                  <c:v>2.9895366218236172E-2</c:v>
                </c:pt>
                <c:pt idx="298">
                  <c:v>2.8612303290414875E-2</c:v>
                </c:pt>
                <c:pt idx="299">
                  <c:v>2.7434842249657063E-2</c:v>
                </c:pt>
                <c:pt idx="300">
                  <c:v>0.11834319526627217</c:v>
                </c:pt>
                <c:pt idx="301">
                  <c:v>9.9502487562189046E-2</c:v>
                </c:pt>
                <c:pt idx="302">
                  <c:v>8.5836909871244621E-2</c:v>
                </c:pt>
                <c:pt idx="303">
                  <c:v>7.5471698113207544E-2</c:v>
                </c:pt>
                <c:pt idx="304">
                  <c:v>6.7340067340067339E-2</c:v>
                </c:pt>
                <c:pt idx="305">
                  <c:v>6.0790273556230991E-2</c:v>
                </c:pt>
                <c:pt idx="306">
                  <c:v>5.5401662049861494E-2</c:v>
                </c:pt>
                <c:pt idx="307">
                  <c:v>5.0890585241730277E-2</c:v>
                </c:pt>
                <c:pt idx="308">
                  <c:v>4.7058823529411764E-2</c:v>
                </c:pt>
                <c:pt idx="309">
                  <c:v>4.3763676148796497E-2</c:v>
                </c:pt>
                <c:pt idx="310">
                  <c:v>4.089979550102249E-2</c:v>
                </c:pt>
                <c:pt idx="311">
                  <c:v>3.8387715930902108E-2</c:v>
                </c:pt>
                <c:pt idx="312">
                  <c:v>3.6166365280289325E-2</c:v>
                </c:pt>
                <c:pt idx="313">
                  <c:v>3.4188034188034185E-2</c:v>
                </c:pt>
                <c:pt idx="314">
                  <c:v>3.2414910858995137E-2</c:v>
                </c:pt>
                <c:pt idx="315">
                  <c:v>3.0816640986132508E-2</c:v>
                </c:pt>
                <c:pt idx="316">
                  <c:v>2.9368575624082228E-2</c:v>
                </c:pt>
                <c:pt idx="317">
                  <c:v>2.8050490883590466E-2</c:v>
                </c:pt>
                <c:pt idx="318">
                  <c:v>2.6845637583892617E-2</c:v>
                </c:pt>
                <c:pt idx="319">
                  <c:v>2.5740025740025738E-2</c:v>
                </c:pt>
                <c:pt idx="320">
                  <c:v>0.11173184357541899</c:v>
                </c:pt>
                <c:pt idx="321">
                  <c:v>9.3896713615023455E-2</c:v>
                </c:pt>
                <c:pt idx="322">
                  <c:v>8.0971659919028327E-2</c:v>
                </c:pt>
                <c:pt idx="323">
                  <c:v>7.1174377224199281E-2</c:v>
                </c:pt>
                <c:pt idx="324">
                  <c:v>6.3492063492063489E-2</c:v>
                </c:pt>
                <c:pt idx="325">
                  <c:v>5.7306590257879646E-2</c:v>
                </c:pt>
                <c:pt idx="326">
                  <c:v>5.2219321148825062E-2</c:v>
                </c:pt>
                <c:pt idx="327">
                  <c:v>4.7961630695443645E-2</c:v>
                </c:pt>
                <c:pt idx="328">
                  <c:v>4.4345898004434586E-2</c:v>
                </c:pt>
                <c:pt idx="329">
                  <c:v>4.1237113402061855E-2</c:v>
                </c:pt>
                <c:pt idx="330">
                  <c:v>3.8535645472061661E-2</c:v>
                </c:pt>
                <c:pt idx="331">
                  <c:v>3.6166365280289325E-2</c:v>
                </c:pt>
                <c:pt idx="332">
                  <c:v>3.4071550255536626E-2</c:v>
                </c:pt>
                <c:pt idx="333">
                  <c:v>3.2206119162640899E-2</c:v>
                </c:pt>
                <c:pt idx="334">
                  <c:v>3.0534351145038167E-2</c:v>
                </c:pt>
                <c:pt idx="335">
                  <c:v>2.9027576197387515E-2</c:v>
                </c:pt>
                <c:pt idx="336">
                  <c:v>2.7662517289073301E-2</c:v>
                </c:pt>
                <c:pt idx="337">
                  <c:v>2.6420079260237778E-2</c:v>
                </c:pt>
                <c:pt idx="338">
                  <c:v>2.5284450063211124E-2</c:v>
                </c:pt>
                <c:pt idx="339">
                  <c:v>2.4242424242424242E-2</c:v>
                </c:pt>
                <c:pt idx="340">
                  <c:v>0.10582010582010581</c:v>
                </c:pt>
                <c:pt idx="341">
                  <c:v>8.8888888888888892E-2</c:v>
                </c:pt>
                <c:pt idx="342">
                  <c:v>7.662835249042145E-2</c:v>
                </c:pt>
                <c:pt idx="343">
                  <c:v>6.7340067340067339E-2</c:v>
                </c:pt>
                <c:pt idx="344">
                  <c:v>6.0060060060060066E-2</c:v>
                </c:pt>
                <c:pt idx="345">
                  <c:v>5.4200542005420044E-2</c:v>
                </c:pt>
                <c:pt idx="346">
                  <c:v>4.9382716049382713E-2</c:v>
                </c:pt>
                <c:pt idx="347">
                  <c:v>4.5351473922902494E-2</c:v>
                </c:pt>
                <c:pt idx="348">
                  <c:v>4.1928721174004188E-2</c:v>
                </c:pt>
                <c:pt idx="349">
                  <c:v>3.8986354775828465E-2</c:v>
                </c:pt>
                <c:pt idx="350">
                  <c:v>3.6429872495446262E-2</c:v>
                </c:pt>
                <c:pt idx="351">
                  <c:v>3.4188034188034191E-2</c:v>
                </c:pt>
                <c:pt idx="352">
                  <c:v>3.2206119162640899E-2</c:v>
                </c:pt>
                <c:pt idx="353">
                  <c:v>3.0441400304414001E-2</c:v>
                </c:pt>
                <c:pt idx="354">
                  <c:v>2.886002886002886E-2</c:v>
                </c:pt>
                <c:pt idx="355">
                  <c:v>2.7434842249657063E-2</c:v>
                </c:pt>
                <c:pt idx="356">
                  <c:v>2.6143790849673203E-2</c:v>
                </c:pt>
                <c:pt idx="357">
                  <c:v>2.4968789013732836E-2</c:v>
                </c:pt>
                <c:pt idx="358">
                  <c:v>2.3894862604540022E-2</c:v>
                </c:pt>
                <c:pt idx="359">
                  <c:v>2.2909507445589922E-2</c:v>
                </c:pt>
                <c:pt idx="360">
                  <c:v>0.10050251256281406</c:v>
                </c:pt>
                <c:pt idx="361">
                  <c:v>8.4388185654008435E-2</c:v>
                </c:pt>
                <c:pt idx="362">
                  <c:v>7.2727272727272724E-2</c:v>
                </c:pt>
                <c:pt idx="363">
                  <c:v>6.3897763578274758E-2</c:v>
                </c:pt>
                <c:pt idx="364">
                  <c:v>5.6980056980056981E-2</c:v>
                </c:pt>
                <c:pt idx="365">
                  <c:v>5.1413881748071974E-2</c:v>
                </c:pt>
                <c:pt idx="366">
                  <c:v>4.6838407494145196E-2</c:v>
                </c:pt>
                <c:pt idx="367">
                  <c:v>4.3010752688172046E-2</c:v>
                </c:pt>
                <c:pt idx="368">
                  <c:v>3.9761431411530809E-2</c:v>
                </c:pt>
                <c:pt idx="369">
                  <c:v>3.6968576709796669E-2</c:v>
                </c:pt>
                <c:pt idx="370">
                  <c:v>3.4542314335060442E-2</c:v>
                </c:pt>
                <c:pt idx="371">
                  <c:v>3.2414910858995137E-2</c:v>
                </c:pt>
                <c:pt idx="372">
                  <c:v>3.0534351145038167E-2</c:v>
                </c:pt>
                <c:pt idx="373">
                  <c:v>2.8860028860028857E-2</c:v>
                </c:pt>
                <c:pt idx="374">
                  <c:v>2.7359781121751029E-2</c:v>
                </c:pt>
                <c:pt idx="375">
                  <c:v>2.600780234070221E-2</c:v>
                </c:pt>
                <c:pt idx="376">
                  <c:v>2.478314745972738E-2</c:v>
                </c:pt>
                <c:pt idx="377">
                  <c:v>2.3668639053254437E-2</c:v>
                </c:pt>
                <c:pt idx="378">
                  <c:v>2.2650056625141558E-2</c:v>
                </c:pt>
                <c:pt idx="379">
                  <c:v>2.171552660152009E-2</c:v>
                </c:pt>
                <c:pt idx="380">
                  <c:v>9.569377990430622E-2</c:v>
                </c:pt>
                <c:pt idx="381">
                  <c:v>8.0321285140562249E-2</c:v>
                </c:pt>
                <c:pt idx="382">
                  <c:v>6.9204152249134954E-2</c:v>
                </c:pt>
                <c:pt idx="383">
                  <c:v>6.0790273556231005E-2</c:v>
                </c:pt>
                <c:pt idx="384">
                  <c:v>5.4200542005420058E-2</c:v>
                </c:pt>
                <c:pt idx="385">
                  <c:v>4.8899755501222497E-2</c:v>
                </c:pt>
                <c:pt idx="386">
                  <c:v>4.4543429844097995E-2</c:v>
                </c:pt>
                <c:pt idx="387">
                  <c:v>4.0899795501022497E-2</c:v>
                </c:pt>
                <c:pt idx="388">
                  <c:v>3.780718336483932E-2</c:v>
                </c:pt>
                <c:pt idx="389">
                  <c:v>3.5149384885764502E-2</c:v>
                </c:pt>
                <c:pt idx="390">
                  <c:v>3.2840722495894911E-2</c:v>
                </c:pt>
                <c:pt idx="391">
                  <c:v>3.0816640986132508E-2</c:v>
                </c:pt>
                <c:pt idx="392">
                  <c:v>2.9027576197387515E-2</c:v>
                </c:pt>
                <c:pt idx="393">
                  <c:v>2.7434842249657063E-2</c:v>
                </c:pt>
                <c:pt idx="394">
                  <c:v>2.600780234070221E-2</c:v>
                </c:pt>
                <c:pt idx="395">
                  <c:v>2.4721878862793572E-2</c:v>
                </c:pt>
                <c:pt idx="396">
                  <c:v>2.3557126030624261E-2</c:v>
                </c:pt>
                <c:pt idx="397">
                  <c:v>2.2497187851518559E-2</c:v>
                </c:pt>
                <c:pt idx="398">
                  <c:v>2.1528525296017221E-2</c:v>
                </c:pt>
                <c:pt idx="399">
                  <c:v>2.063983488132095E-2</c:v>
                </c:pt>
                <c:pt idx="400">
                  <c:v>9.1324200913242018E-2</c:v>
                </c:pt>
                <c:pt idx="401">
                  <c:v>7.662835249042145E-2</c:v>
                </c:pt>
                <c:pt idx="402">
                  <c:v>6.6006600660066E-2</c:v>
                </c:pt>
                <c:pt idx="403">
                  <c:v>5.7971014492753624E-2</c:v>
                </c:pt>
                <c:pt idx="404">
                  <c:v>5.1679586563307491E-2</c:v>
                </c:pt>
                <c:pt idx="405">
                  <c:v>4.6620046620046617E-2</c:v>
                </c:pt>
                <c:pt idx="406">
                  <c:v>4.2462845010615709E-2</c:v>
                </c:pt>
                <c:pt idx="407">
                  <c:v>3.8986354775828465E-2</c:v>
                </c:pt>
                <c:pt idx="408">
                  <c:v>3.6036036036036036E-2</c:v>
                </c:pt>
                <c:pt idx="409">
                  <c:v>3.350083752093802E-2</c:v>
                </c:pt>
                <c:pt idx="410">
                  <c:v>3.1298904538341152E-2</c:v>
                </c:pt>
                <c:pt idx="411">
                  <c:v>2.9368575624082228E-2</c:v>
                </c:pt>
                <c:pt idx="412">
                  <c:v>2.7662517289073308E-2</c:v>
                </c:pt>
                <c:pt idx="413">
                  <c:v>2.6143790849673203E-2</c:v>
                </c:pt>
                <c:pt idx="414">
                  <c:v>2.4783147459727383E-2</c:v>
                </c:pt>
                <c:pt idx="415">
                  <c:v>2.3557126030624261E-2</c:v>
                </c:pt>
                <c:pt idx="416">
                  <c:v>2.2446689113355778E-2</c:v>
                </c:pt>
                <c:pt idx="417">
                  <c:v>2.1436227224008571E-2</c:v>
                </c:pt>
                <c:pt idx="418">
                  <c:v>2.0512820512820509E-2</c:v>
                </c:pt>
                <c:pt idx="419">
                  <c:v>1.966568338249754E-2</c:v>
                </c:pt>
                <c:pt idx="420">
                  <c:v>8.7336244541484725E-2</c:v>
                </c:pt>
                <c:pt idx="421">
                  <c:v>7.3260073260073263E-2</c:v>
                </c:pt>
                <c:pt idx="422">
                  <c:v>6.3091482649842268E-2</c:v>
                </c:pt>
                <c:pt idx="423">
                  <c:v>5.5401662049861494E-2</c:v>
                </c:pt>
                <c:pt idx="424">
                  <c:v>4.9382716049382713E-2</c:v>
                </c:pt>
                <c:pt idx="425">
                  <c:v>4.4543429844097988E-2</c:v>
                </c:pt>
                <c:pt idx="426">
                  <c:v>4.0567951318458417E-2</c:v>
                </c:pt>
                <c:pt idx="427">
                  <c:v>3.7243947858472994E-2</c:v>
                </c:pt>
                <c:pt idx="428">
                  <c:v>3.4423407917383818E-2</c:v>
                </c:pt>
                <c:pt idx="429">
                  <c:v>3.2000000000000001E-2</c:v>
                </c:pt>
                <c:pt idx="430">
                  <c:v>2.9895366218236172E-2</c:v>
                </c:pt>
                <c:pt idx="431">
                  <c:v>2.8050490883590459E-2</c:v>
                </c:pt>
                <c:pt idx="432">
                  <c:v>2.6420079260237778E-2</c:v>
                </c:pt>
                <c:pt idx="433">
                  <c:v>2.4968789013732836E-2</c:v>
                </c:pt>
                <c:pt idx="434">
                  <c:v>2.3668639053254437E-2</c:v>
                </c:pt>
                <c:pt idx="435">
                  <c:v>2.2497187851518559E-2</c:v>
                </c:pt>
                <c:pt idx="436">
                  <c:v>2.1436227224008574E-2</c:v>
                </c:pt>
                <c:pt idx="437">
                  <c:v>2.0470829068577275E-2</c:v>
                </c:pt>
                <c:pt idx="438">
                  <c:v>1.958863858961802E-2</c:v>
                </c:pt>
                <c:pt idx="439">
                  <c:v>1.8779342723004695E-2</c:v>
                </c:pt>
                <c:pt idx="440">
                  <c:v>8.3682008368200833E-2</c:v>
                </c:pt>
                <c:pt idx="441">
                  <c:v>7.0175438596491224E-2</c:v>
                </c:pt>
                <c:pt idx="442">
                  <c:v>6.0422960725075525E-2</c:v>
                </c:pt>
                <c:pt idx="443">
                  <c:v>5.305039787798408E-2</c:v>
                </c:pt>
                <c:pt idx="444">
                  <c:v>4.7281323877068564E-2</c:v>
                </c:pt>
                <c:pt idx="445">
                  <c:v>4.2643923240938159E-2</c:v>
                </c:pt>
                <c:pt idx="446">
                  <c:v>3.8834951456310676E-2</c:v>
                </c:pt>
                <c:pt idx="447">
                  <c:v>3.5650623885917998E-2</c:v>
                </c:pt>
                <c:pt idx="448">
                  <c:v>3.2948929159802305E-2</c:v>
                </c:pt>
                <c:pt idx="449">
                  <c:v>3.0627871362940276E-2</c:v>
                </c:pt>
                <c:pt idx="450">
                  <c:v>2.8612303290414875E-2</c:v>
                </c:pt>
                <c:pt idx="451">
                  <c:v>2.6845637583892617E-2</c:v>
                </c:pt>
                <c:pt idx="452">
                  <c:v>2.5284450063211124E-2</c:v>
                </c:pt>
                <c:pt idx="453">
                  <c:v>2.3894862604540022E-2</c:v>
                </c:pt>
                <c:pt idx="454">
                  <c:v>2.2650056625141565E-2</c:v>
                </c:pt>
                <c:pt idx="455">
                  <c:v>2.1528525296017221E-2</c:v>
                </c:pt>
                <c:pt idx="456">
                  <c:v>2.0512820512820513E-2</c:v>
                </c:pt>
                <c:pt idx="457">
                  <c:v>1.958863858961802E-2</c:v>
                </c:pt>
                <c:pt idx="458">
                  <c:v>1.874414245548266E-2</c:v>
                </c:pt>
                <c:pt idx="459">
                  <c:v>1.7969451931716084E-2</c:v>
                </c:pt>
                <c:pt idx="460">
                  <c:v>8.0321285140562249E-2</c:v>
                </c:pt>
                <c:pt idx="461">
                  <c:v>6.7340067340067339E-2</c:v>
                </c:pt>
                <c:pt idx="462">
                  <c:v>5.7971014492753624E-2</c:v>
                </c:pt>
                <c:pt idx="463">
                  <c:v>5.0890585241730277E-2</c:v>
                </c:pt>
                <c:pt idx="464">
                  <c:v>4.5351473922902494E-2</c:v>
                </c:pt>
                <c:pt idx="465">
                  <c:v>4.089979550102249E-2</c:v>
                </c:pt>
                <c:pt idx="466">
                  <c:v>3.7243947858472994E-2</c:v>
                </c:pt>
                <c:pt idx="467">
                  <c:v>3.4188034188034185E-2</c:v>
                </c:pt>
                <c:pt idx="468">
                  <c:v>3.15955766192733E-2</c:v>
                </c:pt>
                <c:pt idx="469">
                  <c:v>2.9368575624082235E-2</c:v>
                </c:pt>
                <c:pt idx="470">
                  <c:v>2.7434842249657063E-2</c:v>
                </c:pt>
                <c:pt idx="471">
                  <c:v>2.5740025740025738E-2</c:v>
                </c:pt>
                <c:pt idx="472">
                  <c:v>2.4242424242424242E-2</c:v>
                </c:pt>
                <c:pt idx="473">
                  <c:v>2.2909507445589918E-2</c:v>
                </c:pt>
                <c:pt idx="474">
                  <c:v>2.171552660152009E-2</c:v>
                </c:pt>
                <c:pt idx="475">
                  <c:v>2.063983488132095E-2</c:v>
                </c:pt>
                <c:pt idx="476">
                  <c:v>1.9665683382497537E-2</c:v>
                </c:pt>
                <c:pt idx="477">
                  <c:v>1.8779342723004695E-2</c:v>
                </c:pt>
                <c:pt idx="478">
                  <c:v>1.796945193171608E-2</c:v>
                </c:pt>
                <c:pt idx="479">
                  <c:v>1.7226528854435832E-2</c:v>
                </c:pt>
                <c:pt idx="480">
                  <c:v>7.7220077220077218E-2</c:v>
                </c:pt>
                <c:pt idx="481">
                  <c:v>6.4724919093851141E-2</c:v>
                </c:pt>
                <c:pt idx="482">
                  <c:v>5.5710306406685242E-2</c:v>
                </c:pt>
                <c:pt idx="483">
                  <c:v>4.8899755501222497E-2</c:v>
                </c:pt>
                <c:pt idx="484">
                  <c:v>4.357298474945534E-2</c:v>
                </c:pt>
                <c:pt idx="485">
                  <c:v>3.9292730844793712E-2</c:v>
                </c:pt>
                <c:pt idx="486">
                  <c:v>3.5778175313059032E-2</c:v>
                </c:pt>
                <c:pt idx="487">
                  <c:v>3.2840722495894911E-2</c:v>
                </c:pt>
                <c:pt idx="488">
                  <c:v>3.0349013657056143E-2</c:v>
                </c:pt>
                <c:pt idx="489">
                  <c:v>2.8208744710860365E-2</c:v>
                </c:pt>
                <c:pt idx="490">
                  <c:v>2.6350461133069828E-2</c:v>
                </c:pt>
                <c:pt idx="491">
                  <c:v>2.4721878862793572E-2</c:v>
                </c:pt>
                <c:pt idx="492">
                  <c:v>2.3282887077997669E-2</c:v>
                </c:pt>
                <c:pt idx="493">
                  <c:v>2.2002200220022E-2</c:v>
                </c:pt>
                <c:pt idx="494">
                  <c:v>2.0855057351407715E-2</c:v>
                </c:pt>
                <c:pt idx="495">
                  <c:v>1.9821605550049554E-2</c:v>
                </c:pt>
                <c:pt idx="496">
                  <c:v>1.8885741265344664E-2</c:v>
                </c:pt>
                <c:pt idx="497">
                  <c:v>1.8034265103697024E-2</c:v>
                </c:pt>
                <c:pt idx="498">
                  <c:v>1.7256255392579811E-2</c:v>
                </c:pt>
                <c:pt idx="499">
                  <c:v>1.6542597187758478E-2</c:v>
                </c:pt>
                <c:pt idx="500">
                  <c:v>7.434944237918216E-2</c:v>
                </c:pt>
                <c:pt idx="501">
                  <c:v>6.2305295950155763E-2</c:v>
                </c:pt>
                <c:pt idx="502">
                  <c:v>5.3619302949061663E-2</c:v>
                </c:pt>
                <c:pt idx="503">
                  <c:v>4.7058823529411764E-2</c:v>
                </c:pt>
                <c:pt idx="504">
                  <c:v>4.1928721174004188E-2</c:v>
                </c:pt>
                <c:pt idx="505">
                  <c:v>3.7807183364839313E-2</c:v>
                </c:pt>
                <c:pt idx="506">
                  <c:v>3.4423407917383825E-2</c:v>
                </c:pt>
                <c:pt idx="507">
                  <c:v>3.1595576619273306E-2</c:v>
                </c:pt>
                <c:pt idx="508">
                  <c:v>2.9197080291970802E-2</c:v>
                </c:pt>
                <c:pt idx="509">
                  <c:v>2.7137042062415195E-2</c:v>
                </c:pt>
                <c:pt idx="510">
                  <c:v>2.5348542458808618E-2</c:v>
                </c:pt>
                <c:pt idx="511">
                  <c:v>2.3781212841854932E-2</c:v>
                </c:pt>
                <c:pt idx="512">
                  <c:v>2.239641657334826E-2</c:v>
                </c:pt>
                <c:pt idx="513">
                  <c:v>2.1164021164021163E-2</c:v>
                </c:pt>
                <c:pt idx="514">
                  <c:v>2.0060180541624874E-2</c:v>
                </c:pt>
                <c:pt idx="515">
                  <c:v>1.9065776930409912E-2</c:v>
                </c:pt>
                <c:pt idx="516">
                  <c:v>1.8165304268846501E-2</c:v>
                </c:pt>
                <c:pt idx="517">
                  <c:v>1.7346053772766695E-2</c:v>
                </c:pt>
                <c:pt idx="518">
                  <c:v>1.659751037344398E-2</c:v>
                </c:pt>
                <c:pt idx="519">
                  <c:v>1.5910898965791568E-2</c:v>
                </c:pt>
                <c:pt idx="520">
                  <c:v>7.1684587813620082E-2</c:v>
                </c:pt>
                <c:pt idx="521">
                  <c:v>6.0060060060060066E-2</c:v>
                </c:pt>
                <c:pt idx="522">
                  <c:v>5.1679586563307491E-2</c:v>
                </c:pt>
                <c:pt idx="523">
                  <c:v>4.5351473922902494E-2</c:v>
                </c:pt>
                <c:pt idx="524">
                  <c:v>4.0404040404040407E-2</c:v>
                </c:pt>
                <c:pt idx="525">
                  <c:v>3.6429872495446269E-2</c:v>
                </c:pt>
                <c:pt idx="526">
                  <c:v>3.3167495854063013E-2</c:v>
                </c:pt>
                <c:pt idx="527">
                  <c:v>3.0441400304414001E-2</c:v>
                </c:pt>
                <c:pt idx="528">
                  <c:v>2.8129395218002815E-2</c:v>
                </c:pt>
                <c:pt idx="529">
                  <c:v>2.6143790849673203E-2</c:v>
                </c:pt>
                <c:pt idx="530">
                  <c:v>2.442002442002442E-2</c:v>
                </c:pt>
                <c:pt idx="531">
                  <c:v>2.2909507445589922E-2</c:v>
                </c:pt>
                <c:pt idx="532">
                  <c:v>2.1574973031283709E-2</c:v>
                </c:pt>
                <c:pt idx="533">
                  <c:v>2.0387359836901119E-2</c:v>
                </c:pt>
                <c:pt idx="534">
                  <c:v>1.932367149758454E-2</c:v>
                </c:pt>
                <c:pt idx="535">
                  <c:v>1.8365472910927456E-2</c:v>
                </c:pt>
                <c:pt idx="536">
                  <c:v>1.7497812773403322E-2</c:v>
                </c:pt>
                <c:pt idx="537">
                  <c:v>1.6708437761069339E-2</c:v>
                </c:pt>
                <c:pt idx="538">
                  <c:v>1.5987210231814548E-2</c:v>
                </c:pt>
                <c:pt idx="539">
                  <c:v>1.532567049808429E-2</c:v>
                </c:pt>
                <c:pt idx="540">
                  <c:v>6.920415224913494E-2</c:v>
                </c:pt>
                <c:pt idx="541">
                  <c:v>5.7971014492753624E-2</c:v>
                </c:pt>
                <c:pt idx="542">
                  <c:v>4.987531172069825E-2</c:v>
                </c:pt>
                <c:pt idx="543">
                  <c:v>4.3763676148796497E-2</c:v>
                </c:pt>
                <c:pt idx="544">
                  <c:v>3.8986354775828465E-2</c:v>
                </c:pt>
                <c:pt idx="545">
                  <c:v>3.5149384885764495E-2</c:v>
                </c:pt>
                <c:pt idx="546">
                  <c:v>3.2000000000000001E-2</c:v>
                </c:pt>
                <c:pt idx="547">
                  <c:v>2.9368575624082228E-2</c:v>
                </c:pt>
                <c:pt idx="548">
                  <c:v>2.7137042062415195E-2</c:v>
                </c:pt>
                <c:pt idx="549">
                  <c:v>2.5220680958385876E-2</c:v>
                </c:pt>
                <c:pt idx="550">
                  <c:v>2.3557126030624261E-2</c:v>
                </c:pt>
                <c:pt idx="551">
                  <c:v>2.2099447513812154E-2</c:v>
                </c:pt>
                <c:pt idx="552">
                  <c:v>2.081165452653486E-2</c:v>
                </c:pt>
                <c:pt idx="553">
                  <c:v>1.966568338249754E-2</c:v>
                </c:pt>
                <c:pt idx="554">
                  <c:v>1.8639328984156572E-2</c:v>
                </c:pt>
                <c:pt idx="555">
                  <c:v>1.7714791851195746E-2</c:v>
                </c:pt>
                <c:pt idx="556">
                  <c:v>1.6877637130801686E-2</c:v>
                </c:pt>
                <c:pt idx="557">
                  <c:v>1.6116035455278E-2</c:v>
                </c:pt>
                <c:pt idx="558">
                  <c:v>1.5420200462606011E-2</c:v>
                </c:pt>
                <c:pt idx="559">
                  <c:v>1.4781966001478195E-2</c:v>
                </c:pt>
                <c:pt idx="560">
                  <c:v>6.6889632107023408E-2</c:v>
                </c:pt>
                <c:pt idx="561">
                  <c:v>5.6022408963585429E-2</c:v>
                </c:pt>
                <c:pt idx="562">
                  <c:v>4.8192771084337352E-2</c:v>
                </c:pt>
                <c:pt idx="563">
                  <c:v>4.2283298097251579E-2</c:v>
                </c:pt>
                <c:pt idx="564">
                  <c:v>3.7664783427495289E-2</c:v>
                </c:pt>
                <c:pt idx="565">
                  <c:v>3.3955857385398976E-2</c:v>
                </c:pt>
                <c:pt idx="566">
                  <c:v>3.0911901081916538E-2</c:v>
                </c:pt>
                <c:pt idx="567">
                  <c:v>2.8368794326241134E-2</c:v>
                </c:pt>
                <c:pt idx="568">
                  <c:v>2.6212319790301437E-2</c:v>
                </c:pt>
                <c:pt idx="569">
                  <c:v>2.4360535931790502E-2</c:v>
                </c:pt>
                <c:pt idx="570">
                  <c:v>2.2753128555176336E-2</c:v>
                </c:pt>
                <c:pt idx="571">
                  <c:v>2.1344717182497329E-2</c:v>
                </c:pt>
                <c:pt idx="572">
                  <c:v>2.0100502512562814E-2</c:v>
                </c:pt>
                <c:pt idx="573">
                  <c:v>1.8993352326685659E-2</c:v>
                </c:pt>
                <c:pt idx="574">
                  <c:v>1.8001800180018002E-2</c:v>
                </c:pt>
                <c:pt idx="575">
                  <c:v>1.7108639863130881E-2</c:v>
                </c:pt>
                <c:pt idx="576">
                  <c:v>1.6299918500407497E-2</c:v>
                </c:pt>
                <c:pt idx="577">
                  <c:v>1.556420233463035E-2</c:v>
                </c:pt>
                <c:pt idx="578">
                  <c:v>1.4892032762472076E-2</c:v>
                </c:pt>
                <c:pt idx="579">
                  <c:v>1.4275517487508924E-2</c:v>
                </c:pt>
                <c:pt idx="580">
                  <c:v>6.4724919093851141E-2</c:v>
                </c:pt>
                <c:pt idx="581">
                  <c:v>5.4200542005420058E-2</c:v>
                </c:pt>
                <c:pt idx="582">
                  <c:v>4.6620046620046623E-2</c:v>
                </c:pt>
                <c:pt idx="583">
                  <c:v>4.0899795501022497E-2</c:v>
                </c:pt>
                <c:pt idx="584">
                  <c:v>3.6429872495446269E-2</c:v>
                </c:pt>
                <c:pt idx="585">
                  <c:v>3.2840722495894911E-2</c:v>
                </c:pt>
                <c:pt idx="586">
                  <c:v>2.9895366218236172E-2</c:v>
                </c:pt>
                <c:pt idx="587">
                  <c:v>2.7434842249657063E-2</c:v>
                </c:pt>
                <c:pt idx="588">
                  <c:v>2.5348542458808618E-2</c:v>
                </c:pt>
                <c:pt idx="589">
                  <c:v>2.3557126030624261E-2</c:v>
                </c:pt>
                <c:pt idx="590">
                  <c:v>2.2002200220022E-2</c:v>
                </c:pt>
                <c:pt idx="591">
                  <c:v>2.063983488132095E-2</c:v>
                </c:pt>
                <c:pt idx="592">
                  <c:v>1.9436345966958212E-2</c:v>
                </c:pt>
                <c:pt idx="593">
                  <c:v>1.8365472910927456E-2</c:v>
                </c:pt>
                <c:pt idx="594">
                  <c:v>1.7406440382941687E-2</c:v>
                </c:pt>
                <c:pt idx="595">
                  <c:v>1.6542597187758478E-2</c:v>
                </c:pt>
                <c:pt idx="596">
                  <c:v>1.5760441292356184E-2</c:v>
                </c:pt>
                <c:pt idx="597">
                  <c:v>1.5048908954100828E-2</c:v>
                </c:pt>
                <c:pt idx="598">
                  <c:v>1.4398848092152626E-2</c:v>
                </c:pt>
                <c:pt idx="599">
                  <c:v>1.3802622498274672E-2</c:v>
                </c:pt>
                <c:pt idx="600">
                  <c:v>6.269592476489029E-2</c:v>
                </c:pt>
                <c:pt idx="601">
                  <c:v>5.2493438320209973E-2</c:v>
                </c:pt>
                <c:pt idx="602">
                  <c:v>4.5146726862302484E-2</c:v>
                </c:pt>
                <c:pt idx="603">
                  <c:v>3.9603960396039604E-2</c:v>
                </c:pt>
                <c:pt idx="604">
                  <c:v>3.5273368606701938E-2</c:v>
                </c:pt>
                <c:pt idx="605">
                  <c:v>3.1796502384737677E-2</c:v>
                </c:pt>
                <c:pt idx="606">
                  <c:v>2.8943560057887115E-2</c:v>
                </c:pt>
                <c:pt idx="607">
                  <c:v>2.6560424966799469E-2</c:v>
                </c:pt>
                <c:pt idx="608">
                  <c:v>2.4539877300613498E-2</c:v>
                </c:pt>
                <c:pt idx="609">
                  <c:v>2.2805017103762829E-2</c:v>
                </c:pt>
                <c:pt idx="610">
                  <c:v>2.1299254526091587E-2</c:v>
                </c:pt>
                <c:pt idx="611">
                  <c:v>1.998001998001998E-2</c:v>
                </c:pt>
                <c:pt idx="612">
                  <c:v>1.881467544684854E-2</c:v>
                </c:pt>
                <c:pt idx="613">
                  <c:v>1.7777777777777774E-2</c:v>
                </c:pt>
                <c:pt idx="614">
                  <c:v>1.6849199663016005E-2</c:v>
                </c:pt>
                <c:pt idx="615">
                  <c:v>1.6012810248198558E-2</c:v>
                </c:pt>
                <c:pt idx="616">
                  <c:v>1.5255530129672007E-2</c:v>
                </c:pt>
                <c:pt idx="617">
                  <c:v>1.456664238892935E-2</c:v>
                </c:pt>
                <c:pt idx="618">
                  <c:v>1.3937282229965157E-2</c:v>
                </c:pt>
                <c:pt idx="619">
                  <c:v>1.3360053440213761E-2</c:v>
                </c:pt>
                <c:pt idx="620">
                  <c:v>6.0790273556231005E-2</c:v>
                </c:pt>
                <c:pt idx="621">
                  <c:v>5.0890585241730284E-2</c:v>
                </c:pt>
                <c:pt idx="622">
                  <c:v>4.3763676148796497E-2</c:v>
                </c:pt>
                <c:pt idx="623">
                  <c:v>3.8387715930902108E-2</c:v>
                </c:pt>
                <c:pt idx="624">
                  <c:v>3.4188034188034191E-2</c:v>
                </c:pt>
                <c:pt idx="625">
                  <c:v>3.0816640986132508E-2</c:v>
                </c:pt>
                <c:pt idx="626">
                  <c:v>2.8050490883590459E-2</c:v>
                </c:pt>
                <c:pt idx="627">
                  <c:v>2.5740025740025738E-2</c:v>
                </c:pt>
                <c:pt idx="628">
                  <c:v>2.3781212841854936E-2</c:v>
                </c:pt>
                <c:pt idx="629">
                  <c:v>2.2099447513812154E-2</c:v>
                </c:pt>
                <c:pt idx="630">
                  <c:v>2.063983488132095E-2</c:v>
                </c:pt>
                <c:pt idx="631">
                  <c:v>1.9361084220716359E-2</c:v>
                </c:pt>
                <c:pt idx="632">
                  <c:v>1.8231540565177756E-2</c:v>
                </c:pt>
                <c:pt idx="633">
                  <c:v>1.7226528854435829E-2</c:v>
                </c:pt>
                <c:pt idx="634">
                  <c:v>1.6326530612244899E-2</c:v>
                </c:pt>
                <c:pt idx="635">
                  <c:v>1.5515903801396431E-2</c:v>
                </c:pt>
                <c:pt idx="636">
                  <c:v>1.4781966001478195E-2</c:v>
                </c:pt>
                <c:pt idx="637">
                  <c:v>1.4114326040931546E-2</c:v>
                </c:pt>
                <c:pt idx="638">
                  <c:v>1.3504388926401078E-2</c:v>
                </c:pt>
                <c:pt idx="639">
                  <c:v>1.2944983818770227E-2</c:v>
                </c:pt>
                <c:pt idx="640">
                  <c:v>5.8997050147492625E-2</c:v>
                </c:pt>
                <c:pt idx="641">
                  <c:v>4.9382716049382713E-2</c:v>
                </c:pt>
                <c:pt idx="642">
                  <c:v>4.2462845010615709E-2</c:v>
                </c:pt>
                <c:pt idx="643">
                  <c:v>3.7243947858472994E-2</c:v>
                </c:pt>
                <c:pt idx="644">
                  <c:v>3.316749585406302E-2</c:v>
                </c:pt>
                <c:pt idx="645">
                  <c:v>2.9895366218236172E-2</c:v>
                </c:pt>
                <c:pt idx="646">
                  <c:v>2.7210884353741496E-2</c:v>
                </c:pt>
                <c:pt idx="647">
                  <c:v>2.4968789013732832E-2</c:v>
                </c:pt>
                <c:pt idx="648">
                  <c:v>2.306805074971165E-2</c:v>
                </c:pt>
                <c:pt idx="649">
                  <c:v>2.1436227224008574E-2</c:v>
                </c:pt>
                <c:pt idx="650">
                  <c:v>2.002002002002002E-2</c:v>
                </c:pt>
                <c:pt idx="651">
                  <c:v>1.8779342723004695E-2</c:v>
                </c:pt>
                <c:pt idx="652">
                  <c:v>1.7683465959328026E-2</c:v>
                </c:pt>
                <c:pt idx="653">
                  <c:v>1.6708437761069339E-2</c:v>
                </c:pt>
                <c:pt idx="654">
                  <c:v>1.5835312747426764E-2</c:v>
                </c:pt>
                <c:pt idx="655">
                  <c:v>1.5048908954100828E-2</c:v>
                </c:pt>
                <c:pt idx="656">
                  <c:v>1.4336917562724014E-2</c:v>
                </c:pt>
                <c:pt idx="657">
                  <c:v>1.3689253935660504E-2</c:v>
                </c:pt>
                <c:pt idx="658">
                  <c:v>1.3097576948264569E-2</c:v>
                </c:pt>
                <c:pt idx="659">
                  <c:v>1.2554927809165096E-2</c:v>
                </c:pt>
                <c:pt idx="660">
                  <c:v>5.7306590257879646E-2</c:v>
                </c:pt>
                <c:pt idx="661">
                  <c:v>4.7961630695443645E-2</c:v>
                </c:pt>
                <c:pt idx="662">
                  <c:v>4.1237113402061855E-2</c:v>
                </c:pt>
                <c:pt idx="663">
                  <c:v>3.6166365280289325E-2</c:v>
                </c:pt>
                <c:pt idx="664">
                  <c:v>3.2206119162640899E-2</c:v>
                </c:pt>
                <c:pt idx="665">
                  <c:v>2.9027576197387515E-2</c:v>
                </c:pt>
                <c:pt idx="666">
                  <c:v>2.6420079260237778E-2</c:v>
                </c:pt>
                <c:pt idx="667">
                  <c:v>2.4242424242424242E-2</c:v>
                </c:pt>
                <c:pt idx="668">
                  <c:v>2.239641657334826E-2</c:v>
                </c:pt>
                <c:pt idx="669">
                  <c:v>2.081165452653486E-2</c:v>
                </c:pt>
                <c:pt idx="670">
                  <c:v>1.9436345966958212E-2</c:v>
                </c:pt>
                <c:pt idx="671">
                  <c:v>1.8231540565177756E-2</c:v>
                </c:pt>
                <c:pt idx="672">
                  <c:v>1.7167381974248927E-2</c:v>
                </c:pt>
                <c:pt idx="673">
                  <c:v>1.6220600162206E-2</c:v>
                </c:pt>
                <c:pt idx="674">
                  <c:v>1.5372790161414298E-2</c:v>
                </c:pt>
                <c:pt idx="675">
                  <c:v>1.4609203798392987E-2</c:v>
                </c:pt>
                <c:pt idx="676">
                  <c:v>1.3917884481558802E-2</c:v>
                </c:pt>
                <c:pt idx="677">
                  <c:v>1.3289036544850499E-2</c:v>
                </c:pt>
                <c:pt idx="678">
                  <c:v>1.2714558169103623E-2</c:v>
                </c:pt>
                <c:pt idx="679">
                  <c:v>1.2187690432663011E-2</c:v>
                </c:pt>
                <c:pt idx="680">
                  <c:v>5.5710306406685242E-2</c:v>
                </c:pt>
                <c:pt idx="681">
                  <c:v>4.6620046620046623E-2</c:v>
                </c:pt>
                <c:pt idx="682">
                  <c:v>4.0080160320641281E-2</c:v>
                </c:pt>
                <c:pt idx="683">
                  <c:v>3.5149384885764502E-2</c:v>
                </c:pt>
                <c:pt idx="684">
                  <c:v>3.1298904538341159E-2</c:v>
                </c:pt>
                <c:pt idx="685">
                  <c:v>2.8208744710860365E-2</c:v>
                </c:pt>
                <c:pt idx="686">
                  <c:v>2.5673940949935813E-2</c:v>
                </c:pt>
                <c:pt idx="687">
                  <c:v>2.3557126030624261E-2</c:v>
                </c:pt>
                <c:pt idx="688">
                  <c:v>2.1762785636561477E-2</c:v>
                </c:pt>
                <c:pt idx="689">
                  <c:v>2.0222446916076844E-2</c:v>
                </c:pt>
                <c:pt idx="690">
                  <c:v>1.8885741265344664E-2</c:v>
                </c:pt>
                <c:pt idx="691">
                  <c:v>1.7714791851195746E-2</c:v>
                </c:pt>
                <c:pt idx="692">
                  <c:v>1.6680567139282735E-2</c:v>
                </c:pt>
                <c:pt idx="693">
                  <c:v>1.5760441292356184E-2</c:v>
                </c:pt>
                <c:pt idx="694">
                  <c:v>1.4936519790888723E-2</c:v>
                </c:pt>
                <c:pt idx="695">
                  <c:v>1.4194464158977998E-2</c:v>
                </c:pt>
                <c:pt idx="696">
                  <c:v>1.3522650439486139E-2</c:v>
                </c:pt>
                <c:pt idx="697">
                  <c:v>1.2911555842479019E-2</c:v>
                </c:pt>
                <c:pt idx="698">
                  <c:v>1.2353304508956145E-2</c:v>
                </c:pt>
                <c:pt idx="699">
                  <c:v>1.1841326228537596E-2</c:v>
                </c:pt>
                <c:pt idx="700">
                  <c:v>5.4200542005420058E-2</c:v>
                </c:pt>
                <c:pt idx="701">
                  <c:v>4.5351473922902494E-2</c:v>
                </c:pt>
                <c:pt idx="702">
                  <c:v>3.8986354775828465E-2</c:v>
                </c:pt>
                <c:pt idx="703">
                  <c:v>3.4188034188034191E-2</c:v>
                </c:pt>
                <c:pt idx="704">
                  <c:v>3.0441400304414001E-2</c:v>
                </c:pt>
                <c:pt idx="705">
                  <c:v>2.7434842249657063E-2</c:v>
                </c:pt>
                <c:pt idx="706">
                  <c:v>2.4968789013732832E-2</c:v>
                </c:pt>
                <c:pt idx="707">
                  <c:v>2.2909507445589922E-2</c:v>
                </c:pt>
                <c:pt idx="708">
                  <c:v>2.1164021164021163E-2</c:v>
                </c:pt>
                <c:pt idx="709">
                  <c:v>1.966568338249754E-2</c:v>
                </c:pt>
                <c:pt idx="710">
                  <c:v>1.8365472910927456E-2</c:v>
                </c:pt>
                <c:pt idx="711">
                  <c:v>1.7226528854435829E-2</c:v>
                </c:pt>
                <c:pt idx="712">
                  <c:v>1.6220600162206E-2</c:v>
                </c:pt>
                <c:pt idx="713">
                  <c:v>1.532567049808429E-2</c:v>
                </c:pt>
                <c:pt idx="714">
                  <c:v>1.4524328249818447E-2</c:v>
                </c:pt>
                <c:pt idx="715">
                  <c:v>1.3802622498274672E-2</c:v>
                </c:pt>
                <c:pt idx="716">
                  <c:v>1.3149243918474688E-2</c:v>
                </c:pt>
                <c:pt idx="717">
                  <c:v>1.2554927809165098E-2</c:v>
                </c:pt>
                <c:pt idx="718">
                  <c:v>1.2012012012012012E-2</c:v>
                </c:pt>
                <c:pt idx="719">
                  <c:v>1.1514104778353483E-2</c:v>
                </c:pt>
                <c:pt idx="720">
                  <c:v>5.2770448548812667E-2</c:v>
                </c:pt>
                <c:pt idx="721">
                  <c:v>4.4150110375275942E-2</c:v>
                </c:pt>
                <c:pt idx="722">
                  <c:v>3.7950664136622389E-2</c:v>
                </c:pt>
                <c:pt idx="723">
                  <c:v>3.3277870216306155E-2</c:v>
                </c:pt>
                <c:pt idx="724">
                  <c:v>2.9629629629629631E-2</c:v>
                </c:pt>
                <c:pt idx="725">
                  <c:v>2.6702269692923896E-2</c:v>
                </c:pt>
                <c:pt idx="726">
                  <c:v>2.430133657351154E-2</c:v>
                </c:pt>
                <c:pt idx="727">
                  <c:v>2.2296544035674468E-2</c:v>
                </c:pt>
                <c:pt idx="728">
                  <c:v>2.0597322348094745E-2</c:v>
                </c:pt>
                <c:pt idx="729">
                  <c:v>1.9138755980861243E-2</c:v>
                </c:pt>
                <c:pt idx="730">
                  <c:v>1.7873100983020553E-2</c:v>
                </c:pt>
                <c:pt idx="731">
                  <c:v>1.6764459346186082E-2</c:v>
                </c:pt>
                <c:pt idx="732">
                  <c:v>1.5785319652722968E-2</c:v>
                </c:pt>
                <c:pt idx="733">
                  <c:v>1.4914243102162562E-2</c:v>
                </c:pt>
                <c:pt idx="734">
                  <c:v>1.4134275618374558E-2</c:v>
                </c:pt>
                <c:pt idx="735">
                  <c:v>1.3431833445265278E-2</c:v>
                </c:pt>
                <c:pt idx="736">
                  <c:v>1.2795905310300703E-2</c:v>
                </c:pt>
                <c:pt idx="737">
                  <c:v>1.2217470983506413E-2</c:v>
                </c:pt>
                <c:pt idx="738">
                  <c:v>1.1689070718877849E-2</c:v>
                </c:pt>
                <c:pt idx="739">
                  <c:v>1.1204481792717087E-2</c:v>
                </c:pt>
                <c:pt idx="740">
                  <c:v>5.1413881748071981E-2</c:v>
                </c:pt>
                <c:pt idx="741">
                  <c:v>4.3010752688172046E-2</c:v>
                </c:pt>
                <c:pt idx="742">
                  <c:v>3.6968576709796669E-2</c:v>
                </c:pt>
                <c:pt idx="743">
                  <c:v>3.2414910858995137E-2</c:v>
                </c:pt>
                <c:pt idx="744">
                  <c:v>2.886002886002886E-2</c:v>
                </c:pt>
                <c:pt idx="745">
                  <c:v>2.600780234070221E-2</c:v>
                </c:pt>
                <c:pt idx="746">
                  <c:v>2.3668639053254437E-2</c:v>
                </c:pt>
                <c:pt idx="747">
                  <c:v>2.1715526601520086E-2</c:v>
                </c:pt>
                <c:pt idx="748">
                  <c:v>2.0060180541624874E-2</c:v>
                </c:pt>
                <c:pt idx="749">
                  <c:v>1.8639328984156572E-2</c:v>
                </c:pt>
                <c:pt idx="750">
                  <c:v>1.7406440382941687E-2</c:v>
                </c:pt>
                <c:pt idx="751">
                  <c:v>1.6326530612244899E-2</c:v>
                </c:pt>
                <c:pt idx="752">
                  <c:v>1.5372790161414294E-2</c:v>
                </c:pt>
                <c:pt idx="753">
                  <c:v>1.4524328249818443E-2</c:v>
                </c:pt>
                <c:pt idx="754">
                  <c:v>1.3764624913971093E-2</c:v>
                </c:pt>
                <c:pt idx="755">
                  <c:v>1.3080444735120994E-2</c:v>
                </c:pt>
                <c:pt idx="756">
                  <c:v>1.2461059190031151E-2</c:v>
                </c:pt>
                <c:pt idx="757">
                  <c:v>1.1897679952409278E-2</c:v>
                </c:pt>
                <c:pt idx="758">
                  <c:v>1.1383039271485486E-2</c:v>
                </c:pt>
                <c:pt idx="759">
                  <c:v>1.0911074740861974E-2</c:v>
                </c:pt>
                <c:pt idx="760">
                  <c:v>5.012531328320801E-2</c:v>
                </c:pt>
                <c:pt idx="761">
                  <c:v>4.1928721174004188E-2</c:v>
                </c:pt>
                <c:pt idx="762">
                  <c:v>3.6036036036036036E-2</c:v>
                </c:pt>
                <c:pt idx="763">
                  <c:v>3.15955766192733E-2</c:v>
                </c:pt>
                <c:pt idx="764">
                  <c:v>2.8129395218002815E-2</c:v>
                </c:pt>
                <c:pt idx="765">
                  <c:v>2.5348542458808618E-2</c:v>
                </c:pt>
                <c:pt idx="766">
                  <c:v>2.306805074971165E-2</c:v>
                </c:pt>
                <c:pt idx="767">
                  <c:v>2.1164021164021163E-2</c:v>
                </c:pt>
                <c:pt idx="768">
                  <c:v>1.9550342130987289E-2</c:v>
                </c:pt>
                <c:pt idx="769">
                  <c:v>1.8165304268846504E-2</c:v>
                </c:pt>
                <c:pt idx="770">
                  <c:v>1.6963528413910092E-2</c:v>
                </c:pt>
                <c:pt idx="771">
                  <c:v>1.5910898965791564E-2</c:v>
                </c:pt>
                <c:pt idx="772">
                  <c:v>1.4981273408239701E-2</c:v>
                </c:pt>
                <c:pt idx="773">
                  <c:v>1.4154281670205236E-2</c:v>
                </c:pt>
                <c:pt idx="774">
                  <c:v>1.341381623071764E-2</c:v>
                </c:pt>
                <c:pt idx="775">
                  <c:v>1.2746972594008922E-2</c:v>
                </c:pt>
                <c:pt idx="776">
                  <c:v>1.2143290831815423E-2</c:v>
                </c:pt>
                <c:pt idx="777">
                  <c:v>1.1594202898550725E-2</c:v>
                </c:pt>
                <c:pt idx="778">
                  <c:v>1.1092623405435384E-2</c:v>
                </c:pt>
                <c:pt idx="779">
                  <c:v>1.063264221158958E-2</c:v>
                </c:pt>
                <c:pt idx="780">
                  <c:v>4.8899755501222497E-2</c:v>
                </c:pt>
                <c:pt idx="781">
                  <c:v>4.0899795501022497E-2</c:v>
                </c:pt>
                <c:pt idx="782">
                  <c:v>3.5149384885764502E-2</c:v>
                </c:pt>
                <c:pt idx="783">
                  <c:v>3.0816640986132508E-2</c:v>
                </c:pt>
                <c:pt idx="784">
                  <c:v>2.7434842249657063E-2</c:v>
                </c:pt>
                <c:pt idx="785">
                  <c:v>2.4721878862793572E-2</c:v>
                </c:pt>
                <c:pt idx="786">
                  <c:v>2.2497187851518559E-2</c:v>
                </c:pt>
                <c:pt idx="787">
                  <c:v>2.063983488132095E-2</c:v>
                </c:pt>
                <c:pt idx="788">
                  <c:v>1.9065776930409912E-2</c:v>
                </c:pt>
                <c:pt idx="789">
                  <c:v>1.7714791851195746E-2</c:v>
                </c:pt>
                <c:pt idx="790">
                  <c:v>1.6542597187758478E-2</c:v>
                </c:pt>
                <c:pt idx="791">
                  <c:v>1.5515903801396431E-2</c:v>
                </c:pt>
                <c:pt idx="792">
                  <c:v>1.4609203798392987E-2</c:v>
                </c:pt>
                <c:pt idx="793">
                  <c:v>1.3802622498274672E-2</c:v>
                </c:pt>
                <c:pt idx="794">
                  <c:v>1.3080444735120994E-2</c:v>
                </c:pt>
                <c:pt idx="795">
                  <c:v>1.243008079552517E-2</c:v>
                </c:pt>
                <c:pt idx="796">
                  <c:v>1.1841326228537596E-2</c:v>
                </c:pt>
                <c:pt idx="797">
                  <c:v>1.1305822498586773E-2</c:v>
                </c:pt>
                <c:pt idx="798">
                  <c:v>1.081665765278529E-2</c:v>
                </c:pt>
                <c:pt idx="799">
                  <c:v>1.0368066355624676E-2</c:v>
                </c:pt>
                <c:pt idx="800">
                  <c:v>4.7732696897374693E-2</c:v>
                </c:pt>
                <c:pt idx="801">
                  <c:v>3.9920159680638716E-2</c:v>
                </c:pt>
                <c:pt idx="802">
                  <c:v>3.4305317324185243E-2</c:v>
                </c:pt>
                <c:pt idx="803">
                  <c:v>3.007518796992481E-2</c:v>
                </c:pt>
                <c:pt idx="804">
                  <c:v>2.677376171352075E-2</c:v>
                </c:pt>
                <c:pt idx="805">
                  <c:v>2.4125452352231604E-2</c:v>
                </c:pt>
                <c:pt idx="806">
                  <c:v>2.195389681668496E-2</c:v>
                </c:pt>
                <c:pt idx="807">
                  <c:v>2.0140986908358506E-2</c:v>
                </c:pt>
                <c:pt idx="808">
                  <c:v>1.8604651162790697E-2</c:v>
                </c:pt>
                <c:pt idx="809">
                  <c:v>1.7286084701815037E-2</c:v>
                </c:pt>
                <c:pt idx="810">
                  <c:v>1.6142050040355124E-2</c:v>
                </c:pt>
                <c:pt idx="811">
                  <c:v>1.5140045420136259E-2</c:v>
                </c:pt>
                <c:pt idx="812">
                  <c:v>1.4255167498218103E-2</c:v>
                </c:pt>
                <c:pt idx="813">
                  <c:v>1.3468013468013467E-2</c:v>
                </c:pt>
                <c:pt idx="814">
                  <c:v>1.2763241863433313E-2</c:v>
                </c:pt>
                <c:pt idx="815">
                  <c:v>1.2128562765312307E-2</c:v>
                </c:pt>
                <c:pt idx="816">
                  <c:v>1.1554015020219525E-2</c:v>
                </c:pt>
                <c:pt idx="817">
                  <c:v>1.1031439602868174E-2</c:v>
                </c:pt>
                <c:pt idx="818">
                  <c:v>1.0554089709762533E-2</c:v>
                </c:pt>
                <c:pt idx="819">
                  <c:v>1.0116337885685382E-2</c:v>
                </c:pt>
                <c:pt idx="820">
                  <c:v>4.6620046620046623E-2</c:v>
                </c:pt>
                <c:pt idx="821">
                  <c:v>3.8986354775828465E-2</c:v>
                </c:pt>
                <c:pt idx="822">
                  <c:v>3.350083752093802E-2</c:v>
                </c:pt>
                <c:pt idx="823">
                  <c:v>2.9368575624082235E-2</c:v>
                </c:pt>
                <c:pt idx="824">
                  <c:v>2.6143790849673203E-2</c:v>
                </c:pt>
                <c:pt idx="825">
                  <c:v>2.3557126030624261E-2</c:v>
                </c:pt>
                <c:pt idx="826">
                  <c:v>2.1436227224008571E-2</c:v>
                </c:pt>
                <c:pt idx="827">
                  <c:v>1.966568338249754E-2</c:v>
                </c:pt>
                <c:pt idx="828">
                  <c:v>1.8165304268846501E-2</c:v>
                </c:pt>
                <c:pt idx="829">
                  <c:v>1.6877637130801686E-2</c:v>
                </c:pt>
                <c:pt idx="830">
                  <c:v>1.5760441292356184E-2</c:v>
                </c:pt>
                <c:pt idx="831">
                  <c:v>1.4781966001478195E-2</c:v>
                </c:pt>
                <c:pt idx="832">
                  <c:v>1.3917884481558803E-2</c:v>
                </c:pt>
                <c:pt idx="833">
                  <c:v>1.3149243918474685E-2</c:v>
                </c:pt>
                <c:pt idx="834">
                  <c:v>1.2461059190031152E-2</c:v>
                </c:pt>
                <c:pt idx="835">
                  <c:v>1.1841326228537596E-2</c:v>
                </c:pt>
                <c:pt idx="836">
                  <c:v>1.1280315848843767E-2</c:v>
                </c:pt>
                <c:pt idx="837">
                  <c:v>1.0770059235325794E-2</c:v>
                </c:pt>
                <c:pt idx="838">
                  <c:v>1.0303967027305511E-2</c:v>
                </c:pt>
                <c:pt idx="839">
                  <c:v>9.876543209876543E-3</c:v>
                </c:pt>
                <c:pt idx="840">
                  <c:v>4.5558086560364468E-2</c:v>
                </c:pt>
                <c:pt idx="841">
                  <c:v>3.8095238095238099E-2</c:v>
                </c:pt>
                <c:pt idx="842">
                  <c:v>3.2733224222585927E-2</c:v>
                </c:pt>
                <c:pt idx="843">
                  <c:v>2.8694404591104738E-2</c:v>
                </c:pt>
                <c:pt idx="844">
                  <c:v>2.554278416347382E-2</c:v>
                </c:pt>
                <c:pt idx="845">
                  <c:v>2.3014959723820481E-2</c:v>
                </c:pt>
                <c:pt idx="846">
                  <c:v>2.0942408376963352E-2</c:v>
                </c:pt>
                <c:pt idx="847">
                  <c:v>1.921229586935639E-2</c:v>
                </c:pt>
                <c:pt idx="848">
                  <c:v>1.774622892635315E-2</c:v>
                </c:pt>
                <c:pt idx="849">
                  <c:v>1.6488046166529265E-2</c:v>
                </c:pt>
                <c:pt idx="850">
                  <c:v>1.539645881447267E-2</c:v>
                </c:pt>
                <c:pt idx="851">
                  <c:v>1.444043321299639E-2</c:v>
                </c:pt>
                <c:pt idx="852">
                  <c:v>1.3596193065941535E-2</c:v>
                </c:pt>
                <c:pt idx="853">
                  <c:v>1.2845215157353887E-2</c:v>
                </c:pt>
                <c:pt idx="854">
                  <c:v>1.2172854534388313E-2</c:v>
                </c:pt>
                <c:pt idx="855">
                  <c:v>1.1567379988432621E-2</c:v>
                </c:pt>
                <c:pt idx="856">
                  <c:v>1.1019283746556474E-2</c:v>
                </c:pt>
                <c:pt idx="857">
                  <c:v>1.0520778537611781E-2</c:v>
                </c:pt>
                <c:pt idx="858">
                  <c:v>1.0065425264217413E-2</c:v>
                </c:pt>
                <c:pt idx="859">
                  <c:v>9.6478533526290402E-3</c:v>
                </c:pt>
                <c:pt idx="860">
                  <c:v>4.4543429844097988E-2</c:v>
                </c:pt>
                <c:pt idx="861">
                  <c:v>3.7243947858472994E-2</c:v>
                </c:pt>
                <c:pt idx="862">
                  <c:v>3.2000000000000001E-2</c:v>
                </c:pt>
                <c:pt idx="863">
                  <c:v>2.8050490883590459E-2</c:v>
                </c:pt>
                <c:pt idx="864">
                  <c:v>2.4968789013732836E-2</c:v>
                </c:pt>
                <c:pt idx="865">
                  <c:v>2.2497187851518559E-2</c:v>
                </c:pt>
                <c:pt idx="866">
                  <c:v>2.0470829068577275E-2</c:v>
                </c:pt>
                <c:pt idx="867">
                  <c:v>1.8779342723004695E-2</c:v>
                </c:pt>
                <c:pt idx="868">
                  <c:v>1.7346053772766695E-2</c:v>
                </c:pt>
                <c:pt idx="869">
                  <c:v>1.6116035455278004E-2</c:v>
                </c:pt>
                <c:pt idx="870">
                  <c:v>1.5048908954100828E-2</c:v>
                </c:pt>
                <c:pt idx="871">
                  <c:v>1.4114326040931545E-2</c:v>
                </c:pt>
                <c:pt idx="872">
                  <c:v>1.3289036544850499E-2</c:v>
                </c:pt>
                <c:pt idx="873">
                  <c:v>1.2554927809165096E-2</c:v>
                </c:pt>
                <c:pt idx="874">
                  <c:v>1.1897679952409281E-2</c:v>
                </c:pt>
                <c:pt idx="875">
                  <c:v>1.1305822498586773E-2</c:v>
                </c:pt>
                <c:pt idx="876">
                  <c:v>1.0770059235325796E-2</c:v>
                </c:pt>
                <c:pt idx="877">
                  <c:v>1.0282776349614395E-2</c:v>
                </c:pt>
                <c:pt idx="878">
                  <c:v>9.8376783079193297E-3</c:v>
                </c:pt>
                <c:pt idx="879">
                  <c:v>9.4295143800094301E-3</c:v>
                </c:pt>
                <c:pt idx="880">
                  <c:v>4.357298474945534E-2</c:v>
                </c:pt>
                <c:pt idx="881">
                  <c:v>3.6429872495446269E-2</c:v>
                </c:pt>
                <c:pt idx="882">
                  <c:v>3.1298904538341159E-2</c:v>
                </c:pt>
                <c:pt idx="883">
                  <c:v>2.7434842249657063E-2</c:v>
                </c:pt>
                <c:pt idx="884">
                  <c:v>2.442002442002442E-2</c:v>
                </c:pt>
                <c:pt idx="885">
                  <c:v>2.2002200220022E-2</c:v>
                </c:pt>
                <c:pt idx="886">
                  <c:v>2.002002002002002E-2</c:v>
                </c:pt>
                <c:pt idx="887">
                  <c:v>1.8365472910927456E-2</c:v>
                </c:pt>
                <c:pt idx="888">
                  <c:v>1.6963528413910092E-2</c:v>
                </c:pt>
                <c:pt idx="889">
                  <c:v>1.5760441292356184E-2</c:v>
                </c:pt>
                <c:pt idx="890">
                  <c:v>1.4716703458425313E-2</c:v>
                </c:pt>
                <c:pt idx="891">
                  <c:v>1.3802622498274672E-2</c:v>
                </c:pt>
                <c:pt idx="892">
                  <c:v>1.2995451591942819E-2</c:v>
                </c:pt>
                <c:pt idx="893">
                  <c:v>1.2277470841006752E-2</c:v>
                </c:pt>
                <c:pt idx="894">
                  <c:v>1.1634671320535195E-2</c:v>
                </c:pt>
                <c:pt idx="895">
                  <c:v>1.1055831951354339E-2</c:v>
                </c:pt>
                <c:pt idx="896">
                  <c:v>1.0531858873091101E-2</c:v>
                </c:pt>
                <c:pt idx="897">
                  <c:v>1.0055304172951231E-2</c:v>
                </c:pt>
                <c:pt idx="898">
                  <c:v>9.6200096200096206E-3</c:v>
                </c:pt>
                <c:pt idx="899">
                  <c:v>9.2208390963577688E-3</c:v>
                </c:pt>
                <c:pt idx="900">
                  <c:v>4.2643923240938159E-2</c:v>
                </c:pt>
                <c:pt idx="901">
                  <c:v>3.5650623885917998E-2</c:v>
                </c:pt>
                <c:pt idx="902">
                  <c:v>3.0627871362940269E-2</c:v>
                </c:pt>
                <c:pt idx="903">
                  <c:v>2.6845637583892617E-2</c:v>
                </c:pt>
                <c:pt idx="904">
                  <c:v>2.3894862604540022E-2</c:v>
                </c:pt>
                <c:pt idx="905">
                  <c:v>2.1528525296017221E-2</c:v>
                </c:pt>
                <c:pt idx="906">
                  <c:v>1.958863858961802E-2</c:v>
                </c:pt>
                <c:pt idx="907">
                  <c:v>1.796945193171608E-2</c:v>
                </c:pt>
                <c:pt idx="908">
                  <c:v>1.659751037344398E-2</c:v>
                </c:pt>
                <c:pt idx="909">
                  <c:v>1.5420200462606014E-2</c:v>
                </c:pt>
                <c:pt idx="910">
                  <c:v>1.4398848092152626E-2</c:v>
                </c:pt>
                <c:pt idx="911">
                  <c:v>1.3504388926401078E-2</c:v>
                </c:pt>
                <c:pt idx="912">
                  <c:v>1.2714558169103623E-2</c:v>
                </c:pt>
                <c:pt idx="913">
                  <c:v>1.2012012012012012E-2</c:v>
                </c:pt>
                <c:pt idx="914">
                  <c:v>1.1383039271485488E-2</c:v>
                </c:pt>
                <c:pt idx="915">
                  <c:v>1.0816657652785288E-2</c:v>
                </c:pt>
                <c:pt idx="916">
                  <c:v>1.0303967027305511E-2</c:v>
                </c:pt>
                <c:pt idx="917">
                  <c:v>9.8376783079193297E-3</c:v>
                </c:pt>
                <c:pt idx="918">
                  <c:v>9.4117647058823521E-3</c:v>
                </c:pt>
                <c:pt idx="919">
                  <c:v>9.0211998195760049E-3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6107616"/>
        <c:axId val="366108176"/>
      </c:lineChart>
      <c:catAx>
        <c:axId val="366107616"/>
        <c:scaling>
          <c:orientation val="minMax"/>
        </c:scaling>
        <c:delete val="0"/>
        <c:axPos val="b"/>
        <c:majorTickMark val="out"/>
        <c:minorTickMark val="none"/>
        <c:tickLblPos val="nextTo"/>
        <c:crossAx val="366108176"/>
        <c:crosses val="autoZero"/>
        <c:auto val="1"/>
        <c:lblAlgn val="ctr"/>
        <c:lblOffset val="100"/>
        <c:noMultiLvlLbl val="0"/>
      </c:catAx>
      <c:valAx>
        <c:axId val="366108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6610761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造兵时间!$L$1</c:f>
              <c:strCache>
                <c:ptCount val="1"/>
                <c:pt idx="0">
                  <c:v>v1</c:v>
                </c:pt>
              </c:strCache>
            </c:strRef>
          </c:tx>
          <c:marker>
            <c:symbol val="none"/>
          </c:marker>
          <c:val>
            <c:numRef>
              <c:f>造兵时间!$L$2:$L$982</c:f>
              <c:numCache>
                <c:formatCode>General</c:formatCode>
                <c:ptCount val="981"/>
                <c:pt idx="0">
                  <c:v>0.95000000000000007</c:v>
                </c:pt>
                <c:pt idx="1">
                  <c:v>1</c:v>
                </c:pt>
                <c:pt idx="2">
                  <c:v>1.05</c:v>
                </c:pt>
                <c:pt idx="3">
                  <c:v>1.1000000000000001</c:v>
                </c:pt>
                <c:pt idx="4">
                  <c:v>1.1499999999999999</c:v>
                </c:pt>
                <c:pt idx="5">
                  <c:v>1.2000000000000002</c:v>
                </c:pt>
                <c:pt idx="6">
                  <c:v>1.25</c:v>
                </c:pt>
                <c:pt idx="7">
                  <c:v>1.3</c:v>
                </c:pt>
                <c:pt idx="8">
                  <c:v>1.35</c:v>
                </c:pt>
                <c:pt idx="9">
                  <c:v>1.4</c:v>
                </c:pt>
                <c:pt idx="10">
                  <c:v>1.4500000000000002</c:v>
                </c:pt>
                <c:pt idx="11">
                  <c:v>1.5</c:v>
                </c:pt>
                <c:pt idx="12">
                  <c:v>1.55</c:v>
                </c:pt>
                <c:pt idx="13">
                  <c:v>1.6</c:v>
                </c:pt>
                <c:pt idx="14">
                  <c:v>1.65</c:v>
                </c:pt>
                <c:pt idx="15">
                  <c:v>1.7000000000000002</c:v>
                </c:pt>
                <c:pt idx="16">
                  <c:v>1.75</c:v>
                </c:pt>
                <c:pt idx="17">
                  <c:v>1.8</c:v>
                </c:pt>
                <c:pt idx="18">
                  <c:v>1.85</c:v>
                </c:pt>
                <c:pt idx="19">
                  <c:v>1.9</c:v>
                </c:pt>
                <c:pt idx="20">
                  <c:v>1.9000000000000001</c:v>
                </c:pt>
                <c:pt idx="21">
                  <c:v>2</c:v>
                </c:pt>
                <c:pt idx="22">
                  <c:v>2.1</c:v>
                </c:pt>
                <c:pt idx="23">
                  <c:v>2.2000000000000002</c:v>
                </c:pt>
                <c:pt idx="24">
                  <c:v>2.2999999999999998</c:v>
                </c:pt>
                <c:pt idx="25">
                  <c:v>2.4000000000000004</c:v>
                </c:pt>
                <c:pt idx="26">
                  <c:v>2.5</c:v>
                </c:pt>
                <c:pt idx="27">
                  <c:v>2.6</c:v>
                </c:pt>
                <c:pt idx="28">
                  <c:v>2.7</c:v>
                </c:pt>
                <c:pt idx="29">
                  <c:v>2.8</c:v>
                </c:pt>
                <c:pt idx="30">
                  <c:v>2.9000000000000004</c:v>
                </c:pt>
                <c:pt idx="31">
                  <c:v>3</c:v>
                </c:pt>
                <c:pt idx="32">
                  <c:v>3.1</c:v>
                </c:pt>
                <c:pt idx="33">
                  <c:v>3.2</c:v>
                </c:pt>
                <c:pt idx="34">
                  <c:v>3.3</c:v>
                </c:pt>
                <c:pt idx="35">
                  <c:v>3.4000000000000004</c:v>
                </c:pt>
                <c:pt idx="36">
                  <c:v>3.5</c:v>
                </c:pt>
                <c:pt idx="37">
                  <c:v>3.6</c:v>
                </c:pt>
                <c:pt idx="38">
                  <c:v>3.7</c:v>
                </c:pt>
                <c:pt idx="39">
                  <c:v>3.8</c:v>
                </c:pt>
                <c:pt idx="40">
                  <c:v>2.85</c:v>
                </c:pt>
                <c:pt idx="41">
                  <c:v>3</c:v>
                </c:pt>
                <c:pt idx="42">
                  <c:v>3.1500000000000004</c:v>
                </c:pt>
                <c:pt idx="43">
                  <c:v>3.3000000000000003</c:v>
                </c:pt>
                <c:pt idx="44">
                  <c:v>3.45</c:v>
                </c:pt>
                <c:pt idx="45">
                  <c:v>3.6</c:v>
                </c:pt>
                <c:pt idx="46">
                  <c:v>3.75</c:v>
                </c:pt>
                <c:pt idx="47">
                  <c:v>3.9000000000000004</c:v>
                </c:pt>
                <c:pt idx="48">
                  <c:v>4.0500000000000007</c:v>
                </c:pt>
                <c:pt idx="49">
                  <c:v>4.2</c:v>
                </c:pt>
                <c:pt idx="50">
                  <c:v>4.3500000000000005</c:v>
                </c:pt>
                <c:pt idx="51">
                  <c:v>4.5</c:v>
                </c:pt>
                <c:pt idx="52">
                  <c:v>4.6500000000000004</c:v>
                </c:pt>
                <c:pt idx="53">
                  <c:v>4.8000000000000007</c:v>
                </c:pt>
                <c:pt idx="54">
                  <c:v>4.95</c:v>
                </c:pt>
                <c:pt idx="55">
                  <c:v>5.1000000000000005</c:v>
                </c:pt>
                <c:pt idx="56">
                  <c:v>5.25</c:v>
                </c:pt>
                <c:pt idx="57">
                  <c:v>5.4</c:v>
                </c:pt>
                <c:pt idx="58">
                  <c:v>5.5500000000000007</c:v>
                </c:pt>
                <c:pt idx="59">
                  <c:v>5.7</c:v>
                </c:pt>
                <c:pt idx="60">
                  <c:v>3.8000000000000003</c:v>
                </c:pt>
                <c:pt idx="61">
                  <c:v>4</c:v>
                </c:pt>
                <c:pt idx="62">
                  <c:v>4.2</c:v>
                </c:pt>
                <c:pt idx="63">
                  <c:v>4.4000000000000004</c:v>
                </c:pt>
                <c:pt idx="64">
                  <c:v>4.5999999999999996</c:v>
                </c:pt>
                <c:pt idx="65">
                  <c:v>4.8000000000000007</c:v>
                </c:pt>
                <c:pt idx="66">
                  <c:v>5</c:v>
                </c:pt>
                <c:pt idx="67">
                  <c:v>5.2</c:v>
                </c:pt>
                <c:pt idx="68">
                  <c:v>5.4</c:v>
                </c:pt>
                <c:pt idx="69">
                  <c:v>5.6</c:v>
                </c:pt>
                <c:pt idx="70">
                  <c:v>5.8000000000000007</c:v>
                </c:pt>
                <c:pt idx="71">
                  <c:v>6</c:v>
                </c:pt>
                <c:pt idx="72">
                  <c:v>6.2</c:v>
                </c:pt>
                <c:pt idx="73">
                  <c:v>6.4</c:v>
                </c:pt>
                <c:pt idx="74">
                  <c:v>6.6</c:v>
                </c:pt>
                <c:pt idx="75">
                  <c:v>6.8000000000000007</c:v>
                </c:pt>
                <c:pt idx="76">
                  <c:v>7</c:v>
                </c:pt>
                <c:pt idx="77">
                  <c:v>7.2</c:v>
                </c:pt>
                <c:pt idx="78">
                  <c:v>7.4</c:v>
                </c:pt>
                <c:pt idx="79">
                  <c:v>7.6</c:v>
                </c:pt>
                <c:pt idx="80">
                  <c:v>4.75</c:v>
                </c:pt>
                <c:pt idx="81">
                  <c:v>5</c:v>
                </c:pt>
                <c:pt idx="82">
                  <c:v>5.25</c:v>
                </c:pt>
                <c:pt idx="83">
                  <c:v>5.5</c:v>
                </c:pt>
                <c:pt idx="84">
                  <c:v>5.75</c:v>
                </c:pt>
                <c:pt idx="85">
                  <c:v>6</c:v>
                </c:pt>
                <c:pt idx="86">
                  <c:v>6.25</c:v>
                </c:pt>
                <c:pt idx="87">
                  <c:v>6.5</c:v>
                </c:pt>
                <c:pt idx="88">
                  <c:v>6.75</c:v>
                </c:pt>
                <c:pt idx="89">
                  <c:v>7</c:v>
                </c:pt>
                <c:pt idx="90">
                  <c:v>7.25</c:v>
                </c:pt>
                <c:pt idx="91">
                  <c:v>7.5</c:v>
                </c:pt>
                <c:pt idx="92">
                  <c:v>7.75</c:v>
                </c:pt>
                <c:pt idx="93">
                  <c:v>8</c:v>
                </c:pt>
                <c:pt idx="94">
                  <c:v>8.25</c:v>
                </c:pt>
                <c:pt idx="95">
                  <c:v>8.5</c:v>
                </c:pt>
                <c:pt idx="96">
                  <c:v>8.75</c:v>
                </c:pt>
                <c:pt idx="97">
                  <c:v>9</c:v>
                </c:pt>
                <c:pt idx="98">
                  <c:v>9.25</c:v>
                </c:pt>
                <c:pt idx="99">
                  <c:v>9.5</c:v>
                </c:pt>
                <c:pt idx="100">
                  <c:v>5.7</c:v>
                </c:pt>
                <c:pt idx="101">
                  <c:v>6</c:v>
                </c:pt>
                <c:pt idx="102">
                  <c:v>6.3000000000000007</c:v>
                </c:pt>
                <c:pt idx="103">
                  <c:v>6.6000000000000005</c:v>
                </c:pt>
                <c:pt idx="104">
                  <c:v>6.9</c:v>
                </c:pt>
                <c:pt idx="105">
                  <c:v>7.2</c:v>
                </c:pt>
                <c:pt idx="106">
                  <c:v>7.5</c:v>
                </c:pt>
                <c:pt idx="107">
                  <c:v>7.8000000000000007</c:v>
                </c:pt>
                <c:pt idx="108">
                  <c:v>8.1000000000000014</c:v>
                </c:pt>
                <c:pt idx="109">
                  <c:v>8.4</c:v>
                </c:pt>
                <c:pt idx="110">
                  <c:v>8.7000000000000011</c:v>
                </c:pt>
                <c:pt idx="111">
                  <c:v>9</c:v>
                </c:pt>
                <c:pt idx="112">
                  <c:v>9.3000000000000007</c:v>
                </c:pt>
                <c:pt idx="113">
                  <c:v>9.6000000000000014</c:v>
                </c:pt>
                <c:pt idx="114">
                  <c:v>9.9</c:v>
                </c:pt>
                <c:pt idx="115">
                  <c:v>10.200000000000001</c:v>
                </c:pt>
                <c:pt idx="116">
                  <c:v>10.5</c:v>
                </c:pt>
                <c:pt idx="117">
                  <c:v>10.8</c:v>
                </c:pt>
                <c:pt idx="118">
                  <c:v>11.100000000000001</c:v>
                </c:pt>
                <c:pt idx="119">
                  <c:v>11.4</c:v>
                </c:pt>
                <c:pt idx="120">
                  <c:v>6.6499999999999995</c:v>
                </c:pt>
                <c:pt idx="121">
                  <c:v>7</c:v>
                </c:pt>
                <c:pt idx="122">
                  <c:v>7.35</c:v>
                </c:pt>
                <c:pt idx="123">
                  <c:v>7.7</c:v>
                </c:pt>
                <c:pt idx="124">
                  <c:v>8.0500000000000007</c:v>
                </c:pt>
                <c:pt idx="125">
                  <c:v>8.4</c:v>
                </c:pt>
                <c:pt idx="126">
                  <c:v>8.75</c:v>
                </c:pt>
                <c:pt idx="127">
                  <c:v>9.1</c:v>
                </c:pt>
                <c:pt idx="128">
                  <c:v>9.4499999999999993</c:v>
                </c:pt>
                <c:pt idx="129">
                  <c:v>9.8000000000000007</c:v>
                </c:pt>
                <c:pt idx="130">
                  <c:v>10.15</c:v>
                </c:pt>
                <c:pt idx="131">
                  <c:v>10.5</c:v>
                </c:pt>
                <c:pt idx="132">
                  <c:v>10.85</c:v>
                </c:pt>
                <c:pt idx="133">
                  <c:v>11.2</c:v>
                </c:pt>
                <c:pt idx="134">
                  <c:v>11.55</c:v>
                </c:pt>
                <c:pt idx="135">
                  <c:v>11.9</c:v>
                </c:pt>
                <c:pt idx="136">
                  <c:v>12.25</c:v>
                </c:pt>
                <c:pt idx="137">
                  <c:v>12.600000000000001</c:v>
                </c:pt>
                <c:pt idx="138">
                  <c:v>12.95</c:v>
                </c:pt>
                <c:pt idx="139">
                  <c:v>13.3</c:v>
                </c:pt>
                <c:pt idx="140">
                  <c:v>7.6000000000000005</c:v>
                </c:pt>
                <c:pt idx="141">
                  <c:v>8</c:v>
                </c:pt>
                <c:pt idx="142">
                  <c:v>8.4</c:v>
                </c:pt>
                <c:pt idx="143">
                  <c:v>8.8000000000000007</c:v>
                </c:pt>
                <c:pt idx="144">
                  <c:v>9.1999999999999993</c:v>
                </c:pt>
                <c:pt idx="145">
                  <c:v>9.6000000000000014</c:v>
                </c:pt>
                <c:pt idx="146">
                  <c:v>10</c:v>
                </c:pt>
                <c:pt idx="147">
                  <c:v>10.4</c:v>
                </c:pt>
                <c:pt idx="148">
                  <c:v>10.8</c:v>
                </c:pt>
                <c:pt idx="149">
                  <c:v>11.2</c:v>
                </c:pt>
                <c:pt idx="150">
                  <c:v>11.600000000000001</c:v>
                </c:pt>
                <c:pt idx="151">
                  <c:v>12</c:v>
                </c:pt>
                <c:pt idx="152">
                  <c:v>12.4</c:v>
                </c:pt>
                <c:pt idx="153">
                  <c:v>12.8</c:v>
                </c:pt>
                <c:pt idx="154">
                  <c:v>13.2</c:v>
                </c:pt>
                <c:pt idx="155">
                  <c:v>13.600000000000001</c:v>
                </c:pt>
                <c:pt idx="156">
                  <c:v>14</c:v>
                </c:pt>
                <c:pt idx="157">
                  <c:v>14.4</c:v>
                </c:pt>
                <c:pt idx="158">
                  <c:v>14.8</c:v>
                </c:pt>
                <c:pt idx="159">
                  <c:v>15.2</c:v>
                </c:pt>
                <c:pt idx="160">
                  <c:v>8.5499999999999989</c:v>
                </c:pt>
                <c:pt idx="161">
                  <c:v>9</c:v>
                </c:pt>
                <c:pt idx="162">
                  <c:v>9.4499999999999993</c:v>
                </c:pt>
                <c:pt idx="163">
                  <c:v>9.9</c:v>
                </c:pt>
                <c:pt idx="164">
                  <c:v>10.35</c:v>
                </c:pt>
                <c:pt idx="165">
                  <c:v>10.8</c:v>
                </c:pt>
                <c:pt idx="166">
                  <c:v>11.25</c:v>
                </c:pt>
                <c:pt idx="167">
                  <c:v>11.7</c:v>
                </c:pt>
                <c:pt idx="168">
                  <c:v>12.149999999999999</c:v>
                </c:pt>
                <c:pt idx="169">
                  <c:v>12.6</c:v>
                </c:pt>
                <c:pt idx="170">
                  <c:v>13.05</c:v>
                </c:pt>
                <c:pt idx="171">
                  <c:v>13.5</c:v>
                </c:pt>
                <c:pt idx="172">
                  <c:v>13.95</c:v>
                </c:pt>
                <c:pt idx="173">
                  <c:v>14.4</c:v>
                </c:pt>
                <c:pt idx="174">
                  <c:v>14.85</c:v>
                </c:pt>
                <c:pt idx="175">
                  <c:v>15.3</c:v>
                </c:pt>
                <c:pt idx="176">
                  <c:v>15.75</c:v>
                </c:pt>
                <c:pt idx="177">
                  <c:v>16.2</c:v>
                </c:pt>
                <c:pt idx="178">
                  <c:v>16.649999999999999</c:v>
                </c:pt>
                <c:pt idx="179">
                  <c:v>17.100000000000001</c:v>
                </c:pt>
                <c:pt idx="180">
                  <c:v>9.5</c:v>
                </c:pt>
                <c:pt idx="181">
                  <c:v>10</c:v>
                </c:pt>
                <c:pt idx="182">
                  <c:v>10.5</c:v>
                </c:pt>
                <c:pt idx="183">
                  <c:v>11</c:v>
                </c:pt>
                <c:pt idx="184">
                  <c:v>11.5</c:v>
                </c:pt>
                <c:pt idx="185">
                  <c:v>12</c:v>
                </c:pt>
                <c:pt idx="186">
                  <c:v>12.5</c:v>
                </c:pt>
                <c:pt idx="187">
                  <c:v>13</c:v>
                </c:pt>
                <c:pt idx="188">
                  <c:v>13.5</c:v>
                </c:pt>
                <c:pt idx="189">
                  <c:v>14</c:v>
                </c:pt>
                <c:pt idx="190">
                  <c:v>14.5</c:v>
                </c:pt>
                <c:pt idx="191">
                  <c:v>15</c:v>
                </c:pt>
                <c:pt idx="192">
                  <c:v>15.5</c:v>
                </c:pt>
                <c:pt idx="193">
                  <c:v>16</c:v>
                </c:pt>
                <c:pt idx="194">
                  <c:v>16.5</c:v>
                </c:pt>
                <c:pt idx="195">
                  <c:v>17</c:v>
                </c:pt>
                <c:pt idx="196">
                  <c:v>17.5</c:v>
                </c:pt>
                <c:pt idx="197">
                  <c:v>18</c:v>
                </c:pt>
                <c:pt idx="198">
                  <c:v>18.5</c:v>
                </c:pt>
                <c:pt idx="199">
                  <c:v>19</c:v>
                </c:pt>
                <c:pt idx="200">
                  <c:v>10.450000000000001</c:v>
                </c:pt>
                <c:pt idx="201">
                  <c:v>11</c:v>
                </c:pt>
                <c:pt idx="202">
                  <c:v>11.55</c:v>
                </c:pt>
                <c:pt idx="203">
                  <c:v>12.100000000000001</c:v>
                </c:pt>
                <c:pt idx="204">
                  <c:v>12.65</c:v>
                </c:pt>
                <c:pt idx="205">
                  <c:v>13.200000000000001</c:v>
                </c:pt>
                <c:pt idx="206">
                  <c:v>13.75</c:v>
                </c:pt>
                <c:pt idx="207">
                  <c:v>14.3</c:v>
                </c:pt>
                <c:pt idx="208">
                  <c:v>14.850000000000001</c:v>
                </c:pt>
                <c:pt idx="209">
                  <c:v>15.4</c:v>
                </c:pt>
                <c:pt idx="210">
                  <c:v>15.950000000000001</c:v>
                </c:pt>
                <c:pt idx="211">
                  <c:v>16.5</c:v>
                </c:pt>
                <c:pt idx="212">
                  <c:v>17.05</c:v>
                </c:pt>
                <c:pt idx="213">
                  <c:v>17.600000000000001</c:v>
                </c:pt>
                <c:pt idx="214">
                  <c:v>18.149999999999999</c:v>
                </c:pt>
                <c:pt idx="215">
                  <c:v>18.700000000000003</c:v>
                </c:pt>
                <c:pt idx="216">
                  <c:v>19.25</c:v>
                </c:pt>
                <c:pt idx="217">
                  <c:v>19.8</c:v>
                </c:pt>
                <c:pt idx="218">
                  <c:v>20.350000000000001</c:v>
                </c:pt>
                <c:pt idx="219">
                  <c:v>20.9</c:v>
                </c:pt>
                <c:pt idx="220">
                  <c:v>11.4</c:v>
                </c:pt>
                <c:pt idx="221">
                  <c:v>12</c:v>
                </c:pt>
                <c:pt idx="222">
                  <c:v>12.600000000000001</c:v>
                </c:pt>
                <c:pt idx="223">
                  <c:v>13.200000000000001</c:v>
                </c:pt>
                <c:pt idx="224">
                  <c:v>13.8</c:v>
                </c:pt>
                <c:pt idx="225">
                  <c:v>14.4</c:v>
                </c:pt>
                <c:pt idx="226">
                  <c:v>15</c:v>
                </c:pt>
                <c:pt idx="227">
                  <c:v>15.600000000000001</c:v>
                </c:pt>
                <c:pt idx="228">
                  <c:v>16.200000000000003</c:v>
                </c:pt>
                <c:pt idx="229">
                  <c:v>16.8</c:v>
                </c:pt>
                <c:pt idx="230">
                  <c:v>17.400000000000002</c:v>
                </c:pt>
                <c:pt idx="231">
                  <c:v>18</c:v>
                </c:pt>
                <c:pt idx="232">
                  <c:v>18.600000000000001</c:v>
                </c:pt>
                <c:pt idx="233">
                  <c:v>19.200000000000003</c:v>
                </c:pt>
                <c:pt idx="234">
                  <c:v>19.8</c:v>
                </c:pt>
                <c:pt idx="235">
                  <c:v>20.400000000000002</c:v>
                </c:pt>
                <c:pt idx="236">
                  <c:v>21</c:v>
                </c:pt>
                <c:pt idx="237">
                  <c:v>21.6</c:v>
                </c:pt>
                <c:pt idx="238">
                  <c:v>22.200000000000003</c:v>
                </c:pt>
                <c:pt idx="239">
                  <c:v>22.8</c:v>
                </c:pt>
                <c:pt idx="240">
                  <c:v>12.350000000000001</c:v>
                </c:pt>
                <c:pt idx="241">
                  <c:v>13.000000000000002</c:v>
                </c:pt>
                <c:pt idx="242">
                  <c:v>13.650000000000002</c:v>
                </c:pt>
                <c:pt idx="243">
                  <c:v>14.3</c:v>
                </c:pt>
                <c:pt idx="244">
                  <c:v>14.950000000000001</c:v>
                </c:pt>
                <c:pt idx="245">
                  <c:v>15.600000000000001</c:v>
                </c:pt>
                <c:pt idx="246">
                  <c:v>16.25</c:v>
                </c:pt>
                <c:pt idx="247">
                  <c:v>16.900000000000002</c:v>
                </c:pt>
                <c:pt idx="248">
                  <c:v>17.55</c:v>
                </c:pt>
                <c:pt idx="249">
                  <c:v>18.200000000000003</c:v>
                </c:pt>
                <c:pt idx="250">
                  <c:v>18.850000000000001</c:v>
                </c:pt>
                <c:pt idx="251">
                  <c:v>19.5</c:v>
                </c:pt>
                <c:pt idx="252">
                  <c:v>20.150000000000002</c:v>
                </c:pt>
                <c:pt idx="253">
                  <c:v>20.8</c:v>
                </c:pt>
                <c:pt idx="254">
                  <c:v>21.450000000000003</c:v>
                </c:pt>
                <c:pt idx="255">
                  <c:v>22.1</c:v>
                </c:pt>
                <c:pt idx="256">
                  <c:v>22.75</c:v>
                </c:pt>
                <c:pt idx="257">
                  <c:v>23.400000000000002</c:v>
                </c:pt>
                <c:pt idx="258">
                  <c:v>24.050000000000004</c:v>
                </c:pt>
                <c:pt idx="259">
                  <c:v>24.700000000000003</c:v>
                </c:pt>
                <c:pt idx="260">
                  <c:v>13.299999999999999</c:v>
                </c:pt>
                <c:pt idx="261">
                  <c:v>14</c:v>
                </c:pt>
                <c:pt idx="262">
                  <c:v>14.7</c:v>
                </c:pt>
                <c:pt idx="263">
                  <c:v>15.4</c:v>
                </c:pt>
                <c:pt idx="264">
                  <c:v>16.100000000000001</c:v>
                </c:pt>
                <c:pt idx="265">
                  <c:v>16.8</c:v>
                </c:pt>
                <c:pt idx="266">
                  <c:v>17.5</c:v>
                </c:pt>
                <c:pt idx="267">
                  <c:v>18.2</c:v>
                </c:pt>
                <c:pt idx="268">
                  <c:v>18.899999999999999</c:v>
                </c:pt>
                <c:pt idx="269">
                  <c:v>19.600000000000001</c:v>
                </c:pt>
                <c:pt idx="270">
                  <c:v>20.3</c:v>
                </c:pt>
                <c:pt idx="271">
                  <c:v>21</c:v>
                </c:pt>
                <c:pt idx="272">
                  <c:v>21.7</c:v>
                </c:pt>
                <c:pt idx="273">
                  <c:v>22.4</c:v>
                </c:pt>
                <c:pt idx="274">
                  <c:v>23.1</c:v>
                </c:pt>
                <c:pt idx="275">
                  <c:v>23.8</c:v>
                </c:pt>
                <c:pt idx="276">
                  <c:v>24.5</c:v>
                </c:pt>
                <c:pt idx="277">
                  <c:v>25.200000000000003</c:v>
                </c:pt>
                <c:pt idx="278">
                  <c:v>25.9</c:v>
                </c:pt>
                <c:pt idx="279">
                  <c:v>26.6</c:v>
                </c:pt>
                <c:pt idx="280">
                  <c:v>14.25</c:v>
                </c:pt>
                <c:pt idx="281">
                  <c:v>15</c:v>
                </c:pt>
                <c:pt idx="282">
                  <c:v>15.75</c:v>
                </c:pt>
                <c:pt idx="283">
                  <c:v>16.5</c:v>
                </c:pt>
                <c:pt idx="284">
                  <c:v>17.25</c:v>
                </c:pt>
                <c:pt idx="285">
                  <c:v>18</c:v>
                </c:pt>
                <c:pt idx="286">
                  <c:v>18.75</c:v>
                </c:pt>
                <c:pt idx="287">
                  <c:v>19.5</c:v>
                </c:pt>
                <c:pt idx="288">
                  <c:v>20.25</c:v>
                </c:pt>
                <c:pt idx="289">
                  <c:v>21</c:v>
                </c:pt>
                <c:pt idx="290">
                  <c:v>21.75</c:v>
                </c:pt>
                <c:pt idx="291">
                  <c:v>22.5</c:v>
                </c:pt>
                <c:pt idx="292">
                  <c:v>23.25</c:v>
                </c:pt>
                <c:pt idx="293">
                  <c:v>24</c:v>
                </c:pt>
                <c:pt idx="294">
                  <c:v>24.75</c:v>
                </c:pt>
                <c:pt idx="295">
                  <c:v>25.5</c:v>
                </c:pt>
                <c:pt idx="296">
                  <c:v>26.25</c:v>
                </c:pt>
                <c:pt idx="297">
                  <c:v>27</c:v>
                </c:pt>
                <c:pt idx="298">
                  <c:v>27.75</c:v>
                </c:pt>
                <c:pt idx="299">
                  <c:v>28.5</c:v>
                </c:pt>
                <c:pt idx="300">
                  <c:v>15.200000000000001</c:v>
                </c:pt>
                <c:pt idx="301">
                  <c:v>16</c:v>
                </c:pt>
                <c:pt idx="302">
                  <c:v>16.8</c:v>
                </c:pt>
                <c:pt idx="303">
                  <c:v>17.600000000000001</c:v>
                </c:pt>
                <c:pt idx="304">
                  <c:v>18.399999999999999</c:v>
                </c:pt>
                <c:pt idx="305">
                  <c:v>19.200000000000003</c:v>
                </c:pt>
                <c:pt idx="306">
                  <c:v>20</c:v>
                </c:pt>
                <c:pt idx="307">
                  <c:v>20.8</c:v>
                </c:pt>
                <c:pt idx="308">
                  <c:v>21.6</c:v>
                </c:pt>
                <c:pt idx="309">
                  <c:v>22.4</c:v>
                </c:pt>
                <c:pt idx="310">
                  <c:v>23.200000000000003</c:v>
                </c:pt>
                <c:pt idx="311">
                  <c:v>24</c:v>
                </c:pt>
                <c:pt idx="312">
                  <c:v>24.8</c:v>
                </c:pt>
                <c:pt idx="313">
                  <c:v>25.6</c:v>
                </c:pt>
                <c:pt idx="314">
                  <c:v>26.4</c:v>
                </c:pt>
                <c:pt idx="315">
                  <c:v>27.200000000000003</c:v>
                </c:pt>
                <c:pt idx="316">
                  <c:v>28</c:v>
                </c:pt>
                <c:pt idx="317">
                  <c:v>28.8</c:v>
                </c:pt>
                <c:pt idx="318">
                  <c:v>29.6</c:v>
                </c:pt>
                <c:pt idx="319">
                  <c:v>30.4</c:v>
                </c:pt>
                <c:pt idx="320">
                  <c:v>16.150000000000002</c:v>
                </c:pt>
                <c:pt idx="321">
                  <c:v>17</c:v>
                </c:pt>
                <c:pt idx="322">
                  <c:v>17.850000000000001</c:v>
                </c:pt>
                <c:pt idx="323">
                  <c:v>18.700000000000003</c:v>
                </c:pt>
                <c:pt idx="324">
                  <c:v>19.55</c:v>
                </c:pt>
                <c:pt idx="325">
                  <c:v>20.400000000000002</c:v>
                </c:pt>
                <c:pt idx="326">
                  <c:v>21.25</c:v>
                </c:pt>
                <c:pt idx="327">
                  <c:v>22.1</c:v>
                </c:pt>
                <c:pt idx="328">
                  <c:v>22.950000000000003</c:v>
                </c:pt>
                <c:pt idx="329">
                  <c:v>23.8</c:v>
                </c:pt>
                <c:pt idx="330">
                  <c:v>24.65</c:v>
                </c:pt>
                <c:pt idx="331">
                  <c:v>25.5</c:v>
                </c:pt>
                <c:pt idx="332">
                  <c:v>26.35</c:v>
                </c:pt>
                <c:pt idx="333">
                  <c:v>27.200000000000003</c:v>
                </c:pt>
                <c:pt idx="334">
                  <c:v>28.05</c:v>
                </c:pt>
                <c:pt idx="335">
                  <c:v>28.900000000000002</c:v>
                </c:pt>
                <c:pt idx="336">
                  <c:v>29.75</c:v>
                </c:pt>
                <c:pt idx="337">
                  <c:v>30.6</c:v>
                </c:pt>
                <c:pt idx="338">
                  <c:v>31.450000000000003</c:v>
                </c:pt>
                <c:pt idx="339">
                  <c:v>32.299999999999997</c:v>
                </c:pt>
                <c:pt idx="340">
                  <c:v>17.099999999999998</c:v>
                </c:pt>
                <c:pt idx="341">
                  <c:v>18</c:v>
                </c:pt>
                <c:pt idx="342">
                  <c:v>18.899999999999999</c:v>
                </c:pt>
                <c:pt idx="343">
                  <c:v>19.8</c:v>
                </c:pt>
                <c:pt idx="344">
                  <c:v>20.7</c:v>
                </c:pt>
                <c:pt idx="345">
                  <c:v>21.6</c:v>
                </c:pt>
                <c:pt idx="346">
                  <c:v>22.5</c:v>
                </c:pt>
                <c:pt idx="347">
                  <c:v>23.4</c:v>
                </c:pt>
                <c:pt idx="348">
                  <c:v>24.299999999999997</c:v>
                </c:pt>
                <c:pt idx="349">
                  <c:v>25.2</c:v>
                </c:pt>
                <c:pt idx="350">
                  <c:v>26.1</c:v>
                </c:pt>
                <c:pt idx="351">
                  <c:v>27</c:v>
                </c:pt>
                <c:pt idx="352">
                  <c:v>27.9</c:v>
                </c:pt>
                <c:pt idx="353">
                  <c:v>28.8</c:v>
                </c:pt>
                <c:pt idx="354">
                  <c:v>29.7</c:v>
                </c:pt>
                <c:pt idx="355">
                  <c:v>30.6</c:v>
                </c:pt>
                <c:pt idx="356">
                  <c:v>31.5</c:v>
                </c:pt>
                <c:pt idx="357">
                  <c:v>32.4</c:v>
                </c:pt>
                <c:pt idx="358">
                  <c:v>33.299999999999997</c:v>
                </c:pt>
                <c:pt idx="359">
                  <c:v>34.200000000000003</c:v>
                </c:pt>
                <c:pt idx="360">
                  <c:v>18.05</c:v>
                </c:pt>
                <c:pt idx="361">
                  <c:v>19</c:v>
                </c:pt>
                <c:pt idx="362">
                  <c:v>19.950000000000003</c:v>
                </c:pt>
                <c:pt idx="363">
                  <c:v>20.900000000000002</c:v>
                </c:pt>
                <c:pt idx="364">
                  <c:v>21.85</c:v>
                </c:pt>
                <c:pt idx="365">
                  <c:v>22.8</c:v>
                </c:pt>
                <c:pt idx="366">
                  <c:v>23.75</c:v>
                </c:pt>
                <c:pt idx="367">
                  <c:v>24.700000000000003</c:v>
                </c:pt>
                <c:pt idx="368">
                  <c:v>25.650000000000002</c:v>
                </c:pt>
                <c:pt idx="369">
                  <c:v>26.6</c:v>
                </c:pt>
                <c:pt idx="370">
                  <c:v>27.550000000000004</c:v>
                </c:pt>
                <c:pt idx="371">
                  <c:v>28.5</c:v>
                </c:pt>
                <c:pt idx="372">
                  <c:v>29.450000000000003</c:v>
                </c:pt>
                <c:pt idx="373">
                  <c:v>30.400000000000002</c:v>
                </c:pt>
                <c:pt idx="374">
                  <c:v>31.35</c:v>
                </c:pt>
                <c:pt idx="375">
                  <c:v>32.300000000000004</c:v>
                </c:pt>
                <c:pt idx="376">
                  <c:v>33.25</c:v>
                </c:pt>
                <c:pt idx="377">
                  <c:v>34.200000000000003</c:v>
                </c:pt>
                <c:pt idx="378">
                  <c:v>35.150000000000006</c:v>
                </c:pt>
                <c:pt idx="379">
                  <c:v>36.1</c:v>
                </c:pt>
                <c:pt idx="380">
                  <c:v>19</c:v>
                </c:pt>
                <c:pt idx="381">
                  <c:v>20</c:v>
                </c:pt>
                <c:pt idx="382">
                  <c:v>21</c:v>
                </c:pt>
                <c:pt idx="383">
                  <c:v>22</c:v>
                </c:pt>
                <c:pt idx="384">
                  <c:v>23</c:v>
                </c:pt>
                <c:pt idx="385">
                  <c:v>24</c:v>
                </c:pt>
                <c:pt idx="386">
                  <c:v>25</c:v>
                </c:pt>
                <c:pt idx="387">
                  <c:v>26</c:v>
                </c:pt>
                <c:pt idx="388">
                  <c:v>27</c:v>
                </c:pt>
                <c:pt idx="389">
                  <c:v>28</c:v>
                </c:pt>
                <c:pt idx="390">
                  <c:v>29</c:v>
                </c:pt>
                <c:pt idx="391">
                  <c:v>30</c:v>
                </c:pt>
                <c:pt idx="392">
                  <c:v>31</c:v>
                </c:pt>
                <c:pt idx="393">
                  <c:v>32</c:v>
                </c:pt>
                <c:pt idx="394">
                  <c:v>33</c:v>
                </c:pt>
                <c:pt idx="395">
                  <c:v>34</c:v>
                </c:pt>
                <c:pt idx="396">
                  <c:v>35</c:v>
                </c:pt>
                <c:pt idx="397">
                  <c:v>36</c:v>
                </c:pt>
                <c:pt idx="398">
                  <c:v>37</c:v>
                </c:pt>
                <c:pt idx="399">
                  <c:v>38</c:v>
                </c:pt>
                <c:pt idx="400">
                  <c:v>19.950000000000003</c:v>
                </c:pt>
                <c:pt idx="401">
                  <c:v>21.000000000000004</c:v>
                </c:pt>
                <c:pt idx="402">
                  <c:v>22.050000000000004</c:v>
                </c:pt>
                <c:pt idx="403">
                  <c:v>23.1</c:v>
                </c:pt>
                <c:pt idx="404">
                  <c:v>24.150000000000002</c:v>
                </c:pt>
                <c:pt idx="405">
                  <c:v>25.200000000000003</c:v>
                </c:pt>
                <c:pt idx="406">
                  <c:v>26.250000000000004</c:v>
                </c:pt>
                <c:pt idx="407">
                  <c:v>27.300000000000004</c:v>
                </c:pt>
                <c:pt idx="408">
                  <c:v>28.35</c:v>
                </c:pt>
                <c:pt idx="409">
                  <c:v>29.400000000000002</c:v>
                </c:pt>
                <c:pt idx="410">
                  <c:v>30.450000000000003</c:v>
                </c:pt>
                <c:pt idx="411">
                  <c:v>31.500000000000004</c:v>
                </c:pt>
                <c:pt idx="412">
                  <c:v>32.550000000000004</c:v>
                </c:pt>
                <c:pt idx="413">
                  <c:v>33.6</c:v>
                </c:pt>
                <c:pt idx="414">
                  <c:v>34.650000000000006</c:v>
                </c:pt>
                <c:pt idx="415">
                  <c:v>35.700000000000003</c:v>
                </c:pt>
                <c:pt idx="416">
                  <c:v>36.75</c:v>
                </c:pt>
                <c:pt idx="417">
                  <c:v>37.800000000000004</c:v>
                </c:pt>
                <c:pt idx="418">
                  <c:v>38.850000000000009</c:v>
                </c:pt>
                <c:pt idx="419">
                  <c:v>39.900000000000006</c:v>
                </c:pt>
                <c:pt idx="420">
                  <c:v>20.900000000000002</c:v>
                </c:pt>
                <c:pt idx="421">
                  <c:v>22</c:v>
                </c:pt>
                <c:pt idx="422">
                  <c:v>23.1</c:v>
                </c:pt>
                <c:pt idx="423">
                  <c:v>24.200000000000003</c:v>
                </c:pt>
                <c:pt idx="424">
                  <c:v>25.3</c:v>
                </c:pt>
                <c:pt idx="425">
                  <c:v>26.400000000000002</c:v>
                </c:pt>
                <c:pt idx="426">
                  <c:v>27.5</c:v>
                </c:pt>
                <c:pt idx="427">
                  <c:v>28.6</c:v>
                </c:pt>
                <c:pt idx="428">
                  <c:v>29.700000000000003</c:v>
                </c:pt>
                <c:pt idx="429">
                  <c:v>30.8</c:v>
                </c:pt>
                <c:pt idx="430">
                  <c:v>31.900000000000002</c:v>
                </c:pt>
                <c:pt idx="431">
                  <c:v>33</c:v>
                </c:pt>
                <c:pt idx="432">
                  <c:v>34.1</c:v>
                </c:pt>
                <c:pt idx="433">
                  <c:v>35.200000000000003</c:v>
                </c:pt>
                <c:pt idx="434">
                  <c:v>36.299999999999997</c:v>
                </c:pt>
                <c:pt idx="435">
                  <c:v>37.400000000000006</c:v>
                </c:pt>
                <c:pt idx="436">
                  <c:v>38.5</c:v>
                </c:pt>
                <c:pt idx="437">
                  <c:v>39.6</c:v>
                </c:pt>
                <c:pt idx="438">
                  <c:v>40.700000000000003</c:v>
                </c:pt>
                <c:pt idx="439">
                  <c:v>41.8</c:v>
                </c:pt>
                <c:pt idx="440">
                  <c:v>21.849999999999998</c:v>
                </c:pt>
                <c:pt idx="441">
                  <c:v>23</c:v>
                </c:pt>
                <c:pt idx="442">
                  <c:v>24.15</c:v>
                </c:pt>
                <c:pt idx="443">
                  <c:v>25.3</c:v>
                </c:pt>
                <c:pt idx="444">
                  <c:v>26.45</c:v>
                </c:pt>
                <c:pt idx="445">
                  <c:v>27.6</c:v>
                </c:pt>
                <c:pt idx="446">
                  <c:v>28.75</c:v>
                </c:pt>
                <c:pt idx="447">
                  <c:v>29.9</c:v>
                </c:pt>
                <c:pt idx="448">
                  <c:v>31.05</c:v>
                </c:pt>
                <c:pt idx="449">
                  <c:v>32.200000000000003</c:v>
                </c:pt>
                <c:pt idx="450">
                  <c:v>33.35</c:v>
                </c:pt>
                <c:pt idx="451">
                  <c:v>34.5</c:v>
                </c:pt>
                <c:pt idx="452">
                  <c:v>35.65</c:v>
                </c:pt>
                <c:pt idx="453">
                  <c:v>36.799999999999997</c:v>
                </c:pt>
                <c:pt idx="454">
                  <c:v>37.950000000000003</c:v>
                </c:pt>
                <c:pt idx="455">
                  <c:v>39.1</c:v>
                </c:pt>
                <c:pt idx="456">
                  <c:v>40.25</c:v>
                </c:pt>
                <c:pt idx="457">
                  <c:v>41.400000000000006</c:v>
                </c:pt>
                <c:pt idx="458">
                  <c:v>42.55</c:v>
                </c:pt>
                <c:pt idx="459">
                  <c:v>43.7</c:v>
                </c:pt>
                <c:pt idx="460">
                  <c:v>22.8</c:v>
                </c:pt>
                <c:pt idx="461">
                  <c:v>24</c:v>
                </c:pt>
                <c:pt idx="462">
                  <c:v>25.200000000000003</c:v>
                </c:pt>
                <c:pt idx="463">
                  <c:v>26.400000000000002</c:v>
                </c:pt>
                <c:pt idx="464">
                  <c:v>27.6</c:v>
                </c:pt>
                <c:pt idx="465">
                  <c:v>28.8</c:v>
                </c:pt>
                <c:pt idx="466">
                  <c:v>30</c:v>
                </c:pt>
                <c:pt idx="467">
                  <c:v>31.200000000000003</c:v>
                </c:pt>
                <c:pt idx="468">
                  <c:v>32.400000000000006</c:v>
                </c:pt>
                <c:pt idx="469">
                  <c:v>33.6</c:v>
                </c:pt>
                <c:pt idx="470">
                  <c:v>34.800000000000004</c:v>
                </c:pt>
                <c:pt idx="471">
                  <c:v>36</c:v>
                </c:pt>
                <c:pt idx="472">
                  <c:v>37.200000000000003</c:v>
                </c:pt>
                <c:pt idx="473">
                  <c:v>38.400000000000006</c:v>
                </c:pt>
                <c:pt idx="474">
                  <c:v>39.6</c:v>
                </c:pt>
                <c:pt idx="475">
                  <c:v>40.800000000000004</c:v>
                </c:pt>
                <c:pt idx="476">
                  <c:v>42</c:v>
                </c:pt>
                <c:pt idx="477">
                  <c:v>43.2</c:v>
                </c:pt>
                <c:pt idx="478">
                  <c:v>44.400000000000006</c:v>
                </c:pt>
                <c:pt idx="479">
                  <c:v>45.6</c:v>
                </c:pt>
                <c:pt idx="480">
                  <c:v>23.75</c:v>
                </c:pt>
                <c:pt idx="481">
                  <c:v>25</c:v>
                </c:pt>
                <c:pt idx="482">
                  <c:v>26.25</c:v>
                </c:pt>
                <c:pt idx="483">
                  <c:v>27.5</c:v>
                </c:pt>
                <c:pt idx="484">
                  <c:v>28.75</c:v>
                </c:pt>
                <c:pt idx="485">
                  <c:v>30</c:v>
                </c:pt>
                <c:pt idx="486">
                  <c:v>31.25</c:v>
                </c:pt>
                <c:pt idx="487">
                  <c:v>32.5</c:v>
                </c:pt>
                <c:pt idx="488">
                  <c:v>33.75</c:v>
                </c:pt>
                <c:pt idx="489">
                  <c:v>35</c:v>
                </c:pt>
                <c:pt idx="490">
                  <c:v>36.25</c:v>
                </c:pt>
                <c:pt idx="491">
                  <c:v>37.5</c:v>
                </c:pt>
                <c:pt idx="492">
                  <c:v>38.75</c:v>
                </c:pt>
                <c:pt idx="493">
                  <c:v>40</c:v>
                </c:pt>
                <c:pt idx="494">
                  <c:v>41.25</c:v>
                </c:pt>
                <c:pt idx="495">
                  <c:v>42.5</c:v>
                </c:pt>
                <c:pt idx="496">
                  <c:v>43.75</c:v>
                </c:pt>
                <c:pt idx="497">
                  <c:v>45</c:v>
                </c:pt>
                <c:pt idx="498">
                  <c:v>46.25</c:v>
                </c:pt>
                <c:pt idx="499">
                  <c:v>47.5</c:v>
                </c:pt>
                <c:pt idx="500">
                  <c:v>24.700000000000003</c:v>
                </c:pt>
                <c:pt idx="501">
                  <c:v>26.000000000000004</c:v>
                </c:pt>
                <c:pt idx="502">
                  <c:v>27.300000000000004</c:v>
                </c:pt>
                <c:pt idx="503">
                  <c:v>28.6</c:v>
                </c:pt>
                <c:pt idx="504">
                  <c:v>29.900000000000002</c:v>
                </c:pt>
                <c:pt idx="505">
                  <c:v>31.200000000000003</c:v>
                </c:pt>
                <c:pt idx="506">
                  <c:v>32.5</c:v>
                </c:pt>
                <c:pt idx="507">
                  <c:v>33.800000000000004</c:v>
                </c:pt>
                <c:pt idx="508">
                  <c:v>35.1</c:v>
                </c:pt>
                <c:pt idx="509">
                  <c:v>36.400000000000006</c:v>
                </c:pt>
                <c:pt idx="510">
                  <c:v>37.700000000000003</c:v>
                </c:pt>
                <c:pt idx="511">
                  <c:v>39</c:v>
                </c:pt>
                <c:pt idx="512">
                  <c:v>40.300000000000004</c:v>
                </c:pt>
                <c:pt idx="513">
                  <c:v>41.6</c:v>
                </c:pt>
                <c:pt idx="514">
                  <c:v>42.900000000000006</c:v>
                </c:pt>
                <c:pt idx="515">
                  <c:v>44.2</c:v>
                </c:pt>
                <c:pt idx="516">
                  <c:v>45.5</c:v>
                </c:pt>
                <c:pt idx="517">
                  <c:v>46.800000000000004</c:v>
                </c:pt>
                <c:pt idx="518">
                  <c:v>48.100000000000009</c:v>
                </c:pt>
                <c:pt idx="519">
                  <c:v>49.400000000000006</c:v>
                </c:pt>
                <c:pt idx="520">
                  <c:v>25.650000000000002</c:v>
                </c:pt>
                <c:pt idx="521">
                  <c:v>27</c:v>
                </c:pt>
                <c:pt idx="522">
                  <c:v>28.35</c:v>
                </c:pt>
                <c:pt idx="523">
                  <c:v>29.700000000000003</c:v>
                </c:pt>
                <c:pt idx="524">
                  <c:v>31.05</c:v>
                </c:pt>
                <c:pt idx="525">
                  <c:v>32.4</c:v>
                </c:pt>
                <c:pt idx="526">
                  <c:v>33.75</c:v>
                </c:pt>
                <c:pt idx="527">
                  <c:v>35.1</c:v>
                </c:pt>
                <c:pt idx="528">
                  <c:v>36.450000000000003</c:v>
                </c:pt>
                <c:pt idx="529">
                  <c:v>37.799999999999997</c:v>
                </c:pt>
                <c:pt idx="530">
                  <c:v>39.150000000000006</c:v>
                </c:pt>
                <c:pt idx="531">
                  <c:v>40.5</c:v>
                </c:pt>
                <c:pt idx="532">
                  <c:v>41.85</c:v>
                </c:pt>
                <c:pt idx="533">
                  <c:v>43.2</c:v>
                </c:pt>
                <c:pt idx="534">
                  <c:v>44.55</c:v>
                </c:pt>
                <c:pt idx="535">
                  <c:v>45.900000000000006</c:v>
                </c:pt>
                <c:pt idx="536">
                  <c:v>47.25</c:v>
                </c:pt>
                <c:pt idx="537">
                  <c:v>48.6</c:v>
                </c:pt>
                <c:pt idx="538">
                  <c:v>49.95</c:v>
                </c:pt>
                <c:pt idx="539">
                  <c:v>51.3</c:v>
                </c:pt>
                <c:pt idx="540">
                  <c:v>26.599999999999998</c:v>
                </c:pt>
                <c:pt idx="541">
                  <c:v>28</c:v>
                </c:pt>
                <c:pt idx="542">
                  <c:v>29.4</c:v>
                </c:pt>
                <c:pt idx="543">
                  <c:v>30.8</c:v>
                </c:pt>
                <c:pt idx="544">
                  <c:v>32.200000000000003</c:v>
                </c:pt>
                <c:pt idx="545">
                  <c:v>33.6</c:v>
                </c:pt>
                <c:pt idx="546">
                  <c:v>35</c:v>
                </c:pt>
                <c:pt idx="547">
                  <c:v>36.4</c:v>
                </c:pt>
                <c:pt idx="548">
                  <c:v>37.799999999999997</c:v>
                </c:pt>
                <c:pt idx="549">
                  <c:v>39.200000000000003</c:v>
                </c:pt>
                <c:pt idx="550">
                  <c:v>40.6</c:v>
                </c:pt>
                <c:pt idx="551">
                  <c:v>42</c:v>
                </c:pt>
                <c:pt idx="552">
                  <c:v>43.4</c:v>
                </c:pt>
                <c:pt idx="553">
                  <c:v>44.8</c:v>
                </c:pt>
                <c:pt idx="554">
                  <c:v>46.2</c:v>
                </c:pt>
                <c:pt idx="555">
                  <c:v>47.6</c:v>
                </c:pt>
                <c:pt idx="556">
                  <c:v>49</c:v>
                </c:pt>
                <c:pt idx="557">
                  <c:v>50.400000000000006</c:v>
                </c:pt>
                <c:pt idx="558">
                  <c:v>51.8</c:v>
                </c:pt>
                <c:pt idx="559">
                  <c:v>53.2</c:v>
                </c:pt>
                <c:pt idx="560">
                  <c:v>27.55</c:v>
                </c:pt>
                <c:pt idx="561">
                  <c:v>29</c:v>
                </c:pt>
                <c:pt idx="562">
                  <c:v>30.450000000000003</c:v>
                </c:pt>
                <c:pt idx="563">
                  <c:v>31.900000000000002</c:v>
                </c:pt>
                <c:pt idx="564">
                  <c:v>33.35</c:v>
                </c:pt>
                <c:pt idx="565">
                  <c:v>34.800000000000004</c:v>
                </c:pt>
                <c:pt idx="566">
                  <c:v>36.25</c:v>
                </c:pt>
                <c:pt idx="567">
                  <c:v>37.700000000000003</c:v>
                </c:pt>
                <c:pt idx="568">
                  <c:v>39.150000000000006</c:v>
                </c:pt>
                <c:pt idx="569">
                  <c:v>40.6</c:v>
                </c:pt>
                <c:pt idx="570">
                  <c:v>42.050000000000004</c:v>
                </c:pt>
                <c:pt idx="571">
                  <c:v>43.5</c:v>
                </c:pt>
                <c:pt idx="572">
                  <c:v>44.95</c:v>
                </c:pt>
                <c:pt idx="573">
                  <c:v>46.400000000000006</c:v>
                </c:pt>
                <c:pt idx="574">
                  <c:v>47.85</c:v>
                </c:pt>
                <c:pt idx="575">
                  <c:v>49.300000000000004</c:v>
                </c:pt>
                <c:pt idx="576">
                  <c:v>50.75</c:v>
                </c:pt>
                <c:pt idx="577">
                  <c:v>52.2</c:v>
                </c:pt>
                <c:pt idx="578">
                  <c:v>53.650000000000006</c:v>
                </c:pt>
                <c:pt idx="579">
                  <c:v>55.1</c:v>
                </c:pt>
                <c:pt idx="580">
                  <c:v>28.5</c:v>
                </c:pt>
                <c:pt idx="581">
                  <c:v>30</c:v>
                </c:pt>
                <c:pt idx="582">
                  <c:v>31.5</c:v>
                </c:pt>
                <c:pt idx="583">
                  <c:v>33</c:v>
                </c:pt>
                <c:pt idx="584">
                  <c:v>34.5</c:v>
                </c:pt>
                <c:pt idx="585">
                  <c:v>36</c:v>
                </c:pt>
                <c:pt idx="586">
                  <c:v>37.5</c:v>
                </c:pt>
                <c:pt idx="587">
                  <c:v>39</c:v>
                </c:pt>
                <c:pt idx="588">
                  <c:v>40.5</c:v>
                </c:pt>
                <c:pt idx="589">
                  <c:v>42</c:v>
                </c:pt>
                <c:pt idx="590">
                  <c:v>43.5</c:v>
                </c:pt>
                <c:pt idx="591">
                  <c:v>45</c:v>
                </c:pt>
                <c:pt idx="592">
                  <c:v>46.5</c:v>
                </c:pt>
                <c:pt idx="593">
                  <c:v>48</c:v>
                </c:pt>
                <c:pt idx="594">
                  <c:v>49.5</c:v>
                </c:pt>
                <c:pt idx="595">
                  <c:v>51</c:v>
                </c:pt>
                <c:pt idx="596">
                  <c:v>52.5</c:v>
                </c:pt>
                <c:pt idx="597">
                  <c:v>54</c:v>
                </c:pt>
                <c:pt idx="598">
                  <c:v>55.5</c:v>
                </c:pt>
                <c:pt idx="599">
                  <c:v>57</c:v>
                </c:pt>
                <c:pt idx="600">
                  <c:v>29.450000000000003</c:v>
                </c:pt>
                <c:pt idx="601">
                  <c:v>31.000000000000004</c:v>
                </c:pt>
                <c:pt idx="602">
                  <c:v>32.550000000000004</c:v>
                </c:pt>
                <c:pt idx="603">
                  <c:v>34.1</c:v>
                </c:pt>
                <c:pt idx="604">
                  <c:v>35.650000000000006</c:v>
                </c:pt>
                <c:pt idx="605">
                  <c:v>37.200000000000003</c:v>
                </c:pt>
                <c:pt idx="606">
                  <c:v>38.75</c:v>
                </c:pt>
                <c:pt idx="607">
                  <c:v>40.300000000000004</c:v>
                </c:pt>
                <c:pt idx="608">
                  <c:v>41.85</c:v>
                </c:pt>
                <c:pt idx="609">
                  <c:v>43.400000000000006</c:v>
                </c:pt>
                <c:pt idx="610">
                  <c:v>44.95</c:v>
                </c:pt>
                <c:pt idx="611">
                  <c:v>46.5</c:v>
                </c:pt>
                <c:pt idx="612">
                  <c:v>48.050000000000004</c:v>
                </c:pt>
                <c:pt idx="613">
                  <c:v>49.600000000000009</c:v>
                </c:pt>
                <c:pt idx="614">
                  <c:v>51.150000000000006</c:v>
                </c:pt>
                <c:pt idx="615">
                  <c:v>52.7</c:v>
                </c:pt>
                <c:pt idx="616">
                  <c:v>54.25</c:v>
                </c:pt>
                <c:pt idx="617">
                  <c:v>55.800000000000004</c:v>
                </c:pt>
                <c:pt idx="618">
                  <c:v>57.350000000000009</c:v>
                </c:pt>
                <c:pt idx="619">
                  <c:v>58.900000000000006</c:v>
                </c:pt>
                <c:pt idx="620">
                  <c:v>30.400000000000002</c:v>
                </c:pt>
                <c:pt idx="621">
                  <c:v>32</c:v>
                </c:pt>
                <c:pt idx="622">
                  <c:v>33.6</c:v>
                </c:pt>
                <c:pt idx="623">
                  <c:v>35.200000000000003</c:v>
                </c:pt>
                <c:pt idx="624">
                  <c:v>36.799999999999997</c:v>
                </c:pt>
                <c:pt idx="625">
                  <c:v>38.400000000000006</c:v>
                </c:pt>
                <c:pt idx="626">
                  <c:v>40</c:v>
                </c:pt>
                <c:pt idx="627">
                  <c:v>41.6</c:v>
                </c:pt>
                <c:pt idx="628">
                  <c:v>43.2</c:v>
                </c:pt>
                <c:pt idx="629">
                  <c:v>44.8</c:v>
                </c:pt>
                <c:pt idx="630">
                  <c:v>46.400000000000006</c:v>
                </c:pt>
                <c:pt idx="631">
                  <c:v>48</c:v>
                </c:pt>
                <c:pt idx="632">
                  <c:v>49.6</c:v>
                </c:pt>
                <c:pt idx="633">
                  <c:v>51.2</c:v>
                </c:pt>
                <c:pt idx="634">
                  <c:v>52.8</c:v>
                </c:pt>
                <c:pt idx="635">
                  <c:v>54.400000000000006</c:v>
                </c:pt>
                <c:pt idx="636">
                  <c:v>56</c:v>
                </c:pt>
                <c:pt idx="637">
                  <c:v>57.6</c:v>
                </c:pt>
                <c:pt idx="638">
                  <c:v>59.2</c:v>
                </c:pt>
                <c:pt idx="639">
                  <c:v>60.8</c:v>
                </c:pt>
                <c:pt idx="640">
                  <c:v>31.349999999999998</c:v>
                </c:pt>
                <c:pt idx="641">
                  <c:v>33</c:v>
                </c:pt>
                <c:pt idx="642">
                  <c:v>34.65</c:v>
                </c:pt>
                <c:pt idx="643">
                  <c:v>36.299999999999997</c:v>
                </c:pt>
                <c:pt idx="644">
                  <c:v>37.950000000000003</c:v>
                </c:pt>
                <c:pt idx="645">
                  <c:v>39.6</c:v>
                </c:pt>
                <c:pt idx="646">
                  <c:v>41.25</c:v>
                </c:pt>
                <c:pt idx="647">
                  <c:v>42.9</c:v>
                </c:pt>
                <c:pt idx="648">
                  <c:v>44.55</c:v>
                </c:pt>
                <c:pt idx="649">
                  <c:v>46.2</c:v>
                </c:pt>
                <c:pt idx="650">
                  <c:v>47.85</c:v>
                </c:pt>
                <c:pt idx="651">
                  <c:v>49.5</c:v>
                </c:pt>
                <c:pt idx="652">
                  <c:v>51.150000000000006</c:v>
                </c:pt>
                <c:pt idx="653">
                  <c:v>52.8</c:v>
                </c:pt>
                <c:pt idx="654">
                  <c:v>54.45</c:v>
                </c:pt>
                <c:pt idx="655">
                  <c:v>56.1</c:v>
                </c:pt>
                <c:pt idx="656">
                  <c:v>57.75</c:v>
                </c:pt>
                <c:pt idx="657">
                  <c:v>59.400000000000006</c:v>
                </c:pt>
                <c:pt idx="658">
                  <c:v>61.05</c:v>
                </c:pt>
                <c:pt idx="659">
                  <c:v>62.7</c:v>
                </c:pt>
                <c:pt idx="660">
                  <c:v>32.300000000000004</c:v>
                </c:pt>
                <c:pt idx="661">
                  <c:v>34</c:v>
                </c:pt>
                <c:pt idx="662">
                  <c:v>35.700000000000003</c:v>
                </c:pt>
                <c:pt idx="663">
                  <c:v>37.400000000000006</c:v>
                </c:pt>
                <c:pt idx="664">
                  <c:v>39.1</c:v>
                </c:pt>
                <c:pt idx="665">
                  <c:v>40.800000000000004</c:v>
                </c:pt>
                <c:pt idx="666">
                  <c:v>42.5</c:v>
                </c:pt>
                <c:pt idx="667">
                  <c:v>44.2</c:v>
                </c:pt>
                <c:pt idx="668">
                  <c:v>45.900000000000006</c:v>
                </c:pt>
                <c:pt idx="669">
                  <c:v>47.6</c:v>
                </c:pt>
                <c:pt idx="670">
                  <c:v>49.3</c:v>
                </c:pt>
                <c:pt idx="671">
                  <c:v>51</c:v>
                </c:pt>
                <c:pt idx="672">
                  <c:v>52.7</c:v>
                </c:pt>
                <c:pt idx="673">
                  <c:v>54.400000000000006</c:v>
                </c:pt>
                <c:pt idx="674">
                  <c:v>56.1</c:v>
                </c:pt>
                <c:pt idx="675">
                  <c:v>57.800000000000004</c:v>
                </c:pt>
                <c:pt idx="676">
                  <c:v>59.5</c:v>
                </c:pt>
                <c:pt idx="677">
                  <c:v>61.2</c:v>
                </c:pt>
                <c:pt idx="678">
                  <c:v>62.900000000000006</c:v>
                </c:pt>
                <c:pt idx="679">
                  <c:v>64.599999999999994</c:v>
                </c:pt>
                <c:pt idx="680">
                  <c:v>33.25</c:v>
                </c:pt>
                <c:pt idx="681">
                  <c:v>35</c:v>
                </c:pt>
                <c:pt idx="682">
                  <c:v>36.75</c:v>
                </c:pt>
                <c:pt idx="683">
                  <c:v>38.5</c:v>
                </c:pt>
                <c:pt idx="684">
                  <c:v>40.25</c:v>
                </c:pt>
                <c:pt idx="685">
                  <c:v>42</c:v>
                </c:pt>
                <c:pt idx="686">
                  <c:v>43.75</c:v>
                </c:pt>
                <c:pt idx="687">
                  <c:v>45.5</c:v>
                </c:pt>
                <c:pt idx="688">
                  <c:v>47.25</c:v>
                </c:pt>
                <c:pt idx="689">
                  <c:v>49</c:v>
                </c:pt>
                <c:pt idx="690">
                  <c:v>50.75</c:v>
                </c:pt>
                <c:pt idx="691">
                  <c:v>52.5</c:v>
                </c:pt>
                <c:pt idx="692">
                  <c:v>54.25</c:v>
                </c:pt>
                <c:pt idx="693">
                  <c:v>56</c:v>
                </c:pt>
                <c:pt idx="694">
                  <c:v>57.75</c:v>
                </c:pt>
                <c:pt idx="695">
                  <c:v>59.5</c:v>
                </c:pt>
                <c:pt idx="696">
                  <c:v>61.25</c:v>
                </c:pt>
                <c:pt idx="697">
                  <c:v>63</c:v>
                </c:pt>
                <c:pt idx="698">
                  <c:v>64.75</c:v>
                </c:pt>
                <c:pt idx="699">
                  <c:v>66.5</c:v>
                </c:pt>
                <c:pt idx="700">
                  <c:v>34.199999999999996</c:v>
                </c:pt>
                <c:pt idx="701">
                  <c:v>36</c:v>
                </c:pt>
                <c:pt idx="702">
                  <c:v>37.799999999999997</c:v>
                </c:pt>
                <c:pt idx="703">
                  <c:v>39.6</c:v>
                </c:pt>
                <c:pt idx="704">
                  <c:v>41.4</c:v>
                </c:pt>
                <c:pt idx="705">
                  <c:v>43.2</c:v>
                </c:pt>
                <c:pt idx="706">
                  <c:v>45</c:v>
                </c:pt>
                <c:pt idx="707">
                  <c:v>46.8</c:v>
                </c:pt>
                <c:pt idx="708">
                  <c:v>48.599999999999994</c:v>
                </c:pt>
                <c:pt idx="709">
                  <c:v>50.4</c:v>
                </c:pt>
                <c:pt idx="710">
                  <c:v>52.2</c:v>
                </c:pt>
                <c:pt idx="711">
                  <c:v>54</c:v>
                </c:pt>
                <c:pt idx="712">
                  <c:v>55.8</c:v>
                </c:pt>
                <c:pt idx="713">
                  <c:v>57.6</c:v>
                </c:pt>
                <c:pt idx="714">
                  <c:v>59.4</c:v>
                </c:pt>
                <c:pt idx="715">
                  <c:v>61.2</c:v>
                </c:pt>
                <c:pt idx="716">
                  <c:v>63</c:v>
                </c:pt>
                <c:pt idx="717">
                  <c:v>64.8</c:v>
                </c:pt>
                <c:pt idx="718">
                  <c:v>66.599999999999994</c:v>
                </c:pt>
                <c:pt idx="719">
                  <c:v>68.400000000000006</c:v>
                </c:pt>
                <c:pt idx="720">
                  <c:v>35.150000000000006</c:v>
                </c:pt>
                <c:pt idx="721">
                  <c:v>37.000000000000007</c:v>
                </c:pt>
                <c:pt idx="722">
                  <c:v>38.850000000000009</c:v>
                </c:pt>
                <c:pt idx="723">
                  <c:v>40.700000000000003</c:v>
                </c:pt>
                <c:pt idx="724">
                  <c:v>42.550000000000004</c:v>
                </c:pt>
                <c:pt idx="725">
                  <c:v>44.400000000000006</c:v>
                </c:pt>
                <c:pt idx="726">
                  <c:v>46.250000000000007</c:v>
                </c:pt>
                <c:pt idx="727">
                  <c:v>48.100000000000009</c:v>
                </c:pt>
                <c:pt idx="728">
                  <c:v>49.95</c:v>
                </c:pt>
                <c:pt idx="729">
                  <c:v>51.800000000000004</c:v>
                </c:pt>
                <c:pt idx="730">
                  <c:v>53.650000000000006</c:v>
                </c:pt>
                <c:pt idx="731">
                  <c:v>55.500000000000007</c:v>
                </c:pt>
                <c:pt idx="732">
                  <c:v>57.350000000000009</c:v>
                </c:pt>
                <c:pt idx="733">
                  <c:v>59.2</c:v>
                </c:pt>
                <c:pt idx="734">
                  <c:v>61.050000000000004</c:v>
                </c:pt>
                <c:pt idx="735">
                  <c:v>62.900000000000006</c:v>
                </c:pt>
                <c:pt idx="736">
                  <c:v>64.75</c:v>
                </c:pt>
                <c:pt idx="737">
                  <c:v>66.600000000000009</c:v>
                </c:pt>
                <c:pt idx="738">
                  <c:v>68.45</c:v>
                </c:pt>
                <c:pt idx="739">
                  <c:v>70.300000000000011</c:v>
                </c:pt>
                <c:pt idx="740">
                  <c:v>36.1</c:v>
                </c:pt>
                <c:pt idx="741">
                  <c:v>38</c:v>
                </c:pt>
                <c:pt idx="742">
                  <c:v>39.900000000000006</c:v>
                </c:pt>
                <c:pt idx="743">
                  <c:v>41.800000000000004</c:v>
                </c:pt>
                <c:pt idx="744">
                  <c:v>43.7</c:v>
                </c:pt>
                <c:pt idx="745">
                  <c:v>45.6</c:v>
                </c:pt>
                <c:pt idx="746">
                  <c:v>47.5</c:v>
                </c:pt>
                <c:pt idx="747">
                  <c:v>49.400000000000006</c:v>
                </c:pt>
                <c:pt idx="748">
                  <c:v>51.300000000000004</c:v>
                </c:pt>
                <c:pt idx="749">
                  <c:v>53.2</c:v>
                </c:pt>
                <c:pt idx="750">
                  <c:v>55.100000000000009</c:v>
                </c:pt>
                <c:pt idx="751">
                  <c:v>57</c:v>
                </c:pt>
                <c:pt idx="752">
                  <c:v>58.900000000000006</c:v>
                </c:pt>
                <c:pt idx="753">
                  <c:v>60.800000000000004</c:v>
                </c:pt>
                <c:pt idx="754">
                  <c:v>62.7</c:v>
                </c:pt>
                <c:pt idx="755">
                  <c:v>64.600000000000009</c:v>
                </c:pt>
                <c:pt idx="756">
                  <c:v>66.5</c:v>
                </c:pt>
                <c:pt idx="757">
                  <c:v>68.400000000000006</c:v>
                </c:pt>
                <c:pt idx="758">
                  <c:v>70.300000000000011</c:v>
                </c:pt>
                <c:pt idx="759">
                  <c:v>72.2</c:v>
                </c:pt>
                <c:pt idx="760">
                  <c:v>37.050000000000004</c:v>
                </c:pt>
                <c:pt idx="761">
                  <c:v>39</c:v>
                </c:pt>
                <c:pt idx="762">
                  <c:v>40.950000000000003</c:v>
                </c:pt>
                <c:pt idx="763">
                  <c:v>42.900000000000006</c:v>
                </c:pt>
                <c:pt idx="764">
                  <c:v>44.85</c:v>
                </c:pt>
                <c:pt idx="765">
                  <c:v>46.800000000000004</c:v>
                </c:pt>
                <c:pt idx="766">
                  <c:v>48.75</c:v>
                </c:pt>
                <c:pt idx="767">
                  <c:v>50.7</c:v>
                </c:pt>
                <c:pt idx="768">
                  <c:v>52.650000000000006</c:v>
                </c:pt>
                <c:pt idx="769">
                  <c:v>54.6</c:v>
                </c:pt>
                <c:pt idx="770">
                  <c:v>56.550000000000004</c:v>
                </c:pt>
                <c:pt idx="771">
                  <c:v>58.5</c:v>
                </c:pt>
                <c:pt idx="772">
                  <c:v>60.45</c:v>
                </c:pt>
                <c:pt idx="773">
                  <c:v>62.400000000000006</c:v>
                </c:pt>
                <c:pt idx="774">
                  <c:v>64.349999999999994</c:v>
                </c:pt>
                <c:pt idx="775">
                  <c:v>66.300000000000011</c:v>
                </c:pt>
                <c:pt idx="776">
                  <c:v>68.25</c:v>
                </c:pt>
                <c:pt idx="777">
                  <c:v>70.2</c:v>
                </c:pt>
                <c:pt idx="778">
                  <c:v>72.150000000000006</c:v>
                </c:pt>
                <c:pt idx="779">
                  <c:v>74.099999999999994</c:v>
                </c:pt>
                <c:pt idx="780">
                  <c:v>38</c:v>
                </c:pt>
                <c:pt idx="781">
                  <c:v>40</c:v>
                </c:pt>
                <c:pt idx="782">
                  <c:v>42</c:v>
                </c:pt>
                <c:pt idx="783">
                  <c:v>44</c:v>
                </c:pt>
                <c:pt idx="784">
                  <c:v>46</c:v>
                </c:pt>
                <c:pt idx="785">
                  <c:v>48</c:v>
                </c:pt>
                <c:pt idx="786">
                  <c:v>50</c:v>
                </c:pt>
                <c:pt idx="787">
                  <c:v>52</c:v>
                </c:pt>
                <c:pt idx="788">
                  <c:v>54</c:v>
                </c:pt>
                <c:pt idx="789">
                  <c:v>56</c:v>
                </c:pt>
                <c:pt idx="790">
                  <c:v>58</c:v>
                </c:pt>
                <c:pt idx="791">
                  <c:v>60</c:v>
                </c:pt>
                <c:pt idx="792">
                  <c:v>62</c:v>
                </c:pt>
                <c:pt idx="793">
                  <c:v>64</c:v>
                </c:pt>
                <c:pt idx="794">
                  <c:v>66</c:v>
                </c:pt>
                <c:pt idx="795">
                  <c:v>68</c:v>
                </c:pt>
                <c:pt idx="796">
                  <c:v>70</c:v>
                </c:pt>
                <c:pt idx="797">
                  <c:v>72</c:v>
                </c:pt>
                <c:pt idx="798">
                  <c:v>74</c:v>
                </c:pt>
                <c:pt idx="799">
                  <c:v>76</c:v>
                </c:pt>
                <c:pt idx="800">
                  <c:v>38.949999999999996</c:v>
                </c:pt>
                <c:pt idx="801">
                  <c:v>41</c:v>
                </c:pt>
                <c:pt idx="802">
                  <c:v>43.05</c:v>
                </c:pt>
                <c:pt idx="803">
                  <c:v>45.1</c:v>
                </c:pt>
                <c:pt idx="804">
                  <c:v>47.15</c:v>
                </c:pt>
                <c:pt idx="805">
                  <c:v>49.2</c:v>
                </c:pt>
                <c:pt idx="806">
                  <c:v>51.25</c:v>
                </c:pt>
                <c:pt idx="807">
                  <c:v>53.3</c:v>
                </c:pt>
                <c:pt idx="808">
                  <c:v>55.349999999999994</c:v>
                </c:pt>
                <c:pt idx="809">
                  <c:v>57.4</c:v>
                </c:pt>
                <c:pt idx="810">
                  <c:v>59.45</c:v>
                </c:pt>
                <c:pt idx="811">
                  <c:v>61.5</c:v>
                </c:pt>
                <c:pt idx="812">
                  <c:v>63.55</c:v>
                </c:pt>
                <c:pt idx="813">
                  <c:v>65.599999999999994</c:v>
                </c:pt>
                <c:pt idx="814">
                  <c:v>67.650000000000006</c:v>
                </c:pt>
                <c:pt idx="815">
                  <c:v>69.7</c:v>
                </c:pt>
                <c:pt idx="816">
                  <c:v>71.75</c:v>
                </c:pt>
                <c:pt idx="817">
                  <c:v>73.8</c:v>
                </c:pt>
                <c:pt idx="818">
                  <c:v>75.849999999999994</c:v>
                </c:pt>
                <c:pt idx="819">
                  <c:v>77.900000000000006</c:v>
                </c:pt>
                <c:pt idx="820">
                  <c:v>39.900000000000006</c:v>
                </c:pt>
                <c:pt idx="821">
                  <c:v>42.000000000000007</c:v>
                </c:pt>
                <c:pt idx="822">
                  <c:v>44.100000000000009</c:v>
                </c:pt>
                <c:pt idx="823">
                  <c:v>46.2</c:v>
                </c:pt>
                <c:pt idx="824">
                  <c:v>48.300000000000004</c:v>
                </c:pt>
                <c:pt idx="825">
                  <c:v>50.400000000000006</c:v>
                </c:pt>
                <c:pt idx="826">
                  <c:v>52.500000000000007</c:v>
                </c:pt>
                <c:pt idx="827">
                  <c:v>54.600000000000009</c:v>
                </c:pt>
                <c:pt idx="828">
                  <c:v>56.7</c:v>
                </c:pt>
                <c:pt idx="829">
                  <c:v>58.800000000000004</c:v>
                </c:pt>
                <c:pt idx="830">
                  <c:v>60.900000000000006</c:v>
                </c:pt>
                <c:pt idx="831">
                  <c:v>63.000000000000007</c:v>
                </c:pt>
                <c:pt idx="832">
                  <c:v>65.100000000000009</c:v>
                </c:pt>
                <c:pt idx="833">
                  <c:v>67.2</c:v>
                </c:pt>
                <c:pt idx="834">
                  <c:v>69.300000000000011</c:v>
                </c:pt>
                <c:pt idx="835">
                  <c:v>71.400000000000006</c:v>
                </c:pt>
                <c:pt idx="836">
                  <c:v>73.5</c:v>
                </c:pt>
                <c:pt idx="837">
                  <c:v>75.600000000000009</c:v>
                </c:pt>
                <c:pt idx="838">
                  <c:v>77.700000000000017</c:v>
                </c:pt>
                <c:pt idx="839">
                  <c:v>79.800000000000011</c:v>
                </c:pt>
                <c:pt idx="840">
                  <c:v>40.85</c:v>
                </c:pt>
                <c:pt idx="841">
                  <c:v>43</c:v>
                </c:pt>
                <c:pt idx="842">
                  <c:v>45.150000000000006</c:v>
                </c:pt>
                <c:pt idx="843">
                  <c:v>47.300000000000004</c:v>
                </c:pt>
                <c:pt idx="844">
                  <c:v>49.45</c:v>
                </c:pt>
                <c:pt idx="845">
                  <c:v>51.6</c:v>
                </c:pt>
                <c:pt idx="846">
                  <c:v>53.75</c:v>
                </c:pt>
                <c:pt idx="847">
                  <c:v>55.900000000000006</c:v>
                </c:pt>
                <c:pt idx="848">
                  <c:v>58.050000000000004</c:v>
                </c:pt>
                <c:pt idx="849">
                  <c:v>60.2</c:v>
                </c:pt>
                <c:pt idx="850">
                  <c:v>62.350000000000009</c:v>
                </c:pt>
                <c:pt idx="851">
                  <c:v>64.5</c:v>
                </c:pt>
                <c:pt idx="852">
                  <c:v>66.650000000000006</c:v>
                </c:pt>
                <c:pt idx="853">
                  <c:v>68.800000000000011</c:v>
                </c:pt>
                <c:pt idx="854">
                  <c:v>70.95</c:v>
                </c:pt>
                <c:pt idx="855">
                  <c:v>73.099999999999994</c:v>
                </c:pt>
                <c:pt idx="856">
                  <c:v>75.25</c:v>
                </c:pt>
                <c:pt idx="857">
                  <c:v>77.400000000000006</c:v>
                </c:pt>
                <c:pt idx="858">
                  <c:v>79.550000000000011</c:v>
                </c:pt>
                <c:pt idx="859">
                  <c:v>81.7</c:v>
                </c:pt>
                <c:pt idx="860">
                  <c:v>41.800000000000004</c:v>
                </c:pt>
                <c:pt idx="861">
                  <c:v>44</c:v>
                </c:pt>
                <c:pt idx="862">
                  <c:v>46.2</c:v>
                </c:pt>
                <c:pt idx="863">
                  <c:v>48.400000000000006</c:v>
                </c:pt>
                <c:pt idx="864">
                  <c:v>50.6</c:v>
                </c:pt>
                <c:pt idx="865">
                  <c:v>52.800000000000004</c:v>
                </c:pt>
                <c:pt idx="866">
                  <c:v>55</c:v>
                </c:pt>
                <c:pt idx="867">
                  <c:v>57.2</c:v>
                </c:pt>
                <c:pt idx="868">
                  <c:v>59.400000000000006</c:v>
                </c:pt>
                <c:pt idx="869">
                  <c:v>61.6</c:v>
                </c:pt>
                <c:pt idx="870">
                  <c:v>63.800000000000004</c:v>
                </c:pt>
                <c:pt idx="871">
                  <c:v>66</c:v>
                </c:pt>
                <c:pt idx="872">
                  <c:v>68.2</c:v>
                </c:pt>
                <c:pt idx="873">
                  <c:v>70.400000000000006</c:v>
                </c:pt>
                <c:pt idx="874">
                  <c:v>72.599999999999994</c:v>
                </c:pt>
                <c:pt idx="875">
                  <c:v>74.800000000000011</c:v>
                </c:pt>
                <c:pt idx="876">
                  <c:v>77</c:v>
                </c:pt>
                <c:pt idx="877">
                  <c:v>79.2</c:v>
                </c:pt>
                <c:pt idx="878">
                  <c:v>81.400000000000006</c:v>
                </c:pt>
                <c:pt idx="879">
                  <c:v>83.6</c:v>
                </c:pt>
                <c:pt idx="880">
                  <c:v>42.75</c:v>
                </c:pt>
                <c:pt idx="881">
                  <c:v>45</c:v>
                </c:pt>
                <c:pt idx="882">
                  <c:v>47.25</c:v>
                </c:pt>
                <c:pt idx="883">
                  <c:v>49.5</c:v>
                </c:pt>
                <c:pt idx="884">
                  <c:v>51.75</c:v>
                </c:pt>
                <c:pt idx="885">
                  <c:v>54</c:v>
                </c:pt>
                <c:pt idx="886">
                  <c:v>56.25</c:v>
                </c:pt>
                <c:pt idx="887">
                  <c:v>58.5</c:v>
                </c:pt>
                <c:pt idx="888">
                  <c:v>60.75</c:v>
                </c:pt>
                <c:pt idx="889">
                  <c:v>63</c:v>
                </c:pt>
                <c:pt idx="890">
                  <c:v>65.25</c:v>
                </c:pt>
                <c:pt idx="891">
                  <c:v>67.5</c:v>
                </c:pt>
                <c:pt idx="892">
                  <c:v>69.75</c:v>
                </c:pt>
                <c:pt idx="893">
                  <c:v>72</c:v>
                </c:pt>
                <c:pt idx="894">
                  <c:v>74.25</c:v>
                </c:pt>
                <c:pt idx="895">
                  <c:v>76.5</c:v>
                </c:pt>
                <c:pt idx="896">
                  <c:v>78.75</c:v>
                </c:pt>
                <c:pt idx="897">
                  <c:v>81</c:v>
                </c:pt>
                <c:pt idx="898">
                  <c:v>83.25</c:v>
                </c:pt>
                <c:pt idx="899">
                  <c:v>85.5</c:v>
                </c:pt>
                <c:pt idx="900">
                  <c:v>43.699999999999996</c:v>
                </c:pt>
                <c:pt idx="901">
                  <c:v>46</c:v>
                </c:pt>
                <c:pt idx="902">
                  <c:v>48.3</c:v>
                </c:pt>
                <c:pt idx="903">
                  <c:v>50.6</c:v>
                </c:pt>
                <c:pt idx="904">
                  <c:v>52.9</c:v>
                </c:pt>
                <c:pt idx="905">
                  <c:v>55.2</c:v>
                </c:pt>
                <c:pt idx="906">
                  <c:v>57.5</c:v>
                </c:pt>
                <c:pt idx="907">
                  <c:v>59.8</c:v>
                </c:pt>
                <c:pt idx="908">
                  <c:v>62.1</c:v>
                </c:pt>
                <c:pt idx="909">
                  <c:v>64.400000000000006</c:v>
                </c:pt>
                <c:pt idx="910">
                  <c:v>66.7</c:v>
                </c:pt>
                <c:pt idx="911">
                  <c:v>69</c:v>
                </c:pt>
                <c:pt idx="912">
                  <c:v>71.3</c:v>
                </c:pt>
                <c:pt idx="913">
                  <c:v>73.599999999999994</c:v>
                </c:pt>
                <c:pt idx="914">
                  <c:v>75.900000000000006</c:v>
                </c:pt>
                <c:pt idx="915">
                  <c:v>78.2</c:v>
                </c:pt>
                <c:pt idx="916">
                  <c:v>80.5</c:v>
                </c:pt>
                <c:pt idx="917">
                  <c:v>82.800000000000011</c:v>
                </c:pt>
                <c:pt idx="918">
                  <c:v>85.1</c:v>
                </c:pt>
                <c:pt idx="919">
                  <c:v>87.4</c:v>
                </c:pt>
                <c:pt idx="920">
                  <c:v>44.650000000000006</c:v>
                </c:pt>
                <c:pt idx="921">
                  <c:v>47.000000000000007</c:v>
                </c:pt>
                <c:pt idx="922">
                  <c:v>49.350000000000009</c:v>
                </c:pt>
                <c:pt idx="923">
                  <c:v>51.7</c:v>
                </c:pt>
                <c:pt idx="924">
                  <c:v>54.050000000000004</c:v>
                </c:pt>
                <c:pt idx="925">
                  <c:v>56.400000000000006</c:v>
                </c:pt>
                <c:pt idx="926">
                  <c:v>58.75</c:v>
                </c:pt>
                <c:pt idx="927">
                  <c:v>61.100000000000009</c:v>
                </c:pt>
                <c:pt idx="928">
                  <c:v>63.45</c:v>
                </c:pt>
                <c:pt idx="929">
                  <c:v>65.800000000000011</c:v>
                </c:pt>
                <c:pt idx="930">
                  <c:v>68.150000000000006</c:v>
                </c:pt>
                <c:pt idx="931">
                  <c:v>70.5</c:v>
                </c:pt>
                <c:pt idx="932">
                  <c:v>72.850000000000009</c:v>
                </c:pt>
                <c:pt idx="933">
                  <c:v>75.2</c:v>
                </c:pt>
                <c:pt idx="934">
                  <c:v>77.550000000000011</c:v>
                </c:pt>
                <c:pt idx="935">
                  <c:v>79.900000000000006</c:v>
                </c:pt>
                <c:pt idx="936">
                  <c:v>82.25</c:v>
                </c:pt>
                <c:pt idx="937">
                  <c:v>84.600000000000009</c:v>
                </c:pt>
                <c:pt idx="938">
                  <c:v>86.950000000000017</c:v>
                </c:pt>
                <c:pt idx="939">
                  <c:v>89.300000000000011</c:v>
                </c:pt>
                <c:pt idx="940">
                  <c:v>45.6</c:v>
                </c:pt>
                <c:pt idx="941">
                  <c:v>48</c:v>
                </c:pt>
                <c:pt idx="942">
                  <c:v>50.400000000000006</c:v>
                </c:pt>
                <c:pt idx="943">
                  <c:v>52.800000000000004</c:v>
                </c:pt>
                <c:pt idx="944">
                  <c:v>55.2</c:v>
                </c:pt>
                <c:pt idx="945">
                  <c:v>57.6</c:v>
                </c:pt>
                <c:pt idx="946">
                  <c:v>60</c:v>
                </c:pt>
                <c:pt idx="947">
                  <c:v>62.400000000000006</c:v>
                </c:pt>
                <c:pt idx="948">
                  <c:v>64.800000000000011</c:v>
                </c:pt>
                <c:pt idx="949">
                  <c:v>67.2</c:v>
                </c:pt>
                <c:pt idx="950">
                  <c:v>69.600000000000009</c:v>
                </c:pt>
                <c:pt idx="951">
                  <c:v>72</c:v>
                </c:pt>
                <c:pt idx="952">
                  <c:v>74.400000000000006</c:v>
                </c:pt>
                <c:pt idx="953">
                  <c:v>76.800000000000011</c:v>
                </c:pt>
                <c:pt idx="954">
                  <c:v>79.2</c:v>
                </c:pt>
                <c:pt idx="955">
                  <c:v>81.600000000000009</c:v>
                </c:pt>
                <c:pt idx="956">
                  <c:v>84</c:v>
                </c:pt>
                <c:pt idx="957">
                  <c:v>86.4</c:v>
                </c:pt>
                <c:pt idx="958">
                  <c:v>88.800000000000011</c:v>
                </c:pt>
                <c:pt idx="959">
                  <c:v>91.2</c:v>
                </c:pt>
                <c:pt idx="960">
                  <c:v>46.550000000000004</c:v>
                </c:pt>
                <c:pt idx="961">
                  <c:v>49</c:v>
                </c:pt>
                <c:pt idx="962">
                  <c:v>51.45</c:v>
                </c:pt>
                <c:pt idx="963">
                  <c:v>53.900000000000006</c:v>
                </c:pt>
                <c:pt idx="964">
                  <c:v>56.35</c:v>
                </c:pt>
                <c:pt idx="965">
                  <c:v>58.800000000000004</c:v>
                </c:pt>
                <c:pt idx="966">
                  <c:v>61.25</c:v>
                </c:pt>
                <c:pt idx="967">
                  <c:v>63.7</c:v>
                </c:pt>
                <c:pt idx="968">
                  <c:v>66.150000000000006</c:v>
                </c:pt>
                <c:pt idx="969">
                  <c:v>68.599999999999994</c:v>
                </c:pt>
                <c:pt idx="970">
                  <c:v>71.050000000000011</c:v>
                </c:pt>
                <c:pt idx="971">
                  <c:v>73.5</c:v>
                </c:pt>
                <c:pt idx="972">
                  <c:v>75.95</c:v>
                </c:pt>
                <c:pt idx="973">
                  <c:v>78.400000000000006</c:v>
                </c:pt>
                <c:pt idx="974">
                  <c:v>80.849999999999994</c:v>
                </c:pt>
                <c:pt idx="975">
                  <c:v>83.300000000000011</c:v>
                </c:pt>
                <c:pt idx="976">
                  <c:v>85.75</c:v>
                </c:pt>
                <c:pt idx="977">
                  <c:v>88.2</c:v>
                </c:pt>
                <c:pt idx="978">
                  <c:v>90.65</c:v>
                </c:pt>
                <c:pt idx="979">
                  <c:v>93.1</c:v>
                </c:pt>
                <c:pt idx="980">
                  <c:v>47.5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造兵时间!$M$1</c:f>
              <c:strCache>
                <c:ptCount val="1"/>
                <c:pt idx="0">
                  <c:v>v2</c:v>
                </c:pt>
              </c:strCache>
            </c:strRef>
          </c:tx>
          <c:marker>
            <c:symbol val="none"/>
          </c:marker>
          <c:val>
            <c:numRef>
              <c:f>造兵时间!$M$2:$M$982</c:f>
              <c:numCache>
                <c:formatCode>General</c:formatCode>
                <c:ptCount val="981"/>
                <c:pt idx="0">
                  <c:v>0.95000000000000007</c:v>
                </c:pt>
                <c:pt idx="1">
                  <c:v>1.05</c:v>
                </c:pt>
                <c:pt idx="2">
                  <c:v>1.1500000000000001</c:v>
                </c:pt>
                <c:pt idx="3">
                  <c:v>1.25</c:v>
                </c:pt>
                <c:pt idx="4">
                  <c:v>1.35</c:v>
                </c:pt>
                <c:pt idx="5">
                  <c:v>1.4500000000000002</c:v>
                </c:pt>
                <c:pt idx="6">
                  <c:v>1.5500000000000003</c:v>
                </c:pt>
                <c:pt idx="7">
                  <c:v>1.6500000000000001</c:v>
                </c:pt>
                <c:pt idx="8">
                  <c:v>1.75</c:v>
                </c:pt>
                <c:pt idx="9">
                  <c:v>1.85</c:v>
                </c:pt>
                <c:pt idx="10">
                  <c:v>1.9500000000000002</c:v>
                </c:pt>
                <c:pt idx="11">
                  <c:v>2.0500000000000003</c:v>
                </c:pt>
                <c:pt idx="12">
                  <c:v>2.1500000000000004</c:v>
                </c:pt>
                <c:pt idx="13">
                  <c:v>2.25</c:v>
                </c:pt>
                <c:pt idx="14">
                  <c:v>2.35</c:v>
                </c:pt>
                <c:pt idx="15">
                  <c:v>2.4500000000000002</c:v>
                </c:pt>
                <c:pt idx="16">
                  <c:v>2.5500000000000003</c:v>
                </c:pt>
                <c:pt idx="17">
                  <c:v>2.6500000000000004</c:v>
                </c:pt>
                <c:pt idx="18">
                  <c:v>2.75</c:v>
                </c:pt>
                <c:pt idx="19">
                  <c:v>2.85</c:v>
                </c:pt>
                <c:pt idx="20">
                  <c:v>1.45</c:v>
                </c:pt>
                <c:pt idx="21">
                  <c:v>1.65</c:v>
                </c:pt>
                <c:pt idx="22">
                  <c:v>1.85</c:v>
                </c:pt>
                <c:pt idx="23">
                  <c:v>2.0499999999999998</c:v>
                </c:pt>
                <c:pt idx="24">
                  <c:v>2.25</c:v>
                </c:pt>
                <c:pt idx="25">
                  <c:v>2.4500000000000002</c:v>
                </c:pt>
                <c:pt idx="26">
                  <c:v>2.6500000000000004</c:v>
                </c:pt>
                <c:pt idx="27">
                  <c:v>2.85</c:v>
                </c:pt>
                <c:pt idx="28">
                  <c:v>3.05</c:v>
                </c:pt>
                <c:pt idx="29">
                  <c:v>3.25</c:v>
                </c:pt>
                <c:pt idx="30">
                  <c:v>3.45</c:v>
                </c:pt>
                <c:pt idx="31">
                  <c:v>3.6500000000000004</c:v>
                </c:pt>
                <c:pt idx="32">
                  <c:v>3.85</c:v>
                </c:pt>
                <c:pt idx="33">
                  <c:v>4.0500000000000007</c:v>
                </c:pt>
                <c:pt idx="34">
                  <c:v>4.25</c:v>
                </c:pt>
                <c:pt idx="35">
                  <c:v>4.45</c:v>
                </c:pt>
                <c:pt idx="36">
                  <c:v>4.6500000000000004</c:v>
                </c:pt>
                <c:pt idx="37">
                  <c:v>4.8499999999999996</c:v>
                </c:pt>
                <c:pt idx="38">
                  <c:v>5.0500000000000007</c:v>
                </c:pt>
                <c:pt idx="39">
                  <c:v>5.25</c:v>
                </c:pt>
                <c:pt idx="40">
                  <c:v>1.9500000000000002</c:v>
                </c:pt>
                <c:pt idx="41">
                  <c:v>2.25</c:v>
                </c:pt>
                <c:pt idx="42">
                  <c:v>2.5500000000000003</c:v>
                </c:pt>
                <c:pt idx="43">
                  <c:v>2.8500000000000005</c:v>
                </c:pt>
                <c:pt idx="44">
                  <c:v>3.1500000000000004</c:v>
                </c:pt>
                <c:pt idx="45">
                  <c:v>3.45</c:v>
                </c:pt>
                <c:pt idx="46">
                  <c:v>3.75</c:v>
                </c:pt>
                <c:pt idx="47">
                  <c:v>4.0500000000000007</c:v>
                </c:pt>
                <c:pt idx="48">
                  <c:v>4.3500000000000005</c:v>
                </c:pt>
                <c:pt idx="49">
                  <c:v>4.6500000000000004</c:v>
                </c:pt>
                <c:pt idx="50">
                  <c:v>4.95</c:v>
                </c:pt>
                <c:pt idx="51">
                  <c:v>5.25</c:v>
                </c:pt>
                <c:pt idx="52">
                  <c:v>5.5500000000000007</c:v>
                </c:pt>
                <c:pt idx="53">
                  <c:v>5.8500000000000005</c:v>
                </c:pt>
                <c:pt idx="54">
                  <c:v>6.15</c:v>
                </c:pt>
                <c:pt idx="55">
                  <c:v>6.4500000000000011</c:v>
                </c:pt>
                <c:pt idx="56">
                  <c:v>6.7500000000000009</c:v>
                </c:pt>
                <c:pt idx="57">
                  <c:v>7.0500000000000007</c:v>
                </c:pt>
                <c:pt idx="58">
                  <c:v>7.3500000000000005</c:v>
                </c:pt>
                <c:pt idx="59">
                  <c:v>7.65</c:v>
                </c:pt>
                <c:pt idx="60">
                  <c:v>2.4500000000000002</c:v>
                </c:pt>
                <c:pt idx="61">
                  <c:v>2.8500000000000005</c:v>
                </c:pt>
                <c:pt idx="62">
                  <c:v>3.2500000000000004</c:v>
                </c:pt>
                <c:pt idx="63">
                  <c:v>3.6500000000000004</c:v>
                </c:pt>
                <c:pt idx="64">
                  <c:v>4.0500000000000007</c:v>
                </c:pt>
                <c:pt idx="65">
                  <c:v>4.4500000000000011</c:v>
                </c:pt>
                <c:pt idx="66">
                  <c:v>4.8500000000000005</c:v>
                </c:pt>
                <c:pt idx="67">
                  <c:v>5.25</c:v>
                </c:pt>
                <c:pt idx="68">
                  <c:v>5.65</c:v>
                </c:pt>
                <c:pt idx="69">
                  <c:v>6.0500000000000007</c:v>
                </c:pt>
                <c:pt idx="70">
                  <c:v>6.4500000000000011</c:v>
                </c:pt>
                <c:pt idx="71">
                  <c:v>6.8500000000000014</c:v>
                </c:pt>
                <c:pt idx="72">
                  <c:v>7.25</c:v>
                </c:pt>
                <c:pt idx="73">
                  <c:v>7.65</c:v>
                </c:pt>
                <c:pt idx="74">
                  <c:v>8.0500000000000007</c:v>
                </c:pt>
                <c:pt idx="75">
                  <c:v>8.4500000000000011</c:v>
                </c:pt>
                <c:pt idx="76">
                  <c:v>8.8500000000000014</c:v>
                </c:pt>
                <c:pt idx="77">
                  <c:v>9.25</c:v>
                </c:pt>
                <c:pt idx="78">
                  <c:v>9.65</c:v>
                </c:pt>
                <c:pt idx="79">
                  <c:v>10.050000000000001</c:v>
                </c:pt>
                <c:pt idx="80">
                  <c:v>2.95</c:v>
                </c:pt>
                <c:pt idx="81">
                  <c:v>3.45</c:v>
                </c:pt>
                <c:pt idx="82">
                  <c:v>3.95</c:v>
                </c:pt>
                <c:pt idx="83">
                  <c:v>4.45</c:v>
                </c:pt>
                <c:pt idx="84">
                  <c:v>4.95</c:v>
                </c:pt>
                <c:pt idx="85">
                  <c:v>5.45</c:v>
                </c:pt>
                <c:pt idx="86">
                  <c:v>5.95</c:v>
                </c:pt>
                <c:pt idx="87">
                  <c:v>6.45</c:v>
                </c:pt>
                <c:pt idx="88">
                  <c:v>6.95</c:v>
                </c:pt>
                <c:pt idx="89">
                  <c:v>7.45</c:v>
                </c:pt>
                <c:pt idx="90">
                  <c:v>7.95</c:v>
                </c:pt>
                <c:pt idx="91">
                  <c:v>8.4499999999999993</c:v>
                </c:pt>
                <c:pt idx="92">
                  <c:v>8.9499999999999993</c:v>
                </c:pt>
                <c:pt idx="93">
                  <c:v>9.4499999999999993</c:v>
                </c:pt>
                <c:pt idx="94">
                  <c:v>9.9499999999999993</c:v>
                </c:pt>
                <c:pt idx="95">
                  <c:v>10.45</c:v>
                </c:pt>
                <c:pt idx="96">
                  <c:v>10.95</c:v>
                </c:pt>
                <c:pt idx="97">
                  <c:v>11.45</c:v>
                </c:pt>
                <c:pt idx="98">
                  <c:v>11.95</c:v>
                </c:pt>
                <c:pt idx="99">
                  <c:v>12.45</c:v>
                </c:pt>
                <c:pt idx="100">
                  <c:v>3.4500000000000006</c:v>
                </c:pt>
                <c:pt idx="101">
                  <c:v>4.0500000000000007</c:v>
                </c:pt>
                <c:pt idx="102">
                  <c:v>4.6500000000000004</c:v>
                </c:pt>
                <c:pt idx="103">
                  <c:v>5.2500000000000009</c:v>
                </c:pt>
                <c:pt idx="104">
                  <c:v>5.8500000000000005</c:v>
                </c:pt>
                <c:pt idx="105">
                  <c:v>6.4500000000000011</c:v>
                </c:pt>
                <c:pt idx="106">
                  <c:v>7.0500000000000007</c:v>
                </c:pt>
                <c:pt idx="107">
                  <c:v>7.6500000000000012</c:v>
                </c:pt>
                <c:pt idx="108">
                  <c:v>8.25</c:v>
                </c:pt>
                <c:pt idx="109">
                  <c:v>8.8500000000000014</c:v>
                </c:pt>
                <c:pt idx="110">
                  <c:v>9.4500000000000011</c:v>
                </c:pt>
                <c:pt idx="111">
                  <c:v>10.050000000000001</c:v>
                </c:pt>
                <c:pt idx="112">
                  <c:v>10.650000000000002</c:v>
                </c:pt>
                <c:pt idx="113">
                  <c:v>11.25</c:v>
                </c:pt>
                <c:pt idx="114">
                  <c:v>11.850000000000001</c:v>
                </c:pt>
                <c:pt idx="115">
                  <c:v>12.450000000000003</c:v>
                </c:pt>
                <c:pt idx="116">
                  <c:v>13.05</c:v>
                </c:pt>
                <c:pt idx="117">
                  <c:v>13.650000000000002</c:v>
                </c:pt>
                <c:pt idx="118">
                  <c:v>14.25</c:v>
                </c:pt>
                <c:pt idx="119">
                  <c:v>14.850000000000001</c:v>
                </c:pt>
                <c:pt idx="120">
                  <c:v>3.9500000000000006</c:v>
                </c:pt>
                <c:pt idx="121">
                  <c:v>4.6500000000000004</c:v>
                </c:pt>
                <c:pt idx="122">
                  <c:v>5.3500000000000005</c:v>
                </c:pt>
                <c:pt idx="123">
                  <c:v>6.0500000000000007</c:v>
                </c:pt>
                <c:pt idx="124">
                  <c:v>6.75</c:v>
                </c:pt>
                <c:pt idx="125">
                  <c:v>7.4500000000000011</c:v>
                </c:pt>
                <c:pt idx="126">
                  <c:v>8.15</c:v>
                </c:pt>
                <c:pt idx="127">
                  <c:v>8.8500000000000014</c:v>
                </c:pt>
                <c:pt idx="128">
                  <c:v>9.5500000000000007</c:v>
                </c:pt>
                <c:pt idx="129">
                  <c:v>10.25</c:v>
                </c:pt>
                <c:pt idx="130">
                  <c:v>10.950000000000001</c:v>
                </c:pt>
                <c:pt idx="131">
                  <c:v>11.65</c:v>
                </c:pt>
                <c:pt idx="132">
                  <c:v>12.35</c:v>
                </c:pt>
                <c:pt idx="133">
                  <c:v>13.05</c:v>
                </c:pt>
                <c:pt idx="134">
                  <c:v>13.75</c:v>
                </c:pt>
                <c:pt idx="135">
                  <c:v>14.450000000000001</c:v>
                </c:pt>
                <c:pt idx="136">
                  <c:v>15.15</c:v>
                </c:pt>
                <c:pt idx="137">
                  <c:v>15.850000000000001</c:v>
                </c:pt>
                <c:pt idx="138">
                  <c:v>16.55</c:v>
                </c:pt>
                <c:pt idx="139">
                  <c:v>17.25</c:v>
                </c:pt>
                <c:pt idx="140">
                  <c:v>4.45</c:v>
                </c:pt>
                <c:pt idx="141">
                  <c:v>5.25</c:v>
                </c:pt>
                <c:pt idx="142">
                  <c:v>6.0500000000000007</c:v>
                </c:pt>
                <c:pt idx="143">
                  <c:v>6.8500000000000005</c:v>
                </c:pt>
                <c:pt idx="144">
                  <c:v>7.65</c:v>
                </c:pt>
                <c:pt idx="145">
                  <c:v>8.4500000000000011</c:v>
                </c:pt>
                <c:pt idx="146">
                  <c:v>9.25</c:v>
                </c:pt>
                <c:pt idx="147">
                  <c:v>10.050000000000001</c:v>
                </c:pt>
                <c:pt idx="148">
                  <c:v>10.850000000000001</c:v>
                </c:pt>
                <c:pt idx="149">
                  <c:v>11.65</c:v>
                </c:pt>
                <c:pt idx="150">
                  <c:v>12.450000000000001</c:v>
                </c:pt>
                <c:pt idx="151">
                  <c:v>13.250000000000002</c:v>
                </c:pt>
                <c:pt idx="152">
                  <c:v>14.05</c:v>
                </c:pt>
                <c:pt idx="153">
                  <c:v>14.850000000000001</c:v>
                </c:pt>
                <c:pt idx="154">
                  <c:v>15.65</c:v>
                </c:pt>
                <c:pt idx="155">
                  <c:v>16.450000000000003</c:v>
                </c:pt>
                <c:pt idx="156">
                  <c:v>17.25</c:v>
                </c:pt>
                <c:pt idx="157">
                  <c:v>18.05</c:v>
                </c:pt>
                <c:pt idx="158">
                  <c:v>18.850000000000001</c:v>
                </c:pt>
                <c:pt idx="159">
                  <c:v>19.649999999999999</c:v>
                </c:pt>
                <c:pt idx="160">
                  <c:v>4.95</c:v>
                </c:pt>
                <c:pt idx="161">
                  <c:v>5.85</c:v>
                </c:pt>
                <c:pt idx="162">
                  <c:v>6.75</c:v>
                </c:pt>
                <c:pt idx="163">
                  <c:v>7.65</c:v>
                </c:pt>
                <c:pt idx="164">
                  <c:v>8.5500000000000007</c:v>
                </c:pt>
                <c:pt idx="165">
                  <c:v>9.4499999999999993</c:v>
                </c:pt>
                <c:pt idx="166">
                  <c:v>10.350000000000001</c:v>
                </c:pt>
                <c:pt idx="167">
                  <c:v>11.25</c:v>
                </c:pt>
                <c:pt idx="168">
                  <c:v>12.149999999999999</c:v>
                </c:pt>
                <c:pt idx="169">
                  <c:v>13.05</c:v>
                </c:pt>
                <c:pt idx="170">
                  <c:v>13.95</c:v>
                </c:pt>
                <c:pt idx="171">
                  <c:v>14.850000000000001</c:v>
                </c:pt>
                <c:pt idx="172">
                  <c:v>15.75</c:v>
                </c:pt>
                <c:pt idx="173">
                  <c:v>16.650000000000002</c:v>
                </c:pt>
                <c:pt idx="174">
                  <c:v>17.55</c:v>
                </c:pt>
                <c:pt idx="175">
                  <c:v>18.45</c:v>
                </c:pt>
                <c:pt idx="176">
                  <c:v>19.350000000000001</c:v>
                </c:pt>
                <c:pt idx="177">
                  <c:v>20.25</c:v>
                </c:pt>
                <c:pt idx="178">
                  <c:v>21.150000000000002</c:v>
                </c:pt>
                <c:pt idx="179">
                  <c:v>22.05</c:v>
                </c:pt>
                <c:pt idx="180">
                  <c:v>5.45</c:v>
                </c:pt>
                <c:pt idx="181">
                  <c:v>6.45</c:v>
                </c:pt>
                <c:pt idx="182">
                  <c:v>7.45</c:v>
                </c:pt>
                <c:pt idx="183">
                  <c:v>8.4499999999999993</c:v>
                </c:pt>
                <c:pt idx="184">
                  <c:v>9.4499999999999993</c:v>
                </c:pt>
                <c:pt idx="185">
                  <c:v>10.45</c:v>
                </c:pt>
                <c:pt idx="186">
                  <c:v>11.45</c:v>
                </c:pt>
                <c:pt idx="187">
                  <c:v>12.45</c:v>
                </c:pt>
                <c:pt idx="188">
                  <c:v>13.45</c:v>
                </c:pt>
                <c:pt idx="189">
                  <c:v>14.45</c:v>
                </c:pt>
                <c:pt idx="190">
                  <c:v>15.45</c:v>
                </c:pt>
                <c:pt idx="191">
                  <c:v>16.45</c:v>
                </c:pt>
                <c:pt idx="192">
                  <c:v>17.45</c:v>
                </c:pt>
                <c:pt idx="193">
                  <c:v>18.45</c:v>
                </c:pt>
                <c:pt idx="194">
                  <c:v>19.45</c:v>
                </c:pt>
                <c:pt idx="195">
                  <c:v>20.45</c:v>
                </c:pt>
                <c:pt idx="196">
                  <c:v>21.45</c:v>
                </c:pt>
                <c:pt idx="197">
                  <c:v>22.45</c:v>
                </c:pt>
                <c:pt idx="198">
                  <c:v>23.45</c:v>
                </c:pt>
                <c:pt idx="199">
                  <c:v>24.45</c:v>
                </c:pt>
                <c:pt idx="200">
                  <c:v>5.9500000000000011</c:v>
                </c:pt>
                <c:pt idx="201">
                  <c:v>7.0500000000000007</c:v>
                </c:pt>
                <c:pt idx="202">
                  <c:v>8.15</c:v>
                </c:pt>
                <c:pt idx="203">
                  <c:v>9.25</c:v>
                </c:pt>
                <c:pt idx="204">
                  <c:v>10.350000000000001</c:v>
                </c:pt>
                <c:pt idx="205">
                  <c:v>11.450000000000001</c:v>
                </c:pt>
                <c:pt idx="206">
                  <c:v>12.55</c:v>
                </c:pt>
                <c:pt idx="207">
                  <c:v>13.650000000000002</c:v>
                </c:pt>
                <c:pt idx="208">
                  <c:v>14.75</c:v>
                </c:pt>
                <c:pt idx="209">
                  <c:v>15.850000000000001</c:v>
                </c:pt>
                <c:pt idx="210">
                  <c:v>16.950000000000003</c:v>
                </c:pt>
                <c:pt idx="211">
                  <c:v>18.05</c:v>
                </c:pt>
                <c:pt idx="212">
                  <c:v>19.150000000000002</c:v>
                </c:pt>
                <c:pt idx="213">
                  <c:v>20.25</c:v>
                </c:pt>
                <c:pt idx="214">
                  <c:v>21.35</c:v>
                </c:pt>
                <c:pt idx="215">
                  <c:v>22.450000000000003</c:v>
                </c:pt>
                <c:pt idx="216">
                  <c:v>23.55</c:v>
                </c:pt>
                <c:pt idx="217">
                  <c:v>24.650000000000002</c:v>
                </c:pt>
                <c:pt idx="218">
                  <c:v>25.750000000000004</c:v>
                </c:pt>
                <c:pt idx="219">
                  <c:v>26.85</c:v>
                </c:pt>
                <c:pt idx="220">
                  <c:v>6.4500000000000011</c:v>
                </c:pt>
                <c:pt idx="221">
                  <c:v>7.6500000000000012</c:v>
                </c:pt>
                <c:pt idx="222">
                  <c:v>8.8500000000000014</c:v>
                </c:pt>
                <c:pt idx="223">
                  <c:v>10.050000000000001</c:v>
                </c:pt>
                <c:pt idx="224">
                  <c:v>11.25</c:v>
                </c:pt>
                <c:pt idx="225">
                  <c:v>12.450000000000001</c:v>
                </c:pt>
                <c:pt idx="226">
                  <c:v>13.650000000000002</c:v>
                </c:pt>
                <c:pt idx="227">
                  <c:v>14.850000000000001</c:v>
                </c:pt>
                <c:pt idx="228">
                  <c:v>16.05</c:v>
                </c:pt>
                <c:pt idx="229">
                  <c:v>17.25</c:v>
                </c:pt>
                <c:pt idx="230">
                  <c:v>18.450000000000003</c:v>
                </c:pt>
                <c:pt idx="231">
                  <c:v>19.650000000000002</c:v>
                </c:pt>
                <c:pt idx="232">
                  <c:v>20.85</c:v>
                </c:pt>
                <c:pt idx="233">
                  <c:v>22.05</c:v>
                </c:pt>
                <c:pt idx="234">
                  <c:v>23.25</c:v>
                </c:pt>
                <c:pt idx="235">
                  <c:v>24.450000000000003</c:v>
                </c:pt>
                <c:pt idx="236">
                  <c:v>25.650000000000002</c:v>
                </c:pt>
                <c:pt idx="237">
                  <c:v>26.85</c:v>
                </c:pt>
                <c:pt idx="238">
                  <c:v>28.05</c:v>
                </c:pt>
                <c:pt idx="239">
                  <c:v>29.25</c:v>
                </c:pt>
                <c:pt idx="240">
                  <c:v>6.95</c:v>
                </c:pt>
                <c:pt idx="241">
                  <c:v>8.25</c:v>
                </c:pt>
                <c:pt idx="242">
                  <c:v>9.5500000000000007</c:v>
                </c:pt>
                <c:pt idx="243">
                  <c:v>10.850000000000001</c:v>
                </c:pt>
                <c:pt idx="244">
                  <c:v>12.15</c:v>
                </c:pt>
                <c:pt idx="245">
                  <c:v>13.450000000000001</c:v>
                </c:pt>
                <c:pt idx="246">
                  <c:v>14.75</c:v>
                </c:pt>
                <c:pt idx="247">
                  <c:v>16.05</c:v>
                </c:pt>
                <c:pt idx="248">
                  <c:v>17.350000000000001</c:v>
                </c:pt>
                <c:pt idx="249">
                  <c:v>18.649999999999999</c:v>
                </c:pt>
                <c:pt idx="250">
                  <c:v>19.950000000000003</c:v>
                </c:pt>
                <c:pt idx="251">
                  <c:v>21.25</c:v>
                </c:pt>
                <c:pt idx="252">
                  <c:v>22.550000000000004</c:v>
                </c:pt>
                <c:pt idx="253">
                  <c:v>23.85</c:v>
                </c:pt>
                <c:pt idx="254">
                  <c:v>25.15</c:v>
                </c:pt>
                <c:pt idx="255">
                  <c:v>26.450000000000003</c:v>
                </c:pt>
                <c:pt idx="256">
                  <c:v>27.75</c:v>
                </c:pt>
                <c:pt idx="257">
                  <c:v>29.050000000000004</c:v>
                </c:pt>
                <c:pt idx="258">
                  <c:v>30.35</c:v>
                </c:pt>
                <c:pt idx="259">
                  <c:v>31.65</c:v>
                </c:pt>
                <c:pt idx="260">
                  <c:v>7.4500000000000011</c:v>
                </c:pt>
                <c:pt idx="261">
                  <c:v>8.8500000000000014</c:v>
                </c:pt>
                <c:pt idx="262">
                  <c:v>10.25</c:v>
                </c:pt>
                <c:pt idx="263">
                  <c:v>11.650000000000002</c:v>
                </c:pt>
                <c:pt idx="264">
                  <c:v>13.05</c:v>
                </c:pt>
                <c:pt idx="265">
                  <c:v>14.450000000000001</c:v>
                </c:pt>
                <c:pt idx="266">
                  <c:v>15.850000000000001</c:v>
                </c:pt>
                <c:pt idx="267">
                  <c:v>17.25</c:v>
                </c:pt>
                <c:pt idx="268">
                  <c:v>18.650000000000002</c:v>
                </c:pt>
                <c:pt idx="269">
                  <c:v>20.05</c:v>
                </c:pt>
                <c:pt idx="270">
                  <c:v>21.450000000000003</c:v>
                </c:pt>
                <c:pt idx="271">
                  <c:v>22.85</c:v>
                </c:pt>
                <c:pt idx="272">
                  <c:v>24.25</c:v>
                </c:pt>
                <c:pt idx="273">
                  <c:v>25.650000000000002</c:v>
                </c:pt>
                <c:pt idx="274">
                  <c:v>27.05</c:v>
                </c:pt>
                <c:pt idx="275">
                  <c:v>28.450000000000003</c:v>
                </c:pt>
                <c:pt idx="276">
                  <c:v>29.85</c:v>
                </c:pt>
                <c:pt idx="277">
                  <c:v>31.250000000000004</c:v>
                </c:pt>
                <c:pt idx="278">
                  <c:v>32.650000000000006</c:v>
                </c:pt>
                <c:pt idx="279">
                  <c:v>34.049999999999997</c:v>
                </c:pt>
                <c:pt idx="280">
                  <c:v>7.95</c:v>
                </c:pt>
                <c:pt idx="281">
                  <c:v>9.4499999999999993</c:v>
                </c:pt>
                <c:pt idx="282">
                  <c:v>10.95</c:v>
                </c:pt>
                <c:pt idx="283">
                  <c:v>12.45</c:v>
                </c:pt>
                <c:pt idx="284">
                  <c:v>13.95</c:v>
                </c:pt>
                <c:pt idx="285">
                  <c:v>15.45</c:v>
                </c:pt>
                <c:pt idx="286">
                  <c:v>16.95</c:v>
                </c:pt>
                <c:pt idx="287">
                  <c:v>18.45</c:v>
                </c:pt>
                <c:pt idx="288">
                  <c:v>19.95</c:v>
                </c:pt>
                <c:pt idx="289">
                  <c:v>21.45</c:v>
                </c:pt>
                <c:pt idx="290">
                  <c:v>22.95</c:v>
                </c:pt>
                <c:pt idx="291">
                  <c:v>24.45</c:v>
                </c:pt>
                <c:pt idx="292">
                  <c:v>25.95</c:v>
                </c:pt>
                <c:pt idx="293">
                  <c:v>27.45</c:v>
                </c:pt>
                <c:pt idx="294">
                  <c:v>28.95</c:v>
                </c:pt>
                <c:pt idx="295">
                  <c:v>30.45</c:v>
                </c:pt>
                <c:pt idx="296">
                  <c:v>31.95</c:v>
                </c:pt>
                <c:pt idx="297">
                  <c:v>33.450000000000003</c:v>
                </c:pt>
                <c:pt idx="298">
                  <c:v>34.950000000000003</c:v>
                </c:pt>
                <c:pt idx="299">
                  <c:v>36.450000000000003</c:v>
                </c:pt>
                <c:pt idx="300">
                  <c:v>8.4500000000000011</c:v>
                </c:pt>
                <c:pt idx="301">
                  <c:v>10.050000000000001</c:v>
                </c:pt>
                <c:pt idx="302">
                  <c:v>11.650000000000002</c:v>
                </c:pt>
                <c:pt idx="303">
                  <c:v>13.25</c:v>
                </c:pt>
                <c:pt idx="304">
                  <c:v>14.850000000000001</c:v>
                </c:pt>
                <c:pt idx="305">
                  <c:v>16.450000000000003</c:v>
                </c:pt>
                <c:pt idx="306">
                  <c:v>18.05</c:v>
                </c:pt>
                <c:pt idx="307">
                  <c:v>19.650000000000002</c:v>
                </c:pt>
                <c:pt idx="308">
                  <c:v>21.25</c:v>
                </c:pt>
                <c:pt idx="309">
                  <c:v>22.85</c:v>
                </c:pt>
                <c:pt idx="310">
                  <c:v>24.450000000000003</c:v>
                </c:pt>
                <c:pt idx="311">
                  <c:v>26.050000000000004</c:v>
                </c:pt>
                <c:pt idx="312">
                  <c:v>27.650000000000002</c:v>
                </c:pt>
                <c:pt idx="313">
                  <c:v>29.250000000000004</c:v>
                </c:pt>
                <c:pt idx="314">
                  <c:v>30.85</c:v>
                </c:pt>
                <c:pt idx="315">
                  <c:v>32.450000000000003</c:v>
                </c:pt>
                <c:pt idx="316">
                  <c:v>34.050000000000004</c:v>
                </c:pt>
                <c:pt idx="317">
                  <c:v>35.65</c:v>
                </c:pt>
                <c:pt idx="318">
                  <c:v>37.25</c:v>
                </c:pt>
                <c:pt idx="319">
                  <c:v>38.85</c:v>
                </c:pt>
                <c:pt idx="320">
                  <c:v>8.9500000000000011</c:v>
                </c:pt>
                <c:pt idx="321">
                  <c:v>10.650000000000002</c:v>
                </c:pt>
                <c:pt idx="322">
                  <c:v>12.350000000000001</c:v>
                </c:pt>
                <c:pt idx="323">
                  <c:v>14.05</c:v>
                </c:pt>
                <c:pt idx="324">
                  <c:v>15.75</c:v>
                </c:pt>
                <c:pt idx="325">
                  <c:v>17.450000000000003</c:v>
                </c:pt>
                <c:pt idx="326">
                  <c:v>19.150000000000002</c:v>
                </c:pt>
                <c:pt idx="327">
                  <c:v>20.85</c:v>
                </c:pt>
                <c:pt idx="328">
                  <c:v>22.55</c:v>
                </c:pt>
                <c:pt idx="329">
                  <c:v>24.25</c:v>
                </c:pt>
                <c:pt idx="330">
                  <c:v>25.95</c:v>
                </c:pt>
                <c:pt idx="331">
                  <c:v>27.650000000000002</c:v>
                </c:pt>
                <c:pt idx="332">
                  <c:v>29.35</c:v>
                </c:pt>
                <c:pt idx="333">
                  <c:v>31.05</c:v>
                </c:pt>
                <c:pt idx="334">
                  <c:v>32.75</c:v>
                </c:pt>
                <c:pt idx="335">
                  <c:v>34.450000000000003</c:v>
                </c:pt>
                <c:pt idx="336">
                  <c:v>36.150000000000006</c:v>
                </c:pt>
                <c:pt idx="337">
                  <c:v>37.85</c:v>
                </c:pt>
                <c:pt idx="338">
                  <c:v>39.550000000000004</c:v>
                </c:pt>
                <c:pt idx="339">
                  <c:v>41.25</c:v>
                </c:pt>
                <c:pt idx="340">
                  <c:v>9.4500000000000011</c:v>
                </c:pt>
                <c:pt idx="341">
                  <c:v>11.25</c:v>
                </c:pt>
                <c:pt idx="342">
                  <c:v>13.05</c:v>
                </c:pt>
                <c:pt idx="343">
                  <c:v>14.850000000000001</c:v>
                </c:pt>
                <c:pt idx="344">
                  <c:v>16.649999999999999</c:v>
                </c:pt>
                <c:pt idx="345">
                  <c:v>18.450000000000003</c:v>
                </c:pt>
                <c:pt idx="346">
                  <c:v>20.25</c:v>
                </c:pt>
                <c:pt idx="347">
                  <c:v>22.05</c:v>
                </c:pt>
                <c:pt idx="348">
                  <c:v>23.85</c:v>
                </c:pt>
                <c:pt idx="349">
                  <c:v>25.65</c:v>
                </c:pt>
                <c:pt idx="350">
                  <c:v>27.450000000000003</c:v>
                </c:pt>
                <c:pt idx="351">
                  <c:v>29.25</c:v>
                </c:pt>
                <c:pt idx="352">
                  <c:v>31.050000000000004</c:v>
                </c:pt>
                <c:pt idx="353">
                  <c:v>32.85</c:v>
                </c:pt>
                <c:pt idx="354">
                  <c:v>34.65</c:v>
                </c:pt>
                <c:pt idx="355">
                  <c:v>36.450000000000003</c:v>
                </c:pt>
                <c:pt idx="356">
                  <c:v>38.25</c:v>
                </c:pt>
                <c:pt idx="357">
                  <c:v>40.049999999999997</c:v>
                </c:pt>
                <c:pt idx="358">
                  <c:v>41.85</c:v>
                </c:pt>
                <c:pt idx="359">
                  <c:v>43.65</c:v>
                </c:pt>
                <c:pt idx="360">
                  <c:v>9.9500000000000011</c:v>
                </c:pt>
                <c:pt idx="361">
                  <c:v>11.850000000000001</c:v>
                </c:pt>
                <c:pt idx="362">
                  <c:v>13.75</c:v>
                </c:pt>
                <c:pt idx="363">
                  <c:v>15.650000000000002</c:v>
                </c:pt>
                <c:pt idx="364">
                  <c:v>17.55</c:v>
                </c:pt>
                <c:pt idx="365">
                  <c:v>19.450000000000003</c:v>
                </c:pt>
                <c:pt idx="366">
                  <c:v>21.35</c:v>
                </c:pt>
                <c:pt idx="367">
                  <c:v>23.25</c:v>
                </c:pt>
                <c:pt idx="368">
                  <c:v>25.150000000000002</c:v>
                </c:pt>
                <c:pt idx="369">
                  <c:v>27.05</c:v>
                </c:pt>
                <c:pt idx="370">
                  <c:v>28.950000000000003</c:v>
                </c:pt>
                <c:pt idx="371">
                  <c:v>30.85</c:v>
                </c:pt>
                <c:pt idx="372">
                  <c:v>32.75</c:v>
                </c:pt>
                <c:pt idx="373">
                  <c:v>34.650000000000006</c:v>
                </c:pt>
                <c:pt idx="374">
                  <c:v>36.549999999999997</c:v>
                </c:pt>
                <c:pt idx="375">
                  <c:v>38.450000000000003</c:v>
                </c:pt>
                <c:pt idx="376">
                  <c:v>40.350000000000009</c:v>
                </c:pt>
                <c:pt idx="377">
                  <c:v>42.25</c:v>
                </c:pt>
                <c:pt idx="378">
                  <c:v>44.150000000000006</c:v>
                </c:pt>
                <c:pt idx="379">
                  <c:v>46.05</c:v>
                </c:pt>
                <c:pt idx="380">
                  <c:v>10.45</c:v>
                </c:pt>
                <c:pt idx="381">
                  <c:v>12.45</c:v>
                </c:pt>
                <c:pt idx="382">
                  <c:v>14.45</c:v>
                </c:pt>
                <c:pt idx="383">
                  <c:v>16.45</c:v>
                </c:pt>
                <c:pt idx="384">
                  <c:v>18.45</c:v>
                </c:pt>
                <c:pt idx="385">
                  <c:v>20.45</c:v>
                </c:pt>
                <c:pt idx="386">
                  <c:v>22.45</c:v>
                </c:pt>
                <c:pt idx="387">
                  <c:v>24.45</c:v>
                </c:pt>
                <c:pt idx="388">
                  <c:v>26.45</c:v>
                </c:pt>
                <c:pt idx="389">
                  <c:v>28.45</c:v>
                </c:pt>
                <c:pt idx="390">
                  <c:v>30.45</c:v>
                </c:pt>
                <c:pt idx="391">
                  <c:v>32.450000000000003</c:v>
                </c:pt>
                <c:pt idx="392">
                  <c:v>34.450000000000003</c:v>
                </c:pt>
                <c:pt idx="393">
                  <c:v>36.450000000000003</c:v>
                </c:pt>
                <c:pt idx="394">
                  <c:v>38.450000000000003</c:v>
                </c:pt>
                <c:pt idx="395">
                  <c:v>40.450000000000003</c:v>
                </c:pt>
                <c:pt idx="396">
                  <c:v>42.45</c:v>
                </c:pt>
                <c:pt idx="397">
                  <c:v>44.45</c:v>
                </c:pt>
                <c:pt idx="398">
                  <c:v>46.45</c:v>
                </c:pt>
                <c:pt idx="399">
                  <c:v>48.45</c:v>
                </c:pt>
                <c:pt idx="400">
                  <c:v>10.95</c:v>
                </c:pt>
                <c:pt idx="401">
                  <c:v>13.05</c:v>
                </c:pt>
                <c:pt idx="402">
                  <c:v>15.15</c:v>
                </c:pt>
                <c:pt idx="403">
                  <c:v>17.25</c:v>
                </c:pt>
                <c:pt idx="404">
                  <c:v>19.350000000000001</c:v>
                </c:pt>
                <c:pt idx="405">
                  <c:v>21.450000000000003</c:v>
                </c:pt>
                <c:pt idx="406">
                  <c:v>23.55</c:v>
                </c:pt>
                <c:pt idx="407">
                  <c:v>25.65</c:v>
                </c:pt>
                <c:pt idx="408">
                  <c:v>27.75</c:v>
                </c:pt>
                <c:pt idx="409">
                  <c:v>29.85</c:v>
                </c:pt>
                <c:pt idx="410">
                  <c:v>31.950000000000003</c:v>
                </c:pt>
                <c:pt idx="411">
                  <c:v>34.050000000000004</c:v>
                </c:pt>
                <c:pt idx="412">
                  <c:v>36.15</c:v>
                </c:pt>
                <c:pt idx="413">
                  <c:v>38.25</c:v>
                </c:pt>
                <c:pt idx="414">
                  <c:v>40.35</c:v>
                </c:pt>
                <c:pt idx="415">
                  <c:v>42.45</c:v>
                </c:pt>
                <c:pt idx="416">
                  <c:v>44.550000000000004</c:v>
                </c:pt>
                <c:pt idx="417">
                  <c:v>46.650000000000006</c:v>
                </c:pt>
                <c:pt idx="418">
                  <c:v>48.750000000000007</c:v>
                </c:pt>
                <c:pt idx="419">
                  <c:v>50.85</c:v>
                </c:pt>
                <c:pt idx="420">
                  <c:v>11.45</c:v>
                </c:pt>
                <c:pt idx="421">
                  <c:v>13.65</c:v>
                </c:pt>
                <c:pt idx="422">
                  <c:v>15.850000000000001</c:v>
                </c:pt>
                <c:pt idx="423">
                  <c:v>18.05</c:v>
                </c:pt>
                <c:pt idx="424">
                  <c:v>20.25</c:v>
                </c:pt>
                <c:pt idx="425">
                  <c:v>22.450000000000003</c:v>
                </c:pt>
                <c:pt idx="426">
                  <c:v>24.65</c:v>
                </c:pt>
                <c:pt idx="427">
                  <c:v>26.85</c:v>
                </c:pt>
                <c:pt idx="428">
                  <c:v>29.05</c:v>
                </c:pt>
                <c:pt idx="429">
                  <c:v>31.25</c:v>
                </c:pt>
                <c:pt idx="430">
                  <c:v>33.450000000000003</c:v>
                </c:pt>
                <c:pt idx="431">
                  <c:v>35.650000000000006</c:v>
                </c:pt>
                <c:pt idx="432">
                  <c:v>37.85</c:v>
                </c:pt>
                <c:pt idx="433">
                  <c:v>40.049999999999997</c:v>
                </c:pt>
                <c:pt idx="434">
                  <c:v>42.25</c:v>
                </c:pt>
                <c:pt idx="435">
                  <c:v>44.45</c:v>
                </c:pt>
                <c:pt idx="436">
                  <c:v>46.65</c:v>
                </c:pt>
                <c:pt idx="437">
                  <c:v>48.85</c:v>
                </c:pt>
                <c:pt idx="438">
                  <c:v>51.050000000000004</c:v>
                </c:pt>
                <c:pt idx="439">
                  <c:v>53.25</c:v>
                </c:pt>
                <c:pt idx="440">
                  <c:v>11.950000000000001</c:v>
                </c:pt>
                <c:pt idx="441">
                  <c:v>14.25</c:v>
                </c:pt>
                <c:pt idx="442">
                  <c:v>16.55</c:v>
                </c:pt>
                <c:pt idx="443">
                  <c:v>18.850000000000001</c:v>
                </c:pt>
                <c:pt idx="444">
                  <c:v>21.15</c:v>
                </c:pt>
                <c:pt idx="445">
                  <c:v>23.450000000000003</c:v>
                </c:pt>
                <c:pt idx="446">
                  <c:v>25.75</c:v>
                </c:pt>
                <c:pt idx="447">
                  <c:v>28.050000000000004</c:v>
                </c:pt>
                <c:pt idx="448">
                  <c:v>30.35</c:v>
                </c:pt>
                <c:pt idx="449">
                  <c:v>32.65</c:v>
                </c:pt>
                <c:pt idx="450">
                  <c:v>34.950000000000003</c:v>
                </c:pt>
                <c:pt idx="451">
                  <c:v>37.25</c:v>
                </c:pt>
                <c:pt idx="452">
                  <c:v>39.550000000000004</c:v>
                </c:pt>
                <c:pt idx="453">
                  <c:v>41.85</c:v>
                </c:pt>
                <c:pt idx="454">
                  <c:v>44.15</c:v>
                </c:pt>
                <c:pt idx="455">
                  <c:v>46.45</c:v>
                </c:pt>
                <c:pt idx="456">
                  <c:v>48.75</c:v>
                </c:pt>
                <c:pt idx="457">
                  <c:v>51.050000000000004</c:v>
                </c:pt>
                <c:pt idx="458">
                  <c:v>53.35</c:v>
                </c:pt>
                <c:pt idx="459">
                  <c:v>55.65</c:v>
                </c:pt>
                <c:pt idx="460">
                  <c:v>12.450000000000001</c:v>
                </c:pt>
                <c:pt idx="461">
                  <c:v>14.850000000000001</c:v>
                </c:pt>
                <c:pt idx="462">
                  <c:v>17.25</c:v>
                </c:pt>
                <c:pt idx="463">
                  <c:v>19.650000000000002</c:v>
                </c:pt>
                <c:pt idx="464">
                  <c:v>22.05</c:v>
                </c:pt>
                <c:pt idx="465">
                  <c:v>24.450000000000003</c:v>
                </c:pt>
                <c:pt idx="466">
                  <c:v>26.85</c:v>
                </c:pt>
                <c:pt idx="467">
                  <c:v>29.250000000000004</c:v>
                </c:pt>
                <c:pt idx="468">
                  <c:v>31.650000000000002</c:v>
                </c:pt>
                <c:pt idx="469">
                  <c:v>34.049999999999997</c:v>
                </c:pt>
                <c:pt idx="470">
                  <c:v>36.450000000000003</c:v>
                </c:pt>
                <c:pt idx="471">
                  <c:v>38.85</c:v>
                </c:pt>
                <c:pt idx="472">
                  <c:v>41.25</c:v>
                </c:pt>
                <c:pt idx="473">
                  <c:v>43.650000000000006</c:v>
                </c:pt>
                <c:pt idx="474">
                  <c:v>46.05</c:v>
                </c:pt>
                <c:pt idx="475">
                  <c:v>48.45</c:v>
                </c:pt>
                <c:pt idx="476">
                  <c:v>50.850000000000009</c:v>
                </c:pt>
                <c:pt idx="477">
                  <c:v>53.25</c:v>
                </c:pt>
                <c:pt idx="478">
                  <c:v>55.650000000000006</c:v>
                </c:pt>
                <c:pt idx="479">
                  <c:v>58.05</c:v>
                </c:pt>
                <c:pt idx="480">
                  <c:v>12.95</c:v>
                </c:pt>
                <c:pt idx="481">
                  <c:v>15.45</c:v>
                </c:pt>
                <c:pt idx="482">
                  <c:v>17.95</c:v>
                </c:pt>
                <c:pt idx="483">
                  <c:v>20.45</c:v>
                </c:pt>
                <c:pt idx="484">
                  <c:v>22.95</c:v>
                </c:pt>
                <c:pt idx="485">
                  <c:v>25.45</c:v>
                </c:pt>
                <c:pt idx="486">
                  <c:v>27.95</c:v>
                </c:pt>
                <c:pt idx="487">
                  <c:v>30.45</c:v>
                </c:pt>
                <c:pt idx="488">
                  <c:v>32.950000000000003</c:v>
                </c:pt>
                <c:pt idx="489">
                  <c:v>35.450000000000003</c:v>
                </c:pt>
                <c:pt idx="490">
                  <c:v>37.950000000000003</c:v>
                </c:pt>
                <c:pt idx="491">
                  <c:v>40.450000000000003</c:v>
                </c:pt>
                <c:pt idx="492">
                  <c:v>42.95</c:v>
                </c:pt>
                <c:pt idx="493">
                  <c:v>45.45</c:v>
                </c:pt>
                <c:pt idx="494">
                  <c:v>47.95</c:v>
                </c:pt>
                <c:pt idx="495">
                  <c:v>50.45</c:v>
                </c:pt>
                <c:pt idx="496">
                  <c:v>52.95</c:v>
                </c:pt>
                <c:pt idx="497">
                  <c:v>55.45</c:v>
                </c:pt>
                <c:pt idx="498">
                  <c:v>57.95</c:v>
                </c:pt>
                <c:pt idx="499">
                  <c:v>60.45</c:v>
                </c:pt>
                <c:pt idx="500">
                  <c:v>13.45</c:v>
                </c:pt>
                <c:pt idx="501">
                  <c:v>16.05</c:v>
                </c:pt>
                <c:pt idx="502">
                  <c:v>18.649999999999999</c:v>
                </c:pt>
                <c:pt idx="503">
                  <c:v>21.25</c:v>
                </c:pt>
                <c:pt idx="504">
                  <c:v>23.85</c:v>
                </c:pt>
                <c:pt idx="505">
                  <c:v>26.450000000000003</c:v>
                </c:pt>
                <c:pt idx="506">
                  <c:v>29.049999999999997</c:v>
                </c:pt>
                <c:pt idx="507">
                  <c:v>31.65</c:v>
                </c:pt>
                <c:pt idx="508">
                  <c:v>34.25</c:v>
                </c:pt>
                <c:pt idx="509">
                  <c:v>36.85</c:v>
                </c:pt>
                <c:pt idx="510">
                  <c:v>39.450000000000003</c:v>
                </c:pt>
                <c:pt idx="511">
                  <c:v>42.050000000000004</c:v>
                </c:pt>
                <c:pt idx="512">
                  <c:v>44.650000000000006</c:v>
                </c:pt>
                <c:pt idx="513">
                  <c:v>47.25</c:v>
                </c:pt>
                <c:pt idx="514">
                  <c:v>49.85</c:v>
                </c:pt>
                <c:pt idx="515">
                  <c:v>52.45</c:v>
                </c:pt>
                <c:pt idx="516">
                  <c:v>55.050000000000004</c:v>
                </c:pt>
                <c:pt idx="517">
                  <c:v>57.650000000000006</c:v>
                </c:pt>
                <c:pt idx="518">
                  <c:v>60.250000000000007</c:v>
                </c:pt>
                <c:pt idx="519">
                  <c:v>62.85</c:v>
                </c:pt>
                <c:pt idx="520">
                  <c:v>13.95</c:v>
                </c:pt>
                <c:pt idx="521">
                  <c:v>16.649999999999999</c:v>
                </c:pt>
                <c:pt idx="522">
                  <c:v>19.350000000000001</c:v>
                </c:pt>
                <c:pt idx="523">
                  <c:v>22.05</c:v>
                </c:pt>
                <c:pt idx="524">
                  <c:v>24.75</c:v>
                </c:pt>
                <c:pt idx="525">
                  <c:v>27.45</c:v>
                </c:pt>
                <c:pt idx="526">
                  <c:v>30.150000000000002</c:v>
                </c:pt>
                <c:pt idx="527">
                  <c:v>32.85</c:v>
                </c:pt>
                <c:pt idx="528">
                  <c:v>35.549999999999997</c:v>
                </c:pt>
                <c:pt idx="529">
                  <c:v>38.25</c:v>
                </c:pt>
                <c:pt idx="530">
                  <c:v>40.950000000000003</c:v>
                </c:pt>
                <c:pt idx="531">
                  <c:v>43.65</c:v>
                </c:pt>
                <c:pt idx="532">
                  <c:v>46.35</c:v>
                </c:pt>
                <c:pt idx="533">
                  <c:v>49.050000000000004</c:v>
                </c:pt>
                <c:pt idx="534">
                  <c:v>51.75</c:v>
                </c:pt>
                <c:pt idx="535">
                  <c:v>54.45</c:v>
                </c:pt>
                <c:pt idx="536">
                  <c:v>57.150000000000006</c:v>
                </c:pt>
                <c:pt idx="537">
                  <c:v>59.85</c:v>
                </c:pt>
                <c:pt idx="538">
                  <c:v>62.550000000000004</c:v>
                </c:pt>
                <c:pt idx="539">
                  <c:v>65.25</c:v>
                </c:pt>
                <c:pt idx="540">
                  <c:v>14.450000000000001</c:v>
                </c:pt>
                <c:pt idx="541">
                  <c:v>17.25</c:v>
                </c:pt>
                <c:pt idx="542">
                  <c:v>20.05</c:v>
                </c:pt>
                <c:pt idx="543">
                  <c:v>22.85</c:v>
                </c:pt>
                <c:pt idx="544">
                  <c:v>25.65</c:v>
                </c:pt>
                <c:pt idx="545">
                  <c:v>28.450000000000003</c:v>
                </c:pt>
                <c:pt idx="546">
                  <c:v>31.25</c:v>
                </c:pt>
                <c:pt idx="547">
                  <c:v>34.050000000000004</c:v>
                </c:pt>
                <c:pt idx="548">
                  <c:v>36.85</c:v>
                </c:pt>
                <c:pt idx="549">
                  <c:v>39.65</c:v>
                </c:pt>
                <c:pt idx="550">
                  <c:v>42.45</c:v>
                </c:pt>
                <c:pt idx="551">
                  <c:v>45.25</c:v>
                </c:pt>
                <c:pt idx="552">
                  <c:v>48.05</c:v>
                </c:pt>
                <c:pt idx="553">
                  <c:v>50.85</c:v>
                </c:pt>
                <c:pt idx="554">
                  <c:v>53.65</c:v>
                </c:pt>
                <c:pt idx="555">
                  <c:v>56.45</c:v>
                </c:pt>
                <c:pt idx="556">
                  <c:v>59.25</c:v>
                </c:pt>
                <c:pt idx="557">
                  <c:v>62.050000000000004</c:v>
                </c:pt>
                <c:pt idx="558">
                  <c:v>64.850000000000009</c:v>
                </c:pt>
                <c:pt idx="559">
                  <c:v>67.650000000000006</c:v>
                </c:pt>
                <c:pt idx="560">
                  <c:v>14.950000000000001</c:v>
                </c:pt>
                <c:pt idx="561">
                  <c:v>17.850000000000001</c:v>
                </c:pt>
                <c:pt idx="562">
                  <c:v>20.75</c:v>
                </c:pt>
                <c:pt idx="563">
                  <c:v>23.650000000000002</c:v>
                </c:pt>
                <c:pt idx="564">
                  <c:v>26.55</c:v>
                </c:pt>
                <c:pt idx="565">
                  <c:v>29.450000000000003</c:v>
                </c:pt>
                <c:pt idx="566">
                  <c:v>32.35</c:v>
                </c:pt>
                <c:pt idx="567">
                  <c:v>35.25</c:v>
                </c:pt>
                <c:pt idx="568">
                  <c:v>38.150000000000006</c:v>
                </c:pt>
                <c:pt idx="569">
                  <c:v>41.05</c:v>
                </c:pt>
                <c:pt idx="570">
                  <c:v>43.95</c:v>
                </c:pt>
                <c:pt idx="571">
                  <c:v>46.850000000000009</c:v>
                </c:pt>
                <c:pt idx="572">
                  <c:v>49.75</c:v>
                </c:pt>
                <c:pt idx="573">
                  <c:v>52.650000000000006</c:v>
                </c:pt>
                <c:pt idx="574">
                  <c:v>55.55</c:v>
                </c:pt>
                <c:pt idx="575">
                  <c:v>58.45</c:v>
                </c:pt>
                <c:pt idx="576">
                  <c:v>61.350000000000009</c:v>
                </c:pt>
                <c:pt idx="577">
                  <c:v>64.25</c:v>
                </c:pt>
                <c:pt idx="578">
                  <c:v>67.150000000000006</c:v>
                </c:pt>
                <c:pt idx="579">
                  <c:v>70.05</c:v>
                </c:pt>
                <c:pt idx="580">
                  <c:v>15.45</c:v>
                </c:pt>
                <c:pt idx="581">
                  <c:v>18.45</c:v>
                </c:pt>
                <c:pt idx="582">
                  <c:v>21.45</c:v>
                </c:pt>
                <c:pt idx="583">
                  <c:v>24.45</c:v>
                </c:pt>
                <c:pt idx="584">
                  <c:v>27.45</c:v>
                </c:pt>
                <c:pt idx="585">
                  <c:v>30.45</c:v>
                </c:pt>
                <c:pt idx="586">
                  <c:v>33.450000000000003</c:v>
                </c:pt>
                <c:pt idx="587">
                  <c:v>36.450000000000003</c:v>
                </c:pt>
                <c:pt idx="588">
                  <c:v>39.450000000000003</c:v>
                </c:pt>
                <c:pt idx="589">
                  <c:v>42.45</c:v>
                </c:pt>
                <c:pt idx="590">
                  <c:v>45.45</c:v>
                </c:pt>
                <c:pt idx="591">
                  <c:v>48.45</c:v>
                </c:pt>
                <c:pt idx="592">
                  <c:v>51.45</c:v>
                </c:pt>
                <c:pt idx="593">
                  <c:v>54.45</c:v>
                </c:pt>
                <c:pt idx="594">
                  <c:v>57.45</c:v>
                </c:pt>
                <c:pt idx="595">
                  <c:v>60.45</c:v>
                </c:pt>
                <c:pt idx="596">
                  <c:v>63.45</c:v>
                </c:pt>
                <c:pt idx="597">
                  <c:v>66.45</c:v>
                </c:pt>
                <c:pt idx="598">
                  <c:v>69.45</c:v>
                </c:pt>
                <c:pt idx="599">
                  <c:v>72.45</c:v>
                </c:pt>
                <c:pt idx="600">
                  <c:v>15.95</c:v>
                </c:pt>
                <c:pt idx="601">
                  <c:v>19.05</c:v>
                </c:pt>
                <c:pt idx="602">
                  <c:v>22.15</c:v>
                </c:pt>
                <c:pt idx="603">
                  <c:v>25.25</c:v>
                </c:pt>
                <c:pt idx="604">
                  <c:v>28.35</c:v>
                </c:pt>
                <c:pt idx="605">
                  <c:v>31.450000000000003</c:v>
                </c:pt>
                <c:pt idx="606">
                  <c:v>34.550000000000004</c:v>
                </c:pt>
                <c:pt idx="607">
                  <c:v>37.65</c:v>
                </c:pt>
                <c:pt idx="608">
                  <c:v>40.75</c:v>
                </c:pt>
                <c:pt idx="609">
                  <c:v>43.85</c:v>
                </c:pt>
                <c:pt idx="610">
                  <c:v>46.95</c:v>
                </c:pt>
                <c:pt idx="611">
                  <c:v>50.050000000000004</c:v>
                </c:pt>
                <c:pt idx="612">
                  <c:v>53.150000000000006</c:v>
                </c:pt>
                <c:pt idx="613">
                  <c:v>56.250000000000007</c:v>
                </c:pt>
                <c:pt idx="614">
                  <c:v>59.35</c:v>
                </c:pt>
                <c:pt idx="615">
                  <c:v>62.45</c:v>
                </c:pt>
                <c:pt idx="616">
                  <c:v>65.55</c:v>
                </c:pt>
                <c:pt idx="617">
                  <c:v>68.650000000000006</c:v>
                </c:pt>
                <c:pt idx="618">
                  <c:v>71.75</c:v>
                </c:pt>
                <c:pt idx="619">
                  <c:v>74.849999999999994</c:v>
                </c:pt>
                <c:pt idx="620">
                  <c:v>16.45</c:v>
                </c:pt>
                <c:pt idx="621">
                  <c:v>19.649999999999999</c:v>
                </c:pt>
                <c:pt idx="622">
                  <c:v>22.85</c:v>
                </c:pt>
                <c:pt idx="623">
                  <c:v>26.05</c:v>
                </c:pt>
                <c:pt idx="624">
                  <c:v>29.25</c:v>
                </c:pt>
                <c:pt idx="625">
                  <c:v>32.450000000000003</c:v>
                </c:pt>
                <c:pt idx="626">
                  <c:v>35.650000000000006</c:v>
                </c:pt>
                <c:pt idx="627">
                  <c:v>38.85</c:v>
                </c:pt>
                <c:pt idx="628">
                  <c:v>42.05</c:v>
                </c:pt>
                <c:pt idx="629">
                  <c:v>45.25</c:v>
                </c:pt>
                <c:pt idx="630">
                  <c:v>48.45</c:v>
                </c:pt>
                <c:pt idx="631">
                  <c:v>51.650000000000006</c:v>
                </c:pt>
                <c:pt idx="632">
                  <c:v>54.85</c:v>
                </c:pt>
                <c:pt idx="633">
                  <c:v>58.050000000000004</c:v>
                </c:pt>
                <c:pt idx="634">
                  <c:v>61.25</c:v>
                </c:pt>
                <c:pt idx="635">
                  <c:v>64.45</c:v>
                </c:pt>
                <c:pt idx="636">
                  <c:v>67.650000000000006</c:v>
                </c:pt>
                <c:pt idx="637">
                  <c:v>70.849999999999994</c:v>
                </c:pt>
                <c:pt idx="638">
                  <c:v>74.050000000000011</c:v>
                </c:pt>
                <c:pt idx="639">
                  <c:v>77.25</c:v>
                </c:pt>
                <c:pt idx="640">
                  <c:v>16.95</c:v>
                </c:pt>
                <c:pt idx="641">
                  <c:v>20.25</c:v>
                </c:pt>
                <c:pt idx="642">
                  <c:v>23.55</c:v>
                </c:pt>
                <c:pt idx="643">
                  <c:v>26.85</c:v>
                </c:pt>
                <c:pt idx="644">
                  <c:v>30.15</c:v>
                </c:pt>
                <c:pt idx="645">
                  <c:v>33.450000000000003</c:v>
                </c:pt>
                <c:pt idx="646">
                  <c:v>36.75</c:v>
                </c:pt>
                <c:pt idx="647">
                  <c:v>40.050000000000004</c:v>
                </c:pt>
                <c:pt idx="648">
                  <c:v>43.35</c:v>
                </c:pt>
                <c:pt idx="649">
                  <c:v>46.65</c:v>
                </c:pt>
                <c:pt idx="650">
                  <c:v>49.95</c:v>
                </c:pt>
                <c:pt idx="651">
                  <c:v>53.25</c:v>
                </c:pt>
                <c:pt idx="652">
                  <c:v>56.550000000000004</c:v>
                </c:pt>
                <c:pt idx="653">
                  <c:v>59.85</c:v>
                </c:pt>
                <c:pt idx="654">
                  <c:v>63.15</c:v>
                </c:pt>
                <c:pt idx="655">
                  <c:v>66.45</c:v>
                </c:pt>
                <c:pt idx="656">
                  <c:v>69.75</c:v>
                </c:pt>
                <c:pt idx="657">
                  <c:v>73.050000000000011</c:v>
                </c:pt>
                <c:pt idx="658">
                  <c:v>76.350000000000009</c:v>
                </c:pt>
                <c:pt idx="659">
                  <c:v>79.650000000000006</c:v>
                </c:pt>
                <c:pt idx="660">
                  <c:v>17.450000000000003</c:v>
                </c:pt>
                <c:pt idx="661">
                  <c:v>20.85</c:v>
                </c:pt>
                <c:pt idx="662">
                  <c:v>24.25</c:v>
                </c:pt>
                <c:pt idx="663">
                  <c:v>27.650000000000002</c:v>
                </c:pt>
                <c:pt idx="664">
                  <c:v>31.05</c:v>
                </c:pt>
                <c:pt idx="665">
                  <c:v>34.450000000000003</c:v>
                </c:pt>
                <c:pt idx="666">
                  <c:v>37.85</c:v>
                </c:pt>
                <c:pt idx="667">
                  <c:v>41.25</c:v>
                </c:pt>
                <c:pt idx="668">
                  <c:v>44.650000000000006</c:v>
                </c:pt>
                <c:pt idx="669">
                  <c:v>48.05</c:v>
                </c:pt>
                <c:pt idx="670">
                  <c:v>51.45</c:v>
                </c:pt>
                <c:pt idx="671">
                  <c:v>54.850000000000009</c:v>
                </c:pt>
                <c:pt idx="672">
                  <c:v>58.25</c:v>
                </c:pt>
                <c:pt idx="673">
                  <c:v>61.650000000000006</c:v>
                </c:pt>
                <c:pt idx="674">
                  <c:v>65.05</c:v>
                </c:pt>
                <c:pt idx="675">
                  <c:v>68.45</c:v>
                </c:pt>
                <c:pt idx="676">
                  <c:v>71.850000000000009</c:v>
                </c:pt>
                <c:pt idx="677">
                  <c:v>75.25</c:v>
                </c:pt>
                <c:pt idx="678">
                  <c:v>78.650000000000006</c:v>
                </c:pt>
                <c:pt idx="679">
                  <c:v>82.05</c:v>
                </c:pt>
                <c:pt idx="680">
                  <c:v>17.95</c:v>
                </c:pt>
                <c:pt idx="681">
                  <c:v>21.45</c:v>
                </c:pt>
                <c:pt idx="682">
                  <c:v>24.95</c:v>
                </c:pt>
                <c:pt idx="683">
                  <c:v>28.45</c:v>
                </c:pt>
                <c:pt idx="684">
                  <c:v>31.95</c:v>
                </c:pt>
                <c:pt idx="685">
                  <c:v>35.450000000000003</c:v>
                </c:pt>
                <c:pt idx="686">
                  <c:v>38.950000000000003</c:v>
                </c:pt>
                <c:pt idx="687">
                  <c:v>42.45</c:v>
                </c:pt>
                <c:pt idx="688">
                  <c:v>45.95</c:v>
                </c:pt>
                <c:pt idx="689">
                  <c:v>49.45</c:v>
                </c:pt>
                <c:pt idx="690">
                  <c:v>52.95</c:v>
                </c:pt>
                <c:pt idx="691">
                  <c:v>56.45</c:v>
                </c:pt>
                <c:pt idx="692">
                  <c:v>59.95</c:v>
                </c:pt>
                <c:pt idx="693">
                  <c:v>63.45</c:v>
                </c:pt>
                <c:pt idx="694">
                  <c:v>66.95</c:v>
                </c:pt>
                <c:pt idx="695">
                  <c:v>70.45</c:v>
                </c:pt>
                <c:pt idx="696">
                  <c:v>73.95</c:v>
                </c:pt>
                <c:pt idx="697">
                  <c:v>77.45</c:v>
                </c:pt>
                <c:pt idx="698">
                  <c:v>80.95</c:v>
                </c:pt>
                <c:pt idx="699">
                  <c:v>84.45</c:v>
                </c:pt>
                <c:pt idx="700">
                  <c:v>18.45</c:v>
                </c:pt>
                <c:pt idx="701">
                  <c:v>22.05</c:v>
                </c:pt>
                <c:pt idx="702">
                  <c:v>25.65</c:v>
                </c:pt>
                <c:pt idx="703">
                  <c:v>29.25</c:v>
                </c:pt>
                <c:pt idx="704">
                  <c:v>32.85</c:v>
                </c:pt>
                <c:pt idx="705">
                  <c:v>36.450000000000003</c:v>
                </c:pt>
                <c:pt idx="706">
                  <c:v>40.050000000000004</c:v>
                </c:pt>
                <c:pt idx="707">
                  <c:v>43.65</c:v>
                </c:pt>
                <c:pt idx="708">
                  <c:v>47.25</c:v>
                </c:pt>
                <c:pt idx="709">
                  <c:v>50.85</c:v>
                </c:pt>
                <c:pt idx="710">
                  <c:v>54.45</c:v>
                </c:pt>
                <c:pt idx="711">
                  <c:v>58.050000000000004</c:v>
                </c:pt>
                <c:pt idx="712">
                  <c:v>61.650000000000006</c:v>
                </c:pt>
                <c:pt idx="713">
                  <c:v>65.25</c:v>
                </c:pt>
                <c:pt idx="714">
                  <c:v>68.849999999999994</c:v>
                </c:pt>
                <c:pt idx="715">
                  <c:v>72.45</c:v>
                </c:pt>
                <c:pt idx="716">
                  <c:v>76.05</c:v>
                </c:pt>
                <c:pt idx="717">
                  <c:v>79.649999999999991</c:v>
                </c:pt>
                <c:pt idx="718">
                  <c:v>83.25</c:v>
                </c:pt>
                <c:pt idx="719">
                  <c:v>86.85</c:v>
                </c:pt>
                <c:pt idx="720">
                  <c:v>18.95</c:v>
                </c:pt>
                <c:pt idx="721">
                  <c:v>22.65</c:v>
                </c:pt>
                <c:pt idx="722">
                  <c:v>26.35</c:v>
                </c:pt>
                <c:pt idx="723">
                  <c:v>30.05</c:v>
                </c:pt>
                <c:pt idx="724">
                  <c:v>33.75</c:v>
                </c:pt>
                <c:pt idx="725">
                  <c:v>37.450000000000003</c:v>
                </c:pt>
                <c:pt idx="726">
                  <c:v>41.150000000000006</c:v>
                </c:pt>
                <c:pt idx="727">
                  <c:v>44.85</c:v>
                </c:pt>
                <c:pt idx="728">
                  <c:v>48.550000000000004</c:v>
                </c:pt>
                <c:pt idx="729">
                  <c:v>52.25</c:v>
                </c:pt>
                <c:pt idx="730">
                  <c:v>55.95</c:v>
                </c:pt>
                <c:pt idx="731">
                  <c:v>59.650000000000006</c:v>
                </c:pt>
                <c:pt idx="732">
                  <c:v>63.35</c:v>
                </c:pt>
                <c:pt idx="733">
                  <c:v>67.050000000000011</c:v>
                </c:pt>
                <c:pt idx="734">
                  <c:v>70.75</c:v>
                </c:pt>
                <c:pt idx="735">
                  <c:v>74.45</c:v>
                </c:pt>
                <c:pt idx="736">
                  <c:v>78.150000000000006</c:v>
                </c:pt>
                <c:pt idx="737">
                  <c:v>81.850000000000009</c:v>
                </c:pt>
                <c:pt idx="738">
                  <c:v>85.55</c:v>
                </c:pt>
                <c:pt idx="739">
                  <c:v>89.25</c:v>
                </c:pt>
                <c:pt idx="740">
                  <c:v>19.45</c:v>
                </c:pt>
                <c:pt idx="741">
                  <c:v>23.25</c:v>
                </c:pt>
                <c:pt idx="742">
                  <c:v>27.05</c:v>
                </c:pt>
                <c:pt idx="743">
                  <c:v>30.85</c:v>
                </c:pt>
                <c:pt idx="744">
                  <c:v>34.65</c:v>
                </c:pt>
                <c:pt idx="745">
                  <c:v>38.450000000000003</c:v>
                </c:pt>
                <c:pt idx="746">
                  <c:v>42.25</c:v>
                </c:pt>
                <c:pt idx="747">
                  <c:v>46.050000000000004</c:v>
                </c:pt>
                <c:pt idx="748">
                  <c:v>49.85</c:v>
                </c:pt>
                <c:pt idx="749">
                  <c:v>53.65</c:v>
                </c:pt>
                <c:pt idx="750">
                  <c:v>57.45</c:v>
                </c:pt>
                <c:pt idx="751">
                  <c:v>61.25</c:v>
                </c:pt>
                <c:pt idx="752">
                  <c:v>65.050000000000011</c:v>
                </c:pt>
                <c:pt idx="753">
                  <c:v>68.850000000000009</c:v>
                </c:pt>
                <c:pt idx="754">
                  <c:v>72.650000000000006</c:v>
                </c:pt>
                <c:pt idx="755">
                  <c:v>76.45</c:v>
                </c:pt>
                <c:pt idx="756">
                  <c:v>80.250000000000014</c:v>
                </c:pt>
                <c:pt idx="757">
                  <c:v>84.050000000000011</c:v>
                </c:pt>
                <c:pt idx="758">
                  <c:v>87.850000000000009</c:v>
                </c:pt>
                <c:pt idx="759">
                  <c:v>91.65</c:v>
                </c:pt>
                <c:pt idx="760">
                  <c:v>19.950000000000003</c:v>
                </c:pt>
                <c:pt idx="761">
                  <c:v>23.85</c:v>
                </c:pt>
                <c:pt idx="762">
                  <c:v>27.75</c:v>
                </c:pt>
                <c:pt idx="763">
                  <c:v>31.650000000000002</c:v>
                </c:pt>
                <c:pt idx="764">
                  <c:v>35.549999999999997</c:v>
                </c:pt>
                <c:pt idx="765">
                  <c:v>39.450000000000003</c:v>
                </c:pt>
                <c:pt idx="766">
                  <c:v>43.35</c:v>
                </c:pt>
                <c:pt idx="767">
                  <c:v>47.25</c:v>
                </c:pt>
                <c:pt idx="768">
                  <c:v>51.150000000000006</c:v>
                </c:pt>
                <c:pt idx="769">
                  <c:v>55.05</c:v>
                </c:pt>
                <c:pt idx="770">
                  <c:v>58.95</c:v>
                </c:pt>
                <c:pt idx="771">
                  <c:v>62.850000000000009</c:v>
                </c:pt>
                <c:pt idx="772">
                  <c:v>66.75</c:v>
                </c:pt>
                <c:pt idx="773">
                  <c:v>70.650000000000006</c:v>
                </c:pt>
                <c:pt idx="774">
                  <c:v>74.55</c:v>
                </c:pt>
                <c:pt idx="775">
                  <c:v>78.45</c:v>
                </c:pt>
                <c:pt idx="776">
                  <c:v>82.35</c:v>
                </c:pt>
                <c:pt idx="777">
                  <c:v>86.25</c:v>
                </c:pt>
                <c:pt idx="778">
                  <c:v>90.15</c:v>
                </c:pt>
                <c:pt idx="779">
                  <c:v>94.05</c:v>
                </c:pt>
                <c:pt idx="780">
                  <c:v>20.45</c:v>
                </c:pt>
                <c:pt idx="781">
                  <c:v>24.45</c:v>
                </c:pt>
                <c:pt idx="782">
                  <c:v>28.45</c:v>
                </c:pt>
                <c:pt idx="783">
                  <c:v>32.450000000000003</c:v>
                </c:pt>
                <c:pt idx="784">
                  <c:v>36.450000000000003</c:v>
                </c:pt>
                <c:pt idx="785">
                  <c:v>40.450000000000003</c:v>
                </c:pt>
                <c:pt idx="786">
                  <c:v>44.45</c:v>
                </c:pt>
                <c:pt idx="787">
                  <c:v>48.45</c:v>
                </c:pt>
                <c:pt idx="788">
                  <c:v>52.45</c:v>
                </c:pt>
                <c:pt idx="789">
                  <c:v>56.45</c:v>
                </c:pt>
                <c:pt idx="790">
                  <c:v>60.45</c:v>
                </c:pt>
                <c:pt idx="791">
                  <c:v>64.45</c:v>
                </c:pt>
                <c:pt idx="792">
                  <c:v>68.45</c:v>
                </c:pt>
                <c:pt idx="793">
                  <c:v>72.45</c:v>
                </c:pt>
                <c:pt idx="794">
                  <c:v>76.45</c:v>
                </c:pt>
                <c:pt idx="795">
                  <c:v>80.45</c:v>
                </c:pt>
                <c:pt idx="796">
                  <c:v>84.45</c:v>
                </c:pt>
                <c:pt idx="797">
                  <c:v>88.45</c:v>
                </c:pt>
                <c:pt idx="798">
                  <c:v>92.45</c:v>
                </c:pt>
                <c:pt idx="799">
                  <c:v>96.45</c:v>
                </c:pt>
                <c:pt idx="800">
                  <c:v>20.950000000000003</c:v>
                </c:pt>
                <c:pt idx="801">
                  <c:v>25.050000000000004</c:v>
                </c:pt>
                <c:pt idx="802">
                  <c:v>29.150000000000002</c:v>
                </c:pt>
                <c:pt idx="803">
                  <c:v>33.25</c:v>
                </c:pt>
                <c:pt idx="804">
                  <c:v>37.35</c:v>
                </c:pt>
                <c:pt idx="805">
                  <c:v>41.45</c:v>
                </c:pt>
                <c:pt idx="806">
                  <c:v>45.550000000000004</c:v>
                </c:pt>
                <c:pt idx="807">
                  <c:v>49.650000000000006</c:v>
                </c:pt>
                <c:pt idx="808">
                  <c:v>53.75</c:v>
                </c:pt>
                <c:pt idx="809">
                  <c:v>57.85</c:v>
                </c:pt>
                <c:pt idx="810">
                  <c:v>61.95</c:v>
                </c:pt>
                <c:pt idx="811">
                  <c:v>66.050000000000011</c:v>
                </c:pt>
                <c:pt idx="812">
                  <c:v>70.150000000000006</c:v>
                </c:pt>
                <c:pt idx="813">
                  <c:v>74.25</c:v>
                </c:pt>
                <c:pt idx="814">
                  <c:v>78.349999999999994</c:v>
                </c:pt>
                <c:pt idx="815">
                  <c:v>82.450000000000017</c:v>
                </c:pt>
                <c:pt idx="816">
                  <c:v>86.550000000000011</c:v>
                </c:pt>
                <c:pt idx="817">
                  <c:v>90.65</c:v>
                </c:pt>
                <c:pt idx="818">
                  <c:v>94.75</c:v>
                </c:pt>
                <c:pt idx="819">
                  <c:v>98.85</c:v>
                </c:pt>
                <c:pt idx="820">
                  <c:v>21.45</c:v>
                </c:pt>
                <c:pt idx="821">
                  <c:v>25.65</c:v>
                </c:pt>
                <c:pt idx="822">
                  <c:v>29.85</c:v>
                </c:pt>
                <c:pt idx="823">
                  <c:v>34.049999999999997</c:v>
                </c:pt>
                <c:pt idx="824">
                  <c:v>38.25</c:v>
                </c:pt>
                <c:pt idx="825">
                  <c:v>42.45</c:v>
                </c:pt>
                <c:pt idx="826">
                  <c:v>46.650000000000006</c:v>
                </c:pt>
                <c:pt idx="827">
                  <c:v>50.85</c:v>
                </c:pt>
                <c:pt idx="828">
                  <c:v>55.050000000000004</c:v>
                </c:pt>
                <c:pt idx="829">
                  <c:v>59.25</c:v>
                </c:pt>
                <c:pt idx="830">
                  <c:v>63.45</c:v>
                </c:pt>
                <c:pt idx="831">
                  <c:v>67.650000000000006</c:v>
                </c:pt>
                <c:pt idx="832">
                  <c:v>71.849999999999994</c:v>
                </c:pt>
                <c:pt idx="833">
                  <c:v>76.050000000000011</c:v>
                </c:pt>
                <c:pt idx="834">
                  <c:v>80.25</c:v>
                </c:pt>
                <c:pt idx="835">
                  <c:v>84.45</c:v>
                </c:pt>
                <c:pt idx="836">
                  <c:v>88.65</c:v>
                </c:pt>
                <c:pt idx="837">
                  <c:v>92.850000000000009</c:v>
                </c:pt>
                <c:pt idx="838">
                  <c:v>97.050000000000011</c:v>
                </c:pt>
                <c:pt idx="839">
                  <c:v>101.25</c:v>
                </c:pt>
                <c:pt idx="840">
                  <c:v>21.95</c:v>
                </c:pt>
                <c:pt idx="841">
                  <c:v>26.25</c:v>
                </c:pt>
                <c:pt idx="842">
                  <c:v>30.549999999999997</c:v>
                </c:pt>
                <c:pt idx="843">
                  <c:v>34.849999999999994</c:v>
                </c:pt>
                <c:pt idx="844">
                  <c:v>39.15</c:v>
                </c:pt>
                <c:pt idx="845">
                  <c:v>43.45</c:v>
                </c:pt>
                <c:pt idx="846">
                  <c:v>47.75</c:v>
                </c:pt>
                <c:pt idx="847">
                  <c:v>52.05</c:v>
                </c:pt>
                <c:pt idx="848">
                  <c:v>56.35</c:v>
                </c:pt>
                <c:pt idx="849">
                  <c:v>60.65</c:v>
                </c:pt>
                <c:pt idx="850">
                  <c:v>64.95</c:v>
                </c:pt>
                <c:pt idx="851">
                  <c:v>69.25</c:v>
                </c:pt>
                <c:pt idx="852">
                  <c:v>73.550000000000011</c:v>
                </c:pt>
                <c:pt idx="853">
                  <c:v>77.849999999999994</c:v>
                </c:pt>
                <c:pt idx="854">
                  <c:v>82.15</c:v>
                </c:pt>
                <c:pt idx="855">
                  <c:v>86.449999999999989</c:v>
                </c:pt>
                <c:pt idx="856">
                  <c:v>90.75</c:v>
                </c:pt>
                <c:pt idx="857">
                  <c:v>95.050000000000011</c:v>
                </c:pt>
                <c:pt idx="858">
                  <c:v>99.35</c:v>
                </c:pt>
                <c:pt idx="859">
                  <c:v>103.65</c:v>
                </c:pt>
                <c:pt idx="860">
                  <c:v>22.450000000000003</c:v>
                </c:pt>
                <c:pt idx="861">
                  <c:v>26.85</c:v>
                </c:pt>
                <c:pt idx="862">
                  <c:v>31.25</c:v>
                </c:pt>
                <c:pt idx="863">
                  <c:v>35.650000000000006</c:v>
                </c:pt>
                <c:pt idx="864">
                  <c:v>40.049999999999997</c:v>
                </c:pt>
                <c:pt idx="865">
                  <c:v>44.45</c:v>
                </c:pt>
                <c:pt idx="866">
                  <c:v>48.85</c:v>
                </c:pt>
                <c:pt idx="867">
                  <c:v>53.25</c:v>
                </c:pt>
                <c:pt idx="868">
                  <c:v>57.650000000000006</c:v>
                </c:pt>
                <c:pt idx="869">
                  <c:v>62.05</c:v>
                </c:pt>
                <c:pt idx="870">
                  <c:v>66.45</c:v>
                </c:pt>
                <c:pt idx="871">
                  <c:v>70.850000000000009</c:v>
                </c:pt>
                <c:pt idx="872">
                  <c:v>75.25</c:v>
                </c:pt>
                <c:pt idx="873">
                  <c:v>79.650000000000006</c:v>
                </c:pt>
                <c:pt idx="874">
                  <c:v>84.05</c:v>
                </c:pt>
                <c:pt idx="875">
                  <c:v>88.45</c:v>
                </c:pt>
                <c:pt idx="876">
                  <c:v>92.85</c:v>
                </c:pt>
                <c:pt idx="877">
                  <c:v>97.25</c:v>
                </c:pt>
                <c:pt idx="878">
                  <c:v>101.65</c:v>
                </c:pt>
                <c:pt idx="879">
                  <c:v>106.05</c:v>
                </c:pt>
                <c:pt idx="880">
                  <c:v>22.95</c:v>
                </c:pt>
                <c:pt idx="881">
                  <c:v>27.45</c:v>
                </c:pt>
                <c:pt idx="882">
                  <c:v>31.95</c:v>
                </c:pt>
                <c:pt idx="883">
                  <c:v>36.450000000000003</c:v>
                </c:pt>
                <c:pt idx="884">
                  <c:v>40.950000000000003</c:v>
                </c:pt>
                <c:pt idx="885">
                  <c:v>45.45</c:v>
                </c:pt>
                <c:pt idx="886">
                  <c:v>49.95</c:v>
                </c:pt>
                <c:pt idx="887">
                  <c:v>54.45</c:v>
                </c:pt>
                <c:pt idx="888">
                  <c:v>58.95</c:v>
                </c:pt>
                <c:pt idx="889">
                  <c:v>63.45</c:v>
                </c:pt>
                <c:pt idx="890">
                  <c:v>67.95</c:v>
                </c:pt>
                <c:pt idx="891">
                  <c:v>72.45</c:v>
                </c:pt>
                <c:pt idx="892">
                  <c:v>76.95</c:v>
                </c:pt>
                <c:pt idx="893">
                  <c:v>81.45</c:v>
                </c:pt>
                <c:pt idx="894">
                  <c:v>85.95</c:v>
                </c:pt>
                <c:pt idx="895">
                  <c:v>90.45</c:v>
                </c:pt>
                <c:pt idx="896">
                  <c:v>94.95</c:v>
                </c:pt>
                <c:pt idx="897">
                  <c:v>99.45</c:v>
                </c:pt>
                <c:pt idx="898">
                  <c:v>103.95</c:v>
                </c:pt>
                <c:pt idx="899">
                  <c:v>108.45</c:v>
                </c:pt>
                <c:pt idx="900">
                  <c:v>23.450000000000003</c:v>
                </c:pt>
                <c:pt idx="901">
                  <c:v>28.050000000000004</c:v>
                </c:pt>
                <c:pt idx="902">
                  <c:v>32.650000000000006</c:v>
                </c:pt>
                <c:pt idx="903">
                  <c:v>37.25</c:v>
                </c:pt>
                <c:pt idx="904">
                  <c:v>41.85</c:v>
                </c:pt>
                <c:pt idx="905">
                  <c:v>46.45</c:v>
                </c:pt>
                <c:pt idx="906">
                  <c:v>51.050000000000004</c:v>
                </c:pt>
                <c:pt idx="907">
                  <c:v>55.650000000000006</c:v>
                </c:pt>
                <c:pt idx="908">
                  <c:v>60.250000000000007</c:v>
                </c:pt>
                <c:pt idx="909">
                  <c:v>64.849999999999994</c:v>
                </c:pt>
                <c:pt idx="910">
                  <c:v>69.45</c:v>
                </c:pt>
                <c:pt idx="911">
                  <c:v>74.050000000000011</c:v>
                </c:pt>
                <c:pt idx="912">
                  <c:v>78.650000000000006</c:v>
                </c:pt>
                <c:pt idx="913">
                  <c:v>83.25</c:v>
                </c:pt>
                <c:pt idx="914">
                  <c:v>87.85</c:v>
                </c:pt>
                <c:pt idx="915">
                  <c:v>92.450000000000017</c:v>
                </c:pt>
                <c:pt idx="916">
                  <c:v>97.050000000000011</c:v>
                </c:pt>
                <c:pt idx="917">
                  <c:v>101.65</c:v>
                </c:pt>
                <c:pt idx="918">
                  <c:v>106.25</c:v>
                </c:pt>
                <c:pt idx="919">
                  <c:v>110.85</c:v>
                </c:pt>
                <c:pt idx="920">
                  <c:v>23.95</c:v>
                </c:pt>
                <c:pt idx="921">
                  <c:v>28.65</c:v>
                </c:pt>
                <c:pt idx="922">
                  <c:v>33.35</c:v>
                </c:pt>
                <c:pt idx="923">
                  <c:v>38.049999999999997</c:v>
                </c:pt>
                <c:pt idx="924">
                  <c:v>42.75</c:v>
                </c:pt>
                <c:pt idx="925">
                  <c:v>47.45</c:v>
                </c:pt>
                <c:pt idx="926">
                  <c:v>52.15</c:v>
                </c:pt>
                <c:pt idx="927">
                  <c:v>56.85</c:v>
                </c:pt>
                <c:pt idx="928">
                  <c:v>61.550000000000004</c:v>
                </c:pt>
                <c:pt idx="929">
                  <c:v>66.25</c:v>
                </c:pt>
                <c:pt idx="930">
                  <c:v>70.95</c:v>
                </c:pt>
                <c:pt idx="931">
                  <c:v>75.650000000000006</c:v>
                </c:pt>
                <c:pt idx="932">
                  <c:v>80.349999999999994</c:v>
                </c:pt>
                <c:pt idx="933">
                  <c:v>85.05</c:v>
                </c:pt>
                <c:pt idx="934">
                  <c:v>89.75</c:v>
                </c:pt>
                <c:pt idx="935">
                  <c:v>94.45</c:v>
                </c:pt>
                <c:pt idx="936">
                  <c:v>99.15</c:v>
                </c:pt>
                <c:pt idx="937">
                  <c:v>103.85000000000001</c:v>
                </c:pt>
                <c:pt idx="938">
                  <c:v>108.55000000000001</c:v>
                </c:pt>
                <c:pt idx="939">
                  <c:v>113.25</c:v>
                </c:pt>
                <c:pt idx="940">
                  <c:v>24.450000000000003</c:v>
                </c:pt>
                <c:pt idx="941">
                  <c:v>29.250000000000004</c:v>
                </c:pt>
                <c:pt idx="942">
                  <c:v>34.050000000000004</c:v>
                </c:pt>
                <c:pt idx="943">
                  <c:v>38.850000000000009</c:v>
                </c:pt>
                <c:pt idx="944">
                  <c:v>43.650000000000006</c:v>
                </c:pt>
                <c:pt idx="945">
                  <c:v>48.45</c:v>
                </c:pt>
                <c:pt idx="946">
                  <c:v>53.25</c:v>
                </c:pt>
                <c:pt idx="947">
                  <c:v>58.050000000000011</c:v>
                </c:pt>
                <c:pt idx="948">
                  <c:v>62.850000000000009</c:v>
                </c:pt>
                <c:pt idx="949">
                  <c:v>67.650000000000006</c:v>
                </c:pt>
                <c:pt idx="950">
                  <c:v>72.45</c:v>
                </c:pt>
                <c:pt idx="951">
                  <c:v>77.25</c:v>
                </c:pt>
                <c:pt idx="952">
                  <c:v>82.050000000000011</c:v>
                </c:pt>
                <c:pt idx="953">
                  <c:v>86.850000000000009</c:v>
                </c:pt>
                <c:pt idx="954">
                  <c:v>91.65</c:v>
                </c:pt>
                <c:pt idx="955">
                  <c:v>96.450000000000017</c:v>
                </c:pt>
                <c:pt idx="956">
                  <c:v>101.25000000000001</c:v>
                </c:pt>
                <c:pt idx="957">
                  <c:v>106.05000000000001</c:v>
                </c:pt>
                <c:pt idx="958">
                  <c:v>110.85000000000001</c:v>
                </c:pt>
                <c:pt idx="959">
                  <c:v>115.65</c:v>
                </c:pt>
                <c:pt idx="960">
                  <c:v>24.950000000000003</c:v>
                </c:pt>
                <c:pt idx="961">
                  <c:v>29.85</c:v>
                </c:pt>
                <c:pt idx="962">
                  <c:v>34.75</c:v>
                </c:pt>
                <c:pt idx="963">
                  <c:v>39.650000000000006</c:v>
                </c:pt>
                <c:pt idx="964">
                  <c:v>44.55</c:v>
                </c:pt>
                <c:pt idx="965">
                  <c:v>49.45</c:v>
                </c:pt>
                <c:pt idx="966">
                  <c:v>54.350000000000009</c:v>
                </c:pt>
                <c:pt idx="967">
                  <c:v>59.25</c:v>
                </c:pt>
                <c:pt idx="968">
                  <c:v>64.150000000000006</c:v>
                </c:pt>
                <c:pt idx="969">
                  <c:v>69.05</c:v>
                </c:pt>
                <c:pt idx="970">
                  <c:v>73.95</c:v>
                </c:pt>
                <c:pt idx="971">
                  <c:v>78.850000000000009</c:v>
                </c:pt>
                <c:pt idx="972">
                  <c:v>83.75</c:v>
                </c:pt>
                <c:pt idx="973">
                  <c:v>88.65</c:v>
                </c:pt>
                <c:pt idx="974">
                  <c:v>93.55</c:v>
                </c:pt>
                <c:pt idx="975">
                  <c:v>98.45</c:v>
                </c:pt>
                <c:pt idx="976">
                  <c:v>103.35000000000001</c:v>
                </c:pt>
                <c:pt idx="977">
                  <c:v>108.25</c:v>
                </c:pt>
                <c:pt idx="978">
                  <c:v>113.15</c:v>
                </c:pt>
                <c:pt idx="979">
                  <c:v>118.05</c:v>
                </c:pt>
                <c:pt idx="980">
                  <c:v>25.45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421120"/>
        <c:axId val="185421680"/>
      </c:lineChart>
      <c:catAx>
        <c:axId val="185421120"/>
        <c:scaling>
          <c:orientation val="minMax"/>
        </c:scaling>
        <c:delete val="0"/>
        <c:axPos val="b"/>
        <c:majorTickMark val="out"/>
        <c:minorTickMark val="none"/>
        <c:tickLblPos val="nextTo"/>
        <c:crossAx val="185421680"/>
        <c:crosses val="autoZero"/>
        <c:auto val="1"/>
        <c:lblAlgn val="ctr"/>
        <c:lblOffset val="100"/>
        <c:noMultiLvlLbl val="0"/>
      </c:catAx>
      <c:valAx>
        <c:axId val="1854216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54211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1266" l="0.70000000000000062" r="0.70000000000000062" t="0.75000000000001266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龙v龙!$G$16:$G$24</c:f>
              <c:numCache>
                <c:formatCode>General</c:formatCode>
                <c:ptCount val="9"/>
                <c:pt idx="0">
                  <c:v>4000</c:v>
                </c:pt>
                <c:pt idx="1">
                  <c:v>8000</c:v>
                </c:pt>
                <c:pt idx="2">
                  <c:v>16000</c:v>
                </c:pt>
                <c:pt idx="3">
                  <c:v>24000</c:v>
                </c:pt>
                <c:pt idx="4">
                  <c:v>36000</c:v>
                </c:pt>
                <c:pt idx="5">
                  <c:v>48000</c:v>
                </c:pt>
                <c:pt idx="6">
                  <c:v>64000</c:v>
                </c:pt>
                <c:pt idx="7">
                  <c:v>80000</c:v>
                </c:pt>
                <c:pt idx="8">
                  <c:v>100000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423920"/>
        <c:axId val="185424480"/>
      </c:lineChart>
      <c:catAx>
        <c:axId val="185423920"/>
        <c:scaling>
          <c:orientation val="minMax"/>
        </c:scaling>
        <c:delete val="0"/>
        <c:axPos val="b"/>
        <c:majorTickMark val="out"/>
        <c:minorTickMark val="none"/>
        <c:tickLblPos val="nextTo"/>
        <c:crossAx val="185424480"/>
        <c:crosses val="autoZero"/>
        <c:auto val="1"/>
        <c:lblAlgn val="ctr"/>
        <c:lblOffset val="100"/>
        <c:noMultiLvlLbl val="0"/>
      </c:catAx>
      <c:valAx>
        <c:axId val="1854244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542392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yVal>
            <c:numRef>
              <c:f>兵种!$B$69:$B$88</c:f>
              <c:numCache>
                <c:formatCode>General</c:formatCode>
                <c:ptCount val="20"/>
                <c:pt idx="0">
                  <c:v>0</c:v>
                </c:pt>
                <c:pt idx="1">
                  <c:v>17</c:v>
                </c:pt>
                <c:pt idx="2">
                  <c:v>35</c:v>
                </c:pt>
                <c:pt idx="3">
                  <c:v>70</c:v>
                </c:pt>
                <c:pt idx="4">
                  <c:v>105</c:v>
                </c:pt>
                <c:pt idx="5">
                  <c:v>140</c:v>
                </c:pt>
                <c:pt idx="6">
                  <c:v>230</c:v>
                </c:pt>
                <c:pt idx="7">
                  <c:v>321</c:v>
                </c:pt>
                <c:pt idx="8">
                  <c:v>422</c:v>
                </c:pt>
                <c:pt idx="9">
                  <c:v>522</c:v>
                </c:pt>
                <c:pt idx="10">
                  <c:v>630</c:v>
                </c:pt>
                <c:pt idx="11">
                  <c:v>738</c:v>
                </c:pt>
                <c:pt idx="12">
                  <c:v>851</c:v>
                </c:pt>
                <c:pt idx="13">
                  <c:v>965</c:v>
                </c:pt>
                <c:pt idx="14">
                  <c:v>1083</c:v>
                </c:pt>
                <c:pt idx="15">
                  <c:v>1201</c:v>
                </c:pt>
                <c:pt idx="16">
                  <c:v>1323</c:v>
                </c:pt>
                <c:pt idx="17">
                  <c:v>1446</c:v>
                </c:pt>
                <c:pt idx="18">
                  <c:v>1571</c:v>
                </c:pt>
                <c:pt idx="19">
                  <c:v>1697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426720"/>
        <c:axId val="185427280"/>
      </c:scatterChart>
      <c:valAx>
        <c:axId val="185426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5427280"/>
        <c:crosses val="autoZero"/>
        <c:crossBetween val="midCat"/>
      </c:valAx>
      <c:valAx>
        <c:axId val="18542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5426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85725</xdr:colOff>
      <xdr:row>13</xdr:row>
      <xdr:rowOff>128587</xdr:rowOff>
    </xdr:from>
    <xdr:to>
      <xdr:col>15</xdr:col>
      <xdr:colOff>152400</xdr:colOff>
      <xdr:row>29</xdr:row>
      <xdr:rowOff>128587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542925</xdr:colOff>
      <xdr:row>172</xdr:row>
      <xdr:rowOff>0</xdr:rowOff>
    </xdr:from>
    <xdr:to>
      <xdr:col>26</xdr:col>
      <xdr:colOff>866775</xdr:colOff>
      <xdr:row>188</xdr:row>
      <xdr:rowOff>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0</xdr:row>
      <xdr:rowOff>114300</xdr:rowOff>
    </xdr:from>
    <xdr:to>
      <xdr:col>22</xdr:col>
      <xdr:colOff>457200</xdr:colOff>
      <xdr:row>16</xdr:row>
      <xdr:rowOff>114300</xdr:rowOff>
    </xdr:to>
    <xdr:graphicFrame macro="">
      <xdr:nvGraphicFramePr>
        <xdr:cNvPr id="6" name="图表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409574</xdr:colOff>
      <xdr:row>17</xdr:row>
      <xdr:rowOff>104774</xdr:rowOff>
    </xdr:from>
    <xdr:to>
      <xdr:col>36</xdr:col>
      <xdr:colOff>590549</xdr:colOff>
      <xdr:row>53</xdr:row>
      <xdr:rowOff>57150</xdr:rowOff>
    </xdr:to>
    <xdr:graphicFrame macro="">
      <xdr:nvGraphicFramePr>
        <xdr:cNvPr id="7" name="图表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238125</xdr:colOff>
      <xdr:row>121</xdr:row>
      <xdr:rowOff>9525</xdr:rowOff>
    </xdr:from>
    <xdr:to>
      <xdr:col>24</xdr:col>
      <xdr:colOff>9525</xdr:colOff>
      <xdr:row>441</xdr:row>
      <xdr:rowOff>9525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57150</xdr:colOff>
      <xdr:row>6</xdr:row>
      <xdr:rowOff>47625</xdr:rowOff>
    </xdr:from>
    <xdr:to>
      <xdr:col>15</xdr:col>
      <xdr:colOff>514350</xdr:colOff>
      <xdr:row>22</xdr:row>
      <xdr:rowOff>47625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157162</xdr:colOff>
      <xdr:row>69</xdr:row>
      <xdr:rowOff>104775</xdr:rowOff>
    </xdr:from>
    <xdr:to>
      <xdr:col>11</xdr:col>
      <xdr:colOff>614362</xdr:colOff>
      <xdr:row>85</xdr:row>
      <xdr:rowOff>104775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Q51"/>
  <sheetViews>
    <sheetView workbookViewId="0">
      <pane xSplit="1" ySplit="1" topLeftCell="B11" activePane="bottomRight" state="frozen"/>
      <selection pane="topRight" activeCell="B1" sqref="B1"/>
      <selection pane="bottomLeft" activeCell="A2" sqref="A2"/>
      <selection pane="bottomRight" activeCell="E29" sqref="E29"/>
    </sheetView>
  </sheetViews>
  <sheetFormatPr defaultRowHeight="13.5" x14ac:dyDescent="0.15"/>
  <cols>
    <col min="2" max="2" width="10.375" bestFit="1" customWidth="1"/>
    <col min="5" max="5" width="13.125" customWidth="1"/>
  </cols>
  <sheetData>
    <row r="1" spans="1:17" s="8" customFormat="1" x14ac:dyDescent="0.15">
      <c r="A1" s="8" t="s">
        <v>910</v>
      </c>
      <c r="B1" s="8" t="s">
        <v>16</v>
      </c>
      <c r="E1" s="8" t="s">
        <v>885</v>
      </c>
      <c r="F1" s="8" t="s">
        <v>886</v>
      </c>
      <c r="G1" s="8" t="s">
        <v>887</v>
      </c>
      <c r="H1" s="8" t="s">
        <v>888</v>
      </c>
      <c r="I1" s="8" t="s">
        <v>890</v>
      </c>
      <c r="J1" s="8" t="s">
        <v>889</v>
      </c>
      <c r="K1" s="8" t="s">
        <v>911</v>
      </c>
      <c r="O1" s="8" t="s">
        <v>893</v>
      </c>
      <c r="P1" s="8" t="s">
        <v>894</v>
      </c>
      <c r="Q1" s="8" t="s">
        <v>895</v>
      </c>
    </row>
    <row r="2" spans="1:17" x14ac:dyDescent="0.15">
      <c r="A2">
        <v>1</v>
      </c>
      <c r="B2">
        <v>0</v>
      </c>
      <c r="E2" s="7" t="s">
        <v>871</v>
      </c>
      <c r="F2" s="11">
        <v>10</v>
      </c>
      <c r="G2">
        <v>2</v>
      </c>
      <c r="H2">
        <v>20</v>
      </c>
      <c r="I2">
        <f>F2*(2^(H2/G2-1))</f>
        <v>5120</v>
      </c>
      <c r="J2">
        <v>6</v>
      </c>
      <c r="K2">
        <f>I2*J2</f>
        <v>30720</v>
      </c>
      <c r="N2" s="7" t="s">
        <v>892</v>
      </c>
      <c r="O2">
        <v>30</v>
      </c>
      <c r="P2">
        <v>38</v>
      </c>
      <c r="Q2" s="3">
        <v>13</v>
      </c>
    </row>
    <row r="3" spans="1:17" x14ac:dyDescent="0.15">
      <c r="A3">
        <v>2</v>
      </c>
      <c r="B3">
        <v>76</v>
      </c>
      <c r="C3">
        <f>B4/B3</f>
        <v>1.5263157894736843</v>
      </c>
      <c r="E3" s="7" t="s">
        <v>322</v>
      </c>
      <c r="F3" s="11">
        <v>10</v>
      </c>
      <c r="G3" s="7">
        <v>2</v>
      </c>
      <c r="H3" s="7">
        <v>20</v>
      </c>
      <c r="I3" s="7">
        <f t="shared" ref="I3:I21" si="0">F3*(2^(H3/G3-1))</f>
        <v>5120</v>
      </c>
      <c r="J3">
        <v>12</v>
      </c>
      <c r="K3" s="7">
        <f t="shared" ref="K3:K20" si="1">I3*J3</f>
        <v>61440</v>
      </c>
    </row>
    <row r="4" spans="1:17" x14ac:dyDescent="0.15">
      <c r="A4">
        <v>3</v>
      </c>
      <c r="B4">
        <v>116</v>
      </c>
      <c r="C4">
        <f t="shared" ref="C4:C51" si="2">B5/B4</f>
        <v>1.6896551724137931</v>
      </c>
      <c r="E4" s="7" t="s">
        <v>325</v>
      </c>
      <c r="F4" s="11">
        <v>20</v>
      </c>
      <c r="G4" s="7">
        <v>2</v>
      </c>
      <c r="H4" s="7">
        <v>20</v>
      </c>
      <c r="I4" s="7">
        <f t="shared" si="0"/>
        <v>10240</v>
      </c>
      <c r="J4">
        <v>1</v>
      </c>
      <c r="K4" s="7">
        <f t="shared" si="1"/>
        <v>10240</v>
      </c>
      <c r="O4" s="7"/>
    </row>
    <row r="5" spans="1:17" x14ac:dyDescent="0.15">
      <c r="A5">
        <v>4</v>
      </c>
      <c r="B5">
        <v>196</v>
      </c>
      <c r="C5">
        <f t="shared" si="2"/>
        <v>1.8163265306122449</v>
      </c>
      <c r="E5" s="7" t="s">
        <v>327</v>
      </c>
      <c r="F5" s="11">
        <v>20</v>
      </c>
      <c r="G5" s="7">
        <v>2</v>
      </c>
      <c r="H5" s="7">
        <v>20</v>
      </c>
      <c r="I5" s="7">
        <f t="shared" si="0"/>
        <v>10240</v>
      </c>
      <c r="J5" s="7">
        <v>1</v>
      </c>
      <c r="K5" s="7">
        <f t="shared" si="1"/>
        <v>10240</v>
      </c>
      <c r="M5" s="7"/>
      <c r="N5" s="7"/>
      <c r="O5" s="7"/>
    </row>
    <row r="6" spans="1:17" x14ac:dyDescent="0.15">
      <c r="A6">
        <v>5</v>
      </c>
      <c r="B6">
        <v>356</v>
      </c>
      <c r="C6">
        <f t="shared" si="2"/>
        <v>1.898876404494382</v>
      </c>
      <c r="E6" s="7" t="s">
        <v>872</v>
      </c>
      <c r="F6" s="11">
        <v>30</v>
      </c>
      <c r="G6" s="7">
        <v>2</v>
      </c>
      <c r="H6" s="7">
        <v>20</v>
      </c>
      <c r="I6" s="7">
        <f t="shared" si="0"/>
        <v>15360</v>
      </c>
      <c r="J6" s="7">
        <v>1</v>
      </c>
      <c r="K6" s="7">
        <f t="shared" si="1"/>
        <v>15360</v>
      </c>
      <c r="M6" s="7"/>
      <c r="O6" s="7"/>
    </row>
    <row r="7" spans="1:17" x14ac:dyDescent="0.15">
      <c r="A7">
        <v>6</v>
      </c>
      <c r="B7">
        <v>676</v>
      </c>
      <c r="C7">
        <f t="shared" si="2"/>
        <v>1.9467455621301775</v>
      </c>
      <c r="E7" s="7" t="s">
        <v>896</v>
      </c>
      <c r="F7" s="11">
        <v>20</v>
      </c>
      <c r="G7" s="7">
        <v>2</v>
      </c>
      <c r="H7" s="7">
        <v>20</v>
      </c>
      <c r="I7" s="7">
        <f t="shared" si="0"/>
        <v>10240</v>
      </c>
      <c r="J7" s="7">
        <v>1</v>
      </c>
      <c r="K7" s="7">
        <f t="shared" si="1"/>
        <v>10240</v>
      </c>
      <c r="M7" s="7"/>
      <c r="N7" s="7"/>
      <c r="O7" s="7"/>
    </row>
    <row r="8" spans="1:17" x14ac:dyDescent="0.15">
      <c r="A8">
        <v>7</v>
      </c>
      <c r="B8">
        <v>1316</v>
      </c>
      <c r="C8">
        <f t="shared" si="2"/>
        <v>1.972644376899696</v>
      </c>
      <c r="E8" s="7" t="s">
        <v>330</v>
      </c>
      <c r="F8" s="11">
        <v>20</v>
      </c>
      <c r="G8" s="7">
        <v>2</v>
      </c>
      <c r="H8" s="7">
        <v>20</v>
      </c>
      <c r="I8" s="7">
        <f t="shared" si="0"/>
        <v>10240</v>
      </c>
      <c r="J8" s="7">
        <v>1</v>
      </c>
      <c r="K8" s="7">
        <f t="shared" si="1"/>
        <v>10240</v>
      </c>
      <c r="M8" s="7"/>
      <c r="O8" s="7"/>
    </row>
    <row r="9" spans="1:17" x14ac:dyDescent="0.15">
      <c r="A9">
        <v>8</v>
      </c>
      <c r="B9">
        <v>2596</v>
      </c>
      <c r="C9">
        <f t="shared" si="2"/>
        <v>1.9861325115562403</v>
      </c>
      <c r="E9" s="7" t="s">
        <v>372</v>
      </c>
      <c r="F9" s="11">
        <v>50</v>
      </c>
      <c r="G9" s="7">
        <v>2</v>
      </c>
      <c r="H9" s="7">
        <v>20</v>
      </c>
      <c r="I9" s="7">
        <f t="shared" si="0"/>
        <v>25600</v>
      </c>
      <c r="J9" s="7">
        <v>1</v>
      </c>
      <c r="K9" s="7">
        <f t="shared" si="1"/>
        <v>25600</v>
      </c>
      <c r="M9" s="7"/>
      <c r="O9" s="7"/>
    </row>
    <row r="10" spans="1:17" x14ac:dyDescent="0.15">
      <c r="A10">
        <v>9</v>
      </c>
      <c r="B10">
        <v>5156</v>
      </c>
      <c r="C10">
        <f t="shared" si="2"/>
        <v>1.9930178432893717</v>
      </c>
      <c r="E10" s="7" t="s">
        <v>873</v>
      </c>
      <c r="F10" s="11">
        <v>50</v>
      </c>
      <c r="G10" s="7">
        <v>2</v>
      </c>
      <c r="H10" s="7">
        <v>20</v>
      </c>
      <c r="I10" s="7">
        <f t="shared" si="0"/>
        <v>25600</v>
      </c>
      <c r="J10" s="7">
        <v>1</v>
      </c>
      <c r="K10" s="7">
        <f t="shared" si="1"/>
        <v>25600</v>
      </c>
      <c r="M10" s="7"/>
      <c r="O10" s="7"/>
    </row>
    <row r="11" spans="1:17" x14ac:dyDescent="0.15">
      <c r="A11">
        <v>10</v>
      </c>
      <c r="B11">
        <v>10276</v>
      </c>
      <c r="C11">
        <f t="shared" si="2"/>
        <v>1.6228104320747372</v>
      </c>
      <c r="E11" s="7" t="s">
        <v>874</v>
      </c>
      <c r="F11" s="11">
        <v>30</v>
      </c>
      <c r="G11" s="7">
        <v>2</v>
      </c>
      <c r="H11" s="7">
        <v>20</v>
      </c>
      <c r="I11" s="7">
        <f t="shared" si="0"/>
        <v>15360</v>
      </c>
      <c r="J11" s="7">
        <v>1</v>
      </c>
      <c r="K11" s="7">
        <f t="shared" si="1"/>
        <v>15360</v>
      </c>
      <c r="M11" s="7"/>
      <c r="O11" s="7"/>
    </row>
    <row r="12" spans="1:17" x14ac:dyDescent="0.15">
      <c r="A12">
        <v>11</v>
      </c>
      <c r="B12">
        <v>16676</v>
      </c>
      <c r="C12">
        <f t="shared" si="2"/>
        <v>1.4797313504437515</v>
      </c>
      <c r="E12" s="7" t="s">
        <v>875</v>
      </c>
      <c r="F12" s="11">
        <v>30</v>
      </c>
      <c r="G12" s="7">
        <v>2</v>
      </c>
      <c r="H12" s="7">
        <v>20</v>
      </c>
      <c r="I12" s="7">
        <f t="shared" si="0"/>
        <v>15360</v>
      </c>
      <c r="J12" s="7">
        <v>1</v>
      </c>
      <c r="K12" s="7">
        <f t="shared" si="1"/>
        <v>15360</v>
      </c>
      <c r="M12" s="7"/>
      <c r="O12" s="7"/>
    </row>
    <row r="13" spans="1:17" x14ac:dyDescent="0.15">
      <c r="A13">
        <v>12</v>
      </c>
      <c r="B13">
        <v>24676</v>
      </c>
      <c r="C13">
        <f t="shared" si="2"/>
        <v>1.4052520667855406</v>
      </c>
      <c r="E13" s="7" t="s">
        <v>876</v>
      </c>
      <c r="F13" s="11">
        <v>30</v>
      </c>
      <c r="G13" s="7">
        <v>2</v>
      </c>
      <c r="H13" s="7">
        <v>20</v>
      </c>
      <c r="I13" s="7">
        <f t="shared" si="0"/>
        <v>15360</v>
      </c>
      <c r="J13" s="7">
        <v>1</v>
      </c>
      <c r="K13" s="7">
        <f t="shared" si="1"/>
        <v>15360</v>
      </c>
      <c r="M13" s="7"/>
      <c r="O13" s="7"/>
    </row>
    <row r="14" spans="1:17" x14ac:dyDescent="0.15">
      <c r="A14">
        <v>13</v>
      </c>
      <c r="B14">
        <v>34676</v>
      </c>
      <c r="C14">
        <f t="shared" si="2"/>
        <v>1.3604798708040142</v>
      </c>
      <c r="E14" s="7" t="s">
        <v>877</v>
      </c>
      <c r="F14" s="11">
        <v>20</v>
      </c>
      <c r="G14" s="7">
        <v>2</v>
      </c>
      <c r="H14" s="7">
        <v>20</v>
      </c>
      <c r="I14" s="7">
        <f t="shared" si="0"/>
        <v>10240</v>
      </c>
      <c r="J14" s="7">
        <v>1</v>
      </c>
      <c r="K14" s="7">
        <f t="shared" si="1"/>
        <v>10240</v>
      </c>
      <c r="M14" s="7"/>
      <c r="O14" s="7"/>
    </row>
    <row r="15" spans="1:17" x14ac:dyDescent="0.15">
      <c r="A15">
        <v>14</v>
      </c>
      <c r="B15">
        <v>47176</v>
      </c>
      <c r="C15">
        <f t="shared" si="2"/>
        <v>1.3312065457012039</v>
      </c>
      <c r="E15" s="7" t="s">
        <v>878</v>
      </c>
      <c r="F15" s="11">
        <v>50</v>
      </c>
      <c r="G15" s="7">
        <v>2</v>
      </c>
      <c r="H15" s="7">
        <v>20</v>
      </c>
      <c r="I15" s="7">
        <f t="shared" si="0"/>
        <v>25600</v>
      </c>
      <c r="J15" s="7">
        <v>1</v>
      </c>
      <c r="K15" s="7">
        <f t="shared" si="1"/>
        <v>25600</v>
      </c>
      <c r="M15" s="7"/>
      <c r="O15" s="7"/>
    </row>
    <row r="16" spans="1:17" x14ac:dyDescent="0.15">
      <c r="A16">
        <v>15</v>
      </c>
      <c r="B16">
        <v>62801</v>
      </c>
      <c r="C16">
        <f t="shared" si="2"/>
        <v>1.3109982325122211</v>
      </c>
      <c r="E16" s="7" t="s">
        <v>881</v>
      </c>
      <c r="F16" s="11">
        <v>5</v>
      </c>
      <c r="G16" s="7">
        <v>1</v>
      </c>
      <c r="H16" s="7">
        <v>10</v>
      </c>
      <c r="I16" s="7">
        <f t="shared" si="0"/>
        <v>2560</v>
      </c>
      <c r="J16" s="7">
        <v>7</v>
      </c>
      <c r="K16" s="7">
        <f t="shared" si="1"/>
        <v>17920</v>
      </c>
      <c r="M16" s="7"/>
      <c r="O16" s="7"/>
    </row>
    <row r="17" spans="1:15" x14ac:dyDescent="0.15">
      <c r="A17">
        <v>16</v>
      </c>
      <c r="B17">
        <v>82332</v>
      </c>
      <c r="C17">
        <f t="shared" si="2"/>
        <v>1.2958509449545741</v>
      </c>
      <c r="E17" s="7" t="s">
        <v>882</v>
      </c>
      <c r="F17" s="11">
        <v>5</v>
      </c>
      <c r="G17" s="7">
        <v>1</v>
      </c>
      <c r="H17" s="7">
        <v>10</v>
      </c>
      <c r="I17" s="7">
        <f t="shared" si="0"/>
        <v>2560</v>
      </c>
      <c r="J17">
        <v>15</v>
      </c>
      <c r="K17" s="7">
        <f t="shared" si="1"/>
        <v>38400</v>
      </c>
      <c r="M17" s="7"/>
      <c r="O17" s="7"/>
    </row>
    <row r="18" spans="1:15" x14ac:dyDescent="0.15">
      <c r="A18">
        <v>17</v>
      </c>
      <c r="B18">
        <v>106690</v>
      </c>
      <c r="C18">
        <f t="shared" si="2"/>
        <v>1.2860436779454494</v>
      </c>
      <c r="E18" s="7" t="s">
        <v>883</v>
      </c>
      <c r="F18" s="11">
        <v>5</v>
      </c>
      <c r="G18" s="7">
        <v>1</v>
      </c>
      <c r="H18" s="7">
        <v>10</v>
      </c>
      <c r="I18" s="7">
        <f t="shared" si="0"/>
        <v>2560</v>
      </c>
      <c r="J18">
        <v>15</v>
      </c>
      <c r="K18" s="7">
        <f t="shared" si="1"/>
        <v>38400</v>
      </c>
      <c r="M18" s="7"/>
      <c r="O18" s="7"/>
    </row>
    <row r="19" spans="1:15" x14ac:dyDescent="0.15">
      <c r="A19">
        <v>18</v>
      </c>
      <c r="B19">
        <v>137208</v>
      </c>
      <c r="C19">
        <f t="shared" si="2"/>
        <v>1.2780231473383477</v>
      </c>
      <c r="E19" s="7" t="s">
        <v>884</v>
      </c>
      <c r="F19" s="11">
        <v>5</v>
      </c>
      <c r="G19" s="7">
        <v>1</v>
      </c>
      <c r="H19" s="7">
        <v>10</v>
      </c>
      <c r="I19" s="7">
        <f t="shared" si="0"/>
        <v>2560</v>
      </c>
      <c r="J19">
        <v>1</v>
      </c>
      <c r="K19" s="7">
        <f t="shared" si="1"/>
        <v>2560</v>
      </c>
      <c r="M19" s="7"/>
      <c r="O19" s="7"/>
    </row>
    <row r="20" spans="1:15" x14ac:dyDescent="0.15">
      <c r="A20">
        <v>19</v>
      </c>
      <c r="B20">
        <v>175355</v>
      </c>
      <c r="C20">
        <f t="shared" si="2"/>
        <v>1.2719283738701492</v>
      </c>
      <c r="E20" s="3" t="s">
        <v>1130</v>
      </c>
      <c r="F20" s="17">
        <v>10</v>
      </c>
      <c r="G20" s="3">
        <v>1</v>
      </c>
      <c r="H20" s="7">
        <v>10</v>
      </c>
      <c r="I20" s="7">
        <f t="shared" si="0"/>
        <v>5120</v>
      </c>
      <c r="J20">
        <v>4</v>
      </c>
      <c r="K20" s="7">
        <f t="shared" si="1"/>
        <v>20480</v>
      </c>
      <c r="M20" s="7"/>
      <c r="O20" s="7"/>
    </row>
    <row r="21" spans="1:15" x14ac:dyDescent="0.15">
      <c r="A21">
        <v>20</v>
      </c>
      <c r="B21">
        <v>223039</v>
      </c>
      <c r="C21">
        <f t="shared" si="2"/>
        <v>1.2672357749093208</v>
      </c>
      <c r="E21" s="3" t="s">
        <v>909</v>
      </c>
      <c r="F21" s="17">
        <v>50</v>
      </c>
      <c r="G21" s="3">
        <v>2</v>
      </c>
      <c r="H21">
        <v>20</v>
      </c>
      <c r="I21">
        <f t="shared" si="0"/>
        <v>25600</v>
      </c>
      <c r="J21" s="9" t="s">
        <v>891</v>
      </c>
      <c r="K21" s="5">
        <f>SUM(K2:K20)</f>
        <v>399360</v>
      </c>
      <c r="M21" s="7"/>
      <c r="O21" s="7"/>
    </row>
    <row r="22" spans="1:15" x14ac:dyDescent="0.15">
      <c r="A22">
        <v>21</v>
      </c>
      <c r="B22">
        <v>282643</v>
      </c>
      <c r="C22">
        <f t="shared" si="2"/>
        <v>1.2636046178394653</v>
      </c>
      <c r="M22" s="7"/>
      <c r="O22" s="7"/>
    </row>
    <row r="23" spans="1:15" x14ac:dyDescent="0.15">
      <c r="A23">
        <v>22</v>
      </c>
      <c r="B23">
        <v>357149</v>
      </c>
      <c r="C23">
        <f t="shared" si="2"/>
        <v>1.2607651148400247</v>
      </c>
    </row>
    <row r="24" spans="1:15" x14ac:dyDescent="0.15">
      <c r="A24">
        <v>23</v>
      </c>
      <c r="B24">
        <v>450281</v>
      </c>
      <c r="C24">
        <f t="shared" si="2"/>
        <v>1.258540777869819</v>
      </c>
      <c r="E24" s="18" t="s">
        <v>879</v>
      </c>
      <c r="F24" s="19">
        <v>15</v>
      </c>
      <c r="G24" s="20">
        <v>2</v>
      </c>
      <c r="H24" s="20">
        <v>20</v>
      </c>
      <c r="I24" s="20">
        <f t="shared" ref="I24:I25" si="3">F24*(2^(H24/G24-1))</f>
        <v>7680</v>
      </c>
    </row>
    <row r="25" spans="1:15" x14ac:dyDescent="0.15">
      <c r="A25">
        <v>24</v>
      </c>
      <c r="B25">
        <v>566697</v>
      </c>
      <c r="C25">
        <f t="shared" si="2"/>
        <v>1.25678448977143</v>
      </c>
      <c r="E25" s="18" t="s">
        <v>880</v>
      </c>
      <c r="F25" s="19">
        <v>20</v>
      </c>
      <c r="G25" s="20">
        <v>2</v>
      </c>
      <c r="H25" s="20">
        <v>20</v>
      </c>
      <c r="I25" s="20">
        <f t="shared" si="3"/>
        <v>10240</v>
      </c>
    </row>
    <row r="26" spans="1:15" x14ac:dyDescent="0.15">
      <c r="A26">
        <v>25</v>
      </c>
      <c r="B26">
        <v>712216</v>
      </c>
      <c r="C26">
        <f t="shared" si="2"/>
        <v>1.2553986431082704</v>
      </c>
    </row>
    <row r="27" spans="1:15" x14ac:dyDescent="0.15">
      <c r="A27">
        <v>26</v>
      </c>
      <c r="B27">
        <v>894115</v>
      </c>
      <c r="C27">
        <f t="shared" si="2"/>
        <v>1.2542995028603703</v>
      </c>
    </row>
    <row r="28" spans="1:15" x14ac:dyDescent="0.15">
      <c r="A28">
        <v>27</v>
      </c>
      <c r="B28">
        <v>1121488</v>
      </c>
      <c r="C28">
        <f t="shared" si="2"/>
        <v>1.2534284807327407</v>
      </c>
    </row>
    <row r="29" spans="1:15" x14ac:dyDescent="0.15">
      <c r="A29">
        <v>28</v>
      </c>
      <c r="B29">
        <v>1405705</v>
      </c>
      <c r="C29">
        <f t="shared" si="2"/>
        <v>1.2527358158361819</v>
      </c>
    </row>
    <row r="30" spans="1:15" x14ac:dyDescent="0.15">
      <c r="A30">
        <v>29</v>
      </c>
      <c r="B30">
        <v>1760977</v>
      </c>
      <c r="C30">
        <f t="shared" si="2"/>
        <v>1.2521833050630418</v>
      </c>
      <c r="G30" s="7"/>
    </row>
    <row r="31" spans="1:15" x14ac:dyDescent="0.15">
      <c r="A31">
        <v>30</v>
      </c>
      <c r="B31">
        <v>2205066</v>
      </c>
      <c r="C31">
        <f t="shared" si="2"/>
        <v>1.2517439387301785</v>
      </c>
      <c r="G31" s="7"/>
      <c r="H31" s="7"/>
    </row>
    <row r="32" spans="1:15" x14ac:dyDescent="0.15">
      <c r="A32">
        <v>31</v>
      </c>
      <c r="B32">
        <v>2760178</v>
      </c>
      <c r="C32">
        <f t="shared" si="2"/>
        <v>1.2513928449542022</v>
      </c>
      <c r="G32" s="7"/>
      <c r="H32" s="7"/>
    </row>
    <row r="33" spans="1:3" x14ac:dyDescent="0.15">
      <c r="A33">
        <v>32</v>
      </c>
      <c r="B33">
        <v>3454067</v>
      </c>
      <c r="C33">
        <f t="shared" si="2"/>
        <v>1.2511132528697331</v>
      </c>
    </row>
    <row r="34" spans="1:3" x14ac:dyDescent="0.15">
      <c r="A34">
        <v>33</v>
      </c>
      <c r="B34">
        <v>4321429</v>
      </c>
      <c r="C34">
        <f t="shared" si="2"/>
        <v>1.2508896941266419</v>
      </c>
    </row>
    <row r="35" spans="1:3" x14ac:dyDescent="0.15">
      <c r="A35">
        <v>34</v>
      </c>
      <c r="B35">
        <v>5405631</v>
      </c>
      <c r="C35">
        <f t="shared" si="2"/>
        <v>1.2507113415621598</v>
      </c>
    </row>
    <row r="36" spans="1:3" x14ac:dyDescent="0.15">
      <c r="A36">
        <v>35</v>
      </c>
      <c r="B36">
        <v>6760884</v>
      </c>
      <c r="C36">
        <f t="shared" si="2"/>
        <v>1.2505685647024856</v>
      </c>
    </row>
    <row r="37" spans="1:3" x14ac:dyDescent="0.15">
      <c r="A37">
        <v>36</v>
      </c>
      <c r="B37">
        <v>8454949</v>
      </c>
      <c r="C37">
        <f t="shared" si="2"/>
        <v>1.2504548519452927</v>
      </c>
    </row>
    <row r="38" spans="1:3" x14ac:dyDescent="0.15">
      <c r="A38">
        <v>37</v>
      </c>
      <c r="B38">
        <v>10572532</v>
      </c>
      <c r="C38">
        <f t="shared" si="2"/>
        <v>1.2503636782560696</v>
      </c>
    </row>
    <row r="39" spans="1:3" x14ac:dyDescent="0.15">
      <c r="A39">
        <v>38</v>
      </c>
      <c r="B39">
        <v>13219510</v>
      </c>
      <c r="C39">
        <f t="shared" si="2"/>
        <v>1.2502908201589922</v>
      </c>
    </row>
    <row r="40" spans="1:3" x14ac:dyDescent="0.15">
      <c r="A40">
        <v>39</v>
      </c>
      <c r="B40">
        <v>16528232</v>
      </c>
      <c r="C40">
        <f t="shared" si="2"/>
        <v>1.2502326322621802</v>
      </c>
    </row>
    <row r="41" spans="1:3" x14ac:dyDescent="0.15">
      <c r="A41">
        <v>40</v>
      </c>
      <c r="B41">
        <v>20664135</v>
      </c>
      <c r="C41">
        <f t="shared" si="2"/>
        <v>1.2501860832790725</v>
      </c>
    </row>
    <row r="42" spans="1:3" x14ac:dyDescent="0.15">
      <c r="A42">
        <v>41</v>
      </c>
      <c r="B42">
        <v>25834014</v>
      </c>
      <c r="C42">
        <f t="shared" si="2"/>
        <v>1.2501488541424495</v>
      </c>
    </row>
    <row r="43" spans="1:3" x14ac:dyDescent="0.15">
      <c r="A43">
        <v>42</v>
      </c>
      <c r="B43">
        <v>32296363</v>
      </c>
      <c r="C43">
        <f t="shared" si="2"/>
        <v>1.2501190304307639</v>
      </c>
    </row>
    <row r="44" spans="1:3" x14ac:dyDescent="0.15">
      <c r="A44">
        <v>43</v>
      </c>
      <c r="B44">
        <v>40374298</v>
      </c>
      <c r="C44">
        <f t="shared" si="2"/>
        <v>1.2500952462380894</v>
      </c>
    </row>
    <row r="45" spans="1:3" x14ac:dyDescent="0.15">
      <c r="A45">
        <v>44</v>
      </c>
      <c r="B45">
        <v>50471718</v>
      </c>
      <c r="C45">
        <f t="shared" si="2"/>
        <v>1.2500761713718562</v>
      </c>
    </row>
    <row r="46" spans="1:3" x14ac:dyDescent="0.15">
      <c r="A46">
        <v>45</v>
      </c>
      <c r="B46">
        <v>63093492</v>
      </c>
      <c r="C46">
        <f t="shared" si="2"/>
        <v>1.2500609571586243</v>
      </c>
    </row>
    <row r="47" spans="1:3" x14ac:dyDescent="0.15">
      <c r="A47">
        <v>46</v>
      </c>
      <c r="B47">
        <v>78870711</v>
      </c>
      <c r="C47">
        <f t="shared" si="2"/>
        <v>1.250048741160708</v>
      </c>
    </row>
    <row r="48" spans="1:3" x14ac:dyDescent="0.15">
      <c r="A48">
        <v>47</v>
      </c>
      <c r="B48">
        <v>98592233</v>
      </c>
      <c r="C48">
        <f t="shared" si="2"/>
        <v>1.2500389964795706</v>
      </c>
    </row>
    <row r="49" spans="1:3" x14ac:dyDescent="0.15">
      <c r="A49">
        <v>48</v>
      </c>
      <c r="B49">
        <v>123244136</v>
      </c>
      <c r="C49">
        <f t="shared" si="2"/>
        <v>1.2500312063528929</v>
      </c>
    </row>
    <row r="50" spans="1:3" x14ac:dyDescent="0.15">
      <c r="A50">
        <v>49</v>
      </c>
      <c r="B50">
        <v>154059016</v>
      </c>
      <c r="C50">
        <f t="shared" si="2"/>
        <v>1.2500249514770365</v>
      </c>
    </row>
    <row r="51" spans="1:3" x14ac:dyDescent="0.15">
      <c r="A51">
        <v>50</v>
      </c>
      <c r="B51">
        <v>192577614</v>
      </c>
      <c r="C51">
        <f t="shared" si="2"/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J61"/>
  <sheetViews>
    <sheetView workbookViewId="0">
      <pane xSplit="2" ySplit="1" topLeftCell="E39" activePane="bottomRight" state="frozen"/>
      <selection pane="topRight" activeCell="C1" sqref="C1"/>
      <selection pane="bottomLeft" activeCell="A2" sqref="A2"/>
      <selection pane="bottomRight" activeCell="B36" sqref="B36"/>
    </sheetView>
  </sheetViews>
  <sheetFormatPr defaultRowHeight="13.5" x14ac:dyDescent="0.15"/>
  <cols>
    <col min="1" max="1" width="30.375" bestFit="1" customWidth="1"/>
    <col min="2" max="2" width="60.375" bestFit="1" customWidth="1"/>
    <col min="3" max="3" width="10.375" bestFit="1" customWidth="1"/>
    <col min="4" max="4" width="36.125" bestFit="1" customWidth="1"/>
    <col min="5" max="5" width="16.125" bestFit="1" customWidth="1"/>
    <col min="6" max="6" width="7.375" bestFit="1" customWidth="1"/>
    <col min="7" max="8" width="8.375" bestFit="1" customWidth="1"/>
    <col min="9" max="9" width="7.375" bestFit="1" customWidth="1"/>
    <col min="10" max="10" width="8.375" bestFit="1" customWidth="1"/>
  </cols>
  <sheetData>
    <row r="1" spans="1:10" s="1" customFormat="1" x14ac:dyDescent="0.15">
      <c r="A1" s="1" t="s">
        <v>160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</row>
    <row r="2" spans="1:10" x14ac:dyDescent="0.15">
      <c r="A2" t="s">
        <v>26</v>
      </c>
      <c r="B2" t="s">
        <v>27</v>
      </c>
      <c r="D2" t="s">
        <v>28</v>
      </c>
      <c r="E2" t="s">
        <v>29</v>
      </c>
      <c r="F2">
        <v>7</v>
      </c>
      <c r="G2" t="s">
        <v>30</v>
      </c>
      <c r="H2" t="s">
        <v>30</v>
      </c>
      <c r="I2" t="s">
        <v>30</v>
      </c>
      <c r="J2" t="s">
        <v>30</v>
      </c>
    </row>
    <row r="3" spans="1:10" x14ac:dyDescent="0.15">
      <c r="A3" t="s">
        <v>31</v>
      </c>
      <c r="B3" t="s">
        <v>32</v>
      </c>
      <c r="D3" t="s">
        <v>28</v>
      </c>
      <c r="E3" t="s">
        <v>29</v>
      </c>
      <c r="F3">
        <v>40</v>
      </c>
      <c r="G3" t="s">
        <v>30</v>
      </c>
      <c r="H3" t="s">
        <v>30</v>
      </c>
      <c r="I3" t="s">
        <v>30</v>
      </c>
      <c r="J3" t="s">
        <v>30</v>
      </c>
    </row>
    <row r="4" spans="1:10" x14ac:dyDescent="0.15">
      <c r="A4" t="s">
        <v>33</v>
      </c>
      <c r="B4" t="s">
        <v>34</v>
      </c>
      <c r="D4" t="s">
        <v>35</v>
      </c>
      <c r="F4">
        <v>20</v>
      </c>
      <c r="G4" t="s">
        <v>30</v>
      </c>
      <c r="H4" t="s">
        <v>36</v>
      </c>
      <c r="I4" t="s">
        <v>30</v>
      </c>
      <c r="J4" t="s">
        <v>36</v>
      </c>
    </row>
    <row r="5" spans="1:10" x14ac:dyDescent="0.15">
      <c r="A5" t="s">
        <v>37</v>
      </c>
      <c r="B5" t="s">
        <v>38</v>
      </c>
      <c r="D5" t="s">
        <v>35</v>
      </c>
      <c r="F5">
        <v>1000</v>
      </c>
      <c r="G5" t="s">
        <v>30</v>
      </c>
      <c r="H5" t="s">
        <v>36</v>
      </c>
      <c r="I5" t="s">
        <v>36</v>
      </c>
      <c r="J5" t="s">
        <v>36</v>
      </c>
    </row>
    <row r="6" spans="1:10" x14ac:dyDescent="0.15">
      <c r="A6" t="s">
        <v>39</v>
      </c>
      <c r="B6" t="s">
        <v>40</v>
      </c>
      <c r="D6" t="s">
        <v>41</v>
      </c>
      <c r="E6" t="s">
        <v>42</v>
      </c>
      <c r="F6">
        <v>210</v>
      </c>
      <c r="G6" t="s">
        <v>30</v>
      </c>
      <c r="H6" t="s">
        <v>30</v>
      </c>
      <c r="I6" t="s">
        <v>36</v>
      </c>
      <c r="J6" t="s">
        <v>30</v>
      </c>
    </row>
    <row r="7" spans="1:10" x14ac:dyDescent="0.15">
      <c r="A7" t="s">
        <v>162</v>
      </c>
      <c r="B7" t="s">
        <v>43</v>
      </c>
      <c r="D7" t="s">
        <v>41</v>
      </c>
      <c r="E7" t="s">
        <v>42</v>
      </c>
      <c r="F7">
        <v>1</v>
      </c>
      <c r="G7" t="s">
        <v>30</v>
      </c>
      <c r="H7" t="s">
        <v>30</v>
      </c>
      <c r="I7" t="s">
        <v>36</v>
      </c>
      <c r="J7" t="s">
        <v>30</v>
      </c>
    </row>
    <row r="8" spans="1:10" x14ac:dyDescent="0.15">
      <c r="A8" t="s">
        <v>44</v>
      </c>
      <c r="B8" t="s">
        <v>45</v>
      </c>
      <c r="D8" t="s">
        <v>41</v>
      </c>
      <c r="E8" t="s">
        <v>42</v>
      </c>
      <c r="F8">
        <v>275</v>
      </c>
      <c r="G8" t="s">
        <v>30</v>
      </c>
      <c r="H8" t="s">
        <v>30</v>
      </c>
      <c r="I8" t="s">
        <v>36</v>
      </c>
      <c r="J8" t="s">
        <v>30</v>
      </c>
    </row>
    <row r="9" spans="1:10" x14ac:dyDescent="0.15">
      <c r="A9" t="s">
        <v>46</v>
      </c>
      <c r="B9" t="s">
        <v>47</v>
      </c>
      <c r="D9" t="s">
        <v>41</v>
      </c>
      <c r="E9" t="s">
        <v>42</v>
      </c>
      <c r="F9">
        <v>95</v>
      </c>
      <c r="G9" t="s">
        <v>30</v>
      </c>
      <c r="H9" t="s">
        <v>30</v>
      </c>
      <c r="I9" t="s">
        <v>36</v>
      </c>
      <c r="J9" t="s">
        <v>30</v>
      </c>
    </row>
    <row r="10" spans="1:10" x14ac:dyDescent="0.15">
      <c r="A10" t="s">
        <v>48</v>
      </c>
      <c r="B10" t="s">
        <v>49</v>
      </c>
      <c r="D10" t="s">
        <v>41</v>
      </c>
      <c r="E10" t="s">
        <v>42</v>
      </c>
      <c r="F10">
        <v>65</v>
      </c>
      <c r="G10" t="s">
        <v>30</v>
      </c>
      <c r="H10" t="s">
        <v>30</v>
      </c>
      <c r="I10" t="s">
        <v>36</v>
      </c>
      <c r="J10" t="s">
        <v>30</v>
      </c>
    </row>
    <row r="11" spans="1:10" x14ac:dyDescent="0.15">
      <c r="A11" t="s">
        <v>50</v>
      </c>
      <c r="B11" t="s">
        <v>51</v>
      </c>
      <c r="D11" t="s">
        <v>41</v>
      </c>
      <c r="E11" t="s">
        <v>42</v>
      </c>
      <c r="F11">
        <v>40</v>
      </c>
      <c r="G11" t="s">
        <v>30</v>
      </c>
      <c r="H11" t="s">
        <v>30</v>
      </c>
      <c r="I11" t="s">
        <v>36</v>
      </c>
      <c r="J11" t="s">
        <v>30</v>
      </c>
    </row>
    <row r="12" spans="1:10" x14ac:dyDescent="0.15">
      <c r="A12" t="s">
        <v>52</v>
      </c>
      <c r="B12" t="s">
        <v>53</v>
      </c>
      <c r="D12" t="s">
        <v>54</v>
      </c>
      <c r="E12" t="s">
        <v>55</v>
      </c>
      <c r="F12">
        <v>10</v>
      </c>
      <c r="G12" t="s">
        <v>30</v>
      </c>
      <c r="H12" t="s">
        <v>30</v>
      </c>
      <c r="I12" t="s">
        <v>36</v>
      </c>
      <c r="J12" t="s">
        <v>30</v>
      </c>
    </row>
    <row r="13" spans="1:10" x14ac:dyDescent="0.15">
      <c r="A13" t="s">
        <v>56</v>
      </c>
      <c r="B13" t="s">
        <v>57</v>
      </c>
      <c r="D13" t="s">
        <v>58</v>
      </c>
      <c r="E13" t="s">
        <v>59</v>
      </c>
      <c r="F13">
        <v>25</v>
      </c>
      <c r="G13" t="s">
        <v>30</v>
      </c>
      <c r="H13" t="s">
        <v>30</v>
      </c>
      <c r="I13" t="s">
        <v>30</v>
      </c>
      <c r="J13" t="s">
        <v>30</v>
      </c>
    </row>
    <row r="14" spans="1:10" x14ac:dyDescent="0.15">
      <c r="A14" t="s">
        <v>60</v>
      </c>
      <c r="B14" t="s">
        <v>61</v>
      </c>
      <c r="D14" t="s">
        <v>62</v>
      </c>
      <c r="E14" t="s">
        <v>59</v>
      </c>
      <c r="F14">
        <v>75</v>
      </c>
      <c r="G14" t="s">
        <v>30</v>
      </c>
      <c r="H14" t="s">
        <v>30</v>
      </c>
      <c r="I14" t="s">
        <v>36</v>
      </c>
      <c r="J14" t="s">
        <v>30</v>
      </c>
    </row>
    <row r="15" spans="1:10" x14ac:dyDescent="0.15">
      <c r="A15" t="s">
        <v>63</v>
      </c>
      <c r="B15" t="s">
        <v>64</v>
      </c>
      <c r="D15" t="s">
        <v>54</v>
      </c>
      <c r="E15" t="s">
        <v>59</v>
      </c>
      <c r="F15">
        <v>40</v>
      </c>
      <c r="G15" t="s">
        <v>30</v>
      </c>
      <c r="H15" t="s">
        <v>30</v>
      </c>
      <c r="I15" t="s">
        <v>36</v>
      </c>
      <c r="J15" t="s">
        <v>30</v>
      </c>
    </row>
    <row r="16" spans="1:10" x14ac:dyDescent="0.15">
      <c r="A16" t="s">
        <v>65</v>
      </c>
      <c r="B16" t="s">
        <v>66</v>
      </c>
      <c r="D16" t="s">
        <v>35</v>
      </c>
      <c r="E16" t="s">
        <v>67</v>
      </c>
      <c r="F16">
        <v>155</v>
      </c>
      <c r="G16" t="s">
        <v>30</v>
      </c>
      <c r="H16" t="s">
        <v>30</v>
      </c>
      <c r="I16" t="s">
        <v>30</v>
      </c>
      <c r="J16" t="s">
        <v>30</v>
      </c>
    </row>
    <row r="17" spans="1:10" x14ac:dyDescent="0.15">
      <c r="A17" t="s">
        <v>68</v>
      </c>
      <c r="B17" t="s">
        <v>69</v>
      </c>
      <c r="D17" t="s">
        <v>28</v>
      </c>
      <c r="F17">
        <v>10</v>
      </c>
      <c r="G17" t="s">
        <v>30</v>
      </c>
      <c r="H17" t="s">
        <v>36</v>
      </c>
      <c r="I17" t="s">
        <v>36</v>
      </c>
      <c r="J17" t="s">
        <v>30</v>
      </c>
    </row>
    <row r="18" spans="1:10" x14ac:dyDescent="0.15">
      <c r="A18" t="s">
        <v>70</v>
      </c>
      <c r="B18" t="s">
        <v>71</v>
      </c>
      <c r="D18" t="s">
        <v>62</v>
      </c>
      <c r="E18" t="s">
        <v>59</v>
      </c>
      <c r="F18">
        <v>30</v>
      </c>
      <c r="G18" t="s">
        <v>30</v>
      </c>
      <c r="H18" t="s">
        <v>30</v>
      </c>
      <c r="I18" t="s">
        <v>30</v>
      </c>
      <c r="J18" t="s">
        <v>30</v>
      </c>
    </row>
    <row r="19" spans="1:10" x14ac:dyDescent="0.15">
      <c r="A19" t="s">
        <v>72</v>
      </c>
      <c r="B19" t="s">
        <v>73</v>
      </c>
      <c r="D19" t="s">
        <v>28</v>
      </c>
      <c r="E19" t="s">
        <v>29</v>
      </c>
      <c r="F19">
        <v>10</v>
      </c>
      <c r="G19" t="s">
        <v>30</v>
      </c>
      <c r="H19" t="s">
        <v>30</v>
      </c>
      <c r="I19" t="s">
        <v>30</v>
      </c>
      <c r="J19" t="s">
        <v>30</v>
      </c>
    </row>
    <row r="20" spans="1:10" x14ac:dyDescent="0.15">
      <c r="A20" t="s">
        <v>74</v>
      </c>
      <c r="B20" t="s">
        <v>75</v>
      </c>
      <c r="D20" t="s">
        <v>28</v>
      </c>
      <c r="E20" t="s">
        <v>29</v>
      </c>
      <c r="F20">
        <v>40</v>
      </c>
      <c r="G20" t="s">
        <v>30</v>
      </c>
      <c r="H20" t="s">
        <v>30</v>
      </c>
      <c r="I20" t="s">
        <v>30</v>
      </c>
      <c r="J20" t="s">
        <v>30</v>
      </c>
    </row>
    <row r="21" spans="1:10" x14ac:dyDescent="0.15">
      <c r="A21" t="s">
        <v>76</v>
      </c>
      <c r="B21" t="s">
        <v>77</v>
      </c>
      <c r="D21" t="s">
        <v>28</v>
      </c>
      <c r="E21" t="s">
        <v>59</v>
      </c>
      <c r="F21">
        <v>10</v>
      </c>
      <c r="G21" t="s">
        <v>30</v>
      </c>
      <c r="H21" t="s">
        <v>30</v>
      </c>
      <c r="I21" t="s">
        <v>30</v>
      </c>
      <c r="J21" t="s">
        <v>30</v>
      </c>
    </row>
    <row r="22" spans="1:10" x14ac:dyDescent="0.15">
      <c r="A22" t="s">
        <v>78</v>
      </c>
      <c r="B22" t="s">
        <v>79</v>
      </c>
      <c r="D22" t="s">
        <v>54</v>
      </c>
      <c r="E22" t="s">
        <v>55</v>
      </c>
      <c r="F22">
        <v>10</v>
      </c>
      <c r="G22" t="s">
        <v>30</v>
      </c>
      <c r="H22" t="s">
        <v>30</v>
      </c>
      <c r="I22" t="s">
        <v>36</v>
      </c>
      <c r="J22" t="s">
        <v>30</v>
      </c>
    </row>
    <row r="23" spans="1:10" x14ac:dyDescent="0.15">
      <c r="A23" t="s">
        <v>80</v>
      </c>
      <c r="B23" t="s">
        <v>81</v>
      </c>
      <c r="D23" t="s">
        <v>82</v>
      </c>
      <c r="F23">
        <v>10</v>
      </c>
      <c r="G23" t="s">
        <v>30</v>
      </c>
      <c r="H23" t="s">
        <v>36</v>
      </c>
      <c r="I23" t="s">
        <v>36</v>
      </c>
      <c r="J23" t="s">
        <v>30</v>
      </c>
    </row>
    <row r="24" spans="1:10" x14ac:dyDescent="0.15">
      <c r="A24" t="s">
        <v>83</v>
      </c>
      <c r="B24" t="s">
        <v>161</v>
      </c>
      <c r="D24" t="s">
        <v>28</v>
      </c>
      <c r="E24" t="s">
        <v>29</v>
      </c>
      <c r="F24">
        <v>7</v>
      </c>
      <c r="G24" t="s">
        <v>30</v>
      </c>
      <c r="H24" t="s">
        <v>30</v>
      </c>
      <c r="I24" t="s">
        <v>30</v>
      </c>
      <c r="J24" t="s">
        <v>30</v>
      </c>
    </row>
    <row r="25" spans="1:10" x14ac:dyDescent="0.15">
      <c r="A25" t="s">
        <v>84</v>
      </c>
      <c r="B25" t="s">
        <v>85</v>
      </c>
      <c r="D25" t="s">
        <v>28</v>
      </c>
      <c r="E25" t="s">
        <v>29</v>
      </c>
      <c r="F25">
        <v>40</v>
      </c>
      <c r="G25" t="s">
        <v>30</v>
      </c>
      <c r="H25" t="s">
        <v>30</v>
      </c>
      <c r="I25" t="s">
        <v>30</v>
      </c>
      <c r="J25" t="s">
        <v>30</v>
      </c>
    </row>
    <row r="26" spans="1:10" x14ac:dyDescent="0.15">
      <c r="A26" t="s">
        <v>86</v>
      </c>
      <c r="B26" t="s">
        <v>87</v>
      </c>
      <c r="D26" t="s">
        <v>28</v>
      </c>
      <c r="E26" t="s">
        <v>29</v>
      </c>
      <c r="F26">
        <v>7</v>
      </c>
      <c r="G26" t="s">
        <v>30</v>
      </c>
      <c r="H26" t="s">
        <v>30</v>
      </c>
      <c r="I26" t="s">
        <v>30</v>
      </c>
      <c r="J26" t="s">
        <v>30</v>
      </c>
    </row>
    <row r="27" spans="1:10" x14ac:dyDescent="0.15">
      <c r="A27" t="s">
        <v>88</v>
      </c>
      <c r="B27" t="s">
        <v>89</v>
      </c>
      <c r="D27" t="s">
        <v>28</v>
      </c>
      <c r="E27" t="s">
        <v>29</v>
      </c>
      <c r="F27">
        <v>40</v>
      </c>
      <c r="G27" t="s">
        <v>30</v>
      </c>
      <c r="H27" t="s">
        <v>30</v>
      </c>
      <c r="I27" t="s">
        <v>30</v>
      </c>
      <c r="J27" t="s">
        <v>30</v>
      </c>
    </row>
    <row r="28" spans="1:10" x14ac:dyDescent="0.15">
      <c r="A28" t="s">
        <v>90</v>
      </c>
      <c r="B28" t="s">
        <v>91</v>
      </c>
      <c r="D28" t="s">
        <v>92</v>
      </c>
      <c r="E28" t="s">
        <v>93</v>
      </c>
      <c r="F28">
        <v>55</v>
      </c>
      <c r="G28" t="s">
        <v>30</v>
      </c>
      <c r="H28" t="s">
        <v>30</v>
      </c>
      <c r="I28" t="s">
        <v>30</v>
      </c>
      <c r="J28" t="s">
        <v>30</v>
      </c>
    </row>
    <row r="29" spans="1:10" x14ac:dyDescent="0.15">
      <c r="A29" t="s">
        <v>94</v>
      </c>
      <c r="B29" t="s">
        <v>95</v>
      </c>
      <c r="D29" t="s">
        <v>92</v>
      </c>
      <c r="E29" t="s">
        <v>93</v>
      </c>
      <c r="F29">
        <v>20</v>
      </c>
      <c r="G29" t="s">
        <v>30</v>
      </c>
      <c r="H29" t="s">
        <v>30</v>
      </c>
      <c r="I29" t="s">
        <v>30</v>
      </c>
      <c r="J29" t="s">
        <v>30</v>
      </c>
    </row>
    <row r="30" spans="1:10" x14ac:dyDescent="0.15">
      <c r="A30" t="s">
        <v>96</v>
      </c>
      <c r="B30" t="s">
        <v>97</v>
      </c>
      <c r="D30" t="s">
        <v>41</v>
      </c>
      <c r="E30" t="s">
        <v>42</v>
      </c>
      <c r="F30">
        <v>7</v>
      </c>
      <c r="G30" t="s">
        <v>30</v>
      </c>
      <c r="H30" t="s">
        <v>30</v>
      </c>
      <c r="I30" t="s">
        <v>36</v>
      </c>
      <c r="J30" t="s">
        <v>30</v>
      </c>
    </row>
    <row r="31" spans="1:10" x14ac:dyDescent="0.15">
      <c r="A31" t="s">
        <v>98</v>
      </c>
      <c r="B31" t="s">
        <v>99</v>
      </c>
      <c r="D31" t="s">
        <v>100</v>
      </c>
      <c r="E31" t="s">
        <v>59</v>
      </c>
      <c r="F31">
        <v>10</v>
      </c>
      <c r="G31" t="s">
        <v>30</v>
      </c>
      <c r="H31" t="s">
        <v>30</v>
      </c>
      <c r="I31" t="s">
        <v>36</v>
      </c>
      <c r="J31" t="s">
        <v>30</v>
      </c>
    </row>
    <row r="32" spans="1:10" x14ac:dyDescent="0.15">
      <c r="A32" t="s">
        <v>101</v>
      </c>
      <c r="B32" t="s">
        <v>102</v>
      </c>
      <c r="D32" t="s">
        <v>28</v>
      </c>
      <c r="E32" t="s">
        <v>59</v>
      </c>
      <c r="F32">
        <v>10</v>
      </c>
      <c r="G32" t="s">
        <v>30</v>
      </c>
      <c r="H32" t="s">
        <v>30</v>
      </c>
      <c r="I32" t="s">
        <v>30</v>
      </c>
      <c r="J32" t="s">
        <v>30</v>
      </c>
    </row>
    <row r="33" spans="1:10" x14ac:dyDescent="0.15">
      <c r="A33" t="s">
        <v>103</v>
      </c>
      <c r="B33" t="s">
        <v>104</v>
      </c>
      <c r="D33" t="s">
        <v>92</v>
      </c>
      <c r="E33" t="s">
        <v>93</v>
      </c>
      <c r="F33">
        <v>55</v>
      </c>
      <c r="G33" t="s">
        <v>30</v>
      </c>
      <c r="H33" t="s">
        <v>30</v>
      </c>
      <c r="I33" t="s">
        <v>30</v>
      </c>
      <c r="J33" t="s">
        <v>30</v>
      </c>
    </row>
    <row r="34" spans="1:10" x14ac:dyDescent="0.15">
      <c r="A34" t="s">
        <v>105</v>
      </c>
      <c r="B34" t="s">
        <v>106</v>
      </c>
      <c r="D34" t="s">
        <v>92</v>
      </c>
      <c r="E34" t="s">
        <v>93</v>
      </c>
      <c r="F34">
        <v>20</v>
      </c>
      <c r="G34" t="s">
        <v>30</v>
      </c>
      <c r="H34" t="s">
        <v>30</v>
      </c>
      <c r="I34" t="s">
        <v>30</v>
      </c>
      <c r="J34" t="s">
        <v>30</v>
      </c>
    </row>
    <row r="35" spans="1:10" x14ac:dyDescent="0.15">
      <c r="A35" t="s">
        <v>107</v>
      </c>
      <c r="B35" t="s">
        <v>108</v>
      </c>
      <c r="D35" t="s">
        <v>35</v>
      </c>
      <c r="E35" t="s">
        <v>67</v>
      </c>
      <c r="F35">
        <v>219</v>
      </c>
      <c r="G35" t="s">
        <v>30</v>
      </c>
      <c r="H35" t="s">
        <v>36</v>
      </c>
      <c r="I35" t="s">
        <v>30</v>
      </c>
      <c r="J35" t="s">
        <v>30</v>
      </c>
    </row>
    <row r="36" spans="1:10" x14ac:dyDescent="0.15">
      <c r="A36" t="s">
        <v>109</v>
      </c>
      <c r="B36" t="s">
        <v>110</v>
      </c>
      <c r="D36" t="s">
        <v>35</v>
      </c>
      <c r="E36" t="s">
        <v>67</v>
      </c>
      <c r="F36">
        <v>95</v>
      </c>
      <c r="G36" t="s">
        <v>30</v>
      </c>
      <c r="H36" t="s">
        <v>30</v>
      </c>
      <c r="I36" t="s">
        <v>30</v>
      </c>
      <c r="J36" t="s">
        <v>30</v>
      </c>
    </row>
    <row r="37" spans="1:10" x14ac:dyDescent="0.15">
      <c r="A37" t="s">
        <v>111</v>
      </c>
      <c r="B37" t="s">
        <v>112</v>
      </c>
      <c r="D37" t="s">
        <v>35</v>
      </c>
      <c r="E37" t="s">
        <v>67</v>
      </c>
      <c r="F37">
        <v>80</v>
      </c>
      <c r="G37" t="s">
        <v>30</v>
      </c>
      <c r="H37" t="s">
        <v>30</v>
      </c>
      <c r="I37" t="s">
        <v>30</v>
      </c>
      <c r="J37" t="s">
        <v>30</v>
      </c>
    </row>
    <row r="38" spans="1:10" x14ac:dyDescent="0.15">
      <c r="A38" t="s">
        <v>113</v>
      </c>
      <c r="B38" t="s">
        <v>114</v>
      </c>
      <c r="D38" t="s">
        <v>41</v>
      </c>
      <c r="E38" t="s">
        <v>42</v>
      </c>
      <c r="F38">
        <v>3</v>
      </c>
      <c r="G38" t="s">
        <v>30</v>
      </c>
      <c r="H38" t="s">
        <v>30</v>
      </c>
      <c r="I38" t="s">
        <v>36</v>
      </c>
      <c r="J38" t="s">
        <v>30</v>
      </c>
    </row>
    <row r="39" spans="1:10" x14ac:dyDescent="0.15">
      <c r="A39" t="s">
        <v>115</v>
      </c>
      <c r="B39" t="s">
        <v>116</v>
      </c>
      <c r="D39" t="s">
        <v>41</v>
      </c>
      <c r="E39" t="s">
        <v>42</v>
      </c>
      <c r="F39">
        <v>10</v>
      </c>
      <c r="G39" t="s">
        <v>30</v>
      </c>
      <c r="H39" t="s">
        <v>30</v>
      </c>
      <c r="I39" t="s">
        <v>36</v>
      </c>
      <c r="J39" t="s">
        <v>30</v>
      </c>
    </row>
    <row r="40" spans="1:10" x14ac:dyDescent="0.15">
      <c r="A40" t="s">
        <v>117</v>
      </c>
      <c r="B40" t="s">
        <v>118</v>
      </c>
      <c r="D40" t="s">
        <v>41</v>
      </c>
      <c r="E40" t="s">
        <v>42</v>
      </c>
      <c r="F40">
        <v>15</v>
      </c>
      <c r="G40" t="s">
        <v>30</v>
      </c>
      <c r="H40" t="s">
        <v>30</v>
      </c>
      <c r="I40" t="s">
        <v>36</v>
      </c>
      <c r="J40" t="s">
        <v>30</v>
      </c>
    </row>
    <row r="41" spans="1:10" x14ac:dyDescent="0.15">
      <c r="A41" t="s">
        <v>119</v>
      </c>
      <c r="B41" t="s">
        <v>120</v>
      </c>
      <c r="D41" t="s">
        <v>121</v>
      </c>
      <c r="E41" t="s">
        <v>59</v>
      </c>
      <c r="F41">
        <v>7</v>
      </c>
      <c r="G41" t="s">
        <v>30</v>
      </c>
      <c r="H41" t="s">
        <v>30</v>
      </c>
      <c r="I41" t="s">
        <v>36</v>
      </c>
      <c r="J41" t="s">
        <v>30</v>
      </c>
    </row>
    <row r="42" spans="1:10" x14ac:dyDescent="0.15">
      <c r="A42" t="s">
        <v>122</v>
      </c>
      <c r="B42" t="s">
        <v>123</v>
      </c>
      <c r="D42" t="s">
        <v>35</v>
      </c>
      <c r="E42" t="s">
        <v>67</v>
      </c>
      <c r="F42">
        <v>25</v>
      </c>
      <c r="G42" t="s">
        <v>30</v>
      </c>
      <c r="H42" t="s">
        <v>30</v>
      </c>
      <c r="I42" t="s">
        <v>30</v>
      </c>
      <c r="J42" t="s">
        <v>30</v>
      </c>
    </row>
    <row r="43" spans="1:10" x14ac:dyDescent="0.15">
      <c r="A43" t="s">
        <v>124</v>
      </c>
      <c r="B43" t="s">
        <v>125</v>
      </c>
      <c r="D43" t="s">
        <v>35</v>
      </c>
      <c r="E43" t="s">
        <v>67</v>
      </c>
      <c r="F43">
        <v>145</v>
      </c>
      <c r="G43" t="s">
        <v>30</v>
      </c>
      <c r="H43" t="s">
        <v>30</v>
      </c>
      <c r="I43" t="s">
        <v>30</v>
      </c>
      <c r="J43" t="s">
        <v>30</v>
      </c>
    </row>
    <row r="44" spans="1:10" x14ac:dyDescent="0.15">
      <c r="A44" t="s">
        <v>126</v>
      </c>
      <c r="B44" t="s">
        <v>127</v>
      </c>
      <c r="D44" t="s">
        <v>58</v>
      </c>
      <c r="F44">
        <v>0</v>
      </c>
      <c r="G44" t="s">
        <v>30</v>
      </c>
      <c r="H44" t="s">
        <v>36</v>
      </c>
      <c r="I44" t="s">
        <v>36</v>
      </c>
      <c r="J44" t="s">
        <v>36</v>
      </c>
    </row>
    <row r="45" spans="1:10" x14ac:dyDescent="0.15">
      <c r="A45" t="s">
        <v>128</v>
      </c>
      <c r="B45" t="s">
        <v>129</v>
      </c>
      <c r="D45" t="s">
        <v>28</v>
      </c>
      <c r="F45">
        <v>50</v>
      </c>
      <c r="G45" t="s">
        <v>30</v>
      </c>
      <c r="H45" t="s">
        <v>36</v>
      </c>
      <c r="I45" t="s">
        <v>36</v>
      </c>
      <c r="J45" t="s">
        <v>30</v>
      </c>
    </row>
    <row r="46" spans="1:10" x14ac:dyDescent="0.15">
      <c r="A46" t="s">
        <v>130</v>
      </c>
      <c r="D46" t="s">
        <v>35</v>
      </c>
      <c r="F46">
        <v>1000</v>
      </c>
      <c r="G46" t="s">
        <v>30</v>
      </c>
      <c r="H46" t="s">
        <v>36</v>
      </c>
      <c r="I46" t="s">
        <v>36</v>
      </c>
      <c r="J46" t="s">
        <v>36</v>
      </c>
    </row>
    <row r="47" spans="1:10" x14ac:dyDescent="0.15">
      <c r="A47" t="s">
        <v>131</v>
      </c>
      <c r="B47" t="s">
        <v>132</v>
      </c>
      <c r="D47" t="s">
        <v>92</v>
      </c>
      <c r="E47" t="s">
        <v>93</v>
      </c>
      <c r="F47">
        <v>55</v>
      </c>
      <c r="G47" t="s">
        <v>30</v>
      </c>
      <c r="H47" t="s">
        <v>30</v>
      </c>
      <c r="I47" t="s">
        <v>30</v>
      </c>
      <c r="J47" t="s">
        <v>30</v>
      </c>
    </row>
    <row r="48" spans="1:10" x14ac:dyDescent="0.15">
      <c r="A48" t="s">
        <v>163</v>
      </c>
      <c r="B48" t="s">
        <v>133</v>
      </c>
      <c r="D48" t="s">
        <v>92</v>
      </c>
      <c r="E48" t="s">
        <v>93</v>
      </c>
      <c r="F48">
        <v>20</v>
      </c>
      <c r="G48" t="s">
        <v>30</v>
      </c>
      <c r="H48" t="s">
        <v>30</v>
      </c>
      <c r="I48" t="s">
        <v>30</v>
      </c>
      <c r="J48" t="s">
        <v>30</v>
      </c>
    </row>
    <row r="49" spans="1:10" x14ac:dyDescent="0.15">
      <c r="A49" t="s">
        <v>134</v>
      </c>
      <c r="B49" t="s">
        <v>135</v>
      </c>
      <c r="D49" t="s">
        <v>28</v>
      </c>
      <c r="E49" t="s">
        <v>29</v>
      </c>
      <c r="F49">
        <v>7</v>
      </c>
      <c r="G49" t="s">
        <v>30</v>
      </c>
      <c r="H49" t="s">
        <v>30</v>
      </c>
      <c r="I49" t="s">
        <v>30</v>
      </c>
      <c r="J49" t="s">
        <v>30</v>
      </c>
    </row>
    <row r="50" spans="1:10" x14ac:dyDescent="0.15">
      <c r="A50" t="s">
        <v>136</v>
      </c>
      <c r="B50" t="s">
        <v>137</v>
      </c>
      <c r="D50" t="s">
        <v>28</v>
      </c>
      <c r="E50" t="s">
        <v>29</v>
      </c>
      <c r="F50">
        <v>40</v>
      </c>
      <c r="G50" t="s">
        <v>30</v>
      </c>
      <c r="H50" t="s">
        <v>30</v>
      </c>
      <c r="I50" t="s">
        <v>30</v>
      </c>
      <c r="J50" t="s">
        <v>30</v>
      </c>
    </row>
    <row r="51" spans="1:10" x14ac:dyDescent="0.15">
      <c r="A51" t="s">
        <v>138</v>
      </c>
      <c r="B51" t="s">
        <v>139</v>
      </c>
      <c r="D51" t="s">
        <v>28</v>
      </c>
      <c r="F51">
        <v>10</v>
      </c>
      <c r="G51" t="s">
        <v>30</v>
      </c>
      <c r="H51" t="s">
        <v>36</v>
      </c>
      <c r="I51" t="s">
        <v>36</v>
      </c>
      <c r="J51" t="s">
        <v>30</v>
      </c>
    </row>
    <row r="52" spans="1:10" x14ac:dyDescent="0.15">
      <c r="A52" t="s">
        <v>140</v>
      </c>
      <c r="B52" s="24" t="s">
        <v>1014</v>
      </c>
      <c r="D52" t="s">
        <v>142</v>
      </c>
      <c r="E52" t="s">
        <v>59</v>
      </c>
      <c r="F52">
        <v>10</v>
      </c>
      <c r="G52" t="s">
        <v>30</v>
      </c>
      <c r="H52" t="s">
        <v>30</v>
      </c>
      <c r="I52" t="s">
        <v>36</v>
      </c>
      <c r="J52" t="s">
        <v>30</v>
      </c>
    </row>
    <row r="53" spans="1:10" x14ac:dyDescent="0.15">
      <c r="A53" t="s">
        <v>143</v>
      </c>
      <c r="B53" t="s">
        <v>144</v>
      </c>
      <c r="D53" t="s">
        <v>35</v>
      </c>
      <c r="E53" t="s">
        <v>67</v>
      </c>
      <c r="F53">
        <v>250</v>
      </c>
      <c r="G53" t="s">
        <v>30</v>
      </c>
      <c r="H53" t="s">
        <v>30</v>
      </c>
      <c r="I53" t="s">
        <v>30</v>
      </c>
      <c r="J53" t="s">
        <v>30</v>
      </c>
    </row>
    <row r="54" spans="1:10" x14ac:dyDescent="0.15">
      <c r="A54" t="s">
        <v>145</v>
      </c>
      <c r="B54" t="s">
        <v>146</v>
      </c>
      <c r="D54" t="s">
        <v>41</v>
      </c>
      <c r="E54" t="s">
        <v>42</v>
      </c>
      <c r="F54">
        <v>5</v>
      </c>
      <c r="G54" t="s">
        <v>30</v>
      </c>
      <c r="H54" t="s">
        <v>30</v>
      </c>
      <c r="I54" t="s">
        <v>36</v>
      </c>
      <c r="J54" t="s">
        <v>30</v>
      </c>
    </row>
    <row r="55" spans="1:10" x14ac:dyDescent="0.15">
      <c r="A55" t="s">
        <v>147</v>
      </c>
      <c r="B55" t="s">
        <v>148</v>
      </c>
      <c r="D55" t="s">
        <v>92</v>
      </c>
      <c r="E55" t="s">
        <v>93</v>
      </c>
      <c r="F55">
        <v>55</v>
      </c>
      <c r="G55" t="s">
        <v>30</v>
      </c>
      <c r="H55" t="s">
        <v>30</v>
      </c>
      <c r="I55" t="s">
        <v>30</v>
      </c>
      <c r="J55" t="s">
        <v>30</v>
      </c>
    </row>
    <row r="56" spans="1:10" x14ac:dyDescent="0.15">
      <c r="A56" t="s">
        <v>149</v>
      </c>
      <c r="B56" t="s">
        <v>150</v>
      </c>
      <c r="D56" t="s">
        <v>92</v>
      </c>
      <c r="E56" t="s">
        <v>93</v>
      </c>
      <c r="F56">
        <v>20</v>
      </c>
      <c r="G56" t="s">
        <v>30</v>
      </c>
      <c r="H56" t="s">
        <v>30</v>
      </c>
      <c r="I56" t="s">
        <v>30</v>
      </c>
      <c r="J56" t="s">
        <v>30</v>
      </c>
    </row>
    <row r="57" spans="1:10" x14ac:dyDescent="0.15">
      <c r="A57" t="s">
        <v>151</v>
      </c>
      <c r="B57" t="s">
        <v>164</v>
      </c>
      <c r="D57" t="s">
        <v>41</v>
      </c>
      <c r="E57" t="s">
        <v>42</v>
      </c>
      <c r="F57">
        <v>25</v>
      </c>
      <c r="G57" t="s">
        <v>30</v>
      </c>
      <c r="H57" t="s">
        <v>30</v>
      </c>
      <c r="I57" t="s">
        <v>36</v>
      </c>
      <c r="J57" t="s">
        <v>30</v>
      </c>
    </row>
    <row r="58" spans="1:10" x14ac:dyDescent="0.15">
      <c r="A58" t="s">
        <v>152</v>
      </c>
      <c r="B58" t="s">
        <v>153</v>
      </c>
      <c r="D58" t="s">
        <v>35</v>
      </c>
      <c r="E58" t="s">
        <v>67</v>
      </c>
      <c r="F58">
        <v>345</v>
      </c>
      <c r="G58" t="s">
        <v>30</v>
      </c>
      <c r="H58" t="s">
        <v>30</v>
      </c>
      <c r="I58" t="s">
        <v>30</v>
      </c>
      <c r="J58" t="s">
        <v>30</v>
      </c>
    </row>
    <row r="59" spans="1:10" x14ac:dyDescent="0.15">
      <c r="A59" t="s">
        <v>154</v>
      </c>
      <c r="B59" t="s">
        <v>155</v>
      </c>
      <c r="D59" t="s">
        <v>41</v>
      </c>
      <c r="E59" t="s">
        <v>42</v>
      </c>
      <c r="F59">
        <v>20</v>
      </c>
      <c r="G59" t="s">
        <v>30</v>
      </c>
      <c r="H59" t="s">
        <v>30</v>
      </c>
      <c r="I59" t="s">
        <v>36</v>
      </c>
      <c r="J59" t="s">
        <v>30</v>
      </c>
    </row>
    <row r="60" spans="1:10" x14ac:dyDescent="0.15">
      <c r="A60" t="s">
        <v>156</v>
      </c>
      <c r="B60" t="s">
        <v>157</v>
      </c>
      <c r="D60" t="s">
        <v>92</v>
      </c>
      <c r="E60" t="s">
        <v>93</v>
      </c>
      <c r="F60">
        <v>55</v>
      </c>
      <c r="G60" t="s">
        <v>30</v>
      </c>
      <c r="H60" t="s">
        <v>30</v>
      </c>
      <c r="I60" t="s">
        <v>30</v>
      </c>
      <c r="J60" t="s">
        <v>30</v>
      </c>
    </row>
    <row r="61" spans="1:10" x14ac:dyDescent="0.15">
      <c r="A61" t="s">
        <v>158</v>
      </c>
      <c r="B61" t="s">
        <v>159</v>
      </c>
      <c r="D61" t="s">
        <v>92</v>
      </c>
      <c r="E61" t="s">
        <v>93</v>
      </c>
      <c r="F61">
        <v>20</v>
      </c>
      <c r="G61" t="s">
        <v>30</v>
      </c>
      <c r="H61" t="s">
        <v>30</v>
      </c>
      <c r="I61" t="s">
        <v>30</v>
      </c>
      <c r="J61" t="s">
        <v>30</v>
      </c>
    </row>
  </sheetData>
  <autoFilter ref="D1:D61"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N23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28" sqref="F28"/>
    </sheetView>
  </sheetViews>
  <sheetFormatPr defaultRowHeight="13.5" x14ac:dyDescent="0.15"/>
  <cols>
    <col min="1" max="1" width="35" bestFit="1" customWidth="1"/>
    <col min="2" max="2" width="9.375" bestFit="1" customWidth="1"/>
    <col min="3" max="4" width="11.625" bestFit="1" customWidth="1"/>
    <col min="5" max="5" width="12.75" bestFit="1" customWidth="1"/>
    <col min="6" max="6" width="10.375" bestFit="1" customWidth="1"/>
    <col min="7" max="7" width="11.625" bestFit="1" customWidth="1"/>
  </cols>
  <sheetData>
    <row r="1" spans="1:14" x14ac:dyDescent="0.15">
      <c r="B1" t="s">
        <v>601</v>
      </c>
      <c r="C1" t="s">
        <v>596</v>
      </c>
      <c r="D1" t="s">
        <v>597</v>
      </c>
      <c r="E1" t="s">
        <v>598</v>
      </c>
      <c r="F1" t="s">
        <v>599</v>
      </c>
      <c r="G1" t="s">
        <v>600</v>
      </c>
      <c r="I1" s="7" t="s">
        <v>835</v>
      </c>
      <c r="J1" s="7" t="s">
        <v>359</v>
      </c>
      <c r="K1" s="7" t="s">
        <v>357</v>
      </c>
      <c r="L1" s="7" t="s">
        <v>833</v>
      </c>
      <c r="M1" s="7" t="s">
        <v>834</v>
      </c>
      <c r="N1" s="7" t="s">
        <v>355</v>
      </c>
    </row>
    <row r="2" spans="1:14" x14ac:dyDescent="0.15">
      <c r="A2" t="s">
        <v>722</v>
      </c>
      <c r="B2">
        <v>18</v>
      </c>
      <c r="C2">
        <v>0</v>
      </c>
      <c r="D2">
        <v>0</v>
      </c>
      <c r="E2">
        <v>0</v>
      </c>
      <c r="F2">
        <v>0</v>
      </c>
      <c r="G2">
        <v>1000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15">
      <c r="A3" t="s">
        <v>786</v>
      </c>
      <c r="B3">
        <v>119</v>
      </c>
      <c r="C3">
        <v>0</v>
      </c>
      <c r="D3">
        <v>0</v>
      </c>
      <c r="E3">
        <v>0</v>
      </c>
      <c r="F3">
        <v>0</v>
      </c>
      <c r="G3">
        <v>15000</v>
      </c>
      <c r="I3">
        <v>2</v>
      </c>
      <c r="J3">
        <v>310</v>
      </c>
      <c r="K3">
        <v>680</v>
      </c>
      <c r="L3">
        <v>320</v>
      </c>
      <c r="M3">
        <v>500</v>
      </c>
      <c r="N3">
        <v>600</v>
      </c>
    </row>
    <row r="4" spans="1:14" x14ac:dyDescent="0.15">
      <c r="A4" t="s">
        <v>683</v>
      </c>
      <c r="B4">
        <v>7</v>
      </c>
      <c r="C4">
        <v>0</v>
      </c>
      <c r="D4">
        <v>0</v>
      </c>
      <c r="E4">
        <v>0</v>
      </c>
      <c r="F4">
        <v>0</v>
      </c>
      <c r="G4">
        <v>2000</v>
      </c>
      <c r="I4">
        <v>3</v>
      </c>
      <c r="J4">
        <v>420</v>
      </c>
      <c r="K4">
        <v>1040</v>
      </c>
      <c r="L4">
        <v>680</v>
      </c>
      <c r="M4">
        <v>700</v>
      </c>
      <c r="N4">
        <v>1000</v>
      </c>
    </row>
    <row r="5" spans="1:14" x14ac:dyDescent="0.15">
      <c r="A5" t="s">
        <v>733</v>
      </c>
      <c r="B5">
        <v>73</v>
      </c>
      <c r="C5">
        <v>5000</v>
      </c>
      <c r="D5">
        <v>0</v>
      </c>
      <c r="E5">
        <v>0</v>
      </c>
      <c r="F5">
        <v>0</v>
      </c>
      <c r="G5">
        <v>0</v>
      </c>
      <c r="I5">
        <v>4</v>
      </c>
      <c r="J5">
        <v>550</v>
      </c>
      <c r="K5">
        <v>1580</v>
      </c>
      <c r="L5">
        <v>1220</v>
      </c>
      <c r="M5">
        <v>1100</v>
      </c>
      <c r="N5">
        <v>1600</v>
      </c>
    </row>
    <row r="6" spans="1:14" x14ac:dyDescent="0.15">
      <c r="A6" t="s">
        <v>690</v>
      </c>
      <c r="B6">
        <v>65</v>
      </c>
      <c r="C6">
        <v>0</v>
      </c>
      <c r="D6">
        <v>0</v>
      </c>
      <c r="E6">
        <v>0</v>
      </c>
      <c r="F6">
        <v>0</v>
      </c>
      <c r="G6">
        <v>6000</v>
      </c>
      <c r="I6">
        <v>5</v>
      </c>
      <c r="J6">
        <v>870</v>
      </c>
      <c r="K6">
        <v>2300</v>
      </c>
      <c r="L6">
        <v>1940</v>
      </c>
      <c r="M6">
        <v>1700</v>
      </c>
      <c r="N6">
        <v>2400</v>
      </c>
    </row>
    <row r="7" spans="1:14" x14ac:dyDescent="0.15">
      <c r="A7" t="s">
        <v>688</v>
      </c>
      <c r="B7">
        <v>51</v>
      </c>
      <c r="C7">
        <v>0</v>
      </c>
      <c r="D7">
        <v>0</v>
      </c>
      <c r="E7">
        <v>0</v>
      </c>
      <c r="F7">
        <v>0</v>
      </c>
      <c r="G7">
        <v>7000</v>
      </c>
      <c r="I7">
        <v>6</v>
      </c>
      <c r="J7">
        <v>1270</v>
      </c>
      <c r="K7">
        <v>3200</v>
      </c>
      <c r="L7">
        <v>2840</v>
      </c>
      <c r="M7">
        <v>2450</v>
      </c>
      <c r="N7">
        <v>3400</v>
      </c>
    </row>
    <row r="8" spans="1:14" x14ac:dyDescent="0.15">
      <c r="A8" t="s">
        <v>802</v>
      </c>
      <c r="B8">
        <v>151</v>
      </c>
      <c r="C8">
        <v>1000</v>
      </c>
      <c r="D8">
        <v>4000</v>
      </c>
      <c r="E8">
        <v>1000</v>
      </c>
      <c r="F8">
        <v>1000</v>
      </c>
      <c r="G8">
        <v>1000</v>
      </c>
      <c r="I8">
        <v>7</v>
      </c>
      <c r="J8">
        <v>1750</v>
      </c>
      <c r="K8">
        <v>4280</v>
      </c>
      <c r="L8">
        <v>3920</v>
      </c>
      <c r="M8">
        <v>3350</v>
      </c>
      <c r="N8">
        <v>4600</v>
      </c>
    </row>
    <row r="9" spans="1:14" x14ac:dyDescent="0.15">
      <c r="A9" t="s">
        <v>801</v>
      </c>
      <c r="B9">
        <v>152</v>
      </c>
      <c r="C9">
        <v>1000</v>
      </c>
      <c r="D9">
        <v>4000</v>
      </c>
      <c r="E9">
        <v>1000</v>
      </c>
      <c r="F9">
        <v>1000</v>
      </c>
      <c r="G9">
        <v>1000</v>
      </c>
      <c r="I9">
        <v>8</v>
      </c>
      <c r="J9">
        <v>2310</v>
      </c>
      <c r="K9">
        <v>5540</v>
      </c>
      <c r="L9">
        <v>5180</v>
      </c>
      <c r="M9">
        <v>4400</v>
      </c>
      <c r="N9">
        <v>6000</v>
      </c>
    </row>
    <row r="10" spans="1:14" x14ac:dyDescent="0.15">
      <c r="A10" t="s">
        <v>811</v>
      </c>
      <c r="B10">
        <v>156</v>
      </c>
      <c r="C10">
        <v>3000</v>
      </c>
      <c r="D10">
        <v>7000</v>
      </c>
      <c r="E10">
        <v>3000</v>
      </c>
      <c r="F10">
        <v>3000</v>
      </c>
      <c r="G10">
        <v>2500</v>
      </c>
      <c r="I10">
        <v>9</v>
      </c>
      <c r="J10">
        <v>2950</v>
      </c>
      <c r="K10">
        <v>6980</v>
      </c>
      <c r="L10">
        <v>6620</v>
      </c>
      <c r="M10">
        <v>5600</v>
      </c>
      <c r="N10">
        <v>7600</v>
      </c>
    </row>
    <row r="11" spans="1:14" x14ac:dyDescent="0.15">
      <c r="A11" t="s">
        <v>812</v>
      </c>
      <c r="B11">
        <v>176</v>
      </c>
      <c r="C11">
        <v>5000</v>
      </c>
      <c r="D11">
        <v>8500</v>
      </c>
      <c r="E11">
        <v>5000</v>
      </c>
      <c r="F11">
        <v>5000</v>
      </c>
      <c r="G11">
        <v>5000</v>
      </c>
      <c r="I11">
        <v>10</v>
      </c>
      <c r="J11">
        <v>3670</v>
      </c>
      <c r="K11">
        <v>8600</v>
      </c>
      <c r="L11">
        <v>8240</v>
      </c>
      <c r="M11">
        <v>6950</v>
      </c>
      <c r="N11">
        <v>9400</v>
      </c>
    </row>
    <row r="12" spans="1:14" x14ac:dyDescent="0.15">
      <c r="A12" t="s">
        <v>813</v>
      </c>
      <c r="B12">
        <v>188</v>
      </c>
      <c r="C12">
        <v>8000</v>
      </c>
      <c r="D12">
        <v>15000</v>
      </c>
      <c r="E12">
        <v>8000</v>
      </c>
      <c r="F12">
        <v>8000</v>
      </c>
      <c r="G12">
        <v>8000</v>
      </c>
      <c r="I12">
        <v>11</v>
      </c>
      <c r="J12">
        <v>4470</v>
      </c>
      <c r="K12">
        <v>10400</v>
      </c>
      <c r="L12">
        <v>10040</v>
      </c>
      <c r="M12">
        <v>8450</v>
      </c>
      <c r="N12">
        <v>11400</v>
      </c>
    </row>
    <row r="13" spans="1:14" x14ac:dyDescent="0.15">
      <c r="A13" t="s">
        <v>808</v>
      </c>
      <c r="B13">
        <v>157</v>
      </c>
      <c r="C13">
        <v>3000</v>
      </c>
      <c r="D13">
        <v>7000</v>
      </c>
      <c r="E13">
        <v>3000</v>
      </c>
      <c r="F13">
        <v>3000</v>
      </c>
      <c r="G13">
        <v>2500</v>
      </c>
      <c r="I13">
        <v>12</v>
      </c>
      <c r="J13">
        <v>5350</v>
      </c>
      <c r="K13">
        <v>12380</v>
      </c>
      <c r="L13">
        <v>12020</v>
      </c>
      <c r="M13">
        <v>10100</v>
      </c>
      <c r="N13">
        <v>13600</v>
      </c>
    </row>
    <row r="14" spans="1:14" x14ac:dyDescent="0.15">
      <c r="A14" t="s">
        <v>809</v>
      </c>
      <c r="B14">
        <v>177</v>
      </c>
      <c r="C14">
        <v>5000</v>
      </c>
      <c r="D14">
        <v>8500</v>
      </c>
      <c r="E14">
        <v>5000</v>
      </c>
      <c r="F14">
        <v>5000</v>
      </c>
      <c r="G14">
        <v>5000</v>
      </c>
      <c r="I14">
        <v>13</v>
      </c>
      <c r="J14">
        <v>6310</v>
      </c>
      <c r="K14">
        <v>14540</v>
      </c>
      <c r="L14">
        <v>14180</v>
      </c>
      <c r="M14">
        <v>11900</v>
      </c>
      <c r="N14">
        <v>16000</v>
      </c>
    </row>
    <row r="15" spans="1:14" x14ac:dyDescent="0.15">
      <c r="A15" t="s">
        <v>810</v>
      </c>
      <c r="B15">
        <v>186</v>
      </c>
      <c r="C15">
        <v>8000</v>
      </c>
      <c r="D15">
        <v>15000</v>
      </c>
      <c r="E15">
        <v>8000</v>
      </c>
      <c r="F15">
        <v>8000</v>
      </c>
      <c r="G15">
        <v>8000</v>
      </c>
      <c r="I15">
        <v>14</v>
      </c>
      <c r="J15">
        <v>7350</v>
      </c>
      <c r="K15">
        <v>16880</v>
      </c>
      <c r="L15">
        <v>16520</v>
      </c>
      <c r="M15">
        <v>13850</v>
      </c>
      <c r="N15">
        <v>18600</v>
      </c>
    </row>
    <row r="16" spans="1:14" x14ac:dyDescent="0.15">
      <c r="A16" t="s">
        <v>805</v>
      </c>
      <c r="B16">
        <v>158</v>
      </c>
      <c r="C16">
        <v>3000</v>
      </c>
      <c r="D16">
        <v>7000</v>
      </c>
      <c r="E16">
        <v>3000</v>
      </c>
      <c r="F16">
        <v>3000</v>
      </c>
      <c r="G16">
        <v>2500</v>
      </c>
      <c r="I16">
        <v>15</v>
      </c>
      <c r="J16">
        <v>8470</v>
      </c>
      <c r="K16">
        <v>19400</v>
      </c>
      <c r="L16">
        <v>19040</v>
      </c>
      <c r="M16">
        <v>15950</v>
      </c>
      <c r="N16">
        <v>21400</v>
      </c>
    </row>
    <row r="17" spans="1:14" x14ac:dyDescent="0.15">
      <c r="A17" t="s">
        <v>806</v>
      </c>
      <c r="B17">
        <v>178</v>
      </c>
      <c r="C17">
        <v>5000</v>
      </c>
      <c r="D17">
        <v>8500</v>
      </c>
      <c r="E17">
        <v>5000</v>
      </c>
      <c r="F17">
        <v>5000</v>
      </c>
      <c r="G17">
        <v>5000</v>
      </c>
      <c r="I17">
        <v>16</v>
      </c>
      <c r="J17">
        <v>9670</v>
      </c>
      <c r="K17">
        <v>22100</v>
      </c>
      <c r="L17">
        <v>21740</v>
      </c>
      <c r="M17">
        <v>18200</v>
      </c>
      <c r="N17">
        <v>24400</v>
      </c>
    </row>
    <row r="18" spans="1:14" x14ac:dyDescent="0.15">
      <c r="A18" t="s">
        <v>807</v>
      </c>
      <c r="B18">
        <v>187</v>
      </c>
      <c r="C18">
        <v>8000</v>
      </c>
      <c r="D18">
        <v>15000</v>
      </c>
      <c r="E18">
        <v>8000</v>
      </c>
      <c r="F18">
        <v>8000</v>
      </c>
      <c r="G18">
        <v>8000</v>
      </c>
      <c r="I18">
        <v>17</v>
      </c>
      <c r="J18">
        <v>10950</v>
      </c>
      <c r="K18">
        <v>24980</v>
      </c>
      <c r="L18">
        <v>24620</v>
      </c>
      <c r="M18">
        <v>20600</v>
      </c>
      <c r="N18">
        <v>27600</v>
      </c>
    </row>
    <row r="19" spans="1:14" x14ac:dyDescent="0.15">
      <c r="A19" t="s">
        <v>817</v>
      </c>
      <c r="B19">
        <v>159</v>
      </c>
      <c r="C19">
        <v>3000</v>
      </c>
      <c r="D19">
        <v>7000</v>
      </c>
      <c r="E19">
        <v>3000</v>
      </c>
      <c r="F19">
        <v>3000</v>
      </c>
      <c r="G19">
        <v>2500</v>
      </c>
      <c r="I19">
        <v>18</v>
      </c>
      <c r="J19">
        <v>12310</v>
      </c>
      <c r="K19">
        <v>28040</v>
      </c>
      <c r="L19">
        <v>27680</v>
      </c>
      <c r="M19">
        <v>23150</v>
      </c>
      <c r="N19">
        <v>31000</v>
      </c>
    </row>
    <row r="20" spans="1:14" x14ac:dyDescent="0.15">
      <c r="A20" t="s">
        <v>818</v>
      </c>
      <c r="B20">
        <v>179</v>
      </c>
      <c r="C20">
        <v>5000</v>
      </c>
      <c r="D20">
        <v>8500</v>
      </c>
      <c r="E20">
        <v>5000</v>
      </c>
      <c r="F20">
        <v>5000</v>
      </c>
      <c r="G20">
        <v>5000</v>
      </c>
      <c r="I20">
        <v>19</v>
      </c>
      <c r="J20">
        <v>13750</v>
      </c>
      <c r="K20">
        <v>31480</v>
      </c>
      <c r="L20">
        <v>30900</v>
      </c>
      <c r="M20">
        <v>25850</v>
      </c>
      <c r="N20">
        <v>34400</v>
      </c>
    </row>
    <row r="21" spans="1:14" x14ac:dyDescent="0.15">
      <c r="A21" t="s">
        <v>819</v>
      </c>
      <c r="B21">
        <v>189</v>
      </c>
      <c r="C21">
        <v>8000</v>
      </c>
      <c r="D21">
        <v>15000</v>
      </c>
      <c r="E21">
        <v>8000</v>
      </c>
      <c r="F21">
        <v>8000</v>
      </c>
      <c r="G21">
        <v>8000</v>
      </c>
      <c r="I21">
        <v>20</v>
      </c>
      <c r="J21">
        <v>15270</v>
      </c>
      <c r="K21">
        <v>35000</v>
      </c>
      <c r="L21">
        <v>34300</v>
      </c>
      <c r="M21">
        <v>28700</v>
      </c>
      <c r="N21">
        <v>38000</v>
      </c>
    </row>
    <row r="22" spans="1:14" x14ac:dyDescent="0.15">
      <c r="A22" t="s">
        <v>814</v>
      </c>
      <c r="B22">
        <v>160</v>
      </c>
      <c r="C22">
        <v>3000</v>
      </c>
      <c r="D22">
        <v>7000</v>
      </c>
      <c r="E22">
        <v>3000</v>
      </c>
      <c r="F22">
        <v>3000</v>
      </c>
      <c r="G22">
        <v>2500</v>
      </c>
      <c r="I22">
        <v>21</v>
      </c>
      <c r="J22">
        <v>16870</v>
      </c>
      <c r="K22">
        <v>38600</v>
      </c>
      <c r="L22">
        <v>37900</v>
      </c>
      <c r="M22">
        <v>31700</v>
      </c>
      <c r="N22">
        <v>42000</v>
      </c>
    </row>
    <row r="23" spans="1:14" x14ac:dyDescent="0.15">
      <c r="A23" t="s">
        <v>815</v>
      </c>
      <c r="B23">
        <v>180</v>
      </c>
      <c r="C23">
        <v>5000</v>
      </c>
      <c r="D23">
        <v>8500</v>
      </c>
      <c r="E23">
        <v>5000</v>
      </c>
      <c r="F23">
        <v>5000</v>
      </c>
      <c r="G23">
        <v>5000</v>
      </c>
      <c r="I23">
        <v>22</v>
      </c>
      <c r="J23">
        <v>18550</v>
      </c>
      <c r="K23">
        <v>42380</v>
      </c>
      <c r="L23">
        <v>41680</v>
      </c>
      <c r="M23">
        <v>34850</v>
      </c>
      <c r="N23">
        <v>46200</v>
      </c>
    </row>
    <row r="24" spans="1:14" x14ac:dyDescent="0.15">
      <c r="A24" t="s">
        <v>816</v>
      </c>
      <c r="B24">
        <v>190</v>
      </c>
      <c r="C24">
        <v>8000</v>
      </c>
      <c r="D24">
        <v>15000</v>
      </c>
      <c r="E24">
        <v>8000</v>
      </c>
      <c r="F24">
        <v>8000</v>
      </c>
      <c r="G24">
        <v>8000</v>
      </c>
      <c r="I24">
        <v>23</v>
      </c>
      <c r="J24">
        <v>20310</v>
      </c>
      <c r="K24">
        <v>46340</v>
      </c>
      <c r="L24">
        <v>45640</v>
      </c>
      <c r="M24">
        <v>38150</v>
      </c>
      <c r="N24">
        <v>50600</v>
      </c>
    </row>
    <row r="25" spans="1:14" x14ac:dyDescent="0.15">
      <c r="A25" t="s">
        <v>800</v>
      </c>
      <c r="B25">
        <v>149</v>
      </c>
      <c r="C25">
        <v>1000</v>
      </c>
      <c r="D25">
        <v>4000</v>
      </c>
      <c r="E25">
        <v>1000</v>
      </c>
      <c r="F25">
        <v>1000</v>
      </c>
      <c r="G25">
        <v>1000</v>
      </c>
      <c r="I25">
        <v>24</v>
      </c>
      <c r="J25">
        <v>22150</v>
      </c>
      <c r="K25">
        <v>50480</v>
      </c>
      <c r="L25">
        <v>49780</v>
      </c>
      <c r="M25">
        <v>41600</v>
      </c>
      <c r="N25">
        <v>55200</v>
      </c>
    </row>
    <row r="26" spans="1:14" x14ac:dyDescent="0.15">
      <c r="A26" t="s">
        <v>804</v>
      </c>
      <c r="B26">
        <v>150</v>
      </c>
      <c r="C26">
        <v>1000</v>
      </c>
      <c r="D26">
        <v>4000</v>
      </c>
      <c r="E26">
        <v>1000</v>
      </c>
      <c r="F26">
        <v>1000</v>
      </c>
      <c r="G26">
        <v>1000</v>
      </c>
      <c r="I26">
        <v>25</v>
      </c>
      <c r="J26">
        <v>24070</v>
      </c>
      <c r="K26">
        <v>54800</v>
      </c>
      <c r="L26">
        <v>54100</v>
      </c>
      <c r="M26">
        <v>45200</v>
      </c>
      <c r="N26">
        <v>60000</v>
      </c>
    </row>
    <row r="27" spans="1:14" x14ac:dyDescent="0.15">
      <c r="A27" t="s">
        <v>803</v>
      </c>
      <c r="B27">
        <v>153</v>
      </c>
      <c r="C27">
        <v>1000</v>
      </c>
      <c r="D27">
        <v>4000</v>
      </c>
      <c r="E27">
        <v>1000</v>
      </c>
      <c r="F27">
        <v>1000</v>
      </c>
      <c r="G27">
        <v>1000</v>
      </c>
      <c r="I27">
        <v>26</v>
      </c>
      <c r="J27">
        <v>26070</v>
      </c>
      <c r="K27">
        <v>59300</v>
      </c>
      <c r="L27">
        <v>58600</v>
      </c>
      <c r="M27">
        <v>48950</v>
      </c>
      <c r="N27">
        <v>65000</v>
      </c>
    </row>
    <row r="28" spans="1:14" x14ac:dyDescent="0.15">
      <c r="A28" t="s">
        <v>693</v>
      </c>
      <c r="B28">
        <v>58</v>
      </c>
      <c r="C28">
        <v>0</v>
      </c>
      <c r="D28">
        <v>0</v>
      </c>
      <c r="E28">
        <v>0</v>
      </c>
      <c r="F28">
        <v>0</v>
      </c>
      <c r="G28">
        <v>8000</v>
      </c>
      <c r="I28">
        <v>27</v>
      </c>
      <c r="J28">
        <v>28150</v>
      </c>
      <c r="K28">
        <v>63980</v>
      </c>
      <c r="L28">
        <v>63280</v>
      </c>
      <c r="M28">
        <v>52850</v>
      </c>
      <c r="N28">
        <v>70200</v>
      </c>
    </row>
    <row r="29" spans="1:14" x14ac:dyDescent="0.15">
      <c r="A29" t="s">
        <v>799</v>
      </c>
      <c r="B29">
        <v>42</v>
      </c>
      <c r="C29">
        <v>100</v>
      </c>
      <c r="D29">
        <v>1000</v>
      </c>
      <c r="E29">
        <v>1000</v>
      </c>
      <c r="F29">
        <v>1000</v>
      </c>
      <c r="G29">
        <v>1000</v>
      </c>
      <c r="I29">
        <v>28</v>
      </c>
      <c r="J29">
        <v>30310</v>
      </c>
      <c r="K29">
        <v>68840</v>
      </c>
      <c r="L29">
        <v>68140</v>
      </c>
      <c r="M29">
        <v>56900</v>
      </c>
      <c r="N29">
        <v>75600</v>
      </c>
    </row>
    <row r="30" spans="1:14" x14ac:dyDescent="0.15">
      <c r="A30" t="s">
        <v>639</v>
      </c>
      <c r="B30">
        <v>29</v>
      </c>
      <c r="C30">
        <v>1500</v>
      </c>
      <c r="D30">
        <v>5000</v>
      </c>
      <c r="E30">
        <v>5000</v>
      </c>
      <c r="F30">
        <v>5000</v>
      </c>
      <c r="G30">
        <v>0</v>
      </c>
      <c r="I30">
        <v>29</v>
      </c>
      <c r="J30">
        <v>32550</v>
      </c>
      <c r="K30">
        <v>73880</v>
      </c>
      <c r="L30">
        <v>73180</v>
      </c>
      <c r="M30">
        <v>61100</v>
      </c>
      <c r="N30">
        <v>81200</v>
      </c>
    </row>
    <row r="31" spans="1:14" x14ac:dyDescent="0.15">
      <c r="A31" t="s">
        <v>602</v>
      </c>
      <c r="B31">
        <v>3</v>
      </c>
      <c r="C31">
        <v>600</v>
      </c>
      <c r="D31">
        <v>2000</v>
      </c>
      <c r="E31">
        <v>1500</v>
      </c>
      <c r="F31">
        <v>1000</v>
      </c>
      <c r="G31">
        <v>0</v>
      </c>
      <c r="I31">
        <v>30</v>
      </c>
      <c r="J31">
        <v>34870</v>
      </c>
      <c r="K31">
        <v>79100</v>
      </c>
      <c r="L31">
        <v>78400</v>
      </c>
      <c r="M31">
        <v>65450</v>
      </c>
      <c r="N31">
        <v>87000</v>
      </c>
    </row>
    <row r="32" spans="1:14" x14ac:dyDescent="0.15">
      <c r="A32" t="s">
        <v>605</v>
      </c>
      <c r="B32">
        <v>3</v>
      </c>
      <c r="C32">
        <v>600</v>
      </c>
      <c r="D32">
        <v>2000</v>
      </c>
      <c r="E32">
        <v>1500</v>
      </c>
      <c r="F32">
        <v>1000</v>
      </c>
      <c r="G32">
        <v>0</v>
      </c>
      <c r="I32">
        <v>31</v>
      </c>
      <c r="J32">
        <v>37270</v>
      </c>
      <c r="K32">
        <v>84500</v>
      </c>
      <c r="L32">
        <v>83800</v>
      </c>
      <c r="M32">
        <v>69950</v>
      </c>
      <c r="N32">
        <v>93000</v>
      </c>
    </row>
    <row r="33" spans="1:14" x14ac:dyDescent="0.15">
      <c r="A33" t="s">
        <v>606</v>
      </c>
      <c r="B33">
        <v>25</v>
      </c>
      <c r="C33">
        <v>1000</v>
      </c>
      <c r="D33">
        <v>5000</v>
      </c>
      <c r="E33">
        <v>3000</v>
      </c>
      <c r="F33">
        <v>2500</v>
      </c>
      <c r="G33">
        <v>0</v>
      </c>
      <c r="I33">
        <v>32</v>
      </c>
      <c r="J33">
        <v>39750</v>
      </c>
      <c r="K33">
        <v>90080</v>
      </c>
      <c r="L33">
        <v>89380</v>
      </c>
      <c r="M33">
        <v>74600</v>
      </c>
      <c r="N33">
        <v>99200</v>
      </c>
    </row>
    <row r="34" spans="1:14" x14ac:dyDescent="0.15">
      <c r="A34" t="s">
        <v>791</v>
      </c>
      <c r="B34">
        <v>19</v>
      </c>
      <c r="C34">
        <v>600</v>
      </c>
      <c r="D34">
        <v>800</v>
      </c>
      <c r="E34">
        <v>900</v>
      </c>
      <c r="F34">
        <v>900</v>
      </c>
      <c r="G34">
        <v>0</v>
      </c>
      <c r="I34">
        <v>33</v>
      </c>
      <c r="J34">
        <v>42310</v>
      </c>
      <c r="K34">
        <v>95840</v>
      </c>
      <c r="L34">
        <v>95140</v>
      </c>
      <c r="M34">
        <v>79400</v>
      </c>
      <c r="N34">
        <v>105600</v>
      </c>
    </row>
    <row r="35" spans="1:14" x14ac:dyDescent="0.15">
      <c r="A35" t="s">
        <v>613</v>
      </c>
      <c r="B35">
        <v>54</v>
      </c>
      <c r="C35">
        <v>5000</v>
      </c>
      <c r="D35">
        <v>0</v>
      </c>
      <c r="E35">
        <v>0</v>
      </c>
      <c r="F35">
        <v>0</v>
      </c>
      <c r="G35">
        <v>0</v>
      </c>
      <c r="I35">
        <v>34</v>
      </c>
      <c r="J35">
        <v>44950</v>
      </c>
      <c r="K35">
        <v>101780</v>
      </c>
      <c r="L35">
        <v>101080</v>
      </c>
      <c r="M35">
        <v>84350</v>
      </c>
      <c r="N35">
        <v>112200</v>
      </c>
    </row>
    <row r="36" spans="1:14" x14ac:dyDescent="0.15">
      <c r="A36" t="s">
        <v>614</v>
      </c>
      <c r="B36">
        <v>141</v>
      </c>
      <c r="C36">
        <v>8000</v>
      </c>
      <c r="D36">
        <v>0</v>
      </c>
      <c r="E36">
        <v>0</v>
      </c>
      <c r="F36">
        <v>0</v>
      </c>
      <c r="G36">
        <v>0</v>
      </c>
      <c r="I36">
        <v>35</v>
      </c>
      <c r="J36">
        <v>47670</v>
      </c>
      <c r="K36">
        <v>107900</v>
      </c>
      <c r="L36">
        <v>107200</v>
      </c>
      <c r="M36">
        <v>89450</v>
      </c>
      <c r="N36">
        <v>119000</v>
      </c>
    </row>
    <row r="37" spans="1:14" x14ac:dyDescent="0.15">
      <c r="A37" t="s">
        <v>615</v>
      </c>
      <c r="B37">
        <v>145</v>
      </c>
      <c r="C37">
        <v>40000</v>
      </c>
      <c r="D37">
        <v>0</v>
      </c>
      <c r="E37">
        <v>0</v>
      </c>
      <c r="F37">
        <v>0</v>
      </c>
      <c r="G37">
        <v>0</v>
      </c>
      <c r="I37">
        <v>36</v>
      </c>
      <c r="J37">
        <v>0</v>
      </c>
      <c r="K37" s="7">
        <v>0</v>
      </c>
      <c r="L37" s="7">
        <v>0</v>
      </c>
      <c r="M37" s="7">
        <v>0</v>
      </c>
      <c r="N37" s="7">
        <v>0</v>
      </c>
    </row>
    <row r="38" spans="1:14" x14ac:dyDescent="0.15">
      <c r="A38" t="s">
        <v>694</v>
      </c>
      <c r="B38">
        <v>17</v>
      </c>
      <c r="C38">
        <v>2500</v>
      </c>
      <c r="D38">
        <v>10000</v>
      </c>
      <c r="E38">
        <v>5500</v>
      </c>
      <c r="F38">
        <v>2500</v>
      </c>
      <c r="G38">
        <v>0</v>
      </c>
      <c r="I38">
        <v>37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</row>
    <row r="39" spans="1:14" x14ac:dyDescent="0.15">
      <c r="A39" t="s">
        <v>695</v>
      </c>
      <c r="B39">
        <v>36</v>
      </c>
      <c r="C39">
        <v>5000</v>
      </c>
      <c r="D39">
        <v>11000</v>
      </c>
      <c r="E39">
        <v>9000</v>
      </c>
      <c r="F39">
        <v>5000</v>
      </c>
      <c r="G39">
        <v>0</v>
      </c>
      <c r="I39">
        <v>38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</row>
    <row r="40" spans="1:14" x14ac:dyDescent="0.15">
      <c r="A40" t="s">
        <v>696</v>
      </c>
      <c r="B40">
        <v>64</v>
      </c>
      <c r="C40">
        <v>8000</v>
      </c>
      <c r="D40">
        <v>20000</v>
      </c>
      <c r="E40">
        <v>16000</v>
      </c>
      <c r="F40">
        <v>8000</v>
      </c>
      <c r="G40">
        <v>0</v>
      </c>
      <c r="I40">
        <v>39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</row>
    <row r="41" spans="1:14" x14ac:dyDescent="0.15">
      <c r="A41" t="s">
        <v>697</v>
      </c>
      <c r="B41">
        <v>80</v>
      </c>
      <c r="C41">
        <v>15000</v>
      </c>
      <c r="D41">
        <v>45000</v>
      </c>
      <c r="E41">
        <v>40000</v>
      </c>
      <c r="F41">
        <v>13000</v>
      </c>
      <c r="G41">
        <v>0</v>
      </c>
      <c r="I41">
        <v>40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</row>
    <row r="42" spans="1:14" x14ac:dyDescent="0.15">
      <c r="A42" t="s">
        <v>698</v>
      </c>
      <c r="B42">
        <v>87</v>
      </c>
      <c r="C42">
        <v>13000</v>
      </c>
      <c r="D42">
        <v>18000</v>
      </c>
      <c r="E42">
        <v>40000</v>
      </c>
      <c r="F42">
        <v>13000</v>
      </c>
      <c r="G42">
        <v>0</v>
      </c>
      <c r="I42">
        <v>41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</row>
    <row r="43" spans="1:14" x14ac:dyDescent="0.15">
      <c r="A43" t="s">
        <v>699</v>
      </c>
      <c r="B43">
        <v>93</v>
      </c>
      <c r="C43">
        <v>15000</v>
      </c>
      <c r="D43">
        <v>45000</v>
      </c>
      <c r="E43">
        <v>40000</v>
      </c>
      <c r="F43">
        <v>15000</v>
      </c>
      <c r="G43">
        <v>0</v>
      </c>
      <c r="I43">
        <v>42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</row>
    <row r="44" spans="1:14" x14ac:dyDescent="0.15">
      <c r="A44" t="s">
        <v>700</v>
      </c>
      <c r="B44">
        <v>96</v>
      </c>
      <c r="C44">
        <v>15000</v>
      </c>
      <c r="D44">
        <v>45000</v>
      </c>
      <c r="E44">
        <v>40000</v>
      </c>
      <c r="F44">
        <v>15000</v>
      </c>
      <c r="G44">
        <v>0</v>
      </c>
      <c r="I44">
        <v>43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</row>
    <row r="45" spans="1:14" x14ac:dyDescent="0.15">
      <c r="A45" t="s">
        <v>701</v>
      </c>
      <c r="B45">
        <v>172</v>
      </c>
      <c r="C45">
        <v>15000</v>
      </c>
      <c r="D45">
        <v>45000</v>
      </c>
      <c r="E45">
        <v>40000</v>
      </c>
      <c r="F45">
        <v>15000</v>
      </c>
      <c r="G45">
        <v>0</v>
      </c>
      <c r="I45">
        <v>44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</row>
    <row r="46" spans="1:14" x14ac:dyDescent="0.15">
      <c r="A46" t="s">
        <v>702</v>
      </c>
      <c r="B46">
        <v>223</v>
      </c>
      <c r="C46">
        <v>15000</v>
      </c>
      <c r="D46">
        <v>45000</v>
      </c>
      <c r="E46">
        <v>40000</v>
      </c>
      <c r="F46">
        <v>15000</v>
      </c>
      <c r="G46">
        <v>0</v>
      </c>
      <c r="I46">
        <v>45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</row>
    <row r="47" spans="1:14" x14ac:dyDescent="0.15">
      <c r="A47" t="s">
        <v>648</v>
      </c>
      <c r="B47">
        <v>8</v>
      </c>
      <c r="C47">
        <v>1000</v>
      </c>
      <c r="D47">
        <v>1200</v>
      </c>
      <c r="E47">
        <v>1500</v>
      </c>
      <c r="F47">
        <v>1000</v>
      </c>
      <c r="G47">
        <v>0</v>
      </c>
      <c r="I47">
        <v>46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</row>
    <row r="48" spans="1:14" x14ac:dyDescent="0.15">
      <c r="A48" t="s">
        <v>659</v>
      </c>
      <c r="B48">
        <v>47</v>
      </c>
      <c r="C48">
        <v>1000</v>
      </c>
      <c r="D48">
        <v>1200</v>
      </c>
      <c r="E48">
        <v>1500</v>
      </c>
      <c r="F48">
        <v>1000</v>
      </c>
      <c r="G48">
        <v>0</v>
      </c>
      <c r="I48">
        <v>47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</row>
    <row r="49" spans="1:14" x14ac:dyDescent="0.15">
      <c r="A49" t="s">
        <v>660</v>
      </c>
      <c r="B49">
        <v>67</v>
      </c>
      <c r="C49">
        <v>1000</v>
      </c>
      <c r="D49">
        <v>1200</v>
      </c>
      <c r="E49">
        <v>1500</v>
      </c>
      <c r="F49">
        <v>1000</v>
      </c>
      <c r="G49">
        <v>0</v>
      </c>
      <c r="I49">
        <v>48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</row>
    <row r="50" spans="1:14" x14ac:dyDescent="0.15">
      <c r="A50" t="s">
        <v>661</v>
      </c>
      <c r="B50">
        <v>97</v>
      </c>
      <c r="C50">
        <v>1000</v>
      </c>
      <c r="D50">
        <v>1200</v>
      </c>
      <c r="E50">
        <v>1500</v>
      </c>
      <c r="F50">
        <v>1000</v>
      </c>
      <c r="G50">
        <v>0</v>
      </c>
      <c r="I50">
        <v>49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</row>
    <row r="51" spans="1:14" x14ac:dyDescent="0.15">
      <c r="A51" t="s">
        <v>662</v>
      </c>
      <c r="B51">
        <v>120</v>
      </c>
      <c r="C51">
        <v>8000</v>
      </c>
      <c r="D51">
        <v>8500</v>
      </c>
      <c r="E51">
        <v>8000</v>
      </c>
      <c r="F51">
        <v>8000</v>
      </c>
      <c r="G51">
        <v>0</v>
      </c>
      <c r="I51">
        <v>50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</row>
    <row r="52" spans="1:14" x14ac:dyDescent="0.15">
      <c r="A52" t="s">
        <v>649</v>
      </c>
      <c r="B52">
        <v>24</v>
      </c>
      <c r="C52">
        <v>2000</v>
      </c>
      <c r="D52">
        <v>2400</v>
      </c>
      <c r="E52">
        <v>3000</v>
      </c>
      <c r="F52">
        <v>2000</v>
      </c>
      <c r="G52">
        <v>0</v>
      </c>
    </row>
    <row r="53" spans="1:14" x14ac:dyDescent="0.15">
      <c r="A53" t="s">
        <v>650</v>
      </c>
      <c r="B53">
        <v>24</v>
      </c>
      <c r="C53">
        <v>2000</v>
      </c>
      <c r="D53">
        <v>2400</v>
      </c>
      <c r="E53">
        <v>3000</v>
      </c>
      <c r="F53">
        <v>2000</v>
      </c>
      <c r="G53">
        <v>0</v>
      </c>
    </row>
    <row r="54" spans="1:14" x14ac:dyDescent="0.15">
      <c r="A54" t="s">
        <v>651</v>
      </c>
      <c r="B54">
        <v>41</v>
      </c>
      <c r="C54">
        <v>4000</v>
      </c>
      <c r="D54">
        <v>4800</v>
      </c>
      <c r="E54">
        <v>6000</v>
      </c>
      <c r="F54">
        <v>4000</v>
      </c>
      <c r="G54">
        <v>0</v>
      </c>
    </row>
    <row r="55" spans="1:14" x14ac:dyDescent="0.15">
      <c r="A55" t="s">
        <v>652</v>
      </c>
      <c r="B55">
        <v>44</v>
      </c>
      <c r="C55">
        <v>6000</v>
      </c>
      <c r="D55">
        <v>8500</v>
      </c>
      <c r="E55">
        <v>8000</v>
      </c>
      <c r="F55">
        <v>6000</v>
      </c>
      <c r="G55">
        <v>0</v>
      </c>
    </row>
    <row r="56" spans="1:14" x14ac:dyDescent="0.15">
      <c r="A56" t="s">
        <v>653</v>
      </c>
      <c r="B56">
        <v>57</v>
      </c>
      <c r="C56">
        <v>8000</v>
      </c>
      <c r="D56">
        <v>8500</v>
      </c>
      <c r="E56">
        <v>10000</v>
      </c>
      <c r="F56">
        <v>8000</v>
      </c>
      <c r="G56">
        <v>0</v>
      </c>
    </row>
    <row r="57" spans="1:14" x14ac:dyDescent="0.15">
      <c r="A57" t="s">
        <v>654</v>
      </c>
      <c r="B57">
        <v>60</v>
      </c>
      <c r="C57">
        <v>8000</v>
      </c>
      <c r="D57">
        <v>8500</v>
      </c>
      <c r="E57">
        <v>10000</v>
      </c>
      <c r="F57">
        <v>8000</v>
      </c>
      <c r="G57">
        <v>0</v>
      </c>
    </row>
    <row r="58" spans="1:14" x14ac:dyDescent="0.15">
      <c r="A58" t="s">
        <v>655</v>
      </c>
      <c r="B58">
        <v>71</v>
      </c>
      <c r="C58">
        <v>8000</v>
      </c>
      <c r="D58">
        <v>8500</v>
      </c>
      <c r="E58">
        <v>10000</v>
      </c>
      <c r="F58">
        <v>8000</v>
      </c>
      <c r="G58">
        <v>0</v>
      </c>
    </row>
    <row r="59" spans="1:14" x14ac:dyDescent="0.15">
      <c r="A59" t="s">
        <v>656</v>
      </c>
      <c r="B59">
        <v>78</v>
      </c>
      <c r="C59">
        <v>8000</v>
      </c>
      <c r="D59">
        <v>8500</v>
      </c>
      <c r="E59">
        <v>10000</v>
      </c>
      <c r="F59">
        <v>8000</v>
      </c>
      <c r="G59">
        <v>0</v>
      </c>
    </row>
    <row r="60" spans="1:14" x14ac:dyDescent="0.15">
      <c r="A60" t="s">
        <v>657</v>
      </c>
      <c r="B60">
        <v>92</v>
      </c>
      <c r="C60">
        <v>8000</v>
      </c>
      <c r="D60">
        <v>8500</v>
      </c>
      <c r="E60">
        <v>10000</v>
      </c>
      <c r="F60">
        <v>8000</v>
      </c>
      <c r="G60">
        <v>0</v>
      </c>
    </row>
    <row r="61" spans="1:14" x14ac:dyDescent="0.15">
      <c r="A61" t="s">
        <v>658</v>
      </c>
      <c r="B61">
        <v>220</v>
      </c>
      <c r="C61">
        <v>8000</v>
      </c>
      <c r="D61">
        <v>8500</v>
      </c>
      <c r="E61">
        <v>10000</v>
      </c>
      <c r="F61">
        <v>8000</v>
      </c>
      <c r="G61">
        <v>0</v>
      </c>
    </row>
    <row r="62" spans="1:14" x14ac:dyDescent="0.15">
      <c r="A62" t="s">
        <v>723</v>
      </c>
      <c r="B62">
        <v>140</v>
      </c>
      <c r="C62">
        <v>0</v>
      </c>
      <c r="D62">
        <v>0</v>
      </c>
      <c r="E62">
        <v>0</v>
      </c>
      <c r="F62">
        <v>0</v>
      </c>
      <c r="G62">
        <v>1000</v>
      </c>
    </row>
    <row r="63" spans="1:14" x14ac:dyDescent="0.15">
      <c r="A63" t="s">
        <v>724</v>
      </c>
      <c r="B63">
        <v>107</v>
      </c>
      <c r="C63">
        <v>0</v>
      </c>
      <c r="D63">
        <v>0</v>
      </c>
      <c r="E63">
        <v>0</v>
      </c>
      <c r="F63">
        <v>0</v>
      </c>
      <c r="G63">
        <v>5000</v>
      </c>
    </row>
    <row r="64" spans="1:14" x14ac:dyDescent="0.15">
      <c r="A64" t="s">
        <v>725</v>
      </c>
      <c r="B64">
        <v>191</v>
      </c>
      <c r="C64">
        <v>8000</v>
      </c>
      <c r="D64">
        <v>0</v>
      </c>
      <c r="E64">
        <v>0</v>
      </c>
      <c r="F64">
        <v>0</v>
      </c>
      <c r="G64">
        <v>0</v>
      </c>
    </row>
    <row r="65" spans="1:7" x14ac:dyDescent="0.15">
      <c r="A65" t="s">
        <v>726</v>
      </c>
      <c r="B65">
        <v>192</v>
      </c>
      <c r="C65">
        <v>18000</v>
      </c>
      <c r="D65">
        <v>0</v>
      </c>
      <c r="E65">
        <v>0</v>
      </c>
      <c r="F65">
        <v>0</v>
      </c>
      <c r="G65">
        <v>0</v>
      </c>
    </row>
    <row r="66" spans="1:7" x14ac:dyDescent="0.15">
      <c r="A66" t="s">
        <v>727</v>
      </c>
      <c r="B66">
        <v>193</v>
      </c>
      <c r="C66">
        <v>85000</v>
      </c>
      <c r="D66">
        <v>0</v>
      </c>
      <c r="E66">
        <v>0</v>
      </c>
      <c r="F66">
        <v>0</v>
      </c>
      <c r="G66">
        <v>0</v>
      </c>
    </row>
    <row r="67" spans="1:7" x14ac:dyDescent="0.15">
      <c r="A67" t="s">
        <v>778</v>
      </c>
      <c r="B67">
        <v>22</v>
      </c>
      <c r="C67">
        <v>200</v>
      </c>
      <c r="D67">
        <v>0</v>
      </c>
      <c r="E67">
        <v>0</v>
      </c>
      <c r="F67">
        <v>0</v>
      </c>
      <c r="G67">
        <v>1000</v>
      </c>
    </row>
    <row r="68" spans="1:7" x14ac:dyDescent="0.15">
      <c r="A68" t="s">
        <v>779</v>
      </c>
      <c r="B68">
        <v>31</v>
      </c>
      <c r="C68">
        <v>400</v>
      </c>
      <c r="D68">
        <v>0</v>
      </c>
      <c r="E68">
        <v>0</v>
      </c>
      <c r="F68">
        <v>0</v>
      </c>
      <c r="G68">
        <v>1000</v>
      </c>
    </row>
    <row r="69" spans="1:7" x14ac:dyDescent="0.15">
      <c r="A69" t="s">
        <v>780</v>
      </c>
      <c r="B69">
        <v>61</v>
      </c>
      <c r="C69">
        <v>800</v>
      </c>
      <c r="D69">
        <v>0</v>
      </c>
      <c r="E69">
        <v>0</v>
      </c>
      <c r="F69">
        <v>0</v>
      </c>
      <c r="G69">
        <v>2000</v>
      </c>
    </row>
    <row r="70" spans="1:7" x14ac:dyDescent="0.15">
      <c r="A70" t="s">
        <v>781</v>
      </c>
      <c r="B70">
        <v>111</v>
      </c>
      <c r="C70">
        <v>1600</v>
      </c>
      <c r="D70">
        <v>0</v>
      </c>
      <c r="E70">
        <v>0</v>
      </c>
      <c r="F70">
        <v>0</v>
      </c>
      <c r="G70">
        <v>2000</v>
      </c>
    </row>
    <row r="71" spans="1:7" x14ac:dyDescent="0.15">
      <c r="A71" t="s">
        <v>782</v>
      </c>
      <c r="B71">
        <v>112</v>
      </c>
      <c r="C71">
        <v>3200</v>
      </c>
      <c r="D71">
        <v>0</v>
      </c>
      <c r="E71">
        <v>0</v>
      </c>
      <c r="F71">
        <v>0</v>
      </c>
      <c r="G71">
        <v>4000</v>
      </c>
    </row>
    <row r="72" spans="1:7" x14ac:dyDescent="0.15">
      <c r="A72" t="s">
        <v>783</v>
      </c>
      <c r="B72">
        <v>113</v>
      </c>
      <c r="C72">
        <v>6400</v>
      </c>
      <c r="D72">
        <v>0</v>
      </c>
      <c r="E72">
        <v>0</v>
      </c>
      <c r="F72">
        <v>0</v>
      </c>
      <c r="G72">
        <v>4000</v>
      </c>
    </row>
    <row r="73" spans="1:7" x14ac:dyDescent="0.15">
      <c r="A73" t="s">
        <v>784</v>
      </c>
      <c r="B73">
        <v>114</v>
      </c>
      <c r="C73">
        <v>6400</v>
      </c>
      <c r="D73">
        <v>0</v>
      </c>
      <c r="E73">
        <v>0</v>
      </c>
      <c r="F73">
        <v>0</v>
      </c>
      <c r="G73">
        <v>8000</v>
      </c>
    </row>
    <row r="74" spans="1:7" x14ac:dyDescent="0.15">
      <c r="A74" t="s">
        <v>785</v>
      </c>
      <c r="B74">
        <v>110</v>
      </c>
      <c r="C74">
        <v>6400</v>
      </c>
      <c r="D74">
        <v>0</v>
      </c>
      <c r="E74">
        <v>0</v>
      </c>
      <c r="F74">
        <v>0</v>
      </c>
      <c r="G74">
        <v>8000</v>
      </c>
    </row>
    <row r="75" spans="1:7" x14ac:dyDescent="0.15">
      <c r="A75" s="24" t="s">
        <v>1030</v>
      </c>
      <c r="B75">
        <v>224</v>
      </c>
      <c r="C75">
        <v>6400</v>
      </c>
      <c r="D75">
        <v>0</v>
      </c>
      <c r="E75">
        <v>0</v>
      </c>
      <c r="F75">
        <v>0</v>
      </c>
      <c r="G75">
        <v>15000</v>
      </c>
    </row>
    <row r="76" spans="1:7" x14ac:dyDescent="0.15">
      <c r="A76" t="s">
        <v>788</v>
      </c>
      <c r="B76">
        <v>116</v>
      </c>
      <c r="C76">
        <v>15000</v>
      </c>
      <c r="D76">
        <v>0</v>
      </c>
      <c r="E76">
        <v>0</v>
      </c>
      <c r="F76">
        <v>0</v>
      </c>
      <c r="G76">
        <v>8000</v>
      </c>
    </row>
    <row r="77" spans="1:7" x14ac:dyDescent="0.15">
      <c r="A77" t="s">
        <v>787</v>
      </c>
      <c r="B77">
        <v>115</v>
      </c>
      <c r="C77">
        <v>15000</v>
      </c>
      <c r="D77">
        <v>0</v>
      </c>
      <c r="E77">
        <v>0</v>
      </c>
      <c r="F77">
        <v>0</v>
      </c>
      <c r="G77">
        <v>8000</v>
      </c>
    </row>
    <row r="78" spans="1:7" x14ac:dyDescent="0.15">
      <c r="A78" t="s">
        <v>790</v>
      </c>
      <c r="B78">
        <v>118</v>
      </c>
      <c r="C78">
        <v>24000</v>
      </c>
      <c r="D78">
        <v>0</v>
      </c>
      <c r="E78">
        <v>0</v>
      </c>
      <c r="F78">
        <v>0</v>
      </c>
      <c r="G78">
        <v>18000</v>
      </c>
    </row>
    <row r="79" spans="1:7" x14ac:dyDescent="0.15">
      <c r="A79" t="s">
        <v>789</v>
      </c>
      <c r="B79">
        <v>117</v>
      </c>
      <c r="C79">
        <v>15000</v>
      </c>
      <c r="D79">
        <v>0</v>
      </c>
      <c r="E79">
        <v>0</v>
      </c>
      <c r="F79">
        <v>0</v>
      </c>
      <c r="G79">
        <v>8000</v>
      </c>
    </row>
    <row r="80" spans="1:7" x14ac:dyDescent="0.15">
      <c r="A80" t="s">
        <v>792</v>
      </c>
      <c r="B80">
        <v>15</v>
      </c>
      <c r="C80">
        <v>0</v>
      </c>
      <c r="D80">
        <v>0</v>
      </c>
      <c r="E80">
        <v>0</v>
      </c>
      <c r="F80">
        <v>0</v>
      </c>
      <c r="G80">
        <v>2000</v>
      </c>
    </row>
    <row r="81" spans="1:7" x14ac:dyDescent="0.15">
      <c r="A81" t="s">
        <v>793</v>
      </c>
      <c r="B81">
        <v>166</v>
      </c>
      <c r="C81">
        <v>0</v>
      </c>
      <c r="D81">
        <v>0</v>
      </c>
      <c r="E81">
        <v>0</v>
      </c>
      <c r="F81">
        <v>0</v>
      </c>
      <c r="G81">
        <v>3000</v>
      </c>
    </row>
    <row r="82" spans="1:7" x14ac:dyDescent="0.15">
      <c r="A82" t="s">
        <v>794</v>
      </c>
      <c r="B82">
        <v>169</v>
      </c>
      <c r="C82">
        <v>0</v>
      </c>
      <c r="D82">
        <v>0</v>
      </c>
      <c r="E82">
        <v>0</v>
      </c>
      <c r="F82">
        <v>0</v>
      </c>
      <c r="G82">
        <v>5000</v>
      </c>
    </row>
    <row r="83" spans="1:7" x14ac:dyDescent="0.15">
      <c r="A83" t="s">
        <v>795</v>
      </c>
      <c r="B83">
        <v>155</v>
      </c>
      <c r="C83">
        <v>0</v>
      </c>
      <c r="D83">
        <v>0</v>
      </c>
      <c r="E83">
        <v>0</v>
      </c>
      <c r="F83">
        <v>0</v>
      </c>
      <c r="G83">
        <v>3000</v>
      </c>
    </row>
    <row r="84" spans="1:7" x14ac:dyDescent="0.15">
      <c r="A84" t="s">
        <v>796</v>
      </c>
      <c r="B84">
        <v>162</v>
      </c>
      <c r="C84">
        <v>0</v>
      </c>
      <c r="D84">
        <v>0</v>
      </c>
      <c r="E84">
        <v>0</v>
      </c>
      <c r="F84">
        <v>0</v>
      </c>
      <c r="G84">
        <v>5000</v>
      </c>
    </row>
    <row r="85" spans="1:7" x14ac:dyDescent="0.15">
      <c r="A85" t="s">
        <v>797</v>
      </c>
      <c r="B85">
        <v>174</v>
      </c>
      <c r="C85">
        <v>0</v>
      </c>
      <c r="D85">
        <v>0</v>
      </c>
      <c r="E85">
        <v>0</v>
      </c>
      <c r="F85">
        <v>0</v>
      </c>
      <c r="G85">
        <v>8000</v>
      </c>
    </row>
    <row r="86" spans="1:7" x14ac:dyDescent="0.15">
      <c r="A86" t="s">
        <v>832</v>
      </c>
      <c r="B86">
        <v>0</v>
      </c>
      <c r="C86">
        <v>200</v>
      </c>
      <c r="D86">
        <v>1000</v>
      </c>
      <c r="E86">
        <v>200</v>
      </c>
      <c r="F86">
        <v>100</v>
      </c>
      <c r="G86">
        <v>0</v>
      </c>
    </row>
    <row r="87" spans="1:7" x14ac:dyDescent="0.15">
      <c r="A87" t="s">
        <v>628</v>
      </c>
      <c r="B87">
        <v>1</v>
      </c>
      <c r="C87">
        <v>500</v>
      </c>
      <c r="D87">
        <v>2000</v>
      </c>
      <c r="E87">
        <v>500</v>
      </c>
      <c r="F87">
        <v>500</v>
      </c>
      <c r="G87">
        <v>1000</v>
      </c>
    </row>
    <row r="88" spans="1:7" x14ac:dyDescent="0.15">
      <c r="A88" t="s">
        <v>629</v>
      </c>
      <c r="B88">
        <v>2</v>
      </c>
      <c r="C88">
        <v>500</v>
      </c>
      <c r="D88">
        <v>2000</v>
      </c>
      <c r="E88">
        <v>500</v>
      </c>
      <c r="F88">
        <v>500</v>
      </c>
      <c r="G88">
        <v>50</v>
      </c>
    </row>
    <row r="89" spans="1:7" x14ac:dyDescent="0.15">
      <c r="A89" t="s">
        <v>820</v>
      </c>
      <c r="B89">
        <v>46</v>
      </c>
      <c r="C89">
        <v>1000</v>
      </c>
      <c r="D89">
        <v>1000</v>
      </c>
      <c r="E89">
        <v>1000</v>
      </c>
      <c r="F89">
        <v>1000</v>
      </c>
      <c r="G89">
        <v>1000</v>
      </c>
    </row>
    <row r="90" spans="1:7" x14ac:dyDescent="0.15">
      <c r="A90" t="s">
        <v>830</v>
      </c>
      <c r="B90">
        <v>121</v>
      </c>
      <c r="C90">
        <v>1000</v>
      </c>
      <c r="D90">
        <v>1000</v>
      </c>
      <c r="E90">
        <v>1000</v>
      </c>
      <c r="F90">
        <v>1000</v>
      </c>
      <c r="G90">
        <v>1000</v>
      </c>
    </row>
    <row r="91" spans="1:7" x14ac:dyDescent="0.15">
      <c r="A91" t="s">
        <v>821</v>
      </c>
      <c r="B91">
        <v>49</v>
      </c>
      <c r="C91">
        <v>1000</v>
      </c>
      <c r="D91">
        <v>1000</v>
      </c>
      <c r="E91">
        <v>1000</v>
      </c>
      <c r="F91">
        <v>1000</v>
      </c>
      <c r="G91">
        <v>1000</v>
      </c>
    </row>
    <row r="92" spans="1:7" x14ac:dyDescent="0.15">
      <c r="A92" t="s">
        <v>823</v>
      </c>
      <c r="B92">
        <v>52</v>
      </c>
      <c r="C92">
        <v>1000</v>
      </c>
      <c r="D92">
        <v>1000</v>
      </c>
      <c r="E92">
        <v>1000</v>
      </c>
      <c r="F92">
        <v>1000</v>
      </c>
      <c r="G92">
        <v>1000</v>
      </c>
    </row>
    <row r="93" spans="1:7" x14ac:dyDescent="0.15">
      <c r="A93" t="s">
        <v>824</v>
      </c>
      <c r="B93">
        <v>55</v>
      </c>
      <c r="C93">
        <v>1000</v>
      </c>
      <c r="D93">
        <v>1000</v>
      </c>
      <c r="E93">
        <v>1000</v>
      </c>
      <c r="F93">
        <v>1000</v>
      </c>
      <c r="G93">
        <v>1000</v>
      </c>
    </row>
    <row r="94" spans="1:7" x14ac:dyDescent="0.15">
      <c r="A94" t="s">
        <v>825</v>
      </c>
      <c r="B94">
        <v>81</v>
      </c>
      <c r="C94">
        <v>1000</v>
      </c>
      <c r="D94">
        <v>1000</v>
      </c>
      <c r="E94">
        <v>1000</v>
      </c>
      <c r="F94">
        <v>1000</v>
      </c>
      <c r="G94">
        <v>1000</v>
      </c>
    </row>
    <row r="95" spans="1:7" x14ac:dyDescent="0.15">
      <c r="A95" t="s">
        <v>826</v>
      </c>
      <c r="B95">
        <v>89</v>
      </c>
      <c r="C95">
        <v>1000</v>
      </c>
      <c r="D95">
        <v>1000</v>
      </c>
      <c r="E95">
        <v>1000</v>
      </c>
      <c r="F95">
        <v>1000</v>
      </c>
      <c r="G95">
        <v>1000</v>
      </c>
    </row>
    <row r="96" spans="1:7" x14ac:dyDescent="0.15">
      <c r="A96" t="s">
        <v>827</v>
      </c>
      <c r="B96">
        <v>94</v>
      </c>
      <c r="C96">
        <v>1000</v>
      </c>
      <c r="D96">
        <v>1000</v>
      </c>
      <c r="E96">
        <v>1000</v>
      </c>
      <c r="F96">
        <v>1000</v>
      </c>
      <c r="G96">
        <v>1000</v>
      </c>
    </row>
    <row r="97" spans="1:7" x14ac:dyDescent="0.15">
      <c r="A97" t="s">
        <v>828</v>
      </c>
      <c r="B97">
        <v>103</v>
      </c>
      <c r="C97">
        <v>1000</v>
      </c>
      <c r="D97">
        <v>1000</v>
      </c>
      <c r="E97">
        <v>1000</v>
      </c>
      <c r="F97">
        <v>1000</v>
      </c>
      <c r="G97">
        <v>1000</v>
      </c>
    </row>
    <row r="98" spans="1:7" x14ac:dyDescent="0.15">
      <c r="A98" t="s">
        <v>829</v>
      </c>
      <c r="B98">
        <v>109</v>
      </c>
      <c r="C98">
        <v>1000</v>
      </c>
      <c r="D98">
        <v>1000</v>
      </c>
      <c r="E98">
        <v>1000</v>
      </c>
      <c r="F98">
        <v>1000</v>
      </c>
      <c r="G98">
        <v>1000</v>
      </c>
    </row>
    <row r="99" spans="1:7" x14ac:dyDescent="0.15">
      <c r="A99" t="s">
        <v>798</v>
      </c>
      <c r="B99">
        <v>11</v>
      </c>
      <c r="C99">
        <v>100</v>
      </c>
      <c r="D99">
        <v>1000</v>
      </c>
      <c r="E99">
        <v>1000</v>
      </c>
      <c r="F99">
        <v>1000</v>
      </c>
      <c r="G99">
        <v>1000</v>
      </c>
    </row>
    <row r="100" spans="1:7" x14ac:dyDescent="0.15">
      <c r="A100" t="s">
        <v>691</v>
      </c>
      <c r="B100">
        <v>69</v>
      </c>
      <c r="C100">
        <v>0</v>
      </c>
      <c r="D100">
        <v>0</v>
      </c>
      <c r="E100">
        <v>0</v>
      </c>
      <c r="F100">
        <v>0</v>
      </c>
      <c r="G100">
        <v>8000</v>
      </c>
    </row>
    <row r="101" spans="1:7" x14ac:dyDescent="0.15">
      <c r="A101" s="24" t="s">
        <v>1031</v>
      </c>
      <c r="B101">
        <v>6</v>
      </c>
      <c r="C101">
        <v>600</v>
      </c>
      <c r="D101">
        <v>1000</v>
      </c>
      <c r="E101">
        <v>1500</v>
      </c>
      <c r="F101">
        <v>1500</v>
      </c>
      <c r="G101">
        <v>0</v>
      </c>
    </row>
    <row r="102" spans="1:7" x14ac:dyDescent="0.15">
      <c r="A102" t="s">
        <v>603</v>
      </c>
      <c r="B102">
        <v>10</v>
      </c>
      <c r="C102">
        <v>2000</v>
      </c>
      <c r="D102">
        <v>3000</v>
      </c>
      <c r="E102">
        <v>4500</v>
      </c>
      <c r="F102">
        <v>4500</v>
      </c>
      <c r="G102">
        <v>0</v>
      </c>
    </row>
    <row r="103" spans="1:7" x14ac:dyDescent="0.15">
      <c r="A103" t="s">
        <v>604</v>
      </c>
      <c r="B103">
        <v>27</v>
      </c>
      <c r="C103">
        <v>2000</v>
      </c>
      <c r="D103">
        <v>2000</v>
      </c>
      <c r="E103">
        <v>3000</v>
      </c>
      <c r="F103">
        <v>3000</v>
      </c>
      <c r="G103">
        <v>0</v>
      </c>
    </row>
    <row r="104" spans="1:7" x14ac:dyDescent="0.15">
      <c r="A104" t="s">
        <v>685</v>
      </c>
      <c r="B104">
        <v>21</v>
      </c>
      <c r="C104">
        <v>0</v>
      </c>
      <c r="D104">
        <v>0</v>
      </c>
      <c r="E104">
        <v>0</v>
      </c>
      <c r="F104">
        <v>0</v>
      </c>
      <c r="G104">
        <v>3000</v>
      </c>
    </row>
    <row r="105" spans="1:7" x14ac:dyDescent="0.15">
      <c r="A105" t="s">
        <v>692</v>
      </c>
      <c r="B105">
        <v>75</v>
      </c>
      <c r="C105">
        <v>0</v>
      </c>
      <c r="D105">
        <v>0</v>
      </c>
      <c r="E105">
        <v>0</v>
      </c>
      <c r="F105">
        <v>0</v>
      </c>
      <c r="G105">
        <v>7200</v>
      </c>
    </row>
    <row r="106" spans="1:7" x14ac:dyDescent="0.15">
      <c r="A106" t="s">
        <v>687</v>
      </c>
      <c r="B106">
        <v>38</v>
      </c>
      <c r="C106">
        <v>0</v>
      </c>
      <c r="D106">
        <v>0</v>
      </c>
      <c r="E106">
        <v>0</v>
      </c>
      <c r="F106">
        <v>0</v>
      </c>
      <c r="G106">
        <v>6000</v>
      </c>
    </row>
    <row r="107" spans="1:7" x14ac:dyDescent="0.15">
      <c r="A107" t="s">
        <v>640</v>
      </c>
      <c r="B107">
        <v>30</v>
      </c>
      <c r="C107">
        <v>500</v>
      </c>
      <c r="D107">
        <v>2000</v>
      </c>
      <c r="E107">
        <v>1000</v>
      </c>
      <c r="F107">
        <v>500</v>
      </c>
      <c r="G107">
        <v>0</v>
      </c>
    </row>
    <row r="108" spans="1:7" x14ac:dyDescent="0.15">
      <c r="A108" t="s">
        <v>641</v>
      </c>
      <c r="B108">
        <v>135</v>
      </c>
      <c r="C108">
        <v>500</v>
      </c>
      <c r="D108">
        <v>500</v>
      </c>
      <c r="E108">
        <v>500</v>
      </c>
      <c r="F108">
        <v>500</v>
      </c>
      <c r="G108">
        <v>0</v>
      </c>
    </row>
    <row r="109" spans="1:7" x14ac:dyDescent="0.15">
      <c r="A109" t="s">
        <v>610</v>
      </c>
      <c r="B109">
        <v>4</v>
      </c>
      <c r="C109">
        <v>1500</v>
      </c>
      <c r="D109">
        <v>2400</v>
      </c>
      <c r="E109">
        <v>2250</v>
      </c>
      <c r="F109">
        <v>1500</v>
      </c>
      <c r="G109">
        <v>0</v>
      </c>
    </row>
    <row r="110" spans="1:7" x14ac:dyDescent="0.15">
      <c r="A110" t="s">
        <v>611</v>
      </c>
      <c r="B110">
        <v>12</v>
      </c>
      <c r="C110">
        <v>1500</v>
      </c>
      <c r="D110">
        <v>2500</v>
      </c>
      <c r="E110">
        <v>2250</v>
      </c>
      <c r="F110">
        <v>1500</v>
      </c>
      <c r="G110">
        <v>0</v>
      </c>
    </row>
    <row r="111" spans="1:7" x14ac:dyDescent="0.15">
      <c r="A111" t="s">
        <v>612</v>
      </c>
      <c r="B111">
        <v>26</v>
      </c>
      <c r="C111">
        <v>4000</v>
      </c>
      <c r="D111">
        <v>6000</v>
      </c>
      <c r="E111">
        <v>5000</v>
      </c>
      <c r="F111">
        <v>3000</v>
      </c>
      <c r="G111">
        <v>0</v>
      </c>
    </row>
    <row r="112" spans="1:7" x14ac:dyDescent="0.15">
      <c r="A112" t="s">
        <v>686</v>
      </c>
      <c r="B112">
        <v>33</v>
      </c>
      <c r="C112">
        <v>0</v>
      </c>
      <c r="D112">
        <v>0</v>
      </c>
      <c r="E112">
        <v>0</v>
      </c>
      <c r="F112">
        <v>0</v>
      </c>
      <c r="G112">
        <v>4000</v>
      </c>
    </row>
    <row r="113" spans="1:7" x14ac:dyDescent="0.15">
      <c r="A113" t="s">
        <v>647</v>
      </c>
      <c r="B113">
        <v>134</v>
      </c>
      <c r="C113">
        <v>1000</v>
      </c>
      <c r="D113">
        <v>2000</v>
      </c>
      <c r="E113">
        <v>4000</v>
      </c>
      <c r="F113">
        <v>1000</v>
      </c>
      <c r="G113">
        <v>0</v>
      </c>
    </row>
    <row r="114" spans="1:7" x14ac:dyDescent="0.15">
      <c r="A114" t="s">
        <v>646</v>
      </c>
      <c r="B114">
        <v>131</v>
      </c>
      <c r="C114">
        <v>1000</v>
      </c>
      <c r="D114">
        <v>4000</v>
      </c>
      <c r="E114">
        <v>2000</v>
      </c>
      <c r="F114">
        <v>1000</v>
      </c>
      <c r="G114">
        <v>0</v>
      </c>
    </row>
    <row r="115" spans="1:7" x14ac:dyDescent="0.15">
      <c r="A115" t="s">
        <v>624</v>
      </c>
      <c r="B115">
        <v>85</v>
      </c>
      <c r="C115">
        <v>0</v>
      </c>
      <c r="D115">
        <v>0</v>
      </c>
      <c r="E115">
        <v>0</v>
      </c>
      <c r="F115">
        <v>1000</v>
      </c>
      <c r="G115">
        <v>0</v>
      </c>
    </row>
    <row r="116" spans="1:7" x14ac:dyDescent="0.15">
      <c r="A116" t="s">
        <v>625</v>
      </c>
      <c r="B116">
        <v>137</v>
      </c>
      <c r="C116">
        <v>0</v>
      </c>
      <c r="D116">
        <v>0</v>
      </c>
      <c r="E116">
        <v>0</v>
      </c>
      <c r="F116">
        <v>5000</v>
      </c>
      <c r="G116">
        <v>0</v>
      </c>
    </row>
    <row r="117" spans="1:7" x14ac:dyDescent="0.15">
      <c r="A117" t="s">
        <v>626</v>
      </c>
      <c r="B117">
        <v>142</v>
      </c>
      <c r="C117">
        <v>0</v>
      </c>
      <c r="D117">
        <v>0</v>
      </c>
      <c r="E117">
        <v>0</v>
      </c>
      <c r="F117">
        <v>8000</v>
      </c>
      <c r="G117">
        <v>0</v>
      </c>
    </row>
    <row r="118" spans="1:7" x14ac:dyDescent="0.15">
      <c r="A118" t="s">
        <v>627</v>
      </c>
      <c r="B118">
        <v>146</v>
      </c>
      <c r="C118">
        <v>0</v>
      </c>
      <c r="D118">
        <v>0</v>
      </c>
      <c r="E118">
        <v>0</v>
      </c>
      <c r="F118">
        <v>35000</v>
      </c>
      <c r="G118">
        <v>0</v>
      </c>
    </row>
    <row r="119" spans="1:7" x14ac:dyDescent="0.15">
      <c r="A119" t="s">
        <v>607</v>
      </c>
      <c r="B119">
        <v>5</v>
      </c>
      <c r="C119">
        <v>900</v>
      </c>
      <c r="D119">
        <v>2250</v>
      </c>
      <c r="E119">
        <v>900</v>
      </c>
      <c r="F119">
        <v>1500</v>
      </c>
      <c r="G119">
        <v>0</v>
      </c>
    </row>
    <row r="120" spans="1:7" x14ac:dyDescent="0.15">
      <c r="A120" t="s">
        <v>608</v>
      </c>
      <c r="B120">
        <v>13</v>
      </c>
      <c r="C120">
        <v>900</v>
      </c>
      <c r="D120">
        <v>2250</v>
      </c>
      <c r="E120">
        <v>900</v>
      </c>
      <c r="F120">
        <v>1500</v>
      </c>
      <c r="G120">
        <v>0</v>
      </c>
    </row>
    <row r="121" spans="1:7" x14ac:dyDescent="0.15">
      <c r="A121" t="s">
        <v>609</v>
      </c>
      <c r="B121">
        <v>28</v>
      </c>
      <c r="C121">
        <v>3000</v>
      </c>
      <c r="D121">
        <v>6000</v>
      </c>
      <c r="E121">
        <v>2000</v>
      </c>
      <c r="F121">
        <v>3000</v>
      </c>
      <c r="G121">
        <v>0</v>
      </c>
    </row>
    <row r="122" spans="1:7" x14ac:dyDescent="0.15">
      <c r="A122" t="s">
        <v>630</v>
      </c>
      <c r="B122">
        <v>23</v>
      </c>
      <c r="C122">
        <v>100</v>
      </c>
      <c r="D122">
        <v>4000</v>
      </c>
      <c r="E122">
        <v>1000</v>
      </c>
      <c r="F122">
        <v>1000</v>
      </c>
      <c r="G122">
        <v>1000</v>
      </c>
    </row>
    <row r="123" spans="1:7" x14ac:dyDescent="0.15">
      <c r="A123" t="s">
        <v>631</v>
      </c>
      <c r="B123">
        <v>86</v>
      </c>
      <c r="C123">
        <v>3000</v>
      </c>
      <c r="D123">
        <v>6000</v>
      </c>
      <c r="E123">
        <v>3000</v>
      </c>
      <c r="F123">
        <v>3000</v>
      </c>
      <c r="G123">
        <v>2500</v>
      </c>
    </row>
    <row r="124" spans="1:7" x14ac:dyDescent="0.15">
      <c r="A124" t="s">
        <v>632</v>
      </c>
      <c r="B124">
        <v>105</v>
      </c>
      <c r="C124">
        <v>5000</v>
      </c>
      <c r="D124">
        <v>8000</v>
      </c>
      <c r="E124">
        <v>5000</v>
      </c>
      <c r="F124">
        <v>5000</v>
      </c>
      <c r="G124">
        <v>5000</v>
      </c>
    </row>
    <row r="125" spans="1:7" x14ac:dyDescent="0.15">
      <c r="A125" t="s">
        <v>633</v>
      </c>
      <c r="B125">
        <v>163</v>
      </c>
      <c r="C125">
        <v>8000</v>
      </c>
      <c r="D125">
        <v>15000</v>
      </c>
      <c r="E125">
        <v>10000</v>
      </c>
      <c r="F125">
        <v>8000</v>
      </c>
      <c r="G125">
        <v>8000</v>
      </c>
    </row>
    <row r="126" spans="1:7" x14ac:dyDescent="0.15">
      <c r="A126" t="s">
        <v>634</v>
      </c>
      <c r="B126">
        <v>163</v>
      </c>
      <c r="C126">
        <v>8000</v>
      </c>
      <c r="D126">
        <v>15000</v>
      </c>
      <c r="E126">
        <v>10000</v>
      </c>
      <c r="F126">
        <v>8000</v>
      </c>
      <c r="G126">
        <v>8000</v>
      </c>
    </row>
    <row r="127" spans="1:7" x14ac:dyDescent="0.15">
      <c r="A127" t="s">
        <v>635</v>
      </c>
      <c r="B127">
        <v>163</v>
      </c>
      <c r="C127">
        <v>8000</v>
      </c>
      <c r="D127">
        <v>15000</v>
      </c>
      <c r="E127">
        <v>10000</v>
      </c>
      <c r="F127">
        <v>8000</v>
      </c>
      <c r="G127">
        <v>8000</v>
      </c>
    </row>
    <row r="128" spans="1:7" x14ac:dyDescent="0.15">
      <c r="A128" t="s">
        <v>636</v>
      </c>
      <c r="B128">
        <v>163</v>
      </c>
      <c r="C128">
        <v>8000</v>
      </c>
      <c r="D128">
        <v>15000</v>
      </c>
      <c r="E128">
        <v>10000</v>
      </c>
      <c r="F128">
        <v>8000</v>
      </c>
      <c r="G128">
        <v>8000</v>
      </c>
    </row>
    <row r="129" spans="1:7" x14ac:dyDescent="0.15">
      <c r="A129" t="s">
        <v>637</v>
      </c>
      <c r="B129">
        <v>163</v>
      </c>
      <c r="C129">
        <v>8000</v>
      </c>
      <c r="D129">
        <v>15000</v>
      </c>
      <c r="E129">
        <v>10000</v>
      </c>
      <c r="F129">
        <v>8000</v>
      </c>
      <c r="G129">
        <v>8000</v>
      </c>
    </row>
    <row r="130" spans="1:7" x14ac:dyDescent="0.15">
      <c r="A130" t="s">
        <v>689</v>
      </c>
      <c r="B130">
        <v>63</v>
      </c>
      <c r="C130">
        <v>0</v>
      </c>
      <c r="D130">
        <v>0</v>
      </c>
      <c r="E130">
        <v>0</v>
      </c>
      <c r="F130">
        <v>0</v>
      </c>
      <c r="G130">
        <v>6000</v>
      </c>
    </row>
    <row r="131" spans="1:7" x14ac:dyDescent="0.15">
      <c r="A131" t="s">
        <v>740</v>
      </c>
      <c r="B131">
        <v>200</v>
      </c>
      <c r="C131">
        <v>0</v>
      </c>
      <c r="D131">
        <v>0</v>
      </c>
      <c r="E131">
        <v>0</v>
      </c>
      <c r="F131">
        <v>0</v>
      </c>
      <c r="G131">
        <v>8000</v>
      </c>
    </row>
    <row r="132" spans="1:7" x14ac:dyDescent="0.15">
      <c r="A132" t="s">
        <v>741</v>
      </c>
      <c r="B132">
        <v>201</v>
      </c>
      <c r="C132">
        <v>0</v>
      </c>
      <c r="D132">
        <v>0</v>
      </c>
      <c r="E132">
        <v>0</v>
      </c>
      <c r="F132">
        <v>0</v>
      </c>
      <c r="G132">
        <v>8000</v>
      </c>
    </row>
    <row r="133" spans="1:7" x14ac:dyDescent="0.15">
      <c r="A133" t="s">
        <v>742</v>
      </c>
      <c r="B133">
        <v>202</v>
      </c>
      <c r="C133">
        <v>0</v>
      </c>
      <c r="D133">
        <v>0</v>
      </c>
      <c r="E133">
        <v>0</v>
      </c>
      <c r="F133">
        <v>0</v>
      </c>
      <c r="G133">
        <v>15000</v>
      </c>
    </row>
    <row r="134" spans="1:7" x14ac:dyDescent="0.15">
      <c r="A134" t="s">
        <v>743</v>
      </c>
      <c r="B134">
        <v>203</v>
      </c>
      <c r="C134">
        <v>0</v>
      </c>
      <c r="D134">
        <v>0</v>
      </c>
      <c r="E134">
        <v>0</v>
      </c>
      <c r="F134">
        <v>0</v>
      </c>
      <c r="G134">
        <v>15000</v>
      </c>
    </row>
    <row r="135" spans="1:7" x14ac:dyDescent="0.15">
      <c r="A135" t="s">
        <v>744</v>
      </c>
      <c r="B135">
        <v>204</v>
      </c>
      <c r="C135">
        <v>0</v>
      </c>
      <c r="D135">
        <v>0</v>
      </c>
      <c r="E135">
        <v>0</v>
      </c>
      <c r="F135">
        <v>0</v>
      </c>
      <c r="G135">
        <v>15000</v>
      </c>
    </row>
    <row r="136" spans="1:7" x14ac:dyDescent="0.15">
      <c r="A136" t="s">
        <v>745</v>
      </c>
      <c r="B136">
        <v>205</v>
      </c>
      <c r="C136">
        <v>0</v>
      </c>
      <c r="D136">
        <v>0</v>
      </c>
      <c r="E136">
        <v>0</v>
      </c>
      <c r="F136">
        <v>0</v>
      </c>
      <c r="G136">
        <v>24000</v>
      </c>
    </row>
    <row r="137" spans="1:7" x14ac:dyDescent="0.15">
      <c r="A137" t="s">
        <v>746</v>
      </c>
      <c r="B137">
        <v>206</v>
      </c>
      <c r="C137">
        <v>0</v>
      </c>
      <c r="D137">
        <v>0</v>
      </c>
      <c r="E137">
        <v>0</v>
      </c>
      <c r="F137">
        <v>0</v>
      </c>
      <c r="G137">
        <v>24000</v>
      </c>
    </row>
    <row r="138" spans="1:7" x14ac:dyDescent="0.15">
      <c r="A138" t="s">
        <v>747</v>
      </c>
      <c r="B138">
        <v>207</v>
      </c>
      <c r="C138">
        <v>0</v>
      </c>
      <c r="D138">
        <v>0</v>
      </c>
      <c r="E138">
        <v>0</v>
      </c>
      <c r="F138">
        <v>0</v>
      </c>
      <c r="G138">
        <v>24000</v>
      </c>
    </row>
    <row r="139" spans="1:7" x14ac:dyDescent="0.15">
      <c r="A139" t="s">
        <v>748</v>
      </c>
      <c r="B139">
        <v>208</v>
      </c>
      <c r="C139">
        <v>0</v>
      </c>
      <c r="D139">
        <v>0</v>
      </c>
      <c r="E139">
        <v>0</v>
      </c>
      <c r="F139">
        <v>0</v>
      </c>
      <c r="G139">
        <v>30000</v>
      </c>
    </row>
    <row r="140" spans="1:7" x14ac:dyDescent="0.15">
      <c r="A140" t="s">
        <v>749</v>
      </c>
      <c r="B140">
        <v>209</v>
      </c>
      <c r="C140">
        <v>0</v>
      </c>
      <c r="D140">
        <v>0</v>
      </c>
      <c r="E140">
        <v>0</v>
      </c>
      <c r="F140">
        <v>0</v>
      </c>
      <c r="G140">
        <v>30000</v>
      </c>
    </row>
    <row r="141" spans="1:7" x14ac:dyDescent="0.15">
      <c r="A141" t="s">
        <v>750</v>
      </c>
      <c r="B141">
        <v>210</v>
      </c>
      <c r="C141">
        <v>0</v>
      </c>
      <c r="D141">
        <v>0</v>
      </c>
      <c r="E141">
        <v>0</v>
      </c>
      <c r="F141">
        <v>0</v>
      </c>
      <c r="G141">
        <v>30000</v>
      </c>
    </row>
    <row r="142" spans="1:7" x14ac:dyDescent="0.15">
      <c r="A142" t="s">
        <v>751</v>
      </c>
      <c r="B142">
        <v>211</v>
      </c>
      <c r="C142">
        <v>0</v>
      </c>
      <c r="D142">
        <v>0</v>
      </c>
      <c r="E142">
        <v>0</v>
      </c>
      <c r="F142">
        <v>0</v>
      </c>
      <c r="G142">
        <v>40000</v>
      </c>
    </row>
    <row r="143" spans="1:7" x14ac:dyDescent="0.15">
      <c r="A143" t="s">
        <v>752</v>
      </c>
      <c r="B143">
        <v>212</v>
      </c>
      <c r="C143">
        <v>0</v>
      </c>
      <c r="D143">
        <v>0</v>
      </c>
      <c r="E143">
        <v>0</v>
      </c>
      <c r="F143">
        <v>0</v>
      </c>
      <c r="G143">
        <v>40000</v>
      </c>
    </row>
    <row r="144" spans="1:7" x14ac:dyDescent="0.15">
      <c r="A144" t="s">
        <v>753</v>
      </c>
      <c r="B144">
        <v>213</v>
      </c>
      <c r="C144">
        <v>0</v>
      </c>
      <c r="D144">
        <v>0</v>
      </c>
      <c r="E144">
        <v>0</v>
      </c>
      <c r="F144">
        <v>0</v>
      </c>
      <c r="G144">
        <v>40000</v>
      </c>
    </row>
    <row r="145" spans="1:7" x14ac:dyDescent="0.15">
      <c r="A145" t="s">
        <v>754</v>
      </c>
      <c r="B145">
        <v>214</v>
      </c>
      <c r="C145">
        <v>0</v>
      </c>
      <c r="D145">
        <v>0</v>
      </c>
      <c r="E145">
        <v>0</v>
      </c>
      <c r="F145">
        <v>0</v>
      </c>
      <c r="G145">
        <v>50000</v>
      </c>
    </row>
    <row r="146" spans="1:7" x14ac:dyDescent="0.15">
      <c r="A146" t="s">
        <v>755</v>
      </c>
      <c r="B146">
        <v>215</v>
      </c>
      <c r="C146">
        <v>0</v>
      </c>
      <c r="D146">
        <v>0</v>
      </c>
      <c r="E146">
        <v>0</v>
      </c>
      <c r="F146">
        <v>0</v>
      </c>
      <c r="G146">
        <v>50000</v>
      </c>
    </row>
    <row r="147" spans="1:7" x14ac:dyDescent="0.15">
      <c r="A147" t="s">
        <v>756</v>
      </c>
      <c r="B147">
        <v>216</v>
      </c>
      <c r="C147">
        <v>0</v>
      </c>
      <c r="D147">
        <v>0</v>
      </c>
      <c r="E147">
        <v>0</v>
      </c>
      <c r="F147">
        <v>0</v>
      </c>
      <c r="G147">
        <v>50000</v>
      </c>
    </row>
    <row r="148" spans="1:7" x14ac:dyDescent="0.15">
      <c r="A148" t="s">
        <v>757</v>
      </c>
      <c r="B148">
        <v>217</v>
      </c>
      <c r="C148">
        <v>0</v>
      </c>
      <c r="D148">
        <v>0</v>
      </c>
      <c r="E148">
        <v>0</v>
      </c>
      <c r="F148">
        <v>0</v>
      </c>
      <c r="G148">
        <v>70000</v>
      </c>
    </row>
    <row r="149" spans="1:7" x14ac:dyDescent="0.15">
      <c r="A149" t="s">
        <v>758</v>
      </c>
      <c r="B149">
        <v>218</v>
      </c>
      <c r="C149">
        <v>0</v>
      </c>
      <c r="D149">
        <v>0</v>
      </c>
      <c r="E149">
        <v>0</v>
      </c>
      <c r="F149">
        <v>0</v>
      </c>
      <c r="G149">
        <v>70000</v>
      </c>
    </row>
    <row r="150" spans="1:7" x14ac:dyDescent="0.15">
      <c r="A150" t="s">
        <v>759</v>
      </c>
      <c r="B150">
        <v>219</v>
      </c>
      <c r="C150">
        <v>0</v>
      </c>
      <c r="D150">
        <v>0</v>
      </c>
      <c r="E150">
        <v>0</v>
      </c>
      <c r="F150">
        <v>0</v>
      </c>
      <c r="G150">
        <v>70000</v>
      </c>
    </row>
    <row r="151" spans="1:7" x14ac:dyDescent="0.15">
      <c r="A151" t="s">
        <v>760</v>
      </c>
      <c r="B151">
        <v>219</v>
      </c>
      <c r="C151">
        <v>0</v>
      </c>
      <c r="D151">
        <v>0</v>
      </c>
      <c r="E151">
        <v>0</v>
      </c>
      <c r="F151">
        <v>0</v>
      </c>
      <c r="G151">
        <v>70000</v>
      </c>
    </row>
    <row r="152" spans="1:7" x14ac:dyDescent="0.15">
      <c r="A152" t="s">
        <v>761</v>
      </c>
      <c r="B152">
        <v>219</v>
      </c>
      <c r="C152">
        <v>0</v>
      </c>
      <c r="D152">
        <v>0</v>
      </c>
      <c r="E152">
        <v>0</v>
      </c>
      <c r="F152">
        <v>0</v>
      </c>
      <c r="G152">
        <v>70000</v>
      </c>
    </row>
    <row r="153" spans="1:7" x14ac:dyDescent="0.15">
      <c r="A153" t="s">
        <v>762</v>
      </c>
      <c r="B153">
        <v>219</v>
      </c>
      <c r="C153">
        <v>0</v>
      </c>
      <c r="D153">
        <v>0</v>
      </c>
      <c r="E153">
        <v>0</v>
      </c>
      <c r="F153">
        <v>0</v>
      </c>
      <c r="G153">
        <v>70000</v>
      </c>
    </row>
    <row r="154" spans="1:7" x14ac:dyDescent="0.15">
      <c r="A154" t="s">
        <v>763</v>
      </c>
      <c r="B154">
        <v>219</v>
      </c>
      <c r="C154">
        <v>0</v>
      </c>
      <c r="D154">
        <v>0</v>
      </c>
      <c r="E154">
        <v>0</v>
      </c>
      <c r="F154">
        <v>0</v>
      </c>
      <c r="G154">
        <v>70000</v>
      </c>
    </row>
    <row r="155" spans="1:7" x14ac:dyDescent="0.15">
      <c r="A155" t="s">
        <v>764</v>
      </c>
      <c r="B155">
        <v>219</v>
      </c>
      <c r="C155">
        <v>0</v>
      </c>
      <c r="D155">
        <v>0</v>
      </c>
      <c r="E155">
        <v>0</v>
      </c>
      <c r="F155">
        <v>0</v>
      </c>
      <c r="G155">
        <v>70000</v>
      </c>
    </row>
    <row r="156" spans="1:7" x14ac:dyDescent="0.15">
      <c r="A156" t="s">
        <v>765</v>
      </c>
      <c r="B156">
        <v>219</v>
      </c>
      <c r="C156">
        <v>0</v>
      </c>
      <c r="D156">
        <v>0</v>
      </c>
      <c r="E156">
        <v>0</v>
      </c>
      <c r="F156">
        <v>0</v>
      </c>
      <c r="G156">
        <v>70000</v>
      </c>
    </row>
    <row r="157" spans="1:7" x14ac:dyDescent="0.15">
      <c r="A157" t="s">
        <v>766</v>
      </c>
      <c r="B157">
        <v>219</v>
      </c>
      <c r="C157">
        <v>0</v>
      </c>
      <c r="D157">
        <v>0</v>
      </c>
      <c r="E157">
        <v>0</v>
      </c>
      <c r="F157">
        <v>0</v>
      </c>
      <c r="G157">
        <v>70000</v>
      </c>
    </row>
    <row r="158" spans="1:7" x14ac:dyDescent="0.15">
      <c r="A158" t="s">
        <v>767</v>
      </c>
      <c r="B158">
        <v>219</v>
      </c>
      <c r="C158">
        <v>0</v>
      </c>
      <c r="D158">
        <v>0</v>
      </c>
      <c r="E158">
        <v>0</v>
      </c>
      <c r="F158">
        <v>0</v>
      </c>
      <c r="G158">
        <v>70000</v>
      </c>
    </row>
    <row r="159" spans="1:7" x14ac:dyDescent="0.15">
      <c r="A159" t="s">
        <v>768</v>
      </c>
      <c r="B159">
        <v>219</v>
      </c>
      <c r="C159">
        <v>0</v>
      </c>
      <c r="D159">
        <v>0</v>
      </c>
      <c r="E159">
        <v>0</v>
      </c>
      <c r="F159">
        <v>0</v>
      </c>
      <c r="G159">
        <v>70000</v>
      </c>
    </row>
    <row r="160" spans="1:7" x14ac:dyDescent="0.15">
      <c r="A160" t="s">
        <v>769</v>
      </c>
      <c r="B160">
        <v>219</v>
      </c>
      <c r="C160">
        <v>0</v>
      </c>
      <c r="D160">
        <v>0</v>
      </c>
      <c r="E160">
        <v>0</v>
      </c>
      <c r="F160">
        <v>0</v>
      </c>
      <c r="G160">
        <v>70000</v>
      </c>
    </row>
    <row r="161" spans="1:7" x14ac:dyDescent="0.15">
      <c r="A161" t="s">
        <v>734</v>
      </c>
      <c r="B161">
        <v>194</v>
      </c>
      <c r="C161">
        <v>0</v>
      </c>
      <c r="D161">
        <v>0</v>
      </c>
      <c r="E161">
        <v>0</v>
      </c>
      <c r="F161">
        <v>0</v>
      </c>
      <c r="G161">
        <v>1000</v>
      </c>
    </row>
    <row r="162" spans="1:7" x14ac:dyDescent="0.15">
      <c r="A162" t="s">
        <v>770</v>
      </c>
      <c r="B162">
        <v>219</v>
      </c>
      <c r="C162">
        <v>0</v>
      </c>
      <c r="D162">
        <v>0</v>
      </c>
      <c r="E162">
        <v>0</v>
      </c>
      <c r="F162">
        <v>0</v>
      </c>
      <c r="G162">
        <v>70000</v>
      </c>
    </row>
    <row r="163" spans="1:7" x14ac:dyDescent="0.15">
      <c r="A163" t="s">
        <v>771</v>
      </c>
      <c r="B163">
        <v>219</v>
      </c>
      <c r="C163">
        <v>0</v>
      </c>
      <c r="D163">
        <v>0</v>
      </c>
      <c r="E163">
        <v>0</v>
      </c>
      <c r="F163">
        <v>0</v>
      </c>
      <c r="G163">
        <v>70000</v>
      </c>
    </row>
    <row r="164" spans="1:7" x14ac:dyDescent="0.15">
      <c r="A164" t="s">
        <v>772</v>
      </c>
      <c r="B164">
        <v>219</v>
      </c>
      <c r="C164">
        <v>0</v>
      </c>
      <c r="D164">
        <v>0</v>
      </c>
      <c r="E164">
        <v>0</v>
      </c>
      <c r="F164">
        <v>0</v>
      </c>
      <c r="G164">
        <v>70000</v>
      </c>
    </row>
    <row r="165" spans="1:7" x14ac:dyDescent="0.15">
      <c r="A165" t="s">
        <v>773</v>
      </c>
      <c r="B165">
        <v>219</v>
      </c>
      <c r="C165">
        <v>0</v>
      </c>
      <c r="D165">
        <v>0</v>
      </c>
      <c r="E165">
        <v>0</v>
      </c>
      <c r="F165">
        <v>0</v>
      </c>
      <c r="G165">
        <v>70000</v>
      </c>
    </row>
    <row r="166" spans="1:7" x14ac:dyDescent="0.15">
      <c r="A166" t="s">
        <v>774</v>
      </c>
      <c r="B166">
        <v>219</v>
      </c>
      <c r="C166">
        <v>0</v>
      </c>
      <c r="D166">
        <v>0</v>
      </c>
      <c r="E166">
        <v>0</v>
      </c>
      <c r="F166">
        <v>0</v>
      </c>
      <c r="G166">
        <v>70000</v>
      </c>
    </row>
    <row r="167" spans="1:7" x14ac:dyDescent="0.15">
      <c r="A167" t="s">
        <v>775</v>
      </c>
      <c r="B167">
        <v>219</v>
      </c>
      <c r="C167">
        <v>0</v>
      </c>
      <c r="D167">
        <v>0</v>
      </c>
      <c r="E167">
        <v>0</v>
      </c>
      <c r="F167">
        <v>0</v>
      </c>
      <c r="G167">
        <v>70000</v>
      </c>
    </row>
    <row r="168" spans="1:7" x14ac:dyDescent="0.15">
      <c r="A168" t="s">
        <v>776</v>
      </c>
      <c r="B168">
        <v>219</v>
      </c>
      <c r="C168">
        <v>0</v>
      </c>
      <c r="D168">
        <v>0</v>
      </c>
      <c r="E168">
        <v>0</v>
      </c>
      <c r="F168">
        <v>0</v>
      </c>
      <c r="G168">
        <v>70000</v>
      </c>
    </row>
    <row r="169" spans="1:7" x14ac:dyDescent="0.15">
      <c r="A169" t="s">
        <v>777</v>
      </c>
      <c r="B169">
        <v>219</v>
      </c>
      <c r="C169">
        <v>0</v>
      </c>
      <c r="D169">
        <v>0</v>
      </c>
      <c r="E169">
        <v>0</v>
      </c>
      <c r="F169">
        <v>0</v>
      </c>
      <c r="G169">
        <v>70000</v>
      </c>
    </row>
    <row r="170" spans="1:7" x14ac:dyDescent="0.15">
      <c r="A170" t="s">
        <v>735</v>
      </c>
      <c r="B170">
        <v>195</v>
      </c>
      <c r="C170">
        <v>0</v>
      </c>
      <c r="D170">
        <v>0</v>
      </c>
      <c r="E170">
        <v>0</v>
      </c>
      <c r="F170">
        <v>0</v>
      </c>
      <c r="G170">
        <v>1000</v>
      </c>
    </row>
    <row r="171" spans="1:7" x14ac:dyDescent="0.15">
      <c r="A171" t="s">
        <v>736</v>
      </c>
      <c r="B171">
        <v>196</v>
      </c>
      <c r="C171">
        <v>0</v>
      </c>
      <c r="D171">
        <v>0</v>
      </c>
      <c r="E171">
        <v>0</v>
      </c>
      <c r="F171">
        <v>0</v>
      </c>
      <c r="G171">
        <v>5000</v>
      </c>
    </row>
    <row r="172" spans="1:7" x14ac:dyDescent="0.15">
      <c r="A172" t="s">
        <v>737</v>
      </c>
      <c r="B172">
        <v>197</v>
      </c>
      <c r="C172">
        <v>0</v>
      </c>
      <c r="D172">
        <v>0</v>
      </c>
      <c r="E172">
        <v>0</v>
      </c>
      <c r="F172">
        <v>0</v>
      </c>
      <c r="G172">
        <v>5000</v>
      </c>
    </row>
    <row r="173" spans="1:7" x14ac:dyDescent="0.15">
      <c r="A173" t="s">
        <v>738</v>
      </c>
      <c r="B173">
        <v>198</v>
      </c>
      <c r="C173">
        <v>0</v>
      </c>
      <c r="D173">
        <v>0</v>
      </c>
      <c r="E173">
        <v>0</v>
      </c>
      <c r="F173">
        <v>0</v>
      </c>
      <c r="G173">
        <v>5000</v>
      </c>
    </row>
    <row r="174" spans="1:7" x14ac:dyDescent="0.15">
      <c r="A174" t="s">
        <v>739</v>
      </c>
      <c r="B174">
        <v>199</v>
      </c>
      <c r="C174">
        <v>0</v>
      </c>
      <c r="D174">
        <v>0</v>
      </c>
      <c r="E174">
        <v>0</v>
      </c>
      <c r="F174">
        <v>0</v>
      </c>
      <c r="G174">
        <v>8000</v>
      </c>
    </row>
    <row r="175" spans="1:7" x14ac:dyDescent="0.15">
      <c r="A175" t="s">
        <v>822</v>
      </c>
      <c r="B175">
        <v>16</v>
      </c>
      <c r="C175">
        <v>0</v>
      </c>
      <c r="D175">
        <v>0</v>
      </c>
      <c r="E175">
        <v>0</v>
      </c>
      <c r="F175">
        <v>0</v>
      </c>
      <c r="G175">
        <v>1200</v>
      </c>
    </row>
    <row r="176" spans="1:7" x14ac:dyDescent="0.15">
      <c r="A176" t="s">
        <v>642</v>
      </c>
      <c r="B176">
        <v>37</v>
      </c>
      <c r="C176">
        <v>500</v>
      </c>
      <c r="D176">
        <v>1600</v>
      </c>
      <c r="E176">
        <v>1000</v>
      </c>
      <c r="F176">
        <v>500</v>
      </c>
      <c r="G176">
        <v>0</v>
      </c>
    </row>
    <row r="177" spans="1:7" x14ac:dyDescent="0.15">
      <c r="A177" t="s">
        <v>643</v>
      </c>
      <c r="B177">
        <v>135</v>
      </c>
      <c r="C177">
        <v>500</v>
      </c>
      <c r="D177">
        <v>2000</v>
      </c>
      <c r="E177">
        <v>1000</v>
      </c>
      <c r="F177">
        <v>500</v>
      </c>
      <c r="G177">
        <v>0</v>
      </c>
    </row>
    <row r="178" spans="1:7" x14ac:dyDescent="0.15">
      <c r="A178" t="s">
        <v>644</v>
      </c>
      <c r="B178">
        <v>59</v>
      </c>
      <c r="C178">
        <v>500</v>
      </c>
      <c r="D178">
        <v>1600</v>
      </c>
      <c r="E178">
        <v>1000</v>
      </c>
      <c r="F178">
        <v>500</v>
      </c>
      <c r="G178">
        <v>0</v>
      </c>
    </row>
    <row r="179" spans="1:7" x14ac:dyDescent="0.15">
      <c r="A179" t="s">
        <v>674</v>
      </c>
      <c r="B179">
        <v>20</v>
      </c>
      <c r="C179">
        <v>300</v>
      </c>
      <c r="D179">
        <v>5000</v>
      </c>
      <c r="E179">
        <v>3000</v>
      </c>
      <c r="F179">
        <v>400</v>
      </c>
      <c r="G179">
        <v>0</v>
      </c>
    </row>
    <row r="180" spans="1:7" x14ac:dyDescent="0.15">
      <c r="A180" t="s">
        <v>673</v>
      </c>
      <c r="B180">
        <v>20</v>
      </c>
      <c r="C180">
        <v>300</v>
      </c>
      <c r="D180">
        <v>5000</v>
      </c>
      <c r="E180">
        <v>3000</v>
      </c>
      <c r="F180">
        <v>400</v>
      </c>
      <c r="G180">
        <v>0</v>
      </c>
    </row>
    <row r="181" spans="1:7" x14ac:dyDescent="0.15">
      <c r="A181" t="s">
        <v>675</v>
      </c>
      <c r="B181">
        <v>50</v>
      </c>
      <c r="C181">
        <v>1000</v>
      </c>
      <c r="D181">
        <v>8000</v>
      </c>
      <c r="E181">
        <v>5000</v>
      </c>
      <c r="F181">
        <v>1000</v>
      </c>
      <c r="G181">
        <v>0</v>
      </c>
    </row>
    <row r="182" spans="1:7" x14ac:dyDescent="0.15">
      <c r="A182" t="s">
        <v>676</v>
      </c>
      <c r="B182">
        <v>62</v>
      </c>
      <c r="C182">
        <v>1500</v>
      </c>
      <c r="D182">
        <v>13000</v>
      </c>
      <c r="E182">
        <v>7500</v>
      </c>
      <c r="F182">
        <v>1500</v>
      </c>
      <c r="G182">
        <v>0</v>
      </c>
    </row>
    <row r="183" spans="1:7" x14ac:dyDescent="0.15">
      <c r="A183" t="s">
        <v>677</v>
      </c>
      <c r="B183">
        <v>70</v>
      </c>
      <c r="C183">
        <v>2000</v>
      </c>
      <c r="D183">
        <v>15000</v>
      </c>
      <c r="E183">
        <v>8000</v>
      </c>
      <c r="F183">
        <v>2000</v>
      </c>
      <c r="G183">
        <v>0</v>
      </c>
    </row>
    <row r="184" spans="1:7" x14ac:dyDescent="0.15">
      <c r="A184" t="s">
        <v>678</v>
      </c>
      <c r="B184">
        <v>74</v>
      </c>
      <c r="C184">
        <v>2000</v>
      </c>
      <c r="D184">
        <v>15000</v>
      </c>
      <c r="E184">
        <v>8000</v>
      </c>
      <c r="F184">
        <v>2000</v>
      </c>
      <c r="G184">
        <v>0</v>
      </c>
    </row>
    <row r="185" spans="1:7" x14ac:dyDescent="0.15">
      <c r="A185" t="s">
        <v>679</v>
      </c>
      <c r="B185">
        <v>101</v>
      </c>
      <c r="C185">
        <v>2000</v>
      </c>
      <c r="D185">
        <v>15000</v>
      </c>
      <c r="E185">
        <v>8000</v>
      </c>
      <c r="F185">
        <v>2000</v>
      </c>
      <c r="G185">
        <v>0</v>
      </c>
    </row>
    <row r="186" spans="1:7" x14ac:dyDescent="0.15">
      <c r="A186" t="s">
        <v>680</v>
      </c>
      <c r="B186">
        <v>167</v>
      </c>
      <c r="C186">
        <v>2000</v>
      </c>
      <c r="D186">
        <v>15000</v>
      </c>
      <c r="E186">
        <v>8000</v>
      </c>
      <c r="F186">
        <v>2000</v>
      </c>
      <c r="G186">
        <v>0</v>
      </c>
    </row>
    <row r="187" spans="1:7" x14ac:dyDescent="0.15">
      <c r="A187" t="s">
        <v>681</v>
      </c>
      <c r="B187">
        <v>170</v>
      </c>
      <c r="C187">
        <v>2000</v>
      </c>
      <c r="D187">
        <v>15000</v>
      </c>
      <c r="E187">
        <v>8000</v>
      </c>
      <c r="F187">
        <v>2000</v>
      </c>
      <c r="G187">
        <v>0</v>
      </c>
    </row>
    <row r="188" spans="1:7" x14ac:dyDescent="0.15">
      <c r="A188" t="s">
        <v>682</v>
      </c>
      <c r="B188">
        <v>221</v>
      </c>
      <c r="C188">
        <v>2000</v>
      </c>
      <c r="D188">
        <v>15000</v>
      </c>
      <c r="E188">
        <v>8000</v>
      </c>
      <c r="F188">
        <v>2000</v>
      </c>
      <c r="G188">
        <v>0</v>
      </c>
    </row>
    <row r="189" spans="1:7" x14ac:dyDescent="0.15">
      <c r="A189" t="s">
        <v>712</v>
      </c>
      <c r="B189">
        <v>48</v>
      </c>
      <c r="C189">
        <v>300</v>
      </c>
      <c r="D189">
        <v>2000</v>
      </c>
      <c r="E189">
        <v>6000</v>
      </c>
      <c r="F189">
        <v>600</v>
      </c>
      <c r="G189">
        <v>0</v>
      </c>
    </row>
    <row r="190" spans="1:7" x14ac:dyDescent="0.15">
      <c r="A190" t="s">
        <v>713</v>
      </c>
      <c r="B190">
        <v>68</v>
      </c>
      <c r="C190">
        <v>300</v>
      </c>
      <c r="D190">
        <v>2000</v>
      </c>
      <c r="E190">
        <v>6000</v>
      </c>
      <c r="F190">
        <v>600</v>
      </c>
      <c r="G190">
        <v>0</v>
      </c>
    </row>
    <row r="191" spans="1:7" x14ac:dyDescent="0.15">
      <c r="A191" t="s">
        <v>714</v>
      </c>
      <c r="B191">
        <v>76</v>
      </c>
      <c r="C191">
        <v>500</v>
      </c>
      <c r="D191">
        <v>4000</v>
      </c>
      <c r="E191">
        <v>8500</v>
      </c>
      <c r="F191">
        <v>1000</v>
      </c>
      <c r="G191">
        <v>0</v>
      </c>
    </row>
    <row r="192" spans="1:7" x14ac:dyDescent="0.15">
      <c r="A192" t="s">
        <v>715</v>
      </c>
      <c r="B192">
        <v>82</v>
      </c>
      <c r="C192">
        <v>750</v>
      </c>
      <c r="D192">
        <v>6000</v>
      </c>
      <c r="E192">
        <v>10000</v>
      </c>
      <c r="F192">
        <v>2000</v>
      </c>
      <c r="G192">
        <v>0</v>
      </c>
    </row>
    <row r="193" spans="1:7" x14ac:dyDescent="0.15">
      <c r="A193" t="s">
        <v>716</v>
      </c>
      <c r="B193">
        <v>98</v>
      </c>
      <c r="C193">
        <v>1000</v>
      </c>
      <c r="D193">
        <v>8000</v>
      </c>
      <c r="E193">
        <v>16000</v>
      </c>
      <c r="F193">
        <v>4000</v>
      </c>
      <c r="G193">
        <v>0</v>
      </c>
    </row>
    <row r="194" spans="1:7" x14ac:dyDescent="0.15">
      <c r="A194" t="s">
        <v>717</v>
      </c>
      <c r="B194">
        <v>102</v>
      </c>
      <c r="C194">
        <v>1000</v>
      </c>
      <c r="D194">
        <v>8500</v>
      </c>
      <c r="E194">
        <v>16000</v>
      </c>
      <c r="F194">
        <v>5000</v>
      </c>
      <c r="G194">
        <v>0</v>
      </c>
    </row>
    <row r="195" spans="1:7" x14ac:dyDescent="0.15">
      <c r="A195" t="s">
        <v>718</v>
      </c>
      <c r="B195">
        <v>165</v>
      </c>
      <c r="C195">
        <v>1000</v>
      </c>
      <c r="D195">
        <v>8500</v>
      </c>
      <c r="E195">
        <v>16000</v>
      </c>
      <c r="F195">
        <v>5000</v>
      </c>
      <c r="G195">
        <v>0</v>
      </c>
    </row>
    <row r="196" spans="1:7" x14ac:dyDescent="0.15">
      <c r="A196" t="s">
        <v>719</v>
      </c>
      <c r="B196">
        <v>168</v>
      </c>
      <c r="C196">
        <v>1000</v>
      </c>
      <c r="D196">
        <v>8500</v>
      </c>
      <c r="E196">
        <v>16000</v>
      </c>
      <c r="F196">
        <v>5000</v>
      </c>
      <c r="G196">
        <v>0</v>
      </c>
    </row>
    <row r="197" spans="1:7" x14ac:dyDescent="0.15">
      <c r="A197" t="s">
        <v>720</v>
      </c>
      <c r="B197">
        <v>171</v>
      </c>
      <c r="C197">
        <v>1000</v>
      </c>
      <c r="D197">
        <v>8500</v>
      </c>
      <c r="E197">
        <v>16000</v>
      </c>
      <c r="F197">
        <v>5000</v>
      </c>
      <c r="G197">
        <v>0</v>
      </c>
    </row>
    <row r="198" spans="1:7" x14ac:dyDescent="0.15">
      <c r="A198" t="s">
        <v>721</v>
      </c>
      <c r="B198">
        <v>225</v>
      </c>
      <c r="C198">
        <v>1000</v>
      </c>
      <c r="D198">
        <v>8500</v>
      </c>
      <c r="E198">
        <v>16000</v>
      </c>
      <c r="F198">
        <v>5000</v>
      </c>
      <c r="G198">
        <v>0</v>
      </c>
    </row>
    <row r="199" spans="1:7" x14ac:dyDescent="0.15">
      <c r="A199" t="s">
        <v>620</v>
      </c>
      <c r="B199">
        <v>84</v>
      </c>
      <c r="C199">
        <v>0</v>
      </c>
      <c r="D199">
        <v>0</v>
      </c>
      <c r="E199">
        <v>1000</v>
      </c>
      <c r="F199">
        <v>0</v>
      </c>
      <c r="G199">
        <v>0</v>
      </c>
    </row>
    <row r="200" spans="1:7" x14ac:dyDescent="0.15">
      <c r="A200" t="s">
        <v>621</v>
      </c>
      <c r="B200">
        <v>100</v>
      </c>
      <c r="C200">
        <v>0</v>
      </c>
      <c r="D200">
        <v>0</v>
      </c>
      <c r="E200">
        <v>5000</v>
      </c>
      <c r="F200">
        <v>0</v>
      </c>
      <c r="G200">
        <v>0</v>
      </c>
    </row>
    <row r="201" spans="1:7" x14ac:dyDescent="0.15">
      <c r="A201" t="s">
        <v>622</v>
      </c>
      <c r="B201">
        <v>106</v>
      </c>
      <c r="C201">
        <v>0</v>
      </c>
      <c r="D201">
        <v>0</v>
      </c>
      <c r="E201">
        <v>8000</v>
      </c>
      <c r="F201">
        <v>0</v>
      </c>
      <c r="G201">
        <v>0</v>
      </c>
    </row>
    <row r="202" spans="1:7" x14ac:dyDescent="0.15">
      <c r="A202" t="s">
        <v>623</v>
      </c>
      <c r="B202">
        <v>148</v>
      </c>
      <c r="C202">
        <v>0</v>
      </c>
      <c r="D202">
        <v>0</v>
      </c>
      <c r="E202">
        <v>40000</v>
      </c>
      <c r="F202">
        <v>0</v>
      </c>
      <c r="G202">
        <v>0</v>
      </c>
    </row>
    <row r="203" spans="1:7" x14ac:dyDescent="0.15">
      <c r="A203" t="s">
        <v>645</v>
      </c>
      <c r="B203">
        <v>32</v>
      </c>
      <c r="C203">
        <v>500</v>
      </c>
      <c r="D203">
        <v>2000</v>
      </c>
      <c r="E203">
        <v>1000</v>
      </c>
      <c r="F203">
        <v>500</v>
      </c>
      <c r="G203">
        <v>0</v>
      </c>
    </row>
    <row r="204" spans="1:7" x14ac:dyDescent="0.15">
      <c r="A204" t="s">
        <v>638</v>
      </c>
      <c r="B204">
        <v>14</v>
      </c>
      <c r="C204">
        <v>1000</v>
      </c>
      <c r="D204">
        <v>12000</v>
      </c>
      <c r="E204">
        <v>1000</v>
      </c>
      <c r="F204">
        <v>750</v>
      </c>
      <c r="G204">
        <v>0</v>
      </c>
    </row>
    <row r="205" spans="1:7" x14ac:dyDescent="0.15">
      <c r="A205" t="s">
        <v>669</v>
      </c>
      <c r="B205">
        <v>88</v>
      </c>
      <c r="C205">
        <v>500</v>
      </c>
      <c r="D205">
        <v>1500</v>
      </c>
      <c r="E205">
        <v>0</v>
      </c>
      <c r="F205">
        <v>100</v>
      </c>
      <c r="G205">
        <v>0</v>
      </c>
    </row>
    <row r="206" spans="1:7" x14ac:dyDescent="0.15">
      <c r="A206" t="s">
        <v>671</v>
      </c>
      <c r="B206">
        <v>79</v>
      </c>
      <c r="C206">
        <v>15000</v>
      </c>
      <c r="D206">
        <v>5000</v>
      </c>
      <c r="E206">
        <v>0</v>
      </c>
      <c r="F206">
        <v>18000</v>
      </c>
      <c r="G206">
        <v>0</v>
      </c>
    </row>
    <row r="207" spans="1:7" x14ac:dyDescent="0.15">
      <c r="A207" t="s">
        <v>664</v>
      </c>
      <c r="B207">
        <v>9</v>
      </c>
      <c r="C207">
        <v>800</v>
      </c>
      <c r="D207">
        <v>1000</v>
      </c>
      <c r="E207">
        <v>0</v>
      </c>
      <c r="F207">
        <v>500</v>
      </c>
      <c r="G207">
        <v>0</v>
      </c>
    </row>
    <row r="208" spans="1:7" x14ac:dyDescent="0.15">
      <c r="A208" t="s">
        <v>672</v>
      </c>
      <c r="B208">
        <v>95</v>
      </c>
      <c r="C208">
        <v>30000</v>
      </c>
      <c r="D208">
        <v>50000</v>
      </c>
      <c r="E208">
        <v>0</v>
      </c>
      <c r="F208">
        <v>13000</v>
      </c>
      <c r="G208">
        <v>0</v>
      </c>
    </row>
    <row r="209" spans="1:7" x14ac:dyDescent="0.15">
      <c r="A209" t="s">
        <v>667</v>
      </c>
      <c r="B209">
        <v>40</v>
      </c>
      <c r="C209">
        <v>1500</v>
      </c>
      <c r="D209">
        <v>5000</v>
      </c>
      <c r="E209">
        <v>0</v>
      </c>
      <c r="F209">
        <v>1000</v>
      </c>
      <c r="G209">
        <v>0</v>
      </c>
    </row>
    <row r="210" spans="1:7" x14ac:dyDescent="0.15">
      <c r="A210" t="s">
        <v>665</v>
      </c>
      <c r="B210">
        <v>66</v>
      </c>
      <c r="C210">
        <v>3000</v>
      </c>
      <c r="D210">
        <v>3500</v>
      </c>
      <c r="E210">
        <v>3000</v>
      </c>
      <c r="F210">
        <v>0</v>
      </c>
      <c r="G210">
        <v>0</v>
      </c>
    </row>
    <row r="211" spans="1:7" x14ac:dyDescent="0.15">
      <c r="A211" t="s">
        <v>668</v>
      </c>
      <c r="B211">
        <v>45</v>
      </c>
      <c r="C211">
        <v>2000</v>
      </c>
      <c r="D211">
        <v>1500</v>
      </c>
      <c r="E211">
        <v>0</v>
      </c>
      <c r="F211">
        <v>4000</v>
      </c>
      <c r="G211">
        <v>0</v>
      </c>
    </row>
    <row r="212" spans="1:7" x14ac:dyDescent="0.15">
      <c r="A212" t="s">
        <v>663</v>
      </c>
      <c r="B212">
        <v>39</v>
      </c>
      <c r="C212">
        <v>500</v>
      </c>
      <c r="D212">
        <v>1500</v>
      </c>
      <c r="E212">
        <v>0</v>
      </c>
      <c r="F212">
        <v>100</v>
      </c>
      <c r="G212">
        <v>0</v>
      </c>
    </row>
    <row r="213" spans="1:7" x14ac:dyDescent="0.15">
      <c r="A213" t="s">
        <v>666</v>
      </c>
      <c r="B213">
        <v>53</v>
      </c>
      <c r="C213">
        <v>1200</v>
      </c>
      <c r="D213">
        <v>2000</v>
      </c>
      <c r="E213">
        <v>0</v>
      </c>
      <c r="F213">
        <v>1500</v>
      </c>
      <c r="G213">
        <v>0</v>
      </c>
    </row>
    <row r="214" spans="1:7" x14ac:dyDescent="0.15">
      <c r="A214" t="s">
        <v>670</v>
      </c>
      <c r="B214">
        <v>72</v>
      </c>
      <c r="C214">
        <v>8000</v>
      </c>
      <c r="D214">
        <v>6000</v>
      </c>
      <c r="E214">
        <v>0</v>
      </c>
      <c r="F214">
        <v>5000</v>
      </c>
      <c r="G214">
        <v>0</v>
      </c>
    </row>
    <row r="215" spans="1:7" x14ac:dyDescent="0.15">
      <c r="A215" t="s">
        <v>703</v>
      </c>
      <c r="B215">
        <v>35</v>
      </c>
      <c r="C215">
        <v>3000</v>
      </c>
      <c r="D215">
        <v>2000</v>
      </c>
      <c r="E215">
        <v>8000</v>
      </c>
      <c r="F215">
        <v>2000</v>
      </c>
      <c r="G215">
        <v>0</v>
      </c>
    </row>
    <row r="216" spans="1:7" x14ac:dyDescent="0.15">
      <c r="A216" t="s">
        <v>704</v>
      </c>
      <c r="B216">
        <v>56</v>
      </c>
      <c r="C216">
        <v>5000</v>
      </c>
      <c r="D216">
        <v>5000</v>
      </c>
      <c r="E216">
        <v>15000</v>
      </c>
      <c r="F216">
        <v>5000</v>
      </c>
      <c r="G216">
        <v>0</v>
      </c>
    </row>
    <row r="217" spans="1:7" x14ac:dyDescent="0.15">
      <c r="A217" t="s">
        <v>705</v>
      </c>
      <c r="B217">
        <v>77</v>
      </c>
      <c r="C217">
        <v>8000</v>
      </c>
      <c r="D217">
        <v>8000</v>
      </c>
      <c r="E217">
        <v>40000</v>
      </c>
      <c r="F217">
        <v>8000</v>
      </c>
      <c r="G217">
        <v>0</v>
      </c>
    </row>
    <row r="218" spans="1:7" x14ac:dyDescent="0.15">
      <c r="A218" t="s">
        <v>706</v>
      </c>
      <c r="B218">
        <v>83</v>
      </c>
      <c r="C218">
        <v>8000</v>
      </c>
      <c r="D218">
        <v>8000</v>
      </c>
      <c r="E218">
        <v>40000</v>
      </c>
      <c r="F218">
        <v>8000</v>
      </c>
      <c r="G218">
        <v>0</v>
      </c>
    </row>
    <row r="219" spans="1:7" x14ac:dyDescent="0.15">
      <c r="A219" t="s">
        <v>707</v>
      </c>
      <c r="B219">
        <v>91</v>
      </c>
      <c r="C219">
        <v>8000</v>
      </c>
      <c r="D219">
        <v>8000</v>
      </c>
      <c r="E219">
        <v>40000</v>
      </c>
      <c r="F219">
        <v>8000</v>
      </c>
      <c r="G219">
        <v>0</v>
      </c>
    </row>
    <row r="220" spans="1:7" x14ac:dyDescent="0.15">
      <c r="A220" t="s">
        <v>708</v>
      </c>
      <c r="B220">
        <v>99</v>
      </c>
      <c r="C220">
        <v>8000</v>
      </c>
      <c r="D220">
        <v>8000</v>
      </c>
      <c r="E220">
        <v>40000</v>
      </c>
      <c r="F220">
        <v>8000</v>
      </c>
      <c r="G220">
        <v>0</v>
      </c>
    </row>
    <row r="221" spans="1:7" x14ac:dyDescent="0.15">
      <c r="A221" t="s">
        <v>709</v>
      </c>
      <c r="B221">
        <v>104</v>
      </c>
      <c r="C221">
        <v>8000</v>
      </c>
      <c r="D221">
        <v>8000</v>
      </c>
      <c r="E221">
        <v>40000</v>
      </c>
      <c r="F221">
        <v>8000</v>
      </c>
      <c r="G221">
        <v>0</v>
      </c>
    </row>
    <row r="222" spans="1:7" x14ac:dyDescent="0.15">
      <c r="A222" t="s">
        <v>710</v>
      </c>
      <c r="B222">
        <v>130</v>
      </c>
      <c r="C222">
        <v>8000</v>
      </c>
      <c r="D222">
        <v>8000</v>
      </c>
      <c r="E222">
        <v>40000</v>
      </c>
      <c r="F222">
        <v>8000</v>
      </c>
      <c r="G222">
        <v>0</v>
      </c>
    </row>
    <row r="223" spans="1:7" x14ac:dyDescent="0.15">
      <c r="A223" t="s">
        <v>711</v>
      </c>
      <c r="B223">
        <v>222</v>
      </c>
      <c r="C223">
        <v>8000</v>
      </c>
      <c r="D223">
        <v>8000</v>
      </c>
      <c r="E223">
        <v>40000</v>
      </c>
      <c r="F223">
        <v>8000</v>
      </c>
      <c r="G223">
        <v>0</v>
      </c>
    </row>
    <row r="224" spans="1:7" x14ac:dyDescent="0.15">
      <c r="A224" t="s">
        <v>831</v>
      </c>
      <c r="B224">
        <v>43</v>
      </c>
      <c r="C224">
        <v>1000</v>
      </c>
      <c r="D224">
        <v>0</v>
      </c>
      <c r="E224">
        <v>0</v>
      </c>
      <c r="F224">
        <v>0</v>
      </c>
      <c r="G224">
        <v>0</v>
      </c>
    </row>
    <row r="225" spans="1:7" x14ac:dyDescent="0.15">
      <c r="A225" t="s">
        <v>732</v>
      </c>
      <c r="B225">
        <v>184</v>
      </c>
      <c r="C225">
        <v>200000</v>
      </c>
      <c r="D225">
        <v>0</v>
      </c>
      <c r="E225">
        <v>0</v>
      </c>
      <c r="F225">
        <v>0</v>
      </c>
      <c r="G225">
        <v>0</v>
      </c>
    </row>
    <row r="226" spans="1:7" x14ac:dyDescent="0.15">
      <c r="A226" t="s">
        <v>728</v>
      </c>
      <c r="B226">
        <v>164</v>
      </c>
      <c r="C226">
        <v>8000</v>
      </c>
      <c r="D226">
        <v>0</v>
      </c>
      <c r="E226">
        <v>0</v>
      </c>
      <c r="F226">
        <v>0</v>
      </c>
      <c r="G226">
        <v>0</v>
      </c>
    </row>
    <row r="227" spans="1:7" x14ac:dyDescent="0.15">
      <c r="A227" t="s">
        <v>729</v>
      </c>
      <c r="B227">
        <v>139</v>
      </c>
      <c r="C227">
        <v>15000</v>
      </c>
      <c r="D227">
        <v>0</v>
      </c>
      <c r="E227">
        <v>0</v>
      </c>
      <c r="F227">
        <v>0</v>
      </c>
      <c r="G227">
        <v>0</v>
      </c>
    </row>
    <row r="228" spans="1:7" x14ac:dyDescent="0.15">
      <c r="A228" t="s">
        <v>730</v>
      </c>
      <c r="B228">
        <v>182</v>
      </c>
      <c r="C228">
        <v>40000</v>
      </c>
      <c r="D228">
        <v>0</v>
      </c>
      <c r="E228">
        <v>0</v>
      </c>
      <c r="F228">
        <v>0</v>
      </c>
      <c r="G228">
        <v>0</v>
      </c>
    </row>
    <row r="229" spans="1:7" x14ac:dyDescent="0.15">
      <c r="A229" t="s">
        <v>731</v>
      </c>
      <c r="B229">
        <v>183</v>
      </c>
      <c r="C229">
        <v>85000</v>
      </c>
      <c r="D229">
        <v>0</v>
      </c>
      <c r="E229">
        <v>0</v>
      </c>
      <c r="F229">
        <v>0</v>
      </c>
      <c r="G229">
        <v>0</v>
      </c>
    </row>
    <row r="230" spans="1:7" x14ac:dyDescent="0.15">
      <c r="A230" t="s">
        <v>616</v>
      </c>
      <c r="B230">
        <v>90</v>
      </c>
      <c r="C230">
        <v>0</v>
      </c>
      <c r="D230">
        <v>1000</v>
      </c>
      <c r="E230">
        <v>0</v>
      </c>
      <c r="F230">
        <v>0</v>
      </c>
      <c r="G230">
        <v>0</v>
      </c>
    </row>
    <row r="231" spans="1:7" x14ac:dyDescent="0.15">
      <c r="A231" t="s">
        <v>617</v>
      </c>
      <c r="B231">
        <v>138</v>
      </c>
      <c r="C231">
        <v>0</v>
      </c>
      <c r="D231">
        <v>5000</v>
      </c>
      <c r="E231">
        <v>0</v>
      </c>
      <c r="F231">
        <v>0</v>
      </c>
      <c r="G231">
        <v>0</v>
      </c>
    </row>
    <row r="232" spans="1:7" x14ac:dyDescent="0.15">
      <c r="A232" t="s">
        <v>618</v>
      </c>
      <c r="B232">
        <v>143</v>
      </c>
      <c r="C232">
        <v>0</v>
      </c>
      <c r="D232">
        <v>8500</v>
      </c>
      <c r="E232">
        <v>0</v>
      </c>
      <c r="F232">
        <v>0</v>
      </c>
      <c r="G232">
        <v>0</v>
      </c>
    </row>
    <row r="233" spans="1:7" x14ac:dyDescent="0.15">
      <c r="A233" t="s">
        <v>619</v>
      </c>
      <c r="B233">
        <v>147</v>
      </c>
      <c r="C233">
        <v>0</v>
      </c>
      <c r="D233">
        <v>40000</v>
      </c>
      <c r="E233">
        <v>0</v>
      </c>
      <c r="F233">
        <v>0</v>
      </c>
      <c r="G233">
        <v>0</v>
      </c>
    </row>
    <row r="234" spans="1:7" x14ac:dyDescent="0.15">
      <c r="A234" t="s">
        <v>684</v>
      </c>
      <c r="B234">
        <v>34</v>
      </c>
      <c r="C234">
        <v>0</v>
      </c>
      <c r="D234">
        <v>0</v>
      </c>
      <c r="E234">
        <v>0</v>
      </c>
      <c r="F234">
        <v>0</v>
      </c>
      <c r="G234">
        <v>2000</v>
      </c>
    </row>
  </sheetData>
  <sortState ref="A2:G234">
    <sortCondition ref="A1"/>
  </sortState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27"/>
  <sheetViews>
    <sheetView workbookViewId="0">
      <selection activeCell="E13" sqref="E13"/>
    </sheetView>
  </sheetViews>
  <sheetFormatPr defaultRowHeight="13.5" x14ac:dyDescent="0.15"/>
  <cols>
    <col min="4" max="4" width="9" style="7"/>
  </cols>
  <sheetData>
    <row r="1" spans="1:14" x14ac:dyDescent="0.15">
      <c r="A1" t="s">
        <v>179</v>
      </c>
      <c r="B1" t="s">
        <v>182</v>
      </c>
      <c r="C1" t="s">
        <v>189</v>
      </c>
      <c r="D1" s="7" t="s">
        <v>406</v>
      </c>
      <c r="E1" t="s">
        <v>176</v>
      </c>
      <c r="F1" t="s">
        <v>177</v>
      </c>
      <c r="G1" t="s">
        <v>178</v>
      </c>
      <c r="H1" t="s">
        <v>180</v>
      </c>
    </row>
    <row r="2" spans="1:14" x14ac:dyDescent="0.15">
      <c r="A2">
        <v>50</v>
      </c>
      <c r="B2">
        <v>1</v>
      </c>
      <c r="C2">
        <v>1</v>
      </c>
      <c r="D2" s="15">
        <f>(C2/100+1)/2</f>
        <v>0.505</v>
      </c>
      <c r="E2">
        <v>1</v>
      </c>
      <c r="F2">
        <v>37</v>
      </c>
      <c r="H2">
        <f>F2*G2</f>
        <v>0</v>
      </c>
      <c r="J2" t="s">
        <v>185</v>
      </c>
      <c r="K2" s="3">
        <v>0.6</v>
      </c>
      <c r="N2" s="2" t="s">
        <v>187</v>
      </c>
    </row>
    <row r="3" spans="1:14" x14ac:dyDescent="0.15">
      <c r="B3">
        <v>2</v>
      </c>
      <c r="C3">
        <v>3</v>
      </c>
      <c r="D3" s="15">
        <f t="shared" ref="D3:D21" si="0">(C3/100+1)/2</f>
        <v>0.51500000000000001</v>
      </c>
      <c r="E3">
        <v>2</v>
      </c>
      <c r="F3">
        <v>100</v>
      </c>
      <c r="H3">
        <f t="shared" ref="H3:H21" si="1">F3*G3</f>
        <v>0</v>
      </c>
      <c r="N3" s="2" t="s">
        <v>188</v>
      </c>
    </row>
    <row r="4" spans="1:14" x14ac:dyDescent="0.15">
      <c r="A4" t="s">
        <v>221</v>
      </c>
      <c r="B4">
        <v>3</v>
      </c>
      <c r="C4">
        <v>4</v>
      </c>
      <c r="D4" s="15">
        <f t="shared" si="0"/>
        <v>0.52</v>
      </c>
      <c r="E4">
        <v>3</v>
      </c>
      <c r="F4">
        <v>187</v>
      </c>
      <c r="H4">
        <f t="shared" si="1"/>
        <v>0</v>
      </c>
      <c r="J4" t="s">
        <v>182</v>
      </c>
      <c r="K4" s="3">
        <v>16</v>
      </c>
    </row>
    <row r="5" spans="1:14" x14ac:dyDescent="0.15">
      <c r="A5" s="3">
        <v>1</v>
      </c>
      <c r="B5">
        <v>4</v>
      </c>
      <c r="C5">
        <v>5</v>
      </c>
      <c r="D5" s="15">
        <f t="shared" si="0"/>
        <v>0.52500000000000002</v>
      </c>
      <c r="E5">
        <v>4</v>
      </c>
      <c r="F5">
        <v>300</v>
      </c>
      <c r="H5">
        <f t="shared" si="1"/>
        <v>0</v>
      </c>
    </row>
    <row r="6" spans="1:14" x14ac:dyDescent="0.15">
      <c r="B6">
        <v>5</v>
      </c>
      <c r="C6">
        <v>6</v>
      </c>
      <c r="D6" s="15">
        <f t="shared" si="0"/>
        <v>0.53</v>
      </c>
      <c r="E6">
        <v>5</v>
      </c>
      <c r="F6">
        <v>437</v>
      </c>
      <c r="H6">
        <f t="shared" si="1"/>
        <v>0</v>
      </c>
      <c r="J6" t="s">
        <v>183</v>
      </c>
      <c r="K6">
        <f>MAX(0,MIN(1,1+LOOKUP(K4,B:B,C:C)/100-K2))</f>
        <v>0.59</v>
      </c>
    </row>
    <row r="7" spans="1:14" x14ac:dyDescent="0.15">
      <c r="B7">
        <v>6</v>
      </c>
      <c r="C7">
        <v>7</v>
      </c>
      <c r="D7" s="15">
        <f t="shared" si="0"/>
        <v>0.53500000000000003</v>
      </c>
      <c r="E7">
        <v>6</v>
      </c>
      <c r="F7">
        <v>600</v>
      </c>
      <c r="H7">
        <f t="shared" si="1"/>
        <v>0</v>
      </c>
    </row>
    <row r="8" spans="1:14" x14ac:dyDescent="0.15">
      <c r="B8">
        <v>7</v>
      </c>
      <c r="C8">
        <v>8</v>
      </c>
      <c r="D8" s="15">
        <f t="shared" si="0"/>
        <v>0.54</v>
      </c>
      <c r="E8">
        <v>7</v>
      </c>
      <c r="F8">
        <v>787</v>
      </c>
      <c r="H8">
        <f t="shared" si="1"/>
        <v>0</v>
      </c>
      <c r="J8" t="s">
        <v>184</v>
      </c>
      <c r="K8">
        <f>H22*K6</f>
        <v>44279.5</v>
      </c>
    </row>
    <row r="9" spans="1:14" x14ac:dyDescent="0.15">
      <c r="B9">
        <v>8</v>
      </c>
      <c r="C9">
        <v>9</v>
      </c>
      <c r="D9" s="15">
        <f t="shared" si="0"/>
        <v>0.54500000000000004</v>
      </c>
      <c r="E9">
        <v>8</v>
      </c>
      <c r="F9">
        <v>1000</v>
      </c>
      <c r="H9">
        <f t="shared" si="1"/>
        <v>0</v>
      </c>
    </row>
    <row r="10" spans="1:14" x14ac:dyDescent="0.15">
      <c r="B10">
        <v>9</v>
      </c>
      <c r="C10">
        <v>10</v>
      </c>
      <c r="D10" s="15">
        <f t="shared" si="0"/>
        <v>0.55000000000000004</v>
      </c>
      <c r="E10">
        <v>9</v>
      </c>
      <c r="F10">
        <v>1237</v>
      </c>
      <c r="H10">
        <f t="shared" si="1"/>
        <v>0</v>
      </c>
      <c r="J10" t="s">
        <v>220</v>
      </c>
      <c r="K10" s="3">
        <v>0</v>
      </c>
    </row>
    <row r="11" spans="1:14" x14ac:dyDescent="0.15">
      <c r="B11">
        <v>10</v>
      </c>
      <c r="C11">
        <v>11</v>
      </c>
      <c r="D11" s="15">
        <f t="shared" si="0"/>
        <v>0.55500000000000005</v>
      </c>
      <c r="E11">
        <v>10</v>
      </c>
      <c r="F11">
        <v>1500</v>
      </c>
      <c r="H11">
        <f t="shared" si="1"/>
        <v>0</v>
      </c>
    </row>
    <row r="12" spans="1:14" x14ac:dyDescent="0.15">
      <c r="B12">
        <v>11</v>
      </c>
      <c r="C12">
        <v>12</v>
      </c>
      <c r="D12" s="15">
        <f t="shared" si="0"/>
        <v>0.56000000000000005</v>
      </c>
      <c r="E12">
        <v>11</v>
      </c>
      <c r="F12">
        <v>1787</v>
      </c>
      <c r="H12">
        <f t="shared" si="1"/>
        <v>0</v>
      </c>
    </row>
    <row r="13" spans="1:14" x14ac:dyDescent="0.15">
      <c r="B13">
        <v>12</v>
      </c>
      <c r="C13">
        <v>14</v>
      </c>
      <c r="D13" s="15">
        <f t="shared" si="0"/>
        <v>0.57000000000000006</v>
      </c>
      <c r="E13">
        <v>12</v>
      </c>
      <c r="F13">
        <v>2100</v>
      </c>
      <c r="H13">
        <f t="shared" si="1"/>
        <v>0</v>
      </c>
      <c r="J13" t="s">
        <v>186</v>
      </c>
      <c r="K13">
        <f>K8*K2*(1+K10)</f>
        <v>26567.7</v>
      </c>
    </row>
    <row r="14" spans="1:14" x14ac:dyDescent="0.15">
      <c r="B14">
        <v>13</v>
      </c>
      <c r="C14">
        <v>15</v>
      </c>
      <c r="D14" s="15">
        <f t="shared" si="0"/>
        <v>0.57499999999999996</v>
      </c>
      <c r="E14">
        <v>13</v>
      </c>
      <c r="F14">
        <v>2437</v>
      </c>
      <c r="H14">
        <f t="shared" si="1"/>
        <v>0</v>
      </c>
    </row>
    <row r="15" spans="1:14" x14ac:dyDescent="0.15">
      <c r="B15">
        <v>14</v>
      </c>
      <c r="C15">
        <v>16</v>
      </c>
      <c r="D15" s="15">
        <f t="shared" si="0"/>
        <v>0.57999999999999996</v>
      </c>
      <c r="E15">
        <v>14</v>
      </c>
      <c r="F15">
        <v>2800</v>
      </c>
      <c r="H15">
        <f t="shared" si="1"/>
        <v>0</v>
      </c>
    </row>
    <row r="16" spans="1:14" x14ac:dyDescent="0.15">
      <c r="B16">
        <v>15</v>
      </c>
      <c r="C16">
        <v>18</v>
      </c>
      <c r="D16" s="15">
        <f t="shared" si="0"/>
        <v>0.59</v>
      </c>
      <c r="E16">
        <v>15</v>
      </c>
      <c r="F16">
        <v>3187</v>
      </c>
      <c r="H16">
        <f t="shared" si="1"/>
        <v>0</v>
      </c>
      <c r="M16" s="7" t="s">
        <v>405</v>
      </c>
      <c r="N16" s="7" t="s">
        <v>404</v>
      </c>
    </row>
    <row r="17" spans="2:8" x14ac:dyDescent="0.15">
      <c r="B17">
        <v>16</v>
      </c>
      <c r="C17">
        <v>19</v>
      </c>
      <c r="D17" s="15">
        <f t="shared" si="0"/>
        <v>0.59499999999999997</v>
      </c>
      <c r="E17">
        <v>16</v>
      </c>
      <c r="F17">
        <v>3600</v>
      </c>
      <c r="H17">
        <f t="shared" si="1"/>
        <v>0</v>
      </c>
    </row>
    <row r="18" spans="2:8" x14ac:dyDescent="0.15">
      <c r="B18">
        <v>17</v>
      </c>
      <c r="C18">
        <v>20</v>
      </c>
      <c r="D18" s="15">
        <f t="shared" si="0"/>
        <v>0.6</v>
      </c>
      <c r="E18">
        <v>17</v>
      </c>
      <c r="F18">
        <v>4037</v>
      </c>
      <c r="H18">
        <f t="shared" si="1"/>
        <v>0</v>
      </c>
    </row>
    <row r="19" spans="2:8" x14ac:dyDescent="0.15">
      <c r="B19">
        <v>18</v>
      </c>
      <c r="C19">
        <v>22</v>
      </c>
      <c r="D19" s="15">
        <f t="shared" si="0"/>
        <v>0.61</v>
      </c>
      <c r="E19">
        <v>18</v>
      </c>
      <c r="F19">
        <v>4500</v>
      </c>
      <c r="H19">
        <f t="shared" si="1"/>
        <v>0</v>
      </c>
    </row>
    <row r="20" spans="2:8" x14ac:dyDescent="0.15">
      <c r="B20">
        <v>19</v>
      </c>
      <c r="C20">
        <v>23</v>
      </c>
      <c r="D20" s="15">
        <f t="shared" si="0"/>
        <v>0.61499999999999999</v>
      </c>
      <c r="E20">
        <v>19</v>
      </c>
      <c r="F20">
        <v>4987</v>
      </c>
      <c r="H20">
        <f t="shared" si="1"/>
        <v>0</v>
      </c>
    </row>
    <row r="21" spans="2:8" x14ac:dyDescent="0.15">
      <c r="B21">
        <v>20</v>
      </c>
      <c r="C21">
        <v>25</v>
      </c>
      <c r="D21" s="15">
        <f t="shared" si="0"/>
        <v>0.625</v>
      </c>
      <c r="E21">
        <v>20</v>
      </c>
      <c r="F21">
        <v>5500</v>
      </c>
      <c r="G21">
        <v>10</v>
      </c>
      <c r="H21">
        <f t="shared" si="1"/>
        <v>55000</v>
      </c>
    </row>
    <row r="22" spans="2:8" x14ac:dyDescent="0.15">
      <c r="G22" t="s">
        <v>181</v>
      </c>
      <c r="H22">
        <f>H21+A2+A5*20000</f>
        <v>75050</v>
      </c>
    </row>
    <row r="27" spans="2:8" ht="12.75" customHeight="1" x14ac:dyDescent="0.15"/>
  </sheetData>
  <phoneticPr fontId="1" type="noConversion"/>
  <dataValidations count="1">
    <dataValidation type="list" allowBlank="1" showInputMessage="1" showErrorMessage="1" sqref="K10 A5">
      <formula1>"0,1"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P36"/>
  <sheetViews>
    <sheetView tabSelected="1" workbookViewId="0">
      <selection activeCell="C2" sqref="C2:C11"/>
    </sheetView>
  </sheetViews>
  <sheetFormatPr defaultRowHeight="13.5" x14ac:dyDescent="0.15"/>
  <cols>
    <col min="1" max="1" width="13" bestFit="1" customWidth="1"/>
    <col min="3" max="3" width="10.375" customWidth="1"/>
    <col min="10" max="10" width="14.125" bestFit="1" customWidth="1"/>
  </cols>
  <sheetData>
    <row r="1" spans="1:15" x14ac:dyDescent="0.15">
      <c r="A1" t="s">
        <v>206</v>
      </c>
      <c r="B1" t="s">
        <v>207</v>
      </c>
      <c r="C1" t="s">
        <v>208</v>
      </c>
      <c r="D1" t="s">
        <v>209</v>
      </c>
      <c r="F1" t="s">
        <v>205</v>
      </c>
      <c r="G1">
        <v>100</v>
      </c>
    </row>
    <row r="2" spans="1:15" x14ac:dyDescent="0.15">
      <c r="A2">
        <v>1</v>
      </c>
      <c r="B2">
        <v>10</v>
      </c>
      <c r="C2">
        <f>B2*10</f>
        <v>100</v>
      </c>
      <c r="D2">
        <f>C2*100</f>
        <v>10000</v>
      </c>
    </row>
    <row r="3" spans="1:15" x14ac:dyDescent="0.15">
      <c r="A3">
        <v>2</v>
      </c>
      <c r="B3">
        <v>30</v>
      </c>
      <c r="C3">
        <f t="shared" ref="C3:C11" si="0">B3*10</f>
        <v>300</v>
      </c>
      <c r="D3">
        <f t="shared" ref="D3:D11" si="1">C3*100</f>
        <v>30000</v>
      </c>
      <c r="F3" t="s">
        <v>210</v>
      </c>
    </row>
    <row r="4" spans="1:15" x14ac:dyDescent="0.15">
      <c r="A4">
        <v>3</v>
      </c>
      <c r="B4">
        <v>60</v>
      </c>
      <c r="C4">
        <f t="shared" si="0"/>
        <v>600</v>
      </c>
      <c r="D4">
        <f t="shared" si="1"/>
        <v>60000</v>
      </c>
    </row>
    <row r="5" spans="1:15" x14ac:dyDescent="0.15">
      <c r="A5">
        <v>4</v>
      </c>
      <c r="B5">
        <v>100</v>
      </c>
      <c r="C5">
        <f t="shared" si="0"/>
        <v>1000</v>
      </c>
      <c r="D5">
        <f t="shared" si="1"/>
        <v>100000</v>
      </c>
      <c r="G5" t="s">
        <v>217</v>
      </c>
      <c r="H5" s="3">
        <v>12</v>
      </c>
    </row>
    <row r="6" spans="1:15" x14ac:dyDescent="0.15">
      <c r="A6">
        <v>5</v>
      </c>
      <c r="B6">
        <v>150</v>
      </c>
      <c r="C6">
        <f t="shared" si="0"/>
        <v>1500</v>
      </c>
      <c r="D6">
        <f t="shared" si="1"/>
        <v>150000</v>
      </c>
      <c r="G6" t="s">
        <v>218</v>
      </c>
      <c r="H6" s="3">
        <v>10</v>
      </c>
    </row>
    <row r="7" spans="1:15" x14ac:dyDescent="0.15">
      <c r="A7">
        <v>6</v>
      </c>
      <c r="B7">
        <v>210</v>
      </c>
      <c r="C7">
        <f t="shared" si="0"/>
        <v>2100</v>
      </c>
      <c r="D7">
        <f t="shared" si="1"/>
        <v>210000</v>
      </c>
      <c r="G7" t="s">
        <v>211</v>
      </c>
      <c r="H7" s="3">
        <v>10</v>
      </c>
      <c r="I7" t="s">
        <v>212</v>
      </c>
      <c r="J7">
        <f>0.1*H7</f>
        <v>1</v>
      </c>
    </row>
    <row r="8" spans="1:15" x14ac:dyDescent="0.15">
      <c r="A8">
        <v>7</v>
      </c>
      <c r="B8">
        <v>280</v>
      </c>
      <c r="C8">
        <f t="shared" si="0"/>
        <v>2800</v>
      </c>
      <c r="D8">
        <f t="shared" si="1"/>
        <v>280000</v>
      </c>
      <c r="G8" t="s">
        <v>213</v>
      </c>
      <c r="H8" s="3">
        <v>8</v>
      </c>
    </row>
    <row r="9" spans="1:15" x14ac:dyDescent="0.15">
      <c r="A9">
        <v>8</v>
      </c>
      <c r="B9">
        <v>360</v>
      </c>
      <c r="C9">
        <f t="shared" si="0"/>
        <v>3600</v>
      </c>
      <c r="D9">
        <f t="shared" si="1"/>
        <v>360000</v>
      </c>
      <c r="G9" t="s">
        <v>219</v>
      </c>
      <c r="H9" s="3">
        <v>5</v>
      </c>
      <c r="I9" t="s">
        <v>214</v>
      </c>
      <c r="J9">
        <f>H8*H9*0.05</f>
        <v>2</v>
      </c>
    </row>
    <row r="10" spans="1:15" x14ac:dyDescent="0.15">
      <c r="A10">
        <v>9</v>
      </c>
      <c r="B10">
        <v>450</v>
      </c>
      <c r="C10">
        <f t="shared" si="0"/>
        <v>4500</v>
      </c>
      <c r="D10">
        <f t="shared" si="1"/>
        <v>450000</v>
      </c>
      <c r="G10" t="s">
        <v>215</v>
      </c>
      <c r="H10" s="3">
        <v>1</v>
      </c>
      <c r="I10" t="s">
        <v>216</v>
      </c>
      <c r="J10">
        <f>H10*0.25</f>
        <v>0.25</v>
      </c>
    </row>
    <row r="11" spans="1:15" x14ac:dyDescent="0.15">
      <c r="A11">
        <v>10</v>
      </c>
      <c r="B11">
        <v>550</v>
      </c>
      <c r="C11">
        <f t="shared" si="0"/>
        <v>5500</v>
      </c>
      <c r="D11">
        <f t="shared" si="1"/>
        <v>550000</v>
      </c>
    </row>
    <row r="12" spans="1:15" x14ac:dyDescent="0.15">
      <c r="G12" t="s">
        <v>222</v>
      </c>
      <c r="H12">
        <f>(G1+H5*LOOKUP(H6,A:A,C:C))*(1+J7+J9+J10)</f>
        <v>11645</v>
      </c>
    </row>
    <row r="14" spans="1:15" x14ac:dyDescent="0.15">
      <c r="E14" s="7" t="s">
        <v>593</v>
      </c>
    </row>
    <row r="15" spans="1:15" x14ac:dyDescent="0.15">
      <c r="E15" s="7" t="s">
        <v>409</v>
      </c>
    </row>
    <row r="16" spans="1:15" x14ac:dyDescent="0.15">
      <c r="M16" s="24" t="s">
        <v>1057</v>
      </c>
      <c r="N16" s="24" t="s">
        <v>1058</v>
      </c>
      <c r="O16" s="24" t="s">
        <v>1059</v>
      </c>
    </row>
    <row r="17" spans="1:16" x14ac:dyDescent="0.15">
      <c r="A17" s="3" t="s">
        <v>1028</v>
      </c>
      <c r="B17" s="3" t="s">
        <v>207</v>
      </c>
      <c r="C17" s="3" t="s">
        <v>208</v>
      </c>
      <c r="D17" s="3" t="s">
        <v>209</v>
      </c>
      <c r="F17" s="3" t="s">
        <v>989</v>
      </c>
      <c r="G17" s="3" t="s">
        <v>993</v>
      </c>
      <c r="J17" s="2" t="s">
        <v>992</v>
      </c>
      <c r="K17">
        <v>10</v>
      </c>
      <c r="M17">
        <v>1</v>
      </c>
      <c r="N17">
        <f>P17*12</f>
        <v>24</v>
      </c>
      <c r="O17">
        <f t="shared" ref="O17:O36" si="2">INT(10*(2^(M17/2-1)))</f>
        <v>7</v>
      </c>
      <c r="P17">
        <f t="shared" ref="P17:P36" si="3">M17*M17+M17</f>
        <v>2</v>
      </c>
    </row>
    <row r="18" spans="1:16" x14ac:dyDescent="0.15">
      <c r="A18" s="3">
        <v>1</v>
      </c>
      <c r="B18" s="3">
        <f>B2*2</f>
        <v>20</v>
      </c>
      <c r="C18" s="3">
        <f>E18*2</f>
        <v>4</v>
      </c>
      <c r="D18" s="3">
        <f>C18*48</f>
        <v>192</v>
      </c>
      <c r="E18">
        <f t="shared" ref="E18:E27" si="4">A2^2+A2</f>
        <v>2</v>
      </c>
      <c r="F18" s="24" t="s">
        <v>990</v>
      </c>
      <c r="G18" s="3" t="s">
        <v>995</v>
      </c>
      <c r="J18" s="2" t="s">
        <v>994</v>
      </c>
      <c r="K18">
        <v>2</v>
      </c>
      <c r="M18">
        <v>2</v>
      </c>
      <c r="N18" s="24">
        <f t="shared" ref="N18:N36" si="5">P18*12</f>
        <v>72</v>
      </c>
      <c r="O18" s="24">
        <f t="shared" si="2"/>
        <v>10</v>
      </c>
      <c r="P18" s="24">
        <f t="shared" si="3"/>
        <v>6</v>
      </c>
    </row>
    <row r="19" spans="1:16" x14ac:dyDescent="0.15">
      <c r="A19" s="3">
        <v>2</v>
      </c>
      <c r="B19" s="3">
        <f t="shared" ref="B19:B27" si="6">B3*2</f>
        <v>60</v>
      </c>
      <c r="C19" s="3">
        <f t="shared" ref="C19:C27" si="7">E19*2</f>
        <v>12</v>
      </c>
      <c r="D19" s="3">
        <f t="shared" ref="D19:D27" si="8">C19*48</f>
        <v>576</v>
      </c>
      <c r="E19" s="24">
        <f t="shared" si="4"/>
        <v>6</v>
      </c>
      <c r="F19" s="24" t="s">
        <v>991</v>
      </c>
      <c r="G19" s="3" t="s">
        <v>997</v>
      </c>
      <c r="J19" s="2" t="s">
        <v>996</v>
      </c>
      <c r="K19">
        <v>96</v>
      </c>
      <c r="M19" s="24">
        <v>3</v>
      </c>
      <c r="N19" s="24">
        <f t="shared" si="5"/>
        <v>144</v>
      </c>
      <c r="O19" s="24">
        <f t="shared" si="2"/>
        <v>14</v>
      </c>
      <c r="P19" s="24">
        <f t="shared" si="3"/>
        <v>12</v>
      </c>
    </row>
    <row r="20" spans="1:16" x14ac:dyDescent="0.15">
      <c r="A20" s="3">
        <v>3</v>
      </c>
      <c r="B20" s="3">
        <f t="shared" si="6"/>
        <v>120</v>
      </c>
      <c r="C20" s="3">
        <f t="shared" si="7"/>
        <v>24</v>
      </c>
      <c r="D20" s="3">
        <f t="shared" si="8"/>
        <v>1152</v>
      </c>
      <c r="E20" s="24">
        <f t="shared" si="4"/>
        <v>12</v>
      </c>
      <c r="F20" s="24"/>
      <c r="M20" s="24">
        <v>4</v>
      </c>
      <c r="N20" s="24">
        <f t="shared" si="5"/>
        <v>240</v>
      </c>
      <c r="O20" s="24">
        <f t="shared" si="2"/>
        <v>20</v>
      </c>
      <c r="P20" s="24">
        <f t="shared" si="3"/>
        <v>20</v>
      </c>
    </row>
    <row r="21" spans="1:16" x14ac:dyDescent="0.15">
      <c r="A21" s="3">
        <v>4</v>
      </c>
      <c r="B21" s="3">
        <f t="shared" si="6"/>
        <v>200</v>
      </c>
      <c r="C21" s="3">
        <f t="shared" si="7"/>
        <v>40</v>
      </c>
      <c r="D21" s="3">
        <f t="shared" si="8"/>
        <v>1920</v>
      </c>
      <c r="E21" s="24">
        <f t="shared" si="4"/>
        <v>20</v>
      </c>
      <c r="F21" s="24"/>
      <c r="M21" s="24">
        <v>5</v>
      </c>
      <c r="N21" s="24">
        <f t="shared" si="5"/>
        <v>360</v>
      </c>
      <c r="O21" s="24">
        <f t="shared" si="2"/>
        <v>28</v>
      </c>
      <c r="P21" s="24">
        <f t="shared" si="3"/>
        <v>30</v>
      </c>
    </row>
    <row r="22" spans="1:16" x14ac:dyDescent="0.15">
      <c r="A22" s="3">
        <v>5</v>
      </c>
      <c r="B22" s="3">
        <f t="shared" si="6"/>
        <v>300</v>
      </c>
      <c r="C22" s="3">
        <f t="shared" si="7"/>
        <v>60</v>
      </c>
      <c r="D22" s="3">
        <f t="shared" si="8"/>
        <v>2880</v>
      </c>
      <c r="E22" s="24">
        <f t="shared" si="4"/>
        <v>30</v>
      </c>
      <c r="F22" s="24"/>
      <c r="M22" s="24">
        <v>6</v>
      </c>
      <c r="N22" s="24">
        <f t="shared" si="5"/>
        <v>504</v>
      </c>
      <c r="O22" s="24">
        <f t="shared" si="2"/>
        <v>40</v>
      </c>
      <c r="P22" s="24">
        <f t="shared" si="3"/>
        <v>42</v>
      </c>
    </row>
    <row r="23" spans="1:16" x14ac:dyDescent="0.15">
      <c r="A23" s="3">
        <v>6</v>
      </c>
      <c r="B23" s="3">
        <f t="shared" si="6"/>
        <v>420</v>
      </c>
      <c r="C23" s="3">
        <f t="shared" si="7"/>
        <v>84</v>
      </c>
      <c r="D23" s="3">
        <f t="shared" si="8"/>
        <v>4032</v>
      </c>
      <c r="E23" s="24">
        <f t="shared" si="4"/>
        <v>42</v>
      </c>
      <c r="F23" s="24"/>
      <c r="M23" s="24">
        <v>7</v>
      </c>
      <c r="N23" s="24">
        <f t="shared" si="5"/>
        <v>672</v>
      </c>
      <c r="O23" s="24">
        <f t="shared" si="2"/>
        <v>56</v>
      </c>
      <c r="P23" s="24">
        <f t="shared" si="3"/>
        <v>56</v>
      </c>
    </row>
    <row r="24" spans="1:16" x14ac:dyDescent="0.15">
      <c r="A24" s="3">
        <v>7</v>
      </c>
      <c r="B24" s="3">
        <f t="shared" si="6"/>
        <v>560</v>
      </c>
      <c r="C24" s="3">
        <f t="shared" si="7"/>
        <v>112</v>
      </c>
      <c r="D24" s="3">
        <f t="shared" si="8"/>
        <v>5376</v>
      </c>
      <c r="E24" s="24">
        <f t="shared" si="4"/>
        <v>56</v>
      </c>
      <c r="F24" s="24"/>
      <c r="M24" s="24">
        <v>8</v>
      </c>
      <c r="N24" s="24">
        <f t="shared" si="5"/>
        <v>864</v>
      </c>
      <c r="O24" s="24">
        <f t="shared" si="2"/>
        <v>80</v>
      </c>
      <c r="P24" s="24">
        <f t="shared" si="3"/>
        <v>72</v>
      </c>
    </row>
    <row r="25" spans="1:16" x14ac:dyDescent="0.15">
      <c r="A25" s="3">
        <v>8</v>
      </c>
      <c r="B25" s="3">
        <f t="shared" si="6"/>
        <v>720</v>
      </c>
      <c r="C25" s="3">
        <f t="shared" si="7"/>
        <v>144</v>
      </c>
      <c r="D25" s="3">
        <f t="shared" si="8"/>
        <v>6912</v>
      </c>
      <c r="E25" s="24">
        <f t="shared" si="4"/>
        <v>72</v>
      </c>
      <c r="F25" s="24"/>
      <c r="M25" s="24">
        <v>9</v>
      </c>
      <c r="N25" s="24">
        <f t="shared" si="5"/>
        <v>1080</v>
      </c>
      <c r="O25" s="24">
        <f t="shared" si="2"/>
        <v>113</v>
      </c>
      <c r="P25" s="24">
        <f t="shared" si="3"/>
        <v>90</v>
      </c>
    </row>
    <row r="26" spans="1:16" x14ac:dyDescent="0.15">
      <c r="A26" s="3">
        <v>9</v>
      </c>
      <c r="B26" s="3">
        <f t="shared" si="6"/>
        <v>900</v>
      </c>
      <c r="C26" s="3">
        <f t="shared" si="7"/>
        <v>180</v>
      </c>
      <c r="D26" s="3">
        <f t="shared" si="8"/>
        <v>8640</v>
      </c>
      <c r="E26" s="24">
        <f t="shared" si="4"/>
        <v>90</v>
      </c>
      <c r="F26" s="24"/>
      <c r="M26" s="24">
        <v>10</v>
      </c>
      <c r="N26" s="24">
        <f t="shared" si="5"/>
        <v>1320</v>
      </c>
      <c r="O26" s="24">
        <f t="shared" si="2"/>
        <v>160</v>
      </c>
      <c r="P26" s="24">
        <f t="shared" si="3"/>
        <v>110</v>
      </c>
    </row>
    <row r="27" spans="1:16" x14ac:dyDescent="0.15">
      <c r="A27" s="3">
        <v>10</v>
      </c>
      <c r="B27" s="3">
        <f t="shared" si="6"/>
        <v>1100</v>
      </c>
      <c r="C27" s="3">
        <f t="shared" si="7"/>
        <v>220</v>
      </c>
      <c r="D27" s="3">
        <f t="shared" si="8"/>
        <v>10560</v>
      </c>
      <c r="E27" s="24">
        <f t="shared" si="4"/>
        <v>110</v>
      </c>
      <c r="F27" s="24"/>
      <c r="M27" s="24">
        <v>11</v>
      </c>
      <c r="N27" s="24">
        <f t="shared" si="5"/>
        <v>1584</v>
      </c>
      <c r="O27" s="24">
        <f t="shared" si="2"/>
        <v>226</v>
      </c>
      <c r="P27" s="24">
        <f t="shared" si="3"/>
        <v>132</v>
      </c>
    </row>
    <row r="28" spans="1:16" x14ac:dyDescent="0.15">
      <c r="B28" s="3">
        <f>B18/$E$18</f>
        <v>10</v>
      </c>
      <c r="C28" s="3">
        <f t="shared" ref="C28:D28" si="9">C18/$E$18</f>
        <v>2</v>
      </c>
      <c r="D28" s="3">
        <f t="shared" si="9"/>
        <v>96</v>
      </c>
      <c r="F28" s="24"/>
      <c r="M28" s="24">
        <v>12</v>
      </c>
      <c r="N28" s="24">
        <f t="shared" si="5"/>
        <v>1872</v>
      </c>
      <c r="O28" s="24">
        <f t="shared" si="2"/>
        <v>320</v>
      </c>
      <c r="P28" s="24">
        <f t="shared" si="3"/>
        <v>156</v>
      </c>
    </row>
    <row r="29" spans="1:16" x14ac:dyDescent="0.15">
      <c r="F29" s="24"/>
      <c r="M29" s="24">
        <v>13</v>
      </c>
      <c r="N29" s="24">
        <f t="shared" si="5"/>
        <v>2184</v>
      </c>
      <c r="O29" s="24">
        <f t="shared" si="2"/>
        <v>452</v>
      </c>
      <c r="P29" s="24">
        <f t="shared" si="3"/>
        <v>182</v>
      </c>
    </row>
    <row r="30" spans="1:16" x14ac:dyDescent="0.15">
      <c r="F30" s="24"/>
      <c r="M30" s="24">
        <v>14</v>
      </c>
      <c r="N30" s="24">
        <f t="shared" si="5"/>
        <v>2520</v>
      </c>
      <c r="O30" s="24">
        <f t="shared" si="2"/>
        <v>640</v>
      </c>
      <c r="P30" s="24">
        <f t="shared" si="3"/>
        <v>210</v>
      </c>
    </row>
    <row r="31" spans="1:16" x14ac:dyDescent="0.15">
      <c r="M31" s="24">
        <v>15</v>
      </c>
      <c r="N31" s="24">
        <f t="shared" si="5"/>
        <v>2880</v>
      </c>
      <c r="O31" s="24">
        <f t="shared" si="2"/>
        <v>905</v>
      </c>
      <c r="P31" s="24">
        <f t="shared" si="3"/>
        <v>240</v>
      </c>
    </row>
    <row r="32" spans="1:16" x14ac:dyDescent="0.15">
      <c r="M32" s="24">
        <v>16</v>
      </c>
      <c r="N32" s="24">
        <f t="shared" si="5"/>
        <v>3264</v>
      </c>
      <c r="O32" s="24">
        <f t="shared" si="2"/>
        <v>1280</v>
      </c>
      <c r="P32" s="24">
        <f t="shared" si="3"/>
        <v>272</v>
      </c>
    </row>
    <row r="33" spans="13:16" x14ac:dyDescent="0.15">
      <c r="M33" s="24">
        <v>17</v>
      </c>
      <c r="N33" s="24">
        <f t="shared" si="5"/>
        <v>3672</v>
      </c>
      <c r="O33" s="24">
        <f t="shared" si="2"/>
        <v>1810</v>
      </c>
      <c r="P33" s="24">
        <f t="shared" si="3"/>
        <v>306</v>
      </c>
    </row>
    <row r="34" spans="13:16" x14ac:dyDescent="0.15">
      <c r="M34" s="24">
        <v>18</v>
      </c>
      <c r="N34" s="24">
        <f t="shared" si="5"/>
        <v>4104</v>
      </c>
      <c r="O34" s="24">
        <f t="shared" si="2"/>
        <v>2560</v>
      </c>
      <c r="P34" s="24">
        <f t="shared" si="3"/>
        <v>342</v>
      </c>
    </row>
    <row r="35" spans="13:16" x14ac:dyDescent="0.15">
      <c r="M35" s="24">
        <v>19</v>
      </c>
      <c r="N35" s="24">
        <f t="shared" si="5"/>
        <v>4560</v>
      </c>
      <c r="O35" s="24">
        <f t="shared" si="2"/>
        <v>3620</v>
      </c>
      <c r="P35" s="24">
        <f t="shared" si="3"/>
        <v>380</v>
      </c>
    </row>
    <row r="36" spans="13:16" x14ac:dyDescent="0.15">
      <c r="M36" s="24">
        <v>20</v>
      </c>
      <c r="N36" s="24">
        <f t="shared" si="5"/>
        <v>5040</v>
      </c>
      <c r="O36" s="24">
        <f t="shared" si="2"/>
        <v>5120</v>
      </c>
      <c r="P36" s="24">
        <f t="shared" si="3"/>
        <v>420</v>
      </c>
    </row>
  </sheetData>
  <phoneticPr fontId="1" type="noConversion"/>
  <dataValidations count="1">
    <dataValidation type="list" allowBlank="1" showInputMessage="1" showErrorMessage="1" sqref="H10">
      <formula1>"0,1"</formula1>
    </dataValidation>
  </dataValidations>
  <pageMargins left="0.7" right="0.7" top="0.75" bottom="0.75" header="0.3" footer="0.3"/>
  <pageSetup paperSize="9" orientation="portrait" horizontalDpi="200" verticalDpi="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N30"/>
  <sheetViews>
    <sheetView zoomScale="90" zoomScaleNormal="90" workbookViewId="0">
      <selection activeCell="M28" sqref="M28"/>
    </sheetView>
  </sheetViews>
  <sheetFormatPr defaultRowHeight="13.5" x14ac:dyDescent="0.15"/>
  <cols>
    <col min="13" max="13" width="9.125" customWidth="1"/>
  </cols>
  <sheetData>
    <row r="1" spans="1:14" x14ac:dyDescent="0.15">
      <c r="A1" s="8" t="s">
        <v>851</v>
      </c>
      <c r="M1" s="7" t="s">
        <v>934</v>
      </c>
    </row>
    <row r="2" spans="1:14" s="8" customFormat="1" x14ac:dyDescent="0.15">
      <c r="A2" s="8" t="s">
        <v>836</v>
      </c>
      <c r="B2" s="8">
        <v>1</v>
      </c>
      <c r="C2" s="8">
        <v>2</v>
      </c>
      <c r="D2" s="8">
        <v>3</v>
      </c>
      <c r="E2" s="8">
        <v>4</v>
      </c>
      <c r="F2" s="8">
        <v>5</v>
      </c>
      <c r="G2" s="8">
        <v>6</v>
      </c>
      <c r="H2" s="8">
        <v>7</v>
      </c>
      <c r="I2" s="8">
        <v>8</v>
      </c>
      <c r="J2" s="8">
        <v>9</v>
      </c>
      <c r="K2" s="8">
        <v>10</v>
      </c>
      <c r="L2" s="8" t="s">
        <v>852</v>
      </c>
    </row>
    <row r="3" spans="1:14" x14ac:dyDescent="0.15">
      <c r="A3" t="s">
        <v>853</v>
      </c>
      <c r="B3" s="16">
        <v>500</v>
      </c>
      <c r="C3" s="16">
        <v>1000</v>
      </c>
      <c r="D3" s="16">
        <v>2000</v>
      </c>
      <c r="E3" s="16">
        <v>5000</v>
      </c>
      <c r="F3" s="16">
        <v>10000</v>
      </c>
      <c r="G3" s="16">
        <v>15000</v>
      </c>
      <c r="H3" s="16">
        <v>30000</v>
      </c>
      <c r="I3" s="16">
        <v>60000</v>
      </c>
      <c r="J3" s="16">
        <v>120000</v>
      </c>
      <c r="K3" s="16">
        <v>250000</v>
      </c>
      <c r="L3" s="7" t="s">
        <v>925</v>
      </c>
      <c r="M3">
        <f>VLOOKUP(L3,兵种!$A$2:$J$13,10,FALSE)</f>
        <v>1</v>
      </c>
      <c r="N3">
        <f>K3*M3</f>
        <v>250000</v>
      </c>
    </row>
    <row r="4" spans="1:14" x14ac:dyDescent="0.15">
      <c r="A4" t="s">
        <v>273</v>
      </c>
      <c r="B4">
        <v>500</v>
      </c>
      <c r="C4" s="16">
        <v>1000</v>
      </c>
      <c r="D4" s="16">
        <v>2000</v>
      </c>
      <c r="E4" s="16">
        <v>5000</v>
      </c>
      <c r="F4" s="16">
        <v>10000</v>
      </c>
      <c r="G4" s="16">
        <v>15000</v>
      </c>
      <c r="H4" s="16">
        <v>30000</v>
      </c>
      <c r="I4" s="16">
        <v>60000</v>
      </c>
      <c r="J4" s="16">
        <v>120000</v>
      </c>
      <c r="K4" s="16">
        <v>250000</v>
      </c>
      <c r="L4" s="24" t="s">
        <v>259</v>
      </c>
      <c r="M4" s="24">
        <f>VLOOKUP(L4,兵种!$A$2:$J$13,10,FALSE)</f>
        <v>1</v>
      </c>
      <c r="N4" s="24">
        <f t="shared" ref="N4:N12" si="0">K4*M4</f>
        <v>250000</v>
      </c>
    </row>
    <row r="5" spans="1:14" x14ac:dyDescent="0.15">
      <c r="A5" t="s">
        <v>280</v>
      </c>
      <c r="C5">
        <v>500</v>
      </c>
      <c r="D5" s="16">
        <v>1000</v>
      </c>
      <c r="E5" s="16">
        <v>600</v>
      </c>
      <c r="F5" s="16">
        <v>5000</v>
      </c>
      <c r="G5" s="16">
        <v>10000</v>
      </c>
      <c r="H5" s="16">
        <v>15000</v>
      </c>
      <c r="I5" s="16">
        <v>30000</v>
      </c>
      <c r="J5" s="16">
        <v>60000</v>
      </c>
      <c r="K5" s="16">
        <v>120000</v>
      </c>
      <c r="L5" s="7" t="s">
        <v>261</v>
      </c>
      <c r="M5" s="24">
        <f>VLOOKUP(L5,兵种!$A$2:$J$13,10,FALSE)</f>
        <v>2</v>
      </c>
      <c r="N5" s="24">
        <f t="shared" si="0"/>
        <v>240000</v>
      </c>
    </row>
    <row r="6" spans="1:14" x14ac:dyDescent="0.15">
      <c r="A6" t="s">
        <v>855</v>
      </c>
      <c r="C6" s="16">
        <v>500</v>
      </c>
      <c r="D6" s="16">
        <v>1000</v>
      </c>
      <c r="E6" s="16">
        <v>2000</v>
      </c>
      <c r="F6" s="16">
        <v>5000</v>
      </c>
      <c r="G6" s="16">
        <v>10000</v>
      </c>
      <c r="H6" s="16">
        <v>15000</v>
      </c>
      <c r="I6" s="16">
        <v>30000</v>
      </c>
      <c r="J6" s="16">
        <v>60000</v>
      </c>
      <c r="K6" s="16">
        <v>120000</v>
      </c>
      <c r="L6" s="24" t="s">
        <v>262</v>
      </c>
      <c r="M6" s="24">
        <f>VLOOKUP(L6,兵种!$A$2:$J$13,10,FALSE)</f>
        <v>2</v>
      </c>
      <c r="N6" s="24">
        <f t="shared" si="0"/>
        <v>240000</v>
      </c>
    </row>
    <row r="7" spans="1:14" x14ac:dyDescent="0.15">
      <c r="A7" t="s">
        <v>277</v>
      </c>
      <c r="D7" s="16">
        <v>500</v>
      </c>
      <c r="E7" s="16">
        <v>1000</v>
      </c>
      <c r="F7" s="16">
        <v>2000</v>
      </c>
      <c r="G7" s="16">
        <v>5000</v>
      </c>
      <c r="H7" s="16">
        <v>10000</v>
      </c>
      <c r="I7" s="16">
        <v>15000</v>
      </c>
      <c r="J7" s="16">
        <v>30000</v>
      </c>
      <c r="K7" s="16">
        <v>60000</v>
      </c>
      <c r="L7" s="24" t="s">
        <v>263</v>
      </c>
      <c r="M7" s="24">
        <f>VLOOKUP(L7,兵种!$A$2:$J$13,10,FALSE)</f>
        <v>3</v>
      </c>
      <c r="N7" s="24">
        <f t="shared" si="0"/>
        <v>180000</v>
      </c>
    </row>
    <row r="8" spans="1:14" x14ac:dyDescent="0.15">
      <c r="A8" t="s">
        <v>279</v>
      </c>
      <c r="E8" s="16">
        <v>500</v>
      </c>
      <c r="F8" s="16">
        <v>1000</v>
      </c>
      <c r="G8" s="16">
        <v>2000</v>
      </c>
      <c r="H8" s="16">
        <v>5000</v>
      </c>
      <c r="I8" s="16">
        <v>10000</v>
      </c>
      <c r="J8" s="16">
        <v>15000</v>
      </c>
      <c r="K8" s="16">
        <v>30000</v>
      </c>
      <c r="L8" s="24" t="s">
        <v>264</v>
      </c>
      <c r="M8" s="24">
        <f>VLOOKUP(L8,兵种!$A$2:$J$13,10,FALSE)</f>
        <v>4</v>
      </c>
      <c r="N8" s="24">
        <f t="shared" si="0"/>
        <v>120000</v>
      </c>
    </row>
    <row r="9" spans="1:14" x14ac:dyDescent="0.15">
      <c r="A9" t="s">
        <v>271</v>
      </c>
      <c r="F9" s="16">
        <v>500</v>
      </c>
      <c r="G9" s="16">
        <v>1000</v>
      </c>
      <c r="H9" s="16">
        <v>2000</v>
      </c>
      <c r="I9" s="16">
        <v>5000</v>
      </c>
      <c r="J9" s="16">
        <v>10000</v>
      </c>
      <c r="K9" s="16">
        <v>15000</v>
      </c>
      <c r="L9" s="24" t="s">
        <v>265</v>
      </c>
      <c r="M9" s="24">
        <f>VLOOKUP(L9,兵种!$A$2:$J$13,10,FALSE)</f>
        <v>5</v>
      </c>
      <c r="N9" s="24">
        <f t="shared" si="0"/>
        <v>75000</v>
      </c>
    </row>
    <row r="10" spans="1:14" x14ac:dyDescent="0.15">
      <c r="A10" t="s">
        <v>859</v>
      </c>
      <c r="H10" s="16">
        <v>500</v>
      </c>
      <c r="I10" s="16">
        <v>1000</v>
      </c>
      <c r="J10" s="16">
        <v>2000</v>
      </c>
      <c r="K10" s="16">
        <v>4000</v>
      </c>
      <c r="L10" s="24" t="s">
        <v>266</v>
      </c>
      <c r="M10" s="24">
        <f>VLOOKUP(L10,兵种!$A$2:$J$13,10,FALSE)</f>
        <v>7</v>
      </c>
      <c r="N10" s="24">
        <f t="shared" si="0"/>
        <v>28000</v>
      </c>
    </row>
    <row r="11" spans="1:14" x14ac:dyDescent="0.15">
      <c r="A11" t="s">
        <v>861</v>
      </c>
      <c r="J11" s="16">
        <v>1000</v>
      </c>
      <c r="K11" s="16">
        <v>2000</v>
      </c>
      <c r="L11" s="7" t="s">
        <v>268</v>
      </c>
      <c r="M11" s="24">
        <f>VLOOKUP(L11,兵种!$A$2:$J$13,10,FALSE)</f>
        <v>9</v>
      </c>
      <c r="N11" s="24">
        <f t="shared" si="0"/>
        <v>18000</v>
      </c>
    </row>
    <row r="12" spans="1:14" x14ac:dyDescent="0.15">
      <c r="A12" t="s">
        <v>272</v>
      </c>
      <c r="K12" s="16">
        <v>1000</v>
      </c>
      <c r="L12" s="24" t="s">
        <v>269</v>
      </c>
      <c r="M12" s="24">
        <f>VLOOKUP(L12,兵种!$A$2:$J$13,10,FALSE)</f>
        <v>10</v>
      </c>
      <c r="N12" s="24">
        <f t="shared" si="0"/>
        <v>10000</v>
      </c>
    </row>
    <row r="13" spans="1:14" x14ac:dyDescent="0.15">
      <c r="A13" t="s">
        <v>863</v>
      </c>
      <c r="E13" s="7"/>
      <c r="F13" s="7"/>
      <c r="G13" s="7"/>
      <c r="H13" s="7"/>
      <c r="I13" s="7"/>
      <c r="J13" s="7"/>
      <c r="K13" s="7"/>
    </row>
    <row r="14" spans="1:14" x14ac:dyDescent="0.15">
      <c r="A14" t="s">
        <v>864</v>
      </c>
      <c r="D14" s="7"/>
      <c r="E14" s="7"/>
      <c r="F14" s="7"/>
      <c r="G14" s="7"/>
      <c r="H14" s="7"/>
      <c r="I14" s="7"/>
      <c r="J14" s="7"/>
      <c r="K14" s="7"/>
    </row>
    <row r="15" spans="1:14" x14ac:dyDescent="0.15">
      <c r="A15" t="s">
        <v>865</v>
      </c>
    </row>
    <row r="16" spans="1:14" x14ac:dyDescent="0.15">
      <c r="A16" t="s">
        <v>866</v>
      </c>
    </row>
    <row r="17" spans="1:11" x14ac:dyDescent="0.15">
      <c r="B17" s="16">
        <f>SUM(B3:B16)</f>
        <v>1000</v>
      </c>
      <c r="C17" s="16">
        <f t="shared" ref="C17:J17" si="1">SUM(C3:C16)</f>
        <v>3000</v>
      </c>
      <c r="D17" s="16">
        <f t="shared" si="1"/>
        <v>6500</v>
      </c>
      <c r="E17" s="16">
        <f t="shared" si="1"/>
        <v>14100</v>
      </c>
      <c r="F17" s="16">
        <f t="shared" si="1"/>
        <v>33500</v>
      </c>
      <c r="G17" s="16">
        <f t="shared" si="1"/>
        <v>58000</v>
      </c>
      <c r="H17" s="16">
        <f t="shared" si="1"/>
        <v>107500</v>
      </c>
      <c r="I17" s="16">
        <f t="shared" si="1"/>
        <v>211000</v>
      </c>
      <c r="J17" s="16">
        <f t="shared" si="1"/>
        <v>418000</v>
      </c>
      <c r="K17" s="16">
        <f>SUM(K3:K16)</f>
        <v>852000</v>
      </c>
    </row>
    <row r="18" spans="1:11" s="8" customFormat="1" x14ac:dyDescent="0.15">
      <c r="B18" s="8">
        <v>1</v>
      </c>
      <c r="C18" s="8">
        <v>2</v>
      </c>
      <c r="D18" s="8">
        <v>3</v>
      </c>
      <c r="E18" s="8">
        <v>4</v>
      </c>
      <c r="F18" s="8">
        <v>5</v>
      </c>
      <c r="G18" s="8">
        <v>6</v>
      </c>
      <c r="H18" s="8">
        <v>7</v>
      </c>
      <c r="I18" s="8">
        <v>8</v>
      </c>
      <c r="J18" s="8">
        <v>9</v>
      </c>
      <c r="K18" s="8">
        <v>10</v>
      </c>
    </row>
    <row r="19" spans="1:11" x14ac:dyDescent="0.15">
      <c r="A19" t="s">
        <v>838</v>
      </c>
      <c r="B19">
        <v>112500</v>
      </c>
      <c r="C19">
        <v>225000</v>
      </c>
      <c r="D19">
        <v>337500</v>
      </c>
      <c r="E19">
        <v>450000</v>
      </c>
      <c r="F19">
        <v>562500</v>
      </c>
      <c r="G19">
        <v>675000</v>
      </c>
      <c r="H19">
        <v>787500</v>
      </c>
      <c r="I19">
        <v>900000</v>
      </c>
      <c r="J19">
        <v>1012500</v>
      </c>
      <c r="K19">
        <v>1125000</v>
      </c>
    </row>
    <row r="20" spans="1:11" x14ac:dyDescent="0.15">
      <c r="A20" s="24">
        <v>30000</v>
      </c>
      <c r="B20" s="24">
        <v>30000</v>
      </c>
      <c r="C20" s="24">
        <v>30000</v>
      </c>
      <c r="D20" s="24">
        <v>30000</v>
      </c>
      <c r="E20" s="24">
        <v>30000</v>
      </c>
      <c r="F20" s="24">
        <v>30000</v>
      </c>
      <c r="G20">
        <v>30000</v>
      </c>
      <c r="H20">
        <v>35000</v>
      </c>
      <c r="I20">
        <v>40000</v>
      </c>
      <c r="J20">
        <v>45000</v>
      </c>
      <c r="K20">
        <v>50000</v>
      </c>
    </row>
    <row r="21" spans="1:11" x14ac:dyDescent="0.15">
      <c r="A21" t="s">
        <v>868</v>
      </c>
      <c r="B21">
        <v>500</v>
      </c>
      <c r="C21">
        <v>1000</v>
      </c>
      <c r="D21">
        <v>1500</v>
      </c>
      <c r="E21">
        <v>2000</v>
      </c>
      <c r="F21">
        <v>2500</v>
      </c>
      <c r="G21">
        <v>3000</v>
      </c>
      <c r="H21">
        <v>3500</v>
      </c>
      <c r="I21">
        <v>4000</v>
      </c>
      <c r="J21" s="7">
        <v>4500</v>
      </c>
      <c r="K21">
        <v>5000</v>
      </c>
    </row>
    <row r="22" spans="1:11" x14ac:dyDescent="0.15">
      <c r="A22" s="7" t="s">
        <v>869</v>
      </c>
      <c r="B22">
        <v>500</v>
      </c>
      <c r="C22">
        <v>1000</v>
      </c>
      <c r="D22">
        <v>1500</v>
      </c>
      <c r="E22">
        <v>2000</v>
      </c>
      <c r="F22" s="7">
        <v>2500</v>
      </c>
      <c r="G22">
        <v>3000</v>
      </c>
      <c r="H22" s="7">
        <v>3500</v>
      </c>
      <c r="I22">
        <v>4000</v>
      </c>
      <c r="J22" s="7">
        <v>4500</v>
      </c>
      <c r="K22">
        <v>5000</v>
      </c>
    </row>
    <row r="23" spans="1:11" x14ac:dyDescent="0.15">
      <c r="A23" t="s">
        <v>839</v>
      </c>
      <c r="B23">
        <v>2500</v>
      </c>
      <c r="C23">
        <v>5000</v>
      </c>
      <c r="D23">
        <v>7500</v>
      </c>
      <c r="E23">
        <v>10000</v>
      </c>
      <c r="F23" s="7">
        <v>12500</v>
      </c>
      <c r="G23">
        <v>15000</v>
      </c>
      <c r="H23">
        <v>17500</v>
      </c>
      <c r="I23">
        <v>20000</v>
      </c>
      <c r="J23">
        <v>22500</v>
      </c>
      <c r="K23">
        <v>25000</v>
      </c>
    </row>
    <row r="25" spans="1:11" x14ac:dyDescent="0.15">
      <c r="A25" s="7" t="s">
        <v>933</v>
      </c>
      <c r="B25" s="8"/>
      <c r="C25" s="56" t="s">
        <v>931</v>
      </c>
      <c r="D25" s="56"/>
      <c r="E25" s="56"/>
      <c r="F25" s="56"/>
    </row>
    <row r="26" spans="1:11" x14ac:dyDescent="0.15">
      <c r="B26" s="8" t="s">
        <v>932</v>
      </c>
      <c r="C26" s="22">
        <v>1</v>
      </c>
      <c r="D26" s="22">
        <v>2</v>
      </c>
      <c r="E26" s="22">
        <v>3</v>
      </c>
      <c r="F26" s="22">
        <v>4</v>
      </c>
    </row>
    <row r="27" spans="1:11" x14ac:dyDescent="0.15">
      <c r="A27" t="s">
        <v>927</v>
      </c>
      <c r="B27" s="21">
        <v>0.05</v>
      </c>
      <c r="C27">
        <v>4</v>
      </c>
      <c r="D27" s="7">
        <v>4</v>
      </c>
      <c r="E27" s="7">
        <v>4</v>
      </c>
      <c r="F27" s="7">
        <v>4</v>
      </c>
    </row>
    <row r="28" spans="1:11" x14ac:dyDescent="0.15">
      <c r="A28" t="s">
        <v>928</v>
      </c>
      <c r="B28" s="21">
        <v>0.05</v>
      </c>
      <c r="C28">
        <v>3</v>
      </c>
      <c r="D28" s="7">
        <v>3</v>
      </c>
      <c r="E28" s="7">
        <v>3</v>
      </c>
      <c r="F28" s="7">
        <v>3</v>
      </c>
    </row>
    <row r="29" spans="1:11" x14ac:dyDescent="0.15">
      <c r="A29" t="s">
        <v>929</v>
      </c>
      <c r="B29" s="21">
        <v>0.1</v>
      </c>
      <c r="C29">
        <v>2</v>
      </c>
      <c r="D29" s="7">
        <v>2</v>
      </c>
      <c r="E29" s="7">
        <v>2</v>
      </c>
      <c r="F29" s="7">
        <v>2</v>
      </c>
    </row>
    <row r="30" spans="1:11" x14ac:dyDescent="0.15">
      <c r="A30" t="s">
        <v>930</v>
      </c>
      <c r="B30" s="21">
        <v>0.1</v>
      </c>
      <c r="C30">
        <v>1</v>
      </c>
      <c r="D30" s="7">
        <v>1</v>
      </c>
      <c r="E30" s="7">
        <v>1</v>
      </c>
      <c r="F30" s="7">
        <v>1</v>
      </c>
    </row>
  </sheetData>
  <mergeCells count="1">
    <mergeCell ref="C25:F25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M17"/>
  <sheetViews>
    <sheetView workbookViewId="0">
      <selection activeCell="I31" sqref="I31"/>
    </sheetView>
  </sheetViews>
  <sheetFormatPr defaultRowHeight="13.5" x14ac:dyDescent="0.15"/>
  <cols>
    <col min="1" max="1" width="16.625" customWidth="1"/>
    <col min="12" max="12" width="10.375" bestFit="1" customWidth="1"/>
  </cols>
  <sheetData>
    <row r="1" spans="1:13" s="8" customFormat="1" x14ac:dyDescent="0.15">
      <c r="A1" s="8" t="s">
        <v>836</v>
      </c>
      <c r="B1" s="8">
        <v>1</v>
      </c>
      <c r="C1" s="8">
        <v>2</v>
      </c>
      <c r="D1" s="8">
        <v>3</v>
      </c>
      <c r="E1" s="8">
        <v>4</v>
      </c>
      <c r="F1" s="8">
        <v>5</v>
      </c>
      <c r="G1" s="8">
        <v>6</v>
      </c>
      <c r="H1" s="8">
        <v>7</v>
      </c>
      <c r="I1" s="8">
        <v>8</v>
      </c>
      <c r="J1" s="8">
        <v>9</v>
      </c>
      <c r="K1" s="8">
        <v>10</v>
      </c>
      <c r="L1" s="8" t="s">
        <v>852</v>
      </c>
    </row>
    <row r="2" spans="1:13" x14ac:dyDescent="0.15">
      <c r="A2" t="s">
        <v>913</v>
      </c>
      <c r="B2">
        <v>50</v>
      </c>
      <c r="C2">
        <v>100</v>
      </c>
      <c r="D2">
        <v>200</v>
      </c>
      <c r="E2">
        <v>500</v>
      </c>
      <c r="F2">
        <v>1000</v>
      </c>
      <c r="G2">
        <v>2000</v>
      </c>
      <c r="H2" s="7">
        <v>2000</v>
      </c>
      <c r="I2">
        <v>5000</v>
      </c>
      <c r="J2">
        <v>10000</v>
      </c>
      <c r="K2">
        <v>20000</v>
      </c>
      <c r="L2" t="s">
        <v>854</v>
      </c>
    </row>
    <row r="3" spans="1:13" x14ac:dyDescent="0.15">
      <c r="A3" t="s">
        <v>280</v>
      </c>
      <c r="C3">
        <v>50</v>
      </c>
      <c r="D3">
        <v>100</v>
      </c>
      <c r="E3">
        <v>200</v>
      </c>
      <c r="F3">
        <v>500</v>
      </c>
      <c r="G3">
        <f>G2/2</f>
        <v>1000</v>
      </c>
      <c r="H3" s="7">
        <f>H2/2</f>
        <v>1000</v>
      </c>
      <c r="I3" s="7">
        <v>2000</v>
      </c>
      <c r="J3" s="7">
        <v>5000</v>
      </c>
      <c r="K3" s="7">
        <v>10000</v>
      </c>
      <c r="L3" t="s">
        <v>261</v>
      </c>
    </row>
    <row r="4" spans="1:13" x14ac:dyDescent="0.15">
      <c r="A4" t="s">
        <v>855</v>
      </c>
      <c r="D4">
        <v>50</v>
      </c>
      <c r="E4">
        <v>100</v>
      </c>
      <c r="F4">
        <v>200</v>
      </c>
      <c r="G4">
        <v>500</v>
      </c>
      <c r="H4" s="7">
        <v>500</v>
      </c>
      <c r="I4" s="7">
        <f>I3/2</f>
        <v>1000</v>
      </c>
      <c r="J4" s="7">
        <v>2000</v>
      </c>
      <c r="K4" s="7">
        <v>5000</v>
      </c>
      <c r="L4" t="s">
        <v>914</v>
      </c>
    </row>
    <row r="5" spans="1:13" x14ac:dyDescent="0.15">
      <c r="A5" t="s">
        <v>915</v>
      </c>
      <c r="E5">
        <v>50</v>
      </c>
      <c r="F5">
        <v>100</v>
      </c>
      <c r="G5">
        <v>200</v>
      </c>
      <c r="H5" s="7">
        <v>200</v>
      </c>
      <c r="I5" s="7">
        <v>500</v>
      </c>
      <c r="J5" s="7">
        <f>J4/2</f>
        <v>1000</v>
      </c>
      <c r="K5" s="7">
        <v>2000</v>
      </c>
      <c r="L5" t="s">
        <v>856</v>
      </c>
      <c r="M5" s="24" t="s">
        <v>951</v>
      </c>
    </row>
    <row r="6" spans="1:13" x14ac:dyDescent="0.15">
      <c r="A6" t="s">
        <v>916</v>
      </c>
      <c r="F6">
        <v>50</v>
      </c>
      <c r="G6">
        <v>100</v>
      </c>
      <c r="H6" s="7">
        <v>100</v>
      </c>
      <c r="I6" s="7">
        <v>200</v>
      </c>
      <c r="J6" s="7">
        <v>500</v>
      </c>
      <c r="K6" s="7">
        <f>K5/2</f>
        <v>1000</v>
      </c>
      <c r="L6" t="s">
        <v>857</v>
      </c>
      <c r="M6" s="7" t="s">
        <v>926</v>
      </c>
    </row>
    <row r="7" spans="1:13" x14ac:dyDescent="0.15">
      <c r="A7" t="s">
        <v>917</v>
      </c>
      <c r="G7">
        <v>50</v>
      </c>
      <c r="H7" s="7">
        <v>50</v>
      </c>
      <c r="I7" s="7">
        <v>100</v>
      </c>
      <c r="J7" s="7">
        <v>200</v>
      </c>
      <c r="K7" s="7">
        <v>500</v>
      </c>
      <c r="L7" t="s">
        <v>858</v>
      </c>
    </row>
    <row r="8" spans="1:13" x14ac:dyDescent="0.15">
      <c r="A8" t="s">
        <v>918</v>
      </c>
      <c r="I8" s="7">
        <v>50</v>
      </c>
      <c r="J8" s="7">
        <v>100</v>
      </c>
      <c r="K8" s="7">
        <v>200</v>
      </c>
      <c r="L8" t="s">
        <v>860</v>
      </c>
    </row>
    <row r="9" spans="1:13" x14ac:dyDescent="0.15">
      <c r="A9" t="s">
        <v>861</v>
      </c>
      <c r="J9" s="7">
        <v>50</v>
      </c>
      <c r="K9" s="7">
        <v>100</v>
      </c>
      <c r="L9" t="s">
        <v>268</v>
      </c>
    </row>
    <row r="10" spans="1:13" x14ac:dyDescent="0.15">
      <c r="A10" t="s">
        <v>919</v>
      </c>
      <c r="K10" s="7">
        <v>50</v>
      </c>
      <c r="L10" t="s">
        <v>862</v>
      </c>
    </row>
    <row r="11" spans="1:13" x14ac:dyDescent="0.15">
      <c r="B11">
        <f>SUM(B2:B10)</f>
        <v>50</v>
      </c>
      <c r="C11" s="24">
        <f t="shared" ref="C11:K11" si="0">SUM(C2:C10)</f>
        <v>150</v>
      </c>
      <c r="D11" s="24">
        <f t="shared" si="0"/>
        <v>350</v>
      </c>
      <c r="E11" s="24">
        <f t="shared" si="0"/>
        <v>850</v>
      </c>
      <c r="F11" s="24">
        <f t="shared" si="0"/>
        <v>1850</v>
      </c>
      <c r="G11" s="24">
        <f t="shared" si="0"/>
        <v>3850</v>
      </c>
      <c r="H11" s="24">
        <f t="shared" si="0"/>
        <v>3850</v>
      </c>
      <c r="I11" s="24">
        <f t="shared" si="0"/>
        <v>8850</v>
      </c>
      <c r="J11" s="24">
        <f t="shared" si="0"/>
        <v>18850</v>
      </c>
      <c r="K11" s="24">
        <f t="shared" si="0"/>
        <v>38850</v>
      </c>
    </row>
    <row r="12" spans="1:13" x14ac:dyDescent="0.15">
      <c r="A12">
        <v>1</v>
      </c>
      <c r="B12">
        <v>2</v>
      </c>
      <c r="C12">
        <v>3</v>
      </c>
      <c r="D12">
        <v>4</v>
      </c>
      <c r="E12">
        <v>5</v>
      </c>
      <c r="F12">
        <v>6</v>
      </c>
      <c r="G12">
        <v>7</v>
      </c>
      <c r="H12">
        <v>8</v>
      </c>
      <c r="I12">
        <v>9</v>
      </c>
      <c r="J12">
        <v>10</v>
      </c>
    </row>
    <row r="13" spans="1:13" x14ac:dyDescent="0.15">
      <c r="A13" t="s">
        <v>920</v>
      </c>
      <c r="B13">
        <v>1000</v>
      </c>
      <c r="C13">
        <v>2000</v>
      </c>
      <c r="D13">
        <v>3000</v>
      </c>
      <c r="E13">
        <v>4000</v>
      </c>
      <c r="F13">
        <v>5000</v>
      </c>
      <c r="G13">
        <v>6000</v>
      </c>
      <c r="H13">
        <v>7000</v>
      </c>
      <c r="I13">
        <v>8000</v>
      </c>
      <c r="J13">
        <v>9000</v>
      </c>
      <c r="K13">
        <v>10000</v>
      </c>
      <c r="L13" t="s">
        <v>838</v>
      </c>
    </row>
    <row r="14" spans="1:13" x14ac:dyDescent="0.15">
      <c r="A14" t="s">
        <v>921</v>
      </c>
      <c r="B14">
        <v>1000</v>
      </c>
      <c r="C14">
        <v>2000</v>
      </c>
      <c r="D14">
        <v>3000</v>
      </c>
      <c r="E14">
        <v>4000</v>
      </c>
      <c r="F14">
        <v>5000</v>
      </c>
      <c r="G14">
        <v>6000</v>
      </c>
      <c r="H14">
        <v>7000</v>
      </c>
      <c r="I14">
        <v>8000</v>
      </c>
      <c r="J14">
        <v>9000</v>
      </c>
      <c r="K14">
        <v>10000</v>
      </c>
      <c r="L14" t="s">
        <v>868</v>
      </c>
    </row>
    <row r="15" spans="1:13" x14ac:dyDescent="0.15">
      <c r="A15" t="s">
        <v>922</v>
      </c>
      <c r="B15">
        <v>1000</v>
      </c>
      <c r="C15">
        <v>2000</v>
      </c>
      <c r="D15">
        <v>3000</v>
      </c>
      <c r="E15">
        <v>4000</v>
      </c>
      <c r="F15">
        <v>5000</v>
      </c>
      <c r="G15">
        <v>6000</v>
      </c>
      <c r="H15">
        <v>7000</v>
      </c>
      <c r="I15">
        <v>8000</v>
      </c>
      <c r="J15">
        <v>9000</v>
      </c>
      <c r="K15">
        <v>10000</v>
      </c>
      <c r="L15" s="7" t="s">
        <v>869</v>
      </c>
    </row>
    <row r="16" spans="1:13" x14ac:dyDescent="0.15">
      <c r="A16" t="s">
        <v>923</v>
      </c>
      <c r="B16">
        <v>1000</v>
      </c>
      <c r="C16">
        <v>2000</v>
      </c>
      <c r="D16">
        <v>3000</v>
      </c>
      <c r="E16">
        <v>4000</v>
      </c>
      <c r="F16">
        <v>5000</v>
      </c>
      <c r="G16">
        <v>6000</v>
      </c>
      <c r="H16">
        <v>7000</v>
      </c>
      <c r="I16">
        <v>8000</v>
      </c>
      <c r="J16">
        <v>9000</v>
      </c>
      <c r="K16">
        <v>10000</v>
      </c>
      <c r="L16" t="s">
        <v>867</v>
      </c>
    </row>
    <row r="17" spans="1:12" x14ac:dyDescent="0.15">
      <c r="A17" t="s">
        <v>924</v>
      </c>
      <c r="B17">
        <v>1000</v>
      </c>
      <c r="C17">
        <v>2000</v>
      </c>
      <c r="D17">
        <v>3000</v>
      </c>
      <c r="E17">
        <v>4000</v>
      </c>
      <c r="F17">
        <v>5000</v>
      </c>
      <c r="G17">
        <v>6000</v>
      </c>
      <c r="H17">
        <v>7000</v>
      </c>
      <c r="I17">
        <v>8000</v>
      </c>
      <c r="J17">
        <v>9000</v>
      </c>
      <c r="K17">
        <v>10000</v>
      </c>
      <c r="L17" t="s">
        <v>838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N32"/>
  <sheetViews>
    <sheetView topLeftCell="A13" workbookViewId="0">
      <selection activeCell="M32" sqref="M32"/>
    </sheetView>
  </sheetViews>
  <sheetFormatPr defaultRowHeight="13.5" x14ac:dyDescent="0.15"/>
  <cols>
    <col min="1" max="1" width="19.375" style="7" bestFit="1" customWidth="1"/>
    <col min="2" max="2" width="16.125" bestFit="1" customWidth="1"/>
    <col min="3" max="5" width="5.375" bestFit="1" customWidth="1"/>
    <col min="6" max="8" width="5.375" style="7" bestFit="1" customWidth="1"/>
    <col min="9" max="10" width="5.375" bestFit="1" customWidth="1"/>
    <col min="11" max="11" width="9.375" bestFit="1" customWidth="1"/>
    <col min="13" max="13" width="26.125" bestFit="1" customWidth="1"/>
    <col min="14" max="14" width="9.375" bestFit="1" customWidth="1"/>
  </cols>
  <sheetData>
    <row r="1" spans="1:14" x14ac:dyDescent="0.15">
      <c r="B1">
        <v>1</v>
      </c>
      <c r="C1">
        <v>2</v>
      </c>
      <c r="D1">
        <v>3</v>
      </c>
      <c r="E1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M1" s="7"/>
      <c r="N1" s="7"/>
    </row>
    <row r="2" spans="1:14" x14ac:dyDescent="0.15">
      <c r="A2" s="7" t="s">
        <v>935</v>
      </c>
      <c r="B2" s="7">
        <v>5</v>
      </c>
      <c r="D2" s="23">
        <v>1000</v>
      </c>
      <c r="M2" s="7"/>
      <c r="N2" s="7"/>
    </row>
    <row r="3" spans="1:14" x14ac:dyDescent="0.15">
      <c r="A3" s="7" t="s">
        <v>936</v>
      </c>
      <c r="C3" s="7">
        <v>25</v>
      </c>
      <c r="D3" s="23">
        <v>400</v>
      </c>
      <c r="M3" s="7"/>
      <c r="N3" s="7"/>
    </row>
    <row r="4" spans="1:14" x14ac:dyDescent="0.15">
      <c r="A4" s="7" t="s">
        <v>937</v>
      </c>
      <c r="E4" s="24">
        <v>500</v>
      </c>
      <c r="H4" s="24">
        <v>1000</v>
      </c>
      <c r="M4" s="7"/>
      <c r="N4" s="7"/>
    </row>
    <row r="5" spans="1:14" x14ac:dyDescent="0.15">
      <c r="A5" s="7" t="s">
        <v>938</v>
      </c>
      <c r="E5" s="24">
        <v>500</v>
      </c>
      <c r="M5" s="7"/>
      <c r="N5" s="7"/>
    </row>
    <row r="6" spans="1:14" x14ac:dyDescent="0.15">
      <c r="A6" s="7" t="s">
        <v>939</v>
      </c>
      <c r="F6" s="24">
        <v>600</v>
      </c>
      <c r="H6" s="24">
        <v>1500</v>
      </c>
      <c r="M6" s="7"/>
      <c r="N6" s="7"/>
    </row>
    <row r="7" spans="1:14" x14ac:dyDescent="0.15">
      <c r="A7" s="7" t="s">
        <v>940</v>
      </c>
      <c r="G7" s="24">
        <v>1000</v>
      </c>
      <c r="M7" s="7"/>
      <c r="N7" s="7"/>
    </row>
    <row r="8" spans="1:14" x14ac:dyDescent="0.15">
      <c r="A8" s="7" t="s">
        <v>941</v>
      </c>
      <c r="I8" s="24">
        <v>500</v>
      </c>
      <c r="J8" s="24">
        <v>600</v>
      </c>
      <c r="M8" s="7"/>
      <c r="N8" s="7"/>
    </row>
    <row r="9" spans="1:14" x14ac:dyDescent="0.15">
      <c r="A9" s="7" t="s">
        <v>942</v>
      </c>
      <c r="J9" s="24">
        <v>260</v>
      </c>
      <c r="M9" s="7"/>
      <c r="N9" s="7"/>
    </row>
    <row r="10" spans="1:14" x14ac:dyDescent="0.15">
      <c r="A10" s="7" t="s">
        <v>943</v>
      </c>
      <c r="K10" s="24">
        <v>10000000</v>
      </c>
      <c r="M10" s="7"/>
      <c r="N10" s="7"/>
    </row>
    <row r="11" spans="1:14" x14ac:dyDescent="0.15">
      <c r="M11" s="7"/>
      <c r="N11" s="7"/>
    </row>
    <row r="12" spans="1:14" x14ac:dyDescent="0.15">
      <c r="M12" s="7"/>
      <c r="N12" s="7"/>
    </row>
    <row r="13" spans="1:14" x14ac:dyDescent="0.15">
      <c r="M13" s="7"/>
      <c r="N13" s="7"/>
    </row>
    <row r="14" spans="1:14" x14ac:dyDescent="0.15">
      <c r="A14" s="7" t="s">
        <v>355</v>
      </c>
      <c r="B14">
        <v>1000</v>
      </c>
      <c r="C14">
        <v>2000</v>
      </c>
      <c r="D14" s="7">
        <v>3000</v>
      </c>
      <c r="E14" s="7">
        <v>4000</v>
      </c>
      <c r="F14" s="7">
        <v>5000</v>
      </c>
      <c r="G14" s="7">
        <v>6000</v>
      </c>
      <c r="H14" s="7">
        <v>7000</v>
      </c>
      <c r="I14" s="7">
        <v>8000</v>
      </c>
      <c r="J14" s="7">
        <v>9000</v>
      </c>
      <c r="K14">
        <v>20000</v>
      </c>
      <c r="M14" s="7"/>
      <c r="N14" s="7"/>
    </row>
    <row r="15" spans="1:14" x14ac:dyDescent="0.15">
      <c r="A15" s="7" t="s">
        <v>356</v>
      </c>
      <c r="B15" s="7">
        <v>1000</v>
      </c>
      <c r="C15" s="7">
        <v>2000</v>
      </c>
      <c r="D15" s="7">
        <v>3000</v>
      </c>
      <c r="E15" s="7">
        <v>4000</v>
      </c>
      <c r="F15" s="7">
        <v>5000</v>
      </c>
      <c r="G15" s="7">
        <v>6000</v>
      </c>
      <c r="H15" s="7">
        <v>7000</v>
      </c>
      <c r="I15" s="7">
        <v>8000</v>
      </c>
      <c r="J15" s="7">
        <v>9000</v>
      </c>
      <c r="K15" s="7">
        <v>20000</v>
      </c>
      <c r="M15" s="7"/>
      <c r="N15" s="7"/>
    </row>
    <row r="16" spans="1:14" x14ac:dyDescent="0.15">
      <c r="A16" s="7" t="s">
        <v>357</v>
      </c>
      <c r="B16" s="7">
        <v>1000</v>
      </c>
      <c r="C16" s="7">
        <v>2000</v>
      </c>
      <c r="D16" s="7">
        <v>3000</v>
      </c>
      <c r="E16" s="7">
        <v>4000</v>
      </c>
      <c r="F16" s="7">
        <v>5000</v>
      </c>
      <c r="G16" s="7">
        <v>6000</v>
      </c>
      <c r="H16" s="7">
        <v>7000</v>
      </c>
      <c r="I16" s="7">
        <v>8000</v>
      </c>
      <c r="J16" s="7">
        <v>9000</v>
      </c>
      <c r="K16" s="7">
        <v>20000</v>
      </c>
      <c r="M16" s="7"/>
      <c r="N16" s="7"/>
    </row>
    <row r="17" spans="1:14" x14ac:dyDescent="0.15">
      <c r="A17" s="7" t="s">
        <v>358</v>
      </c>
      <c r="B17" s="7">
        <v>1000</v>
      </c>
      <c r="C17" s="7">
        <v>2000</v>
      </c>
      <c r="D17" s="7">
        <v>3000</v>
      </c>
      <c r="E17" s="7">
        <v>4000</v>
      </c>
      <c r="F17" s="7">
        <v>5000</v>
      </c>
      <c r="G17" s="7">
        <v>6000</v>
      </c>
      <c r="H17" s="7">
        <v>7000</v>
      </c>
      <c r="I17" s="7">
        <v>8000</v>
      </c>
      <c r="J17" s="7">
        <v>9000</v>
      </c>
      <c r="K17" s="7">
        <v>20000</v>
      </c>
      <c r="M17" s="7"/>
      <c r="N17" s="7"/>
    </row>
    <row r="18" spans="1:14" x14ac:dyDescent="0.15">
      <c r="A18" s="7" t="s">
        <v>359</v>
      </c>
      <c r="B18" s="7">
        <v>1000</v>
      </c>
      <c r="C18" s="7">
        <v>2000</v>
      </c>
      <c r="D18" s="7">
        <v>3000</v>
      </c>
      <c r="E18" s="7">
        <v>4000</v>
      </c>
      <c r="F18" s="7">
        <v>5000</v>
      </c>
      <c r="G18" s="7">
        <v>6000</v>
      </c>
      <c r="H18" s="7">
        <v>7000</v>
      </c>
      <c r="I18" s="7">
        <v>8000</v>
      </c>
      <c r="J18" s="7">
        <v>9000</v>
      </c>
      <c r="K18" s="7">
        <v>20000</v>
      </c>
      <c r="M18" s="7"/>
      <c r="N18" s="7"/>
    </row>
    <row r="19" spans="1:14" x14ac:dyDescent="0.15">
      <c r="M19" s="7"/>
      <c r="N19" s="7"/>
    </row>
    <row r="20" spans="1:14" x14ac:dyDescent="0.15">
      <c r="A20" s="7" t="s">
        <v>944</v>
      </c>
      <c r="B20" s="26"/>
      <c r="M20" s="7"/>
      <c r="N20" s="7"/>
    </row>
    <row r="21" spans="1:14" x14ac:dyDescent="0.15">
      <c r="B21" s="27" t="s">
        <v>945</v>
      </c>
      <c r="C21" s="28"/>
      <c r="M21" s="7"/>
      <c r="N21" s="7"/>
    </row>
    <row r="22" spans="1:14" x14ac:dyDescent="0.15">
      <c r="B22" s="27" t="s">
        <v>138</v>
      </c>
      <c r="C22" s="28">
        <v>0.65</v>
      </c>
      <c r="M22" s="7"/>
      <c r="N22" s="7"/>
    </row>
    <row r="23" spans="1:14" x14ac:dyDescent="0.15">
      <c r="B23" s="27" t="s">
        <v>70</v>
      </c>
      <c r="C23" s="28">
        <v>0.2</v>
      </c>
      <c r="M23" s="7"/>
      <c r="N23" s="7"/>
    </row>
    <row r="24" spans="1:14" x14ac:dyDescent="0.15">
      <c r="B24" s="27" t="s">
        <v>50</v>
      </c>
      <c r="C24" s="28">
        <v>0.1</v>
      </c>
      <c r="M24" s="7"/>
      <c r="N24" s="7"/>
    </row>
    <row r="25" spans="1:14" x14ac:dyDescent="0.15">
      <c r="B25" s="27" t="s">
        <v>48</v>
      </c>
      <c r="C25" s="28">
        <v>0.05</v>
      </c>
    </row>
    <row r="26" spans="1:14" x14ac:dyDescent="0.15">
      <c r="B26" s="26" t="s">
        <v>946</v>
      </c>
      <c r="C26" s="7"/>
    </row>
    <row r="27" spans="1:14" x14ac:dyDescent="0.15">
      <c r="B27" s="26" t="s">
        <v>947</v>
      </c>
      <c r="C27" s="7">
        <v>0.65</v>
      </c>
    </row>
    <row r="28" spans="1:14" x14ac:dyDescent="0.15">
      <c r="B28" s="26" t="s">
        <v>948</v>
      </c>
      <c r="C28" s="7">
        <v>0.2</v>
      </c>
    </row>
    <row r="29" spans="1:14" x14ac:dyDescent="0.15">
      <c r="B29" s="26" t="s">
        <v>949</v>
      </c>
      <c r="C29" s="7">
        <v>0.1</v>
      </c>
    </row>
    <row r="30" spans="1:14" x14ac:dyDescent="0.15">
      <c r="B30" s="26" t="s">
        <v>950</v>
      </c>
      <c r="C30" s="7">
        <v>0.05</v>
      </c>
    </row>
    <row r="31" spans="1:14" x14ac:dyDescent="0.15">
      <c r="B31" s="26"/>
    </row>
    <row r="32" spans="1:14" x14ac:dyDescent="0.15">
      <c r="B32" s="26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P419"/>
  <sheetViews>
    <sheetView workbookViewId="0">
      <pane xSplit="2" ySplit="1" topLeftCell="C38" activePane="bottomRight" state="frozen"/>
      <selection pane="topRight" activeCell="C1" sqref="C1"/>
      <selection pane="bottomLeft" activeCell="A2" sqref="A2"/>
      <selection pane="bottomRight" activeCell="P63" sqref="P63"/>
    </sheetView>
  </sheetViews>
  <sheetFormatPr defaultRowHeight="13.5" x14ac:dyDescent="0.15"/>
  <cols>
    <col min="1" max="1" width="28.25" bestFit="1" customWidth="1"/>
    <col min="3" max="3" width="9.375" style="3" bestFit="1" customWidth="1"/>
    <col min="4" max="4" width="12.75" style="3" bestFit="1" customWidth="1"/>
    <col min="5" max="9" width="9" style="3"/>
    <col min="11" max="11" width="12.625" customWidth="1"/>
    <col min="16" max="16" width="9" style="3"/>
  </cols>
  <sheetData>
    <row r="1" spans="1:16" x14ac:dyDescent="0.15">
      <c r="A1" t="s">
        <v>223</v>
      </c>
      <c r="B1" t="s">
        <v>224</v>
      </c>
      <c r="C1" s="3" t="s">
        <v>225</v>
      </c>
      <c r="E1" s="3" t="s">
        <v>226</v>
      </c>
      <c r="F1" s="3" t="s">
        <v>227</v>
      </c>
      <c r="G1" s="3" t="s">
        <v>228</v>
      </c>
      <c r="H1" s="3" t="s">
        <v>229</v>
      </c>
      <c r="I1" s="3" t="s">
        <v>230</v>
      </c>
      <c r="J1" t="s">
        <v>231</v>
      </c>
      <c r="K1" t="s">
        <v>232</v>
      </c>
      <c r="L1" t="s">
        <v>233</v>
      </c>
      <c r="M1" t="s">
        <v>234</v>
      </c>
      <c r="N1" t="s">
        <v>235</v>
      </c>
      <c r="O1" t="s">
        <v>236</v>
      </c>
      <c r="P1" s="3" t="s">
        <v>237</v>
      </c>
    </row>
    <row r="2" spans="1:16" x14ac:dyDescent="0.15">
      <c r="A2" t="s">
        <v>238</v>
      </c>
      <c r="B2">
        <v>0</v>
      </c>
      <c r="C2" s="3">
        <v>0</v>
      </c>
      <c r="D2" s="30" t="str">
        <f>IF(INT(C2/3600/24)=0,"",INT(C2/3600/24)&amp;"D")&amp;IF(INT(MOD(C2,3600*24)/3600)=0,"",INT(MOD(C2,3600*24)/3600)&amp;"H")&amp;IF(INT(MOD(C2,3600)/60)=0,"",INT(MOD(C2,3600)/60)&amp;"M")&amp;INT(MOD(C2,60))&amp;"S"</f>
        <v>0S</v>
      </c>
      <c r="K2">
        <v>0</v>
      </c>
      <c r="L2">
        <v>0</v>
      </c>
      <c r="M2">
        <v>0</v>
      </c>
      <c r="O2">
        <v>0</v>
      </c>
    </row>
    <row r="3" spans="1:16" x14ac:dyDescent="0.15">
      <c r="A3" t="s">
        <v>238</v>
      </c>
      <c r="B3">
        <v>1</v>
      </c>
      <c r="C3" s="3">
        <v>5</v>
      </c>
      <c r="D3" s="30" t="str">
        <f t="shared" ref="D3:D66" si="0">IF(INT(C3/3600/24)=0,"",INT(C3/3600/24)&amp;"D")&amp;IF(INT(MOD(C3,3600*24)/3600)=0,"",INT(MOD(C3,3600*24)/3600)&amp;"H")&amp;IF(INT(MOD(C3,3600)/60)=0,"",INT(MOD(C3,3600)/60)&amp;"M")&amp;INT(MOD(C3,60))&amp;"S"</f>
        <v>5S</v>
      </c>
      <c r="E3" s="3">
        <v>700</v>
      </c>
      <c r="F3" s="3">
        <v>2500</v>
      </c>
      <c r="G3" s="3">
        <v>1200</v>
      </c>
      <c r="H3" s="3">
        <v>400</v>
      </c>
      <c r="I3" s="3">
        <v>1500</v>
      </c>
      <c r="K3">
        <v>8.3333333333333329E-2</v>
      </c>
      <c r="L3">
        <v>6300</v>
      </c>
      <c r="M3">
        <v>1.575</v>
      </c>
      <c r="O3">
        <v>1.6583333333333332</v>
      </c>
      <c r="P3" s="3">
        <v>3</v>
      </c>
    </row>
    <row r="4" spans="1:16" x14ac:dyDescent="0.15">
      <c r="A4" t="s">
        <v>238</v>
      </c>
      <c r="B4">
        <v>2</v>
      </c>
      <c r="C4" s="3">
        <v>5</v>
      </c>
      <c r="D4" s="30" t="str">
        <f t="shared" si="0"/>
        <v>5S</v>
      </c>
      <c r="E4" s="3">
        <v>100</v>
      </c>
      <c r="F4" s="3">
        <v>100</v>
      </c>
      <c r="G4" s="3">
        <v>100</v>
      </c>
      <c r="H4" s="3">
        <v>100</v>
      </c>
      <c r="I4" s="3">
        <v>100</v>
      </c>
      <c r="K4">
        <v>8.3333333333333329E-2</v>
      </c>
      <c r="L4">
        <v>500</v>
      </c>
      <c r="M4">
        <v>0.125</v>
      </c>
      <c r="O4">
        <v>0.20833333333333331</v>
      </c>
      <c r="P4" s="3">
        <v>1</v>
      </c>
    </row>
    <row r="5" spans="1:16" x14ac:dyDescent="0.15">
      <c r="A5" t="s">
        <v>238</v>
      </c>
      <c r="B5">
        <v>3</v>
      </c>
      <c r="C5" s="3">
        <v>190</v>
      </c>
      <c r="D5" s="30" t="str">
        <f t="shared" si="0"/>
        <v>3M10S</v>
      </c>
      <c r="E5" s="3">
        <v>738</v>
      </c>
      <c r="F5" s="3">
        <v>2638</v>
      </c>
      <c r="G5" s="3">
        <v>1266</v>
      </c>
      <c r="H5" s="3">
        <v>422</v>
      </c>
      <c r="I5" s="3">
        <v>1583</v>
      </c>
      <c r="K5">
        <v>3.1666666666666665</v>
      </c>
      <c r="L5">
        <v>6647</v>
      </c>
      <c r="M5">
        <v>1.6617500000000001</v>
      </c>
      <c r="O5">
        <v>4.8284166666666666</v>
      </c>
      <c r="P5" s="3">
        <v>7</v>
      </c>
    </row>
    <row r="6" spans="1:16" x14ac:dyDescent="0.15">
      <c r="A6" t="s">
        <v>238</v>
      </c>
      <c r="B6">
        <v>4</v>
      </c>
      <c r="C6" s="3">
        <v>277</v>
      </c>
      <c r="D6" s="30" t="str">
        <f t="shared" si="0"/>
        <v>4M37S</v>
      </c>
      <c r="E6" s="3">
        <v>1077</v>
      </c>
      <c r="F6" s="3">
        <v>3847</v>
      </c>
      <c r="G6" s="3">
        <v>1846</v>
      </c>
      <c r="H6" s="3">
        <v>615</v>
      </c>
      <c r="I6" s="3">
        <v>2308</v>
      </c>
      <c r="K6">
        <v>4.6166666666666663</v>
      </c>
      <c r="L6">
        <v>9693</v>
      </c>
      <c r="M6">
        <v>2.4232499999999999</v>
      </c>
      <c r="O6">
        <v>7.0399166666666666</v>
      </c>
      <c r="P6" s="3">
        <v>10</v>
      </c>
    </row>
    <row r="7" spans="1:16" x14ac:dyDescent="0.15">
      <c r="A7" t="s">
        <v>238</v>
      </c>
      <c r="B7">
        <v>5</v>
      </c>
      <c r="C7" s="3">
        <v>404</v>
      </c>
      <c r="D7" s="30" t="str">
        <f t="shared" si="0"/>
        <v>6M44S</v>
      </c>
      <c r="E7" s="3">
        <v>1571</v>
      </c>
      <c r="F7" s="3">
        <v>5611</v>
      </c>
      <c r="G7" s="3">
        <v>2693</v>
      </c>
      <c r="H7" s="3">
        <v>897</v>
      </c>
      <c r="I7" s="3">
        <v>3366</v>
      </c>
      <c r="K7">
        <v>4.04</v>
      </c>
      <c r="L7">
        <v>14138</v>
      </c>
      <c r="M7">
        <v>3.5345</v>
      </c>
      <c r="O7">
        <v>7.5745000000000005</v>
      </c>
      <c r="P7" s="3">
        <v>11</v>
      </c>
    </row>
    <row r="8" spans="1:16" x14ac:dyDescent="0.15">
      <c r="A8" t="s">
        <v>238</v>
      </c>
      <c r="B8">
        <v>6</v>
      </c>
      <c r="C8" s="3">
        <v>590</v>
      </c>
      <c r="D8" s="30" t="str">
        <f t="shared" si="0"/>
        <v>9M50S</v>
      </c>
      <c r="E8" s="3">
        <v>1529</v>
      </c>
      <c r="F8" s="3">
        <v>5462</v>
      </c>
      <c r="G8" s="3">
        <v>2622</v>
      </c>
      <c r="H8" s="3">
        <v>874</v>
      </c>
      <c r="I8" s="3">
        <v>3277</v>
      </c>
      <c r="K8">
        <v>5.8999999999999995</v>
      </c>
      <c r="L8">
        <v>13764</v>
      </c>
      <c r="M8">
        <v>3.4410000000000003</v>
      </c>
      <c r="O8">
        <v>9.3409999999999993</v>
      </c>
      <c r="P8" s="3">
        <v>13</v>
      </c>
    </row>
    <row r="9" spans="1:16" x14ac:dyDescent="0.15">
      <c r="A9" t="s">
        <v>238</v>
      </c>
      <c r="B9">
        <v>7</v>
      </c>
      <c r="C9" s="3">
        <v>860</v>
      </c>
      <c r="D9" s="30" t="str">
        <f t="shared" si="0"/>
        <v>14M20S</v>
      </c>
      <c r="E9" s="3">
        <v>1672</v>
      </c>
      <c r="F9" s="3">
        <v>5972</v>
      </c>
      <c r="G9" s="3">
        <v>2866</v>
      </c>
      <c r="H9" s="3">
        <v>955</v>
      </c>
      <c r="I9" s="3">
        <v>3583</v>
      </c>
      <c r="K9">
        <v>8.6</v>
      </c>
      <c r="L9">
        <v>15048</v>
      </c>
      <c r="M9">
        <v>3.762</v>
      </c>
      <c r="O9">
        <v>12.362</v>
      </c>
      <c r="P9" s="3">
        <v>17</v>
      </c>
    </row>
    <row r="10" spans="1:16" x14ac:dyDescent="0.15">
      <c r="A10" t="s">
        <v>238</v>
      </c>
      <c r="B10">
        <v>8</v>
      </c>
      <c r="C10" s="3">
        <v>1254</v>
      </c>
      <c r="D10" s="30" t="str">
        <f t="shared" si="0"/>
        <v>20M54S</v>
      </c>
      <c r="E10" s="3">
        <v>2438</v>
      </c>
      <c r="F10" s="3">
        <v>8708</v>
      </c>
      <c r="G10" s="3">
        <v>4180</v>
      </c>
      <c r="H10" s="3">
        <v>1393</v>
      </c>
      <c r="I10" s="3">
        <v>5225</v>
      </c>
      <c r="J10">
        <f>48*60</f>
        <v>2880</v>
      </c>
      <c r="K10">
        <v>6.9666666666666668</v>
      </c>
      <c r="L10">
        <v>21944</v>
      </c>
      <c r="M10">
        <v>5.4859999999999998</v>
      </c>
      <c r="O10">
        <v>12.452666666666666</v>
      </c>
      <c r="P10" s="3">
        <v>18</v>
      </c>
    </row>
    <row r="11" spans="1:16" x14ac:dyDescent="0.15">
      <c r="A11" t="s">
        <v>238</v>
      </c>
      <c r="B11">
        <v>9</v>
      </c>
      <c r="C11" s="3">
        <v>1828</v>
      </c>
      <c r="D11" s="30" t="str">
        <f t="shared" si="0"/>
        <v>30M28S</v>
      </c>
      <c r="E11" s="3">
        <v>3554</v>
      </c>
      <c r="F11" s="3">
        <v>12694</v>
      </c>
      <c r="G11" s="3">
        <v>6093</v>
      </c>
      <c r="H11" s="3">
        <v>2031</v>
      </c>
      <c r="I11" s="3">
        <v>7616</v>
      </c>
      <c r="K11">
        <v>10.155555555555555</v>
      </c>
      <c r="L11">
        <v>31988</v>
      </c>
      <c r="M11">
        <v>7.9969999999999999</v>
      </c>
      <c r="O11">
        <v>18.152555555555555</v>
      </c>
      <c r="P11" s="3">
        <v>24</v>
      </c>
    </row>
    <row r="12" spans="1:16" x14ac:dyDescent="0.15">
      <c r="A12" t="s">
        <v>238</v>
      </c>
      <c r="B12">
        <v>10</v>
      </c>
      <c r="C12" s="3">
        <v>2665</v>
      </c>
      <c r="D12" s="30" t="str">
        <f t="shared" si="0"/>
        <v>44M25S</v>
      </c>
      <c r="E12" s="3">
        <v>5181</v>
      </c>
      <c r="F12" s="3">
        <v>18506</v>
      </c>
      <c r="G12" s="3">
        <v>8883</v>
      </c>
      <c r="H12" s="3">
        <v>2961</v>
      </c>
      <c r="I12" s="3">
        <v>11104</v>
      </c>
      <c r="K12">
        <v>14.805555555555557</v>
      </c>
      <c r="L12">
        <v>46635</v>
      </c>
      <c r="M12">
        <v>11.65875</v>
      </c>
      <c r="O12">
        <v>26.464305555555555</v>
      </c>
      <c r="P12" s="3">
        <v>35</v>
      </c>
    </row>
    <row r="13" spans="1:16" x14ac:dyDescent="0.15">
      <c r="A13" t="s">
        <v>238</v>
      </c>
      <c r="B13">
        <v>11</v>
      </c>
      <c r="C13" s="3">
        <v>3884</v>
      </c>
      <c r="D13" s="30" t="str">
        <f t="shared" si="0"/>
        <v>1H4M44S</v>
      </c>
      <c r="E13" s="3">
        <v>7552</v>
      </c>
      <c r="F13" s="3">
        <v>26972</v>
      </c>
      <c r="G13" s="3">
        <v>12946</v>
      </c>
      <c r="H13" s="3">
        <v>4315</v>
      </c>
      <c r="I13" s="3">
        <v>16183</v>
      </c>
      <c r="K13">
        <v>10.788888888888888</v>
      </c>
      <c r="L13">
        <v>67968</v>
      </c>
      <c r="M13">
        <v>16.992000000000001</v>
      </c>
      <c r="O13">
        <v>27.780888888888889</v>
      </c>
      <c r="P13" s="3">
        <v>37</v>
      </c>
    </row>
    <row r="14" spans="1:16" x14ac:dyDescent="0.15">
      <c r="A14" t="s">
        <v>238</v>
      </c>
      <c r="B14">
        <v>12</v>
      </c>
      <c r="C14" s="3">
        <v>5663</v>
      </c>
      <c r="D14" s="30" t="str">
        <f t="shared" si="0"/>
        <v>1H34M23S</v>
      </c>
      <c r="E14" s="3">
        <v>11011</v>
      </c>
      <c r="F14" s="3">
        <v>39326</v>
      </c>
      <c r="G14" s="3">
        <v>18876</v>
      </c>
      <c r="H14" s="3">
        <v>6292</v>
      </c>
      <c r="I14" s="3">
        <v>23595</v>
      </c>
      <c r="K14">
        <v>15.730555555555556</v>
      </c>
      <c r="L14">
        <v>99100</v>
      </c>
      <c r="M14">
        <v>24.775000000000002</v>
      </c>
      <c r="O14">
        <v>40.50555555555556</v>
      </c>
      <c r="P14" s="3">
        <v>53</v>
      </c>
    </row>
    <row r="15" spans="1:16" x14ac:dyDescent="0.15">
      <c r="A15" t="s">
        <v>238</v>
      </c>
      <c r="B15">
        <v>13</v>
      </c>
      <c r="C15" s="3">
        <v>8255</v>
      </c>
      <c r="D15" s="30" t="str">
        <f t="shared" si="0"/>
        <v>2H17M35S</v>
      </c>
      <c r="E15" s="3">
        <v>16051</v>
      </c>
      <c r="F15" s="3">
        <v>57326</v>
      </c>
      <c r="G15" s="3">
        <v>27516</v>
      </c>
      <c r="H15" s="3">
        <v>9172</v>
      </c>
      <c r="I15" s="3">
        <v>34395</v>
      </c>
      <c r="K15">
        <v>22.930555555555557</v>
      </c>
      <c r="L15">
        <v>144460</v>
      </c>
      <c r="M15">
        <v>36.115000000000002</v>
      </c>
      <c r="O15">
        <v>59.045555555555559</v>
      </c>
      <c r="P15" s="3">
        <v>77</v>
      </c>
    </row>
    <row r="16" spans="1:16" x14ac:dyDescent="0.15">
      <c r="A16" t="s">
        <v>238</v>
      </c>
      <c r="B16">
        <v>14</v>
      </c>
      <c r="C16" s="3">
        <v>12033</v>
      </c>
      <c r="D16" s="30" t="str">
        <f t="shared" si="0"/>
        <v>3H20M33S</v>
      </c>
      <c r="E16" s="3">
        <v>23397</v>
      </c>
      <c r="F16" s="3">
        <v>83562</v>
      </c>
      <c r="G16" s="3">
        <v>40110</v>
      </c>
      <c r="H16" s="3">
        <v>13370</v>
      </c>
      <c r="I16" s="3">
        <v>50137</v>
      </c>
      <c r="K16">
        <v>20.055</v>
      </c>
      <c r="L16">
        <v>210576</v>
      </c>
      <c r="M16">
        <v>52.643999999999998</v>
      </c>
      <c r="O16">
        <v>72.698999999999998</v>
      </c>
      <c r="P16" s="3">
        <v>95</v>
      </c>
    </row>
    <row r="17" spans="1:16" x14ac:dyDescent="0.15">
      <c r="A17" t="s">
        <v>238</v>
      </c>
      <c r="B17">
        <v>15</v>
      </c>
      <c r="C17" s="3">
        <v>17540</v>
      </c>
      <c r="D17" s="30" t="str">
        <f t="shared" si="0"/>
        <v>4H52M20S</v>
      </c>
      <c r="E17" s="3">
        <v>34105</v>
      </c>
      <c r="F17" s="3">
        <v>121805</v>
      </c>
      <c r="G17" s="3">
        <v>58466</v>
      </c>
      <c r="H17" s="3">
        <v>19488</v>
      </c>
      <c r="I17" s="3">
        <v>73083</v>
      </c>
      <c r="K17">
        <v>29.233333333333334</v>
      </c>
      <c r="L17">
        <v>306947</v>
      </c>
      <c r="M17">
        <v>67.52834</v>
      </c>
      <c r="O17">
        <v>96.761673333333334</v>
      </c>
      <c r="P17" s="3">
        <v>126</v>
      </c>
    </row>
    <row r="18" spans="1:16" x14ac:dyDescent="0.15">
      <c r="A18" t="s">
        <v>238</v>
      </c>
      <c r="B18">
        <v>16</v>
      </c>
      <c r="C18" s="3">
        <v>25568</v>
      </c>
      <c r="D18" s="30" t="str">
        <f t="shared" si="0"/>
        <v>7H6M8S</v>
      </c>
      <c r="E18" s="3">
        <v>49715</v>
      </c>
      <c r="F18" s="3">
        <v>177555</v>
      </c>
      <c r="G18" s="3">
        <v>85226</v>
      </c>
      <c r="H18" s="3">
        <v>28408</v>
      </c>
      <c r="I18" s="3">
        <v>106533</v>
      </c>
      <c r="K18">
        <v>42.61333333333333</v>
      </c>
      <c r="L18">
        <v>447437</v>
      </c>
      <c r="M18">
        <v>98.436140000000009</v>
      </c>
      <c r="O18">
        <v>141.04947333333334</v>
      </c>
      <c r="P18" s="3">
        <v>184</v>
      </c>
    </row>
    <row r="19" spans="1:16" x14ac:dyDescent="0.15">
      <c r="A19" t="s">
        <v>238</v>
      </c>
      <c r="B19">
        <v>17</v>
      </c>
      <c r="C19" s="3">
        <v>37271</v>
      </c>
      <c r="D19" s="30" t="str">
        <f t="shared" si="0"/>
        <v>10H21M11S</v>
      </c>
      <c r="E19" s="3">
        <v>72471</v>
      </c>
      <c r="F19" s="3">
        <v>258826</v>
      </c>
      <c r="G19" s="3">
        <v>124236</v>
      </c>
      <c r="H19" s="3">
        <v>41412</v>
      </c>
      <c r="I19" s="3">
        <v>155295</v>
      </c>
      <c r="K19">
        <v>51.765277777777776</v>
      </c>
      <c r="L19">
        <v>652240</v>
      </c>
      <c r="M19">
        <v>123.9256</v>
      </c>
      <c r="O19">
        <v>175.69087777777779</v>
      </c>
      <c r="P19" s="3">
        <v>229</v>
      </c>
    </row>
    <row r="20" spans="1:16" x14ac:dyDescent="0.15">
      <c r="A20" t="s">
        <v>238</v>
      </c>
      <c r="B20">
        <v>18</v>
      </c>
      <c r="C20" s="3">
        <v>54329</v>
      </c>
      <c r="D20" s="30" t="str">
        <f t="shared" si="0"/>
        <v>15H5M29S</v>
      </c>
      <c r="E20" s="3">
        <v>105639</v>
      </c>
      <c r="F20" s="3">
        <v>377284</v>
      </c>
      <c r="G20" s="3">
        <v>181096</v>
      </c>
      <c r="H20" s="3">
        <v>60365</v>
      </c>
      <c r="I20" s="3">
        <v>226370</v>
      </c>
      <c r="K20">
        <v>65.396018518518517</v>
      </c>
      <c r="L20">
        <v>950754</v>
      </c>
      <c r="M20">
        <v>180.64326</v>
      </c>
      <c r="O20">
        <v>246.03927851851853</v>
      </c>
      <c r="P20" s="3">
        <v>320</v>
      </c>
    </row>
    <row r="21" spans="1:16" x14ac:dyDescent="0.15">
      <c r="A21" t="s">
        <v>238</v>
      </c>
      <c r="B21">
        <v>19</v>
      </c>
      <c r="C21" s="3">
        <v>79195</v>
      </c>
      <c r="D21" s="30" t="str">
        <f t="shared" si="0"/>
        <v>21H59M55S</v>
      </c>
      <c r="E21" s="3">
        <v>153990</v>
      </c>
      <c r="F21" s="3">
        <v>549965</v>
      </c>
      <c r="G21" s="3">
        <v>263983</v>
      </c>
      <c r="H21" s="3">
        <v>87994</v>
      </c>
      <c r="I21" s="3">
        <v>329979</v>
      </c>
      <c r="K21">
        <v>95.327314814814812</v>
      </c>
      <c r="L21">
        <v>1385911</v>
      </c>
      <c r="M21">
        <v>263.32309000000004</v>
      </c>
      <c r="O21">
        <v>358.65040481481486</v>
      </c>
      <c r="P21" s="3">
        <v>467</v>
      </c>
    </row>
    <row r="22" spans="1:16" x14ac:dyDescent="0.15">
      <c r="A22" t="s">
        <v>238</v>
      </c>
      <c r="B22">
        <v>20</v>
      </c>
      <c r="C22" s="3">
        <v>115442</v>
      </c>
      <c r="D22" s="30" t="str">
        <f t="shared" si="0"/>
        <v>1D8H4M2S</v>
      </c>
      <c r="E22" s="3">
        <v>224470</v>
      </c>
      <c r="F22" s="3">
        <v>801680</v>
      </c>
      <c r="G22" s="3">
        <v>384806</v>
      </c>
      <c r="H22" s="3">
        <v>128268</v>
      </c>
      <c r="I22" s="3">
        <v>481008</v>
      </c>
      <c r="J22" t="s">
        <v>63</v>
      </c>
      <c r="K22">
        <v>126.93275462962964</v>
      </c>
      <c r="L22">
        <v>2020232</v>
      </c>
      <c r="M22">
        <v>383.84408000000002</v>
      </c>
      <c r="N22">
        <v>40</v>
      </c>
      <c r="O22">
        <v>550.77683462962966</v>
      </c>
      <c r="P22" s="3">
        <v>717</v>
      </c>
    </row>
    <row r="23" spans="1:16" x14ac:dyDescent="0.15">
      <c r="A23" t="s">
        <v>239</v>
      </c>
      <c r="B23">
        <v>0</v>
      </c>
      <c r="C23" s="3">
        <v>0</v>
      </c>
      <c r="D23" s="30" t="str">
        <f t="shared" si="0"/>
        <v>0S</v>
      </c>
      <c r="K23">
        <v>0</v>
      </c>
      <c r="L23">
        <v>0</v>
      </c>
      <c r="M23">
        <v>0</v>
      </c>
      <c r="O23">
        <v>0</v>
      </c>
      <c r="P23" s="3">
        <v>0</v>
      </c>
    </row>
    <row r="24" spans="1:16" x14ac:dyDescent="0.15">
      <c r="A24" t="s">
        <v>239</v>
      </c>
      <c r="B24">
        <v>1</v>
      </c>
      <c r="C24" s="3">
        <v>0</v>
      </c>
      <c r="D24" s="30" t="str">
        <f t="shared" si="0"/>
        <v>0S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K24">
        <v>0</v>
      </c>
      <c r="L24">
        <v>0</v>
      </c>
      <c r="M24">
        <v>0</v>
      </c>
      <c r="O24">
        <v>0</v>
      </c>
      <c r="P24" s="3">
        <v>0</v>
      </c>
    </row>
    <row r="25" spans="1:16" x14ac:dyDescent="0.15">
      <c r="A25" t="s">
        <v>239</v>
      </c>
      <c r="B25">
        <v>2</v>
      </c>
      <c r="C25" s="3">
        <v>1059</v>
      </c>
      <c r="D25" s="30" t="str">
        <f t="shared" si="0"/>
        <v>17M39S</v>
      </c>
      <c r="E25" s="3">
        <v>266</v>
      </c>
      <c r="F25" s="3">
        <v>798</v>
      </c>
      <c r="G25" s="3">
        <v>5324</v>
      </c>
      <c r="H25" s="3">
        <v>1597</v>
      </c>
      <c r="K25">
        <v>5.8833333333333337</v>
      </c>
      <c r="L25">
        <v>7985</v>
      </c>
      <c r="M25">
        <v>1.9962500000000001</v>
      </c>
      <c r="O25">
        <v>7.8795833333333336</v>
      </c>
      <c r="P25" s="3">
        <v>11</v>
      </c>
    </row>
    <row r="26" spans="1:16" x14ac:dyDescent="0.15">
      <c r="A26" t="s">
        <v>239</v>
      </c>
      <c r="B26">
        <v>3</v>
      </c>
      <c r="C26" s="3">
        <v>1507</v>
      </c>
      <c r="D26" s="30" t="str">
        <f t="shared" si="0"/>
        <v>25M7S</v>
      </c>
      <c r="E26" s="3">
        <v>378</v>
      </c>
      <c r="F26" s="3">
        <v>1136</v>
      </c>
      <c r="G26" s="3">
        <v>7577</v>
      </c>
      <c r="H26" s="3">
        <v>2273</v>
      </c>
      <c r="K26">
        <v>8.3722222222222218</v>
      </c>
      <c r="L26">
        <v>11364</v>
      </c>
      <c r="M26">
        <v>2.8410000000000002</v>
      </c>
      <c r="O26">
        <v>11.213222222222221</v>
      </c>
      <c r="P26" s="3">
        <v>15</v>
      </c>
    </row>
    <row r="27" spans="1:16" x14ac:dyDescent="0.15">
      <c r="A27" t="s">
        <v>239</v>
      </c>
      <c r="B27">
        <v>4</v>
      </c>
      <c r="C27" s="3">
        <v>2144</v>
      </c>
      <c r="D27" s="30" t="str">
        <f t="shared" si="0"/>
        <v>35M44S</v>
      </c>
      <c r="E27" s="3">
        <v>539</v>
      </c>
      <c r="F27" s="3">
        <v>1617</v>
      </c>
      <c r="G27" s="3">
        <v>10780</v>
      </c>
      <c r="H27" s="3">
        <v>3234</v>
      </c>
      <c r="K27">
        <v>11.91111111111111</v>
      </c>
      <c r="L27">
        <v>16170</v>
      </c>
      <c r="M27">
        <v>4.0425000000000004</v>
      </c>
      <c r="O27">
        <v>15.95361111111111</v>
      </c>
      <c r="P27" s="3">
        <v>21</v>
      </c>
    </row>
    <row r="28" spans="1:16" x14ac:dyDescent="0.15">
      <c r="A28" t="s">
        <v>239</v>
      </c>
      <c r="B28">
        <v>5</v>
      </c>
      <c r="C28" s="3">
        <v>3052</v>
      </c>
      <c r="D28" s="30" t="str">
        <f t="shared" si="0"/>
        <v>50M52S</v>
      </c>
      <c r="E28" s="3">
        <v>767</v>
      </c>
      <c r="F28" s="3">
        <v>2301</v>
      </c>
      <c r="G28" s="3">
        <v>15346</v>
      </c>
      <c r="H28" s="3">
        <v>4603</v>
      </c>
      <c r="K28">
        <v>16.955555555555556</v>
      </c>
      <c r="L28">
        <v>23017</v>
      </c>
      <c r="M28">
        <v>5.7542499999999999</v>
      </c>
      <c r="O28">
        <v>22.709805555555555</v>
      </c>
      <c r="P28" s="3">
        <v>26</v>
      </c>
    </row>
    <row r="29" spans="1:16" x14ac:dyDescent="0.15">
      <c r="A29" t="s">
        <v>239</v>
      </c>
      <c r="B29">
        <v>6</v>
      </c>
      <c r="C29" s="3">
        <v>4343</v>
      </c>
      <c r="D29" s="30" t="str">
        <f t="shared" si="0"/>
        <v>1H12M23S</v>
      </c>
      <c r="E29" s="3">
        <v>1091</v>
      </c>
      <c r="F29" s="3">
        <v>3275</v>
      </c>
      <c r="G29" s="3">
        <v>21837</v>
      </c>
      <c r="H29" s="3">
        <v>6551</v>
      </c>
      <c r="K29">
        <v>12.06388888888889</v>
      </c>
      <c r="L29">
        <v>32754</v>
      </c>
      <c r="M29">
        <v>8.1884999999999994</v>
      </c>
      <c r="O29">
        <v>20.252388888888888</v>
      </c>
      <c r="P29" s="3">
        <v>30</v>
      </c>
    </row>
    <row r="30" spans="1:16" x14ac:dyDescent="0.15">
      <c r="A30" t="s">
        <v>239</v>
      </c>
      <c r="B30">
        <v>7</v>
      </c>
      <c r="C30" s="3">
        <v>6181</v>
      </c>
      <c r="D30" s="30" t="str">
        <f t="shared" si="0"/>
        <v>1H43M1S</v>
      </c>
      <c r="E30" s="3">
        <v>1553</v>
      </c>
      <c r="F30" s="3">
        <v>4661</v>
      </c>
      <c r="G30" s="3">
        <v>31079</v>
      </c>
      <c r="H30" s="3">
        <v>9323</v>
      </c>
      <c r="K30">
        <v>17.169444444444444</v>
      </c>
      <c r="L30">
        <v>46616</v>
      </c>
      <c r="M30">
        <v>11.654</v>
      </c>
      <c r="O30">
        <v>28.823444444444444</v>
      </c>
      <c r="P30" s="3">
        <v>38</v>
      </c>
    </row>
    <row r="31" spans="1:16" x14ac:dyDescent="0.15">
      <c r="A31" t="s">
        <v>239</v>
      </c>
      <c r="B31">
        <v>8</v>
      </c>
      <c r="C31" s="3">
        <v>8796</v>
      </c>
      <c r="D31" s="30" t="str">
        <f t="shared" si="0"/>
        <v>2H26M36S</v>
      </c>
      <c r="E31" s="3">
        <v>2211</v>
      </c>
      <c r="F31" s="3">
        <v>6634</v>
      </c>
      <c r="G31" s="3">
        <v>44227</v>
      </c>
      <c r="H31" s="3">
        <v>13268</v>
      </c>
      <c r="K31">
        <v>24.433333333333334</v>
      </c>
      <c r="L31">
        <v>66340</v>
      </c>
      <c r="M31">
        <v>16.585000000000001</v>
      </c>
      <c r="O31">
        <v>41.018333333333331</v>
      </c>
      <c r="P31" s="3">
        <v>54</v>
      </c>
    </row>
    <row r="32" spans="1:16" x14ac:dyDescent="0.15">
      <c r="A32" t="s">
        <v>239</v>
      </c>
      <c r="B32">
        <v>9</v>
      </c>
      <c r="C32" s="3">
        <v>12517</v>
      </c>
      <c r="D32" s="30" t="str">
        <f t="shared" si="0"/>
        <v>3H28M37S</v>
      </c>
      <c r="E32" s="3">
        <v>3146</v>
      </c>
      <c r="F32" s="3">
        <v>9440</v>
      </c>
      <c r="G32" s="3">
        <v>62937</v>
      </c>
      <c r="H32" s="3">
        <v>18881</v>
      </c>
      <c r="K32">
        <v>20.861666666666665</v>
      </c>
      <c r="L32">
        <v>94404</v>
      </c>
      <c r="M32">
        <v>23.600999999999999</v>
      </c>
      <c r="O32">
        <v>44.462666666666664</v>
      </c>
      <c r="P32" s="3">
        <v>65</v>
      </c>
    </row>
    <row r="33" spans="1:16" x14ac:dyDescent="0.15">
      <c r="A33" t="s">
        <v>239</v>
      </c>
      <c r="B33">
        <v>10</v>
      </c>
      <c r="C33" s="3">
        <v>17812</v>
      </c>
      <c r="D33" s="30" t="str">
        <f t="shared" si="0"/>
        <v>4H56M52S</v>
      </c>
      <c r="E33" s="3">
        <v>4478</v>
      </c>
      <c r="F33" s="3">
        <v>13434</v>
      </c>
      <c r="G33" s="3">
        <v>89562</v>
      </c>
      <c r="H33" s="3">
        <v>26868</v>
      </c>
      <c r="K33">
        <v>29.686666666666667</v>
      </c>
      <c r="L33">
        <v>134342</v>
      </c>
      <c r="M33">
        <v>33.585500000000003</v>
      </c>
      <c r="O33">
        <v>63.272166666666671</v>
      </c>
      <c r="P33" s="3">
        <v>83</v>
      </c>
    </row>
    <row r="34" spans="1:16" x14ac:dyDescent="0.15">
      <c r="A34" t="s">
        <v>239</v>
      </c>
      <c r="B34">
        <v>11</v>
      </c>
      <c r="C34" s="3">
        <v>25348</v>
      </c>
      <c r="D34" s="30" t="str">
        <f t="shared" si="0"/>
        <v>7H2M28S</v>
      </c>
      <c r="E34" s="3">
        <v>6372</v>
      </c>
      <c r="F34" s="3">
        <v>19118</v>
      </c>
      <c r="G34" s="3">
        <v>127454</v>
      </c>
      <c r="H34" s="3">
        <v>38236</v>
      </c>
      <c r="K34">
        <v>42.24666666666667</v>
      </c>
      <c r="L34">
        <v>191180</v>
      </c>
      <c r="M34">
        <v>47.795000000000002</v>
      </c>
      <c r="O34">
        <v>90.041666666666671</v>
      </c>
      <c r="P34" s="3">
        <v>118</v>
      </c>
    </row>
    <row r="35" spans="1:16" x14ac:dyDescent="0.15">
      <c r="A35" t="s">
        <v>239</v>
      </c>
      <c r="B35">
        <v>12</v>
      </c>
      <c r="C35" s="3">
        <v>36071</v>
      </c>
      <c r="D35" s="30" t="str">
        <f t="shared" si="0"/>
        <v>10H1M11S</v>
      </c>
      <c r="E35" s="3">
        <v>9068</v>
      </c>
      <c r="F35" s="3">
        <v>27205</v>
      </c>
      <c r="G35" s="3">
        <v>181371</v>
      </c>
      <c r="H35" s="3">
        <v>54411</v>
      </c>
      <c r="K35">
        <v>50.098611111111111</v>
      </c>
      <c r="L35">
        <v>272055</v>
      </c>
      <c r="M35">
        <v>59.8521</v>
      </c>
      <c r="O35">
        <v>109.9507111111111</v>
      </c>
      <c r="P35" s="3">
        <v>143</v>
      </c>
    </row>
    <row r="36" spans="1:16" x14ac:dyDescent="0.15">
      <c r="A36" t="s">
        <v>239</v>
      </c>
      <c r="B36">
        <v>13</v>
      </c>
      <c r="C36" s="3">
        <v>51331</v>
      </c>
      <c r="D36" s="30" t="str">
        <f t="shared" si="0"/>
        <v>14H15M31S</v>
      </c>
      <c r="E36" s="3">
        <v>12905</v>
      </c>
      <c r="F36" s="3">
        <v>38715</v>
      </c>
      <c r="G36" s="3">
        <v>258102</v>
      </c>
      <c r="H36" s="3">
        <v>77430</v>
      </c>
      <c r="K36">
        <v>71.293055555555554</v>
      </c>
      <c r="L36">
        <v>387152</v>
      </c>
      <c r="M36">
        <v>85.173439999999999</v>
      </c>
      <c r="O36">
        <v>156.46649555555555</v>
      </c>
      <c r="P36" s="3">
        <v>204</v>
      </c>
    </row>
    <row r="37" spans="1:16" x14ac:dyDescent="0.15">
      <c r="A37" t="s">
        <v>239</v>
      </c>
      <c r="B37">
        <v>14</v>
      </c>
      <c r="C37" s="3">
        <v>73046</v>
      </c>
      <c r="D37" s="30" t="str">
        <f t="shared" si="0"/>
        <v>20H17M26S</v>
      </c>
      <c r="E37" s="3">
        <v>18364</v>
      </c>
      <c r="F37" s="3">
        <v>55093</v>
      </c>
      <c r="G37" s="3">
        <v>367289</v>
      </c>
      <c r="H37" s="3">
        <v>110186</v>
      </c>
      <c r="K37">
        <v>87.92574074074075</v>
      </c>
      <c r="L37">
        <v>550932</v>
      </c>
      <c r="M37">
        <v>104.67708</v>
      </c>
      <c r="O37">
        <v>192.60282074074075</v>
      </c>
      <c r="P37" s="3">
        <v>251</v>
      </c>
    </row>
    <row r="38" spans="1:16" x14ac:dyDescent="0.15">
      <c r="A38" t="s">
        <v>239</v>
      </c>
      <c r="B38">
        <v>15</v>
      </c>
      <c r="C38" s="3">
        <v>103949</v>
      </c>
      <c r="D38" s="30" t="str">
        <f t="shared" si="0"/>
        <v>1D4H52M29S</v>
      </c>
      <c r="E38" s="3">
        <v>26133</v>
      </c>
      <c r="F38" s="3">
        <v>78401</v>
      </c>
      <c r="G38" s="3">
        <v>522675</v>
      </c>
      <c r="H38" s="3">
        <v>156802</v>
      </c>
      <c r="K38">
        <v>114.29577546296296</v>
      </c>
      <c r="L38">
        <v>784011</v>
      </c>
      <c r="M38">
        <v>148.96209000000002</v>
      </c>
      <c r="O38">
        <v>263.25786546296297</v>
      </c>
      <c r="P38" s="3">
        <v>343</v>
      </c>
    </row>
    <row r="39" spans="1:16" x14ac:dyDescent="0.15">
      <c r="A39" t="s">
        <v>239</v>
      </c>
      <c r="B39">
        <v>16</v>
      </c>
      <c r="C39" s="3">
        <v>147924</v>
      </c>
      <c r="D39" s="30" t="str">
        <f t="shared" si="0"/>
        <v>1D17H5M24S</v>
      </c>
      <c r="E39" s="3">
        <v>37189</v>
      </c>
      <c r="F39" s="3">
        <v>111568</v>
      </c>
      <c r="G39" s="3">
        <v>743790</v>
      </c>
      <c r="H39" s="3">
        <v>223137</v>
      </c>
      <c r="K39">
        <v>162.64791666666667</v>
      </c>
      <c r="L39">
        <v>1115684</v>
      </c>
      <c r="M39">
        <v>211.97996000000001</v>
      </c>
      <c r="O39">
        <v>374.62787666666668</v>
      </c>
      <c r="P39" s="3">
        <v>488</v>
      </c>
    </row>
    <row r="40" spans="1:16" x14ac:dyDescent="0.15">
      <c r="A40" t="s">
        <v>239</v>
      </c>
      <c r="B40">
        <v>17</v>
      </c>
      <c r="C40" s="3">
        <v>210503</v>
      </c>
      <c r="D40" s="30" t="str">
        <f t="shared" si="0"/>
        <v>2D10H28M23S</v>
      </c>
      <c r="E40" s="3">
        <v>52922</v>
      </c>
      <c r="F40" s="3">
        <v>158767</v>
      </c>
      <c r="G40" s="3">
        <v>1058449</v>
      </c>
      <c r="H40" s="3">
        <v>317534</v>
      </c>
      <c r="K40">
        <v>231.45584490740742</v>
      </c>
      <c r="L40">
        <v>1587672</v>
      </c>
      <c r="M40">
        <v>301.65768000000003</v>
      </c>
      <c r="O40">
        <v>533.11352490740751</v>
      </c>
      <c r="P40" s="3">
        <v>694</v>
      </c>
    </row>
    <row r="41" spans="1:16" x14ac:dyDescent="0.15">
      <c r="A41" t="s">
        <v>239</v>
      </c>
      <c r="B41">
        <v>18</v>
      </c>
      <c r="C41" s="3">
        <v>299556</v>
      </c>
      <c r="D41" s="30" t="str">
        <f t="shared" si="0"/>
        <v>3D11H12M36S</v>
      </c>
      <c r="E41" s="3">
        <v>75311</v>
      </c>
      <c r="F41" s="3">
        <v>225933</v>
      </c>
      <c r="G41" s="3">
        <v>1506224</v>
      </c>
      <c r="H41" s="3">
        <v>451867</v>
      </c>
      <c r="K41">
        <v>291.23500000000001</v>
      </c>
      <c r="L41">
        <v>2259335</v>
      </c>
      <c r="M41">
        <v>429.27365000000003</v>
      </c>
      <c r="O41">
        <v>720.50864999999999</v>
      </c>
      <c r="P41" s="3">
        <v>937</v>
      </c>
    </row>
    <row r="42" spans="1:16" x14ac:dyDescent="0.15">
      <c r="A42" t="s">
        <v>239</v>
      </c>
      <c r="B42">
        <v>19</v>
      </c>
      <c r="C42" s="3">
        <v>426282</v>
      </c>
      <c r="D42" s="30" t="str">
        <f t="shared" si="0"/>
        <v>4D22H24M42S</v>
      </c>
      <c r="E42" s="3">
        <v>107171</v>
      </c>
      <c r="F42" s="3">
        <v>321514</v>
      </c>
      <c r="G42" s="3">
        <v>2143427</v>
      </c>
      <c r="H42" s="3">
        <v>643028</v>
      </c>
      <c r="K42">
        <v>339.20008680555554</v>
      </c>
      <c r="L42">
        <v>3215140</v>
      </c>
      <c r="M42">
        <v>610.87660000000005</v>
      </c>
      <c r="O42">
        <v>950.0766868055556</v>
      </c>
      <c r="P42" s="3">
        <v>1236</v>
      </c>
    </row>
    <row r="43" spans="1:16" x14ac:dyDescent="0.15">
      <c r="A43" t="s">
        <v>239</v>
      </c>
      <c r="B43">
        <v>20</v>
      </c>
      <c r="C43" s="3">
        <v>606620</v>
      </c>
      <c r="D43" s="30" t="str">
        <f t="shared" si="0"/>
        <v>7D30M20S</v>
      </c>
      <c r="E43" s="3">
        <v>152510</v>
      </c>
      <c r="F43" s="3">
        <v>457530</v>
      </c>
      <c r="G43" s="3">
        <v>3050201</v>
      </c>
      <c r="H43" s="3">
        <v>915060</v>
      </c>
      <c r="J43" t="s">
        <v>63</v>
      </c>
      <c r="K43">
        <v>482.69820601851853</v>
      </c>
      <c r="L43">
        <v>4575301</v>
      </c>
      <c r="M43">
        <v>869.30718999999999</v>
      </c>
      <c r="N43">
        <v>40</v>
      </c>
      <c r="O43">
        <v>1392.0053960185185</v>
      </c>
      <c r="P43" s="3">
        <v>1810</v>
      </c>
    </row>
    <row r="44" spans="1:16" x14ac:dyDescent="0.15">
      <c r="A44" t="s">
        <v>240</v>
      </c>
      <c r="B44">
        <v>0</v>
      </c>
      <c r="C44" s="3">
        <v>0</v>
      </c>
      <c r="D44" s="30" t="str">
        <f t="shared" si="0"/>
        <v>0S</v>
      </c>
      <c r="K44">
        <v>0</v>
      </c>
      <c r="L44">
        <v>0</v>
      </c>
      <c r="M44">
        <v>0</v>
      </c>
      <c r="O44">
        <v>0</v>
      </c>
      <c r="P44" s="3">
        <v>0</v>
      </c>
    </row>
    <row r="45" spans="1:16" x14ac:dyDescent="0.15">
      <c r="A45" t="s">
        <v>240</v>
      </c>
      <c r="B45">
        <v>1</v>
      </c>
      <c r="C45" s="3">
        <v>148</v>
      </c>
      <c r="D45" s="30" t="str">
        <f t="shared" si="0"/>
        <v>2M28S</v>
      </c>
      <c r="E45" s="3">
        <v>260</v>
      </c>
      <c r="F45" s="3">
        <v>930</v>
      </c>
      <c r="G45" s="3">
        <v>446</v>
      </c>
      <c r="H45" s="3">
        <v>148</v>
      </c>
      <c r="K45">
        <v>2.4666666666666668</v>
      </c>
      <c r="L45">
        <v>1784</v>
      </c>
      <c r="M45">
        <v>0.44600000000000001</v>
      </c>
      <c r="O45">
        <v>2.912666666666667</v>
      </c>
      <c r="P45" s="3">
        <v>4</v>
      </c>
    </row>
    <row r="46" spans="1:16" x14ac:dyDescent="0.15">
      <c r="A46" t="s">
        <v>240</v>
      </c>
      <c r="B46">
        <v>2</v>
      </c>
      <c r="C46" s="3">
        <v>211</v>
      </c>
      <c r="D46" s="30" t="str">
        <f t="shared" si="0"/>
        <v>3M31S</v>
      </c>
      <c r="E46" s="3">
        <v>371</v>
      </c>
      <c r="F46" s="3">
        <v>1326</v>
      </c>
      <c r="G46" s="3">
        <v>636</v>
      </c>
      <c r="H46" s="3">
        <v>212</v>
      </c>
      <c r="K46">
        <v>3.5166666666666666</v>
      </c>
      <c r="L46">
        <v>2545</v>
      </c>
      <c r="M46">
        <v>0.63624999999999998</v>
      </c>
      <c r="O46">
        <v>4.1529166666666661</v>
      </c>
      <c r="P46" s="3">
        <v>6</v>
      </c>
    </row>
    <row r="47" spans="1:16" x14ac:dyDescent="0.15">
      <c r="A47" t="s">
        <v>240</v>
      </c>
      <c r="B47">
        <v>3</v>
      </c>
      <c r="C47" s="3">
        <v>301</v>
      </c>
      <c r="D47" s="30" t="str">
        <f t="shared" si="0"/>
        <v>5M1S</v>
      </c>
      <c r="E47" s="3">
        <v>529</v>
      </c>
      <c r="F47" s="3">
        <v>1892</v>
      </c>
      <c r="G47" s="3">
        <v>908</v>
      </c>
      <c r="H47" s="3">
        <v>302</v>
      </c>
      <c r="K47">
        <v>3.0100000000000002</v>
      </c>
      <c r="L47">
        <v>3631</v>
      </c>
      <c r="M47">
        <v>0.90775000000000006</v>
      </c>
      <c r="O47">
        <v>3.9177500000000003</v>
      </c>
      <c r="P47" s="3">
        <v>7</v>
      </c>
    </row>
    <row r="48" spans="1:16" x14ac:dyDescent="0.15">
      <c r="A48" t="s">
        <v>240</v>
      </c>
      <c r="B48">
        <v>4</v>
      </c>
      <c r="C48" s="3">
        <v>428</v>
      </c>
      <c r="D48" s="30" t="str">
        <f t="shared" si="0"/>
        <v>7M8S</v>
      </c>
      <c r="E48" s="3">
        <v>753</v>
      </c>
      <c r="F48" s="3">
        <v>2690</v>
      </c>
      <c r="G48" s="3">
        <v>1291</v>
      </c>
      <c r="H48" s="3">
        <v>430</v>
      </c>
      <c r="K48">
        <v>4.28</v>
      </c>
      <c r="L48">
        <v>5164</v>
      </c>
      <c r="M48">
        <v>1.2909999999999999</v>
      </c>
      <c r="O48">
        <v>5.5709999999999997</v>
      </c>
      <c r="P48" s="3">
        <v>8</v>
      </c>
    </row>
    <row r="49" spans="1:16" x14ac:dyDescent="0.15">
      <c r="A49" t="s">
        <v>240</v>
      </c>
      <c r="B49">
        <v>5</v>
      </c>
      <c r="C49" s="3">
        <v>610</v>
      </c>
      <c r="D49" s="30" t="str">
        <f t="shared" si="0"/>
        <v>10M10S</v>
      </c>
      <c r="E49" s="3">
        <v>1073</v>
      </c>
      <c r="F49" s="3">
        <v>3834</v>
      </c>
      <c r="G49" s="3">
        <v>1840</v>
      </c>
      <c r="H49" s="3">
        <v>613</v>
      </c>
      <c r="K49">
        <v>6.1</v>
      </c>
      <c r="L49">
        <v>7360</v>
      </c>
      <c r="M49">
        <v>1.84</v>
      </c>
      <c r="O49">
        <v>7.9399999999999995</v>
      </c>
      <c r="P49" s="3">
        <v>11</v>
      </c>
    </row>
    <row r="50" spans="1:16" x14ac:dyDescent="0.15">
      <c r="A50" t="s">
        <v>240</v>
      </c>
      <c r="B50">
        <v>6</v>
      </c>
      <c r="C50" s="3">
        <v>868</v>
      </c>
      <c r="D50" s="30" t="str">
        <f t="shared" si="0"/>
        <v>14M28S</v>
      </c>
      <c r="E50" s="3">
        <v>1527</v>
      </c>
      <c r="F50" s="3">
        <v>5456</v>
      </c>
      <c r="G50" s="3">
        <v>2618</v>
      </c>
      <c r="H50" s="3">
        <v>872</v>
      </c>
      <c r="K50">
        <v>8.68</v>
      </c>
      <c r="L50">
        <v>10473</v>
      </c>
      <c r="M50">
        <v>2.6182500000000002</v>
      </c>
      <c r="O50">
        <v>11.298249999999999</v>
      </c>
      <c r="P50" s="3">
        <v>13</v>
      </c>
    </row>
    <row r="51" spans="1:16" x14ac:dyDescent="0.15">
      <c r="A51" t="s">
        <v>240</v>
      </c>
      <c r="B51">
        <v>7</v>
      </c>
      <c r="C51" s="3">
        <v>1235</v>
      </c>
      <c r="D51" s="30" t="str">
        <f t="shared" si="0"/>
        <v>20M35S</v>
      </c>
      <c r="E51" s="3">
        <v>2173</v>
      </c>
      <c r="F51" s="3">
        <v>7763</v>
      </c>
      <c r="G51" s="3">
        <v>3726</v>
      </c>
      <c r="H51" s="3">
        <v>1242</v>
      </c>
      <c r="K51">
        <v>6.8611111111111107</v>
      </c>
      <c r="L51">
        <v>14904</v>
      </c>
      <c r="M51">
        <v>3.726</v>
      </c>
      <c r="O51">
        <v>10.58711111111111</v>
      </c>
      <c r="P51" s="3">
        <v>15</v>
      </c>
    </row>
    <row r="52" spans="1:16" x14ac:dyDescent="0.15">
      <c r="A52" t="s">
        <v>240</v>
      </c>
      <c r="B52">
        <v>8</v>
      </c>
      <c r="C52" s="3">
        <v>1758</v>
      </c>
      <c r="D52" s="30" t="str">
        <f t="shared" si="0"/>
        <v>29M18S</v>
      </c>
      <c r="E52" s="3">
        <v>3094</v>
      </c>
      <c r="F52" s="3">
        <v>11050</v>
      </c>
      <c r="G52" s="3">
        <v>5304</v>
      </c>
      <c r="H52" s="3">
        <v>1768</v>
      </c>
      <c r="K52">
        <v>9.7666666666666675</v>
      </c>
      <c r="L52">
        <v>21216</v>
      </c>
      <c r="M52">
        <v>5.3040000000000003</v>
      </c>
      <c r="O52">
        <v>15.070666666666668</v>
      </c>
      <c r="P52" s="3">
        <v>20</v>
      </c>
    </row>
    <row r="53" spans="1:16" x14ac:dyDescent="0.15">
      <c r="A53" t="s">
        <v>240</v>
      </c>
      <c r="B53">
        <v>9</v>
      </c>
      <c r="C53" s="3">
        <v>2502</v>
      </c>
      <c r="D53" s="30" t="str">
        <f t="shared" si="0"/>
        <v>41M42S</v>
      </c>
      <c r="E53" s="3">
        <v>4403</v>
      </c>
      <c r="F53" s="3">
        <v>15727</v>
      </c>
      <c r="G53" s="3">
        <v>7549</v>
      </c>
      <c r="H53" s="3">
        <v>2516</v>
      </c>
      <c r="K53">
        <v>13.899999999999999</v>
      </c>
      <c r="L53">
        <v>30195</v>
      </c>
      <c r="M53">
        <v>7.5487500000000001</v>
      </c>
      <c r="O53">
        <v>21.448749999999997</v>
      </c>
      <c r="P53" s="3">
        <v>28</v>
      </c>
    </row>
    <row r="54" spans="1:16" x14ac:dyDescent="0.15">
      <c r="A54" t="s">
        <v>240</v>
      </c>
      <c r="B54">
        <v>10</v>
      </c>
      <c r="C54" s="3">
        <v>3561</v>
      </c>
      <c r="D54" s="30" t="str">
        <f t="shared" si="0"/>
        <v>59M21S</v>
      </c>
      <c r="E54" s="3">
        <v>6267</v>
      </c>
      <c r="F54" s="3">
        <v>22383</v>
      </c>
      <c r="G54" s="3">
        <v>10744</v>
      </c>
      <c r="H54" s="3">
        <v>3581</v>
      </c>
      <c r="K54">
        <v>19.783333333333331</v>
      </c>
      <c r="L54">
        <v>42975</v>
      </c>
      <c r="M54">
        <v>10.74375</v>
      </c>
      <c r="O54">
        <v>30.52708333333333</v>
      </c>
      <c r="P54" s="3">
        <v>35</v>
      </c>
    </row>
    <row r="55" spans="1:16" x14ac:dyDescent="0.15">
      <c r="A55" t="s">
        <v>240</v>
      </c>
      <c r="B55">
        <v>11</v>
      </c>
      <c r="C55" s="3">
        <v>5068</v>
      </c>
      <c r="D55" s="30" t="str">
        <f t="shared" si="0"/>
        <v>1H24M28S</v>
      </c>
      <c r="E55" s="3">
        <v>8919</v>
      </c>
      <c r="F55" s="3">
        <v>31856</v>
      </c>
      <c r="G55" s="3">
        <v>15291</v>
      </c>
      <c r="H55" s="3">
        <v>5097</v>
      </c>
      <c r="K55">
        <v>14.077777777777778</v>
      </c>
      <c r="L55">
        <v>61163</v>
      </c>
      <c r="M55">
        <v>15.290750000000001</v>
      </c>
      <c r="O55">
        <v>29.368527777777778</v>
      </c>
      <c r="P55" s="3">
        <v>40</v>
      </c>
    </row>
    <row r="56" spans="1:16" x14ac:dyDescent="0.15">
      <c r="A56" t="s">
        <v>240</v>
      </c>
      <c r="B56">
        <v>12</v>
      </c>
      <c r="C56" s="3">
        <v>7212</v>
      </c>
      <c r="D56" s="30" t="str">
        <f t="shared" si="0"/>
        <v>2H12S</v>
      </c>
      <c r="E56" s="3">
        <v>12693</v>
      </c>
      <c r="F56" s="3">
        <v>45333</v>
      </c>
      <c r="G56" s="3">
        <v>21760</v>
      </c>
      <c r="H56" s="3">
        <v>7253</v>
      </c>
      <c r="K56">
        <v>20.033333333333335</v>
      </c>
      <c r="L56">
        <v>87039</v>
      </c>
      <c r="M56">
        <v>21.75975</v>
      </c>
      <c r="O56">
        <v>41.793083333333335</v>
      </c>
      <c r="P56" s="3">
        <v>55</v>
      </c>
    </row>
    <row r="57" spans="1:16" x14ac:dyDescent="0.15">
      <c r="A57" t="s">
        <v>240</v>
      </c>
      <c r="B57">
        <v>13</v>
      </c>
      <c r="C57" s="3">
        <v>10263</v>
      </c>
      <c r="D57" s="30" t="str">
        <f t="shared" si="0"/>
        <v>2H51M3S</v>
      </c>
      <c r="E57" s="3">
        <v>18063</v>
      </c>
      <c r="F57" s="3">
        <v>64511</v>
      </c>
      <c r="G57" s="3">
        <v>30965</v>
      </c>
      <c r="H57" s="3">
        <v>10321</v>
      </c>
      <c r="K57">
        <v>17.105</v>
      </c>
      <c r="L57">
        <v>123860</v>
      </c>
      <c r="M57">
        <v>30.965</v>
      </c>
      <c r="O57">
        <v>48.07</v>
      </c>
      <c r="P57" s="3">
        <v>63</v>
      </c>
    </row>
    <row r="58" spans="1:16" x14ac:dyDescent="0.15">
      <c r="A58" t="s">
        <v>240</v>
      </c>
      <c r="B58">
        <v>14</v>
      </c>
      <c r="C58" s="3">
        <v>14605</v>
      </c>
      <c r="D58" s="30" t="str">
        <f t="shared" si="0"/>
        <v>4H3M25S</v>
      </c>
      <c r="E58" s="3">
        <v>25705</v>
      </c>
      <c r="F58" s="3">
        <v>91805</v>
      </c>
      <c r="G58" s="3">
        <v>44066</v>
      </c>
      <c r="H58" s="3">
        <v>14688</v>
      </c>
      <c r="K58">
        <v>24.341666666666669</v>
      </c>
      <c r="L58">
        <v>176264</v>
      </c>
      <c r="M58">
        <v>44.066000000000003</v>
      </c>
      <c r="O58">
        <v>68.407666666666671</v>
      </c>
      <c r="P58" s="3">
        <v>89</v>
      </c>
    </row>
    <row r="59" spans="1:16" x14ac:dyDescent="0.15">
      <c r="A59" t="s">
        <v>240</v>
      </c>
      <c r="B59">
        <v>15</v>
      </c>
      <c r="C59" s="3">
        <v>20784</v>
      </c>
      <c r="D59" s="30" t="str">
        <f t="shared" si="0"/>
        <v>5H46M24S</v>
      </c>
      <c r="E59" s="3">
        <v>36580</v>
      </c>
      <c r="F59" s="3">
        <v>130645</v>
      </c>
      <c r="G59" s="3">
        <v>62709</v>
      </c>
      <c r="H59" s="3">
        <v>20903</v>
      </c>
      <c r="K59">
        <v>34.64</v>
      </c>
      <c r="L59">
        <v>250837</v>
      </c>
      <c r="M59">
        <v>55.184139999999999</v>
      </c>
      <c r="O59">
        <v>89.82414</v>
      </c>
      <c r="P59" s="3">
        <v>117</v>
      </c>
    </row>
    <row r="60" spans="1:16" x14ac:dyDescent="0.15">
      <c r="A60" t="s">
        <v>240</v>
      </c>
      <c r="B60">
        <v>16</v>
      </c>
      <c r="C60" s="3">
        <v>29577</v>
      </c>
      <c r="D60" s="30" t="str">
        <f t="shared" si="0"/>
        <v>8H12M57S</v>
      </c>
      <c r="E60" s="3">
        <v>52056</v>
      </c>
      <c r="F60" s="3">
        <v>185917</v>
      </c>
      <c r="G60" s="3">
        <v>89240</v>
      </c>
      <c r="H60" s="3">
        <v>29746</v>
      </c>
      <c r="K60">
        <v>41.079166666666673</v>
      </c>
      <c r="L60">
        <v>356959</v>
      </c>
      <c r="M60">
        <v>78.53098</v>
      </c>
      <c r="O60">
        <v>119.61014666666668</v>
      </c>
      <c r="P60" s="3">
        <v>156</v>
      </c>
    </row>
    <row r="61" spans="1:16" x14ac:dyDescent="0.15">
      <c r="A61" t="s">
        <v>240</v>
      </c>
      <c r="B61">
        <v>17</v>
      </c>
      <c r="C61" s="3">
        <v>42089</v>
      </c>
      <c r="D61" s="30" t="str">
        <f t="shared" si="0"/>
        <v>11H41M29S</v>
      </c>
      <c r="E61" s="3">
        <v>74078</v>
      </c>
      <c r="F61" s="3">
        <v>264565</v>
      </c>
      <c r="G61" s="3">
        <v>126991</v>
      </c>
      <c r="H61" s="3">
        <v>42330</v>
      </c>
      <c r="K61">
        <v>58.456944444444446</v>
      </c>
      <c r="L61">
        <v>507964</v>
      </c>
      <c r="M61">
        <v>96.513159999999999</v>
      </c>
      <c r="O61">
        <v>154.97010444444444</v>
      </c>
      <c r="P61" s="3">
        <v>202</v>
      </c>
    </row>
    <row r="62" spans="1:16" x14ac:dyDescent="0.15">
      <c r="A62" t="s">
        <v>240</v>
      </c>
      <c r="B62">
        <v>18</v>
      </c>
      <c r="C62" s="3">
        <v>59895</v>
      </c>
      <c r="D62" s="30" t="str">
        <f t="shared" si="0"/>
        <v>16H38M15S</v>
      </c>
      <c r="E62" s="3">
        <v>105417</v>
      </c>
      <c r="F62" s="3">
        <v>376492</v>
      </c>
      <c r="G62" s="3">
        <v>180716</v>
      </c>
      <c r="H62" s="3">
        <v>60238</v>
      </c>
      <c r="K62">
        <v>72.095833333333331</v>
      </c>
      <c r="L62">
        <v>722863</v>
      </c>
      <c r="M62">
        <v>137.34397000000001</v>
      </c>
      <c r="O62">
        <v>209.43980333333334</v>
      </c>
      <c r="P62" s="3">
        <v>273</v>
      </c>
    </row>
    <row r="63" spans="1:16" x14ac:dyDescent="0.15">
      <c r="A63" t="s">
        <v>240</v>
      </c>
      <c r="B63">
        <v>19</v>
      </c>
      <c r="C63" s="3">
        <v>85233</v>
      </c>
      <c r="D63" s="30" t="str">
        <f t="shared" si="0"/>
        <v>23H40M33S</v>
      </c>
      <c r="E63" s="3">
        <v>150013</v>
      </c>
      <c r="F63" s="3">
        <v>535763</v>
      </c>
      <c r="G63" s="3">
        <v>257166</v>
      </c>
      <c r="H63" s="3">
        <v>85722</v>
      </c>
      <c r="K63">
        <v>102.59527777777778</v>
      </c>
      <c r="L63">
        <v>1028664</v>
      </c>
      <c r="M63">
        <v>195.44616000000002</v>
      </c>
      <c r="O63">
        <v>298.04143777777779</v>
      </c>
      <c r="P63" s="3">
        <v>388</v>
      </c>
    </row>
    <row r="64" spans="1:16" x14ac:dyDescent="0.15">
      <c r="A64" t="s">
        <v>240</v>
      </c>
      <c r="B64">
        <v>20</v>
      </c>
      <c r="C64" s="3">
        <v>121291</v>
      </c>
      <c r="D64" s="30" t="str">
        <f t="shared" si="0"/>
        <v>1D9H41M31S</v>
      </c>
      <c r="E64" s="3">
        <v>213477</v>
      </c>
      <c r="F64" s="3">
        <v>762419</v>
      </c>
      <c r="G64" s="3">
        <v>365961</v>
      </c>
      <c r="H64" s="3">
        <v>121987</v>
      </c>
      <c r="J64" t="s">
        <v>63</v>
      </c>
      <c r="K64">
        <v>133.36394675925925</v>
      </c>
      <c r="L64">
        <v>1463844</v>
      </c>
      <c r="M64">
        <v>278.13036</v>
      </c>
      <c r="N64">
        <v>40</v>
      </c>
      <c r="O64">
        <v>451.49430675925925</v>
      </c>
      <c r="P64" s="3">
        <v>587</v>
      </c>
    </row>
    <row r="65" spans="1:16" x14ac:dyDescent="0.15">
      <c r="A65" t="s">
        <v>241</v>
      </c>
      <c r="B65">
        <v>0</v>
      </c>
      <c r="D65" s="30" t="str">
        <f t="shared" si="0"/>
        <v>0S</v>
      </c>
      <c r="K65">
        <v>0</v>
      </c>
      <c r="L65">
        <v>0</v>
      </c>
      <c r="M65">
        <v>0</v>
      </c>
      <c r="O65">
        <v>0</v>
      </c>
      <c r="P65" s="3">
        <v>0</v>
      </c>
    </row>
    <row r="66" spans="1:16" x14ac:dyDescent="0.15">
      <c r="A66" t="s">
        <v>241</v>
      </c>
      <c r="B66">
        <v>1</v>
      </c>
      <c r="C66" s="3">
        <v>0</v>
      </c>
      <c r="D66" s="30" t="str">
        <f t="shared" si="0"/>
        <v>0S</v>
      </c>
      <c r="K66">
        <v>0</v>
      </c>
      <c r="L66">
        <v>0</v>
      </c>
      <c r="M66">
        <v>0</v>
      </c>
      <c r="O66">
        <v>0</v>
      </c>
      <c r="P66" s="3">
        <v>0</v>
      </c>
    </row>
    <row r="67" spans="1:16" x14ac:dyDescent="0.15">
      <c r="A67" t="s">
        <v>241</v>
      </c>
      <c r="B67">
        <v>2</v>
      </c>
      <c r="C67" s="3">
        <v>282</v>
      </c>
      <c r="D67" s="30" t="str">
        <f t="shared" ref="D67:D130" si="1">IF(INT(C67/3600/24)=0,"",INT(C67/3600/24)&amp;"D")&amp;IF(INT(MOD(C67,3600*24)/3600)=0,"",INT(MOD(C67,3600*24)/3600)&amp;"H")&amp;IF(INT(MOD(C67,3600)/60)=0,"",INT(MOD(C67,3600)/60)&amp;"M")&amp;INT(MOD(C67,60))&amp;"S"</f>
        <v>4M42S</v>
      </c>
      <c r="E67" s="3">
        <v>106</v>
      </c>
      <c r="F67" s="3">
        <v>1329</v>
      </c>
      <c r="G67" s="3">
        <v>797</v>
      </c>
      <c r="H67" s="3">
        <v>63</v>
      </c>
      <c r="K67">
        <v>4.7</v>
      </c>
      <c r="L67">
        <v>2295</v>
      </c>
      <c r="M67">
        <v>0.57374999999999998</v>
      </c>
      <c r="O67">
        <v>5.2737499999999997</v>
      </c>
      <c r="P67" s="3">
        <v>7</v>
      </c>
    </row>
    <row r="68" spans="1:16" x14ac:dyDescent="0.15">
      <c r="A68" t="s">
        <v>241</v>
      </c>
      <c r="B68">
        <v>3</v>
      </c>
      <c r="C68" s="3">
        <v>402</v>
      </c>
      <c r="D68" s="30" t="str">
        <f t="shared" si="1"/>
        <v>6M42S</v>
      </c>
      <c r="E68" s="3">
        <v>151</v>
      </c>
      <c r="F68" s="3">
        <v>1895</v>
      </c>
      <c r="G68" s="3">
        <v>1137</v>
      </c>
      <c r="H68" s="3">
        <v>90</v>
      </c>
      <c r="K68">
        <v>4.0200000000000005</v>
      </c>
      <c r="L68">
        <v>3273</v>
      </c>
      <c r="M68">
        <v>0.81825000000000003</v>
      </c>
      <c r="O68">
        <v>4.8382500000000004</v>
      </c>
      <c r="P68" s="3">
        <v>8</v>
      </c>
    </row>
    <row r="69" spans="1:16" x14ac:dyDescent="0.15">
      <c r="A69" t="s">
        <v>241</v>
      </c>
      <c r="B69">
        <v>4</v>
      </c>
      <c r="C69" s="3">
        <v>572</v>
      </c>
      <c r="D69" s="30" t="str">
        <f t="shared" si="1"/>
        <v>9M32S</v>
      </c>
      <c r="E69" s="3">
        <v>215</v>
      </c>
      <c r="F69" s="3">
        <v>2696</v>
      </c>
      <c r="G69" s="3">
        <v>1617</v>
      </c>
      <c r="H69" s="3">
        <v>129</v>
      </c>
      <c r="K69">
        <v>5.7200000000000006</v>
      </c>
      <c r="L69">
        <v>4657</v>
      </c>
      <c r="M69">
        <v>1.16425</v>
      </c>
      <c r="O69">
        <v>6.8842500000000006</v>
      </c>
      <c r="P69" s="3">
        <v>9</v>
      </c>
    </row>
    <row r="70" spans="1:16" x14ac:dyDescent="0.15">
      <c r="A70" t="s">
        <v>241</v>
      </c>
      <c r="B70">
        <v>5</v>
      </c>
      <c r="C70" s="3">
        <v>814</v>
      </c>
      <c r="D70" s="30" t="str">
        <f t="shared" si="1"/>
        <v>13M34S</v>
      </c>
      <c r="E70" s="3">
        <v>307</v>
      </c>
      <c r="F70" s="3">
        <v>3837</v>
      </c>
      <c r="G70" s="3">
        <v>2302</v>
      </c>
      <c r="H70" s="3">
        <v>184</v>
      </c>
      <c r="K70">
        <v>8.14</v>
      </c>
      <c r="L70">
        <v>6630</v>
      </c>
      <c r="M70">
        <v>1.6575</v>
      </c>
      <c r="O70">
        <v>9.7975000000000012</v>
      </c>
      <c r="P70" s="3">
        <v>11</v>
      </c>
    </row>
    <row r="71" spans="1:16" x14ac:dyDescent="0.15">
      <c r="A71" t="s">
        <v>241</v>
      </c>
      <c r="B71">
        <v>6</v>
      </c>
      <c r="C71" s="3">
        <v>1158</v>
      </c>
      <c r="D71" s="30" t="str">
        <f t="shared" si="1"/>
        <v>19M18S</v>
      </c>
      <c r="E71" s="3">
        <v>436</v>
      </c>
      <c r="F71" s="3">
        <v>5459</v>
      </c>
      <c r="G71" s="3">
        <v>3275</v>
      </c>
      <c r="H71" s="3">
        <v>262</v>
      </c>
      <c r="K71">
        <v>6.4333333333333336</v>
      </c>
      <c r="L71">
        <v>9432</v>
      </c>
      <c r="M71">
        <v>2.3580000000000001</v>
      </c>
      <c r="O71">
        <v>8.7913333333333341</v>
      </c>
      <c r="P71" s="3">
        <v>13</v>
      </c>
    </row>
    <row r="72" spans="1:16" x14ac:dyDescent="0.15">
      <c r="A72" t="s">
        <v>241</v>
      </c>
      <c r="B72">
        <v>7</v>
      </c>
      <c r="C72" s="3">
        <v>1649</v>
      </c>
      <c r="D72" s="30" t="str">
        <f t="shared" si="1"/>
        <v>27M29S</v>
      </c>
      <c r="E72" s="3">
        <v>621</v>
      </c>
      <c r="F72" s="3">
        <v>7774</v>
      </c>
      <c r="G72" s="3">
        <v>4664</v>
      </c>
      <c r="H72" s="3">
        <v>373</v>
      </c>
      <c r="K72">
        <v>9.1611111111111114</v>
      </c>
      <c r="L72">
        <v>13432</v>
      </c>
      <c r="M72">
        <v>3.3580000000000001</v>
      </c>
      <c r="O72">
        <v>12.519111111111112</v>
      </c>
      <c r="P72" s="3">
        <v>17</v>
      </c>
    </row>
    <row r="73" spans="1:16" x14ac:dyDescent="0.15">
      <c r="A73" t="s">
        <v>241</v>
      </c>
      <c r="B73">
        <v>8</v>
      </c>
      <c r="C73" s="3">
        <v>2347</v>
      </c>
      <c r="D73" s="30" t="str">
        <f t="shared" si="1"/>
        <v>39M7S</v>
      </c>
      <c r="E73" s="3">
        <v>885</v>
      </c>
      <c r="F73" s="3">
        <v>11064</v>
      </c>
      <c r="G73" s="3">
        <v>6638</v>
      </c>
      <c r="H73" s="3">
        <v>531</v>
      </c>
      <c r="K73">
        <v>13.038888888888888</v>
      </c>
      <c r="L73">
        <v>19118</v>
      </c>
      <c r="M73">
        <v>4.7795000000000005</v>
      </c>
      <c r="O73">
        <v>17.81838888888889</v>
      </c>
      <c r="P73" s="3">
        <v>24</v>
      </c>
    </row>
    <row r="74" spans="1:16" x14ac:dyDescent="0.15">
      <c r="A74" t="s">
        <v>241</v>
      </c>
      <c r="B74">
        <v>9</v>
      </c>
      <c r="C74" s="3">
        <v>3339</v>
      </c>
      <c r="D74" s="30" t="str">
        <f t="shared" si="1"/>
        <v>55M39S</v>
      </c>
      <c r="E74" s="3">
        <v>1259</v>
      </c>
      <c r="F74" s="3">
        <v>15741</v>
      </c>
      <c r="G74" s="3">
        <v>9444</v>
      </c>
      <c r="H74" s="3">
        <v>755</v>
      </c>
      <c r="K74">
        <v>18.55</v>
      </c>
      <c r="L74">
        <v>27199</v>
      </c>
      <c r="M74">
        <v>6.7997500000000004</v>
      </c>
      <c r="O74">
        <v>25.34975</v>
      </c>
      <c r="P74" s="3">
        <v>30</v>
      </c>
    </row>
    <row r="75" spans="1:16" x14ac:dyDescent="0.15">
      <c r="A75" t="s">
        <v>241</v>
      </c>
      <c r="B75">
        <v>10</v>
      </c>
      <c r="C75" s="3">
        <v>4752</v>
      </c>
      <c r="D75" s="30" t="str">
        <f t="shared" si="1"/>
        <v>1H19M12S</v>
      </c>
      <c r="E75" s="3">
        <v>1792</v>
      </c>
      <c r="F75" s="3">
        <v>22402</v>
      </c>
      <c r="G75" s="3">
        <v>13441</v>
      </c>
      <c r="H75" s="3">
        <v>1075</v>
      </c>
      <c r="K75">
        <v>13.200000000000001</v>
      </c>
      <c r="L75">
        <v>38710</v>
      </c>
      <c r="M75">
        <v>9.6775000000000002</v>
      </c>
      <c r="O75">
        <v>22.877500000000001</v>
      </c>
      <c r="P75" s="3">
        <v>35</v>
      </c>
    </row>
    <row r="76" spans="1:16" x14ac:dyDescent="0.15">
      <c r="A76" t="s">
        <v>241</v>
      </c>
      <c r="B76">
        <v>11</v>
      </c>
      <c r="C76" s="3">
        <v>6763</v>
      </c>
      <c r="D76" s="30" t="str">
        <f t="shared" si="1"/>
        <v>1H52M43S</v>
      </c>
      <c r="E76" s="3">
        <v>2550</v>
      </c>
      <c r="F76" s="3">
        <v>31883</v>
      </c>
      <c r="G76" s="3">
        <v>19130</v>
      </c>
      <c r="H76" s="3">
        <v>1530</v>
      </c>
      <c r="K76">
        <v>18.786111111111111</v>
      </c>
      <c r="L76">
        <v>55093</v>
      </c>
      <c r="M76">
        <v>13.773250000000001</v>
      </c>
      <c r="O76">
        <v>32.559361111111116</v>
      </c>
      <c r="P76" s="3">
        <v>43</v>
      </c>
    </row>
    <row r="77" spans="1:16" x14ac:dyDescent="0.15">
      <c r="A77" t="s">
        <v>241</v>
      </c>
      <c r="B77">
        <v>12</v>
      </c>
      <c r="C77" s="3">
        <v>9624</v>
      </c>
      <c r="D77" s="30" t="str">
        <f t="shared" si="1"/>
        <v>2H40M24S</v>
      </c>
      <c r="E77" s="3">
        <v>3629</v>
      </c>
      <c r="F77" s="3">
        <v>45371</v>
      </c>
      <c r="G77" s="3">
        <v>27222</v>
      </c>
      <c r="H77" s="3">
        <v>2177</v>
      </c>
      <c r="K77">
        <v>16.04</v>
      </c>
      <c r="L77">
        <v>78399</v>
      </c>
      <c r="M77">
        <v>19.59975</v>
      </c>
      <c r="O77">
        <v>35.639749999999999</v>
      </c>
      <c r="P77" s="3">
        <v>47</v>
      </c>
    </row>
    <row r="78" spans="1:16" x14ac:dyDescent="0.15">
      <c r="A78" t="s">
        <v>241</v>
      </c>
      <c r="B78">
        <v>13</v>
      </c>
      <c r="C78" s="3">
        <v>13696</v>
      </c>
      <c r="D78" s="30" t="str">
        <f t="shared" si="1"/>
        <v>3H48M16S</v>
      </c>
      <c r="E78" s="3">
        <v>5165</v>
      </c>
      <c r="F78" s="3">
        <v>64568</v>
      </c>
      <c r="G78" s="3">
        <v>38740</v>
      </c>
      <c r="H78" s="3">
        <v>3099</v>
      </c>
      <c r="K78">
        <v>22.826666666666664</v>
      </c>
      <c r="L78">
        <v>111572</v>
      </c>
      <c r="M78">
        <v>27.893000000000001</v>
      </c>
      <c r="O78">
        <v>50.719666666666669</v>
      </c>
      <c r="P78" s="3">
        <v>66</v>
      </c>
    </row>
    <row r="79" spans="1:16" x14ac:dyDescent="0.15">
      <c r="A79" t="s">
        <v>241</v>
      </c>
      <c r="B79">
        <v>14</v>
      </c>
      <c r="C79" s="3">
        <v>19490</v>
      </c>
      <c r="D79" s="30" t="str">
        <f t="shared" si="1"/>
        <v>5H24M50S</v>
      </c>
      <c r="E79" s="3">
        <v>7350</v>
      </c>
      <c r="F79" s="3">
        <v>91883</v>
      </c>
      <c r="G79" s="3">
        <v>55130</v>
      </c>
      <c r="H79" s="3">
        <v>4410</v>
      </c>
      <c r="K79">
        <v>32.483333333333334</v>
      </c>
      <c r="L79">
        <v>158773</v>
      </c>
      <c r="M79">
        <v>39.693249999999999</v>
      </c>
      <c r="O79">
        <v>72.176583333333326</v>
      </c>
      <c r="P79" s="3">
        <v>94</v>
      </c>
    </row>
    <row r="80" spans="1:16" x14ac:dyDescent="0.15">
      <c r="A80" t="s">
        <v>241</v>
      </c>
      <c r="B80">
        <v>15</v>
      </c>
      <c r="C80" s="3">
        <v>27736</v>
      </c>
      <c r="D80" s="30" t="str">
        <f t="shared" si="1"/>
        <v>7H42M16S</v>
      </c>
      <c r="E80" s="3">
        <v>10460</v>
      </c>
      <c r="F80" s="3">
        <v>130758</v>
      </c>
      <c r="G80" s="3">
        <v>78454</v>
      </c>
      <c r="H80" s="3">
        <v>6276</v>
      </c>
      <c r="K80">
        <v>46.226666666666667</v>
      </c>
      <c r="L80">
        <v>225948</v>
      </c>
      <c r="M80">
        <v>56.487000000000002</v>
      </c>
      <c r="O80">
        <v>102.71366666666667</v>
      </c>
      <c r="P80" s="3">
        <v>134</v>
      </c>
    </row>
    <row r="81" spans="1:16" x14ac:dyDescent="0.15">
      <c r="A81" t="s">
        <v>241</v>
      </c>
      <c r="B81">
        <v>16</v>
      </c>
      <c r="C81" s="3">
        <v>39469</v>
      </c>
      <c r="D81" s="30" t="str">
        <f t="shared" si="1"/>
        <v>10H57M49S</v>
      </c>
      <c r="E81" s="3">
        <v>14885</v>
      </c>
      <c r="F81" s="3">
        <v>186072</v>
      </c>
      <c r="G81" s="3">
        <v>111643</v>
      </c>
      <c r="H81" s="3">
        <v>8931</v>
      </c>
      <c r="K81">
        <v>54.81805555555556</v>
      </c>
      <c r="L81">
        <v>321531</v>
      </c>
      <c r="M81">
        <v>70.736820000000009</v>
      </c>
      <c r="O81">
        <v>125.55487555555557</v>
      </c>
      <c r="P81" s="3">
        <v>164</v>
      </c>
    </row>
    <row r="82" spans="1:16" x14ac:dyDescent="0.15">
      <c r="A82" t="s">
        <v>241</v>
      </c>
      <c r="B82">
        <v>17</v>
      </c>
      <c r="C82" s="3">
        <v>56167</v>
      </c>
      <c r="D82" s="30" t="str">
        <f t="shared" si="1"/>
        <v>15H36M7S</v>
      </c>
      <c r="E82" s="3">
        <v>21183</v>
      </c>
      <c r="F82" s="3">
        <v>264793</v>
      </c>
      <c r="G82" s="3">
        <v>158875</v>
      </c>
      <c r="H82" s="3">
        <v>12710</v>
      </c>
      <c r="K82">
        <v>67.608425925925928</v>
      </c>
      <c r="L82">
        <v>457561</v>
      </c>
      <c r="M82">
        <v>100.66342</v>
      </c>
      <c r="O82">
        <v>168.27184592592593</v>
      </c>
      <c r="P82" s="3">
        <v>219</v>
      </c>
    </row>
    <row r="83" spans="1:16" x14ac:dyDescent="0.15">
      <c r="A83" t="s">
        <v>241</v>
      </c>
      <c r="B83">
        <v>18</v>
      </c>
      <c r="C83" s="3">
        <v>79929</v>
      </c>
      <c r="D83" s="30" t="str">
        <f t="shared" si="1"/>
        <v>22H12M9S</v>
      </c>
      <c r="E83" s="3">
        <v>30145</v>
      </c>
      <c r="F83" s="3">
        <v>376816</v>
      </c>
      <c r="G83" s="3">
        <v>226089</v>
      </c>
      <c r="H83" s="3">
        <v>18087</v>
      </c>
      <c r="K83">
        <v>96.210833333333326</v>
      </c>
      <c r="L83">
        <v>651137</v>
      </c>
      <c r="M83">
        <v>123.71603</v>
      </c>
      <c r="O83">
        <v>219.92686333333333</v>
      </c>
      <c r="P83" s="3">
        <v>286</v>
      </c>
    </row>
    <row r="84" spans="1:16" x14ac:dyDescent="0.15">
      <c r="A84" t="s">
        <v>241</v>
      </c>
      <c r="B84">
        <v>19</v>
      </c>
      <c r="C84" s="3">
        <v>113742</v>
      </c>
      <c r="D84" s="30" t="str">
        <f t="shared" si="1"/>
        <v>1D7H35M42S</v>
      </c>
      <c r="E84" s="3">
        <v>42897</v>
      </c>
      <c r="F84" s="3">
        <v>536224</v>
      </c>
      <c r="G84" s="3">
        <v>321734</v>
      </c>
      <c r="H84" s="3">
        <v>25738</v>
      </c>
      <c r="K84">
        <v>125.06354166666667</v>
      </c>
      <c r="L84">
        <v>926593</v>
      </c>
      <c r="M84">
        <v>176.05267000000001</v>
      </c>
      <c r="O84">
        <v>301.11621166666669</v>
      </c>
      <c r="P84" s="3">
        <v>392</v>
      </c>
    </row>
    <row r="85" spans="1:16" x14ac:dyDescent="0.15">
      <c r="A85" t="s">
        <v>241</v>
      </c>
      <c r="B85">
        <v>20</v>
      </c>
      <c r="C85" s="3">
        <v>161861</v>
      </c>
      <c r="D85" s="30" t="str">
        <f t="shared" si="1"/>
        <v>1D20H57M41S</v>
      </c>
      <c r="E85" s="3">
        <v>61046</v>
      </c>
      <c r="F85" s="3">
        <v>763075</v>
      </c>
      <c r="G85" s="3">
        <v>457845</v>
      </c>
      <c r="H85" s="3">
        <v>36627</v>
      </c>
      <c r="J85" t="s">
        <v>63</v>
      </c>
      <c r="K85">
        <v>177.97216435185186</v>
      </c>
      <c r="L85">
        <v>1318593</v>
      </c>
      <c r="M85">
        <v>250.53267000000002</v>
      </c>
      <c r="N85">
        <v>40</v>
      </c>
      <c r="O85">
        <v>468.50483435185185</v>
      </c>
      <c r="P85" s="3">
        <v>610</v>
      </c>
    </row>
    <row r="86" spans="1:16" x14ac:dyDescent="0.15">
      <c r="A86" t="s">
        <v>242</v>
      </c>
      <c r="B86">
        <v>0</v>
      </c>
      <c r="D86" s="30" t="str">
        <f t="shared" si="1"/>
        <v>0S</v>
      </c>
      <c r="K86">
        <v>0</v>
      </c>
      <c r="L86">
        <v>0</v>
      </c>
      <c r="M86">
        <v>0</v>
      </c>
      <c r="O86">
        <v>0</v>
      </c>
      <c r="P86" s="3">
        <v>0</v>
      </c>
    </row>
    <row r="87" spans="1:16" x14ac:dyDescent="0.15">
      <c r="A87" t="s">
        <v>242</v>
      </c>
      <c r="B87">
        <v>1</v>
      </c>
      <c r="C87" s="3">
        <v>223</v>
      </c>
      <c r="D87" s="30" t="str">
        <f t="shared" si="1"/>
        <v>3M43S</v>
      </c>
      <c r="E87" s="3">
        <v>560</v>
      </c>
      <c r="F87" s="3">
        <v>1408</v>
      </c>
      <c r="G87" s="3">
        <v>1180</v>
      </c>
      <c r="H87" s="3">
        <v>296</v>
      </c>
      <c r="K87">
        <v>3.7166666666666668</v>
      </c>
      <c r="L87">
        <v>3444</v>
      </c>
      <c r="M87">
        <v>0.86099999999999999</v>
      </c>
      <c r="O87">
        <v>4.5776666666666666</v>
      </c>
      <c r="P87" s="3">
        <v>5</v>
      </c>
    </row>
    <row r="88" spans="1:16" x14ac:dyDescent="0.15">
      <c r="A88" t="s">
        <v>242</v>
      </c>
      <c r="B88">
        <v>2</v>
      </c>
      <c r="C88" s="3">
        <v>317</v>
      </c>
      <c r="D88" s="30" t="str">
        <f t="shared" si="1"/>
        <v>5M17S</v>
      </c>
      <c r="E88" s="3">
        <v>797</v>
      </c>
      <c r="F88" s="3">
        <v>2003</v>
      </c>
      <c r="G88" s="3">
        <v>1678</v>
      </c>
      <c r="H88" s="3">
        <v>421</v>
      </c>
      <c r="K88">
        <v>3.17</v>
      </c>
      <c r="L88">
        <v>4899</v>
      </c>
      <c r="M88">
        <v>1.22475</v>
      </c>
      <c r="O88">
        <v>4.3947500000000002</v>
      </c>
      <c r="P88" s="3">
        <v>7</v>
      </c>
    </row>
    <row r="89" spans="1:16" x14ac:dyDescent="0.15">
      <c r="A89" t="s">
        <v>242</v>
      </c>
      <c r="B89">
        <v>3</v>
      </c>
      <c r="C89" s="3">
        <v>452</v>
      </c>
      <c r="D89" s="30" t="str">
        <f t="shared" si="1"/>
        <v>7M32S</v>
      </c>
      <c r="E89" s="3">
        <v>1136</v>
      </c>
      <c r="F89" s="3">
        <v>2856</v>
      </c>
      <c r="G89" s="3">
        <v>2393</v>
      </c>
      <c r="H89" s="3">
        <v>601</v>
      </c>
      <c r="K89">
        <v>4.5199999999999996</v>
      </c>
      <c r="L89">
        <v>6986</v>
      </c>
      <c r="M89">
        <v>1.7464999999999999</v>
      </c>
      <c r="O89">
        <v>6.2664999999999997</v>
      </c>
      <c r="P89" s="3">
        <v>9</v>
      </c>
    </row>
    <row r="90" spans="1:16" x14ac:dyDescent="0.15">
      <c r="A90" t="s">
        <v>242</v>
      </c>
      <c r="B90">
        <v>4</v>
      </c>
      <c r="C90" s="3">
        <v>643</v>
      </c>
      <c r="D90" s="30" t="str">
        <f t="shared" si="1"/>
        <v>10M43S</v>
      </c>
      <c r="E90" s="3">
        <v>1616</v>
      </c>
      <c r="F90" s="3">
        <v>4063</v>
      </c>
      <c r="G90" s="3">
        <v>3405</v>
      </c>
      <c r="H90" s="3">
        <v>856</v>
      </c>
      <c r="K90">
        <v>6.4300000000000006</v>
      </c>
      <c r="L90">
        <v>9940</v>
      </c>
      <c r="M90">
        <v>2.4849999999999999</v>
      </c>
      <c r="O90">
        <v>8.9150000000000009</v>
      </c>
      <c r="P90" s="3">
        <v>11</v>
      </c>
    </row>
    <row r="91" spans="1:16" x14ac:dyDescent="0.15">
      <c r="A91" t="s">
        <v>242</v>
      </c>
      <c r="B91">
        <v>5</v>
      </c>
      <c r="C91" s="3">
        <v>916</v>
      </c>
      <c r="D91" s="30" t="str">
        <f t="shared" si="1"/>
        <v>15M16S</v>
      </c>
      <c r="E91" s="3">
        <v>2303</v>
      </c>
      <c r="F91" s="3">
        <v>5790</v>
      </c>
      <c r="G91" s="3">
        <v>4852</v>
      </c>
      <c r="H91" s="3">
        <v>1219</v>
      </c>
      <c r="K91">
        <v>5.0888888888888886</v>
      </c>
      <c r="L91">
        <v>14164</v>
      </c>
      <c r="M91">
        <v>3.5409999999999999</v>
      </c>
      <c r="O91">
        <v>8.6298888888888889</v>
      </c>
      <c r="P91" s="3">
        <v>12</v>
      </c>
    </row>
    <row r="92" spans="1:16" x14ac:dyDescent="0.15">
      <c r="A92" t="s">
        <v>242</v>
      </c>
      <c r="B92">
        <v>6</v>
      </c>
      <c r="C92" s="3">
        <v>1303</v>
      </c>
      <c r="D92" s="30" t="str">
        <f t="shared" si="1"/>
        <v>21M43S</v>
      </c>
      <c r="E92" s="3">
        <v>3276</v>
      </c>
      <c r="F92" s="3">
        <v>8236</v>
      </c>
      <c r="G92" s="3">
        <v>6902</v>
      </c>
      <c r="H92" s="3">
        <v>1735</v>
      </c>
      <c r="K92">
        <v>7.2388888888888889</v>
      </c>
      <c r="L92">
        <v>20149</v>
      </c>
      <c r="M92">
        <v>5.0372500000000002</v>
      </c>
      <c r="O92">
        <v>12.276138888888889</v>
      </c>
      <c r="P92" s="3">
        <v>16</v>
      </c>
    </row>
    <row r="93" spans="1:16" x14ac:dyDescent="0.15">
      <c r="A93" t="s">
        <v>242</v>
      </c>
      <c r="B93">
        <v>7</v>
      </c>
      <c r="C93" s="3">
        <v>1855</v>
      </c>
      <c r="D93" s="30" t="str">
        <f t="shared" si="1"/>
        <v>30M55S</v>
      </c>
      <c r="E93" s="3">
        <v>4664</v>
      </c>
      <c r="F93" s="3">
        <v>11726</v>
      </c>
      <c r="G93" s="3">
        <v>9827</v>
      </c>
      <c r="H93" s="3">
        <v>2470</v>
      </c>
      <c r="K93">
        <v>10.305555555555554</v>
      </c>
      <c r="L93">
        <v>28687</v>
      </c>
      <c r="M93">
        <v>7.1717500000000003</v>
      </c>
      <c r="O93">
        <v>17.477305555555553</v>
      </c>
      <c r="P93" s="3">
        <v>23</v>
      </c>
    </row>
    <row r="94" spans="1:16" x14ac:dyDescent="0.15">
      <c r="A94" t="s">
        <v>242</v>
      </c>
      <c r="B94">
        <v>8</v>
      </c>
      <c r="C94" s="3">
        <v>2640</v>
      </c>
      <c r="D94" s="30" t="str">
        <f t="shared" si="1"/>
        <v>44M0S</v>
      </c>
      <c r="E94" s="3">
        <v>6637</v>
      </c>
      <c r="F94" s="3">
        <v>16687</v>
      </c>
      <c r="G94" s="3">
        <v>13985</v>
      </c>
      <c r="H94" s="3">
        <v>3516</v>
      </c>
      <c r="K94">
        <v>14.666666666666666</v>
      </c>
      <c r="L94">
        <v>40825</v>
      </c>
      <c r="M94">
        <v>10.206250000000001</v>
      </c>
      <c r="O94">
        <v>24.872916666666669</v>
      </c>
      <c r="P94" s="3">
        <v>32</v>
      </c>
    </row>
    <row r="95" spans="1:16" x14ac:dyDescent="0.15">
      <c r="A95" t="s">
        <v>242</v>
      </c>
      <c r="B95">
        <v>9</v>
      </c>
      <c r="C95" s="3">
        <v>3757</v>
      </c>
      <c r="D95" s="30" t="str">
        <f t="shared" si="1"/>
        <v>1H2M37S</v>
      </c>
      <c r="E95" s="3">
        <v>9446</v>
      </c>
      <c r="F95" s="3">
        <v>23750</v>
      </c>
      <c r="G95" s="3">
        <v>19905</v>
      </c>
      <c r="H95" s="3">
        <v>5004</v>
      </c>
      <c r="K95">
        <v>10.43611111111111</v>
      </c>
      <c r="L95">
        <v>58105</v>
      </c>
      <c r="M95">
        <v>14.526250000000001</v>
      </c>
      <c r="O95">
        <v>24.962361111111111</v>
      </c>
      <c r="P95" s="3">
        <v>34</v>
      </c>
    </row>
    <row r="96" spans="1:16" x14ac:dyDescent="0.15">
      <c r="A96" t="s">
        <v>242</v>
      </c>
      <c r="B96">
        <v>10</v>
      </c>
      <c r="C96" s="3">
        <v>5347</v>
      </c>
      <c r="D96" s="30" t="str">
        <f t="shared" si="1"/>
        <v>1H29M7S</v>
      </c>
      <c r="E96" s="3">
        <v>13444</v>
      </c>
      <c r="F96" s="3">
        <v>33802</v>
      </c>
      <c r="G96" s="3">
        <v>28329</v>
      </c>
      <c r="H96" s="3">
        <v>7122</v>
      </c>
      <c r="K96">
        <v>14.852777777777778</v>
      </c>
      <c r="L96">
        <v>82697</v>
      </c>
      <c r="M96">
        <v>20.674250000000001</v>
      </c>
      <c r="O96">
        <v>35.527027777777775</v>
      </c>
      <c r="P96" s="3">
        <v>47</v>
      </c>
    </row>
    <row r="97" spans="1:16" x14ac:dyDescent="0.15">
      <c r="A97" t="s">
        <v>242</v>
      </c>
      <c r="B97">
        <v>11</v>
      </c>
      <c r="C97" s="3">
        <v>7609</v>
      </c>
      <c r="D97" s="30" t="str">
        <f t="shared" si="1"/>
        <v>2H6M49S</v>
      </c>
      <c r="E97" s="3">
        <v>19131</v>
      </c>
      <c r="F97" s="3">
        <v>48101</v>
      </c>
      <c r="G97" s="3">
        <v>40314</v>
      </c>
      <c r="H97" s="3">
        <v>10136</v>
      </c>
      <c r="K97">
        <v>21.136111111111113</v>
      </c>
      <c r="L97">
        <v>117682</v>
      </c>
      <c r="M97">
        <v>29.420500000000001</v>
      </c>
      <c r="O97">
        <v>50.55661111111111</v>
      </c>
      <c r="P97" s="3">
        <v>66</v>
      </c>
    </row>
    <row r="98" spans="1:16" x14ac:dyDescent="0.15">
      <c r="A98" t="s">
        <v>242</v>
      </c>
      <c r="B98">
        <v>12</v>
      </c>
      <c r="C98" s="3">
        <v>10828</v>
      </c>
      <c r="D98" s="30" t="str">
        <f t="shared" si="1"/>
        <v>3H28S</v>
      </c>
      <c r="E98" s="3">
        <v>27225</v>
      </c>
      <c r="F98" s="3">
        <v>68452</v>
      </c>
      <c r="G98" s="3">
        <v>57370</v>
      </c>
      <c r="H98" s="3">
        <v>14424</v>
      </c>
      <c r="K98">
        <v>18.046666666666667</v>
      </c>
      <c r="L98">
        <v>167471</v>
      </c>
      <c r="M98">
        <v>41.867750000000001</v>
      </c>
      <c r="O98">
        <v>59.914416666666668</v>
      </c>
      <c r="P98" s="3">
        <v>78</v>
      </c>
    </row>
    <row r="99" spans="1:16" x14ac:dyDescent="0.15">
      <c r="A99" t="s">
        <v>242</v>
      </c>
      <c r="B99">
        <v>13</v>
      </c>
      <c r="C99" s="3">
        <v>15409</v>
      </c>
      <c r="D99" s="30" t="str">
        <f t="shared" si="1"/>
        <v>4H16M49S</v>
      </c>
      <c r="E99" s="3">
        <v>38743</v>
      </c>
      <c r="F99" s="3">
        <v>97412</v>
      </c>
      <c r="G99" s="3">
        <v>81642</v>
      </c>
      <c r="H99" s="3">
        <v>20527</v>
      </c>
      <c r="K99">
        <v>25.681666666666668</v>
      </c>
      <c r="L99">
        <v>238324</v>
      </c>
      <c r="M99">
        <v>59.581000000000003</v>
      </c>
      <c r="O99">
        <v>85.262666666666675</v>
      </c>
      <c r="P99" s="3">
        <v>111</v>
      </c>
    </row>
    <row r="100" spans="1:16" x14ac:dyDescent="0.15">
      <c r="A100" t="s">
        <v>242</v>
      </c>
      <c r="B100">
        <v>14</v>
      </c>
      <c r="C100" s="3">
        <v>21927</v>
      </c>
      <c r="D100" s="30" t="str">
        <f t="shared" si="1"/>
        <v>6H5M27S</v>
      </c>
      <c r="E100" s="3">
        <v>55131</v>
      </c>
      <c r="F100" s="3">
        <v>138617</v>
      </c>
      <c r="G100" s="3">
        <v>116176</v>
      </c>
      <c r="H100" s="3">
        <v>29210</v>
      </c>
      <c r="K100">
        <v>36.545000000000002</v>
      </c>
      <c r="L100">
        <v>339134</v>
      </c>
      <c r="M100">
        <v>74.609480000000005</v>
      </c>
      <c r="O100">
        <v>111.15448000000001</v>
      </c>
      <c r="P100" s="3">
        <v>145</v>
      </c>
    </row>
    <row r="101" spans="1:16" x14ac:dyDescent="0.15">
      <c r="A101" t="s">
        <v>242</v>
      </c>
      <c r="B101">
        <v>15</v>
      </c>
      <c r="C101" s="3">
        <v>31204</v>
      </c>
      <c r="D101" s="30" t="str">
        <f t="shared" si="1"/>
        <v>8H40M4S</v>
      </c>
      <c r="E101" s="3">
        <v>78457</v>
      </c>
      <c r="F101" s="3">
        <v>197267</v>
      </c>
      <c r="G101" s="3">
        <v>165331</v>
      </c>
      <c r="H101" s="3">
        <v>41569</v>
      </c>
      <c r="K101">
        <v>43.338888888888889</v>
      </c>
      <c r="L101">
        <v>482624</v>
      </c>
      <c r="M101">
        <v>106.17728000000001</v>
      </c>
      <c r="O101">
        <v>149.5161688888889</v>
      </c>
      <c r="P101" s="3">
        <v>195</v>
      </c>
    </row>
    <row r="102" spans="1:16" x14ac:dyDescent="0.15">
      <c r="A102" t="s">
        <v>242</v>
      </c>
      <c r="B102">
        <v>16</v>
      </c>
      <c r="C102" s="3">
        <v>44405</v>
      </c>
      <c r="D102" s="30" t="str">
        <f t="shared" si="1"/>
        <v>12H20M5S</v>
      </c>
      <c r="E102" s="3">
        <v>111649</v>
      </c>
      <c r="F102" s="3">
        <v>280723</v>
      </c>
      <c r="G102" s="3">
        <v>235277</v>
      </c>
      <c r="H102" s="3">
        <v>59156</v>
      </c>
      <c r="K102">
        <v>61.673611111111114</v>
      </c>
      <c r="L102">
        <v>686805</v>
      </c>
      <c r="M102">
        <v>130.49295000000001</v>
      </c>
      <c r="O102">
        <v>192.16656111111112</v>
      </c>
      <c r="P102" s="3">
        <v>250</v>
      </c>
    </row>
    <row r="103" spans="1:16" x14ac:dyDescent="0.15">
      <c r="A103" t="s">
        <v>242</v>
      </c>
      <c r="B103">
        <v>17</v>
      </c>
      <c r="C103" s="3">
        <v>63190</v>
      </c>
      <c r="D103" s="30" t="str">
        <f t="shared" si="1"/>
        <v>17H33M10S</v>
      </c>
      <c r="E103" s="3">
        <v>158880</v>
      </c>
      <c r="F103" s="3">
        <v>399477</v>
      </c>
      <c r="G103" s="3">
        <v>334806</v>
      </c>
      <c r="H103" s="3">
        <v>84181</v>
      </c>
      <c r="K103">
        <v>76.062037037037044</v>
      </c>
      <c r="L103">
        <v>977344</v>
      </c>
      <c r="M103">
        <v>185.69536000000002</v>
      </c>
      <c r="O103">
        <v>261.75739703703709</v>
      </c>
      <c r="P103" s="3">
        <v>341</v>
      </c>
    </row>
    <row r="104" spans="1:16" x14ac:dyDescent="0.15">
      <c r="A104" t="s">
        <v>242</v>
      </c>
      <c r="B104">
        <v>18</v>
      </c>
      <c r="C104" s="3">
        <v>89923</v>
      </c>
      <c r="D104" s="30" t="str">
        <f t="shared" si="1"/>
        <v>1D58M43S</v>
      </c>
      <c r="E104" s="3">
        <v>226096</v>
      </c>
      <c r="F104" s="3">
        <v>568481</v>
      </c>
      <c r="G104" s="3">
        <v>476450</v>
      </c>
      <c r="H104" s="3">
        <v>119795</v>
      </c>
      <c r="K104">
        <v>98.873668981481472</v>
      </c>
      <c r="L104">
        <v>1390822</v>
      </c>
      <c r="M104">
        <v>264.25618000000003</v>
      </c>
      <c r="O104">
        <v>363.12984898148147</v>
      </c>
      <c r="P104" s="3">
        <v>473</v>
      </c>
    </row>
    <row r="105" spans="1:16" x14ac:dyDescent="0.15">
      <c r="A105" t="s">
        <v>242</v>
      </c>
      <c r="B105">
        <v>19</v>
      </c>
      <c r="C105" s="3">
        <v>127964</v>
      </c>
      <c r="D105" s="30" t="str">
        <f t="shared" si="1"/>
        <v>1D11H32M44S</v>
      </c>
      <c r="E105" s="3">
        <v>321744</v>
      </c>
      <c r="F105" s="3">
        <v>808972</v>
      </c>
      <c r="G105" s="3">
        <v>678009</v>
      </c>
      <c r="H105" s="3">
        <v>170474</v>
      </c>
      <c r="K105">
        <v>140.70115740740741</v>
      </c>
      <c r="L105">
        <v>1979199</v>
      </c>
      <c r="M105">
        <v>376.04781000000003</v>
      </c>
      <c r="O105">
        <v>516.74896740740746</v>
      </c>
      <c r="P105" s="3">
        <v>672</v>
      </c>
    </row>
    <row r="106" spans="1:16" x14ac:dyDescent="0.15">
      <c r="A106" t="s">
        <v>242</v>
      </c>
      <c r="B106">
        <v>20</v>
      </c>
      <c r="C106" s="3">
        <v>182099</v>
      </c>
      <c r="D106" s="30" t="str">
        <f t="shared" si="1"/>
        <v>2D2H34M59S</v>
      </c>
      <c r="E106" s="3">
        <v>457858</v>
      </c>
      <c r="F106" s="3">
        <v>1151209</v>
      </c>
      <c r="G106" s="3">
        <v>964842</v>
      </c>
      <c r="H106" s="3">
        <v>242593</v>
      </c>
      <c r="J106" t="s">
        <v>63</v>
      </c>
      <c r="K106">
        <v>200.22459490740744</v>
      </c>
      <c r="L106">
        <v>2816502</v>
      </c>
      <c r="M106">
        <v>535.13538000000005</v>
      </c>
      <c r="N106">
        <v>40</v>
      </c>
      <c r="O106">
        <v>775.35997490740749</v>
      </c>
      <c r="P106" s="3">
        <v>1008</v>
      </c>
    </row>
    <row r="107" spans="1:16" x14ac:dyDescent="0.15">
      <c r="A107" t="s">
        <v>243</v>
      </c>
      <c r="B107">
        <v>0</v>
      </c>
      <c r="D107" s="30" t="str">
        <f t="shared" si="1"/>
        <v>0S</v>
      </c>
      <c r="K107">
        <v>0</v>
      </c>
      <c r="L107">
        <v>0</v>
      </c>
      <c r="M107">
        <v>0</v>
      </c>
      <c r="O107">
        <v>0</v>
      </c>
      <c r="P107" s="3">
        <v>0</v>
      </c>
    </row>
    <row r="108" spans="1:16" x14ac:dyDescent="0.15">
      <c r="A108" t="s">
        <v>243</v>
      </c>
      <c r="B108">
        <v>1</v>
      </c>
      <c r="C108" s="3">
        <v>248</v>
      </c>
      <c r="D108" s="30" t="str">
        <f t="shared" si="1"/>
        <v>4M8S</v>
      </c>
      <c r="E108" s="3">
        <v>112</v>
      </c>
      <c r="F108" s="3">
        <v>561</v>
      </c>
      <c r="G108" s="3">
        <v>374</v>
      </c>
      <c r="H108" s="3">
        <v>37</v>
      </c>
      <c r="K108">
        <v>4.1333333333333337</v>
      </c>
      <c r="L108">
        <v>1084</v>
      </c>
      <c r="M108">
        <v>0.27100000000000002</v>
      </c>
      <c r="O108">
        <v>4.4043333333333337</v>
      </c>
      <c r="P108" s="3">
        <v>6</v>
      </c>
    </row>
    <row r="109" spans="1:16" x14ac:dyDescent="0.15">
      <c r="A109" t="s">
        <v>243</v>
      </c>
      <c r="B109">
        <v>2</v>
      </c>
      <c r="C109" s="3">
        <v>353</v>
      </c>
      <c r="D109" s="30" t="str">
        <f t="shared" si="1"/>
        <v>5M53S</v>
      </c>
      <c r="E109" s="3">
        <v>159</v>
      </c>
      <c r="F109" s="3">
        <v>798</v>
      </c>
      <c r="G109" s="3">
        <v>532</v>
      </c>
      <c r="H109" s="3">
        <v>53</v>
      </c>
      <c r="K109">
        <v>3.5300000000000002</v>
      </c>
      <c r="L109">
        <v>1542</v>
      </c>
      <c r="M109">
        <v>0.38550000000000001</v>
      </c>
      <c r="O109">
        <v>3.9155000000000002</v>
      </c>
      <c r="P109" s="3">
        <v>7</v>
      </c>
    </row>
    <row r="110" spans="1:16" x14ac:dyDescent="0.15">
      <c r="A110" t="s">
        <v>243</v>
      </c>
      <c r="B110">
        <v>3</v>
      </c>
      <c r="C110" s="3">
        <v>502</v>
      </c>
      <c r="D110" s="30" t="str">
        <f t="shared" si="1"/>
        <v>8M22S</v>
      </c>
      <c r="E110" s="3">
        <v>227</v>
      </c>
      <c r="F110" s="3">
        <v>1135</v>
      </c>
      <c r="G110" s="3">
        <v>757</v>
      </c>
      <c r="H110" s="3">
        <v>75</v>
      </c>
      <c r="K110">
        <v>5.0199999999999996</v>
      </c>
      <c r="L110">
        <v>2194</v>
      </c>
      <c r="M110">
        <v>0.54849999999999999</v>
      </c>
      <c r="O110">
        <v>5.5684999999999993</v>
      </c>
      <c r="P110" s="3">
        <v>8</v>
      </c>
    </row>
    <row r="111" spans="1:16" x14ac:dyDescent="0.15">
      <c r="A111" t="s">
        <v>243</v>
      </c>
      <c r="B111">
        <v>4</v>
      </c>
      <c r="C111" s="3">
        <v>715</v>
      </c>
      <c r="D111" s="30" t="str">
        <f t="shared" si="1"/>
        <v>11M55S</v>
      </c>
      <c r="E111" s="3">
        <v>323</v>
      </c>
      <c r="F111" s="3">
        <v>1617</v>
      </c>
      <c r="G111" s="3">
        <v>1078</v>
      </c>
      <c r="H111" s="3">
        <v>107</v>
      </c>
      <c r="K111">
        <v>7.15</v>
      </c>
      <c r="L111">
        <v>3125</v>
      </c>
      <c r="M111">
        <v>0.78125</v>
      </c>
      <c r="O111">
        <v>7.9312500000000004</v>
      </c>
      <c r="P111" s="3">
        <v>9</v>
      </c>
    </row>
    <row r="112" spans="1:16" x14ac:dyDescent="0.15">
      <c r="A112" t="s">
        <v>243</v>
      </c>
      <c r="B112">
        <v>5</v>
      </c>
      <c r="C112" s="3">
        <v>1018</v>
      </c>
      <c r="D112" s="30" t="str">
        <f t="shared" si="1"/>
        <v>16M58S</v>
      </c>
      <c r="E112" s="3">
        <v>460</v>
      </c>
      <c r="F112" s="3">
        <v>2303</v>
      </c>
      <c r="G112" s="3">
        <v>1535</v>
      </c>
      <c r="H112" s="3">
        <v>153</v>
      </c>
      <c r="K112">
        <v>5.6555555555555559</v>
      </c>
      <c r="L112">
        <v>4451</v>
      </c>
      <c r="M112">
        <v>1.1127500000000001</v>
      </c>
      <c r="O112">
        <v>6.768305555555556</v>
      </c>
      <c r="P112" s="3">
        <v>10</v>
      </c>
    </row>
    <row r="113" spans="1:16" x14ac:dyDescent="0.15">
      <c r="A113" t="s">
        <v>243</v>
      </c>
      <c r="B113">
        <v>6</v>
      </c>
      <c r="C113" s="3">
        <v>1448</v>
      </c>
      <c r="D113" s="30" t="str">
        <f t="shared" si="1"/>
        <v>24M8S</v>
      </c>
      <c r="E113" s="3">
        <v>655</v>
      </c>
      <c r="F113" s="3">
        <v>3276</v>
      </c>
      <c r="G113" s="3">
        <v>2184</v>
      </c>
      <c r="H113" s="3">
        <v>218</v>
      </c>
      <c r="K113">
        <v>8.0444444444444443</v>
      </c>
      <c r="L113">
        <v>6333</v>
      </c>
      <c r="M113">
        <v>1.58325</v>
      </c>
      <c r="O113">
        <v>9.6276944444444439</v>
      </c>
      <c r="P113" s="3">
        <v>13</v>
      </c>
    </row>
    <row r="114" spans="1:16" x14ac:dyDescent="0.15">
      <c r="A114" t="s">
        <v>243</v>
      </c>
      <c r="B114">
        <v>7</v>
      </c>
      <c r="C114" s="3">
        <v>2061</v>
      </c>
      <c r="D114" s="30" t="str">
        <f t="shared" si="1"/>
        <v>34M21S</v>
      </c>
      <c r="E114" s="3">
        <v>932</v>
      </c>
      <c r="F114" s="3">
        <v>4663</v>
      </c>
      <c r="G114" s="3">
        <v>3109</v>
      </c>
      <c r="H114" s="3">
        <v>310</v>
      </c>
      <c r="K114">
        <v>11.45</v>
      </c>
      <c r="L114">
        <v>9014</v>
      </c>
      <c r="M114">
        <v>2.2534999999999998</v>
      </c>
      <c r="O114">
        <v>13.703499999999998</v>
      </c>
      <c r="P114" s="3">
        <v>18</v>
      </c>
    </row>
    <row r="115" spans="1:16" x14ac:dyDescent="0.15">
      <c r="A115" t="s">
        <v>243</v>
      </c>
      <c r="B115">
        <v>8</v>
      </c>
      <c r="C115" s="3">
        <v>2933</v>
      </c>
      <c r="D115" s="30" t="str">
        <f t="shared" si="1"/>
        <v>48M53S</v>
      </c>
      <c r="E115" s="3">
        <v>1327</v>
      </c>
      <c r="F115" s="3">
        <v>6637</v>
      </c>
      <c r="G115" s="3">
        <v>4424</v>
      </c>
      <c r="H115" s="3">
        <v>442</v>
      </c>
      <c r="K115">
        <v>16.294444444444444</v>
      </c>
      <c r="L115">
        <v>12830</v>
      </c>
      <c r="M115">
        <v>3.2075</v>
      </c>
      <c r="O115">
        <v>19.501944444444444</v>
      </c>
      <c r="P115" s="3">
        <v>22</v>
      </c>
    </row>
    <row r="116" spans="1:16" x14ac:dyDescent="0.15">
      <c r="A116" t="s">
        <v>243</v>
      </c>
      <c r="B116">
        <v>9</v>
      </c>
      <c r="C116" s="3">
        <v>4175</v>
      </c>
      <c r="D116" s="30" t="str">
        <f t="shared" si="1"/>
        <v>1H9M35S</v>
      </c>
      <c r="E116" s="3">
        <v>1889</v>
      </c>
      <c r="F116" s="3">
        <v>9447</v>
      </c>
      <c r="G116" s="3">
        <v>6298</v>
      </c>
      <c r="H116" s="3">
        <v>629</v>
      </c>
      <c r="K116">
        <v>11.597222222222223</v>
      </c>
      <c r="L116">
        <v>18263</v>
      </c>
      <c r="M116">
        <v>4.5657500000000004</v>
      </c>
      <c r="O116">
        <v>16.162972222222223</v>
      </c>
      <c r="P116" s="3">
        <v>26</v>
      </c>
    </row>
    <row r="117" spans="1:16" x14ac:dyDescent="0.15">
      <c r="A117" t="s">
        <v>243</v>
      </c>
      <c r="B117">
        <v>10</v>
      </c>
      <c r="C117" s="3">
        <v>5941</v>
      </c>
      <c r="D117" s="30" t="str">
        <f t="shared" si="1"/>
        <v>1H39M1S</v>
      </c>
      <c r="E117" s="3">
        <v>2688</v>
      </c>
      <c r="F117" s="3">
        <v>13443</v>
      </c>
      <c r="G117" s="3">
        <v>8962</v>
      </c>
      <c r="H117" s="3">
        <v>896</v>
      </c>
      <c r="K117">
        <v>16.502777777777776</v>
      </c>
      <c r="L117">
        <v>25989</v>
      </c>
      <c r="M117">
        <v>6.4972500000000002</v>
      </c>
      <c r="O117">
        <v>23.000027777777778</v>
      </c>
      <c r="P117" s="3">
        <v>30</v>
      </c>
    </row>
    <row r="118" spans="1:16" x14ac:dyDescent="0.15">
      <c r="A118" t="s">
        <v>243</v>
      </c>
      <c r="B118">
        <v>11</v>
      </c>
      <c r="C118" s="3">
        <v>8454</v>
      </c>
      <c r="D118" s="30" t="str">
        <f t="shared" si="1"/>
        <v>2H20M54S</v>
      </c>
      <c r="E118" s="3">
        <v>3826</v>
      </c>
      <c r="F118" s="3">
        <v>19130</v>
      </c>
      <c r="G118" s="3">
        <v>12753</v>
      </c>
      <c r="H118" s="3">
        <v>1275</v>
      </c>
      <c r="K118">
        <v>23.483333333333331</v>
      </c>
      <c r="L118">
        <v>36984</v>
      </c>
      <c r="M118">
        <v>9.2460000000000004</v>
      </c>
      <c r="O118">
        <v>32.729333333333329</v>
      </c>
      <c r="P118" s="3">
        <v>43</v>
      </c>
    </row>
    <row r="119" spans="1:16" x14ac:dyDescent="0.15">
      <c r="A119" t="s">
        <v>243</v>
      </c>
      <c r="B119">
        <v>12</v>
      </c>
      <c r="C119" s="3">
        <v>12031</v>
      </c>
      <c r="D119" s="30" t="str">
        <f t="shared" si="1"/>
        <v>3H20M31S</v>
      </c>
      <c r="E119" s="3">
        <v>5444</v>
      </c>
      <c r="F119" s="3">
        <v>27224</v>
      </c>
      <c r="G119" s="3">
        <v>18149</v>
      </c>
      <c r="H119" s="3">
        <v>1814</v>
      </c>
      <c r="K119">
        <v>20.051666666666669</v>
      </c>
      <c r="L119">
        <v>52631</v>
      </c>
      <c r="M119">
        <v>13.15775</v>
      </c>
      <c r="O119">
        <v>33.209416666666669</v>
      </c>
      <c r="P119" s="3">
        <v>44</v>
      </c>
    </row>
    <row r="120" spans="1:16" x14ac:dyDescent="0.15">
      <c r="A120" t="s">
        <v>243</v>
      </c>
      <c r="B120">
        <v>13</v>
      </c>
      <c r="C120" s="3">
        <v>17121</v>
      </c>
      <c r="D120" s="30" t="str">
        <f t="shared" si="1"/>
        <v>4H45M21S</v>
      </c>
      <c r="E120" s="3">
        <v>7748</v>
      </c>
      <c r="F120" s="3">
        <v>38743</v>
      </c>
      <c r="G120" s="3">
        <v>25828</v>
      </c>
      <c r="H120" s="3">
        <v>2582</v>
      </c>
      <c r="K120">
        <v>28.535</v>
      </c>
      <c r="L120">
        <v>74901</v>
      </c>
      <c r="M120">
        <v>18.725249999999999</v>
      </c>
      <c r="O120">
        <v>47.260249999999999</v>
      </c>
      <c r="P120" s="3">
        <v>62</v>
      </c>
    </row>
    <row r="121" spans="1:16" x14ac:dyDescent="0.15">
      <c r="A121" t="s">
        <v>243</v>
      </c>
      <c r="B121">
        <v>14</v>
      </c>
      <c r="C121" s="3">
        <v>24364</v>
      </c>
      <c r="D121" s="30" t="str">
        <f t="shared" si="1"/>
        <v>6H46M4S</v>
      </c>
      <c r="E121" s="3">
        <v>11026</v>
      </c>
      <c r="F121" s="3">
        <v>55133</v>
      </c>
      <c r="G121" s="3">
        <v>36755</v>
      </c>
      <c r="H121" s="3">
        <v>3675</v>
      </c>
      <c r="K121">
        <v>40.606666666666669</v>
      </c>
      <c r="L121">
        <v>106589</v>
      </c>
      <c r="M121">
        <v>26.64725</v>
      </c>
      <c r="O121">
        <v>67.253916666666669</v>
      </c>
      <c r="P121" s="3">
        <v>88</v>
      </c>
    </row>
    <row r="122" spans="1:16" x14ac:dyDescent="0.15">
      <c r="A122" t="s">
        <v>243</v>
      </c>
      <c r="B122">
        <v>15</v>
      </c>
      <c r="C122" s="3">
        <v>34672</v>
      </c>
      <c r="D122" s="30" t="str">
        <f t="shared" si="1"/>
        <v>9H37M52S</v>
      </c>
      <c r="E122" s="3">
        <v>15691</v>
      </c>
      <c r="F122" s="3">
        <v>78459</v>
      </c>
      <c r="G122" s="3">
        <v>52306</v>
      </c>
      <c r="H122" s="3">
        <v>5230</v>
      </c>
      <c r="K122">
        <v>48.155555555555551</v>
      </c>
      <c r="L122">
        <v>151686</v>
      </c>
      <c r="M122">
        <v>37.921500000000002</v>
      </c>
      <c r="O122">
        <v>86.077055555555546</v>
      </c>
      <c r="P122" s="3">
        <v>112</v>
      </c>
    </row>
    <row r="123" spans="1:16" x14ac:dyDescent="0.15">
      <c r="A123" t="s">
        <v>243</v>
      </c>
      <c r="B123">
        <v>16</v>
      </c>
      <c r="C123" s="3">
        <v>49340</v>
      </c>
      <c r="D123" s="30" t="str">
        <f t="shared" si="1"/>
        <v>13H42M20S</v>
      </c>
      <c r="E123" s="3">
        <v>22330</v>
      </c>
      <c r="F123" s="3">
        <v>111651</v>
      </c>
      <c r="G123" s="3">
        <v>74434</v>
      </c>
      <c r="H123" s="3">
        <v>7443</v>
      </c>
      <c r="K123">
        <v>68.527777777777771</v>
      </c>
      <c r="L123">
        <v>215858</v>
      </c>
      <c r="M123">
        <v>53.964500000000001</v>
      </c>
      <c r="O123">
        <v>122.49227777777777</v>
      </c>
      <c r="P123" s="3">
        <v>160</v>
      </c>
    </row>
    <row r="124" spans="1:16" x14ac:dyDescent="0.15">
      <c r="A124" t="s">
        <v>243</v>
      </c>
      <c r="B124">
        <v>17</v>
      </c>
      <c r="C124" s="3">
        <v>70213</v>
      </c>
      <c r="D124" s="30" t="str">
        <f t="shared" si="1"/>
        <v>19H30M13S</v>
      </c>
      <c r="E124" s="3">
        <v>31777</v>
      </c>
      <c r="F124" s="3">
        <v>158885</v>
      </c>
      <c r="G124" s="3">
        <v>105923</v>
      </c>
      <c r="H124" s="3">
        <v>10592</v>
      </c>
      <c r="K124">
        <v>84.515648148148159</v>
      </c>
      <c r="L124">
        <v>307177</v>
      </c>
      <c r="M124">
        <v>67.578940000000003</v>
      </c>
      <c r="O124">
        <v>152.09458814814815</v>
      </c>
      <c r="P124" s="3">
        <v>198</v>
      </c>
    </row>
    <row r="125" spans="1:16" x14ac:dyDescent="0.15">
      <c r="A125" t="s">
        <v>243</v>
      </c>
      <c r="B125">
        <v>18</v>
      </c>
      <c r="C125" s="3">
        <v>99917</v>
      </c>
      <c r="D125" s="30" t="str">
        <f t="shared" si="1"/>
        <v>1D3H45M17S</v>
      </c>
      <c r="E125" s="3">
        <v>45220</v>
      </c>
      <c r="F125" s="3">
        <v>226102</v>
      </c>
      <c r="G125" s="3">
        <v>150734</v>
      </c>
      <c r="H125" s="3">
        <v>15073</v>
      </c>
      <c r="K125">
        <v>109.86244212962964</v>
      </c>
      <c r="L125">
        <v>437129</v>
      </c>
      <c r="M125">
        <v>96.168379999999999</v>
      </c>
      <c r="O125">
        <v>206.03082212962966</v>
      </c>
      <c r="P125" s="3">
        <v>268</v>
      </c>
    </row>
    <row r="126" spans="1:16" x14ac:dyDescent="0.15">
      <c r="A126" t="s">
        <v>243</v>
      </c>
      <c r="B126">
        <v>19</v>
      </c>
      <c r="C126" s="3">
        <v>142186</v>
      </c>
      <c r="D126" s="30" t="str">
        <f t="shared" si="1"/>
        <v>1D15H29M46S</v>
      </c>
      <c r="E126" s="3">
        <v>64350</v>
      </c>
      <c r="F126" s="3">
        <v>321752</v>
      </c>
      <c r="G126" s="3">
        <v>214501</v>
      </c>
      <c r="H126" s="3">
        <v>21450</v>
      </c>
      <c r="K126">
        <v>156.33877314814814</v>
      </c>
      <c r="L126">
        <v>622053</v>
      </c>
      <c r="M126">
        <v>118.19007000000001</v>
      </c>
      <c r="O126">
        <v>274.52884314814816</v>
      </c>
      <c r="P126" s="3">
        <v>357</v>
      </c>
    </row>
    <row r="127" spans="1:16" x14ac:dyDescent="0.15">
      <c r="A127" t="s">
        <v>243</v>
      </c>
      <c r="B127">
        <v>20</v>
      </c>
      <c r="C127" s="3">
        <v>202338</v>
      </c>
      <c r="D127" s="30" t="str">
        <f t="shared" si="1"/>
        <v>2D8H12M18S</v>
      </c>
      <c r="E127" s="3">
        <v>91574</v>
      </c>
      <c r="F127" s="3">
        <v>457870</v>
      </c>
      <c r="G127" s="3">
        <v>305247</v>
      </c>
      <c r="H127" s="3">
        <v>30524</v>
      </c>
      <c r="J127" t="s">
        <v>63</v>
      </c>
      <c r="K127">
        <v>222.47812500000001</v>
      </c>
      <c r="L127">
        <v>885215</v>
      </c>
      <c r="M127">
        <v>168.19085000000001</v>
      </c>
      <c r="N127">
        <v>40</v>
      </c>
      <c r="O127">
        <v>430.66897500000005</v>
      </c>
      <c r="P127" s="3">
        <v>560</v>
      </c>
    </row>
    <row r="128" spans="1:16" x14ac:dyDescent="0.15">
      <c r="A128" t="s">
        <v>244</v>
      </c>
      <c r="B128">
        <v>0</v>
      </c>
      <c r="D128" s="30" t="str">
        <f t="shared" si="1"/>
        <v>0S</v>
      </c>
      <c r="K128">
        <v>0</v>
      </c>
      <c r="L128">
        <v>0</v>
      </c>
      <c r="M128">
        <v>0</v>
      </c>
      <c r="O128">
        <v>0</v>
      </c>
      <c r="P128" s="3">
        <v>0</v>
      </c>
    </row>
    <row r="129" spans="1:16" x14ac:dyDescent="0.15">
      <c r="A129" t="s">
        <v>244</v>
      </c>
      <c r="B129">
        <v>1</v>
      </c>
      <c r="C129" s="3">
        <v>0</v>
      </c>
      <c r="D129" s="30" t="str">
        <f t="shared" si="1"/>
        <v>0S</v>
      </c>
      <c r="K129">
        <v>0</v>
      </c>
      <c r="L129">
        <v>0</v>
      </c>
      <c r="M129">
        <v>0</v>
      </c>
      <c r="O129">
        <v>0</v>
      </c>
      <c r="P129" s="3">
        <v>0</v>
      </c>
    </row>
    <row r="130" spans="1:16" x14ac:dyDescent="0.15">
      <c r="A130" t="s">
        <v>244</v>
      </c>
      <c r="B130">
        <v>2</v>
      </c>
      <c r="C130" s="3">
        <v>310</v>
      </c>
      <c r="D130" s="30" t="str">
        <f t="shared" si="1"/>
        <v>5M10S</v>
      </c>
      <c r="E130" s="3">
        <v>31</v>
      </c>
      <c r="F130" s="3">
        <v>93</v>
      </c>
      <c r="G130" s="3">
        <v>779</v>
      </c>
      <c r="H130" s="3">
        <v>62</v>
      </c>
      <c r="K130">
        <v>3.1000000000000005</v>
      </c>
      <c r="L130">
        <v>965</v>
      </c>
      <c r="M130">
        <v>0.24124999999999999</v>
      </c>
      <c r="O130">
        <v>3.3412500000000005</v>
      </c>
      <c r="P130" s="3">
        <v>5</v>
      </c>
    </row>
    <row r="131" spans="1:16" x14ac:dyDescent="0.15">
      <c r="A131" t="s">
        <v>244</v>
      </c>
      <c r="B131">
        <v>3</v>
      </c>
      <c r="C131" s="3">
        <v>755</v>
      </c>
      <c r="D131" s="30" t="str">
        <f t="shared" ref="D131:D194" si="2">IF(INT(C131/3600/24)=0,"",INT(C131/3600/24)&amp;"D")&amp;IF(INT(MOD(C131,3600*24)/3600)=0,"",INT(MOD(C131,3600*24)/3600)&amp;"H")&amp;IF(INT(MOD(C131,3600)/60)=0,"",INT(MOD(C131,3600)/60)&amp;"M")&amp;INT(MOD(C131,60))&amp;"S"</f>
        <v>12M35S</v>
      </c>
      <c r="E131" s="3">
        <v>75</v>
      </c>
      <c r="F131" s="3">
        <v>227</v>
      </c>
      <c r="G131" s="3">
        <v>1898</v>
      </c>
      <c r="H131" s="3">
        <v>151</v>
      </c>
      <c r="K131">
        <v>7.55</v>
      </c>
      <c r="L131">
        <v>2351</v>
      </c>
      <c r="M131">
        <v>0.58774999999999999</v>
      </c>
      <c r="O131">
        <v>8.1377500000000005</v>
      </c>
      <c r="P131" s="3">
        <v>9</v>
      </c>
    </row>
    <row r="132" spans="1:16" x14ac:dyDescent="0.15">
      <c r="A132" t="s">
        <v>244</v>
      </c>
      <c r="B132">
        <v>4</v>
      </c>
      <c r="C132" s="3">
        <v>1074</v>
      </c>
      <c r="D132" s="30" t="str">
        <f t="shared" si="2"/>
        <v>17M54S</v>
      </c>
      <c r="E132" s="3">
        <v>108</v>
      </c>
      <c r="F132" s="3">
        <v>324</v>
      </c>
      <c r="G132" s="3">
        <v>2700</v>
      </c>
      <c r="H132" s="3">
        <v>216</v>
      </c>
      <c r="K132">
        <v>5.9666666666666668</v>
      </c>
      <c r="L132">
        <v>3348</v>
      </c>
      <c r="M132">
        <v>0.83699999999999997</v>
      </c>
      <c r="O132">
        <v>6.8036666666666665</v>
      </c>
      <c r="P132" s="3">
        <v>11</v>
      </c>
    </row>
    <row r="133" spans="1:16" x14ac:dyDescent="0.15">
      <c r="A133" t="s">
        <v>244</v>
      </c>
      <c r="B133">
        <v>5</v>
      </c>
      <c r="C133" s="3">
        <v>1528</v>
      </c>
      <c r="D133" s="30" t="str">
        <f t="shared" si="2"/>
        <v>25M28S</v>
      </c>
      <c r="E133" s="3">
        <v>153</v>
      </c>
      <c r="F133" s="3">
        <v>460</v>
      </c>
      <c r="G133" s="3">
        <v>3841</v>
      </c>
      <c r="H133" s="3">
        <v>307</v>
      </c>
      <c r="K133">
        <v>8.4888888888888889</v>
      </c>
      <c r="L133">
        <v>4761</v>
      </c>
      <c r="M133">
        <v>1.19025</v>
      </c>
      <c r="O133">
        <v>9.6791388888888896</v>
      </c>
      <c r="P133" s="3">
        <v>13</v>
      </c>
    </row>
    <row r="134" spans="1:16" x14ac:dyDescent="0.15">
      <c r="A134" t="s">
        <v>244</v>
      </c>
      <c r="B134">
        <v>6</v>
      </c>
      <c r="C134" s="3">
        <v>2175</v>
      </c>
      <c r="D134" s="30" t="str">
        <f t="shared" si="2"/>
        <v>36M15S</v>
      </c>
      <c r="E134" s="3">
        <v>218</v>
      </c>
      <c r="F134" s="3">
        <v>656</v>
      </c>
      <c r="G134" s="3">
        <v>5468</v>
      </c>
      <c r="H134" s="3">
        <v>437</v>
      </c>
      <c r="K134">
        <v>12.083333333333332</v>
      </c>
      <c r="L134">
        <v>6779</v>
      </c>
      <c r="M134">
        <v>1.69475</v>
      </c>
      <c r="O134">
        <v>13.778083333333331</v>
      </c>
      <c r="P134" s="3">
        <v>18</v>
      </c>
    </row>
    <row r="135" spans="1:16" x14ac:dyDescent="0.15">
      <c r="A135" t="s">
        <v>244</v>
      </c>
      <c r="B135">
        <v>7</v>
      </c>
      <c r="C135" s="3">
        <v>3096</v>
      </c>
      <c r="D135" s="30" t="str">
        <f t="shared" si="2"/>
        <v>51M36S</v>
      </c>
      <c r="E135" s="3">
        <v>311</v>
      </c>
      <c r="F135" s="3">
        <v>934</v>
      </c>
      <c r="G135" s="3">
        <v>7783</v>
      </c>
      <c r="H135" s="3">
        <v>622</v>
      </c>
      <c r="K135">
        <v>17.2</v>
      </c>
      <c r="L135">
        <v>9650</v>
      </c>
      <c r="M135">
        <v>2.4125000000000001</v>
      </c>
      <c r="O135">
        <v>19.612500000000001</v>
      </c>
      <c r="P135" s="3">
        <v>21</v>
      </c>
    </row>
    <row r="136" spans="1:16" x14ac:dyDescent="0.15">
      <c r="A136" t="s">
        <v>244</v>
      </c>
      <c r="B136">
        <v>8</v>
      </c>
      <c r="C136" s="3">
        <v>4406</v>
      </c>
      <c r="D136" s="30" t="str">
        <f t="shared" si="2"/>
        <v>1H13M26S</v>
      </c>
      <c r="E136" s="3">
        <v>443</v>
      </c>
      <c r="F136" s="3">
        <v>1329</v>
      </c>
      <c r="G136" s="3">
        <v>11077</v>
      </c>
      <c r="H136" s="3">
        <v>886</v>
      </c>
      <c r="K136">
        <v>12.238888888888887</v>
      </c>
      <c r="L136">
        <v>13735</v>
      </c>
      <c r="M136">
        <v>3.4337499999999999</v>
      </c>
      <c r="O136">
        <v>15.672638888888887</v>
      </c>
      <c r="P136" s="3">
        <v>26</v>
      </c>
    </row>
    <row r="137" spans="1:16" x14ac:dyDescent="0.15">
      <c r="A137" t="s">
        <v>244</v>
      </c>
      <c r="B137">
        <v>9</v>
      </c>
      <c r="C137" s="3">
        <v>6270</v>
      </c>
      <c r="D137" s="30" t="str">
        <f t="shared" si="2"/>
        <v>1H44M30S</v>
      </c>
      <c r="E137" s="3">
        <v>630</v>
      </c>
      <c r="F137" s="3">
        <v>1891</v>
      </c>
      <c r="G137" s="3">
        <v>15763</v>
      </c>
      <c r="H137" s="3">
        <v>1261</v>
      </c>
      <c r="K137">
        <v>17.416666666666668</v>
      </c>
      <c r="L137">
        <v>19545</v>
      </c>
      <c r="M137">
        <v>4.8862500000000004</v>
      </c>
      <c r="O137">
        <v>22.302916666666668</v>
      </c>
      <c r="P137" s="3">
        <v>29</v>
      </c>
    </row>
    <row r="138" spans="1:16" x14ac:dyDescent="0.15">
      <c r="A138" t="s">
        <v>244</v>
      </c>
      <c r="B138">
        <v>10</v>
      </c>
      <c r="C138" s="3">
        <v>8922</v>
      </c>
      <c r="D138" s="30" t="str">
        <f t="shared" si="2"/>
        <v>2H28M42S</v>
      </c>
      <c r="E138" s="3">
        <v>897</v>
      </c>
      <c r="F138" s="3">
        <v>2691</v>
      </c>
      <c r="G138" s="3">
        <v>22430</v>
      </c>
      <c r="H138" s="3">
        <v>1794</v>
      </c>
      <c r="K138">
        <v>24.783333333333335</v>
      </c>
      <c r="L138">
        <v>27812</v>
      </c>
      <c r="M138">
        <v>6.9530000000000003</v>
      </c>
      <c r="O138">
        <v>31.736333333333334</v>
      </c>
      <c r="P138" s="3">
        <v>38</v>
      </c>
    </row>
    <row r="139" spans="1:16" x14ac:dyDescent="0.15">
      <c r="A139" t="s">
        <v>244</v>
      </c>
      <c r="B139">
        <v>11</v>
      </c>
      <c r="C139" s="3">
        <v>12697</v>
      </c>
      <c r="D139" s="30" t="str">
        <f t="shared" si="2"/>
        <v>3H31M37S</v>
      </c>
      <c r="E139" s="3">
        <v>1276</v>
      </c>
      <c r="F139" s="3">
        <v>3830</v>
      </c>
      <c r="G139" s="3">
        <v>31921</v>
      </c>
      <c r="H139" s="3">
        <v>2553</v>
      </c>
      <c r="K139">
        <v>21.161666666666665</v>
      </c>
      <c r="L139">
        <v>39580</v>
      </c>
      <c r="M139">
        <v>9.8949999999999996</v>
      </c>
      <c r="O139">
        <v>31.056666666666665</v>
      </c>
      <c r="P139" s="3">
        <v>42</v>
      </c>
    </row>
    <row r="140" spans="1:16" x14ac:dyDescent="0.15">
      <c r="A140" t="s">
        <v>244</v>
      </c>
      <c r="B140">
        <v>12</v>
      </c>
      <c r="C140" s="3">
        <v>18068</v>
      </c>
      <c r="D140" s="30" t="str">
        <f t="shared" si="2"/>
        <v>5H1M8S</v>
      </c>
      <c r="E140" s="3">
        <v>1816</v>
      </c>
      <c r="F140" s="3">
        <v>5450</v>
      </c>
      <c r="G140" s="3">
        <v>45424</v>
      </c>
      <c r="H140" s="3">
        <v>3633</v>
      </c>
      <c r="K140">
        <v>30.113333333333337</v>
      </c>
      <c r="L140">
        <v>56323</v>
      </c>
      <c r="M140">
        <v>14.08075</v>
      </c>
      <c r="O140">
        <v>44.194083333333339</v>
      </c>
      <c r="P140" s="3">
        <v>58</v>
      </c>
    </row>
    <row r="141" spans="1:16" x14ac:dyDescent="0.15">
      <c r="A141" t="s">
        <v>244</v>
      </c>
      <c r="B141">
        <v>13</v>
      </c>
      <c r="C141" s="3">
        <v>25712</v>
      </c>
      <c r="D141" s="30" t="str">
        <f t="shared" si="2"/>
        <v>7H8M32S</v>
      </c>
      <c r="E141" s="3">
        <v>2585</v>
      </c>
      <c r="F141" s="3">
        <v>7757</v>
      </c>
      <c r="G141" s="3">
        <v>64642</v>
      </c>
      <c r="H141" s="3">
        <v>5171</v>
      </c>
      <c r="K141">
        <v>42.853333333333332</v>
      </c>
      <c r="L141">
        <v>80155</v>
      </c>
      <c r="M141">
        <v>20.03875</v>
      </c>
      <c r="O141">
        <v>62.892083333333332</v>
      </c>
      <c r="P141" s="3">
        <v>82</v>
      </c>
    </row>
    <row r="142" spans="1:16" x14ac:dyDescent="0.15">
      <c r="A142" t="s">
        <v>244</v>
      </c>
      <c r="B142">
        <v>14</v>
      </c>
      <c r="C142" s="3">
        <v>36590</v>
      </c>
      <c r="D142" s="30" t="str">
        <f t="shared" si="2"/>
        <v>10H9M50S</v>
      </c>
      <c r="E142" s="3">
        <v>3679</v>
      </c>
      <c r="F142" s="3">
        <v>11038</v>
      </c>
      <c r="G142" s="3">
        <v>91991</v>
      </c>
      <c r="H142" s="3">
        <v>7359</v>
      </c>
      <c r="K142">
        <v>50.81944444444445</v>
      </c>
      <c r="L142">
        <v>114067</v>
      </c>
      <c r="M142">
        <v>28.516750000000002</v>
      </c>
      <c r="O142">
        <v>79.336194444444459</v>
      </c>
      <c r="P142" s="3">
        <v>104</v>
      </c>
    </row>
    <row r="143" spans="1:16" x14ac:dyDescent="0.15">
      <c r="A143" t="s">
        <v>244</v>
      </c>
      <c r="B143">
        <v>15</v>
      </c>
      <c r="C143" s="3">
        <v>52070</v>
      </c>
      <c r="D143" s="30" t="str">
        <f t="shared" si="2"/>
        <v>14H27M50S</v>
      </c>
      <c r="E143" s="3">
        <v>5236</v>
      </c>
      <c r="F143" s="3">
        <v>15709</v>
      </c>
      <c r="G143" s="3">
        <v>130909</v>
      </c>
      <c r="H143" s="3">
        <v>10472</v>
      </c>
      <c r="K143">
        <v>72.319444444444443</v>
      </c>
      <c r="L143">
        <v>162326</v>
      </c>
      <c r="M143">
        <v>40.581499999999998</v>
      </c>
      <c r="O143">
        <v>112.90094444444443</v>
      </c>
      <c r="P143" s="3">
        <v>147</v>
      </c>
    </row>
    <row r="144" spans="1:16" x14ac:dyDescent="0.15">
      <c r="A144" t="s">
        <v>244</v>
      </c>
      <c r="B144">
        <v>16</v>
      </c>
      <c r="C144" s="3">
        <v>74098</v>
      </c>
      <c r="D144" s="30" t="str">
        <f t="shared" si="2"/>
        <v>20H34M58S</v>
      </c>
      <c r="E144" s="3">
        <v>7451</v>
      </c>
      <c r="F144" s="3">
        <v>22354</v>
      </c>
      <c r="G144" s="3">
        <v>186290</v>
      </c>
      <c r="H144" s="3">
        <v>14903</v>
      </c>
      <c r="K144">
        <v>89.192037037037039</v>
      </c>
      <c r="L144">
        <v>230998</v>
      </c>
      <c r="M144">
        <v>57.749500000000005</v>
      </c>
      <c r="O144">
        <v>146.94153703703705</v>
      </c>
      <c r="P144" s="3">
        <v>192</v>
      </c>
    </row>
    <row r="145" spans="1:16" x14ac:dyDescent="0.15">
      <c r="A145" t="s">
        <v>244</v>
      </c>
      <c r="B145">
        <v>17</v>
      </c>
      <c r="C145" s="3">
        <v>105444</v>
      </c>
      <c r="D145" s="30" t="str">
        <f t="shared" si="2"/>
        <v>1D5H17M24S</v>
      </c>
      <c r="E145" s="3">
        <v>10603</v>
      </c>
      <c r="F145" s="3">
        <v>31811</v>
      </c>
      <c r="G145" s="3">
        <v>265097</v>
      </c>
      <c r="H145" s="3">
        <v>21207</v>
      </c>
      <c r="K145">
        <v>115.93958333333333</v>
      </c>
      <c r="L145">
        <v>328718</v>
      </c>
      <c r="M145">
        <v>72.317959999999999</v>
      </c>
      <c r="O145">
        <v>188.25754333333333</v>
      </c>
      <c r="P145" s="3">
        <v>245</v>
      </c>
    </row>
    <row r="146" spans="1:16" x14ac:dyDescent="0.15">
      <c r="A146" t="s">
        <v>244</v>
      </c>
      <c r="B146">
        <v>18</v>
      </c>
      <c r="C146" s="3">
        <v>150053</v>
      </c>
      <c r="D146" s="30" t="str">
        <f t="shared" si="2"/>
        <v>1D17H40M53S</v>
      </c>
      <c r="E146" s="3">
        <v>15089</v>
      </c>
      <c r="F146" s="3">
        <v>45269</v>
      </c>
      <c r="G146" s="3">
        <v>377248</v>
      </c>
      <c r="H146" s="3">
        <v>30179</v>
      </c>
      <c r="K146">
        <v>164.98883101851851</v>
      </c>
      <c r="L146">
        <v>467785</v>
      </c>
      <c r="M146">
        <v>102.9127</v>
      </c>
      <c r="O146">
        <v>267.90153101851854</v>
      </c>
      <c r="P146" s="3">
        <v>349</v>
      </c>
    </row>
    <row r="147" spans="1:16" x14ac:dyDescent="0.15">
      <c r="A147" t="s">
        <v>244</v>
      </c>
      <c r="B147">
        <v>19</v>
      </c>
      <c r="C147" s="3">
        <v>213532</v>
      </c>
      <c r="D147" s="30" t="str">
        <f t="shared" si="2"/>
        <v>2D11H18M52S</v>
      </c>
      <c r="E147" s="3">
        <v>21473</v>
      </c>
      <c r="F147" s="3">
        <v>64420</v>
      </c>
      <c r="G147" s="3">
        <v>536841</v>
      </c>
      <c r="H147" s="3">
        <v>42947</v>
      </c>
      <c r="K147">
        <v>234.78634259259258</v>
      </c>
      <c r="L147">
        <v>665681</v>
      </c>
      <c r="M147">
        <v>126.47939000000001</v>
      </c>
      <c r="O147">
        <v>361.2657325925926</v>
      </c>
      <c r="P147" s="3">
        <v>470</v>
      </c>
    </row>
    <row r="148" spans="1:16" x14ac:dyDescent="0.15">
      <c r="A148" t="s">
        <v>244</v>
      </c>
      <c r="B148">
        <v>20</v>
      </c>
      <c r="C148" s="3">
        <v>303866</v>
      </c>
      <c r="D148" s="30" t="str">
        <f t="shared" si="2"/>
        <v>3D12H24M26S</v>
      </c>
      <c r="E148" s="3">
        <v>30558</v>
      </c>
      <c r="F148" s="3">
        <v>91674</v>
      </c>
      <c r="G148" s="3">
        <v>763950</v>
      </c>
      <c r="H148" s="3">
        <v>61116</v>
      </c>
      <c r="J148" t="s">
        <v>63</v>
      </c>
      <c r="K148">
        <v>295.42527777777775</v>
      </c>
      <c r="L148">
        <v>947298</v>
      </c>
      <c r="M148">
        <v>179.98662000000002</v>
      </c>
      <c r="N148">
        <v>40</v>
      </c>
      <c r="O148">
        <v>515.41189777777777</v>
      </c>
      <c r="P148" s="3">
        <v>671</v>
      </c>
    </row>
    <row r="149" spans="1:16" x14ac:dyDescent="0.15">
      <c r="A149" t="s">
        <v>245</v>
      </c>
      <c r="B149">
        <v>0</v>
      </c>
      <c r="D149" s="30" t="str">
        <f t="shared" si="2"/>
        <v>0S</v>
      </c>
      <c r="K149">
        <v>0</v>
      </c>
      <c r="L149">
        <v>0</v>
      </c>
      <c r="M149">
        <v>0</v>
      </c>
      <c r="O149">
        <v>0</v>
      </c>
      <c r="P149" s="3">
        <v>0</v>
      </c>
    </row>
    <row r="150" spans="1:16" x14ac:dyDescent="0.15">
      <c r="A150" t="s">
        <v>245</v>
      </c>
      <c r="B150">
        <v>1</v>
      </c>
      <c r="C150" s="3">
        <v>37</v>
      </c>
      <c r="D150" s="30" t="str">
        <f t="shared" si="2"/>
        <v>37S</v>
      </c>
      <c r="E150" s="3">
        <v>93</v>
      </c>
      <c r="F150" s="3">
        <v>223</v>
      </c>
      <c r="G150" s="3">
        <v>744</v>
      </c>
      <c r="H150" s="3">
        <v>37</v>
      </c>
      <c r="K150">
        <v>0.6166666666666667</v>
      </c>
      <c r="L150">
        <v>1097</v>
      </c>
      <c r="M150">
        <v>0.27424999999999999</v>
      </c>
      <c r="O150">
        <v>0.89091666666666669</v>
      </c>
      <c r="P150" s="3">
        <v>2</v>
      </c>
    </row>
    <row r="151" spans="1:16" x14ac:dyDescent="0.15">
      <c r="A151" t="s">
        <v>245</v>
      </c>
      <c r="B151">
        <v>2</v>
      </c>
      <c r="C151" s="3">
        <v>52</v>
      </c>
      <c r="D151" s="30" t="str">
        <f t="shared" si="2"/>
        <v>52S</v>
      </c>
      <c r="E151" s="3">
        <v>130</v>
      </c>
      <c r="F151" s="3">
        <v>313</v>
      </c>
      <c r="G151" s="3">
        <v>1046</v>
      </c>
      <c r="H151" s="3">
        <v>52</v>
      </c>
      <c r="K151">
        <v>0.8666666666666667</v>
      </c>
      <c r="L151">
        <v>1541</v>
      </c>
      <c r="M151">
        <v>0.38524999999999998</v>
      </c>
      <c r="O151">
        <v>1.2519166666666668</v>
      </c>
      <c r="P151" s="3">
        <v>2</v>
      </c>
    </row>
    <row r="152" spans="1:16" x14ac:dyDescent="0.15">
      <c r="A152" t="s">
        <v>245</v>
      </c>
      <c r="B152">
        <v>3</v>
      </c>
      <c r="C152" s="3">
        <v>75</v>
      </c>
      <c r="D152" s="30" t="str">
        <f t="shared" si="2"/>
        <v>1M15S</v>
      </c>
      <c r="E152" s="3">
        <v>188</v>
      </c>
      <c r="F152" s="3">
        <v>452</v>
      </c>
      <c r="G152" s="3">
        <v>1508</v>
      </c>
      <c r="H152" s="3">
        <v>75</v>
      </c>
      <c r="K152">
        <v>1.25</v>
      </c>
      <c r="L152">
        <v>2223</v>
      </c>
      <c r="M152">
        <v>0.55574999999999997</v>
      </c>
      <c r="O152">
        <v>1.80575</v>
      </c>
      <c r="P152" s="3">
        <v>3</v>
      </c>
    </row>
    <row r="153" spans="1:16" x14ac:dyDescent="0.15">
      <c r="A153" t="s">
        <v>245</v>
      </c>
      <c r="B153">
        <v>4</v>
      </c>
      <c r="C153" s="3">
        <v>107</v>
      </c>
      <c r="D153" s="30" t="str">
        <f t="shared" si="2"/>
        <v>1M47S</v>
      </c>
      <c r="E153" s="3">
        <v>269</v>
      </c>
      <c r="F153" s="3">
        <v>645</v>
      </c>
      <c r="G153" s="3">
        <v>2152</v>
      </c>
      <c r="H153" s="3">
        <v>107</v>
      </c>
      <c r="K153">
        <v>1.7833333333333334</v>
      </c>
      <c r="L153">
        <v>3173</v>
      </c>
      <c r="M153">
        <v>0.79325000000000001</v>
      </c>
      <c r="O153">
        <v>2.5765833333333337</v>
      </c>
      <c r="P153" s="3">
        <v>4</v>
      </c>
    </row>
    <row r="154" spans="1:16" x14ac:dyDescent="0.15">
      <c r="A154" t="s">
        <v>245</v>
      </c>
      <c r="B154">
        <v>5</v>
      </c>
      <c r="C154" s="3">
        <v>152</v>
      </c>
      <c r="D154" s="30" t="str">
        <f t="shared" si="2"/>
        <v>2M32S</v>
      </c>
      <c r="E154" s="3">
        <v>382</v>
      </c>
      <c r="F154" s="3">
        <v>917</v>
      </c>
      <c r="G154" s="3">
        <v>3057</v>
      </c>
      <c r="H154" s="3">
        <v>152</v>
      </c>
      <c r="K154">
        <v>2.5333333333333332</v>
      </c>
      <c r="L154">
        <v>4508</v>
      </c>
      <c r="M154">
        <v>1.127</v>
      </c>
      <c r="O154">
        <v>3.660333333333333</v>
      </c>
      <c r="P154" s="3">
        <v>5</v>
      </c>
    </row>
    <row r="155" spans="1:16" x14ac:dyDescent="0.15">
      <c r="A155" t="s">
        <v>245</v>
      </c>
      <c r="B155">
        <v>6</v>
      </c>
      <c r="C155" s="3">
        <v>217</v>
      </c>
      <c r="D155" s="30" t="str">
        <f t="shared" si="2"/>
        <v>3M37S</v>
      </c>
      <c r="E155" s="3">
        <v>545</v>
      </c>
      <c r="F155" s="3">
        <v>1309</v>
      </c>
      <c r="G155" s="3">
        <v>4365</v>
      </c>
      <c r="H155" s="3">
        <v>218</v>
      </c>
      <c r="K155">
        <v>3.6166666666666667</v>
      </c>
      <c r="L155">
        <v>6437</v>
      </c>
      <c r="M155">
        <v>1.6092500000000001</v>
      </c>
      <c r="O155">
        <v>5.2259166666666665</v>
      </c>
      <c r="P155" s="3">
        <v>6</v>
      </c>
    </row>
    <row r="156" spans="1:16" x14ac:dyDescent="0.15">
      <c r="A156" t="s">
        <v>245</v>
      </c>
      <c r="B156">
        <v>7</v>
      </c>
      <c r="C156" s="3">
        <v>309</v>
      </c>
      <c r="D156" s="30" t="str">
        <f t="shared" si="2"/>
        <v>5M9S</v>
      </c>
      <c r="E156" s="3">
        <v>776</v>
      </c>
      <c r="F156" s="3">
        <v>1864</v>
      </c>
      <c r="G156" s="3">
        <v>6215</v>
      </c>
      <c r="H156" s="3">
        <v>310</v>
      </c>
      <c r="K156">
        <v>3.09</v>
      </c>
      <c r="L156">
        <v>9165</v>
      </c>
      <c r="M156">
        <v>2.2912500000000002</v>
      </c>
      <c r="O156">
        <v>5.3812499999999996</v>
      </c>
      <c r="P156" s="3">
        <v>7</v>
      </c>
    </row>
    <row r="157" spans="1:16" x14ac:dyDescent="0.15">
      <c r="A157" t="s">
        <v>245</v>
      </c>
      <c r="B157">
        <v>8</v>
      </c>
      <c r="C157" s="3">
        <v>440</v>
      </c>
      <c r="D157" s="30" t="str">
        <f t="shared" si="2"/>
        <v>7M20S</v>
      </c>
      <c r="E157" s="3">
        <v>1106</v>
      </c>
      <c r="F157" s="3">
        <v>2655</v>
      </c>
      <c r="G157" s="3">
        <v>8850</v>
      </c>
      <c r="H157" s="3">
        <v>442</v>
      </c>
      <c r="K157">
        <v>4.3999999999999995</v>
      </c>
      <c r="L157">
        <v>13053</v>
      </c>
      <c r="M157">
        <v>3.2632500000000002</v>
      </c>
      <c r="O157">
        <v>7.6632499999999997</v>
      </c>
      <c r="P157" s="3">
        <v>10</v>
      </c>
    </row>
    <row r="158" spans="1:16" x14ac:dyDescent="0.15">
      <c r="A158" t="s">
        <v>245</v>
      </c>
      <c r="B158">
        <v>9</v>
      </c>
      <c r="C158" s="3">
        <v>626</v>
      </c>
      <c r="D158" s="30" t="str">
        <f t="shared" si="2"/>
        <v>10M26S</v>
      </c>
      <c r="E158" s="3">
        <v>1574</v>
      </c>
      <c r="F158" s="3">
        <v>3777</v>
      </c>
      <c r="G158" s="3">
        <v>12592</v>
      </c>
      <c r="H158" s="3">
        <v>629</v>
      </c>
      <c r="K158">
        <v>6.26</v>
      </c>
      <c r="L158">
        <v>18572</v>
      </c>
      <c r="M158">
        <v>4.6429999999999998</v>
      </c>
      <c r="O158">
        <v>10.902999999999999</v>
      </c>
      <c r="P158" s="3">
        <v>15</v>
      </c>
    </row>
    <row r="159" spans="1:16" x14ac:dyDescent="0.15">
      <c r="A159" t="s">
        <v>245</v>
      </c>
      <c r="B159">
        <v>10</v>
      </c>
      <c r="C159" s="3">
        <v>891</v>
      </c>
      <c r="D159" s="30" t="str">
        <f t="shared" si="2"/>
        <v>14M51S</v>
      </c>
      <c r="E159" s="3">
        <v>2240</v>
      </c>
      <c r="F159" s="3">
        <v>5376</v>
      </c>
      <c r="G159" s="3">
        <v>17922</v>
      </c>
      <c r="H159" s="3">
        <v>896</v>
      </c>
      <c r="K159">
        <v>8.91</v>
      </c>
      <c r="L159">
        <v>26434</v>
      </c>
      <c r="M159">
        <v>6.6085000000000003</v>
      </c>
      <c r="O159">
        <v>15.5185</v>
      </c>
      <c r="P159" s="3">
        <v>21</v>
      </c>
    </row>
    <row r="160" spans="1:16" x14ac:dyDescent="0.15">
      <c r="A160" t="s">
        <v>245</v>
      </c>
      <c r="B160">
        <v>11</v>
      </c>
      <c r="C160" s="3">
        <v>1268</v>
      </c>
      <c r="D160" s="30" t="str">
        <f t="shared" si="2"/>
        <v>21M8S</v>
      </c>
      <c r="E160" s="3">
        <v>3188</v>
      </c>
      <c r="F160" s="3">
        <v>7651</v>
      </c>
      <c r="G160" s="3">
        <v>25506</v>
      </c>
      <c r="H160" s="3">
        <v>1275</v>
      </c>
      <c r="K160">
        <v>7.0444444444444443</v>
      </c>
      <c r="L160">
        <v>37620</v>
      </c>
      <c r="M160">
        <v>9.4049999999999994</v>
      </c>
      <c r="O160">
        <v>16.449444444444445</v>
      </c>
      <c r="P160" s="3">
        <v>22</v>
      </c>
    </row>
    <row r="161" spans="1:16" x14ac:dyDescent="0.15">
      <c r="A161" t="s">
        <v>245</v>
      </c>
      <c r="B161">
        <v>12</v>
      </c>
      <c r="C161" s="3">
        <v>1804</v>
      </c>
      <c r="D161" s="30" t="str">
        <f t="shared" si="2"/>
        <v>30M4S</v>
      </c>
      <c r="E161" s="3">
        <v>4536</v>
      </c>
      <c r="F161" s="3">
        <v>10886</v>
      </c>
      <c r="G161" s="3">
        <v>36288</v>
      </c>
      <c r="H161" s="3">
        <v>1814</v>
      </c>
      <c r="K161">
        <v>10.022222222222222</v>
      </c>
      <c r="L161">
        <v>53524</v>
      </c>
      <c r="M161">
        <v>13.381</v>
      </c>
      <c r="O161">
        <v>23.403222222222222</v>
      </c>
      <c r="P161" s="3">
        <v>31</v>
      </c>
    </row>
    <row r="162" spans="1:16" x14ac:dyDescent="0.15">
      <c r="A162" t="s">
        <v>245</v>
      </c>
      <c r="B162">
        <v>13</v>
      </c>
      <c r="C162" s="3">
        <v>2568</v>
      </c>
      <c r="D162" s="30" t="str">
        <f t="shared" si="2"/>
        <v>42M48S</v>
      </c>
      <c r="E162" s="3">
        <v>6457</v>
      </c>
      <c r="F162" s="3">
        <v>15496</v>
      </c>
      <c r="G162" s="3">
        <v>51656</v>
      </c>
      <c r="H162" s="3">
        <v>2582</v>
      </c>
      <c r="K162">
        <v>14.266666666666667</v>
      </c>
      <c r="L162">
        <v>76191</v>
      </c>
      <c r="M162">
        <v>19.047750000000001</v>
      </c>
      <c r="O162">
        <v>33.314416666666666</v>
      </c>
      <c r="P162" s="3">
        <v>44</v>
      </c>
    </row>
    <row r="163" spans="1:16" x14ac:dyDescent="0.15">
      <c r="A163" t="s">
        <v>245</v>
      </c>
      <c r="B163">
        <v>14</v>
      </c>
      <c r="C163" s="3">
        <v>3654</v>
      </c>
      <c r="D163" s="30" t="str">
        <f t="shared" si="2"/>
        <v>1H54S</v>
      </c>
      <c r="E163" s="3">
        <v>9187</v>
      </c>
      <c r="F163" s="3">
        <v>22050</v>
      </c>
      <c r="G163" s="3">
        <v>73501</v>
      </c>
      <c r="H163" s="3">
        <v>3675</v>
      </c>
      <c r="K163">
        <v>10.149999999999999</v>
      </c>
      <c r="L163">
        <v>108413</v>
      </c>
      <c r="M163">
        <v>27.103249999999999</v>
      </c>
      <c r="O163">
        <v>37.253249999999994</v>
      </c>
      <c r="P163" s="3">
        <v>49</v>
      </c>
    </row>
    <row r="164" spans="1:16" x14ac:dyDescent="0.15">
      <c r="A164" t="s">
        <v>245</v>
      </c>
      <c r="B164">
        <v>15</v>
      </c>
      <c r="C164" s="3">
        <v>5201</v>
      </c>
      <c r="D164" s="30" t="str">
        <f t="shared" si="2"/>
        <v>1H26M41S</v>
      </c>
      <c r="E164" s="3">
        <v>13077</v>
      </c>
      <c r="F164" s="3">
        <v>31386</v>
      </c>
      <c r="G164" s="3">
        <v>104620</v>
      </c>
      <c r="H164" s="3">
        <v>5231</v>
      </c>
      <c r="K164">
        <v>14.447222222222223</v>
      </c>
      <c r="L164">
        <v>154314</v>
      </c>
      <c r="M164">
        <v>38.578499999999998</v>
      </c>
      <c r="O164">
        <v>53.025722222222221</v>
      </c>
      <c r="P164" s="3">
        <v>69</v>
      </c>
    </row>
    <row r="165" spans="1:16" x14ac:dyDescent="0.15">
      <c r="A165" t="s">
        <v>245</v>
      </c>
      <c r="B165">
        <v>16</v>
      </c>
      <c r="C165" s="3">
        <v>7401</v>
      </c>
      <c r="D165" s="30" t="str">
        <f t="shared" si="2"/>
        <v>2H3M21S</v>
      </c>
      <c r="E165" s="3">
        <v>18609</v>
      </c>
      <c r="F165" s="3">
        <v>44662</v>
      </c>
      <c r="G165" s="3">
        <v>148874</v>
      </c>
      <c r="H165" s="3">
        <v>7443</v>
      </c>
      <c r="K165">
        <v>20.55833333333333</v>
      </c>
      <c r="L165">
        <v>219588</v>
      </c>
      <c r="M165">
        <v>54.896999999999998</v>
      </c>
      <c r="O165">
        <v>75.455333333333328</v>
      </c>
      <c r="P165" s="3">
        <v>99</v>
      </c>
    </row>
    <row r="166" spans="1:16" x14ac:dyDescent="0.15">
      <c r="A166" t="s">
        <v>245</v>
      </c>
      <c r="B166">
        <v>17</v>
      </c>
      <c r="C166" s="3">
        <v>10532</v>
      </c>
      <c r="D166" s="30" t="str">
        <f t="shared" si="2"/>
        <v>2H55M32S</v>
      </c>
      <c r="E166" s="3">
        <v>26481</v>
      </c>
      <c r="F166" s="3">
        <v>63556</v>
      </c>
      <c r="G166" s="3">
        <v>211855</v>
      </c>
      <c r="H166" s="3">
        <v>10592</v>
      </c>
      <c r="K166">
        <v>17.553333333333335</v>
      </c>
      <c r="L166">
        <v>312484</v>
      </c>
      <c r="M166">
        <v>68.746480000000005</v>
      </c>
      <c r="O166">
        <v>86.299813333333333</v>
      </c>
      <c r="P166" s="3">
        <v>113</v>
      </c>
    </row>
    <row r="167" spans="1:16" x14ac:dyDescent="0.15">
      <c r="A167" t="s">
        <v>245</v>
      </c>
      <c r="B167">
        <v>18</v>
      </c>
      <c r="C167" s="3">
        <v>14988</v>
      </c>
      <c r="D167" s="30" t="str">
        <f t="shared" si="2"/>
        <v>4H9M48S</v>
      </c>
      <c r="E167" s="3">
        <v>37686</v>
      </c>
      <c r="F167" s="3">
        <v>90446</v>
      </c>
      <c r="G167" s="3">
        <v>301489</v>
      </c>
      <c r="H167" s="3">
        <v>15074</v>
      </c>
      <c r="K167">
        <v>24.98</v>
      </c>
      <c r="L167">
        <v>444695</v>
      </c>
      <c r="M167">
        <v>97.832900000000009</v>
      </c>
      <c r="O167">
        <v>122.81290000000001</v>
      </c>
      <c r="P167" s="3">
        <v>160</v>
      </c>
    </row>
    <row r="168" spans="1:16" x14ac:dyDescent="0.15">
      <c r="A168" t="s">
        <v>245</v>
      </c>
      <c r="B168">
        <v>19</v>
      </c>
      <c r="C168" s="3">
        <v>21328</v>
      </c>
      <c r="D168" s="30" t="str">
        <f t="shared" si="2"/>
        <v>5H55M28S</v>
      </c>
      <c r="E168" s="3">
        <v>53627</v>
      </c>
      <c r="F168" s="3">
        <v>128706</v>
      </c>
      <c r="G168" s="3">
        <v>429021</v>
      </c>
      <c r="H168" s="3">
        <v>21451</v>
      </c>
      <c r="K168">
        <v>35.546666666666667</v>
      </c>
      <c r="L168">
        <v>632805</v>
      </c>
      <c r="M168">
        <v>120.23295</v>
      </c>
      <c r="O168">
        <v>155.77961666666667</v>
      </c>
      <c r="P168" s="3">
        <v>203</v>
      </c>
    </row>
    <row r="169" spans="1:16" x14ac:dyDescent="0.15">
      <c r="A169" t="s">
        <v>245</v>
      </c>
      <c r="B169">
        <v>20</v>
      </c>
      <c r="C169" s="3">
        <v>30351</v>
      </c>
      <c r="D169" s="30" t="str">
        <f t="shared" si="2"/>
        <v>8H25M51S</v>
      </c>
      <c r="E169" s="3">
        <v>76315</v>
      </c>
      <c r="F169" s="3">
        <v>183156</v>
      </c>
      <c r="G169" s="3">
        <v>610523</v>
      </c>
      <c r="H169" s="3">
        <v>30526</v>
      </c>
      <c r="J169" t="s">
        <v>63</v>
      </c>
      <c r="K169">
        <v>42.154166666666669</v>
      </c>
      <c r="L169">
        <v>900520</v>
      </c>
      <c r="M169">
        <v>171.09880000000001</v>
      </c>
      <c r="N169">
        <v>40</v>
      </c>
      <c r="O169">
        <v>253.25296666666668</v>
      </c>
      <c r="P169" s="3">
        <v>330</v>
      </c>
    </row>
    <row r="170" spans="1:16" x14ac:dyDescent="0.15">
      <c r="A170" t="s">
        <v>246</v>
      </c>
      <c r="B170">
        <v>0</v>
      </c>
      <c r="D170" s="30" t="str">
        <f t="shared" si="2"/>
        <v>0S</v>
      </c>
      <c r="K170">
        <v>0</v>
      </c>
      <c r="L170">
        <v>0</v>
      </c>
      <c r="M170">
        <v>0</v>
      </c>
      <c r="O170">
        <v>0</v>
      </c>
      <c r="P170" s="3">
        <v>0</v>
      </c>
    </row>
    <row r="171" spans="1:16" x14ac:dyDescent="0.15">
      <c r="A171" t="s">
        <v>246</v>
      </c>
      <c r="B171">
        <v>1</v>
      </c>
      <c r="C171" s="3">
        <v>5</v>
      </c>
      <c r="D171" s="30" t="str">
        <f t="shared" si="2"/>
        <v>5S</v>
      </c>
      <c r="E171" s="3">
        <v>22</v>
      </c>
      <c r="F171" s="3">
        <v>226</v>
      </c>
      <c r="G171" s="3">
        <v>45</v>
      </c>
      <c r="H171" s="3">
        <v>45</v>
      </c>
      <c r="K171">
        <v>8.3333333333333329E-2</v>
      </c>
      <c r="L171">
        <v>338</v>
      </c>
      <c r="M171">
        <v>8.4500000000000006E-2</v>
      </c>
      <c r="O171">
        <v>0.16783333333333333</v>
      </c>
      <c r="P171" s="3">
        <v>1</v>
      </c>
    </row>
    <row r="172" spans="1:16" x14ac:dyDescent="0.15">
      <c r="A172" t="s">
        <v>246</v>
      </c>
      <c r="B172">
        <v>2</v>
      </c>
      <c r="C172" s="3">
        <v>15</v>
      </c>
      <c r="D172" s="30" t="str">
        <f t="shared" si="2"/>
        <v>15S</v>
      </c>
      <c r="E172" s="3">
        <v>67</v>
      </c>
      <c r="F172" s="3">
        <v>679</v>
      </c>
      <c r="G172" s="3">
        <v>135</v>
      </c>
      <c r="H172" s="3">
        <v>135</v>
      </c>
      <c r="K172">
        <v>0.25</v>
      </c>
      <c r="L172">
        <v>1016</v>
      </c>
      <c r="M172">
        <v>0.254</v>
      </c>
      <c r="O172">
        <v>0.504</v>
      </c>
      <c r="P172" s="3">
        <v>2</v>
      </c>
    </row>
    <row r="173" spans="1:16" x14ac:dyDescent="0.15">
      <c r="A173" t="s">
        <v>246</v>
      </c>
      <c r="B173">
        <v>3</v>
      </c>
      <c r="C173" s="3">
        <v>60</v>
      </c>
      <c r="D173" s="30" t="str">
        <f t="shared" si="2"/>
        <v>1M0S</v>
      </c>
      <c r="E173" s="3">
        <v>271</v>
      </c>
      <c r="F173" s="3">
        <v>2717</v>
      </c>
      <c r="G173" s="3">
        <v>543</v>
      </c>
      <c r="H173" s="3">
        <v>543</v>
      </c>
      <c r="K173">
        <v>1</v>
      </c>
      <c r="L173">
        <v>4074</v>
      </c>
      <c r="M173">
        <v>1.0185</v>
      </c>
      <c r="O173">
        <v>2.0185</v>
      </c>
      <c r="P173" s="3">
        <v>3</v>
      </c>
    </row>
    <row r="174" spans="1:16" x14ac:dyDescent="0.15">
      <c r="A174" t="s">
        <v>246</v>
      </c>
      <c r="B174">
        <v>4</v>
      </c>
      <c r="C174" s="3">
        <v>60</v>
      </c>
      <c r="D174" s="30" t="str">
        <f t="shared" si="2"/>
        <v>1M0S</v>
      </c>
      <c r="E174" s="3">
        <v>271</v>
      </c>
      <c r="F174" s="3">
        <v>2717</v>
      </c>
      <c r="G174" s="3">
        <v>543</v>
      </c>
      <c r="H174" s="3">
        <v>543</v>
      </c>
      <c r="K174">
        <v>1</v>
      </c>
      <c r="L174">
        <v>4074</v>
      </c>
      <c r="M174">
        <v>1.0185</v>
      </c>
      <c r="O174">
        <v>2.0185</v>
      </c>
      <c r="P174" s="3">
        <v>3</v>
      </c>
    </row>
    <row r="175" spans="1:16" x14ac:dyDescent="0.15">
      <c r="A175" t="s">
        <v>246</v>
      </c>
      <c r="B175">
        <v>5</v>
      </c>
      <c r="C175" s="3">
        <v>60</v>
      </c>
      <c r="D175" s="30" t="str">
        <f t="shared" si="2"/>
        <v>1M0S</v>
      </c>
      <c r="E175" s="3">
        <v>271</v>
      </c>
      <c r="F175" s="3">
        <v>2717</v>
      </c>
      <c r="G175" s="3">
        <v>543</v>
      </c>
      <c r="H175" s="3">
        <v>543</v>
      </c>
      <c r="K175">
        <v>1</v>
      </c>
      <c r="L175">
        <v>4074</v>
      </c>
      <c r="M175">
        <v>1.0185</v>
      </c>
      <c r="O175">
        <v>2.0185</v>
      </c>
      <c r="P175" s="3">
        <v>3</v>
      </c>
    </row>
    <row r="176" spans="1:16" x14ac:dyDescent="0.15">
      <c r="A176" t="s">
        <v>246</v>
      </c>
      <c r="B176">
        <v>6</v>
      </c>
      <c r="C176" s="3">
        <v>60</v>
      </c>
      <c r="D176" s="30" t="str">
        <f t="shared" si="2"/>
        <v>1M0S</v>
      </c>
      <c r="E176" s="3">
        <v>271</v>
      </c>
      <c r="F176" s="3">
        <v>2717</v>
      </c>
      <c r="G176" s="3">
        <v>543</v>
      </c>
      <c r="H176" s="3">
        <v>543</v>
      </c>
      <c r="K176">
        <v>1</v>
      </c>
      <c r="L176">
        <v>4074</v>
      </c>
      <c r="M176">
        <v>1.0185</v>
      </c>
      <c r="O176">
        <v>2.0185</v>
      </c>
      <c r="P176" s="3">
        <v>3</v>
      </c>
    </row>
    <row r="177" spans="1:16" x14ac:dyDescent="0.15">
      <c r="A177" t="s">
        <v>246</v>
      </c>
      <c r="B177">
        <v>7</v>
      </c>
      <c r="C177" s="3">
        <v>60</v>
      </c>
      <c r="D177" s="30" t="str">
        <f t="shared" si="2"/>
        <v>1M0S</v>
      </c>
      <c r="E177" s="3">
        <v>271</v>
      </c>
      <c r="F177" s="3">
        <v>2717</v>
      </c>
      <c r="G177" s="3">
        <v>543</v>
      </c>
      <c r="H177" s="3">
        <v>543</v>
      </c>
      <c r="K177">
        <v>1</v>
      </c>
      <c r="L177">
        <v>4074</v>
      </c>
      <c r="M177">
        <v>1.0185</v>
      </c>
      <c r="O177">
        <v>2.0185</v>
      </c>
      <c r="P177" s="3">
        <v>3</v>
      </c>
    </row>
    <row r="178" spans="1:16" x14ac:dyDescent="0.15">
      <c r="A178" t="s">
        <v>246</v>
      </c>
      <c r="B178">
        <v>8</v>
      </c>
      <c r="C178" s="3">
        <v>60</v>
      </c>
      <c r="D178" s="30" t="str">
        <f t="shared" si="2"/>
        <v>1M0S</v>
      </c>
      <c r="E178" s="3">
        <v>271</v>
      </c>
      <c r="F178" s="3">
        <v>2717</v>
      </c>
      <c r="G178" s="3">
        <v>543</v>
      </c>
      <c r="H178" s="3">
        <v>543</v>
      </c>
      <c r="K178">
        <v>1</v>
      </c>
      <c r="L178">
        <v>4074</v>
      </c>
      <c r="M178">
        <v>1.0185</v>
      </c>
      <c r="O178">
        <v>2.0185</v>
      </c>
      <c r="P178" s="3">
        <v>3</v>
      </c>
    </row>
    <row r="179" spans="1:16" x14ac:dyDescent="0.15">
      <c r="A179" t="s">
        <v>246</v>
      </c>
      <c r="B179">
        <v>9</v>
      </c>
      <c r="C179" s="3">
        <v>90</v>
      </c>
      <c r="D179" s="30" t="str">
        <f t="shared" si="2"/>
        <v>1M30S</v>
      </c>
      <c r="E179" s="3">
        <v>407</v>
      </c>
      <c r="F179" s="3">
        <v>4076</v>
      </c>
      <c r="G179" s="3">
        <v>815</v>
      </c>
      <c r="H179" s="3">
        <v>815</v>
      </c>
      <c r="K179">
        <v>1.5</v>
      </c>
      <c r="L179">
        <v>6113</v>
      </c>
      <c r="M179">
        <v>1.5282500000000001</v>
      </c>
      <c r="O179">
        <v>3.0282499999999999</v>
      </c>
      <c r="P179" s="3">
        <v>4</v>
      </c>
    </row>
    <row r="180" spans="1:16" x14ac:dyDescent="0.15">
      <c r="A180" t="s">
        <v>246</v>
      </c>
      <c r="B180">
        <v>10</v>
      </c>
      <c r="C180" s="3">
        <v>120</v>
      </c>
      <c r="D180" s="30" t="str">
        <f t="shared" si="2"/>
        <v>2M0S</v>
      </c>
      <c r="E180" s="3">
        <v>543</v>
      </c>
      <c r="F180" s="3">
        <v>5434</v>
      </c>
      <c r="G180" s="3">
        <v>1086</v>
      </c>
      <c r="H180" s="3">
        <v>1086</v>
      </c>
      <c r="K180">
        <v>2</v>
      </c>
      <c r="L180">
        <v>8149</v>
      </c>
      <c r="M180">
        <v>2.0372500000000002</v>
      </c>
      <c r="O180">
        <v>4.0372500000000002</v>
      </c>
      <c r="P180" s="3">
        <v>6</v>
      </c>
    </row>
    <row r="181" spans="1:16" x14ac:dyDescent="0.15">
      <c r="A181" t="s">
        <v>246</v>
      </c>
      <c r="B181">
        <v>11</v>
      </c>
      <c r="C181" s="3">
        <v>150</v>
      </c>
      <c r="D181" s="30" t="str">
        <f t="shared" si="2"/>
        <v>2M30S</v>
      </c>
      <c r="E181" s="3">
        <v>679</v>
      </c>
      <c r="F181" s="3">
        <v>6793</v>
      </c>
      <c r="G181" s="3">
        <v>1358</v>
      </c>
      <c r="H181" s="3">
        <v>1358</v>
      </c>
      <c r="K181">
        <v>2.5</v>
      </c>
      <c r="L181">
        <v>10188</v>
      </c>
      <c r="M181">
        <v>2.5470000000000002</v>
      </c>
      <c r="O181">
        <v>5.0470000000000006</v>
      </c>
      <c r="P181" s="3">
        <v>7</v>
      </c>
    </row>
    <row r="182" spans="1:16" x14ac:dyDescent="0.15">
      <c r="A182" t="s">
        <v>246</v>
      </c>
      <c r="B182">
        <v>12</v>
      </c>
      <c r="C182" s="3">
        <v>200</v>
      </c>
      <c r="D182" s="30" t="str">
        <f t="shared" si="2"/>
        <v>3M20S</v>
      </c>
      <c r="E182" s="3">
        <v>905</v>
      </c>
      <c r="F182" s="3">
        <v>9057</v>
      </c>
      <c r="G182" s="3">
        <v>1811</v>
      </c>
      <c r="H182" s="3">
        <v>1811</v>
      </c>
      <c r="K182">
        <v>3.3333333333333335</v>
      </c>
      <c r="L182">
        <v>13584</v>
      </c>
      <c r="M182">
        <v>3.3959999999999999</v>
      </c>
      <c r="O182">
        <v>6.7293333333333329</v>
      </c>
      <c r="P182" s="3">
        <v>9</v>
      </c>
    </row>
    <row r="183" spans="1:16" x14ac:dyDescent="0.15">
      <c r="A183" t="s">
        <v>246</v>
      </c>
      <c r="B183">
        <v>13</v>
      </c>
      <c r="C183" s="3">
        <v>300</v>
      </c>
      <c r="D183" s="30" t="str">
        <f t="shared" si="2"/>
        <v>5M0S</v>
      </c>
      <c r="E183" s="3">
        <v>1358</v>
      </c>
      <c r="F183" s="3">
        <v>13586</v>
      </c>
      <c r="G183" s="3">
        <v>2717</v>
      </c>
      <c r="H183" s="3">
        <v>2717</v>
      </c>
      <c r="K183">
        <v>5</v>
      </c>
      <c r="L183">
        <v>20378</v>
      </c>
      <c r="M183">
        <v>5.0945</v>
      </c>
      <c r="O183">
        <v>10.0945</v>
      </c>
      <c r="P183" s="3">
        <v>14</v>
      </c>
    </row>
    <row r="184" spans="1:16" x14ac:dyDescent="0.15">
      <c r="A184" t="s">
        <v>246</v>
      </c>
      <c r="B184">
        <v>14</v>
      </c>
      <c r="C184" s="3">
        <v>404</v>
      </c>
      <c r="D184" s="30" t="str">
        <f t="shared" si="2"/>
        <v>6M44S</v>
      </c>
      <c r="E184" s="3">
        <v>1829</v>
      </c>
      <c r="F184" s="3">
        <v>18296</v>
      </c>
      <c r="G184" s="3">
        <v>3659</v>
      </c>
      <c r="H184" s="3">
        <v>3659</v>
      </c>
      <c r="K184">
        <v>4.04</v>
      </c>
      <c r="L184">
        <v>27443</v>
      </c>
      <c r="M184">
        <v>6.8607500000000003</v>
      </c>
      <c r="O184">
        <v>10.90075</v>
      </c>
      <c r="P184" s="3">
        <v>15</v>
      </c>
    </row>
    <row r="185" spans="1:16" x14ac:dyDescent="0.15">
      <c r="A185" t="s">
        <v>246</v>
      </c>
      <c r="B185">
        <v>15</v>
      </c>
      <c r="C185" s="3">
        <v>575</v>
      </c>
      <c r="D185" s="30" t="str">
        <f t="shared" si="2"/>
        <v>9M35S</v>
      </c>
      <c r="E185" s="3">
        <v>2604</v>
      </c>
      <c r="F185" s="3">
        <v>26041</v>
      </c>
      <c r="G185" s="3">
        <v>5208</v>
      </c>
      <c r="H185" s="3">
        <v>5208</v>
      </c>
      <c r="K185">
        <v>5.75</v>
      </c>
      <c r="L185">
        <v>39061</v>
      </c>
      <c r="M185">
        <v>9.76525</v>
      </c>
      <c r="O185">
        <v>15.51525</v>
      </c>
      <c r="P185" s="3">
        <v>21</v>
      </c>
    </row>
    <row r="186" spans="1:16" x14ac:dyDescent="0.15">
      <c r="A186" t="s">
        <v>246</v>
      </c>
      <c r="B186">
        <v>16</v>
      </c>
      <c r="C186" s="3">
        <v>819</v>
      </c>
      <c r="D186" s="30" t="str">
        <f t="shared" si="2"/>
        <v>13M39S</v>
      </c>
      <c r="E186" s="3">
        <v>3709</v>
      </c>
      <c r="F186" s="3">
        <v>37092</v>
      </c>
      <c r="G186" s="3">
        <v>7418</v>
      </c>
      <c r="H186" s="3">
        <v>7418</v>
      </c>
      <c r="K186">
        <v>8.19</v>
      </c>
      <c r="L186">
        <v>55637</v>
      </c>
      <c r="M186">
        <v>13.90925</v>
      </c>
      <c r="O186">
        <v>22.099249999999998</v>
      </c>
      <c r="P186" s="3">
        <v>29</v>
      </c>
    </row>
    <row r="187" spans="1:16" x14ac:dyDescent="0.15">
      <c r="A187" t="s">
        <v>246</v>
      </c>
      <c r="B187">
        <v>17</v>
      </c>
      <c r="C187" s="3">
        <v>1166</v>
      </c>
      <c r="D187" s="30" t="str">
        <f t="shared" si="2"/>
        <v>19M26S</v>
      </c>
      <c r="E187" s="3">
        <v>5280</v>
      </c>
      <c r="F187" s="3">
        <v>52807</v>
      </c>
      <c r="G187" s="3">
        <v>10561</v>
      </c>
      <c r="H187" s="3">
        <v>10561</v>
      </c>
      <c r="K187">
        <v>6.4777777777777779</v>
      </c>
      <c r="L187">
        <v>79209</v>
      </c>
      <c r="M187">
        <v>19.802250000000001</v>
      </c>
      <c r="O187">
        <v>26.280027777777779</v>
      </c>
      <c r="P187" s="3">
        <v>35</v>
      </c>
    </row>
    <row r="188" spans="1:16" x14ac:dyDescent="0.15">
      <c r="A188" t="s">
        <v>246</v>
      </c>
      <c r="B188">
        <v>18</v>
      </c>
      <c r="C188" s="3">
        <v>1661</v>
      </c>
      <c r="D188" s="30" t="str">
        <f t="shared" si="2"/>
        <v>27M41S</v>
      </c>
      <c r="E188" s="3">
        <v>7522</v>
      </c>
      <c r="F188" s="3">
        <v>75225</v>
      </c>
      <c r="G188" s="3">
        <v>15045</v>
      </c>
      <c r="H188" s="3">
        <v>15045</v>
      </c>
      <c r="K188">
        <v>9.2277777777777779</v>
      </c>
      <c r="L188">
        <v>112837</v>
      </c>
      <c r="M188">
        <v>28.209250000000001</v>
      </c>
      <c r="O188">
        <v>37.437027777777779</v>
      </c>
      <c r="P188" s="3">
        <v>49</v>
      </c>
    </row>
    <row r="189" spans="1:16" x14ac:dyDescent="0.15">
      <c r="A189" t="s">
        <v>246</v>
      </c>
      <c r="B189">
        <v>19</v>
      </c>
      <c r="C189" s="3">
        <v>2365</v>
      </c>
      <c r="D189" s="30" t="str">
        <f t="shared" si="2"/>
        <v>39M25S</v>
      </c>
      <c r="E189" s="3">
        <v>10710</v>
      </c>
      <c r="F189" s="3">
        <v>107109</v>
      </c>
      <c r="G189" s="3">
        <v>21421</v>
      </c>
      <c r="H189" s="3">
        <v>21421</v>
      </c>
      <c r="K189">
        <v>13.138888888888889</v>
      </c>
      <c r="L189">
        <v>160661</v>
      </c>
      <c r="M189">
        <v>40.16525</v>
      </c>
      <c r="O189">
        <v>53.304138888888886</v>
      </c>
      <c r="P189" s="3">
        <v>70</v>
      </c>
    </row>
    <row r="190" spans="1:16" x14ac:dyDescent="0.15">
      <c r="A190" t="s">
        <v>246</v>
      </c>
      <c r="B190">
        <v>20</v>
      </c>
      <c r="C190" s="3">
        <v>3367</v>
      </c>
      <c r="D190" s="30" t="str">
        <f t="shared" si="2"/>
        <v>56M7S</v>
      </c>
      <c r="E190" s="3">
        <v>15248</v>
      </c>
      <c r="F190" s="3">
        <v>152489</v>
      </c>
      <c r="G190" s="3">
        <v>30497</v>
      </c>
      <c r="H190" s="3">
        <v>30497</v>
      </c>
      <c r="J190" t="s">
        <v>63</v>
      </c>
      <c r="K190">
        <v>18.705555555555556</v>
      </c>
      <c r="L190">
        <v>228731</v>
      </c>
      <c r="M190">
        <v>57.182749999999999</v>
      </c>
      <c r="N190">
        <v>40</v>
      </c>
      <c r="O190">
        <v>115.88830555555555</v>
      </c>
      <c r="P190" s="3">
        <v>151</v>
      </c>
    </row>
    <row r="191" spans="1:16" x14ac:dyDescent="0.15">
      <c r="A191" t="s">
        <v>247</v>
      </c>
      <c r="B191">
        <v>0</v>
      </c>
      <c r="D191" s="30" t="str">
        <f t="shared" si="2"/>
        <v>0S</v>
      </c>
      <c r="K191">
        <v>0</v>
      </c>
      <c r="L191">
        <v>0</v>
      </c>
      <c r="M191">
        <v>0</v>
      </c>
      <c r="O191">
        <v>0</v>
      </c>
      <c r="P191" s="3">
        <v>0</v>
      </c>
    </row>
    <row r="192" spans="1:16" x14ac:dyDescent="0.15">
      <c r="A192" t="s">
        <v>247</v>
      </c>
      <c r="B192">
        <v>1</v>
      </c>
      <c r="C192" s="3">
        <v>51</v>
      </c>
      <c r="D192" s="30" t="str">
        <f t="shared" si="2"/>
        <v>51S</v>
      </c>
      <c r="E192" s="3">
        <v>372</v>
      </c>
      <c r="F192" s="3">
        <v>744</v>
      </c>
      <c r="G192" s="3">
        <v>297</v>
      </c>
      <c r="H192" s="3">
        <v>446</v>
      </c>
      <c r="I192" s="3">
        <v>297</v>
      </c>
      <c r="K192">
        <v>0.85</v>
      </c>
      <c r="L192">
        <v>2156</v>
      </c>
      <c r="M192">
        <v>0.53900000000000003</v>
      </c>
      <c r="O192">
        <v>1.389</v>
      </c>
      <c r="P192" s="3">
        <v>2</v>
      </c>
    </row>
    <row r="193" spans="1:16" x14ac:dyDescent="0.15">
      <c r="A193" t="s">
        <v>247</v>
      </c>
      <c r="B193">
        <v>2</v>
      </c>
      <c r="C193" s="3">
        <v>73</v>
      </c>
      <c r="D193" s="30" t="str">
        <f t="shared" si="2"/>
        <v>1M13S</v>
      </c>
      <c r="E193" s="3">
        <v>532</v>
      </c>
      <c r="F193" s="3">
        <v>1065</v>
      </c>
      <c r="G193" s="3">
        <v>426</v>
      </c>
      <c r="H193" s="3">
        <v>639</v>
      </c>
      <c r="I193" s="3">
        <v>426</v>
      </c>
      <c r="K193">
        <v>1.2166666666666666</v>
      </c>
      <c r="L193">
        <v>3088</v>
      </c>
      <c r="M193">
        <v>0.77200000000000002</v>
      </c>
      <c r="O193">
        <v>1.9886666666666666</v>
      </c>
      <c r="P193" s="3">
        <v>3</v>
      </c>
    </row>
    <row r="194" spans="1:16" x14ac:dyDescent="0.15">
      <c r="A194" t="s">
        <v>247</v>
      </c>
      <c r="B194">
        <v>3</v>
      </c>
      <c r="C194" s="3">
        <v>103</v>
      </c>
      <c r="D194" s="30" t="str">
        <f t="shared" si="2"/>
        <v>1M43S</v>
      </c>
      <c r="E194" s="3">
        <v>751</v>
      </c>
      <c r="F194" s="3">
        <v>1503</v>
      </c>
      <c r="G194" s="3">
        <v>601</v>
      </c>
      <c r="H194" s="3">
        <v>902</v>
      </c>
      <c r="I194" s="3">
        <v>601</v>
      </c>
      <c r="K194">
        <v>1.7166666666666666</v>
      </c>
      <c r="L194">
        <v>4358</v>
      </c>
      <c r="M194">
        <v>1.0894999999999999</v>
      </c>
      <c r="O194">
        <v>2.8061666666666665</v>
      </c>
      <c r="P194" s="3">
        <v>4</v>
      </c>
    </row>
    <row r="195" spans="1:16" x14ac:dyDescent="0.15">
      <c r="A195" t="s">
        <v>247</v>
      </c>
      <c r="B195">
        <v>4</v>
      </c>
      <c r="C195" s="3">
        <v>147</v>
      </c>
      <c r="D195" s="30" t="str">
        <f t="shared" ref="D195:D258" si="3">IF(INT(C195/3600/24)=0,"",INT(C195/3600/24)&amp;"D")&amp;IF(INT(MOD(C195,3600*24)/3600)=0,"",INT(MOD(C195,3600*24)/3600)&amp;"H")&amp;IF(INT(MOD(C195,3600)/60)=0,"",INT(MOD(C195,3600)/60)&amp;"M")&amp;INT(MOD(C195,60))&amp;"S"</f>
        <v>2M27S</v>
      </c>
      <c r="E195" s="3">
        <v>1073</v>
      </c>
      <c r="F195" s="3">
        <v>2146</v>
      </c>
      <c r="G195" s="3">
        <v>858</v>
      </c>
      <c r="H195" s="3">
        <v>1287</v>
      </c>
      <c r="I195" s="3">
        <v>858</v>
      </c>
      <c r="K195">
        <v>2.4500000000000002</v>
      </c>
      <c r="L195">
        <v>6222</v>
      </c>
      <c r="M195">
        <v>1.5555000000000001</v>
      </c>
      <c r="O195">
        <v>4.0055000000000005</v>
      </c>
      <c r="P195" s="3">
        <v>6</v>
      </c>
    </row>
    <row r="196" spans="1:16" x14ac:dyDescent="0.15">
      <c r="A196" t="s">
        <v>247</v>
      </c>
      <c r="B196">
        <v>5</v>
      </c>
      <c r="C196" s="3">
        <v>210</v>
      </c>
      <c r="D196" s="30" t="str">
        <f t="shared" si="3"/>
        <v>3M30S</v>
      </c>
      <c r="E196" s="3">
        <v>1532</v>
      </c>
      <c r="F196" s="3">
        <v>3065</v>
      </c>
      <c r="G196" s="3">
        <v>1226</v>
      </c>
      <c r="H196" s="3">
        <v>1839</v>
      </c>
      <c r="I196" s="3">
        <v>1226</v>
      </c>
      <c r="K196">
        <v>3.5</v>
      </c>
      <c r="L196">
        <v>8888</v>
      </c>
      <c r="M196">
        <v>2.222</v>
      </c>
      <c r="O196">
        <v>5.7219999999999995</v>
      </c>
      <c r="P196" s="3">
        <v>8</v>
      </c>
    </row>
    <row r="197" spans="1:16" x14ac:dyDescent="0.15">
      <c r="A197" t="s">
        <v>247</v>
      </c>
      <c r="B197">
        <v>6</v>
      </c>
      <c r="C197" s="3">
        <v>299</v>
      </c>
      <c r="D197" s="30" t="str">
        <f t="shared" si="3"/>
        <v>4M59S</v>
      </c>
      <c r="E197" s="3">
        <v>2182</v>
      </c>
      <c r="F197" s="3">
        <v>4365</v>
      </c>
      <c r="G197" s="3">
        <v>1746</v>
      </c>
      <c r="H197" s="3">
        <v>2619</v>
      </c>
      <c r="I197" s="3">
        <v>1746</v>
      </c>
      <c r="K197">
        <v>4.9833333333333334</v>
      </c>
      <c r="L197">
        <v>12658</v>
      </c>
      <c r="M197">
        <v>3.1644999999999999</v>
      </c>
      <c r="O197">
        <v>8.1478333333333328</v>
      </c>
      <c r="P197" s="3">
        <v>11</v>
      </c>
    </row>
    <row r="198" spans="1:16" x14ac:dyDescent="0.15">
      <c r="A198" t="s">
        <v>247</v>
      </c>
      <c r="B198">
        <v>7</v>
      </c>
      <c r="C198" s="3">
        <v>426</v>
      </c>
      <c r="D198" s="30" t="str">
        <f t="shared" si="3"/>
        <v>7M6S</v>
      </c>
      <c r="E198" s="3">
        <v>3109</v>
      </c>
      <c r="F198" s="3">
        <v>6219</v>
      </c>
      <c r="G198" s="3">
        <v>2487</v>
      </c>
      <c r="H198" s="3">
        <v>3731</v>
      </c>
      <c r="I198" s="3">
        <v>2487</v>
      </c>
      <c r="K198">
        <v>4.26</v>
      </c>
      <c r="L198">
        <v>18033</v>
      </c>
      <c r="M198">
        <v>4.5082500000000003</v>
      </c>
      <c r="O198">
        <v>8.7682500000000001</v>
      </c>
      <c r="P198" s="3">
        <v>12</v>
      </c>
    </row>
    <row r="199" spans="1:16" x14ac:dyDescent="0.15">
      <c r="A199" t="s">
        <v>247</v>
      </c>
      <c r="B199">
        <v>8</v>
      </c>
      <c r="C199" s="3">
        <v>606</v>
      </c>
      <c r="D199" s="30" t="str">
        <f t="shared" si="3"/>
        <v>10M6S</v>
      </c>
      <c r="E199" s="3">
        <v>4423</v>
      </c>
      <c r="F199" s="3">
        <v>8847</v>
      </c>
      <c r="G199" s="3">
        <v>3538</v>
      </c>
      <c r="H199" s="3">
        <v>5308</v>
      </c>
      <c r="I199" s="3">
        <v>3538</v>
      </c>
      <c r="K199">
        <v>6.0600000000000005</v>
      </c>
      <c r="L199">
        <v>25654</v>
      </c>
      <c r="M199">
        <v>6.4135</v>
      </c>
      <c r="O199">
        <v>12.473500000000001</v>
      </c>
      <c r="P199" s="3">
        <v>17</v>
      </c>
    </row>
    <row r="200" spans="1:16" x14ac:dyDescent="0.15">
      <c r="A200" t="s">
        <v>247</v>
      </c>
      <c r="B200">
        <v>9</v>
      </c>
      <c r="C200" s="3">
        <v>862</v>
      </c>
      <c r="D200" s="30" t="str">
        <f t="shared" si="3"/>
        <v>14M22S</v>
      </c>
      <c r="E200" s="3">
        <v>6292</v>
      </c>
      <c r="F200" s="3">
        <v>12584</v>
      </c>
      <c r="G200" s="3">
        <v>5033</v>
      </c>
      <c r="H200" s="3">
        <v>7550</v>
      </c>
      <c r="I200" s="3">
        <v>5033</v>
      </c>
      <c r="K200">
        <v>8.620000000000001</v>
      </c>
      <c r="L200">
        <v>36492</v>
      </c>
      <c r="M200">
        <v>9.1229999999999993</v>
      </c>
      <c r="O200">
        <v>17.743000000000002</v>
      </c>
      <c r="P200" s="3">
        <v>24</v>
      </c>
    </row>
    <row r="201" spans="1:16" x14ac:dyDescent="0.15">
      <c r="A201" t="s">
        <v>247</v>
      </c>
      <c r="B201">
        <v>10</v>
      </c>
      <c r="C201" s="3">
        <v>1227</v>
      </c>
      <c r="D201" s="30" t="str">
        <f t="shared" si="3"/>
        <v>20M27S</v>
      </c>
      <c r="E201" s="3">
        <v>8956</v>
      </c>
      <c r="F201" s="3">
        <v>17913</v>
      </c>
      <c r="G201" s="3">
        <v>7165</v>
      </c>
      <c r="H201" s="3">
        <v>10748</v>
      </c>
      <c r="I201" s="3">
        <v>7165</v>
      </c>
      <c r="K201">
        <v>6.8166666666666664</v>
      </c>
      <c r="L201">
        <v>51947</v>
      </c>
      <c r="M201">
        <v>12.986750000000001</v>
      </c>
      <c r="O201">
        <v>19.803416666666667</v>
      </c>
      <c r="P201" s="3">
        <v>26</v>
      </c>
    </row>
    <row r="202" spans="1:16" x14ac:dyDescent="0.15">
      <c r="A202" t="s">
        <v>247</v>
      </c>
      <c r="B202">
        <v>11</v>
      </c>
      <c r="C202" s="3">
        <v>1747</v>
      </c>
      <c r="D202" s="30" t="str">
        <f t="shared" si="3"/>
        <v>29M7S</v>
      </c>
      <c r="E202" s="3">
        <v>12752</v>
      </c>
      <c r="F202" s="3">
        <v>25505</v>
      </c>
      <c r="G202" s="3">
        <v>10202</v>
      </c>
      <c r="H202" s="3">
        <v>15303</v>
      </c>
      <c r="I202" s="3">
        <v>10202</v>
      </c>
      <c r="K202">
        <v>9.7055555555555557</v>
      </c>
      <c r="L202">
        <v>73964</v>
      </c>
      <c r="M202">
        <v>18.491</v>
      </c>
      <c r="O202">
        <v>28.196555555555555</v>
      </c>
      <c r="P202" s="3">
        <v>37</v>
      </c>
    </row>
    <row r="203" spans="1:16" x14ac:dyDescent="0.15">
      <c r="A203" t="s">
        <v>247</v>
      </c>
      <c r="B203">
        <v>12</v>
      </c>
      <c r="C203" s="3">
        <v>2486</v>
      </c>
      <c r="D203" s="30" t="str">
        <f t="shared" si="3"/>
        <v>41M26S</v>
      </c>
      <c r="E203" s="3">
        <v>18147</v>
      </c>
      <c r="F203" s="3">
        <v>36294</v>
      </c>
      <c r="G203" s="3">
        <v>14517</v>
      </c>
      <c r="H203" s="3">
        <v>21776</v>
      </c>
      <c r="I203" s="3">
        <v>14517</v>
      </c>
      <c r="K203">
        <v>13.811111111111112</v>
      </c>
      <c r="L203">
        <v>105251</v>
      </c>
      <c r="M203">
        <v>26.312750000000001</v>
      </c>
      <c r="O203">
        <v>40.123861111111111</v>
      </c>
      <c r="P203" s="3">
        <v>53</v>
      </c>
    </row>
    <row r="204" spans="1:16" x14ac:dyDescent="0.15">
      <c r="A204" t="s">
        <v>247</v>
      </c>
      <c r="B204">
        <v>13</v>
      </c>
      <c r="C204" s="3">
        <v>3537</v>
      </c>
      <c r="D204" s="30" t="str">
        <f t="shared" si="3"/>
        <v>58M57S</v>
      </c>
      <c r="E204" s="3">
        <v>25819</v>
      </c>
      <c r="F204" s="3">
        <v>51639</v>
      </c>
      <c r="G204" s="3">
        <v>20655</v>
      </c>
      <c r="H204" s="3">
        <v>30983</v>
      </c>
      <c r="I204" s="3">
        <v>20655</v>
      </c>
      <c r="K204">
        <v>19.650000000000002</v>
      </c>
      <c r="L204">
        <v>149751</v>
      </c>
      <c r="M204">
        <v>37.437750000000001</v>
      </c>
      <c r="O204">
        <v>57.08775</v>
      </c>
      <c r="P204" s="3">
        <v>75</v>
      </c>
    </row>
    <row r="205" spans="1:16" x14ac:dyDescent="0.15">
      <c r="A205" t="s">
        <v>247</v>
      </c>
      <c r="B205">
        <v>14</v>
      </c>
      <c r="C205" s="3">
        <v>5034</v>
      </c>
      <c r="D205" s="30" t="str">
        <f t="shared" si="3"/>
        <v>1H23M54S</v>
      </c>
      <c r="E205" s="3">
        <v>36747</v>
      </c>
      <c r="F205" s="3">
        <v>73494</v>
      </c>
      <c r="G205" s="3">
        <v>29397</v>
      </c>
      <c r="H205" s="3">
        <v>44096</v>
      </c>
      <c r="I205" s="3">
        <v>29397</v>
      </c>
      <c r="K205">
        <v>13.983333333333334</v>
      </c>
      <c r="L205">
        <v>213131</v>
      </c>
      <c r="M205">
        <v>53.28275</v>
      </c>
      <c r="O205">
        <v>67.266083333333341</v>
      </c>
      <c r="P205" s="3">
        <v>88</v>
      </c>
    </row>
    <row r="206" spans="1:16" x14ac:dyDescent="0.15">
      <c r="A206" t="s">
        <v>247</v>
      </c>
      <c r="B206">
        <v>15</v>
      </c>
      <c r="C206" s="3">
        <v>7164</v>
      </c>
      <c r="D206" s="30" t="str">
        <f t="shared" si="3"/>
        <v>1H59M24S</v>
      </c>
      <c r="E206" s="3">
        <v>52296</v>
      </c>
      <c r="F206" s="3">
        <v>104592</v>
      </c>
      <c r="G206" s="3">
        <v>41836</v>
      </c>
      <c r="H206" s="3">
        <v>62755</v>
      </c>
      <c r="I206" s="3">
        <v>41836</v>
      </c>
      <c r="K206">
        <v>19.899999999999999</v>
      </c>
      <c r="L206">
        <v>303315</v>
      </c>
      <c r="M206">
        <v>66.729300000000009</v>
      </c>
      <c r="O206">
        <v>86.629300000000001</v>
      </c>
      <c r="P206" s="3">
        <v>113</v>
      </c>
    </row>
    <row r="207" spans="1:16" x14ac:dyDescent="0.15">
      <c r="A207" t="s">
        <v>247</v>
      </c>
      <c r="B207">
        <v>16</v>
      </c>
      <c r="C207" s="3">
        <v>10195</v>
      </c>
      <c r="D207" s="30" t="str">
        <f t="shared" si="3"/>
        <v>2H49M55S</v>
      </c>
      <c r="E207" s="3">
        <v>74421</v>
      </c>
      <c r="F207" s="3">
        <v>148843</v>
      </c>
      <c r="G207" s="3">
        <v>59537</v>
      </c>
      <c r="H207" s="3">
        <v>89306</v>
      </c>
      <c r="I207" s="3">
        <v>59537</v>
      </c>
      <c r="K207">
        <v>16.991666666666667</v>
      </c>
      <c r="L207">
        <v>431644</v>
      </c>
      <c r="M207">
        <v>94.961680000000001</v>
      </c>
      <c r="O207">
        <v>111.95334666666668</v>
      </c>
      <c r="P207" s="3">
        <v>146</v>
      </c>
    </row>
    <row r="208" spans="1:16" x14ac:dyDescent="0.15">
      <c r="A208" t="s">
        <v>247</v>
      </c>
      <c r="B208">
        <v>17</v>
      </c>
      <c r="C208" s="3">
        <v>14508</v>
      </c>
      <c r="D208" s="30" t="str">
        <f t="shared" si="3"/>
        <v>4H1M48S</v>
      </c>
      <c r="E208" s="3">
        <v>105906</v>
      </c>
      <c r="F208" s="3">
        <v>211812</v>
      </c>
      <c r="G208" s="3">
        <v>84724</v>
      </c>
      <c r="H208" s="3">
        <v>127087</v>
      </c>
      <c r="I208" s="3">
        <v>84724</v>
      </c>
      <c r="K208">
        <v>24.18</v>
      </c>
      <c r="L208">
        <v>614253</v>
      </c>
      <c r="M208">
        <v>116.70807000000001</v>
      </c>
      <c r="O208">
        <v>140.88807</v>
      </c>
      <c r="P208" s="3">
        <v>184</v>
      </c>
    </row>
    <row r="209" spans="1:16" x14ac:dyDescent="0.15">
      <c r="A209" t="s">
        <v>247</v>
      </c>
      <c r="B209">
        <v>18</v>
      </c>
      <c r="C209" s="3">
        <v>20646</v>
      </c>
      <c r="D209" s="30" t="str">
        <f t="shared" si="3"/>
        <v>5H44M6S</v>
      </c>
      <c r="E209" s="3">
        <v>150712</v>
      </c>
      <c r="F209" s="3">
        <v>301425</v>
      </c>
      <c r="G209" s="3">
        <v>120570</v>
      </c>
      <c r="H209" s="3">
        <v>180855</v>
      </c>
      <c r="I209" s="3">
        <v>120570</v>
      </c>
      <c r="K209">
        <v>34.410000000000004</v>
      </c>
      <c r="L209">
        <v>874132</v>
      </c>
      <c r="M209">
        <v>166.08508</v>
      </c>
      <c r="O209">
        <v>200.49508</v>
      </c>
      <c r="P209" s="3">
        <v>261</v>
      </c>
    </row>
    <row r="210" spans="1:16" x14ac:dyDescent="0.15">
      <c r="A210" t="s">
        <v>247</v>
      </c>
      <c r="B210">
        <v>19</v>
      </c>
      <c r="C210" s="3">
        <v>29381</v>
      </c>
      <c r="D210" s="30" t="str">
        <f t="shared" si="3"/>
        <v>8H9M41S</v>
      </c>
      <c r="E210" s="3">
        <v>214476</v>
      </c>
      <c r="F210" s="3">
        <v>428953</v>
      </c>
      <c r="G210" s="3">
        <v>171581</v>
      </c>
      <c r="H210" s="3">
        <v>257372</v>
      </c>
      <c r="I210" s="3">
        <v>171581</v>
      </c>
      <c r="K210">
        <v>40.80694444444444</v>
      </c>
      <c r="L210">
        <v>1243963</v>
      </c>
      <c r="M210">
        <v>236.35297</v>
      </c>
      <c r="O210">
        <v>277.15991444444444</v>
      </c>
      <c r="P210" s="3">
        <v>361</v>
      </c>
    </row>
    <row r="211" spans="1:16" x14ac:dyDescent="0.15">
      <c r="A211" t="s">
        <v>247</v>
      </c>
      <c r="B211">
        <v>20</v>
      </c>
      <c r="C211" s="3">
        <v>41810</v>
      </c>
      <c r="D211" s="30" t="str">
        <f t="shared" si="3"/>
        <v>11H36M50S</v>
      </c>
      <c r="E211" s="3">
        <v>305206</v>
      </c>
      <c r="F211" s="3">
        <v>610412</v>
      </c>
      <c r="G211" s="3">
        <v>244165</v>
      </c>
      <c r="H211" s="3">
        <v>366247</v>
      </c>
      <c r="I211" s="3">
        <v>244165</v>
      </c>
      <c r="J211" t="s">
        <v>63</v>
      </c>
      <c r="K211">
        <v>58.069444444444443</v>
      </c>
      <c r="L211">
        <v>1770195</v>
      </c>
      <c r="M211">
        <v>336.33705000000003</v>
      </c>
      <c r="N211">
        <v>40</v>
      </c>
      <c r="O211">
        <v>434.40649444444449</v>
      </c>
      <c r="P211" s="3">
        <v>565</v>
      </c>
    </row>
    <row r="212" spans="1:16" x14ac:dyDescent="0.15">
      <c r="A212" t="s">
        <v>248</v>
      </c>
      <c r="B212">
        <v>0</v>
      </c>
      <c r="C212" s="3">
        <f>10240/SUM(C192:C211)</f>
        <v>7.287633796401731E-2</v>
      </c>
      <c r="D212" s="30" t="str">
        <f t="shared" si="3"/>
        <v>0S</v>
      </c>
      <c r="K212">
        <v>0</v>
      </c>
      <c r="L212">
        <v>0</v>
      </c>
      <c r="M212">
        <v>0</v>
      </c>
      <c r="O212">
        <v>0</v>
      </c>
      <c r="P212" s="3">
        <v>0</v>
      </c>
    </row>
    <row r="213" spans="1:16" x14ac:dyDescent="0.15">
      <c r="A213" t="s">
        <v>248</v>
      </c>
      <c r="B213">
        <v>1</v>
      </c>
      <c r="C213" s="3">
        <v>124</v>
      </c>
      <c r="D213" s="30" t="str">
        <f t="shared" si="3"/>
        <v>2M4S</v>
      </c>
      <c r="E213" s="3">
        <v>187</v>
      </c>
      <c r="F213" s="3">
        <v>448</v>
      </c>
      <c r="G213" s="3">
        <v>561</v>
      </c>
      <c r="H213" s="3">
        <v>93</v>
      </c>
      <c r="K213">
        <v>2.0666666666666669</v>
      </c>
      <c r="L213">
        <v>1289</v>
      </c>
      <c r="M213">
        <v>0.32224999999999998</v>
      </c>
      <c r="O213">
        <v>2.3889166666666668</v>
      </c>
      <c r="P213" s="3">
        <v>4</v>
      </c>
    </row>
    <row r="214" spans="1:16" x14ac:dyDescent="0.15">
      <c r="A214" t="s">
        <v>248</v>
      </c>
      <c r="B214">
        <v>2</v>
      </c>
      <c r="C214" s="3">
        <v>176</v>
      </c>
      <c r="D214" s="30" t="str">
        <f t="shared" si="3"/>
        <v>2M56S</v>
      </c>
      <c r="E214" s="3">
        <v>265</v>
      </c>
      <c r="F214" s="3">
        <v>637</v>
      </c>
      <c r="G214" s="3">
        <v>796</v>
      </c>
      <c r="H214" s="3">
        <v>132</v>
      </c>
      <c r="K214">
        <v>2.9333333333333331</v>
      </c>
      <c r="L214">
        <v>1830</v>
      </c>
      <c r="M214">
        <v>0.45750000000000002</v>
      </c>
      <c r="O214">
        <v>3.3908333333333331</v>
      </c>
      <c r="P214" s="3">
        <v>5</v>
      </c>
    </row>
    <row r="215" spans="1:16" x14ac:dyDescent="0.15">
      <c r="A215" t="s">
        <v>248</v>
      </c>
      <c r="B215">
        <v>3</v>
      </c>
      <c r="C215" s="3">
        <v>251</v>
      </c>
      <c r="D215" s="30" t="str">
        <f t="shared" si="3"/>
        <v>4M11S</v>
      </c>
      <c r="E215" s="3">
        <v>378</v>
      </c>
      <c r="F215" s="3">
        <v>908</v>
      </c>
      <c r="G215" s="3">
        <v>1135</v>
      </c>
      <c r="H215" s="3">
        <v>189</v>
      </c>
      <c r="K215">
        <v>4.1833333333333336</v>
      </c>
      <c r="L215">
        <v>2610</v>
      </c>
      <c r="M215">
        <v>0.65249999999999997</v>
      </c>
      <c r="O215">
        <v>4.8358333333333334</v>
      </c>
      <c r="P215" s="3">
        <v>6</v>
      </c>
    </row>
    <row r="216" spans="1:16" x14ac:dyDescent="0.15">
      <c r="A216" t="s">
        <v>248</v>
      </c>
      <c r="B216">
        <v>4</v>
      </c>
      <c r="C216" s="3">
        <v>357</v>
      </c>
      <c r="D216" s="30" t="str">
        <f t="shared" si="3"/>
        <v>5M57S</v>
      </c>
      <c r="E216" s="3">
        <v>538</v>
      </c>
      <c r="F216" s="3">
        <v>1292</v>
      </c>
      <c r="G216" s="3">
        <v>1615</v>
      </c>
      <c r="H216" s="3">
        <v>269</v>
      </c>
      <c r="K216">
        <v>3.57</v>
      </c>
      <c r="L216">
        <v>3714</v>
      </c>
      <c r="M216">
        <v>0.92849999999999999</v>
      </c>
      <c r="O216">
        <v>4.4984999999999999</v>
      </c>
      <c r="P216" s="3">
        <v>7</v>
      </c>
    </row>
    <row r="217" spans="1:16" x14ac:dyDescent="0.15">
      <c r="A217" t="s">
        <v>248</v>
      </c>
      <c r="B217">
        <v>5</v>
      </c>
      <c r="C217" s="3">
        <v>509</v>
      </c>
      <c r="D217" s="30" t="str">
        <f t="shared" si="3"/>
        <v>8M29S</v>
      </c>
      <c r="E217" s="3">
        <v>767</v>
      </c>
      <c r="F217" s="3">
        <v>1842</v>
      </c>
      <c r="G217" s="3">
        <v>2303</v>
      </c>
      <c r="H217" s="3">
        <v>383</v>
      </c>
      <c r="K217">
        <v>5.09</v>
      </c>
      <c r="L217">
        <v>5295</v>
      </c>
      <c r="M217">
        <v>1.32375</v>
      </c>
      <c r="O217">
        <v>6.4137500000000003</v>
      </c>
      <c r="P217" s="3">
        <v>9</v>
      </c>
    </row>
    <row r="218" spans="1:16" x14ac:dyDescent="0.15">
      <c r="A218" t="s">
        <v>248</v>
      </c>
      <c r="B218">
        <v>6</v>
      </c>
      <c r="C218" s="3">
        <v>724</v>
      </c>
      <c r="D218" s="30" t="str">
        <f t="shared" si="3"/>
        <v>12M4S</v>
      </c>
      <c r="E218" s="3">
        <v>1092</v>
      </c>
      <c r="F218" s="3">
        <v>2621</v>
      </c>
      <c r="G218" s="3">
        <v>3276</v>
      </c>
      <c r="H218" s="3">
        <v>546</v>
      </c>
      <c r="K218">
        <v>7.24</v>
      </c>
      <c r="L218">
        <v>7535</v>
      </c>
      <c r="M218">
        <v>1.88375</v>
      </c>
      <c r="O218">
        <v>9.1237500000000011</v>
      </c>
      <c r="P218" s="3">
        <v>10</v>
      </c>
    </row>
    <row r="219" spans="1:16" x14ac:dyDescent="0.15">
      <c r="A219" t="s">
        <v>248</v>
      </c>
      <c r="B219">
        <v>7</v>
      </c>
      <c r="C219" s="3">
        <v>1030</v>
      </c>
      <c r="D219" s="30" t="str">
        <f t="shared" si="3"/>
        <v>17M10S</v>
      </c>
      <c r="E219" s="3">
        <v>1553</v>
      </c>
      <c r="F219" s="3">
        <v>3729</v>
      </c>
      <c r="G219" s="3">
        <v>4661</v>
      </c>
      <c r="H219" s="3">
        <v>776</v>
      </c>
      <c r="K219">
        <v>5.7222222222222214</v>
      </c>
      <c r="L219">
        <v>10719</v>
      </c>
      <c r="M219">
        <v>2.6797499999999999</v>
      </c>
      <c r="O219">
        <v>8.4019722222222217</v>
      </c>
      <c r="P219" s="3">
        <v>12</v>
      </c>
    </row>
    <row r="220" spans="1:16" x14ac:dyDescent="0.15">
      <c r="A220" t="s">
        <v>248</v>
      </c>
      <c r="B220">
        <v>8</v>
      </c>
      <c r="C220" s="3">
        <v>1466</v>
      </c>
      <c r="D220" s="30" t="str">
        <f t="shared" si="3"/>
        <v>24M26S</v>
      </c>
      <c r="E220" s="3">
        <v>2211</v>
      </c>
      <c r="F220" s="3">
        <v>5307</v>
      </c>
      <c r="G220" s="3">
        <v>6634</v>
      </c>
      <c r="H220" s="3">
        <v>1105</v>
      </c>
      <c r="K220">
        <v>8.1444444444444439</v>
      </c>
      <c r="L220">
        <v>15257</v>
      </c>
      <c r="M220">
        <v>3.8142499999999999</v>
      </c>
      <c r="O220">
        <v>11.958694444444443</v>
      </c>
      <c r="P220" s="3">
        <v>16</v>
      </c>
    </row>
    <row r="221" spans="1:16" x14ac:dyDescent="0.15">
      <c r="A221" t="s">
        <v>248</v>
      </c>
      <c r="B221">
        <v>9</v>
      </c>
      <c r="C221" s="3">
        <v>2087</v>
      </c>
      <c r="D221" s="30" t="str">
        <f t="shared" si="3"/>
        <v>34M47S</v>
      </c>
      <c r="E221" s="3">
        <v>3148</v>
      </c>
      <c r="F221" s="3">
        <v>7556</v>
      </c>
      <c r="G221" s="3">
        <v>9445</v>
      </c>
      <c r="H221" s="3">
        <v>1574</v>
      </c>
      <c r="K221">
        <v>11.594444444444445</v>
      </c>
      <c r="L221">
        <v>21723</v>
      </c>
      <c r="M221">
        <v>5.4307499999999997</v>
      </c>
      <c r="O221">
        <v>17.025194444444445</v>
      </c>
      <c r="P221" s="3">
        <v>22</v>
      </c>
    </row>
    <row r="222" spans="1:16" x14ac:dyDescent="0.15">
      <c r="A222" t="s">
        <v>248</v>
      </c>
      <c r="B222">
        <v>10</v>
      </c>
      <c r="C222" s="3">
        <v>2970</v>
      </c>
      <c r="D222" s="30" t="str">
        <f t="shared" si="3"/>
        <v>49M30S</v>
      </c>
      <c r="E222" s="3">
        <v>4480</v>
      </c>
      <c r="F222" s="3">
        <v>10753</v>
      </c>
      <c r="G222" s="3">
        <v>13441</v>
      </c>
      <c r="H222" s="3">
        <v>2240</v>
      </c>
      <c r="K222">
        <v>16.5</v>
      </c>
      <c r="L222">
        <v>30914</v>
      </c>
      <c r="M222">
        <v>7.7285000000000004</v>
      </c>
      <c r="O222">
        <v>24.2285</v>
      </c>
      <c r="P222" s="3">
        <v>28</v>
      </c>
    </row>
    <row r="223" spans="1:16" x14ac:dyDescent="0.15">
      <c r="A223" t="s">
        <v>248</v>
      </c>
      <c r="B223">
        <v>11</v>
      </c>
      <c r="C223" s="3">
        <v>4227</v>
      </c>
      <c r="D223" s="30" t="str">
        <f t="shared" si="3"/>
        <v>1H10M27S</v>
      </c>
      <c r="E223" s="3">
        <v>6376</v>
      </c>
      <c r="F223" s="3">
        <v>15304</v>
      </c>
      <c r="G223" s="3">
        <v>19130</v>
      </c>
      <c r="H223" s="3">
        <v>3188</v>
      </c>
      <c r="K223">
        <v>11.741666666666665</v>
      </c>
      <c r="L223">
        <v>43998</v>
      </c>
      <c r="M223">
        <v>10.999499999999999</v>
      </c>
      <c r="O223">
        <v>22.741166666666665</v>
      </c>
      <c r="P223" s="3">
        <v>34</v>
      </c>
    </row>
    <row r="224" spans="1:16" x14ac:dyDescent="0.15">
      <c r="A224" t="s">
        <v>248</v>
      </c>
      <c r="B224">
        <v>12</v>
      </c>
      <c r="C224" s="3">
        <v>6015</v>
      </c>
      <c r="D224" s="30" t="str">
        <f t="shared" si="3"/>
        <v>1H40M15S</v>
      </c>
      <c r="E224" s="3">
        <v>9074</v>
      </c>
      <c r="F224" s="3">
        <v>21778</v>
      </c>
      <c r="G224" s="3">
        <v>27222</v>
      </c>
      <c r="H224" s="3">
        <v>4537</v>
      </c>
      <c r="K224">
        <v>16.708333333333336</v>
      </c>
      <c r="L224">
        <v>62611</v>
      </c>
      <c r="M224">
        <v>15.652750000000001</v>
      </c>
      <c r="O224">
        <v>32.36108333333334</v>
      </c>
      <c r="P224" s="3">
        <v>43</v>
      </c>
    </row>
    <row r="225" spans="1:16" x14ac:dyDescent="0.15">
      <c r="A225" t="s">
        <v>248</v>
      </c>
      <c r="B225">
        <v>13</v>
      </c>
      <c r="C225" s="3">
        <v>8560</v>
      </c>
      <c r="D225" s="30" t="str">
        <f t="shared" si="3"/>
        <v>2H22M40S</v>
      </c>
      <c r="E225" s="3">
        <v>12913</v>
      </c>
      <c r="F225" s="3">
        <v>30992</v>
      </c>
      <c r="G225" s="3">
        <v>38741</v>
      </c>
      <c r="H225" s="3">
        <v>6456</v>
      </c>
      <c r="K225">
        <v>23.777777777777779</v>
      </c>
      <c r="L225">
        <v>89102</v>
      </c>
      <c r="M225">
        <v>22.275500000000001</v>
      </c>
      <c r="O225">
        <v>46.05327777777778</v>
      </c>
      <c r="P225" s="3">
        <v>60</v>
      </c>
    </row>
    <row r="226" spans="1:16" x14ac:dyDescent="0.15">
      <c r="A226" t="s">
        <v>248</v>
      </c>
      <c r="B226">
        <v>14</v>
      </c>
      <c r="C226" s="3">
        <v>12182</v>
      </c>
      <c r="D226" s="30" t="str">
        <f t="shared" si="3"/>
        <v>3H23M2S</v>
      </c>
      <c r="E226" s="3">
        <v>18377</v>
      </c>
      <c r="F226" s="3">
        <v>44107</v>
      </c>
      <c r="G226" s="3">
        <v>55133</v>
      </c>
      <c r="H226" s="3">
        <v>9188</v>
      </c>
      <c r="K226">
        <v>20.303333333333335</v>
      </c>
      <c r="L226">
        <v>126805</v>
      </c>
      <c r="M226">
        <v>31.701250000000002</v>
      </c>
      <c r="O226">
        <v>52.004583333333336</v>
      </c>
      <c r="P226" s="3">
        <v>68</v>
      </c>
    </row>
    <row r="227" spans="1:16" x14ac:dyDescent="0.15">
      <c r="A227" t="s">
        <v>248</v>
      </c>
      <c r="B227">
        <v>15</v>
      </c>
      <c r="C227" s="3">
        <v>17336</v>
      </c>
      <c r="D227" s="30" t="str">
        <f t="shared" si="3"/>
        <v>4H48M56S</v>
      </c>
      <c r="E227" s="3">
        <v>26153</v>
      </c>
      <c r="F227" s="3">
        <v>62767</v>
      </c>
      <c r="G227" s="3">
        <v>78459</v>
      </c>
      <c r="H227" s="3">
        <v>13076</v>
      </c>
      <c r="K227">
        <v>28.893333333333334</v>
      </c>
      <c r="L227">
        <v>180455</v>
      </c>
      <c r="M227">
        <v>45.113750000000003</v>
      </c>
      <c r="O227">
        <v>74.007083333333341</v>
      </c>
      <c r="P227" s="3">
        <v>97</v>
      </c>
    </row>
    <row r="228" spans="1:16" x14ac:dyDescent="0.15">
      <c r="A228" t="s">
        <v>248</v>
      </c>
      <c r="B228">
        <v>16</v>
      </c>
      <c r="C228" s="3">
        <v>24670</v>
      </c>
      <c r="D228" s="30" t="str">
        <f t="shared" si="3"/>
        <v>6H51M10S</v>
      </c>
      <c r="E228" s="3">
        <v>37217</v>
      </c>
      <c r="F228" s="3">
        <v>89321</v>
      </c>
      <c r="G228" s="3">
        <v>111652</v>
      </c>
      <c r="H228" s="3">
        <v>18608</v>
      </c>
      <c r="K228">
        <v>41.116666666666667</v>
      </c>
      <c r="L228">
        <v>256798</v>
      </c>
      <c r="M228">
        <v>56.495560000000005</v>
      </c>
      <c r="O228">
        <v>97.612226666666672</v>
      </c>
      <c r="P228" s="3">
        <v>127</v>
      </c>
    </row>
    <row r="229" spans="1:16" x14ac:dyDescent="0.15">
      <c r="A229" t="s">
        <v>248</v>
      </c>
      <c r="B229">
        <v>17</v>
      </c>
      <c r="C229" s="3">
        <v>35106</v>
      </c>
      <c r="D229" s="30" t="str">
        <f t="shared" si="3"/>
        <v>9H45M6S</v>
      </c>
      <c r="E229" s="3">
        <v>52961</v>
      </c>
      <c r="F229" s="3">
        <v>127107</v>
      </c>
      <c r="G229" s="3">
        <v>158884</v>
      </c>
      <c r="H229" s="3">
        <v>26480</v>
      </c>
      <c r="K229">
        <v>48.758333333333333</v>
      </c>
      <c r="L229">
        <v>365432</v>
      </c>
      <c r="M229">
        <v>80.395040000000009</v>
      </c>
      <c r="O229">
        <v>129.15337333333335</v>
      </c>
      <c r="P229" s="3">
        <v>168</v>
      </c>
    </row>
    <row r="230" spans="1:16" x14ac:dyDescent="0.15">
      <c r="A230" t="s">
        <v>248</v>
      </c>
      <c r="B230">
        <v>18</v>
      </c>
      <c r="C230" s="3">
        <v>49958</v>
      </c>
      <c r="D230" s="30" t="str">
        <f t="shared" si="3"/>
        <v>13H52M38S</v>
      </c>
      <c r="E230" s="3">
        <v>75367</v>
      </c>
      <c r="F230" s="3">
        <v>180881</v>
      </c>
      <c r="G230" s="3">
        <v>226101</v>
      </c>
      <c r="H230" s="3">
        <v>37683</v>
      </c>
      <c r="K230">
        <v>69.38611111111112</v>
      </c>
      <c r="L230">
        <v>520032</v>
      </c>
      <c r="M230">
        <v>98.806080000000009</v>
      </c>
      <c r="O230">
        <v>168.19219111111113</v>
      </c>
      <c r="P230" s="3">
        <v>219</v>
      </c>
    </row>
    <row r="231" spans="1:16" x14ac:dyDescent="0.15">
      <c r="A231" s="24" t="s">
        <v>1027</v>
      </c>
      <c r="B231">
        <v>19</v>
      </c>
      <c r="C231" s="3">
        <v>71093</v>
      </c>
      <c r="D231" s="30" t="str">
        <f t="shared" si="3"/>
        <v>19H44M53S</v>
      </c>
      <c r="E231" s="3">
        <v>107251</v>
      </c>
      <c r="F231" s="3">
        <v>257404</v>
      </c>
      <c r="G231" s="3">
        <v>321755</v>
      </c>
      <c r="H231" s="3">
        <v>53625</v>
      </c>
      <c r="K231">
        <v>85.574907407407409</v>
      </c>
      <c r="L231">
        <v>740035</v>
      </c>
      <c r="M231">
        <v>140.60665</v>
      </c>
      <c r="O231">
        <v>226.18155740740741</v>
      </c>
      <c r="P231" s="3">
        <v>295</v>
      </c>
    </row>
    <row r="232" spans="1:16" x14ac:dyDescent="0.15">
      <c r="A232" t="s">
        <v>248</v>
      </c>
      <c r="B232">
        <v>20</v>
      </c>
      <c r="C232" s="3">
        <v>101169</v>
      </c>
      <c r="D232" s="30" t="str">
        <f t="shared" si="3"/>
        <v>1D4H6M9S</v>
      </c>
      <c r="E232" s="3">
        <v>152624</v>
      </c>
      <c r="F232" s="3">
        <v>366299</v>
      </c>
      <c r="G232" s="3">
        <v>457874</v>
      </c>
      <c r="H232" s="3">
        <v>76312</v>
      </c>
      <c r="J232" t="s">
        <v>63</v>
      </c>
      <c r="K232">
        <v>111.2390625</v>
      </c>
      <c r="L232">
        <v>1053109</v>
      </c>
      <c r="M232">
        <v>200.09071</v>
      </c>
      <c r="N232">
        <v>40</v>
      </c>
      <c r="O232">
        <v>351.32977249999999</v>
      </c>
      <c r="P232" s="3">
        <v>457</v>
      </c>
    </row>
    <row r="233" spans="1:16" x14ac:dyDescent="0.15">
      <c r="A233" t="s">
        <v>249</v>
      </c>
      <c r="B233">
        <v>0</v>
      </c>
      <c r="D233" s="30" t="str">
        <f t="shared" si="3"/>
        <v>0S</v>
      </c>
      <c r="K233">
        <v>0</v>
      </c>
      <c r="L233">
        <v>0</v>
      </c>
      <c r="M233">
        <v>0</v>
      </c>
      <c r="O233">
        <v>0</v>
      </c>
      <c r="P233" s="3">
        <v>0</v>
      </c>
    </row>
    <row r="234" spans="1:16" x14ac:dyDescent="0.15">
      <c r="A234" t="s">
        <v>249</v>
      </c>
      <c r="B234">
        <v>1</v>
      </c>
      <c r="C234" s="3">
        <v>124</v>
      </c>
      <c r="D234" s="30" t="str">
        <f t="shared" si="3"/>
        <v>2M4S</v>
      </c>
      <c r="E234" s="3">
        <v>112</v>
      </c>
      <c r="F234" s="3">
        <v>374</v>
      </c>
      <c r="G234" s="3">
        <v>1122</v>
      </c>
      <c r="H234" s="3">
        <v>56</v>
      </c>
      <c r="K234">
        <v>2.0666666666666669</v>
      </c>
      <c r="L234">
        <v>1664</v>
      </c>
      <c r="M234">
        <v>0.41600000000000004</v>
      </c>
      <c r="O234">
        <v>2.4826666666666668</v>
      </c>
      <c r="P234" s="3">
        <v>4</v>
      </c>
    </row>
    <row r="235" spans="1:16" x14ac:dyDescent="0.15">
      <c r="A235" t="s">
        <v>249</v>
      </c>
      <c r="B235">
        <v>2</v>
      </c>
      <c r="C235" s="3">
        <v>176</v>
      </c>
      <c r="D235" s="30" t="str">
        <f t="shared" si="3"/>
        <v>2M56S</v>
      </c>
      <c r="E235" s="3">
        <v>159</v>
      </c>
      <c r="F235" s="3">
        <v>531</v>
      </c>
      <c r="G235" s="3">
        <v>1593</v>
      </c>
      <c r="H235" s="3">
        <v>79</v>
      </c>
      <c r="K235">
        <v>2.9333333333333331</v>
      </c>
      <c r="L235">
        <v>2362</v>
      </c>
      <c r="M235">
        <v>0.59050000000000002</v>
      </c>
      <c r="O235">
        <v>3.5238333333333332</v>
      </c>
      <c r="P235" s="3">
        <v>5</v>
      </c>
    </row>
    <row r="236" spans="1:16" x14ac:dyDescent="0.15">
      <c r="A236" t="s">
        <v>249</v>
      </c>
      <c r="B236">
        <v>3</v>
      </c>
      <c r="C236" s="3">
        <v>251</v>
      </c>
      <c r="D236" s="30" t="str">
        <f t="shared" si="3"/>
        <v>4M11S</v>
      </c>
      <c r="E236" s="3">
        <v>227</v>
      </c>
      <c r="F236" s="3">
        <v>757</v>
      </c>
      <c r="G236" s="3">
        <v>2271</v>
      </c>
      <c r="H236" s="3">
        <v>113</v>
      </c>
      <c r="K236">
        <v>4.1833333333333336</v>
      </c>
      <c r="L236">
        <v>3368</v>
      </c>
      <c r="M236">
        <v>0.84199999999999997</v>
      </c>
      <c r="O236">
        <v>5.0253333333333332</v>
      </c>
      <c r="P236" s="3">
        <v>7</v>
      </c>
    </row>
    <row r="237" spans="1:16" x14ac:dyDescent="0.15">
      <c r="A237" t="s">
        <v>249</v>
      </c>
      <c r="B237">
        <v>4</v>
      </c>
      <c r="C237" s="3">
        <v>357</v>
      </c>
      <c r="D237" s="30" t="str">
        <f t="shared" si="3"/>
        <v>5M57S</v>
      </c>
      <c r="E237" s="3">
        <v>323</v>
      </c>
      <c r="F237" s="3">
        <v>1077</v>
      </c>
      <c r="G237" s="3">
        <v>3231</v>
      </c>
      <c r="H237" s="3">
        <v>161</v>
      </c>
      <c r="K237">
        <v>3.57</v>
      </c>
      <c r="L237">
        <v>4792</v>
      </c>
      <c r="M237">
        <v>1.198</v>
      </c>
      <c r="O237">
        <v>4.7679999999999998</v>
      </c>
      <c r="P237" s="3">
        <v>8</v>
      </c>
    </row>
    <row r="238" spans="1:16" x14ac:dyDescent="0.15">
      <c r="A238" t="s">
        <v>249</v>
      </c>
      <c r="B238">
        <v>5</v>
      </c>
      <c r="C238" s="3">
        <v>509</v>
      </c>
      <c r="D238" s="30" t="str">
        <f t="shared" si="3"/>
        <v>8M29S</v>
      </c>
      <c r="E238" s="3">
        <v>460</v>
      </c>
      <c r="F238" s="3">
        <v>1535</v>
      </c>
      <c r="G238" s="3">
        <v>4607</v>
      </c>
      <c r="H238" s="3">
        <v>230</v>
      </c>
      <c r="K238">
        <v>5.09</v>
      </c>
      <c r="L238">
        <v>6832</v>
      </c>
      <c r="M238">
        <v>1.708</v>
      </c>
      <c r="O238">
        <v>6.798</v>
      </c>
      <c r="P238" s="3">
        <v>9</v>
      </c>
    </row>
    <row r="239" spans="1:16" x14ac:dyDescent="0.15">
      <c r="A239" t="s">
        <v>249</v>
      </c>
      <c r="B239">
        <v>6</v>
      </c>
      <c r="C239" s="3">
        <v>724</v>
      </c>
      <c r="D239" s="30" t="str">
        <f t="shared" si="3"/>
        <v>12M4S</v>
      </c>
      <c r="E239" s="3">
        <v>655</v>
      </c>
      <c r="F239" s="3">
        <v>2184</v>
      </c>
      <c r="G239" s="3">
        <v>6553</v>
      </c>
      <c r="H239" s="3">
        <v>327</v>
      </c>
      <c r="K239">
        <v>7.24</v>
      </c>
      <c r="L239">
        <v>9719</v>
      </c>
      <c r="M239">
        <v>2.4297499999999999</v>
      </c>
      <c r="O239">
        <v>9.6697500000000005</v>
      </c>
      <c r="P239" s="3">
        <v>11</v>
      </c>
    </row>
    <row r="240" spans="1:16" x14ac:dyDescent="0.15">
      <c r="A240" t="s">
        <v>249</v>
      </c>
      <c r="B240">
        <v>7</v>
      </c>
      <c r="C240" s="3">
        <v>1030</v>
      </c>
      <c r="D240" s="30" t="str">
        <f t="shared" si="3"/>
        <v>17M10S</v>
      </c>
      <c r="E240" s="3">
        <v>932</v>
      </c>
      <c r="F240" s="3">
        <v>3107</v>
      </c>
      <c r="G240" s="3">
        <v>9323</v>
      </c>
      <c r="H240" s="3">
        <v>466</v>
      </c>
      <c r="K240">
        <v>5.7222222222222214</v>
      </c>
      <c r="L240">
        <v>13828</v>
      </c>
      <c r="M240">
        <v>3.4569999999999999</v>
      </c>
      <c r="O240">
        <v>9.1792222222222222</v>
      </c>
      <c r="P240" s="3">
        <v>14</v>
      </c>
    </row>
    <row r="241" spans="1:16" x14ac:dyDescent="0.15">
      <c r="A241" t="s">
        <v>249</v>
      </c>
      <c r="B241">
        <v>8</v>
      </c>
      <c r="C241" s="3">
        <v>1466</v>
      </c>
      <c r="D241" s="30" t="str">
        <f t="shared" si="3"/>
        <v>24M26S</v>
      </c>
      <c r="E241" s="3">
        <v>1326</v>
      </c>
      <c r="F241" s="3">
        <v>4423</v>
      </c>
      <c r="G241" s="3">
        <v>13269</v>
      </c>
      <c r="H241" s="3">
        <v>663</v>
      </c>
      <c r="K241">
        <v>8.1444444444444439</v>
      </c>
      <c r="L241">
        <v>19681</v>
      </c>
      <c r="M241">
        <v>4.9202500000000002</v>
      </c>
      <c r="O241">
        <v>13.064694444444445</v>
      </c>
      <c r="P241" s="3">
        <v>17</v>
      </c>
    </row>
    <row r="242" spans="1:16" x14ac:dyDescent="0.15">
      <c r="A242" t="s">
        <v>249</v>
      </c>
      <c r="B242">
        <v>9</v>
      </c>
      <c r="C242" s="3">
        <v>2087</v>
      </c>
      <c r="D242" s="30" t="str">
        <f t="shared" si="3"/>
        <v>34M47S</v>
      </c>
      <c r="E242" s="3">
        <v>1889</v>
      </c>
      <c r="F242" s="3">
        <v>6296</v>
      </c>
      <c r="G242" s="3">
        <v>18890</v>
      </c>
      <c r="H242" s="3">
        <v>944</v>
      </c>
      <c r="K242">
        <v>11.594444444444445</v>
      </c>
      <c r="L242">
        <v>28019</v>
      </c>
      <c r="M242">
        <v>7.0047500000000005</v>
      </c>
      <c r="O242">
        <v>18.599194444444446</v>
      </c>
      <c r="P242" s="3">
        <v>25</v>
      </c>
    </row>
    <row r="243" spans="1:16" x14ac:dyDescent="0.15">
      <c r="A243" t="s">
        <v>249</v>
      </c>
      <c r="B243">
        <v>10</v>
      </c>
      <c r="C243" s="3">
        <v>2970</v>
      </c>
      <c r="D243" s="30" t="str">
        <f t="shared" si="3"/>
        <v>49M30S</v>
      </c>
      <c r="E243" s="3">
        <v>2688</v>
      </c>
      <c r="F243" s="3">
        <v>8961</v>
      </c>
      <c r="G243" s="3">
        <v>26883</v>
      </c>
      <c r="H243" s="3">
        <v>1344</v>
      </c>
      <c r="K243">
        <v>16.5</v>
      </c>
      <c r="L243">
        <v>39876</v>
      </c>
      <c r="M243">
        <v>9.9689999999999994</v>
      </c>
      <c r="O243">
        <v>26.469000000000001</v>
      </c>
      <c r="P243" s="3">
        <v>34</v>
      </c>
    </row>
    <row r="244" spans="1:16" x14ac:dyDescent="0.15">
      <c r="A244" t="s">
        <v>249</v>
      </c>
      <c r="B244">
        <v>11</v>
      </c>
      <c r="C244" s="3">
        <v>4227</v>
      </c>
      <c r="D244" s="30" t="str">
        <f t="shared" si="3"/>
        <v>1H10M27S</v>
      </c>
      <c r="E244" s="3">
        <v>3826</v>
      </c>
      <c r="F244" s="3">
        <v>12753</v>
      </c>
      <c r="G244" s="3">
        <v>38261</v>
      </c>
      <c r="H244" s="3">
        <v>1913</v>
      </c>
      <c r="K244">
        <v>11.741666666666665</v>
      </c>
      <c r="L244">
        <v>56753</v>
      </c>
      <c r="M244">
        <v>14.18825</v>
      </c>
      <c r="O244">
        <v>25.929916666666664</v>
      </c>
      <c r="P244" s="3">
        <v>35</v>
      </c>
    </row>
    <row r="245" spans="1:16" x14ac:dyDescent="0.15">
      <c r="A245" t="s">
        <v>249</v>
      </c>
      <c r="B245">
        <v>12</v>
      </c>
      <c r="C245" s="3">
        <v>6015</v>
      </c>
      <c r="D245" s="30" t="str">
        <f t="shared" si="3"/>
        <v>1H40M15S</v>
      </c>
      <c r="E245" s="3">
        <v>5444</v>
      </c>
      <c r="F245" s="3">
        <v>18148</v>
      </c>
      <c r="G245" s="3">
        <v>54445</v>
      </c>
      <c r="H245" s="3">
        <v>2722</v>
      </c>
      <c r="K245">
        <v>16.708333333333336</v>
      </c>
      <c r="L245">
        <v>80759</v>
      </c>
      <c r="M245">
        <v>20.18975</v>
      </c>
      <c r="O245">
        <v>36.898083333333332</v>
      </c>
      <c r="P245" s="3">
        <v>48</v>
      </c>
    </row>
    <row r="246" spans="1:16" x14ac:dyDescent="0.15">
      <c r="A246" t="s">
        <v>249</v>
      </c>
      <c r="B246">
        <v>13</v>
      </c>
      <c r="C246" s="3">
        <v>8560</v>
      </c>
      <c r="D246" s="30" t="str">
        <f t="shared" si="3"/>
        <v>2H22M40S</v>
      </c>
      <c r="E246" s="3">
        <v>7748</v>
      </c>
      <c r="F246" s="3">
        <v>25827</v>
      </c>
      <c r="G246" s="3">
        <v>77482</v>
      </c>
      <c r="H246" s="3">
        <v>3874</v>
      </c>
      <c r="K246">
        <v>23.777777777777779</v>
      </c>
      <c r="L246">
        <v>114931</v>
      </c>
      <c r="M246">
        <v>28.732749999999999</v>
      </c>
      <c r="O246">
        <v>52.510527777777781</v>
      </c>
      <c r="P246" s="3">
        <v>69</v>
      </c>
    </row>
    <row r="247" spans="1:16" x14ac:dyDescent="0.15">
      <c r="A247" t="s">
        <v>249</v>
      </c>
      <c r="B247">
        <v>14</v>
      </c>
      <c r="C247" s="3">
        <v>12182</v>
      </c>
      <c r="D247" s="30" t="str">
        <f t="shared" si="3"/>
        <v>3H23M2S</v>
      </c>
      <c r="E247" s="3">
        <v>11026</v>
      </c>
      <c r="F247" s="3">
        <v>36755</v>
      </c>
      <c r="G247" s="3">
        <v>110267</v>
      </c>
      <c r="H247" s="3">
        <v>5513</v>
      </c>
      <c r="K247">
        <v>20.303333333333335</v>
      </c>
      <c r="L247">
        <v>163561</v>
      </c>
      <c r="M247">
        <v>40.890250000000002</v>
      </c>
      <c r="O247">
        <v>61.193583333333336</v>
      </c>
      <c r="P247" s="3">
        <v>80</v>
      </c>
    </row>
    <row r="248" spans="1:16" x14ac:dyDescent="0.15">
      <c r="A248" t="s">
        <v>249</v>
      </c>
      <c r="B248">
        <v>15</v>
      </c>
      <c r="C248" s="3">
        <v>17336</v>
      </c>
      <c r="D248" s="30" t="str">
        <f t="shared" si="3"/>
        <v>4H48M56S</v>
      </c>
      <c r="E248" s="3">
        <v>15691</v>
      </c>
      <c r="F248" s="3">
        <v>52306</v>
      </c>
      <c r="G248" s="3">
        <v>156919</v>
      </c>
      <c r="H248" s="3">
        <v>7845</v>
      </c>
      <c r="K248">
        <v>28.893333333333334</v>
      </c>
      <c r="L248">
        <v>232761</v>
      </c>
      <c r="M248">
        <v>58.190249999999999</v>
      </c>
      <c r="O248">
        <v>87.083583333333337</v>
      </c>
      <c r="P248" s="3">
        <v>114</v>
      </c>
    </row>
    <row r="249" spans="1:16" x14ac:dyDescent="0.15">
      <c r="A249" t="s">
        <v>249</v>
      </c>
      <c r="B249">
        <v>16</v>
      </c>
      <c r="C249" s="3">
        <v>24670</v>
      </c>
      <c r="D249" s="30" t="str">
        <f t="shared" si="3"/>
        <v>6H51M10S</v>
      </c>
      <c r="E249" s="3">
        <v>22330</v>
      </c>
      <c r="F249" s="3">
        <v>74434</v>
      </c>
      <c r="G249" s="3">
        <v>223304</v>
      </c>
      <c r="H249" s="3">
        <v>11165</v>
      </c>
      <c r="K249">
        <v>41.116666666666667</v>
      </c>
      <c r="L249">
        <v>331233</v>
      </c>
      <c r="M249">
        <v>72.871260000000007</v>
      </c>
      <c r="O249">
        <v>113.98792666666668</v>
      </c>
      <c r="P249" s="3">
        <v>149</v>
      </c>
    </row>
    <row r="250" spans="1:16" x14ac:dyDescent="0.15">
      <c r="A250" t="s">
        <v>249</v>
      </c>
      <c r="B250">
        <v>17</v>
      </c>
      <c r="C250" s="3">
        <v>35106</v>
      </c>
      <c r="D250" s="30" t="str">
        <f t="shared" si="3"/>
        <v>9H45M6S</v>
      </c>
      <c r="E250" s="3">
        <v>31776</v>
      </c>
      <c r="F250" s="3">
        <v>105922</v>
      </c>
      <c r="G250" s="3">
        <v>317768</v>
      </c>
      <c r="H250" s="3">
        <v>15888</v>
      </c>
      <c r="K250">
        <v>48.758333333333333</v>
      </c>
      <c r="L250">
        <v>471354</v>
      </c>
      <c r="M250">
        <v>103.69788</v>
      </c>
      <c r="O250">
        <v>152.45621333333332</v>
      </c>
      <c r="P250" s="3">
        <v>199</v>
      </c>
    </row>
    <row r="251" spans="1:16" x14ac:dyDescent="0.15">
      <c r="A251" t="s">
        <v>249</v>
      </c>
      <c r="B251">
        <v>18</v>
      </c>
      <c r="C251" s="3">
        <v>49958</v>
      </c>
      <c r="D251" s="30" t="str">
        <f t="shared" si="3"/>
        <v>13H52M38S</v>
      </c>
      <c r="E251" s="3">
        <v>45220</v>
      </c>
      <c r="F251" s="3">
        <v>150734</v>
      </c>
      <c r="G251" s="3">
        <v>452203</v>
      </c>
      <c r="H251" s="3">
        <v>22610</v>
      </c>
      <c r="K251">
        <v>69.38611111111112</v>
      </c>
      <c r="L251">
        <v>670767</v>
      </c>
      <c r="M251">
        <v>127.44573000000001</v>
      </c>
      <c r="O251">
        <v>196.83184111111115</v>
      </c>
      <c r="P251" s="3">
        <v>256</v>
      </c>
    </row>
    <row r="252" spans="1:16" x14ac:dyDescent="0.15">
      <c r="A252" t="s">
        <v>249</v>
      </c>
      <c r="B252">
        <v>19</v>
      </c>
      <c r="C252" s="3">
        <v>71093</v>
      </c>
      <c r="D252" s="30" t="str">
        <f t="shared" si="3"/>
        <v>19H44M53S</v>
      </c>
      <c r="E252" s="3">
        <v>64351</v>
      </c>
      <c r="F252" s="3">
        <v>214503</v>
      </c>
      <c r="G252" s="3">
        <v>643511</v>
      </c>
      <c r="H252" s="3">
        <v>32175</v>
      </c>
      <c r="K252">
        <v>85.574907407407409</v>
      </c>
      <c r="L252">
        <v>954540</v>
      </c>
      <c r="M252">
        <v>181.36260000000001</v>
      </c>
      <c r="O252">
        <v>266.93750740740745</v>
      </c>
      <c r="P252" s="3">
        <v>348</v>
      </c>
    </row>
    <row r="253" spans="1:16" x14ac:dyDescent="0.15">
      <c r="A253" t="s">
        <v>249</v>
      </c>
      <c r="B253">
        <v>20</v>
      </c>
      <c r="C253" s="3">
        <v>101169</v>
      </c>
      <c r="D253" s="30" t="str">
        <f t="shared" si="3"/>
        <v>1D4H6M9S</v>
      </c>
      <c r="E253" s="3">
        <v>91574</v>
      </c>
      <c r="F253" s="3">
        <v>305249</v>
      </c>
      <c r="G253" s="3">
        <v>915749</v>
      </c>
      <c r="H253" s="3">
        <v>45787</v>
      </c>
      <c r="J253" t="s">
        <v>63</v>
      </c>
      <c r="K253">
        <v>111.2390625</v>
      </c>
      <c r="L253">
        <v>1358359</v>
      </c>
      <c r="M253">
        <v>258.08821</v>
      </c>
      <c r="N253">
        <v>40</v>
      </c>
      <c r="O253">
        <v>409.32727249999999</v>
      </c>
      <c r="P253" s="3">
        <v>533</v>
      </c>
    </row>
    <row r="254" spans="1:16" x14ac:dyDescent="0.15">
      <c r="A254" t="s">
        <v>250</v>
      </c>
      <c r="B254">
        <v>0</v>
      </c>
      <c r="D254" s="30" t="str">
        <f t="shared" si="3"/>
        <v>0S</v>
      </c>
      <c r="K254">
        <v>0</v>
      </c>
      <c r="L254">
        <v>0</v>
      </c>
      <c r="M254">
        <v>0</v>
      </c>
      <c r="O254">
        <v>0</v>
      </c>
      <c r="P254" s="3">
        <v>0</v>
      </c>
    </row>
    <row r="255" spans="1:16" x14ac:dyDescent="0.15">
      <c r="A255" t="s">
        <v>250</v>
      </c>
      <c r="B255">
        <v>1</v>
      </c>
      <c r="C255" s="3">
        <v>74</v>
      </c>
      <c r="D255" s="30" t="str">
        <f t="shared" si="3"/>
        <v>1M14S</v>
      </c>
      <c r="E255" s="3">
        <v>446</v>
      </c>
      <c r="F255" s="3">
        <v>372</v>
      </c>
      <c r="G255" s="3">
        <v>223</v>
      </c>
      <c r="H255" s="3">
        <v>46</v>
      </c>
      <c r="K255">
        <v>1.2333333333333334</v>
      </c>
      <c r="L255">
        <v>1087</v>
      </c>
      <c r="M255">
        <v>0.27174999999999999</v>
      </c>
      <c r="O255">
        <v>1.5050833333333333</v>
      </c>
      <c r="P255" s="3">
        <v>2</v>
      </c>
    </row>
    <row r="256" spans="1:16" x14ac:dyDescent="0.15">
      <c r="A256" t="s">
        <v>250</v>
      </c>
      <c r="B256">
        <v>2</v>
      </c>
      <c r="C256" s="3">
        <v>105</v>
      </c>
      <c r="D256" s="30" t="str">
        <f t="shared" si="3"/>
        <v>1M45S</v>
      </c>
      <c r="E256" s="3">
        <v>633</v>
      </c>
      <c r="F256" s="3">
        <v>528</v>
      </c>
      <c r="G256" s="3">
        <v>316</v>
      </c>
      <c r="H256" s="3">
        <v>66</v>
      </c>
      <c r="K256">
        <v>1.75</v>
      </c>
      <c r="L256">
        <v>1543</v>
      </c>
      <c r="M256">
        <v>0.38574999999999998</v>
      </c>
      <c r="O256">
        <v>2.1357499999999998</v>
      </c>
      <c r="P256" s="3">
        <v>3</v>
      </c>
    </row>
    <row r="257" spans="1:16" x14ac:dyDescent="0.15">
      <c r="A257" t="s">
        <v>250</v>
      </c>
      <c r="B257">
        <v>3</v>
      </c>
      <c r="C257" s="3">
        <v>150</v>
      </c>
      <c r="D257" s="30" t="str">
        <f t="shared" si="3"/>
        <v>2M30S</v>
      </c>
      <c r="E257" s="3">
        <v>905</v>
      </c>
      <c r="F257" s="3">
        <v>754</v>
      </c>
      <c r="G257" s="3">
        <v>452</v>
      </c>
      <c r="H257" s="3">
        <v>94</v>
      </c>
      <c r="K257">
        <v>2.5</v>
      </c>
      <c r="L257">
        <v>2205</v>
      </c>
      <c r="M257">
        <v>0.55125000000000002</v>
      </c>
      <c r="O257">
        <v>3.05125</v>
      </c>
      <c r="P257" s="3">
        <v>4</v>
      </c>
    </row>
    <row r="258" spans="1:16" x14ac:dyDescent="0.15">
      <c r="A258" t="s">
        <v>250</v>
      </c>
      <c r="B258">
        <v>4</v>
      </c>
      <c r="C258" s="3">
        <v>214</v>
      </c>
      <c r="D258" s="30" t="str">
        <f t="shared" si="3"/>
        <v>3M34S</v>
      </c>
      <c r="E258" s="3">
        <v>1291</v>
      </c>
      <c r="F258" s="3">
        <v>1076</v>
      </c>
      <c r="G258" s="3">
        <v>645</v>
      </c>
      <c r="H258" s="3">
        <v>134</v>
      </c>
      <c r="K258">
        <v>3.5666666666666669</v>
      </c>
      <c r="L258">
        <v>3146</v>
      </c>
      <c r="M258">
        <v>0.78649999999999998</v>
      </c>
      <c r="O258">
        <v>4.3531666666666666</v>
      </c>
      <c r="P258" s="3">
        <v>6</v>
      </c>
    </row>
    <row r="259" spans="1:16" x14ac:dyDescent="0.15">
      <c r="A259" t="s">
        <v>250</v>
      </c>
      <c r="B259">
        <v>5</v>
      </c>
      <c r="C259" s="3">
        <v>305</v>
      </c>
      <c r="D259" s="30" t="str">
        <f t="shared" ref="D259:D322" si="4">IF(INT(C259/3600/24)=0,"",INT(C259/3600/24)&amp;"D")&amp;IF(INT(MOD(C259,3600*24)/3600)=0,"",INT(MOD(C259,3600*24)/3600)&amp;"H")&amp;IF(INT(MOD(C259,3600)/60)=0,"",INT(MOD(C259,3600)/60)&amp;"M")&amp;INT(MOD(C259,60))&amp;"S"</f>
        <v>5M5S</v>
      </c>
      <c r="E259" s="3">
        <v>1840</v>
      </c>
      <c r="F259" s="3">
        <v>1533</v>
      </c>
      <c r="G259" s="3">
        <v>920</v>
      </c>
      <c r="H259" s="3">
        <v>191</v>
      </c>
      <c r="K259">
        <v>3.05</v>
      </c>
      <c r="L259">
        <v>4484</v>
      </c>
      <c r="M259">
        <v>1.121</v>
      </c>
      <c r="O259">
        <v>4.1709999999999994</v>
      </c>
      <c r="P259" s="3">
        <v>7</v>
      </c>
    </row>
    <row r="260" spans="1:16" x14ac:dyDescent="0.15">
      <c r="A260" t="s">
        <v>250</v>
      </c>
      <c r="B260">
        <v>6</v>
      </c>
      <c r="C260" s="3">
        <v>434</v>
      </c>
      <c r="D260" s="30" t="str">
        <f t="shared" si="4"/>
        <v>7M14S</v>
      </c>
      <c r="E260" s="3">
        <v>2618</v>
      </c>
      <c r="F260" s="3">
        <v>2182</v>
      </c>
      <c r="G260" s="3">
        <v>1309</v>
      </c>
      <c r="H260" s="3">
        <v>272</v>
      </c>
      <c r="K260">
        <v>4.34</v>
      </c>
      <c r="L260">
        <v>6381</v>
      </c>
      <c r="M260">
        <v>1.5952500000000001</v>
      </c>
      <c r="O260">
        <v>5.9352499999999999</v>
      </c>
      <c r="P260" s="3">
        <v>8</v>
      </c>
    </row>
    <row r="261" spans="1:16" x14ac:dyDescent="0.15">
      <c r="A261" t="s">
        <v>250</v>
      </c>
      <c r="B261">
        <v>7</v>
      </c>
      <c r="C261" s="3">
        <v>618</v>
      </c>
      <c r="D261" s="30" t="str">
        <f t="shared" si="4"/>
        <v>10M18S</v>
      </c>
      <c r="E261" s="3">
        <v>3729</v>
      </c>
      <c r="F261" s="3">
        <v>3107</v>
      </c>
      <c r="G261" s="3">
        <v>1864</v>
      </c>
      <c r="H261" s="3">
        <v>388</v>
      </c>
      <c r="K261">
        <v>6.18</v>
      </c>
      <c r="L261">
        <v>9088</v>
      </c>
      <c r="M261">
        <v>2.2720000000000002</v>
      </c>
      <c r="O261">
        <v>8.452</v>
      </c>
      <c r="P261" s="3">
        <v>11</v>
      </c>
    </row>
    <row r="262" spans="1:16" x14ac:dyDescent="0.15">
      <c r="A262" t="s">
        <v>250</v>
      </c>
      <c r="B262">
        <v>8</v>
      </c>
      <c r="C262" s="3">
        <v>880</v>
      </c>
      <c r="D262" s="30" t="str">
        <f t="shared" si="4"/>
        <v>14M40S</v>
      </c>
      <c r="E262" s="3">
        <v>5310</v>
      </c>
      <c r="F262" s="3">
        <v>4425</v>
      </c>
      <c r="G262" s="3">
        <v>2655</v>
      </c>
      <c r="H262" s="3">
        <v>553</v>
      </c>
      <c r="K262">
        <v>8.7999999999999989</v>
      </c>
      <c r="L262">
        <v>12943</v>
      </c>
      <c r="M262">
        <v>3.2357499999999999</v>
      </c>
      <c r="O262">
        <v>12.035749999999998</v>
      </c>
      <c r="P262" s="3">
        <v>14</v>
      </c>
    </row>
    <row r="263" spans="1:16" x14ac:dyDescent="0.15">
      <c r="A263" t="s">
        <v>250</v>
      </c>
      <c r="B263">
        <v>9</v>
      </c>
      <c r="C263" s="3">
        <v>1252</v>
      </c>
      <c r="D263" s="30" t="str">
        <f t="shared" si="4"/>
        <v>20M52S</v>
      </c>
      <c r="E263" s="3">
        <v>7555</v>
      </c>
      <c r="F263" s="3">
        <v>6296</v>
      </c>
      <c r="G263" s="3">
        <v>3777</v>
      </c>
      <c r="H263" s="3">
        <v>787</v>
      </c>
      <c r="K263">
        <v>6.9555555555555557</v>
      </c>
      <c r="L263">
        <v>18415</v>
      </c>
      <c r="M263">
        <v>4.6037499999999998</v>
      </c>
      <c r="O263">
        <v>11.559305555555556</v>
      </c>
      <c r="P263" s="3">
        <v>18</v>
      </c>
    </row>
    <row r="264" spans="1:16" x14ac:dyDescent="0.15">
      <c r="A264" t="s">
        <v>250</v>
      </c>
      <c r="B264">
        <v>10</v>
      </c>
      <c r="C264" s="3">
        <v>1782</v>
      </c>
      <c r="D264" s="30" t="str">
        <f t="shared" si="4"/>
        <v>29M42S</v>
      </c>
      <c r="E264" s="3">
        <v>10753</v>
      </c>
      <c r="F264" s="3">
        <v>8961</v>
      </c>
      <c r="G264" s="3">
        <v>5376</v>
      </c>
      <c r="H264" s="3">
        <v>1120</v>
      </c>
      <c r="K264">
        <v>9.9</v>
      </c>
      <c r="L264">
        <v>26210</v>
      </c>
      <c r="M264">
        <v>6.5525000000000002</v>
      </c>
      <c r="O264">
        <v>16.452500000000001</v>
      </c>
      <c r="P264" s="3">
        <v>22</v>
      </c>
    </row>
    <row r="265" spans="1:16" x14ac:dyDescent="0.15">
      <c r="A265" t="s">
        <v>250</v>
      </c>
      <c r="B265">
        <v>11</v>
      </c>
      <c r="C265" s="3">
        <v>2536</v>
      </c>
      <c r="D265" s="30" t="str">
        <f t="shared" si="4"/>
        <v>42M16S</v>
      </c>
      <c r="E265" s="3">
        <v>15303</v>
      </c>
      <c r="F265" s="3">
        <v>12752</v>
      </c>
      <c r="G265" s="3">
        <v>7651</v>
      </c>
      <c r="H265" s="3">
        <v>1594</v>
      </c>
      <c r="K265">
        <v>14.088888888888889</v>
      </c>
      <c r="L265">
        <v>37300</v>
      </c>
      <c r="M265">
        <v>9.3250000000000011</v>
      </c>
      <c r="O265">
        <v>23.413888888888891</v>
      </c>
      <c r="P265" s="3">
        <v>31</v>
      </c>
    </row>
    <row r="266" spans="1:16" x14ac:dyDescent="0.15">
      <c r="A266" t="s">
        <v>250</v>
      </c>
      <c r="B266">
        <v>12</v>
      </c>
      <c r="C266" s="3">
        <v>3609</v>
      </c>
      <c r="D266" s="30" t="str">
        <f t="shared" si="4"/>
        <v>1H9S</v>
      </c>
      <c r="E266" s="3">
        <v>21778</v>
      </c>
      <c r="F266" s="3">
        <v>18148</v>
      </c>
      <c r="G266" s="3">
        <v>10889</v>
      </c>
      <c r="H266" s="3">
        <v>2268</v>
      </c>
      <c r="K266">
        <v>10.024999999999999</v>
      </c>
      <c r="L266">
        <v>53083</v>
      </c>
      <c r="M266">
        <v>13.27075</v>
      </c>
      <c r="O266">
        <v>23.295749999999998</v>
      </c>
      <c r="P266" s="3">
        <v>31</v>
      </c>
    </row>
    <row r="267" spans="1:16" x14ac:dyDescent="0.15">
      <c r="A267" t="s">
        <v>250</v>
      </c>
      <c r="B267">
        <v>13</v>
      </c>
      <c r="C267" s="3">
        <v>5136</v>
      </c>
      <c r="D267" s="30" t="str">
        <f t="shared" si="4"/>
        <v>1H25M36S</v>
      </c>
      <c r="E267" s="3">
        <v>30993</v>
      </c>
      <c r="F267" s="3">
        <v>25827</v>
      </c>
      <c r="G267" s="3">
        <v>15496</v>
      </c>
      <c r="H267" s="3">
        <v>3228</v>
      </c>
      <c r="K267">
        <v>14.266666666666667</v>
      </c>
      <c r="L267">
        <v>75544</v>
      </c>
      <c r="M267">
        <v>18.885999999999999</v>
      </c>
      <c r="O267">
        <v>33.152666666666669</v>
      </c>
      <c r="P267" s="3">
        <v>44</v>
      </c>
    </row>
    <row r="268" spans="1:16" x14ac:dyDescent="0.15">
      <c r="A268" t="s">
        <v>250</v>
      </c>
      <c r="B268">
        <v>14</v>
      </c>
      <c r="C268" s="3">
        <v>7309</v>
      </c>
      <c r="D268" s="30" t="str">
        <f t="shared" si="4"/>
        <v>2H1M49S</v>
      </c>
      <c r="E268" s="3">
        <v>44106</v>
      </c>
      <c r="F268" s="3">
        <v>36755</v>
      </c>
      <c r="G268" s="3">
        <v>22053</v>
      </c>
      <c r="H268" s="3">
        <v>4594</v>
      </c>
      <c r="K268">
        <v>20.302777777777777</v>
      </c>
      <c r="L268">
        <v>107508</v>
      </c>
      <c r="M268">
        <v>26.876999999999999</v>
      </c>
      <c r="O268">
        <v>47.179777777777772</v>
      </c>
      <c r="P268" s="3">
        <v>62</v>
      </c>
    </row>
    <row r="269" spans="1:16" x14ac:dyDescent="0.15">
      <c r="A269" t="s">
        <v>250</v>
      </c>
      <c r="B269">
        <v>15</v>
      </c>
      <c r="C269" s="3">
        <v>10402</v>
      </c>
      <c r="D269" s="30" t="str">
        <f t="shared" si="4"/>
        <v>2H53M22S</v>
      </c>
      <c r="E269" s="3">
        <v>62770</v>
      </c>
      <c r="F269" s="3">
        <v>52309</v>
      </c>
      <c r="G269" s="3">
        <v>31385</v>
      </c>
      <c r="H269" s="3">
        <v>6538</v>
      </c>
      <c r="K269">
        <v>17.336666666666666</v>
      </c>
      <c r="L269">
        <v>153002</v>
      </c>
      <c r="M269">
        <v>38.250500000000002</v>
      </c>
      <c r="O269">
        <v>55.587166666666668</v>
      </c>
      <c r="P269" s="3">
        <v>73</v>
      </c>
    </row>
    <row r="270" spans="1:16" x14ac:dyDescent="0.15">
      <c r="A270" t="s">
        <v>250</v>
      </c>
      <c r="B270">
        <v>16</v>
      </c>
      <c r="C270" s="3">
        <v>14802</v>
      </c>
      <c r="D270" s="30" t="str">
        <f t="shared" si="4"/>
        <v>4H6M42S</v>
      </c>
      <c r="E270" s="3">
        <v>89322</v>
      </c>
      <c r="F270" s="3">
        <v>74435</v>
      </c>
      <c r="G270" s="3">
        <v>44661</v>
      </c>
      <c r="H270" s="3">
        <v>9304</v>
      </c>
      <c r="K270">
        <v>24.67</v>
      </c>
      <c r="L270">
        <v>217722</v>
      </c>
      <c r="M270">
        <v>54.430500000000002</v>
      </c>
      <c r="O270">
        <v>79.100500000000011</v>
      </c>
      <c r="P270" s="3">
        <v>103</v>
      </c>
    </row>
    <row r="271" spans="1:16" x14ac:dyDescent="0.15">
      <c r="A271" t="s">
        <v>250</v>
      </c>
      <c r="B271">
        <v>17</v>
      </c>
      <c r="C271" s="3">
        <v>21064</v>
      </c>
      <c r="D271" s="30" t="str">
        <f t="shared" si="4"/>
        <v>5H51M4S</v>
      </c>
      <c r="E271" s="3">
        <v>127110</v>
      </c>
      <c r="F271" s="3">
        <v>105925</v>
      </c>
      <c r="G271" s="3">
        <v>63555</v>
      </c>
      <c r="H271" s="3">
        <v>13240</v>
      </c>
      <c r="K271">
        <v>35.106666666666669</v>
      </c>
      <c r="L271">
        <v>309830</v>
      </c>
      <c r="M271">
        <v>68.162599999999998</v>
      </c>
      <c r="O271">
        <v>103.26926666666667</v>
      </c>
      <c r="P271" s="3">
        <v>135</v>
      </c>
    </row>
    <row r="272" spans="1:16" x14ac:dyDescent="0.15">
      <c r="A272" t="s">
        <v>250</v>
      </c>
      <c r="B272">
        <v>18</v>
      </c>
      <c r="C272" s="3">
        <v>29976</v>
      </c>
      <c r="D272" s="30" t="str">
        <f t="shared" si="4"/>
        <v>8H19M36S</v>
      </c>
      <c r="E272" s="3">
        <v>180890</v>
      </c>
      <c r="F272" s="3">
        <v>150742</v>
      </c>
      <c r="G272" s="3">
        <v>90445</v>
      </c>
      <c r="H272" s="3">
        <v>18842</v>
      </c>
      <c r="K272">
        <v>41.633333333333333</v>
      </c>
      <c r="L272">
        <v>440919</v>
      </c>
      <c r="M272">
        <v>97.00218000000001</v>
      </c>
      <c r="O272">
        <v>138.63551333333334</v>
      </c>
      <c r="P272" s="3">
        <v>181</v>
      </c>
    </row>
    <row r="273" spans="1:16" x14ac:dyDescent="0.15">
      <c r="A273" t="s">
        <v>250</v>
      </c>
      <c r="B273">
        <v>19</v>
      </c>
      <c r="C273" s="3">
        <v>42657</v>
      </c>
      <c r="D273" s="30" t="str">
        <f t="shared" si="4"/>
        <v>11H50M57S</v>
      </c>
      <c r="E273" s="3">
        <v>257414</v>
      </c>
      <c r="F273" s="3">
        <v>214511</v>
      </c>
      <c r="G273" s="3">
        <v>128707</v>
      </c>
      <c r="H273" s="3">
        <v>26813</v>
      </c>
      <c r="K273">
        <v>59.245833333333337</v>
      </c>
      <c r="L273">
        <v>627445</v>
      </c>
      <c r="M273">
        <v>119.21455</v>
      </c>
      <c r="O273">
        <v>178.46038333333334</v>
      </c>
      <c r="P273" s="3">
        <v>232</v>
      </c>
    </row>
    <row r="274" spans="1:16" x14ac:dyDescent="0.15">
      <c r="A274" t="s">
        <v>250</v>
      </c>
      <c r="B274">
        <v>20</v>
      </c>
      <c r="C274" s="3">
        <v>60703</v>
      </c>
      <c r="D274" s="30" t="str">
        <f t="shared" si="4"/>
        <v>16H51M43S</v>
      </c>
      <c r="E274" s="3">
        <v>366312</v>
      </c>
      <c r="F274" s="3">
        <v>305260</v>
      </c>
      <c r="G274" s="3">
        <v>183156</v>
      </c>
      <c r="H274" s="3">
        <v>38157</v>
      </c>
      <c r="J274" t="s">
        <v>63</v>
      </c>
      <c r="K274">
        <v>73.068425925925936</v>
      </c>
      <c r="L274">
        <v>892885</v>
      </c>
      <c r="M274">
        <v>169.64815000000002</v>
      </c>
      <c r="N274">
        <v>40</v>
      </c>
      <c r="O274">
        <v>282.71657592592595</v>
      </c>
      <c r="P274" s="3">
        <v>368</v>
      </c>
    </row>
    <row r="275" spans="1:16" x14ac:dyDescent="0.15">
      <c r="A275" t="s">
        <v>251</v>
      </c>
      <c r="B275">
        <v>0</v>
      </c>
      <c r="D275" s="30" t="str">
        <f t="shared" si="4"/>
        <v>0S</v>
      </c>
      <c r="K275">
        <v>0</v>
      </c>
      <c r="L275">
        <v>0</v>
      </c>
      <c r="M275">
        <v>0</v>
      </c>
      <c r="O275">
        <v>0</v>
      </c>
      <c r="P275" s="3">
        <v>0</v>
      </c>
    </row>
    <row r="276" spans="1:16" x14ac:dyDescent="0.15">
      <c r="A276" t="s">
        <v>251</v>
      </c>
      <c r="B276">
        <v>1</v>
      </c>
      <c r="C276" s="3">
        <v>99</v>
      </c>
      <c r="D276" s="30" t="str">
        <f t="shared" si="4"/>
        <v>1M39S</v>
      </c>
      <c r="E276" s="3">
        <v>149</v>
      </c>
      <c r="F276" s="3">
        <v>746</v>
      </c>
      <c r="G276" s="3">
        <v>373</v>
      </c>
      <c r="H276" s="3">
        <v>112</v>
      </c>
      <c r="K276">
        <v>1.65</v>
      </c>
      <c r="L276">
        <v>1380</v>
      </c>
      <c r="M276">
        <v>0.34500000000000003</v>
      </c>
      <c r="O276">
        <v>1.9949999999999999</v>
      </c>
      <c r="P276" s="3">
        <v>3</v>
      </c>
    </row>
    <row r="277" spans="1:16" x14ac:dyDescent="0.15">
      <c r="A277" t="s">
        <v>251</v>
      </c>
      <c r="B277">
        <v>2</v>
      </c>
      <c r="C277" s="3">
        <v>141</v>
      </c>
      <c r="D277" s="30" t="str">
        <f t="shared" si="4"/>
        <v>2M21S</v>
      </c>
      <c r="E277" s="3">
        <v>212</v>
      </c>
      <c r="F277" s="3">
        <v>1063</v>
      </c>
      <c r="G277" s="3">
        <v>531</v>
      </c>
      <c r="H277" s="3">
        <v>159</v>
      </c>
      <c r="K277">
        <v>2.35</v>
      </c>
      <c r="L277">
        <v>1965</v>
      </c>
      <c r="M277">
        <v>0.49125000000000002</v>
      </c>
      <c r="O277">
        <v>2.8412500000000001</v>
      </c>
      <c r="P277" s="3">
        <v>4</v>
      </c>
    </row>
    <row r="278" spans="1:16" x14ac:dyDescent="0.15">
      <c r="A278" t="s">
        <v>251</v>
      </c>
      <c r="B278">
        <v>3</v>
      </c>
      <c r="C278" s="3">
        <v>201</v>
      </c>
      <c r="D278" s="30" t="str">
        <f t="shared" si="4"/>
        <v>3M21S</v>
      </c>
      <c r="E278" s="3">
        <v>303</v>
      </c>
      <c r="F278" s="3">
        <v>1516</v>
      </c>
      <c r="G278" s="3">
        <v>758</v>
      </c>
      <c r="H278" s="3">
        <v>227</v>
      </c>
      <c r="K278">
        <v>3.35</v>
      </c>
      <c r="L278">
        <v>2804</v>
      </c>
      <c r="M278">
        <v>0.70100000000000007</v>
      </c>
      <c r="O278">
        <v>4.0510000000000002</v>
      </c>
      <c r="P278" s="3">
        <v>6</v>
      </c>
    </row>
    <row r="279" spans="1:16" x14ac:dyDescent="0.15">
      <c r="A279" t="s">
        <v>251</v>
      </c>
      <c r="B279">
        <v>4</v>
      </c>
      <c r="C279" s="3">
        <v>286</v>
      </c>
      <c r="D279" s="30" t="str">
        <f t="shared" si="4"/>
        <v>4M46S</v>
      </c>
      <c r="E279" s="3">
        <v>431</v>
      </c>
      <c r="F279" s="3">
        <v>2157</v>
      </c>
      <c r="G279" s="3">
        <v>1078</v>
      </c>
      <c r="H279" s="3">
        <v>323</v>
      </c>
      <c r="K279">
        <v>4.7666666666666666</v>
      </c>
      <c r="L279">
        <v>3989</v>
      </c>
      <c r="M279">
        <v>0.99724999999999997</v>
      </c>
      <c r="O279">
        <v>5.7639166666666668</v>
      </c>
      <c r="P279" s="3">
        <v>7</v>
      </c>
    </row>
    <row r="280" spans="1:16" x14ac:dyDescent="0.15">
      <c r="A280" t="s">
        <v>251</v>
      </c>
      <c r="B280">
        <v>5</v>
      </c>
      <c r="C280" s="3">
        <v>407</v>
      </c>
      <c r="D280" s="30" t="str">
        <f t="shared" si="4"/>
        <v>6M47S</v>
      </c>
      <c r="E280" s="3">
        <v>614</v>
      </c>
      <c r="F280" s="3">
        <v>3070</v>
      </c>
      <c r="G280" s="3">
        <v>1535</v>
      </c>
      <c r="H280" s="3">
        <v>460</v>
      </c>
      <c r="K280">
        <v>4.07</v>
      </c>
      <c r="L280">
        <v>5679</v>
      </c>
      <c r="M280">
        <v>1.4197500000000001</v>
      </c>
      <c r="O280">
        <v>5.4897500000000008</v>
      </c>
      <c r="P280" s="3">
        <v>9</v>
      </c>
    </row>
    <row r="281" spans="1:16" x14ac:dyDescent="0.15">
      <c r="A281" t="s">
        <v>251</v>
      </c>
      <c r="B281">
        <v>6</v>
      </c>
      <c r="C281" s="3">
        <v>579</v>
      </c>
      <c r="D281" s="30" t="str">
        <f t="shared" si="4"/>
        <v>9M39S</v>
      </c>
      <c r="E281" s="3">
        <v>873</v>
      </c>
      <c r="F281" s="3">
        <v>4367</v>
      </c>
      <c r="G281" s="3">
        <v>2183</v>
      </c>
      <c r="H281" s="3">
        <v>655</v>
      </c>
      <c r="K281">
        <v>5.79</v>
      </c>
      <c r="L281">
        <v>8078</v>
      </c>
      <c r="M281">
        <v>2.0194999999999999</v>
      </c>
      <c r="O281">
        <v>7.8094999999999999</v>
      </c>
      <c r="P281" s="3">
        <v>11</v>
      </c>
    </row>
    <row r="282" spans="1:16" x14ac:dyDescent="0.15">
      <c r="A282" t="s">
        <v>251</v>
      </c>
      <c r="B282">
        <v>7</v>
      </c>
      <c r="C282" s="3">
        <v>824</v>
      </c>
      <c r="D282" s="30" t="str">
        <f t="shared" si="4"/>
        <v>13M44S</v>
      </c>
      <c r="E282" s="3">
        <v>1243</v>
      </c>
      <c r="F282" s="3">
        <v>6215</v>
      </c>
      <c r="G282" s="3">
        <v>3107</v>
      </c>
      <c r="H282" s="3">
        <v>932</v>
      </c>
      <c r="K282">
        <v>8.24</v>
      </c>
      <c r="L282">
        <v>11497</v>
      </c>
      <c r="M282">
        <v>2.87425</v>
      </c>
      <c r="O282">
        <v>11.11425</v>
      </c>
      <c r="P282" s="3">
        <v>13</v>
      </c>
    </row>
    <row r="283" spans="1:16" x14ac:dyDescent="0.15">
      <c r="A283" t="s">
        <v>251</v>
      </c>
      <c r="B283">
        <v>8</v>
      </c>
      <c r="C283" s="3">
        <v>1173</v>
      </c>
      <c r="D283" s="30" t="str">
        <f t="shared" si="4"/>
        <v>19M33S</v>
      </c>
      <c r="E283" s="3">
        <v>1769</v>
      </c>
      <c r="F283" s="3">
        <v>8848</v>
      </c>
      <c r="G283" s="3">
        <v>4424</v>
      </c>
      <c r="H283" s="3">
        <v>1327</v>
      </c>
      <c r="K283">
        <v>6.5166666666666657</v>
      </c>
      <c r="L283">
        <v>16368</v>
      </c>
      <c r="M283">
        <v>4.0920000000000005</v>
      </c>
      <c r="O283">
        <v>10.608666666666666</v>
      </c>
      <c r="P283" s="3">
        <v>16</v>
      </c>
    </row>
    <row r="284" spans="1:16" x14ac:dyDescent="0.15">
      <c r="A284" t="s">
        <v>251</v>
      </c>
      <c r="B284">
        <v>9</v>
      </c>
      <c r="C284" s="3">
        <v>1669</v>
      </c>
      <c r="D284" s="30" t="str">
        <f t="shared" si="4"/>
        <v>27M49S</v>
      </c>
      <c r="E284" s="3">
        <v>2517</v>
      </c>
      <c r="F284" s="3">
        <v>12589</v>
      </c>
      <c r="G284" s="3">
        <v>6294</v>
      </c>
      <c r="H284" s="3">
        <v>1888</v>
      </c>
      <c r="K284">
        <v>9.2722222222222221</v>
      </c>
      <c r="L284">
        <v>23288</v>
      </c>
      <c r="M284">
        <v>5.8220000000000001</v>
      </c>
      <c r="O284">
        <v>15.094222222222221</v>
      </c>
      <c r="P284" s="3">
        <v>20</v>
      </c>
    </row>
    <row r="285" spans="1:16" x14ac:dyDescent="0.15">
      <c r="A285" t="s">
        <v>251</v>
      </c>
      <c r="B285">
        <v>10</v>
      </c>
      <c r="C285" s="3">
        <v>2376</v>
      </c>
      <c r="D285" s="30" t="str">
        <f t="shared" si="4"/>
        <v>39M36S</v>
      </c>
      <c r="E285" s="3">
        <v>3584</v>
      </c>
      <c r="F285" s="3">
        <v>17922</v>
      </c>
      <c r="G285" s="3">
        <v>8961</v>
      </c>
      <c r="H285" s="3">
        <v>2688</v>
      </c>
      <c r="K285">
        <v>13.200000000000001</v>
      </c>
      <c r="L285">
        <v>33155</v>
      </c>
      <c r="M285">
        <v>8.2887500000000003</v>
      </c>
      <c r="O285">
        <v>21.488750000000003</v>
      </c>
      <c r="P285" s="3">
        <v>28</v>
      </c>
    </row>
    <row r="286" spans="1:16" x14ac:dyDescent="0.15">
      <c r="A286" t="s">
        <v>251</v>
      </c>
      <c r="B286">
        <v>11</v>
      </c>
      <c r="C286" s="3">
        <v>3381</v>
      </c>
      <c r="D286" s="30" t="str">
        <f t="shared" si="4"/>
        <v>56M21S</v>
      </c>
      <c r="E286" s="3">
        <v>5100</v>
      </c>
      <c r="F286" s="3">
        <v>25503</v>
      </c>
      <c r="G286" s="3">
        <v>12751</v>
      </c>
      <c r="H286" s="3">
        <v>3825</v>
      </c>
      <c r="K286">
        <v>18.783333333333335</v>
      </c>
      <c r="L286">
        <v>47179</v>
      </c>
      <c r="M286">
        <v>11.794750000000001</v>
      </c>
      <c r="O286">
        <v>30.578083333333336</v>
      </c>
      <c r="P286" s="3">
        <v>38</v>
      </c>
    </row>
    <row r="287" spans="1:16" x14ac:dyDescent="0.15">
      <c r="A287" t="s">
        <v>251</v>
      </c>
      <c r="B287">
        <v>12</v>
      </c>
      <c r="C287" s="3">
        <v>4812</v>
      </c>
      <c r="D287" s="30" t="str">
        <f t="shared" si="4"/>
        <v>1H20M12S</v>
      </c>
      <c r="E287" s="3">
        <v>7259</v>
      </c>
      <c r="F287" s="3">
        <v>36297</v>
      </c>
      <c r="G287" s="3">
        <v>18148</v>
      </c>
      <c r="H287" s="3">
        <v>5444</v>
      </c>
      <c r="K287">
        <v>13.366666666666667</v>
      </c>
      <c r="L287">
        <v>67148</v>
      </c>
      <c r="M287">
        <v>16.786999999999999</v>
      </c>
      <c r="O287">
        <v>30.153666666666666</v>
      </c>
      <c r="P287" s="3">
        <v>42</v>
      </c>
    </row>
    <row r="288" spans="1:16" x14ac:dyDescent="0.15">
      <c r="A288" t="s">
        <v>251</v>
      </c>
      <c r="B288">
        <v>13</v>
      </c>
      <c r="C288" s="3">
        <v>6848</v>
      </c>
      <c r="D288" s="30" t="str">
        <f t="shared" si="4"/>
        <v>1H54M8S</v>
      </c>
      <c r="E288" s="3">
        <v>10331</v>
      </c>
      <c r="F288" s="3">
        <v>51655</v>
      </c>
      <c r="G288" s="3">
        <v>25827</v>
      </c>
      <c r="H288" s="3">
        <v>7748</v>
      </c>
      <c r="K288">
        <v>19.022222222222222</v>
      </c>
      <c r="L288">
        <v>95561</v>
      </c>
      <c r="M288">
        <v>23.890250000000002</v>
      </c>
      <c r="O288">
        <v>42.91247222222222</v>
      </c>
      <c r="P288" s="3">
        <v>56</v>
      </c>
    </row>
    <row r="289" spans="1:16" x14ac:dyDescent="0.15">
      <c r="A289" t="s">
        <v>251</v>
      </c>
      <c r="B289">
        <v>14</v>
      </c>
      <c r="C289" s="3">
        <v>9745</v>
      </c>
      <c r="D289" s="30" t="str">
        <f t="shared" si="4"/>
        <v>2H42M25S</v>
      </c>
      <c r="E289" s="3">
        <v>14701</v>
      </c>
      <c r="F289" s="3">
        <v>73507</v>
      </c>
      <c r="G289" s="3">
        <v>36753</v>
      </c>
      <c r="H289" s="3">
        <v>11026</v>
      </c>
      <c r="K289">
        <v>16.241666666666667</v>
      </c>
      <c r="L289">
        <v>135987</v>
      </c>
      <c r="M289">
        <v>33.996749999999999</v>
      </c>
      <c r="O289">
        <v>50.238416666666666</v>
      </c>
      <c r="P289" s="3">
        <v>66</v>
      </c>
    </row>
    <row r="290" spans="1:16" x14ac:dyDescent="0.15">
      <c r="A290" t="s">
        <v>251</v>
      </c>
      <c r="B290">
        <v>15</v>
      </c>
      <c r="C290" s="3">
        <v>13868</v>
      </c>
      <c r="D290" s="30" t="str">
        <f t="shared" si="4"/>
        <v>3H51M8S</v>
      </c>
      <c r="E290" s="3">
        <v>20921</v>
      </c>
      <c r="F290" s="3">
        <v>104607</v>
      </c>
      <c r="G290" s="3">
        <v>52303</v>
      </c>
      <c r="H290" s="3">
        <v>15691</v>
      </c>
      <c r="K290">
        <v>23.113333333333333</v>
      </c>
      <c r="L290">
        <v>193522</v>
      </c>
      <c r="M290">
        <v>48.380499999999998</v>
      </c>
      <c r="O290">
        <v>71.493833333333328</v>
      </c>
      <c r="P290" s="3">
        <v>93</v>
      </c>
    </row>
    <row r="291" spans="1:16" x14ac:dyDescent="0.15">
      <c r="A291" t="s">
        <v>251</v>
      </c>
      <c r="B291">
        <v>16</v>
      </c>
      <c r="C291" s="3">
        <v>19734</v>
      </c>
      <c r="D291" s="30" t="str">
        <f t="shared" si="4"/>
        <v>5H28M54S</v>
      </c>
      <c r="E291" s="3">
        <v>29771</v>
      </c>
      <c r="F291" s="3">
        <v>148855</v>
      </c>
      <c r="G291" s="3">
        <v>74427</v>
      </c>
      <c r="H291" s="3">
        <v>22328</v>
      </c>
      <c r="K291">
        <v>32.89</v>
      </c>
      <c r="L291">
        <v>275381</v>
      </c>
      <c r="M291">
        <v>60.583820000000003</v>
      </c>
      <c r="O291">
        <v>93.473820000000003</v>
      </c>
      <c r="P291" s="3">
        <v>122</v>
      </c>
    </row>
    <row r="292" spans="1:16" x14ac:dyDescent="0.15">
      <c r="A292" t="s">
        <v>251</v>
      </c>
      <c r="B292">
        <v>17</v>
      </c>
      <c r="C292" s="3">
        <v>28083</v>
      </c>
      <c r="D292" s="30" t="str">
        <f t="shared" si="4"/>
        <v>7H48M3S</v>
      </c>
      <c r="E292" s="3">
        <v>42366</v>
      </c>
      <c r="F292" s="3">
        <v>211833</v>
      </c>
      <c r="G292" s="3">
        <v>105916</v>
      </c>
      <c r="H292" s="3">
        <v>31774</v>
      </c>
      <c r="K292">
        <v>46.805</v>
      </c>
      <c r="L292">
        <v>391889</v>
      </c>
      <c r="M292">
        <v>86.215580000000003</v>
      </c>
      <c r="O292">
        <v>133.02058</v>
      </c>
      <c r="P292" s="3">
        <v>173</v>
      </c>
    </row>
    <row r="293" spans="1:16" x14ac:dyDescent="0.15">
      <c r="A293" t="s">
        <v>251</v>
      </c>
      <c r="B293">
        <v>18</v>
      </c>
      <c r="C293" s="3">
        <v>39964</v>
      </c>
      <c r="D293" s="30" t="str">
        <f t="shared" si="4"/>
        <v>11H6M4S</v>
      </c>
      <c r="E293" s="3">
        <v>60290</v>
      </c>
      <c r="F293" s="3">
        <v>301452</v>
      </c>
      <c r="G293" s="3">
        <v>150726</v>
      </c>
      <c r="H293" s="3">
        <v>45217</v>
      </c>
      <c r="K293">
        <v>55.505555555555553</v>
      </c>
      <c r="L293">
        <v>557685</v>
      </c>
      <c r="M293">
        <v>105.96015000000001</v>
      </c>
      <c r="O293">
        <v>161.46570555555556</v>
      </c>
      <c r="P293" s="3">
        <v>210</v>
      </c>
    </row>
    <row r="294" spans="1:16" x14ac:dyDescent="0.15">
      <c r="A294" t="s">
        <v>251</v>
      </c>
      <c r="B294">
        <v>19</v>
      </c>
      <c r="C294" s="3">
        <v>56871</v>
      </c>
      <c r="D294" s="30" t="str">
        <f t="shared" si="4"/>
        <v>15H47M51S</v>
      </c>
      <c r="E294" s="3">
        <v>85796</v>
      </c>
      <c r="F294" s="3">
        <v>428984</v>
      </c>
      <c r="G294" s="3">
        <v>214492</v>
      </c>
      <c r="H294" s="3">
        <v>64347</v>
      </c>
      <c r="K294">
        <v>68.455833333333331</v>
      </c>
      <c r="L294">
        <v>793619</v>
      </c>
      <c r="M294">
        <v>150.78761</v>
      </c>
      <c r="O294">
        <v>219.24344333333335</v>
      </c>
      <c r="P294" s="3">
        <v>286</v>
      </c>
    </row>
    <row r="295" spans="1:16" x14ac:dyDescent="0.15">
      <c r="A295" t="s">
        <v>251</v>
      </c>
      <c r="B295">
        <v>20</v>
      </c>
      <c r="C295" s="3">
        <v>80930</v>
      </c>
      <c r="D295" s="30" t="str">
        <f t="shared" si="4"/>
        <v>22H28M50S</v>
      </c>
      <c r="E295" s="3">
        <v>122092</v>
      </c>
      <c r="F295" s="3">
        <v>610463</v>
      </c>
      <c r="G295" s="3">
        <v>305231</v>
      </c>
      <c r="H295" s="3">
        <v>91569</v>
      </c>
      <c r="J295" t="s">
        <v>63</v>
      </c>
      <c r="K295">
        <v>97.415740740740731</v>
      </c>
      <c r="L295">
        <v>1129355</v>
      </c>
      <c r="M295">
        <v>214.57745</v>
      </c>
      <c r="N295">
        <v>40</v>
      </c>
      <c r="O295">
        <v>351.99319074074072</v>
      </c>
      <c r="P295" s="3">
        <v>458</v>
      </c>
    </row>
    <row r="296" spans="1:16" x14ac:dyDescent="0.15">
      <c r="A296" t="s">
        <v>252</v>
      </c>
      <c r="B296">
        <v>0</v>
      </c>
      <c r="C296" s="3">
        <v>0</v>
      </c>
      <c r="D296" s="30" t="str">
        <f t="shared" si="4"/>
        <v>0S</v>
      </c>
      <c r="K296">
        <v>0</v>
      </c>
      <c r="L296">
        <v>0</v>
      </c>
      <c r="M296">
        <v>0</v>
      </c>
      <c r="O296">
        <v>0</v>
      </c>
    </row>
    <row r="297" spans="1:16" x14ac:dyDescent="0.15">
      <c r="A297" t="s">
        <v>252</v>
      </c>
      <c r="B297">
        <v>1</v>
      </c>
      <c r="C297" s="3">
        <v>5</v>
      </c>
      <c r="D297" s="30" t="str">
        <f t="shared" si="4"/>
        <v>5S</v>
      </c>
      <c r="E297" s="3">
        <v>150</v>
      </c>
      <c r="F297" s="3">
        <v>300</v>
      </c>
      <c r="G297" s="3">
        <v>200</v>
      </c>
      <c r="H297" s="3">
        <v>50</v>
      </c>
      <c r="K297">
        <v>8.3333333333333329E-2</v>
      </c>
      <c r="L297">
        <v>700</v>
      </c>
      <c r="M297">
        <v>0.17500000000000002</v>
      </c>
      <c r="O297">
        <v>0.25833333333333336</v>
      </c>
      <c r="P297" s="3">
        <v>1</v>
      </c>
    </row>
    <row r="298" spans="1:16" x14ac:dyDescent="0.15">
      <c r="A298" t="s">
        <v>252</v>
      </c>
      <c r="B298">
        <v>2</v>
      </c>
      <c r="C298" s="3">
        <v>30</v>
      </c>
      <c r="D298" s="30" t="str">
        <f t="shared" si="4"/>
        <v>30S</v>
      </c>
      <c r="E298" s="3">
        <v>300</v>
      </c>
      <c r="F298" s="3">
        <v>600</v>
      </c>
      <c r="G298" s="3">
        <v>400</v>
      </c>
      <c r="H298" s="3">
        <v>100</v>
      </c>
      <c r="K298">
        <v>0.5</v>
      </c>
      <c r="L298">
        <v>1400</v>
      </c>
      <c r="M298">
        <v>0.35000000000000003</v>
      </c>
      <c r="O298">
        <v>0.85000000000000009</v>
      </c>
      <c r="P298" s="3">
        <v>2</v>
      </c>
    </row>
    <row r="299" spans="1:16" x14ac:dyDescent="0.15">
      <c r="A299" t="s">
        <v>252</v>
      </c>
      <c r="B299">
        <v>3</v>
      </c>
      <c r="C299" s="3">
        <v>61</v>
      </c>
      <c r="D299" s="30" t="str">
        <f t="shared" si="4"/>
        <v>1M1S</v>
      </c>
      <c r="E299" s="3">
        <v>600</v>
      </c>
      <c r="F299" s="3">
        <v>1200</v>
      </c>
      <c r="G299" s="3">
        <v>800</v>
      </c>
      <c r="H299" s="3">
        <v>200</v>
      </c>
      <c r="K299">
        <v>1.0166666666666666</v>
      </c>
      <c r="L299">
        <v>2800</v>
      </c>
      <c r="M299">
        <v>0.70000000000000007</v>
      </c>
      <c r="O299">
        <v>1.7166666666666668</v>
      </c>
      <c r="P299" s="3">
        <v>3</v>
      </c>
    </row>
    <row r="300" spans="1:16" x14ac:dyDescent="0.15">
      <c r="A300" t="s">
        <v>252</v>
      </c>
      <c r="B300">
        <v>4</v>
      </c>
      <c r="C300" s="3">
        <v>124</v>
      </c>
      <c r="D300" s="30" t="str">
        <f t="shared" si="4"/>
        <v>2M4S</v>
      </c>
      <c r="E300" s="3">
        <v>1200</v>
      </c>
      <c r="F300" s="3">
        <v>2400</v>
      </c>
      <c r="G300" s="3">
        <v>1600</v>
      </c>
      <c r="H300" s="3">
        <v>400</v>
      </c>
      <c r="K300">
        <v>2.0666666666666669</v>
      </c>
      <c r="L300">
        <v>5600</v>
      </c>
      <c r="M300">
        <v>1.4000000000000001</v>
      </c>
      <c r="O300">
        <v>3.4666666666666668</v>
      </c>
      <c r="P300" s="3">
        <v>4</v>
      </c>
    </row>
    <row r="301" spans="1:16" x14ac:dyDescent="0.15">
      <c r="A301" t="s">
        <v>252</v>
      </c>
      <c r="B301">
        <v>5</v>
      </c>
      <c r="C301" s="3">
        <v>252</v>
      </c>
      <c r="D301" s="30" t="str">
        <f t="shared" si="4"/>
        <v>4M12S</v>
      </c>
      <c r="E301" s="3">
        <v>2400</v>
      </c>
      <c r="F301" s="3">
        <v>4800</v>
      </c>
      <c r="G301" s="3">
        <v>3200</v>
      </c>
      <c r="H301" s="3">
        <v>800</v>
      </c>
      <c r="K301">
        <v>4.2</v>
      </c>
      <c r="L301">
        <v>11200</v>
      </c>
      <c r="M301">
        <v>2.8000000000000003</v>
      </c>
      <c r="O301">
        <v>7</v>
      </c>
      <c r="P301" s="3">
        <v>6</v>
      </c>
    </row>
    <row r="302" spans="1:16" x14ac:dyDescent="0.15">
      <c r="A302" t="s">
        <v>252</v>
      </c>
      <c r="B302">
        <v>6</v>
      </c>
      <c r="C302" s="3">
        <v>510</v>
      </c>
      <c r="D302" s="30" t="str">
        <f t="shared" si="4"/>
        <v>8M30S</v>
      </c>
      <c r="E302" s="3">
        <v>4800</v>
      </c>
      <c r="F302" s="3">
        <v>9600</v>
      </c>
      <c r="G302" s="3">
        <v>6400</v>
      </c>
      <c r="H302" s="3">
        <v>1600</v>
      </c>
      <c r="K302">
        <v>5.0999999999999996</v>
      </c>
      <c r="L302">
        <v>22400</v>
      </c>
      <c r="M302">
        <v>5.6000000000000005</v>
      </c>
      <c r="O302">
        <v>10.7</v>
      </c>
      <c r="P302" s="3">
        <v>10</v>
      </c>
    </row>
    <row r="303" spans="1:16" x14ac:dyDescent="0.15">
      <c r="A303" t="s">
        <v>252</v>
      </c>
      <c r="B303">
        <v>7</v>
      </c>
      <c r="C303" s="3">
        <v>1034</v>
      </c>
      <c r="D303" s="30" t="str">
        <f t="shared" si="4"/>
        <v>17M14S</v>
      </c>
      <c r="E303" s="3">
        <v>9600</v>
      </c>
      <c r="F303" s="3">
        <v>19200</v>
      </c>
      <c r="G303" s="3">
        <v>12800</v>
      </c>
      <c r="H303" s="3">
        <v>3200</v>
      </c>
      <c r="K303">
        <v>5.7444444444444445</v>
      </c>
      <c r="L303">
        <v>44800</v>
      </c>
      <c r="M303">
        <v>11.200000000000001</v>
      </c>
      <c r="O303">
        <v>16.944444444444446</v>
      </c>
      <c r="P303" s="3">
        <v>18</v>
      </c>
    </row>
    <row r="304" spans="1:16" x14ac:dyDescent="0.15">
      <c r="A304" t="s">
        <v>252</v>
      </c>
      <c r="B304">
        <v>8</v>
      </c>
      <c r="C304" s="3">
        <v>2094</v>
      </c>
      <c r="D304" s="30" t="str">
        <f t="shared" si="4"/>
        <v>34M54S</v>
      </c>
      <c r="E304" s="3">
        <v>19200</v>
      </c>
      <c r="F304" s="3">
        <v>38400</v>
      </c>
      <c r="G304" s="3">
        <v>25600</v>
      </c>
      <c r="H304" s="3">
        <v>6400</v>
      </c>
      <c r="K304">
        <v>11.633333333333333</v>
      </c>
      <c r="L304">
        <v>89600</v>
      </c>
      <c r="M304">
        <v>22.400000000000002</v>
      </c>
      <c r="O304">
        <v>34.033333333333331</v>
      </c>
      <c r="P304" s="3">
        <v>32</v>
      </c>
    </row>
    <row r="305" spans="1:16" x14ac:dyDescent="0.15">
      <c r="A305" t="s">
        <v>252</v>
      </c>
      <c r="B305">
        <v>9</v>
      </c>
      <c r="C305" s="3">
        <v>4241</v>
      </c>
      <c r="D305" s="30" t="str">
        <f t="shared" si="4"/>
        <v>1H10M41S</v>
      </c>
      <c r="E305" s="3">
        <v>38400</v>
      </c>
      <c r="F305" s="3">
        <v>76800</v>
      </c>
      <c r="G305" s="3">
        <v>51200</v>
      </c>
      <c r="H305" s="3">
        <v>12800</v>
      </c>
      <c r="K305">
        <v>11.780555555555557</v>
      </c>
      <c r="L305">
        <v>179200</v>
      </c>
      <c r="M305">
        <v>44.800000000000004</v>
      </c>
      <c r="O305">
        <v>56.580555555555563</v>
      </c>
      <c r="P305" s="3">
        <v>67</v>
      </c>
    </row>
    <row r="306" spans="1:16" x14ac:dyDescent="0.15">
      <c r="A306" t="s">
        <v>252</v>
      </c>
      <c r="B306">
        <v>10</v>
      </c>
      <c r="C306" s="3">
        <v>8588</v>
      </c>
      <c r="D306" s="30" t="str">
        <f t="shared" si="4"/>
        <v>2H23M8S</v>
      </c>
      <c r="E306" s="3">
        <v>76800</v>
      </c>
      <c r="F306" s="3">
        <v>153600</v>
      </c>
      <c r="G306" s="3">
        <v>102400</v>
      </c>
      <c r="H306" s="3">
        <v>25600</v>
      </c>
      <c r="J306" t="s">
        <v>63</v>
      </c>
      <c r="K306">
        <v>23.855555555555554</v>
      </c>
      <c r="L306">
        <v>358400</v>
      </c>
      <c r="M306">
        <v>78.847999999999999</v>
      </c>
      <c r="N306">
        <v>40</v>
      </c>
      <c r="O306">
        <v>142.70355555555557</v>
      </c>
      <c r="P306" s="3">
        <v>151</v>
      </c>
    </row>
    <row r="307" spans="1:16" x14ac:dyDescent="0.15">
      <c r="A307" t="s">
        <v>253</v>
      </c>
      <c r="B307">
        <v>0</v>
      </c>
      <c r="C307" s="3">
        <v>0</v>
      </c>
      <c r="D307" s="30" t="str">
        <f t="shared" si="4"/>
        <v>0S</v>
      </c>
      <c r="K307">
        <v>0</v>
      </c>
      <c r="L307">
        <v>0</v>
      </c>
      <c r="M307">
        <v>0</v>
      </c>
      <c r="O307">
        <v>0</v>
      </c>
    </row>
    <row r="308" spans="1:16" x14ac:dyDescent="0.15">
      <c r="A308" t="s">
        <v>253</v>
      </c>
      <c r="B308">
        <v>1</v>
      </c>
      <c r="C308" s="3">
        <v>5</v>
      </c>
      <c r="D308" s="30" t="str">
        <f t="shared" si="4"/>
        <v>5S</v>
      </c>
      <c r="E308" s="3">
        <v>400</v>
      </c>
      <c r="F308" s="3">
        <v>500</v>
      </c>
      <c r="G308" s="3">
        <v>150</v>
      </c>
      <c r="H308" s="3">
        <v>180</v>
      </c>
      <c r="K308">
        <v>8.3333333333333329E-2</v>
      </c>
      <c r="L308">
        <v>1230</v>
      </c>
      <c r="M308">
        <v>0.3075</v>
      </c>
      <c r="O308">
        <v>0.39083333333333331</v>
      </c>
      <c r="P308" s="3">
        <v>1</v>
      </c>
    </row>
    <row r="309" spans="1:16" x14ac:dyDescent="0.15">
      <c r="A309" t="s">
        <v>253</v>
      </c>
      <c r="B309">
        <v>2</v>
      </c>
      <c r="C309" s="3">
        <v>30</v>
      </c>
      <c r="D309" s="30" t="str">
        <f t="shared" si="4"/>
        <v>30S</v>
      </c>
      <c r="E309" s="3">
        <v>800</v>
      </c>
      <c r="F309" s="3">
        <v>1000</v>
      </c>
      <c r="G309" s="3">
        <v>300</v>
      </c>
      <c r="H309" s="3">
        <v>360</v>
      </c>
      <c r="K309">
        <v>0.5</v>
      </c>
      <c r="L309">
        <v>2460</v>
      </c>
      <c r="M309">
        <v>0.61499999999999999</v>
      </c>
      <c r="O309">
        <v>1.115</v>
      </c>
      <c r="P309" s="3">
        <v>2</v>
      </c>
    </row>
    <row r="310" spans="1:16" x14ac:dyDescent="0.15">
      <c r="A310" t="s">
        <v>253</v>
      </c>
      <c r="B310">
        <v>3</v>
      </c>
      <c r="C310" s="3">
        <v>61</v>
      </c>
      <c r="D310" s="30" t="str">
        <f t="shared" si="4"/>
        <v>1M1S</v>
      </c>
      <c r="E310" s="3">
        <v>1600</v>
      </c>
      <c r="F310" s="3">
        <v>2000</v>
      </c>
      <c r="G310" s="3">
        <v>600</v>
      </c>
      <c r="H310" s="3">
        <v>720</v>
      </c>
      <c r="K310">
        <v>1.0166666666666666</v>
      </c>
      <c r="L310">
        <v>4920</v>
      </c>
      <c r="M310">
        <v>1.23</v>
      </c>
      <c r="O310">
        <v>2.2466666666666666</v>
      </c>
      <c r="P310" s="3">
        <v>3</v>
      </c>
    </row>
    <row r="311" spans="1:16" x14ac:dyDescent="0.15">
      <c r="A311" t="s">
        <v>253</v>
      </c>
      <c r="B311">
        <v>4</v>
      </c>
      <c r="C311" s="3">
        <v>124</v>
      </c>
      <c r="D311" s="30" t="str">
        <f t="shared" si="4"/>
        <v>2M4S</v>
      </c>
      <c r="E311" s="3">
        <v>3200</v>
      </c>
      <c r="F311" s="3">
        <v>4000</v>
      </c>
      <c r="G311" s="3">
        <v>1200</v>
      </c>
      <c r="H311" s="3">
        <v>1440</v>
      </c>
      <c r="K311">
        <v>2.0666666666666669</v>
      </c>
      <c r="L311">
        <v>9840</v>
      </c>
      <c r="M311">
        <v>2.46</v>
      </c>
      <c r="O311">
        <v>4.5266666666666673</v>
      </c>
      <c r="P311" s="3">
        <v>4</v>
      </c>
    </row>
    <row r="312" spans="1:16" x14ac:dyDescent="0.15">
      <c r="A312" t="s">
        <v>253</v>
      </c>
      <c r="B312">
        <v>5</v>
      </c>
      <c r="C312" s="3">
        <v>252</v>
      </c>
      <c r="D312" s="30" t="str">
        <f t="shared" si="4"/>
        <v>4M12S</v>
      </c>
      <c r="E312" s="3">
        <v>6400</v>
      </c>
      <c r="F312" s="3">
        <v>8000</v>
      </c>
      <c r="G312" s="3">
        <v>2400</v>
      </c>
      <c r="H312" s="3">
        <v>2880</v>
      </c>
      <c r="K312">
        <v>4.2</v>
      </c>
      <c r="L312">
        <v>19680</v>
      </c>
      <c r="M312">
        <v>4.92</v>
      </c>
      <c r="O312">
        <v>9.120000000000001</v>
      </c>
      <c r="P312" s="3">
        <v>7</v>
      </c>
    </row>
    <row r="313" spans="1:16" x14ac:dyDescent="0.15">
      <c r="A313" t="s">
        <v>253</v>
      </c>
      <c r="B313">
        <v>6</v>
      </c>
      <c r="C313" s="3">
        <v>510</v>
      </c>
      <c r="D313" s="30" t="str">
        <f t="shared" si="4"/>
        <v>8M30S</v>
      </c>
      <c r="E313" s="3">
        <v>12800</v>
      </c>
      <c r="F313" s="3">
        <v>16000</v>
      </c>
      <c r="G313" s="3">
        <v>4800</v>
      </c>
      <c r="H313" s="3">
        <v>5760</v>
      </c>
      <c r="K313">
        <v>5.0999999999999996</v>
      </c>
      <c r="L313">
        <v>39360</v>
      </c>
      <c r="M313">
        <v>9.84</v>
      </c>
      <c r="O313">
        <v>14.94</v>
      </c>
      <c r="P313" s="3">
        <v>15</v>
      </c>
    </row>
    <row r="314" spans="1:16" x14ac:dyDescent="0.15">
      <c r="A314" t="s">
        <v>253</v>
      </c>
      <c r="B314">
        <v>7</v>
      </c>
      <c r="C314" s="3">
        <v>1034</v>
      </c>
      <c r="D314" s="30" t="str">
        <f t="shared" si="4"/>
        <v>17M14S</v>
      </c>
      <c r="E314" s="3">
        <v>25600</v>
      </c>
      <c r="F314" s="3">
        <v>32000</v>
      </c>
      <c r="G314" s="3">
        <v>9600</v>
      </c>
      <c r="H314" s="3">
        <v>11520</v>
      </c>
      <c r="K314">
        <v>5.7444444444444445</v>
      </c>
      <c r="L314">
        <v>78720</v>
      </c>
      <c r="M314">
        <v>19.68</v>
      </c>
      <c r="O314">
        <v>25.424444444444443</v>
      </c>
      <c r="P314" s="3">
        <v>29</v>
      </c>
    </row>
    <row r="315" spans="1:16" x14ac:dyDescent="0.15">
      <c r="A315" t="s">
        <v>253</v>
      </c>
      <c r="B315">
        <v>8</v>
      </c>
      <c r="C315" s="3">
        <v>2094</v>
      </c>
      <c r="D315" s="30" t="str">
        <f t="shared" si="4"/>
        <v>34M54S</v>
      </c>
      <c r="E315" s="3">
        <v>51200</v>
      </c>
      <c r="F315" s="3">
        <v>64000</v>
      </c>
      <c r="G315" s="3">
        <v>19200</v>
      </c>
      <c r="H315" s="3">
        <v>23040</v>
      </c>
      <c r="K315">
        <v>11.633333333333333</v>
      </c>
      <c r="L315">
        <v>157440</v>
      </c>
      <c r="M315">
        <v>39.36</v>
      </c>
      <c r="O315">
        <v>50.993333333333332</v>
      </c>
      <c r="P315" s="3">
        <v>53</v>
      </c>
    </row>
    <row r="316" spans="1:16" x14ac:dyDescent="0.15">
      <c r="A316" t="s">
        <v>253</v>
      </c>
      <c r="B316">
        <v>9</v>
      </c>
      <c r="C316" s="3">
        <v>4241</v>
      </c>
      <c r="D316" s="30" t="str">
        <f t="shared" si="4"/>
        <v>1H10M41S</v>
      </c>
      <c r="E316" s="3">
        <v>102400</v>
      </c>
      <c r="F316" s="3">
        <v>128000</v>
      </c>
      <c r="G316" s="3">
        <v>38400</v>
      </c>
      <c r="H316" s="3">
        <v>46080</v>
      </c>
      <c r="K316">
        <v>11.780555555555557</v>
      </c>
      <c r="L316">
        <v>314880</v>
      </c>
      <c r="M316">
        <v>69.273600000000002</v>
      </c>
      <c r="O316">
        <v>81.054155555555553</v>
      </c>
      <c r="P316" s="3">
        <v>96</v>
      </c>
    </row>
    <row r="317" spans="1:16" x14ac:dyDescent="0.15">
      <c r="A317" t="s">
        <v>253</v>
      </c>
      <c r="B317">
        <v>10</v>
      </c>
      <c r="C317" s="3">
        <v>8588</v>
      </c>
      <c r="D317" s="30" t="str">
        <f t="shared" si="4"/>
        <v>2H23M8S</v>
      </c>
      <c r="E317" s="3">
        <v>204800</v>
      </c>
      <c r="F317" s="3">
        <v>256000</v>
      </c>
      <c r="G317" s="3">
        <v>76800</v>
      </c>
      <c r="H317" s="3">
        <v>92160</v>
      </c>
      <c r="J317" t="s">
        <v>63</v>
      </c>
      <c r="K317">
        <v>23.855555555555554</v>
      </c>
      <c r="L317">
        <v>629760</v>
      </c>
      <c r="M317">
        <v>119.65440000000001</v>
      </c>
      <c r="N317">
        <v>40</v>
      </c>
      <c r="O317">
        <v>183.50995555555556</v>
      </c>
      <c r="P317" s="3">
        <v>207</v>
      </c>
    </row>
    <row r="318" spans="1:16" x14ac:dyDescent="0.15">
      <c r="A318" t="s">
        <v>254</v>
      </c>
      <c r="B318">
        <v>0</v>
      </c>
      <c r="C318" s="3">
        <v>0</v>
      </c>
      <c r="D318" s="30" t="str">
        <f t="shared" si="4"/>
        <v>0S</v>
      </c>
      <c r="K318">
        <v>0</v>
      </c>
      <c r="L318">
        <v>0</v>
      </c>
      <c r="M318">
        <v>0</v>
      </c>
      <c r="O318">
        <v>0</v>
      </c>
    </row>
    <row r="319" spans="1:16" x14ac:dyDescent="0.15">
      <c r="A319" t="s">
        <v>254</v>
      </c>
      <c r="B319">
        <v>1</v>
      </c>
      <c r="C319" s="3">
        <v>5</v>
      </c>
      <c r="D319" s="30" t="str">
        <f t="shared" si="4"/>
        <v>5S</v>
      </c>
      <c r="E319" s="3">
        <v>200</v>
      </c>
      <c r="F319" s="3">
        <v>600</v>
      </c>
      <c r="G319" s="3">
        <v>500</v>
      </c>
      <c r="H319" s="3">
        <v>210</v>
      </c>
      <c r="K319">
        <v>8.3333333333333329E-2</v>
      </c>
      <c r="L319">
        <v>1510</v>
      </c>
      <c r="M319">
        <v>0.3775</v>
      </c>
      <c r="O319">
        <v>0.46083333333333332</v>
      </c>
      <c r="P319" s="3">
        <v>1</v>
      </c>
    </row>
    <row r="320" spans="1:16" x14ac:dyDescent="0.15">
      <c r="A320" t="s">
        <v>254</v>
      </c>
      <c r="B320">
        <v>2</v>
      </c>
      <c r="C320" s="3">
        <v>30</v>
      </c>
      <c r="D320" s="30" t="str">
        <f t="shared" si="4"/>
        <v>30S</v>
      </c>
      <c r="E320" s="3">
        <v>400</v>
      </c>
      <c r="F320" s="3">
        <v>1200</v>
      </c>
      <c r="G320" s="3">
        <v>1000</v>
      </c>
      <c r="H320" s="3">
        <v>420</v>
      </c>
      <c r="K320">
        <v>0.5</v>
      </c>
      <c r="L320">
        <v>3020</v>
      </c>
      <c r="M320">
        <v>0.755</v>
      </c>
      <c r="O320">
        <v>1.2549999999999999</v>
      </c>
      <c r="P320" s="3">
        <v>2</v>
      </c>
    </row>
    <row r="321" spans="1:16" x14ac:dyDescent="0.15">
      <c r="A321" t="s">
        <v>254</v>
      </c>
      <c r="B321">
        <v>3</v>
      </c>
      <c r="C321" s="3">
        <v>61</v>
      </c>
      <c r="D321" s="30" t="str">
        <f t="shared" si="4"/>
        <v>1M1S</v>
      </c>
      <c r="E321" s="3">
        <v>800</v>
      </c>
      <c r="F321" s="3">
        <v>2400</v>
      </c>
      <c r="G321" s="3">
        <v>2000</v>
      </c>
      <c r="H321" s="3">
        <v>840</v>
      </c>
      <c r="K321">
        <v>1.0166666666666666</v>
      </c>
      <c r="L321">
        <v>6040</v>
      </c>
      <c r="M321">
        <v>1.51</v>
      </c>
      <c r="O321">
        <v>2.5266666666666664</v>
      </c>
      <c r="P321" s="3">
        <v>3</v>
      </c>
    </row>
    <row r="322" spans="1:16" x14ac:dyDescent="0.15">
      <c r="A322" t="s">
        <v>254</v>
      </c>
      <c r="B322">
        <v>4</v>
      </c>
      <c r="C322" s="3">
        <v>124</v>
      </c>
      <c r="D322" s="30" t="str">
        <f t="shared" si="4"/>
        <v>2M4S</v>
      </c>
      <c r="E322" s="3">
        <v>1600</v>
      </c>
      <c r="F322" s="3">
        <v>4800</v>
      </c>
      <c r="G322" s="3">
        <v>4000</v>
      </c>
      <c r="H322" s="3">
        <v>1680</v>
      </c>
      <c r="K322">
        <v>2.0666666666666669</v>
      </c>
      <c r="L322">
        <v>12080</v>
      </c>
      <c r="M322">
        <v>3.02</v>
      </c>
      <c r="O322">
        <v>5.0866666666666669</v>
      </c>
      <c r="P322" s="3">
        <v>5</v>
      </c>
    </row>
    <row r="323" spans="1:16" x14ac:dyDescent="0.15">
      <c r="A323" t="s">
        <v>254</v>
      </c>
      <c r="B323">
        <v>5</v>
      </c>
      <c r="C323" s="3">
        <v>252</v>
      </c>
      <c r="D323" s="30" t="str">
        <f t="shared" ref="D323:D360" si="5">IF(INT(C323/3600/24)=0,"",INT(C323/3600/24)&amp;"D")&amp;IF(INT(MOD(C323,3600*24)/3600)=0,"",INT(MOD(C323,3600*24)/3600)&amp;"H")&amp;IF(INT(MOD(C323,3600)/60)=0,"",INT(MOD(C323,3600)/60)&amp;"M")&amp;INT(MOD(C323,60))&amp;"S"</f>
        <v>4M12S</v>
      </c>
      <c r="E323" s="3">
        <v>3200</v>
      </c>
      <c r="F323" s="3">
        <v>9600</v>
      </c>
      <c r="G323" s="3">
        <v>8000</v>
      </c>
      <c r="H323" s="3">
        <v>3360</v>
      </c>
      <c r="K323">
        <v>4.2</v>
      </c>
      <c r="L323">
        <v>24160</v>
      </c>
      <c r="M323">
        <v>6.04</v>
      </c>
      <c r="O323">
        <v>10.24</v>
      </c>
      <c r="P323" s="3">
        <v>9</v>
      </c>
    </row>
    <row r="324" spans="1:16" x14ac:dyDescent="0.15">
      <c r="A324" t="s">
        <v>254</v>
      </c>
      <c r="B324">
        <v>6</v>
      </c>
      <c r="C324" s="3">
        <v>510</v>
      </c>
      <c r="D324" s="30" t="str">
        <f t="shared" si="5"/>
        <v>8M30S</v>
      </c>
      <c r="E324" s="3">
        <v>6400</v>
      </c>
      <c r="F324" s="3">
        <v>19200</v>
      </c>
      <c r="G324" s="3">
        <v>16000</v>
      </c>
      <c r="H324" s="3">
        <v>6720</v>
      </c>
      <c r="K324">
        <v>5.0999999999999996</v>
      </c>
      <c r="L324">
        <v>48320</v>
      </c>
      <c r="M324">
        <v>12.08</v>
      </c>
      <c r="O324">
        <v>17.18</v>
      </c>
      <c r="P324" s="3">
        <v>19</v>
      </c>
    </row>
    <row r="325" spans="1:16" x14ac:dyDescent="0.15">
      <c r="A325" t="s">
        <v>254</v>
      </c>
      <c r="B325">
        <v>7</v>
      </c>
      <c r="C325" s="3">
        <v>1034</v>
      </c>
      <c r="D325" s="30" t="str">
        <f t="shared" si="5"/>
        <v>17M14S</v>
      </c>
      <c r="E325" s="3">
        <v>12800</v>
      </c>
      <c r="F325" s="3">
        <v>38400</v>
      </c>
      <c r="G325" s="3">
        <v>32000</v>
      </c>
      <c r="H325" s="3">
        <v>13440</v>
      </c>
      <c r="K325">
        <v>5.7444444444444445</v>
      </c>
      <c r="L325">
        <v>96640</v>
      </c>
      <c r="M325">
        <v>24.16</v>
      </c>
      <c r="O325">
        <v>29.904444444444444</v>
      </c>
      <c r="P325" s="3">
        <v>34</v>
      </c>
    </row>
    <row r="326" spans="1:16" x14ac:dyDescent="0.15">
      <c r="A326" t="s">
        <v>254</v>
      </c>
      <c r="B326">
        <v>8</v>
      </c>
      <c r="C326" s="3">
        <v>2094</v>
      </c>
      <c r="D326" s="30" t="str">
        <f t="shared" si="5"/>
        <v>34M54S</v>
      </c>
      <c r="E326" s="3">
        <v>25600</v>
      </c>
      <c r="F326" s="3">
        <v>76800</v>
      </c>
      <c r="G326" s="3">
        <v>64000</v>
      </c>
      <c r="H326" s="3">
        <v>26880</v>
      </c>
      <c r="K326">
        <v>11.633333333333333</v>
      </c>
      <c r="L326">
        <v>193280</v>
      </c>
      <c r="M326">
        <v>48.32</v>
      </c>
      <c r="O326">
        <v>59.953333333333333</v>
      </c>
      <c r="P326" s="3">
        <v>66</v>
      </c>
    </row>
    <row r="327" spans="1:16" x14ac:dyDescent="0.15">
      <c r="A327" t="s">
        <v>254</v>
      </c>
      <c r="B327">
        <v>9</v>
      </c>
      <c r="C327" s="3">
        <v>4241</v>
      </c>
      <c r="D327" s="30" t="str">
        <f t="shared" si="5"/>
        <v>1H10M41S</v>
      </c>
      <c r="E327" s="3">
        <v>51200</v>
      </c>
      <c r="F327" s="3">
        <v>153600</v>
      </c>
      <c r="G327" s="3">
        <v>128000</v>
      </c>
      <c r="H327" s="3">
        <v>53760</v>
      </c>
      <c r="K327">
        <v>11.780555555555557</v>
      </c>
      <c r="L327">
        <v>386560</v>
      </c>
      <c r="M327">
        <v>85.043199999999999</v>
      </c>
      <c r="O327">
        <v>96.82375555555555</v>
      </c>
      <c r="P327" s="3">
        <v>112</v>
      </c>
    </row>
    <row r="328" spans="1:16" x14ac:dyDescent="0.15">
      <c r="A328" t="s">
        <v>254</v>
      </c>
      <c r="B328">
        <v>10</v>
      </c>
      <c r="C328" s="3">
        <v>8588</v>
      </c>
      <c r="D328" s="30" t="str">
        <f t="shared" si="5"/>
        <v>2H23M8S</v>
      </c>
      <c r="E328" s="3">
        <v>102400</v>
      </c>
      <c r="F328" s="3">
        <v>307200</v>
      </c>
      <c r="G328" s="3">
        <v>256000</v>
      </c>
      <c r="H328" s="3">
        <v>107520</v>
      </c>
      <c r="J328" t="s">
        <v>63</v>
      </c>
      <c r="K328">
        <v>23.855555555555554</v>
      </c>
      <c r="L328">
        <v>773120</v>
      </c>
      <c r="M328">
        <v>146.89279999999999</v>
      </c>
      <c r="N328">
        <v>40</v>
      </c>
      <c r="O328">
        <v>210.74835555555555</v>
      </c>
      <c r="P328" s="3">
        <v>265</v>
      </c>
    </row>
    <row r="329" spans="1:16" x14ac:dyDescent="0.15">
      <c r="A329" t="s">
        <v>255</v>
      </c>
      <c r="B329">
        <v>0</v>
      </c>
      <c r="C329" s="3">
        <v>0</v>
      </c>
      <c r="D329" s="30" t="str">
        <f t="shared" si="5"/>
        <v>0S</v>
      </c>
      <c r="K329">
        <v>0</v>
      </c>
      <c r="L329">
        <v>0</v>
      </c>
      <c r="M329">
        <v>0</v>
      </c>
      <c r="O329">
        <v>0</v>
      </c>
    </row>
    <row r="330" spans="1:16" x14ac:dyDescent="0.15">
      <c r="A330" t="s">
        <v>255</v>
      </c>
      <c r="B330">
        <v>1</v>
      </c>
      <c r="C330" s="3">
        <v>5</v>
      </c>
      <c r="D330" s="30" t="str">
        <f t="shared" si="5"/>
        <v>5S</v>
      </c>
      <c r="E330" s="3">
        <v>300</v>
      </c>
      <c r="F330" s="3">
        <v>100</v>
      </c>
      <c r="G330" s="3">
        <v>250</v>
      </c>
      <c r="H330" s="3">
        <v>100</v>
      </c>
      <c r="K330">
        <v>8.3333333333333329E-2</v>
      </c>
      <c r="L330">
        <v>750</v>
      </c>
      <c r="M330">
        <v>0.1875</v>
      </c>
      <c r="O330">
        <v>0.27083333333333331</v>
      </c>
      <c r="P330" s="3">
        <v>1</v>
      </c>
    </row>
    <row r="331" spans="1:16" x14ac:dyDescent="0.15">
      <c r="A331" t="s">
        <v>255</v>
      </c>
      <c r="B331">
        <v>2</v>
      </c>
      <c r="C331" s="3">
        <v>30</v>
      </c>
      <c r="D331" s="30" t="str">
        <f t="shared" si="5"/>
        <v>30S</v>
      </c>
      <c r="E331" s="3">
        <v>600</v>
      </c>
      <c r="F331" s="3">
        <v>200</v>
      </c>
      <c r="G331" s="3">
        <v>500</v>
      </c>
      <c r="H331" s="3">
        <v>200</v>
      </c>
      <c r="K331">
        <v>0.5</v>
      </c>
      <c r="L331">
        <v>1500</v>
      </c>
      <c r="M331">
        <v>0.375</v>
      </c>
      <c r="O331">
        <v>0.875</v>
      </c>
      <c r="P331" s="3">
        <v>2</v>
      </c>
    </row>
    <row r="332" spans="1:16" x14ac:dyDescent="0.15">
      <c r="A332" t="s">
        <v>255</v>
      </c>
      <c r="B332">
        <v>3</v>
      </c>
      <c r="C332" s="3">
        <v>61</v>
      </c>
      <c r="D332" s="30" t="str">
        <f t="shared" si="5"/>
        <v>1M1S</v>
      </c>
      <c r="E332" s="3">
        <v>1200</v>
      </c>
      <c r="F332" s="3">
        <v>400</v>
      </c>
      <c r="G332" s="3">
        <v>1000</v>
      </c>
      <c r="H332" s="3">
        <v>400</v>
      </c>
      <c r="K332">
        <v>1.0166666666666666</v>
      </c>
      <c r="L332">
        <v>3000</v>
      </c>
      <c r="M332">
        <v>0.75</v>
      </c>
      <c r="O332">
        <v>1.7666666666666666</v>
      </c>
      <c r="P332" s="3">
        <v>3</v>
      </c>
    </row>
    <row r="333" spans="1:16" x14ac:dyDescent="0.15">
      <c r="A333" t="s">
        <v>255</v>
      </c>
      <c r="B333">
        <v>4</v>
      </c>
      <c r="C333" s="3">
        <v>124</v>
      </c>
      <c r="D333" s="30" t="str">
        <f t="shared" si="5"/>
        <v>2M4S</v>
      </c>
      <c r="E333" s="3">
        <v>2400</v>
      </c>
      <c r="F333" s="3">
        <v>800</v>
      </c>
      <c r="G333" s="3">
        <v>2000</v>
      </c>
      <c r="H333" s="3">
        <v>800</v>
      </c>
      <c r="K333">
        <v>2.0666666666666669</v>
      </c>
      <c r="L333">
        <v>6000</v>
      </c>
      <c r="M333">
        <v>1.5</v>
      </c>
      <c r="O333">
        <v>3.5666666666666669</v>
      </c>
      <c r="P333" s="3">
        <v>4</v>
      </c>
    </row>
    <row r="334" spans="1:16" x14ac:dyDescent="0.15">
      <c r="A334" t="s">
        <v>255</v>
      </c>
      <c r="B334">
        <v>5</v>
      </c>
      <c r="C334" s="3">
        <v>252</v>
      </c>
      <c r="D334" s="30" t="str">
        <f t="shared" si="5"/>
        <v>4M12S</v>
      </c>
      <c r="E334" s="3">
        <v>4800</v>
      </c>
      <c r="F334" s="3">
        <v>1600</v>
      </c>
      <c r="G334" s="3">
        <v>4000</v>
      </c>
      <c r="H334" s="3">
        <v>1600</v>
      </c>
      <c r="K334">
        <v>4.2</v>
      </c>
      <c r="L334">
        <v>12000</v>
      </c>
      <c r="M334">
        <v>3</v>
      </c>
      <c r="O334">
        <v>7.2</v>
      </c>
      <c r="P334" s="3">
        <v>6</v>
      </c>
    </row>
    <row r="335" spans="1:16" x14ac:dyDescent="0.15">
      <c r="A335" t="s">
        <v>255</v>
      </c>
      <c r="B335">
        <v>6</v>
      </c>
      <c r="C335" s="3">
        <v>510</v>
      </c>
      <c r="D335" s="30" t="str">
        <f t="shared" si="5"/>
        <v>8M30S</v>
      </c>
      <c r="E335" s="3">
        <v>9600</v>
      </c>
      <c r="F335" s="3">
        <v>3200</v>
      </c>
      <c r="G335" s="3">
        <v>8000</v>
      </c>
      <c r="H335" s="3">
        <v>3200</v>
      </c>
      <c r="K335">
        <v>5.0999999999999996</v>
      </c>
      <c r="L335">
        <v>24000</v>
      </c>
      <c r="M335">
        <v>6</v>
      </c>
      <c r="O335">
        <v>11.1</v>
      </c>
      <c r="P335" s="3">
        <v>10</v>
      </c>
    </row>
    <row r="336" spans="1:16" x14ac:dyDescent="0.15">
      <c r="A336" t="s">
        <v>255</v>
      </c>
      <c r="B336">
        <v>7</v>
      </c>
      <c r="C336" s="3">
        <v>1034</v>
      </c>
      <c r="D336" s="30" t="str">
        <f t="shared" si="5"/>
        <v>17M14S</v>
      </c>
      <c r="E336" s="3">
        <v>19200</v>
      </c>
      <c r="F336" s="3">
        <v>6400</v>
      </c>
      <c r="G336" s="3">
        <v>16000</v>
      </c>
      <c r="H336" s="3">
        <v>6400</v>
      </c>
      <c r="K336">
        <v>5.7444444444444445</v>
      </c>
      <c r="L336">
        <v>48000</v>
      </c>
      <c r="M336">
        <v>12</v>
      </c>
      <c r="O336">
        <v>17.744444444444444</v>
      </c>
      <c r="P336" s="3">
        <v>16</v>
      </c>
    </row>
    <row r="337" spans="1:16" x14ac:dyDescent="0.15">
      <c r="A337" t="s">
        <v>255</v>
      </c>
      <c r="B337">
        <v>8</v>
      </c>
      <c r="C337" s="3">
        <v>2094</v>
      </c>
      <c r="D337" s="30" t="str">
        <f t="shared" si="5"/>
        <v>34M54S</v>
      </c>
      <c r="E337" s="3">
        <v>38400</v>
      </c>
      <c r="F337" s="3">
        <v>12800</v>
      </c>
      <c r="G337" s="3">
        <v>32000</v>
      </c>
      <c r="H337" s="3">
        <v>12800</v>
      </c>
      <c r="K337">
        <v>11.633333333333333</v>
      </c>
      <c r="L337">
        <v>96000</v>
      </c>
      <c r="M337">
        <v>24</v>
      </c>
      <c r="O337">
        <v>35.633333333333333</v>
      </c>
      <c r="P337" s="3">
        <v>33</v>
      </c>
    </row>
    <row r="338" spans="1:16" x14ac:dyDescent="0.15">
      <c r="A338" t="s">
        <v>255</v>
      </c>
      <c r="B338">
        <v>9</v>
      </c>
      <c r="C338" s="3">
        <v>4241</v>
      </c>
      <c r="D338" s="30" t="str">
        <f t="shared" si="5"/>
        <v>1H10M41S</v>
      </c>
      <c r="E338" s="3">
        <v>76800</v>
      </c>
      <c r="F338" s="3">
        <v>25600</v>
      </c>
      <c r="G338" s="3">
        <v>64000</v>
      </c>
      <c r="H338" s="3">
        <v>25600</v>
      </c>
      <c r="K338">
        <v>11.780555555555557</v>
      </c>
      <c r="L338">
        <v>192000</v>
      </c>
      <c r="M338">
        <v>48</v>
      </c>
      <c r="O338">
        <v>59.780555555555559</v>
      </c>
      <c r="P338" s="3">
        <v>62</v>
      </c>
    </row>
    <row r="339" spans="1:16" x14ac:dyDescent="0.15">
      <c r="A339" t="s">
        <v>255</v>
      </c>
      <c r="B339">
        <v>10</v>
      </c>
      <c r="C339" s="3">
        <v>8588</v>
      </c>
      <c r="D339" s="30" t="str">
        <f t="shared" si="5"/>
        <v>2H23M8S</v>
      </c>
      <c r="E339" s="3">
        <v>153600</v>
      </c>
      <c r="F339" s="3">
        <v>51200</v>
      </c>
      <c r="G339" s="3">
        <v>128000</v>
      </c>
      <c r="H339" s="3">
        <v>51200</v>
      </c>
      <c r="J339" t="s">
        <v>63</v>
      </c>
      <c r="K339">
        <v>23.855555555555554</v>
      </c>
      <c r="L339">
        <v>384000</v>
      </c>
      <c r="M339">
        <v>84.48</v>
      </c>
      <c r="N339">
        <v>40</v>
      </c>
      <c r="O339">
        <v>148.33555555555557</v>
      </c>
      <c r="P339" s="3">
        <v>164</v>
      </c>
    </row>
    <row r="340" spans="1:16" ht="14.25" x14ac:dyDescent="0.15">
      <c r="A340" s="30" t="s">
        <v>1001</v>
      </c>
      <c r="B340" s="30">
        <v>0</v>
      </c>
      <c r="C340" s="31"/>
      <c r="D340" s="30" t="str">
        <f t="shared" si="5"/>
        <v>0S</v>
      </c>
      <c r="E340" s="31"/>
      <c r="F340" s="31"/>
      <c r="G340" s="31"/>
      <c r="H340" s="31"/>
      <c r="I340" s="30"/>
      <c r="J340" s="49"/>
      <c r="K340" s="49"/>
      <c r="L340" s="49"/>
      <c r="M340" s="50"/>
      <c r="N340" s="49"/>
      <c r="O340" s="51"/>
      <c r="P340">
        <v>0</v>
      </c>
    </row>
    <row r="341" spans="1:16" x14ac:dyDescent="0.15">
      <c r="A341" s="30" t="s">
        <v>1001</v>
      </c>
      <c r="B341" s="30">
        <v>1</v>
      </c>
      <c r="C341" s="30">
        <v>8</v>
      </c>
      <c r="D341" s="30" t="str">
        <f t="shared" si="5"/>
        <v>8S</v>
      </c>
      <c r="E341" s="30">
        <v>8</v>
      </c>
      <c r="F341" s="30">
        <v>10</v>
      </c>
      <c r="G341" s="30">
        <v>40</v>
      </c>
      <c r="H341" s="30">
        <v>10</v>
      </c>
      <c r="I341" s="30">
        <v>20</v>
      </c>
      <c r="J341" s="49"/>
      <c r="K341" s="49"/>
      <c r="L341" s="49"/>
      <c r="M341" s="50"/>
      <c r="N341" s="49"/>
      <c r="O341" s="51"/>
      <c r="P341">
        <v>1</v>
      </c>
    </row>
    <row r="342" spans="1:16" x14ac:dyDescent="0.15">
      <c r="A342" s="30" t="s">
        <v>1001</v>
      </c>
      <c r="B342" s="30">
        <v>2</v>
      </c>
      <c r="C342" s="30">
        <v>120</v>
      </c>
      <c r="D342" s="30" t="str">
        <f t="shared" si="5"/>
        <v>2M0S</v>
      </c>
      <c r="E342" s="30">
        <v>120</v>
      </c>
      <c r="F342" s="30">
        <v>160</v>
      </c>
      <c r="G342" s="30">
        <v>640</v>
      </c>
      <c r="H342" s="30">
        <v>160</v>
      </c>
      <c r="I342" s="30">
        <v>320</v>
      </c>
      <c r="J342" s="49"/>
      <c r="K342" s="49"/>
      <c r="L342" s="49"/>
      <c r="M342" s="50"/>
      <c r="N342" s="49"/>
      <c r="O342" s="51"/>
      <c r="P342">
        <v>4</v>
      </c>
    </row>
    <row r="343" spans="1:16" x14ac:dyDescent="0.15">
      <c r="A343" s="30" t="s">
        <v>1001</v>
      </c>
      <c r="B343" s="30">
        <v>3</v>
      </c>
      <c r="C343" s="30">
        <v>285</v>
      </c>
      <c r="D343" s="30" t="str">
        <f t="shared" si="5"/>
        <v>4M45S</v>
      </c>
      <c r="E343" s="30">
        <v>285</v>
      </c>
      <c r="F343" s="30">
        <v>380</v>
      </c>
      <c r="G343" s="30">
        <v>1520</v>
      </c>
      <c r="H343" s="30">
        <v>380</v>
      </c>
      <c r="I343" s="30">
        <v>760</v>
      </c>
      <c r="J343" s="49"/>
      <c r="K343" s="49"/>
      <c r="L343" s="49"/>
      <c r="M343" s="50"/>
      <c r="N343" s="49"/>
      <c r="O343" s="51"/>
      <c r="P343">
        <v>8</v>
      </c>
    </row>
    <row r="344" spans="1:16" x14ac:dyDescent="0.15">
      <c r="A344" s="30" t="s">
        <v>1001</v>
      </c>
      <c r="B344" s="30">
        <v>4</v>
      </c>
      <c r="C344" s="30">
        <v>416</v>
      </c>
      <c r="D344" s="30" t="str">
        <f t="shared" si="5"/>
        <v>6M56S</v>
      </c>
      <c r="E344" s="30">
        <v>416</v>
      </c>
      <c r="F344" s="30">
        <v>554</v>
      </c>
      <c r="G344" s="30">
        <v>2216</v>
      </c>
      <c r="H344" s="30">
        <v>554</v>
      </c>
      <c r="I344" s="30">
        <v>1108</v>
      </c>
      <c r="J344" s="49"/>
      <c r="K344" s="49"/>
      <c r="L344" s="49"/>
      <c r="M344" s="50"/>
      <c r="N344" s="49"/>
      <c r="O344" s="51"/>
      <c r="P344">
        <v>9</v>
      </c>
    </row>
    <row r="345" spans="1:16" x14ac:dyDescent="0.15">
      <c r="A345" s="30" t="s">
        <v>1001</v>
      </c>
      <c r="B345" s="30">
        <v>5</v>
      </c>
      <c r="C345" s="30">
        <v>606</v>
      </c>
      <c r="D345" s="30" t="str">
        <f t="shared" si="5"/>
        <v>10M6S</v>
      </c>
      <c r="E345" s="30">
        <v>606</v>
      </c>
      <c r="F345" s="30">
        <v>808</v>
      </c>
      <c r="G345" s="30">
        <v>3232</v>
      </c>
      <c r="H345" s="30">
        <v>808</v>
      </c>
      <c r="I345" s="30">
        <v>1616</v>
      </c>
      <c r="J345" s="49"/>
      <c r="K345" s="49"/>
      <c r="L345" s="49"/>
      <c r="M345" s="50"/>
      <c r="N345" s="49"/>
      <c r="O345" s="51"/>
      <c r="P345">
        <v>11</v>
      </c>
    </row>
    <row r="346" spans="1:16" x14ac:dyDescent="0.15">
      <c r="A346" s="30" t="s">
        <v>1001</v>
      </c>
      <c r="B346" s="30">
        <v>6</v>
      </c>
      <c r="C346" s="30">
        <v>885</v>
      </c>
      <c r="D346" s="30" t="str">
        <f t="shared" si="5"/>
        <v>14M45S</v>
      </c>
      <c r="E346" s="30">
        <v>885</v>
      </c>
      <c r="F346" s="30">
        <v>1180</v>
      </c>
      <c r="G346" s="30">
        <v>4720</v>
      </c>
      <c r="H346" s="30">
        <v>1180</v>
      </c>
      <c r="I346" s="30">
        <v>2360</v>
      </c>
      <c r="J346" s="49"/>
      <c r="K346" s="49"/>
      <c r="L346" s="49"/>
      <c r="M346" s="50"/>
      <c r="N346" s="49"/>
      <c r="O346" s="51"/>
      <c r="P346">
        <v>15</v>
      </c>
    </row>
    <row r="347" spans="1:16" x14ac:dyDescent="0.15">
      <c r="A347" s="30" t="s">
        <v>1001</v>
      </c>
      <c r="B347" s="30">
        <v>7</v>
      </c>
      <c r="C347" s="30">
        <v>1290</v>
      </c>
      <c r="D347" s="30" t="str">
        <f t="shared" si="5"/>
        <v>21M30S</v>
      </c>
      <c r="E347" s="30">
        <v>1290</v>
      </c>
      <c r="F347" s="30">
        <v>1720</v>
      </c>
      <c r="G347" s="30">
        <v>6880</v>
      </c>
      <c r="H347" s="30">
        <v>1720</v>
      </c>
      <c r="I347" s="30">
        <v>3440</v>
      </c>
      <c r="J347" s="49"/>
      <c r="K347" s="49"/>
      <c r="L347" s="49"/>
      <c r="M347" s="50"/>
      <c r="N347" s="49"/>
      <c r="O347" s="51"/>
      <c r="P347">
        <v>15</v>
      </c>
    </row>
    <row r="348" spans="1:16" x14ac:dyDescent="0.15">
      <c r="A348" s="30" t="s">
        <v>1001</v>
      </c>
      <c r="B348" s="30">
        <v>8</v>
      </c>
      <c r="C348" s="30">
        <v>1881</v>
      </c>
      <c r="D348" s="30" t="str">
        <f t="shared" si="5"/>
        <v>31M21S</v>
      </c>
      <c r="E348" s="30">
        <v>1881</v>
      </c>
      <c r="F348" s="30">
        <v>2508</v>
      </c>
      <c r="G348" s="30">
        <v>10032</v>
      </c>
      <c r="H348" s="30">
        <v>2508</v>
      </c>
      <c r="I348" s="30">
        <v>5016</v>
      </c>
      <c r="J348" s="49"/>
      <c r="K348" s="49"/>
      <c r="L348" s="49"/>
      <c r="M348" s="50"/>
      <c r="N348" s="49"/>
      <c r="O348" s="51"/>
      <c r="P348">
        <v>21</v>
      </c>
    </row>
    <row r="349" spans="1:16" x14ac:dyDescent="0.15">
      <c r="A349" s="30" t="s">
        <v>1001</v>
      </c>
      <c r="B349" s="30">
        <v>9</v>
      </c>
      <c r="C349" s="30">
        <v>2742</v>
      </c>
      <c r="D349" s="30" t="str">
        <f t="shared" si="5"/>
        <v>45M42S</v>
      </c>
      <c r="E349" s="30">
        <v>2742</v>
      </c>
      <c r="F349" s="30">
        <v>3656</v>
      </c>
      <c r="G349" s="30">
        <v>14624</v>
      </c>
      <c r="H349" s="30">
        <v>3656</v>
      </c>
      <c r="I349" s="30">
        <v>7312</v>
      </c>
      <c r="J349" s="49"/>
      <c r="K349" s="49"/>
      <c r="L349" s="49"/>
      <c r="M349" s="50"/>
      <c r="N349" s="49"/>
      <c r="O349" s="51"/>
      <c r="P349">
        <v>31</v>
      </c>
    </row>
    <row r="350" spans="1:16" x14ac:dyDescent="0.15">
      <c r="A350" s="30" t="s">
        <v>1001</v>
      </c>
      <c r="B350" s="30">
        <v>10</v>
      </c>
      <c r="C350" s="30">
        <v>3998</v>
      </c>
      <c r="D350" s="30" t="str">
        <f t="shared" si="5"/>
        <v>1H6M38S</v>
      </c>
      <c r="E350" s="30">
        <v>3998</v>
      </c>
      <c r="F350" s="30">
        <v>5330</v>
      </c>
      <c r="G350" s="30">
        <v>21320</v>
      </c>
      <c r="H350" s="30">
        <v>5330</v>
      </c>
      <c r="I350" s="30">
        <v>10660</v>
      </c>
      <c r="J350" s="49"/>
      <c r="K350" s="49"/>
      <c r="L350" s="49"/>
      <c r="M350" s="50"/>
      <c r="N350" s="49"/>
      <c r="O350" s="51"/>
      <c r="P350">
        <v>35</v>
      </c>
    </row>
    <row r="351" spans="1:16" x14ac:dyDescent="0.15">
      <c r="A351" s="30" t="s">
        <v>1001</v>
      </c>
      <c r="B351" s="30">
        <v>11</v>
      </c>
      <c r="C351" s="30">
        <v>5826</v>
      </c>
      <c r="D351" s="30" t="str">
        <f t="shared" si="5"/>
        <v>1H37M6S</v>
      </c>
      <c r="E351" s="30">
        <v>5826</v>
      </c>
      <c r="F351" s="30">
        <v>7768</v>
      </c>
      <c r="G351" s="30">
        <v>31072</v>
      </c>
      <c r="H351" s="30">
        <v>7768</v>
      </c>
      <c r="I351" s="30">
        <v>15536</v>
      </c>
      <c r="J351" s="49"/>
      <c r="K351" s="49"/>
      <c r="L351" s="49"/>
      <c r="M351" s="50"/>
      <c r="N351" s="49"/>
      <c r="O351" s="51"/>
      <c r="P351">
        <v>44</v>
      </c>
    </row>
    <row r="352" spans="1:16" x14ac:dyDescent="0.15">
      <c r="A352" s="30" t="s">
        <v>1001</v>
      </c>
      <c r="B352" s="30">
        <v>12</v>
      </c>
      <c r="C352" s="30">
        <v>8495</v>
      </c>
      <c r="D352" s="30" t="str">
        <f t="shared" si="5"/>
        <v>2H21M35S</v>
      </c>
      <c r="E352" s="30">
        <v>8495</v>
      </c>
      <c r="F352" s="30">
        <v>11326</v>
      </c>
      <c r="G352" s="30">
        <v>45304</v>
      </c>
      <c r="H352" s="30">
        <v>11326</v>
      </c>
      <c r="I352" s="30">
        <v>22652</v>
      </c>
      <c r="J352" s="49"/>
      <c r="K352" s="49"/>
      <c r="L352" s="49"/>
      <c r="M352" s="50"/>
      <c r="N352" s="49"/>
      <c r="O352" s="51"/>
      <c r="P352">
        <v>63</v>
      </c>
    </row>
    <row r="353" spans="1:16" x14ac:dyDescent="0.15">
      <c r="A353" s="30" t="s">
        <v>1001</v>
      </c>
      <c r="B353" s="30">
        <v>13</v>
      </c>
      <c r="C353" s="30">
        <v>12383</v>
      </c>
      <c r="D353" s="30" t="str">
        <f t="shared" si="5"/>
        <v>3H26M23S</v>
      </c>
      <c r="E353" s="30">
        <v>12383</v>
      </c>
      <c r="F353" s="30">
        <v>16510</v>
      </c>
      <c r="G353" s="30">
        <v>66040</v>
      </c>
      <c r="H353" s="30">
        <v>16510</v>
      </c>
      <c r="I353" s="30">
        <v>33020</v>
      </c>
      <c r="J353" s="49"/>
      <c r="K353" s="49"/>
      <c r="L353" s="49"/>
      <c r="M353" s="50"/>
      <c r="N353" s="49"/>
      <c r="O353" s="51"/>
      <c r="P353">
        <v>74</v>
      </c>
    </row>
    <row r="354" spans="1:16" x14ac:dyDescent="0.15">
      <c r="A354" s="30" t="s">
        <v>1001</v>
      </c>
      <c r="B354" s="30">
        <v>14</v>
      </c>
      <c r="C354" s="30">
        <v>18050</v>
      </c>
      <c r="D354" s="30" t="str">
        <f t="shared" si="5"/>
        <v>5H50S</v>
      </c>
      <c r="E354" s="30">
        <v>18050</v>
      </c>
      <c r="F354" s="30">
        <v>24066</v>
      </c>
      <c r="G354" s="30">
        <v>96264</v>
      </c>
      <c r="H354" s="30">
        <v>24066</v>
      </c>
      <c r="I354" s="30">
        <v>48132</v>
      </c>
      <c r="J354" s="49"/>
      <c r="K354" s="49"/>
      <c r="L354" s="49"/>
      <c r="M354" s="50"/>
      <c r="N354" s="49"/>
      <c r="O354" s="51"/>
      <c r="P354">
        <v>108</v>
      </c>
    </row>
    <row r="355" spans="1:16" x14ac:dyDescent="0.15">
      <c r="A355" s="30" t="s">
        <v>1001</v>
      </c>
      <c r="B355" s="30">
        <v>15</v>
      </c>
      <c r="C355" s="30">
        <v>26310</v>
      </c>
      <c r="D355" s="30" t="str">
        <f t="shared" si="5"/>
        <v>7H18M30S</v>
      </c>
      <c r="E355" s="30">
        <v>26310</v>
      </c>
      <c r="F355" s="30">
        <v>35080</v>
      </c>
      <c r="G355" s="30">
        <v>140320</v>
      </c>
      <c r="H355" s="30">
        <v>35080</v>
      </c>
      <c r="I355" s="30">
        <v>70160</v>
      </c>
      <c r="J355" s="49"/>
      <c r="K355" s="49"/>
      <c r="L355" s="49"/>
      <c r="M355" s="50"/>
      <c r="N355" s="49"/>
      <c r="O355" s="51"/>
      <c r="P355">
        <v>145</v>
      </c>
    </row>
    <row r="356" spans="1:16" x14ac:dyDescent="0.15">
      <c r="A356" s="30" t="s">
        <v>1001</v>
      </c>
      <c r="B356" s="30">
        <v>16</v>
      </c>
      <c r="C356" s="30">
        <v>38352</v>
      </c>
      <c r="D356" s="30" t="str">
        <f t="shared" si="5"/>
        <v>10H39M12S</v>
      </c>
      <c r="E356" s="30">
        <v>38352</v>
      </c>
      <c r="F356" s="30">
        <v>51136</v>
      </c>
      <c r="G356" s="30">
        <v>204544</v>
      </c>
      <c r="H356" s="30">
        <v>51136</v>
      </c>
      <c r="I356" s="30">
        <v>102272</v>
      </c>
      <c r="J356" s="49"/>
      <c r="K356" s="49"/>
      <c r="L356" s="49"/>
      <c r="M356" s="50"/>
      <c r="N356" s="49"/>
      <c r="O356" s="51"/>
      <c r="P356">
        <v>198</v>
      </c>
    </row>
    <row r="357" spans="1:16" x14ac:dyDescent="0.15">
      <c r="A357" s="30" t="s">
        <v>1001</v>
      </c>
      <c r="B357" s="30">
        <v>17</v>
      </c>
      <c r="C357" s="30">
        <v>55907</v>
      </c>
      <c r="D357" s="30" t="str">
        <f t="shared" si="5"/>
        <v>15H31M47S</v>
      </c>
      <c r="E357" s="30">
        <v>55907</v>
      </c>
      <c r="F357" s="30">
        <v>74542</v>
      </c>
      <c r="G357" s="30">
        <v>298168</v>
      </c>
      <c r="H357" s="30">
        <v>74542</v>
      </c>
      <c r="I357" s="30">
        <v>149084</v>
      </c>
      <c r="J357" s="49"/>
      <c r="K357" s="49"/>
      <c r="L357" s="49"/>
      <c r="M357" s="50"/>
      <c r="N357" s="49"/>
      <c r="O357" s="51"/>
      <c r="P357">
        <v>249</v>
      </c>
    </row>
    <row r="358" spans="1:16" x14ac:dyDescent="0.15">
      <c r="A358" s="30" t="s">
        <v>1001</v>
      </c>
      <c r="B358" s="30">
        <v>18</v>
      </c>
      <c r="C358" s="30">
        <v>81494</v>
      </c>
      <c r="D358" s="30" t="str">
        <f t="shared" si="5"/>
        <v>22H38M14S</v>
      </c>
      <c r="E358" s="30">
        <v>81494</v>
      </c>
      <c r="F358" s="30">
        <v>108658</v>
      </c>
      <c r="G358" s="30">
        <v>434632</v>
      </c>
      <c r="H358" s="30">
        <v>108658</v>
      </c>
      <c r="I358" s="30">
        <v>217316</v>
      </c>
      <c r="J358" s="49"/>
      <c r="K358" s="49"/>
      <c r="L358" s="49"/>
      <c r="M358" s="50"/>
      <c r="N358" s="49"/>
      <c r="O358" s="51"/>
      <c r="P358">
        <v>363</v>
      </c>
    </row>
    <row r="359" spans="1:16" x14ac:dyDescent="0.15">
      <c r="A359" s="30" t="s">
        <v>1001</v>
      </c>
      <c r="B359" s="30">
        <v>19</v>
      </c>
      <c r="C359" s="30">
        <v>118793</v>
      </c>
      <c r="D359" s="30" t="str">
        <f t="shared" si="5"/>
        <v>1D8H59M53S</v>
      </c>
      <c r="E359" s="30">
        <v>118793</v>
      </c>
      <c r="F359" s="30">
        <v>158390</v>
      </c>
      <c r="G359" s="30">
        <v>633560</v>
      </c>
      <c r="H359" s="30">
        <v>158390</v>
      </c>
      <c r="I359" s="30">
        <v>316780</v>
      </c>
      <c r="J359" s="49"/>
      <c r="K359" s="49"/>
      <c r="L359" s="49"/>
      <c r="M359" s="50"/>
      <c r="N359" s="49"/>
      <c r="O359" s="51"/>
      <c r="P359">
        <v>513</v>
      </c>
    </row>
    <row r="360" spans="1:16" x14ac:dyDescent="0.15">
      <c r="A360" s="30" t="s">
        <v>1001</v>
      </c>
      <c r="B360" s="30">
        <v>20</v>
      </c>
      <c r="C360" s="30">
        <v>173163</v>
      </c>
      <c r="D360" s="30" t="str">
        <f t="shared" si="5"/>
        <v>2D6M3S</v>
      </c>
      <c r="E360" s="30">
        <v>173163</v>
      </c>
      <c r="F360" s="30">
        <v>230884</v>
      </c>
      <c r="G360" s="30">
        <v>923536</v>
      </c>
      <c r="H360" s="30">
        <v>230884</v>
      </c>
      <c r="I360" s="30">
        <v>461768</v>
      </c>
      <c r="J360" s="24" t="s">
        <v>63</v>
      </c>
      <c r="K360" s="49"/>
      <c r="L360" s="49"/>
      <c r="M360" s="50"/>
      <c r="N360" s="49"/>
      <c r="O360" s="51"/>
      <c r="P360">
        <v>799</v>
      </c>
    </row>
    <row r="361" spans="1:16" x14ac:dyDescent="0.15">
      <c r="A361" s="24" t="s">
        <v>1055</v>
      </c>
      <c r="B361">
        <v>0</v>
      </c>
      <c r="C361" s="3">
        <v>0</v>
      </c>
      <c r="D361" s="30" t="str">
        <f>IF(INT(C361/3600/24)=0,"",INT(C361/3600/24)&amp;"D")&amp;IF(INT(MOD(C361,3600*24)/3600)=0,"",INT(MOD(C361,3600*24)/3600)&amp;"H")&amp;IF(INT(MOD(C361,3600)/60)=0,"",INT(MOD(C361,3600)/60)&amp;"M")&amp;INT(MOD(C361,60))&amp;"S"</f>
        <v>0S</v>
      </c>
      <c r="E361" s="3">
        <v>2</v>
      </c>
      <c r="F361" s="3">
        <v>2</v>
      </c>
      <c r="G361" s="3">
        <v>5</v>
      </c>
      <c r="H361" s="3">
        <v>1</v>
      </c>
      <c r="J361" s="51"/>
      <c r="K361" s="3"/>
      <c r="L361" s="51"/>
      <c r="M361" s="51"/>
      <c r="N361" s="51"/>
      <c r="O361" s="51"/>
    </row>
    <row r="362" spans="1:16" x14ac:dyDescent="0.15">
      <c r="A362" s="24" t="s">
        <v>1055</v>
      </c>
      <c r="B362">
        <v>1</v>
      </c>
      <c r="C362" s="3">
        <v>144</v>
      </c>
      <c r="D362" s="30" t="str">
        <f t="shared" ref="D362:D415" si="6">IF(INT(C362/3600/24)=0,"",INT(C362/3600/24)&amp;"D")&amp;IF(INT(MOD(C362,3600*24)/3600)=0,"",INT(MOD(C362,3600*24)/3600)&amp;"H")&amp;IF(INT(MOD(C362,3600)/60)=0,"",INT(MOD(C362,3600)/60)&amp;"M")&amp;INT(MOD(C362,60))&amp;"S"</f>
        <v>2M24S</v>
      </c>
      <c r="E362" s="3">
        <v>400</v>
      </c>
      <c r="F362" s="3">
        <v>400</v>
      </c>
      <c r="G362" s="3">
        <v>1000</v>
      </c>
      <c r="H362" s="3">
        <v>200</v>
      </c>
      <c r="J362" s="51"/>
      <c r="K362" s="51">
        <f>K361/1.7</f>
        <v>0</v>
      </c>
      <c r="L362" s="51"/>
      <c r="M362" s="51"/>
      <c r="N362" s="51"/>
      <c r="O362" s="51"/>
      <c r="P362" s="3">
        <v>4</v>
      </c>
    </row>
    <row r="363" spans="1:16" x14ac:dyDescent="0.15">
      <c r="A363" s="24" t="s">
        <v>1055</v>
      </c>
      <c r="B363">
        <v>2</v>
      </c>
      <c r="C363" s="3">
        <f>C362*2</f>
        <v>288</v>
      </c>
      <c r="D363" s="30" t="str">
        <f t="shared" si="6"/>
        <v>4M48S</v>
      </c>
      <c r="E363" s="3">
        <v>800</v>
      </c>
      <c r="F363" s="3">
        <v>800</v>
      </c>
      <c r="G363" s="3">
        <v>2000</v>
      </c>
      <c r="H363" s="3">
        <v>400</v>
      </c>
      <c r="J363" s="51"/>
      <c r="K363" s="51"/>
      <c r="L363" s="51"/>
      <c r="M363" s="51"/>
      <c r="N363" s="51"/>
      <c r="O363" s="51"/>
      <c r="P363" s="3">
        <v>8</v>
      </c>
    </row>
    <row r="364" spans="1:16" x14ac:dyDescent="0.15">
      <c r="A364" s="24" t="s">
        <v>1055</v>
      </c>
      <c r="B364">
        <v>3</v>
      </c>
      <c r="C364" s="3">
        <f t="shared" ref="C364:C371" si="7">C363*2</f>
        <v>576</v>
      </c>
      <c r="D364" s="30" t="str">
        <f t="shared" si="6"/>
        <v>9M36S</v>
      </c>
      <c r="E364" s="3">
        <v>1600</v>
      </c>
      <c r="F364" s="3">
        <v>1600</v>
      </c>
      <c r="G364" s="3">
        <v>4000</v>
      </c>
      <c r="H364" s="3">
        <v>800</v>
      </c>
      <c r="J364" s="51"/>
      <c r="K364" s="51"/>
      <c r="L364" s="51"/>
      <c r="M364" s="51"/>
      <c r="N364" s="51"/>
      <c r="O364" s="51"/>
      <c r="P364" s="3">
        <v>11</v>
      </c>
    </row>
    <row r="365" spans="1:16" x14ac:dyDescent="0.15">
      <c r="A365" s="24" t="s">
        <v>1055</v>
      </c>
      <c r="B365">
        <v>4</v>
      </c>
      <c r="C365" s="3">
        <f t="shared" si="7"/>
        <v>1152</v>
      </c>
      <c r="D365" s="30" t="str">
        <f t="shared" si="6"/>
        <v>19M12S</v>
      </c>
      <c r="E365" s="3">
        <v>3200</v>
      </c>
      <c r="F365" s="3">
        <v>3200</v>
      </c>
      <c r="G365" s="3">
        <v>8000</v>
      </c>
      <c r="H365" s="3">
        <v>1600</v>
      </c>
      <c r="J365" s="51"/>
      <c r="K365" s="51"/>
      <c r="L365" s="51"/>
      <c r="M365" s="51"/>
      <c r="N365" s="51"/>
      <c r="O365" s="51"/>
      <c r="P365" s="3">
        <v>14</v>
      </c>
    </row>
    <row r="366" spans="1:16" x14ac:dyDescent="0.15">
      <c r="A366" s="24" t="s">
        <v>1055</v>
      </c>
      <c r="B366">
        <v>5</v>
      </c>
      <c r="C366" s="3">
        <f t="shared" si="7"/>
        <v>2304</v>
      </c>
      <c r="D366" s="30" t="str">
        <f t="shared" si="6"/>
        <v>38M24S</v>
      </c>
      <c r="E366" s="3">
        <v>6400</v>
      </c>
      <c r="F366" s="3">
        <v>6400</v>
      </c>
      <c r="G366" s="3">
        <v>16000</v>
      </c>
      <c r="H366" s="3">
        <v>3200</v>
      </c>
      <c r="J366" s="51"/>
      <c r="K366" s="51"/>
      <c r="L366" s="51"/>
      <c r="M366" s="51"/>
      <c r="N366" s="51"/>
      <c r="O366" s="51"/>
      <c r="P366" s="3">
        <v>28</v>
      </c>
    </row>
    <row r="367" spans="1:16" x14ac:dyDescent="0.15">
      <c r="A367" s="24" t="s">
        <v>1055</v>
      </c>
      <c r="B367">
        <v>6</v>
      </c>
      <c r="C367" s="3">
        <f t="shared" si="7"/>
        <v>4608</v>
      </c>
      <c r="D367" s="30" t="str">
        <f t="shared" si="6"/>
        <v>1H16M48S</v>
      </c>
      <c r="E367" s="3">
        <v>12800</v>
      </c>
      <c r="F367" s="3">
        <v>12800</v>
      </c>
      <c r="G367" s="3">
        <v>32000</v>
      </c>
      <c r="H367" s="3">
        <v>6400</v>
      </c>
      <c r="J367" s="51"/>
      <c r="K367" s="51"/>
      <c r="L367" s="51"/>
      <c r="M367" s="51"/>
      <c r="N367" s="51"/>
      <c r="O367" s="51"/>
      <c r="P367" s="3">
        <v>38</v>
      </c>
    </row>
    <row r="368" spans="1:16" x14ac:dyDescent="0.15">
      <c r="A368" s="24" t="s">
        <v>1055</v>
      </c>
      <c r="B368">
        <v>7</v>
      </c>
      <c r="C368" s="3">
        <f t="shared" si="7"/>
        <v>9216</v>
      </c>
      <c r="D368" s="30" t="str">
        <f t="shared" si="6"/>
        <v>2H33M36S</v>
      </c>
      <c r="E368" s="3">
        <v>25600</v>
      </c>
      <c r="F368" s="3">
        <v>25600</v>
      </c>
      <c r="G368" s="3">
        <v>64000</v>
      </c>
      <c r="H368" s="3">
        <v>12800</v>
      </c>
      <c r="J368" s="51"/>
      <c r="K368" s="51"/>
      <c r="L368" s="51"/>
      <c r="M368" s="51"/>
      <c r="N368" s="51"/>
      <c r="O368" s="51"/>
      <c r="P368" s="3">
        <v>62</v>
      </c>
    </row>
    <row r="369" spans="1:16" x14ac:dyDescent="0.15">
      <c r="A369" s="24" t="s">
        <v>1055</v>
      </c>
      <c r="B369">
        <v>8</v>
      </c>
      <c r="C369" s="3">
        <f t="shared" si="7"/>
        <v>18432</v>
      </c>
      <c r="D369" s="30" t="str">
        <f t="shared" si="6"/>
        <v>5H7M12S</v>
      </c>
      <c r="E369" s="3">
        <v>51200</v>
      </c>
      <c r="F369" s="3">
        <v>51200</v>
      </c>
      <c r="G369" s="3">
        <v>128000</v>
      </c>
      <c r="H369" s="3">
        <v>25600</v>
      </c>
      <c r="J369" s="51"/>
      <c r="K369" s="51"/>
      <c r="L369" s="51"/>
      <c r="M369" s="51"/>
      <c r="N369" s="51"/>
      <c r="O369" s="51"/>
      <c r="P369" s="3">
        <v>114</v>
      </c>
    </row>
    <row r="370" spans="1:16" x14ac:dyDescent="0.15">
      <c r="A370" s="24" t="s">
        <v>1055</v>
      </c>
      <c r="B370">
        <v>9</v>
      </c>
      <c r="C370" s="3">
        <f t="shared" si="7"/>
        <v>36864</v>
      </c>
      <c r="D370" s="30" t="str">
        <f t="shared" si="6"/>
        <v>10H14M24S</v>
      </c>
      <c r="E370" s="3">
        <v>102400</v>
      </c>
      <c r="F370" s="3">
        <v>102400</v>
      </c>
      <c r="G370" s="3">
        <v>256000</v>
      </c>
      <c r="H370" s="3">
        <v>51200</v>
      </c>
      <c r="J370" s="51"/>
      <c r="K370" s="51"/>
      <c r="L370" s="51"/>
      <c r="M370" s="51"/>
      <c r="N370" s="51"/>
      <c r="O370" s="51"/>
      <c r="P370" s="3">
        <v>194</v>
      </c>
    </row>
    <row r="371" spans="1:16" x14ac:dyDescent="0.15">
      <c r="A371" s="24" t="s">
        <v>1055</v>
      </c>
      <c r="B371">
        <v>10</v>
      </c>
      <c r="C371" s="3">
        <f t="shared" si="7"/>
        <v>73728</v>
      </c>
      <c r="D371" s="30" t="str">
        <f t="shared" si="6"/>
        <v>20H28M48S</v>
      </c>
      <c r="E371" s="3">
        <v>204800</v>
      </c>
      <c r="F371" s="3">
        <v>204800</v>
      </c>
      <c r="G371" s="3">
        <v>512000</v>
      </c>
      <c r="H371" s="3">
        <v>102400</v>
      </c>
      <c r="J371" s="24" t="s">
        <v>63</v>
      </c>
      <c r="K371" s="51"/>
      <c r="L371" s="51"/>
      <c r="M371" s="51"/>
      <c r="N371" s="51"/>
      <c r="O371" s="51"/>
      <c r="P371" s="3">
        <v>421</v>
      </c>
    </row>
    <row r="372" spans="1:16" s="24" customFormat="1" x14ac:dyDescent="0.15">
      <c r="A372" s="30" t="s">
        <v>1062</v>
      </c>
      <c r="B372" s="24">
        <v>0</v>
      </c>
      <c r="C372" s="3"/>
      <c r="D372" s="30"/>
      <c r="E372" s="3"/>
      <c r="F372" s="3"/>
      <c r="G372" s="3"/>
      <c r="H372" s="3"/>
      <c r="I372" s="3"/>
      <c r="K372" s="51"/>
      <c r="L372" s="51"/>
      <c r="M372" s="51"/>
      <c r="N372" s="51"/>
      <c r="O372" s="51"/>
      <c r="P372" s="3">
        <v>0</v>
      </c>
    </row>
    <row r="373" spans="1:16" s="24" customFormat="1" x14ac:dyDescent="0.15">
      <c r="A373" s="30" t="s">
        <v>1062</v>
      </c>
      <c r="B373" s="24">
        <v>1</v>
      </c>
      <c r="C373" s="3">
        <f>CEILING(C341*1.2,1)</f>
        <v>10</v>
      </c>
      <c r="D373" s="30" t="str">
        <f t="shared" si="6"/>
        <v>10S</v>
      </c>
      <c r="E373" s="3">
        <f>CEILING(E341*1.2,1)</f>
        <v>10</v>
      </c>
      <c r="F373" s="3">
        <f t="shared" ref="F373:I373" si="8">CEILING(F341*1.2,1)</f>
        <v>12</v>
      </c>
      <c r="G373" s="3">
        <f t="shared" si="8"/>
        <v>48</v>
      </c>
      <c r="H373" s="3">
        <f t="shared" si="8"/>
        <v>12</v>
      </c>
      <c r="I373" s="3">
        <f t="shared" si="8"/>
        <v>24</v>
      </c>
      <c r="K373" s="51"/>
      <c r="L373" s="51"/>
      <c r="M373" s="51"/>
      <c r="N373" s="51"/>
      <c r="O373" s="51"/>
      <c r="P373" s="3">
        <v>1</v>
      </c>
    </row>
    <row r="374" spans="1:16" s="24" customFormat="1" x14ac:dyDescent="0.15">
      <c r="A374" s="30" t="s">
        <v>1062</v>
      </c>
      <c r="B374" s="24">
        <v>2</v>
      </c>
      <c r="C374" s="3">
        <f t="shared" ref="C374:C392" si="9">CEILING(C342*1.2,1)</f>
        <v>144</v>
      </c>
      <c r="D374" s="30" t="str">
        <f t="shared" si="6"/>
        <v>2M24S</v>
      </c>
      <c r="E374" s="3">
        <f t="shared" ref="E374:I374" si="10">CEILING(E342*1.2,1)</f>
        <v>144</v>
      </c>
      <c r="F374" s="3">
        <f t="shared" si="10"/>
        <v>192</v>
      </c>
      <c r="G374" s="3">
        <f t="shared" si="10"/>
        <v>768</v>
      </c>
      <c r="H374" s="3">
        <f t="shared" si="10"/>
        <v>192</v>
      </c>
      <c r="I374" s="3">
        <f t="shared" si="10"/>
        <v>384</v>
      </c>
      <c r="K374" s="51"/>
      <c r="L374" s="51"/>
      <c r="M374" s="51"/>
      <c r="N374" s="51"/>
      <c r="O374" s="51"/>
      <c r="P374" s="3">
        <v>4</v>
      </c>
    </row>
    <row r="375" spans="1:16" s="24" customFormat="1" x14ac:dyDescent="0.15">
      <c r="A375" s="30" t="s">
        <v>1062</v>
      </c>
      <c r="B375" s="24">
        <v>3</v>
      </c>
      <c r="C375" s="3">
        <f t="shared" si="9"/>
        <v>342</v>
      </c>
      <c r="D375" s="30" t="str">
        <f t="shared" si="6"/>
        <v>5M42S</v>
      </c>
      <c r="E375" s="3">
        <f t="shared" ref="E375:I375" si="11">CEILING(E343*1.2,1)</f>
        <v>342</v>
      </c>
      <c r="F375" s="3">
        <f t="shared" si="11"/>
        <v>456</v>
      </c>
      <c r="G375" s="3">
        <f t="shared" si="11"/>
        <v>1824</v>
      </c>
      <c r="H375" s="3">
        <f t="shared" si="11"/>
        <v>456</v>
      </c>
      <c r="I375" s="3">
        <f t="shared" si="11"/>
        <v>912</v>
      </c>
      <c r="K375" s="51"/>
      <c r="L375" s="51"/>
      <c r="M375" s="51"/>
      <c r="N375" s="51"/>
      <c r="O375" s="51"/>
      <c r="P375" s="3">
        <v>6</v>
      </c>
    </row>
    <row r="376" spans="1:16" s="24" customFormat="1" x14ac:dyDescent="0.15">
      <c r="A376" s="30" t="s">
        <v>1062</v>
      </c>
      <c r="B376" s="24">
        <v>4</v>
      </c>
      <c r="C376" s="3">
        <f t="shared" si="9"/>
        <v>500</v>
      </c>
      <c r="D376" s="30" t="str">
        <f t="shared" si="6"/>
        <v>8M20S</v>
      </c>
      <c r="E376" s="3">
        <f t="shared" ref="E376:I376" si="12">CEILING(E344*1.2,1)</f>
        <v>500</v>
      </c>
      <c r="F376" s="3">
        <f t="shared" si="12"/>
        <v>665</v>
      </c>
      <c r="G376" s="3">
        <f t="shared" si="12"/>
        <v>2660</v>
      </c>
      <c r="H376" s="3">
        <f t="shared" si="12"/>
        <v>665</v>
      </c>
      <c r="I376" s="3">
        <f t="shared" si="12"/>
        <v>1330</v>
      </c>
      <c r="K376" s="51"/>
      <c r="L376" s="51"/>
      <c r="M376" s="51"/>
      <c r="N376" s="51"/>
      <c r="O376" s="51"/>
      <c r="P376" s="3">
        <v>9</v>
      </c>
    </row>
    <row r="377" spans="1:16" s="24" customFormat="1" x14ac:dyDescent="0.15">
      <c r="A377" s="30" t="s">
        <v>1062</v>
      </c>
      <c r="B377" s="24">
        <v>5</v>
      </c>
      <c r="C377" s="3">
        <f t="shared" si="9"/>
        <v>728</v>
      </c>
      <c r="D377" s="30" t="str">
        <f t="shared" si="6"/>
        <v>12M8S</v>
      </c>
      <c r="E377" s="3">
        <f t="shared" ref="E377:I377" si="13">CEILING(E345*1.2,1)</f>
        <v>728</v>
      </c>
      <c r="F377" s="3">
        <f t="shared" si="13"/>
        <v>970</v>
      </c>
      <c r="G377" s="3">
        <f t="shared" si="13"/>
        <v>3879</v>
      </c>
      <c r="H377" s="3">
        <f t="shared" si="13"/>
        <v>970</v>
      </c>
      <c r="I377" s="3">
        <f t="shared" si="13"/>
        <v>1940</v>
      </c>
      <c r="K377" s="51"/>
      <c r="L377" s="51"/>
      <c r="M377" s="51"/>
      <c r="N377" s="51"/>
      <c r="O377" s="51"/>
      <c r="P377" s="3">
        <v>13</v>
      </c>
    </row>
    <row r="378" spans="1:16" s="24" customFormat="1" x14ac:dyDescent="0.15">
      <c r="A378" s="30" t="s">
        <v>1062</v>
      </c>
      <c r="B378" s="24">
        <v>6</v>
      </c>
      <c r="C378" s="3">
        <f t="shared" si="9"/>
        <v>1062</v>
      </c>
      <c r="D378" s="30" t="str">
        <f t="shared" si="6"/>
        <v>17M42S</v>
      </c>
      <c r="E378" s="3">
        <f t="shared" ref="E378:I378" si="14">CEILING(E346*1.2,1)</f>
        <v>1062</v>
      </c>
      <c r="F378" s="3">
        <f t="shared" si="14"/>
        <v>1416</v>
      </c>
      <c r="G378" s="3">
        <f t="shared" si="14"/>
        <v>5664</v>
      </c>
      <c r="H378" s="3">
        <f t="shared" si="14"/>
        <v>1416</v>
      </c>
      <c r="I378" s="3">
        <f t="shared" si="14"/>
        <v>2832</v>
      </c>
      <c r="K378" s="51"/>
      <c r="L378" s="51"/>
      <c r="M378" s="51"/>
      <c r="N378" s="51"/>
      <c r="O378" s="51"/>
      <c r="P378" s="3">
        <v>15</v>
      </c>
    </row>
    <row r="379" spans="1:16" s="24" customFormat="1" x14ac:dyDescent="0.15">
      <c r="A379" s="30" t="s">
        <v>1062</v>
      </c>
      <c r="B379" s="24">
        <v>7</v>
      </c>
      <c r="C379" s="3">
        <f t="shared" si="9"/>
        <v>1548</v>
      </c>
      <c r="D379" s="30" t="str">
        <f t="shared" si="6"/>
        <v>25M48S</v>
      </c>
      <c r="E379" s="3">
        <f t="shared" ref="E379:I379" si="15">CEILING(E347*1.2,1)</f>
        <v>1548</v>
      </c>
      <c r="F379" s="3">
        <f t="shared" si="15"/>
        <v>2064</v>
      </c>
      <c r="G379" s="3">
        <f t="shared" si="15"/>
        <v>8256</v>
      </c>
      <c r="H379" s="3">
        <f t="shared" si="15"/>
        <v>2064</v>
      </c>
      <c r="I379" s="3">
        <f t="shared" si="15"/>
        <v>4128</v>
      </c>
      <c r="K379" s="51"/>
      <c r="L379" s="51"/>
      <c r="M379" s="51"/>
      <c r="N379" s="51"/>
      <c r="O379" s="51"/>
      <c r="P379" s="3">
        <v>18</v>
      </c>
    </row>
    <row r="380" spans="1:16" s="24" customFormat="1" x14ac:dyDescent="0.15">
      <c r="A380" s="30" t="s">
        <v>1062</v>
      </c>
      <c r="B380" s="24">
        <v>8</v>
      </c>
      <c r="C380" s="3">
        <f t="shared" si="9"/>
        <v>2258</v>
      </c>
      <c r="D380" s="30" t="str">
        <f t="shared" si="6"/>
        <v>37M38S</v>
      </c>
      <c r="E380" s="3">
        <f t="shared" ref="E380:I380" si="16">CEILING(E348*1.2,1)</f>
        <v>2258</v>
      </c>
      <c r="F380" s="3">
        <f t="shared" si="16"/>
        <v>3010</v>
      </c>
      <c r="G380" s="3">
        <f t="shared" si="16"/>
        <v>12039</v>
      </c>
      <c r="H380" s="3">
        <f t="shared" si="16"/>
        <v>3010</v>
      </c>
      <c r="I380" s="3">
        <f t="shared" si="16"/>
        <v>6020</v>
      </c>
      <c r="K380" s="51"/>
      <c r="L380" s="51"/>
      <c r="M380" s="51"/>
      <c r="N380" s="51"/>
      <c r="O380" s="51"/>
      <c r="P380" s="3">
        <v>25</v>
      </c>
    </row>
    <row r="381" spans="1:16" s="24" customFormat="1" x14ac:dyDescent="0.15">
      <c r="A381" s="30" t="s">
        <v>1062</v>
      </c>
      <c r="B381" s="24">
        <v>9</v>
      </c>
      <c r="C381" s="3">
        <f t="shared" si="9"/>
        <v>3291</v>
      </c>
      <c r="D381" s="30" t="str">
        <f t="shared" si="6"/>
        <v>54M51S</v>
      </c>
      <c r="E381" s="3">
        <f t="shared" ref="E381:I381" si="17">CEILING(E349*1.2,1)</f>
        <v>3291</v>
      </c>
      <c r="F381" s="3">
        <f t="shared" si="17"/>
        <v>4388</v>
      </c>
      <c r="G381" s="3">
        <f t="shared" si="17"/>
        <v>17549</v>
      </c>
      <c r="H381" s="3">
        <f t="shared" si="17"/>
        <v>4388</v>
      </c>
      <c r="I381" s="3">
        <f t="shared" si="17"/>
        <v>8775</v>
      </c>
      <c r="K381" s="51"/>
      <c r="L381" s="51"/>
      <c r="M381" s="51"/>
      <c r="N381" s="51"/>
      <c r="O381" s="51"/>
      <c r="P381" s="3">
        <v>37</v>
      </c>
    </row>
    <row r="382" spans="1:16" s="24" customFormat="1" x14ac:dyDescent="0.15">
      <c r="A382" s="30" t="s">
        <v>1062</v>
      </c>
      <c r="B382" s="24">
        <v>10</v>
      </c>
      <c r="C382" s="3">
        <f t="shared" si="9"/>
        <v>4798</v>
      </c>
      <c r="D382" s="30" t="str">
        <f t="shared" si="6"/>
        <v>1H19M58S</v>
      </c>
      <c r="E382" s="3">
        <f t="shared" ref="E382:I382" si="18">CEILING(E350*1.2,1)</f>
        <v>4798</v>
      </c>
      <c r="F382" s="3">
        <f t="shared" si="18"/>
        <v>6396</v>
      </c>
      <c r="G382" s="3">
        <f t="shared" si="18"/>
        <v>25584</v>
      </c>
      <c r="H382" s="3">
        <f t="shared" si="18"/>
        <v>6396</v>
      </c>
      <c r="I382" s="3">
        <f t="shared" si="18"/>
        <v>12792</v>
      </c>
      <c r="K382" s="51"/>
      <c r="L382" s="51"/>
      <c r="M382" s="51"/>
      <c r="N382" s="51"/>
      <c r="O382" s="51"/>
      <c r="P382" s="3">
        <v>44</v>
      </c>
    </row>
    <row r="383" spans="1:16" s="24" customFormat="1" x14ac:dyDescent="0.15">
      <c r="A383" s="30" t="s">
        <v>1062</v>
      </c>
      <c r="B383" s="24">
        <v>11</v>
      </c>
      <c r="C383" s="3">
        <f t="shared" si="9"/>
        <v>6992</v>
      </c>
      <c r="D383" s="30" t="str">
        <f t="shared" si="6"/>
        <v>1H56M32S</v>
      </c>
      <c r="E383" s="3">
        <f t="shared" ref="E383:I383" si="19">CEILING(E351*1.2,1)</f>
        <v>6992</v>
      </c>
      <c r="F383" s="3">
        <f t="shared" si="19"/>
        <v>9322</v>
      </c>
      <c r="G383" s="3">
        <f t="shared" si="19"/>
        <v>37287</v>
      </c>
      <c r="H383" s="3">
        <f t="shared" si="19"/>
        <v>9322</v>
      </c>
      <c r="I383" s="3">
        <f t="shared" si="19"/>
        <v>18644</v>
      </c>
      <c r="K383" s="51"/>
      <c r="L383" s="51"/>
      <c r="M383" s="51"/>
      <c r="N383" s="51"/>
      <c r="O383" s="51"/>
      <c r="P383" s="3">
        <v>52</v>
      </c>
    </row>
    <row r="384" spans="1:16" s="24" customFormat="1" x14ac:dyDescent="0.15">
      <c r="A384" s="30" t="s">
        <v>1062</v>
      </c>
      <c r="B384" s="24">
        <v>12</v>
      </c>
      <c r="C384" s="3">
        <f t="shared" si="9"/>
        <v>10194</v>
      </c>
      <c r="D384" s="30" t="str">
        <f t="shared" si="6"/>
        <v>2H49M54S</v>
      </c>
      <c r="E384" s="3">
        <f t="shared" ref="E384:I384" si="20">CEILING(E352*1.2,1)</f>
        <v>10194</v>
      </c>
      <c r="F384" s="3">
        <f t="shared" si="20"/>
        <v>13592</v>
      </c>
      <c r="G384" s="3">
        <f t="shared" si="20"/>
        <v>54365</v>
      </c>
      <c r="H384" s="3">
        <f t="shared" si="20"/>
        <v>13592</v>
      </c>
      <c r="I384" s="3">
        <f t="shared" si="20"/>
        <v>27183</v>
      </c>
      <c r="K384" s="51"/>
      <c r="L384" s="51"/>
      <c r="M384" s="51"/>
      <c r="N384" s="51"/>
      <c r="O384" s="51"/>
      <c r="P384" s="3">
        <v>61</v>
      </c>
    </row>
    <row r="385" spans="1:16" s="24" customFormat="1" x14ac:dyDescent="0.15">
      <c r="A385" s="30" t="s">
        <v>1062</v>
      </c>
      <c r="B385" s="24">
        <v>13</v>
      </c>
      <c r="C385" s="3">
        <f t="shared" si="9"/>
        <v>14860</v>
      </c>
      <c r="D385" s="30" t="str">
        <f t="shared" si="6"/>
        <v>4H7M40S</v>
      </c>
      <c r="E385" s="3">
        <f t="shared" ref="E385:I385" si="21">CEILING(E353*1.2,1)</f>
        <v>14860</v>
      </c>
      <c r="F385" s="3">
        <f t="shared" si="21"/>
        <v>19812</v>
      </c>
      <c r="G385" s="3">
        <f t="shared" si="21"/>
        <v>79248</v>
      </c>
      <c r="H385" s="3">
        <f t="shared" si="21"/>
        <v>19812</v>
      </c>
      <c r="I385" s="3">
        <f t="shared" si="21"/>
        <v>39624</v>
      </c>
      <c r="K385" s="51"/>
      <c r="L385" s="51"/>
      <c r="M385" s="51"/>
      <c r="N385" s="51"/>
      <c r="O385" s="51"/>
      <c r="P385" s="3">
        <v>89</v>
      </c>
    </row>
    <row r="386" spans="1:16" s="24" customFormat="1" x14ac:dyDescent="0.15">
      <c r="A386" s="30" t="s">
        <v>1062</v>
      </c>
      <c r="B386" s="24">
        <v>14</v>
      </c>
      <c r="C386" s="3">
        <f t="shared" si="9"/>
        <v>21660</v>
      </c>
      <c r="D386" s="30" t="str">
        <f t="shared" si="6"/>
        <v>6H1M0S</v>
      </c>
      <c r="E386" s="3">
        <f t="shared" ref="E386:I386" si="22">CEILING(E354*1.2,1)</f>
        <v>21660</v>
      </c>
      <c r="F386" s="3">
        <f t="shared" si="22"/>
        <v>28880</v>
      </c>
      <c r="G386" s="3">
        <f t="shared" si="22"/>
        <v>115517</v>
      </c>
      <c r="H386" s="3">
        <f t="shared" si="22"/>
        <v>28880</v>
      </c>
      <c r="I386" s="3">
        <f t="shared" si="22"/>
        <v>57759</v>
      </c>
      <c r="K386" s="51"/>
      <c r="L386" s="51"/>
      <c r="M386" s="51"/>
      <c r="N386" s="51"/>
      <c r="O386" s="51"/>
      <c r="P386" s="3">
        <v>120</v>
      </c>
    </row>
    <row r="387" spans="1:16" s="24" customFormat="1" x14ac:dyDescent="0.15">
      <c r="A387" s="30" t="s">
        <v>1062</v>
      </c>
      <c r="B387" s="24">
        <v>15</v>
      </c>
      <c r="C387" s="3">
        <f t="shared" si="9"/>
        <v>31572</v>
      </c>
      <c r="D387" s="30" t="str">
        <f t="shared" si="6"/>
        <v>8H46M12S</v>
      </c>
      <c r="E387" s="3">
        <f t="shared" ref="E387:I387" si="23">CEILING(E355*1.2,1)</f>
        <v>31572</v>
      </c>
      <c r="F387" s="3">
        <f t="shared" si="23"/>
        <v>42096</v>
      </c>
      <c r="G387" s="3">
        <f t="shared" si="23"/>
        <v>168384</v>
      </c>
      <c r="H387" s="3">
        <f t="shared" si="23"/>
        <v>42096</v>
      </c>
      <c r="I387" s="3">
        <f t="shared" si="23"/>
        <v>84192</v>
      </c>
      <c r="K387" s="51"/>
      <c r="L387" s="51"/>
      <c r="M387" s="51"/>
      <c r="N387" s="51"/>
      <c r="O387" s="51"/>
      <c r="P387" s="3">
        <v>163</v>
      </c>
    </row>
    <row r="388" spans="1:16" s="24" customFormat="1" x14ac:dyDescent="0.15">
      <c r="A388" s="30" t="s">
        <v>1062</v>
      </c>
      <c r="B388" s="24">
        <v>16</v>
      </c>
      <c r="C388" s="3">
        <f t="shared" si="9"/>
        <v>46023</v>
      </c>
      <c r="D388" s="30" t="str">
        <f t="shared" si="6"/>
        <v>12H47M3S</v>
      </c>
      <c r="E388" s="3">
        <f t="shared" ref="E388:I388" si="24">CEILING(E356*1.2,1)</f>
        <v>46023</v>
      </c>
      <c r="F388" s="3">
        <f t="shared" si="24"/>
        <v>61364</v>
      </c>
      <c r="G388" s="3">
        <f t="shared" si="24"/>
        <v>245453</v>
      </c>
      <c r="H388" s="3">
        <f t="shared" si="24"/>
        <v>61364</v>
      </c>
      <c r="I388" s="3">
        <f t="shared" si="24"/>
        <v>122727</v>
      </c>
      <c r="K388" s="51"/>
      <c r="L388" s="51"/>
      <c r="M388" s="51"/>
      <c r="N388" s="51"/>
      <c r="O388" s="51"/>
      <c r="P388" s="3">
        <v>216</v>
      </c>
    </row>
    <row r="389" spans="1:16" s="24" customFormat="1" x14ac:dyDescent="0.15">
      <c r="A389" s="30" t="s">
        <v>1062</v>
      </c>
      <c r="B389" s="24">
        <v>17</v>
      </c>
      <c r="C389" s="3">
        <f t="shared" si="9"/>
        <v>67089</v>
      </c>
      <c r="D389" s="30" t="str">
        <f t="shared" si="6"/>
        <v>18H38M9S</v>
      </c>
      <c r="E389" s="3">
        <f t="shared" ref="E389:I389" si="25">CEILING(E357*1.2,1)</f>
        <v>67089</v>
      </c>
      <c r="F389" s="3">
        <f t="shared" si="25"/>
        <v>89451</v>
      </c>
      <c r="G389" s="3">
        <f t="shared" si="25"/>
        <v>357802</v>
      </c>
      <c r="H389" s="3">
        <f t="shared" si="25"/>
        <v>89451</v>
      </c>
      <c r="I389" s="3">
        <f t="shared" si="25"/>
        <v>178901</v>
      </c>
      <c r="K389" s="51"/>
      <c r="L389" s="51"/>
      <c r="M389" s="51"/>
      <c r="N389" s="51"/>
      <c r="O389" s="51"/>
      <c r="P389" s="3">
        <v>299</v>
      </c>
    </row>
    <row r="390" spans="1:16" s="24" customFormat="1" x14ac:dyDescent="0.15">
      <c r="A390" s="30" t="s">
        <v>1062</v>
      </c>
      <c r="B390" s="24">
        <v>18</v>
      </c>
      <c r="C390" s="3">
        <f t="shared" si="9"/>
        <v>97793</v>
      </c>
      <c r="D390" s="30" t="str">
        <f t="shared" si="6"/>
        <v>1D3H9M53S</v>
      </c>
      <c r="E390" s="3">
        <f t="shared" ref="E390:I390" si="26">CEILING(E358*1.2,1)</f>
        <v>97793</v>
      </c>
      <c r="F390" s="3">
        <f t="shared" si="26"/>
        <v>130390</v>
      </c>
      <c r="G390" s="3">
        <f t="shared" si="26"/>
        <v>521559</v>
      </c>
      <c r="H390" s="3">
        <f t="shared" si="26"/>
        <v>130390</v>
      </c>
      <c r="I390" s="3">
        <f t="shared" si="26"/>
        <v>260780</v>
      </c>
      <c r="K390" s="51"/>
      <c r="L390" s="51"/>
      <c r="M390" s="51"/>
      <c r="N390" s="51"/>
      <c r="O390" s="51"/>
      <c r="P390" s="3">
        <v>422</v>
      </c>
    </row>
    <row r="391" spans="1:16" s="24" customFormat="1" x14ac:dyDescent="0.15">
      <c r="A391" s="30" t="s">
        <v>1062</v>
      </c>
      <c r="B391" s="24">
        <v>19</v>
      </c>
      <c r="C391" s="3">
        <f t="shared" si="9"/>
        <v>142552</v>
      </c>
      <c r="D391" s="30" t="str">
        <f t="shared" si="6"/>
        <v>1D15H35M52S</v>
      </c>
      <c r="E391" s="3">
        <f t="shared" ref="E391:I391" si="27">CEILING(E359*1.2,1)</f>
        <v>142552</v>
      </c>
      <c r="F391" s="3">
        <f t="shared" si="27"/>
        <v>190068</v>
      </c>
      <c r="G391" s="3">
        <f t="shared" si="27"/>
        <v>760272</v>
      </c>
      <c r="H391" s="3">
        <f t="shared" si="27"/>
        <v>190068</v>
      </c>
      <c r="I391" s="3">
        <f t="shared" si="27"/>
        <v>380136</v>
      </c>
      <c r="K391" s="51"/>
      <c r="L391" s="51"/>
      <c r="M391" s="51"/>
      <c r="N391" s="51"/>
      <c r="O391" s="51"/>
      <c r="P391" s="3">
        <v>615</v>
      </c>
    </row>
    <row r="392" spans="1:16" s="24" customFormat="1" x14ac:dyDescent="0.15">
      <c r="A392" s="30" t="s">
        <v>1062</v>
      </c>
      <c r="B392" s="24">
        <v>20</v>
      </c>
      <c r="C392" s="3">
        <f t="shared" si="9"/>
        <v>207796</v>
      </c>
      <c r="D392" s="30" t="str">
        <f t="shared" si="6"/>
        <v>2D9H43M16S</v>
      </c>
      <c r="E392" s="3">
        <f t="shared" ref="E392:I392" si="28">CEILING(E360*1.2,1)</f>
        <v>207796</v>
      </c>
      <c r="F392" s="3">
        <f t="shared" si="28"/>
        <v>277061</v>
      </c>
      <c r="G392" s="3">
        <f t="shared" si="28"/>
        <v>1108244</v>
      </c>
      <c r="H392" s="3">
        <f t="shared" si="28"/>
        <v>277061</v>
      </c>
      <c r="I392" s="3">
        <f t="shared" si="28"/>
        <v>554122</v>
      </c>
      <c r="J392" s="24" t="s">
        <v>63</v>
      </c>
      <c r="K392" s="51"/>
      <c r="L392" s="51"/>
      <c r="M392" s="51"/>
      <c r="N392" s="51"/>
      <c r="O392" s="51"/>
      <c r="P392" s="3">
        <v>948</v>
      </c>
    </row>
    <row r="393" spans="1:16" s="24" customFormat="1" x14ac:dyDescent="0.15">
      <c r="A393" s="24" t="s">
        <v>1056</v>
      </c>
      <c r="B393" s="24">
        <v>0</v>
      </c>
      <c r="C393" s="3"/>
      <c r="D393" s="30"/>
      <c r="E393" s="3"/>
      <c r="F393" s="3"/>
      <c r="G393" s="3"/>
      <c r="H393" s="3"/>
      <c r="I393" s="3"/>
      <c r="K393" s="51"/>
      <c r="L393" s="51"/>
      <c r="M393" s="51"/>
      <c r="N393" s="51"/>
      <c r="O393" s="51"/>
      <c r="P393" s="3">
        <v>0</v>
      </c>
    </row>
    <row r="394" spans="1:16" s="24" customFormat="1" x14ac:dyDescent="0.15">
      <c r="A394" s="24" t="s">
        <v>1056</v>
      </c>
      <c r="B394" s="24">
        <v>1</v>
      </c>
      <c r="C394" s="3">
        <f>CEILING(C213*1.5,1)</f>
        <v>186</v>
      </c>
      <c r="D394" s="30" t="str">
        <f t="shared" si="6"/>
        <v>3M6S</v>
      </c>
      <c r="E394" s="3">
        <f>CEILING(E213*1.5,1)</f>
        <v>281</v>
      </c>
      <c r="F394" s="3">
        <f t="shared" ref="F394:H394" si="29">CEILING(F213*1.5,1)</f>
        <v>672</v>
      </c>
      <c r="G394" s="3">
        <f t="shared" si="29"/>
        <v>842</v>
      </c>
      <c r="H394" s="3">
        <f t="shared" si="29"/>
        <v>140</v>
      </c>
      <c r="I394" s="3">
        <f t="shared" ref="I394:I413" si="30">INT(F394/0.9)</f>
        <v>746</v>
      </c>
      <c r="J394" s="51"/>
      <c r="K394" s="51"/>
      <c r="L394" s="51"/>
      <c r="M394" s="51"/>
      <c r="O394" s="51"/>
      <c r="P394" s="51">
        <f t="shared" ref="P394:P413" si="31">CEILING(P213*1.8,1)</f>
        <v>8</v>
      </c>
    </row>
    <row r="395" spans="1:16" s="24" customFormat="1" x14ac:dyDescent="0.15">
      <c r="A395" s="24" t="s">
        <v>1056</v>
      </c>
      <c r="B395" s="24">
        <v>2</v>
      </c>
      <c r="C395" s="3">
        <f t="shared" ref="C395:C413" si="32">CEILING(C214*1.5,1)</f>
        <v>264</v>
      </c>
      <c r="D395" s="30" t="str">
        <f t="shared" si="6"/>
        <v>4M24S</v>
      </c>
      <c r="E395" s="3">
        <f t="shared" ref="E395:H395" si="33">CEILING(E214*1.5,1)</f>
        <v>398</v>
      </c>
      <c r="F395" s="3">
        <f t="shared" si="33"/>
        <v>956</v>
      </c>
      <c r="G395" s="3">
        <f t="shared" si="33"/>
        <v>1194</v>
      </c>
      <c r="H395" s="3">
        <f t="shared" si="33"/>
        <v>198</v>
      </c>
      <c r="I395" s="3">
        <f t="shared" si="30"/>
        <v>1062</v>
      </c>
      <c r="J395" s="51"/>
      <c r="K395" s="51"/>
      <c r="L395" s="51"/>
      <c r="M395" s="51"/>
      <c r="O395" s="51"/>
      <c r="P395" s="51">
        <f t="shared" si="31"/>
        <v>9</v>
      </c>
    </row>
    <row r="396" spans="1:16" s="24" customFormat="1" x14ac:dyDescent="0.15">
      <c r="A396" s="24" t="s">
        <v>1056</v>
      </c>
      <c r="B396" s="24">
        <v>3</v>
      </c>
      <c r="C396" s="3">
        <f t="shared" si="32"/>
        <v>377</v>
      </c>
      <c r="D396" s="30" t="str">
        <f t="shared" si="6"/>
        <v>6M17S</v>
      </c>
      <c r="E396" s="3">
        <f t="shared" ref="E396:H396" si="34">CEILING(E215*1.5,1)</f>
        <v>567</v>
      </c>
      <c r="F396" s="3">
        <f t="shared" si="34"/>
        <v>1362</v>
      </c>
      <c r="G396" s="3">
        <f t="shared" si="34"/>
        <v>1703</v>
      </c>
      <c r="H396" s="3">
        <f t="shared" si="34"/>
        <v>284</v>
      </c>
      <c r="I396" s="3">
        <f t="shared" si="30"/>
        <v>1513</v>
      </c>
      <c r="J396" s="51"/>
      <c r="K396" s="51"/>
      <c r="L396" s="51"/>
      <c r="M396" s="51"/>
      <c r="O396" s="51"/>
      <c r="P396" s="51">
        <f t="shared" si="31"/>
        <v>11</v>
      </c>
    </row>
    <row r="397" spans="1:16" s="24" customFormat="1" x14ac:dyDescent="0.15">
      <c r="A397" s="24" t="s">
        <v>1056</v>
      </c>
      <c r="B397" s="24">
        <v>4</v>
      </c>
      <c r="C397" s="3">
        <f t="shared" si="32"/>
        <v>536</v>
      </c>
      <c r="D397" s="30" t="str">
        <f t="shared" si="6"/>
        <v>8M56S</v>
      </c>
      <c r="E397" s="3">
        <f t="shared" ref="E397:H397" si="35">CEILING(E216*1.5,1)</f>
        <v>807</v>
      </c>
      <c r="F397" s="3">
        <f t="shared" si="35"/>
        <v>1938</v>
      </c>
      <c r="G397" s="3">
        <f t="shared" si="35"/>
        <v>2423</v>
      </c>
      <c r="H397" s="3">
        <f t="shared" si="35"/>
        <v>404</v>
      </c>
      <c r="I397" s="3">
        <f t="shared" si="30"/>
        <v>2153</v>
      </c>
      <c r="J397" s="51"/>
      <c r="K397" s="51"/>
      <c r="L397" s="51"/>
      <c r="M397" s="51"/>
      <c r="O397" s="51"/>
      <c r="P397" s="51">
        <f t="shared" si="31"/>
        <v>13</v>
      </c>
    </row>
    <row r="398" spans="1:16" s="24" customFormat="1" x14ac:dyDescent="0.15">
      <c r="A398" s="24" t="s">
        <v>1056</v>
      </c>
      <c r="B398" s="24">
        <v>5</v>
      </c>
      <c r="C398" s="3">
        <f t="shared" si="32"/>
        <v>764</v>
      </c>
      <c r="D398" s="30" t="str">
        <f t="shared" si="6"/>
        <v>12M44S</v>
      </c>
      <c r="E398" s="3">
        <f t="shared" ref="E398:H398" si="36">CEILING(E217*1.5,1)</f>
        <v>1151</v>
      </c>
      <c r="F398" s="3">
        <f t="shared" si="36"/>
        <v>2763</v>
      </c>
      <c r="G398" s="3">
        <f t="shared" si="36"/>
        <v>3455</v>
      </c>
      <c r="H398" s="3">
        <f t="shared" si="36"/>
        <v>575</v>
      </c>
      <c r="I398" s="3">
        <f t="shared" si="30"/>
        <v>3070</v>
      </c>
      <c r="J398" s="51"/>
      <c r="K398" s="51"/>
      <c r="L398" s="51"/>
      <c r="M398" s="51"/>
      <c r="O398" s="51"/>
      <c r="P398" s="51">
        <f t="shared" si="31"/>
        <v>17</v>
      </c>
    </row>
    <row r="399" spans="1:16" s="24" customFormat="1" x14ac:dyDescent="0.15">
      <c r="A399" s="24" t="s">
        <v>1056</v>
      </c>
      <c r="B399" s="24">
        <v>6</v>
      </c>
      <c r="C399" s="3">
        <f t="shared" si="32"/>
        <v>1086</v>
      </c>
      <c r="D399" s="30" t="str">
        <f t="shared" si="6"/>
        <v>18M6S</v>
      </c>
      <c r="E399" s="3">
        <f t="shared" ref="E399:H399" si="37">CEILING(E218*1.5,1)</f>
        <v>1638</v>
      </c>
      <c r="F399" s="3">
        <f t="shared" si="37"/>
        <v>3932</v>
      </c>
      <c r="G399" s="3">
        <f t="shared" si="37"/>
        <v>4914</v>
      </c>
      <c r="H399" s="3">
        <f t="shared" si="37"/>
        <v>819</v>
      </c>
      <c r="I399" s="3">
        <f t="shared" si="30"/>
        <v>4368</v>
      </c>
      <c r="J399" s="51"/>
      <c r="K399" s="51"/>
      <c r="L399" s="51"/>
      <c r="M399" s="51"/>
      <c r="O399" s="51"/>
      <c r="P399" s="51">
        <f t="shared" si="31"/>
        <v>18</v>
      </c>
    </row>
    <row r="400" spans="1:16" s="24" customFormat="1" x14ac:dyDescent="0.15">
      <c r="A400" s="24" t="s">
        <v>1056</v>
      </c>
      <c r="B400" s="24">
        <v>7</v>
      </c>
      <c r="C400" s="3">
        <f t="shared" si="32"/>
        <v>1545</v>
      </c>
      <c r="D400" s="30" t="str">
        <f t="shared" si="6"/>
        <v>25M45S</v>
      </c>
      <c r="E400" s="3">
        <f t="shared" ref="E400:H400" si="38">CEILING(E219*1.5,1)</f>
        <v>2330</v>
      </c>
      <c r="F400" s="3">
        <f t="shared" si="38"/>
        <v>5594</v>
      </c>
      <c r="G400" s="3">
        <f t="shared" si="38"/>
        <v>6992</v>
      </c>
      <c r="H400" s="3">
        <f t="shared" si="38"/>
        <v>1164</v>
      </c>
      <c r="I400" s="3">
        <f t="shared" si="30"/>
        <v>6215</v>
      </c>
      <c r="J400" s="51"/>
      <c r="K400" s="51"/>
      <c r="L400" s="51"/>
      <c r="M400" s="51"/>
      <c r="O400" s="51"/>
      <c r="P400" s="51">
        <f t="shared" si="31"/>
        <v>22</v>
      </c>
    </row>
    <row r="401" spans="1:16" s="24" customFormat="1" x14ac:dyDescent="0.15">
      <c r="A401" s="24" t="s">
        <v>1056</v>
      </c>
      <c r="B401" s="24">
        <v>8</v>
      </c>
      <c r="C401" s="3">
        <f t="shared" si="32"/>
        <v>2199</v>
      </c>
      <c r="D401" s="30" t="str">
        <f t="shared" si="6"/>
        <v>36M39S</v>
      </c>
      <c r="E401" s="3">
        <f t="shared" ref="E401:H401" si="39">CEILING(E220*1.5,1)</f>
        <v>3317</v>
      </c>
      <c r="F401" s="3">
        <f t="shared" si="39"/>
        <v>7961</v>
      </c>
      <c r="G401" s="3">
        <f t="shared" si="39"/>
        <v>9951</v>
      </c>
      <c r="H401" s="3">
        <f t="shared" si="39"/>
        <v>1658</v>
      </c>
      <c r="I401" s="3">
        <f t="shared" si="30"/>
        <v>8845</v>
      </c>
      <c r="J401" s="51"/>
      <c r="K401" s="51"/>
      <c r="L401" s="51"/>
      <c r="M401" s="51"/>
      <c r="O401" s="51"/>
      <c r="P401" s="51">
        <f t="shared" si="31"/>
        <v>29</v>
      </c>
    </row>
    <row r="402" spans="1:16" s="24" customFormat="1" x14ac:dyDescent="0.15">
      <c r="A402" s="24" t="s">
        <v>1056</v>
      </c>
      <c r="B402" s="24">
        <v>9</v>
      </c>
      <c r="C402" s="3">
        <f t="shared" si="32"/>
        <v>3131</v>
      </c>
      <c r="D402" s="30" t="str">
        <f t="shared" si="6"/>
        <v>52M11S</v>
      </c>
      <c r="E402" s="3">
        <f t="shared" ref="E402:H402" si="40">CEILING(E221*1.5,1)</f>
        <v>4722</v>
      </c>
      <c r="F402" s="3">
        <f t="shared" si="40"/>
        <v>11334</v>
      </c>
      <c r="G402" s="3">
        <f t="shared" si="40"/>
        <v>14168</v>
      </c>
      <c r="H402" s="3">
        <f t="shared" si="40"/>
        <v>2361</v>
      </c>
      <c r="I402" s="3">
        <f t="shared" si="30"/>
        <v>12593</v>
      </c>
      <c r="J402" s="51"/>
      <c r="K402" s="51"/>
      <c r="L402" s="51"/>
      <c r="M402" s="51"/>
      <c r="O402" s="51"/>
      <c r="P402" s="51">
        <f t="shared" si="31"/>
        <v>40</v>
      </c>
    </row>
    <row r="403" spans="1:16" s="24" customFormat="1" x14ac:dyDescent="0.15">
      <c r="A403" s="24" t="s">
        <v>1056</v>
      </c>
      <c r="B403" s="24">
        <v>10</v>
      </c>
      <c r="C403" s="3">
        <f t="shared" si="32"/>
        <v>4455</v>
      </c>
      <c r="D403" s="30" t="str">
        <f t="shared" si="6"/>
        <v>1H14M15S</v>
      </c>
      <c r="E403" s="3">
        <f t="shared" ref="E403:H403" si="41">CEILING(E222*1.5,1)</f>
        <v>6720</v>
      </c>
      <c r="F403" s="3">
        <f t="shared" si="41"/>
        <v>16130</v>
      </c>
      <c r="G403" s="3">
        <f t="shared" si="41"/>
        <v>20162</v>
      </c>
      <c r="H403" s="3">
        <f t="shared" si="41"/>
        <v>3360</v>
      </c>
      <c r="I403" s="3">
        <f t="shared" si="30"/>
        <v>17922</v>
      </c>
      <c r="J403" s="51"/>
      <c r="K403" s="51"/>
      <c r="L403" s="51"/>
      <c r="M403" s="51"/>
      <c r="O403" s="51"/>
      <c r="P403" s="51">
        <f t="shared" si="31"/>
        <v>51</v>
      </c>
    </row>
    <row r="404" spans="1:16" s="24" customFormat="1" x14ac:dyDescent="0.15">
      <c r="A404" s="24" t="s">
        <v>1056</v>
      </c>
      <c r="B404" s="24">
        <v>11</v>
      </c>
      <c r="C404" s="3">
        <f t="shared" si="32"/>
        <v>6341</v>
      </c>
      <c r="D404" s="30" t="str">
        <f t="shared" si="6"/>
        <v>1H45M41S</v>
      </c>
      <c r="E404" s="3">
        <f t="shared" ref="E404:H404" si="42">CEILING(E223*1.5,1)</f>
        <v>9564</v>
      </c>
      <c r="F404" s="3">
        <f t="shared" si="42"/>
        <v>22956</v>
      </c>
      <c r="G404" s="3">
        <f t="shared" si="42"/>
        <v>28695</v>
      </c>
      <c r="H404" s="3">
        <f t="shared" si="42"/>
        <v>4782</v>
      </c>
      <c r="I404" s="3">
        <f t="shared" si="30"/>
        <v>25506</v>
      </c>
      <c r="J404" s="51"/>
      <c r="K404" s="51"/>
      <c r="L404" s="51"/>
      <c r="M404" s="51"/>
      <c r="O404" s="51"/>
      <c r="P404" s="51">
        <f t="shared" si="31"/>
        <v>62</v>
      </c>
    </row>
    <row r="405" spans="1:16" s="24" customFormat="1" x14ac:dyDescent="0.15">
      <c r="A405" s="24" t="s">
        <v>1056</v>
      </c>
      <c r="B405" s="24">
        <v>12</v>
      </c>
      <c r="C405" s="3">
        <f t="shared" si="32"/>
        <v>9023</v>
      </c>
      <c r="D405" s="30" t="str">
        <f t="shared" si="6"/>
        <v>2H30M23S</v>
      </c>
      <c r="E405" s="3">
        <f t="shared" ref="E405:H405" si="43">CEILING(E224*1.5,1)</f>
        <v>13611</v>
      </c>
      <c r="F405" s="3">
        <f t="shared" si="43"/>
        <v>32667</v>
      </c>
      <c r="G405" s="3">
        <f t="shared" si="43"/>
        <v>40833</v>
      </c>
      <c r="H405" s="3">
        <f t="shared" si="43"/>
        <v>6806</v>
      </c>
      <c r="I405" s="3">
        <f t="shared" si="30"/>
        <v>36296</v>
      </c>
      <c r="J405" s="51"/>
      <c r="K405" s="51"/>
      <c r="L405" s="51"/>
      <c r="M405" s="51"/>
      <c r="O405" s="51"/>
      <c r="P405" s="51">
        <f t="shared" si="31"/>
        <v>78</v>
      </c>
    </row>
    <row r="406" spans="1:16" s="24" customFormat="1" x14ac:dyDescent="0.15">
      <c r="A406" s="24" t="s">
        <v>1056</v>
      </c>
      <c r="B406" s="24">
        <v>13</v>
      </c>
      <c r="C406" s="3">
        <f t="shared" si="32"/>
        <v>12840</v>
      </c>
      <c r="D406" s="30" t="str">
        <f t="shared" si="6"/>
        <v>3H34M0S</v>
      </c>
      <c r="E406" s="3">
        <f t="shared" ref="E406:H406" si="44">CEILING(E225*1.5,1)</f>
        <v>19370</v>
      </c>
      <c r="F406" s="3">
        <f t="shared" si="44"/>
        <v>46488</v>
      </c>
      <c r="G406" s="3">
        <f t="shared" si="44"/>
        <v>58112</v>
      </c>
      <c r="H406" s="3">
        <f t="shared" si="44"/>
        <v>9684</v>
      </c>
      <c r="I406" s="3">
        <f t="shared" si="30"/>
        <v>51653</v>
      </c>
      <c r="J406" s="51"/>
      <c r="K406" s="51"/>
      <c r="L406" s="51"/>
      <c r="M406" s="51"/>
      <c r="O406" s="51"/>
      <c r="P406" s="51">
        <f t="shared" si="31"/>
        <v>108</v>
      </c>
    </row>
    <row r="407" spans="1:16" s="24" customFormat="1" x14ac:dyDescent="0.15">
      <c r="A407" s="24" t="s">
        <v>1056</v>
      </c>
      <c r="B407" s="24">
        <v>14</v>
      </c>
      <c r="C407" s="3">
        <f t="shared" si="32"/>
        <v>18273</v>
      </c>
      <c r="D407" s="30" t="str">
        <f t="shared" si="6"/>
        <v>5H4M33S</v>
      </c>
      <c r="E407" s="3">
        <f t="shared" ref="E407:H407" si="45">CEILING(E226*1.5,1)</f>
        <v>27566</v>
      </c>
      <c r="F407" s="3">
        <f t="shared" si="45"/>
        <v>66161</v>
      </c>
      <c r="G407" s="3">
        <f t="shared" si="45"/>
        <v>82700</v>
      </c>
      <c r="H407" s="3">
        <f t="shared" si="45"/>
        <v>13782</v>
      </c>
      <c r="I407" s="3">
        <f t="shared" si="30"/>
        <v>73512</v>
      </c>
      <c r="J407" s="51"/>
      <c r="K407" s="51"/>
      <c r="L407" s="51"/>
      <c r="M407" s="51"/>
      <c r="O407" s="51"/>
      <c r="P407" s="51">
        <f t="shared" si="31"/>
        <v>123</v>
      </c>
    </row>
    <row r="408" spans="1:16" s="24" customFormat="1" x14ac:dyDescent="0.15">
      <c r="A408" s="24" t="s">
        <v>1056</v>
      </c>
      <c r="B408" s="24">
        <v>15</v>
      </c>
      <c r="C408" s="3">
        <f t="shared" si="32"/>
        <v>26004</v>
      </c>
      <c r="D408" s="30" t="str">
        <f t="shared" si="6"/>
        <v>7H13M24S</v>
      </c>
      <c r="E408" s="3">
        <f t="shared" ref="E408:H408" si="46">CEILING(E227*1.5,1)</f>
        <v>39230</v>
      </c>
      <c r="F408" s="3">
        <f t="shared" si="46"/>
        <v>94151</v>
      </c>
      <c r="G408" s="3">
        <f t="shared" si="46"/>
        <v>117689</v>
      </c>
      <c r="H408" s="3">
        <f t="shared" si="46"/>
        <v>19614</v>
      </c>
      <c r="I408" s="3">
        <f t="shared" si="30"/>
        <v>104612</v>
      </c>
      <c r="J408" s="51"/>
      <c r="K408" s="51"/>
      <c r="L408" s="51"/>
      <c r="M408" s="51"/>
      <c r="O408" s="51"/>
      <c r="P408" s="51">
        <f t="shared" si="31"/>
        <v>175</v>
      </c>
    </row>
    <row r="409" spans="1:16" s="24" customFormat="1" x14ac:dyDescent="0.15">
      <c r="A409" s="24" t="s">
        <v>1056</v>
      </c>
      <c r="B409" s="24">
        <v>16</v>
      </c>
      <c r="C409" s="3">
        <f t="shared" si="32"/>
        <v>37005</v>
      </c>
      <c r="D409" s="30" t="str">
        <f t="shared" si="6"/>
        <v>10H16M45S</v>
      </c>
      <c r="E409" s="3">
        <f t="shared" ref="E409:H409" si="47">CEILING(E228*1.5,1)</f>
        <v>55826</v>
      </c>
      <c r="F409" s="3">
        <f t="shared" si="47"/>
        <v>133982</v>
      </c>
      <c r="G409" s="3">
        <f t="shared" si="47"/>
        <v>167478</v>
      </c>
      <c r="H409" s="3">
        <f t="shared" si="47"/>
        <v>27912</v>
      </c>
      <c r="I409" s="3">
        <f t="shared" si="30"/>
        <v>148868</v>
      </c>
      <c r="J409" s="51"/>
      <c r="K409" s="51"/>
      <c r="L409" s="51"/>
      <c r="M409" s="51"/>
      <c r="O409" s="51"/>
      <c r="P409" s="51">
        <f t="shared" si="31"/>
        <v>229</v>
      </c>
    </row>
    <row r="410" spans="1:16" s="24" customFormat="1" x14ac:dyDescent="0.15">
      <c r="A410" s="24" t="s">
        <v>1056</v>
      </c>
      <c r="B410" s="24">
        <v>17</v>
      </c>
      <c r="C410" s="3">
        <f t="shared" si="32"/>
        <v>52659</v>
      </c>
      <c r="D410" s="30" t="str">
        <f t="shared" si="6"/>
        <v>14H37M39S</v>
      </c>
      <c r="E410" s="3">
        <f t="shared" ref="E410:H410" si="48">CEILING(E229*1.5,1)</f>
        <v>79442</v>
      </c>
      <c r="F410" s="3">
        <f t="shared" si="48"/>
        <v>190661</v>
      </c>
      <c r="G410" s="3">
        <f t="shared" si="48"/>
        <v>238326</v>
      </c>
      <c r="H410" s="3">
        <f t="shared" si="48"/>
        <v>39720</v>
      </c>
      <c r="I410" s="3">
        <f t="shared" si="30"/>
        <v>211845</v>
      </c>
      <c r="J410" s="51"/>
      <c r="K410" s="51"/>
      <c r="L410" s="51"/>
      <c r="M410" s="51"/>
      <c r="O410" s="51"/>
      <c r="P410" s="51">
        <f t="shared" si="31"/>
        <v>303</v>
      </c>
    </row>
    <row r="411" spans="1:16" s="24" customFormat="1" x14ac:dyDescent="0.15">
      <c r="A411" s="24" t="s">
        <v>1056</v>
      </c>
      <c r="B411" s="24">
        <v>18</v>
      </c>
      <c r="C411" s="3">
        <f t="shared" si="32"/>
        <v>74937</v>
      </c>
      <c r="D411" s="30" t="str">
        <f t="shared" si="6"/>
        <v>20H48M57S</v>
      </c>
      <c r="E411" s="3">
        <f t="shared" ref="E411:H411" si="49">CEILING(E230*1.5,1)</f>
        <v>113051</v>
      </c>
      <c r="F411" s="3">
        <f t="shared" si="49"/>
        <v>271322</v>
      </c>
      <c r="G411" s="3">
        <f t="shared" si="49"/>
        <v>339152</v>
      </c>
      <c r="H411" s="3">
        <f t="shared" si="49"/>
        <v>56525</v>
      </c>
      <c r="I411" s="3">
        <f t="shared" si="30"/>
        <v>301468</v>
      </c>
      <c r="J411" s="51"/>
      <c r="K411" s="51"/>
      <c r="L411" s="51"/>
      <c r="M411" s="51"/>
      <c r="O411" s="51"/>
      <c r="P411" s="51">
        <f t="shared" si="31"/>
        <v>395</v>
      </c>
    </row>
    <row r="412" spans="1:16" s="24" customFormat="1" x14ac:dyDescent="0.15">
      <c r="A412" s="24" t="s">
        <v>1056</v>
      </c>
      <c r="B412" s="24">
        <v>19</v>
      </c>
      <c r="C412" s="3">
        <f t="shared" si="32"/>
        <v>106640</v>
      </c>
      <c r="D412" s="30" t="str">
        <f t="shared" si="6"/>
        <v>1D5H37M20S</v>
      </c>
      <c r="E412" s="3">
        <f t="shared" ref="E412:H412" si="50">CEILING(E231*1.5,1)</f>
        <v>160877</v>
      </c>
      <c r="F412" s="3">
        <f t="shared" si="50"/>
        <v>386106</v>
      </c>
      <c r="G412" s="3">
        <f t="shared" si="50"/>
        <v>482633</v>
      </c>
      <c r="H412" s="3">
        <f t="shared" si="50"/>
        <v>80438</v>
      </c>
      <c r="I412" s="3">
        <f t="shared" si="30"/>
        <v>429006</v>
      </c>
      <c r="J412" s="51"/>
      <c r="K412" s="51"/>
      <c r="L412" s="51"/>
      <c r="M412" s="51"/>
      <c r="O412" s="51"/>
      <c r="P412" s="51">
        <f t="shared" si="31"/>
        <v>531</v>
      </c>
    </row>
    <row r="413" spans="1:16" s="24" customFormat="1" x14ac:dyDescent="0.15">
      <c r="A413" s="24" t="s">
        <v>1056</v>
      </c>
      <c r="B413" s="24">
        <v>20</v>
      </c>
      <c r="C413" s="3">
        <f t="shared" si="32"/>
        <v>151754</v>
      </c>
      <c r="D413" s="30" t="str">
        <f t="shared" si="6"/>
        <v>1D18H9M14S</v>
      </c>
      <c r="E413" s="3">
        <f t="shared" ref="E413:H413" si="51">CEILING(E232*1.5,1)</f>
        <v>228936</v>
      </c>
      <c r="F413" s="3">
        <f t="shared" si="51"/>
        <v>549449</v>
      </c>
      <c r="G413" s="3">
        <f t="shared" si="51"/>
        <v>686811</v>
      </c>
      <c r="H413" s="3">
        <f t="shared" si="51"/>
        <v>114468</v>
      </c>
      <c r="I413" s="3">
        <f t="shared" si="30"/>
        <v>610498</v>
      </c>
      <c r="J413" s="24" t="s">
        <v>63</v>
      </c>
      <c r="K413" s="51"/>
      <c r="L413" s="51"/>
      <c r="M413" s="51"/>
      <c r="O413" s="51"/>
      <c r="P413" s="51">
        <f t="shared" si="31"/>
        <v>823</v>
      </c>
    </row>
    <row r="414" spans="1:16" x14ac:dyDescent="0.15">
      <c r="J414">
        <f>SUM(C361:C371)*8/3600</f>
        <v>327.36</v>
      </c>
      <c r="K414" s="51"/>
      <c r="L414" s="51"/>
      <c r="M414" s="51"/>
      <c r="N414" s="51"/>
      <c r="O414" s="51"/>
    </row>
    <row r="415" spans="1:16" x14ac:dyDescent="0.15">
      <c r="A415" s="24" t="s">
        <v>998</v>
      </c>
      <c r="C415" s="3">
        <f>SUM(C2:C371)</f>
        <v>7845638.0728763379</v>
      </c>
      <c r="D415" s="30" t="str">
        <f t="shared" si="6"/>
        <v>90D19H20M38S</v>
      </c>
      <c r="E415" s="3">
        <f t="shared" ref="E415:I415" si="52">SUM(E2:E371)</f>
        <v>9932175</v>
      </c>
      <c r="F415" s="3">
        <f t="shared" si="52"/>
        <v>26144256</v>
      </c>
      <c r="G415" s="3">
        <f t="shared" si="52"/>
        <v>35401543</v>
      </c>
      <c r="H415" s="3">
        <f t="shared" si="52"/>
        <v>8916651</v>
      </c>
      <c r="I415" s="3">
        <f t="shared" si="52"/>
        <v>3826133</v>
      </c>
      <c r="J415" s="51"/>
      <c r="K415" s="51"/>
      <c r="L415" s="51"/>
      <c r="M415" s="51"/>
      <c r="N415" s="51"/>
      <c r="O415" s="51"/>
      <c r="P415" s="3">
        <f t="shared" ref="P415" si="53">SUM(P2:P371)</f>
        <v>36861</v>
      </c>
    </row>
    <row r="416" spans="1:16" x14ac:dyDescent="0.15">
      <c r="C416" s="3">
        <f>SUM(C330:C339)*34</f>
        <v>575926</v>
      </c>
    </row>
    <row r="417" spans="3:3" x14ac:dyDescent="0.15">
      <c r="C417" s="3">
        <f>SUM(C213:C232)*12</f>
        <v>4080120</v>
      </c>
    </row>
    <row r="418" spans="3:3" x14ac:dyDescent="0.15">
      <c r="C418" s="3">
        <f>SUM(C171:C190)*7</f>
        <v>81179</v>
      </c>
    </row>
    <row r="419" spans="3:3" x14ac:dyDescent="0.15">
      <c r="C419" s="3">
        <f>SUM(C415:C418)</f>
        <v>12582863.072876338</v>
      </c>
    </row>
  </sheetData>
  <autoFilter ref="B1:B419"/>
  <phoneticPr fontId="1" type="noConversion"/>
  <conditionalFormatting sqref="N340:N36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horizontalDpi="200" verticalDpi="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172"/>
  <sheetViews>
    <sheetView workbookViewId="0">
      <pane xSplit="2" ySplit="1" topLeftCell="C154" activePane="bottomRight" state="frozen"/>
      <selection pane="topRight" activeCell="C1" sqref="C1"/>
      <selection pane="bottomLeft" activeCell="A2" sqref="A2"/>
      <selection pane="bottomRight" activeCell="S181" sqref="S181"/>
    </sheetView>
  </sheetViews>
  <sheetFormatPr defaultColWidth="9" defaultRowHeight="13.5" x14ac:dyDescent="0.15"/>
  <cols>
    <col min="1" max="1" width="17.25" style="13" bestFit="1" customWidth="1"/>
    <col min="2" max="3" width="9" style="7"/>
    <col min="4" max="4" width="9.375" style="7" bestFit="1" customWidth="1"/>
    <col min="5" max="9" width="9" style="7"/>
    <col min="10" max="18" width="0" style="7" hidden="1" customWidth="1"/>
    <col min="19" max="19" width="9" style="7"/>
    <col min="20" max="20" width="9.875" style="7" customWidth="1"/>
    <col min="21" max="21" width="9.875" style="24" customWidth="1"/>
    <col min="22" max="22" width="9.875" style="7" customWidth="1"/>
    <col min="23" max="26" width="9" style="7"/>
    <col min="27" max="27" width="15" style="7" bestFit="1" customWidth="1"/>
    <col min="28" max="16384" width="9" style="7"/>
  </cols>
  <sheetData>
    <row r="1" spans="1:36" s="8" customFormat="1" x14ac:dyDescent="0.15">
      <c r="A1" s="6" t="s">
        <v>352</v>
      </c>
      <c r="B1" s="8" t="s">
        <v>15</v>
      </c>
      <c r="C1" s="8" t="s">
        <v>353</v>
      </c>
      <c r="D1" s="8" t="s">
        <v>354</v>
      </c>
      <c r="E1" s="8" t="s">
        <v>359</v>
      </c>
      <c r="F1" s="8" t="s">
        <v>357</v>
      </c>
      <c r="G1" s="8" t="s">
        <v>356</v>
      </c>
      <c r="H1" s="8" t="s">
        <v>358</v>
      </c>
      <c r="I1" s="8" t="s">
        <v>355</v>
      </c>
      <c r="J1" s="8" t="s">
        <v>173</v>
      </c>
      <c r="O1" s="10" t="s">
        <v>360</v>
      </c>
      <c r="P1" s="10" t="s">
        <v>361</v>
      </c>
      <c r="Q1" s="10" t="s">
        <v>362</v>
      </c>
      <c r="R1" s="10" t="s">
        <v>363</v>
      </c>
      <c r="T1" s="8" t="s">
        <v>364</v>
      </c>
      <c r="U1" s="25" t="s">
        <v>1004</v>
      </c>
      <c r="V1" s="8" t="s">
        <v>340</v>
      </c>
      <c r="W1" s="8" t="s">
        <v>365</v>
      </c>
      <c r="X1" s="8" t="s">
        <v>366</v>
      </c>
      <c r="Y1" s="8" t="s">
        <v>367</v>
      </c>
      <c r="Z1" s="8" t="s">
        <v>368</v>
      </c>
      <c r="AA1" s="8" t="s">
        <v>322</v>
      </c>
      <c r="AB1" s="8" t="s">
        <v>325</v>
      </c>
      <c r="AC1" s="8" t="s">
        <v>369</v>
      </c>
      <c r="AD1" s="8" t="s">
        <v>370</v>
      </c>
      <c r="AE1" s="8" t="s">
        <v>327</v>
      </c>
      <c r="AF1" s="8" t="s">
        <v>330</v>
      </c>
      <c r="AG1" s="8" t="s">
        <v>371</v>
      </c>
      <c r="AH1" s="8" t="s">
        <v>331</v>
      </c>
      <c r="AI1" s="8" t="s">
        <v>372</v>
      </c>
      <c r="AJ1" s="8" t="s">
        <v>329</v>
      </c>
    </row>
    <row r="2" spans="1:36" x14ac:dyDescent="0.15">
      <c r="A2" s="57" t="s">
        <v>373</v>
      </c>
      <c r="B2" s="7">
        <v>1</v>
      </c>
      <c r="C2" s="7">
        <v>5</v>
      </c>
      <c r="D2" s="7">
        <v>30</v>
      </c>
      <c r="E2" s="7">
        <v>100</v>
      </c>
      <c r="G2" s="7">
        <v>500</v>
      </c>
      <c r="I2" s="7">
        <v>1000</v>
      </c>
      <c r="J2" s="7">
        <f t="shared" ref="J2:J33" si="0">SUM(I2:I2)</f>
        <v>1000</v>
      </c>
      <c r="K2" s="7">
        <f>IF(J2&gt;$P$14,$R$15,IF(J2&gt;$P$13,$R$14,$R$13))*J2</f>
        <v>0.25</v>
      </c>
      <c r="L2" s="7">
        <f>IF(D2&gt;$P$10,$R$11,IF(D2&gt;$P$9,$R$10,IF(D2&gt;$P$8,$R$9,IF(D2&gt;$P$7,$R$8,IF(D2&gt;$P$6,$R$7,IF(D2&gt;$P$5,$R$6,IF(D2&gt;$P$4,$R$5,IF(D2&gt;$P$3,$R$4,IF(D2&gt;$P$2,$R$3,$R$2)))))))))</f>
        <v>1.6666666666666666E-2</v>
      </c>
      <c r="M2" s="7">
        <f t="shared" ref="M2:M33" si="1">D2*L2</f>
        <v>0.5</v>
      </c>
      <c r="N2" s="7">
        <f>K2+M2</f>
        <v>0.75</v>
      </c>
      <c r="O2" s="10" t="s">
        <v>374</v>
      </c>
      <c r="P2" s="10">
        <v>60</v>
      </c>
      <c r="Q2" s="10">
        <v>1</v>
      </c>
      <c r="R2" s="10">
        <f>Q2/P2</f>
        <v>1.6666666666666666E-2</v>
      </c>
      <c r="T2" s="7">
        <v>1</v>
      </c>
      <c r="W2" s="7">
        <v>1</v>
      </c>
    </row>
    <row r="3" spans="1:36" x14ac:dyDescent="0.15">
      <c r="A3" s="57"/>
      <c r="B3" s="7">
        <v>2</v>
      </c>
      <c r="C3" s="7">
        <v>8</v>
      </c>
      <c r="D3" s="7">
        <v>876</v>
      </c>
      <c r="E3" s="7">
        <v>200</v>
      </c>
      <c r="G3" s="7">
        <v>1000</v>
      </c>
      <c r="I3" s="7">
        <v>2000</v>
      </c>
      <c r="J3" s="7">
        <f t="shared" si="0"/>
        <v>2000</v>
      </c>
      <c r="K3" s="7">
        <f t="shared" ref="K3:K66" si="2">IF(J3&gt;$P$14,$R$15,IF(J3&gt;$P$13,$R$14,$R$13))*J3</f>
        <v>0.5</v>
      </c>
      <c r="L3" s="7">
        <f t="shared" ref="L3:L66" si="3">IF(D3&gt;$P$10,$R$11,IF(D3&gt;$P$9,$R$10,IF(D3&gt;$P$8,$R$9,IF(D3&gt;$P$7,$R$8,IF(D3&gt;$P$6,$R$7,IF(D3&gt;$P$5,$R$6,IF(D3&gt;$P$4,$R$5,IF(D3&gt;$P$3,$R$4,IF(D3&gt;$P$2,$R$3,$R$2)))))))))</f>
        <v>5.5555555555555558E-3</v>
      </c>
      <c r="M3" s="7">
        <f t="shared" si="1"/>
        <v>4.8666666666666671</v>
      </c>
      <c r="N3" s="7">
        <f t="shared" ref="N3:N66" si="4">K3+M3</f>
        <v>5.3666666666666671</v>
      </c>
      <c r="O3" s="10" t="s">
        <v>375</v>
      </c>
      <c r="P3" s="10">
        <v>300</v>
      </c>
      <c r="Q3" s="10">
        <v>3</v>
      </c>
      <c r="R3" s="10">
        <f t="shared" ref="R3:R15" si="5">Q3/P3</f>
        <v>0.01</v>
      </c>
      <c r="T3" s="7">
        <v>4</v>
      </c>
      <c r="W3" s="7">
        <v>2</v>
      </c>
    </row>
    <row r="4" spans="1:36" x14ac:dyDescent="0.15">
      <c r="A4" s="57"/>
      <c r="B4" s="7">
        <v>3</v>
      </c>
      <c r="C4" s="7">
        <v>14</v>
      </c>
      <c r="D4" s="7">
        <v>1775</v>
      </c>
      <c r="E4" s="7">
        <v>400</v>
      </c>
      <c r="G4" s="7">
        <v>2000</v>
      </c>
      <c r="I4" s="7">
        <v>4000</v>
      </c>
      <c r="J4" s="7">
        <f t="shared" si="0"/>
        <v>4000</v>
      </c>
      <c r="K4" s="7">
        <f t="shared" si="2"/>
        <v>1</v>
      </c>
      <c r="L4" s="7">
        <f t="shared" si="3"/>
        <v>2.7777777777777779E-3</v>
      </c>
      <c r="M4" s="7">
        <f t="shared" si="1"/>
        <v>4.9305555555555554</v>
      </c>
      <c r="N4" s="7">
        <f t="shared" si="4"/>
        <v>5.9305555555555554</v>
      </c>
      <c r="O4" s="10" t="s">
        <v>376</v>
      </c>
      <c r="P4" s="10">
        <f>15*60</f>
        <v>900</v>
      </c>
      <c r="Q4" s="10">
        <v>5</v>
      </c>
      <c r="R4" s="10">
        <f t="shared" si="5"/>
        <v>5.5555555555555558E-3</v>
      </c>
      <c r="T4" s="7">
        <v>6</v>
      </c>
      <c r="W4" s="7">
        <v>3</v>
      </c>
    </row>
    <row r="5" spans="1:36" x14ac:dyDescent="0.15">
      <c r="A5" s="57"/>
      <c r="B5" s="7">
        <v>4</v>
      </c>
      <c r="C5" s="7">
        <v>22</v>
      </c>
      <c r="D5" s="7">
        <v>3595</v>
      </c>
      <c r="E5" s="7">
        <v>800</v>
      </c>
      <c r="G5" s="7">
        <v>4000</v>
      </c>
      <c r="I5" s="7">
        <v>8000</v>
      </c>
      <c r="J5" s="7">
        <f t="shared" si="0"/>
        <v>8000</v>
      </c>
      <c r="K5" s="7">
        <f t="shared" si="2"/>
        <v>2</v>
      </c>
      <c r="L5" s="7">
        <f t="shared" si="3"/>
        <v>2.7777777777777779E-3</v>
      </c>
      <c r="M5" s="7">
        <f t="shared" si="1"/>
        <v>9.9861111111111107</v>
      </c>
      <c r="N5" s="7">
        <f t="shared" si="4"/>
        <v>11.986111111111111</v>
      </c>
      <c r="O5" s="10" t="s">
        <v>377</v>
      </c>
      <c r="P5" s="10">
        <f>3600</f>
        <v>3600</v>
      </c>
      <c r="Q5" s="10">
        <v>10</v>
      </c>
      <c r="R5" s="10">
        <f t="shared" si="5"/>
        <v>2.7777777777777779E-3</v>
      </c>
      <c r="T5" s="7">
        <v>8</v>
      </c>
      <c r="W5" s="7">
        <v>4</v>
      </c>
    </row>
    <row r="6" spans="1:36" x14ac:dyDescent="0.15">
      <c r="A6" s="57"/>
      <c r="B6" s="7">
        <v>5</v>
      </c>
      <c r="C6" s="7">
        <v>34</v>
      </c>
      <c r="D6" s="7">
        <v>7280</v>
      </c>
      <c r="E6" s="7">
        <v>1600</v>
      </c>
      <c r="G6" s="7">
        <v>8000</v>
      </c>
      <c r="I6" s="7">
        <v>16000</v>
      </c>
      <c r="J6" s="7">
        <f t="shared" si="0"/>
        <v>16000</v>
      </c>
      <c r="K6" s="7">
        <f t="shared" si="2"/>
        <v>4</v>
      </c>
      <c r="L6" s="7">
        <f t="shared" si="3"/>
        <v>1.6666666666666668E-3</v>
      </c>
      <c r="M6" s="7">
        <f t="shared" si="1"/>
        <v>12.133333333333335</v>
      </c>
      <c r="N6" s="7">
        <f t="shared" si="4"/>
        <v>16.133333333333333</v>
      </c>
      <c r="O6" s="10" t="s">
        <v>378</v>
      </c>
      <c r="P6" s="10">
        <f>2.5*3600</f>
        <v>9000</v>
      </c>
      <c r="Q6" s="10">
        <v>15</v>
      </c>
      <c r="R6" s="10">
        <f t="shared" si="5"/>
        <v>1.6666666666666668E-3</v>
      </c>
      <c r="T6" s="7">
        <v>10</v>
      </c>
      <c r="W6" s="7">
        <v>5</v>
      </c>
    </row>
    <row r="7" spans="1:36" x14ac:dyDescent="0.15">
      <c r="A7" s="57"/>
      <c r="B7" s="7">
        <v>6</v>
      </c>
      <c r="C7" s="7">
        <v>51</v>
      </c>
      <c r="D7" s="7">
        <v>14743</v>
      </c>
      <c r="E7" s="7">
        <v>3200</v>
      </c>
      <c r="G7" s="7">
        <v>16000</v>
      </c>
      <c r="I7" s="7">
        <v>32000</v>
      </c>
      <c r="J7" s="7">
        <f t="shared" si="0"/>
        <v>32000</v>
      </c>
      <c r="K7" s="7">
        <f t="shared" si="2"/>
        <v>8</v>
      </c>
      <c r="L7" s="7">
        <f t="shared" si="3"/>
        <v>1.3888888888888889E-3</v>
      </c>
      <c r="M7" s="7">
        <f t="shared" si="1"/>
        <v>20.476388888888891</v>
      </c>
      <c r="N7" s="7">
        <f t="shared" si="4"/>
        <v>28.476388888888891</v>
      </c>
      <c r="O7" s="10" t="s">
        <v>379</v>
      </c>
      <c r="P7" s="10">
        <f>8*3600</f>
        <v>28800</v>
      </c>
      <c r="Q7" s="10">
        <v>40</v>
      </c>
      <c r="R7" s="10">
        <f t="shared" si="5"/>
        <v>1.3888888888888889E-3</v>
      </c>
      <c r="T7" s="7">
        <v>12</v>
      </c>
      <c r="W7" s="7">
        <v>6</v>
      </c>
    </row>
    <row r="8" spans="1:36" x14ac:dyDescent="0.15">
      <c r="A8" s="57"/>
      <c r="B8" s="7">
        <v>7</v>
      </c>
      <c r="C8" s="7">
        <v>79</v>
      </c>
      <c r="D8" s="7">
        <v>29856</v>
      </c>
      <c r="E8" s="7">
        <v>6400</v>
      </c>
      <c r="G8" s="7">
        <v>32000</v>
      </c>
      <c r="I8" s="7">
        <v>64000</v>
      </c>
      <c r="J8" s="7">
        <f t="shared" si="0"/>
        <v>64000</v>
      </c>
      <c r="K8" s="7">
        <f t="shared" si="2"/>
        <v>16</v>
      </c>
      <c r="L8" s="7">
        <f t="shared" si="3"/>
        <v>1.2037037037037038E-3</v>
      </c>
      <c r="M8" s="7">
        <f t="shared" si="1"/>
        <v>35.937777777777782</v>
      </c>
      <c r="N8" s="7">
        <f t="shared" si="4"/>
        <v>51.937777777777782</v>
      </c>
      <c r="O8" s="10" t="s">
        <v>380</v>
      </c>
      <c r="P8" s="10">
        <f>15*3600</f>
        <v>54000</v>
      </c>
      <c r="Q8" s="10">
        <v>65</v>
      </c>
      <c r="R8" s="10">
        <f t="shared" si="5"/>
        <v>1.2037037037037038E-3</v>
      </c>
      <c r="T8" s="7">
        <v>14</v>
      </c>
      <c r="W8" s="7">
        <v>7</v>
      </c>
    </row>
    <row r="9" spans="1:36" x14ac:dyDescent="0.15">
      <c r="A9" s="57"/>
      <c r="B9" s="7">
        <v>8</v>
      </c>
      <c r="C9" s="7">
        <v>143</v>
      </c>
      <c r="D9" s="7">
        <v>60459</v>
      </c>
      <c r="E9" s="7">
        <v>12800</v>
      </c>
      <c r="G9" s="7">
        <v>64000</v>
      </c>
      <c r="I9" s="7">
        <v>128000</v>
      </c>
      <c r="J9" s="7">
        <f t="shared" si="0"/>
        <v>128000</v>
      </c>
      <c r="K9" s="7">
        <f t="shared" si="2"/>
        <v>28.16</v>
      </c>
      <c r="L9" s="7">
        <f t="shared" si="3"/>
        <v>1.0995370370370371E-3</v>
      </c>
      <c r="M9" s="7">
        <f t="shared" si="1"/>
        <v>66.476909722222231</v>
      </c>
      <c r="N9" s="7">
        <f t="shared" si="4"/>
        <v>94.636909722222228</v>
      </c>
      <c r="O9" s="10" t="s">
        <v>381</v>
      </c>
      <c r="P9" s="10">
        <f>24*3600</f>
        <v>86400</v>
      </c>
      <c r="Q9" s="10">
        <v>95</v>
      </c>
      <c r="R9" s="10">
        <f t="shared" si="5"/>
        <v>1.0995370370370371E-3</v>
      </c>
      <c r="T9" s="7">
        <v>16</v>
      </c>
      <c r="W9" s="7">
        <v>8</v>
      </c>
    </row>
    <row r="10" spans="1:36" x14ac:dyDescent="0.15">
      <c r="A10" s="57"/>
      <c r="B10" s="7">
        <v>9</v>
      </c>
      <c r="C10" s="7">
        <v>286</v>
      </c>
      <c r="D10" s="7">
        <v>122430</v>
      </c>
      <c r="E10" s="7">
        <v>25600</v>
      </c>
      <c r="G10" s="7">
        <v>128000</v>
      </c>
      <c r="I10" s="7">
        <v>256000</v>
      </c>
      <c r="J10" s="7">
        <f t="shared" si="0"/>
        <v>256000</v>
      </c>
      <c r="K10" s="7">
        <f t="shared" si="2"/>
        <v>48.64</v>
      </c>
      <c r="L10" s="7">
        <f t="shared" si="3"/>
        <v>9.7222222222222219E-4</v>
      </c>
      <c r="M10" s="7">
        <f t="shared" si="1"/>
        <v>119.02916666666667</v>
      </c>
      <c r="N10" s="7">
        <f t="shared" si="4"/>
        <v>167.66916666666668</v>
      </c>
      <c r="O10" s="10" t="s">
        <v>382</v>
      </c>
      <c r="P10" s="10">
        <f>2.5*24*3600</f>
        <v>216000</v>
      </c>
      <c r="Q10" s="10">
        <v>210</v>
      </c>
      <c r="R10" s="10">
        <f t="shared" si="5"/>
        <v>9.7222222222222219E-4</v>
      </c>
      <c r="T10" s="7">
        <v>18</v>
      </c>
      <c r="W10" s="7">
        <v>9</v>
      </c>
    </row>
    <row r="11" spans="1:36" x14ac:dyDescent="0.15">
      <c r="A11" s="57"/>
      <c r="B11" s="7">
        <v>10</v>
      </c>
      <c r="C11" s="7">
        <v>497</v>
      </c>
      <c r="D11" s="7">
        <v>247920</v>
      </c>
      <c r="E11" s="7">
        <v>51200</v>
      </c>
      <c r="G11" s="7">
        <v>256000</v>
      </c>
      <c r="I11" s="7">
        <v>512000</v>
      </c>
      <c r="J11" s="7">
        <f t="shared" si="0"/>
        <v>512000</v>
      </c>
      <c r="K11" s="7">
        <f t="shared" si="2"/>
        <v>97.28</v>
      </c>
      <c r="L11" s="7">
        <f t="shared" si="3"/>
        <v>7.9571759259259255E-4</v>
      </c>
      <c r="M11" s="7">
        <f t="shared" si="1"/>
        <v>197.27430555555554</v>
      </c>
      <c r="N11" s="7">
        <f t="shared" si="4"/>
        <v>294.55430555555552</v>
      </c>
      <c r="O11" s="10" t="s">
        <v>383</v>
      </c>
      <c r="P11" s="10">
        <f>4*24*3600</f>
        <v>345600</v>
      </c>
      <c r="Q11" s="10">
        <v>275</v>
      </c>
      <c r="R11" s="10">
        <f t="shared" si="5"/>
        <v>7.9571759259259255E-4</v>
      </c>
      <c r="T11" s="7">
        <v>20</v>
      </c>
      <c r="W11" s="7">
        <v>10</v>
      </c>
    </row>
    <row r="12" spans="1:36" x14ac:dyDescent="0.15">
      <c r="A12" s="57"/>
      <c r="B12" s="11" t="s">
        <v>173</v>
      </c>
      <c r="C12" s="7">
        <f t="shared" ref="C12:H12" si="6">SUM(C2:C11)</f>
        <v>1139</v>
      </c>
      <c r="D12" s="7">
        <f t="shared" si="6"/>
        <v>488964</v>
      </c>
      <c r="E12" s="7">
        <f t="shared" si="6"/>
        <v>102300</v>
      </c>
      <c r="F12" s="7">
        <f t="shared" si="6"/>
        <v>0</v>
      </c>
      <c r="G12" s="7">
        <f t="shared" si="6"/>
        <v>511500</v>
      </c>
      <c r="H12" s="7">
        <f t="shared" si="6"/>
        <v>0</v>
      </c>
      <c r="I12" s="7">
        <f t="shared" ref="I12" si="7">SUM(I2:I11)</f>
        <v>1023000</v>
      </c>
      <c r="J12" s="7">
        <f t="shared" si="0"/>
        <v>1023000</v>
      </c>
      <c r="K12" s="7">
        <f t="shared" si="2"/>
        <v>194.37</v>
      </c>
      <c r="L12" s="7">
        <f t="shared" si="3"/>
        <v>7.9571759259259255E-4</v>
      </c>
      <c r="M12" s="7">
        <f t="shared" si="1"/>
        <v>389.0772569444444</v>
      </c>
      <c r="N12" s="7">
        <f t="shared" si="4"/>
        <v>583.44725694444446</v>
      </c>
      <c r="O12" s="10"/>
      <c r="P12" s="10"/>
      <c r="Q12" s="10"/>
      <c r="R12" s="10"/>
    </row>
    <row r="13" spans="1:36" x14ac:dyDescent="0.15">
      <c r="A13" s="57" t="s">
        <v>370</v>
      </c>
      <c r="B13" s="7">
        <v>1</v>
      </c>
      <c r="C13" s="7">
        <v>6</v>
      </c>
      <c r="D13" s="7">
        <v>491</v>
      </c>
      <c r="E13" s="7">
        <v>100</v>
      </c>
      <c r="G13" s="7">
        <v>500</v>
      </c>
      <c r="I13" s="7">
        <v>1200</v>
      </c>
      <c r="J13" s="7">
        <f t="shared" si="0"/>
        <v>1200</v>
      </c>
      <c r="K13" s="7">
        <f t="shared" si="2"/>
        <v>0.3</v>
      </c>
      <c r="L13" s="7">
        <f t="shared" si="3"/>
        <v>5.5555555555555558E-3</v>
      </c>
      <c r="M13" s="7">
        <f t="shared" si="1"/>
        <v>2.7277777777777779</v>
      </c>
      <c r="N13" s="7">
        <f t="shared" si="4"/>
        <v>3.0277777777777777</v>
      </c>
      <c r="O13" s="10" t="s">
        <v>93</v>
      </c>
      <c r="P13" s="10">
        <v>80000</v>
      </c>
      <c r="Q13" s="10">
        <v>20</v>
      </c>
      <c r="R13" s="10">
        <f t="shared" si="5"/>
        <v>2.5000000000000001E-4</v>
      </c>
      <c r="T13" s="7">
        <v>2</v>
      </c>
      <c r="X13" s="7">
        <v>1</v>
      </c>
    </row>
    <row r="14" spans="1:36" x14ac:dyDescent="0.15">
      <c r="A14" s="57"/>
      <c r="B14" s="7">
        <v>2</v>
      </c>
      <c r="C14" s="7">
        <v>9</v>
      </c>
      <c r="D14" s="7">
        <v>994</v>
      </c>
      <c r="E14" s="7">
        <v>200</v>
      </c>
      <c r="G14" s="7">
        <v>1000</v>
      </c>
      <c r="I14" s="7">
        <v>2400</v>
      </c>
      <c r="J14" s="7">
        <f t="shared" si="0"/>
        <v>2400</v>
      </c>
      <c r="K14" s="7">
        <f t="shared" si="2"/>
        <v>0.6</v>
      </c>
      <c r="L14" s="7">
        <f t="shared" si="3"/>
        <v>2.7777777777777779E-3</v>
      </c>
      <c r="M14" s="7">
        <f t="shared" si="1"/>
        <v>2.7611111111111111</v>
      </c>
      <c r="N14" s="7">
        <f t="shared" si="4"/>
        <v>3.3611111111111112</v>
      </c>
      <c r="O14" s="10"/>
      <c r="P14" s="10">
        <v>250000</v>
      </c>
      <c r="Q14" s="10">
        <v>55</v>
      </c>
      <c r="R14" s="10">
        <f t="shared" si="5"/>
        <v>2.2000000000000001E-4</v>
      </c>
      <c r="T14" s="7">
        <v>4</v>
      </c>
      <c r="X14" s="7">
        <v>2</v>
      </c>
    </row>
    <row r="15" spans="1:36" x14ac:dyDescent="0.15">
      <c r="A15" s="57"/>
      <c r="B15" s="7">
        <v>3</v>
      </c>
      <c r="C15" s="7">
        <v>14</v>
      </c>
      <c r="D15" s="7">
        <v>2013</v>
      </c>
      <c r="E15" s="7">
        <v>400</v>
      </c>
      <c r="G15" s="7">
        <v>2000</v>
      </c>
      <c r="I15" s="7">
        <v>4800</v>
      </c>
      <c r="J15" s="7">
        <f t="shared" si="0"/>
        <v>4800</v>
      </c>
      <c r="K15" s="7">
        <f t="shared" si="2"/>
        <v>1.2</v>
      </c>
      <c r="L15" s="7">
        <f t="shared" si="3"/>
        <v>2.7777777777777779E-3</v>
      </c>
      <c r="M15" s="7">
        <f t="shared" si="1"/>
        <v>5.5916666666666668</v>
      </c>
      <c r="N15" s="7">
        <f t="shared" si="4"/>
        <v>6.791666666666667</v>
      </c>
      <c r="O15" s="10"/>
      <c r="P15" s="10">
        <v>500000</v>
      </c>
      <c r="Q15" s="10">
        <v>95</v>
      </c>
      <c r="R15" s="10">
        <f t="shared" si="5"/>
        <v>1.9000000000000001E-4</v>
      </c>
      <c r="T15" s="7">
        <v>6</v>
      </c>
      <c r="X15" s="7">
        <v>3</v>
      </c>
    </row>
    <row r="16" spans="1:36" x14ac:dyDescent="0.15">
      <c r="A16" s="57"/>
      <c r="B16" s="7">
        <v>4</v>
      </c>
      <c r="C16" s="7">
        <v>19</v>
      </c>
      <c r="D16" s="7">
        <v>4077</v>
      </c>
      <c r="E16" s="7">
        <v>800</v>
      </c>
      <c r="G16" s="7">
        <v>4000</v>
      </c>
      <c r="I16" s="7">
        <v>9600</v>
      </c>
      <c r="J16" s="7">
        <f t="shared" si="0"/>
        <v>9600</v>
      </c>
      <c r="K16" s="7">
        <f t="shared" si="2"/>
        <v>2.4</v>
      </c>
      <c r="L16" s="7">
        <f t="shared" si="3"/>
        <v>1.6666666666666668E-3</v>
      </c>
      <c r="M16" s="7">
        <f t="shared" si="1"/>
        <v>6.7950000000000008</v>
      </c>
      <c r="N16" s="7">
        <f t="shared" si="4"/>
        <v>9.1950000000000003</v>
      </c>
      <c r="T16" s="7">
        <v>8</v>
      </c>
      <c r="X16" s="7">
        <v>4</v>
      </c>
    </row>
    <row r="17" spans="1:25" x14ac:dyDescent="0.15">
      <c r="A17" s="57"/>
      <c r="B17" s="7">
        <v>5</v>
      </c>
      <c r="C17" s="7">
        <v>29</v>
      </c>
      <c r="D17" s="7">
        <v>8256</v>
      </c>
      <c r="E17" s="7">
        <v>1600</v>
      </c>
      <c r="G17" s="7">
        <v>8000</v>
      </c>
      <c r="I17" s="7">
        <v>19200</v>
      </c>
      <c r="J17" s="7">
        <f t="shared" si="0"/>
        <v>19200</v>
      </c>
      <c r="K17" s="7">
        <f t="shared" si="2"/>
        <v>4.8</v>
      </c>
      <c r="L17" s="7">
        <f t="shared" si="3"/>
        <v>1.6666666666666668E-3</v>
      </c>
      <c r="M17" s="7">
        <f t="shared" si="1"/>
        <v>13.760000000000002</v>
      </c>
      <c r="N17" s="7">
        <f t="shared" si="4"/>
        <v>18.560000000000002</v>
      </c>
      <c r="T17" s="7">
        <v>10</v>
      </c>
      <c r="X17" s="7">
        <v>5</v>
      </c>
    </row>
    <row r="18" spans="1:25" x14ac:dyDescent="0.15">
      <c r="A18" s="57"/>
      <c r="B18" s="7">
        <v>6</v>
      </c>
      <c r="C18" s="7">
        <v>56</v>
      </c>
      <c r="D18" s="7">
        <v>16718</v>
      </c>
      <c r="E18" s="7">
        <v>3200</v>
      </c>
      <c r="G18" s="7">
        <v>16000</v>
      </c>
      <c r="I18" s="7">
        <v>38400</v>
      </c>
      <c r="J18" s="7">
        <f t="shared" si="0"/>
        <v>38400</v>
      </c>
      <c r="K18" s="7">
        <f t="shared" si="2"/>
        <v>9.6</v>
      </c>
      <c r="L18" s="7">
        <f t="shared" si="3"/>
        <v>1.3888888888888889E-3</v>
      </c>
      <c r="M18" s="7">
        <f t="shared" si="1"/>
        <v>23.219444444444445</v>
      </c>
      <c r="N18" s="7">
        <f t="shared" si="4"/>
        <v>32.819444444444443</v>
      </c>
      <c r="T18" s="7">
        <v>12</v>
      </c>
      <c r="X18" s="7">
        <v>6</v>
      </c>
    </row>
    <row r="19" spans="1:25" x14ac:dyDescent="0.15">
      <c r="A19" s="57"/>
      <c r="B19" s="7">
        <v>7</v>
      </c>
      <c r="C19" s="7">
        <v>96</v>
      </c>
      <c r="D19" s="7">
        <v>33855</v>
      </c>
      <c r="E19" s="7">
        <v>6400</v>
      </c>
      <c r="G19" s="7">
        <v>32000</v>
      </c>
      <c r="I19" s="7">
        <v>76800</v>
      </c>
      <c r="J19" s="7">
        <f t="shared" si="0"/>
        <v>76800</v>
      </c>
      <c r="K19" s="7">
        <f t="shared" si="2"/>
        <v>19.2</v>
      </c>
      <c r="L19" s="7">
        <f t="shared" si="3"/>
        <v>1.2037037037037038E-3</v>
      </c>
      <c r="M19" s="7">
        <f t="shared" si="1"/>
        <v>40.75138888888889</v>
      </c>
      <c r="N19" s="7">
        <f t="shared" si="4"/>
        <v>59.951388888888886</v>
      </c>
      <c r="T19" s="7">
        <v>14</v>
      </c>
      <c r="X19" s="7">
        <v>7</v>
      </c>
    </row>
    <row r="20" spans="1:25" x14ac:dyDescent="0.15">
      <c r="A20" s="57"/>
      <c r="B20" s="7">
        <v>8</v>
      </c>
      <c r="C20" s="7">
        <v>167</v>
      </c>
      <c r="D20" s="7">
        <v>68557</v>
      </c>
      <c r="E20" s="7">
        <v>12800</v>
      </c>
      <c r="G20" s="7">
        <v>64000</v>
      </c>
      <c r="I20" s="7">
        <v>153600</v>
      </c>
      <c r="J20" s="7">
        <f t="shared" si="0"/>
        <v>153600</v>
      </c>
      <c r="K20" s="7">
        <f t="shared" si="2"/>
        <v>33.792000000000002</v>
      </c>
      <c r="L20" s="7">
        <f t="shared" si="3"/>
        <v>1.0995370370370371E-3</v>
      </c>
      <c r="M20" s="7">
        <f t="shared" si="1"/>
        <v>75.380960648148147</v>
      </c>
      <c r="N20" s="7">
        <f t="shared" si="4"/>
        <v>109.17296064814815</v>
      </c>
      <c r="T20" s="7">
        <v>16</v>
      </c>
      <c r="X20" s="7">
        <v>8</v>
      </c>
    </row>
    <row r="21" spans="1:25" x14ac:dyDescent="0.15">
      <c r="A21" s="57"/>
      <c r="B21" s="7">
        <v>9</v>
      </c>
      <c r="C21" s="7">
        <v>297</v>
      </c>
      <c r="D21" s="7">
        <v>138829</v>
      </c>
      <c r="E21" s="7">
        <v>25600</v>
      </c>
      <c r="G21" s="7">
        <v>128000</v>
      </c>
      <c r="I21" s="7">
        <v>307200</v>
      </c>
      <c r="J21" s="7">
        <f t="shared" si="0"/>
        <v>307200</v>
      </c>
      <c r="K21" s="7">
        <f t="shared" si="2"/>
        <v>58.368000000000002</v>
      </c>
      <c r="L21" s="7">
        <f t="shared" si="3"/>
        <v>9.7222222222222219E-4</v>
      </c>
      <c r="M21" s="7">
        <f t="shared" si="1"/>
        <v>134.97263888888889</v>
      </c>
      <c r="N21" s="7">
        <f t="shared" si="4"/>
        <v>193.34063888888889</v>
      </c>
      <c r="T21" s="7">
        <v>18</v>
      </c>
      <c r="X21" s="7">
        <v>9</v>
      </c>
    </row>
    <row r="22" spans="1:25" x14ac:dyDescent="0.15">
      <c r="A22" s="57"/>
      <c r="B22" s="7">
        <v>10</v>
      </c>
      <c r="C22" s="7">
        <v>524</v>
      </c>
      <c r="D22" s="7">
        <v>281129</v>
      </c>
      <c r="E22" s="7">
        <v>51200</v>
      </c>
      <c r="G22" s="7">
        <v>256000</v>
      </c>
      <c r="I22" s="7">
        <v>614400</v>
      </c>
      <c r="J22" s="7">
        <f t="shared" si="0"/>
        <v>614400</v>
      </c>
      <c r="K22" s="7">
        <f t="shared" si="2"/>
        <v>116.736</v>
      </c>
      <c r="L22" s="7">
        <f t="shared" si="3"/>
        <v>7.9571759259259255E-4</v>
      </c>
      <c r="M22" s="7">
        <f t="shared" si="1"/>
        <v>223.69929108796296</v>
      </c>
      <c r="N22" s="7">
        <f t="shared" si="4"/>
        <v>340.43529108796298</v>
      </c>
      <c r="T22" s="7">
        <v>20</v>
      </c>
      <c r="X22" s="7">
        <v>10</v>
      </c>
    </row>
    <row r="23" spans="1:25" x14ac:dyDescent="0.15">
      <c r="A23" s="57"/>
      <c r="B23" s="11" t="s">
        <v>173</v>
      </c>
      <c r="C23" s="7">
        <f t="shared" ref="C23" si="8">SUM(C13:C22)</f>
        <v>1217</v>
      </c>
      <c r="D23" s="7">
        <f>SUM(D13:D22)</f>
        <v>554919</v>
      </c>
      <c r="E23" s="7">
        <f>SUM(E13:E22)</f>
        <v>102300</v>
      </c>
      <c r="F23" s="7">
        <f>SUM(F13:F22)</f>
        <v>0</v>
      </c>
      <c r="G23" s="7">
        <f>SUM(G13:G22)</f>
        <v>511500</v>
      </c>
      <c r="H23" s="7">
        <f>SUM(H13:H22)</f>
        <v>0</v>
      </c>
      <c r="I23" s="7">
        <f t="shared" ref="I23" si="9">SUM(I13:I22)</f>
        <v>1227600</v>
      </c>
      <c r="J23" s="7">
        <f t="shared" si="0"/>
        <v>1227600</v>
      </c>
      <c r="K23" s="7">
        <f t="shared" si="2"/>
        <v>233.244</v>
      </c>
      <c r="L23" s="7">
        <f t="shared" si="3"/>
        <v>7.9571759259259255E-4</v>
      </c>
      <c r="M23" s="7">
        <f t="shared" si="1"/>
        <v>441.55881076388886</v>
      </c>
      <c r="N23" s="7">
        <f t="shared" si="4"/>
        <v>674.80281076388883</v>
      </c>
    </row>
    <row r="24" spans="1:25" x14ac:dyDescent="0.15">
      <c r="A24" s="57" t="s">
        <v>384</v>
      </c>
      <c r="B24" s="7">
        <v>1</v>
      </c>
      <c r="C24" s="7">
        <v>6</v>
      </c>
      <c r="D24" s="7">
        <v>529</v>
      </c>
      <c r="E24" s="7">
        <v>200</v>
      </c>
      <c r="H24" s="7">
        <v>500</v>
      </c>
      <c r="I24" s="7">
        <v>1500</v>
      </c>
      <c r="J24" s="7">
        <f t="shared" si="0"/>
        <v>1500</v>
      </c>
      <c r="K24" s="7">
        <f t="shared" si="2"/>
        <v>0.375</v>
      </c>
      <c r="L24" s="7">
        <f t="shared" si="3"/>
        <v>5.5555555555555558E-3</v>
      </c>
      <c r="M24" s="7">
        <f t="shared" si="1"/>
        <v>2.9388888888888891</v>
      </c>
      <c r="N24" s="7">
        <f t="shared" si="4"/>
        <v>3.3138888888888891</v>
      </c>
      <c r="T24" s="7">
        <v>2</v>
      </c>
      <c r="Y24" s="7">
        <v>1</v>
      </c>
    </row>
    <row r="25" spans="1:25" x14ac:dyDescent="0.15">
      <c r="A25" s="57"/>
      <c r="B25" s="7">
        <v>2</v>
      </c>
      <c r="C25" s="7">
        <v>8</v>
      </c>
      <c r="D25" s="7">
        <v>1071</v>
      </c>
      <c r="E25" s="7">
        <f t="shared" ref="E25:E33" si="10">E24*2</f>
        <v>400</v>
      </c>
      <c r="H25" s="7">
        <f t="shared" ref="H25:H33" si="11">H24*2</f>
        <v>1000</v>
      </c>
      <c r="I25" s="7">
        <f>I24*2</f>
        <v>3000</v>
      </c>
      <c r="J25" s="7">
        <f t="shared" si="0"/>
        <v>3000</v>
      </c>
      <c r="K25" s="7">
        <f t="shared" si="2"/>
        <v>0.75</v>
      </c>
      <c r="L25" s="7">
        <f t="shared" si="3"/>
        <v>2.7777777777777779E-3</v>
      </c>
      <c r="M25" s="7">
        <f t="shared" si="1"/>
        <v>2.9750000000000001</v>
      </c>
      <c r="N25" s="7">
        <f t="shared" si="4"/>
        <v>3.7250000000000001</v>
      </c>
      <c r="T25" s="7">
        <v>4</v>
      </c>
      <c r="Y25" s="7">
        <v>2</v>
      </c>
    </row>
    <row r="26" spans="1:25" x14ac:dyDescent="0.15">
      <c r="A26" s="57"/>
      <c r="B26" s="7">
        <v>3</v>
      </c>
      <c r="C26" s="7">
        <v>12</v>
      </c>
      <c r="D26" s="7">
        <v>2169</v>
      </c>
      <c r="E26" s="7">
        <f t="shared" si="10"/>
        <v>800</v>
      </c>
      <c r="H26" s="7">
        <f t="shared" si="11"/>
        <v>2000</v>
      </c>
      <c r="I26" s="7">
        <f t="shared" ref="I26:I33" si="12">I25*2</f>
        <v>6000</v>
      </c>
      <c r="J26" s="7">
        <f t="shared" si="0"/>
        <v>6000</v>
      </c>
      <c r="K26" s="7">
        <f t="shared" si="2"/>
        <v>1.5</v>
      </c>
      <c r="L26" s="7">
        <f t="shared" si="3"/>
        <v>2.7777777777777779E-3</v>
      </c>
      <c r="M26" s="7">
        <f t="shared" si="1"/>
        <v>6.0250000000000004</v>
      </c>
      <c r="N26" s="7">
        <f t="shared" si="4"/>
        <v>7.5250000000000004</v>
      </c>
      <c r="T26" s="7">
        <v>6</v>
      </c>
      <c r="Y26" s="7">
        <v>3</v>
      </c>
    </row>
    <row r="27" spans="1:25" x14ac:dyDescent="0.15">
      <c r="A27" s="57"/>
      <c r="B27" s="7">
        <v>4</v>
      </c>
      <c r="C27" s="7">
        <v>17</v>
      </c>
      <c r="D27" s="7">
        <v>4392</v>
      </c>
      <c r="E27" s="7">
        <f t="shared" si="10"/>
        <v>1600</v>
      </c>
      <c r="H27" s="7">
        <f t="shared" si="11"/>
        <v>4000</v>
      </c>
      <c r="I27" s="7">
        <f t="shared" si="12"/>
        <v>12000</v>
      </c>
      <c r="J27" s="7">
        <f t="shared" si="0"/>
        <v>12000</v>
      </c>
      <c r="K27" s="7">
        <f t="shared" si="2"/>
        <v>3</v>
      </c>
      <c r="L27" s="7">
        <f t="shared" si="3"/>
        <v>1.6666666666666668E-3</v>
      </c>
      <c r="M27" s="7">
        <f t="shared" si="1"/>
        <v>7.32</v>
      </c>
      <c r="N27" s="7">
        <f t="shared" si="4"/>
        <v>10.32</v>
      </c>
      <c r="T27" s="7">
        <v>8</v>
      </c>
      <c r="Y27" s="7">
        <v>4</v>
      </c>
    </row>
    <row r="28" spans="1:25" x14ac:dyDescent="0.15">
      <c r="A28" s="57"/>
      <c r="B28" s="7">
        <v>5</v>
      </c>
      <c r="C28" s="7">
        <v>28</v>
      </c>
      <c r="D28" s="7">
        <v>8895</v>
      </c>
      <c r="E28" s="7">
        <f t="shared" si="10"/>
        <v>3200</v>
      </c>
      <c r="H28" s="7">
        <f t="shared" si="11"/>
        <v>8000</v>
      </c>
      <c r="I28" s="7">
        <f t="shared" si="12"/>
        <v>24000</v>
      </c>
      <c r="J28" s="7">
        <f t="shared" si="0"/>
        <v>24000</v>
      </c>
      <c r="K28" s="7">
        <f t="shared" si="2"/>
        <v>6</v>
      </c>
      <c r="L28" s="7">
        <f t="shared" si="3"/>
        <v>1.6666666666666668E-3</v>
      </c>
      <c r="M28" s="7">
        <f t="shared" si="1"/>
        <v>14.825000000000001</v>
      </c>
      <c r="N28" s="7">
        <f t="shared" si="4"/>
        <v>20.825000000000003</v>
      </c>
      <c r="T28" s="7">
        <v>10</v>
      </c>
      <c r="Y28" s="7">
        <v>5</v>
      </c>
    </row>
    <row r="29" spans="1:25" x14ac:dyDescent="0.15">
      <c r="A29" s="57"/>
      <c r="B29" s="7">
        <v>6</v>
      </c>
      <c r="C29" s="7">
        <v>52</v>
      </c>
      <c r="D29" s="7">
        <v>18012</v>
      </c>
      <c r="E29" s="7">
        <f t="shared" si="10"/>
        <v>6400</v>
      </c>
      <c r="H29" s="7">
        <f t="shared" si="11"/>
        <v>16000</v>
      </c>
      <c r="I29" s="7">
        <f t="shared" si="12"/>
        <v>48000</v>
      </c>
      <c r="J29" s="7">
        <f t="shared" si="0"/>
        <v>48000</v>
      </c>
      <c r="K29" s="7">
        <f t="shared" si="2"/>
        <v>12</v>
      </c>
      <c r="L29" s="7">
        <f t="shared" si="3"/>
        <v>1.3888888888888889E-3</v>
      </c>
      <c r="M29" s="7">
        <f t="shared" si="1"/>
        <v>25.016666666666669</v>
      </c>
      <c r="N29" s="7">
        <f t="shared" si="4"/>
        <v>37.016666666666666</v>
      </c>
      <c r="T29" s="7">
        <v>12</v>
      </c>
      <c r="Y29" s="7">
        <v>6</v>
      </c>
    </row>
    <row r="30" spans="1:25" x14ac:dyDescent="0.15">
      <c r="A30" s="57"/>
      <c r="B30" s="7">
        <v>7</v>
      </c>
      <c r="C30" s="7">
        <v>99</v>
      </c>
      <c r="D30" s="7">
        <v>36475</v>
      </c>
      <c r="E30" s="7">
        <f t="shared" si="10"/>
        <v>12800</v>
      </c>
      <c r="H30" s="7">
        <f t="shared" si="11"/>
        <v>32000</v>
      </c>
      <c r="I30" s="7">
        <f t="shared" si="12"/>
        <v>96000</v>
      </c>
      <c r="J30" s="7">
        <f t="shared" si="0"/>
        <v>96000</v>
      </c>
      <c r="K30" s="7">
        <f t="shared" si="2"/>
        <v>21.12</v>
      </c>
      <c r="L30" s="7">
        <f t="shared" si="3"/>
        <v>1.2037037037037038E-3</v>
      </c>
      <c r="M30" s="7">
        <f t="shared" si="1"/>
        <v>43.905092592592595</v>
      </c>
      <c r="N30" s="7">
        <f t="shared" si="4"/>
        <v>65.0250925925926</v>
      </c>
      <c r="T30" s="7">
        <v>14</v>
      </c>
      <c r="Y30" s="7">
        <v>7</v>
      </c>
    </row>
    <row r="31" spans="1:25" x14ac:dyDescent="0.15">
      <c r="A31" s="57"/>
      <c r="B31" s="7">
        <v>8</v>
      </c>
      <c r="C31" s="7">
        <v>167</v>
      </c>
      <c r="D31" s="7">
        <v>73863</v>
      </c>
      <c r="E31" s="7">
        <f t="shared" si="10"/>
        <v>25600</v>
      </c>
      <c r="H31" s="7">
        <f t="shared" si="11"/>
        <v>64000</v>
      </c>
      <c r="I31" s="7">
        <f t="shared" si="12"/>
        <v>192000</v>
      </c>
      <c r="J31" s="7">
        <f t="shared" si="0"/>
        <v>192000</v>
      </c>
      <c r="K31" s="7">
        <f t="shared" si="2"/>
        <v>42.24</v>
      </c>
      <c r="L31" s="7">
        <f t="shared" si="3"/>
        <v>1.0995370370370371E-3</v>
      </c>
      <c r="M31" s="7">
        <f t="shared" si="1"/>
        <v>81.215104166666677</v>
      </c>
      <c r="N31" s="7">
        <f t="shared" si="4"/>
        <v>123.45510416666667</v>
      </c>
      <c r="T31" s="7">
        <v>16</v>
      </c>
      <c r="Y31" s="7">
        <v>8</v>
      </c>
    </row>
    <row r="32" spans="1:25" x14ac:dyDescent="0.15">
      <c r="A32" s="57"/>
      <c r="B32" s="7">
        <v>9</v>
      </c>
      <c r="C32" s="7">
        <v>293</v>
      </c>
      <c r="D32" s="7">
        <v>149573</v>
      </c>
      <c r="E32" s="7">
        <f t="shared" si="10"/>
        <v>51200</v>
      </c>
      <c r="H32" s="7">
        <f t="shared" si="11"/>
        <v>128000</v>
      </c>
      <c r="I32" s="7">
        <f t="shared" si="12"/>
        <v>384000</v>
      </c>
      <c r="J32" s="7">
        <f t="shared" si="0"/>
        <v>384000</v>
      </c>
      <c r="K32" s="7">
        <f t="shared" si="2"/>
        <v>72.960000000000008</v>
      </c>
      <c r="L32" s="7">
        <f t="shared" si="3"/>
        <v>9.7222222222222219E-4</v>
      </c>
      <c r="M32" s="7">
        <f t="shared" si="1"/>
        <v>145.41819444444445</v>
      </c>
      <c r="N32" s="7">
        <f t="shared" si="4"/>
        <v>218.37819444444446</v>
      </c>
      <c r="T32" s="7">
        <v>18</v>
      </c>
      <c r="Y32" s="7">
        <v>9</v>
      </c>
    </row>
    <row r="33" spans="1:29" x14ac:dyDescent="0.15">
      <c r="A33" s="57"/>
      <c r="B33" s="7">
        <v>10</v>
      </c>
      <c r="C33" s="7">
        <v>610</v>
      </c>
      <c r="D33" s="7">
        <v>302887</v>
      </c>
      <c r="E33" s="7">
        <f t="shared" si="10"/>
        <v>102400</v>
      </c>
      <c r="H33" s="7">
        <f t="shared" si="11"/>
        <v>256000</v>
      </c>
      <c r="I33" s="7">
        <f t="shared" si="12"/>
        <v>768000</v>
      </c>
      <c r="J33" s="7">
        <f t="shared" si="0"/>
        <v>768000</v>
      </c>
      <c r="K33" s="7">
        <f t="shared" si="2"/>
        <v>145.92000000000002</v>
      </c>
      <c r="L33" s="7">
        <f t="shared" si="3"/>
        <v>7.9571759259259255E-4</v>
      </c>
      <c r="M33" s="7">
        <f t="shared" si="1"/>
        <v>241.01251446759258</v>
      </c>
      <c r="N33" s="7">
        <f t="shared" si="4"/>
        <v>386.93251446759257</v>
      </c>
      <c r="T33" s="7">
        <v>20</v>
      </c>
      <c r="Y33" s="7">
        <v>10</v>
      </c>
    </row>
    <row r="34" spans="1:29" x14ac:dyDescent="0.15">
      <c r="A34" s="57"/>
      <c r="B34" s="11" t="s">
        <v>173</v>
      </c>
      <c r="C34" s="7">
        <f t="shared" ref="C34" si="13">SUM(C24:C33)</f>
        <v>1292</v>
      </c>
      <c r="D34" s="7">
        <f>SUM(D24:D33)</f>
        <v>597866</v>
      </c>
      <c r="E34" s="7">
        <f>SUM(E24:E33)</f>
        <v>204600</v>
      </c>
      <c r="F34" s="7">
        <f>SUM(F24:F33)</f>
        <v>0</v>
      </c>
      <c r="G34" s="7">
        <f>SUM(G24:G33)</f>
        <v>0</v>
      </c>
      <c r="H34" s="7">
        <f>SUM(H24:H33)</f>
        <v>511500</v>
      </c>
      <c r="I34" s="7">
        <f t="shared" ref="I34" si="14">SUM(I24:I33)</f>
        <v>1534500</v>
      </c>
      <c r="J34" s="7">
        <f t="shared" ref="J34:J65" si="15">SUM(I34:I34)</f>
        <v>1534500</v>
      </c>
      <c r="K34" s="7">
        <f t="shared" si="2"/>
        <v>291.55500000000001</v>
      </c>
      <c r="L34" s="7">
        <f t="shared" si="3"/>
        <v>7.9571759259259255E-4</v>
      </c>
      <c r="M34" s="7">
        <f t="shared" ref="M34:M65" si="16">D34*L34</f>
        <v>475.73249421296293</v>
      </c>
      <c r="N34" s="7">
        <f t="shared" si="4"/>
        <v>767.28749421296288</v>
      </c>
    </row>
    <row r="35" spans="1:29" x14ac:dyDescent="0.15">
      <c r="A35" s="57" t="s">
        <v>385</v>
      </c>
      <c r="B35" s="7">
        <v>1</v>
      </c>
      <c r="C35" s="7">
        <v>6</v>
      </c>
      <c r="D35" s="7">
        <v>598</v>
      </c>
      <c r="E35" s="7">
        <v>800</v>
      </c>
      <c r="I35" s="7">
        <v>2000</v>
      </c>
      <c r="J35" s="7">
        <f t="shared" si="15"/>
        <v>2000</v>
      </c>
      <c r="K35" s="7">
        <f t="shared" si="2"/>
        <v>0.5</v>
      </c>
      <c r="L35" s="7">
        <f t="shared" si="3"/>
        <v>5.5555555555555558E-3</v>
      </c>
      <c r="M35" s="7">
        <f t="shared" si="16"/>
        <v>3.3222222222222224</v>
      </c>
      <c r="N35" s="7">
        <f t="shared" si="4"/>
        <v>3.8222222222222224</v>
      </c>
      <c r="T35" s="7">
        <v>2</v>
      </c>
      <c r="Z35" s="7">
        <v>1</v>
      </c>
    </row>
    <row r="36" spans="1:29" x14ac:dyDescent="0.15">
      <c r="A36" s="57"/>
      <c r="B36" s="7">
        <v>2</v>
      </c>
      <c r="C36" s="7">
        <v>9</v>
      </c>
      <c r="D36" s="7">
        <v>1210</v>
      </c>
      <c r="E36" s="7">
        <f>E35*2</f>
        <v>1600</v>
      </c>
      <c r="I36" s="7">
        <f t="shared" ref="I36:I44" si="17">I35*2</f>
        <v>4000</v>
      </c>
      <c r="J36" s="7">
        <f t="shared" si="15"/>
        <v>4000</v>
      </c>
      <c r="K36" s="7">
        <f t="shared" si="2"/>
        <v>1</v>
      </c>
      <c r="L36" s="7">
        <f t="shared" si="3"/>
        <v>2.7777777777777779E-3</v>
      </c>
      <c r="M36" s="7">
        <f t="shared" si="16"/>
        <v>3.3611111111111112</v>
      </c>
      <c r="N36" s="7">
        <f t="shared" si="4"/>
        <v>4.3611111111111107</v>
      </c>
      <c r="T36" s="7">
        <v>4</v>
      </c>
      <c r="Z36" s="7">
        <v>2</v>
      </c>
    </row>
    <row r="37" spans="1:29" x14ac:dyDescent="0.15">
      <c r="A37" s="57"/>
      <c r="B37" s="7">
        <v>3</v>
      </c>
      <c r="C37" s="7">
        <v>13</v>
      </c>
      <c r="D37" s="7">
        <v>2452</v>
      </c>
      <c r="E37" s="7">
        <f t="shared" ref="E37:E44" si="18">E36*2</f>
        <v>3200</v>
      </c>
      <c r="I37" s="7">
        <f t="shared" si="17"/>
        <v>8000</v>
      </c>
      <c r="J37" s="7">
        <f t="shared" si="15"/>
        <v>8000</v>
      </c>
      <c r="K37" s="7">
        <f t="shared" si="2"/>
        <v>2</v>
      </c>
      <c r="L37" s="7">
        <f t="shared" si="3"/>
        <v>2.7777777777777779E-3</v>
      </c>
      <c r="M37" s="7">
        <f t="shared" si="16"/>
        <v>6.8111111111111118</v>
      </c>
      <c r="N37" s="7">
        <f t="shared" si="4"/>
        <v>8.8111111111111118</v>
      </c>
      <c r="T37" s="7">
        <v>6</v>
      </c>
      <c r="X37" s="24"/>
      <c r="Z37" s="7">
        <v>3</v>
      </c>
    </row>
    <row r="38" spans="1:29" x14ac:dyDescent="0.15">
      <c r="A38" s="57"/>
      <c r="B38" s="7">
        <v>4</v>
      </c>
      <c r="C38" s="7">
        <v>23</v>
      </c>
      <c r="D38" s="7">
        <v>4965</v>
      </c>
      <c r="E38" s="7">
        <f t="shared" si="18"/>
        <v>6400</v>
      </c>
      <c r="I38" s="7">
        <f t="shared" si="17"/>
        <v>16000</v>
      </c>
      <c r="J38" s="7">
        <f t="shared" si="15"/>
        <v>16000</v>
      </c>
      <c r="K38" s="7">
        <f t="shared" si="2"/>
        <v>4</v>
      </c>
      <c r="L38" s="7">
        <f t="shared" si="3"/>
        <v>1.6666666666666668E-3</v>
      </c>
      <c r="M38" s="7">
        <f t="shared" si="16"/>
        <v>8.2750000000000004</v>
      </c>
      <c r="N38" s="7">
        <f t="shared" si="4"/>
        <v>12.275</v>
      </c>
      <c r="T38" s="7">
        <v>8</v>
      </c>
      <c r="W38" s="24"/>
      <c r="X38" s="24"/>
      <c r="Z38" s="7">
        <v>4</v>
      </c>
    </row>
    <row r="39" spans="1:29" x14ac:dyDescent="0.15">
      <c r="A39" s="57"/>
      <c r="B39" s="7">
        <v>5</v>
      </c>
      <c r="C39" s="7">
        <v>42</v>
      </c>
      <c r="D39" s="7">
        <v>10055</v>
      </c>
      <c r="E39" s="7">
        <f t="shared" si="18"/>
        <v>12800</v>
      </c>
      <c r="I39" s="7">
        <f t="shared" si="17"/>
        <v>32000</v>
      </c>
      <c r="J39" s="7">
        <f t="shared" si="15"/>
        <v>32000</v>
      </c>
      <c r="K39" s="7">
        <f t="shared" si="2"/>
        <v>8</v>
      </c>
      <c r="L39" s="7">
        <f t="shared" si="3"/>
        <v>1.3888888888888889E-3</v>
      </c>
      <c r="M39" s="7">
        <f t="shared" si="16"/>
        <v>13.965277777777779</v>
      </c>
      <c r="N39" s="7">
        <f t="shared" si="4"/>
        <v>21.965277777777779</v>
      </c>
      <c r="T39" s="7">
        <v>10</v>
      </c>
      <c r="W39" s="24"/>
      <c r="X39" s="24"/>
      <c r="Z39" s="7">
        <v>5</v>
      </c>
    </row>
    <row r="40" spans="1:29" x14ac:dyDescent="0.15">
      <c r="A40" s="57"/>
      <c r="B40" s="7">
        <v>6</v>
      </c>
      <c r="C40" s="7">
        <v>59</v>
      </c>
      <c r="D40" s="7">
        <v>20362</v>
      </c>
      <c r="E40" s="7">
        <f t="shared" si="18"/>
        <v>25600</v>
      </c>
      <c r="I40" s="7">
        <f t="shared" si="17"/>
        <v>64000</v>
      </c>
      <c r="J40" s="7">
        <f t="shared" si="15"/>
        <v>64000</v>
      </c>
      <c r="K40" s="7">
        <f t="shared" si="2"/>
        <v>16</v>
      </c>
      <c r="L40" s="7">
        <f t="shared" si="3"/>
        <v>1.3888888888888889E-3</v>
      </c>
      <c r="M40" s="7">
        <f t="shared" si="16"/>
        <v>28.280555555555555</v>
      </c>
      <c r="N40" s="7">
        <f t="shared" si="4"/>
        <v>44.280555555555551</v>
      </c>
      <c r="T40" s="7">
        <v>12</v>
      </c>
      <c r="W40" s="24"/>
      <c r="X40" s="24"/>
      <c r="Z40" s="7">
        <v>6</v>
      </c>
    </row>
    <row r="41" spans="1:29" x14ac:dyDescent="0.15">
      <c r="A41" s="57"/>
      <c r="B41" s="7">
        <v>7</v>
      </c>
      <c r="C41" s="7">
        <v>103</v>
      </c>
      <c r="D41" s="7">
        <v>41233</v>
      </c>
      <c r="E41" s="7">
        <f t="shared" si="18"/>
        <v>51200</v>
      </c>
      <c r="I41" s="7">
        <f t="shared" si="17"/>
        <v>128000</v>
      </c>
      <c r="J41" s="7">
        <f t="shared" si="15"/>
        <v>128000</v>
      </c>
      <c r="K41" s="7">
        <f t="shared" si="2"/>
        <v>28.16</v>
      </c>
      <c r="L41" s="7">
        <f t="shared" si="3"/>
        <v>1.2037037037037038E-3</v>
      </c>
      <c r="M41" s="7">
        <f t="shared" si="16"/>
        <v>49.632314814814819</v>
      </c>
      <c r="N41" s="7">
        <f t="shared" si="4"/>
        <v>77.792314814814816</v>
      </c>
      <c r="T41" s="7">
        <v>14</v>
      </c>
      <c r="W41" s="24"/>
      <c r="X41" s="24"/>
      <c r="Z41" s="7">
        <v>7</v>
      </c>
    </row>
    <row r="42" spans="1:29" x14ac:dyDescent="0.15">
      <c r="A42" s="57"/>
      <c r="B42" s="7">
        <v>8</v>
      </c>
      <c r="C42" s="7">
        <v>197</v>
      </c>
      <c r="D42" s="7">
        <v>83498</v>
      </c>
      <c r="E42" s="7">
        <f t="shared" si="18"/>
        <v>102400</v>
      </c>
      <c r="I42" s="7">
        <f t="shared" si="17"/>
        <v>256000</v>
      </c>
      <c r="J42" s="7">
        <f t="shared" si="15"/>
        <v>256000</v>
      </c>
      <c r="K42" s="7">
        <f t="shared" si="2"/>
        <v>48.64</v>
      </c>
      <c r="L42" s="7">
        <f t="shared" si="3"/>
        <v>1.0995370370370371E-3</v>
      </c>
      <c r="M42" s="7">
        <f t="shared" si="16"/>
        <v>91.809143518518525</v>
      </c>
      <c r="N42" s="7">
        <f t="shared" si="4"/>
        <v>140.44914351851853</v>
      </c>
      <c r="T42" s="7">
        <v>16</v>
      </c>
      <c r="W42" s="24"/>
      <c r="X42" s="24"/>
      <c r="Z42" s="7">
        <v>8</v>
      </c>
    </row>
    <row r="43" spans="1:29" x14ac:dyDescent="0.15">
      <c r="A43" s="57"/>
      <c r="B43" s="7">
        <v>9</v>
      </c>
      <c r="C43" s="7">
        <v>383</v>
      </c>
      <c r="D43" s="7">
        <v>169083</v>
      </c>
      <c r="E43" s="7">
        <f t="shared" si="18"/>
        <v>204800</v>
      </c>
      <c r="I43" s="7">
        <f t="shared" si="17"/>
        <v>512000</v>
      </c>
      <c r="J43" s="7">
        <f t="shared" si="15"/>
        <v>512000</v>
      </c>
      <c r="K43" s="7">
        <f t="shared" si="2"/>
        <v>97.28</v>
      </c>
      <c r="L43" s="7">
        <f t="shared" si="3"/>
        <v>9.7222222222222219E-4</v>
      </c>
      <c r="M43" s="7">
        <f t="shared" si="16"/>
        <v>164.38624999999999</v>
      </c>
      <c r="N43" s="7">
        <f t="shared" si="4"/>
        <v>261.66624999999999</v>
      </c>
      <c r="T43" s="7">
        <v>18</v>
      </c>
      <c r="W43" s="24"/>
      <c r="X43" s="24"/>
      <c r="Z43" s="7">
        <v>9</v>
      </c>
    </row>
    <row r="44" spans="1:29" x14ac:dyDescent="0.15">
      <c r="A44" s="57"/>
      <c r="B44" s="7">
        <v>10</v>
      </c>
      <c r="C44" s="7">
        <v>721</v>
      </c>
      <c r="D44" s="7">
        <v>342394</v>
      </c>
      <c r="E44" s="7">
        <f t="shared" si="18"/>
        <v>409600</v>
      </c>
      <c r="I44" s="7">
        <f t="shared" si="17"/>
        <v>1024000</v>
      </c>
      <c r="J44" s="7">
        <f t="shared" si="15"/>
        <v>1024000</v>
      </c>
      <c r="K44" s="7">
        <f t="shared" si="2"/>
        <v>194.56</v>
      </c>
      <c r="L44" s="7">
        <f t="shared" si="3"/>
        <v>7.9571759259259255E-4</v>
      </c>
      <c r="M44" s="7">
        <f t="shared" si="16"/>
        <v>272.44892939814815</v>
      </c>
      <c r="N44" s="7">
        <f t="shared" si="4"/>
        <v>467.00892939814815</v>
      </c>
      <c r="T44" s="7">
        <v>20</v>
      </c>
      <c r="Z44" s="7">
        <v>10</v>
      </c>
    </row>
    <row r="45" spans="1:29" x14ac:dyDescent="0.15">
      <c r="A45" s="57"/>
      <c r="B45" s="11" t="s">
        <v>173</v>
      </c>
      <c r="C45" s="7">
        <f t="shared" ref="C45" si="19">SUM(C35:C44)</f>
        <v>1556</v>
      </c>
      <c r="D45" s="7">
        <f>SUM(D35:D44)</f>
        <v>675850</v>
      </c>
      <c r="E45" s="7">
        <f>SUM(E35:E44)</f>
        <v>818400</v>
      </c>
      <c r="F45" s="7">
        <f>SUM(F35:F44)</f>
        <v>0</v>
      </c>
      <c r="G45" s="7">
        <f>SUM(G35:G44)</f>
        <v>0</v>
      </c>
      <c r="H45" s="7">
        <f>SUM(H35:H44)</f>
        <v>0</v>
      </c>
      <c r="I45" s="7">
        <f t="shared" ref="I45" si="20">SUM(I35:I44)</f>
        <v>2046000</v>
      </c>
      <c r="J45" s="7">
        <f t="shared" si="15"/>
        <v>2046000</v>
      </c>
      <c r="K45" s="7">
        <f t="shared" si="2"/>
        <v>388.74</v>
      </c>
      <c r="L45" s="7">
        <f t="shared" si="3"/>
        <v>7.9571759259259255E-4</v>
      </c>
      <c r="M45" s="7">
        <f t="shared" si="16"/>
        <v>537.7857349537037</v>
      </c>
      <c r="N45" s="7">
        <f t="shared" si="4"/>
        <v>926.5257349537037</v>
      </c>
    </row>
    <row r="46" spans="1:29" x14ac:dyDescent="0.15">
      <c r="A46" s="57" t="s">
        <v>386</v>
      </c>
      <c r="B46" s="7">
        <v>1</v>
      </c>
      <c r="C46" s="7">
        <v>8</v>
      </c>
      <c r="D46" s="7">
        <v>1337</v>
      </c>
      <c r="E46" s="7">
        <v>3000</v>
      </c>
      <c r="F46" s="7">
        <v>150</v>
      </c>
      <c r="G46" s="7">
        <v>800</v>
      </c>
      <c r="H46" s="7">
        <v>200</v>
      </c>
      <c r="I46" s="7">
        <v>3500</v>
      </c>
      <c r="J46" s="7">
        <f t="shared" si="15"/>
        <v>3500</v>
      </c>
      <c r="K46" s="7">
        <f t="shared" si="2"/>
        <v>0.875</v>
      </c>
      <c r="L46" s="7">
        <f t="shared" si="3"/>
        <v>2.7777777777777779E-3</v>
      </c>
      <c r="M46" s="7">
        <f t="shared" si="16"/>
        <v>3.713888888888889</v>
      </c>
      <c r="N46" s="7">
        <f t="shared" si="4"/>
        <v>4.5888888888888886</v>
      </c>
      <c r="T46" s="7">
        <v>4</v>
      </c>
      <c r="AA46" s="7">
        <v>2</v>
      </c>
      <c r="AB46" s="7">
        <v>2</v>
      </c>
      <c r="AC46" s="7">
        <v>1</v>
      </c>
    </row>
    <row r="47" spans="1:29" x14ac:dyDescent="0.15">
      <c r="A47" s="57"/>
      <c r="B47" s="7">
        <v>2</v>
      </c>
      <c r="C47" s="7">
        <v>14</v>
      </c>
      <c r="D47" s="7">
        <v>2707</v>
      </c>
      <c r="E47" s="7">
        <f t="shared" ref="E47:E55" si="21">E46*2</f>
        <v>6000</v>
      </c>
      <c r="F47" s="7">
        <f t="shared" ref="F47:F55" si="22">F46*2</f>
        <v>300</v>
      </c>
      <c r="G47" s="7">
        <f t="shared" ref="G47:G55" si="23">G46*2</f>
        <v>1600</v>
      </c>
      <c r="H47" s="7">
        <f t="shared" ref="H47:H55" si="24">H46*2</f>
        <v>400</v>
      </c>
      <c r="I47" s="7">
        <f t="shared" ref="I47:I55" si="25">I46*2</f>
        <v>7000</v>
      </c>
      <c r="J47" s="7">
        <f t="shared" si="15"/>
        <v>7000</v>
      </c>
      <c r="K47" s="7">
        <f t="shared" si="2"/>
        <v>1.75</v>
      </c>
      <c r="L47" s="7">
        <f t="shared" si="3"/>
        <v>2.7777777777777779E-3</v>
      </c>
      <c r="M47" s="7">
        <f t="shared" si="16"/>
        <v>7.5194444444444448</v>
      </c>
      <c r="N47" s="7">
        <f t="shared" si="4"/>
        <v>9.2694444444444457</v>
      </c>
      <c r="T47" s="7">
        <v>6</v>
      </c>
      <c r="AA47" s="7">
        <v>4</v>
      </c>
      <c r="AB47" s="7">
        <v>4</v>
      </c>
      <c r="AC47" s="7">
        <v>2</v>
      </c>
    </row>
    <row r="48" spans="1:29" x14ac:dyDescent="0.15">
      <c r="A48" s="57"/>
      <c r="B48" s="7">
        <v>3</v>
      </c>
      <c r="C48" s="7">
        <v>20</v>
      </c>
      <c r="D48" s="7">
        <v>5482</v>
      </c>
      <c r="E48" s="7">
        <f t="shared" si="21"/>
        <v>12000</v>
      </c>
      <c r="F48" s="7">
        <f t="shared" si="22"/>
        <v>600</v>
      </c>
      <c r="G48" s="7">
        <f t="shared" si="23"/>
        <v>3200</v>
      </c>
      <c r="H48" s="7">
        <f t="shared" si="24"/>
        <v>800</v>
      </c>
      <c r="I48" s="7">
        <f t="shared" si="25"/>
        <v>14000</v>
      </c>
      <c r="J48" s="7">
        <f t="shared" si="15"/>
        <v>14000</v>
      </c>
      <c r="K48" s="7">
        <f t="shared" si="2"/>
        <v>3.5</v>
      </c>
      <c r="L48" s="7">
        <f t="shared" si="3"/>
        <v>1.6666666666666668E-3</v>
      </c>
      <c r="M48" s="7">
        <f t="shared" si="16"/>
        <v>9.1366666666666667</v>
      </c>
      <c r="N48" s="7">
        <f t="shared" si="4"/>
        <v>12.636666666666667</v>
      </c>
      <c r="T48" s="7">
        <v>6</v>
      </c>
      <c r="AA48" s="7">
        <v>4</v>
      </c>
      <c r="AB48" s="7">
        <v>6</v>
      </c>
      <c r="AC48" s="7">
        <v>3</v>
      </c>
    </row>
    <row r="49" spans="1:29" x14ac:dyDescent="0.15">
      <c r="A49" s="57"/>
      <c r="B49" s="7">
        <v>4</v>
      </c>
      <c r="C49" s="7">
        <v>35</v>
      </c>
      <c r="D49" s="7">
        <v>11102</v>
      </c>
      <c r="E49" s="7">
        <f t="shared" si="21"/>
        <v>24000</v>
      </c>
      <c r="F49" s="7">
        <f t="shared" si="22"/>
        <v>1200</v>
      </c>
      <c r="G49" s="7">
        <f t="shared" si="23"/>
        <v>6400</v>
      </c>
      <c r="H49" s="7">
        <f t="shared" si="24"/>
        <v>1600</v>
      </c>
      <c r="I49" s="7">
        <f t="shared" si="25"/>
        <v>28000</v>
      </c>
      <c r="J49" s="7">
        <f t="shared" si="15"/>
        <v>28000</v>
      </c>
      <c r="K49" s="7">
        <f t="shared" si="2"/>
        <v>7</v>
      </c>
      <c r="L49" s="7">
        <f t="shared" si="3"/>
        <v>1.3888888888888889E-3</v>
      </c>
      <c r="M49" s="7">
        <f t="shared" si="16"/>
        <v>15.419444444444444</v>
      </c>
      <c r="N49" s="7">
        <f t="shared" si="4"/>
        <v>22.419444444444444</v>
      </c>
      <c r="T49" s="7">
        <v>8</v>
      </c>
      <c r="AA49" s="7">
        <v>4</v>
      </c>
      <c r="AB49" s="7">
        <v>8</v>
      </c>
      <c r="AC49" s="7">
        <v>4</v>
      </c>
    </row>
    <row r="50" spans="1:29" x14ac:dyDescent="0.15">
      <c r="A50" s="57"/>
      <c r="B50" s="7">
        <v>5</v>
      </c>
      <c r="C50" s="7">
        <v>69</v>
      </c>
      <c r="D50" s="7">
        <v>22481</v>
      </c>
      <c r="E50" s="7">
        <f t="shared" si="21"/>
        <v>48000</v>
      </c>
      <c r="F50" s="7">
        <f t="shared" si="22"/>
        <v>2400</v>
      </c>
      <c r="G50" s="7">
        <f t="shared" si="23"/>
        <v>12800</v>
      </c>
      <c r="H50" s="7">
        <f t="shared" si="24"/>
        <v>3200</v>
      </c>
      <c r="I50" s="7">
        <f t="shared" si="25"/>
        <v>56000</v>
      </c>
      <c r="J50" s="7">
        <f t="shared" si="15"/>
        <v>56000</v>
      </c>
      <c r="K50" s="7">
        <f t="shared" si="2"/>
        <v>14</v>
      </c>
      <c r="L50" s="7">
        <f t="shared" si="3"/>
        <v>1.3888888888888889E-3</v>
      </c>
      <c r="M50" s="7">
        <f t="shared" si="16"/>
        <v>31.223611111111111</v>
      </c>
      <c r="N50" s="7">
        <f t="shared" si="4"/>
        <v>45.223611111111111</v>
      </c>
      <c r="T50" s="7">
        <v>10</v>
      </c>
      <c r="AA50" s="7">
        <v>4</v>
      </c>
      <c r="AB50" s="7">
        <v>10</v>
      </c>
      <c r="AC50" s="7">
        <v>5</v>
      </c>
    </row>
    <row r="51" spans="1:29" x14ac:dyDescent="0.15">
      <c r="A51" s="57"/>
      <c r="B51" s="7">
        <v>6</v>
      </c>
      <c r="C51" s="7">
        <v>125</v>
      </c>
      <c r="D51" s="7">
        <v>45525</v>
      </c>
      <c r="E51" s="7">
        <f t="shared" si="21"/>
        <v>96000</v>
      </c>
      <c r="F51" s="7">
        <f t="shared" si="22"/>
        <v>4800</v>
      </c>
      <c r="G51" s="7">
        <f t="shared" si="23"/>
        <v>25600</v>
      </c>
      <c r="H51" s="7">
        <f t="shared" si="24"/>
        <v>6400</v>
      </c>
      <c r="I51" s="7">
        <f t="shared" si="25"/>
        <v>112000</v>
      </c>
      <c r="J51" s="7">
        <f t="shared" si="15"/>
        <v>112000</v>
      </c>
      <c r="K51" s="7">
        <f t="shared" si="2"/>
        <v>24.64</v>
      </c>
      <c r="L51" s="7">
        <f t="shared" si="3"/>
        <v>1.2037037037037038E-3</v>
      </c>
      <c r="M51" s="7">
        <f t="shared" si="16"/>
        <v>54.798611111111114</v>
      </c>
      <c r="N51" s="7">
        <f t="shared" si="4"/>
        <v>79.438611111111115</v>
      </c>
      <c r="T51" s="7">
        <v>12</v>
      </c>
      <c r="AA51" s="7">
        <v>4</v>
      </c>
      <c r="AB51" s="7">
        <v>12</v>
      </c>
      <c r="AC51" s="7">
        <v>6</v>
      </c>
    </row>
    <row r="52" spans="1:29" x14ac:dyDescent="0.15">
      <c r="A52" s="57"/>
      <c r="B52" s="7">
        <v>7</v>
      </c>
      <c r="C52" s="7">
        <v>268</v>
      </c>
      <c r="D52" s="7">
        <v>92189</v>
      </c>
      <c r="E52" s="7">
        <f t="shared" si="21"/>
        <v>192000</v>
      </c>
      <c r="F52" s="7">
        <f t="shared" si="22"/>
        <v>9600</v>
      </c>
      <c r="G52" s="7">
        <f t="shared" si="23"/>
        <v>51200</v>
      </c>
      <c r="H52" s="7">
        <f t="shared" si="24"/>
        <v>12800</v>
      </c>
      <c r="I52" s="7">
        <f t="shared" si="25"/>
        <v>224000</v>
      </c>
      <c r="J52" s="7">
        <f t="shared" si="15"/>
        <v>224000</v>
      </c>
      <c r="K52" s="7">
        <f t="shared" si="2"/>
        <v>49.28</v>
      </c>
      <c r="L52" s="7">
        <f t="shared" si="3"/>
        <v>9.7222222222222219E-4</v>
      </c>
      <c r="M52" s="7">
        <f t="shared" si="16"/>
        <v>89.628194444444446</v>
      </c>
      <c r="N52" s="7">
        <f t="shared" si="4"/>
        <v>138.90819444444446</v>
      </c>
      <c r="T52" s="7">
        <v>14</v>
      </c>
      <c r="AA52" s="7">
        <v>4</v>
      </c>
      <c r="AB52" s="7">
        <v>14</v>
      </c>
      <c r="AC52" s="7">
        <v>7</v>
      </c>
    </row>
    <row r="53" spans="1:29" x14ac:dyDescent="0.15">
      <c r="A53" s="57"/>
      <c r="B53" s="7">
        <v>8</v>
      </c>
      <c r="C53" s="7">
        <v>456</v>
      </c>
      <c r="D53" s="7">
        <v>186683</v>
      </c>
      <c r="E53" s="7">
        <f t="shared" si="21"/>
        <v>384000</v>
      </c>
      <c r="F53" s="7">
        <f t="shared" si="22"/>
        <v>19200</v>
      </c>
      <c r="G53" s="7">
        <f t="shared" si="23"/>
        <v>102400</v>
      </c>
      <c r="H53" s="7">
        <f t="shared" si="24"/>
        <v>25600</v>
      </c>
      <c r="I53" s="7">
        <f t="shared" si="25"/>
        <v>448000</v>
      </c>
      <c r="J53" s="7">
        <f t="shared" si="15"/>
        <v>448000</v>
      </c>
      <c r="K53" s="7">
        <f t="shared" si="2"/>
        <v>85.12</v>
      </c>
      <c r="L53" s="7">
        <f t="shared" si="3"/>
        <v>9.7222222222222219E-4</v>
      </c>
      <c r="M53" s="7">
        <f t="shared" si="16"/>
        <v>181.4973611111111</v>
      </c>
      <c r="N53" s="7">
        <f t="shared" si="4"/>
        <v>266.61736111111111</v>
      </c>
      <c r="T53" s="7">
        <v>16</v>
      </c>
      <c r="AA53" s="7">
        <v>4</v>
      </c>
      <c r="AB53" s="7">
        <v>16</v>
      </c>
      <c r="AC53" s="7">
        <v>8</v>
      </c>
    </row>
    <row r="54" spans="1:29" x14ac:dyDescent="0.15">
      <c r="A54" s="57"/>
      <c r="B54" s="7">
        <v>9</v>
      </c>
      <c r="C54" s="7">
        <v>859</v>
      </c>
      <c r="D54" s="7">
        <v>378034</v>
      </c>
      <c r="E54" s="7">
        <f t="shared" si="21"/>
        <v>768000</v>
      </c>
      <c r="F54" s="7">
        <f t="shared" si="22"/>
        <v>38400</v>
      </c>
      <c r="G54" s="7">
        <f t="shared" si="23"/>
        <v>204800</v>
      </c>
      <c r="H54" s="7">
        <f t="shared" si="24"/>
        <v>51200</v>
      </c>
      <c r="I54" s="7">
        <f t="shared" si="25"/>
        <v>896000</v>
      </c>
      <c r="J54" s="7">
        <f t="shared" si="15"/>
        <v>896000</v>
      </c>
      <c r="K54" s="7">
        <f t="shared" si="2"/>
        <v>170.24</v>
      </c>
      <c r="L54" s="7">
        <f t="shared" si="3"/>
        <v>7.9571759259259255E-4</v>
      </c>
      <c r="M54" s="7">
        <f t="shared" si="16"/>
        <v>300.80830439814815</v>
      </c>
      <c r="N54" s="7">
        <f t="shared" si="4"/>
        <v>471.04830439814816</v>
      </c>
      <c r="T54" s="7">
        <v>18</v>
      </c>
      <c r="AA54" s="7">
        <v>4</v>
      </c>
      <c r="AB54" s="7">
        <v>18</v>
      </c>
      <c r="AC54" s="7">
        <v>9</v>
      </c>
    </row>
    <row r="55" spans="1:29" x14ac:dyDescent="0.15">
      <c r="A55" s="57"/>
      <c r="B55" s="7">
        <v>10</v>
      </c>
      <c r="C55" s="7">
        <v>1827</v>
      </c>
      <c r="D55" s="7">
        <v>765520</v>
      </c>
      <c r="E55" s="7">
        <f t="shared" si="21"/>
        <v>1536000</v>
      </c>
      <c r="F55" s="7">
        <f t="shared" si="22"/>
        <v>76800</v>
      </c>
      <c r="G55" s="7">
        <f t="shared" si="23"/>
        <v>409600</v>
      </c>
      <c r="H55" s="7">
        <f t="shared" si="24"/>
        <v>102400</v>
      </c>
      <c r="I55" s="7">
        <f t="shared" si="25"/>
        <v>1792000</v>
      </c>
      <c r="J55" s="7">
        <f t="shared" si="15"/>
        <v>1792000</v>
      </c>
      <c r="K55" s="7">
        <f t="shared" si="2"/>
        <v>340.48</v>
      </c>
      <c r="L55" s="7">
        <f t="shared" si="3"/>
        <v>7.9571759259259255E-4</v>
      </c>
      <c r="M55" s="7">
        <f t="shared" si="16"/>
        <v>609.13773148148141</v>
      </c>
      <c r="N55" s="7">
        <f t="shared" si="4"/>
        <v>949.61773148148143</v>
      </c>
      <c r="T55" s="7">
        <v>20</v>
      </c>
      <c r="AA55" s="7">
        <v>4</v>
      </c>
      <c r="AB55" s="7">
        <v>20</v>
      </c>
      <c r="AC55" s="7">
        <v>10</v>
      </c>
    </row>
    <row r="56" spans="1:29" x14ac:dyDescent="0.15">
      <c r="A56" s="57"/>
      <c r="B56" s="11" t="s">
        <v>173</v>
      </c>
      <c r="C56" s="7">
        <f t="shared" ref="C56" si="26">SUM(C46:C55)</f>
        <v>3681</v>
      </c>
      <c r="D56" s="7">
        <f>SUM(D46:D55)</f>
        <v>1511060</v>
      </c>
      <c r="E56" s="7">
        <f>SUM(E46:E55)</f>
        <v>3069000</v>
      </c>
      <c r="F56" s="7">
        <f>SUM(F46:F55)</f>
        <v>153450</v>
      </c>
      <c r="G56" s="7">
        <f>SUM(G46:G55)</f>
        <v>818400</v>
      </c>
      <c r="H56" s="7">
        <f>SUM(H46:H55)</f>
        <v>204600</v>
      </c>
      <c r="I56" s="7">
        <f t="shared" ref="I56" si="27">SUM(I46:I55)</f>
        <v>3580500</v>
      </c>
      <c r="J56" s="7">
        <f t="shared" si="15"/>
        <v>3580500</v>
      </c>
      <c r="K56" s="7">
        <f t="shared" si="2"/>
        <v>680.29500000000007</v>
      </c>
      <c r="L56" s="7">
        <f t="shared" si="3"/>
        <v>7.9571759259259255E-4</v>
      </c>
      <c r="M56" s="7">
        <f t="shared" si="16"/>
        <v>1202.3770254629628</v>
      </c>
      <c r="N56" s="7">
        <f t="shared" si="4"/>
        <v>1882.6720254629629</v>
      </c>
    </row>
    <row r="57" spans="1:29" x14ac:dyDescent="0.15">
      <c r="A57" s="57" t="s">
        <v>387</v>
      </c>
      <c r="B57" s="7">
        <v>1</v>
      </c>
      <c r="C57" s="7">
        <v>5</v>
      </c>
      <c r="D57" s="7">
        <v>420</v>
      </c>
      <c r="G57" s="7">
        <v>300</v>
      </c>
      <c r="I57" s="7">
        <v>2000</v>
      </c>
      <c r="J57" s="7">
        <f t="shared" si="15"/>
        <v>2000</v>
      </c>
      <c r="K57" s="7">
        <f t="shared" si="2"/>
        <v>0.5</v>
      </c>
      <c r="L57" s="7">
        <f t="shared" si="3"/>
        <v>5.5555555555555558E-3</v>
      </c>
      <c r="M57" s="7">
        <f t="shared" si="16"/>
        <v>2.3333333333333335</v>
      </c>
      <c r="N57" s="7">
        <f t="shared" si="4"/>
        <v>2.8333333333333335</v>
      </c>
      <c r="T57" s="7">
        <v>6</v>
      </c>
    </row>
    <row r="58" spans="1:29" x14ac:dyDescent="0.15">
      <c r="A58" s="57"/>
      <c r="B58" s="7">
        <v>2</v>
      </c>
      <c r="C58" s="7">
        <v>7</v>
      </c>
      <c r="D58" s="7">
        <v>850</v>
      </c>
      <c r="G58" s="7">
        <f t="shared" ref="G58:G66" si="28">G57*2</f>
        <v>600</v>
      </c>
      <c r="I58" s="7">
        <f t="shared" ref="I58:I66" si="29">I57*2</f>
        <v>4000</v>
      </c>
      <c r="J58" s="7">
        <f t="shared" si="15"/>
        <v>4000</v>
      </c>
      <c r="K58" s="7">
        <f t="shared" si="2"/>
        <v>1</v>
      </c>
      <c r="L58" s="7">
        <f t="shared" si="3"/>
        <v>5.5555555555555558E-3</v>
      </c>
      <c r="M58" s="7">
        <f t="shared" si="16"/>
        <v>4.7222222222222223</v>
      </c>
      <c r="N58" s="7">
        <f t="shared" si="4"/>
        <v>5.7222222222222223</v>
      </c>
      <c r="T58" s="7">
        <v>6</v>
      </c>
    </row>
    <row r="59" spans="1:29" x14ac:dyDescent="0.15">
      <c r="A59" s="57"/>
      <c r="B59" s="7">
        <v>3</v>
      </c>
      <c r="C59" s="7">
        <v>11</v>
      </c>
      <c r="D59" s="7">
        <v>1722</v>
      </c>
      <c r="G59" s="7">
        <f t="shared" si="28"/>
        <v>1200</v>
      </c>
      <c r="I59" s="7">
        <f t="shared" si="29"/>
        <v>8000</v>
      </c>
      <c r="J59" s="7">
        <f t="shared" si="15"/>
        <v>8000</v>
      </c>
      <c r="K59" s="7">
        <f t="shared" si="2"/>
        <v>2</v>
      </c>
      <c r="L59" s="7">
        <f t="shared" si="3"/>
        <v>2.7777777777777779E-3</v>
      </c>
      <c r="M59" s="7">
        <f t="shared" si="16"/>
        <v>4.7833333333333332</v>
      </c>
      <c r="N59" s="7">
        <f t="shared" si="4"/>
        <v>6.7833333333333332</v>
      </c>
      <c r="T59" s="7">
        <v>6</v>
      </c>
    </row>
    <row r="60" spans="1:29" x14ac:dyDescent="0.15">
      <c r="A60" s="57"/>
      <c r="B60" s="7">
        <v>4</v>
      </c>
      <c r="C60" s="7">
        <v>19</v>
      </c>
      <c r="D60" s="7">
        <v>3487</v>
      </c>
      <c r="G60" s="7">
        <f t="shared" si="28"/>
        <v>2400</v>
      </c>
      <c r="I60" s="7">
        <f t="shared" si="29"/>
        <v>16000</v>
      </c>
      <c r="J60" s="7">
        <f t="shared" si="15"/>
        <v>16000</v>
      </c>
      <c r="K60" s="7">
        <f t="shared" si="2"/>
        <v>4</v>
      </c>
      <c r="L60" s="7">
        <f t="shared" si="3"/>
        <v>2.7777777777777779E-3</v>
      </c>
      <c r="M60" s="7">
        <f t="shared" si="16"/>
        <v>9.6861111111111118</v>
      </c>
      <c r="N60" s="7">
        <f t="shared" si="4"/>
        <v>13.686111111111112</v>
      </c>
      <c r="T60" s="7">
        <v>8</v>
      </c>
    </row>
    <row r="61" spans="1:29" x14ac:dyDescent="0.15">
      <c r="A61" s="57"/>
      <c r="B61" s="7">
        <v>5</v>
      </c>
      <c r="C61" s="7">
        <v>33</v>
      </c>
      <c r="D61" s="7">
        <v>7062</v>
      </c>
      <c r="G61" s="7">
        <f t="shared" si="28"/>
        <v>4800</v>
      </c>
      <c r="I61" s="7">
        <f t="shared" si="29"/>
        <v>32000</v>
      </c>
      <c r="J61" s="7">
        <f t="shared" si="15"/>
        <v>32000</v>
      </c>
      <c r="K61" s="7">
        <f t="shared" si="2"/>
        <v>8</v>
      </c>
      <c r="L61" s="7">
        <f t="shared" si="3"/>
        <v>1.6666666666666668E-3</v>
      </c>
      <c r="M61" s="7">
        <f t="shared" si="16"/>
        <v>11.770000000000001</v>
      </c>
      <c r="N61" s="7">
        <f t="shared" si="4"/>
        <v>19.770000000000003</v>
      </c>
      <c r="T61" s="7">
        <v>10</v>
      </c>
    </row>
    <row r="62" spans="1:29" x14ac:dyDescent="0.15">
      <c r="A62" s="57"/>
      <c r="B62" s="7">
        <v>6</v>
      </c>
      <c r="C62" s="7">
        <v>49</v>
      </c>
      <c r="D62" s="7">
        <v>14301</v>
      </c>
      <c r="G62" s="7">
        <f t="shared" si="28"/>
        <v>9600</v>
      </c>
      <c r="I62" s="7">
        <f t="shared" si="29"/>
        <v>64000</v>
      </c>
      <c r="J62" s="7">
        <f t="shared" si="15"/>
        <v>64000</v>
      </c>
      <c r="K62" s="7">
        <f t="shared" si="2"/>
        <v>16</v>
      </c>
      <c r="L62" s="7">
        <f t="shared" si="3"/>
        <v>1.3888888888888889E-3</v>
      </c>
      <c r="M62" s="7">
        <f t="shared" si="16"/>
        <v>19.862500000000001</v>
      </c>
      <c r="N62" s="7">
        <f t="shared" si="4"/>
        <v>35.862499999999997</v>
      </c>
      <c r="T62" s="7">
        <v>12</v>
      </c>
    </row>
    <row r="63" spans="1:29" x14ac:dyDescent="0.15">
      <c r="A63" s="57"/>
      <c r="B63" s="7">
        <v>7</v>
      </c>
      <c r="C63" s="7">
        <v>93</v>
      </c>
      <c r="D63" s="7">
        <v>28960</v>
      </c>
      <c r="G63" s="7">
        <f t="shared" si="28"/>
        <v>19200</v>
      </c>
      <c r="I63" s="7">
        <f t="shared" si="29"/>
        <v>128000</v>
      </c>
      <c r="J63" s="7">
        <f t="shared" si="15"/>
        <v>128000</v>
      </c>
      <c r="K63" s="7">
        <f t="shared" si="2"/>
        <v>28.16</v>
      </c>
      <c r="L63" s="7">
        <f t="shared" si="3"/>
        <v>1.2037037037037038E-3</v>
      </c>
      <c r="M63" s="7">
        <f t="shared" si="16"/>
        <v>34.859259259259261</v>
      </c>
      <c r="N63" s="7">
        <f t="shared" si="4"/>
        <v>63.019259259259258</v>
      </c>
      <c r="T63" s="7">
        <v>14</v>
      </c>
    </row>
    <row r="64" spans="1:29" x14ac:dyDescent="0.15">
      <c r="A64" s="57"/>
      <c r="B64" s="7">
        <v>8</v>
      </c>
      <c r="C64" s="7">
        <v>168</v>
      </c>
      <c r="D64" s="7">
        <v>58644</v>
      </c>
      <c r="G64" s="7">
        <f t="shared" si="28"/>
        <v>38400</v>
      </c>
      <c r="I64" s="7">
        <f t="shared" si="29"/>
        <v>256000</v>
      </c>
      <c r="J64" s="7">
        <f t="shared" si="15"/>
        <v>256000</v>
      </c>
      <c r="K64" s="7">
        <f t="shared" si="2"/>
        <v>48.64</v>
      </c>
      <c r="L64" s="7">
        <f t="shared" si="3"/>
        <v>1.0995370370370371E-3</v>
      </c>
      <c r="M64" s="7">
        <f t="shared" si="16"/>
        <v>64.481250000000003</v>
      </c>
      <c r="N64" s="7">
        <f t="shared" si="4"/>
        <v>113.12125</v>
      </c>
      <c r="T64" s="7">
        <v>16</v>
      </c>
    </row>
    <row r="65" spans="1:30" x14ac:dyDescent="0.15">
      <c r="A65" s="57"/>
      <c r="B65" s="7">
        <v>9</v>
      </c>
      <c r="C65" s="7">
        <v>348</v>
      </c>
      <c r="D65" s="7">
        <v>118754</v>
      </c>
      <c r="G65" s="7">
        <f t="shared" si="28"/>
        <v>76800</v>
      </c>
      <c r="I65" s="7">
        <f t="shared" si="29"/>
        <v>512000</v>
      </c>
      <c r="J65" s="7">
        <f t="shared" si="15"/>
        <v>512000</v>
      </c>
      <c r="K65" s="7">
        <f t="shared" si="2"/>
        <v>97.28</v>
      </c>
      <c r="L65" s="7">
        <f t="shared" si="3"/>
        <v>9.7222222222222219E-4</v>
      </c>
      <c r="M65" s="7">
        <f t="shared" si="16"/>
        <v>115.45527777777778</v>
      </c>
      <c r="N65" s="7">
        <f t="shared" si="4"/>
        <v>212.73527777777778</v>
      </c>
      <c r="T65" s="7">
        <v>18</v>
      </c>
    </row>
    <row r="66" spans="1:30" x14ac:dyDescent="0.15">
      <c r="A66" s="57"/>
      <c r="B66" s="7">
        <v>10</v>
      </c>
      <c r="C66" s="7">
        <v>658</v>
      </c>
      <c r="D66" s="7">
        <v>240477</v>
      </c>
      <c r="G66" s="7">
        <f t="shared" si="28"/>
        <v>153600</v>
      </c>
      <c r="I66" s="7">
        <f t="shared" si="29"/>
        <v>1024000</v>
      </c>
      <c r="J66" s="7">
        <f t="shared" ref="J66:J97" si="30">SUM(I66:I66)</f>
        <v>1024000</v>
      </c>
      <c r="K66" s="7">
        <f t="shared" si="2"/>
        <v>194.56</v>
      </c>
      <c r="L66" s="7">
        <f t="shared" si="3"/>
        <v>7.9571759259259255E-4</v>
      </c>
      <c r="M66" s="7">
        <f t="shared" ref="M66:M97" si="31">D66*L66</f>
        <v>191.35177951388889</v>
      </c>
      <c r="N66" s="7">
        <f t="shared" si="4"/>
        <v>385.91177951388886</v>
      </c>
      <c r="T66" s="7">
        <v>20</v>
      </c>
    </row>
    <row r="67" spans="1:30" x14ac:dyDescent="0.15">
      <c r="A67" s="57"/>
      <c r="B67" s="11" t="s">
        <v>173</v>
      </c>
      <c r="C67" s="7">
        <f t="shared" ref="C67" si="32">SUM(C57:C66)</f>
        <v>1391</v>
      </c>
      <c r="D67" s="7">
        <f>SUM(D57:D66)</f>
        <v>474677</v>
      </c>
      <c r="E67" s="7">
        <f>SUM(E57:E66)</f>
        <v>0</v>
      </c>
      <c r="F67" s="7">
        <f>SUM(F57:F66)</f>
        <v>0</v>
      </c>
      <c r="G67" s="7">
        <f>SUM(G57:G66)</f>
        <v>306900</v>
      </c>
      <c r="H67" s="7">
        <f>SUM(H57:H66)</f>
        <v>0</v>
      </c>
      <c r="I67" s="7">
        <f t="shared" ref="I67" si="33">SUM(I57:I66)</f>
        <v>2046000</v>
      </c>
      <c r="J67" s="7">
        <f t="shared" si="30"/>
        <v>2046000</v>
      </c>
      <c r="K67" s="7">
        <f t="shared" ref="K67:K130" si="34">IF(J67&gt;$P$14,$R$15,IF(J67&gt;$P$13,$R$14,$R$13))*J67</f>
        <v>388.74</v>
      </c>
      <c r="L67" s="7">
        <f t="shared" ref="L67:L130" si="35">IF(D67&gt;$P$10,$R$11,IF(D67&gt;$P$9,$R$10,IF(D67&gt;$P$8,$R$9,IF(D67&gt;$P$7,$R$8,IF(D67&gt;$P$6,$R$7,IF(D67&gt;$P$5,$R$6,IF(D67&gt;$P$4,$R$5,IF(D67&gt;$P$3,$R$4,IF(D67&gt;$P$2,$R$3,$R$2)))))))))</f>
        <v>7.9571759259259255E-4</v>
      </c>
      <c r="M67" s="7">
        <f t="shared" si="31"/>
        <v>377.70883969907408</v>
      </c>
      <c r="N67" s="7">
        <f t="shared" ref="N67:N130" si="36">K67+M67</f>
        <v>766.44883969907414</v>
      </c>
    </row>
    <row r="68" spans="1:30" x14ac:dyDescent="0.15">
      <c r="A68" s="57" t="s">
        <v>328</v>
      </c>
      <c r="B68" s="7">
        <v>1</v>
      </c>
      <c r="C68" s="7">
        <v>9</v>
      </c>
      <c r="D68" s="7">
        <v>1776</v>
      </c>
      <c r="G68" s="7">
        <v>600</v>
      </c>
      <c r="I68" s="7">
        <v>3000</v>
      </c>
      <c r="J68" s="7">
        <f t="shared" si="30"/>
        <v>3000</v>
      </c>
      <c r="K68" s="7">
        <f t="shared" si="34"/>
        <v>0.75</v>
      </c>
      <c r="L68" s="7">
        <f t="shared" si="35"/>
        <v>2.7777777777777779E-3</v>
      </c>
      <c r="M68" s="7">
        <f t="shared" si="31"/>
        <v>4.9333333333333336</v>
      </c>
      <c r="N68" s="7">
        <f t="shared" si="36"/>
        <v>5.6833333333333336</v>
      </c>
      <c r="T68" s="7">
        <v>8</v>
      </c>
    </row>
    <row r="69" spans="1:30" x14ac:dyDescent="0.15">
      <c r="A69" s="57"/>
      <c r="B69" s="7">
        <v>2</v>
      </c>
      <c r="C69" s="7">
        <v>12</v>
      </c>
      <c r="D69" s="7">
        <v>3596</v>
      </c>
      <c r="G69" s="7">
        <f t="shared" ref="G69:G77" si="37">G68*2</f>
        <v>1200</v>
      </c>
      <c r="I69" s="7">
        <f t="shared" ref="I69:I77" si="38">I68*2</f>
        <v>6000</v>
      </c>
      <c r="J69" s="7">
        <f t="shared" si="30"/>
        <v>6000</v>
      </c>
      <c r="K69" s="7">
        <f t="shared" si="34"/>
        <v>1.5</v>
      </c>
      <c r="L69" s="7">
        <f t="shared" si="35"/>
        <v>2.7777777777777779E-3</v>
      </c>
      <c r="M69" s="7">
        <f t="shared" si="31"/>
        <v>9.9888888888888889</v>
      </c>
      <c r="N69" s="7">
        <f t="shared" si="36"/>
        <v>11.488888888888889</v>
      </c>
      <c r="T69" s="7">
        <v>8</v>
      </c>
    </row>
    <row r="70" spans="1:30" x14ac:dyDescent="0.15">
      <c r="A70" s="57"/>
      <c r="B70" s="7">
        <v>3</v>
      </c>
      <c r="C70" s="7">
        <v>17</v>
      </c>
      <c r="D70" s="7">
        <v>7282</v>
      </c>
      <c r="G70" s="7">
        <f t="shared" si="37"/>
        <v>2400</v>
      </c>
      <c r="I70" s="7">
        <f t="shared" si="38"/>
        <v>12000</v>
      </c>
      <c r="J70" s="7">
        <f t="shared" si="30"/>
        <v>12000</v>
      </c>
      <c r="K70" s="7">
        <f t="shared" si="34"/>
        <v>3</v>
      </c>
      <c r="L70" s="7">
        <f t="shared" si="35"/>
        <v>1.6666666666666668E-3</v>
      </c>
      <c r="M70" s="7">
        <f t="shared" si="31"/>
        <v>12.136666666666667</v>
      </c>
      <c r="N70" s="7">
        <f t="shared" si="36"/>
        <v>15.136666666666667</v>
      </c>
      <c r="T70" s="7">
        <v>8</v>
      </c>
    </row>
    <row r="71" spans="1:30" x14ac:dyDescent="0.15">
      <c r="A71" s="57"/>
      <c r="B71" s="7">
        <v>4</v>
      </c>
      <c r="C71" s="7">
        <v>27</v>
      </c>
      <c r="D71" s="7">
        <v>14747</v>
      </c>
      <c r="G71" s="7">
        <f t="shared" si="37"/>
        <v>4800</v>
      </c>
      <c r="I71" s="7">
        <f t="shared" si="38"/>
        <v>24000</v>
      </c>
      <c r="J71" s="7">
        <f t="shared" si="30"/>
        <v>24000</v>
      </c>
      <c r="K71" s="7">
        <f t="shared" si="34"/>
        <v>6</v>
      </c>
      <c r="L71" s="7">
        <f t="shared" si="35"/>
        <v>1.3888888888888889E-3</v>
      </c>
      <c r="M71" s="7">
        <f t="shared" si="31"/>
        <v>20.481944444444444</v>
      </c>
      <c r="N71" s="7">
        <f t="shared" si="36"/>
        <v>26.481944444444444</v>
      </c>
      <c r="T71" s="7">
        <v>8</v>
      </c>
    </row>
    <row r="72" spans="1:30" x14ac:dyDescent="0.15">
      <c r="A72" s="57"/>
      <c r="B72" s="7">
        <v>5</v>
      </c>
      <c r="C72" s="7">
        <v>68</v>
      </c>
      <c r="D72" s="7">
        <v>29863</v>
      </c>
      <c r="G72" s="7">
        <f t="shared" si="37"/>
        <v>9600</v>
      </c>
      <c r="I72" s="7">
        <f t="shared" si="38"/>
        <v>48000</v>
      </c>
      <c r="J72" s="7">
        <f t="shared" si="30"/>
        <v>48000</v>
      </c>
      <c r="K72" s="7">
        <f t="shared" si="34"/>
        <v>12</v>
      </c>
      <c r="L72" s="7">
        <f t="shared" si="35"/>
        <v>1.2037037037037038E-3</v>
      </c>
      <c r="M72" s="7">
        <f t="shared" si="31"/>
        <v>35.946203703703709</v>
      </c>
      <c r="N72" s="7">
        <f t="shared" si="36"/>
        <v>47.946203703703709</v>
      </c>
      <c r="T72" s="7">
        <v>10</v>
      </c>
    </row>
    <row r="73" spans="1:30" x14ac:dyDescent="0.15">
      <c r="A73" s="57"/>
      <c r="B73" s="7">
        <v>6</v>
      </c>
      <c r="C73" s="7">
        <v>114</v>
      </c>
      <c r="D73" s="7">
        <v>60473</v>
      </c>
      <c r="G73" s="7">
        <f t="shared" si="37"/>
        <v>19200</v>
      </c>
      <c r="I73" s="7">
        <f t="shared" si="38"/>
        <v>96000</v>
      </c>
      <c r="J73" s="7">
        <f t="shared" si="30"/>
        <v>96000</v>
      </c>
      <c r="K73" s="7">
        <f t="shared" si="34"/>
        <v>21.12</v>
      </c>
      <c r="L73" s="7">
        <f t="shared" si="35"/>
        <v>1.0995370370370371E-3</v>
      </c>
      <c r="M73" s="7">
        <f t="shared" si="31"/>
        <v>66.492303240740739</v>
      </c>
      <c r="N73" s="7">
        <f t="shared" si="36"/>
        <v>87.612303240740744</v>
      </c>
      <c r="T73" s="7">
        <v>12</v>
      </c>
    </row>
    <row r="74" spans="1:30" x14ac:dyDescent="0.15">
      <c r="A74" s="57"/>
      <c r="B74" s="7">
        <v>7</v>
      </c>
      <c r="C74" s="7">
        <v>208</v>
      </c>
      <c r="D74" s="7">
        <v>122459</v>
      </c>
      <c r="G74" s="7">
        <f t="shared" si="37"/>
        <v>38400</v>
      </c>
      <c r="I74" s="7">
        <f t="shared" si="38"/>
        <v>192000</v>
      </c>
      <c r="J74" s="7">
        <f t="shared" si="30"/>
        <v>192000</v>
      </c>
      <c r="K74" s="7">
        <f t="shared" si="34"/>
        <v>42.24</v>
      </c>
      <c r="L74" s="7">
        <f t="shared" si="35"/>
        <v>9.7222222222222219E-4</v>
      </c>
      <c r="M74" s="7">
        <f t="shared" si="31"/>
        <v>119.05736111111111</v>
      </c>
      <c r="N74" s="7">
        <f t="shared" si="36"/>
        <v>161.29736111111112</v>
      </c>
      <c r="T74" s="7">
        <v>14</v>
      </c>
    </row>
    <row r="75" spans="1:30" x14ac:dyDescent="0.15">
      <c r="A75" s="57"/>
      <c r="B75" s="7">
        <v>8</v>
      </c>
      <c r="C75" s="7">
        <v>372</v>
      </c>
      <c r="D75" s="7">
        <v>247980</v>
      </c>
      <c r="G75" s="7">
        <f t="shared" si="37"/>
        <v>76800</v>
      </c>
      <c r="I75" s="7">
        <f t="shared" si="38"/>
        <v>384000</v>
      </c>
      <c r="J75" s="7">
        <f t="shared" si="30"/>
        <v>384000</v>
      </c>
      <c r="K75" s="7">
        <f t="shared" si="34"/>
        <v>72.960000000000008</v>
      </c>
      <c r="L75" s="7">
        <f t="shared" si="35"/>
        <v>7.9571759259259255E-4</v>
      </c>
      <c r="M75" s="7">
        <f t="shared" si="31"/>
        <v>197.32204861111111</v>
      </c>
      <c r="N75" s="7">
        <f t="shared" si="36"/>
        <v>270.28204861111112</v>
      </c>
      <c r="T75" s="7">
        <v>16</v>
      </c>
    </row>
    <row r="76" spans="1:30" x14ac:dyDescent="0.15">
      <c r="A76" s="57"/>
      <c r="B76" s="7">
        <v>9</v>
      </c>
      <c r="C76" s="7">
        <v>803</v>
      </c>
      <c r="D76" s="7">
        <v>502161</v>
      </c>
      <c r="G76" s="7">
        <f t="shared" si="37"/>
        <v>153600</v>
      </c>
      <c r="I76" s="7">
        <f t="shared" si="38"/>
        <v>768000</v>
      </c>
      <c r="J76" s="7">
        <f t="shared" si="30"/>
        <v>768000</v>
      </c>
      <c r="K76" s="7">
        <f t="shared" si="34"/>
        <v>145.92000000000002</v>
      </c>
      <c r="L76" s="7">
        <f t="shared" si="35"/>
        <v>7.9571759259259255E-4</v>
      </c>
      <c r="M76" s="7">
        <f t="shared" si="31"/>
        <v>399.57834201388886</v>
      </c>
      <c r="N76" s="7">
        <f t="shared" si="36"/>
        <v>545.49834201388887</v>
      </c>
      <c r="T76" s="7">
        <v>18</v>
      </c>
    </row>
    <row r="77" spans="1:30" x14ac:dyDescent="0.15">
      <c r="A77" s="57"/>
      <c r="B77" s="7">
        <v>10</v>
      </c>
      <c r="C77" s="7">
        <v>1007</v>
      </c>
      <c r="D77" s="7">
        <v>1016876</v>
      </c>
      <c r="G77" s="7">
        <f t="shared" si="37"/>
        <v>307200</v>
      </c>
      <c r="I77" s="7">
        <f t="shared" si="38"/>
        <v>1536000</v>
      </c>
      <c r="J77" s="7">
        <f t="shared" si="30"/>
        <v>1536000</v>
      </c>
      <c r="K77" s="7">
        <f t="shared" si="34"/>
        <v>291.84000000000003</v>
      </c>
      <c r="L77" s="7">
        <f t="shared" si="35"/>
        <v>7.9571759259259255E-4</v>
      </c>
      <c r="M77" s="7">
        <f t="shared" si="31"/>
        <v>809.14612268518511</v>
      </c>
      <c r="N77" s="7">
        <f t="shared" si="36"/>
        <v>1100.9861226851851</v>
      </c>
      <c r="T77" s="7">
        <v>20</v>
      </c>
    </row>
    <row r="78" spans="1:30" x14ac:dyDescent="0.15">
      <c r="A78" s="57"/>
      <c r="B78" s="11" t="s">
        <v>173</v>
      </c>
      <c r="C78" s="7">
        <f t="shared" ref="C78" si="39">SUM(C68:C77)</f>
        <v>2637</v>
      </c>
      <c r="D78" s="7">
        <f>SUM(D68:D77)</f>
        <v>2007213</v>
      </c>
      <c r="E78" s="7">
        <f>SUM(E68:E77)</f>
        <v>0</v>
      </c>
      <c r="F78" s="7">
        <f>SUM(F68:F77)</f>
        <v>0</v>
      </c>
      <c r="G78" s="7">
        <f>SUM(G68:G77)</f>
        <v>613800</v>
      </c>
      <c r="H78" s="7">
        <f>SUM(H68:H77)</f>
        <v>0</v>
      </c>
      <c r="I78" s="7">
        <f t="shared" ref="I78" si="40">SUM(I68:I77)</f>
        <v>3069000</v>
      </c>
      <c r="J78" s="7">
        <f t="shared" si="30"/>
        <v>3069000</v>
      </c>
      <c r="K78" s="7">
        <f t="shared" si="34"/>
        <v>583.11</v>
      </c>
      <c r="L78" s="7">
        <f t="shared" si="35"/>
        <v>7.9571759259259255E-4</v>
      </c>
      <c r="M78" s="7">
        <f t="shared" si="31"/>
        <v>1597.1746961805554</v>
      </c>
      <c r="N78" s="7">
        <f t="shared" si="36"/>
        <v>2180.2846961805553</v>
      </c>
    </row>
    <row r="79" spans="1:30" x14ac:dyDescent="0.15">
      <c r="A79" s="57" t="s">
        <v>410</v>
      </c>
      <c r="B79" s="7">
        <v>1</v>
      </c>
      <c r="C79" s="7">
        <v>12</v>
      </c>
      <c r="D79" s="7">
        <v>2384</v>
      </c>
      <c r="E79" s="7">
        <v>600</v>
      </c>
      <c r="F79" s="7">
        <v>800</v>
      </c>
      <c r="H79" s="7">
        <v>500</v>
      </c>
      <c r="I79" s="7">
        <v>5000</v>
      </c>
      <c r="J79" s="7">
        <f t="shared" si="30"/>
        <v>5000</v>
      </c>
      <c r="K79" s="7">
        <f t="shared" si="34"/>
        <v>1.25</v>
      </c>
      <c r="L79" s="7">
        <f t="shared" si="35"/>
        <v>2.7777777777777779E-3</v>
      </c>
      <c r="M79" s="7">
        <f t="shared" si="31"/>
        <v>6.6222222222222227</v>
      </c>
      <c r="N79" s="7">
        <f t="shared" si="36"/>
        <v>7.8722222222222227</v>
      </c>
      <c r="T79" s="7">
        <v>8</v>
      </c>
      <c r="AD79" s="7">
        <v>4</v>
      </c>
    </row>
    <row r="80" spans="1:30" x14ac:dyDescent="0.15">
      <c r="A80" s="57"/>
      <c r="B80" s="7">
        <v>2</v>
      </c>
      <c r="C80" s="7">
        <v>16</v>
      </c>
      <c r="D80" s="7">
        <v>4827</v>
      </c>
      <c r="E80" s="7">
        <f t="shared" ref="E80:E88" si="41">E79*2</f>
        <v>1200</v>
      </c>
      <c r="F80" s="7">
        <f t="shared" ref="F80:F88" si="42">F79*2</f>
        <v>1600</v>
      </c>
      <c r="H80" s="7">
        <f t="shared" ref="H80:H88" si="43">H79*2</f>
        <v>1000</v>
      </c>
      <c r="I80" s="7">
        <f t="shared" ref="I80:I88" si="44">I79*2</f>
        <v>10000</v>
      </c>
      <c r="J80" s="7">
        <f t="shared" si="30"/>
        <v>10000</v>
      </c>
      <c r="K80" s="7">
        <f t="shared" si="34"/>
        <v>2.5</v>
      </c>
      <c r="L80" s="7">
        <f t="shared" si="35"/>
        <v>1.6666666666666668E-3</v>
      </c>
      <c r="M80" s="7">
        <f t="shared" si="31"/>
        <v>8.0449999999999999</v>
      </c>
      <c r="N80" s="7">
        <f t="shared" si="36"/>
        <v>10.545</v>
      </c>
      <c r="T80" s="7">
        <v>8</v>
      </c>
      <c r="AD80" s="7">
        <v>4</v>
      </c>
    </row>
    <row r="81" spans="1:30" x14ac:dyDescent="0.15">
      <c r="A81" s="57"/>
      <c r="B81" s="7">
        <v>3</v>
      </c>
      <c r="C81" s="7">
        <v>25</v>
      </c>
      <c r="D81" s="7">
        <v>9775</v>
      </c>
      <c r="E81" s="7">
        <f t="shared" si="41"/>
        <v>2400</v>
      </c>
      <c r="F81" s="7">
        <f t="shared" si="42"/>
        <v>3200</v>
      </c>
      <c r="H81" s="7">
        <f t="shared" si="43"/>
        <v>2000</v>
      </c>
      <c r="I81" s="7">
        <f t="shared" si="44"/>
        <v>20000</v>
      </c>
      <c r="J81" s="7">
        <f t="shared" si="30"/>
        <v>20000</v>
      </c>
      <c r="K81" s="7">
        <f t="shared" si="34"/>
        <v>5</v>
      </c>
      <c r="L81" s="7">
        <f t="shared" si="35"/>
        <v>1.3888888888888889E-3</v>
      </c>
      <c r="M81" s="7">
        <f t="shared" si="31"/>
        <v>13.576388888888889</v>
      </c>
      <c r="N81" s="7">
        <f t="shared" si="36"/>
        <v>18.576388888888889</v>
      </c>
      <c r="T81" s="7">
        <v>8</v>
      </c>
      <c r="AD81" s="7">
        <v>4</v>
      </c>
    </row>
    <row r="82" spans="1:30" x14ac:dyDescent="0.15">
      <c r="A82" s="57"/>
      <c r="B82" s="7">
        <v>4</v>
      </c>
      <c r="C82" s="7">
        <v>53</v>
      </c>
      <c r="D82" s="7">
        <v>19796</v>
      </c>
      <c r="E82" s="7">
        <f t="shared" si="41"/>
        <v>4800</v>
      </c>
      <c r="F82" s="7">
        <f t="shared" si="42"/>
        <v>6400</v>
      </c>
      <c r="H82" s="7">
        <f t="shared" si="43"/>
        <v>4000</v>
      </c>
      <c r="I82" s="7">
        <f t="shared" si="44"/>
        <v>40000</v>
      </c>
      <c r="J82" s="7">
        <f t="shared" si="30"/>
        <v>40000</v>
      </c>
      <c r="K82" s="7">
        <f t="shared" si="34"/>
        <v>10</v>
      </c>
      <c r="L82" s="7">
        <f t="shared" si="35"/>
        <v>1.3888888888888889E-3</v>
      </c>
      <c r="M82" s="7">
        <f t="shared" si="31"/>
        <v>27.494444444444447</v>
      </c>
      <c r="N82" s="7">
        <f t="shared" si="36"/>
        <v>37.494444444444447</v>
      </c>
      <c r="T82" s="7">
        <v>8</v>
      </c>
      <c r="AD82" s="7">
        <v>4</v>
      </c>
    </row>
    <row r="83" spans="1:30" x14ac:dyDescent="0.15">
      <c r="A83" s="57"/>
      <c r="B83" s="7">
        <v>5</v>
      </c>
      <c r="C83" s="7">
        <v>89</v>
      </c>
      <c r="D83" s="7">
        <v>40087</v>
      </c>
      <c r="E83" s="7">
        <f t="shared" si="41"/>
        <v>9600</v>
      </c>
      <c r="F83" s="7">
        <f t="shared" si="42"/>
        <v>12800</v>
      </c>
      <c r="H83" s="7">
        <f t="shared" si="43"/>
        <v>8000</v>
      </c>
      <c r="I83" s="7">
        <f t="shared" si="44"/>
        <v>80000</v>
      </c>
      <c r="J83" s="7">
        <f t="shared" si="30"/>
        <v>80000</v>
      </c>
      <c r="K83" s="7">
        <f t="shared" si="34"/>
        <v>20</v>
      </c>
      <c r="L83" s="7">
        <f t="shared" si="35"/>
        <v>1.2037037037037038E-3</v>
      </c>
      <c r="M83" s="7">
        <f t="shared" si="31"/>
        <v>48.252870370370374</v>
      </c>
      <c r="N83" s="7">
        <f t="shared" si="36"/>
        <v>68.252870370370374</v>
      </c>
      <c r="T83" s="7">
        <v>10</v>
      </c>
      <c r="AD83" s="7">
        <v>4</v>
      </c>
    </row>
    <row r="84" spans="1:30" x14ac:dyDescent="0.15">
      <c r="A84" s="57"/>
      <c r="B84" s="7">
        <v>6</v>
      </c>
      <c r="C84" s="7">
        <v>164</v>
      </c>
      <c r="D84" s="7">
        <v>81176</v>
      </c>
      <c r="E84" s="7">
        <f t="shared" si="41"/>
        <v>19200</v>
      </c>
      <c r="F84" s="7">
        <f t="shared" si="42"/>
        <v>25600</v>
      </c>
      <c r="H84" s="7">
        <f t="shared" si="43"/>
        <v>16000</v>
      </c>
      <c r="I84" s="7">
        <f t="shared" si="44"/>
        <v>160000</v>
      </c>
      <c r="J84" s="7">
        <f t="shared" si="30"/>
        <v>160000</v>
      </c>
      <c r="K84" s="7">
        <f t="shared" si="34"/>
        <v>35.200000000000003</v>
      </c>
      <c r="L84" s="7">
        <f t="shared" si="35"/>
        <v>1.0995370370370371E-3</v>
      </c>
      <c r="M84" s="7">
        <f t="shared" si="31"/>
        <v>89.25601851851853</v>
      </c>
      <c r="N84" s="7">
        <f t="shared" si="36"/>
        <v>124.45601851851853</v>
      </c>
      <c r="T84" s="7">
        <v>12</v>
      </c>
      <c r="AD84" s="7">
        <v>4</v>
      </c>
    </row>
    <row r="85" spans="1:30" x14ac:dyDescent="0.15">
      <c r="A85" s="57"/>
      <c r="B85" s="7">
        <v>7</v>
      </c>
      <c r="C85" s="7">
        <v>289</v>
      </c>
      <c r="D85" s="7">
        <v>164382</v>
      </c>
      <c r="E85" s="7">
        <f t="shared" si="41"/>
        <v>38400</v>
      </c>
      <c r="F85" s="7">
        <f t="shared" si="42"/>
        <v>51200</v>
      </c>
      <c r="H85" s="7">
        <f t="shared" si="43"/>
        <v>32000</v>
      </c>
      <c r="I85" s="7">
        <f t="shared" si="44"/>
        <v>320000</v>
      </c>
      <c r="J85" s="7">
        <f t="shared" si="30"/>
        <v>320000</v>
      </c>
      <c r="K85" s="7">
        <f t="shared" si="34"/>
        <v>60.800000000000004</v>
      </c>
      <c r="L85" s="7">
        <f t="shared" si="35"/>
        <v>9.7222222222222219E-4</v>
      </c>
      <c r="M85" s="7">
        <f t="shared" si="31"/>
        <v>159.81583333333333</v>
      </c>
      <c r="N85" s="7">
        <f t="shared" si="36"/>
        <v>220.61583333333334</v>
      </c>
      <c r="T85" s="7">
        <v>14</v>
      </c>
      <c r="AD85" s="7">
        <v>4</v>
      </c>
    </row>
    <row r="86" spans="1:30" x14ac:dyDescent="0.15">
      <c r="A86" s="57"/>
      <c r="B86" s="7">
        <v>8</v>
      </c>
      <c r="C86" s="7">
        <v>563</v>
      </c>
      <c r="D86" s="7">
        <v>332875</v>
      </c>
      <c r="E86" s="7">
        <f t="shared" si="41"/>
        <v>76800</v>
      </c>
      <c r="F86" s="7">
        <f t="shared" si="42"/>
        <v>102400</v>
      </c>
      <c r="H86" s="7">
        <f t="shared" si="43"/>
        <v>64000</v>
      </c>
      <c r="I86" s="7">
        <f t="shared" si="44"/>
        <v>640000</v>
      </c>
      <c r="J86" s="7">
        <f t="shared" si="30"/>
        <v>640000</v>
      </c>
      <c r="K86" s="7">
        <f t="shared" si="34"/>
        <v>121.60000000000001</v>
      </c>
      <c r="L86" s="7">
        <f t="shared" si="35"/>
        <v>7.9571759259259255E-4</v>
      </c>
      <c r="M86" s="7">
        <f t="shared" si="31"/>
        <v>264.87449363425924</v>
      </c>
      <c r="N86" s="7">
        <f t="shared" si="36"/>
        <v>386.47449363425926</v>
      </c>
      <c r="T86" s="7">
        <v>16</v>
      </c>
      <c r="AD86" s="7">
        <v>4</v>
      </c>
    </row>
    <row r="87" spans="1:30" x14ac:dyDescent="0.15">
      <c r="A87" s="57"/>
      <c r="B87" s="7">
        <v>9</v>
      </c>
      <c r="C87" s="7">
        <v>1063</v>
      </c>
      <c r="D87" s="7">
        <v>674072</v>
      </c>
      <c r="E87" s="7">
        <f t="shared" si="41"/>
        <v>153600</v>
      </c>
      <c r="F87" s="7">
        <f t="shared" si="42"/>
        <v>204800</v>
      </c>
      <c r="H87" s="7">
        <f t="shared" si="43"/>
        <v>128000</v>
      </c>
      <c r="I87" s="7">
        <f t="shared" si="44"/>
        <v>1280000</v>
      </c>
      <c r="J87" s="7">
        <f t="shared" si="30"/>
        <v>1280000</v>
      </c>
      <c r="K87" s="7">
        <f t="shared" si="34"/>
        <v>243.20000000000002</v>
      </c>
      <c r="L87" s="7">
        <f t="shared" si="35"/>
        <v>7.9571759259259255E-4</v>
      </c>
      <c r="M87" s="7">
        <f t="shared" si="31"/>
        <v>536.37094907407402</v>
      </c>
      <c r="N87" s="7">
        <f t="shared" si="36"/>
        <v>779.57094907407406</v>
      </c>
      <c r="T87" s="7">
        <v>18</v>
      </c>
      <c r="AD87" s="7">
        <v>4</v>
      </c>
    </row>
    <row r="88" spans="1:30" x14ac:dyDescent="0.15">
      <c r="A88" s="57"/>
      <c r="B88" s="7">
        <v>10</v>
      </c>
      <c r="C88" s="7">
        <v>1298</v>
      </c>
      <c r="D88" s="7">
        <v>1364996</v>
      </c>
      <c r="E88" s="7">
        <f t="shared" si="41"/>
        <v>307200</v>
      </c>
      <c r="F88" s="7">
        <f t="shared" si="42"/>
        <v>409600</v>
      </c>
      <c r="H88" s="7">
        <f t="shared" si="43"/>
        <v>256000</v>
      </c>
      <c r="I88" s="7">
        <f t="shared" si="44"/>
        <v>2560000</v>
      </c>
      <c r="J88" s="7">
        <f t="shared" si="30"/>
        <v>2560000</v>
      </c>
      <c r="K88" s="7">
        <f t="shared" si="34"/>
        <v>486.40000000000003</v>
      </c>
      <c r="L88" s="7">
        <f t="shared" si="35"/>
        <v>7.9571759259259255E-4</v>
      </c>
      <c r="M88" s="7">
        <f t="shared" si="31"/>
        <v>1086.1513310185185</v>
      </c>
      <c r="N88" s="7">
        <f t="shared" si="36"/>
        <v>1572.5513310185186</v>
      </c>
      <c r="T88" s="7">
        <v>20</v>
      </c>
      <c r="AD88" s="7">
        <v>4</v>
      </c>
    </row>
    <row r="89" spans="1:30" x14ac:dyDescent="0.15">
      <c r="A89" s="57"/>
      <c r="B89" s="11" t="s">
        <v>173</v>
      </c>
      <c r="C89" s="7">
        <f t="shared" ref="C89" si="45">SUM(C79:C88)</f>
        <v>3572</v>
      </c>
      <c r="D89" s="7">
        <f>SUM(D79:D88)</f>
        <v>2694370</v>
      </c>
      <c r="E89" s="7">
        <f>SUM(E79:E88)</f>
        <v>613800</v>
      </c>
      <c r="F89" s="7">
        <f>SUM(F79:F88)</f>
        <v>818400</v>
      </c>
      <c r="G89" s="7">
        <f>SUM(G79:G88)</f>
        <v>0</v>
      </c>
      <c r="H89" s="7">
        <f>SUM(H79:H88)</f>
        <v>511500</v>
      </c>
      <c r="I89" s="7">
        <f t="shared" ref="I89" si="46">SUM(I79:I88)</f>
        <v>5115000</v>
      </c>
      <c r="J89" s="7">
        <f t="shared" si="30"/>
        <v>5115000</v>
      </c>
      <c r="K89" s="7">
        <f t="shared" si="34"/>
        <v>971.85</v>
      </c>
      <c r="L89" s="7">
        <f t="shared" si="35"/>
        <v>7.9571759259259255E-4</v>
      </c>
      <c r="M89" s="7">
        <f t="shared" si="31"/>
        <v>2143.9576099537035</v>
      </c>
      <c r="N89" s="7">
        <f t="shared" si="36"/>
        <v>3115.8076099537034</v>
      </c>
      <c r="AD89" s="7">
        <v>4</v>
      </c>
    </row>
    <row r="90" spans="1:30" x14ac:dyDescent="0.15">
      <c r="A90" s="57" t="s">
        <v>388</v>
      </c>
      <c r="B90" s="7">
        <v>1</v>
      </c>
      <c r="C90" s="7">
        <v>11</v>
      </c>
      <c r="D90" s="7">
        <v>1776</v>
      </c>
      <c r="G90" s="7">
        <v>1500</v>
      </c>
      <c r="I90" s="7">
        <v>3600</v>
      </c>
      <c r="J90" s="7">
        <f t="shared" si="30"/>
        <v>3600</v>
      </c>
      <c r="K90" s="7">
        <f t="shared" si="34"/>
        <v>0.9</v>
      </c>
      <c r="L90" s="7">
        <f t="shared" si="35"/>
        <v>2.7777777777777779E-3</v>
      </c>
      <c r="M90" s="7">
        <f t="shared" si="31"/>
        <v>4.9333333333333336</v>
      </c>
      <c r="N90" s="7">
        <f t="shared" si="36"/>
        <v>5.8333333333333339</v>
      </c>
      <c r="T90" s="7">
        <v>12</v>
      </c>
    </row>
    <row r="91" spans="1:30" x14ac:dyDescent="0.15">
      <c r="A91" s="57"/>
      <c r="B91" s="7">
        <v>2</v>
      </c>
      <c r="C91" s="7">
        <v>15</v>
      </c>
      <c r="D91" s="7">
        <v>3596</v>
      </c>
      <c r="G91" s="7">
        <f t="shared" ref="G91:G99" si="47">G90*2</f>
        <v>3000</v>
      </c>
      <c r="I91" s="7">
        <f t="shared" ref="I91:I99" si="48">I90*2</f>
        <v>7200</v>
      </c>
      <c r="J91" s="7">
        <f t="shared" si="30"/>
        <v>7200</v>
      </c>
      <c r="K91" s="7">
        <f t="shared" si="34"/>
        <v>1.8</v>
      </c>
      <c r="L91" s="7">
        <f t="shared" si="35"/>
        <v>2.7777777777777779E-3</v>
      </c>
      <c r="M91" s="7">
        <f t="shared" si="31"/>
        <v>9.9888888888888889</v>
      </c>
      <c r="N91" s="7">
        <f t="shared" si="36"/>
        <v>11.78888888888889</v>
      </c>
      <c r="T91" s="7">
        <v>12</v>
      </c>
    </row>
    <row r="92" spans="1:30" x14ac:dyDescent="0.15">
      <c r="A92" s="57"/>
      <c r="B92" s="7">
        <v>3</v>
      </c>
      <c r="C92" s="7">
        <v>22</v>
      </c>
      <c r="D92" s="7">
        <v>7282</v>
      </c>
      <c r="G92" s="7">
        <f t="shared" si="47"/>
        <v>6000</v>
      </c>
      <c r="I92" s="7">
        <f t="shared" si="48"/>
        <v>14400</v>
      </c>
      <c r="J92" s="7">
        <f t="shared" si="30"/>
        <v>14400</v>
      </c>
      <c r="K92" s="7">
        <f t="shared" si="34"/>
        <v>3.6</v>
      </c>
      <c r="L92" s="7">
        <f t="shared" si="35"/>
        <v>1.6666666666666668E-3</v>
      </c>
      <c r="M92" s="7">
        <f t="shared" si="31"/>
        <v>12.136666666666667</v>
      </c>
      <c r="N92" s="7">
        <f t="shared" si="36"/>
        <v>15.736666666666666</v>
      </c>
      <c r="T92" s="7">
        <v>12</v>
      </c>
    </row>
    <row r="93" spans="1:30" x14ac:dyDescent="0.15">
      <c r="A93" s="57"/>
      <c r="B93" s="7">
        <v>4</v>
      </c>
      <c r="C93" s="7">
        <v>32</v>
      </c>
      <c r="D93" s="7">
        <v>14747</v>
      </c>
      <c r="G93" s="7">
        <f t="shared" si="47"/>
        <v>12000</v>
      </c>
      <c r="I93" s="7">
        <f t="shared" si="48"/>
        <v>28800</v>
      </c>
      <c r="J93" s="7">
        <f t="shared" si="30"/>
        <v>28800</v>
      </c>
      <c r="K93" s="7">
        <f t="shared" si="34"/>
        <v>7.2</v>
      </c>
      <c r="L93" s="7">
        <f t="shared" si="35"/>
        <v>1.3888888888888889E-3</v>
      </c>
      <c r="M93" s="7">
        <f t="shared" si="31"/>
        <v>20.481944444444444</v>
      </c>
      <c r="N93" s="7">
        <f t="shared" si="36"/>
        <v>27.681944444444444</v>
      </c>
      <c r="T93" s="7">
        <v>12</v>
      </c>
    </row>
    <row r="94" spans="1:30" x14ac:dyDescent="0.15">
      <c r="A94" s="57"/>
      <c r="B94" s="7">
        <v>5</v>
      </c>
      <c r="C94" s="7">
        <v>69</v>
      </c>
      <c r="D94" s="7">
        <v>29863</v>
      </c>
      <c r="G94" s="7">
        <f t="shared" si="47"/>
        <v>24000</v>
      </c>
      <c r="I94" s="7">
        <f t="shared" si="48"/>
        <v>57600</v>
      </c>
      <c r="J94" s="7">
        <f t="shared" si="30"/>
        <v>57600</v>
      </c>
      <c r="K94" s="7">
        <f t="shared" si="34"/>
        <v>14.4</v>
      </c>
      <c r="L94" s="7">
        <f t="shared" si="35"/>
        <v>1.2037037037037038E-3</v>
      </c>
      <c r="M94" s="7">
        <f t="shared" si="31"/>
        <v>35.946203703703709</v>
      </c>
      <c r="N94" s="7">
        <f t="shared" si="36"/>
        <v>50.346203703703708</v>
      </c>
      <c r="T94" s="7">
        <v>12</v>
      </c>
    </row>
    <row r="95" spans="1:30" x14ac:dyDescent="0.15">
      <c r="A95" s="57"/>
      <c r="B95" s="7">
        <v>6</v>
      </c>
      <c r="C95" s="7">
        <v>133</v>
      </c>
      <c r="D95" s="7">
        <v>60473</v>
      </c>
      <c r="G95" s="7">
        <f t="shared" si="47"/>
        <v>48000</v>
      </c>
      <c r="I95" s="7">
        <f t="shared" si="48"/>
        <v>115200</v>
      </c>
      <c r="J95" s="7">
        <f t="shared" si="30"/>
        <v>115200</v>
      </c>
      <c r="K95" s="7">
        <f t="shared" si="34"/>
        <v>25.344000000000001</v>
      </c>
      <c r="L95" s="7">
        <f t="shared" si="35"/>
        <v>1.0995370370370371E-3</v>
      </c>
      <c r="M95" s="7">
        <f t="shared" si="31"/>
        <v>66.492303240740739</v>
      </c>
      <c r="N95" s="7">
        <f t="shared" si="36"/>
        <v>91.836303240740733</v>
      </c>
      <c r="T95" s="7">
        <v>12</v>
      </c>
    </row>
    <row r="96" spans="1:30" x14ac:dyDescent="0.15">
      <c r="A96" s="57"/>
      <c r="B96" s="7">
        <v>7</v>
      </c>
      <c r="C96" s="7">
        <v>242</v>
      </c>
      <c r="D96" s="7">
        <v>122459</v>
      </c>
      <c r="G96" s="7">
        <f t="shared" si="47"/>
        <v>96000</v>
      </c>
      <c r="I96" s="7">
        <f t="shared" si="48"/>
        <v>230400</v>
      </c>
      <c r="J96" s="7">
        <f t="shared" si="30"/>
        <v>230400</v>
      </c>
      <c r="K96" s="7">
        <f t="shared" si="34"/>
        <v>50.688000000000002</v>
      </c>
      <c r="L96" s="7">
        <f t="shared" si="35"/>
        <v>9.7222222222222219E-4</v>
      </c>
      <c r="M96" s="7">
        <f t="shared" si="31"/>
        <v>119.05736111111111</v>
      </c>
      <c r="N96" s="7">
        <f t="shared" si="36"/>
        <v>169.74536111111109</v>
      </c>
      <c r="T96" s="7">
        <v>14</v>
      </c>
    </row>
    <row r="97" spans="1:31" x14ac:dyDescent="0.15">
      <c r="A97" s="57"/>
      <c r="B97" s="7">
        <v>8</v>
      </c>
      <c r="C97" s="7">
        <v>434</v>
      </c>
      <c r="D97" s="7">
        <v>247980</v>
      </c>
      <c r="G97" s="7">
        <f t="shared" si="47"/>
        <v>192000</v>
      </c>
      <c r="I97" s="7">
        <f t="shared" si="48"/>
        <v>460800</v>
      </c>
      <c r="J97" s="7">
        <f t="shared" si="30"/>
        <v>460800</v>
      </c>
      <c r="K97" s="7">
        <f t="shared" si="34"/>
        <v>87.552000000000007</v>
      </c>
      <c r="L97" s="7">
        <f t="shared" si="35"/>
        <v>7.9571759259259255E-4</v>
      </c>
      <c r="M97" s="7">
        <f t="shared" si="31"/>
        <v>197.32204861111111</v>
      </c>
      <c r="N97" s="7">
        <f t="shared" si="36"/>
        <v>284.87404861111111</v>
      </c>
      <c r="T97" s="7">
        <v>16</v>
      </c>
    </row>
    <row r="98" spans="1:31" x14ac:dyDescent="0.15">
      <c r="A98" s="57"/>
      <c r="B98" s="7">
        <v>9</v>
      </c>
      <c r="C98" s="7">
        <v>890</v>
      </c>
      <c r="D98" s="7">
        <v>502161</v>
      </c>
      <c r="G98" s="7">
        <f t="shared" si="47"/>
        <v>384000</v>
      </c>
      <c r="I98" s="7">
        <f t="shared" si="48"/>
        <v>921600</v>
      </c>
      <c r="J98" s="7">
        <f t="shared" ref="J98:J129" si="49">SUM(I98:I98)</f>
        <v>921600</v>
      </c>
      <c r="K98" s="7">
        <f t="shared" si="34"/>
        <v>175.10400000000001</v>
      </c>
      <c r="L98" s="7">
        <f t="shared" si="35"/>
        <v>7.9571759259259255E-4</v>
      </c>
      <c r="M98" s="7">
        <f t="shared" ref="M98:M129" si="50">D98*L98</f>
        <v>399.57834201388886</v>
      </c>
      <c r="N98" s="7">
        <f t="shared" si="36"/>
        <v>574.68234201388884</v>
      </c>
      <c r="T98" s="7">
        <v>18</v>
      </c>
    </row>
    <row r="99" spans="1:31" x14ac:dyDescent="0.15">
      <c r="A99" s="57"/>
      <c r="B99" s="7">
        <v>10</v>
      </c>
      <c r="C99" s="7">
        <v>1076</v>
      </c>
      <c r="D99" s="7">
        <v>1016876</v>
      </c>
      <c r="G99" s="7">
        <f t="shared" si="47"/>
        <v>768000</v>
      </c>
      <c r="I99" s="7">
        <f t="shared" si="48"/>
        <v>1843200</v>
      </c>
      <c r="J99" s="7">
        <f t="shared" si="49"/>
        <v>1843200</v>
      </c>
      <c r="K99" s="7">
        <f t="shared" si="34"/>
        <v>350.20800000000003</v>
      </c>
      <c r="L99" s="7">
        <f t="shared" si="35"/>
        <v>7.9571759259259255E-4</v>
      </c>
      <c r="M99" s="7">
        <f t="shared" si="50"/>
        <v>809.14612268518511</v>
      </c>
      <c r="N99" s="7">
        <f t="shared" si="36"/>
        <v>1159.3541226851851</v>
      </c>
      <c r="T99" s="7">
        <v>20</v>
      </c>
    </row>
    <row r="100" spans="1:31" x14ac:dyDescent="0.15">
      <c r="A100" s="57"/>
      <c r="B100" s="11" t="s">
        <v>173</v>
      </c>
      <c r="C100" s="7">
        <f t="shared" ref="C100" si="51">SUM(C90:C99)</f>
        <v>2924</v>
      </c>
      <c r="D100" s="7">
        <f>SUM(D90:D99)</f>
        <v>2007213</v>
      </c>
      <c r="E100" s="7">
        <f>SUM(E90:E99)</f>
        <v>0</v>
      </c>
      <c r="F100" s="7">
        <f>SUM(F90:F99)</f>
        <v>0</v>
      </c>
      <c r="G100" s="7">
        <f>SUM(G90:G99)</f>
        <v>1534500</v>
      </c>
      <c r="H100" s="7">
        <f>SUM(H90:H99)</f>
        <v>0</v>
      </c>
      <c r="I100" s="7">
        <f t="shared" ref="I100" si="52">SUM(I90:I99)</f>
        <v>3682800</v>
      </c>
      <c r="J100" s="7">
        <f t="shared" si="49"/>
        <v>3682800</v>
      </c>
      <c r="K100" s="7">
        <f t="shared" si="34"/>
        <v>699.73200000000008</v>
      </c>
      <c r="L100" s="7">
        <f t="shared" si="35"/>
        <v>7.9571759259259255E-4</v>
      </c>
      <c r="M100" s="7">
        <f t="shared" si="50"/>
        <v>1597.1746961805554</v>
      </c>
      <c r="N100" s="7">
        <f t="shared" si="36"/>
        <v>2296.9066961805556</v>
      </c>
    </row>
    <row r="101" spans="1:31" x14ac:dyDescent="0.15">
      <c r="A101" s="57" t="s">
        <v>329</v>
      </c>
      <c r="B101" s="7">
        <v>1</v>
      </c>
      <c r="C101" s="7">
        <v>13</v>
      </c>
      <c r="D101" s="7">
        <v>2222</v>
      </c>
      <c r="E101" s="7">
        <v>1000</v>
      </c>
      <c r="G101" s="7">
        <v>2500</v>
      </c>
      <c r="I101" s="7">
        <v>5000</v>
      </c>
      <c r="J101" s="7">
        <f t="shared" si="49"/>
        <v>5000</v>
      </c>
      <c r="K101" s="7">
        <f t="shared" si="34"/>
        <v>1.25</v>
      </c>
      <c r="L101" s="7">
        <f t="shared" si="35"/>
        <v>2.7777777777777779E-3</v>
      </c>
      <c r="M101" s="7">
        <f t="shared" si="50"/>
        <v>6.1722222222222225</v>
      </c>
      <c r="N101" s="7">
        <f t="shared" si="36"/>
        <v>7.4222222222222225</v>
      </c>
      <c r="T101" s="7">
        <v>6</v>
      </c>
      <c r="AE101" s="7">
        <v>2</v>
      </c>
    </row>
    <row r="102" spans="1:31" x14ac:dyDescent="0.15">
      <c r="A102" s="57"/>
      <c r="B102" s="7">
        <v>2</v>
      </c>
      <c r="C102" s="7">
        <v>16</v>
      </c>
      <c r="D102" s="7">
        <v>4499</v>
      </c>
      <c r="E102" s="7">
        <f t="shared" ref="E102:E110" si="53">E101*2</f>
        <v>2000</v>
      </c>
      <c r="G102" s="7">
        <f t="shared" ref="G102:G110" si="54">G101*2</f>
        <v>5000</v>
      </c>
      <c r="I102" s="7">
        <f t="shared" ref="I102:I110" si="55">I101*2</f>
        <v>10000</v>
      </c>
      <c r="J102" s="7">
        <f t="shared" si="49"/>
        <v>10000</v>
      </c>
      <c r="K102" s="7">
        <f t="shared" si="34"/>
        <v>2.5</v>
      </c>
      <c r="L102" s="7">
        <f t="shared" si="35"/>
        <v>1.6666666666666668E-3</v>
      </c>
      <c r="M102" s="7">
        <f t="shared" si="50"/>
        <v>7.498333333333334</v>
      </c>
      <c r="N102" s="7">
        <f t="shared" si="36"/>
        <v>9.9983333333333348</v>
      </c>
      <c r="T102" s="7">
        <v>6</v>
      </c>
      <c r="AE102" s="7">
        <v>4</v>
      </c>
    </row>
    <row r="103" spans="1:31" x14ac:dyDescent="0.15">
      <c r="A103" s="57"/>
      <c r="B103" s="7">
        <v>3</v>
      </c>
      <c r="C103" s="7">
        <v>23</v>
      </c>
      <c r="D103" s="7">
        <v>9111</v>
      </c>
      <c r="E103" s="7">
        <f t="shared" si="53"/>
        <v>4000</v>
      </c>
      <c r="G103" s="7">
        <f t="shared" si="54"/>
        <v>10000</v>
      </c>
      <c r="I103" s="7">
        <f t="shared" si="55"/>
        <v>20000</v>
      </c>
      <c r="J103" s="7">
        <f t="shared" si="49"/>
        <v>20000</v>
      </c>
      <c r="K103" s="7">
        <f t="shared" si="34"/>
        <v>5</v>
      </c>
      <c r="L103" s="7">
        <f t="shared" si="35"/>
        <v>1.3888888888888889E-3</v>
      </c>
      <c r="M103" s="7">
        <f t="shared" si="50"/>
        <v>12.654166666666667</v>
      </c>
      <c r="N103" s="7">
        <f t="shared" si="36"/>
        <v>17.654166666666669</v>
      </c>
      <c r="T103" s="7">
        <v>6</v>
      </c>
      <c r="AE103" s="7">
        <v>6</v>
      </c>
    </row>
    <row r="104" spans="1:31" x14ac:dyDescent="0.15">
      <c r="A104" s="57"/>
      <c r="B104" s="7">
        <v>4</v>
      </c>
      <c r="C104" s="7">
        <v>49</v>
      </c>
      <c r="D104" s="7">
        <v>18450</v>
      </c>
      <c r="E104" s="7">
        <f t="shared" si="53"/>
        <v>8000</v>
      </c>
      <c r="G104" s="7">
        <f t="shared" si="54"/>
        <v>20000</v>
      </c>
      <c r="I104" s="7">
        <f t="shared" si="55"/>
        <v>40000</v>
      </c>
      <c r="J104" s="7">
        <f t="shared" si="49"/>
        <v>40000</v>
      </c>
      <c r="K104" s="7">
        <f t="shared" si="34"/>
        <v>10</v>
      </c>
      <c r="L104" s="7">
        <f t="shared" si="35"/>
        <v>1.3888888888888889E-3</v>
      </c>
      <c r="M104" s="7">
        <f t="shared" si="50"/>
        <v>25.625</v>
      </c>
      <c r="N104" s="7">
        <f t="shared" si="36"/>
        <v>35.625</v>
      </c>
      <c r="T104" s="7">
        <v>8</v>
      </c>
      <c r="AE104" s="7">
        <v>8</v>
      </c>
    </row>
    <row r="105" spans="1:31" x14ac:dyDescent="0.15">
      <c r="A105" s="57"/>
      <c r="B105" s="7">
        <v>5</v>
      </c>
      <c r="C105" s="7">
        <v>99</v>
      </c>
      <c r="D105" s="7">
        <v>37363</v>
      </c>
      <c r="E105" s="7">
        <f t="shared" si="53"/>
        <v>16000</v>
      </c>
      <c r="G105" s="7">
        <f t="shared" si="54"/>
        <v>40000</v>
      </c>
      <c r="I105" s="7">
        <f t="shared" si="55"/>
        <v>80000</v>
      </c>
      <c r="J105" s="7">
        <f t="shared" si="49"/>
        <v>80000</v>
      </c>
      <c r="K105" s="7">
        <f t="shared" si="34"/>
        <v>20</v>
      </c>
      <c r="L105" s="7">
        <f t="shared" si="35"/>
        <v>1.2037037037037038E-3</v>
      </c>
      <c r="M105" s="7">
        <f t="shared" si="50"/>
        <v>44.973981481481488</v>
      </c>
      <c r="N105" s="7">
        <f t="shared" si="36"/>
        <v>64.973981481481488</v>
      </c>
      <c r="T105" s="7">
        <v>10</v>
      </c>
      <c r="AE105" s="7">
        <v>10</v>
      </c>
    </row>
    <row r="106" spans="1:31" x14ac:dyDescent="0.15">
      <c r="A106" s="57"/>
      <c r="B106" s="7">
        <v>6</v>
      </c>
      <c r="C106" s="7">
        <v>175</v>
      </c>
      <c r="D106" s="7">
        <v>75660</v>
      </c>
      <c r="E106" s="7">
        <f t="shared" si="53"/>
        <v>32000</v>
      </c>
      <c r="G106" s="7">
        <f t="shared" si="54"/>
        <v>80000</v>
      </c>
      <c r="I106" s="7">
        <f t="shared" si="55"/>
        <v>160000</v>
      </c>
      <c r="J106" s="7">
        <f t="shared" si="49"/>
        <v>160000</v>
      </c>
      <c r="K106" s="7">
        <f t="shared" si="34"/>
        <v>35.200000000000003</v>
      </c>
      <c r="L106" s="7">
        <f t="shared" si="35"/>
        <v>1.0995370370370371E-3</v>
      </c>
      <c r="M106" s="7">
        <f t="shared" si="50"/>
        <v>83.190972222222229</v>
      </c>
      <c r="N106" s="7">
        <f t="shared" si="36"/>
        <v>118.39097222222223</v>
      </c>
      <c r="T106" s="7">
        <v>12</v>
      </c>
      <c r="AE106" s="7">
        <v>12</v>
      </c>
    </row>
    <row r="107" spans="1:31" x14ac:dyDescent="0.15">
      <c r="A107" s="57"/>
      <c r="B107" s="7">
        <v>7</v>
      </c>
      <c r="C107" s="7">
        <v>340</v>
      </c>
      <c r="D107" s="7">
        <v>153212</v>
      </c>
      <c r="E107" s="7">
        <f t="shared" si="53"/>
        <v>64000</v>
      </c>
      <c r="G107" s="7">
        <f t="shared" si="54"/>
        <v>160000</v>
      </c>
      <c r="I107" s="7">
        <f t="shared" si="55"/>
        <v>320000</v>
      </c>
      <c r="J107" s="7">
        <f t="shared" si="49"/>
        <v>320000</v>
      </c>
      <c r="K107" s="7">
        <f t="shared" si="34"/>
        <v>60.800000000000004</v>
      </c>
      <c r="L107" s="7">
        <f t="shared" si="35"/>
        <v>9.7222222222222219E-4</v>
      </c>
      <c r="M107" s="7">
        <f t="shared" si="50"/>
        <v>148.95611111111111</v>
      </c>
      <c r="N107" s="7">
        <f t="shared" si="36"/>
        <v>209.75611111111112</v>
      </c>
      <c r="T107" s="7">
        <v>14</v>
      </c>
      <c r="AE107" s="7">
        <v>14</v>
      </c>
    </row>
    <row r="108" spans="1:31" x14ac:dyDescent="0.15">
      <c r="A108" s="57"/>
      <c r="B108" s="7">
        <v>8</v>
      </c>
      <c r="C108" s="7">
        <v>570</v>
      </c>
      <c r="D108" s="7">
        <v>310255</v>
      </c>
      <c r="E108" s="7">
        <f t="shared" si="53"/>
        <v>128000</v>
      </c>
      <c r="G108" s="7">
        <f t="shared" si="54"/>
        <v>320000</v>
      </c>
      <c r="I108" s="7">
        <f t="shared" si="55"/>
        <v>640000</v>
      </c>
      <c r="J108" s="7">
        <f t="shared" si="49"/>
        <v>640000</v>
      </c>
      <c r="K108" s="7">
        <f t="shared" si="34"/>
        <v>121.60000000000001</v>
      </c>
      <c r="L108" s="7">
        <f t="shared" si="35"/>
        <v>7.9571759259259255E-4</v>
      </c>
      <c r="M108" s="7">
        <f t="shared" si="50"/>
        <v>246.87536168981481</v>
      </c>
      <c r="N108" s="7">
        <f t="shared" si="36"/>
        <v>368.4753616898148</v>
      </c>
      <c r="T108" s="7">
        <v>16</v>
      </c>
      <c r="AE108" s="7">
        <v>16</v>
      </c>
    </row>
    <row r="109" spans="1:31" x14ac:dyDescent="0.15">
      <c r="A109" s="57"/>
      <c r="B109" s="7">
        <v>9</v>
      </c>
      <c r="C109" s="7">
        <v>1005</v>
      </c>
      <c r="D109" s="7">
        <v>628267</v>
      </c>
      <c r="E109" s="7">
        <f t="shared" si="53"/>
        <v>256000</v>
      </c>
      <c r="G109" s="7">
        <f t="shared" si="54"/>
        <v>640000</v>
      </c>
      <c r="I109" s="7">
        <f t="shared" si="55"/>
        <v>1280000</v>
      </c>
      <c r="J109" s="7">
        <f t="shared" si="49"/>
        <v>1280000</v>
      </c>
      <c r="K109" s="7">
        <f t="shared" si="34"/>
        <v>243.20000000000002</v>
      </c>
      <c r="L109" s="7">
        <f t="shared" si="35"/>
        <v>7.9571759259259255E-4</v>
      </c>
      <c r="M109" s="7">
        <f t="shared" si="50"/>
        <v>499.92310474537032</v>
      </c>
      <c r="N109" s="7">
        <f t="shared" si="36"/>
        <v>743.12310474537037</v>
      </c>
      <c r="T109" s="7">
        <v>18</v>
      </c>
      <c r="AE109" s="7">
        <v>18</v>
      </c>
    </row>
    <row r="110" spans="1:31" x14ac:dyDescent="0.15">
      <c r="A110" s="57"/>
      <c r="B110" s="7">
        <v>10</v>
      </c>
      <c r="C110" s="7">
        <v>1285</v>
      </c>
      <c r="D110" s="7">
        <v>1272240</v>
      </c>
      <c r="E110" s="7">
        <f t="shared" si="53"/>
        <v>512000</v>
      </c>
      <c r="G110" s="7">
        <f t="shared" si="54"/>
        <v>1280000</v>
      </c>
      <c r="I110" s="7">
        <f t="shared" si="55"/>
        <v>2560000</v>
      </c>
      <c r="J110" s="7">
        <f t="shared" si="49"/>
        <v>2560000</v>
      </c>
      <c r="K110" s="7">
        <f t="shared" si="34"/>
        <v>486.40000000000003</v>
      </c>
      <c r="L110" s="7">
        <f t="shared" si="35"/>
        <v>7.9571759259259255E-4</v>
      </c>
      <c r="M110" s="7">
        <f t="shared" si="50"/>
        <v>1012.34375</v>
      </c>
      <c r="N110" s="7">
        <f t="shared" si="36"/>
        <v>1498.7437500000001</v>
      </c>
      <c r="T110" s="7">
        <v>20</v>
      </c>
      <c r="AE110" s="7">
        <v>20</v>
      </c>
    </row>
    <row r="111" spans="1:31" x14ac:dyDescent="0.15">
      <c r="A111" s="57"/>
      <c r="B111" s="11" t="s">
        <v>173</v>
      </c>
      <c r="C111" s="7">
        <f t="shared" ref="C111" si="56">SUM(C101:C110)</f>
        <v>3575</v>
      </c>
      <c r="D111" s="7">
        <f>SUM(D101:D110)</f>
        <v>2511279</v>
      </c>
      <c r="E111" s="7">
        <f>SUM(E101:E110)</f>
        <v>1023000</v>
      </c>
      <c r="F111" s="7">
        <f>SUM(F101:F110)</f>
        <v>0</v>
      </c>
      <c r="G111" s="7">
        <f>SUM(G101:G110)</f>
        <v>2557500</v>
      </c>
      <c r="H111" s="7">
        <f>SUM(H101:H110)</f>
        <v>0</v>
      </c>
      <c r="I111" s="7">
        <f t="shared" ref="I111" si="57">SUM(I101:I110)</f>
        <v>5115000</v>
      </c>
      <c r="J111" s="7">
        <f t="shared" si="49"/>
        <v>5115000</v>
      </c>
      <c r="K111" s="7">
        <f t="shared" si="34"/>
        <v>971.85</v>
      </c>
      <c r="L111" s="7">
        <f t="shared" si="35"/>
        <v>7.9571759259259255E-4</v>
      </c>
      <c r="M111" s="7">
        <f t="shared" si="50"/>
        <v>1998.2688802083333</v>
      </c>
      <c r="N111" s="7">
        <f t="shared" si="36"/>
        <v>2970.1188802083334</v>
      </c>
    </row>
    <row r="112" spans="1:31" x14ac:dyDescent="0.15">
      <c r="A112" s="57" t="s">
        <v>389</v>
      </c>
      <c r="B112" s="7">
        <v>1</v>
      </c>
      <c r="C112" s="7">
        <v>11</v>
      </c>
      <c r="D112" s="7">
        <v>1776</v>
      </c>
      <c r="E112" s="7">
        <v>2000</v>
      </c>
      <c r="G112" s="7">
        <v>2000</v>
      </c>
      <c r="I112" s="7">
        <v>5000</v>
      </c>
      <c r="J112" s="7">
        <f t="shared" si="49"/>
        <v>5000</v>
      </c>
      <c r="K112" s="7">
        <f t="shared" si="34"/>
        <v>1.25</v>
      </c>
      <c r="L112" s="7">
        <f t="shared" si="35"/>
        <v>2.7777777777777779E-3</v>
      </c>
      <c r="M112" s="7">
        <f t="shared" si="50"/>
        <v>4.9333333333333336</v>
      </c>
      <c r="N112" s="7">
        <f t="shared" si="36"/>
        <v>6.1833333333333336</v>
      </c>
      <c r="T112" s="7">
        <v>10</v>
      </c>
      <c r="AD112" s="7">
        <v>5</v>
      </c>
    </row>
    <row r="113" spans="1:34" x14ac:dyDescent="0.15">
      <c r="A113" s="57"/>
      <c r="B113" s="7">
        <v>2</v>
      </c>
      <c r="C113" s="7">
        <v>14</v>
      </c>
      <c r="D113" s="7">
        <v>3596</v>
      </c>
      <c r="E113" s="7">
        <f t="shared" ref="E113:E121" si="58">E112*2</f>
        <v>4000</v>
      </c>
      <c r="G113" s="7">
        <f t="shared" ref="G113:G121" si="59">G112*2</f>
        <v>4000</v>
      </c>
      <c r="I113" s="7">
        <f t="shared" ref="I113:I121" si="60">I112*2</f>
        <v>10000</v>
      </c>
      <c r="J113" s="7">
        <f t="shared" si="49"/>
        <v>10000</v>
      </c>
      <c r="K113" s="7">
        <f t="shared" si="34"/>
        <v>2.5</v>
      </c>
      <c r="L113" s="7">
        <f t="shared" si="35"/>
        <v>2.7777777777777779E-3</v>
      </c>
      <c r="M113" s="7">
        <f t="shared" si="50"/>
        <v>9.9888888888888889</v>
      </c>
      <c r="N113" s="7">
        <f t="shared" si="36"/>
        <v>12.488888888888889</v>
      </c>
      <c r="T113" s="7">
        <v>10</v>
      </c>
      <c r="AD113" s="7">
        <v>5</v>
      </c>
    </row>
    <row r="114" spans="1:34" x14ac:dyDescent="0.15">
      <c r="A114" s="57"/>
      <c r="B114" s="7">
        <v>3</v>
      </c>
      <c r="C114" s="7">
        <v>22</v>
      </c>
      <c r="D114" s="7">
        <v>7282</v>
      </c>
      <c r="E114" s="7">
        <f t="shared" si="58"/>
        <v>8000</v>
      </c>
      <c r="G114" s="7">
        <f t="shared" si="59"/>
        <v>8000</v>
      </c>
      <c r="I114" s="7">
        <f t="shared" si="60"/>
        <v>20000</v>
      </c>
      <c r="J114" s="7">
        <f t="shared" si="49"/>
        <v>20000</v>
      </c>
      <c r="K114" s="7">
        <f t="shared" si="34"/>
        <v>5</v>
      </c>
      <c r="L114" s="7">
        <f t="shared" si="35"/>
        <v>1.6666666666666668E-3</v>
      </c>
      <c r="M114" s="7">
        <f t="shared" si="50"/>
        <v>12.136666666666667</v>
      </c>
      <c r="N114" s="7">
        <f t="shared" si="36"/>
        <v>17.136666666666667</v>
      </c>
      <c r="T114" s="7">
        <v>10</v>
      </c>
      <c r="AD114" s="7">
        <v>5</v>
      </c>
    </row>
    <row r="115" spans="1:34" x14ac:dyDescent="0.15">
      <c r="A115" s="57"/>
      <c r="B115" s="7">
        <v>4</v>
      </c>
      <c r="C115" s="7">
        <v>40</v>
      </c>
      <c r="D115" s="7">
        <v>14747</v>
      </c>
      <c r="E115" s="7">
        <f t="shared" si="58"/>
        <v>16000</v>
      </c>
      <c r="G115" s="7">
        <f t="shared" si="59"/>
        <v>16000</v>
      </c>
      <c r="I115" s="7">
        <f t="shared" si="60"/>
        <v>40000</v>
      </c>
      <c r="J115" s="7">
        <f t="shared" si="49"/>
        <v>40000</v>
      </c>
      <c r="K115" s="7">
        <f t="shared" si="34"/>
        <v>10</v>
      </c>
      <c r="L115" s="7">
        <f t="shared" si="35"/>
        <v>1.3888888888888889E-3</v>
      </c>
      <c r="M115" s="7">
        <f t="shared" si="50"/>
        <v>20.481944444444444</v>
      </c>
      <c r="N115" s="7">
        <f t="shared" si="36"/>
        <v>30.481944444444444</v>
      </c>
      <c r="T115" s="7">
        <v>10</v>
      </c>
      <c r="AD115" s="7">
        <v>5</v>
      </c>
    </row>
    <row r="116" spans="1:34" x14ac:dyDescent="0.15">
      <c r="A116" s="57"/>
      <c r="B116" s="7">
        <v>5</v>
      </c>
      <c r="C116" s="7">
        <v>86</v>
      </c>
      <c r="D116" s="7">
        <v>29863</v>
      </c>
      <c r="E116" s="7">
        <f t="shared" si="58"/>
        <v>32000</v>
      </c>
      <c r="G116" s="7">
        <f t="shared" si="59"/>
        <v>32000</v>
      </c>
      <c r="I116" s="7">
        <f t="shared" si="60"/>
        <v>80000</v>
      </c>
      <c r="J116" s="7">
        <f t="shared" si="49"/>
        <v>80000</v>
      </c>
      <c r="K116" s="7">
        <f t="shared" si="34"/>
        <v>20</v>
      </c>
      <c r="L116" s="7">
        <f t="shared" si="35"/>
        <v>1.2037037037037038E-3</v>
      </c>
      <c r="M116" s="7">
        <f t="shared" si="50"/>
        <v>35.946203703703709</v>
      </c>
      <c r="N116" s="7">
        <f t="shared" si="36"/>
        <v>55.946203703703709</v>
      </c>
      <c r="T116" s="7">
        <v>10</v>
      </c>
      <c r="AD116" s="7">
        <v>5</v>
      </c>
    </row>
    <row r="117" spans="1:34" x14ac:dyDescent="0.15">
      <c r="A117" s="57"/>
      <c r="B117" s="7">
        <v>6</v>
      </c>
      <c r="C117" s="7">
        <v>170</v>
      </c>
      <c r="D117" s="7">
        <v>60473</v>
      </c>
      <c r="E117" s="7">
        <f t="shared" si="58"/>
        <v>64000</v>
      </c>
      <c r="G117" s="7">
        <f t="shared" si="59"/>
        <v>64000</v>
      </c>
      <c r="I117" s="7">
        <f t="shared" si="60"/>
        <v>160000</v>
      </c>
      <c r="J117" s="7">
        <f t="shared" si="49"/>
        <v>160000</v>
      </c>
      <c r="K117" s="7">
        <f t="shared" si="34"/>
        <v>35.200000000000003</v>
      </c>
      <c r="L117" s="7">
        <f t="shared" si="35"/>
        <v>1.0995370370370371E-3</v>
      </c>
      <c r="M117" s="7">
        <f t="shared" si="50"/>
        <v>66.492303240740739</v>
      </c>
      <c r="N117" s="7">
        <f t="shared" si="36"/>
        <v>101.69230324074074</v>
      </c>
      <c r="T117" s="7">
        <v>12</v>
      </c>
      <c r="AD117" s="7">
        <v>5</v>
      </c>
    </row>
    <row r="118" spans="1:34" x14ac:dyDescent="0.15">
      <c r="A118" s="57"/>
      <c r="B118" s="7">
        <v>7</v>
      </c>
      <c r="C118" s="7">
        <v>327</v>
      </c>
      <c r="D118" s="7">
        <v>122459</v>
      </c>
      <c r="E118" s="7">
        <f t="shared" si="58"/>
        <v>128000</v>
      </c>
      <c r="G118" s="7">
        <f t="shared" si="59"/>
        <v>128000</v>
      </c>
      <c r="I118" s="7">
        <f t="shared" si="60"/>
        <v>320000</v>
      </c>
      <c r="J118" s="7">
        <f t="shared" si="49"/>
        <v>320000</v>
      </c>
      <c r="K118" s="7">
        <f t="shared" si="34"/>
        <v>60.800000000000004</v>
      </c>
      <c r="L118" s="7">
        <f t="shared" si="35"/>
        <v>9.7222222222222219E-4</v>
      </c>
      <c r="M118" s="7">
        <f t="shared" si="50"/>
        <v>119.05736111111111</v>
      </c>
      <c r="N118" s="7">
        <f t="shared" si="36"/>
        <v>179.85736111111112</v>
      </c>
      <c r="T118" s="7">
        <v>14</v>
      </c>
      <c r="AD118" s="7">
        <v>5</v>
      </c>
    </row>
    <row r="119" spans="1:34" x14ac:dyDescent="0.15">
      <c r="A119" s="57"/>
      <c r="B119" s="7">
        <v>8</v>
      </c>
      <c r="C119" s="7">
        <v>604</v>
      </c>
      <c r="D119" s="7">
        <v>247980</v>
      </c>
      <c r="E119" s="7">
        <f t="shared" si="58"/>
        <v>256000</v>
      </c>
      <c r="G119" s="7">
        <f t="shared" si="59"/>
        <v>256000</v>
      </c>
      <c r="I119" s="7">
        <f t="shared" si="60"/>
        <v>640000</v>
      </c>
      <c r="J119" s="7">
        <f t="shared" si="49"/>
        <v>640000</v>
      </c>
      <c r="K119" s="7">
        <f t="shared" si="34"/>
        <v>121.60000000000001</v>
      </c>
      <c r="L119" s="7">
        <f t="shared" si="35"/>
        <v>7.9571759259259255E-4</v>
      </c>
      <c r="M119" s="7">
        <f t="shared" si="50"/>
        <v>197.32204861111111</v>
      </c>
      <c r="N119" s="7">
        <f t="shared" si="36"/>
        <v>318.92204861111111</v>
      </c>
      <c r="T119" s="7">
        <v>16</v>
      </c>
      <c r="AD119" s="7">
        <v>5</v>
      </c>
    </row>
    <row r="120" spans="1:34" x14ac:dyDescent="0.15">
      <c r="A120" s="57"/>
      <c r="B120" s="7">
        <v>9</v>
      </c>
      <c r="C120" s="7">
        <v>1009</v>
      </c>
      <c r="D120" s="7">
        <v>502161</v>
      </c>
      <c r="E120" s="7">
        <f t="shared" si="58"/>
        <v>512000</v>
      </c>
      <c r="G120" s="7">
        <f t="shared" si="59"/>
        <v>512000</v>
      </c>
      <c r="I120" s="7">
        <f t="shared" si="60"/>
        <v>1280000</v>
      </c>
      <c r="J120" s="7">
        <f t="shared" si="49"/>
        <v>1280000</v>
      </c>
      <c r="K120" s="7">
        <f t="shared" si="34"/>
        <v>243.20000000000002</v>
      </c>
      <c r="L120" s="7">
        <f t="shared" si="35"/>
        <v>7.9571759259259255E-4</v>
      </c>
      <c r="M120" s="7">
        <f t="shared" si="50"/>
        <v>399.57834201388886</v>
      </c>
      <c r="N120" s="7">
        <f t="shared" si="36"/>
        <v>642.77834201388885</v>
      </c>
      <c r="T120" s="7">
        <v>18</v>
      </c>
      <c r="AD120" s="7">
        <v>5</v>
      </c>
    </row>
    <row r="121" spans="1:34" x14ac:dyDescent="0.15">
      <c r="A121" s="57"/>
      <c r="B121" s="7">
        <v>10</v>
      </c>
      <c r="C121" s="7">
        <v>1315</v>
      </c>
      <c r="D121" s="7">
        <v>1016876</v>
      </c>
      <c r="E121" s="7">
        <f t="shared" si="58"/>
        <v>1024000</v>
      </c>
      <c r="G121" s="7">
        <f t="shared" si="59"/>
        <v>1024000</v>
      </c>
      <c r="I121" s="7">
        <f t="shared" si="60"/>
        <v>2560000</v>
      </c>
      <c r="J121" s="7">
        <f t="shared" si="49"/>
        <v>2560000</v>
      </c>
      <c r="K121" s="7">
        <f t="shared" si="34"/>
        <v>486.40000000000003</v>
      </c>
      <c r="L121" s="7">
        <f t="shared" si="35"/>
        <v>7.9571759259259255E-4</v>
      </c>
      <c r="M121" s="7">
        <f t="shared" si="50"/>
        <v>809.14612268518511</v>
      </c>
      <c r="N121" s="7">
        <f t="shared" si="36"/>
        <v>1295.5461226851851</v>
      </c>
      <c r="T121" s="7">
        <v>20</v>
      </c>
      <c r="AD121" s="7">
        <v>5</v>
      </c>
    </row>
    <row r="122" spans="1:34" x14ac:dyDescent="0.15">
      <c r="A122" s="57"/>
      <c r="B122" s="11" t="s">
        <v>173</v>
      </c>
      <c r="C122" s="7">
        <f t="shared" ref="C122" si="61">SUM(C112:C121)</f>
        <v>3598</v>
      </c>
      <c r="D122" s="7">
        <f>SUM(D112:D121)</f>
        <v>2007213</v>
      </c>
      <c r="E122" s="7">
        <f>SUM(E112:E121)</f>
        <v>2046000</v>
      </c>
      <c r="F122" s="7">
        <f>SUM(F112:F121)</f>
        <v>0</v>
      </c>
      <c r="G122" s="7">
        <f>SUM(G112:G121)</f>
        <v>2046000</v>
      </c>
      <c r="H122" s="7">
        <f>SUM(H112:H121)</f>
        <v>0</v>
      </c>
      <c r="I122" s="7">
        <f t="shared" ref="I122" si="62">SUM(I112:I121)</f>
        <v>5115000</v>
      </c>
      <c r="J122" s="7">
        <f t="shared" si="49"/>
        <v>5115000</v>
      </c>
      <c r="K122" s="7">
        <f t="shared" si="34"/>
        <v>971.85</v>
      </c>
      <c r="L122" s="7">
        <f t="shared" si="35"/>
        <v>7.9571759259259255E-4</v>
      </c>
      <c r="M122" s="7">
        <f t="shared" si="50"/>
        <v>1597.1746961805554</v>
      </c>
      <c r="N122" s="7">
        <f t="shared" si="36"/>
        <v>2569.0246961805556</v>
      </c>
    </row>
    <row r="123" spans="1:34" x14ac:dyDescent="0.15">
      <c r="A123" s="59" t="s">
        <v>390</v>
      </c>
      <c r="B123" s="7">
        <v>1</v>
      </c>
      <c r="C123" s="7">
        <v>8</v>
      </c>
      <c r="D123" s="7">
        <v>1337</v>
      </c>
      <c r="E123" s="7">
        <v>3000</v>
      </c>
      <c r="F123" s="7">
        <v>150</v>
      </c>
      <c r="G123" s="7">
        <v>800</v>
      </c>
      <c r="H123" s="7">
        <v>200</v>
      </c>
      <c r="I123" s="7">
        <v>3500</v>
      </c>
      <c r="J123" s="7">
        <f t="shared" si="49"/>
        <v>3500</v>
      </c>
      <c r="K123" s="7">
        <f t="shared" si="34"/>
        <v>0.875</v>
      </c>
      <c r="L123" s="7">
        <f t="shared" si="35"/>
        <v>2.7777777777777779E-3</v>
      </c>
      <c r="M123" s="7">
        <f t="shared" si="50"/>
        <v>3.713888888888889</v>
      </c>
      <c r="N123" s="7">
        <f t="shared" si="36"/>
        <v>4.5888888888888886</v>
      </c>
      <c r="T123" s="7">
        <v>2</v>
      </c>
      <c r="AF123" s="7">
        <v>2</v>
      </c>
      <c r="AG123" s="7">
        <v>2</v>
      </c>
      <c r="AH123" s="7">
        <v>1</v>
      </c>
    </row>
    <row r="124" spans="1:34" x14ac:dyDescent="0.15">
      <c r="A124" s="60"/>
      <c r="B124" s="7">
        <v>2</v>
      </c>
      <c r="C124" s="7">
        <v>14</v>
      </c>
      <c r="D124" s="7">
        <v>2707</v>
      </c>
      <c r="E124" s="7">
        <f t="shared" ref="E124:E132" si="63">E123*2</f>
        <v>6000</v>
      </c>
      <c r="F124" s="7">
        <f t="shared" ref="F124:F132" si="64">F123*2</f>
        <v>300</v>
      </c>
      <c r="G124" s="7">
        <f t="shared" ref="G124:G132" si="65">G123*2</f>
        <v>1600</v>
      </c>
      <c r="H124" s="7">
        <f t="shared" ref="H124:H132" si="66">H123*2</f>
        <v>400</v>
      </c>
      <c r="I124" s="7">
        <f t="shared" ref="I124:I132" si="67">I123*2</f>
        <v>7000</v>
      </c>
      <c r="J124" s="7">
        <f t="shared" si="49"/>
        <v>7000</v>
      </c>
      <c r="K124" s="7">
        <f t="shared" si="34"/>
        <v>1.75</v>
      </c>
      <c r="L124" s="7">
        <f t="shared" si="35"/>
        <v>2.7777777777777779E-3</v>
      </c>
      <c r="M124" s="7">
        <f t="shared" si="50"/>
        <v>7.5194444444444448</v>
      </c>
      <c r="N124" s="7">
        <f t="shared" si="36"/>
        <v>9.2694444444444457</v>
      </c>
      <c r="T124" s="7">
        <v>4</v>
      </c>
      <c r="AF124" s="7">
        <v>4</v>
      </c>
      <c r="AG124" s="7">
        <v>2</v>
      </c>
      <c r="AH124" s="7">
        <v>2</v>
      </c>
    </row>
    <row r="125" spans="1:34" x14ac:dyDescent="0.15">
      <c r="A125" s="60"/>
      <c r="B125" s="7">
        <v>3</v>
      </c>
      <c r="C125" s="7">
        <v>20</v>
      </c>
      <c r="D125" s="7">
        <v>5482</v>
      </c>
      <c r="E125" s="7">
        <f t="shared" si="63"/>
        <v>12000</v>
      </c>
      <c r="F125" s="7">
        <f t="shared" si="64"/>
        <v>600</v>
      </c>
      <c r="G125" s="7">
        <f t="shared" si="65"/>
        <v>3200</v>
      </c>
      <c r="H125" s="7">
        <f t="shared" si="66"/>
        <v>800</v>
      </c>
      <c r="I125" s="7">
        <f t="shared" si="67"/>
        <v>14000</v>
      </c>
      <c r="J125" s="7">
        <f t="shared" si="49"/>
        <v>14000</v>
      </c>
      <c r="K125" s="7">
        <f t="shared" si="34"/>
        <v>3.5</v>
      </c>
      <c r="L125" s="7">
        <f t="shared" si="35"/>
        <v>1.6666666666666668E-3</v>
      </c>
      <c r="M125" s="7">
        <f t="shared" si="50"/>
        <v>9.1366666666666667</v>
      </c>
      <c r="N125" s="7">
        <f t="shared" si="36"/>
        <v>12.636666666666667</v>
      </c>
      <c r="T125" s="7">
        <v>6</v>
      </c>
      <c r="AF125" s="7">
        <v>6</v>
      </c>
      <c r="AG125" s="7">
        <v>2</v>
      </c>
      <c r="AH125" s="7">
        <v>3</v>
      </c>
    </row>
    <row r="126" spans="1:34" x14ac:dyDescent="0.15">
      <c r="A126" s="60"/>
      <c r="B126" s="7">
        <v>4</v>
      </c>
      <c r="C126" s="7">
        <v>49</v>
      </c>
      <c r="D126" s="7">
        <v>11102</v>
      </c>
      <c r="E126" s="7">
        <f t="shared" si="63"/>
        <v>24000</v>
      </c>
      <c r="F126" s="7">
        <f t="shared" si="64"/>
        <v>1200</v>
      </c>
      <c r="G126" s="7">
        <f t="shared" si="65"/>
        <v>6400</v>
      </c>
      <c r="H126" s="7">
        <f t="shared" si="66"/>
        <v>1600</v>
      </c>
      <c r="I126" s="7">
        <f t="shared" si="67"/>
        <v>28000</v>
      </c>
      <c r="J126" s="7">
        <f t="shared" si="49"/>
        <v>28000</v>
      </c>
      <c r="K126" s="7">
        <f t="shared" si="34"/>
        <v>7</v>
      </c>
      <c r="L126" s="7">
        <f t="shared" si="35"/>
        <v>1.3888888888888889E-3</v>
      </c>
      <c r="M126" s="7">
        <f t="shared" si="50"/>
        <v>15.419444444444444</v>
      </c>
      <c r="N126" s="7">
        <f t="shared" si="36"/>
        <v>22.419444444444444</v>
      </c>
      <c r="T126" s="7">
        <v>8</v>
      </c>
      <c r="AF126" s="7">
        <v>8</v>
      </c>
      <c r="AG126" s="7">
        <v>2</v>
      </c>
      <c r="AH126" s="7">
        <v>4</v>
      </c>
    </row>
    <row r="127" spans="1:34" x14ac:dyDescent="0.15">
      <c r="A127" s="60"/>
      <c r="B127" s="7">
        <v>5</v>
      </c>
      <c r="C127" s="7">
        <v>76</v>
      </c>
      <c r="D127" s="7">
        <v>22481</v>
      </c>
      <c r="E127" s="7">
        <f t="shared" si="63"/>
        <v>48000</v>
      </c>
      <c r="F127" s="7">
        <f t="shared" si="64"/>
        <v>2400</v>
      </c>
      <c r="G127" s="7">
        <f t="shared" si="65"/>
        <v>12800</v>
      </c>
      <c r="H127" s="7">
        <f t="shared" si="66"/>
        <v>3200</v>
      </c>
      <c r="I127" s="7">
        <f t="shared" si="67"/>
        <v>56000</v>
      </c>
      <c r="J127" s="7">
        <f t="shared" si="49"/>
        <v>56000</v>
      </c>
      <c r="K127" s="7">
        <f t="shared" si="34"/>
        <v>14</v>
      </c>
      <c r="L127" s="7">
        <f t="shared" si="35"/>
        <v>1.3888888888888889E-3</v>
      </c>
      <c r="M127" s="7">
        <f t="shared" si="50"/>
        <v>31.223611111111111</v>
      </c>
      <c r="N127" s="7">
        <f t="shared" si="36"/>
        <v>45.223611111111111</v>
      </c>
      <c r="T127" s="7">
        <v>10</v>
      </c>
      <c r="AF127" s="7">
        <v>10</v>
      </c>
      <c r="AG127" s="7">
        <v>2</v>
      </c>
      <c r="AH127" s="7">
        <v>5</v>
      </c>
    </row>
    <row r="128" spans="1:34" x14ac:dyDescent="0.15">
      <c r="A128" s="60"/>
      <c r="B128" s="7">
        <v>6</v>
      </c>
      <c r="C128" s="7">
        <v>163</v>
      </c>
      <c r="D128" s="7">
        <v>45525</v>
      </c>
      <c r="E128" s="7">
        <f t="shared" si="63"/>
        <v>96000</v>
      </c>
      <c r="F128" s="7">
        <f t="shared" si="64"/>
        <v>4800</v>
      </c>
      <c r="G128" s="7">
        <f t="shared" si="65"/>
        <v>25600</v>
      </c>
      <c r="H128" s="7">
        <f t="shared" si="66"/>
        <v>6400</v>
      </c>
      <c r="I128" s="7">
        <f t="shared" si="67"/>
        <v>112000</v>
      </c>
      <c r="J128" s="7">
        <f t="shared" si="49"/>
        <v>112000</v>
      </c>
      <c r="K128" s="7">
        <f t="shared" si="34"/>
        <v>24.64</v>
      </c>
      <c r="L128" s="7">
        <f t="shared" si="35"/>
        <v>1.2037037037037038E-3</v>
      </c>
      <c r="M128" s="7">
        <f t="shared" si="50"/>
        <v>54.798611111111114</v>
      </c>
      <c r="N128" s="7">
        <f t="shared" si="36"/>
        <v>79.438611111111115</v>
      </c>
      <c r="T128" s="7">
        <v>12</v>
      </c>
      <c r="AF128" s="7">
        <v>12</v>
      </c>
      <c r="AG128" s="7">
        <v>2</v>
      </c>
      <c r="AH128" s="7">
        <v>6</v>
      </c>
    </row>
    <row r="129" spans="1:36" x14ac:dyDescent="0.15">
      <c r="A129" s="60"/>
      <c r="B129" s="7">
        <v>7</v>
      </c>
      <c r="C129" s="7">
        <v>298</v>
      </c>
      <c r="D129" s="7">
        <v>92189</v>
      </c>
      <c r="E129" s="7">
        <f t="shared" si="63"/>
        <v>192000</v>
      </c>
      <c r="F129" s="7">
        <f t="shared" si="64"/>
        <v>9600</v>
      </c>
      <c r="G129" s="7">
        <f t="shared" si="65"/>
        <v>51200</v>
      </c>
      <c r="H129" s="7">
        <f t="shared" si="66"/>
        <v>12800</v>
      </c>
      <c r="I129" s="7">
        <f t="shared" si="67"/>
        <v>224000</v>
      </c>
      <c r="J129" s="7">
        <f t="shared" si="49"/>
        <v>224000</v>
      </c>
      <c r="K129" s="7">
        <f t="shared" si="34"/>
        <v>49.28</v>
      </c>
      <c r="L129" s="7">
        <f t="shared" si="35"/>
        <v>9.7222222222222219E-4</v>
      </c>
      <c r="M129" s="7">
        <f t="shared" si="50"/>
        <v>89.628194444444446</v>
      </c>
      <c r="N129" s="7">
        <f t="shared" si="36"/>
        <v>138.90819444444446</v>
      </c>
      <c r="T129" s="7">
        <v>14</v>
      </c>
      <c r="AF129" s="7">
        <v>14</v>
      </c>
      <c r="AG129" s="7">
        <v>2</v>
      </c>
      <c r="AH129" s="7">
        <v>7</v>
      </c>
    </row>
    <row r="130" spans="1:36" x14ac:dyDescent="0.15">
      <c r="A130" s="60"/>
      <c r="B130" s="7">
        <v>8</v>
      </c>
      <c r="C130" s="7">
        <v>512</v>
      </c>
      <c r="D130" s="7">
        <v>186683</v>
      </c>
      <c r="E130" s="7">
        <f t="shared" si="63"/>
        <v>384000</v>
      </c>
      <c r="F130" s="7">
        <f t="shared" si="64"/>
        <v>19200</v>
      </c>
      <c r="G130" s="7">
        <f t="shared" si="65"/>
        <v>102400</v>
      </c>
      <c r="H130" s="7">
        <f t="shared" si="66"/>
        <v>25600</v>
      </c>
      <c r="I130" s="7">
        <f t="shared" si="67"/>
        <v>448000</v>
      </c>
      <c r="J130" s="7">
        <f t="shared" ref="J130:J166" si="68">SUM(I130:I130)</f>
        <v>448000</v>
      </c>
      <c r="K130" s="7">
        <f t="shared" si="34"/>
        <v>85.12</v>
      </c>
      <c r="L130" s="7">
        <f t="shared" si="35"/>
        <v>9.7222222222222219E-4</v>
      </c>
      <c r="M130" s="7">
        <f t="shared" ref="M130:M166" si="69">D130*L130</f>
        <v>181.4973611111111</v>
      </c>
      <c r="N130" s="7">
        <f t="shared" si="36"/>
        <v>266.61736111111111</v>
      </c>
      <c r="T130" s="7">
        <v>16</v>
      </c>
      <c r="AF130" s="7">
        <v>16</v>
      </c>
      <c r="AG130" s="7">
        <v>2</v>
      </c>
      <c r="AH130" s="7">
        <v>8</v>
      </c>
    </row>
    <row r="131" spans="1:36" x14ac:dyDescent="0.15">
      <c r="A131" s="60"/>
      <c r="B131" s="7">
        <v>9</v>
      </c>
      <c r="C131" s="7">
        <v>989</v>
      </c>
      <c r="D131" s="7">
        <v>378034</v>
      </c>
      <c r="E131" s="7">
        <f t="shared" si="63"/>
        <v>768000</v>
      </c>
      <c r="F131" s="7">
        <f t="shared" si="64"/>
        <v>38400</v>
      </c>
      <c r="G131" s="7">
        <f t="shared" si="65"/>
        <v>204800</v>
      </c>
      <c r="H131" s="7">
        <f t="shared" si="66"/>
        <v>51200</v>
      </c>
      <c r="I131" s="7">
        <f t="shared" si="67"/>
        <v>896000</v>
      </c>
      <c r="J131" s="7">
        <f t="shared" si="68"/>
        <v>896000</v>
      </c>
      <c r="K131" s="7">
        <f t="shared" ref="K131:K166" si="70">IF(J131&gt;$P$14,$R$15,IF(J131&gt;$P$13,$R$14,$R$13))*J131</f>
        <v>170.24</v>
      </c>
      <c r="L131" s="7">
        <f t="shared" ref="L131:L166" si="71">IF(D131&gt;$P$10,$R$11,IF(D131&gt;$P$9,$R$10,IF(D131&gt;$P$8,$R$9,IF(D131&gt;$P$7,$R$8,IF(D131&gt;$P$6,$R$7,IF(D131&gt;$P$5,$R$6,IF(D131&gt;$P$4,$R$5,IF(D131&gt;$P$3,$R$4,IF(D131&gt;$P$2,$R$3,$R$2)))))))))</f>
        <v>7.9571759259259255E-4</v>
      </c>
      <c r="M131" s="7">
        <f t="shared" si="69"/>
        <v>300.80830439814815</v>
      </c>
      <c r="N131" s="7">
        <f t="shared" ref="N131:N166" si="72">K131+M131</f>
        <v>471.04830439814816</v>
      </c>
      <c r="T131" s="7">
        <v>18</v>
      </c>
      <c r="AF131" s="7">
        <v>18</v>
      </c>
      <c r="AG131" s="7">
        <v>2</v>
      </c>
      <c r="AH131" s="7">
        <v>9</v>
      </c>
    </row>
    <row r="132" spans="1:36" x14ac:dyDescent="0.15">
      <c r="A132" s="60"/>
      <c r="B132" s="7">
        <v>10</v>
      </c>
      <c r="C132" s="7">
        <v>1827</v>
      </c>
      <c r="D132" s="7">
        <v>765520</v>
      </c>
      <c r="E132" s="7">
        <f t="shared" si="63"/>
        <v>1536000</v>
      </c>
      <c r="F132" s="7">
        <f t="shared" si="64"/>
        <v>76800</v>
      </c>
      <c r="G132" s="7">
        <f t="shared" si="65"/>
        <v>409600</v>
      </c>
      <c r="H132" s="7">
        <f t="shared" si="66"/>
        <v>102400</v>
      </c>
      <c r="I132" s="7">
        <f t="shared" si="67"/>
        <v>1792000</v>
      </c>
      <c r="J132" s="7">
        <f t="shared" si="68"/>
        <v>1792000</v>
      </c>
      <c r="K132" s="7">
        <f t="shared" si="70"/>
        <v>340.48</v>
      </c>
      <c r="L132" s="7">
        <f t="shared" si="71"/>
        <v>7.9571759259259255E-4</v>
      </c>
      <c r="M132" s="7">
        <f t="shared" si="69"/>
        <v>609.13773148148141</v>
      </c>
      <c r="N132" s="7">
        <f t="shared" si="72"/>
        <v>949.61773148148143</v>
      </c>
      <c r="T132" s="7">
        <v>20</v>
      </c>
      <c r="X132" s="10"/>
      <c r="Y132" s="10"/>
      <c r="Z132" s="10"/>
      <c r="AF132" s="7">
        <v>20</v>
      </c>
      <c r="AG132" s="7">
        <v>2</v>
      </c>
      <c r="AH132" s="7">
        <v>10</v>
      </c>
    </row>
    <row r="133" spans="1:36" x14ac:dyDescent="0.15">
      <c r="A133" s="60"/>
      <c r="B133" s="11" t="s">
        <v>173</v>
      </c>
      <c r="C133" s="7">
        <f t="shared" ref="C133" si="73">SUM(C123:C132)</f>
        <v>3956</v>
      </c>
      <c r="D133" s="7">
        <f>SUM(D123:D132)</f>
        <v>1511060</v>
      </c>
      <c r="E133" s="7">
        <f>SUM(E123:E132)</f>
        <v>3069000</v>
      </c>
      <c r="F133" s="7">
        <f>SUM(F123:F132)</f>
        <v>153450</v>
      </c>
      <c r="G133" s="7">
        <f>SUM(G123:G132)</f>
        <v>818400</v>
      </c>
      <c r="H133" s="7">
        <f>SUM(H123:H132)</f>
        <v>204600</v>
      </c>
      <c r="I133" s="7">
        <f t="shared" ref="I133" si="74">SUM(I123:I132)</f>
        <v>3580500</v>
      </c>
      <c r="J133" s="7">
        <f t="shared" si="68"/>
        <v>3580500</v>
      </c>
      <c r="K133" s="7">
        <f t="shared" si="70"/>
        <v>680.29500000000007</v>
      </c>
      <c r="L133" s="7">
        <f t="shared" si="71"/>
        <v>7.9571759259259255E-4</v>
      </c>
      <c r="M133" s="7">
        <f t="shared" si="69"/>
        <v>1202.3770254629628</v>
      </c>
      <c r="N133" s="7">
        <f t="shared" si="72"/>
        <v>1882.6720254629629</v>
      </c>
      <c r="X133" s="10"/>
      <c r="Y133" s="10"/>
      <c r="Z133" s="10"/>
    </row>
    <row r="134" spans="1:36" x14ac:dyDescent="0.15">
      <c r="A134" s="58" t="s">
        <v>391</v>
      </c>
      <c r="B134" s="7">
        <v>1</v>
      </c>
      <c r="C134" s="7">
        <v>22</v>
      </c>
      <c r="D134" s="7">
        <v>10800</v>
      </c>
      <c r="G134" s="7">
        <v>2500</v>
      </c>
      <c r="H134" s="10"/>
      <c r="I134" s="7">
        <v>3500</v>
      </c>
      <c r="J134" s="7">
        <f t="shared" si="68"/>
        <v>3500</v>
      </c>
      <c r="K134" s="7">
        <f t="shared" si="70"/>
        <v>0.875</v>
      </c>
      <c r="L134" s="7">
        <f t="shared" si="71"/>
        <v>1.3888888888888889E-3</v>
      </c>
      <c r="M134" s="7">
        <f t="shared" si="69"/>
        <v>15</v>
      </c>
      <c r="N134" s="7">
        <f t="shared" si="72"/>
        <v>15.875</v>
      </c>
      <c r="O134" s="10"/>
      <c r="P134" s="10"/>
      <c r="Q134" s="10"/>
      <c r="R134" s="10"/>
      <c r="X134" s="10"/>
      <c r="Y134" s="10"/>
      <c r="Z134" s="10"/>
      <c r="AI134" s="7">
        <v>16</v>
      </c>
      <c r="AJ134" s="7">
        <v>8</v>
      </c>
    </row>
    <row r="135" spans="1:36" x14ac:dyDescent="0.15">
      <c r="A135" s="57"/>
      <c r="B135" s="7">
        <v>2</v>
      </c>
      <c r="C135" s="7">
        <v>33</v>
      </c>
      <c r="D135" s="7">
        <v>18000</v>
      </c>
      <c r="G135" s="7">
        <f t="shared" ref="G135:G143" si="75">G134*2</f>
        <v>5000</v>
      </c>
      <c r="H135" s="10"/>
      <c r="I135" s="7">
        <f t="shared" ref="I135:I143" si="76">I134*2</f>
        <v>7000</v>
      </c>
      <c r="J135" s="7">
        <f t="shared" si="68"/>
        <v>7000</v>
      </c>
      <c r="K135" s="7">
        <f t="shared" si="70"/>
        <v>1.75</v>
      </c>
      <c r="L135" s="7">
        <f t="shared" si="71"/>
        <v>1.3888888888888889E-3</v>
      </c>
      <c r="M135" s="7">
        <f t="shared" si="69"/>
        <v>25</v>
      </c>
      <c r="N135" s="7">
        <f t="shared" si="72"/>
        <v>26.75</v>
      </c>
      <c r="O135" s="10"/>
      <c r="P135" s="10"/>
      <c r="Q135" s="10"/>
      <c r="R135" s="10"/>
      <c r="X135" s="10"/>
      <c r="Y135" s="10"/>
      <c r="Z135" s="10"/>
      <c r="AI135" s="7">
        <v>16</v>
      </c>
      <c r="AJ135" s="7">
        <v>8</v>
      </c>
    </row>
    <row r="136" spans="1:36" x14ac:dyDescent="0.15">
      <c r="A136" s="57"/>
      <c r="B136" s="7">
        <v>3</v>
      </c>
      <c r="C136" s="7">
        <v>49</v>
      </c>
      <c r="D136" s="7">
        <v>28800</v>
      </c>
      <c r="G136" s="7">
        <f t="shared" si="75"/>
        <v>10000</v>
      </c>
      <c r="H136" s="10"/>
      <c r="I136" s="7">
        <f t="shared" si="76"/>
        <v>14000</v>
      </c>
      <c r="J136" s="7">
        <f t="shared" si="68"/>
        <v>14000</v>
      </c>
      <c r="K136" s="7">
        <f t="shared" si="70"/>
        <v>3.5</v>
      </c>
      <c r="L136" s="7">
        <f t="shared" si="71"/>
        <v>1.3888888888888889E-3</v>
      </c>
      <c r="M136" s="7">
        <f t="shared" si="69"/>
        <v>40</v>
      </c>
      <c r="N136" s="7">
        <f t="shared" si="72"/>
        <v>43.5</v>
      </c>
      <c r="O136" s="10"/>
      <c r="P136" s="10"/>
      <c r="Q136" s="10"/>
      <c r="R136" s="10"/>
      <c r="X136" s="10"/>
      <c r="Y136" s="10"/>
      <c r="Z136" s="10"/>
      <c r="AI136" s="7">
        <v>16</v>
      </c>
      <c r="AJ136" s="7">
        <v>8</v>
      </c>
    </row>
    <row r="137" spans="1:36" x14ac:dyDescent="0.15">
      <c r="A137" s="57"/>
      <c r="B137" s="7">
        <v>4</v>
      </c>
      <c r="C137" s="7">
        <v>86</v>
      </c>
      <c r="D137" s="7">
        <v>43200</v>
      </c>
      <c r="G137" s="7">
        <f t="shared" si="75"/>
        <v>20000</v>
      </c>
      <c r="H137" s="10"/>
      <c r="I137" s="7">
        <f t="shared" si="76"/>
        <v>28000</v>
      </c>
      <c r="J137" s="7">
        <f t="shared" si="68"/>
        <v>28000</v>
      </c>
      <c r="K137" s="7">
        <f t="shared" si="70"/>
        <v>7</v>
      </c>
      <c r="L137" s="7">
        <f t="shared" si="71"/>
        <v>1.2037037037037038E-3</v>
      </c>
      <c r="M137" s="7">
        <f t="shared" si="69"/>
        <v>52.000000000000007</v>
      </c>
      <c r="N137" s="7">
        <f t="shared" si="72"/>
        <v>59.000000000000007</v>
      </c>
      <c r="O137" s="10"/>
      <c r="P137" s="10"/>
      <c r="Q137" s="10"/>
      <c r="R137" s="10"/>
      <c r="X137" s="10"/>
      <c r="Y137" s="10"/>
      <c r="Z137" s="10"/>
      <c r="AI137" s="7">
        <v>16</v>
      </c>
      <c r="AJ137" s="7">
        <v>8</v>
      </c>
    </row>
    <row r="138" spans="1:36" x14ac:dyDescent="0.15">
      <c r="A138" s="57"/>
      <c r="B138" s="7">
        <v>5</v>
      </c>
      <c r="C138" s="7">
        <v>113</v>
      </c>
      <c r="D138" s="7">
        <v>61200</v>
      </c>
      <c r="G138" s="7">
        <f t="shared" si="75"/>
        <v>40000</v>
      </c>
      <c r="H138" s="10"/>
      <c r="I138" s="7">
        <f t="shared" si="76"/>
        <v>56000</v>
      </c>
      <c r="J138" s="7">
        <f t="shared" si="68"/>
        <v>56000</v>
      </c>
      <c r="K138" s="7">
        <f t="shared" si="70"/>
        <v>14</v>
      </c>
      <c r="L138" s="7">
        <f t="shared" si="71"/>
        <v>1.0995370370370371E-3</v>
      </c>
      <c r="M138" s="7">
        <f t="shared" si="69"/>
        <v>67.291666666666671</v>
      </c>
      <c r="N138" s="7">
        <f t="shared" si="72"/>
        <v>81.291666666666671</v>
      </c>
      <c r="O138" s="10"/>
      <c r="P138" s="10"/>
      <c r="Q138" s="10"/>
      <c r="R138" s="10"/>
      <c r="X138" s="10"/>
      <c r="Y138" s="10"/>
      <c r="Z138" s="10"/>
      <c r="AI138" s="7">
        <v>16</v>
      </c>
      <c r="AJ138" s="7">
        <v>8</v>
      </c>
    </row>
    <row r="139" spans="1:36" x14ac:dyDescent="0.15">
      <c r="A139" s="57"/>
      <c r="B139" s="7">
        <v>6</v>
      </c>
      <c r="C139" s="7">
        <v>159</v>
      </c>
      <c r="D139" s="7">
        <v>82800</v>
      </c>
      <c r="G139" s="7">
        <f t="shared" si="75"/>
        <v>80000</v>
      </c>
      <c r="H139" s="10"/>
      <c r="I139" s="7">
        <f t="shared" si="76"/>
        <v>112000</v>
      </c>
      <c r="J139" s="7">
        <f t="shared" si="68"/>
        <v>112000</v>
      </c>
      <c r="K139" s="7">
        <f t="shared" si="70"/>
        <v>24.64</v>
      </c>
      <c r="L139" s="7">
        <f t="shared" si="71"/>
        <v>1.0995370370370371E-3</v>
      </c>
      <c r="M139" s="7">
        <f t="shared" si="69"/>
        <v>91.041666666666671</v>
      </c>
      <c r="N139" s="7">
        <f t="shared" si="72"/>
        <v>115.68166666666667</v>
      </c>
      <c r="O139" s="10"/>
      <c r="P139" s="10"/>
      <c r="Q139" s="10"/>
      <c r="R139" s="10"/>
      <c r="X139" s="10"/>
      <c r="Y139" s="10"/>
      <c r="Z139" s="10"/>
      <c r="AI139" s="7">
        <v>16</v>
      </c>
      <c r="AJ139" s="7">
        <v>8</v>
      </c>
    </row>
    <row r="140" spans="1:36" x14ac:dyDescent="0.15">
      <c r="A140" s="57"/>
      <c r="B140" s="7">
        <v>7</v>
      </c>
      <c r="C140" s="7">
        <v>295</v>
      </c>
      <c r="D140" s="7">
        <v>165600</v>
      </c>
      <c r="G140" s="7">
        <f t="shared" si="75"/>
        <v>160000</v>
      </c>
      <c r="H140" s="10"/>
      <c r="I140" s="7">
        <f t="shared" si="76"/>
        <v>224000</v>
      </c>
      <c r="J140" s="7">
        <f t="shared" si="68"/>
        <v>224000</v>
      </c>
      <c r="K140" s="7">
        <f t="shared" si="70"/>
        <v>49.28</v>
      </c>
      <c r="L140" s="7">
        <f t="shared" si="71"/>
        <v>9.7222222222222219E-4</v>
      </c>
      <c r="M140" s="7">
        <f t="shared" si="69"/>
        <v>161</v>
      </c>
      <c r="N140" s="7">
        <f t="shared" si="72"/>
        <v>210.28</v>
      </c>
      <c r="O140" s="10"/>
      <c r="P140" s="10"/>
      <c r="Q140" s="10"/>
      <c r="R140" s="10"/>
      <c r="X140" s="10"/>
      <c r="Y140" s="10"/>
      <c r="Z140" s="10"/>
      <c r="AI140" s="7">
        <v>16</v>
      </c>
      <c r="AJ140" s="7">
        <v>8</v>
      </c>
    </row>
    <row r="141" spans="1:36" x14ac:dyDescent="0.15">
      <c r="A141" s="57"/>
      <c r="B141" s="7">
        <v>8</v>
      </c>
      <c r="C141" s="7">
        <v>509</v>
      </c>
      <c r="D141" s="7">
        <v>331200</v>
      </c>
      <c r="G141" s="7">
        <f t="shared" si="75"/>
        <v>320000</v>
      </c>
      <c r="H141" s="10"/>
      <c r="I141" s="7">
        <f t="shared" si="76"/>
        <v>448000</v>
      </c>
      <c r="J141" s="7">
        <f t="shared" si="68"/>
        <v>448000</v>
      </c>
      <c r="K141" s="7">
        <f t="shared" si="70"/>
        <v>85.12</v>
      </c>
      <c r="L141" s="7">
        <f t="shared" si="71"/>
        <v>7.9571759259259255E-4</v>
      </c>
      <c r="M141" s="7">
        <f t="shared" si="69"/>
        <v>263.54166666666663</v>
      </c>
      <c r="N141" s="7">
        <f t="shared" si="72"/>
        <v>348.66166666666663</v>
      </c>
      <c r="O141" s="10"/>
      <c r="P141" s="10"/>
      <c r="Q141" s="10"/>
      <c r="R141" s="10"/>
      <c r="X141" s="10"/>
      <c r="Y141" s="10"/>
      <c r="Z141" s="10"/>
      <c r="AI141" s="7">
        <v>16</v>
      </c>
      <c r="AJ141" s="7">
        <v>8</v>
      </c>
    </row>
    <row r="142" spans="1:36" x14ac:dyDescent="0.15">
      <c r="A142" s="57"/>
      <c r="B142" s="7">
        <v>9</v>
      </c>
      <c r="C142" s="7">
        <v>1000</v>
      </c>
      <c r="D142" s="7">
        <v>662400</v>
      </c>
      <c r="G142" s="7">
        <f t="shared" si="75"/>
        <v>640000</v>
      </c>
      <c r="H142" s="10"/>
      <c r="I142" s="7">
        <f t="shared" si="76"/>
        <v>896000</v>
      </c>
      <c r="J142" s="7">
        <f t="shared" si="68"/>
        <v>896000</v>
      </c>
      <c r="K142" s="7">
        <f t="shared" si="70"/>
        <v>170.24</v>
      </c>
      <c r="L142" s="7">
        <f t="shared" si="71"/>
        <v>7.9571759259259255E-4</v>
      </c>
      <c r="M142" s="7">
        <f t="shared" si="69"/>
        <v>527.08333333333326</v>
      </c>
      <c r="N142" s="7">
        <f t="shared" si="72"/>
        <v>697.32333333333327</v>
      </c>
      <c r="O142" s="10"/>
      <c r="P142" s="10"/>
      <c r="Q142" s="10"/>
      <c r="R142" s="10"/>
      <c r="X142" s="10"/>
      <c r="Y142" s="10"/>
      <c r="Z142" s="10"/>
      <c r="AI142" s="7">
        <v>18</v>
      </c>
      <c r="AJ142" s="7">
        <v>9</v>
      </c>
    </row>
    <row r="143" spans="1:36" x14ac:dyDescent="0.15">
      <c r="A143" s="57"/>
      <c r="B143" s="7">
        <v>10</v>
      </c>
      <c r="C143" s="7">
        <v>1236</v>
      </c>
      <c r="D143" s="7">
        <v>1324800</v>
      </c>
      <c r="G143" s="7">
        <f t="shared" si="75"/>
        <v>1280000</v>
      </c>
      <c r="H143" s="10"/>
      <c r="I143" s="7">
        <f t="shared" si="76"/>
        <v>1792000</v>
      </c>
      <c r="J143" s="7">
        <f t="shared" si="68"/>
        <v>1792000</v>
      </c>
      <c r="K143" s="7">
        <f t="shared" si="70"/>
        <v>340.48</v>
      </c>
      <c r="L143" s="7">
        <f t="shared" si="71"/>
        <v>7.9571759259259255E-4</v>
      </c>
      <c r="M143" s="7">
        <f t="shared" si="69"/>
        <v>1054.1666666666665</v>
      </c>
      <c r="N143" s="7">
        <f t="shared" si="72"/>
        <v>1394.6466666666665</v>
      </c>
      <c r="O143" s="10"/>
      <c r="P143" s="10"/>
      <c r="Q143" s="10"/>
      <c r="R143" s="10"/>
      <c r="X143" s="10"/>
      <c r="Y143" s="10"/>
      <c r="Z143" s="10"/>
      <c r="AI143" s="7">
        <v>20</v>
      </c>
      <c r="AJ143" s="7">
        <v>10</v>
      </c>
    </row>
    <row r="144" spans="1:36" x14ac:dyDescent="0.15">
      <c r="A144" s="57"/>
      <c r="B144" s="11" t="s">
        <v>173</v>
      </c>
      <c r="C144" s="7">
        <f t="shared" ref="C144" si="77">SUM(C134:C143)</f>
        <v>3502</v>
      </c>
      <c r="D144" s="7">
        <f>SUM(D134:D143)</f>
        <v>2728800</v>
      </c>
      <c r="G144" s="7">
        <f>SUM(G134:G143)</f>
        <v>2557500</v>
      </c>
      <c r="I144" s="7">
        <f t="shared" ref="I144" si="78">SUM(I134:I143)</f>
        <v>3580500</v>
      </c>
      <c r="J144" s="7">
        <f t="shared" si="68"/>
        <v>3580500</v>
      </c>
      <c r="K144" s="7">
        <f t="shared" si="70"/>
        <v>680.29500000000007</v>
      </c>
      <c r="L144" s="7">
        <f t="shared" si="71"/>
        <v>7.9571759259259255E-4</v>
      </c>
      <c r="M144" s="7">
        <f t="shared" si="69"/>
        <v>2171.3541666666665</v>
      </c>
      <c r="N144" s="7">
        <f t="shared" si="72"/>
        <v>2851.6491666666666</v>
      </c>
      <c r="O144" s="10"/>
      <c r="P144" s="10"/>
      <c r="Q144" s="10"/>
      <c r="R144" s="10"/>
      <c r="X144" s="10"/>
      <c r="Y144" s="10"/>
      <c r="Z144" s="10"/>
    </row>
    <row r="145" spans="1:26" s="9" customFormat="1" x14ac:dyDescent="0.15">
      <c r="A145" s="58" t="s">
        <v>1002</v>
      </c>
      <c r="B145" s="9">
        <v>1</v>
      </c>
      <c r="C145" s="9">
        <v>12</v>
      </c>
      <c r="D145" s="9">
        <v>897</v>
      </c>
      <c r="H145" s="9">
        <v>500</v>
      </c>
      <c r="I145" s="9">
        <v>2000</v>
      </c>
      <c r="J145" s="9">
        <f t="shared" ref="J145:J155" si="79">SUM(I145:I145)</f>
        <v>2000</v>
      </c>
      <c r="K145" s="9">
        <f t="shared" ref="K145:K155" si="80">IF(J145&gt;$P$14,$R$15,IF(J145&gt;$P$13,$R$14,$R$13))*J145</f>
        <v>0.5</v>
      </c>
      <c r="L145" s="9">
        <f t="shared" ref="L145:L155" si="81">IF(D145&gt;$P$10,$R$11,IF(D145&gt;$P$9,$R$10,IF(D145&gt;$P$8,$R$9,IF(D145&gt;$P$7,$R$8,IF(D145&gt;$P$6,$R$7,IF(D145&gt;$P$5,$R$6,IF(D145&gt;$P$4,$R$5,IF(D145&gt;$P$3,$R$4,IF(D145&gt;$P$2,$R$3,$R$2)))))))))</f>
        <v>5.5555555555555558E-3</v>
      </c>
      <c r="M145" s="9">
        <f t="shared" ref="M145:M155" si="82">D145*L145</f>
        <v>4.9833333333333334</v>
      </c>
      <c r="N145" s="9">
        <f t="shared" ref="N145:N155" si="83">K145+M145</f>
        <v>5.4833333333333334</v>
      </c>
      <c r="T145" s="9">
        <v>1</v>
      </c>
      <c r="V145" s="9">
        <v>1</v>
      </c>
      <c r="X145" s="12"/>
      <c r="Y145" s="12"/>
      <c r="Z145" s="12"/>
    </row>
    <row r="146" spans="1:26" s="9" customFormat="1" x14ac:dyDescent="0.15">
      <c r="A146" s="57"/>
      <c r="B146" s="9">
        <v>2</v>
      </c>
      <c r="C146" s="9">
        <v>18</v>
      </c>
      <c r="D146" s="9">
        <v>1815</v>
      </c>
      <c r="H146" s="9">
        <f t="shared" ref="H146:I154" si="84">H145*2</f>
        <v>1000</v>
      </c>
      <c r="I146" s="9">
        <f t="shared" si="84"/>
        <v>4000</v>
      </c>
      <c r="J146" s="9">
        <f t="shared" si="79"/>
        <v>4000</v>
      </c>
      <c r="K146" s="9">
        <f t="shared" si="80"/>
        <v>1</v>
      </c>
      <c r="L146" s="9">
        <f t="shared" si="81"/>
        <v>2.7777777777777779E-3</v>
      </c>
      <c r="M146" s="9">
        <f t="shared" si="82"/>
        <v>5.041666666666667</v>
      </c>
      <c r="N146" s="9">
        <f t="shared" si="83"/>
        <v>6.041666666666667</v>
      </c>
      <c r="T146" s="9">
        <v>2</v>
      </c>
      <c r="V146" s="9">
        <v>1</v>
      </c>
    </row>
    <row r="147" spans="1:26" s="9" customFormat="1" x14ac:dyDescent="0.15">
      <c r="A147" s="57"/>
      <c r="B147" s="9">
        <v>3</v>
      </c>
      <c r="C147" s="9">
        <v>28</v>
      </c>
      <c r="D147" s="9">
        <v>3678</v>
      </c>
      <c r="H147" s="9">
        <f t="shared" si="84"/>
        <v>2000</v>
      </c>
      <c r="I147" s="9">
        <f t="shared" si="84"/>
        <v>8000</v>
      </c>
      <c r="J147" s="9">
        <f t="shared" si="79"/>
        <v>8000</v>
      </c>
      <c r="K147" s="9">
        <f t="shared" si="80"/>
        <v>2</v>
      </c>
      <c r="L147" s="9">
        <f t="shared" si="81"/>
        <v>1.6666666666666668E-3</v>
      </c>
      <c r="M147" s="9">
        <f t="shared" si="82"/>
        <v>6.1300000000000008</v>
      </c>
      <c r="N147" s="9">
        <f t="shared" si="83"/>
        <v>8.1300000000000008</v>
      </c>
      <c r="T147" s="9">
        <v>3</v>
      </c>
      <c r="V147" s="9">
        <v>1</v>
      </c>
    </row>
    <row r="148" spans="1:26" s="9" customFormat="1" x14ac:dyDescent="0.15">
      <c r="A148" s="57"/>
      <c r="B148" s="9">
        <v>4</v>
      </c>
      <c r="C148" s="9">
        <v>49</v>
      </c>
      <c r="D148" s="9">
        <v>7447</v>
      </c>
      <c r="H148" s="9">
        <f t="shared" si="84"/>
        <v>4000</v>
      </c>
      <c r="I148" s="9">
        <f t="shared" si="84"/>
        <v>16000</v>
      </c>
      <c r="J148" s="9">
        <f t="shared" si="79"/>
        <v>16000</v>
      </c>
      <c r="K148" s="9">
        <f t="shared" si="80"/>
        <v>4</v>
      </c>
      <c r="L148" s="9">
        <f t="shared" si="81"/>
        <v>1.6666666666666668E-3</v>
      </c>
      <c r="M148" s="9">
        <f t="shared" si="82"/>
        <v>12.411666666666667</v>
      </c>
      <c r="N148" s="9">
        <f t="shared" si="83"/>
        <v>16.411666666666669</v>
      </c>
      <c r="T148" s="9">
        <v>4</v>
      </c>
      <c r="V148" s="9">
        <v>1</v>
      </c>
    </row>
    <row r="149" spans="1:26" s="9" customFormat="1" x14ac:dyDescent="0.15">
      <c r="A149" s="57"/>
      <c r="B149" s="9">
        <v>5</v>
      </c>
      <c r="C149" s="9">
        <v>64</v>
      </c>
      <c r="D149" s="9">
        <v>15082</v>
      </c>
      <c r="H149" s="9">
        <f t="shared" si="84"/>
        <v>8000</v>
      </c>
      <c r="I149" s="9">
        <f t="shared" si="84"/>
        <v>32000</v>
      </c>
      <c r="J149" s="9">
        <f t="shared" si="79"/>
        <v>32000</v>
      </c>
      <c r="K149" s="9">
        <f t="shared" si="80"/>
        <v>8</v>
      </c>
      <c r="L149" s="9">
        <f t="shared" si="81"/>
        <v>1.3888888888888889E-3</v>
      </c>
      <c r="M149" s="9">
        <f t="shared" si="82"/>
        <v>20.947222222222223</v>
      </c>
      <c r="N149" s="9">
        <f t="shared" si="83"/>
        <v>28.947222222222223</v>
      </c>
      <c r="T149" s="9">
        <v>5</v>
      </c>
      <c r="V149" s="9">
        <v>2</v>
      </c>
    </row>
    <row r="150" spans="1:26" s="9" customFormat="1" x14ac:dyDescent="0.15">
      <c r="A150" s="57"/>
      <c r="B150" s="9">
        <v>6</v>
      </c>
      <c r="C150" s="9">
        <v>90</v>
      </c>
      <c r="D150" s="9">
        <v>30543</v>
      </c>
      <c r="H150" s="9">
        <f t="shared" si="84"/>
        <v>16000</v>
      </c>
      <c r="I150" s="9">
        <f t="shared" si="84"/>
        <v>64000</v>
      </c>
      <c r="J150" s="9">
        <f t="shared" si="79"/>
        <v>64000</v>
      </c>
      <c r="K150" s="9">
        <f t="shared" si="80"/>
        <v>16</v>
      </c>
      <c r="L150" s="9">
        <f t="shared" si="81"/>
        <v>1.2037037037037038E-3</v>
      </c>
      <c r="M150" s="9">
        <f t="shared" si="82"/>
        <v>36.764722222222225</v>
      </c>
      <c r="N150" s="9">
        <f t="shared" si="83"/>
        <v>52.764722222222225</v>
      </c>
      <c r="T150" s="9">
        <v>6</v>
      </c>
      <c r="V150" s="9">
        <v>4</v>
      </c>
    </row>
    <row r="151" spans="1:26" s="9" customFormat="1" x14ac:dyDescent="0.15">
      <c r="A151" s="57"/>
      <c r="B151" s="9">
        <v>7</v>
      </c>
      <c r="C151" s="9">
        <v>168</v>
      </c>
      <c r="D151" s="9">
        <v>61849</v>
      </c>
      <c r="H151" s="9">
        <f t="shared" si="84"/>
        <v>32000</v>
      </c>
      <c r="I151" s="9">
        <f t="shared" si="84"/>
        <v>128000</v>
      </c>
      <c r="J151" s="9">
        <f t="shared" si="79"/>
        <v>128000</v>
      </c>
      <c r="K151" s="9">
        <f t="shared" si="80"/>
        <v>28.16</v>
      </c>
      <c r="L151" s="9">
        <f t="shared" si="81"/>
        <v>1.0995370370370371E-3</v>
      </c>
      <c r="M151" s="9">
        <f t="shared" si="82"/>
        <v>68.005266203703712</v>
      </c>
      <c r="N151" s="9">
        <f t="shared" si="83"/>
        <v>96.165266203703709</v>
      </c>
      <c r="T151" s="9">
        <v>7</v>
      </c>
      <c r="V151" s="9">
        <v>6</v>
      </c>
    </row>
    <row r="152" spans="1:26" s="9" customFormat="1" x14ac:dyDescent="0.15">
      <c r="A152" s="57"/>
      <c r="B152" s="9">
        <v>8</v>
      </c>
      <c r="C152" s="9">
        <v>290</v>
      </c>
      <c r="D152" s="9">
        <v>125247</v>
      </c>
      <c r="H152" s="9">
        <f t="shared" si="84"/>
        <v>64000</v>
      </c>
      <c r="I152" s="9">
        <f t="shared" si="84"/>
        <v>256000</v>
      </c>
      <c r="J152" s="9">
        <f t="shared" si="79"/>
        <v>256000</v>
      </c>
      <c r="K152" s="9">
        <f t="shared" si="80"/>
        <v>48.64</v>
      </c>
      <c r="L152" s="9">
        <f t="shared" si="81"/>
        <v>9.7222222222222219E-4</v>
      </c>
      <c r="M152" s="9">
        <f t="shared" si="82"/>
        <v>121.76791666666666</v>
      </c>
      <c r="N152" s="9">
        <f t="shared" si="83"/>
        <v>170.40791666666667</v>
      </c>
      <c r="T152" s="9">
        <v>8</v>
      </c>
      <c r="V152" s="9">
        <v>8</v>
      </c>
    </row>
    <row r="153" spans="1:26" s="9" customFormat="1" x14ac:dyDescent="0.15">
      <c r="A153" s="57"/>
      <c r="B153" s="9">
        <v>9</v>
      </c>
      <c r="C153" s="9">
        <v>571</v>
      </c>
      <c r="D153" s="9">
        <v>253624</v>
      </c>
      <c r="H153" s="9">
        <f t="shared" si="84"/>
        <v>128000</v>
      </c>
      <c r="I153" s="9">
        <f t="shared" si="84"/>
        <v>512000</v>
      </c>
      <c r="J153" s="9">
        <f t="shared" si="79"/>
        <v>512000</v>
      </c>
      <c r="K153" s="9">
        <f t="shared" si="80"/>
        <v>97.28</v>
      </c>
      <c r="L153" s="9">
        <f t="shared" si="81"/>
        <v>7.9571759259259255E-4</v>
      </c>
      <c r="M153" s="9">
        <f t="shared" si="82"/>
        <v>201.8130787037037</v>
      </c>
      <c r="N153" s="9">
        <f t="shared" si="83"/>
        <v>299.09307870370367</v>
      </c>
      <c r="T153" s="9">
        <v>10</v>
      </c>
      <c r="V153" s="9">
        <v>10</v>
      </c>
    </row>
    <row r="154" spans="1:26" s="9" customFormat="1" x14ac:dyDescent="0.15">
      <c r="A154" s="57"/>
      <c r="B154" s="9">
        <v>10</v>
      </c>
      <c r="C154" s="9">
        <v>706</v>
      </c>
      <c r="D154" s="9">
        <v>513591</v>
      </c>
      <c r="H154" s="9">
        <f t="shared" si="84"/>
        <v>256000</v>
      </c>
      <c r="I154" s="9">
        <f t="shared" si="84"/>
        <v>1024000</v>
      </c>
      <c r="J154" s="9">
        <f t="shared" si="79"/>
        <v>1024000</v>
      </c>
      <c r="K154" s="9">
        <f t="shared" si="80"/>
        <v>194.56</v>
      </c>
      <c r="L154" s="9">
        <f t="shared" si="81"/>
        <v>7.9571759259259255E-4</v>
      </c>
      <c r="M154" s="9">
        <f t="shared" si="82"/>
        <v>408.67339409722217</v>
      </c>
      <c r="N154" s="9">
        <f t="shared" si="83"/>
        <v>603.23339409722212</v>
      </c>
      <c r="T154" s="9">
        <v>20</v>
      </c>
      <c r="V154" s="9">
        <v>20</v>
      </c>
    </row>
    <row r="155" spans="1:26" s="24" customFormat="1" x14ac:dyDescent="0.15">
      <c r="A155" s="57"/>
      <c r="B155" s="24" t="s">
        <v>173</v>
      </c>
      <c r="C155" s="24">
        <f t="shared" ref="C155" si="85">SUM(C145:C154)</f>
        <v>1996</v>
      </c>
      <c r="D155" s="24">
        <f>SUM(D145:D154)</f>
        <v>1013773</v>
      </c>
      <c r="E155" s="24">
        <f>SUM(E145:E154)</f>
        <v>0</v>
      </c>
      <c r="F155" s="24">
        <f>SUM(F145:F154)</f>
        <v>0</v>
      </c>
      <c r="G155" s="24">
        <f>SUM(G145:G154)</f>
        <v>0</v>
      </c>
      <c r="H155" s="24">
        <f>SUM(H145:H154)</f>
        <v>511500</v>
      </c>
      <c r="I155" s="24">
        <f t="shared" ref="I155" si="86">SUM(I145:I154)</f>
        <v>2046000</v>
      </c>
      <c r="J155" s="24">
        <f t="shared" si="79"/>
        <v>2046000</v>
      </c>
      <c r="K155" s="24">
        <f t="shared" si="80"/>
        <v>388.74</v>
      </c>
      <c r="L155" s="24">
        <f t="shared" si="81"/>
        <v>7.9571759259259255E-4</v>
      </c>
      <c r="M155" s="24">
        <f t="shared" si="82"/>
        <v>806.67701099537032</v>
      </c>
      <c r="N155" s="24">
        <f t="shared" si="83"/>
        <v>1195.4170109953702</v>
      </c>
    </row>
    <row r="156" spans="1:26" s="9" customFormat="1" x14ac:dyDescent="0.15">
      <c r="A156" s="58" t="s">
        <v>1003</v>
      </c>
      <c r="B156" s="9">
        <v>1</v>
      </c>
      <c r="C156" s="9">
        <f>INT(C145*1.5)</f>
        <v>18</v>
      </c>
      <c r="D156" s="9">
        <v>980</v>
      </c>
      <c r="E156" s="9">
        <v>800</v>
      </c>
      <c r="F156" s="9">
        <v>800</v>
      </c>
      <c r="G156" s="9">
        <v>500</v>
      </c>
      <c r="H156" s="9">
        <v>400</v>
      </c>
      <c r="I156" s="9">
        <v>10000</v>
      </c>
      <c r="J156" s="9">
        <f t="shared" si="68"/>
        <v>10000</v>
      </c>
      <c r="K156" s="9">
        <f t="shared" si="70"/>
        <v>2.5</v>
      </c>
      <c r="L156" s="9">
        <f t="shared" si="71"/>
        <v>2.7777777777777779E-3</v>
      </c>
      <c r="M156" s="9">
        <f t="shared" si="69"/>
        <v>2.7222222222222223</v>
      </c>
      <c r="N156" s="9">
        <f t="shared" si="72"/>
        <v>5.2222222222222223</v>
      </c>
      <c r="T156" s="9">
        <v>10</v>
      </c>
      <c r="U156" s="9">
        <v>10</v>
      </c>
      <c r="X156" s="12"/>
      <c r="Y156" s="12"/>
      <c r="Z156" s="12"/>
    </row>
    <row r="157" spans="1:26" s="9" customFormat="1" x14ac:dyDescent="0.15">
      <c r="A157" s="57"/>
      <c r="B157" s="9">
        <v>2</v>
      </c>
      <c r="C157" s="9">
        <f t="shared" ref="C157:C165" si="87">INT(C146*1.5)</f>
        <v>27</v>
      </c>
      <c r="D157" s="9">
        <f>D156*2</f>
        <v>1960</v>
      </c>
      <c r="E157" s="9">
        <f>E156*2</f>
        <v>1600</v>
      </c>
      <c r="F157" s="9">
        <f t="shared" ref="F157:R157" si="88">F156*2</f>
        <v>1600</v>
      </c>
      <c r="G157" s="9">
        <f t="shared" si="88"/>
        <v>1000</v>
      </c>
      <c r="H157" s="9">
        <f t="shared" si="88"/>
        <v>800</v>
      </c>
      <c r="I157" s="9">
        <f t="shared" si="88"/>
        <v>20000</v>
      </c>
      <c r="J157" s="9">
        <f t="shared" si="88"/>
        <v>20000</v>
      </c>
      <c r="K157" s="9">
        <f t="shared" si="88"/>
        <v>5</v>
      </c>
      <c r="L157" s="9">
        <f t="shared" si="88"/>
        <v>5.5555555555555558E-3</v>
      </c>
      <c r="M157" s="9">
        <f t="shared" si="88"/>
        <v>5.4444444444444446</v>
      </c>
      <c r="N157" s="9">
        <f t="shared" si="88"/>
        <v>10.444444444444445</v>
      </c>
      <c r="O157" s="9">
        <f t="shared" si="88"/>
        <v>0</v>
      </c>
      <c r="P157" s="9">
        <f t="shared" si="88"/>
        <v>0</v>
      </c>
      <c r="Q157" s="9">
        <f t="shared" si="88"/>
        <v>0</v>
      </c>
      <c r="R157" s="9">
        <f t="shared" si="88"/>
        <v>0</v>
      </c>
      <c r="T157" s="9">
        <v>10</v>
      </c>
      <c r="U157" s="9">
        <v>10</v>
      </c>
    </row>
    <row r="158" spans="1:26" s="9" customFormat="1" x14ac:dyDescent="0.15">
      <c r="A158" s="57"/>
      <c r="B158" s="9">
        <v>3</v>
      </c>
      <c r="C158" s="9">
        <f t="shared" si="87"/>
        <v>42</v>
      </c>
      <c r="D158" s="9">
        <f t="shared" ref="D158:D165" si="89">D157*2</f>
        <v>3920</v>
      </c>
      <c r="E158" s="9">
        <f t="shared" ref="E158:E165" si="90">E157*2</f>
        <v>3200</v>
      </c>
      <c r="F158" s="9">
        <f t="shared" ref="F158:F165" si="91">F157*2</f>
        <v>3200</v>
      </c>
      <c r="G158" s="9">
        <f t="shared" ref="G158:G165" si="92">G157*2</f>
        <v>2000</v>
      </c>
      <c r="H158" s="9">
        <f t="shared" ref="H158:H165" si="93">H157*2</f>
        <v>1600</v>
      </c>
      <c r="I158" s="9">
        <f t="shared" ref="I158:I165" si="94">I157*2</f>
        <v>40000</v>
      </c>
      <c r="J158" s="9">
        <f t="shared" si="68"/>
        <v>40000</v>
      </c>
      <c r="K158" s="9">
        <f t="shared" si="70"/>
        <v>10</v>
      </c>
      <c r="L158" s="9">
        <f t="shared" si="71"/>
        <v>1.6666666666666668E-3</v>
      </c>
      <c r="M158" s="9">
        <f t="shared" si="69"/>
        <v>6.5333333333333341</v>
      </c>
      <c r="N158" s="9">
        <f t="shared" si="72"/>
        <v>16.533333333333335</v>
      </c>
      <c r="T158" s="9">
        <v>10</v>
      </c>
      <c r="U158" s="9">
        <v>10</v>
      </c>
    </row>
    <row r="159" spans="1:26" s="9" customFormat="1" x14ac:dyDescent="0.15">
      <c r="A159" s="57"/>
      <c r="B159" s="9">
        <v>4</v>
      </c>
      <c r="C159" s="9">
        <f t="shared" si="87"/>
        <v>73</v>
      </c>
      <c r="D159" s="9">
        <f t="shared" si="89"/>
        <v>7840</v>
      </c>
      <c r="E159" s="9">
        <f t="shared" si="90"/>
        <v>6400</v>
      </c>
      <c r="F159" s="9">
        <f t="shared" si="91"/>
        <v>6400</v>
      </c>
      <c r="G159" s="9">
        <f t="shared" si="92"/>
        <v>4000</v>
      </c>
      <c r="H159" s="9">
        <f t="shared" si="93"/>
        <v>3200</v>
      </c>
      <c r="I159" s="9">
        <f t="shared" si="94"/>
        <v>80000</v>
      </c>
      <c r="J159" s="9">
        <f t="shared" si="68"/>
        <v>80000</v>
      </c>
      <c r="K159" s="9">
        <f t="shared" si="70"/>
        <v>20</v>
      </c>
      <c r="L159" s="9">
        <f t="shared" si="71"/>
        <v>1.6666666666666668E-3</v>
      </c>
      <c r="M159" s="9">
        <f t="shared" si="69"/>
        <v>13.066666666666668</v>
      </c>
      <c r="N159" s="9">
        <f t="shared" si="72"/>
        <v>33.06666666666667</v>
      </c>
      <c r="T159" s="9">
        <v>10</v>
      </c>
      <c r="U159" s="9">
        <v>10</v>
      </c>
    </row>
    <row r="160" spans="1:26" s="9" customFormat="1" x14ac:dyDescent="0.15">
      <c r="A160" s="57"/>
      <c r="B160" s="9">
        <v>5</v>
      </c>
      <c r="C160" s="9">
        <f t="shared" si="87"/>
        <v>96</v>
      </c>
      <c r="D160" s="9">
        <f t="shared" si="89"/>
        <v>15680</v>
      </c>
      <c r="E160" s="9">
        <f t="shared" si="90"/>
        <v>12800</v>
      </c>
      <c r="F160" s="9">
        <f t="shared" si="91"/>
        <v>12800</v>
      </c>
      <c r="G160" s="9">
        <f t="shared" si="92"/>
        <v>8000</v>
      </c>
      <c r="H160" s="9">
        <f t="shared" si="93"/>
        <v>6400</v>
      </c>
      <c r="I160" s="9">
        <f t="shared" si="94"/>
        <v>160000</v>
      </c>
      <c r="J160" s="9">
        <f t="shared" si="68"/>
        <v>160000</v>
      </c>
      <c r="K160" s="9">
        <f t="shared" si="70"/>
        <v>35.200000000000003</v>
      </c>
      <c r="L160" s="9">
        <f t="shared" si="71"/>
        <v>1.3888888888888889E-3</v>
      </c>
      <c r="M160" s="9">
        <f t="shared" si="69"/>
        <v>21.777777777777779</v>
      </c>
      <c r="N160" s="9">
        <f t="shared" si="72"/>
        <v>56.977777777777781</v>
      </c>
      <c r="T160" s="9">
        <v>10</v>
      </c>
      <c r="U160" s="9">
        <v>10</v>
      </c>
    </row>
    <row r="161" spans="1:21" s="9" customFormat="1" x14ac:dyDescent="0.15">
      <c r="A161" s="57"/>
      <c r="B161" s="9">
        <v>6</v>
      </c>
      <c r="C161" s="9">
        <f t="shared" si="87"/>
        <v>135</v>
      </c>
      <c r="D161" s="9">
        <f t="shared" si="89"/>
        <v>31360</v>
      </c>
      <c r="E161" s="9">
        <f t="shared" si="90"/>
        <v>25600</v>
      </c>
      <c r="F161" s="9">
        <f t="shared" si="91"/>
        <v>25600</v>
      </c>
      <c r="G161" s="9">
        <f t="shared" si="92"/>
        <v>16000</v>
      </c>
      <c r="H161" s="9">
        <f t="shared" si="93"/>
        <v>12800</v>
      </c>
      <c r="I161" s="9">
        <f t="shared" si="94"/>
        <v>320000</v>
      </c>
      <c r="J161" s="9">
        <f t="shared" si="68"/>
        <v>320000</v>
      </c>
      <c r="K161" s="9">
        <f t="shared" si="70"/>
        <v>60.800000000000004</v>
      </c>
      <c r="L161" s="9">
        <f t="shared" si="71"/>
        <v>1.2037037037037038E-3</v>
      </c>
      <c r="M161" s="9">
        <f t="shared" si="69"/>
        <v>37.748148148148154</v>
      </c>
      <c r="N161" s="9">
        <f t="shared" si="72"/>
        <v>98.548148148148158</v>
      </c>
      <c r="T161" s="9">
        <v>12</v>
      </c>
      <c r="U161" s="9">
        <v>12</v>
      </c>
    </row>
    <row r="162" spans="1:21" s="9" customFormat="1" x14ac:dyDescent="0.15">
      <c r="A162" s="57"/>
      <c r="B162" s="9">
        <v>7</v>
      </c>
      <c r="C162" s="9">
        <f t="shared" si="87"/>
        <v>252</v>
      </c>
      <c r="D162" s="9">
        <f t="shared" si="89"/>
        <v>62720</v>
      </c>
      <c r="E162" s="9">
        <f t="shared" si="90"/>
        <v>51200</v>
      </c>
      <c r="F162" s="9">
        <f t="shared" si="91"/>
        <v>51200</v>
      </c>
      <c r="G162" s="9">
        <f t="shared" si="92"/>
        <v>32000</v>
      </c>
      <c r="H162" s="9">
        <f t="shared" si="93"/>
        <v>25600</v>
      </c>
      <c r="I162" s="9">
        <f t="shared" si="94"/>
        <v>640000</v>
      </c>
      <c r="J162" s="9">
        <f t="shared" si="68"/>
        <v>640000</v>
      </c>
      <c r="K162" s="9">
        <f t="shared" si="70"/>
        <v>121.60000000000001</v>
      </c>
      <c r="L162" s="9">
        <f t="shared" si="71"/>
        <v>1.0995370370370371E-3</v>
      </c>
      <c r="M162" s="9">
        <f t="shared" si="69"/>
        <v>68.962962962962962</v>
      </c>
      <c r="N162" s="9">
        <f t="shared" si="72"/>
        <v>190.56296296296296</v>
      </c>
      <c r="T162" s="9">
        <v>14</v>
      </c>
      <c r="U162" s="9">
        <v>14</v>
      </c>
    </row>
    <row r="163" spans="1:21" s="9" customFormat="1" x14ac:dyDescent="0.15">
      <c r="A163" s="57"/>
      <c r="B163" s="9">
        <v>8</v>
      </c>
      <c r="C163" s="9">
        <f t="shared" si="87"/>
        <v>435</v>
      </c>
      <c r="D163" s="9">
        <f t="shared" si="89"/>
        <v>125440</v>
      </c>
      <c r="E163" s="9">
        <f t="shared" si="90"/>
        <v>102400</v>
      </c>
      <c r="F163" s="9">
        <f t="shared" si="91"/>
        <v>102400</v>
      </c>
      <c r="G163" s="9">
        <f t="shared" si="92"/>
        <v>64000</v>
      </c>
      <c r="H163" s="9">
        <f t="shared" si="93"/>
        <v>51200</v>
      </c>
      <c r="I163" s="9">
        <f t="shared" si="94"/>
        <v>1280000</v>
      </c>
      <c r="J163" s="9">
        <f t="shared" si="68"/>
        <v>1280000</v>
      </c>
      <c r="K163" s="9">
        <f t="shared" si="70"/>
        <v>243.20000000000002</v>
      </c>
      <c r="L163" s="9">
        <f t="shared" si="71"/>
        <v>9.7222222222222219E-4</v>
      </c>
      <c r="M163" s="9">
        <f t="shared" si="69"/>
        <v>121.95555555555555</v>
      </c>
      <c r="N163" s="9">
        <f t="shared" si="72"/>
        <v>365.15555555555557</v>
      </c>
      <c r="T163" s="9">
        <v>16</v>
      </c>
      <c r="U163" s="9">
        <v>16</v>
      </c>
    </row>
    <row r="164" spans="1:21" s="9" customFormat="1" x14ac:dyDescent="0.15">
      <c r="A164" s="57"/>
      <c r="B164" s="9">
        <v>9</v>
      </c>
      <c r="C164" s="9">
        <f t="shared" si="87"/>
        <v>856</v>
      </c>
      <c r="D164" s="9">
        <f t="shared" si="89"/>
        <v>250880</v>
      </c>
      <c r="E164" s="9">
        <f t="shared" si="90"/>
        <v>204800</v>
      </c>
      <c r="F164" s="9">
        <f t="shared" si="91"/>
        <v>204800</v>
      </c>
      <c r="G164" s="9">
        <f t="shared" si="92"/>
        <v>128000</v>
      </c>
      <c r="H164" s="9">
        <f t="shared" si="93"/>
        <v>102400</v>
      </c>
      <c r="I164" s="9">
        <f t="shared" si="94"/>
        <v>2560000</v>
      </c>
      <c r="J164" s="9">
        <f t="shared" si="68"/>
        <v>2560000</v>
      </c>
      <c r="K164" s="9">
        <f t="shared" si="70"/>
        <v>486.40000000000003</v>
      </c>
      <c r="L164" s="9">
        <f t="shared" si="71"/>
        <v>7.9571759259259255E-4</v>
      </c>
      <c r="M164" s="9">
        <f t="shared" si="69"/>
        <v>199.62962962962962</v>
      </c>
      <c r="N164" s="9">
        <f t="shared" si="72"/>
        <v>686.02962962962965</v>
      </c>
      <c r="T164" s="9">
        <v>18</v>
      </c>
      <c r="U164" s="9">
        <v>18</v>
      </c>
    </row>
    <row r="165" spans="1:21" s="9" customFormat="1" x14ac:dyDescent="0.15">
      <c r="A165" s="57"/>
      <c r="B165" s="9">
        <v>10</v>
      </c>
      <c r="C165" s="9">
        <f t="shared" si="87"/>
        <v>1059</v>
      </c>
      <c r="D165" s="9">
        <f t="shared" si="89"/>
        <v>501760</v>
      </c>
      <c r="E165" s="9">
        <f t="shared" si="90"/>
        <v>409600</v>
      </c>
      <c r="F165" s="9">
        <f t="shared" si="91"/>
        <v>409600</v>
      </c>
      <c r="G165" s="9">
        <f t="shared" si="92"/>
        <v>256000</v>
      </c>
      <c r="H165" s="9">
        <f t="shared" si="93"/>
        <v>204800</v>
      </c>
      <c r="I165" s="9">
        <f t="shared" si="94"/>
        <v>5120000</v>
      </c>
      <c r="J165" s="9">
        <f t="shared" si="68"/>
        <v>5120000</v>
      </c>
      <c r="K165" s="9">
        <f t="shared" si="70"/>
        <v>972.80000000000007</v>
      </c>
      <c r="L165" s="9">
        <f t="shared" si="71"/>
        <v>7.9571759259259255E-4</v>
      </c>
      <c r="M165" s="9">
        <f t="shared" si="69"/>
        <v>399.25925925925924</v>
      </c>
      <c r="N165" s="9">
        <f t="shared" si="72"/>
        <v>1372.0592592592593</v>
      </c>
      <c r="T165" s="9">
        <v>20</v>
      </c>
      <c r="U165" s="9">
        <v>20</v>
      </c>
    </row>
    <row r="166" spans="1:21" x14ac:dyDescent="0.15">
      <c r="A166" s="57"/>
      <c r="B166" s="7" t="s">
        <v>173</v>
      </c>
      <c r="C166" s="7">
        <f t="shared" ref="C166" si="95">SUM(C156:C165)</f>
        <v>2993</v>
      </c>
      <c r="D166" s="7">
        <f>SUM(D156:D165)</f>
        <v>1002540</v>
      </c>
      <c r="E166" s="7">
        <f>SUM(E156:E165)</f>
        <v>818400</v>
      </c>
      <c r="F166" s="7">
        <f>SUM(F156:F165)</f>
        <v>818400</v>
      </c>
      <c r="G166" s="7">
        <f>SUM(G156:G165)</f>
        <v>511500</v>
      </c>
      <c r="H166" s="7">
        <f>SUM(H156:H165)</f>
        <v>409200</v>
      </c>
      <c r="I166" s="7">
        <f t="shared" ref="I166" si="96">SUM(I156:I165)</f>
        <v>10230000</v>
      </c>
      <c r="J166" s="7">
        <f t="shared" si="68"/>
        <v>10230000</v>
      </c>
      <c r="K166" s="7">
        <f t="shared" si="70"/>
        <v>1943.7</v>
      </c>
      <c r="L166" s="7">
        <f t="shared" si="71"/>
        <v>7.9571759259259255E-4</v>
      </c>
      <c r="M166" s="7">
        <f t="shared" si="69"/>
        <v>797.73871527777771</v>
      </c>
      <c r="N166" s="7">
        <f t="shared" si="72"/>
        <v>2741.4387152777776</v>
      </c>
    </row>
    <row r="168" spans="1:21" x14ac:dyDescent="0.15">
      <c r="B168" s="24" t="s">
        <v>999</v>
      </c>
      <c r="C168" s="7">
        <f>SUM(C2:C166)/2-1996</f>
        <v>37033</v>
      </c>
      <c r="D168" s="24">
        <f t="shared" ref="D168:R168" si="97">SUM(D2:D166)/2</f>
        <v>21786797</v>
      </c>
      <c r="E168" s="24">
        <f t="shared" si="97"/>
        <v>11866800</v>
      </c>
      <c r="F168" s="24">
        <f t="shared" si="97"/>
        <v>1943700</v>
      </c>
      <c r="G168" s="24">
        <f t="shared" si="97"/>
        <v>12787500</v>
      </c>
      <c r="H168" s="24">
        <f t="shared" si="97"/>
        <v>2352900</v>
      </c>
      <c r="I168" s="24">
        <f t="shared" si="97"/>
        <v>52991400</v>
      </c>
      <c r="J168" s="24">
        <f t="shared" si="97"/>
        <v>52991400</v>
      </c>
      <c r="K168" s="24">
        <f t="shared" si="97"/>
        <v>10173.804000000002</v>
      </c>
      <c r="L168" s="24">
        <f t="shared" si="97"/>
        <v>0.13745659722222212</v>
      </c>
      <c r="M168" s="24">
        <f t="shared" si="97"/>
        <v>18014.554289641204</v>
      </c>
      <c r="N168" s="24">
        <f t="shared" si="97"/>
        <v>28188.35828964119</v>
      </c>
      <c r="O168" s="24">
        <f t="shared" si="97"/>
        <v>0</v>
      </c>
      <c r="P168" s="24">
        <f t="shared" si="97"/>
        <v>787330</v>
      </c>
      <c r="Q168" s="24">
        <f t="shared" si="97"/>
        <v>444.5</v>
      </c>
      <c r="R168" s="24">
        <f t="shared" si="97"/>
        <v>2.1393368055555556E-2</v>
      </c>
    </row>
    <row r="169" spans="1:21" x14ac:dyDescent="0.15">
      <c r="B169" s="24" t="s">
        <v>1000</v>
      </c>
      <c r="C169" s="7">
        <f>建筑消耗!P415</f>
        <v>36861</v>
      </c>
      <c r="D169" s="7">
        <f>建筑消耗!C419</f>
        <v>12582863.072876338</v>
      </c>
      <c r="E169" s="24">
        <f>建筑消耗!E415</f>
        <v>9932175</v>
      </c>
      <c r="F169" s="24">
        <f>建筑消耗!F415</f>
        <v>26144256</v>
      </c>
      <c r="G169" s="24">
        <f>建筑消耗!G415</f>
        <v>35401543</v>
      </c>
      <c r="H169" s="24">
        <f>建筑消耗!H415</f>
        <v>8916651</v>
      </c>
      <c r="I169" s="24">
        <f>建筑消耗!I415</f>
        <v>3826133</v>
      </c>
      <c r="J169" s="24">
        <f>建筑消耗!J415</f>
        <v>0</v>
      </c>
      <c r="K169" s="24">
        <f>建筑消耗!K415</f>
        <v>0</v>
      </c>
      <c r="L169" s="24">
        <f>建筑消耗!L415</f>
        <v>0</v>
      </c>
      <c r="M169" s="24">
        <f>建筑消耗!M415</f>
        <v>0</v>
      </c>
      <c r="N169" s="24">
        <f>建筑消耗!N415</f>
        <v>0</v>
      </c>
      <c r="O169" s="24">
        <f>建筑消耗!O415</f>
        <v>0</v>
      </c>
      <c r="P169" s="24">
        <f>建筑消耗!P415</f>
        <v>36861</v>
      </c>
      <c r="Q169" s="24">
        <f>建筑消耗!Q415</f>
        <v>0</v>
      </c>
      <c r="R169" s="24">
        <f>建筑消耗!R415</f>
        <v>0</v>
      </c>
    </row>
    <row r="170" spans="1:21" x14ac:dyDescent="0.15">
      <c r="D170" s="7">
        <f>D168/3600/24</f>
        <v>252.1620023148148</v>
      </c>
    </row>
    <row r="171" spans="1:21" x14ac:dyDescent="0.15">
      <c r="D171" s="24">
        <f>D169/3600/24</f>
        <v>145.63498926940204</v>
      </c>
    </row>
    <row r="172" spans="1:21" x14ac:dyDescent="0.15">
      <c r="F172" s="24"/>
    </row>
  </sheetData>
  <mergeCells count="15">
    <mergeCell ref="A134:A144"/>
    <mergeCell ref="A156:A166"/>
    <mergeCell ref="A68:A78"/>
    <mergeCell ref="A79:A89"/>
    <mergeCell ref="A90:A100"/>
    <mergeCell ref="A101:A111"/>
    <mergeCell ref="A112:A122"/>
    <mergeCell ref="A123:A133"/>
    <mergeCell ref="A145:A155"/>
    <mergeCell ref="A57:A67"/>
    <mergeCell ref="A2:A12"/>
    <mergeCell ref="A13:A23"/>
    <mergeCell ref="A24:A34"/>
    <mergeCell ref="A35:A45"/>
    <mergeCell ref="A46:A56"/>
  </mergeCells>
  <phoneticPr fontId="1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K22"/>
  <sheetViews>
    <sheetView workbookViewId="0">
      <selection activeCell="I7" sqref="I7"/>
    </sheetView>
  </sheetViews>
  <sheetFormatPr defaultRowHeight="13.5" x14ac:dyDescent="0.15"/>
  <cols>
    <col min="2" max="2" width="15.125" bestFit="1" customWidth="1"/>
    <col min="5" max="5" width="12" customWidth="1"/>
    <col min="11" max="11" width="17.375" bestFit="1" customWidth="1"/>
  </cols>
  <sheetData>
    <row r="1" spans="1:11" x14ac:dyDescent="0.15">
      <c r="A1" t="s">
        <v>165</v>
      </c>
      <c r="B1" t="s">
        <v>166</v>
      </c>
      <c r="D1" t="s">
        <v>167</v>
      </c>
      <c r="E1" t="s">
        <v>168</v>
      </c>
      <c r="F1" t="s">
        <v>169</v>
      </c>
      <c r="G1" t="s">
        <v>170</v>
      </c>
      <c r="H1" t="s">
        <v>171</v>
      </c>
      <c r="I1" t="s">
        <v>172</v>
      </c>
      <c r="J1" t="s">
        <v>174</v>
      </c>
      <c r="K1" t="s">
        <v>175</v>
      </c>
    </row>
    <row r="2" spans="1:11" x14ac:dyDescent="0.15">
      <c r="A2">
        <v>1</v>
      </c>
      <c r="B2">
        <v>1</v>
      </c>
      <c r="D2">
        <v>1</v>
      </c>
      <c r="E2">
        <v>0</v>
      </c>
      <c r="F2">
        <v>5</v>
      </c>
      <c r="G2">
        <v>10</v>
      </c>
      <c r="H2">
        <v>1000</v>
      </c>
      <c r="I2">
        <v>50</v>
      </c>
      <c r="J2">
        <f>I2/$I$22</f>
        <v>0.50000000000000011</v>
      </c>
      <c r="K2">
        <f>$B$21*J2</f>
        <v>2.5000000000000004</v>
      </c>
    </row>
    <row r="3" spans="1:11" x14ac:dyDescent="0.15">
      <c r="A3">
        <v>2</v>
      </c>
      <c r="B3">
        <v>1</v>
      </c>
      <c r="D3">
        <v>2</v>
      </c>
      <c r="E3">
        <v>3</v>
      </c>
      <c r="F3">
        <v>5.5</v>
      </c>
      <c r="G3">
        <v>10.5</v>
      </c>
      <c r="H3">
        <v>2000</v>
      </c>
      <c r="I3">
        <v>20</v>
      </c>
      <c r="J3">
        <f t="shared" ref="J3:J21" si="0">I3/$I$22</f>
        <v>0.20000000000000004</v>
      </c>
      <c r="K3">
        <f t="shared" ref="K3:K21" si="1">$B$21*J3</f>
        <v>1.0000000000000002</v>
      </c>
    </row>
    <row r="4" spans="1:11" x14ac:dyDescent="0.15">
      <c r="A4">
        <v>3</v>
      </c>
      <c r="B4">
        <v>1</v>
      </c>
      <c r="D4">
        <v>3</v>
      </c>
      <c r="E4">
        <v>8</v>
      </c>
      <c r="F4">
        <v>6</v>
      </c>
      <c r="G4">
        <v>11</v>
      </c>
      <c r="H4">
        <v>3000</v>
      </c>
      <c r="I4">
        <v>10</v>
      </c>
      <c r="J4">
        <f t="shared" si="0"/>
        <v>0.10000000000000002</v>
      </c>
      <c r="K4">
        <f t="shared" si="1"/>
        <v>0.50000000000000011</v>
      </c>
    </row>
    <row r="5" spans="1:11" x14ac:dyDescent="0.15">
      <c r="A5">
        <v>4</v>
      </c>
      <c r="B5">
        <v>1</v>
      </c>
      <c r="D5">
        <v>4</v>
      </c>
      <c r="E5">
        <v>15</v>
      </c>
      <c r="F5">
        <v>6.5</v>
      </c>
      <c r="G5">
        <v>11.5</v>
      </c>
      <c r="H5">
        <v>4000</v>
      </c>
      <c r="I5">
        <v>5</v>
      </c>
      <c r="J5">
        <f t="shared" si="0"/>
        <v>5.000000000000001E-2</v>
      </c>
      <c r="K5">
        <f t="shared" si="1"/>
        <v>0.25000000000000006</v>
      </c>
    </row>
    <row r="6" spans="1:11" x14ac:dyDescent="0.15">
      <c r="A6">
        <v>5</v>
      </c>
      <c r="B6">
        <v>1</v>
      </c>
      <c r="D6">
        <v>5</v>
      </c>
      <c r="E6">
        <v>24</v>
      </c>
      <c r="F6">
        <v>7</v>
      </c>
      <c r="G6">
        <v>12</v>
      </c>
      <c r="H6">
        <v>5000</v>
      </c>
      <c r="I6">
        <v>4</v>
      </c>
      <c r="J6">
        <f t="shared" si="0"/>
        <v>4.0000000000000008E-2</v>
      </c>
      <c r="K6">
        <f t="shared" si="1"/>
        <v>0.20000000000000004</v>
      </c>
    </row>
    <row r="7" spans="1:11" x14ac:dyDescent="0.15">
      <c r="A7">
        <v>6</v>
      </c>
      <c r="B7">
        <v>1</v>
      </c>
      <c r="D7">
        <v>6</v>
      </c>
      <c r="E7">
        <v>35</v>
      </c>
      <c r="F7">
        <v>7.5</v>
      </c>
      <c r="G7">
        <v>12.5</v>
      </c>
      <c r="H7">
        <v>6000</v>
      </c>
      <c r="I7">
        <v>2</v>
      </c>
      <c r="J7">
        <f t="shared" si="0"/>
        <v>2.0000000000000004E-2</v>
      </c>
      <c r="K7">
        <f t="shared" si="1"/>
        <v>0.10000000000000002</v>
      </c>
    </row>
    <row r="8" spans="1:11" x14ac:dyDescent="0.15">
      <c r="A8">
        <v>7</v>
      </c>
      <c r="B8">
        <v>2</v>
      </c>
      <c r="D8">
        <v>7</v>
      </c>
      <c r="E8">
        <v>48</v>
      </c>
      <c r="F8">
        <v>8</v>
      </c>
      <c r="G8">
        <v>13</v>
      </c>
      <c r="H8">
        <v>7000</v>
      </c>
      <c r="I8">
        <v>1.8</v>
      </c>
      <c r="J8">
        <f t="shared" si="0"/>
        <v>1.8000000000000002E-2</v>
      </c>
      <c r="K8">
        <f t="shared" si="1"/>
        <v>9.0000000000000011E-2</v>
      </c>
    </row>
    <row r="9" spans="1:11" x14ac:dyDescent="0.15">
      <c r="A9">
        <v>8</v>
      </c>
      <c r="B9">
        <v>2</v>
      </c>
      <c r="D9">
        <v>8</v>
      </c>
      <c r="E9">
        <v>63</v>
      </c>
      <c r="F9">
        <v>8.5</v>
      </c>
      <c r="G9">
        <v>13.5</v>
      </c>
      <c r="H9">
        <v>8000</v>
      </c>
      <c r="I9">
        <v>1.5</v>
      </c>
      <c r="J9">
        <f t="shared" si="0"/>
        <v>1.5000000000000003E-2</v>
      </c>
      <c r="K9">
        <f t="shared" si="1"/>
        <v>7.5000000000000011E-2</v>
      </c>
    </row>
    <row r="10" spans="1:11" x14ac:dyDescent="0.15">
      <c r="A10">
        <v>9</v>
      </c>
      <c r="B10">
        <v>2</v>
      </c>
      <c r="D10">
        <v>9</v>
      </c>
      <c r="E10">
        <v>80</v>
      </c>
      <c r="F10">
        <v>9</v>
      </c>
      <c r="G10">
        <v>14</v>
      </c>
      <c r="H10">
        <v>9000</v>
      </c>
      <c r="I10">
        <v>1.25</v>
      </c>
      <c r="J10">
        <f t="shared" si="0"/>
        <v>1.2500000000000002E-2</v>
      </c>
      <c r="K10">
        <f t="shared" si="1"/>
        <v>6.2500000000000014E-2</v>
      </c>
    </row>
    <row r="11" spans="1:11" x14ac:dyDescent="0.15">
      <c r="A11">
        <v>10</v>
      </c>
      <c r="B11">
        <v>2</v>
      </c>
      <c r="D11">
        <v>10</v>
      </c>
      <c r="E11">
        <v>99</v>
      </c>
      <c r="F11">
        <v>9.5</v>
      </c>
      <c r="G11">
        <v>14.5</v>
      </c>
      <c r="H11">
        <v>10000</v>
      </c>
      <c r="I11">
        <v>1</v>
      </c>
      <c r="J11">
        <f t="shared" si="0"/>
        <v>1.0000000000000002E-2</v>
      </c>
      <c r="K11">
        <f t="shared" si="1"/>
        <v>5.000000000000001E-2</v>
      </c>
    </row>
    <row r="12" spans="1:11" x14ac:dyDescent="0.15">
      <c r="A12">
        <v>11</v>
      </c>
      <c r="B12">
        <v>3</v>
      </c>
      <c r="D12">
        <v>11</v>
      </c>
      <c r="E12">
        <v>120</v>
      </c>
      <c r="F12">
        <v>10</v>
      </c>
      <c r="G12">
        <v>15</v>
      </c>
      <c r="H12">
        <v>12000</v>
      </c>
      <c r="I12">
        <v>0.8</v>
      </c>
      <c r="J12">
        <f t="shared" si="0"/>
        <v>8.0000000000000019E-3</v>
      </c>
      <c r="K12">
        <f t="shared" si="1"/>
        <v>4.0000000000000008E-2</v>
      </c>
    </row>
    <row r="13" spans="1:11" x14ac:dyDescent="0.15">
      <c r="A13">
        <v>12</v>
      </c>
      <c r="B13">
        <v>3</v>
      </c>
      <c r="D13">
        <v>12</v>
      </c>
      <c r="E13">
        <v>143</v>
      </c>
      <c r="F13">
        <v>11</v>
      </c>
      <c r="G13">
        <v>16</v>
      </c>
      <c r="H13">
        <v>14000</v>
      </c>
      <c r="I13">
        <v>0.7</v>
      </c>
      <c r="J13">
        <f t="shared" si="0"/>
        <v>7.0000000000000001E-3</v>
      </c>
      <c r="K13">
        <f t="shared" si="1"/>
        <v>3.5000000000000003E-2</v>
      </c>
    </row>
    <row r="14" spans="1:11" x14ac:dyDescent="0.15">
      <c r="A14">
        <v>13</v>
      </c>
      <c r="B14">
        <v>3</v>
      </c>
      <c r="D14">
        <v>13</v>
      </c>
      <c r="E14">
        <v>168</v>
      </c>
      <c r="F14">
        <v>12</v>
      </c>
      <c r="G14">
        <v>17</v>
      </c>
      <c r="H14">
        <v>16000</v>
      </c>
      <c r="I14">
        <v>0.6</v>
      </c>
      <c r="J14">
        <f t="shared" si="0"/>
        <v>6.000000000000001E-3</v>
      </c>
      <c r="K14">
        <f t="shared" si="1"/>
        <v>3.0000000000000006E-2</v>
      </c>
    </row>
    <row r="15" spans="1:11" x14ac:dyDescent="0.15">
      <c r="A15">
        <v>14</v>
      </c>
      <c r="B15">
        <v>3</v>
      </c>
      <c r="D15">
        <v>14</v>
      </c>
      <c r="E15">
        <v>195</v>
      </c>
      <c r="F15">
        <v>13</v>
      </c>
      <c r="G15">
        <v>18</v>
      </c>
      <c r="H15">
        <v>18000</v>
      </c>
      <c r="I15">
        <v>0.5</v>
      </c>
      <c r="J15">
        <f t="shared" si="0"/>
        <v>5.000000000000001E-3</v>
      </c>
      <c r="K15">
        <f t="shared" si="1"/>
        <v>2.5000000000000005E-2</v>
      </c>
    </row>
    <row r="16" spans="1:11" x14ac:dyDescent="0.15">
      <c r="A16">
        <v>15</v>
      </c>
      <c r="B16">
        <v>3</v>
      </c>
      <c r="D16">
        <v>15</v>
      </c>
      <c r="E16">
        <v>224</v>
      </c>
      <c r="F16">
        <v>14</v>
      </c>
      <c r="G16">
        <v>19</v>
      </c>
      <c r="H16">
        <v>20000</v>
      </c>
      <c r="I16">
        <v>0.4</v>
      </c>
      <c r="J16">
        <f t="shared" si="0"/>
        <v>4.000000000000001E-3</v>
      </c>
      <c r="K16">
        <f t="shared" si="1"/>
        <v>2.0000000000000004E-2</v>
      </c>
    </row>
    <row r="17" spans="1:11" x14ac:dyDescent="0.15">
      <c r="A17">
        <v>16</v>
      </c>
      <c r="B17">
        <v>3</v>
      </c>
      <c r="D17">
        <v>16</v>
      </c>
      <c r="E17">
        <v>15000</v>
      </c>
      <c r="F17">
        <v>20</v>
      </c>
      <c r="G17">
        <v>25</v>
      </c>
      <c r="H17">
        <v>50000</v>
      </c>
      <c r="I17">
        <v>0.25</v>
      </c>
      <c r="J17">
        <f t="shared" si="0"/>
        <v>2.5000000000000005E-3</v>
      </c>
      <c r="K17">
        <f t="shared" si="1"/>
        <v>1.2500000000000002E-2</v>
      </c>
    </row>
    <row r="18" spans="1:11" x14ac:dyDescent="0.15">
      <c r="A18">
        <v>17</v>
      </c>
      <c r="B18">
        <v>4</v>
      </c>
      <c r="D18">
        <v>17</v>
      </c>
      <c r="E18">
        <v>35000</v>
      </c>
      <c r="F18">
        <v>22</v>
      </c>
      <c r="G18">
        <v>27</v>
      </c>
      <c r="H18">
        <v>75000</v>
      </c>
      <c r="I18">
        <v>0.1</v>
      </c>
      <c r="J18">
        <f t="shared" si="0"/>
        <v>1.0000000000000002E-3</v>
      </c>
      <c r="K18">
        <f t="shared" si="1"/>
        <v>5.000000000000001E-3</v>
      </c>
    </row>
    <row r="19" spans="1:11" x14ac:dyDescent="0.15">
      <c r="A19">
        <v>18</v>
      </c>
      <c r="B19">
        <v>4</v>
      </c>
      <c r="D19">
        <v>18</v>
      </c>
      <c r="E19">
        <v>60000</v>
      </c>
      <c r="F19">
        <v>25</v>
      </c>
      <c r="G19">
        <v>30</v>
      </c>
      <c r="H19">
        <v>100000</v>
      </c>
      <c r="I19">
        <v>0.05</v>
      </c>
      <c r="J19">
        <f t="shared" si="0"/>
        <v>5.0000000000000012E-4</v>
      </c>
      <c r="K19">
        <f t="shared" si="1"/>
        <v>2.5000000000000005E-3</v>
      </c>
    </row>
    <row r="20" spans="1:11" x14ac:dyDescent="0.15">
      <c r="A20">
        <v>19</v>
      </c>
      <c r="B20">
        <v>4</v>
      </c>
      <c r="D20">
        <v>19</v>
      </c>
      <c r="E20">
        <v>100000</v>
      </c>
      <c r="F20">
        <v>28</v>
      </c>
      <c r="G20">
        <v>33</v>
      </c>
      <c r="H20">
        <v>250000</v>
      </c>
      <c r="I20">
        <v>0.03</v>
      </c>
      <c r="J20">
        <f t="shared" si="0"/>
        <v>3.0000000000000003E-4</v>
      </c>
      <c r="K20">
        <f t="shared" si="1"/>
        <v>1.5E-3</v>
      </c>
    </row>
    <row r="21" spans="1:11" x14ac:dyDescent="0.15">
      <c r="A21">
        <v>20</v>
      </c>
      <c r="B21">
        <v>5</v>
      </c>
      <c r="D21">
        <v>20</v>
      </c>
      <c r="E21">
        <v>200000</v>
      </c>
      <c r="F21">
        <v>30</v>
      </c>
      <c r="G21">
        <v>35</v>
      </c>
      <c r="H21">
        <v>500000</v>
      </c>
      <c r="I21">
        <v>0.02</v>
      </c>
      <c r="J21">
        <f t="shared" si="0"/>
        <v>2.0000000000000004E-4</v>
      </c>
      <c r="K21">
        <f t="shared" si="1"/>
        <v>1.0000000000000002E-3</v>
      </c>
    </row>
    <row r="22" spans="1:11" x14ac:dyDescent="0.15">
      <c r="H22" t="s">
        <v>173</v>
      </c>
      <c r="I22">
        <f>SUM(I2:I21)</f>
        <v>99.999999999999986</v>
      </c>
      <c r="J22">
        <f t="shared" ref="J22:K22" si="2">SUM(J2:J21)</f>
        <v>1.0000000000000002</v>
      </c>
      <c r="K22">
        <f t="shared" si="2"/>
        <v>5.0000000000000018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O1001"/>
  <sheetViews>
    <sheetView showRowColHeaders="0" workbookViewId="0">
      <selection activeCell="J15" sqref="J15"/>
    </sheetView>
  </sheetViews>
  <sheetFormatPr defaultRowHeight="13.5" x14ac:dyDescent="0.15"/>
  <cols>
    <col min="5" max="5" width="17.25" bestFit="1" customWidth="1"/>
    <col min="6" max="6" width="32.75" bestFit="1" customWidth="1"/>
    <col min="8" max="8" width="0" hidden="1" customWidth="1"/>
    <col min="9" max="9" width="9" style="7"/>
  </cols>
  <sheetData>
    <row r="1" spans="1:15" x14ac:dyDescent="0.15">
      <c r="A1">
        <v>1</v>
      </c>
      <c r="B1">
        <f t="shared" ref="B1:B32" si="0">$F$3/A1</f>
        <v>2000</v>
      </c>
      <c r="E1" t="s">
        <v>332</v>
      </c>
      <c r="F1" s="3" t="s">
        <v>281</v>
      </c>
      <c r="H1" t="s">
        <v>259</v>
      </c>
      <c r="J1" t="s">
        <v>392</v>
      </c>
      <c r="K1" t="s">
        <v>393</v>
      </c>
      <c r="L1" t="s">
        <v>394</v>
      </c>
      <c r="M1" t="s">
        <v>396</v>
      </c>
      <c r="N1" t="s">
        <v>397</v>
      </c>
      <c r="O1" t="s">
        <v>398</v>
      </c>
    </row>
    <row r="2" spans="1:15" x14ac:dyDescent="0.15">
      <c r="A2">
        <v>2</v>
      </c>
      <c r="B2">
        <f t="shared" si="0"/>
        <v>1000</v>
      </c>
      <c r="C2" s="7"/>
      <c r="E2" t="s">
        <v>333</v>
      </c>
      <c r="F2" s="3">
        <v>1</v>
      </c>
      <c r="H2" t="s">
        <v>260</v>
      </c>
      <c r="I2" s="7">
        <v>1</v>
      </c>
      <c r="J2">
        <v>1</v>
      </c>
      <c r="K2">
        <v>1</v>
      </c>
      <c r="L2">
        <f>0.9*J2+0.05*K2</f>
        <v>0.95000000000000007</v>
      </c>
      <c r="M2">
        <f>0.45+0.4*J2+0.1*K2</f>
        <v>0.95000000000000007</v>
      </c>
      <c r="N2">
        <f>1/L2</f>
        <v>1.0526315789473684</v>
      </c>
      <c r="O2" s="7">
        <f>1/M2</f>
        <v>1.0526315789473684</v>
      </c>
    </row>
    <row r="3" spans="1:15" x14ac:dyDescent="0.15">
      <c r="A3">
        <v>3</v>
      </c>
      <c r="B3">
        <f t="shared" si="0"/>
        <v>666.66666666666663</v>
      </c>
      <c r="C3" s="7"/>
      <c r="E3" t="s">
        <v>193</v>
      </c>
      <c r="F3" s="3">
        <f>F2*VLOOKUP(F1,兵种!A:K,11,FALSE)</f>
        <v>2000</v>
      </c>
      <c r="H3" t="s">
        <v>261</v>
      </c>
      <c r="I3" s="7">
        <v>2</v>
      </c>
      <c r="J3" s="7">
        <v>1</v>
      </c>
      <c r="K3">
        <v>2</v>
      </c>
      <c r="L3" s="7">
        <f t="shared" ref="L3:L66" si="1">0.9*J3+0.05*K3</f>
        <v>1</v>
      </c>
      <c r="M3" s="7">
        <f t="shared" ref="M3:M66" si="2">0.45+0.4*J3+0.1*K3</f>
        <v>1.05</v>
      </c>
      <c r="N3" s="7">
        <f t="shared" ref="N3:N66" si="3">1/L3</f>
        <v>1</v>
      </c>
      <c r="O3" s="7">
        <f t="shared" ref="O3:O66" si="4">1/M3</f>
        <v>0.95238095238095233</v>
      </c>
    </row>
    <row r="4" spans="1:15" x14ac:dyDescent="0.15">
      <c r="A4">
        <v>4</v>
      </c>
      <c r="B4">
        <f t="shared" si="0"/>
        <v>500</v>
      </c>
      <c r="C4" s="7"/>
      <c r="E4" t="s">
        <v>192</v>
      </c>
      <c r="F4" s="3">
        <v>2</v>
      </c>
      <c r="H4" t="s">
        <v>262</v>
      </c>
      <c r="I4" s="7">
        <v>3</v>
      </c>
      <c r="J4" s="7">
        <v>1</v>
      </c>
      <c r="K4" s="7">
        <v>3</v>
      </c>
      <c r="L4" s="7">
        <f t="shared" si="1"/>
        <v>1.05</v>
      </c>
      <c r="M4" s="7">
        <f t="shared" si="2"/>
        <v>1.1500000000000001</v>
      </c>
      <c r="N4" s="7">
        <f t="shared" si="3"/>
        <v>0.95238095238095233</v>
      </c>
      <c r="O4" s="7">
        <f t="shared" si="4"/>
        <v>0.86956521739130421</v>
      </c>
    </row>
    <row r="5" spans="1:15" x14ac:dyDescent="0.15">
      <c r="A5">
        <v>5</v>
      </c>
      <c r="B5">
        <f t="shared" si="0"/>
        <v>400</v>
      </c>
      <c r="C5" s="7"/>
      <c r="E5" t="s">
        <v>191</v>
      </c>
      <c r="F5" s="3">
        <v>19</v>
      </c>
      <c r="H5" t="s">
        <v>263</v>
      </c>
      <c r="I5" s="7">
        <v>4</v>
      </c>
      <c r="J5" s="7">
        <v>1</v>
      </c>
      <c r="K5" s="7">
        <v>4</v>
      </c>
      <c r="L5" s="7">
        <f t="shared" si="1"/>
        <v>1.1000000000000001</v>
      </c>
      <c r="M5" s="7">
        <f t="shared" si="2"/>
        <v>1.25</v>
      </c>
      <c r="N5" s="7">
        <f t="shared" si="3"/>
        <v>0.90909090909090906</v>
      </c>
      <c r="O5" s="7">
        <f t="shared" si="4"/>
        <v>0.8</v>
      </c>
    </row>
    <row r="6" spans="1:15" x14ac:dyDescent="0.15">
      <c r="A6">
        <v>6</v>
      </c>
      <c r="B6">
        <f t="shared" si="0"/>
        <v>333.33333333333331</v>
      </c>
      <c r="C6" s="7"/>
      <c r="E6" s="24" t="s">
        <v>953</v>
      </c>
      <c r="F6" s="3">
        <v>10</v>
      </c>
      <c r="H6" t="s">
        <v>264</v>
      </c>
      <c r="I6" s="7">
        <v>5</v>
      </c>
      <c r="J6" s="7">
        <v>1</v>
      </c>
      <c r="K6" s="7">
        <v>5</v>
      </c>
      <c r="L6" s="7">
        <f t="shared" si="1"/>
        <v>1.1499999999999999</v>
      </c>
      <c r="M6" s="7">
        <f t="shared" si="2"/>
        <v>1.35</v>
      </c>
      <c r="N6" s="7">
        <f t="shared" si="3"/>
        <v>0.86956521739130443</v>
      </c>
      <c r="O6" s="7">
        <f t="shared" si="4"/>
        <v>0.7407407407407407</v>
      </c>
    </row>
    <row r="7" spans="1:15" x14ac:dyDescent="0.15">
      <c r="A7">
        <v>7</v>
      </c>
      <c r="B7">
        <f t="shared" si="0"/>
        <v>285.71428571428572</v>
      </c>
      <c r="C7" s="7"/>
      <c r="E7" t="s">
        <v>256</v>
      </c>
      <c r="F7" s="3">
        <v>0</v>
      </c>
      <c r="H7" t="s">
        <v>265</v>
      </c>
      <c r="I7" s="7">
        <v>6</v>
      </c>
      <c r="J7" s="7">
        <v>1</v>
      </c>
      <c r="K7" s="7">
        <v>6</v>
      </c>
      <c r="L7" s="7">
        <f t="shared" si="1"/>
        <v>1.2000000000000002</v>
      </c>
      <c r="M7" s="7">
        <f t="shared" si="2"/>
        <v>1.4500000000000002</v>
      </c>
      <c r="N7" s="7">
        <f t="shared" si="3"/>
        <v>0.83333333333333326</v>
      </c>
      <c r="O7" s="7">
        <f t="shared" si="4"/>
        <v>0.68965517241379304</v>
      </c>
    </row>
    <row r="8" spans="1:15" x14ac:dyDescent="0.15">
      <c r="A8">
        <v>8</v>
      </c>
      <c r="B8">
        <f t="shared" si="0"/>
        <v>250</v>
      </c>
      <c r="C8" s="7"/>
      <c r="E8" t="s">
        <v>190</v>
      </c>
      <c r="F8">
        <f>(0.9*F4+F5*0.05)*(1+0.005*F6*F7)</f>
        <v>2.75</v>
      </c>
      <c r="H8" t="s">
        <v>266</v>
      </c>
      <c r="I8" s="7">
        <v>7</v>
      </c>
      <c r="J8" s="7">
        <v>1</v>
      </c>
      <c r="K8" s="7">
        <v>7</v>
      </c>
      <c r="L8" s="7">
        <f t="shared" si="1"/>
        <v>1.25</v>
      </c>
      <c r="M8" s="7">
        <f t="shared" si="2"/>
        <v>1.5500000000000003</v>
      </c>
      <c r="N8" s="7">
        <f t="shared" si="3"/>
        <v>0.8</v>
      </c>
      <c r="O8" s="7">
        <f t="shared" si="4"/>
        <v>0.64516129032258052</v>
      </c>
    </row>
    <row r="9" spans="1:15" x14ac:dyDescent="0.15">
      <c r="A9">
        <v>9</v>
      </c>
      <c r="B9">
        <f t="shared" si="0"/>
        <v>222.22222222222223</v>
      </c>
      <c r="C9" s="7"/>
      <c r="E9" t="s">
        <v>194</v>
      </c>
      <c r="F9">
        <f>MAX(10,F3/F8)</f>
        <v>727.27272727272725</v>
      </c>
      <c r="H9" t="s">
        <v>267</v>
      </c>
      <c r="I9" s="7">
        <v>8</v>
      </c>
      <c r="J9" s="7">
        <v>1</v>
      </c>
      <c r="K9" s="7">
        <v>8</v>
      </c>
      <c r="L9" s="7">
        <f t="shared" si="1"/>
        <v>1.3</v>
      </c>
      <c r="M9" s="7">
        <f t="shared" si="2"/>
        <v>1.6500000000000001</v>
      </c>
      <c r="N9" s="7">
        <f t="shared" si="3"/>
        <v>0.76923076923076916</v>
      </c>
      <c r="O9" s="7">
        <f t="shared" si="4"/>
        <v>0.60606060606060597</v>
      </c>
    </row>
    <row r="10" spans="1:15" x14ac:dyDescent="0.15">
      <c r="A10">
        <v>10</v>
      </c>
      <c r="B10">
        <f t="shared" si="0"/>
        <v>200</v>
      </c>
      <c r="C10" s="7"/>
      <c r="F10">
        <f>F9/3600</f>
        <v>0.20202020202020202</v>
      </c>
      <c r="H10" t="s">
        <v>268</v>
      </c>
      <c r="I10" s="7">
        <v>9</v>
      </c>
      <c r="J10" s="7">
        <v>1</v>
      </c>
      <c r="K10" s="7">
        <v>9</v>
      </c>
      <c r="L10" s="7">
        <f t="shared" si="1"/>
        <v>1.35</v>
      </c>
      <c r="M10" s="7">
        <f t="shared" si="2"/>
        <v>1.75</v>
      </c>
      <c r="N10" s="7">
        <f t="shared" si="3"/>
        <v>0.7407407407407407</v>
      </c>
      <c r="O10" s="7">
        <f t="shared" si="4"/>
        <v>0.5714285714285714</v>
      </c>
    </row>
    <row r="11" spans="1:15" x14ac:dyDescent="0.15">
      <c r="A11">
        <v>11</v>
      </c>
      <c r="B11">
        <f t="shared" si="0"/>
        <v>181.81818181818181</v>
      </c>
      <c r="C11" s="7"/>
      <c r="H11" t="s">
        <v>269</v>
      </c>
      <c r="I11" s="7">
        <v>10</v>
      </c>
      <c r="J11" s="7">
        <v>1</v>
      </c>
      <c r="K11" s="7">
        <v>10</v>
      </c>
      <c r="L11" s="7">
        <f t="shared" si="1"/>
        <v>1.4</v>
      </c>
      <c r="M11" s="7">
        <f t="shared" si="2"/>
        <v>1.85</v>
      </c>
      <c r="N11" s="7">
        <f t="shared" si="3"/>
        <v>0.7142857142857143</v>
      </c>
      <c r="O11" s="7">
        <f t="shared" si="4"/>
        <v>0.54054054054054046</v>
      </c>
    </row>
    <row r="12" spans="1:15" x14ac:dyDescent="0.15">
      <c r="A12">
        <v>12</v>
      </c>
      <c r="B12">
        <f t="shared" si="0"/>
        <v>166.66666666666666</v>
      </c>
      <c r="C12" s="7"/>
      <c r="H12" t="s">
        <v>281</v>
      </c>
      <c r="I12" s="7">
        <v>11</v>
      </c>
      <c r="J12" s="7">
        <v>1</v>
      </c>
      <c r="K12" s="7">
        <v>11</v>
      </c>
      <c r="L12" s="7">
        <f t="shared" si="1"/>
        <v>1.4500000000000002</v>
      </c>
      <c r="M12" s="7">
        <f t="shared" si="2"/>
        <v>1.9500000000000002</v>
      </c>
      <c r="N12" s="7">
        <f t="shared" si="3"/>
        <v>0.68965517241379304</v>
      </c>
      <c r="O12" s="7">
        <f t="shared" si="4"/>
        <v>0.51282051282051277</v>
      </c>
    </row>
    <row r="13" spans="1:15" x14ac:dyDescent="0.15">
      <c r="A13">
        <v>13</v>
      </c>
      <c r="B13">
        <f t="shared" si="0"/>
        <v>153.84615384615384</v>
      </c>
      <c r="C13" s="7"/>
      <c r="E13" t="s">
        <v>392</v>
      </c>
      <c r="F13">
        <v>12</v>
      </c>
      <c r="I13" s="7">
        <v>12</v>
      </c>
      <c r="J13" s="7">
        <v>1</v>
      </c>
      <c r="K13" s="7">
        <v>12</v>
      </c>
      <c r="L13" s="7">
        <f t="shared" si="1"/>
        <v>1.5</v>
      </c>
      <c r="M13" s="7">
        <f t="shared" si="2"/>
        <v>2.0500000000000003</v>
      </c>
      <c r="N13" s="7">
        <f t="shared" si="3"/>
        <v>0.66666666666666663</v>
      </c>
      <c r="O13" s="7">
        <f t="shared" si="4"/>
        <v>0.48780487804878042</v>
      </c>
    </row>
    <row r="14" spans="1:15" x14ac:dyDescent="0.15">
      <c r="A14">
        <v>14</v>
      </c>
      <c r="B14">
        <f t="shared" si="0"/>
        <v>142.85714285714286</v>
      </c>
      <c r="C14" s="7"/>
      <c r="E14" t="s">
        <v>393</v>
      </c>
      <c r="F14">
        <v>240</v>
      </c>
      <c r="I14" s="7">
        <v>13</v>
      </c>
      <c r="J14" s="7">
        <v>1</v>
      </c>
      <c r="K14" s="7">
        <v>13</v>
      </c>
      <c r="L14" s="7">
        <f t="shared" si="1"/>
        <v>1.55</v>
      </c>
      <c r="M14" s="7">
        <f t="shared" si="2"/>
        <v>2.1500000000000004</v>
      </c>
      <c r="N14" s="7">
        <f t="shared" si="3"/>
        <v>0.64516129032258063</v>
      </c>
      <c r="O14" s="7">
        <f t="shared" si="4"/>
        <v>0.46511627906976738</v>
      </c>
    </row>
    <row r="15" spans="1:15" x14ac:dyDescent="0.15">
      <c r="A15">
        <v>15</v>
      </c>
      <c r="B15">
        <f t="shared" si="0"/>
        <v>133.33333333333334</v>
      </c>
      <c r="C15" s="7"/>
      <c r="I15" s="7">
        <v>14</v>
      </c>
      <c r="J15" s="7">
        <v>1</v>
      </c>
      <c r="K15" s="7">
        <v>14</v>
      </c>
      <c r="L15" s="7">
        <f t="shared" si="1"/>
        <v>1.6</v>
      </c>
      <c r="M15" s="7">
        <f t="shared" si="2"/>
        <v>2.25</v>
      </c>
      <c r="N15" s="7">
        <f t="shared" si="3"/>
        <v>0.625</v>
      </c>
      <c r="O15" s="7">
        <f t="shared" si="4"/>
        <v>0.44444444444444442</v>
      </c>
    </row>
    <row r="16" spans="1:15" x14ac:dyDescent="0.15">
      <c r="A16">
        <v>16</v>
      </c>
      <c r="B16">
        <f t="shared" si="0"/>
        <v>125</v>
      </c>
      <c r="C16" s="7"/>
      <c r="I16" s="7">
        <v>15</v>
      </c>
      <c r="J16" s="7">
        <v>1</v>
      </c>
      <c r="K16" s="7">
        <v>15</v>
      </c>
      <c r="L16" s="7">
        <f t="shared" si="1"/>
        <v>1.65</v>
      </c>
      <c r="M16" s="7">
        <f t="shared" si="2"/>
        <v>2.35</v>
      </c>
      <c r="N16" s="7">
        <f t="shared" si="3"/>
        <v>0.60606060606060608</v>
      </c>
      <c r="O16" s="7">
        <f t="shared" si="4"/>
        <v>0.42553191489361702</v>
      </c>
    </row>
    <row r="17" spans="1:15" x14ac:dyDescent="0.15">
      <c r="A17">
        <v>17</v>
      </c>
      <c r="B17">
        <f t="shared" si="0"/>
        <v>117.64705882352941</v>
      </c>
      <c r="C17" s="7"/>
      <c r="E17" t="s">
        <v>394</v>
      </c>
      <c r="F17" t="s">
        <v>395</v>
      </c>
      <c r="I17" s="7">
        <v>16</v>
      </c>
      <c r="J17" s="7">
        <v>1</v>
      </c>
      <c r="K17" s="7">
        <v>16</v>
      </c>
      <c r="L17" s="7">
        <f t="shared" si="1"/>
        <v>1.7000000000000002</v>
      </c>
      <c r="M17" s="7">
        <f t="shared" si="2"/>
        <v>2.4500000000000002</v>
      </c>
      <c r="N17" s="7">
        <f t="shared" si="3"/>
        <v>0.58823529411764697</v>
      </c>
      <c r="O17" s="7">
        <f t="shared" si="4"/>
        <v>0.4081632653061224</v>
      </c>
    </row>
    <row r="18" spans="1:15" x14ac:dyDescent="0.15">
      <c r="A18">
        <v>18</v>
      </c>
      <c r="B18">
        <f t="shared" si="0"/>
        <v>111.11111111111111</v>
      </c>
      <c r="C18" s="7"/>
      <c r="E18" t="s">
        <v>396</v>
      </c>
      <c r="F18" s="7" t="s">
        <v>912</v>
      </c>
      <c r="I18" s="7">
        <v>17</v>
      </c>
      <c r="J18" s="7">
        <v>1</v>
      </c>
      <c r="K18" s="7">
        <v>17</v>
      </c>
      <c r="L18" s="7">
        <f t="shared" si="1"/>
        <v>1.75</v>
      </c>
      <c r="M18" s="7">
        <f t="shared" si="2"/>
        <v>2.5500000000000003</v>
      </c>
      <c r="N18" s="7">
        <f t="shared" si="3"/>
        <v>0.5714285714285714</v>
      </c>
      <c r="O18" s="7">
        <f t="shared" si="4"/>
        <v>0.39215686274509798</v>
      </c>
    </row>
    <row r="19" spans="1:15" x14ac:dyDescent="0.15">
      <c r="A19">
        <v>19</v>
      </c>
      <c r="B19">
        <f t="shared" si="0"/>
        <v>105.26315789473684</v>
      </c>
      <c r="C19" s="7"/>
      <c r="I19" s="7">
        <v>18</v>
      </c>
      <c r="J19" s="7">
        <v>1</v>
      </c>
      <c r="K19" s="7">
        <v>18</v>
      </c>
      <c r="L19" s="7">
        <f t="shared" si="1"/>
        <v>1.8</v>
      </c>
      <c r="M19" s="7">
        <f t="shared" si="2"/>
        <v>2.6500000000000004</v>
      </c>
      <c r="N19" s="7">
        <f t="shared" si="3"/>
        <v>0.55555555555555558</v>
      </c>
      <c r="O19" s="7">
        <f t="shared" si="4"/>
        <v>0.37735849056603771</v>
      </c>
    </row>
    <row r="20" spans="1:15" x14ac:dyDescent="0.15">
      <c r="A20">
        <v>20</v>
      </c>
      <c r="B20">
        <f t="shared" si="0"/>
        <v>100</v>
      </c>
      <c r="C20" s="7"/>
      <c r="I20" s="7">
        <v>19</v>
      </c>
      <c r="J20" s="7">
        <v>1</v>
      </c>
      <c r="K20" s="7">
        <v>19</v>
      </c>
      <c r="L20" s="7">
        <f t="shared" si="1"/>
        <v>1.85</v>
      </c>
      <c r="M20" s="7">
        <f t="shared" si="2"/>
        <v>2.75</v>
      </c>
      <c r="N20" s="7">
        <f t="shared" si="3"/>
        <v>0.54054054054054046</v>
      </c>
      <c r="O20" s="7">
        <f t="shared" si="4"/>
        <v>0.36363636363636365</v>
      </c>
    </row>
    <row r="21" spans="1:15" x14ac:dyDescent="0.15">
      <c r="A21">
        <v>21</v>
      </c>
      <c r="B21">
        <f t="shared" si="0"/>
        <v>95.238095238095241</v>
      </c>
      <c r="C21" s="7"/>
      <c r="I21" s="7">
        <v>20</v>
      </c>
      <c r="J21" s="7">
        <v>1</v>
      </c>
      <c r="K21" s="7">
        <v>20</v>
      </c>
      <c r="L21" s="7">
        <f t="shared" si="1"/>
        <v>1.9</v>
      </c>
      <c r="M21" s="7">
        <f t="shared" si="2"/>
        <v>2.85</v>
      </c>
      <c r="N21" s="7">
        <f t="shared" si="3"/>
        <v>0.52631578947368418</v>
      </c>
      <c r="O21" s="7">
        <f t="shared" si="4"/>
        <v>0.35087719298245612</v>
      </c>
    </row>
    <row r="22" spans="1:15" x14ac:dyDescent="0.15">
      <c r="A22">
        <v>22</v>
      </c>
      <c r="B22">
        <f t="shared" si="0"/>
        <v>90.909090909090907</v>
      </c>
      <c r="C22" s="7"/>
      <c r="I22" s="7">
        <f>I2</f>
        <v>1</v>
      </c>
      <c r="J22">
        <f>J2+1</f>
        <v>2</v>
      </c>
      <c r="K22">
        <f>J22</f>
        <v>2</v>
      </c>
      <c r="L22" s="7">
        <f t="shared" si="1"/>
        <v>1.9000000000000001</v>
      </c>
      <c r="M22" s="7">
        <f t="shared" si="2"/>
        <v>1.45</v>
      </c>
      <c r="N22" s="7">
        <f t="shared" si="3"/>
        <v>0.52631578947368418</v>
      </c>
      <c r="O22" s="7">
        <f t="shared" si="4"/>
        <v>0.68965517241379315</v>
      </c>
    </row>
    <row r="23" spans="1:15" x14ac:dyDescent="0.15">
      <c r="A23">
        <v>23</v>
      </c>
      <c r="B23">
        <f t="shared" si="0"/>
        <v>86.956521739130437</v>
      </c>
      <c r="C23" s="7"/>
      <c r="I23" s="7">
        <f t="shared" ref="I23:I86" si="5">I3</f>
        <v>2</v>
      </c>
      <c r="J23" s="7">
        <f t="shared" ref="J23:J86" si="6">J3+1</f>
        <v>2</v>
      </c>
      <c r="K23" s="7">
        <f>K22+J22</f>
        <v>4</v>
      </c>
      <c r="L23" s="7">
        <f t="shared" si="1"/>
        <v>2</v>
      </c>
      <c r="M23" s="7">
        <f t="shared" si="2"/>
        <v>1.65</v>
      </c>
      <c r="N23" s="7">
        <f t="shared" si="3"/>
        <v>0.5</v>
      </c>
      <c r="O23" s="7">
        <f t="shared" si="4"/>
        <v>0.60606060606060608</v>
      </c>
    </row>
    <row r="24" spans="1:15" x14ac:dyDescent="0.15">
      <c r="A24">
        <v>24</v>
      </c>
      <c r="B24">
        <f t="shared" si="0"/>
        <v>83.333333333333329</v>
      </c>
      <c r="C24" s="7"/>
      <c r="F24">
        <v>727</v>
      </c>
      <c r="I24" s="7">
        <f t="shared" si="5"/>
        <v>3</v>
      </c>
      <c r="J24" s="7">
        <f t="shared" si="6"/>
        <v>2</v>
      </c>
      <c r="K24" s="7">
        <f t="shared" ref="K24:K41" si="7">K23+J23</f>
        <v>6</v>
      </c>
      <c r="L24" s="7">
        <f t="shared" si="1"/>
        <v>2.1</v>
      </c>
      <c r="M24" s="7">
        <f t="shared" si="2"/>
        <v>1.85</v>
      </c>
      <c r="N24" s="7">
        <f t="shared" si="3"/>
        <v>0.47619047619047616</v>
      </c>
      <c r="O24" s="7">
        <f t="shared" si="4"/>
        <v>0.54054054054054046</v>
      </c>
    </row>
    <row r="25" spans="1:15" x14ac:dyDescent="0.15">
      <c r="A25">
        <v>25</v>
      </c>
      <c r="B25">
        <f t="shared" si="0"/>
        <v>80</v>
      </c>
      <c r="C25" s="7"/>
      <c r="I25" s="7">
        <f t="shared" si="5"/>
        <v>4</v>
      </c>
      <c r="J25" s="7">
        <f t="shared" si="6"/>
        <v>2</v>
      </c>
      <c r="K25" s="7">
        <f t="shared" si="7"/>
        <v>8</v>
      </c>
      <c r="L25" s="7">
        <f t="shared" si="1"/>
        <v>2.2000000000000002</v>
      </c>
      <c r="M25" s="7">
        <f t="shared" si="2"/>
        <v>2.0499999999999998</v>
      </c>
      <c r="N25" s="7">
        <f t="shared" si="3"/>
        <v>0.45454545454545453</v>
      </c>
      <c r="O25" s="7">
        <f t="shared" si="4"/>
        <v>0.48780487804878053</v>
      </c>
    </row>
    <row r="26" spans="1:15" x14ac:dyDescent="0.15">
      <c r="A26">
        <v>26</v>
      </c>
      <c r="B26">
        <f t="shared" si="0"/>
        <v>76.92307692307692</v>
      </c>
      <c r="C26" s="7"/>
      <c r="I26" s="7">
        <f t="shared" si="5"/>
        <v>5</v>
      </c>
      <c r="J26" s="7">
        <f t="shared" si="6"/>
        <v>2</v>
      </c>
      <c r="K26" s="7">
        <f t="shared" si="7"/>
        <v>10</v>
      </c>
      <c r="L26" s="7">
        <f t="shared" si="1"/>
        <v>2.2999999999999998</v>
      </c>
      <c r="M26" s="7">
        <f t="shared" si="2"/>
        <v>2.25</v>
      </c>
      <c r="N26" s="7">
        <f t="shared" si="3"/>
        <v>0.43478260869565222</v>
      </c>
      <c r="O26" s="7">
        <f t="shared" si="4"/>
        <v>0.44444444444444442</v>
      </c>
    </row>
    <row r="27" spans="1:15" x14ac:dyDescent="0.15">
      <c r="A27">
        <v>27</v>
      </c>
      <c r="B27">
        <f t="shared" si="0"/>
        <v>74.074074074074076</v>
      </c>
      <c r="C27" s="7"/>
      <c r="I27" s="7">
        <f t="shared" si="5"/>
        <v>6</v>
      </c>
      <c r="J27" s="7">
        <f t="shared" si="6"/>
        <v>2</v>
      </c>
      <c r="K27" s="7">
        <f t="shared" si="7"/>
        <v>12</v>
      </c>
      <c r="L27" s="7">
        <f t="shared" si="1"/>
        <v>2.4000000000000004</v>
      </c>
      <c r="M27" s="7">
        <f t="shared" si="2"/>
        <v>2.4500000000000002</v>
      </c>
      <c r="N27" s="7">
        <f t="shared" si="3"/>
        <v>0.41666666666666663</v>
      </c>
      <c r="O27" s="7">
        <f t="shared" si="4"/>
        <v>0.4081632653061224</v>
      </c>
    </row>
    <row r="28" spans="1:15" x14ac:dyDescent="0.15">
      <c r="A28">
        <v>28</v>
      </c>
      <c r="B28">
        <f t="shared" si="0"/>
        <v>71.428571428571431</v>
      </c>
      <c r="C28" s="7"/>
      <c r="I28" s="7">
        <f t="shared" si="5"/>
        <v>7</v>
      </c>
      <c r="J28" s="7">
        <f t="shared" si="6"/>
        <v>2</v>
      </c>
      <c r="K28" s="7">
        <f t="shared" si="7"/>
        <v>14</v>
      </c>
      <c r="L28" s="7">
        <f t="shared" si="1"/>
        <v>2.5</v>
      </c>
      <c r="M28" s="7">
        <f t="shared" si="2"/>
        <v>2.6500000000000004</v>
      </c>
      <c r="N28" s="7">
        <f t="shared" si="3"/>
        <v>0.4</v>
      </c>
      <c r="O28" s="7">
        <f t="shared" si="4"/>
        <v>0.37735849056603771</v>
      </c>
    </row>
    <row r="29" spans="1:15" x14ac:dyDescent="0.15">
      <c r="A29">
        <v>29</v>
      </c>
      <c r="B29">
        <f t="shared" si="0"/>
        <v>68.965517241379317</v>
      </c>
      <c r="C29" s="7"/>
      <c r="I29" s="7">
        <f t="shared" si="5"/>
        <v>8</v>
      </c>
      <c r="J29" s="7">
        <f t="shared" si="6"/>
        <v>2</v>
      </c>
      <c r="K29" s="7">
        <f t="shared" si="7"/>
        <v>16</v>
      </c>
      <c r="L29" s="7">
        <f t="shared" si="1"/>
        <v>2.6</v>
      </c>
      <c r="M29" s="7">
        <f t="shared" si="2"/>
        <v>2.85</v>
      </c>
      <c r="N29" s="7">
        <f t="shared" si="3"/>
        <v>0.38461538461538458</v>
      </c>
      <c r="O29" s="7">
        <f t="shared" si="4"/>
        <v>0.35087719298245612</v>
      </c>
    </row>
    <row r="30" spans="1:15" x14ac:dyDescent="0.15">
      <c r="A30">
        <v>30</v>
      </c>
      <c r="B30">
        <f t="shared" si="0"/>
        <v>66.666666666666671</v>
      </c>
      <c r="C30" s="7"/>
      <c r="I30" s="7">
        <f t="shared" si="5"/>
        <v>9</v>
      </c>
      <c r="J30" s="7">
        <f t="shared" si="6"/>
        <v>2</v>
      </c>
      <c r="K30" s="7">
        <f t="shared" si="7"/>
        <v>18</v>
      </c>
      <c r="L30" s="7">
        <f t="shared" si="1"/>
        <v>2.7</v>
      </c>
      <c r="M30" s="7">
        <f t="shared" si="2"/>
        <v>3.05</v>
      </c>
      <c r="N30" s="7">
        <f t="shared" si="3"/>
        <v>0.37037037037037035</v>
      </c>
      <c r="O30" s="7">
        <f t="shared" si="4"/>
        <v>0.32786885245901642</v>
      </c>
    </row>
    <row r="31" spans="1:15" x14ac:dyDescent="0.15">
      <c r="A31">
        <v>31</v>
      </c>
      <c r="B31">
        <f t="shared" si="0"/>
        <v>64.516129032258064</v>
      </c>
      <c r="C31" s="7"/>
      <c r="I31" s="7">
        <f t="shared" si="5"/>
        <v>10</v>
      </c>
      <c r="J31" s="7">
        <f t="shared" si="6"/>
        <v>2</v>
      </c>
      <c r="K31" s="7">
        <f t="shared" si="7"/>
        <v>20</v>
      </c>
      <c r="L31" s="7">
        <f t="shared" si="1"/>
        <v>2.8</v>
      </c>
      <c r="M31" s="7">
        <f t="shared" si="2"/>
        <v>3.25</v>
      </c>
      <c r="N31" s="7">
        <f t="shared" si="3"/>
        <v>0.35714285714285715</v>
      </c>
      <c r="O31" s="7">
        <f t="shared" si="4"/>
        <v>0.30769230769230771</v>
      </c>
    </row>
    <row r="32" spans="1:15" x14ac:dyDescent="0.15">
      <c r="A32">
        <v>32</v>
      </c>
      <c r="B32">
        <f t="shared" si="0"/>
        <v>62.5</v>
      </c>
      <c r="C32" s="7"/>
      <c r="I32" s="7">
        <f t="shared" si="5"/>
        <v>11</v>
      </c>
      <c r="J32" s="7">
        <f t="shared" si="6"/>
        <v>2</v>
      </c>
      <c r="K32" s="7">
        <f t="shared" si="7"/>
        <v>22</v>
      </c>
      <c r="L32" s="7">
        <f t="shared" si="1"/>
        <v>2.9000000000000004</v>
      </c>
      <c r="M32" s="7">
        <f t="shared" si="2"/>
        <v>3.45</v>
      </c>
      <c r="N32" s="7">
        <f t="shared" si="3"/>
        <v>0.34482758620689652</v>
      </c>
      <c r="O32" s="7">
        <f t="shared" si="4"/>
        <v>0.28985507246376813</v>
      </c>
    </row>
    <row r="33" spans="1:15" x14ac:dyDescent="0.15">
      <c r="A33">
        <v>33</v>
      </c>
      <c r="B33">
        <f t="shared" ref="B33:B50" si="8">$F$3/A33</f>
        <v>60.606060606060609</v>
      </c>
      <c r="C33" s="7"/>
      <c r="I33" s="7">
        <f t="shared" si="5"/>
        <v>12</v>
      </c>
      <c r="J33" s="7">
        <f t="shared" si="6"/>
        <v>2</v>
      </c>
      <c r="K33" s="7">
        <f t="shared" si="7"/>
        <v>24</v>
      </c>
      <c r="L33" s="7">
        <f t="shared" si="1"/>
        <v>3</v>
      </c>
      <c r="M33" s="7">
        <f t="shared" si="2"/>
        <v>3.6500000000000004</v>
      </c>
      <c r="N33" s="7">
        <f t="shared" si="3"/>
        <v>0.33333333333333331</v>
      </c>
      <c r="O33" s="7">
        <f t="shared" si="4"/>
        <v>0.27397260273972601</v>
      </c>
    </row>
    <row r="34" spans="1:15" x14ac:dyDescent="0.15">
      <c r="A34">
        <v>34</v>
      </c>
      <c r="B34">
        <f t="shared" si="8"/>
        <v>58.823529411764703</v>
      </c>
      <c r="C34" s="7"/>
      <c r="I34" s="7">
        <f t="shared" si="5"/>
        <v>13</v>
      </c>
      <c r="J34" s="7">
        <f t="shared" si="6"/>
        <v>2</v>
      </c>
      <c r="K34" s="7">
        <f t="shared" si="7"/>
        <v>26</v>
      </c>
      <c r="L34" s="7">
        <f t="shared" si="1"/>
        <v>3.1</v>
      </c>
      <c r="M34" s="7">
        <f t="shared" si="2"/>
        <v>3.85</v>
      </c>
      <c r="N34" s="7">
        <f t="shared" si="3"/>
        <v>0.32258064516129031</v>
      </c>
      <c r="O34" s="7">
        <f t="shared" si="4"/>
        <v>0.25974025974025972</v>
      </c>
    </row>
    <row r="35" spans="1:15" x14ac:dyDescent="0.15">
      <c r="A35">
        <v>35</v>
      </c>
      <c r="B35">
        <f t="shared" si="8"/>
        <v>57.142857142857146</v>
      </c>
      <c r="C35" s="7"/>
      <c r="I35" s="7">
        <f t="shared" si="5"/>
        <v>14</v>
      </c>
      <c r="J35" s="7">
        <f t="shared" si="6"/>
        <v>2</v>
      </c>
      <c r="K35" s="7">
        <f t="shared" si="7"/>
        <v>28</v>
      </c>
      <c r="L35" s="7">
        <f t="shared" si="1"/>
        <v>3.2</v>
      </c>
      <c r="M35" s="7">
        <f t="shared" si="2"/>
        <v>4.0500000000000007</v>
      </c>
      <c r="N35" s="7">
        <f t="shared" si="3"/>
        <v>0.3125</v>
      </c>
      <c r="O35" s="7">
        <f t="shared" si="4"/>
        <v>0.24691358024691354</v>
      </c>
    </row>
    <row r="36" spans="1:15" x14ac:dyDescent="0.15">
      <c r="A36">
        <v>36</v>
      </c>
      <c r="B36">
        <f t="shared" si="8"/>
        <v>55.555555555555557</v>
      </c>
      <c r="C36" s="7"/>
      <c r="I36" s="7">
        <f t="shared" si="5"/>
        <v>15</v>
      </c>
      <c r="J36" s="7">
        <f t="shared" si="6"/>
        <v>2</v>
      </c>
      <c r="K36" s="7">
        <f t="shared" si="7"/>
        <v>30</v>
      </c>
      <c r="L36" s="7">
        <f t="shared" si="1"/>
        <v>3.3</v>
      </c>
      <c r="M36" s="7">
        <f t="shared" si="2"/>
        <v>4.25</v>
      </c>
      <c r="N36" s="7">
        <f t="shared" si="3"/>
        <v>0.30303030303030304</v>
      </c>
      <c r="O36" s="7">
        <f t="shared" si="4"/>
        <v>0.23529411764705882</v>
      </c>
    </row>
    <row r="37" spans="1:15" x14ac:dyDescent="0.15">
      <c r="A37">
        <v>37</v>
      </c>
      <c r="B37">
        <f t="shared" si="8"/>
        <v>54.054054054054056</v>
      </c>
      <c r="C37" s="7"/>
      <c r="I37" s="7">
        <f t="shared" si="5"/>
        <v>16</v>
      </c>
      <c r="J37" s="7">
        <f t="shared" si="6"/>
        <v>2</v>
      </c>
      <c r="K37" s="7">
        <f t="shared" si="7"/>
        <v>32</v>
      </c>
      <c r="L37" s="7">
        <f t="shared" si="1"/>
        <v>3.4000000000000004</v>
      </c>
      <c r="M37" s="7">
        <f t="shared" si="2"/>
        <v>4.45</v>
      </c>
      <c r="N37" s="7">
        <f t="shared" si="3"/>
        <v>0.29411764705882348</v>
      </c>
      <c r="O37" s="7">
        <f t="shared" si="4"/>
        <v>0.2247191011235955</v>
      </c>
    </row>
    <row r="38" spans="1:15" x14ac:dyDescent="0.15">
      <c r="A38">
        <v>38</v>
      </c>
      <c r="B38">
        <f t="shared" si="8"/>
        <v>52.631578947368418</v>
      </c>
      <c r="C38" s="7"/>
      <c r="I38" s="7">
        <f t="shared" si="5"/>
        <v>17</v>
      </c>
      <c r="J38" s="7">
        <f t="shared" si="6"/>
        <v>2</v>
      </c>
      <c r="K38" s="7">
        <f t="shared" si="7"/>
        <v>34</v>
      </c>
      <c r="L38" s="7">
        <f t="shared" si="1"/>
        <v>3.5</v>
      </c>
      <c r="M38" s="7">
        <f t="shared" si="2"/>
        <v>4.6500000000000004</v>
      </c>
      <c r="N38" s="7">
        <f t="shared" si="3"/>
        <v>0.2857142857142857</v>
      </c>
      <c r="O38" s="7">
        <f t="shared" si="4"/>
        <v>0.21505376344086019</v>
      </c>
    </row>
    <row r="39" spans="1:15" x14ac:dyDescent="0.15">
      <c r="A39">
        <v>39</v>
      </c>
      <c r="B39">
        <f t="shared" si="8"/>
        <v>51.282051282051285</v>
      </c>
      <c r="C39" s="7"/>
      <c r="I39" s="7">
        <f t="shared" si="5"/>
        <v>18</v>
      </c>
      <c r="J39" s="7">
        <f t="shared" si="6"/>
        <v>2</v>
      </c>
      <c r="K39" s="7">
        <f t="shared" si="7"/>
        <v>36</v>
      </c>
      <c r="L39" s="7">
        <f t="shared" si="1"/>
        <v>3.6</v>
      </c>
      <c r="M39" s="7">
        <f t="shared" si="2"/>
        <v>4.8499999999999996</v>
      </c>
      <c r="N39" s="7">
        <f t="shared" si="3"/>
        <v>0.27777777777777779</v>
      </c>
      <c r="O39" s="7">
        <f t="shared" si="4"/>
        <v>0.2061855670103093</v>
      </c>
    </row>
    <row r="40" spans="1:15" x14ac:dyDescent="0.15">
      <c r="A40">
        <v>40</v>
      </c>
      <c r="B40">
        <f t="shared" si="8"/>
        <v>50</v>
      </c>
      <c r="C40" s="7"/>
      <c r="I40" s="7">
        <f t="shared" si="5"/>
        <v>19</v>
      </c>
      <c r="J40" s="7">
        <f t="shared" si="6"/>
        <v>2</v>
      </c>
      <c r="K40" s="7">
        <f t="shared" si="7"/>
        <v>38</v>
      </c>
      <c r="L40" s="7">
        <f t="shared" si="1"/>
        <v>3.7</v>
      </c>
      <c r="M40" s="7">
        <f t="shared" si="2"/>
        <v>5.0500000000000007</v>
      </c>
      <c r="N40" s="7">
        <f t="shared" si="3"/>
        <v>0.27027027027027023</v>
      </c>
      <c r="O40" s="7">
        <f t="shared" si="4"/>
        <v>0.198019801980198</v>
      </c>
    </row>
    <row r="41" spans="1:15" x14ac:dyDescent="0.15">
      <c r="A41">
        <v>41</v>
      </c>
      <c r="B41">
        <f t="shared" si="8"/>
        <v>48.780487804878049</v>
      </c>
      <c r="C41" s="7"/>
      <c r="I41" s="7">
        <f t="shared" si="5"/>
        <v>20</v>
      </c>
      <c r="J41" s="7">
        <f t="shared" si="6"/>
        <v>2</v>
      </c>
      <c r="K41" s="7">
        <f t="shared" si="7"/>
        <v>40</v>
      </c>
      <c r="L41" s="7">
        <f t="shared" si="1"/>
        <v>3.8</v>
      </c>
      <c r="M41" s="7">
        <f t="shared" si="2"/>
        <v>5.25</v>
      </c>
      <c r="N41" s="7">
        <f t="shared" si="3"/>
        <v>0.26315789473684209</v>
      </c>
      <c r="O41" s="7">
        <f t="shared" si="4"/>
        <v>0.19047619047619047</v>
      </c>
    </row>
    <row r="42" spans="1:15" x14ac:dyDescent="0.15">
      <c r="A42">
        <v>42</v>
      </c>
      <c r="B42">
        <f t="shared" si="8"/>
        <v>47.61904761904762</v>
      </c>
      <c r="C42" s="7"/>
      <c r="I42" s="7">
        <f t="shared" si="5"/>
        <v>1</v>
      </c>
      <c r="J42" s="7">
        <f t="shared" si="6"/>
        <v>3</v>
      </c>
      <c r="K42" s="7">
        <f>J42</f>
        <v>3</v>
      </c>
      <c r="L42" s="7">
        <f t="shared" si="1"/>
        <v>2.85</v>
      </c>
      <c r="M42" s="7">
        <f t="shared" si="2"/>
        <v>1.9500000000000002</v>
      </c>
      <c r="N42" s="7">
        <f t="shared" si="3"/>
        <v>0.35087719298245612</v>
      </c>
      <c r="O42" s="7">
        <f t="shared" si="4"/>
        <v>0.51282051282051277</v>
      </c>
    </row>
    <row r="43" spans="1:15" x14ac:dyDescent="0.15">
      <c r="A43">
        <v>43</v>
      </c>
      <c r="B43">
        <f t="shared" si="8"/>
        <v>46.511627906976742</v>
      </c>
      <c r="C43" s="7"/>
      <c r="I43" s="7">
        <f t="shared" si="5"/>
        <v>2</v>
      </c>
      <c r="J43" s="7">
        <f t="shared" si="6"/>
        <v>3</v>
      </c>
      <c r="K43" s="7">
        <f>K42+J42</f>
        <v>6</v>
      </c>
      <c r="L43" s="7">
        <f t="shared" si="1"/>
        <v>3</v>
      </c>
      <c r="M43" s="7">
        <f t="shared" si="2"/>
        <v>2.25</v>
      </c>
      <c r="N43" s="7">
        <f t="shared" si="3"/>
        <v>0.33333333333333331</v>
      </c>
      <c r="O43" s="7">
        <f t="shared" si="4"/>
        <v>0.44444444444444442</v>
      </c>
    </row>
    <row r="44" spans="1:15" x14ac:dyDescent="0.15">
      <c r="A44">
        <v>44</v>
      </c>
      <c r="B44">
        <f t="shared" si="8"/>
        <v>45.454545454545453</v>
      </c>
      <c r="C44" s="7"/>
      <c r="I44" s="7">
        <f t="shared" si="5"/>
        <v>3</v>
      </c>
      <c r="J44" s="7">
        <f t="shared" si="6"/>
        <v>3</v>
      </c>
      <c r="K44" s="7">
        <f t="shared" ref="K44:K61" si="9">K43+J43</f>
        <v>9</v>
      </c>
      <c r="L44" s="7">
        <f t="shared" si="1"/>
        <v>3.1500000000000004</v>
      </c>
      <c r="M44" s="7">
        <f t="shared" si="2"/>
        <v>2.5500000000000003</v>
      </c>
      <c r="N44" s="7">
        <f t="shared" si="3"/>
        <v>0.31746031746031744</v>
      </c>
      <c r="O44" s="7">
        <f t="shared" si="4"/>
        <v>0.39215686274509798</v>
      </c>
    </row>
    <row r="45" spans="1:15" x14ac:dyDescent="0.15">
      <c r="A45">
        <v>45</v>
      </c>
      <c r="B45">
        <f t="shared" si="8"/>
        <v>44.444444444444443</v>
      </c>
      <c r="C45" s="7"/>
      <c r="I45" s="7">
        <f t="shared" si="5"/>
        <v>4</v>
      </c>
      <c r="J45" s="7">
        <f t="shared" si="6"/>
        <v>3</v>
      </c>
      <c r="K45" s="7">
        <f t="shared" si="9"/>
        <v>12</v>
      </c>
      <c r="L45" s="7">
        <f t="shared" si="1"/>
        <v>3.3000000000000003</v>
      </c>
      <c r="M45" s="7">
        <f t="shared" si="2"/>
        <v>2.8500000000000005</v>
      </c>
      <c r="N45" s="7">
        <f t="shared" si="3"/>
        <v>0.30303030303030298</v>
      </c>
      <c r="O45" s="7">
        <f t="shared" si="4"/>
        <v>0.35087719298245607</v>
      </c>
    </row>
    <row r="46" spans="1:15" x14ac:dyDescent="0.15">
      <c r="A46">
        <v>46</v>
      </c>
      <c r="B46">
        <f t="shared" si="8"/>
        <v>43.478260869565219</v>
      </c>
      <c r="C46" s="7"/>
      <c r="I46" s="7">
        <f t="shared" si="5"/>
        <v>5</v>
      </c>
      <c r="J46" s="7">
        <f t="shared" si="6"/>
        <v>3</v>
      </c>
      <c r="K46" s="7">
        <f t="shared" si="9"/>
        <v>15</v>
      </c>
      <c r="L46" s="7">
        <f t="shared" si="1"/>
        <v>3.45</v>
      </c>
      <c r="M46" s="7">
        <f t="shared" si="2"/>
        <v>3.1500000000000004</v>
      </c>
      <c r="N46" s="7">
        <f t="shared" si="3"/>
        <v>0.28985507246376813</v>
      </c>
      <c r="O46" s="7">
        <f t="shared" si="4"/>
        <v>0.31746031746031744</v>
      </c>
    </row>
    <row r="47" spans="1:15" x14ac:dyDescent="0.15">
      <c r="A47">
        <v>47</v>
      </c>
      <c r="B47">
        <f t="shared" si="8"/>
        <v>42.553191489361701</v>
      </c>
      <c r="C47" s="7"/>
      <c r="I47" s="7">
        <f t="shared" si="5"/>
        <v>6</v>
      </c>
      <c r="J47" s="7">
        <f t="shared" si="6"/>
        <v>3</v>
      </c>
      <c r="K47" s="7">
        <f t="shared" si="9"/>
        <v>18</v>
      </c>
      <c r="L47" s="7">
        <f t="shared" si="1"/>
        <v>3.6</v>
      </c>
      <c r="M47" s="7">
        <f t="shared" si="2"/>
        <v>3.45</v>
      </c>
      <c r="N47" s="7">
        <f t="shared" si="3"/>
        <v>0.27777777777777779</v>
      </c>
      <c r="O47" s="7">
        <f t="shared" si="4"/>
        <v>0.28985507246376813</v>
      </c>
    </row>
    <row r="48" spans="1:15" x14ac:dyDescent="0.15">
      <c r="A48">
        <v>48</v>
      </c>
      <c r="B48">
        <f t="shared" si="8"/>
        <v>41.666666666666664</v>
      </c>
      <c r="C48" s="7"/>
      <c r="I48" s="7">
        <f t="shared" si="5"/>
        <v>7</v>
      </c>
      <c r="J48" s="7">
        <f t="shared" si="6"/>
        <v>3</v>
      </c>
      <c r="K48" s="7">
        <f t="shared" si="9"/>
        <v>21</v>
      </c>
      <c r="L48" s="7">
        <f t="shared" si="1"/>
        <v>3.75</v>
      </c>
      <c r="M48" s="7">
        <f t="shared" si="2"/>
        <v>3.75</v>
      </c>
      <c r="N48" s="7">
        <f t="shared" si="3"/>
        <v>0.26666666666666666</v>
      </c>
      <c r="O48" s="7">
        <f t="shared" si="4"/>
        <v>0.26666666666666666</v>
      </c>
    </row>
    <row r="49" spans="1:15" x14ac:dyDescent="0.15">
      <c r="A49">
        <v>49</v>
      </c>
      <c r="B49">
        <f t="shared" si="8"/>
        <v>40.816326530612244</v>
      </c>
      <c r="C49" s="7"/>
      <c r="I49" s="7">
        <f t="shared" si="5"/>
        <v>8</v>
      </c>
      <c r="J49" s="7">
        <f t="shared" si="6"/>
        <v>3</v>
      </c>
      <c r="K49" s="7">
        <f t="shared" si="9"/>
        <v>24</v>
      </c>
      <c r="L49" s="7">
        <f t="shared" si="1"/>
        <v>3.9000000000000004</v>
      </c>
      <c r="M49" s="7">
        <f t="shared" si="2"/>
        <v>4.0500000000000007</v>
      </c>
      <c r="N49" s="7">
        <f t="shared" si="3"/>
        <v>0.25641025641025639</v>
      </c>
      <c r="O49" s="7">
        <f t="shared" si="4"/>
        <v>0.24691358024691354</v>
      </c>
    </row>
    <row r="50" spans="1:15" x14ac:dyDescent="0.15">
      <c r="A50">
        <v>50</v>
      </c>
      <c r="B50">
        <f t="shared" si="8"/>
        <v>40</v>
      </c>
      <c r="C50" s="7"/>
      <c r="I50" s="7">
        <f t="shared" si="5"/>
        <v>9</v>
      </c>
      <c r="J50" s="7">
        <f t="shared" si="6"/>
        <v>3</v>
      </c>
      <c r="K50" s="7">
        <f t="shared" si="9"/>
        <v>27</v>
      </c>
      <c r="L50" s="7">
        <f t="shared" si="1"/>
        <v>4.0500000000000007</v>
      </c>
      <c r="M50" s="7">
        <f t="shared" si="2"/>
        <v>4.3500000000000005</v>
      </c>
      <c r="N50" s="7">
        <f t="shared" si="3"/>
        <v>0.24691358024691354</v>
      </c>
      <c r="O50" s="7">
        <f t="shared" si="4"/>
        <v>0.22988505747126434</v>
      </c>
    </row>
    <row r="51" spans="1:15" x14ac:dyDescent="0.15">
      <c r="A51" s="7">
        <v>51</v>
      </c>
      <c r="B51" s="7">
        <f t="shared" ref="B51:B114" si="10">$F$3/A51</f>
        <v>39.215686274509807</v>
      </c>
      <c r="C51" s="7"/>
      <c r="I51" s="7">
        <f t="shared" si="5"/>
        <v>10</v>
      </c>
      <c r="J51" s="7">
        <f t="shared" si="6"/>
        <v>3</v>
      </c>
      <c r="K51" s="7">
        <f t="shared" si="9"/>
        <v>30</v>
      </c>
      <c r="L51" s="7">
        <f t="shared" si="1"/>
        <v>4.2</v>
      </c>
      <c r="M51" s="7">
        <f t="shared" si="2"/>
        <v>4.6500000000000004</v>
      </c>
      <c r="N51" s="7">
        <f t="shared" si="3"/>
        <v>0.23809523809523808</v>
      </c>
      <c r="O51" s="7">
        <f t="shared" si="4"/>
        <v>0.21505376344086019</v>
      </c>
    </row>
    <row r="52" spans="1:15" x14ac:dyDescent="0.15">
      <c r="A52" s="7">
        <v>52</v>
      </c>
      <c r="B52" s="7">
        <f t="shared" si="10"/>
        <v>38.46153846153846</v>
      </c>
      <c r="C52" s="7"/>
      <c r="I52" s="7">
        <f t="shared" si="5"/>
        <v>11</v>
      </c>
      <c r="J52" s="7">
        <f t="shared" si="6"/>
        <v>3</v>
      </c>
      <c r="K52" s="7">
        <f t="shared" si="9"/>
        <v>33</v>
      </c>
      <c r="L52" s="7">
        <f t="shared" si="1"/>
        <v>4.3500000000000005</v>
      </c>
      <c r="M52" s="7">
        <f t="shared" si="2"/>
        <v>4.95</v>
      </c>
      <c r="N52" s="7">
        <f t="shared" si="3"/>
        <v>0.22988505747126434</v>
      </c>
      <c r="O52" s="7">
        <f t="shared" si="4"/>
        <v>0.20202020202020202</v>
      </c>
    </row>
    <row r="53" spans="1:15" x14ac:dyDescent="0.15">
      <c r="A53" s="7">
        <v>53</v>
      </c>
      <c r="B53" s="7">
        <f t="shared" si="10"/>
        <v>37.735849056603776</v>
      </c>
      <c r="C53" s="7"/>
      <c r="I53" s="7">
        <f t="shared" si="5"/>
        <v>12</v>
      </c>
      <c r="J53" s="7">
        <f t="shared" si="6"/>
        <v>3</v>
      </c>
      <c r="K53" s="7">
        <f t="shared" si="9"/>
        <v>36</v>
      </c>
      <c r="L53" s="7">
        <f t="shared" si="1"/>
        <v>4.5</v>
      </c>
      <c r="M53" s="7">
        <f t="shared" si="2"/>
        <v>5.25</v>
      </c>
      <c r="N53" s="7">
        <f t="shared" si="3"/>
        <v>0.22222222222222221</v>
      </c>
      <c r="O53" s="7">
        <f t="shared" si="4"/>
        <v>0.19047619047619047</v>
      </c>
    </row>
    <row r="54" spans="1:15" x14ac:dyDescent="0.15">
      <c r="A54" s="7">
        <v>54</v>
      </c>
      <c r="B54" s="7">
        <f t="shared" si="10"/>
        <v>37.037037037037038</v>
      </c>
      <c r="C54" s="7"/>
      <c r="I54" s="7">
        <f t="shared" si="5"/>
        <v>13</v>
      </c>
      <c r="J54" s="7">
        <f t="shared" si="6"/>
        <v>3</v>
      </c>
      <c r="K54" s="7">
        <f t="shared" si="9"/>
        <v>39</v>
      </c>
      <c r="L54" s="7">
        <f t="shared" si="1"/>
        <v>4.6500000000000004</v>
      </c>
      <c r="M54" s="7">
        <f t="shared" si="2"/>
        <v>5.5500000000000007</v>
      </c>
      <c r="N54" s="7">
        <f t="shared" si="3"/>
        <v>0.21505376344086019</v>
      </c>
      <c r="O54" s="7">
        <f t="shared" si="4"/>
        <v>0.18018018018018014</v>
      </c>
    </row>
    <row r="55" spans="1:15" x14ac:dyDescent="0.15">
      <c r="A55" s="7">
        <v>55</v>
      </c>
      <c r="B55" s="7">
        <f t="shared" si="10"/>
        <v>36.363636363636367</v>
      </c>
      <c r="C55" s="7"/>
      <c r="I55" s="7">
        <f t="shared" si="5"/>
        <v>14</v>
      </c>
      <c r="J55" s="7">
        <f t="shared" si="6"/>
        <v>3</v>
      </c>
      <c r="K55" s="7">
        <f t="shared" si="9"/>
        <v>42</v>
      </c>
      <c r="L55" s="7">
        <f t="shared" si="1"/>
        <v>4.8000000000000007</v>
      </c>
      <c r="M55" s="7">
        <f t="shared" si="2"/>
        <v>5.8500000000000005</v>
      </c>
      <c r="N55" s="7">
        <f t="shared" si="3"/>
        <v>0.20833333333333331</v>
      </c>
      <c r="O55" s="7">
        <f t="shared" si="4"/>
        <v>0.17094017094017092</v>
      </c>
    </row>
    <row r="56" spans="1:15" x14ac:dyDescent="0.15">
      <c r="A56" s="7">
        <v>56</v>
      </c>
      <c r="B56" s="7">
        <f t="shared" si="10"/>
        <v>35.714285714285715</v>
      </c>
      <c r="C56" s="7"/>
      <c r="I56" s="7">
        <f t="shared" si="5"/>
        <v>15</v>
      </c>
      <c r="J56" s="7">
        <f t="shared" si="6"/>
        <v>3</v>
      </c>
      <c r="K56" s="7">
        <f t="shared" si="9"/>
        <v>45</v>
      </c>
      <c r="L56" s="7">
        <f t="shared" si="1"/>
        <v>4.95</v>
      </c>
      <c r="M56" s="7">
        <f t="shared" si="2"/>
        <v>6.15</v>
      </c>
      <c r="N56" s="7">
        <f t="shared" si="3"/>
        <v>0.20202020202020202</v>
      </c>
      <c r="O56" s="7">
        <f t="shared" si="4"/>
        <v>0.16260162601626016</v>
      </c>
    </row>
    <row r="57" spans="1:15" x14ac:dyDescent="0.15">
      <c r="A57" s="7">
        <v>57</v>
      </c>
      <c r="B57" s="7">
        <f t="shared" si="10"/>
        <v>35.087719298245617</v>
      </c>
      <c r="C57" s="7"/>
      <c r="I57" s="7">
        <f t="shared" si="5"/>
        <v>16</v>
      </c>
      <c r="J57" s="7">
        <f t="shared" si="6"/>
        <v>3</v>
      </c>
      <c r="K57" s="7">
        <f t="shared" si="9"/>
        <v>48</v>
      </c>
      <c r="L57" s="7">
        <f t="shared" si="1"/>
        <v>5.1000000000000005</v>
      </c>
      <c r="M57" s="7">
        <f t="shared" si="2"/>
        <v>6.4500000000000011</v>
      </c>
      <c r="N57" s="7">
        <f t="shared" si="3"/>
        <v>0.19607843137254899</v>
      </c>
      <c r="O57" s="7">
        <f t="shared" si="4"/>
        <v>0.15503875968992245</v>
      </c>
    </row>
    <row r="58" spans="1:15" x14ac:dyDescent="0.15">
      <c r="A58" s="7">
        <v>58</v>
      </c>
      <c r="B58" s="7">
        <f t="shared" si="10"/>
        <v>34.482758620689658</v>
      </c>
      <c r="C58" s="7"/>
      <c r="I58" s="7">
        <f t="shared" si="5"/>
        <v>17</v>
      </c>
      <c r="J58" s="7">
        <f t="shared" si="6"/>
        <v>3</v>
      </c>
      <c r="K58" s="7">
        <f t="shared" si="9"/>
        <v>51</v>
      </c>
      <c r="L58" s="7">
        <f t="shared" si="1"/>
        <v>5.25</v>
      </c>
      <c r="M58" s="7">
        <f t="shared" si="2"/>
        <v>6.7500000000000009</v>
      </c>
      <c r="N58" s="7">
        <f t="shared" si="3"/>
        <v>0.19047619047619047</v>
      </c>
      <c r="O58" s="7">
        <f t="shared" si="4"/>
        <v>0.14814814814814814</v>
      </c>
    </row>
    <row r="59" spans="1:15" x14ac:dyDescent="0.15">
      <c r="A59" s="7">
        <v>59</v>
      </c>
      <c r="B59" s="7">
        <f t="shared" si="10"/>
        <v>33.898305084745765</v>
      </c>
      <c r="C59" s="7"/>
      <c r="I59" s="7">
        <f t="shared" si="5"/>
        <v>18</v>
      </c>
      <c r="J59" s="7">
        <f t="shared" si="6"/>
        <v>3</v>
      </c>
      <c r="K59" s="7">
        <f t="shared" si="9"/>
        <v>54</v>
      </c>
      <c r="L59" s="7">
        <f t="shared" si="1"/>
        <v>5.4</v>
      </c>
      <c r="M59" s="7">
        <f t="shared" si="2"/>
        <v>7.0500000000000007</v>
      </c>
      <c r="N59" s="7">
        <f t="shared" si="3"/>
        <v>0.18518518518518517</v>
      </c>
      <c r="O59" s="7">
        <f t="shared" si="4"/>
        <v>0.14184397163120566</v>
      </c>
    </row>
    <row r="60" spans="1:15" x14ac:dyDescent="0.15">
      <c r="A60" s="7">
        <v>60</v>
      </c>
      <c r="B60" s="7">
        <f t="shared" si="10"/>
        <v>33.333333333333336</v>
      </c>
      <c r="C60" s="7"/>
      <c r="I60" s="7">
        <f t="shared" si="5"/>
        <v>19</v>
      </c>
      <c r="J60" s="7">
        <f t="shared" si="6"/>
        <v>3</v>
      </c>
      <c r="K60" s="7">
        <f t="shared" si="9"/>
        <v>57</v>
      </c>
      <c r="L60" s="7">
        <f t="shared" si="1"/>
        <v>5.5500000000000007</v>
      </c>
      <c r="M60" s="7">
        <f t="shared" si="2"/>
        <v>7.3500000000000005</v>
      </c>
      <c r="N60" s="7">
        <f t="shared" si="3"/>
        <v>0.18018018018018014</v>
      </c>
      <c r="O60" s="7">
        <f t="shared" si="4"/>
        <v>0.13605442176870747</v>
      </c>
    </row>
    <row r="61" spans="1:15" x14ac:dyDescent="0.15">
      <c r="A61" s="7">
        <v>61</v>
      </c>
      <c r="B61" s="7">
        <f t="shared" si="10"/>
        <v>32.786885245901637</v>
      </c>
      <c r="C61" s="7"/>
      <c r="I61" s="7">
        <f t="shared" si="5"/>
        <v>20</v>
      </c>
      <c r="J61" s="7">
        <f t="shared" si="6"/>
        <v>3</v>
      </c>
      <c r="K61" s="7">
        <f t="shared" si="9"/>
        <v>60</v>
      </c>
      <c r="L61" s="7">
        <f t="shared" si="1"/>
        <v>5.7</v>
      </c>
      <c r="M61" s="7">
        <f t="shared" si="2"/>
        <v>7.65</v>
      </c>
      <c r="N61" s="7">
        <f t="shared" si="3"/>
        <v>0.17543859649122806</v>
      </c>
      <c r="O61" s="7">
        <f t="shared" si="4"/>
        <v>0.13071895424836602</v>
      </c>
    </row>
    <row r="62" spans="1:15" x14ac:dyDescent="0.15">
      <c r="A62" s="7">
        <v>62</v>
      </c>
      <c r="B62" s="7">
        <f t="shared" si="10"/>
        <v>32.258064516129032</v>
      </c>
      <c r="C62" s="7"/>
      <c r="I62" s="7">
        <f t="shared" si="5"/>
        <v>1</v>
      </c>
      <c r="J62" s="7">
        <f t="shared" si="6"/>
        <v>4</v>
      </c>
      <c r="K62" s="7">
        <f>J62</f>
        <v>4</v>
      </c>
      <c r="L62" s="7">
        <f t="shared" si="1"/>
        <v>3.8000000000000003</v>
      </c>
      <c r="M62" s="7">
        <f t="shared" si="2"/>
        <v>2.4500000000000002</v>
      </c>
      <c r="N62" s="7">
        <f t="shared" si="3"/>
        <v>0.26315789473684209</v>
      </c>
      <c r="O62" s="7">
        <f t="shared" si="4"/>
        <v>0.4081632653061224</v>
      </c>
    </row>
    <row r="63" spans="1:15" x14ac:dyDescent="0.15">
      <c r="A63" s="7">
        <v>63</v>
      </c>
      <c r="B63" s="7">
        <f t="shared" si="10"/>
        <v>31.746031746031747</v>
      </c>
      <c r="C63" s="7"/>
      <c r="I63" s="7">
        <f t="shared" si="5"/>
        <v>2</v>
      </c>
      <c r="J63" s="7">
        <f t="shared" si="6"/>
        <v>4</v>
      </c>
      <c r="K63" s="7">
        <f>K62+J62</f>
        <v>8</v>
      </c>
      <c r="L63" s="7">
        <f t="shared" si="1"/>
        <v>4</v>
      </c>
      <c r="M63" s="7">
        <f t="shared" si="2"/>
        <v>2.8500000000000005</v>
      </c>
      <c r="N63" s="7">
        <f t="shared" si="3"/>
        <v>0.25</v>
      </c>
      <c r="O63" s="7">
        <f t="shared" si="4"/>
        <v>0.35087719298245607</v>
      </c>
    </row>
    <row r="64" spans="1:15" x14ac:dyDescent="0.15">
      <c r="A64" s="7">
        <v>64</v>
      </c>
      <c r="B64" s="7">
        <f t="shared" si="10"/>
        <v>31.25</v>
      </c>
      <c r="C64" s="7"/>
      <c r="I64" s="7">
        <f t="shared" si="5"/>
        <v>3</v>
      </c>
      <c r="J64" s="7">
        <f t="shared" si="6"/>
        <v>4</v>
      </c>
      <c r="K64" s="7">
        <f t="shared" ref="K64:K81" si="11">K63+J63</f>
        <v>12</v>
      </c>
      <c r="L64" s="7">
        <f t="shared" si="1"/>
        <v>4.2</v>
      </c>
      <c r="M64" s="7">
        <f t="shared" si="2"/>
        <v>3.2500000000000004</v>
      </c>
      <c r="N64" s="7">
        <f t="shared" si="3"/>
        <v>0.23809523809523808</v>
      </c>
      <c r="O64" s="7">
        <f t="shared" si="4"/>
        <v>0.30769230769230765</v>
      </c>
    </row>
    <row r="65" spans="1:15" x14ac:dyDescent="0.15">
      <c r="A65" s="7">
        <v>65</v>
      </c>
      <c r="B65" s="7">
        <f t="shared" si="10"/>
        <v>30.76923076923077</v>
      </c>
      <c r="C65" s="7"/>
      <c r="I65" s="7">
        <f t="shared" si="5"/>
        <v>4</v>
      </c>
      <c r="J65" s="7">
        <f t="shared" si="6"/>
        <v>4</v>
      </c>
      <c r="K65" s="7">
        <f t="shared" si="11"/>
        <v>16</v>
      </c>
      <c r="L65" s="7">
        <f t="shared" si="1"/>
        <v>4.4000000000000004</v>
      </c>
      <c r="M65" s="7">
        <f t="shared" si="2"/>
        <v>3.6500000000000004</v>
      </c>
      <c r="N65" s="7">
        <f t="shared" si="3"/>
        <v>0.22727272727272727</v>
      </c>
      <c r="O65" s="7">
        <f t="shared" si="4"/>
        <v>0.27397260273972601</v>
      </c>
    </row>
    <row r="66" spans="1:15" x14ac:dyDescent="0.15">
      <c r="A66" s="7">
        <v>66</v>
      </c>
      <c r="B66" s="7">
        <f t="shared" si="10"/>
        <v>30.303030303030305</v>
      </c>
      <c r="C66" s="7"/>
      <c r="I66" s="7">
        <f t="shared" si="5"/>
        <v>5</v>
      </c>
      <c r="J66" s="7">
        <f t="shared" si="6"/>
        <v>4</v>
      </c>
      <c r="K66" s="7">
        <f t="shared" si="11"/>
        <v>20</v>
      </c>
      <c r="L66" s="7">
        <f t="shared" si="1"/>
        <v>4.5999999999999996</v>
      </c>
      <c r="M66" s="7">
        <f t="shared" si="2"/>
        <v>4.0500000000000007</v>
      </c>
      <c r="N66" s="7">
        <f t="shared" si="3"/>
        <v>0.21739130434782611</v>
      </c>
      <c r="O66" s="7">
        <f t="shared" si="4"/>
        <v>0.24691358024691354</v>
      </c>
    </row>
    <row r="67" spans="1:15" x14ac:dyDescent="0.15">
      <c r="A67" s="7">
        <v>67</v>
      </c>
      <c r="B67" s="7">
        <f t="shared" si="10"/>
        <v>29.850746268656717</v>
      </c>
      <c r="C67" s="7"/>
      <c r="I67" s="7">
        <f t="shared" si="5"/>
        <v>6</v>
      </c>
      <c r="J67" s="7">
        <f t="shared" si="6"/>
        <v>4</v>
      </c>
      <c r="K67" s="7">
        <f t="shared" si="11"/>
        <v>24</v>
      </c>
      <c r="L67" s="7">
        <f t="shared" ref="L67:L130" si="12">0.9*J67+0.05*K67</f>
        <v>4.8000000000000007</v>
      </c>
      <c r="M67" s="7">
        <f t="shared" ref="M67:M130" si="13">0.45+0.4*J67+0.1*K67</f>
        <v>4.4500000000000011</v>
      </c>
      <c r="N67" s="7">
        <f t="shared" ref="N67:N130" si="14">1/L67</f>
        <v>0.20833333333333331</v>
      </c>
      <c r="O67" s="7">
        <f t="shared" ref="O67:O130" si="15">1/M67</f>
        <v>0.22471910112359544</v>
      </c>
    </row>
    <row r="68" spans="1:15" x14ac:dyDescent="0.15">
      <c r="A68" s="7">
        <v>68</v>
      </c>
      <c r="B68" s="7">
        <f t="shared" si="10"/>
        <v>29.411764705882351</v>
      </c>
      <c r="C68" s="7"/>
      <c r="I68" s="7">
        <f t="shared" si="5"/>
        <v>7</v>
      </c>
      <c r="J68" s="7">
        <f t="shared" si="6"/>
        <v>4</v>
      </c>
      <c r="K68" s="7">
        <f t="shared" si="11"/>
        <v>28</v>
      </c>
      <c r="L68" s="7">
        <f t="shared" si="12"/>
        <v>5</v>
      </c>
      <c r="M68" s="7">
        <f t="shared" si="13"/>
        <v>4.8500000000000005</v>
      </c>
      <c r="N68" s="7">
        <f t="shared" si="14"/>
        <v>0.2</v>
      </c>
      <c r="O68" s="7">
        <f t="shared" si="15"/>
        <v>0.20618556701030927</v>
      </c>
    </row>
    <row r="69" spans="1:15" x14ac:dyDescent="0.15">
      <c r="A69" s="7">
        <v>69</v>
      </c>
      <c r="B69" s="7">
        <f t="shared" si="10"/>
        <v>28.985507246376812</v>
      </c>
      <c r="C69" s="7"/>
      <c r="I69" s="7">
        <f t="shared" si="5"/>
        <v>8</v>
      </c>
      <c r="J69" s="7">
        <f t="shared" si="6"/>
        <v>4</v>
      </c>
      <c r="K69" s="7">
        <f t="shared" si="11"/>
        <v>32</v>
      </c>
      <c r="L69" s="7">
        <f t="shared" si="12"/>
        <v>5.2</v>
      </c>
      <c r="M69" s="7">
        <f t="shared" si="13"/>
        <v>5.25</v>
      </c>
      <c r="N69" s="7">
        <f t="shared" si="14"/>
        <v>0.19230769230769229</v>
      </c>
      <c r="O69" s="7">
        <f t="shared" si="15"/>
        <v>0.19047619047619047</v>
      </c>
    </row>
    <row r="70" spans="1:15" x14ac:dyDescent="0.15">
      <c r="A70" s="7">
        <v>70</v>
      </c>
      <c r="B70" s="7">
        <f t="shared" si="10"/>
        <v>28.571428571428573</v>
      </c>
      <c r="C70" s="7"/>
      <c r="I70" s="7">
        <f t="shared" si="5"/>
        <v>9</v>
      </c>
      <c r="J70" s="7">
        <f t="shared" si="6"/>
        <v>4</v>
      </c>
      <c r="K70" s="7">
        <f t="shared" si="11"/>
        <v>36</v>
      </c>
      <c r="L70" s="7">
        <f t="shared" si="12"/>
        <v>5.4</v>
      </c>
      <c r="M70" s="7">
        <f t="shared" si="13"/>
        <v>5.65</v>
      </c>
      <c r="N70" s="7">
        <f t="shared" si="14"/>
        <v>0.18518518518518517</v>
      </c>
      <c r="O70" s="7">
        <f t="shared" si="15"/>
        <v>0.17699115044247787</v>
      </c>
    </row>
    <row r="71" spans="1:15" x14ac:dyDescent="0.15">
      <c r="A71" s="7">
        <v>71</v>
      </c>
      <c r="B71" s="7">
        <f t="shared" si="10"/>
        <v>28.169014084507044</v>
      </c>
      <c r="C71" s="7"/>
      <c r="I71" s="7">
        <f t="shared" si="5"/>
        <v>10</v>
      </c>
      <c r="J71" s="7">
        <f t="shared" si="6"/>
        <v>4</v>
      </c>
      <c r="K71" s="7">
        <f t="shared" si="11"/>
        <v>40</v>
      </c>
      <c r="L71" s="7">
        <f t="shared" si="12"/>
        <v>5.6</v>
      </c>
      <c r="M71" s="7">
        <f t="shared" si="13"/>
        <v>6.0500000000000007</v>
      </c>
      <c r="N71" s="7">
        <f t="shared" si="14"/>
        <v>0.17857142857142858</v>
      </c>
      <c r="O71" s="7">
        <f t="shared" si="15"/>
        <v>0.16528925619834708</v>
      </c>
    </row>
    <row r="72" spans="1:15" x14ac:dyDescent="0.15">
      <c r="A72" s="7">
        <v>72</v>
      </c>
      <c r="B72" s="7">
        <f t="shared" si="10"/>
        <v>27.777777777777779</v>
      </c>
      <c r="C72" s="7"/>
      <c r="I72" s="7">
        <f t="shared" si="5"/>
        <v>11</v>
      </c>
      <c r="J72" s="7">
        <f t="shared" si="6"/>
        <v>4</v>
      </c>
      <c r="K72" s="7">
        <f t="shared" si="11"/>
        <v>44</v>
      </c>
      <c r="L72" s="7">
        <f t="shared" si="12"/>
        <v>5.8000000000000007</v>
      </c>
      <c r="M72" s="7">
        <f t="shared" si="13"/>
        <v>6.4500000000000011</v>
      </c>
      <c r="N72" s="7">
        <f t="shared" si="14"/>
        <v>0.17241379310344826</v>
      </c>
      <c r="O72" s="7">
        <f t="shared" si="15"/>
        <v>0.15503875968992245</v>
      </c>
    </row>
    <row r="73" spans="1:15" x14ac:dyDescent="0.15">
      <c r="A73" s="7">
        <v>73</v>
      </c>
      <c r="B73" s="7">
        <f t="shared" si="10"/>
        <v>27.397260273972602</v>
      </c>
      <c r="C73" s="7"/>
      <c r="I73" s="7">
        <f t="shared" si="5"/>
        <v>12</v>
      </c>
      <c r="J73" s="7">
        <f t="shared" si="6"/>
        <v>4</v>
      </c>
      <c r="K73" s="7">
        <f t="shared" si="11"/>
        <v>48</v>
      </c>
      <c r="L73" s="7">
        <f t="shared" si="12"/>
        <v>6</v>
      </c>
      <c r="M73" s="7">
        <f t="shared" si="13"/>
        <v>6.8500000000000014</v>
      </c>
      <c r="N73" s="7">
        <f t="shared" si="14"/>
        <v>0.16666666666666666</v>
      </c>
      <c r="O73" s="7">
        <f t="shared" si="15"/>
        <v>0.14598540145985398</v>
      </c>
    </row>
    <row r="74" spans="1:15" x14ac:dyDescent="0.15">
      <c r="A74" s="7">
        <v>74</v>
      </c>
      <c r="B74" s="7">
        <f t="shared" si="10"/>
        <v>27.027027027027028</v>
      </c>
      <c r="C74" s="7"/>
      <c r="I74" s="7">
        <f t="shared" si="5"/>
        <v>13</v>
      </c>
      <c r="J74" s="7">
        <f t="shared" si="6"/>
        <v>4</v>
      </c>
      <c r="K74" s="7">
        <f t="shared" si="11"/>
        <v>52</v>
      </c>
      <c r="L74" s="7">
        <f t="shared" si="12"/>
        <v>6.2</v>
      </c>
      <c r="M74" s="7">
        <f t="shared" si="13"/>
        <v>7.25</v>
      </c>
      <c r="N74" s="7">
        <f t="shared" si="14"/>
        <v>0.16129032258064516</v>
      </c>
      <c r="O74" s="7">
        <f t="shared" si="15"/>
        <v>0.13793103448275862</v>
      </c>
    </row>
    <row r="75" spans="1:15" x14ac:dyDescent="0.15">
      <c r="A75" s="7">
        <v>75</v>
      </c>
      <c r="B75" s="7">
        <f t="shared" si="10"/>
        <v>26.666666666666668</v>
      </c>
      <c r="C75" s="7"/>
      <c r="I75" s="7">
        <f t="shared" si="5"/>
        <v>14</v>
      </c>
      <c r="J75" s="7">
        <f t="shared" si="6"/>
        <v>4</v>
      </c>
      <c r="K75" s="7">
        <f t="shared" si="11"/>
        <v>56</v>
      </c>
      <c r="L75" s="7">
        <f t="shared" si="12"/>
        <v>6.4</v>
      </c>
      <c r="M75" s="7">
        <f t="shared" si="13"/>
        <v>7.65</v>
      </c>
      <c r="N75" s="7">
        <f t="shared" si="14"/>
        <v>0.15625</v>
      </c>
      <c r="O75" s="7">
        <f t="shared" si="15"/>
        <v>0.13071895424836602</v>
      </c>
    </row>
    <row r="76" spans="1:15" x14ac:dyDescent="0.15">
      <c r="A76" s="7">
        <v>76</v>
      </c>
      <c r="B76" s="7">
        <f t="shared" si="10"/>
        <v>26.315789473684209</v>
      </c>
      <c r="C76" s="7"/>
      <c r="I76" s="7">
        <f t="shared" si="5"/>
        <v>15</v>
      </c>
      <c r="J76" s="7">
        <f t="shared" si="6"/>
        <v>4</v>
      </c>
      <c r="K76" s="7">
        <f t="shared" si="11"/>
        <v>60</v>
      </c>
      <c r="L76" s="7">
        <f t="shared" si="12"/>
        <v>6.6</v>
      </c>
      <c r="M76" s="7">
        <f t="shared" si="13"/>
        <v>8.0500000000000007</v>
      </c>
      <c r="N76" s="7">
        <f t="shared" si="14"/>
        <v>0.15151515151515152</v>
      </c>
      <c r="O76" s="7">
        <f t="shared" si="15"/>
        <v>0.12422360248447203</v>
      </c>
    </row>
    <row r="77" spans="1:15" x14ac:dyDescent="0.15">
      <c r="A77" s="7">
        <v>77</v>
      </c>
      <c r="B77" s="7">
        <f t="shared" si="10"/>
        <v>25.974025974025974</v>
      </c>
      <c r="C77" s="7"/>
      <c r="I77" s="7">
        <f t="shared" si="5"/>
        <v>16</v>
      </c>
      <c r="J77" s="7">
        <f t="shared" si="6"/>
        <v>4</v>
      </c>
      <c r="K77" s="7">
        <f t="shared" si="11"/>
        <v>64</v>
      </c>
      <c r="L77" s="7">
        <f t="shared" si="12"/>
        <v>6.8000000000000007</v>
      </c>
      <c r="M77" s="7">
        <f t="shared" si="13"/>
        <v>8.4500000000000011</v>
      </c>
      <c r="N77" s="7">
        <f t="shared" si="14"/>
        <v>0.14705882352941174</v>
      </c>
      <c r="O77" s="7">
        <f t="shared" si="15"/>
        <v>0.11834319526627217</v>
      </c>
    </row>
    <row r="78" spans="1:15" x14ac:dyDescent="0.15">
      <c r="A78" s="7">
        <v>78</v>
      </c>
      <c r="B78" s="7">
        <f t="shared" si="10"/>
        <v>25.641025641025642</v>
      </c>
      <c r="C78" s="7"/>
      <c r="I78" s="7">
        <f t="shared" si="5"/>
        <v>17</v>
      </c>
      <c r="J78" s="7">
        <f t="shared" si="6"/>
        <v>4</v>
      </c>
      <c r="K78" s="7">
        <f t="shared" si="11"/>
        <v>68</v>
      </c>
      <c r="L78" s="7">
        <f t="shared" si="12"/>
        <v>7</v>
      </c>
      <c r="M78" s="7">
        <f t="shared" si="13"/>
        <v>8.8500000000000014</v>
      </c>
      <c r="N78" s="7">
        <f t="shared" si="14"/>
        <v>0.14285714285714285</v>
      </c>
      <c r="O78" s="7">
        <f t="shared" si="15"/>
        <v>0.11299435028248586</v>
      </c>
    </row>
    <row r="79" spans="1:15" x14ac:dyDescent="0.15">
      <c r="A79" s="7">
        <v>79</v>
      </c>
      <c r="B79" s="7">
        <f t="shared" si="10"/>
        <v>25.316455696202532</v>
      </c>
      <c r="C79" s="7"/>
      <c r="I79" s="7">
        <f t="shared" si="5"/>
        <v>18</v>
      </c>
      <c r="J79" s="7">
        <f t="shared" si="6"/>
        <v>4</v>
      </c>
      <c r="K79" s="7">
        <f t="shared" si="11"/>
        <v>72</v>
      </c>
      <c r="L79" s="7">
        <f t="shared" si="12"/>
        <v>7.2</v>
      </c>
      <c r="M79" s="7">
        <f t="shared" si="13"/>
        <v>9.25</v>
      </c>
      <c r="N79" s="7">
        <f t="shared" si="14"/>
        <v>0.1388888888888889</v>
      </c>
      <c r="O79" s="7">
        <f t="shared" si="15"/>
        <v>0.10810810810810811</v>
      </c>
    </row>
    <row r="80" spans="1:15" x14ac:dyDescent="0.15">
      <c r="A80" s="7">
        <v>80</v>
      </c>
      <c r="B80" s="7">
        <f t="shared" si="10"/>
        <v>25</v>
      </c>
      <c r="C80" s="7"/>
      <c r="I80" s="7">
        <f t="shared" si="5"/>
        <v>19</v>
      </c>
      <c r="J80" s="7">
        <f t="shared" si="6"/>
        <v>4</v>
      </c>
      <c r="K80" s="7">
        <f t="shared" si="11"/>
        <v>76</v>
      </c>
      <c r="L80" s="7">
        <f t="shared" si="12"/>
        <v>7.4</v>
      </c>
      <c r="M80" s="7">
        <f t="shared" si="13"/>
        <v>9.65</v>
      </c>
      <c r="N80" s="7">
        <f t="shared" si="14"/>
        <v>0.13513513513513511</v>
      </c>
      <c r="O80" s="7">
        <f t="shared" si="15"/>
        <v>0.10362694300518134</v>
      </c>
    </row>
    <row r="81" spans="1:15" x14ac:dyDescent="0.15">
      <c r="A81" s="7">
        <v>81</v>
      </c>
      <c r="B81" s="7">
        <f t="shared" si="10"/>
        <v>24.691358024691358</v>
      </c>
      <c r="C81" s="7"/>
      <c r="I81" s="7">
        <f t="shared" si="5"/>
        <v>20</v>
      </c>
      <c r="J81" s="7">
        <f t="shared" si="6"/>
        <v>4</v>
      </c>
      <c r="K81" s="7">
        <f t="shared" si="11"/>
        <v>80</v>
      </c>
      <c r="L81" s="7">
        <f t="shared" si="12"/>
        <v>7.6</v>
      </c>
      <c r="M81" s="7">
        <f t="shared" si="13"/>
        <v>10.050000000000001</v>
      </c>
      <c r="N81" s="7">
        <f t="shared" si="14"/>
        <v>0.13157894736842105</v>
      </c>
      <c r="O81" s="7">
        <f t="shared" si="15"/>
        <v>9.9502487562189046E-2</v>
      </c>
    </row>
    <row r="82" spans="1:15" x14ac:dyDescent="0.15">
      <c r="A82" s="7">
        <v>82</v>
      </c>
      <c r="B82" s="7">
        <f t="shared" si="10"/>
        <v>24.390243902439025</v>
      </c>
      <c r="C82" s="7"/>
      <c r="I82" s="7">
        <f t="shared" si="5"/>
        <v>1</v>
      </c>
      <c r="J82" s="7">
        <f t="shared" si="6"/>
        <v>5</v>
      </c>
      <c r="K82" s="7">
        <f>J82</f>
        <v>5</v>
      </c>
      <c r="L82" s="7">
        <f t="shared" si="12"/>
        <v>4.75</v>
      </c>
      <c r="M82" s="7">
        <f t="shared" si="13"/>
        <v>2.95</v>
      </c>
      <c r="N82" s="7">
        <f t="shared" si="14"/>
        <v>0.21052631578947367</v>
      </c>
      <c r="O82" s="7">
        <f t="shared" si="15"/>
        <v>0.33898305084745761</v>
      </c>
    </row>
    <row r="83" spans="1:15" x14ac:dyDescent="0.15">
      <c r="A83" s="7">
        <v>83</v>
      </c>
      <c r="B83" s="7">
        <f t="shared" si="10"/>
        <v>24.096385542168676</v>
      </c>
      <c r="C83" s="7"/>
      <c r="I83" s="7">
        <f t="shared" si="5"/>
        <v>2</v>
      </c>
      <c r="J83" s="7">
        <f t="shared" si="6"/>
        <v>5</v>
      </c>
      <c r="K83" s="7">
        <f>K82+J82</f>
        <v>10</v>
      </c>
      <c r="L83" s="7">
        <f t="shared" si="12"/>
        <v>5</v>
      </c>
      <c r="M83" s="7">
        <f t="shared" si="13"/>
        <v>3.45</v>
      </c>
      <c r="N83" s="7">
        <f t="shared" si="14"/>
        <v>0.2</v>
      </c>
      <c r="O83" s="7">
        <f t="shared" si="15"/>
        <v>0.28985507246376813</v>
      </c>
    </row>
    <row r="84" spans="1:15" x14ac:dyDescent="0.15">
      <c r="A84" s="7">
        <v>84</v>
      </c>
      <c r="B84" s="7">
        <f t="shared" si="10"/>
        <v>23.80952380952381</v>
      </c>
      <c r="C84" s="7"/>
      <c r="I84" s="7">
        <f t="shared" si="5"/>
        <v>3</v>
      </c>
      <c r="J84" s="7">
        <f t="shared" si="6"/>
        <v>5</v>
      </c>
      <c r="K84" s="7">
        <f t="shared" ref="K84:K101" si="16">K83+J83</f>
        <v>15</v>
      </c>
      <c r="L84" s="7">
        <f t="shared" si="12"/>
        <v>5.25</v>
      </c>
      <c r="M84" s="7">
        <f t="shared" si="13"/>
        <v>3.95</v>
      </c>
      <c r="N84" s="7">
        <f t="shared" si="14"/>
        <v>0.19047619047619047</v>
      </c>
      <c r="O84" s="7">
        <f t="shared" si="15"/>
        <v>0.25316455696202528</v>
      </c>
    </row>
    <row r="85" spans="1:15" x14ac:dyDescent="0.15">
      <c r="A85" s="7">
        <v>85</v>
      </c>
      <c r="B85" s="7">
        <f t="shared" si="10"/>
        <v>23.529411764705884</v>
      </c>
      <c r="C85" s="7"/>
      <c r="I85" s="7">
        <f t="shared" si="5"/>
        <v>4</v>
      </c>
      <c r="J85" s="7">
        <f t="shared" si="6"/>
        <v>5</v>
      </c>
      <c r="K85" s="7">
        <f t="shared" si="16"/>
        <v>20</v>
      </c>
      <c r="L85" s="7">
        <f t="shared" si="12"/>
        <v>5.5</v>
      </c>
      <c r="M85" s="7">
        <f t="shared" si="13"/>
        <v>4.45</v>
      </c>
      <c r="N85" s="7">
        <f t="shared" si="14"/>
        <v>0.18181818181818182</v>
      </c>
      <c r="O85" s="7">
        <f t="shared" si="15"/>
        <v>0.2247191011235955</v>
      </c>
    </row>
    <row r="86" spans="1:15" x14ac:dyDescent="0.15">
      <c r="A86" s="7">
        <v>86</v>
      </c>
      <c r="B86" s="7">
        <f t="shared" si="10"/>
        <v>23.255813953488371</v>
      </c>
      <c r="C86" s="7"/>
      <c r="I86" s="7">
        <f t="shared" si="5"/>
        <v>5</v>
      </c>
      <c r="J86" s="7">
        <f t="shared" si="6"/>
        <v>5</v>
      </c>
      <c r="K86" s="7">
        <f t="shared" si="16"/>
        <v>25</v>
      </c>
      <c r="L86" s="7">
        <f t="shared" si="12"/>
        <v>5.75</v>
      </c>
      <c r="M86" s="7">
        <f t="shared" si="13"/>
        <v>4.95</v>
      </c>
      <c r="N86" s="7">
        <f t="shared" si="14"/>
        <v>0.17391304347826086</v>
      </c>
      <c r="O86" s="7">
        <f t="shared" si="15"/>
        <v>0.20202020202020202</v>
      </c>
    </row>
    <row r="87" spans="1:15" x14ac:dyDescent="0.15">
      <c r="A87" s="7">
        <v>87</v>
      </c>
      <c r="B87" s="7">
        <f t="shared" si="10"/>
        <v>22.988505747126435</v>
      </c>
      <c r="C87" s="7"/>
      <c r="I87" s="7">
        <f t="shared" ref="I87:I150" si="17">I67</f>
        <v>6</v>
      </c>
      <c r="J87" s="7">
        <f t="shared" ref="J87:J150" si="18">J67+1</f>
        <v>5</v>
      </c>
      <c r="K87" s="7">
        <f t="shared" si="16"/>
        <v>30</v>
      </c>
      <c r="L87" s="7">
        <f t="shared" si="12"/>
        <v>6</v>
      </c>
      <c r="M87" s="7">
        <f t="shared" si="13"/>
        <v>5.45</v>
      </c>
      <c r="N87" s="7">
        <f t="shared" si="14"/>
        <v>0.16666666666666666</v>
      </c>
      <c r="O87" s="7">
        <f t="shared" si="15"/>
        <v>0.18348623853211007</v>
      </c>
    </row>
    <row r="88" spans="1:15" x14ac:dyDescent="0.15">
      <c r="A88" s="7">
        <v>88</v>
      </c>
      <c r="B88" s="7">
        <f t="shared" si="10"/>
        <v>22.727272727272727</v>
      </c>
      <c r="C88" s="7"/>
      <c r="I88" s="7">
        <f t="shared" si="17"/>
        <v>7</v>
      </c>
      <c r="J88" s="7">
        <f t="shared" si="18"/>
        <v>5</v>
      </c>
      <c r="K88" s="7">
        <f t="shared" si="16"/>
        <v>35</v>
      </c>
      <c r="L88" s="7">
        <f t="shared" si="12"/>
        <v>6.25</v>
      </c>
      <c r="M88" s="7">
        <f t="shared" si="13"/>
        <v>5.95</v>
      </c>
      <c r="N88" s="7">
        <f t="shared" si="14"/>
        <v>0.16</v>
      </c>
      <c r="O88" s="7">
        <f t="shared" si="15"/>
        <v>0.16806722689075629</v>
      </c>
    </row>
    <row r="89" spans="1:15" x14ac:dyDescent="0.15">
      <c r="A89" s="7">
        <v>89</v>
      </c>
      <c r="B89" s="7">
        <f t="shared" si="10"/>
        <v>22.471910112359552</v>
      </c>
      <c r="C89" s="7"/>
      <c r="I89" s="7">
        <f t="shared" si="17"/>
        <v>8</v>
      </c>
      <c r="J89" s="7">
        <f t="shared" si="18"/>
        <v>5</v>
      </c>
      <c r="K89" s="7">
        <f t="shared" si="16"/>
        <v>40</v>
      </c>
      <c r="L89" s="7">
        <f t="shared" si="12"/>
        <v>6.5</v>
      </c>
      <c r="M89" s="7">
        <f t="shared" si="13"/>
        <v>6.45</v>
      </c>
      <c r="N89" s="7">
        <f t="shared" si="14"/>
        <v>0.15384615384615385</v>
      </c>
      <c r="O89" s="7">
        <f t="shared" si="15"/>
        <v>0.15503875968992248</v>
      </c>
    </row>
    <row r="90" spans="1:15" x14ac:dyDescent="0.15">
      <c r="A90" s="7">
        <v>90</v>
      </c>
      <c r="B90" s="7">
        <f t="shared" si="10"/>
        <v>22.222222222222221</v>
      </c>
      <c r="C90" s="7"/>
      <c r="I90" s="7">
        <f t="shared" si="17"/>
        <v>9</v>
      </c>
      <c r="J90" s="7">
        <f t="shared" si="18"/>
        <v>5</v>
      </c>
      <c r="K90" s="7">
        <f t="shared" si="16"/>
        <v>45</v>
      </c>
      <c r="L90" s="7">
        <f t="shared" si="12"/>
        <v>6.75</v>
      </c>
      <c r="M90" s="7">
        <f t="shared" si="13"/>
        <v>6.95</v>
      </c>
      <c r="N90" s="7">
        <f t="shared" si="14"/>
        <v>0.14814814814814814</v>
      </c>
      <c r="O90" s="7">
        <f t="shared" si="15"/>
        <v>0.14388489208633093</v>
      </c>
    </row>
    <row r="91" spans="1:15" x14ac:dyDescent="0.15">
      <c r="A91" s="7">
        <v>91</v>
      </c>
      <c r="B91" s="7">
        <f t="shared" si="10"/>
        <v>21.978021978021978</v>
      </c>
      <c r="C91" s="7"/>
      <c r="I91" s="7">
        <f t="shared" si="17"/>
        <v>10</v>
      </c>
      <c r="J91" s="7">
        <f t="shared" si="18"/>
        <v>5</v>
      </c>
      <c r="K91" s="7">
        <f t="shared" si="16"/>
        <v>50</v>
      </c>
      <c r="L91" s="7">
        <f t="shared" si="12"/>
        <v>7</v>
      </c>
      <c r="M91" s="7">
        <f t="shared" si="13"/>
        <v>7.45</v>
      </c>
      <c r="N91" s="7">
        <f t="shared" si="14"/>
        <v>0.14285714285714285</v>
      </c>
      <c r="O91" s="7">
        <f t="shared" si="15"/>
        <v>0.13422818791946309</v>
      </c>
    </row>
    <row r="92" spans="1:15" x14ac:dyDescent="0.15">
      <c r="A92" s="7">
        <v>92</v>
      </c>
      <c r="B92" s="7">
        <f t="shared" si="10"/>
        <v>21.739130434782609</v>
      </c>
      <c r="C92" s="7"/>
      <c r="I92" s="7">
        <f t="shared" si="17"/>
        <v>11</v>
      </c>
      <c r="J92" s="7">
        <f t="shared" si="18"/>
        <v>5</v>
      </c>
      <c r="K92" s="7">
        <f t="shared" si="16"/>
        <v>55</v>
      </c>
      <c r="L92" s="7">
        <f t="shared" si="12"/>
        <v>7.25</v>
      </c>
      <c r="M92" s="7">
        <f t="shared" si="13"/>
        <v>7.95</v>
      </c>
      <c r="N92" s="7">
        <f t="shared" si="14"/>
        <v>0.13793103448275862</v>
      </c>
      <c r="O92" s="7">
        <f t="shared" si="15"/>
        <v>0.12578616352201258</v>
      </c>
    </row>
    <row r="93" spans="1:15" x14ac:dyDescent="0.15">
      <c r="A93" s="7">
        <v>93</v>
      </c>
      <c r="B93" s="7">
        <f t="shared" si="10"/>
        <v>21.50537634408602</v>
      </c>
      <c r="C93" s="7"/>
      <c r="I93" s="7">
        <f t="shared" si="17"/>
        <v>12</v>
      </c>
      <c r="J93" s="7">
        <f t="shared" si="18"/>
        <v>5</v>
      </c>
      <c r="K93" s="7">
        <f t="shared" si="16"/>
        <v>60</v>
      </c>
      <c r="L93" s="7">
        <f t="shared" si="12"/>
        <v>7.5</v>
      </c>
      <c r="M93" s="7">
        <f t="shared" si="13"/>
        <v>8.4499999999999993</v>
      </c>
      <c r="N93" s="7">
        <f t="shared" si="14"/>
        <v>0.13333333333333333</v>
      </c>
      <c r="O93" s="7">
        <f t="shared" si="15"/>
        <v>0.1183431952662722</v>
      </c>
    </row>
    <row r="94" spans="1:15" x14ac:dyDescent="0.15">
      <c r="A94" s="7">
        <v>94</v>
      </c>
      <c r="B94" s="7">
        <f t="shared" si="10"/>
        <v>21.276595744680851</v>
      </c>
      <c r="C94" s="7"/>
      <c r="I94" s="7">
        <f t="shared" si="17"/>
        <v>13</v>
      </c>
      <c r="J94" s="7">
        <f t="shared" si="18"/>
        <v>5</v>
      </c>
      <c r="K94" s="7">
        <f t="shared" si="16"/>
        <v>65</v>
      </c>
      <c r="L94" s="7">
        <f t="shared" si="12"/>
        <v>7.75</v>
      </c>
      <c r="M94" s="7">
        <f t="shared" si="13"/>
        <v>8.9499999999999993</v>
      </c>
      <c r="N94" s="7">
        <f t="shared" si="14"/>
        <v>0.12903225806451613</v>
      </c>
      <c r="O94" s="7">
        <f t="shared" si="15"/>
        <v>0.111731843575419</v>
      </c>
    </row>
    <row r="95" spans="1:15" x14ac:dyDescent="0.15">
      <c r="A95" s="7">
        <v>95</v>
      </c>
      <c r="B95" s="7">
        <f t="shared" si="10"/>
        <v>21.05263157894737</v>
      </c>
      <c r="C95" s="7"/>
      <c r="I95" s="7">
        <f t="shared" si="17"/>
        <v>14</v>
      </c>
      <c r="J95" s="7">
        <f t="shared" si="18"/>
        <v>5</v>
      </c>
      <c r="K95" s="7">
        <f t="shared" si="16"/>
        <v>70</v>
      </c>
      <c r="L95" s="7">
        <f t="shared" si="12"/>
        <v>8</v>
      </c>
      <c r="M95" s="7">
        <f t="shared" si="13"/>
        <v>9.4499999999999993</v>
      </c>
      <c r="N95" s="7">
        <f t="shared" si="14"/>
        <v>0.125</v>
      </c>
      <c r="O95" s="7">
        <f t="shared" si="15"/>
        <v>0.10582010582010583</v>
      </c>
    </row>
    <row r="96" spans="1:15" x14ac:dyDescent="0.15">
      <c r="A96" s="7">
        <v>96</v>
      </c>
      <c r="B96" s="7">
        <f t="shared" si="10"/>
        <v>20.833333333333332</v>
      </c>
      <c r="C96" s="7"/>
      <c r="I96" s="7">
        <f t="shared" si="17"/>
        <v>15</v>
      </c>
      <c r="J96" s="7">
        <f t="shared" si="18"/>
        <v>5</v>
      </c>
      <c r="K96" s="7">
        <f t="shared" si="16"/>
        <v>75</v>
      </c>
      <c r="L96" s="7">
        <f t="shared" si="12"/>
        <v>8.25</v>
      </c>
      <c r="M96" s="7">
        <f t="shared" si="13"/>
        <v>9.9499999999999993</v>
      </c>
      <c r="N96" s="7">
        <f t="shared" si="14"/>
        <v>0.12121212121212122</v>
      </c>
      <c r="O96" s="7">
        <f t="shared" si="15"/>
        <v>0.10050251256281408</v>
      </c>
    </row>
    <row r="97" spans="1:15" x14ac:dyDescent="0.15">
      <c r="A97" s="7">
        <v>97</v>
      </c>
      <c r="B97" s="7">
        <f t="shared" si="10"/>
        <v>20.618556701030929</v>
      </c>
      <c r="C97" s="7"/>
      <c r="I97" s="7">
        <f t="shared" si="17"/>
        <v>16</v>
      </c>
      <c r="J97" s="7">
        <f t="shared" si="18"/>
        <v>5</v>
      </c>
      <c r="K97" s="7">
        <f t="shared" si="16"/>
        <v>80</v>
      </c>
      <c r="L97" s="7">
        <f t="shared" si="12"/>
        <v>8.5</v>
      </c>
      <c r="M97" s="7">
        <f t="shared" si="13"/>
        <v>10.45</v>
      </c>
      <c r="N97" s="7">
        <f t="shared" si="14"/>
        <v>0.11764705882352941</v>
      </c>
      <c r="O97" s="7">
        <f t="shared" si="15"/>
        <v>9.569377990430622E-2</v>
      </c>
    </row>
    <row r="98" spans="1:15" x14ac:dyDescent="0.15">
      <c r="A98" s="7">
        <v>98</v>
      </c>
      <c r="B98" s="7">
        <f t="shared" si="10"/>
        <v>20.408163265306122</v>
      </c>
      <c r="C98" s="7"/>
      <c r="I98" s="7">
        <f t="shared" si="17"/>
        <v>17</v>
      </c>
      <c r="J98" s="7">
        <f t="shared" si="18"/>
        <v>5</v>
      </c>
      <c r="K98" s="7">
        <f t="shared" si="16"/>
        <v>85</v>
      </c>
      <c r="L98" s="7">
        <f t="shared" si="12"/>
        <v>8.75</v>
      </c>
      <c r="M98" s="7">
        <f t="shared" si="13"/>
        <v>10.95</v>
      </c>
      <c r="N98" s="7">
        <f t="shared" si="14"/>
        <v>0.11428571428571428</v>
      </c>
      <c r="O98" s="7">
        <f t="shared" si="15"/>
        <v>9.1324200913242018E-2</v>
      </c>
    </row>
    <row r="99" spans="1:15" x14ac:dyDescent="0.15">
      <c r="A99" s="7">
        <v>99</v>
      </c>
      <c r="B99" s="7">
        <f t="shared" si="10"/>
        <v>20.202020202020201</v>
      </c>
      <c r="C99" s="7"/>
      <c r="I99" s="7">
        <f t="shared" si="17"/>
        <v>18</v>
      </c>
      <c r="J99" s="7">
        <f t="shared" si="18"/>
        <v>5</v>
      </c>
      <c r="K99" s="7">
        <f t="shared" si="16"/>
        <v>90</v>
      </c>
      <c r="L99" s="7">
        <f t="shared" si="12"/>
        <v>9</v>
      </c>
      <c r="M99" s="7">
        <f t="shared" si="13"/>
        <v>11.45</v>
      </c>
      <c r="N99" s="7">
        <f t="shared" si="14"/>
        <v>0.1111111111111111</v>
      </c>
      <c r="O99" s="7">
        <f t="shared" si="15"/>
        <v>8.7336244541484725E-2</v>
      </c>
    </row>
    <row r="100" spans="1:15" x14ac:dyDescent="0.15">
      <c r="A100" s="7">
        <v>100</v>
      </c>
      <c r="B100" s="7">
        <f t="shared" si="10"/>
        <v>20</v>
      </c>
      <c r="C100" s="7"/>
      <c r="I100" s="7">
        <f t="shared" si="17"/>
        <v>19</v>
      </c>
      <c r="J100" s="7">
        <f t="shared" si="18"/>
        <v>5</v>
      </c>
      <c r="K100" s="7">
        <f t="shared" si="16"/>
        <v>95</v>
      </c>
      <c r="L100" s="7">
        <f t="shared" si="12"/>
        <v>9.25</v>
      </c>
      <c r="M100" s="7">
        <f t="shared" si="13"/>
        <v>11.95</v>
      </c>
      <c r="N100" s="7">
        <f t="shared" si="14"/>
        <v>0.10810810810810811</v>
      </c>
      <c r="O100" s="7">
        <f t="shared" si="15"/>
        <v>8.3682008368200847E-2</v>
      </c>
    </row>
    <row r="101" spans="1:15" x14ac:dyDescent="0.15">
      <c r="A101" s="7">
        <v>101</v>
      </c>
      <c r="B101" s="7">
        <f t="shared" si="10"/>
        <v>19.801980198019802</v>
      </c>
      <c r="C101" s="7"/>
      <c r="I101" s="7">
        <f t="shared" si="17"/>
        <v>20</v>
      </c>
      <c r="J101" s="7">
        <f t="shared" si="18"/>
        <v>5</v>
      </c>
      <c r="K101" s="7">
        <f t="shared" si="16"/>
        <v>100</v>
      </c>
      <c r="L101" s="7">
        <f t="shared" si="12"/>
        <v>9.5</v>
      </c>
      <c r="M101" s="7">
        <f t="shared" si="13"/>
        <v>12.45</v>
      </c>
      <c r="N101" s="7">
        <f t="shared" si="14"/>
        <v>0.10526315789473684</v>
      </c>
      <c r="O101" s="7">
        <f t="shared" si="15"/>
        <v>8.0321285140562249E-2</v>
      </c>
    </row>
    <row r="102" spans="1:15" x14ac:dyDescent="0.15">
      <c r="A102" s="7">
        <v>102</v>
      </c>
      <c r="B102" s="7">
        <f t="shared" si="10"/>
        <v>19.607843137254903</v>
      </c>
      <c r="C102" s="7"/>
      <c r="I102" s="7">
        <f t="shared" si="17"/>
        <v>1</v>
      </c>
      <c r="J102" s="7">
        <f t="shared" si="18"/>
        <v>6</v>
      </c>
      <c r="K102" s="7">
        <f>J102</f>
        <v>6</v>
      </c>
      <c r="L102" s="7">
        <f t="shared" si="12"/>
        <v>5.7</v>
      </c>
      <c r="M102" s="7">
        <f t="shared" si="13"/>
        <v>3.4500000000000006</v>
      </c>
      <c r="N102" s="7">
        <f t="shared" si="14"/>
        <v>0.17543859649122806</v>
      </c>
      <c r="O102" s="7">
        <f t="shared" si="15"/>
        <v>0.28985507246376807</v>
      </c>
    </row>
    <row r="103" spans="1:15" x14ac:dyDescent="0.15">
      <c r="A103" s="7">
        <v>103</v>
      </c>
      <c r="B103" s="7">
        <f t="shared" si="10"/>
        <v>19.417475728155338</v>
      </c>
      <c r="C103" s="7"/>
      <c r="I103" s="7">
        <f t="shared" si="17"/>
        <v>2</v>
      </c>
      <c r="J103" s="7">
        <f t="shared" si="18"/>
        <v>6</v>
      </c>
      <c r="K103" s="7">
        <f>K102+J102</f>
        <v>12</v>
      </c>
      <c r="L103" s="7">
        <f t="shared" si="12"/>
        <v>6</v>
      </c>
      <c r="M103" s="7">
        <f t="shared" si="13"/>
        <v>4.0500000000000007</v>
      </c>
      <c r="N103" s="7">
        <f t="shared" si="14"/>
        <v>0.16666666666666666</v>
      </c>
      <c r="O103" s="7">
        <f t="shared" si="15"/>
        <v>0.24691358024691354</v>
      </c>
    </row>
    <row r="104" spans="1:15" x14ac:dyDescent="0.15">
      <c r="A104" s="7">
        <v>104</v>
      </c>
      <c r="B104" s="7">
        <f t="shared" si="10"/>
        <v>19.23076923076923</v>
      </c>
      <c r="C104" s="7"/>
      <c r="I104" s="7">
        <f t="shared" si="17"/>
        <v>3</v>
      </c>
      <c r="J104" s="7">
        <f t="shared" si="18"/>
        <v>6</v>
      </c>
      <c r="K104" s="7">
        <f t="shared" ref="K104:K121" si="19">K103+J103</f>
        <v>18</v>
      </c>
      <c r="L104" s="7">
        <f t="shared" si="12"/>
        <v>6.3000000000000007</v>
      </c>
      <c r="M104" s="7">
        <f t="shared" si="13"/>
        <v>4.6500000000000004</v>
      </c>
      <c r="N104" s="7">
        <f t="shared" si="14"/>
        <v>0.15873015873015872</v>
      </c>
      <c r="O104" s="7">
        <f t="shared" si="15"/>
        <v>0.21505376344086019</v>
      </c>
    </row>
    <row r="105" spans="1:15" x14ac:dyDescent="0.15">
      <c r="A105" s="7">
        <v>105</v>
      </c>
      <c r="B105" s="7">
        <f t="shared" si="10"/>
        <v>19.047619047619047</v>
      </c>
      <c r="C105" s="7"/>
      <c r="I105" s="7">
        <f t="shared" si="17"/>
        <v>4</v>
      </c>
      <c r="J105" s="7">
        <f t="shared" si="18"/>
        <v>6</v>
      </c>
      <c r="K105" s="7">
        <f t="shared" si="19"/>
        <v>24</v>
      </c>
      <c r="L105" s="7">
        <f t="shared" si="12"/>
        <v>6.6000000000000005</v>
      </c>
      <c r="M105" s="7">
        <f t="shared" si="13"/>
        <v>5.2500000000000009</v>
      </c>
      <c r="N105" s="7">
        <f t="shared" si="14"/>
        <v>0.15151515151515149</v>
      </c>
      <c r="O105" s="7">
        <f t="shared" si="15"/>
        <v>0.19047619047619044</v>
      </c>
    </row>
    <row r="106" spans="1:15" x14ac:dyDescent="0.15">
      <c r="A106" s="7">
        <v>106</v>
      </c>
      <c r="B106" s="7">
        <f t="shared" si="10"/>
        <v>18.867924528301888</v>
      </c>
      <c r="C106" s="7"/>
      <c r="I106" s="7">
        <f t="shared" si="17"/>
        <v>5</v>
      </c>
      <c r="J106" s="7">
        <f t="shared" si="18"/>
        <v>6</v>
      </c>
      <c r="K106" s="7">
        <f t="shared" si="19"/>
        <v>30</v>
      </c>
      <c r="L106" s="7">
        <f t="shared" si="12"/>
        <v>6.9</v>
      </c>
      <c r="M106" s="7">
        <f t="shared" si="13"/>
        <v>5.8500000000000005</v>
      </c>
      <c r="N106" s="7">
        <f t="shared" si="14"/>
        <v>0.14492753623188406</v>
      </c>
      <c r="O106" s="7">
        <f t="shared" si="15"/>
        <v>0.17094017094017092</v>
      </c>
    </row>
    <row r="107" spans="1:15" x14ac:dyDescent="0.15">
      <c r="A107" s="7">
        <v>107</v>
      </c>
      <c r="B107" s="7">
        <f t="shared" si="10"/>
        <v>18.691588785046729</v>
      </c>
      <c r="C107" s="7"/>
      <c r="I107" s="7">
        <f t="shared" si="17"/>
        <v>6</v>
      </c>
      <c r="J107" s="7">
        <f t="shared" si="18"/>
        <v>6</v>
      </c>
      <c r="K107" s="7">
        <f t="shared" si="19"/>
        <v>36</v>
      </c>
      <c r="L107" s="7">
        <f t="shared" si="12"/>
        <v>7.2</v>
      </c>
      <c r="M107" s="7">
        <f t="shared" si="13"/>
        <v>6.4500000000000011</v>
      </c>
      <c r="N107" s="7">
        <f t="shared" si="14"/>
        <v>0.1388888888888889</v>
      </c>
      <c r="O107" s="7">
        <f t="shared" si="15"/>
        <v>0.15503875968992245</v>
      </c>
    </row>
    <row r="108" spans="1:15" x14ac:dyDescent="0.15">
      <c r="A108" s="7">
        <v>108</v>
      </c>
      <c r="B108" s="7">
        <f t="shared" si="10"/>
        <v>18.518518518518519</v>
      </c>
      <c r="C108" s="7"/>
      <c r="I108" s="7">
        <f t="shared" si="17"/>
        <v>7</v>
      </c>
      <c r="J108" s="7">
        <f t="shared" si="18"/>
        <v>6</v>
      </c>
      <c r="K108" s="7">
        <f t="shared" si="19"/>
        <v>42</v>
      </c>
      <c r="L108" s="7">
        <f t="shared" si="12"/>
        <v>7.5</v>
      </c>
      <c r="M108" s="7">
        <f t="shared" si="13"/>
        <v>7.0500000000000007</v>
      </c>
      <c r="N108" s="7">
        <f t="shared" si="14"/>
        <v>0.13333333333333333</v>
      </c>
      <c r="O108" s="7">
        <f t="shared" si="15"/>
        <v>0.14184397163120566</v>
      </c>
    </row>
    <row r="109" spans="1:15" x14ac:dyDescent="0.15">
      <c r="A109" s="7">
        <v>109</v>
      </c>
      <c r="B109" s="7">
        <f t="shared" si="10"/>
        <v>18.348623853211009</v>
      </c>
      <c r="C109" s="7"/>
      <c r="I109" s="7">
        <f t="shared" si="17"/>
        <v>8</v>
      </c>
      <c r="J109" s="7">
        <f t="shared" si="18"/>
        <v>6</v>
      </c>
      <c r="K109" s="7">
        <f t="shared" si="19"/>
        <v>48</v>
      </c>
      <c r="L109" s="7">
        <f t="shared" si="12"/>
        <v>7.8000000000000007</v>
      </c>
      <c r="M109" s="7">
        <f t="shared" si="13"/>
        <v>7.6500000000000012</v>
      </c>
      <c r="N109" s="7">
        <f t="shared" si="14"/>
        <v>0.12820512820512819</v>
      </c>
      <c r="O109" s="7">
        <f t="shared" si="15"/>
        <v>0.13071895424836599</v>
      </c>
    </row>
    <row r="110" spans="1:15" x14ac:dyDescent="0.15">
      <c r="A110" s="7">
        <v>110</v>
      </c>
      <c r="B110" s="7">
        <f t="shared" si="10"/>
        <v>18.181818181818183</v>
      </c>
      <c r="C110" s="7"/>
      <c r="I110" s="7">
        <f t="shared" si="17"/>
        <v>9</v>
      </c>
      <c r="J110" s="7">
        <f t="shared" si="18"/>
        <v>6</v>
      </c>
      <c r="K110" s="7">
        <f t="shared" si="19"/>
        <v>54</v>
      </c>
      <c r="L110" s="7">
        <f t="shared" si="12"/>
        <v>8.1000000000000014</v>
      </c>
      <c r="M110" s="7">
        <f t="shared" si="13"/>
        <v>8.25</v>
      </c>
      <c r="N110" s="7">
        <f t="shared" si="14"/>
        <v>0.12345679012345677</v>
      </c>
      <c r="O110" s="7">
        <f t="shared" si="15"/>
        <v>0.12121212121212122</v>
      </c>
    </row>
    <row r="111" spans="1:15" x14ac:dyDescent="0.15">
      <c r="A111" s="7">
        <v>111</v>
      </c>
      <c r="B111" s="7">
        <f t="shared" si="10"/>
        <v>18.018018018018019</v>
      </c>
      <c r="C111" s="7"/>
      <c r="I111" s="7">
        <f t="shared" si="17"/>
        <v>10</v>
      </c>
      <c r="J111" s="7">
        <f t="shared" si="18"/>
        <v>6</v>
      </c>
      <c r="K111" s="7">
        <f t="shared" si="19"/>
        <v>60</v>
      </c>
      <c r="L111" s="7">
        <f t="shared" si="12"/>
        <v>8.4</v>
      </c>
      <c r="M111" s="7">
        <f t="shared" si="13"/>
        <v>8.8500000000000014</v>
      </c>
      <c r="N111" s="7">
        <f t="shared" si="14"/>
        <v>0.11904761904761904</v>
      </c>
      <c r="O111" s="7">
        <f t="shared" si="15"/>
        <v>0.11299435028248586</v>
      </c>
    </row>
    <row r="112" spans="1:15" x14ac:dyDescent="0.15">
      <c r="A112" s="7">
        <v>112</v>
      </c>
      <c r="B112" s="7">
        <f t="shared" si="10"/>
        <v>17.857142857142858</v>
      </c>
      <c r="C112" s="7"/>
      <c r="I112" s="7">
        <f t="shared" si="17"/>
        <v>11</v>
      </c>
      <c r="J112" s="7">
        <f t="shared" si="18"/>
        <v>6</v>
      </c>
      <c r="K112" s="7">
        <f t="shared" si="19"/>
        <v>66</v>
      </c>
      <c r="L112" s="7">
        <f t="shared" si="12"/>
        <v>8.7000000000000011</v>
      </c>
      <c r="M112" s="7">
        <f t="shared" si="13"/>
        <v>9.4500000000000011</v>
      </c>
      <c r="N112" s="7">
        <f t="shared" si="14"/>
        <v>0.11494252873563217</v>
      </c>
      <c r="O112" s="7">
        <f t="shared" si="15"/>
        <v>0.10582010582010581</v>
      </c>
    </row>
    <row r="113" spans="1:15" x14ac:dyDescent="0.15">
      <c r="A113" s="7">
        <v>113</v>
      </c>
      <c r="B113" s="7">
        <f t="shared" si="10"/>
        <v>17.699115044247787</v>
      </c>
      <c r="C113" s="7"/>
      <c r="I113" s="7">
        <f t="shared" si="17"/>
        <v>12</v>
      </c>
      <c r="J113" s="7">
        <f t="shared" si="18"/>
        <v>6</v>
      </c>
      <c r="K113" s="7">
        <f t="shared" si="19"/>
        <v>72</v>
      </c>
      <c r="L113" s="7">
        <f t="shared" si="12"/>
        <v>9</v>
      </c>
      <c r="M113" s="7">
        <f t="shared" si="13"/>
        <v>10.050000000000001</v>
      </c>
      <c r="N113" s="7">
        <f t="shared" si="14"/>
        <v>0.1111111111111111</v>
      </c>
      <c r="O113" s="7">
        <f t="shared" si="15"/>
        <v>9.9502487562189046E-2</v>
      </c>
    </row>
    <row r="114" spans="1:15" x14ac:dyDescent="0.15">
      <c r="A114" s="7">
        <v>114</v>
      </c>
      <c r="B114" s="7">
        <f t="shared" si="10"/>
        <v>17.543859649122808</v>
      </c>
      <c r="C114" s="7"/>
      <c r="I114" s="7">
        <f t="shared" si="17"/>
        <v>13</v>
      </c>
      <c r="J114" s="7">
        <f t="shared" si="18"/>
        <v>6</v>
      </c>
      <c r="K114" s="7">
        <f t="shared" si="19"/>
        <v>78</v>
      </c>
      <c r="L114" s="7">
        <f t="shared" si="12"/>
        <v>9.3000000000000007</v>
      </c>
      <c r="M114" s="7">
        <f t="shared" si="13"/>
        <v>10.650000000000002</v>
      </c>
      <c r="N114" s="7">
        <f t="shared" si="14"/>
        <v>0.1075268817204301</v>
      </c>
      <c r="O114" s="7">
        <f t="shared" si="15"/>
        <v>9.3896713615023455E-2</v>
      </c>
    </row>
    <row r="115" spans="1:15" x14ac:dyDescent="0.15">
      <c r="A115" s="7">
        <v>115</v>
      </c>
      <c r="B115" s="7">
        <f t="shared" ref="B115:B178" si="20">$F$3/A115</f>
        <v>17.391304347826086</v>
      </c>
      <c r="C115" s="7"/>
      <c r="I115" s="7">
        <f t="shared" si="17"/>
        <v>14</v>
      </c>
      <c r="J115" s="7">
        <f t="shared" si="18"/>
        <v>6</v>
      </c>
      <c r="K115" s="7">
        <f t="shared" si="19"/>
        <v>84</v>
      </c>
      <c r="L115" s="7">
        <f t="shared" si="12"/>
        <v>9.6000000000000014</v>
      </c>
      <c r="M115" s="7">
        <f t="shared" si="13"/>
        <v>11.25</v>
      </c>
      <c r="N115" s="7">
        <f t="shared" si="14"/>
        <v>0.10416666666666666</v>
      </c>
      <c r="O115" s="7">
        <f t="shared" si="15"/>
        <v>8.8888888888888892E-2</v>
      </c>
    </row>
    <row r="116" spans="1:15" x14ac:dyDescent="0.15">
      <c r="A116" s="7">
        <v>116</v>
      </c>
      <c r="B116" s="7">
        <f t="shared" si="20"/>
        <v>17.241379310344829</v>
      </c>
      <c r="C116" s="7"/>
      <c r="I116" s="7">
        <f t="shared" si="17"/>
        <v>15</v>
      </c>
      <c r="J116" s="7">
        <f t="shared" si="18"/>
        <v>6</v>
      </c>
      <c r="K116" s="7">
        <f t="shared" si="19"/>
        <v>90</v>
      </c>
      <c r="L116" s="7">
        <f t="shared" si="12"/>
        <v>9.9</v>
      </c>
      <c r="M116" s="7">
        <f t="shared" si="13"/>
        <v>11.850000000000001</v>
      </c>
      <c r="N116" s="7">
        <f t="shared" si="14"/>
        <v>0.10101010101010101</v>
      </c>
      <c r="O116" s="7">
        <f t="shared" si="15"/>
        <v>8.4388185654008435E-2</v>
      </c>
    </row>
    <row r="117" spans="1:15" x14ac:dyDescent="0.15">
      <c r="A117" s="7">
        <v>117</v>
      </c>
      <c r="B117" s="7">
        <f t="shared" si="20"/>
        <v>17.094017094017094</v>
      </c>
      <c r="C117" s="7"/>
      <c r="I117" s="7">
        <f t="shared" si="17"/>
        <v>16</v>
      </c>
      <c r="J117" s="7">
        <f t="shared" si="18"/>
        <v>6</v>
      </c>
      <c r="K117" s="7">
        <f t="shared" si="19"/>
        <v>96</v>
      </c>
      <c r="L117" s="7">
        <f t="shared" si="12"/>
        <v>10.200000000000001</v>
      </c>
      <c r="M117" s="7">
        <f t="shared" si="13"/>
        <v>12.450000000000003</v>
      </c>
      <c r="N117" s="7">
        <f t="shared" si="14"/>
        <v>9.8039215686274495E-2</v>
      </c>
      <c r="O117" s="7">
        <f t="shared" si="15"/>
        <v>8.0321285140562235E-2</v>
      </c>
    </row>
    <row r="118" spans="1:15" x14ac:dyDescent="0.15">
      <c r="A118" s="7">
        <v>118</v>
      </c>
      <c r="B118" s="7">
        <f t="shared" si="20"/>
        <v>16.949152542372882</v>
      </c>
      <c r="C118" s="7"/>
      <c r="I118" s="7">
        <f t="shared" si="17"/>
        <v>17</v>
      </c>
      <c r="J118" s="7">
        <f t="shared" si="18"/>
        <v>6</v>
      </c>
      <c r="K118" s="7">
        <f t="shared" si="19"/>
        <v>102</v>
      </c>
      <c r="L118" s="7">
        <f t="shared" si="12"/>
        <v>10.5</v>
      </c>
      <c r="M118" s="7">
        <f t="shared" si="13"/>
        <v>13.05</v>
      </c>
      <c r="N118" s="7">
        <f t="shared" si="14"/>
        <v>9.5238095238095233E-2</v>
      </c>
      <c r="O118" s="7">
        <f t="shared" si="15"/>
        <v>7.662835249042145E-2</v>
      </c>
    </row>
    <row r="119" spans="1:15" x14ac:dyDescent="0.15">
      <c r="A119" s="7">
        <v>119</v>
      </c>
      <c r="B119" s="7">
        <f t="shared" si="20"/>
        <v>16.806722689075631</v>
      </c>
      <c r="C119" s="7"/>
      <c r="I119" s="7">
        <f t="shared" si="17"/>
        <v>18</v>
      </c>
      <c r="J119" s="7">
        <f t="shared" si="18"/>
        <v>6</v>
      </c>
      <c r="K119" s="7">
        <f t="shared" si="19"/>
        <v>108</v>
      </c>
      <c r="L119" s="7">
        <f t="shared" si="12"/>
        <v>10.8</v>
      </c>
      <c r="M119" s="7">
        <f t="shared" si="13"/>
        <v>13.650000000000002</v>
      </c>
      <c r="N119" s="7">
        <f t="shared" si="14"/>
        <v>9.2592592592592587E-2</v>
      </c>
      <c r="O119" s="7">
        <f t="shared" si="15"/>
        <v>7.326007326007325E-2</v>
      </c>
    </row>
    <row r="120" spans="1:15" x14ac:dyDescent="0.15">
      <c r="A120" s="7">
        <v>120</v>
      </c>
      <c r="B120" s="7">
        <f t="shared" si="20"/>
        <v>16.666666666666668</v>
      </c>
      <c r="C120" s="7"/>
      <c r="I120" s="7">
        <f t="shared" si="17"/>
        <v>19</v>
      </c>
      <c r="J120" s="7">
        <f t="shared" si="18"/>
        <v>6</v>
      </c>
      <c r="K120" s="7">
        <f t="shared" si="19"/>
        <v>114</v>
      </c>
      <c r="L120" s="7">
        <f t="shared" si="12"/>
        <v>11.100000000000001</v>
      </c>
      <c r="M120" s="7">
        <f t="shared" si="13"/>
        <v>14.25</v>
      </c>
      <c r="N120" s="7">
        <f t="shared" si="14"/>
        <v>9.0090090090090072E-2</v>
      </c>
      <c r="O120" s="7">
        <f t="shared" si="15"/>
        <v>7.0175438596491224E-2</v>
      </c>
    </row>
    <row r="121" spans="1:15" x14ac:dyDescent="0.15">
      <c r="A121" s="7">
        <v>121</v>
      </c>
      <c r="B121" s="7">
        <f t="shared" si="20"/>
        <v>16.528925619834709</v>
      </c>
      <c r="C121" s="7"/>
      <c r="I121" s="7">
        <f t="shared" si="17"/>
        <v>20</v>
      </c>
      <c r="J121" s="7">
        <f t="shared" si="18"/>
        <v>6</v>
      </c>
      <c r="K121" s="7">
        <f t="shared" si="19"/>
        <v>120</v>
      </c>
      <c r="L121" s="7">
        <f t="shared" si="12"/>
        <v>11.4</v>
      </c>
      <c r="M121" s="7">
        <f t="shared" si="13"/>
        <v>14.850000000000001</v>
      </c>
      <c r="N121" s="7">
        <f t="shared" si="14"/>
        <v>8.771929824561403E-2</v>
      </c>
      <c r="O121" s="7">
        <f t="shared" si="15"/>
        <v>6.7340067340067339E-2</v>
      </c>
    </row>
    <row r="122" spans="1:15" x14ac:dyDescent="0.15">
      <c r="A122" s="7">
        <v>122</v>
      </c>
      <c r="B122" s="7">
        <f t="shared" si="20"/>
        <v>16.393442622950818</v>
      </c>
      <c r="C122" s="7"/>
      <c r="I122" s="7">
        <f t="shared" si="17"/>
        <v>1</v>
      </c>
      <c r="J122" s="7">
        <f t="shared" si="18"/>
        <v>7</v>
      </c>
      <c r="K122" s="7">
        <f>J122</f>
        <v>7</v>
      </c>
      <c r="L122" s="7">
        <f t="shared" si="12"/>
        <v>6.6499999999999995</v>
      </c>
      <c r="M122" s="7">
        <f t="shared" si="13"/>
        <v>3.9500000000000006</v>
      </c>
      <c r="N122" s="7">
        <f t="shared" si="14"/>
        <v>0.15037593984962408</v>
      </c>
      <c r="O122" s="7">
        <f t="shared" si="15"/>
        <v>0.25316455696202528</v>
      </c>
    </row>
    <row r="123" spans="1:15" x14ac:dyDescent="0.15">
      <c r="A123" s="7">
        <v>123</v>
      </c>
      <c r="B123" s="7">
        <f t="shared" si="20"/>
        <v>16.260162601626018</v>
      </c>
      <c r="C123" s="7"/>
      <c r="I123" s="7">
        <f t="shared" si="17"/>
        <v>2</v>
      </c>
      <c r="J123" s="7">
        <f t="shared" si="18"/>
        <v>7</v>
      </c>
      <c r="K123" s="7">
        <f>K122+J122</f>
        <v>14</v>
      </c>
      <c r="L123" s="7">
        <f t="shared" si="12"/>
        <v>7</v>
      </c>
      <c r="M123" s="7">
        <f t="shared" si="13"/>
        <v>4.6500000000000004</v>
      </c>
      <c r="N123" s="7">
        <f t="shared" si="14"/>
        <v>0.14285714285714285</v>
      </c>
      <c r="O123" s="7">
        <f t="shared" si="15"/>
        <v>0.21505376344086019</v>
      </c>
    </row>
    <row r="124" spans="1:15" x14ac:dyDescent="0.15">
      <c r="A124" s="7">
        <v>124</v>
      </c>
      <c r="B124" s="7">
        <f t="shared" si="20"/>
        <v>16.129032258064516</v>
      </c>
      <c r="C124" s="7"/>
      <c r="I124" s="7">
        <f t="shared" si="17"/>
        <v>3</v>
      </c>
      <c r="J124" s="7">
        <f t="shared" si="18"/>
        <v>7</v>
      </c>
      <c r="K124" s="7">
        <f t="shared" ref="K124:K141" si="21">K123+J123</f>
        <v>21</v>
      </c>
      <c r="L124" s="7">
        <f t="shared" si="12"/>
        <v>7.35</v>
      </c>
      <c r="M124" s="7">
        <f t="shared" si="13"/>
        <v>5.3500000000000005</v>
      </c>
      <c r="N124" s="7">
        <f t="shared" si="14"/>
        <v>0.1360544217687075</v>
      </c>
      <c r="O124" s="7">
        <f t="shared" si="15"/>
        <v>0.18691588785046728</v>
      </c>
    </row>
    <row r="125" spans="1:15" x14ac:dyDescent="0.15">
      <c r="A125" s="7">
        <v>125</v>
      </c>
      <c r="B125" s="7">
        <f t="shared" si="20"/>
        <v>16</v>
      </c>
      <c r="C125" s="7"/>
      <c r="I125" s="7">
        <f t="shared" si="17"/>
        <v>4</v>
      </c>
      <c r="J125" s="7">
        <f t="shared" si="18"/>
        <v>7</v>
      </c>
      <c r="K125" s="7">
        <f t="shared" si="21"/>
        <v>28</v>
      </c>
      <c r="L125" s="7">
        <f t="shared" si="12"/>
        <v>7.7</v>
      </c>
      <c r="M125" s="7">
        <f t="shared" si="13"/>
        <v>6.0500000000000007</v>
      </c>
      <c r="N125" s="7">
        <f t="shared" si="14"/>
        <v>0.12987012987012986</v>
      </c>
      <c r="O125" s="7">
        <f t="shared" si="15"/>
        <v>0.16528925619834708</v>
      </c>
    </row>
    <row r="126" spans="1:15" x14ac:dyDescent="0.15">
      <c r="A126" s="7">
        <v>126</v>
      </c>
      <c r="B126" s="7">
        <f t="shared" si="20"/>
        <v>15.873015873015873</v>
      </c>
      <c r="C126" s="7"/>
      <c r="I126" s="7">
        <f t="shared" si="17"/>
        <v>5</v>
      </c>
      <c r="J126" s="7">
        <f t="shared" si="18"/>
        <v>7</v>
      </c>
      <c r="K126" s="7">
        <f t="shared" si="21"/>
        <v>35</v>
      </c>
      <c r="L126" s="7">
        <f t="shared" si="12"/>
        <v>8.0500000000000007</v>
      </c>
      <c r="M126" s="7">
        <f t="shared" si="13"/>
        <v>6.75</v>
      </c>
      <c r="N126" s="7">
        <f t="shared" si="14"/>
        <v>0.12422360248447203</v>
      </c>
      <c r="O126" s="7">
        <f t="shared" si="15"/>
        <v>0.14814814814814814</v>
      </c>
    </row>
    <row r="127" spans="1:15" x14ac:dyDescent="0.15">
      <c r="A127" s="7">
        <v>127</v>
      </c>
      <c r="B127" s="7">
        <f t="shared" si="20"/>
        <v>15.748031496062993</v>
      </c>
      <c r="C127" s="7"/>
      <c r="I127" s="7">
        <f t="shared" si="17"/>
        <v>6</v>
      </c>
      <c r="J127" s="7">
        <f t="shared" si="18"/>
        <v>7</v>
      </c>
      <c r="K127" s="7">
        <f t="shared" si="21"/>
        <v>42</v>
      </c>
      <c r="L127" s="7">
        <f t="shared" si="12"/>
        <v>8.4</v>
      </c>
      <c r="M127" s="7">
        <f t="shared" si="13"/>
        <v>7.4500000000000011</v>
      </c>
      <c r="N127" s="7">
        <f t="shared" si="14"/>
        <v>0.11904761904761904</v>
      </c>
      <c r="O127" s="7">
        <f t="shared" si="15"/>
        <v>0.13422818791946306</v>
      </c>
    </row>
    <row r="128" spans="1:15" x14ac:dyDescent="0.15">
      <c r="A128" s="7">
        <v>128</v>
      </c>
      <c r="B128" s="7">
        <f t="shared" si="20"/>
        <v>15.625</v>
      </c>
      <c r="C128" s="7"/>
      <c r="I128" s="7">
        <f t="shared" si="17"/>
        <v>7</v>
      </c>
      <c r="J128" s="7">
        <f t="shared" si="18"/>
        <v>7</v>
      </c>
      <c r="K128" s="7">
        <f t="shared" si="21"/>
        <v>49</v>
      </c>
      <c r="L128" s="7">
        <f t="shared" si="12"/>
        <v>8.75</v>
      </c>
      <c r="M128" s="7">
        <f t="shared" si="13"/>
        <v>8.15</v>
      </c>
      <c r="N128" s="7">
        <f t="shared" si="14"/>
        <v>0.11428571428571428</v>
      </c>
      <c r="O128" s="7">
        <f t="shared" si="15"/>
        <v>0.12269938650306748</v>
      </c>
    </row>
    <row r="129" spans="1:15" x14ac:dyDescent="0.15">
      <c r="A129" s="7">
        <v>129</v>
      </c>
      <c r="B129" s="7">
        <f t="shared" si="20"/>
        <v>15.503875968992247</v>
      </c>
      <c r="C129" s="7"/>
      <c r="I129" s="7">
        <f t="shared" si="17"/>
        <v>8</v>
      </c>
      <c r="J129" s="7">
        <f t="shared" si="18"/>
        <v>7</v>
      </c>
      <c r="K129" s="7">
        <f t="shared" si="21"/>
        <v>56</v>
      </c>
      <c r="L129" s="7">
        <f t="shared" si="12"/>
        <v>9.1</v>
      </c>
      <c r="M129" s="7">
        <f t="shared" si="13"/>
        <v>8.8500000000000014</v>
      </c>
      <c r="N129" s="7">
        <f t="shared" si="14"/>
        <v>0.10989010989010989</v>
      </c>
      <c r="O129" s="7">
        <f t="shared" si="15"/>
        <v>0.11299435028248586</v>
      </c>
    </row>
    <row r="130" spans="1:15" x14ac:dyDescent="0.15">
      <c r="A130" s="7">
        <v>130</v>
      </c>
      <c r="B130" s="7">
        <f t="shared" si="20"/>
        <v>15.384615384615385</v>
      </c>
      <c r="C130" s="7"/>
      <c r="I130" s="7">
        <f t="shared" si="17"/>
        <v>9</v>
      </c>
      <c r="J130" s="7">
        <f t="shared" si="18"/>
        <v>7</v>
      </c>
      <c r="K130" s="7">
        <f t="shared" si="21"/>
        <v>63</v>
      </c>
      <c r="L130" s="7">
        <f t="shared" si="12"/>
        <v>9.4499999999999993</v>
      </c>
      <c r="M130" s="7">
        <f t="shared" si="13"/>
        <v>9.5500000000000007</v>
      </c>
      <c r="N130" s="7">
        <f t="shared" si="14"/>
        <v>0.10582010582010583</v>
      </c>
      <c r="O130" s="7">
        <f t="shared" si="15"/>
        <v>0.10471204188481674</v>
      </c>
    </row>
    <row r="131" spans="1:15" x14ac:dyDescent="0.15">
      <c r="A131" s="7">
        <v>131</v>
      </c>
      <c r="B131" s="7">
        <f t="shared" si="20"/>
        <v>15.267175572519085</v>
      </c>
      <c r="C131" s="7"/>
      <c r="I131" s="7">
        <f t="shared" si="17"/>
        <v>10</v>
      </c>
      <c r="J131" s="7">
        <f t="shared" si="18"/>
        <v>7</v>
      </c>
      <c r="K131" s="7">
        <f t="shared" si="21"/>
        <v>70</v>
      </c>
      <c r="L131" s="7">
        <f t="shared" ref="L131:L194" si="22">0.9*J131+0.05*K131</f>
        <v>9.8000000000000007</v>
      </c>
      <c r="M131" s="7">
        <f t="shared" ref="M131:M194" si="23">0.45+0.4*J131+0.1*K131</f>
        <v>10.25</v>
      </c>
      <c r="N131" s="7">
        <f t="shared" ref="N131:N194" si="24">1/L131</f>
        <v>0.1020408163265306</v>
      </c>
      <c r="O131" s="7">
        <f t="shared" ref="O131:O194" si="25">1/M131</f>
        <v>9.7560975609756101E-2</v>
      </c>
    </row>
    <row r="132" spans="1:15" x14ac:dyDescent="0.15">
      <c r="A132" s="7">
        <v>132</v>
      </c>
      <c r="B132" s="7">
        <f t="shared" si="20"/>
        <v>15.151515151515152</v>
      </c>
      <c r="C132" s="7"/>
      <c r="I132" s="7">
        <f t="shared" si="17"/>
        <v>11</v>
      </c>
      <c r="J132" s="7">
        <f t="shared" si="18"/>
        <v>7</v>
      </c>
      <c r="K132" s="7">
        <f t="shared" si="21"/>
        <v>77</v>
      </c>
      <c r="L132" s="7">
        <f t="shared" si="22"/>
        <v>10.15</v>
      </c>
      <c r="M132" s="7">
        <f t="shared" si="23"/>
        <v>10.950000000000001</v>
      </c>
      <c r="N132" s="7">
        <f t="shared" si="24"/>
        <v>9.852216748768472E-2</v>
      </c>
      <c r="O132" s="7">
        <f t="shared" si="25"/>
        <v>9.1324200913242004E-2</v>
      </c>
    </row>
    <row r="133" spans="1:15" x14ac:dyDescent="0.15">
      <c r="A133" s="7">
        <v>133</v>
      </c>
      <c r="B133" s="7">
        <f t="shared" si="20"/>
        <v>15.037593984962406</v>
      </c>
      <c r="C133" s="7"/>
      <c r="I133" s="7">
        <f t="shared" si="17"/>
        <v>12</v>
      </c>
      <c r="J133" s="7">
        <f t="shared" si="18"/>
        <v>7</v>
      </c>
      <c r="K133" s="7">
        <f t="shared" si="21"/>
        <v>84</v>
      </c>
      <c r="L133" s="7">
        <f t="shared" si="22"/>
        <v>10.5</v>
      </c>
      <c r="M133" s="7">
        <f t="shared" si="23"/>
        <v>11.65</v>
      </c>
      <c r="N133" s="7">
        <f t="shared" si="24"/>
        <v>9.5238095238095233E-2</v>
      </c>
      <c r="O133" s="7">
        <f t="shared" si="25"/>
        <v>8.5836909871244635E-2</v>
      </c>
    </row>
    <row r="134" spans="1:15" x14ac:dyDescent="0.15">
      <c r="A134" s="7">
        <v>134</v>
      </c>
      <c r="B134" s="7">
        <f t="shared" si="20"/>
        <v>14.925373134328359</v>
      </c>
      <c r="C134" s="7"/>
      <c r="I134" s="7">
        <f t="shared" si="17"/>
        <v>13</v>
      </c>
      <c r="J134" s="7">
        <f t="shared" si="18"/>
        <v>7</v>
      </c>
      <c r="K134" s="7">
        <f t="shared" si="21"/>
        <v>91</v>
      </c>
      <c r="L134" s="7">
        <f t="shared" si="22"/>
        <v>10.85</v>
      </c>
      <c r="M134" s="7">
        <f t="shared" si="23"/>
        <v>12.35</v>
      </c>
      <c r="N134" s="7">
        <f t="shared" si="24"/>
        <v>9.2165898617511524E-2</v>
      </c>
      <c r="O134" s="7">
        <f t="shared" si="25"/>
        <v>8.0971659919028341E-2</v>
      </c>
    </row>
    <row r="135" spans="1:15" x14ac:dyDescent="0.15">
      <c r="A135" s="7">
        <v>135</v>
      </c>
      <c r="B135" s="7">
        <f t="shared" si="20"/>
        <v>14.814814814814815</v>
      </c>
      <c r="C135" s="7"/>
      <c r="I135" s="7">
        <f t="shared" si="17"/>
        <v>14</v>
      </c>
      <c r="J135" s="7">
        <f t="shared" si="18"/>
        <v>7</v>
      </c>
      <c r="K135" s="7">
        <f t="shared" si="21"/>
        <v>98</v>
      </c>
      <c r="L135" s="7">
        <f t="shared" si="22"/>
        <v>11.2</v>
      </c>
      <c r="M135" s="7">
        <f t="shared" si="23"/>
        <v>13.05</v>
      </c>
      <c r="N135" s="7">
        <f t="shared" si="24"/>
        <v>8.9285714285714288E-2</v>
      </c>
      <c r="O135" s="7">
        <f t="shared" si="25"/>
        <v>7.662835249042145E-2</v>
      </c>
    </row>
    <row r="136" spans="1:15" x14ac:dyDescent="0.15">
      <c r="A136" s="7">
        <v>136</v>
      </c>
      <c r="B136" s="7">
        <f t="shared" si="20"/>
        <v>14.705882352941176</v>
      </c>
      <c r="C136" s="7"/>
      <c r="I136" s="7">
        <f t="shared" si="17"/>
        <v>15</v>
      </c>
      <c r="J136" s="7">
        <f t="shared" si="18"/>
        <v>7</v>
      </c>
      <c r="K136" s="7">
        <f t="shared" si="21"/>
        <v>105</v>
      </c>
      <c r="L136" s="7">
        <f t="shared" si="22"/>
        <v>11.55</v>
      </c>
      <c r="M136" s="7">
        <f t="shared" si="23"/>
        <v>13.75</v>
      </c>
      <c r="N136" s="7">
        <f t="shared" si="24"/>
        <v>8.6580086580086577E-2</v>
      </c>
      <c r="O136" s="7">
        <f t="shared" si="25"/>
        <v>7.2727272727272724E-2</v>
      </c>
    </row>
    <row r="137" spans="1:15" x14ac:dyDescent="0.15">
      <c r="A137" s="7">
        <v>137</v>
      </c>
      <c r="B137" s="7">
        <f t="shared" si="20"/>
        <v>14.598540145985401</v>
      </c>
      <c r="C137" s="7"/>
      <c r="I137" s="7">
        <f t="shared" si="17"/>
        <v>16</v>
      </c>
      <c r="J137" s="7">
        <f t="shared" si="18"/>
        <v>7</v>
      </c>
      <c r="K137" s="7">
        <f t="shared" si="21"/>
        <v>112</v>
      </c>
      <c r="L137" s="7">
        <f t="shared" si="22"/>
        <v>11.9</v>
      </c>
      <c r="M137" s="7">
        <f t="shared" si="23"/>
        <v>14.450000000000001</v>
      </c>
      <c r="N137" s="7">
        <f t="shared" si="24"/>
        <v>8.4033613445378144E-2</v>
      </c>
      <c r="O137" s="7">
        <f t="shared" si="25"/>
        <v>6.920415224913494E-2</v>
      </c>
    </row>
    <row r="138" spans="1:15" x14ac:dyDescent="0.15">
      <c r="A138" s="7">
        <v>138</v>
      </c>
      <c r="B138" s="7">
        <f t="shared" si="20"/>
        <v>14.492753623188406</v>
      </c>
      <c r="C138" s="7"/>
      <c r="I138" s="7">
        <f t="shared" si="17"/>
        <v>17</v>
      </c>
      <c r="J138" s="7">
        <f t="shared" si="18"/>
        <v>7</v>
      </c>
      <c r="K138" s="7">
        <f t="shared" si="21"/>
        <v>119</v>
      </c>
      <c r="L138" s="7">
        <f t="shared" si="22"/>
        <v>12.25</v>
      </c>
      <c r="M138" s="7">
        <f t="shared" si="23"/>
        <v>15.15</v>
      </c>
      <c r="N138" s="7">
        <f t="shared" si="24"/>
        <v>8.1632653061224483E-2</v>
      </c>
      <c r="O138" s="7">
        <f t="shared" si="25"/>
        <v>6.6006600660066E-2</v>
      </c>
    </row>
    <row r="139" spans="1:15" x14ac:dyDescent="0.15">
      <c r="A139" s="7">
        <v>139</v>
      </c>
      <c r="B139" s="7">
        <f t="shared" si="20"/>
        <v>14.388489208633093</v>
      </c>
      <c r="C139" s="7"/>
      <c r="I139" s="7">
        <f t="shared" si="17"/>
        <v>18</v>
      </c>
      <c r="J139" s="7">
        <f t="shared" si="18"/>
        <v>7</v>
      </c>
      <c r="K139" s="7">
        <f t="shared" si="21"/>
        <v>126</v>
      </c>
      <c r="L139" s="7">
        <f t="shared" si="22"/>
        <v>12.600000000000001</v>
      </c>
      <c r="M139" s="7">
        <f t="shared" si="23"/>
        <v>15.850000000000001</v>
      </c>
      <c r="N139" s="7">
        <f t="shared" si="24"/>
        <v>7.9365079365079361E-2</v>
      </c>
      <c r="O139" s="7">
        <f t="shared" si="25"/>
        <v>6.3091482649842268E-2</v>
      </c>
    </row>
    <row r="140" spans="1:15" x14ac:dyDescent="0.15">
      <c r="A140" s="7">
        <v>140</v>
      </c>
      <c r="B140" s="7">
        <f t="shared" si="20"/>
        <v>14.285714285714286</v>
      </c>
      <c r="C140" s="7"/>
      <c r="I140" s="7">
        <f t="shared" si="17"/>
        <v>19</v>
      </c>
      <c r="J140" s="7">
        <f t="shared" si="18"/>
        <v>7</v>
      </c>
      <c r="K140" s="7">
        <f t="shared" si="21"/>
        <v>133</v>
      </c>
      <c r="L140" s="7">
        <f t="shared" si="22"/>
        <v>12.95</v>
      </c>
      <c r="M140" s="7">
        <f t="shared" si="23"/>
        <v>16.55</v>
      </c>
      <c r="N140" s="7">
        <f t="shared" si="24"/>
        <v>7.7220077220077218E-2</v>
      </c>
      <c r="O140" s="7">
        <f t="shared" si="25"/>
        <v>6.0422960725075525E-2</v>
      </c>
    </row>
    <row r="141" spans="1:15" x14ac:dyDescent="0.15">
      <c r="A141" s="7">
        <v>141</v>
      </c>
      <c r="B141" s="7">
        <f t="shared" si="20"/>
        <v>14.184397163120567</v>
      </c>
      <c r="C141" s="7"/>
      <c r="I141" s="7">
        <f t="shared" si="17"/>
        <v>20</v>
      </c>
      <c r="J141" s="7">
        <f t="shared" si="18"/>
        <v>7</v>
      </c>
      <c r="K141" s="7">
        <f t="shared" si="21"/>
        <v>140</v>
      </c>
      <c r="L141" s="7">
        <f t="shared" si="22"/>
        <v>13.3</v>
      </c>
      <c r="M141" s="7">
        <f t="shared" si="23"/>
        <v>17.25</v>
      </c>
      <c r="N141" s="7">
        <f t="shared" si="24"/>
        <v>7.5187969924812026E-2</v>
      </c>
      <c r="O141" s="7">
        <f t="shared" si="25"/>
        <v>5.7971014492753624E-2</v>
      </c>
    </row>
    <row r="142" spans="1:15" x14ac:dyDescent="0.15">
      <c r="A142" s="7">
        <v>142</v>
      </c>
      <c r="B142" s="7">
        <f t="shared" si="20"/>
        <v>14.084507042253522</v>
      </c>
      <c r="C142" s="7"/>
      <c r="I142" s="7">
        <f t="shared" si="17"/>
        <v>1</v>
      </c>
      <c r="J142" s="7">
        <f t="shared" si="18"/>
        <v>8</v>
      </c>
      <c r="K142" s="7">
        <f>J142</f>
        <v>8</v>
      </c>
      <c r="L142" s="7">
        <f t="shared" si="22"/>
        <v>7.6000000000000005</v>
      </c>
      <c r="M142" s="7">
        <f t="shared" si="23"/>
        <v>4.45</v>
      </c>
      <c r="N142" s="7">
        <f t="shared" si="24"/>
        <v>0.13157894736842105</v>
      </c>
      <c r="O142" s="7">
        <f t="shared" si="25"/>
        <v>0.2247191011235955</v>
      </c>
    </row>
    <row r="143" spans="1:15" x14ac:dyDescent="0.15">
      <c r="A143" s="7">
        <v>143</v>
      </c>
      <c r="B143" s="7">
        <f t="shared" si="20"/>
        <v>13.986013986013987</v>
      </c>
      <c r="C143" s="7"/>
      <c r="I143" s="7">
        <f t="shared" si="17"/>
        <v>2</v>
      </c>
      <c r="J143" s="7">
        <f t="shared" si="18"/>
        <v>8</v>
      </c>
      <c r="K143" s="7">
        <f>K142+J142</f>
        <v>16</v>
      </c>
      <c r="L143" s="7">
        <f t="shared" si="22"/>
        <v>8</v>
      </c>
      <c r="M143" s="7">
        <f t="shared" si="23"/>
        <v>5.25</v>
      </c>
      <c r="N143" s="7">
        <f t="shared" si="24"/>
        <v>0.125</v>
      </c>
      <c r="O143" s="7">
        <f t="shared" si="25"/>
        <v>0.19047619047619047</v>
      </c>
    </row>
    <row r="144" spans="1:15" x14ac:dyDescent="0.15">
      <c r="A144" s="7">
        <v>144</v>
      </c>
      <c r="B144" s="7">
        <f t="shared" si="20"/>
        <v>13.888888888888889</v>
      </c>
      <c r="C144" s="7"/>
      <c r="I144" s="7">
        <f t="shared" si="17"/>
        <v>3</v>
      </c>
      <c r="J144" s="7">
        <f t="shared" si="18"/>
        <v>8</v>
      </c>
      <c r="K144" s="7">
        <f t="shared" ref="K144:K161" si="26">K143+J143</f>
        <v>24</v>
      </c>
      <c r="L144" s="7">
        <f t="shared" si="22"/>
        <v>8.4</v>
      </c>
      <c r="M144" s="7">
        <f t="shared" si="23"/>
        <v>6.0500000000000007</v>
      </c>
      <c r="N144" s="7">
        <f t="shared" si="24"/>
        <v>0.11904761904761904</v>
      </c>
      <c r="O144" s="7">
        <f t="shared" si="25"/>
        <v>0.16528925619834708</v>
      </c>
    </row>
    <row r="145" spans="1:15" x14ac:dyDescent="0.15">
      <c r="A145" s="7">
        <v>145</v>
      </c>
      <c r="B145" s="7">
        <f t="shared" si="20"/>
        <v>13.793103448275861</v>
      </c>
      <c r="C145" s="7"/>
      <c r="I145" s="7">
        <f t="shared" si="17"/>
        <v>4</v>
      </c>
      <c r="J145" s="7">
        <f t="shared" si="18"/>
        <v>8</v>
      </c>
      <c r="K145" s="7">
        <f t="shared" si="26"/>
        <v>32</v>
      </c>
      <c r="L145" s="7">
        <f t="shared" si="22"/>
        <v>8.8000000000000007</v>
      </c>
      <c r="M145" s="7">
        <f t="shared" si="23"/>
        <v>6.8500000000000005</v>
      </c>
      <c r="N145" s="7">
        <f t="shared" si="24"/>
        <v>0.11363636363636363</v>
      </c>
      <c r="O145" s="7">
        <f t="shared" si="25"/>
        <v>0.145985401459854</v>
      </c>
    </row>
    <row r="146" spans="1:15" x14ac:dyDescent="0.15">
      <c r="A146" s="7">
        <v>146</v>
      </c>
      <c r="B146" s="7">
        <f t="shared" si="20"/>
        <v>13.698630136986301</v>
      </c>
      <c r="C146" s="7"/>
      <c r="I146" s="7">
        <f t="shared" si="17"/>
        <v>5</v>
      </c>
      <c r="J146" s="7">
        <f t="shared" si="18"/>
        <v>8</v>
      </c>
      <c r="K146" s="7">
        <f t="shared" si="26"/>
        <v>40</v>
      </c>
      <c r="L146" s="7">
        <f t="shared" si="22"/>
        <v>9.1999999999999993</v>
      </c>
      <c r="M146" s="7">
        <f t="shared" si="23"/>
        <v>7.65</v>
      </c>
      <c r="N146" s="7">
        <f t="shared" si="24"/>
        <v>0.10869565217391305</v>
      </c>
      <c r="O146" s="7">
        <f t="shared" si="25"/>
        <v>0.13071895424836602</v>
      </c>
    </row>
    <row r="147" spans="1:15" x14ac:dyDescent="0.15">
      <c r="A147" s="7">
        <v>147</v>
      </c>
      <c r="B147" s="7">
        <f t="shared" si="20"/>
        <v>13.605442176870747</v>
      </c>
      <c r="C147" s="7"/>
      <c r="I147" s="7">
        <f t="shared" si="17"/>
        <v>6</v>
      </c>
      <c r="J147" s="7">
        <f t="shared" si="18"/>
        <v>8</v>
      </c>
      <c r="K147" s="7">
        <f t="shared" si="26"/>
        <v>48</v>
      </c>
      <c r="L147" s="7">
        <f t="shared" si="22"/>
        <v>9.6000000000000014</v>
      </c>
      <c r="M147" s="7">
        <f t="shared" si="23"/>
        <v>8.4500000000000011</v>
      </c>
      <c r="N147" s="7">
        <f t="shared" si="24"/>
        <v>0.10416666666666666</v>
      </c>
      <c r="O147" s="7">
        <f t="shared" si="25"/>
        <v>0.11834319526627217</v>
      </c>
    </row>
    <row r="148" spans="1:15" x14ac:dyDescent="0.15">
      <c r="A148" s="7">
        <v>148</v>
      </c>
      <c r="B148" s="7">
        <f t="shared" si="20"/>
        <v>13.513513513513514</v>
      </c>
      <c r="C148" s="7"/>
      <c r="I148" s="7">
        <f t="shared" si="17"/>
        <v>7</v>
      </c>
      <c r="J148" s="7">
        <f t="shared" si="18"/>
        <v>8</v>
      </c>
      <c r="K148" s="7">
        <f t="shared" si="26"/>
        <v>56</v>
      </c>
      <c r="L148" s="7">
        <f t="shared" si="22"/>
        <v>10</v>
      </c>
      <c r="M148" s="7">
        <f t="shared" si="23"/>
        <v>9.25</v>
      </c>
      <c r="N148" s="7">
        <f t="shared" si="24"/>
        <v>0.1</v>
      </c>
      <c r="O148" s="7">
        <f t="shared" si="25"/>
        <v>0.10810810810810811</v>
      </c>
    </row>
    <row r="149" spans="1:15" x14ac:dyDescent="0.15">
      <c r="A149" s="7">
        <v>149</v>
      </c>
      <c r="B149" s="7">
        <f t="shared" si="20"/>
        <v>13.422818791946309</v>
      </c>
      <c r="C149" s="7"/>
      <c r="I149" s="7">
        <f t="shared" si="17"/>
        <v>8</v>
      </c>
      <c r="J149" s="7">
        <f t="shared" si="18"/>
        <v>8</v>
      </c>
      <c r="K149" s="7">
        <f t="shared" si="26"/>
        <v>64</v>
      </c>
      <c r="L149" s="7">
        <f t="shared" si="22"/>
        <v>10.4</v>
      </c>
      <c r="M149" s="7">
        <f t="shared" si="23"/>
        <v>10.050000000000001</v>
      </c>
      <c r="N149" s="7">
        <f t="shared" si="24"/>
        <v>9.6153846153846145E-2</v>
      </c>
      <c r="O149" s="7">
        <f t="shared" si="25"/>
        <v>9.9502487562189046E-2</v>
      </c>
    </row>
    <row r="150" spans="1:15" x14ac:dyDescent="0.15">
      <c r="A150" s="7">
        <v>150</v>
      </c>
      <c r="B150" s="7">
        <f t="shared" si="20"/>
        <v>13.333333333333334</v>
      </c>
      <c r="C150" s="7"/>
      <c r="I150" s="7">
        <f t="shared" si="17"/>
        <v>9</v>
      </c>
      <c r="J150" s="7">
        <f t="shared" si="18"/>
        <v>8</v>
      </c>
      <c r="K150" s="7">
        <f t="shared" si="26"/>
        <v>72</v>
      </c>
      <c r="L150" s="7">
        <f t="shared" si="22"/>
        <v>10.8</v>
      </c>
      <c r="M150" s="7">
        <f t="shared" si="23"/>
        <v>10.850000000000001</v>
      </c>
      <c r="N150" s="7">
        <f t="shared" si="24"/>
        <v>9.2592592592592587E-2</v>
      </c>
      <c r="O150" s="7">
        <f t="shared" si="25"/>
        <v>9.216589861751151E-2</v>
      </c>
    </row>
    <row r="151" spans="1:15" x14ac:dyDescent="0.15">
      <c r="A151" s="7">
        <v>151</v>
      </c>
      <c r="B151" s="7">
        <f t="shared" si="20"/>
        <v>13.245033112582782</v>
      </c>
      <c r="C151" s="7"/>
      <c r="I151" s="7">
        <f t="shared" ref="I151:I214" si="27">I131</f>
        <v>10</v>
      </c>
      <c r="J151" s="7">
        <f t="shared" ref="J151:J214" si="28">J131+1</f>
        <v>8</v>
      </c>
      <c r="K151" s="7">
        <f t="shared" si="26"/>
        <v>80</v>
      </c>
      <c r="L151" s="7">
        <f t="shared" si="22"/>
        <v>11.2</v>
      </c>
      <c r="M151" s="7">
        <f t="shared" si="23"/>
        <v>11.65</v>
      </c>
      <c r="N151" s="7">
        <f t="shared" si="24"/>
        <v>8.9285714285714288E-2</v>
      </c>
      <c r="O151" s="7">
        <f t="shared" si="25"/>
        <v>8.5836909871244635E-2</v>
      </c>
    </row>
    <row r="152" spans="1:15" x14ac:dyDescent="0.15">
      <c r="A152" s="7">
        <v>152</v>
      </c>
      <c r="B152" s="7">
        <f t="shared" si="20"/>
        <v>13.157894736842104</v>
      </c>
      <c r="C152" s="7"/>
      <c r="I152" s="7">
        <f t="shared" si="27"/>
        <v>11</v>
      </c>
      <c r="J152" s="7">
        <f t="shared" si="28"/>
        <v>8</v>
      </c>
      <c r="K152" s="7">
        <f t="shared" si="26"/>
        <v>88</v>
      </c>
      <c r="L152" s="7">
        <f t="shared" si="22"/>
        <v>11.600000000000001</v>
      </c>
      <c r="M152" s="7">
        <f t="shared" si="23"/>
        <v>12.450000000000001</v>
      </c>
      <c r="N152" s="7">
        <f t="shared" si="24"/>
        <v>8.620689655172413E-2</v>
      </c>
      <c r="O152" s="7">
        <f t="shared" si="25"/>
        <v>8.0321285140562249E-2</v>
      </c>
    </row>
    <row r="153" spans="1:15" x14ac:dyDescent="0.15">
      <c r="A153" s="7">
        <v>153</v>
      </c>
      <c r="B153" s="7">
        <f t="shared" si="20"/>
        <v>13.071895424836601</v>
      </c>
      <c r="C153" s="7"/>
      <c r="I153" s="7">
        <f t="shared" si="27"/>
        <v>12</v>
      </c>
      <c r="J153" s="7">
        <f t="shared" si="28"/>
        <v>8</v>
      </c>
      <c r="K153" s="7">
        <f t="shared" si="26"/>
        <v>96</v>
      </c>
      <c r="L153" s="7">
        <f t="shared" si="22"/>
        <v>12</v>
      </c>
      <c r="M153" s="7">
        <f t="shared" si="23"/>
        <v>13.250000000000002</v>
      </c>
      <c r="N153" s="7">
        <f t="shared" si="24"/>
        <v>8.3333333333333329E-2</v>
      </c>
      <c r="O153" s="7">
        <f t="shared" si="25"/>
        <v>7.547169811320753E-2</v>
      </c>
    </row>
    <row r="154" spans="1:15" x14ac:dyDescent="0.15">
      <c r="A154" s="7">
        <v>154</v>
      </c>
      <c r="B154" s="7">
        <f t="shared" si="20"/>
        <v>12.987012987012987</v>
      </c>
      <c r="C154" s="7"/>
      <c r="I154" s="7">
        <f t="shared" si="27"/>
        <v>13</v>
      </c>
      <c r="J154" s="7">
        <f t="shared" si="28"/>
        <v>8</v>
      </c>
      <c r="K154" s="7">
        <f t="shared" si="26"/>
        <v>104</v>
      </c>
      <c r="L154" s="7">
        <f t="shared" si="22"/>
        <v>12.4</v>
      </c>
      <c r="M154" s="7">
        <f t="shared" si="23"/>
        <v>14.05</v>
      </c>
      <c r="N154" s="7">
        <f t="shared" si="24"/>
        <v>8.0645161290322578E-2</v>
      </c>
      <c r="O154" s="7">
        <f t="shared" si="25"/>
        <v>7.1174377224199281E-2</v>
      </c>
    </row>
    <row r="155" spans="1:15" x14ac:dyDescent="0.15">
      <c r="A155" s="7">
        <v>155</v>
      </c>
      <c r="B155" s="7">
        <f t="shared" si="20"/>
        <v>12.903225806451612</v>
      </c>
      <c r="C155" s="7"/>
      <c r="I155" s="7">
        <f t="shared" si="27"/>
        <v>14</v>
      </c>
      <c r="J155" s="7">
        <f t="shared" si="28"/>
        <v>8</v>
      </c>
      <c r="K155" s="7">
        <f t="shared" si="26"/>
        <v>112</v>
      </c>
      <c r="L155" s="7">
        <f t="shared" si="22"/>
        <v>12.8</v>
      </c>
      <c r="M155" s="7">
        <f t="shared" si="23"/>
        <v>14.850000000000001</v>
      </c>
      <c r="N155" s="7">
        <f t="shared" si="24"/>
        <v>7.8125E-2</v>
      </c>
      <c r="O155" s="7">
        <f t="shared" si="25"/>
        <v>6.7340067340067339E-2</v>
      </c>
    </row>
    <row r="156" spans="1:15" x14ac:dyDescent="0.15">
      <c r="A156" s="7">
        <v>156</v>
      </c>
      <c r="B156" s="7">
        <f t="shared" si="20"/>
        <v>12.820512820512821</v>
      </c>
      <c r="C156" s="7"/>
      <c r="I156" s="7">
        <f t="shared" si="27"/>
        <v>15</v>
      </c>
      <c r="J156" s="7">
        <f t="shared" si="28"/>
        <v>8</v>
      </c>
      <c r="K156" s="7">
        <f t="shared" si="26"/>
        <v>120</v>
      </c>
      <c r="L156" s="7">
        <f t="shared" si="22"/>
        <v>13.2</v>
      </c>
      <c r="M156" s="7">
        <f t="shared" si="23"/>
        <v>15.65</v>
      </c>
      <c r="N156" s="7">
        <f t="shared" si="24"/>
        <v>7.575757575757576E-2</v>
      </c>
      <c r="O156" s="7">
        <f t="shared" si="25"/>
        <v>6.3897763578274758E-2</v>
      </c>
    </row>
    <row r="157" spans="1:15" x14ac:dyDescent="0.15">
      <c r="A157" s="7">
        <v>157</v>
      </c>
      <c r="B157" s="7">
        <f t="shared" si="20"/>
        <v>12.738853503184714</v>
      </c>
      <c r="C157" s="7"/>
      <c r="I157" s="7">
        <f t="shared" si="27"/>
        <v>16</v>
      </c>
      <c r="J157" s="7">
        <f t="shared" si="28"/>
        <v>8</v>
      </c>
      <c r="K157" s="7">
        <f t="shared" si="26"/>
        <v>128</v>
      </c>
      <c r="L157" s="7">
        <f t="shared" si="22"/>
        <v>13.600000000000001</v>
      </c>
      <c r="M157" s="7">
        <f t="shared" si="23"/>
        <v>16.450000000000003</v>
      </c>
      <c r="N157" s="7">
        <f t="shared" si="24"/>
        <v>7.3529411764705871E-2</v>
      </c>
      <c r="O157" s="7">
        <f t="shared" si="25"/>
        <v>6.0790273556230991E-2</v>
      </c>
    </row>
    <row r="158" spans="1:15" x14ac:dyDescent="0.15">
      <c r="A158" s="7">
        <v>158</v>
      </c>
      <c r="B158" s="7">
        <f t="shared" si="20"/>
        <v>12.658227848101266</v>
      </c>
      <c r="C158" s="7"/>
      <c r="I158" s="7">
        <f t="shared" si="27"/>
        <v>17</v>
      </c>
      <c r="J158" s="7">
        <f t="shared" si="28"/>
        <v>8</v>
      </c>
      <c r="K158" s="7">
        <f t="shared" si="26"/>
        <v>136</v>
      </c>
      <c r="L158" s="7">
        <f t="shared" si="22"/>
        <v>14</v>
      </c>
      <c r="M158" s="7">
        <f t="shared" si="23"/>
        <v>17.25</v>
      </c>
      <c r="N158" s="7">
        <f t="shared" si="24"/>
        <v>7.1428571428571425E-2</v>
      </c>
      <c r="O158" s="7">
        <f t="shared" si="25"/>
        <v>5.7971014492753624E-2</v>
      </c>
    </row>
    <row r="159" spans="1:15" x14ac:dyDescent="0.15">
      <c r="A159" s="7">
        <v>159</v>
      </c>
      <c r="B159" s="7">
        <f t="shared" si="20"/>
        <v>12.578616352201259</v>
      </c>
      <c r="C159" s="7"/>
      <c r="I159" s="7">
        <f t="shared" si="27"/>
        <v>18</v>
      </c>
      <c r="J159" s="7">
        <f t="shared" si="28"/>
        <v>8</v>
      </c>
      <c r="K159" s="7">
        <f t="shared" si="26"/>
        <v>144</v>
      </c>
      <c r="L159" s="7">
        <f t="shared" si="22"/>
        <v>14.4</v>
      </c>
      <c r="M159" s="7">
        <f t="shared" si="23"/>
        <v>18.05</v>
      </c>
      <c r="N159" s="7">
        <f t="shared" si="24"/>
        <v>6.9444444444444448E-2</v>
      </c>
      <c r="O159" s="7">
        <f t="shared" si="25"/>
        <v>5.5401662049861494E-2</v>
      </c>
    </row>
    <row r="160" spans="1:15" x14ac:dyDescent="0.15">
      <c r="A160" s="7">
        <v>160</v>
      </c>
      <c r="B160" s="7">
        <f t="shared" si="20"/>
        <v>12.5</v>
      </c>
      <c r="C160" s="7"/>
      <c r="I160" s="7">
        <f t="shared" si="27"/>
        <v>19</v>
      </c>
      <c r="J160" s="7">
        <f t="shared" si="28"/>
        <v>8</v>
      </c>
      <c r="K160" s="7">
        <f t="shared" si="26"/>
        <v>152</v>
      </c>
      <c r="L160" s="7">
        <f t="shared" si="22"/>
        <v>14.8</v>
      </c>
      <c r="M160" s="7">
        <f t="shared" si="23"/>
        <v>18.850000000000001</v>
      </c>
      <c r="N160" s="7">
        <f t="shared" si="24"/>
        <v>6.7567567567567557E-2</v>
      </c>
      <c r="O160" s="7">
        <f t="shared" si="25"/>
        <v>5.305039787798408E-2</v>
      </c>
    </row>
    <row r="161" spans="1:15" x14ac:dyDescent="0.15">
      <c r="A161" s="7">
        <v>161</v>
      </c>
      <c r="B161" s="7">
        <f t="shared" si="20"/>
        <v>12.422360248447205</v>
      </c>
      <c r="C161" s="7"/>
      <c r="I161" s="7">
        <f t="shared" si="27"/>
        <v>20</v>
      </c>
      <c r="J161" s="7">
        <f t="shared" si="28"/>
        <v>8</v>
      </c>
      <c r="K161" s="7">
        <f t="shared" si="26"/>
        <v>160</v>
      </c>
      <c r="L161" s="7">
        <f t="shared" si="22"/>
        <v>15.2</v>
      </c>
      <c r="M161" s="7">
        <f t="shared" si="23"/>
        <v>19.649999999999999</v>
      </c>
      <c r="N161" s="7">
        <f t="shared" si="24"/>
        <v>6.5789473684210523E-2</v>
      </c>
      <c r="O161" s="7">
        <f t="shared" si="25"/>
        <v>5.0890585241730284E-2</v>
      </c>
    </row>
    <row r="162" spans="1:15" x14ac:dyDescent="0.15">
      <c r="A162" s="7">
        <v>162</v>
      </c>
      <c r="B162" s="7">
        <f t="shared" si="20"/>
        <v>12.345679012345679</v>
      </c>
      <c r="C162" s="7"/>
      <c r="I162" s="7">
        <f t="shared" si="27"/>
        <v>1</v>
      </c>
      <c r="J162" s="7">
        <f t="shared" si="28"/>
        <v>9</v>
      </c>
      <c r="K162" s="7">
        <f>J162</f>
        <v>9</v>
      </c>
      <c r="L162" s="7">
        <f t="shared" si="22"/>
        <v>8.5499999999999989</v>
      </c>
      <c r="M162" s="7">
        <f t="shared" si="23"/>
        <v>4.95</v>
      </c>
      <c r="N162" s="7">
        <f t="shared" si="24"/>
        <v>0.1169590643274854</v>
      </c>
      <c r="O162" s="7">
        <f t="shared" si="25"/>
        <v>0.20202020202020202</v>
      </c>
    </row>
    <row r="163" spans="1:15" x14ac:dyDescent="0.15">
      <c r="A163" s="7">
        <v>163</v>
      </c>
      <c r="B163" s="7">
        <f t="shared" si="20"/>
        <v>12.269938650306749</v>
      </c>
      <c r="C163" s="7"/>
      <c r="I163" s="7">
        <f t="shared" si="27"/>
        <v>2</v>
      </c>
      <c r="J163" s="7">
        <f t="shared" si="28"/>
        <v>9</v>
      </c>
      <c r="K163" s="7">
        <f>K162+J162</f>
        <v>18</v>
      </c>
      <c r="L163" s="7">
        <f t="shared" si="22"/>
        <v>9</v>
      </c>
      <c r="M163" s="7">
        <f t="shared" si="23"/>
        <v>5.85</v>
      </c>
      <c r="N163" s="7">
        <f t="shared" si="24"/>
        <v>0.1111111111111111</v>
      </c>
      <c r="O163" s="7">
        <f t="shared" si="25"/>
        <v>0.17094017094017094</v>
      </c>
    </row>
    <row r="164" spans="1:15" x14ac:dyDescent="0.15">
      <c r="A164" s="7">
        <v>164</v>
      </c>
      <c r="B164" s="7">
        <f t="shared" si="20"/>
        <v>12.195121951219512</v>
      </c>
      <c r="C164" s="7"/>
      <c r="I164" s="7">
        <f t="shared" si="27"/>
        <v>3</v>
      </c>
      <c r="J164" s="7">
        <f t="shared" si="28"/>
        <v>9</v>
      </c>
      <c r="K164" s="7">
        <f t="shared" ref="K164:K181" si="29">K163+J163</f>
        <v>27</v>
      </c>
      <c r="L164" s="7">
        <f t="shared" si="22"/>
        <v>9.4499999999999993</v>
      </c>
      <c r="M164" s="7">
        <f t="shared" si="23"/>
        <v>6.75</v>
      </c>
      <c r="N164" s="7">
        <f t="shared" si="24"/>
        <v>0.10582010582010583</v>
      </c>
      <c r="O164" s="7">
        <f t="shared" si="25"/>
        <v>0.14814814814814814</v>
      </c>
    </row>
    <row r="165" spans="1:15" x14ac:dyDescent="0.15">
      <c r="A165" s="7">
        <v>165</v>
      </c>
      <c r="B165" s="7">
        <f t="shared" si="20"/>
        <v>12.121212121212121</v>
      </c>
      <c r="C165" s="7"/>
      <c r="I165" s="7">
        <f t="shared" si="27"/>
        <v>4</v>
      </c>
      <c r="J165" s="7">
        <f t="shared" si="28"/>
        <v>9</v>
      </c>
      <c r="K165" s="7">
        <f t="shared" si="29"/>
        <v>36</v>
      </c>
      <c r="L165" s="7">
        <f t="shared" si="22"/>
        <v>9.9</v>
      </c>
      <c r="M165" s="7">
        <f t="shared" si="23"/>
        <v>7.65</v>
      </c>
      <c r="N165" s="7">
        <f t="shared" si="24"/>
        <v>0.10101010101010101</v>
      </c>
      <c r="O165" s="7">
        <f t="shared" si="25"/>
        <v>0.13071895424836602</v>
      </c>
    </row>
    <row r="166" spans="1:15" x14ac:dyDescent="0.15">
      <c r="A166" s="7">
        <v>166</v>
      </c>
      <c r="B166" s="7">
        <f t="shared" si="20"/>
        <v>12.048192771084338</v>
      </c>
      <c r="C166" s="7"/>
      <c r="I166" s="7">
        <f t="shared" si="27"/>
        <v>5</v>
      </c>
      <c r="J166" s="7">
        <f t="shared" si="28"/>
        <v>9</v>
      </c>
      <c r="K166" s="7">
        <f t="shared" si="29"/>
        <v>45</v>
      </c>
      <c r="L166" s="7">
        <f t="shared" si="22"/>
        <v>10.35</v>
      </c>
      <c r="M166" s="7">
        <f t="shared" si="23"/>
        <v>8.5500000000000007</v>
      </c>
      <c r="N166" s="7">
        <f t="shared" si="24"/>
        <v>9.6618357487922704E-2</v>
      </c>
      <c r="O166" s="7">
        <f t="shared" si="25"/>
        <v>0.11695906432748537</v>
      </c>
    </row>
    <row r="167" spans="1:15" x14ac:dyDescent="0.15">
      <c r="A167" s="7">
        <v>167</v>
      </c>
      <c r="B167" s="7">
        <f t="shared" si="20"/>
        <v>11.976047904191617</v>
      </c>
      <c r="C167" s="7"/>
      <c r="I167" s="7">
        <f t="shared" si="27"/>
        <v>6</v>
      </c>
      <c r="J167" s="7">
        <f t="shared" si="28"/>
        <v>9</v>
      </c>
      <c r="K167" s="7">
        <f t="shared" si="29"/>
        <v>54</v>
      </c>
      <c r="L167" s="7">
        <f t="shared" si="22"/>
        <v>10.8</v>
      </c>
      <c r="M167" s="7">
        <f t="shared" si="23"/>
        <v>9.4499999999999993</v>
      </c>
      <c r="N167" s="7">
        <f t="shared" si="24"/>
        <v>9.2592592592592587E-2</v>
      </c>
      <c r="O167" s="7">
        <f t="shared" si="25"/>
        <v>0.10582010582010583</v>
      </c>
    </row>
    <row r="168" spans="1:15" x14ac:dyDescent="0.15">
      <c r="A168" s="7">
        <v>168</v>
      </c>
      <c r="B168" s="7">
        <f t="shared" si="20"/>
        <v>11.904761904761905</v>
      </c>
      <c r="C168" s="7"/>
      <c r="I168" s="7">
        <f t="shared" si="27"/>
        <v>7</v>
      </c>
      <c r="J168" s="7">
        <f t="shared" si="28"/>
        <v>9</v>
      </c>
      <c r="K168" s="7">
        <f t="shared" si="29"/>
        <v>63</v>
      </c>
      <c r="L168" s="7">
        <f t="shared" si="22"/>
        <v>11.25</v>
      </c>
      <c r="M168" s="7">
        <f t="shared" si="23"/>
        <v>10.350000000000001</v>
      </c>
      <c r="N168" s="7">
        <f t="shared" si="24"/>
        <v>8.8888888888888892E-2</v>
      </c>
      <c r="O168" s="7">
        <f t="shared" si="25"/>
        <v>9.661835748792269E-2</v>
      </c>
    </row>
    <row r="169" spans="1:15" x14ac:dyDescent="0.15">
      <c r="A169" s="7">
        <v>169</v>
      </c>
      <c r="B169" s="7">
        <f t="shared" si="20"/>
        <v>11.834319526627219</v>
      </c>
      <c r="C169" s="7"/>
      <c r="I169" s="7">
        <f t="shared" si="27"/>
        <v>8</v>
      </c>
      <c r="J169" s="7">
        <f t="shared" si="28"/>
        <v>9</v>
      </c>
      <c r="K169" s="7">
        <f t="shared" si="29"/>
        <v>72</v>
      </c>
      <c r="L169" s="7">
        <f t="shared" si="22"/>
        <v>11.7</v>
      </c>
      <c r="M169" s="7">
        <f t="shared" si="23"/>
        <v>11.25</v>
      </c>
      <c r="N169" s="7">
        <f t="shared" si="24"/>
        <v>8.5470085470085472E-2</v>
      </c>
      <c r="O169" s="7">
        <f t="shared" si="25"/>
        <v>8.8888888888888892E-2</v>
      </c>
    </row>
    <row r="170" spans="1:15" x14ac:dyDescent="0.15">
      <c r="A170" s="7">
        <v>170</v>
      </c>
      <c r="B170" s="7">
        <f t="shared" si="20"/>
        <v>11.764705882352942</v>
      </c>
      <c r="C170" s="7"/>
      <c r="I170" s="7">
        <f t="shared" si="27"/>
        <v>9</v>
      </c>
      <c r="J170" s="7">
        <f t="shared" si="28"/>
        <v>9</v>
      </c>
      <c r="K170" s="7">
        <f t="shared" si="29"/>
        <v>81</v>
      </c>
      <c r="L170" s="7">
        <f t="shared" si="22"/>
        <v>12.149999999999999</v>
      </c>
      <c r="M170" s="7">
        <f t="shared" si="23"/>
        <v>12.149999999999999</v>
      </c>
      <c r="N170" s="7">
        <f t="shared" si="24"/>
        <v>8.2304526748971207E-2</v>
      </c>
      <c r="O170" s="7">
        <f t="shared" si="25"/>
        <v>8.2304526748971207E-2</v>
      </c>
    </row>
    <row r="171" spans="1:15" x14ac:dyDescent="0.15">
      <c r="A171" s="7">
        <v>171</v>
      </c>
      <c r="B171" s="7">
        <f t="shared" si="20"/>
        <v>11.695906432748538</v>
      </c>
      <c r="C171" s="7"/>
      <c r="I171" s="7">
        <f t="shared" si="27"/>
        <v>10</v>
      </c>
      <c r="J171" s="7">
        <f t="shared" si="28"/>
        <v>9</v>
      </c>
      <c r="K171" s="7">
        <f t="shared" si="29"/>
        <v>90</v>
      </c>
      <c r="L171" s="7">
        <f t="shared" si="22"/>
        <v>12.6</v>
      </c>
      <c r="M171" s="7">
        <f t="shared" si="23"/>
        <v>13.05</v>
      </c>
      <c r="N171" s="7">
        <f t="shared" si="24"/>
        <v>7.9365079365079361E-2</v>
      </c>
      <c r="O171" s="7">
        <f t="shared" si="25"/>
        <v>7.662835249042145E-2</v>
      </c>
    </row>
    <row r="172" spans="1:15" x14ac:dyDescent="0.15">
      <c r="A172" s="7">
        <v>172</v>
      </c>
      <c r="B172" s="7">
        <f t="shared" si="20"/>
        <v>11.627906976744185</v>
      </c>
      <c r="C172" s="7"/>
      <c r="I172" s="7">
        <f t="shared" si="27"/>
        <v>11</v>
      </c>
      <c r="J172" s="7">
        <f t="shared" si="28"/>
        <v>9</v>
      </c>
      <c r="K172" s="7">
        <f t="shared" si="29"/>
        <v>99</v>
      </c>
      <c r="L172" s="7">
        <f t="shared" si="22"/>
        <v>13.05</v>
      </c>
      <c r="M172" s="7">
        <f t="shared" si="23"/>
        <v>13.95</v>
      </c>
      <c r="N172" s="7">
        <f t="shared" si="24"/>
        <v>7.662835249042145E-2</v>
      </c>
      <c r="O172" s="7">
        <f t="shared" si="25"/>
        <v>7.1684587813620082E-2</v>
      </c>
    </row>
    <row r="173" spans="1:15" x14ac:dyDescent="0.15">
      <c r="A173" s="7">
        <v>173</v>
      </c>
      <c r="B173" s="7">
        <f t="shared" si="20"/>
        <v>11.560693641618498</v>
      </c>
      <c r="C173" s="7"/>
      <c r="I173" s="7">
        <f t="shared" si="27"/>
        <v>12</v>
      </c>
      <c r="J173" s="7">
        <f t="shared" si="28"/>
        <v>9</v>
      </c>
      <c r="K173" s="7">
        <f t="shared" si="29"/>
        <v>108</v>
      </c>
      <c r="L173" s="7">
        <f t="shared" si="22"/>
        <v>13.5</v>
      </c>
      <c r="M173" s="7">
        <f t="shared" si="23"/>
        <v>14.850000000000001</v>
      </c>
      <c r="N173" s="7">
        <f t="shared" si="24"/>
        <v>7.407407407407407E-2</v>
      </c>
      <c r="O173" s="7">
        <f t="shared" si="25"/>
        <v>6.7340067340067339E-2</v>
      </c>
    </row>
    <row r="174" spans="1:15" x14ac:dyDescent="0.15">
      <c r="A174" s="7">
        <v>174</v>
      </c>
      <c r="B174" s="7">
        <f t="shared" si="20"/>
        <v>11.494252873563218</v>
      </c>
      <c r="C174" s="7"/>
      <c r="I174" s="7">
        <f t="shared" si="27"/>
        <v>13</v>
      </c>
      <c r="J174" s="7">
        <f t="shared" si="28"/>
        <v>9</v>
      </c>
      <c r="K174" s="7">
        <f t="shared" si="29"/>
        <v>117</v>
      </c>
      <c r="L174" s="7">
        <f t="shared" si="22"/>
        <v>13.95</v>
      </c>
      <c r="M174" s="7">
        <f t="shared" si="23"/>
        <v>15.75</v>
      </c>
      <c r="N174" s="7">
        <f t="shared" si="24"/>
        <v>7.1684587813620082E-2</v>
      </c>
      <c r="O174" s="7">
        <f t="shared" si="25"/>
        <v>6.3492063492063489E-2</v>
      </c>
    </row>
    <row r="175" spans="1:15" x14ac:dyDescent="0.15">
      <c r="A175" s="7">
        <v>175</v>
      </c>
      <c r="B175" s="7">
        <f t="shared" si="20"/>
        <v>11.428571428571429</v>
      </c>
      <c r="C175" s="7"/>
      <c r="I175" s="7">
        <f t="shared" si="27"/>
        <v>14</v>
      </c>
      <c r="J175" s="7">
        <f t="shared" si="28"/>
        <v>9</v>
      </c>
      <c r="K175" s="7">
        <f t="shared" si="29"/>
        <v>126</v>
      </c>
      <c r="L175" s="7">
        <f t="shared" si="22"/>
        <v>14.4</v>
      </c>
      <c r="M175" s="7">
        <f t="shared" si="23"/>
        <v>16.650000000000002</v>
      </c>
      <c r="N175" s="7">
        <f t="shared" si="24"/>
        <v>6.9444444444444448E-2</v>
      </c>
      <c r="O175" s="7">
        <f t="shared" si="25"/>
        <v>6.0060060060060053E-2</v>
      </c>
    </row>
    <row r="176" spans="1:15" x14ac:dyDescent="0.15">
      <c r="A176" s="7">
        <v>176</v>
      </c>
      <c r="B176" s="7">
        <f t="shared" si="20"/>
        <v>11.363636363636363</v>
      </c>
      <c r="C176" s="7"/>
      <c r="I176" s="7">
        <f t="shared" si="27"/>
        <v>15</v>
      </c>
      <c r="J176" s="7">
        <f t="shared" si="28"/>
        <v>9</v>
      </c>
      <c r="K176" s="7">
        <f t="shared" si="29"/>
        <v>135</v>
      </c>
      <c r="L176" s="7">
        <f t="shared" si="22"/>
        <v>14.85</v>
      </c>
      <c r="M176" s="7">
        <f t="shared" si="23"/>
        <v>17.55</v>
      </c>
      <c r="N176" s="7">
        <f t="shared" si="24"/>
        <v>6.7340067340067339E-2</v>
      </c>
      <c r="O176" s="7">
        <f t="shared" si="25"/>
        <v>5.6980056980056981E-2</v>
      </c>
    </row>
    <row r="177" spans="1:15" x14ac:dyDescent="0.15">
      <c r="A177" s="7">
        <v>177</v>
      </c>
      <c r="B177" s="7">
        <f t="shared" si="20"/>
        <v>11.299435028248588</v>
      </c>
      <c r="C177" s="7"/>
      <c r="I177" s="7">
        <f t="shared" si="27"/>
        <v>16</v>
      </c>
      <c r="J177" s="7">
        <f t="shared" si="28"/>
        <v>9</v>
      </c>
      <c r="K177" s="7">
        <f t="shared" si="29"/>
        <v>144</v>
      </c>
      <c r="L177" s="7">
        <f t="shared" si="22"/>
        <v>15.3</v>
      </c>
      <c r="M177" s="7">
        <f t="shared" si="23"/>
        <v>18.45</v>
      </c>
      <c r="N177" s="7">
        <f t="shared" si="24"/>
        <v>6.535947712418301E-2</v>
      </c>
      <c r="O177" s="7">
        <f t="shared" si="25"/>
        <v>5.4200542005420058E-2</v>
      </c>
    </row>
    <row r="178" spans="1:15" x14ac:dyDescent="0.15">
      <c r="A178" s="7">
        <v>178</v>
      </c>
      <c r="B178" s="7">
        <f t="shared" si="20"/>
        <v>11.235955056179776</v>
      </c>
      <c r="C178" s="7"/>
      <c r="I178" s="7">
        <f t="shared" si="27"/>
        <v>17</v>
      </c>
      <c r="J178" s="7">
        <f t="shared" si="28"/>
        <v>9</v>
      </c>
      <c r="K178" s="7">
        <f t="shared" si="29"/>
        <v>153</v>
      </c>
      <c r="L178" s="7">
        <f t="shared" si="22"/>
        <v>15.75</v>
      </c>
      <c r="M178" s="7">
        <f t="shared" si="23"/>
        <v>19.350000000000001</v>
      </c>
      <c r="N178" s="7">
        <f t="shared" si="24"/>
        <v>6.3492063492063489E-2</v>
      </c>
      <c r="O178" s="7">
        <f t="shared" si="25"/>
        <v>5.1679586563307491E-2</v>
      </c>
    </row>
    <row r="179" spans="1:15" x14ac:dyDescent="0.15">
      <c r="A179" s="7">
        <v>179</v>
      </c>
      <c r="B179" s="7">
        <f t="shared" ref="B179:B180" si="30">$F$3/A179</f>
        <v>11.173184357541899</v>
      </c>
      <c r="C179" s="7"/>
      <c r="I179" s="7">
        <f t="shared" si="27"/>
        <v>18</v>
      </c>
      <c r="J179" s="7">
        <f t="shared" si="28"/>
        <v>9</v>
      </c>
      <c r="K179" s="7">
        <f t="shared" si="29"/>
        <v>162</v>
      </c>
      <c r="L179" s="7">
        <f t="shared" si="22"/>
        <v>16.2</v>
      </c>
      <c r="M179" s="7">
        <f t="shared" si="23"/>
        <v>20.25</v>
      </c>
      <c r="N179" s="7">
        <f t="shared" si="24"/>
        <v>6.1728395061728399E-2</v>
      </c>
      <c r="O179" s="7">
        <f t="shared" si="25"/>
        <v>4.9382716049382713E-2</v>
      </c>
    </row>
    <row r="180" spans="1:15" x14ac:dyDescent="0.15">
      <c r="A180" s="7">
        <v>180</v>
      </c>
      <c r="B180" s="7">
        <f t="shared" si="30"/>
        <v>11.111111111111111</v>
      </c>
      <c r="C180" s="7"/>
      <c r="I180" s="7">
        <f t="shared" si="27"/>
        <v>19</v>
      </c>
      <c r="J180" s="7">
        <f t="shared" si="28"/>
        <v>9</v>
      </c>
      <c r="K180" s="7">
        <f t="shared" si="29"/>
        <v>171</v>
      </c>
      <c r="L180" s="7">
        <f t="shared" si="22"/>
        <v>16.649999999999999</v>
      </c>
      <c r="M180" s="7">
        <f t="shared" si="23"/>
        <v>21.150000000000002</v>
      </c>
      <c r="N180" s="7">
        <f t="shared" si="24"/>
        <v>6.0060060060060066E-2</v>
      </c>
      <c r="O180" s="7">
        <f t="shared" si="25"/>
        <v>4.728132387706855E-2</v>
      </c>
    </row>
    <row r="181" spans="1:15" x14ac:dyDescent="0.15">
      <c r="I181" s="7">
        <f t="shared" si="27"/>
        <v>20</v>
      </c>
      <c r="J181" s="7">
        <f t="shared" si="28"/>
        <v>9</v>
      </c>
      <c r="K181" s="7">
        <f t="shared" si="29"/>
        <v>180</v>
      </c>
      <c r="L181" s="7">
        <f t="shared" si="22"/>
        <v>17.100000000000001</v>
      </c>
      <c r="M181" s="7">
        <f t="shared" si="23"/>
        <v>22.05</v>
      </c>
      <c r="N181" s="7">
        <f t="shared" si="24"/>
        <v>5.8479532163742687E-2</v>
      </c>
      <c r="O181" s="7">
        <f t="shared" si="25"/>
        <v>4.5351473922902494E-2</v>
      </c>
    </row>
    <row r="182" spans="1:15" x14ac:dyDescent="0.15">
      <c r="I182" s="7">
        <f t="shared" si="27"/>
        <v>1</v>
      </c>
      <c r="J182" s="7">
        <f t="shared" si="28"/>
        <v>10</v>
      </c>
      <c r="K182" s="7">
        <f>J182</f>
        <v>10</v>
      </c>
      <c r="L182" s="7">
        <f t="shared" si="22"/>
        <v>9.5</v>
      </c>
      <c r="M182" s="7">
        <f t="shared" si="23"/>
        <v>5.45</v>
      </c>
      <c r="N182" s="7">
        <f t="shared" si="24"/>
        <v>0.10526315789473684</v>
      </c>
      <c r="O182" s="7">
        <f t="shared" si="25"/>
        <v>0.18348623853211007</v>
      </c>
    </row>
    <row r="183" spans="1:15" x14ac:dyDescent="0.15">
      <c r="I183" s="7">
        <f t="shared" si="27"/>
        <v>2</v>
      </c>
      <c r="J183" s="7">
        <f t="shared" si="28"/>
        <v>10</v>
      </c>
      <c r="K183" s="7">
        <f>K182+J182</f>
        <v>20</v>
      </c>
      <c r="L183" s="7">
        <f t="shared" si="22"/>
        <v>10</v>
      </c>
      <c r="M183" s="7">
        <f t="shared" si="23"/>
        <v>6.45</v>
      </c>
      <c r="N183" s="7">
        <f t="shared" si="24"/>
        <v>0.1</v>
      </c>
      <c r="O183" s="7">
        <f t="shared" si="25"/>
        <v>0.15503875968992248</v>
      </c>
    </row>
    <row r="184" spans="1:15" x14ac:dyDescent="0.15">
      <c r="I184" s="7">
        <f t="shared" si="27"/>
        <v>3</v>
      </c>
      <c r="J184" s="7">
        <f t="shared" si="28"/>
        <v>10</v>
      </c>
      <c r="K184" s="7">
        <f t="shared" ref="K184:K201" si="31">K183+J183</f>
        <v>30</v>
      </c>
      <c r="L184" s="7">
        <f t="shared" si="22"/>
        <v>10.5</v>
      </c>
      <c r="M184" s="7">
        <f t="shared" si="23"/>
        <v>7.45</v>
      </c>
      <c r="N184" s="7">
        <f t="shared" si="24"/>
        <v>9.5238095238095233E-2</v>
      </c>
      <c r="O184" s="7">
        <f t="shared" si="25"/>
        <v>0.13422818791946309</v>
      </c>
    </row>
    <row r="185" spans="1:15" x14ac:dyDescent="0.15">
      <c r="I185" s="7">
        <f t="shared" si="27"/>
        <v>4</v>
      </c>
      <c r="J185" s="7">
        <f t="shared" si="28"/>
        <v>10</v>
      </c>
      <c r="K185" s="7">
        <f t="shared" si="31"/>
        <v>40</v>
      </c>
      <c r="L185" s="7">
        <f t="shared" si="22"/>
        <v>11</v>
      </c>
      <c r="M185" s="7">
        <f t="shared" si="23"/>
        <v>8.4499999999999993</v>
      </c>
      <c r="N185" s="7">
        <f t="shared" si="24"/>
        <v>9.0909090909090912E-2</v>
      </c>
      <c r="O185" s="7">
        <f t="shared" si="25"/>
        <v>0.1183431952662722</v>
      </c>
    </row>
    <row r="186" spans="1:15" x14ac:dyDescent="0.15">
      <c r="I186" s="7">
        <f t="shared" si="27"/>
        <v>5</v>
      </c>
      <c r="J186" s="7">
        <f t="shared" si="28"/>
        <v>10</v>
      </c>
      <c r="K186" s="7">
        <f t="shared" si="31"/>
        <v>50</v>
      </c>
      <c r="L186" s="7">
        <f t="shared" si="22"/>
        <v>11.5</v>
      </c>
      <c r="M186" s="7">
        <f t="shared" si="23"/>
        <v>9.4499999999999993</v>
      </c>
      <c r="N186" s="7">
        <f t="shared" si="24"/>
        <v>8.6956521739130432E-2</v>
      </c>
      <c r="O186" s="7">
        <f t="shared" si="25"/>
        <v>0.10582010582010583</v>
      </c>
    </row>
    <row r="187" spans="1:15" x14ac:dyDescent="0.15">
      <c r="I187" s="7">
        <f t="shared" si="27"/>
        <v>6</v>
      </c>
      <c r="J187" s="7">
        <f t="shared" si="28"/>
        <v>10</v>
      </c>
      <c r="K187" s="7">
        <f t="shared" si="31"/>
        <v>60</v>
      </c>
      <c r="L187" s="7">
        <f t="shared" si="22"/>
        <v>12</v>
      </c>
      <c r="M187" s="7">
        <f t="shared" si="23"/>
        <v>10.45</v>
      </c>
      <c r="N187" s="7">
        <f t="shared" si="24"/>
        <v>8.3333333333333329E-2</v>
      </c>
      <c r="O187" s="7">
        <f t="shared" si="25"/>
        <v>9.569377990430622E-2</v>
      </c>
    </row>
    <row r="188" spans="1:15" x14ac:dyDescent="0.15">
      <c r="I188" s="7">
        <f t="shared" si="27"/>
        <v>7</v>
      </c>
      <c r="J188" s="7">
        <f t="shared" si="28"/>
        <v>10</v>
      </c>
      <c r="K188" s="7">
        <f t="shared" si="31"/>
        <v>70</v>
      </c>
      <c r="L188" s="7">
        <f t="shared" si="22"/>
        <v>12.5</v>
      </c>
      <c r="M188" s="7">
        <f t="shared" si="23"/>
        <v>11.45</v>
      </c>
      <c r="N188" s="7">
        <f t="shared" si="24"/>
        <v>0.08</v>
      </c>
      <c r="O188" s="7">
        <f t="shared" si="25"/>
        <v>8.7336244541484725E-2</v>
      </c>
    </row>
    <row r="189" spans="1:15" x14ac:dyDescent="0.15">
      <c r="I189" s="7">
        <f t="shared" si="27"/>
        <v>8</v>
      </c>
      <c r="J189" s="7">
        <f t="shared" si="28"/>
        <v>10</v>
      </c>
      <c r="K189" s="7">
        <f t="shared" si="31"/>
        <v>80</v>
      </c>
      <c r="L189" s="7">
        <f t="shared" si="22"/>
        <v>13</v>
      </c>
      <c r="M189" s="7">
        <f t="shared" si="23"/>
        <v>12.45</v>
      </c>
      <c r="N189" s="7">
        <f t="shared" si="24"/>
        <v>7.6923076923076927E-2</v>
      </c>
      <c r="O189" s="7">
        <f t="shared" si="25"/>
        <v>8.0321285140562249E-2</v>
      </c>
    </row>
    <row r="190" spans="1:15" x14ac:dyDescent="0.15">
      <c r="I190" s="7">
        <f t="shared" si="27"/>
        <v>9</v>
      </c>
      <c r="J190" s="7">
        <f t="shared" si="28"/>
        <v>10</v>
      </c>
      <c r="K190" s="7">
        <f t="shared" si="31"/>
        <v>90</v>
      </c>
      <c r="L190" s="7">
        <f t="shared" si="22"/>
        <v>13.5</v>
      </c>
      <c r="M190" s="7">
        <f t="shared" si="23"/>
        <v>13.45</v>
      </c>
      <c r="N190" s="7">
        <f t="shared" si="24"/>
        <v>7.407407407407407E-2</v>
      </c>
      <c r="O190" s="7">
        <f t="shared" si="25"/>
        <v>7.434944237918216E-2</v>
      </c>
    </row>
    <row r="191" spans="1:15" x14ac:dyDescent="0.15">
      <c r="I191" s="7">
        <f t="shared" si="27"/>
        <v>10</v>
      </c>
      <c r="J191" s="7">
        <f t="shared" si="28"/>
        <v>10</v>
      </c>
      <c r="K191" s="7">
        <f t="shared" si="31"/>
        <v>100</v>
      </c>
      <c r="L191" s="7">
        <f t="shared" si="22"/>
        <v>14</v>
      </c>
      <c r="M191" s="7">
        <f t="shared" si="23"/>
        <v>14.45</v>
      </c>
      <c r="N191" s="7">
        <f t="shared" si="24"/>
        <v>7.1428571428571425E-2</v>
      </c>
      <c r="O191" s="7">
        <f t="shared" si="25"/>
        <v>6.9204152249134954E-2</v>
      </c>
    </row>
    <row r="192" spans="1:15" x14ac:dyDescent="0.15">
      <c r="I192" s="7">
        <f t="shared" si="27"/>
        <v>11</v>
      </c>
      <c r="J192" s="7">
        <f t="shared" si="28"/>
        <v>10</v>
      </c>
      <c r="K192" s="7">
        <f t="shared" si="31"/>
        <v>110</v>
      </c>
      <c r="L192" s="7">
        <f t="shared" si="22"/>
        <v>14.5</v>
      </c>
      <c r="M192" s="7">
        <f t="shared" si="23"/>
        <v>15.45</v>
      </c>
      <c r="N192" s="7">
        <f t="shared" si="24"/>
        <v>6.8965517241379309E-2</v>
      </c>
      <c r="O192" s="7">
        <f t="shared" si="25"/>
        <v>6.4724919093851141E-2</v>
      </c>
    </row>
    <row r="193" spans="9:15" x14ac:dyDescent="0.15">
      <c r="I193" s="7">
        <f t="shared" si="27"/>
        <v>12</v>
      </c>
      <c r="J193" s="7">
        <f t="shared" si="28"/>
        <v>10</v>
      </c>
      <c r="K193" s="7">
        <f t="shared" si="31"/>
        <v>120</v>
      </c>
      <c r="L193" s="7">
        <f t="shared" si="22"/>
        <v>15</v>
      </c>
      <c r="M193" s="7">
        <f t="shared" si="23"/>
        <v>16.45</v>
      </c>
      <c r="N193" s="7">
        <f t="shared" si="24"/>
        <v>6.6666666666666666E-2</v>
      </c>
      <c r="O193" s="7">
        <f t="shared" si="25"/>
        <v>6.0790273556231005E-2</v>
      </c>
    </row>
    <row r="194" spans="9:15" x14ac:dyDescent="0.15">
      <c r="I194" s="7">
        <f t="shared" si="27"/>
        <v>13</v>
      </c>
      <c r="J194" s="7">
        <f t="shared" si="28"/>
        <v>10</v>
      </c>
      <c r="K194" s="7">
        <f t="shared" si="31"/>
        <v>130</v>
      </c>
      <c r="L194" s="7">
        <f t="shared" si="22"/>
        <v>15.5</v>
      </c>
      <c r="M194" s="7">
        <f t="shared" si="23"/>
        <v>17.45</v>
      </c>
      <c r="N194" s="7">
        <f t="shared" si="24"/>
        <v>6.4516129032258063E-2</v>
      </c>
      <c r="O194" s="7">
        <f t="shared" si="25"/>
        <v>5.730659025787966E-2</v>
      </c>
    </row>
    <row r="195" spans="9:15" x14ac:dyDescent="0.15">
      <c r="I195" s="7">
        <f t="shared" si="27"/>
        <v>14</v>
      </c>
      <c r="J195" s="7">
        <f t="shared" si="28"/>
        <v>10</v>
      </c>
      <c r="K195" s="7">
        <f t="shared" si="31"/>
        <v>140</v>
      </c>
      <c r="L195" s="7">
        <f t="shared" ref="L195:L258" si="32">0.9*J195+0.05*K195</f>
        <v>16</v>
      </c>
      <c r="M195" s="7">
        <f t="shared" ref="M195:M258" si="33">0.45+0.4*J195+0.1*K195</f>
        <v>18.45</v>
      </c>
      <c r="N195" s="7">
        <f t="shared" ref="N195:N258" si="34">1/L195</f>
        <v>6.25E-2</v>
      </c>
      <c r="O195" s="7">
        <f t="shared" ref="O195:O258" si="35">1/M195</f>
        <v>5.4200542005420058E-2</v>
      </c>
    </row>
    <row r="196" spans="9:15" x14ac:dyDescent="0.15">
      <c r="I196" s="7">
        <f t="shared" si="27"/>
        <v>15</v>
      </c>
      <c r="J196" s="7">
        <f t="shared" si="28"/>
        <v>10</v>
      </c>
      <c r="K196" s="7">
        <f t="shared" si="31"/>
        <v>150</v>
      </c>
      <c r="L196" s="7">
        <f t="shared" si="32"/>
        <v>16.5</v>
      </c>
      <c r="M196" s="7">
        <f t="shared" si="33"/>
        <v>19.45</v>
      </c>
      <c r="N196" s="7">
        <f t="shared" si="34"/>
        <v>6.0606060606060608E-2</v>
      </c>
      <c r="O196" s="7">
        <f t="shared" si="35"/>
        <v>5.1413881748071981E-2</v>
      </c>
    </row>
    <row r="197" spans="9:15" x14ac:dyDescent="0.15">
      <c r="I197" s="7">
        <f t="shared" si="27"/>
        <v>16</v>
      </c>
      <c r="J197" s="7">
        <f t="shared" si="28"/>
        <v>10</v>
      </c>
      <c r="K197" s="7">
        <f t="shared" si="31"/>
        <v>160</v>
      </c>
      <c r="L197" s="7">
        <f t="shared" si="32"/>
        <v>17</v>
      </c>
      <c r="M197" s="7">
        <f t="shared" si="33"/>
        <v>20.45</v>
      </c>
      <c r="N197" s="7">
        <f t="shared" si="34"/>
        <v>5.8823529411764705E-2</v>
      </c>
      <c r="O197" s="7">
        <f t="shared" si="35"/>
        <v>4.8899755501222497E-2</v>
      </c>
    </row>
    <row r="198" spans="9:15" x14ac:dyDescent="0.15">
      <c r="I198" s="7">
        <f t="shared" si="27"/>
        <v>17</v>
      </c>
      <c r="J198" s="7">
        <f t="shared" si="28"/>
        <v>10</v>
      </c>
      <c r="K198" s="7">
        <f t="shared" si="31"/>
        <v>170</v>
      </c>
      <c r="L198" s="7">
        <f t="shared" si="32"/>
        <v>17.5</v>
      </c>
      <c r="M198" s="7">
        <f t="shared" si="33"/>
        <v>21.45</v>
      </c>
      <c r="N198" s="7">
        <f t="shared" si="34"/>
        <v>5.7142857142857141E-2</v>
      </c>
      <c r="O198" s="7">
        <f t="shared" si="35"/>
        <v>4.6620046620046623E-2</v>
      </c>
    </row>
    <row r="199" spans="9:15" x14ac:dyDescent="0.15">
      <c r="I199" s="7">
        <f t="shared" si="27"/>
        <v>18</v>
      </c>
      <c r="J199" s="7">
        <f t="shared" si="28"/>
        <v>10</v>
      </c>
      <c r="K199" s="7">
        <f t="shared" si="31"/>
        <v>180</v>
      </c>
      <c r="L199" s="7">
        <f t="shared" si="32"/>
        <v>18</v>
      </c>
      <c r="M199" s="7">
        <f t="shared" si="33"/>
        <v>22.45</v>
      </c>
      <c r="N199" s="7">
        <f t="shared" si="34"/>
        <v>5.5555555555555552E-2</v>
      </c>
      <c r="O199" s="7">
        <f t="shared" si="35"/>
        <v>4.4543429844097995E-2</v>
      </c>
    </row>
    <row r="200" spans="9:15" x14ac:dyDescent="0.15">
      <c r="I200" s="7">
        <f t="shared" si="27"/>
        <v>19</v>
      </c>
      <c r="J200" s="7">
        <f t="shared" si="28"/>
        <v>10</v>
      </c>
      <c r="K200" s="7">
        <f t="shared" si="31"/>
        <v>190</v>
      </c>
      <c r="L200" s="7">
        <f t="shared" si="32"/>
        <v>18.5</v>
      </c>
      <c r="M200" s="7">
        <f t="shared" si="33"/>
        <v>23.45</v>
      </c>
      <c r="N200" s="7">
        <f t="shared" si="34"/>
        <v>5.4054054054054057E-2</v>
      </c>
      <c r="O200" s="7">
        <f t="shared" si="35"/>
        <v>4.2643923240938165E-2</v>
      </c>
    </row>
    <row r="201" spans="9:15" x14ac:dyDescent="0.15">
      <c r="I201" s="7">
        <f t="shared" si="27"/>
        <v>20</v>
      </c>
      <c r="J201" s="7">
        <f t="shared" si="28"/>
        <v>10</v>
      </c>
      <c r="K201" s="7">
        <f t="shared" si="31"/>
        <v>200</v>
      </c>
      <c r="L201" s="7">
        <f t="shared" si="32"/>
        <v>19</v>
      </c>
      <c r="M201" s="7">
        <f t="shared" si="33"/>
        <v>24.45</v>
      </c>
      <c r="N201" s="7">
        <f t="shared" si="34"/>
        <v>5.2631578947368418E-2</v>
      </c>
      <c r="O201" s="7">
        <f t="shared" si="35"/>
        <v>4.0899795501022497E-2</v>
      </c>
    </row>
    <row r="202" spans="9:15" x14ac:dyDescent="0.15">
      <c r="I202" s="7">
        <f t="shared" si="27"/>
        <v>1</v>
      </c>
      <c r="J202" s="7">
        <f t="shared" si="28"/>
        <v>11</v>
      </c>
      <c r="K202" s="7">
        <f>J202</f>
        <v>11</v>
      </c>
      <c r="L202" s="7">
        <f t="shared" si="32"/>
        <v>10.450000000000001</v>
      </c>
      <c r="M202" s="7">
        <f t="shared" si="33"/>
        <v>5.9500000000000011</v>
      </c>
      <c r="N202" s="7">
        <f t="shared" si="34"/>
        <v>9.5693779904306206E-2</v>
      </c>
      <c r="O202" s="7">
        <f t="shared" si="35"/>
        <v>0.16806722689075626</v>
      </c>
    </row>
    <row r="203" spans="9:15" x14ac:dyDescent="0.15">
      <c r="I203" s="7">
        <f t="shared" si="27"/>
        <v>2</v>
      </c>
      <c r="J203" s="7">
        <f t="shared" si="28"/>
        <v>11</v>
      </c>
      <c r="K203" s="7">
        <f>K202+J202</f>
        <v>22</v>
      </c>
      <c r="L203" s="7">
        <f t="shared" si="32"/>
        <v>11</v>
      </c>
      <c r="M203" s="7">
        <f t="shared" si="33"/>
        <v>7.0500000000000007</v>
      </c>
      <c r="N203" s="7">
        <f t="shared" si="34"/>
        <v>9.0909090909090912E-2</v>
      </c>
      <c r="O203" s="7">
        <f t="shared" si="35"/>
        <v>0.14184397163120566</v>
      </c>
    </row>
    <row r="204" spans="9:15" x14ac:dyDescent="0.15">
      <c r="I204" s="7">
        <f t="shared" si="27"/>
        <v>3</v>
      </c>
      <c r="J204" s="7">
        <f t="shared" si="28"/>
        <v>11</v>
      </c>
      <c r="K204" s="7">
        <f t="shared" ref="K204:K221" si="36">K203+J203</f>
        <v>33</v>
      </c>
      <c r="L204" s="7">
        <f t="shared" si="32"/>
        <v>11.55</v>
      </c>
      <c r="M204" s="7">
        <f t="shared" si="33"/>
        <v>8.15</v>
      </c>
      <c r="N204" s="7">
        <f t="shared" si="34"/>
        <v>8.6580086580086577E-2</v>
      </c>
      <c r="O204" s="7">
        <f t="shared" si="35"/>
        <v>0.12269938650306748</v>
      </c>
    </row>
    <row r="205" spans="9:15" x14ac:dyDescent="0.15">
      <c r="I205" s="7">
        <f t="shared" si="27"/>
        <v>4</v>
      </c>
      <c r="J205" s="7">
        <f t="shared" si="28"/>
        <v>11</v>
      </c>
      <c r="K205" s="7">
        <f t="shared" si="36"/>
        <v>44</v>
      </c>
      <c r="L205" s="7">
        <f t="shared" si="32"/>
        <v>12.100000000000001</v>
      </c>
      <c r="M205" s="7">
        <f t="shared" si="33"/>
        <v>9.25</v>
      </c>
      <c r="N205" s="7">
        <f t="shared" si="34"/>
        <v>8.2644628099173542E-2</v>
      </c>
      <c r="O205" s="7">
        <f t="shared" si="35"/>
        <v>0.10810810810810811</v>
      </c>
    </row>
    <row r="206" spans="9:15" x14ac:dyDescent="0.15">
      <c r="I206" s="7">
        <f t="shared" si="27"/>
        <v>5</v>
      </c>
      <c r="J206" s="7">
        <f t="shared" si="28"/>
        <v>11</v>
      </c>
      <c r="K206" s="7">
        <f t="shared" si="36"/>
        <v>55</v>
      </c>
      <c r="L206" s="7">
        <f t="shared" si="32"/>
        <v>12.65</v>
      </c>
      <c r="M206" s="7">
        <f t="shared" si="33"/>
        <v>10.350000000000001</v>
      </c>
      <c r="N206" s="7">
        <f t="shared" si="34"/>
        <v>7.9051383399209488E-2</v>
      </c>
      <c r="O206" s="7">
        <f t="shared" si="35"/>
        <v>9.661835748792269E-2</v>
      </c>
    </row>
    <row r="207" spans="9:15" x14ac:dyDescent="0.15">
      <c r="I207" s="7">
        <f t="shared" si="27"/>
        <v>6</v>
      </c>
      <c r="J207" s="7">
        <f t="shared" si="28"/>
        <v>11</v>
      </c>
      <c r="K207" s="7">
        <f t="shared" si="36"/>
        <v>66</v>
      </c>
      <c r="L207" s="7">
        <f t="shared" si="32"/>
        <v>13.200000000000001</v>
      </c>
      <c r="M207" s="7">
        <f t="shared" si="33"/>
        <v>11.450000000000001</v>
      </c>
      <c r="N207" s="7">
        <f t="shared" si="34"/>
        <v>7.5757575757575746E-2</v>
      </c>
      <c r="O207" s="7">
        <f t="shared" si="35"/>
        <v>8.7336244541484712E-2</v>
      </c>
    </row>
    <row r="208" spans="9:15" x14ac:dyDescent="0.15">
      <c r="I208" s="7">
        <f t="shared" si="27"/>
        <v>7</v>
      </c>
      <c r="J208" s="7">
        <f t="shared" si="28"/>
        <v>11</v>
      </c>
      <c r="K208" s="7">
        <f t="shared" si="36"/>
        <v>77</v>
      </c>
      <c r="L208" s="7">
        <f t="shared" si="32"/>
        <v>13.75</v>
      </c>
      <c r="M208" s="7">
        <f t="shared" si="33"/>
        <v>12.55</v>
      </c>
      <c r="N208" s="7">
        <f t="shared" si="34"/>
        <v>7.2727272727272724E-2</v>
      </c>
      <c r="O208" s="7">
        <f t="shared" si="35"/>
        <v>7.9681274900398405E-2</v>
      </c>
    </row>
    <row r="209" spans="9:15" x14ac:dyDescent="0.15">
      <c r="I209" s="7">
        <f t="shared" si="27"/>
        <v>8</v>
      </c>
      <c r="J209" s="7">
        <f t="shared" si="28"/>
        <v>11</v>
      </c>
      <c r="K209" s="7">
        <f t="shared" si="36"/>
        <v>88</v>
      </c>
      <c r="L209" s="7">
        <f t="shared" si="32"/>
        <v>14.3</v>
      </c>
      <c r="M209" s="7">
        <f t="shared" si="33"/>
        <v>13.650000000000002</v>
      </c>
      <c r="N209" s="7">
        <f t="shared" si="34"/>
        <v>6.9930069930069921E-2</v>
      </c>
      <c r="O209" s="7">
        <f t="shared" si="35"/>
        <v>7.326007326007325E-2</v>
      </c>
    </row>
    <row r="210" spans="9:15" x14ac:dyDescent="0.15">
      <c r="I210" s="7">
        <f t="shared" si="27"/>
        <v>9</v>
      </c>
      <c r="J210" s="7">
        <f t="shared" si="28"/>
        <v>11</v>
      </c>
      <c r="K210" s="7">
        <f t="shared" si="36"/>
        <v>99</v>
      </c>
      <c r="L210" s="7">
        <f t="shared" si="32"/>
        <v>14.850000000000001</v>
      </c>
      <c r="M210" s="7">
        <f t="shared" si="33"/>
        <v>14.75</v>
      </c>
      <c r="N210" s="7">
        <f t="shared" si="34"/>
        <v>6.7340067340067339E-2</v>
      </c>
      <c r="O210" s="7">
        <f t="shared" si="35"/>
        <v>6.7796610169491525E-2</v>
      </c>
    </row>
    <row r="211" spans="9:15" x14ac:dyDescent="0.15">
      <c r="I211" s="7">
        <f t="shared" si="27"/>
        <v>10</v>
      </c>
      <c r="J211" s="7">
        <f t="shared" si="28"/>
        <v>11</v>
      </c>
      <c r="K211" s="7">
        <f t="shared" si="36"/>
        <v>110</v>
      </c>
      <c r="L211" s="7">
        <f t="shared" si="32"/>
        <v>15.4</v>
      </c>
      <c r="M211" s="7">
        <f t="shared" si="33"/>
        <v>15.850000000000001</v>
      </c>
      <c r="N211" s="7">
        <f t="shared" si="34"/>
        <v>6.4935064935064929E-2</v>
      </c>
      <c r="O211" s="7">
        <f t="shared" si="35"/>
        <v>6.3091482649842268E-2</v>
      </c>
    </row>
    <row r="212" spans="9:15" x14ac:dyDescent="0.15">
      <c r="I212" s="7">
        <f t="shared" si="27"/>
        <v>11</v>
      </c>
      <c r="J212" s="7">
        <f t="shared" si="28"/>
        <v>11</v>
      </c>
      <c r="K212" s="7">
        <f t="shared" si="36"/>
        <v>121</v>
      </c>
      <c r="L212" s="7">
        <f t="shared" si="32"/>
        <v>15.950000000000001</v>
      </c>
      <c r="M212" s="7">
        <f t="shared" si="33"/>
        <v>16.950000000000003</v>
      </c>
      <c r="N212" s="7">
        <f t="shared" si="34"/>
        <v>6.2695924764890276E-2</v>
      </c>
      <c r="O212" s="7">
        <f t="shared" si="35"/>
        <v>5.8997050147492618E-2</v>
      </c>
    </row>
    <row r="213" spans="9:15" x14ac:dyDescent="0.15">
      <c r="I213" s="7">
        <f t="shared" si="27"/>
        <v>12</v>
      </c>
      <c r="J213" s="7">
        <f t="shared" si="28"/>
        <v>11</v>
      </c>
      <c r="K213" s="7">
        <f t="shared" si="36"/>
        <v>132</v>
      </c>
      <c r="L213" s="7">
        <f t="shared" si="32"/>
        <v>16.5</v>
      </c>
      <c r="M213" s="7">
        <f t="shared" si="33"/>
        <v>18.05</v>
      </c>
      <c r="N213" s="7">
        <f t="shared" si="34"/>
        <v>6.0606060606060608E-2</v>
      </c>
      <c r="O213" s="7">
        <f t="shared" si="35"/>
        <v>5.5401662049861494E-2</v>
      </c>
    </row>
    <row r="214" spans="9:15" x14ac:dyDescent="0.15">
      <c r="I214" s="7">
        <f t="shared" si="27"/>
        <v>13</v>
      </c>
      <c r="J214" s="7">
        <f t="shared" si="28"/>
        <v>11</v>
      </c>
      <c r="K214" s="7">
        <f t="shared" si="36"/>
        <v>143</v>
      </c>
      <c r="L214" s="7">
        <f t="shared" si="32"/>
        <v>17.05</v>
      </c>
      <c r="M214" s="7">
        <f t="shared" si="33"/>
        <v>19.150000000000002</v>
      </c>
      <c r="N214" s="7">
        <f t="shared" si="34"/>
        <v>5.8651026392961873E-2</v>
      </c>
      <c r="O214" s="7">
        <f t="shared" si="35"/>
        <v>5.2219321148825062E-2</v>
      </c>
    </row>
    <row r="215" spans="9:15" x14ac:dyDescent="0.15">
      <c r="I215" s="7">
        <f t="shared" ref="I215:I278" si="37">I195</f>
        <v>14</v>
      </c>
      <c r="J215" s="7">
        <f t="shared" ref="J215:J278" si="38">J195+1</f>
        <v>11</v>
      </c>
      <c r="K215" s="7">
        <f t="shared" si="36"/>
        <v>154</v>
      </c>
      <c r="L215" s="7">
        <f t="shared" si="32"/>
        <v>17.600000000000001</v>
      </c>
      <c r="M215" s="7">
        <f t="shared" si="33"/>
        <v>20.25</v>
      </c>
      <c r="N215" s="7">
        <f t="shared" si="34"/>
        <v>5.6818181818181816E-2</v>
      </c>
      <c r="O215" s="7">
        <f t="shared" si="35"/>
        <v>4.9382716049382713E-2</v>
      </c>
    </row>
    <row r="216" spans="9:15" x14ac:dyDescent="0.15">
      <c r="I216" s="7">
        <f t="shared" si="37"/>
        <v>15</v>
      </c>
      <c r="J216" s="7">
        <f t="shared" si="38"/>
        <v>11</v>
      </c>
      <c r="K216" s="7">
        <f t="shared" si="36"/>
        <v>165</v>
      </c>
      <c r="L216" s="7">
        <f t="shared" si="32"/>
        <v>18.149999999999999</v>
      </c>
      <c r="M216" s="7">
        <f t="shared" si="33"/>
        <v>21.35</v>
      </c>
      <c r="N216" s="7">
        <f t="shared" si="34"/>
        <v>5.5096418732782371E-2</v>
      </c>
      <c r="O216" s="7">
        <f t="shared" si="35"/>
        <v>4.6838407494145196E-2</v>
      </c>
    </row>
    <row r="217" spans="9:15" x14ac:dyDescent="0.15">
      <c r="I217" s="7">
        <f t="shared" si="37"/>
        <v>16</v>
      </c>
      <c r="J217" s="7">
        <f t="shared" si="38"/>
        <v>11</v>
      </c>
      <c r="K217" s="7">
        <f t="shared" si="36"/>
        <v>176</v>
      </c>
      <c r="L217" s="7">
        <f t="shared" si="32"/>
        <v>18.700000000000003</v>
      </c>
      <c r="M217" s="7">
        <f t="shared" si="33"/>
        <v>22.450000000000003</v>
      </c>
      <c r="N217" s="7">
        <f t="shared" si="34"/>
        <v>5.3475935828876997E-2</v>
      </c>
      <c r="O217" s="7">
        <f t="shared" si="35"/>
        <v>4.4543429844097988E-2</v>
      </c>
    </row>
    <row r="218" spans="9:15" x14ac:dyDescent="0.15">
      <c r="I218" s="7">
        <f t="shared" si="37"/>
        <v>17</v>
      </c>
      <c r="J218" s="7">
        <f t="shared" si="38"/>
        <v>11</v>
      </c>
      <c r="K218" s="7">
        <f t="shared" si="36"/>
        <v>187</v>
      </c>
      <c r="L218" s="7">
        <f t="shared" si="32"/>
        <v>19.25</v>
      </c>
      <c r="M218" s="7">
        <f t="shared" si="33"/>
        <v>23.55</v>
      </c>
      <c r="N218" s="7">
        <f t="shared" si="34"/>
        <v>5.1948051948051951E-2</v>
      </c>
      <c r="O218" s="7">
        <f t="shared" si="35"/>
        <v>4.2462845010615709E-2</v>
      </c>
    </row>
    <row r="219" spans="9:15" x14ac:dyDescent="0.15">
      <c r="I219" s="7">
        <f t="shared" si="37"/>
        <v>18</v>
      </c>
      <c r="J219" s="7">
        <f t="shared" si="38"/>
        <v>11</v>
      </c>
      <c r="K219" s="7">
        <f t="shared" si="36"/>
        <v>198</v>
      </c>
      <c r="L219" s="7">
        <f t="shared" si="32"/>
        <v>19.8</v>
      </c>
      <c r="M219" s="7">
        <f t="shared" si="33"/>
        <v>24.650000000000002</v>
      </c>
      <c r="N219" s="7">
        <f t="shared" si="34"/>
        <v>5.0505050505050504E-2</v>
      </c>
      <c r="O219" s="7">
        <f t="shared" si="35"/>
        <v>4.0567951318458417E-2</v>
      </c>
    </row>
    <row r="220" spans="9:15" x14ac:dyDescent="0.15">
      <c r="I220" s="7">
        <f t="shared" si="37"/>
        <v>19</v>
      </c>
      <c r="J220" s="7">
        <f t="shared" si="38"/>
        <v>11</v>
      </c>
      <c r="K220" s="7">
        <f t="shared" si="36"/>
        <v>209</v>
      </c>
      <c r="L220" s="7">
        <f t="shared" si="32"/>
        <v>20.350000000000001</v>
      </c>
      <c r="M220" s="7">
        <f t="shared" si="33"/>
        <v>25.750000000000004</v>
      </c>
      <c r="N220" s="7">
        <f t="shared" si="34"/>
        <v>4.9140049140049137E-2</v>
      </c>
      <c r="O220" s="7">
        <f t="shared" si="35"/>
        <v>3.8834951456310676E-2</v>
      </c>
    </row>
    <row r="221" spans="9:15" x14ac:dyDescent="0.15">
      <c r="I221" s="7">
        <f t="shared" si="37"/>
        <v>20</v>
      </c>
      <c r="J221" s="7">
        <f t="shared" si="38"/>
        <v>11</v>
      </c>
      <c r="K221" s="7">
        <f t="shared" si="36"/>
        <v>220</v>
      </c>
      <c r="L221" s="7">
        <f t="shared" si="32"/>
        <v>20.9</v>
      </c>
      <c r="M221" s="7">
        <f t="shared" si="33"/>
        <v>26.85</v>
      </c>
      <c r="N221" s="7">
        <f t="shared" si="34"/>
        <v>4.784688995215311E-2</v>
      </c>
      <c r="O221" s="7">
        <f t="shared" si="35"/>
        <v>3.7243947858472994E-2</v>
      </c>
    </row>
    <row r="222" spans="9:15" x14ac:dyDescent="0.15">
      <c r="I222" s="7">
        <f t="shared" si="37"/>
        <v>1</v>
      </c>
      <c r="J222" s="7">
        <f t="shared" si="38"/>
        <v>12</v>
      </c>
      <c r="K222" s="7">
        <f>J222</f>
        <v>12</v>
      </c>
      <c r="L222" s="7">
        <f t="shared" si="32"/>
        <v>11.4</v>
      </c>
      <c r="M222" s="7">
        <f t="shared" si="33"/>
        <v>6.4500000000000011</v>
      </c>
      <c r="N222" s="7">
        <f t="shared" si="34"/>
        <v>8.771929824561403E-2</v>
      </c>
      <c r="O222" s="7">
        <f t="shared" si="35"/>
        <v>0.15503875968992245</v>
      </c>
    </row>
    <row r="223" spans="9:15" x14ac:dyDescent="0.15">
      <c r="I223" s="7">
        <f t="shared" si="37"/>
        <v>2</v>
      </c>
      <c r="J223" s="7">
        <f t="shared" si="38"/>
        <v>12</v>
      </c>
      <c r="K223" s="7">
        <f>K222+J222</f>
        <v>24</v>
      </c>
      <c r="L223" s="7">
        <f t="shared" si="32"/>
        <v>12</v>
      </c>
      <c r="M223" s="7">
        <f t="shared" si="33"/>
        <v>7.6500000000000012</v>
      </c>
      <c r="N223" s="7">
        <f t="shared" si="34"/>
        <v>8.3333333333333329E-2</v>
      </c>
      <c r="O223" s="7">
        <f t="shared" si="35"/>
        <v>0.13071895424836599</v>
      </c>
    </row>
    <row r="224" spans="9:15" x14ac:dyDescent="0.15">
      <c r="I224" s="7">
        <f t="shared" si="37"/>
        <v>3</v>
      </c>
      <c r="J224" s="7">
        <f t="shared" si="38"/>
        <v>12</v>
      </c>
      <c r="K224" s="7">
        <f t="shared" ref="K224:K241" si="39">K223+J223</f>
        <v>36</v>
      </c>
      <c r="L224" s="7">
        <f t="shared" si="32"/>
        <v>12.600000000000001</v>
      </c>
      <c r="M224" s="7">
        <f t="shared" si="33"/>
        <v>8.8500000000000014</v>
      </c>
      <c r="N224" s="7">
        <f t="shared" si="34"/>
        <v>7.9365079365079361E-2</v>
      </c>
      <c r="O224" s="7">
        <f t="shared" si="35"/>
        <v>0.11299435028248586</v>
      </c>
    </row>
    <row r="225" spans="9:15" x14ac:dyDescent="0.15">
      <c r="I225" s="7">
        <f t="shared" si="37"/>
        <v>4</v>
      </c>
      <c r="J225" s="7">
        <f t="shared" si="38"/>
        <v>12</v>
      </c>
      <c r="K225" s="7">
        <f t="shared" si="39"/>
        <v>48</v>
      </c>
      <c r="L225" s="7">
        <f t="shared" si="32"/>
        <v>13.200000000000001</v>
      </c>
      <c r="M225" s="7">
        <f t="shared" si="33"/>
        <v>10.050000000000001</v>
      </c>
      <c r="N225" s="7">
        <f t="shared" si="34"/>
        <v>7.5757575757575746E-2</v>
      </c>
      <c r="O225" s="7">
        <f t="shared" si="35"/>
        <v>9.9502487562189046E-2</v>
      </c>
    </row>
    <row r="226" spans="9:15" x14ac:dyDescent="0.15">
      <c r="I226" s="7">
        <f t="shared" si="37"/>
        <v>5</v>
      </c>
      <c r="J226" s="7">
        <f t="shared" si="38"/>
        <v>12</v>
      </c>
      <c r="K226" s="7">
        <f t="shared" si="39"/>
        <v>60</v>
      </c>
      <c r="L226" s="7">
        <f t="shared" si="32"/>
        <v>13.8</v>
      </c>
      <c r="M226" s="7">
        <f t="shared" si="33"/>
        <v>11.25</v>
      </c>
      <c r="N226" s="7">
        <f t="shared" si="34"/>
        <v>7.2463768115942032E-2</v>
      </c>
      <c r="O226" s="7">
        <f t="shared" si="35"/>
        <v>8.8888888888888892E-2</v>
      </c>
    </row>
    <row r="227" spans="9:15" x14ac:dyDescent="0.15">
      <c r="I227" s="7">
        <f t="shared" si="37"/>
        <v>6</v>
      </c>
      <c r="J227" s="7">
        <f t="shared" si="38"/>
        <v>12</v>
      </c>
      <c r="K227" s="7">
        <f t="shared" si="39"/>
        <v>72</v>
      </c>
      <c r="L227" s="7">
        <f t="shared" si="32"/>
        <v>14.4</v>
      </c>
      <c r="M227" s="7">
        <f t="shared" si="33"/>
        <v>12.450000000000001</v>
      </c>
      <c r="N227" s="7">
        <f t="shared" si="34"/>
        <v>6.9444444444444448E-2</v>
      </c>
      <c r="O227" s="7">
        <f t="shared" si="35"/>
        <v>8.0321285140562249E-2</v>
      </c>
    </row>
    <row r="228" spans="9:15" x14ac:dyDescent="0.15">
      <c r="I228" s="7">
        <f t="shared" si="37"/>
        <v>7</v>
      </c>
      <c r="J228" s="7">
        <f t="shared" si="38"/>
        <v>12</v>
      </c>
      <c r="K228" s="7">
        <f t="shared" si="39"/>
        <v>84</v>
      </c>
      <c r="L228" s="7">
        <f t="shared" si="32"/>
        <v>15</v>
      </c>
      <c r="M228" s="7">
        <f t="shared" si="33"/>
        <v>13.650000000000002</v>
      </c>
      <c r="N228" s="7">
        <f t="shared" si="34"/>
        <v>6.6666666666666666E-2</v>
      </c>
      <c r="O228" s="7">
        <f t="shared" si="35"/>
        <v>7.326007326007325E-2</v>
      </c>
    </row>
    <row r="229" spans="9:15" x14ac:dyDescent="0.15">
      <c r="I229" s="7">
        <f t="shared" si="37"/>
        <v>8</v>
      </c>
      <c r="J229" s="7">
        <f t="shared" si="38"/>
        <v>12</v>
      </c>
      <c r="K229" s="7">
        <f t="shared" si="39"/>
        <v>96</v>
      </c>
      <c r="L229" s="7">
        <f t="shared" si="32"/>
        <v>15.600000000000001</v>
      </c>
      <c r="M229" s="7">
        <f t="shared" si="33"/>
        <v>14.850000000000001</v>
      </c>
      <c r="N229" s="7">
        <f t="shared" si="34"/>
        <v>6.4102564102564097E-2</v>
      </c>
      <c r="O229" s="7">
        <f t="shared" si="35"/>
        <v>6.7340067340067339E-2</v>
      </c>
    </row>
    <row r="230" spans="9:15" x14ac:dyDescent="0.15">
      <c r="I230" s="7">
        <f t="shared" si="37"/>
        <v>9</v>
      </c>
      <c r="J230" s="7">
        <f t="shared" si="38"/>
        <v>12</v>
      </c>
      <c r="K230" s="7">
        <f t="shared" si="39"/>
        <v>108</v>
      </c>
      <c r="L230" s="7">
        <f t="shared" si="32"/>
        <v>16.200000000000003</v>
      </c>
      <c r="M230" s="7">
        <f t="shared" si="33"/>
        <v>16.05</v>
      </c>
      <c r="N230" s="7">
        <f t="shared" si="34"/>
        <v>6.1728395061728385E-2</v>
      </c>
      <c r="O230" s="7">
        <f t="shared" si="35"/>
        <v>6.2305295950155763E-2</v>
      </c>
    </row>
    <row r="231" spans="9:15" x14ac:dyDescent="0.15">
      <c r="I231" s="7">
        <f t="shared" si="37"/>
        <v>10</v>
      </c>
      <c r="J231" s="7">
        <f t="shared" si="38"/>
        <v>12</v>
      </c>
      <c r="K231" s="7">
        <f t="shared" si="39"/>
        <v>120</v>
      </c>
      <c r="L231" s="7">
        <f t="shared" si="32"/>
        <v>16.8</v>
      </c>
      <c r="M231" s="7">
        <f t="shared" si="33"/>
        <v>17.25</v>
      </c>
      <c r="N231" s="7">
        <f t="shared" si="34"/>
        <v>5.9523809523809521E-2</v>
      </c>
      <c r="O231" s="7">
        <f t="shared" si="35"/>
        <v>5.7971014492753624E-2</v>
      </c>
    </row>
    <row r="232" spans="9:15" x14ac:dyDescent="0.15">
      <c r="I232" s="7">
        <f t="shared" si="37"/>
        <v>11</v>
      </c>
      <c r="J232" s="7">
        <f t="shared" si="38"/>
        <v>12</v>
      </c>
      <c r="K232" s="7">
        <f t="shared" si="39"/>
        <v>132</v>
      </c>
      <c r="L232" s="7">
        <f t="shared" si="32"/>
        <v>17.400000000000002</v>
      </c>
      <c r="M232" s="7">
        <f t="shared" si="33"/>
        <v>18.450000000000003</v>
      </c>
      <c r="N232" s="7">
        <f t="shared" si="34"/>
        <v>5.7471264367816084E-2</v>
      </c>
      <c r="O232" s="7">
        <f t="shared" si="35"/>
        <v>5.4200542005420044E-2</v>
      </c>
    </row>
    <row r="233" spans="9:15" x14ac:dyDescent="0.15">
      <c r="I233" s="7">
        <f t="shared" si="37"/>
        <v>12</v>
      </c>
      <c r="J233" s="7">
        <f t="shared" si="38"/>
        <v>12</v>
      </c>
      <c r="K233" s="7">
        <f t="shared" si="39"/>
        <v>144</v>
      </c>
      <c r="L233" s="7">
        <f t="shared" si="32"/>
        <v>18</v>
      </c>
      <c r="M233" s="7">
        <f t="shared" si="33"/>
        <v>19.650000000000002</v>
      </c>
      <c r="N233" s="7">
        <f t="shared" si="34"/>
        <v>5.5555555555555552E-2</v>
      </c>
      <c r="O233" s="7">
        <f t="shared" si="35"/>
        <v>5.0890585241730277E-2</v>
      </c>
    </row>
    <row r="234" spans="9:15" x14ac:dyDescent="0.15">
      <c r="I234" s="7">
        <f t="shared" si="37"/>
        <v>13</v>
      </c>
      <c r="J234" s="7">
        <f t="shared" si="38"/>
        <v>12</v>
      </c>
      <c r="K234" s="7">
        <f t="shared" si="39"/>
        <v>156</v>
      </c>
      <c r="L234" s="7">
        <f t="shared" si="32"/>
        <v>18.600000000000001</v>
      </c>
      <c r="M234" s="7">
        <f t="shared" si="33"/>
        <v>20.85</v>
      </c>
      <c r="N234" s="7">
        <f t="shared" si="34"/>
        <v>5.3763440860215048E-2</v>
      </c>
      <c r="O234" s="7">
        <f t="shared" si="35"/>
        <v>4.7961630695443645E-2</v>
      </c>
    </row>
    <row r="235" spans="9:15" x14ac:dyDescent="0.15">
      <c r="I235" s="7">
        <f t="shared" si="37"/>
        <v>14</v>
      </c>
      <c r="J235" s="7">
        <f t="shared" si="38"/>
        <v>12</v>
      </c>
      <c r="K235" s="7">
        <f t="shared" si="39"/>
        <v>168</v>
      </c>
      <c r="L235" s="7">
        <f t="shared" si="32"/>
        <v>19.200000000000003</v>
      </c>
      <c r="M235" s="7">
        <f t="shared" si="33"/>
        <v>22.05</v>
      </c>
      <c r="N235" s="7">
        <f t="shared" si="34"/>
        <v>5.2083333333333329E-2</v>
      </c>
      <c r="O235" s="7">
        <f t="shared" si="35"/>
        <v>4.5351473922902494E-2</v>
      </c>
    </row>
    <row r="236" spans="9:15" x14ac:dyDescent="0.15">
      <c r="I236" s="7">
        <f t="shared" si="37"/>
        <v>15</v>
      </c>
      <c r="J236" s="7">
        <f t="shared" si="38"/>
        <v>12</v>
      </c>
      <c r="K236" s="7">
        <f t="shared" si="39"/>
        <v>180</v>
      </c>
      <c r="L236" s="7">
        <f t="shared" si="32"/>
        <v>19.8</v>
      </c>
      <c r="M236" s="7">
        <f t="shared" si="33"/>
        <v>23.25</v>
      </c>
      <c r="N236" s="7">
        <f t="shared" si="34"/>
        <v>5.0505050505050504E-2</v>
      </c>
      <c r="O236" s="7">
        <f t="shared" si="35"/>
        <v>4.3010752688172046E-2</v>
      </c>
    </row>
    <row r="237" spans="9:15" x14ac:dyDescent="0.15">
      <c r="I237" s="7">
        <f t="shared" si="37"/>
        <v>16</v>
      </c>
      <c r="J237" s="7">
        <f t="shared" si="38"/>
        <v>12</v>
      </c>
      <c r="K237" s="7">
        <f t="shared" si="39"/>
        <v>192</v>
      </c>
      <c r="L237" s="7">
        <f t="shared" si="32"/>
        <v>20.400000000000002</v>
      </c>
      <c r="M237" s="7">
        <f t="shared" si="33"/>
        <v>24.450000000000003</v>
      </c>
      <c r="N237" s="7">
        <f t="shared" si="34"/>
        <v>4.9019607843137247E-2</v>
      </c>
      <c r="O237" s="7">
        <f t="shared" si="35"/>
        <v>4.089979550102249E-2</v>
      </c>
    </row>
    <row r="238" spans="9:15" x14ac:dyDescent="0.15">
      <c r="I238" s="7">
        <f t="shared" si="37"/>
        <v>17</v>
      </c>
      <c r="J238" s="7">
        <f t="shared" si="38"/>
        <v>12</v>
      </c>
      <c r="K238" s="7">
        <f t="shared" si="39"/>
        <v>204</v>
      </c>
      <c r="L238" s="7">
        <f t="shared" si="32"/>
        <v>21</v>
      </c>
      <c r="M238" s="7">
        <f t="shared" si="33"/>
        <v>25.650000000000002</v>
      </c>
      <c r="N238" s="7">
        <f t="shared" si="34"/>
        <v>4.7619047619047616E-2</v>
      </c>
      <c r="O238" s="7">
        <f t="shared" si="35"/>
        <v>3.8986354775828458E-2</v>
      </c>
    </row>
    <row r="239" spans="9:15" x14ac:dyDescent="0.15">
      <c r="I239" s="7">
        <f t="shared" si="37"/>
        <v>18</v>
      </c>
      <c r="J239" s="7">
        <f t="shared" si="38"/>
        <v>12</v>
      </c>
      <c r="K239" s="7">
        <f t="shared" si="39"/>
        <v>216</v>
      </c>
      <c r="L239" s="7">
        <f t="shared" si="32"/>
        <v>21.6</v>
      </c>
      <c r="M239" s="7">
        <f t="shared" si="33"/>
        <v>26.85</v>
      </c>
      <c r="N239" s="7">
        <f t="shared" si="34"/>
        <v>4.6296296296296294E-2</v>
      </c>
      <c r="O239" s="7">
        <f t="shared" si="35"/>
        <v>3.7243947858472994E-2</v>
      </c>
    </row>
    <row r="240" spans="9:15" x14ac:dyDescent="0.15">
      <c r="I240" s="7">
        <f t="shared" si="37"/>
        <v>19</v>
      </c>
      <c r="J240" s="7">
        <f t="shared" si="38"/>
        <v>12</v>
      </c>
      <c r="K240" s="7">
        <f t="shared" si="39"/>
        <v>228</v>
      </c>
      <c r="L240" s="7">
        <f t="shared" si="32"/>
        <v>22.200000000000003</v>
      </c>
      <c r="M240" s="7">
        <f t="shared" si="33"/>
        <v>28.05</v>
      </c>
      <c r="N240" s="7">
        <f t="shared" si="34"/>
        <v>4.5045045045045036E-2</v>
      </c>
      <c r="O240" s="7">
        <f t="shared" si="35"/>
        <v>3.5650623885918005E-2</v>
      </c>
    </row>
    <row r="241" spans="9:15" x14ac:dyDescent="0.15">
      <c r="I241" s="7">
        <f t="shared" si="37"/>
        <v>20</v>
      </c>
      <c r="J241" s="7">
        <f t="shared" si="38"/>
        <v>12</v>
      </c>
      <c r="K241" s="7">
        <f t="shared" si="39"/>
        <v>240</v>
      </c>
      <c r="L241" s="7">
        <f t="shared" si="32"/>
        <v>22.8</v>
      </c>
      <c r="M241" s="7">
        <f t="shared" si="33"/>
        <v>29.25</v>
      </c>
      <c r="N241" s="7">
        <f t="shared" si="34"/>
        <v>4.3859649122807015E-2</v>
      </c>
      <c r="O241" s="7">
        <f t="shared" si="35"/>
        <v>3.4188034188034191E-2</v>
      </c>
    </row>
    <row r="242" spans="9:15" x14ac:dyDescent="0.15">
      <c r="I242" s="7">
        <f t="shared" si="37"/>
        <v>1</v>
      </c>
      <c r="J242" s="7">
        <f t="shared" si="38"/>
        <v>13</v>
      </c>
      <c r="K242" s="7">
        <f>J242</f>
        <v>13</v>
      </c>
      <c r="L242" s="7">
        <f t="shared" si="32"/>
        <v>12.350000000000001</v>
      </c>
      <c r="M242" s="7">
        <f t="shared" si="33"/>
        <v>6.95</v>
      </c>
      <c r="N242" s="7">
        <f t="shared" si="34"/>
        <v>8.0971659919028327E-2</v>
      </c>
      <c r="O242" s="7">
        <f t="shared" si="35"/>
        <v>0.14388489208633093</v>
      </c>
    </row>
    <row r="243" spans="9:15" x14ac:dyDescent="0.15">
      <c r="I243" s="7">
        <f t="shared" si="37"/>
        <v>2</v>
      </c>
      <c r="J243" s="7">
        <f t="shared" si="38"/>
        <v>13</v>
      </c>
      <c r="K243" s="7">
        <f>K242+J242</f>
        <v>26</v>
      </c>
      <c r="L243" s="7">
        <f t="shared" si="32"/>
        <v>13.000000000000002</v>
      </c>
      <c r="M243" s="7">
        <f t="shared" si="33"/>
        <v>8.25</v>
      </c>
      <c r="N243" s="7">
        <f t="shared" si="34"/>
        <v>7.6923076923076913E-2</v>
      </c>
      <c r="O243" s="7">
        <f t="shared" si="35"/>
        <v>0.12121212121212122</v>
      </c>
    </row>
    <row r="244" spans="9:15" x14ac:dyDescent="0.15">
      <c r="I244" s="7">
        <f t="shared" si="37"/>
        <v>3</v>
      </c>
      <c r="J244" s="7">
        <f t="shared" si="38"/>
        <v>13</v>
      </c>
      <c r="K244" s="7">
        <f t="shared" ref="K244:K261" si="40">K243+J243</f>
        <v>39</v>
      </c>
      <c r="L244" s="7">
        <f t="shared" si="32"/>
        <v>13.650000000000002</v>
      </c>
      <c r="M244" s="7">
        <f t="shared" si="33"/>
        <v>9.5500000000000007</v>
      </c>
      <c r="N244" s="7">
        <f t="shared" si="34"/>
        <v>7.326007326007325E-2</v>
      </c>
      <c r="O244" s="7">
        <f t="shared" si="35"/>
        <v>0.10471204188481674</v>
      </c>
    </row>
    <row r="245" spans="9:15" x14ac:dyDescent="0.15">
      <c r="I245" s="7">
        <f t="shared" si="37"/>
        <v>4</v>
      </c>
      <c r="J245" s="7">
        <f t="shared" si="38"/>
        <v>13</v>
      </c>
      <c r="K245" s="7">
        <f t="shared" si="40"/>
        <v>52</v>
      </c>
      <c r="L245" s="7">
        <f t="shared" si="32"/>
        <v>14.3</v>
      </c>
      <c r="M245" s="7">
        <f t="shared" si="33"/>
        <v>10.850000000000001</v>
      </c>
      <c r="N245" s="7">
        <f t="shared" si="34"/>
        <v>6.9930069930069921E-2</v>
      </c>
      <c r="O245" s="7">
        <f t="shared" si="35"/>
        <v>9.216589861751151E-2</v>
      </c>
    </row>
    <row r="246" spans="9:15" x14ac:dyDescent="0.15">
      <c r="I246" s="7">
        <f t="shared" si="37"/>
        <v>5</v>
      </c>
      <c r="J246" s="7">
        <f t="shared" si="38"/>
        <v>13</v>
      </c>
      <c r="K246" s="7">
        <f t="shared" si="40"/>
        <v>65</v>
      </c>
      <c r="L246" s="7">
        <f t="shared" si="32"/>
        <v>14.950000000000001</v>
      </c>
      <c r="M246" s="7">
        <f t="shared" si="33"/>
        <v>12.15</v>
      </c>
      <c r="N246" s="7">
        <f t="shared" si="34"/>
        <v>6.6889632107023408E-2</v>
      </c>
      <c r="O246" s="7">
        <f t="shared" si="35"/>
        <v>8.2304526748971193E-2</v>
      </c>
    </row>
    <row r="247" spans="9:15" x14ac:dyDescent="0.15">
      <c r="I247" s="7">
        <f t="shared" si="37"/>
        <v>6</v>
      </c>
      <c r="J247" s="7">
        <f t="shared" si="38"/>
        <v>13</v>
      </c>
      <c r="K247" s="7">
        <f t="shared" si="40"/>
        <v>78</v>
      </c>
      <c r="L247" s="7">
        <f t="shared" si="32"/>
        <v>15.600000000000001</v>
      </c>
      <c r="M247" s="7">
        <f t="shared" si="33"/>
        <v>13.450000000000001</v>
      </c>
      <c r="N247" s="7">
        <f t="shared" si="34"/>
        <v>6.4102564102564097E-2</v>
      </c>
      <c r="O247" s="7">
        <f t="shared" si="35"/>
        <v>7.4349442379182146E-2</v>
      </c>
    </row>
    <row r="248" spans="9:15" x14ac:dyDescent="0.15">
      <c r="I248" s="7">
        <f t="shared" si="37"/>
        <v>7</v>
      </c>
      <c r="J248" s="7">
        <f t="shared" si="38"/>
        <v>13</v>
      </c>
      <c r="K248" s="7">
        <f t="shared" si="40"/>
        <v>91</v>
      </c>
      <c r="L248" s="7">
        <f t="shared" si="32"/>
        <v>16.25</v>
      </c>
      <c r="M248" s="7">
        <f t="shared" si="33"/>
        <v>14.75</v>
      </c>
      <c r="N248" s="7">
        <f t="shared" si="34"/>
        <v>6.1538461538461542E-2</v>
      </c>
      <c r="O248" s="7">
        <f t="shared" si="35"/>
        <v>6.7796610169491525E-2</v>
      </c>
    </row>
    <row r="249" spans="9:15" x14ac:dyDescent="0.15">
      <c r="I249" s="7">
        <f t="shared" si="37"/>
        <v>8</v>
      </c>
      <c r="J249" s="7">
        <f t="shared" si="38"/>
        <v>13</v>
      </c>
      <c r="K249" s="7">
        <f t="shared" si="40"/>
        <v>104</v>
      </c>
      <c r="L249" s="7">
        <f t="shared" si="32"/>
        <v>16.900000000000002</v>
      </c>
      <c r="M249" s="7">
        <f t="shared" si="33"/>
        <v>16.05</v>
      </c>
      <c r="N249" s="7">
        <f t="shared" si="34"/>
        <v>5.9171597633136085E-2</v>
      </c>
      <c r="O249" s="7">
        <f t="shared" si="35"/>
        <v>6.2305295950155763E-2</v>
      </c>
    </row>
    <row r="250" spans="9:15" x14ac:dyDescent="0.15">
      <c r="I250" s="7">
        <f t="shared" si="37"/>
        <v>9</v>
      </c>
      <c r="J250" s="7">
        <f t="shared" si="38"/>
        <v>13</v>
      </c>
      <c r="K250" s="7">
        <f t="shared" si="40"/>
        <v>117</v>
      </c>
      <c r="L250" s="7">
        <f t="shared" si="32"/>
        <v>17.55</v>
      </c>
      <c r="M250" s="7">
        <f t="shared" si="33"/>
        <v>17.350000000000001</v>
      </c>
      <c r="N250" s="7">
        <f t="shared" si="34"/>
        <v>5.6980056980056981E-2</v>
      </c>
      <c r="O250" s="7">
        <f t="shared" si="35"/>
        <v>5.7636887608069162E-2</v>
      </c>
    </row>
    <row r="251" spans="9:15" x14ac:dyDescent="0.15">
      <c r="I251" s="7">
        <f t="shared" si="37"/>
        <v>10</v>
      </c>
      <c r="J251" s="7">
        <f t="shared" si="38"/>
        <v>13</v>
      </c>
      <c r="K251" s="7">
        <f t="shared" si="40"/>
        <v>130</v>
      </c>
      <c r="L251" s="7">
        <f t="shared" si="32"/>
        <v>18.200000000000003</v>
      </c>
      <c r="M251" s="7">
        <f t="shared" si="33"/>
        <v>18.649999999999999</v>
      </c>
      <c r="N251" s="7">
        <f t="shared" si="34"/>
        <v>5.4945054945054937E-2</v>
      </c>
      <c r="O251" s="7">
        <f t="shared" si="35"/>
        <v>5.3619302949061663E-2</v>
      </c>
    </row>
    <row r="252" spans="9:15" x14ac:dyDescent="0.15">
      <c r="I252" s="7">
        <f t="shared" si="37"/>
        <v>11</v>
      </c>
      <c r="J252" s="7">
        <f t="shared" si="38"/>
        <v>13</v>
      </c>
      <c r="K252" s="7">
        <f t="shared" si="40"/>
        <v>143</v>
      </c>
      <c r="L252" s="7">
        <f t="shared" si="32"/>
        <v>18.850000000000001</v>
      </c>
      <c r="M252" s="7">
        <f t="shared" si="33"/>
        <v>19.950000000000003</v>
      </c>
      <c r="N252" s="7">
        <f t="shared" si="34"/>
        <v>5.305039787798408E-2</v>
      </c>
      <c r="O252" s="7">
        <f t="shared" si="35"/>
        <v>5.012531328320801E-2</v>
      </c>
    </row>
    <row r="253" spans="9:15" x14ac:dyDescent="0.15">
      <c r="I253" s="7">
        <f t="shared" si="37"/>
        <v>12</v>
      </c>
      <c r="J253" s="7">
        <f t="shared" si="38"/>
        <v>13</v>
      </c>
      <c r="K253" s="7">
        <f t="shared" si="40"/>
        <v>156</v>
      </c>
      <c r="L253" s="7">
        <f t="shared" si="32"/>
        <v>19.5</v>
      </c>
      <c r="M253" s="7">
        <f t="shared" si="33"/>
        <v>21.25</v>
      </c>
      <c r="N253" s="7">
        <f t="shared" si="34"/>
        <v>5.128205128205128E-2</v>
      </c>
      <c r="O253" s="7">
        <f t="shared" si="35"/>
        <v>4.7058823529411764E-2</v>
      </c>
    </row>
    <row r="254" spans="9:15" x14ac:dyDescent="0.15">
      <c r="I254" s="7">
        <f t="shared" si="37"/>
        <v>13</v>
      </c>
      <c r="J254" s="7">
        <f t="shared" si="38"/>
        <v>13</v>
      </c>
      <c r="K254" s="7">
        <f t="shared" si="40"/>
        <v>169</v>
      </c>
      <c r="L254" s="7">
        <f t="shared" si="32"/>
        <v>20.150000000000002</v>
      </c>
      <c r="M254" s="7">
        <f t="shared" si="33"/>
        <v>22.550000000000004</v>
      </c>
      <c r="N254" s="7">
        <f t="shared" si="34"/>
        <v>4.9627791563275431E-2</v>
      </c>
      <c r="O254" s="7">
        <f t="shared" si="35"/>
        <v>4.4345898004434579E-2</v>
      </c>
    </row>
    <row r="255" spans="9:15" x14ac:dyDescent="0.15">
      <c r="I255" s="7">
        <f t="shared" si="37"/>
        <v>14</v>
      </c>
      <c r="J255" s="7">
        <f t="shared" si="38"/>
        <v>13</v>
      </c>
      <c r="K255" s="7">
        <f t="shared" si="40"/>
        <v>182</v>
      </c>
      <c r="L255" s="7">
        <f t="shared" si="32"/>
        <v>20.8</v>
      </c>
      <c r="M255" s="7">
        <f t="shared" si="33"/>
        <v>23.85</v>
      </c>
      <c r="N255" s="7">
        <f t="shared" si="34"/>
        <v>4.8076923076923073E-2</v>
      </c>
      <c r="O255" s="7">
        <f t="shared" si="35"/>
        <v>4.1928721174004188E-2</v>
      </c>
    </row>
    <row r="256" spans="9:15" x14ac:dyDescent="0.15">
      <c r="I256" s="7">
        <f t="shared" si="37"/>
        <v>15</v>
      </c>
      <c r="J256" s="7">
        <f t="shared" si="38"/>
        <v>13</v>
      </c>
      <c r="K256" s="7">
        <f t="shared" si="40"/>
        <v>195</v>
      </c>
      <c r="L256" s="7">
        <f t="shared" si="32"/>
        <v>21.450000000000003</v>
      </c>
      <c r="M256" s="7">
        <f t="shared" si="33"/>
        <v>25.15</v>
      </c>
      <c r="N256" s="7">
        <f t="shared" si="34"/>
        <v>4.6620046620046617E-2</v>
      </c>
      <c r="O256" s="7">
        <f t="shared" si="35"/>
        <v>3.9761431411530816E-2</v>
      </c>
    </row>
    <row r="257" spans="9:15" x14ac:dyDescent="0.15">
      <c r="I257" s="7">
        <f t="shared" si="37"/>
        <v>16</v>
      </c>
      <c r="J257" s="7">
        <f t="shared" si="38"/>
        <v>13</v>
      </c>
      <c r="K257" s="7">
        <f t="shared" si="40"/>
        <v>208</v>
      </c>
      <c r="L257" s="7">
        <f t="shared" si="32"/>
        <v>22.1</v>
      </c>
      <c r="M257" s="7">
        <f t="shared" si="33"/>
        <v>26.450000000000003</v>
      </c>
      <c r="N257" s="7">
        <f t="shared" si="34"/>
        <v>4.5248868778280542E-2</v>
      </c>
      <c r="O257" s="7">
        <f t="shared" si="35"/>
        <v>3.7807183364839313E-2</v>
      </c>
    </row>
    <row r="258" spans="9:15" x14ac:dyDescent="0.15">
      <c r="I258" s="7">
        <f t="shared" si="37"/>
        <v>17</v>
      </c>
      <c r="J258" s="7">
        <f t="shared" si="38"/>
        <v>13</v>
      </c>
      <c r="K258" s="7">
        <f t="shared" si="40"/>
        <v>221</v>
      </c>
      <c r="L258" s="7">
        <f t="shared" si="32"/>
        <v>22.75</v>
      </c>
      <c r="M258" s="7">
        <f t="shared" si="33"/>
        <v>27.75</v>
      </c>
      <c r="N258" s="7">
        <f t="shared" si="34"/>
        <v>4.3956043956043959E-2</v>
      </c>
      <c r="O258" s="7">
        <f t="shared" si="35"/>
        <v>3.6036036036036036E-2</v>
      </c>
    </row>
    <row r="259" spans="9:15" x14ac:dyDescent="0.15">
      <c r="I259" s="7">
        <f t="shared" si="37"/>
        <v>18</v>
      </c>
      <c r="J259" s="7">
        <f t="shared" si="38"/>
        <v>13</v>
      </c>
      <c r="K259" s="7">
        <f t="shared" si="40"/>
        <v>234</v>
      </c>
      <c r="L259" s="7">
        <f t="shared" ref="L259:L322" si="41">0.9*J259+0.05*K259</f>
        <v>23.400000000000002</v>
      </c>
      <c r="M259" s="7">
        <f t="shared" ref="M259:M322" si="42">0.45+0.4*J259+0.1*K259</f>
        <v>29.050000000000004</v>
      </c>
      <c r="N259" s="7">
        <f t="shared" ref="N259:N322" si="43">1/L259</f>
        <v>4.2735042735042729E-2</v>
      </c>
      <c r="O259" s="7">
        <f t="shared" ref="O259:O322" si="44">1/M259</f>
        <v>3.4423407917383818E-2</v>
      </c>
    </row>
    <row r="260" spans="9:15" x14ac:dyDescent="0.15">
      <c r="I260" s="7">
        <f t="shared" si="37"/>
        <v>19</v>
      </c>
      <c r="J260" s="7">
        <f t="shared" si="38"/>
        <v>13</v>
      </c>
      <c r="K260" s="7">
        <f t="shared" si="40"/>
        <v>247</v>
      </c>
      <c r="L260" s="7">
        <f t="shared" si="41"/>
        <v>24.050000000000004</v>
      </c>
      <c r="M260" s="7">
        <f t="shared" si="42"/>
        <v>30.35</v>
      </c>
      <c r="N260" s="7">
        <f t="shared" si="43"/>
        <v>4.1580041580041575E-2</v>
      </c>
      <c r="O260" s="7">
        <f t="shared" si="44"/>
        <v>3.2948929159802305E-2</v>
      </c>
    </row>
    <row r="261" spans="9:15" x14ac:dyDescent="0.15">
      <c r="I261" s="7">
        <f t="shared" si="37"/>
        <v>20</v>
      </c>
      <c r="J261" s="7">
        <f t="shared" si="38"/>
        <v>13</v>
      </c>
      <c r="K261" s="7">
        <f t="shared" si="40"/>
        <v>260</v>
      </c>
      <c r="L261" s="7">
        <f t="shared" si="41"/>
        <v>24.700000000000003</v>
      </c>
      <c r="M261" s="7">
        <f t="shared" si="42"/>
        <v>31.65</v>
      </c>
      <c r="N261" s="7">
        <f t="shared" si="43"/>
        <v>4.0485829959514164E-2</v>
      </c>
      <c r="O261" s="7">
        <f t="shared" si="44"/>
        <v>3.1595576619273306E-2</v>
      </c>
    </row>
    <row r="262" spans="9:15" x14ac:dyDescent="0.15">
      <c r="I262" s="7">
        <f t="shared" si="37"/>
        <v>1</v>
      </c>
      <c r="J262" s="7">
        <f t="shared" si="38"/>
        <v>14</v>
      </c>
      <c r="K262" s="7">
        <f>J262</f>
        <v>14</v>
      </c>
      <c r="L262" s="7">
        <f t="shared" si="41"/>
        <v>13.299999999999999</v>
      </c>
      <c r="M262" s="7">
        <f t="shared" si="42"/>
        <v>7.4500000000000011</v>
      </c>
      <c r="N262" s="7">
        <f t="shared" si="43"/>
        <v>7.518796992481204E-2</v>
      </c>
      <c r="O262" s="7">
        <f t="shared" si="44"/>
        <v>0.13422818791946306</v>
      </c>
    </row>
    <row r="263" spans="9:15" x14ac:dyDescent="0.15">
      <c r="I263" s="7">
        <f t="shared" si="37"/>
        <v>2</v>
      </c>
      <c r="J263" s="7">
        <f t="shared" si="38"/>
        <v>14</v>
      </c>
      <c r="K263" s="7">
        <f>K262+J262</f>
        <v>28</v>
      </c>
      <c r="L263" s="7">
        <f t="shared" si="41"/>
        <v>14</v>
      </c>
      <c r="M263" s="7">
        <f t="shared" si="42"/>
        <v>8.8500000000000014</v>
      </c>
      <c r="N263" s="7">
        <f t="shared" si="43"/>
        <v>7.1428571428571425E-2</v>
      </c>
      <c r="O263" s="7">
        <f t="shared" si="44"/>
        <v>0.11299435028248586</v>
      </c>
    </row>
    <row r="264" spans="9:15" x14ac:dyDescent="0.15">
      <c r="I264" s="7">
        <f t="shared" si="37"/>
        <v>3</v>
      </c>
      <c r="J264" s="7">
        <f t="shared" si="38"/>
        <v>14</v>
      </c>
      <c r="K264" s="7">
        <f t="shared" ref="K264:K281" si="45">K263+J263</f>
        <v>42</v>
      </c>
      <c r="L264" s="7">
        <f t="shared" si="41"/>
        <v>14.7</v>
      </c>
      <c r="M264" s="7">
        <f t="shared" si="42"/>
        <v>10.25</v>
      </c>
      <c r="N264" s="7">
        <f t="shared" si="43"/>
        <v>6.8027210884353748E-2</v>
      </c>
      <c r="O264" s="7">
        <f t="shared" si="44"/>
        <v>9.7560975609756101E-2</v>
      </c>
    </row>
    <row r="265" spans="9:15" x14ac:dyDescent="0.15">
      <c r="I265" s="7">
        <f t="shared" si="37"/>
        <v>4</v>
      </c>
      <c r="J265" s="7">
        <f t="shared" si="38"/>
        <v>14</v>
      </c>
      <c r="K265" s="7">
        <f t="shared" si="45"/>
        <v>56</v>
      </c>
      <c r="L265" s="7">
        <f t="shared" si="41"/>
        <v>15.4</v>
      </c>
      <c r="M265" s="7">
        <f t="shared" si="42"/>
        <v>11.650000000000002</v>
      </c>
      <c r="N265" s="7">
        <f t="shared" si="43"/>
        <v>6.4935064935064929E-2</v>
      </c>
      <c r="O265" s="7">
        <f t="shared" si="44"/>
        <v>8.5836909871244621E-2</v>
      </c>
    </row>
    <row r="266" spans="9:15" x14ac:dyDescent="0.15">
      <c r="I266" s="7">
        <f t="shared" si="37"/>
        <v>5</v>
      </c>
      <c r="J266" s="7">
        <f t="shared" si="38"/>
        <v>14</v>
      </c>
      <c r="K266" s="7">
        <f t="shared" si="45"/>
        <v>70</v>
      </c>
      <c r="L266" s="7">
        <f t="shared" si="41"/>
        <v>16.100000000000001</v>
      </c>
      <c r="M266" s="7">
        <f t="shared" si="42"/>
        <v>13.05</v>
      </c>
      <c r="N266" s="7">
        <f t="shared" si="43"/>
        <v>6.2111801242236017E-2</v>
      </c>
      <c r="O266" s="7">
        <f t="shared" si="44"/>
        <v>7.662835249042145E-2</v>
      </c>
    </row>
    <row r="267" spans="9:15" x14ac:dyDescent="0.15">
      <c r="I267" s="7">
        <f t="shared" si="37"/>
        <v>6</v>
      </c>
      <c r="J267" s="7">
        <f t="shared" si="38"/>
        <v>14</v>
      </c>
      <c r="K267" s="7">
        <f t="shared" si="45"/>
        <v>84</v>
      </c>
      <c r="L267" s="7">
        <f t="shared" si="41"/>
        <v>16.8</v>
      </c>
      <c r="M267" s="7">
        <f t="shared" si="42"/>
        <v>14.450000000000001</v>
      </c>
      <c r="N267" s="7">
        <f t="shared" si="43"/>
        <v>5.9523809523809521E-2</v>
      </c>
      <c r="O267" s="7">
        <f t="shared" si="44"/>
        <v>6.920415224913494E-2</v>
      </c>
    </row>
    <row r="268" spans="9:15" x14ac:dyDescent="0.15">
      <c r="I268" s="7">
        <f t="shared" si="37"/>
        <v>7</v>
      </c>
      <c r="J268" s="7">
        <f t="shared" si="38"/>
        <v>14</v>
      </c>
      <c r="K268" s="7">
        <f t="shared" si="45"/>
        <v>98</v>
      </c>
      <c r="L268" s="7">
        <f t="shared" si="41"/>
        <v>17.5</v>
      </c>
      <c r="M268" s="7">
        <f t="shared" si="42"/>
        <v>15.850000000000001</v>
      </c>
      <c r="N268" s="7">
        <f t="shared" si="43"/>
        <v>5.7142857142857141E-2</v>
      </c>
      <c r="O268" s="7">
        <f t="shared" si="44"/>
        <v>6.3091482649842268E-2</v>
      </c>
    </row>
    <row r="269" spans="9:15" x14ac:dyDescent="0.15">
      <c r="I269" s="7">
        <f t="shared" si="37"/>
        <v>8</v>
      </c>
      <c r="J269" s="7">
        <f t="shared" si="38"/>
        <v>14</v>
      </c>
      <c r="K269" s="7">
        <f t="shared" si="45"/>
        <v>112</v>
      </c>
      <c r="L269" s="7">
        <f t="shared" si="41"/>
        <v>18.2</v>
      </c>
      <c r="M269" s="7">
        <f t="shared" si="42"/>
        <v>17.25</v>
      </c>
      <c r="N269" s="7">
        <f t="shared" si="43"/>
        <v>5.4945054945054944E-2</v>
      </c>
      <c r="O269" s="7">
        <f t="shared" si="44"/>
        <v>5.7971014492753624E-2</v>
      </c>
    </row>
    <row r="270" spans="9:15" x14ac:dyDescent="0.15">
      <c r="I270" s="7">
        <f t="shared" si="37"/>
        <v>9</v>
      </c>
      <c r="J270" s="7">
        <f t="shared" si="38"/>
        <v>14</v>
      </c>
      <c r="K270" s="7">
        <f t="shared" si="45"/>
        <v>126</v>
      </c>
      <c r="L270" s="7">
        <f t="shared" si="41"/>
        <v>18.899999999999999</v>
      </c>
      <c r="M270" s="7">
        <f t="shared" si="42"/>
        <v>18.650000000000002</v>
      </c>
      <c r="N270" s="7">
        <f t="shared" si="43"/>
        <v>5.2910052910052914E-2</v>
      </c>
      <c r="O270" s="7">
        <f t="shared" si="44"/>
        <v>5.3619302949061656E-2</v>
      </c>
    </row>
    <row r="271" spans="9:15" x14ac:dyDescent="0.15">
      <c r="I271" s="7">
        <f t="shared" si="37"/>
        <v>10</v>
      </c>
      <c r="J271" s="7">
        <f t="shared" si="38"/>
        <v>14</v>
      </c>
      <c r="K271" s="7">
        <f t="shared" si="45"/>
        <v>140</v>
      </c>
      <c r="L271" s="7">
        <f t="shared" si="41"/>
        <v>19.600000000000001</v>
      </c>
      <c r="M271" s="7">
        <f t="shared" si="42"/>
        <v>20.05</v>
      </c>
      <c r="N271" s="7">
        <f t="shared" si="43"/>
        <v>5.10204081632653E-2</v>
      </c>
      <c r="O271" s="7">
        <f t="shared" si="44"/>
        <v>4.987531172069825E-2</v>
      </c>
    </row>
    <row r="272" spans="9:15" x14ac:dyDescent="0.15">
      <c r="I272" s="7">
        <f t="shared" si="37"/>
        <v>11</v>
      </c>
      <c r="J272" s="7">
        <f t="shared" si="38"/>
        <v>14</v>
      </c>
      <c r="K272" s="7">
        <f t="shared" si="45"/>
        <v>154</v>
      </c>
      <c r="L272" s="7">
        <f t="shared" si="41"/>
        <v>20.3</v>
      </c>
      <c r="M272" s="7">
        <f t="shared" si="42"/>
        <v>21.450000000000003</v>
      </c>
      <c r="N272" s="7">
        <f t="shared" si="43"/>
        <v>4.926108374384236E-2</v>
      </c>
      <c r="O272" s="7">
        <f t="shared" si="44"/>
        <v>4.6620046620046617E-2</v>
      </c>
    </row>
    <row r="273" spans="9:15" x14ac:dyDescent="0.15">
      <c r="I273" s="7">
        <f t="shared" si="37"/>
        <v>12</v>
      </c>
      <c r="J273" s="7">
        <f t="shared" si="38"/>
        <v>14</v>
      </c>
      <c r="K273" s="7">
        <f t="shared" si="45"/>
        <v>168</v>
      </c>
      <c r="L273" s="7">
        <f t="shared" si="41"/>
        <v>21</v>
      </c>
      <c r="M273" s="7">
        <f t="shared" si="42"/>
        <v>22.85</v>
      </c>
      <c r="N273" s="7">
        <f t="shared" si="43"/>
        <v>4.7619047619047616E-2</v>
      </c>
      <c r="O273" s="7">
        <f t="shared" si="44"/>
        <v>4.3763676148796497E-2</v>
      </c>
    </row>
    <row r="274" spans="9:15" x14ac:dyDescent="0.15">
      <c r="I274" s="7">
        <f t="shared" si="37"/>
        <v>13</v>
      </c>
      <c r="J274" s="7">
        <f t="shared" si="38"/>
        <v>14</v>
      </c>
      <c r="K274" s="7">
        <f t="shared" si="45"/>
        <v>182</v>
      </c>
      <c r="L274" s="7">
        <f t="shared" si="41"/>
        <v>21.7</v>
      </c>
      <c r="M274" s="7">
        <f t="shared" si="42"/>
        <v>24.25</v>
      </c>
      <c r="N274" s="7">
        <f t="shared" si="43"/>
        <v>4.6082949308755762E-2</v>
      </c>
      <c r="O274" s="7">
        <f t="shared" si="44"/>
        <v>4.1237113402061855E-2</v>
      </c>
    </row>
    <row r="275" spans="9:15" x14ac:dyDescent="0.15">
      <c r="I275" s="7">
        <f t="shared" si="37"/>
        <v>14</v>
      </c>
      <c r="J275" s="7">
        <f t="shared" si="38"/>
        <v>14</v>
      </c>
      <c r="K275" s="7">
        <f t="shared" si="45"/>
        <v>196</v>
      </c>
      <c r="L275" s="7">
        <f t="shared" si="41"/>
        <v>22.4</v>
      </c>
      <c r="M275" s="7">
        <f t="shared" si="42"/>
        <v>25.650000000000002</v>
      </c>
      <c r="N275" s="7">
        <f t="shared" si="43"/>
        <v>4.4642857142857144E-2</v>
      </c>
      <c r="O275" s="7">
        <f t="shared" si="44"/>
        <v>3.8986354775828458E-2</v>
      </c>
    </row>
    <row r="276" spans="9:15" x14ac:dyDescent="0.15">
      <c r="I276" s="7">
        <f t="shared" si="37"/>
        <v>15</v>
      </c>
      <c r="J276" s="7">
        <f t="shared" si="38"/>
        <v>14</v>
      </c>
      <c r="K276" s="7">
        <f t="shared" si="45"/>
        <v>210</v>
      </c>
      <c r="L276" s="7">
        <f t="shared" si="41"/>
        <v>23.1</v>
      </c>
      <c r="M276" s="7">
        <f t="shared" si="42"/>
        <v>27.05</v>
      </c>
      <c r="N276" s="7">
        <f t="shared" si="43"/>
        <v>4.3290043290043288E-2</v>
      </c>
      <c r="O276" s="7">
        <f t="shared" si="44"/>
        <v>3.6968576709796669E-2</v>
      </c>
    </row>
    <row r="277" spans="9:15" x14ac:dyDescent="0.15">
      <c r="I277" s="7">
        <f t="shared" si="37"/>
        <v>16</v>
      </c>
      <c r="J277" s="7">
        <f t="shared" si="38"/>
        <v>14</v>
      </c>
      <c r="K277" s="7">
        <f t="shared" si="45"/>
        <v>224</v>
      </c>
      <c r="L277" s="7">
        <f t="shared" si="41"/>
        <v>23.8</v>
      </c>
      <c r="M277" s="7">
        <f t="shared" si="42"/>
        <v>28.450000000000003</v>
      </c>
      <c r="N277" s="7">
        <f t="shared" si="43"/>
        <v>4.2016806722689072E-2</v>
      </c>
      <c r="O277" s="7">
        <f t="shared" si="44"/>
        <v>3.5149384885764495E-2</v>
      </c>
    </row>
    <row r="278" spans="9:15" x14ac:dyDescent="0.15">
      <c r="I278" s="7">
        <f t="shared" si="37"/>
        <v>17</v>
      </c>
      <c r="J278" s="7">
        <f t="shared" si="38"/>
        <v>14</v>
      </c>
      <c r="K278" s="7">
        <f t="shared" si="45"/>
        <v>238</v>
      </c>
      <c r="L278" s="7">
        <f t="shared" si="41"/>
        <v>24.5</v>
      </c>
      <c r="M278" s="7">
        <f t="shared" si="42"/>
        <v>29.85</v>
      </c>
      <c r="N278" s="7">
        <f t="shared" si="43"/>
        <v>4.0816326530612242E-2</v>
      </c>
      <c r="O278" s="7">
        <f t="shared" si="44"/>
        <v>3.350083752093802E-2</v>
      </c>
    </row>
    <row r="279" spans="9:15" x14ac:dyDescent="0.15">
      <c r="I279" s="7">
        <f t="shared" ref="I279:I342" si="46">I259</f>
        <v>18</v>
      </c>
      <c r="J279" s="7">
        <f t="shared" ref="J279:J342" si="47">J259+1</f>
        <v>14</v>
      </c>
      <c r="K279" s="7">
        <f t="shared" si="45"/>
        <v>252</v>
      </c>
      <c r="L279" s="7">
        <f t="shared" si="41"/>
        <v>25.200000000000003</v>
      </c>
      <c r="M279" s="7">
        <f t="shared" si="42"/>
        <v>31.250000000000004</v>
      </c>
      <c r="N279" s="7">
        <f t="shared" si="43"/>
        <v>3.968253968253968E-2</v>
      </c>
      <c r="O279" s="7">
        <f t="shared" si="44"/>
        <v>3.1999999999999994E-2</v>
      </c>
    </row>
    <row r="280" spans="9:15" x14ac:dyDescent="0.15">
      <c r="I280" s="7">
        <f t="shared" si="46"/>
        <v>19</v>
      </c>
      <c r="J280" s="7">
        <f t="shared" si="47"/>
        <v>14</v>
      </c>
      <c r="K280" s="7">
        <f t="shared" si="45"/>
        <v>266</v>
      </c>
      <c r="L280" s="7">
        <f t="shared" si="41"/>
        <v>25.9</v>
      </c>
      <c r="M280" s="7">
        <f t="shared" si="42"/>
        <v>32.650000000000006</v>
      </c>
      <c r="N280" s="7">
        <f t="shared" si="43"/>
        <v>3.8610038610038609E-2</v>
      </c>
      <c r="O280" s="7">
        <f t="shared" si="44"/>
        <v>3.0627871362940269E-2</v>
      </c>
    </row>
    <row r="281" spans="9:15" x14ac:dyDescent="0.15">
      <c r="I281" s="7">
        <f t="shared" si="46"/>
        <v>20</v>
      </c>
      <c r="J281" s="7">
        <f t="shared" si="47"/>
        <v>14</v>
      </c>
      <c r="K281" s="7">
        <f t="shared" si="45"/>
        <v>280</v>
      </c>
      <c r="L281" s="7">
        <f t="shared" si="41"/>
        <v>26.6</v>
      </c>
      <c r="M281" s="7">
        <f t="shared" si="42"/>
        <v>34.049999999999997</v>
      </c>
      <c r="N281" s="7">
        <f t="shared" si="43"/>
        <v>3.7593984962406013E-2</v>
      </c>
      <c r="O281" s="7">
        <f t="shared" si="44"/>
        <v>2.9368575624082235E-2</v>
      </c>
    </row>
    <row r="282" spans="9:15" x14ac:dyDescent="0.15">
      <c r="I282" s="7">
        <f t="shared" si="46"/>
        <v>1</v>
      </c>
      <c r="J282" s="7">
        <f t="shared" si="47"/>
        <v>15</v>
      </c>
      <c r="K282" s="7">
        <f>J282</f>
        <v>15</v>
      </c>
      <c r="L282" s="7">
        <f t="shared" si="41"/>
        <v>14.25</v>
      </c>
      <c r="M282" s="7">
        <f t="shared" si="42"/>
        <v>7.95</v>
      </c>
      <c r="N282" s="7">
        <f t="shared" si="43"/>
        <v>7.0175438596491224E-2</v>
      </c>
      <c r="O282" s="7">
        <f t="shared" si="44"/>
        <v>0.12578616352201258</v>
      </c>
    </row>
    <row r="283" spans="9:15" x14ac:dyDescent="0.15">
      <c r="I283" s="7">
        <f t="shared" si="46"/>
        <v>2</v>
      </c>
      <c r="J283" s="7">
        <f t="shared" si="47"/>
        <v>15</v>
      </c>
      <c r="K283" s="7">
        <f>K282+J282</f>
        <v>30</v>
      </c>
      <c r="L283" s="7">
        <f t="shared" si="41"/>
        <v>15</v>
      </c>
      <c r="M283" s="7">
        <f t="shared" si="42"/>
        <v>9.4499999999999993</v>
      </c>
      <c r="N283" s="7">
        <f t="shared" si="43"/>
        <v>6.6666666666666666E-2</v>
      </c>
      <c r="O283" s="7">
        <f t="shared" si="44"/>
        <v>0.10582010582010583</v>
      </c>
    </row>
    <row r="284" spans="9:15" x14ac:dyDescent="0.15">
      <c r="I284" s="7">
        <f t="shared" si="46"/>
        <v>3</v>
      </c>
      <c r="J284" s="7">
        <f t="shared" si="47"/>
        <v>15</v>
      </c>
      <c r="K284" s="7">
        <f t="shared" ref="K284:K301" si="48">K283+J283</f>
        <v>45</v>
      </c>
      <c r="L284" s="7">
        <f t="shared" si="41"/>
        <v>15.75</v>
      </c>
      <c r="M284" s="7">
        <f t="shared" si="42"/>
        <v>10.95</v>
      </c>
      <c r="N284" s="7">
        <f t="shared" si="43"/>
        <v>6.3492063492063489E-2</v>
      </c>
      <c r="O284" s="7">
        <f t="shared" si="44"/>
        <v>9.1324200913242018E-2</v>
      </c>
    </row>
    <row r="285" spans="9:15" x14ac:dyDescent="0.15">
      <c r="I285" s="7">
        <f t="shared" si="46"/>
        <v>4</v>
      </c>
      <c r="J285" s="7">
        <f t="shared" si="47"/>
        <v>15</v>
      </c>
      <c r="K285" s="7">
        <f t="shared" si="48"/>
        <v>60</v>
      </c>
      <c r="L285" s="7">
        <f t="shared" si="41"/>
        <v>16.5</v>
      </c>
      <c r="M285" s="7">
        <f t="shared" si="42"/>
        <v>12.45</v>
      </c>
      <c r="N285" s="7">
        <f t="shared" si="43"/>
        <v>6.0606060606060608E-2</v>
      </c>
      <c r="O285" s="7">
        <f t="shared" si="44"/>
        <v>8.0321285140562249E-2</v>
      </c>
    </row>
    <row r="286" spans="9:15" x14ac:dyDescent="0.15">
      <c r="I286" s="7">
        <f t="shared" si="46"/>
        <v>5</v>
      </c>
      <c r="J286" s="7">
        <f t="shared" si="47"/>
        <v>15</v>
      </c>
      <c r="K286" s="7">
        <f t="shared" si="48"/>
        <v>75</v>
      </c>
      <c r="L286" s="7">
        <f t="shared" si="41"/>
        <v>17.25</v>
      </c>
      <c r="M286" s="7">
        <f t="shared" si="42"/>
        <v>13.95</v>
      </c>
      <c r="N286" s="7">
        <f t="shared" si="43"/>
        <v>5.7971014492753624E-2</v>
      </c>
      <c r="O286" s="7">
        <f t="shared" si="44"/>
        <v>7.1684587813620082E-2</v>
      </c>
    </row>
    <row r="287" spans="9:15" x14ac:dyDescent="0.15">
      <c r="I287" s="7">
        <f t="shared" si="46"/>
        <v>6</v>
      </c>
      <c r="J287" s="7">
        <f t="shared" si="47"/>
        <v>15</v>
      </c>
      <c r="K287" s="7">
        <f t="shared" si="48"/>
        <v>90</v>
      </c>
      <c r="L287" s="7">
        <f t="shared" si="41"/>
        <v>18</v>
      </c>
      <c r="M287" s="7">
        <f t="shared" si="42"/>
        <v>15.45</v>
      </c>
      <c r="N287" s="7">
        <f t="shared" si="43"/>
        <v>5.5555555555555552E-2</v>
      </c>
      <c r="O287" s="7">
        <f t="shared" si="44"/>
        <v>6.4724919093851141E-2</v>
      </c>
    </row>
    <row r="288" spans="9:15" x14ac:dyDescent="0.15">
      <c r="I288" s="7">
        <f t="shared" si="46"/>
        <v>7</v>
      </c>
      <c r="J288" s="7">
        <f t="shared" si="47"/>
        <v>15</v>
      </c>
      <c r="K288" s="7">
        <f t="shared" si="48"/>
        <v>105</v>
      </c>
      <c r="L288" s="7">
        <f t="shared" si="41"/>
        <v>18.75</v>
      </c>
      <c r="M288" s="7">
        <f t="shared" si="42"/>
        <v>16.95</v>
      </c>
      <c r="N288" s="7">
        <f t="shared" si="43"/>
        <v>5.3333333333333337E-2</v>
      </c>
      <c r="O288" s="7">
        <f t="shared" si="44"/>
        <v>5.8997050147492625E-2</v>
      </c>
    </row>
    <row r="289" spans="9:15" x14ac:dyDescent="0.15">
      <c r="I289" s="7">
        <f t="shared" si="46"/>
        <v>8</v>
      </c>
      <c r="J289" s="7">
        <f t="shared" si="47"/>
        <v>15</v>
      </c>
      <c r="K289" s="7">
        <f t="shared" si="48"/>
        <v>120</v>
      </c>
      <c r="L289" s="7">
        <f t="shared" si="41"/>
        <v>19.5</v>
      </c>
      <c r="M289" s="7">
        <f t="shared" si="42"/>
        <v>18.45</v>
      </c>
      <c r="N289" s="7">
        <f t="shared" si="43"/>
        <v>5.128205128205128E-2</v>
      </c>
      <c r="O289" s="7">
        <f t="shared" si="44"/>
        <v>5.4200542005420058E-2</v>
      </c>
    </row>
    <row r="290" spans="9:15" x14ac:dyDescent="0.15">
      <c r="I290" s="7">
        <f t="shared" si="46"/>
        <v>9</v>
      </c>
      <c r="J290" s="7">
        <f t="shared" si="47"/>
        <v>15</v>
      </c>
      <c r="K290" s="7">
        <f t="shared" si="48"/>
        <v>135</v>
      </c>
      <c r="L290" s="7">
        <f t="shared" si="41"/>
        <v>20.25</v>
      </c>
      <c r="M290" s="7">
        <f t="shared" si="42"/>
        <v>19.95</v>
      </c>
      <c r="N290" s="7">
        <f t="shared" si="43"/>
        <v>4.9382716049382713E-2</v>
      </c>
      <c r="O290" s="7">
        <f t="shared" si="44"/>
        <v>5.0125313283208024E-2</v>
      </c>
    </row>
    <row r="291" spans="9:15" x14ac:dyDescent="0.15">
      <c r="I291" s="7">
        <f t="shared" si="46"/>
        <v>10</v>
      </c>
      <c r="J291" s="7">
        <f t="shared" si="47"/>
        <v>15</v>
      </c>
      <c r="K291" s="7">
        <f t="shared" si="48"/>
        <v>150</v>
      </c>
      <c r="L291" s="7">
        <f t="shared" si="41"/>
        <v>21</v>
      </c>
      <c r="M291" s="7">
        <f t="shared" si="42"/>
        <v>21.45</v>
      </c>
      <c r="N291" s="7">
        <f t="shared" si="43"/>
        <v>4.7619047619047616E-2</v>
      </c>
      <c r="O291" s="7">
        <f t="shared" si="44"/>
        <v>4.6620046620046623E-2</v>
      </c>
    </row>
    <row r="292" spans="9:15" x14ac:dyDescent="0.15">
      <c r="I292" s="7">
        <f t="shared" si="46"/>
        <v>11</v>
      </c>
      <c r="J292" s="7">
        <f t="shared" si="47"/>
        <v>15</v>
      </c>
      <c r="K292" s="7">
        <f t="shared" si="48"/>
        <v>165</v>
      </c>
      <c r="L292" s="7">
        <f t="shared" si="41"/>
        <v>21.75</v>
      </c>
      <c r="M292" s="7">
        <f t="shared" si="42"/>
        <v>22.95</v>
      </c>
      <c r="N292" s="7">
        <f t="shared" si="43"/>
        <v>4.5977011494252873E-2</v>
      </c>
      <c r="O292" s="7">
        <f t="shared" si="44"/>
        <v>4.357298474945534E-2</v>
      </c>
    </row>
    <row r="293" spans="9:15" x14ac:dyDescent="0.15">
      <c r="I293" s="7">
        <f t="shared" si="46"/>
        <v>12</v>
      </c>
      <c r="J293" s="7">
        <f t="shared" si="47"/>
        <v>15</v>
      </c>
      <c r="K293" s="7">
        <f t="shared" si="48"/>
        <v>180</v>
      </c>
      <c r="L293" s="7">
        <f t="shared" si="41"/>
        <v>22.5</v>
      </c>
      <c r="M293" s="7">
        <f t="shared" si="42"/>
        <v>24.45</v>
      </c>
      <c r="N293" s="7">
        <f t="shared" si="43"/>
        <v>4.4444444444444446E-2</v>
      </c>
      <c r="O293" s="7">
        <f t="shared" si="44"/>
        <v>4.0899795501022497E-2</v>
      </c>
    </row>
    <row r="294" spans="9:15" x14ac:dyDescent="0.15">
      <c r="I294" s="7">
        <f t="shared" si="46"/>
        <v>13</v>
      </c>
      <c r="J294" s="7">
        <f t="shared" si="47"/>
        <v>15</v>
      </c>
      <c r="K294" s="7">
        <f t="shared" si="48"/>
        <v>195</v>
      </c>
      <c r="L294" s="7">
        <f t="shared" si="41"/>
        <v>23.25</v>
      </c>
      <c r="M294" s="7">
        <f t="shared" si="42"/>
        <v>25.95</v>
      </c>
      <c r="N294" s="7">
        <f t="shared" si="43"/>
        <v>4.3010752688172046E-2</v>
      </c>
      <c r="O294" s="7">
        <f t="shared" si="44"/>
        <v>3.8535645472061661E-2</v>
      </c>
    </row>
    <row r="295" spans="9:15" x14ac:dyDescent="0.15">
      <c r="I295" s="7">
        <f t="shared" si="46"/>
        <v>14</v>
      </c>
      <c r="J295" s="7">
        <f t="shared" si="47"/>
        <v>15</v>
      </c>
      <c r="K295" s="7">
        <f t="shared" si="48"/>
        <v>210</v>
      </c>
      <c r="L295" s="7">
        <f t="shared" si="41"/>
        <v>24</v>
      </c>
      <c r="M295" s="7">
        <f t="shared" si="42"/>
        <v>27.45</v>
      </c>
      <c r="N295" s="7">
        <f t="shared" si="43"/>
        <v>4.1666666666666664E-2</v>
      </c>
      <c r="O295" s="7">
        <f t="shared" si="44"/>
        <v>3.6429872495446269E-2</v>
      </c>
    </row>
    <row r="296" spans="9:15" x14ac:dyDescent="0.15">
      <c r="I296" s="7">
        <f t="shared" si="46"/>
        <v>15</v>
      </c>
      <c r="J296" s="7">
        <f t="shared" si="47"/>
        <v>15</v>
      </c>
      <c r="K296" s="7">
        <f t="shared" si="48"/>
        <v>225</v>
      </c>
      <c r="L296" s="7">
        <f t="shared" si="41"/>
        <v>24.75</v>
      </c>
      <c r="M296" s="7">
        <f t="shared" si="42"/>
        <v>28.95</v>
      </c>
      <c r="N296" s="7">
        <f t="shared" si="43"/>
        <v>4.0404040404040407E-2</v>
      </c>
      <c r="O296" s="7">
        <f t="shared" si="44"/>
        <v>3.4542314335060449E-2</v>
      </c>
    </row>
    <row r="297" spans="9:15" x14ac:dyDescent="0.15">
      <c r="I297" s="7">
        <f t="shared" si="46"/>
        <v>16</v>
      </c>
      <c r="J297" s="7">
        <f t="shared" si="47"/>
        <v>15</v>
      </c>
      <c r="K297" s="7">
        <f t="shared" si="48"/>
        <v>240</v>
      </c>
      <c r="L297" s="7">
        <f t="shared" si="41"/>
        <v>25.5</v>
      </c>
      <c r="M297" s="7">
        <f t="shared" si="42"/>
        <v>30.45</v>
      </c>
      <c r="N297" s="7">
        <f t="shared" si="43"/>
        <v>3.9215686274509803E-2</v>
      </c>
      <c r="O297" s="7">
        <f t="shared" si="44"/>
        <v>3.2840722495894911E-2</v>
      </c>
    </row>
    <row r="298" spans="9:15" x14ac:dyDescent="0.15">
      <c r="I298" s="7">
        <f t="shared" si="46"/>
        <v>17</v>
      </c>
      <c r="J298" s="7">
        <f t="shared" si="47"/>
        <v>15</v>
      </c>
      <c r="K298" s="7">
        <f t="shared" si="48"/>
        <v>255</v>
      </c>
      <c r="L298" s="7">
        <f t="shared" si="41"/>
        <v>26.25</v>
      </c>
      <c r="M298" s="7">
        <f t="shared" si="42"/>
        <v>31.95</v>
      </c>
      <c r="N298" s="7">
        <f t="shared" si="43"/>
        <v>3.8095238095238099E-2</v>
      </c>
      <c r="O298" s="7">
        <f t="shared" si="44"/>
        <v>3.1298904538341159E-2</v>
      </c>
    </row>
    <row r="299" spans="9:15" x14ac:dyDescent="0.15">
      <c r="I299" s="7">
        <f t="shared" si="46"/>
        <v>18</v>
      </c>
      <c r="J299" s="7">
        <f t="shared" si="47"/>
        <v>15</v>
      </c>
      <c r="K299" s="7">
        <f t="shared" si="48"/>
        <v>270</v>
      </c>
      <c r="L299" s="7">
        <f t="shared" si="41"/>
        <v>27</v>
      </c>
      <c r="M299" s="7">
        <f t="shared" si="42"/>
        <v>33.450000000000003</v>
      </c>
      <c r="N299" s="7">
        <f t="shared" si="43"/>
        <v>3.7037037037037035E-2</v>
      </c>
      <c r="O299" s="7">
        <f t="shared" si="44"/>
        <v>2.9895366218236172E-2</v>
      </c>
    </row>
    <row r="300" spans="9:15" x14ac:dyDescent="0.15">
      <c r="I300" s="7">
        <f t="shared" si="46"/>
        <v>19</v>
      </c>
      <c r="J300" s="7">
        <f t="shared" si="47"/>
        <v>15</v>
      </c>
      <c r="K300" s="7">
        <f t="shared" si="48"/>
        <v>285</v>
      </c>
      <c r="L300" s="7">
        <f t="shared" si="41"/>
        <v>27.75</v>
      </c>
      <c r="M300" s="7">
        <f t="shared" si="42"/>
        <v>34.950000000000003</v>
      </c>
      <c r="N300" s="7">
        <f t="shared" si="43"/>
        <v>3.6036036036036036E-2</v>
      </c>
      <c r="O300" s="7">
        <f t="shared" si="44"/>
        <v>2.8612303290414875E-2</v>
      </c>
    </row>
    <row r="301" spans="9:15" x14ac:dyDescent="0.15">
      <c r="I301" s="7">
        <f t="shared" si="46"/>
        <v>20</v>
      </c>
      <c r="J301" s="7">
        <f t="shared" si="47"/>
        <v>15</v>
      </c>
      <c r="K301" s="7">
        <f t="shared" si="48"/>
        <v>300</v>
      </c>
      <c r="L301" s="7">
        <f t="shared" si="41"/>
        <v>28.5</v>
      </c>
      <c r="M301" s="7">
        <f t="shared" si="42"/>
        <v>36.450000000000003</v>
      </c>
      <c r="N301" s="7">
        <f t="shared" si="43"/>
        <v>3.5087719298245612E-2</v>
      </c>
      <c r="O301" s="7">
        <f t="shared" si="44"/>
        <v>2.7434842249657063E-2</v>
      </c>
    </row>
    <row r="302" spans="9:15" x14ac:dyDescent="0.15">
      <c r="I302" s="7">
        <f t="shared" si="46"/>
        <v>1</v>
      </c>
      <c r="J302" s="7">
        <f t="shared" si="47"/>
        <v>16</v>
      </c>
      <c r="K302" s="7">
        <f>J302</f>
        <v>16</v>
      </c>
      <c r="L302" s="7">
        <f t="shared" si="41"/>
        <v>15.200000000000001</v>
      </c>
      <c r="M302" s="7">
        <f t="shared" si="42"/>
        <v>8.4500000000000011</v>
      </c>
      <c r="N302" s="7">
        <f t="shared" si="43"/>
        <v>6.5789473684210523E-2</v>
      </c>
      <c r="O302" s="7">
        <f t="shared" si="44"/>
        <v>0.11834319526627217</v>
      </c>
    </row>
    <row r="303" spans="9:15" x14ac:dyDescent="0.15">
      <c r="I303" s="7">
        <f t="shared" si="46"/>
        <v>2</v>
      </c>
      <c r="J303" s="7">
        <f t="shared" si="47"/>
        <v>16</v>
      </c>
      <c r="K303" s="7">
        <f>K302+J302</f>
        <v>32</v>
      </c>
      <c r="L303" s="7">
        <f t="shared" si="41"/>
        <v>16</v>
      </c>
      <c r="M303" s="7">
        <f t="shared" si="42"/>
        <v>10.050000000000001</v>
      </c>
      <c r="N303" s="7">
        <f t="shared" si="43"/>
        <v>6.25E-2</v>
      </c>
      <c r="O303" s="7">
        <f t="shared" si="44"/>
        <v>9.9502487562189046E-2</v>
      </c>
    </row>
    <row r="304" spans="9:15" x14ac:dyDescent="0.15">
      <c r="I304" s="7">
        <f t="shared" si="46"/>
        <v>3</v>
      </c>
      <c r="J304" s="7">
        <f t="shared" si="47"/>
        <v>16</v>
      </c>
      <c r="K304" s="7">
        <f t="shared" ref="K304:K321" si="49">K303+J303</f>
        <v>48</v>
      </c>
      <c r="L304" s="7">
        <f t="shared" si="41"/>
        <v>16.8</v>
      </c>
      <c r="M304" s="7">
        <f t="shared" si="42"/>
        <v>11.650000000000002</v>
      </c>
      <c r="N304" s="7">
        <f t="shared" si="43"/>
        <v>5.9523809523809521E-2</v>
      </c>
      <c r="O304" s="7">
        <f t="shared" si="44"/>
        <v>8.5836909871244621E-2</v>
      </c>
    </row>
    <row r="305" spans="9:15" x14ac:dyDescent="0.15">
      <c r="I305" s="7">
        <f t="shared" si="46"/>
        <v>4</v>
      </c>
      <c r="J305" s="7">
        <f t="shared" si="47"/>
        <v>16</v>
      </c>
      <c r="K305" s="7">
        <f t="shared" si="49"/>
        <v>64</v>
      </c>
      <c r="L305" s="7">
        <f t="shared" si="41"/>
        <v>17.600000000000001</v>
      </c>
      <c r="M305" s="7">
        <f t="shared" si="42"/>
        <v>13.25</v>
      </c>
      <c r="N305" s="7">
        <f t="shared" si="43"/>
        <v>5.6818181818181816E-2</v>
      </c>
      <c r="O305" s="7">
        <f t="shared" si="44"/>
        <v>7.5471698113207544E-2</v>
      </c>
    </row>
    <row r="306" spans="9:15" x14ac:dyDescent="0.15">
      <c r="I306" s="7">
        <f t="shared" si="46"/>
        <v>5</v>
      </c>
      <c r="J306" s="7">
        <f t="shared" si="47"/>
        <v>16</v>
      </c>
      <c r="K306" s="7">
        <f t="shared" si="49"/>
        <v>80</v>
      </c>
      <c r="L306" s="7">
        <f t="shared" si="41"/>
        <v>18.399999999999999</v>
      </c>
      <c r="M306" s="7">
        <f t="shared" si="42"/>
        <v>14.850000000000001</v>
      </c>
      <c r="N306" s="7">
        <f t="shared" si="43"/>
        <v>5.4347826086956527E-2</v>
      </c>
      <c r="O306" s="7">
        <f t="shared" si="44"/>
        <v>6.7340067340067339E-2</v>
      </c>
    </row>
    <row r="307" spans="9:15" x14ac:dyDescent="0.15">
      <c r="I307" s="7">
        <f t="shared" si="46"/>
        <v>6</v>
      </c>
      <c r="J307" s="7">
        <f t="shared" si="47"/>
        <v>16</v>
      </c>
      <c r="K307" s="7">
        <f t="shared" si="49"/>
        <v>96</v>
      </c>
      <c r="L307" s="7">
        <f t="shared" si="41"/>
        <v>19.200000000000003</v>
      </c>
      <c r="M307" s="7">
        <f t="shared" si="42"/>
        <v>16.450000000000003</v>
      </c>
      <c r="N307" s="7">
        <f t="shared" si="43"/>
        <v>5.2083333333333329E-2</v>
      </c>
      <c r="O307" s="7">
        <f t="shared" si="44"/>
        <v>6.0790273556230991E-2</v>
      </c>
    </row>
    <row r="308" spans="9:15" x14ac:dyDescent="0.15">
      <c r="I308" s="7">
        <f t="shared" si="46"/>
        <v>7</v>
      </c>
      <c r="J308" s="7">
        <f t="shared" si="47"/>
        <v>16</v>
      </c>
      <c r="K308" s="7">
        <f t="shared" si="49"/>
        <v>112</v>
      </c>
      <c r="L308" s="7">
        <f t="shared" si="41"/>
        <v>20</v>
      </c>
      <c r="M308" s="7">
        <f t="shared" si="42"/>
        <v>18.05</v>
      </c>
      <c r="N308" s="7">
        <f t="shared" si="43"/>
        <v>0.05</v>
      </c>
      <c r="O308" s="7">
        <f t="shared" si="44"/>
        <v>5.5401662049861494E-2</v>
      </c>
    </row>
    <row r="309" spans="9:15" x14ac:dyDescent="0.15">
      <c r="I309" s="7">
        <f t="shared" si="46"/>
        <v>8</v>
      </c>
      <c r="J309" s="7">
        <f t="shared" si="47"/>
        <v>16</v>
      </c>
      <c r="K309" s="7">
        <f t="shared" si="49"/>
        <v>128</v>
      </c>
      <c r="L309" s="7">
        <f t="shared" si="41"/>
        <v>20.8</v>
      </c>
      <c r="M309" s="7">
        <f t="shared" si="42"/>
        <v>19.650000000000002</v>
      </c>
      <c r="N309" s="7">
        <f t="shared" si="43"/>
        <v>4.8076923076923073E-2</v>
      </c>
      <c r="O309" s="7">
        <f t="shared" si="44"/>
        <v>5.0890585241730277E-2</v>
      </c>
    </row>
    <row r="310" spans="9:15" x14ac:dyDescent="0.15">
      <c r="I310" s="7">
        <f t="shared" si="46"/>
        <v>9</v>
      </c>
      <c r="J310" s="7">
        <f t="shared" si="47"/>
        <v>16</v>
      </c>
      <c r="K310" s="7">
        <f t="shared" si="49"/>
        <v>144</v>
      </c>
      <c r="L310" s="7">
        <f t="shared" si="41"/>
        <v>21.6</v>
      </c>
      <c r="M310" s="7">
        <f t="shared" si="42"/>
        <v>21.25</v>
      </c>
      <c r="N310" s="7">
        <f t="shared" si="43"/>
        <v>4.6296296296296294E-2</v>
      </c>
      <c r="O310" s="7">
        <f t="shared" si="44"/>
        <v>4.7058823529411764E-2</v>
      </c>
    </row>
    <row r="311" spans="9:15" x14ac:dyDescent="0.15">
      <c r="I311" s="7">
        <f t="shared" si="46"/>
        <v>10</v>
      </c>
      <c r="J311" s="7">
        <f t="shared" si="47"/>
        <v>16</v>
      </c>
      <c r="K311" s="7">
        <f t="shared" si="49"/>
        <v>160</v>
      </c>
      <c r="L311" s="7">
        <f t="shared" si="41"/>
        <v>22.4</v>
      </c>
      <c r="M311" s="7">
        <f t="shared" si="42"/>
        <v>22.85</v>
      </c>
      <c r="N311" s="7">
        <f t="shared" si="43"/>
        <v>4.4642857142857144E-2</v>
      </c>
      <c r="O311" s="7">
        <f t="shared" si="44"/>
        <v>4.3763676148796497E-2</v>
      </c>
    </row>
    <row r="312" spans="9:15" x14ac:dyDescent="0.15">
      <c r="I312" s="7">
        <f t="shared" si="46"/>
        <v>11</v>
      </c>
      <c r="J312" s="7">
        <f t="shared" si="47"/>
        <v>16</v>
      </c>
      <c r="K312" s="7">
        <f t="shared" si="49"/>
        <v>176</v>
      </c>
      <c r="L312" s="7">
        <f t="shared" si="41"/>
        <v>23.200000000000003</v>
      </c>
      <c r="M312" s="7">
        <f t="shared" si="42"/>
        <v>24.450000000000003</v>
      </c>
      <c r="N312" s="7">
        <f t="shared" si="43"/>
        <v>4.3103448275862065E-2</v>
      </c>
      <c r="O312" s="7">
        <f t="shared" si="44"/>
        <v>4.089979550102249E-2</v>
      </c>
    </row>
    <row r="313" spans="9:15" x14ac:dyDescent="0.15">
      <c r="I313" s="7">
        <f t="shared" si="46"/>
        <v>12</v>
      </c>
      <c r="J313" s="7">
        <f t="shared" si="47"/>
        <v>16</v>
      </c>
      <c r="K313" s="7">
        <f t="shared" si="49"/>
        <v>192</v>
      </c>
      <c r="L313" s="7">
        <f t="shared" si="41"/>
        <v>24</v>
      </c>
      <c r="M313" s="7">
        <f t="shared" si="42"/>
        <v>26.050000000000004</v>
      </c>
      <c r="N313" s="7">
        <f t="shared" si="43"/>
        <v>4.1666666666666664E-2</v>
      </c>
      <c r="O313" s="7">
        <f t="shared" si="44"/>
        <v>3.8387715930902108E-2</v>
      </c>
    </row>
    <row r="314" spans="9:15" x14ac:dyDescent="0.15">
      <c r="I314" s="7">
        <f t="shared" si="46"/>
        <v>13</v>
      </c>
      <c r="J314" s="7">
        <f t="shared" si="47"/>
        <v>16</v>
      </c>
      <c r="K314" s="7">
        <f t="shared" si="49"/>
        <v>208</v>
      </c>
      <c r="L314" s="7">
        <f t="shared" si="41"/>
        <v>24.8</v>
      </c>
      <c r="M314" s="7">
        <f t="shared" si="42"/>
        <v>27.650000000000002</v>
      </c>
      <c r="N314" s="7">
        <f t="shared" si="43"/>
        <v>4.0322580645161289E-2</v>
      </c>
      <c r="O314" s="7">
        <f t="shared" si="44"/>
        <v>3.6166365280289325E-2</v>
      </c>
    </row>
    <row r="315" spans="9:15" x14ac:dyDescent="0.15">
      <c r="I315" s="7">
        <f t="shared" si="46"/>
        <v>14</v>
      </c>
      <c r="J315" s="7">
        <f t="shared" si="47"/>
        <v>16</v>
      </c>
      <c r="K315" s="7">
        <f t="shared" si="49"/>
        <v>224</v>
      </c>
      <c r="L315" s="7">
        <f t="shared" si="41"/>
        <v>25.6</v>
      </c>
      <c r="M315" s="7">
        <f t="shared" si="42"/>
        <v>29.250000000000004</v>
      </c>
      <c r="N315" s="7">
        <f t="shared" si="43"/>
        <v>3.90625E-2</v>
      </c>
      <c r="O315" s="7">
        <f t="shared" si="44"/>
        <v>3.4188034188034185E-2</v>
      </c>
    </row>
    <row r="316" spans="9:15" x14ac:dyDescent="0.15">
      <c r="I316" s="7">
        <f t="shared" si="46"/>
        <v>15</v>
      </c>
      <c r="J316" s="7">
        <f t="shared" si="47"/>
        <v>16</v>
      </c>
      <c r="K316" s="7">
        <f t="shared" si="49"/>
        <v>240</v>
      </c>
      <c r="L316" s="7">
        <f t="shared" si="41"/>
        <v>26.4</v>
      </c>
      <c r="M316" s="7">
        <f t="shared" si="42"/>
        <v>30.85</v>
      </c>
      <c r="N316" s="7">
        <f t="shared" si="43"/>
        <v>3.787878787878788E-2</v>
      </c>
      <c r="O316" s="7">
        <f t="shared" si="44"/>
        <v>3.2414910858995137E-2</v>
      </c>
    </row>
    <row r="317" spans="9:15" x14ac:dyDescent="0.15">
      <c r="I317" s="7">
        <f t="shared" si="46"/>
        <v>16</v>
      </c>
      <c r="J317" s="7">
        <f t="shared" si="47"/>
        <v>16</v>
      </c>
      <c r="K317" s="7">
        <f t="shared" si="49"/>
        <v>256</v>
      </c>
      <c r="L317" s="7">
        <f t="shared" si="41"/>
        <v>27.200000000000003</v>
      </c>
      <c r="M317" s="7">
        <f t="shared" si="42"/>
        <v>32.450000000000003</v>
      </c>
      <c r="N317" s="7">
        <f t="shared" si="43"/>
        <v>3.6764705882352935E-2</v>
      </c>
      <c r="O317" s="7">
        <f t="shared" si="44"/>
        <v>3.0816640986132508E-2</v>
      </c>
    </row>
    <row r="318" spans="9:15" x14ac:dyDescent="0.15">
      <c r="I318" s="7">
        <f t="shared" si="46"/>
        <v>17</v>
      </c>
      <c r="J318" s="7">
        <f t="shared" si="47"/>
        <v>16</v>
      </c>
      <c r="K318" s="7">
        <f t="shared" si="49"/>
        <v>272</v>
      </c>
      <c r="L318" s="7">
        <f t="shared" si="41"/>
        <v>28</v>
      </c>
      <c r="M318" s="7">
        <f t="shared" si="42"/>
        <v>34.050000000000004</v>
      </c>
      <c r="N318" s="7">
        <f t="shared" si="43"/>
        <v>3.5714285714285712E-2</v>
      </c>
      <c r="O318" s="7">
        <f t="shared" si="44"/>
        <v>2.9368575624082228E-2</v>
      </c>
    </row>
    <row r="319" spans="9:15" x14ac:dyDescent="0.15">
      <c r="I319" s="7">
        <f t="shared" si="46"/>
        <v>18</v>
      </c>
      <c r="J319" s="7">
        <f t="shared" si="47"/>
        <v>16</v>
      </c>
      <c r="K319" s="7">
        <f t="shared" si="49"/>
        <v>288</v>
      </c>
      <c r="L319" s="7">
        <f t="shared" si="41"/>
        <v>28.8</v>
      </c>
      <c r="M319" s="7">
        <f t="shared" si="42"/>
        <v>35.65</v>
      </c>
      <c r="N319" s="7">
        <f t="shared" si="43"/>
        <v>3.4722222222222224E-2</v>
      </c>
      <c r="O319" s="7">
        <f t="shared" si="44"/>
        <v>2.8050490883590466E-2</v>
      </c>
    </row>
    <row r="320" spans="9:15" x14ac:dyDescent="0.15">
      <c r="I320" s="7">
        <f t="shared" si="46"/>
        <v>19</v>
      </c>
      <c r="J320" s="7">
        <f t="shared" si="47"/>
        <v>16</v>
      </c>
      <c r="K320" s="7">
        <f t="shared" si="49"/>
        <v>304</v>
      </c>
      <c r="L320" s="7">
        <f t="shared" si="41"/>
        <v>29.6</v>
      </c>
      <c r="M320" s="7">
        <f t="shared" si="42"/>
        <v>37.25</v>
      </c>
      <c r="N320" s="7">
        <f t="shared" si="43"/>
        <v>3.3783783783783779E-2</v>
      </c>
      <c r="O320" s="7">
        <f t="shared" si="44"/>
        <v>2.6845637583892617E-2</v>
      </c>
    </row>
    <row r="321" spans="9:15" x14ac:dyDescent="0.15">
      <c r="I321" s="7">
        <f t="shared" si="46"/>
        <v>20</v>
      </c>
      <c r="J321" s="7">
        <f t="shared" si="47"/>
        <v>16</v>
      </c>
      <c r="K321" s="7">
        <f t="shared" si="49"/>
        <v>320</v>
      </c>
      <c r="L321" s="7">
        <f t="shared" si="41"/>
        <v>30.4</v>
      </c>
      <c r="M321" s="7">
        <f t="shared" si="42"/>
        <v>38.85</v>
      </c>
      <c r="N321" s="7">
        <f t="shared" si="43"/>
        <v>3.2894736842105261E-2</v>
      </c>
      <c r="O321" s="7">
        <f t="shared" si="44"/>
        <v>2.5740025740025738E-2</v>
      </c>
    </row>
    <row r="322" spans="9:15" x14ac:dyDescent="0.15">
      <c r="I322" s="7">
        <f t="shared" si="46"/>
        <v>1</v>
      </c>
      <c r="J322" s="7">
        <f t="shared" si="47"/>
        <v>17</v>
      </c>
      <c r="K322" s="7">
        <f>J322</f>
        <v>17</v>
      </c>
      <c r="L322" s="7">
        <f t="shared" si="41"/>
        <v>16.150000000000002</v>
      </c>
      <c r="M322" s="7">
        <f t="shared" si="42"/>
        <v>8.9500000000000011</v>
      </c>
      <c r="N322" s="7">
        <f t="shared" si="43"/>
        <v>6.1919504643962842E-2</v>
      </c>
      <c r="O322" s="7">
        <f t="shared" si="44"/>
        <v>0.11173184357541899</v>
      </c>
    </row>
    <row r="323" spans="9:15" x14ac:dyDescent="0.15">
      <c r="I323" s="7">
        <f t="shared" si="46"/>
        <v>2</v>
      </c>
      <c r="J323" s="7">
        <f t="shared" si="47"/>
        <v>17</v>
      </c>
      <c r="K323" s="7">
        <f>K322+J322</f>
        <v>34</v>
      </c>
      <c r="L323" s="7">
        <f t="shared" ref="L323:L386" si="50">0.9*J323+0.05*K323</f>
        <v>17</v>
      </c>
      <c r="M323" s="7">
        <f t="shared" ref="M323:M386" si="51">0.45+0.4*J323+0.1*K323</f>
        <v>10.650000000000002</v>
      </c>
      <c r="N323" s="7">
        <f t="shared" ref="N323:N386" si="52">1/L323</f>
        <v>5.8823529411764705E-2</v>
      </c>
      <c r="O323" s="7">
        <f t="shared" ref="O323:O386" si="53">1/M323</f>
        <v>9.3896713615023455E-2</v>
      </c>
    </row>
    <row r="324" spans="9:15" x14ac:dyDescent="0.15">
      <c r="I324" s="7">
        <f t="shared" si="46"/>
        <v>3</v>
      </c>
      <c r="J324" s="7">
        <f t="shared" si="47"/>
        <v>17</v>
      </c>
      <c r="K324" s="7">
        <f t="shared" ref="K324:K341" si="54">K323+J323</f>
        <v>51</v>
      </c>
      <c r="L324" s="7">
        <f t="shared" si="50"/>
        <v>17.850000000000001</v>
      </c>
      <c r="M324" s="7">
        <f t="shared" si="51"/>
        <v>12.350000000000001</v>
      </c>
      <c r="N324" s="7">
        <f t="shared" si="52"/>
        <v>5.6022408963585429E-2</v>
      </c>
      <c r="O324" s="7">
        <f t="shared" si="53"/>
        <v>8.0971659919028327E-2</v>
      </c>
    </row>
    <row r="325" spans="9:15" x14ac:dyDescent="0.15">
      <c r="I325" s="7">
        <f t="shared" si="46"/>
        <v>4</v>
      </c>
      <c r="J325" s="7">
        <f t="shared" si="47"/>
        <v>17</v>
      </c>
      <c r="K325" s="7">
        <f t="shared" si="54"/>
        <v>68</v>
      </c>
      <c r="L325" s="7">
        <f t="shared" si="50"/>
        <v>18.700000000000003</v>
      </c>
      <c r="M325" s="7">
        <f t="shared" si="51"/>
        <v>14.05</v>
      </c>
      <c r="N325" s="7">
        <f t="shared" si="52"/>
        <v>5.3475935828876997E-2</v>
      </c>
      <c r="O325" s="7">
        <f t="shared" si="53"/>
        <v>7.1174377224199281E-2</v>
      </c>
    </row>
    <row r="326" spans="9:15" x14ac:dyDescent="0.15">
      <c r="I326" s="7">
        <f t="shared" si="46"/>
        <v>5</v>
      </c>
      <c r="J326" s="7">
        <f t="shared" si="47"/>
        <v>17</v>
      </c>
      <c r="K326" s="7">
        <f t="shared" si="54"/>
        <v>85</v>
      </c>
      <c r="L326" s="7">
        <f t="shared" si="50"/>
        <v>19.55</v>
      </c>
      <c r="M326" s="7">
        <f t="shared" si="51"/>
        <v>15.75</v>
      </c>
      <c r="N326" s="7">
        <f t="shared" si="52"/>
        <v>5.1150895140664961E-2</v>
      </c>
      <c r="O326" s="7">
        <f t="shared" si="53"/>
        <v>6.3492063492063489E-2</v>
      </c>
    </row>
    <row r="327" spans="9:15" x14ac:dyDescent="0.15">
      <c r="I327" s="7">
        <f t="shared" si="46"/>
        <v>6</v>
      </c>
      <c r="J327" s="7">
        <f t="shared" si="47"/>
        <v>17</v>
      </c>
      <c r="K327" s="7">
        <f t="shared" si="54"/>
        <v>102</v>
      </c>
      <c r="L327" s="7">
        <f t="shared" si="50"/>
        <v>20.400000000000002</v>
      </c>
      <c r="M327" s="7">
        <f t="shared" si="51"/>
        <v>17.450000000000003</v>
      </c>
      <c r="N327" s="7">
        <f t="shared" si="52"/>
        <v>4.9019607843137247E-2</v>
      </c>
      <c r="O327" s="7">
        <f t="shared" si="53"/>
        <v>5.7306590257879646E-2</v>
      </c>
    </row>
    <row r="328" spans="9:15" x14ac:dyDescent="0.15">
      <c r="I328" s="7">
        <f t="shared" si="46"/>
        <v>7</v>
      </c>
      <c r="J328" s="7">
        <f t="shared" si="47"/>
        <v>17</v>
      </c>
      <c r="K328" s="7">
        <f t="shared" si="54"/>
        <v>119</v>
      </c>
      <c r="L328" s="7">
        <f t="shared" si="50"/>
        <v>21.25</v>
      </c>
      <c r="M328" s="7">
        <f t="shared" si="51"/>
        <v>19.150000000000002</v>
      </c>
      <c r="N328" s="7">
        <f t="shared" si="52"/>
        <v>4.7058823529411764E-2</v>
      </c>
      <c r="O328" s="7">
        <f t="shared" si="53"/>
        <v>5.2219321148825062E-2</v>
      </c>
    </row>
    <row r="329" spans="9:15" x14ac:dyDescent="0.15">
      <c r="I329" s="7">
        <f t="shared" si="46"/>
        <v>8</v>
      </c>
      <c r="J329" s="7">
        <f t="shared" si="47"/>
        <v>17</v>
      </c>
      <c r="K329" s="7">
        <f t="shared" si="54"/>
        <v>136</v>
      </c>
      <c r="L329" s="7">
        <f t="shared" si="50"/>
        <v>22.1</v>
      </c>
      <c r="M329" s="7">
        <f t="shared" si="51"/>
        <v>20.85</v>
      </c>
      <c r="N329" s="7">
        <f t="shared" si="52"/>
        <v>4.5248868778280542E-2</v>
      </c>
      <c r="O329" s="7">
        <f t="shared" si="53"/>
        <v>4.7961630695443645E-2</v>
      </c>
    </row>
    <row r="330" spans="9:15" x14ac:dyDescent="0.15">
      <c r="I330" s="7">
        <f t="shared" si="46"/>
        <v>9</v>
      </c>
      <c r="J330" s="7">
        <f t="shared" si="47"/>
        <v>17</v>
      </c>
      <c r="K330" s="7">
        <f t="shared" si="54"/>
        <v>153</v>
      </c>
      <c r="L330" s="7">
        <f t="shared" si="50"/>
        <v>22.950000000000003</v>
      </c>
      <c r="M330" s="7">
        <f t="shared" si="51"/>
        <v>22.55</v>
      </c>
      <c r="N330" s="7">
        <f t="shared" si="52"/>
        <v>4.3572984749455333E-2</v>
      </c>
      <c r="O330" s="7">
        <f t="shared" si="53"/>
        <v>4.4345898004434586E-2</v>
      </c>
    </row>
    <row r="331" spans="9:15" x14ac:dyDescent="0.15">
      <c r="I331" s="7">
        <f t="shared" si="46"/>
        <v>10</v>
      </c>
      <c r="J331" s="7">
        <f t="shared" si="47"/>
        <v>17</v>
      </c>
      <c r="K331" s="7">
        <f t="shared" si="54"/>
        <v>170</v>
      </c>
      <c r="L331" s="7">
        <f t="shared" si="50"/>
        <v>23.8</v>
      </c>
      <c r="M331" s="7">
        <f t="shared" si="51"/>
        <v>24.25</v>
      </c>
      <c r="N331" s="7">
        <f t="shared" si="52"/>
        <v>4.2016806722689072E-2</v>
      </c>
      <c r="O331" s="7">
        <f t="shared" si="53"/>
        <v>4.1237113402061855E-2</v>
      </c>
    </row>
    <row r="332" spans="9:15" x14ac:dyDescent="0.15">
      <c r="I332" s="7">
        <f t="shared" si="46"/>
        <v>11</v>
      </c>
      <c r="J332" s="7">
        <f t="shared" si="47"/>
        <v>17</v>
      </c>
      <c r="K332" s="7">
        <f t="shared" si="54"/>
        <v>187</v>
      </c>
      <c r="L332" s="7">
        <f t="shared" si="50"/>
        <v>24.65</v>
      </c>
      <c r="M332" s="7">
        <f t="shared" si="51"/>
        <v>25.95</v>
      </c>
      <c r="N332" s="7">
        <f t="shared" si="52"/>
        <v>4.0567951318458417E-2</v>
      </c>
      <c r="O332" s="7">
        <f t="shared" si="53"/>
        <v>3.8535645472061661E-2</v>
      </c>
    </row>
    <row r="333" spans="9:15" x14ac:dyDescent="0.15">
      <c r="I333" s="7">
        <f t="shared" si="46"/>
        <v>12</v>
      </c>
      <c r="J333" s="7">
        <f t="shared" si="47"/>
        <v>17</v>
      </c>
      <c r="K333" s="7">
        <f t="shared" si="54"/>
        <v>204</v>
      </c>
      <c r="L333" s="7">
        <f t="shared" si="50"/>
        <v>25.5</v>
      </c>
      <c r="M333" s="7">
        <f t="shared" si="51"/>
        <v>27.650000000000002</v>
      </c>
      <c r="N333" s="7">
        <f t="shared" si="52"/>
        <v>3.9215686274509803E-2</v>
      </c>
      <c r="O333" s="7">
        <f t="shared" si="53"/>
        <v>3.6166365280289325E-2</v>
      </c>
    </row>
    <row r="334" spans="9:15" x14ac:dyDescent="0.15">
      <c r="I334" s="7">
        <f t="shared" si="46"/>
        <v>13</v>
      </c>
      <c r="J334" s="7">
        <f t="shared" si="47"/>
        <v>17</v>
      </c>
      <c r="K334" s="7">
        <f t="shared" si="54"/>
        <v>221</v>
      </c>
      <c r="L334" s="7">
        <f t="shared" si="50"/>
        <v>26.35</v>
      </c>
      <c r="M334" s="7">
        <f t="shared" si="51"/>
        <v>29.35</v>
      </c>
      <c r="N334" s="7">
        <f t="shared" si="52"/>
        <v>3.7950664136622389E-2</v>
      </c>
      <c r="O334" s="7">
        <f t="shared" si="53"/>
        <v>3.4071550255536626E-2</v>
      </c>
    </row>
    <row r="335" spans="9:15" x14ac:dyDescent="0.15">
      <c r="I335" s="7">
        <f t="shared" si="46"/>
        <v>14</v>
      </c>
      <c r="J335" s="7">
        <f t="shared" si="47"/>
        <v>17</v>
      </c>
      <c r="K335" s="7">
        <f t="shared" si="54"/>
        <v>238</v>
      </c>
      <c r="L335" s="7">
        <f t="shared" si="50"/>
        <v>27.200000000000003</v>
      </c>
      <c r="M335" s="7">
        <f t="shared" si="51"/>
        <v>31.05</v>
      </c>
      <c r="N335" s="7">
        <f t="shared" si="52"/>
        <v>3.6764705882352935E-2</v>
      </c>
      <c r="O335" s="7">
        <f t="shared" si="53"/>
        <v>3.2206119162640899E-2</v>
      </c>
    </row>
    <row r="336" spans="9:15" x14ac:dyDescent="0.15">
      <c r="I336" s="7">
        <f t="shared" si="46"/>
        <v>15</v>
      </c>
      <c r="J336" s="7">
        <f t="shared" si="47"/>
        <v>17</v>
      </c>
      <c r="K336" s="7">
        <f t="shared" si="54"/>
        <v>255</v>
      </c>
      <c r="L336" s="7">
        <f t="shared" si="50"/>
        <v>28.05</v>
      </c>
      <c r="M336" s="7">
        <f t="shared" si="51"/>
        <v>32.75</v>
      </c>
      <c r="N336" s="7">
        <f t="shared" si="52"/>
        <v>3.5650623885918005E-2</v>
      </c>
      <c r="O336" s="7">
        <f t="shared" si="53"/>
        <v>3.0534351145038167E-2</v>
      </c>
    </row>
    <row r="337" spans="9:15" x14ac:dyDescent="0.15">
      <c r="I337" s="7">
        <f t="shared" si="46"/>
        <v>16</v>
      </c>
      <c r="J337" s="7">
        <f t="shared" si="47"/>
        <v>17</v>
      </c>
      <c r="K337" s="7">
        <f t="shared" si="54"/>
        <v>272</v>
      </c>
      <c r="L337" s="7">
        <f t="shared" si="50"/>
        <v>28.900000000000002</v>
      </c>
      <c r="M337" s="7">
        <f t="shared" si="51"/>
        <v>34.450000000000003</v>
      </c>
      <c r="N337" s="7">
        <f t="shared" si="52"/>
        <v>3.460207612456747E-2</v>
      </c>
      <c r="O337" s="7">
        <f t="shared" si="53"/>
        <v>2.9027576197387515E-2</v>
      </c>
    </row>
    <row r="338" spans="9:15" x14ac:dyDescent="0.15">
      <c r="I338" s="7">
        <f t="shared" si="46"/>
        <v>17</v>
      </c>
      <c r="J338" s="7">
        <f t="shared" si="47"/>
        <v>17</v>
      </c>
      <c r="K338" s="7">
        <f t="shared" si="54"/>
        <v>289</v>
      </c>
      <c r="L338" s="7">
        <f t="shared" si="50"/>
        <v>29.75</v>
      </c>
      <c r="M338" s="7">
        <f t="shared" si="51"/>
        <v>36.150000000000006</v>
      </c>
      <c r="N338" s="7">
        <f t="shared" si="52"/>
        <v>3.3613445378151259E-2</v>
      </c>
      <c r="O338" s="7">
        <f t="shared" si="53"/>
        <v>2.7662517289073301E-2</v>
      </c>
    </row>
    <row r="339" spans="9:15" x14ac:dyDescent="0.15">
      <c r="I339" s="7">
        <f t="shared" si="46"/>
        <v>18</v>
      </c>
      <c r="J339" s="7">
        <f t="shared" si="47"/>
        <v>17</v>
      </c>
      <c r="K339" s="7">
        <f t="shared" si="54"/>
        <v>306</v>
      </c>
      <c r="L339" s="7">
        <f t="shared" si="50"/>
        <v>30.6</v>
      </c>
      <c r="M339" s="7">
        <f t="shared" si="51"/>
        <v>37.85</v>
      </c>
      <c r="N339" s="7">
        <f t="shared" si="52"/>
        <v>3.2679738562091505E-2</v>
      </c>
      <c r="O339" s="7">
        <f t="shared" si="53"/>
        <v>2.6420079260237778E-2</v>
      </c>
    </row>
    <row r="340" spans="9:15" x14ac:dyDescent="0.15">
      <c r="I340" s="7">
        <f t="shared" si="46"/>
        <v>19</v>
      </c>
      <c r="J340" s="7">
        <f t="shared" si="47"/>
        <v>17</v>
      </c>
      <c r="K340" s="7">
        <f t="shared" si="54"/>
        <v>323</v>
      </c>
      <c r="L340" s="7">
        <f t="shared" si="50"/>
        <v>31.450000000000003</v>
      </c>
      <c r="M340" s="7">
        <f t="shared" si="51"/>
        <v>39.550000000000004</v>
      </c>
      <c r="N340" s="7">
        <f t="shared" si="52"/>
        <v>3.1796502384737677E-2</v>
      </c>
      <c r="O340" s="7">
        <f t="shared" si="53"/>
        <v>2.5284450063211124E-2</v>
      </c>
    </row>
    <row r="341" spans="9:15" x14ac:dyDescent="0.15">
      <c r="I341" s="7">
        <f t="shared" si="46"/>
        <v>20</v>
      </c>
      <c r="J341" s="7">
        <f t="shared" si="47"/>
        <v>17</v>
      </c>
      <c r="K341" s="7">
        <f t="shared" si="54"/>
        <v>340</v>
      </c>
      <c r="L341" s="7">
        <f t="shared" si="50"/>
        <v>32.299999999999997</v>
      </c>
      <c r="M341" s="7">
        <f t="shared" si="51"/>
        <v>41.25</v>
      </c>
      <c r="N341" s="7">
        <f t="shared" si="52"/>
        <v>3.0959752321981428E-2</v>
      </c>
      <c r="O341" s="7">
        <f t="shared" si="53"/>
        <v>2.4242424242424242E-2</v>
      </c>
    </row>
    <row r="342" spans="9:15" x14ac:dyDescent="0.15">
      <c r="I342" s="7">
        <f t="shared" si="46"/>
        <v>1</v>
      </c>
      <c r="J342" s="7">
        <f t="shared" si="47"/>
        <v>18</v>
      </c>
      <c r="K342" s="7">
        <f>J342</f>
        <v>18</v>
      </c>
      <c r="L342" s="7">
        <f t="shared" si="50"/>
        <v>17.099999999999998</v>
      </c>
      <c r="M342" s="7">
        <f t="shared" si="51"/>
        <v>9.4500000000000011</v>
      </c>
      <c r="N342" s="7">
        <f t="shared" si="52"/>
        <v>5.8479532163742701E-2</v>
      </c>
      <c r="O342" s="7">
        <f t="shared" si="53"/>
        <v>0.10582010582010581</v>
      </c>
    </row>
    <row r="343" spans="9:15" x14ac:dyDescent="0.15">
      <c r="I343" s="7">
        <f t="shared" ref="I343:I406" si="55">I323</f>
        <v>2</v>
      </c>
      <c r="J343" s="7">
        <f t="shared" ref="J343:J406" si="56">J323+1</f>
        <v>18</v>
      </c>
      <c r="K343" s="7">
        <f>K342+J342</f>
        <v>36</v>
      </c>
      <c r="L343" s="7">
        <f t="shared" si="50"/>
        <v>18</v>
      </c>
      <c r="M343" s="7">
        <f t="shared" si="51"/>
        <v>11.25</v>
      </c>
      <c r="N343" s="7">
        <f t="shared" si="52"/>
        <v>5.5555555555555552E-2</v>
      </c>
      <c r="O343" s="7">
        <f t="shared" si="53"/>
        <v>8.8888888888888892E-2</v>
      </c>
    </row>
    <row r="344" spans="9:15" x14ac:dyDescent="0.15">
      <c r="I344" s="7">
        <f t="shared" si="55"/>
        <v>3</v>
      </c>
      <c r="J344" s="7">
        <f t="shared" si="56"/>
        <v>18</v>
      </c>
      <c r="K344" s="7">
        <f t="shared" ref="K344:K361" si="57">K343+J343</f>
        <v>54</v>
      </c>
      <c r="L344" s="7">
        <f t="shared" si="50"/>
        <v>18.899999999999999</v>
      </c>
      <c r="M344" s="7">
        <f t="shared" si="51"/>
        <v>13.05</v>
      </c>
      <c r="N344" s="7">
        <f t="shared" si="52"/>
        <v>5.2910052910052914E-2</v>
      </c>
      <c r="O344" s="7">
        <f t="shared" si="53"/>
        <v>7.662835249042145E-2</v>
      </c>
    </row>
    <row r="345" spans="9:15" x14ac:dyDescent="0.15">
      <c r="I345" s="7">
        <f t="shared" si="55"/>
        <v>4</v>
      </c>
      <c r="J345" s="7">
        <f t="shared" si="56"/>
        <v>18</v>
      </c>
      <c r="K345" s="7">
        <f t="shared" si="57"/>
        <v>72</v>
      </c>
      <c r="L345" s="7">
        <f t="shared" si="50"/>
        <v>19.8</v>
      </c>
      <c r="M345" s="7">
        <f t="shared" si="51"/>
        <v>14.850000000000001</v>
      </c>
      <c r="N345" s="7">
        <f t="shared" si="52"/>
        <v>5.0505050505050504E-2</v>
      </c>
      <c r="O345" s="7">
        <f t="shared" si="53"/>
        <v>6.7340067340067339E-2</v>
      </c>
    </row>
    <row r="346" spans="9:15" x14ac:dyDescent="0.15">
      <c r="I346" s="7">
        <f t="shared" si="55"/>
        <v>5</v>
      </c>
      <c r="J346" s="7">
        <f t="shared" si="56"/>
        <v>18</v>
      </c>
      <c r="K346" s="7">
        <f t="shared" si="57"/>
        <v>90</v>
      </c>
      <c r="L346" s="7">
        <f t="shared" si="50"/>
        <v>20.7</v>
      </c>
      <c r="M346" s="7">
        <f t="shared" si="51"/>
        <v>16.649999999999999</v>
      </c>
      <c r="N346" s="7">
        <f t="shared" si="52"/>
        <v>4.8309178743961352E-2</v>
      </c>
      <c r="O346" s="7">
        <f t="shared" si="53"/>
        <v>6.0060060060060066E-2</v>
      </c>
    </row>
    <row r="347" spans="9:15" x14ac:dyDescent="0.15">
      <c r="I347" s="7">
        <f t="shared" si="55"/>
        <v>6</v>
      </c>
      <c r="J347" s="7">
        <f t="shared" si="56"/>
        <v>18</v>
      </c>
      <c r="K347" s="7">
        <f t="shared" si="57"/>
        <v>108</v>
      </c>
      <c r="L347" s="7">
        <f t="shared" si="50"/>
        <v>21.6</v>
      </c>
      <c r="M347" s="7">
        <f t="shared" si="51"/>
        <v>18.450000000000003</v>
      </c>
      <c r="N347" s="7">
        <f t="shared" si="52"/>
        <v>4.6296296296296294E-2</v>
      </c>
      <c r="O347" s="7">
        <f t="shared" si="53"/>
        <v>5.4200542005420044E-2</v>
      </c>
    </row>
    <row r="348" spans="9:15" x14ac:dyDescent="0.15">
      <c r="I348" s="7">
        <f t="shared" si="55"/>
        <v>7</v>
      </c>
      <c r="J348" s="7">
        <f t="shared" si="56"/>
        <v>18</v>
      </c>
      <c r="K348" s="7">
        <f t="shared" si="57"/>
        <v>126</v>
      </c>
      <c r="L348" s="7">
        <f t="shared" si="50"/>
        <v>22.5</v>
      </c>
      <c r="M348" s="7">
        <f t="shared" si="51"/>
        <v>20.25</v>
      </c>
      <c r="N348" s="7">
        <f t="shared" si="52"/>
        <v>4.4444444444444446E-2</v>
      </c>
      <c r="O348" s="7">
        <f t="shared" si="53"/>
        <v>4.9382716049382713E-2</v>
      </c>
    </row>
    <row r="349" spans="9:15" x14ac:dyDescent="0.15">
      <c r="I349" s="7">
        <f t="shared" si="55"/>
        <v>8</v>
      </c>
      <c r="J349" s="7">
        <f t="shared" si="56"/>
        <v>18</v>
      </c>
      <c r="K349" s="7">
        <f t="shared" si="57"/>
        <v>144</v>
      </c>
      <c r="L349" s="7">
        <f t="shared" si="50"/>
        <v>23.4</v>
      </c>
      <c r="M349" s="7">
        <f t="shared" si="51"/>
        <v>22.05</v>
      </c>
      <c r="N349" s="7">
        <f t="shared" si="52"/>
        <v>4.2735042735042736E-2</v>
      </c>
      <c r="O349" s="7">
        <f t="shared" si="53"/>
        <v>4.5351473922902494E-2</v>
      </c>
    </row>
    <row r="350" spans="9:15" x14ac:dyDescent="0.15">
      <c r="I350" s="7">
        <f t="shared" si="55"/>
        <v>9</v>
      </c>
      <c r="J350" s="7">
        <f t="shared" si="56"/>
        <v>18</v>
      </c>
      <c r="K350" s="7">
        <f t="shared" si="57"/>
        <v>162</v>
      </c>
      <c r="L350" s="7">
        <f t="shared" si="50"/>
        <v>24.299999999999997</v>
      </c>
      <c r="M350" s="7">
        <f t="shared" si="51"/>
        <v>23.85</v>
      </c>
      <c r="N350" s="7">
        <f t="shared" si="52"/>
        <v>4.1152263374485604E-2</v>
      </c>
      <c r="O350" s="7">
        <f t="shared" si="53"/>
        <v>4.1928721174004188E-2</v>
      </c>
    </row>
    <row r="351" spans="9:15" x14ac:dyDescent="0.15">
      <c r="I351" s="7">
        <f t="shared" si="55"/>
        <v>10</v>
      </c>
      <c r="J351" s="7">
        <f t="shared" si="56"/>
        <v>18</v>
      </c>
      <c r="K351" s="7">
        <f t="shared" si="57"/>
        <v>180</v>
      </c>
      <c r="L351" s="7">
        <f t="shared" si="50"/>
        <v>25.2</v>
      </c>
      <c r="M351" s="7">
        <f t="shared" si="51"/>
        <v>25.65</v>
      </c>
      <c r="N351" s="7">
        <f t="shared" si="52"/>
        <v>3.968253968253968E-2</v>
      </c>
      <c r="O351" s="7">
        <f t="shared" si="53"/>
        <v>3.8986354775828465E-2</v>
      </c>
    </row>
    <row r="352" spans="9:15" x14ac:dyDescent="0.15">
      <c r="I352" s="7">
        <f t="shared" si="55"/>
        <v>11</v>
      </c>
      <c r="J352" s="7">
        <f t="shared" si="56"/>
        <v>18</v>
      </c>
      <c r="K352" s="7">
        <f t="shared" si="57"/>
        <v>198</v>
      </c>
      <c r="L352" s="7">
        <f t="shared" si="50"/>
        <v>26.1</v>
      </c>
      <c r="M352" s="7">
        <f t="shared" si="51"/>
        <v>27.450000000000003</v>
      </c>
      <c r="N352" s="7">
        <f t="shared" si="52"/>
        <v>3.8314176245210725E-2</v>
      </c>
      <c r="O352" s="7">
        <f t="shared" si="53"/>
        <v>3.6429872495446262E-2</v>
      </c>
    </row>
    <row r="353" spans="9:15" x14ac:dyDescent="0.15">
      <c r="I353" s="7">
        <f t="shared" si="55"/>
        <v>12</v>
      </c>
      <c r="J353" s="7">
        <f t="shared" si="56"/>
        <v>18</v>
      </c>
      <c r="K353" s="7">
        <f t="shared" si="57"/>
        <v>216</v>
      </c>
      <c r="L353" s="7">
        <f t="shared" si="50"/>
        <v>27</v>
      </c>
      <c r="M353" s="7">
        <f t="shared" si="51"/>
        <v>29.25</v>
      </c>
      <c r="N353" s="7">
        <f t="shared" si="52"/>
        <v>3.7037037037037035E-2</v>
      </c>
      <c r="O353" s="7">
        <f t="shared" si="53"/>
        <v>3.4188034188034191E-2</v>
      </c>
    </row>
    <row r="354" spans="9:15" x14ac:dyDescent="0.15">
      <c r="I354" s="7">
        <f t="shared" si="55"/>
        <v>13</v>
      </c>
      <c r="J354" s="7">
        <f t="shared" si="56"/>
        <v>18</v>
      </c>
      <c r="K354" s="7">
        <f t="shared" si="57"/>
        <v>234</v>
      </c>
      <c r="L354" s="7">
        <f t="shared" si="50"/>
        <v>27.9</v>
      </c>
      <c r="M354" s="7">
        <f t="shared" si="51"/>
        <v>31.050000000000004</v>
      </c>
      <c r="N354" s="7">
        <f t="shared" si="52"/>
        <v>3.5842293906810041E-2</v>
      </c>
      <c r="O354" s="7">
        <f t="shared" si="53"/>
        <v>3.2206119162640899E-2</v>
      </c>
    </row>
    <row r="355" spans="9:15" x14ac:dyDescent="0.15">
      <c r="I355" s="7">
        <f t="shared" si="55"/>
        <v>14</v>
      </c>
      <c r="J355" s="7">
        <f t="shared" si="56"/>
        <v>18</v>
      </c>
      <c r="K355" s="7">
        <f t="shared" si="57"/>
        <v>252</v>
      </c>
      <c r="L355" s="7">
        <f t="shared" si="50"/>
        <v>28.8</v>
      </c>
      <c r="M355" s="7">
        <f t="shared" si="51"/>
        <v>32.85</v>
      </c>
      <c r="N355" s="7">
        <f t="shared" si="52"/>
        <v>3.4722222222222224E-2</v>
      </c>
      <c r="O355" s="7">
        <f t="shared" si="53"/>
        <v>3.0441400304414001E-2</v>
      </c>
    </row>
    <row r="356" spans="9:15" x14ac:dyDescent="0.15">
      <c r="I356" s="7">
        <f t="shared" si="55"/>
        <v>15</v>
      </c>
      <c r="J356" s="7">
        <f t="shared" si="56"/>
        <v>18</v>
      </c>
      <c r="K356" s="7">
        <f t="shared" si="57"/>
        <v>270</v>
      </c>
      <c r="L356" s="7">
        <f t="shared" si="50"/>
        <v>29.7</v>
      </c>
      <c r="M356" s="7">
        <f t="shared" si="51"/>
        <v>34.65</v>
      </c>
      <c r="N356" s="7">
        <f t="shared" si="52"/>
        <v>3.3670033670033669E-2</v>
      </c>
      <c r="O356" s="7">
        <f t="shared" si="53"/>
        <v>2.886002886002886E-2</v>
      </c>
    </row>
    <row r="357" spans="9:15" x14ac:dyDescent="0.15">
      <c r="I357" s="7">
        <f t="shared" si="55"/>
        <v>16</v>
      </c>
      <c r="J357" s="7">
        <f t="shared" si="56"/>
        <v>18</v>
      </c>
      <c r="K357" s="7">
        <f t="shared" si="57"/>
        <v>288</v>
      </c>
      <c r="L357" s="7">
        <f t="shared" si="50"/>
        <v>30.6</v>
      </c>
      <c r="M357" s="7">
        <f t="shared" si="51"/>
        <v>36.450000000000003</v>
      </c>
      <c r="N357" s="7">
        <f t="shared" si="52"/>
        <v>3.2679738562091505E-2</v>
      </c>
      <c r="O357" s="7">
        <f t="shared" si="53"/>
        <v>2.7434842249657063E-2</v>
      </c>
    </row>
    <row r="358" spans="9:15" x14ac:dyDescent="0.15">
      <c r="I358" s="7">
        <f t="shared" si="55"/>
        <v>17</v>
      </c>
      <c r="J358" s="7">
        <f t="shared" si="56"/>
        <v>18</v>
      </c>
      <c r="K358" s="7">
        <f t="shared" si="57"/>
        <v>306</v>
      </c>
      <c r="L358" s="7">
        <f t="shared" si="50"/>
        <v>31.5</v>
      </c>
      <c r="M358" s="7">
        <f t="shared" si="51"/>
        <v>38.25</v>
      </c>
      <c r="N358" s="7">
        <f t="shared" si="52"/>
        <v>3.1746031746031744E-2</v>
      </c>
      <c r="O358" s="7">
        <f t="shared" si="53"/>
        <v>2.6143790849673203E-2</v>
      </c>
    </row>
    <row r="359" spans="9:15" x14ac:dyDescent="0.15">
      <c r="I359" s="7">
        <f t="shared" si="55"/>
        <v>18</v>
      </c>
      <c r="J359" s="7">
        <f t="shared" si="56"/>
        <v>18</v>
      </c>
      <c r="K359" s="7">
        <f t="shared" si="57"/>
        <v>324</v>
      </c>
      <c r="L359" s="7">
        <f t="shared" si="50"/>
        <v>32.4</v>
      </c>
      <c r="M359" s="7">
        <f t="shared" si="51"/>
        <v>40.049999999999997</v>
      </c>
      <c r="N359" s="7">
        <f t="shared" si="52"/>
        <v>3.0864197530864199E-2</v>
      </c>
      <c r="O359" s="7">
        <f t="shared" si="53"/>
        <v>2.4968789013732836E-2</v>
      </c>
    </row>
    <row r="360" spans="9:15" x14ac:dyDescent="0.15">
      <c r="I360" s="7">
        <f t="shared" si="55"/>
        <v>19</v>
      </c>
      <c r="J360" s="7">
        <f t="shared" si="56"/>
        <v>18</v>
      </c>
      <c r="K360" s="7">
        <f t="shared" si="57"/>
        <v>342</v>
      </c>
      <c r="L360" s="7">
        <f t="shared" si="50"/>
        <v>33.299999999999997</v>
      </c>
      <c r="M360" s="7">
        <f t="shared" si="51"/>
        <v>41.85</v>
      </c>
      <c r="N360" s="7">
        <f t="shared" si="52"/>
        <v>3.0030030030030033E-2</v>
      </c>
      <c r="O360" s="7">
        <f t="shared" si="53"/>
        <v>2.3894862604540022E-2</v>
      </c>
    </row>
    <row r="361" spans="9:15" x14ac:dyDescent="0.15">
      <c r="I361" s="7">
        <f t="shared" si="55"/>
        <v>20</v>
      </c>
      <c r="J361" s="7">
        <f t="shared" si="56"/>
        <v>18</v>
      </c>
      <c r="K361" s="7">
        <f t="shared" si="57"/>
        <v>360</v>
      </c>
      <c r="L361" s="7">
        <f t="shared" si="50"/>
        <v>34.200000000000003</v>
      </c>
      <c r="M361" s="7">
        <f t="shared" si="51"/>
        <v>43.65</v>
      </c>
      <c r="N361" s="7">
        <f t="shared" si="52"/>
        <v>2.9239766081871343E-2</v>
      </c>
      <c r="O361" s="7">
        <f t="shared" si="53"/>
        <v>2.2909507445589922E-2</v>
      </c>
    </row>
    <row r="362" spans="9:15" x14ac:dyDescent="0.15">
      <c r="I362" s="7">
        <f t="shared" si="55"/>
        <v>1</v>
      </c>
      <c r="J362" s="7">
        <f t="shared" si="56"/>
        <v>19</v>
      </c>
      <c r="K362" s="7">
        <f>J362</f>
        <v>19</v>
      </c>
      <c r="L362" s="7">
        <f t="shared" si="50"/>
        <v>18.05</v>
      </c>
      <c r="M362" s="7">
        <f t="shared" si="51"/>
        <v>9.9500000000000011</v>
      </c>
      <c r="N362" s="7">
        <f t="shared" si="52"/>
        <v>5.5401662049861494E-2</v>
      </c>
      <c r="O362" s="7">
        <f t="shared" si="53"/>
        <v>0.10050251256281406</v>
      </c>
    </row>
    <row r="363" spans="9:15" x14ac:dyDescent="0.15">
      <c r="I363" s="7">
        <f t="shared" si="55"/>
        <v>2</v>
      </c>
      <c r="J363" s="7">
        <f t="shared" si="56"/>
        <v>19</v>
      </c>
      <c r="K363" s="7">
        <f>K362+J362</f>
        <v>38</v>
      </c>
      <c r="L363" s="7">
        <f t="shared" si="50"/>
        <v>19</v>
      </c>
      <c r="M363" s="7">
        <f t="shared" si="51"/>
        <v>11.850000000000001</v>
      </c>
      <c r="N363" s="7">
        <f t="shared" si="52"/>
        <v>5.2631578947368418E-2</v>
      </c>
      <c r="O363" s="7">
        <f t="shared" si="53"/>
        <v>8.4388185654008435E-2</v>
      </c>
    </row>
    <row r="364" spans="9:15" x14ac:dyDescent="0.15">
      <c r="I364" s="7">
        <f t="shared" si="55"/>
        <v>3</v>
      </c>
      <c r="J364" s="7">
        <f t="shared" si="56"/>
        <v>19</v>
      </c>
      <c r="K364" s="7">
        <f t="shared" ref="K364:K381" si="58">K363+J363</f>
        <v>57</v>
      </c>
      <c r="L364" s="7">
        <f t="shared" si="50"/>
        <v>19.950000000000003</v>
      </c>
      <c r="M364" s="7">
        <f t="shared" si="51"/>
        <v>13.75</v>
      </c>
      <c r="N364" s="7">
        <f t="shared" si="52"/>
        <v>5.012531328320801E-2</v>
      </c>
      <c r="O364" s="7">
        <f t="shared" si="53"/>
        <v>7.2727272727272724E-2</v>
      </c>
    </row>
    <row r="365" spans="9:15" x14ac:dyDescent="0.15">
      <c r="I365" s="7">
        <f t="shared" si="55"/>
        <v>4</v>
      </c>
      <c r="J365" s="7">
        <f t="shared" si="56"/>
        <v>19</v>
      </c>
      <c r="K365" s="7">
        <f t="shared" si="58"/>
        <v>76</v>
      </c>
      <c r="L365" s="7">
        <f t="shared" si="50"/>
        <v>20.900000000000002</v>
      </c>
      <c r="M365" s="7">
        <f t="shared" si="51"/>
        <v>15.650000000000002</v>
      </c>
      <c r="N365" s="7">
        <f t="shared" si="52"/>
        <v>4.7846889952153103E-2</v>
      </c>
      <c r="O365" s="7">
        <f t="shared" si="53"/>
        <v>6.3897763578274758E-2</v>
      </c>
    </row>
    <row r="366" spans="9:15" x14ac:dyDescent="0.15">
      <c r="I366" s="7">
        <f t="shared" si="55"/>
        <v>5</v>
      </c>
      <c r="J366" s="7">
        <f t="shared" si="56"/>
        <v>19</v>
      </c>
      <c r="K366" s="7">
        <f t="shared" si="58"/>
        <v>95</v>
      </c>
      <c r="L366" s="7">
        <f t="shared" si="50"/>
        <v>21.85</v>
      </c>
      <c r="M366" s="7">
        <f t="shared" si="51"/>
        <v>17.55</v>
      </c>
      <c r="N366" s="7">
        <f t="shared" si="52"/>
        <v>4.5766590389016017E-2</v>
      </c>
      <c r="O366" s="7">
        <f t="shared" si="53"/>
        <v>5.6980056980056981E-2</v>
      </c>
    </row>
    <row r="367" spans="9:15" x14ac:dyDescent="0.15">
      <c r="I367" s="7">
        <f t="shared" si="55"/>
        <v>6</v>
      </c>
      <c r="J367" s="7">
        <f t="shared" si="56"/>
        <v>19</v>
      </c>
      <c r="K367" s="7">
        <f t="shared" si="58"/>
        <v>114</v>
      </c>
      <c r="L367" s="7">
        <f t="shared" si="50"/>
        <v>22.8</v>
      </c>
      <c r="M367" s="7">
        <f t="shared" si="51"/>
        <v>19.450000000000003</v>
      </c>
      <c r="N367" s="7">
        <f t="shared" si="52"/>
        <v>4.3859649122807015E-2</v>
      </c>
      <c r="O367" s="7">
        <f t="shared" si="53"/>
        <v>5.1413881748071974E-2</v>
      </c>
    </row>
    <row r="368" spans="9:15" x14ac:dyDescent="0.15">
      <c r="I368" s="7">
        <f t="shared" si="55"/>
        <v>7</v>
      </c>
      <c r="J368" s="7">
        <f t="shared" si="56"/>
        <v>19</v>
      </c>
      <c r="K368" s="7">
        <f t="shared" si="58"/>
        <v>133</v>
      </c>
      <c r="L368" s="7">
        <f t="shared" si="50"/>
        <v>23.75</v>
      </c>
      <c r="M368" s="7">
        <f t="shared" si="51"/>
        <v>21.35</v>
      </c>
      <c r="N368" s="7">
        <f t="shared" si="52"/>
        <v>4.2105263157894736E-2</v>
      </c>
      <c r="O368" s="7">
        <f t="shared" si="53"/>
        <v>4.6838407494145196E-2</v>
      </c>
    </row>
    <row r="369" spans="9:15" x14ac:dyDescent="0.15">
      <c r="I369" s="7">
        <f t="shared" si="55"/>
        <v>8</v>
      </c>
      <c r="J369" s="7">
        <f t="shared" si="56"/>
        <v>19</v>
      </c>
      <c r="K369" s="7">
        <f t="shared" si="58"/>
        <v>152</v>
      </c>
      <c r="L369" s="7">
        <f t="shared" si="50"/>
        <v>24.700000000000003</v>
      </c>
      <c r="M369" s="7">
        <f t="shared" si="51"/>
        <v>23.25</v>
      </c>
      <c r="N369" s="7">
        <f t="shared" si="52"/>
        <v>4.0485829959514164E-2</v>
      </c>
      <c r="O369" s="7">
        <f t="shared" si="53"/>
        <v>4.3010752688172046E-2</v>
      </c>
    </row>
    <row r="370" spans="9:15" x14ac:dyDescent="0.15">
      <c r="I370" s="7">
        <f t="shared" si="55"/>
        <v>9</v>
      </c>
      <c r="J370" s="7">
        <f t="shared" si="56"/>
        <v>19</v>
      </c>
      <c r="K370" s="7">
        <f t="shared" si="58"/>
        <v>171</v>
      </c>
      <c r="L370" s="7">
        <f t="shared" si="50"/>
        <v>25.650000000000002</v>
      </c>
      <c r="M370" s="7">
        <f t="shared" si="51"/>
        <v>25.150000000000002</v>
      </c>
      <c r="N370" s="7">
        <f t="shared" si="52"/>
        <v>3.8986354775828458E-2</v>
      </c>
      <c r="O370" s="7">
        <f t="shared" si="53"/>
        <v>3.9761431411530809E-2</v>
      </c>
    </row>
    <row r="371" spans="9:15" x14ac:dyDescent="0.15">
      <c r="I371" s="7">
        <f t="shared" si="55"/>
        <v>10</v>
      </c>
      <c r="J371" s="7">
        <f t="shared" si="56"/>
        <v>19</v>
      </c>
      <c r="K371" s="7">
        <f t="shared" si="58"/>
        <v>190</v>
      </c>
      <c r="L371" s="7">
        <f t="shared" si="50"/>
        <v>26.6</v>
      </c>
      <c r="M371" s="7">
        <f t="shared" si="51"/>
        <v>27.05</v>
      </c>
      <c r="N371" s="7">
        <f t="shared" si="52"/>
        <v>3.7593984962406013E-2</v>
      </c>
      <c r="O371" s="7">
        <f t="shared" si="53"/>
        <v>3.6968576709796669E-2</v>
      </c>
    </row>
    <row r="372" spans="9:15" x14ac:dyDescent="0.15">
      <c r="I372" s="7">
        <f t="shared" si="55"/>
        <v>11</v>
      </c>
      <c r="J372" s="7">
        <f t="shared" si="56"/>
        <v>19</v>
      </c>
      <c r="K372" s="7">
        <f t="shared" si="58"/>
        <v>209</v>
      </c>
      <c r="L372" s="7">
        <f t="shared" si="50"/>
        <v>27.550000000000004</v>
      </c>
      <c r="M372" s="7">
        <f t="shared" si="51"/>
        <v>28.950000000000003</v>
      </c>
      <c r="N372" s="7">
        <f t="shared" si="52"/>
        <v>3.6297640653357527E-2</v>
      </c>
      <c r="O372" s="7">
        <f t="shared" si="53"/>
        <v>3.4542314335060442E-2</v>
      </c>
    </row>
    <row r="373" spans="9:15" x14ac:dyDescent="0.15">
      <c r="I373" s="7">
        <f t="shared" si="55"/>
        <v>12</v>
      </c>
      <c r="J373" s="7">
        <f t="shared" si="56"/>
        <v>19</v>
      </c>
      <c r="K373" s="7">
        <f t="shared" si="58"/>
        <v>228</v>
      </c>
      <c r="L373" s="7">
        <f t="shared" si="50"/>
        <v>28.5</v>
      </c>
      <c r="M373" s="7">
        <f t="shared" si="51"/>
        <v>30.85</v>
      </c>
      <c r="N373" s="7">
        <f t="shared" si="52"/>
        <v>3.5087719298245612E-2</v>
      </c>
      <c r="O373" s="7">
        <f t="shared" si="53"/>
        <v>3.2414910858995137E-2</v>
      </c>
    </row>
    <row r="374" spans="9:15" x14ac:dyDescent="0.15">
      <c r="I374" s="7">
        <f t="shared" si="55"/>
        <v>13</v>
      </c>
      <c r="J374" s="7">
        <f t="shared" si="56"/>
        <v>19</v>
      </c>
      <c r="K374" s="7">
        <f t="shared" si="58"/>
        <v>247</v>
      </c>
      <c r="L374" s="7">
        <f t="shared" si="50"/>
        <v>29.450000000000003</v>
      </c>
      <c r="M374" s="7">
        <f t="shared" si="51"/>
        <v>32.75</v>
      </c>
      <c r="N374" s="7">
        <f t="shared" si="52"/>
        <v>3.3955857385398976E-2</v>
      </c>
      <c r="O374" s="7">
        <f t="shared" si="53"/>
        <v>3.0534351145038167E-2</v>
      </c>
    </row>
    <row r="375" spans="9:15" x14ac:dyDescent="0.15">
      <c r="I375" s="7">
        <f t="shared" si="55"/>
        <v>14</v>
      </c>
      <c r="J375" s="7">
        <f t="shared" si="56"/>
        <v>19</v>
      </c>
      <c r="K375" s="7">
        <f t="shared" si="58"/>
        <v>266</v>
      </c>
      <c r="L375" s="7">
        <f t="shared" si="50"/>
        <v>30.400000000000002</v>
      </c>
      <c r="M375" s="7">
        <f t="shared" si="51"/>
        <v>34.650000000000006</v>
      </c>
      <c r="N375" s="7">
        <f t="shared" si="52"/>
        <v>3.2894736842105261E-2</v>
      </c>
      <c r="O375" s="7">
        <f t="shared" si="53"/>
        <v>2.8860028860028857E-2</v>
      </c>
    </row>
    <row r="376" spans="9:15" x14ac:dyDescent="0.15">
      <c r="I376" s="7">
        <f t="shared" si="55"/>
        <v>15</v>
      </c>
      <c r="J376" s="7">
        <f t="shared" si="56"/>
        <v>19</v>
      </c>
      <c r="K376" s="7">
        <f t="shared" si="58"/>
        <v>285</v>
      </c>
      <c r="L376" s="7">
        <f t="shared" si="50"/>
        <v>31.35</v>
      </c>
      <c r="M376" s="7">
        <f t="shared" si="51"/>
        <v>36.549999999999997</v>
      </c>
      <c r="N376" s="7">
        <f t="shared" si="52"/>
        <v>3.1897926634768738E-2</v>
      </c>
      <c r="O376" s="7">
        <f t="shared" si="53"/>
        <v>2.7359781121751029E-2</v>
      </c>
    </row>
    <row r="377" spans="9:15" x14ac:dyDescent="0.15">
      <c r="I377" s="7">
        <f t="shared" si="55"/>
        <v>16</v>
      </c>
      <c r="J377" s="7">
        <f t="shared" si="56"/>
        <v>19</v>
      </c>
      <c r="K377" s="7">
        <f t="shared" si="58"/>
        <v>304</v>
      </c>
      <c r="L377" s="7">
        <f t="shared" si="50"/>
        <v>32.300000000000004</v>
      </c>
      <c r="M377" s="7">
        <f t="shared" si="51"/>
        <v>38.450000000000003</v>
      </c>
      <c r="N377" s="7">
        <f t="shared" si="52"/>
        <v>3.0959752321981421E-2</v>
      </c>
      <c r="O377" s="7">
        <f t="shared" si="53"/>
        <v>2.600780234070221E-2</v>
      </c>
    </row>
    <row r="378" spans="9:15" x14ac:dyDescent="0.15">
      <c r="I378" s="7">
        <f t="shared" si="55"/>
        <v>17</v>
      </c>
      <c r="J378" s="7">
        <f t="shared" si="56"/>
        <v>19</v>
      </c>
      <c r="K378" s="7">
        <f t="shared" si="58"/>
        <v>323</v>
      </c>
      <c r="L378" s="7">
        <f t="shared" si="50"/>
        <v>33.25</v>
      </c>
      <c r="M378" s="7">
        <f t="shared" si="51"/>
        <v>40.350000000000009</v>
      </c>
      <c r="N378" s="7">
        <f t="shared" si="52"/>
        <v>3.007518796992481E-2</v>
      </c>
      <c r="O378" s="7">
        <f t="shared" si="53"/>
        <v>2.478314745972738E-2</v>
      </c>
    </row>
    <row r="379" spans="9:15" x14ac:dyDescent="0.15">
      <c r="I379" s="7">
        <f t="shared" si="55"/>
        <v>18</v>
      </c>
      <c r="J379" s="7">
        <f t="shared" si="56"/>
        <v>19</v>
      </c>
      <c r="K379" s="7">
        <f t="shared" si="58"/>
        <v>342</v>
      </c>
      <c r="L379" s="7">
        <f t="shared" si="50"/>
        <v>34.200000000000003</v>
      </c>
      <c r="M379" s="7">
        <f t="shared" si="51"/>
        <v>42.25</v>
      </c>
      <c r="N379" s="7">
        <f t="shared" si="52"/>
        <v>2.9239766081871343E-2</v>
      </c>
      <c r="O379" s="7">
        <f t="shared" si="53"/>
        <v>2.3668639053254437E-2</v>
      </c>
    </row>
    <row r="380" spans="9:15" x14ac:dyDescent="0.15">
      <c r="I380" s="7">
        <f t="shared" si="55"/>
        <v>19</v>
      </c>
      <c r="J380" s="7">
        <f t="shared" si="56"/>
        <v>19</v>
      </c>
      <c r="K380" s="7">
        <f t="shared" si="58"/>
        <v>361</v>
      </c>
      <c r="L380" s="7">
        <f t="shared" si="50"/>
        <v>35.150000000000006</v>
      </c>
      <c r="M380" s="7">
        <f t="shared" si="51"/>
        <v>44.150000000000006</v>
      </c>
      <c r="N380" s="7">
        <f t="shared" si="52"/>
        <v>2.8449502133712657E-2</v>
      </c>
      <c r="O380" s="7">
        <f t="shared" si="53"/>
        <v>2.2650056625141558E-2</v>
      </c>
    </row>
    <row r="381" spans="9:15" x14ac:dyDescent="0.15">
      <c r="I381" s="7">
        <f t="shared" si="55"/>
        <v>20</v>
      </c>
      <c r="J381" s="7">
        <f t="shared" si="56"/>
        <v>19</v>
      </c>
      <c r="K381" s="7">
        <f t="shared" si="58"/>
        <v>380</v>
      </c>
      <c r="L381" s="7">
        <f t="shared" si="50"/>
        <v>36.1</v>
      </c>
      <c r="M381" s="7">
        <f t="shared" si="51"/>
        <v>46.05</v>
      </c>
      <c r="N381" s="7">
        <f t="shared" si="52"/>
        <v>2.7700831024930747E-2</v>
      </c>
      <c r="O381" s="7">
        <f t="shared" si="53"/>
        <v>2.171552660152009E-2</v>
      </c>
    </row>
    <row r="382" spans="9:15" x14ac:dyDescent="0.15">
      <c r="I382" s="7">
        <f t="shared" si="55"/>
        <v>1</v>
      </c>
      <c r="J382" s="7">
        <f t="shared" si="56"/>
        <v>20</v>
      </c>
      <c r="K382" s="7">
        <f>J382</f>
        <v>20</v>
      </c>
      <c r="L382" s="7">
        <f t="shared" si="50"/>
        <v>19</v>
      </c>
      <c r="M382" s="7">
        <f t="shared" si="51"/>
        <v>10.45</v>
      </c>
      <c r="N382" s="7">
        <f t="shared" si="52"/>
        <v>5.2631578947368418E-2</v>
      </c>
      <c r="O382" s="7">
        <f t="shared" si="53"/>
        <v>9.569377990430622E-2</v>
      </c>
    </row>
    <row r="383" spans="9:15" x14ac:dyDescent="0.15">
      <c r="I383" s="7">
        <f t="shared" si="55"/>
        <v>2</v>
      </c>
      <c r="J383" s="7">
        <f t="shared" si="56"/>
        <v>20</v>
      </c>
      <c r="K383" s="7">
        <f>K382+J382</f>
        <v>40</v>
      </c>
      <c r="L383" s="7">
        <f t="shared" si="50"/>
        <v>20</v>
      </c>
      <c r="M383" s="7">
        <f t="shared" si="51"/>
        <v>12.45</v>
      </c>
      <c r="N383" s="7">
        <f t="shared" si="52"/>
        <v>0.05</v>
      </c>
      <c r="O383" s="7">
        <f t="shared" si="53"/>
        <v>8.0321285140562249E-2</v>
      </c>
    </row>
    <row r="384" spans="9:15" x14ac:dyDescent="0.15">
      <c r="I384" s="7">
        <f t="shared" si="55"/>
        <v>3</v>
      </c>
      <c r="J384" s="7">
        <f t="shared" si="56"/>
        <v>20</v>
      </c>
      <c r="K384" s="7">
        <f t="shared" ref="K384:K401" si="59">K383+J383</f>
        <v>60</v>
      </c>
      <c r="L384" s="7">
        <f t="shared" si="50"/>
        <v>21</v>
      </c>
      <c r="M384" s="7">
        <f t="shared" si="51"/>
        <v>14.45</v>
      </c>
      <c r="N384" s="7">
        <f t="shared" si="52"/>
        <v>4.7619047619047616E-2</v>
      </c>
      <c r="O384" s="7">
        <f t="shared" si="53"/>
        <v>6.9204152249134954E-2</v>
      </c>
    </row>
    <row r="385" spans="9:15" x14ac:dyDescent="0.15">
      <c r="I385" s="7">
        <f t="shared" si="55"/>
        <v>4</v>
      </c>
      <c r="J385" s="7">
        <f t="shared" si="56"/>
        <v>20</v>
      </c>
      <c r="K385" s="7">
        <f t="shared" si="59"/>
        <v>80</v>
      </c>
      <c r="L385" s="7">
        <f t="shared" si="50"/>
        <v>22</v>
      </c>
      <c r="M385" s="7">
        <f t="shared" si="51"/>
        <v>16.45</v>
      </c>
      <c r="N385" s="7">
        <f t="shared" si="52"/>
        <v>4.5454545454545456E-2</v>
      </c>
      <c r="O385" s="7">
        <f t="shared" si="53"/>
        <v>6.0790273556231005E-2</v>
      </c>
    </row>
    <row r="386" spans="9:15" x14ac:dyDescent="0.15">
      <c r="I386" s="7">
        <f t="shared" si="55"/>
        <v>5</v>
      </c>
      <c r="J386" s="7">
        <f t="shared" si="56"/>
        <v>20</v>
      </c>
      <c r="K386" s="7">
        <f t="shared" si="59"/>
        <v>100</v>
      </c>
      <c r="L386" s="7">
        <f t="shared" si="50"/>
        <v>23</v>
      </c>
      <c r="M386" s="7">
        <f t="shared" si="51"/>
        <v>18.45</v>
      </c>
      <c r="N386" s="7">
        <f t="shared" si="52"/>
        <v>4.3478260869565216E-2</v>
      </c>
      <c r="O386" s="7">
        <f t="shared" si="53"/>
        <v>5.4200542005420058E-2</v>
      </c>
    </row>
    <row r="387" spans="9:15" x14ac:dyDescent="0.15">
      <c r="I387" s="7">
        <f t="shared" si="55"/>
        <v>6</v>
      </c>
      <c r="J387" s="7">
        <f t="shared" si="56"/>
        <v>20</v>
      </c>
      <c r="K387" s="7">
        <f t="shared" si="59"/>
        <v>120</v>
      </c>
      <c r="L387" s="7">
        <f t="shared" ref="L387:L450" si="60">0.9*J387+0.05*K387</f>
        <v>24</v>
      </c>
      <c r="M387" s="7">
        <f t="shared" ref="M387:M450" si="61">0.45+0.4*J387+0.1*K387</f>
        <v>20.45</v>
      </c>
      <c r="N387" s="7">
        <f t="shared" ref="N387:N450" si="62">1/L387</f>
        <v>4.1666666666666664E-2</v>
      </c>
      <c r="O387" s="7">
        <f t="shared" ref="O387:O450" si="63">1/M387</f>
        <v>4.8899755501222497E-2</v>
      </c>
    </row>
    <row r="388" spans="9:15" x14ac:dyDescent="0.15">
      <c r="I388" s="7">
        <f t="shared" si="55"/>
        <v>7</v>
      </c>
      <c r="J388" s="7">
        <f t="shared" si="56"/>
        <v>20</v>
      </c>
      <c r="K388" s="7">
        <f t="shared" si="59"/>
        <v>140</v>
      </c>
      <c r="L388" s="7">
        <f t="shared" si="60"/>
        <v>25</v>
      </c>
      <c r="M388" s="7">
        <f t="shared" si="61"/>
        <v>22.45</v>
      </c>
      <c r="N388" s="7">
        <f t="shared" si="62"/>
        <v>0.04</v>
      </c>
      <c r="O388" s="7">
        <f t="shared" si="63"/>
        <v>4.4543429844097995E-2</v>
      </c>
    </row>
    <row r="389" spans="9:15" x14ac:dyDescent="0.15">
      <c r="I389" s="7">
        <f t="shared" si="55"/>
        <v>8</v>
      </c>
      <c r="J389" s="7">
        <f t="shared" si="56"/>
        <v>20</v>
      </c>
      <c r="K389" s="7">
        <f t="shared" si="59"/>
        <v>160</v>
      </c>
      <c r="L389" s="7">
        <f t="shared" si="60"/>
        <v>26</v>
      </c>
      <c r="M389" s="7">
        <f t="shared" si="61"/>
        <v>24.45</v>
      </c>
      <c r="N389" s="7">
        <f t="shared" si="62"/>
        <v>3.8461538461538464E-2</v>
      </c>
      <c r="O389" s="7">
        <f t="shared" si="63"/>
        <v>4.0899795501022497E-2</v>
      </c>
    </row>
    <row r="390" spans="9:15" x14ac:dyDescent="0.15">
      <c r="I390" s="7">
        <f t="shared" si="55"/>
        <v>9</v>
      </c>
      <c r="J390" s="7">
        <f t="shared" si="56"/>
        <v>20</v>
      </c>
      <c r="K390" s="7">
        <f t="shared" si="59"/>
        <v>180</v>
      </c>
      <c r="L390" s="7">
        <f t="shared" si="60"/>
        <v>27</v>
      </c>
      <c r="M390" s="7">
        <f t="shared" si="61"/>
        <v>26.45</v>
      </c>
      <c r="N390" s="7">
        <f t="shared" si="62"/>
        <v>3.7037037037037035E-2</v>
      </c>
      <c r="O390" s="7">
        <f t="shared" si="63"/>
        <v>3.780718336483932E-2</v>
      </c>
    </row>
    <row r="391" spans="9:15" x14ac:dyDescent="0.15">
      <c r="I391" s="7">
        <f t="shared" si="55"/>
        <v>10</v>
      </c>
      <c r="J391" s="7">
        <f t="shared" si="56"/>
        <v>20</v>
      </c>
      <c r="K391" s="7">
        <f t="shared" si="59"/>
        <v>200</v>
      </c>
      <c r="L391" s="7">
        <f t="shared" si="60"/>
        <v>28</v>
      </c>
      <c r="M391" s="7">
        <f t="shared" si="61"/>
        <v>28.45</v>
      </c>
      <c r="N391" s="7">
        <f t="shared" si="62"/>
        <v>3.5714285714285712E-2</v>
      </c>
      <c r="O391" s="7">
        <f t="shared" si="63"/>
        <v>3.5149384885764502E-2</v>
      </c>
    </row>
    <row r="392" spans="9:15" x14ac:dyDescent="0.15">
      <c r="I392" s="7">
        <f t="shared" si="55"/>
        <v>11</v>
      </c>
      <c r="J392" s="7">
        <f t="shared" si="56"/>
        <v>20</v>
      </c>
      <c r="K392" s="7">
        <f t="shared" si="59"/>
        <v>220</v>
      </c>
      <c r="L392" s="7">
        <f t="shared" si="60"/>
        <v>29</v>
      </c>
      <c r="M392" s="7">
        <f t="shared" si="61"/>
        <v>30.45</v>
      </c>
      <c r="N392" s="7">
        <f t="shared" si="62"/>
        <v>3.4482758620689655E-2</v>
      </c>
      <c r="O392" s="7">
        <f t="shared" si="63"/>
        <v>3.2840722495894911E-2</v>
      </c>
    </row>
    <row r="393" spans="9:15" x14ac:dyDescent="0.15">
      <c r="I393" s="7">
        <f t="shared" si="55"/>
        <v>12</v>
      </c>
      <c r="J393" s="7">
        <f t="shared" si="56"/>
        <v>20</v>
      </c>
      <c r="K393" s="7">
        <f t="shared" si="59"/>
        <v>240</v>
      </c>
      <c r="L393" s="7">
        <f t="shared" si="60"/>
        <v>30</v>
      </c>
      <c r="M393" s="7">
        <f t="shared" si="61"/>
        <v>32.450000000000003</v>
      </c>
      <c r="N393" s="7">
        <f t="shared" si="62"/>
        <v>3.3333333333333333E-2</v>
      </c>
      <c r="O393" s="7">
        <f t="shared" si="63"/>
        <v>3.0816640986132508E-2</v>
      </c>
    </row>
    <row r="394" spans="9:15" x14ac:dyDescent="0.15">
      <c r="I394" s="7">
        <f t="shared" si="55"/>
        <v>13</v>
      </c>
      <c r="J394" s="7">
        <f t="shared" si="56"/>
        <v>20</v>
      </c>
      <c r="K394" s="7">
        <f t="shared" si="59"/>
        <v>260</v>
      </c>
      <c r="L394" s="7">
        <f t="shared" si="60"/>
        <v>31</v>
      </c>
      <c r="M394" s="7">
        <f t="shared" si="61"/>
        <v>34.450000000000003</v>
      </c>
      <c r="N394" s="7">
        <f t="shared" si="62"/>
        <v>3.2258064516129031E-2</v>
      </c>
      <c r="O394" s="7">
        <f t="shared" si="63"/>
        <v>2.9027576197387515E-2</v>
      </c>
    </row>
    <row r="395" spans="9:15" x14ac:dyDescent="0.15">
      <c r="I395" s="7">
        <f t="shared" si="55"/>
        <v>14</v>
      </c>
      <c r="J395" s="7">
        <f t="shared" si="56"/>
        <v>20</v>
      </c>
      <c r="K395" s="7">
        <f t="shared" si="59"/>
        <v>280</v>
      </c>
      <c r="L395" s="7">
        <f t="shared" si="60"/>
        <v>32</v>
      </c>
      <c r="M395" s="7">
        <f t="shared" si="61"/>
        <v>36.450000000000003</v>
      </c>
      <c r="N395" s="7">
        <f t="shared" si="62"/>
        <v>3.125E-2</v>
      </c>
      <c r="O395" s="7">
        <f t="shared" si="63"/>
        <v>2.7434842249657063E-2</v>
      </c>
    </row>
    <row r="396" spans="9:15" x14ac:dyDescent="0.15">
      <c r="I396" s="7">
        <f t="shared" si="55"/>
        <v>15</v>
      </c>
      <c r="J396" s="7">
        <f t="shared" si="56"/>
        <v>20</v>
      </c>
      <c r="K396" s="7">
        <f t="shared" si="59"/>
        <v>300</v>
      </c>
      <c r="L396" s="7">
        <f t="shared" si="60"/>
        <v>33</v>
      </c>
      <c r="M396" s="7">
        <f t="shared" si="61"/>
        <v>38.450000000000003</v>
      </c>
      <c r="N396" s="7">
        <f t="shared" si="62"/>
        <v>3.0303030303030304E-2</v>
      </c>
      <c r="O396" s="7">
        <f t="shared" si="63"/>
        <v>2.600780234070221E-2</v>
      </c>
    </row>
    <row r="397" spans="9:15" x14ac:dyDescent="0.15">
      <c r="I397" s="7">
        <f t="shared" si="55"/>
        <v>16</v>
      </c>
      <c r="J397" s="7">
        <f t="shared" si="56"/>
        <v>20</v>
      </c>
      <c r="K397" s="7">
        <f t="shared" si="59"/>
        <v>320</v>
      </c>
      <c r="L397" s="7">
        <f t="shared" si="60"/>
        <v>34</v>
      </c>
      <c r="M397" s="7">
        <f t="shared" si="61"/>
        <v>40.450000000000003</v>
      </c>
      <c r="N397" s="7">
        <f t="shared" si="62"/>
        <v>2.9411764705882353E-2</v>
      </c>
      <c r="O397" s="7">
        <f t="shared" si="63"/>
        <v>2.4721878862793572E-2</v>
      </c>
    </row>
    <row r="398" spans="9:15" x14ac:dyDescent="0.15">
      <c r="I398" s="7">
        <f t="shared" si="55"/>
        <v>17</v>
      </c>
      <c r="J398" s="7">
        <f t="shared" si="56"/>
        <v>20</v>
      </c>
      <c r="K398" s="7">
        <f t="shared" si="59"/>
        <v>340</v>
      </c>
      <c r="L398" s="7">
        <f t="shared" si="60"/>
        <v>35</v>
      </c>
      <c r="M398" s="7">
        <f t="shared" si="61"/>
        <v>42.45</v>
      </c>
      <c r="N398" s="7">
        <f t="shared" si="62"/>
        <v>2.8571428571428571E-2</v>
      </c>
      <c r="O398" s="7">
        <f t="shared" si="63"/>
        <v>2.3557126030624261E-2</v>
      </c>
    </row>
    <row r="399" spans="9:15" x14ac:dyDescent="0.15">
      <c r="I399" s="7">
        <f t="shared" si="55"/>
        <v>18</v>
      </c>
      <c r="J399" s="7">
        <f t="shared" si="56"/>
        <v>20</v>
      </c>
      <c r="K399" s="7">
        <f t="shared" si="59"/>
        <v>360</v>
      </c>
      <c r="L399" s="7">
        <f t="shared" si="60"/>
        <v>36</v>
      </c>
      <c r="M399" s="7">
        <f t="shared" si="61"/>
        <v>44.45</v>
      </c>
      <c r="N399" s="7">
        <f t="shared" si="62"/>
        <v>2.7777777777777776E-2</v>
      </c>
      <c r="O399" s="7">
        <f t="shared" si="63"/>
        <v>2.2497187851518559E-2</v>
      </c>
    </row>
    <row r="400" spans="9:15" x14ac:dyDescent="0.15">
      <c r="I400" s="7">
        <f t="shared" si="55"/>
        <v>19</v>
      </c>
      <c r="J400" s="7">
        <f t="shared" si="56"/>
        <v>20</v>
      </c>
      <c r="K400" s="7">
        <f t="shared" si="59"/>
        <v>380</v>
      </c>
      <c r="L400" s="7">
        <f t="shared" si="60"/>
        <v>37</v>
      </c>
      <c r="M400" s="7">
        <f t="shared" si="61"/>
        <v>46.45</v>
      </c>
      <c r="N400" s="7">
        <f t="shared" si="62"/>
        <v>2.7027027027027029E-2</v>
      </c>
      <c r="O400" s="7">
        <f t="shared" si="63"/>
        <v>2.1528525296017221E-2</v>
      </c>
    </row>
    <row r="401" spans="9:15" x14ac:dyDescent="0.15">
      <c r="I401" s="7">
        <f t="shared" si="55"/>
        <v>20</v>
      </c>
      <c r="J401" s="7">
        <f t="shared" si="56"/>
        <v>20</v>
      </c>
      <c r="K401" s="7">
        <f t="shared" si="59"/>
        <v>400</v>
      </c>
      <c r="L401" s="7">
        <f t="shared" si="60"/>
        <v>38</v>
      </c>
      <c r="M401" s="7">
        <f t="shared" si="61"/>
        <v>48.45</v>
      </c>
      <c r="N401" s="7">
        <f t="shared" si="62"/>
        <v>2.6315789473684209E-2</v>
      </c>
      <c r="O401" s="7">
        <f t="shared" si="63"/>
        <v>2.063983488132095E-2</v>
      </c>
    </row>
    <row r="402" spans="9:15" x14ac:dyDescent="0.15">
      <c r="I402" s="7">
        <f t="shared" si="55"/>
        <v>1</v>
      </c>
      <c r="J402" s="7">
        <f t="shared" si="56"/>
        <v>21</v>
      </c>
      <c r="K402" s="7">
        <f>J402</f>
        <v>21</v>
      </c>
      <c r="L402" s="7">
        <f t="shared" si="60"/>
        <v>19.950000000000003</v>
      </c>
      <c r="M402" s="7">
        <f t="shared" si="61"/>
        <v>10.95</v>
      </c>
      <c r="N402" s="7">
        <f t="shared" si="62"/>
        <v>5.012531328320801E-2</v>
      </c>
      <c r="O402" s="7">
        <f t="shared" si="63"/>
        <v>9.1324200913242018E-2</v>
      </c>
    </row>
    <row r="403" spans="9:15" x14ac:dyDescent="0.15">
      <c r="I403" s="7">
        <f t="shared" si="55"/>
        <v>2</v>
      </c>
      <c r="J403" s="7">
        <f t="shared" si="56"/>
        <v>21</v>
      </c>
      <c r="K403" s="7">
        <f>K402+J402</f>
        <v>42</v>
      </c>
      <c r="L403" s="7">
        <f t="shared" si="60"/>
        <v>21.000000000000004</v>
      </c>
      <c r="M403" s="7">
        <f t="shared" si="61"/>
        <v>13.05</v>
      </c>
      <c r="N403" s="7">
        <f t="shared" si="62"/>
        <v>4.7619047619047609E-2</v>
      </c>
      <c r="O403" s="7">
        <f t="shared" si="63"/>
        <v>7.662835249042145E-2</v>
      </c>
    </row>
    <row r="404" spans="9:15" x14ac:dyDescent="0.15">
      <c r="I404" s="7">
        <f t="shared" si="55"/>
        <v>3</v>
      </c>
      <c r="J404" s="7">
        <f t="shared" si="56"/>
        <v>21</v>
      </c>
      <c r="K404" s="7">
        <f t="shared" ref="K404:K421" si="64">K403+J403</f>
        <v>63</v>
      </c>
      <c r="L404" s="7">
        <f t="shared" si="60"/>
        <v>22.050000000000004</v>
      </c>
      <c r="M404" s="7">
        <f t="shared" si="61"/>
        <v>15.15</v>
      </c>
      <c r="N404" s="7">
        <f t="shared" si="62"/>
        <v>4.5351473922902487E-2</v>
      </c>
      <c r="O404" s="7">
        <f t="shared" si="63"/>
        <v>6.6006600660066E-2</v>
      </c>
    </row>
    <row r="405" spans="9:15" x14ac:dyDescent="0.15">
      <c r="I405" s="7">
        <f t="shared" si="55"/>
        <v>4</v>
      </c>
      <c r="J405" s="7">
        <f t="shared" si="56"/>
        <v>21</v>
      </c>
      <c r="K405" s="7">
        <f t="shared" si="64"/>
        <v>84</v>
      </c>
      <c r="L405" s="7">
        <f t="shared" si="60"/>
        <v>23.1</v>
      </c>
      <c r="M405" s="7">
        <f t="shared" si="61"/>
        <v>17.25</v>
      </c>
      <c r="N405" s="7">
        <f t="shared" si="62"/>
        <v>4.3290043290043288E-2</v>
      </c>
      <c r="O405" s="7">
        <f t="shared" si="63"/>
        <v>5.7971014492753624E-2</v>
      </c>
    </row>
    <row r="406" spans="9:15" x14ac:dyDescent="0.15">
      <c r="I406" s="7">
        <f t="shared" si="55"/>
        <v>5</v>
      </c>
      <c r="J406" s="7">
        <f t="shared" si="56"/>
        <v>21</v>
      </c>
      <c r="K406" s="7">
        <f t="shared" si="64"/>
        <v>105</v>
      </c>
      <c r="L406" s="7">
        <f t="shared" si="60"/>
        <v>24.150000000000002</v>
      </c>
      <c r="M406" s="7">
        <f t="shared" si="61"/>
        <v>19.350000000000001</v>
      </c>
      <c r="N406" s="7">
        <f t="shared" si="62"/>
        <v>4.1407867494824016E-2</v>
      </c>
      <c r="O406" s="7">
        <f t="shared" si="63"/>
        <v>5.1679586563307491E-2</v>
      </c>
    </row>
    <row r="407" spans="9:15" x14ac:dyDescent="0.15">
      <c r="I407" s="7">
        <f t="shared" ref="I407:I470" si="65">I387</f>
        <v>6</v>
      </c>
      <c r="J407" s="7">
        <f t="shared" ref="J407:J470" si="66">J387+1</f>
        <v>21</v>
      </c>
      <c r="K407" s="7">
        <f t="shared" si="64"/>
        <v>126</v>
      </c>
      <c r="L407" s="7">
        <f t="shared" si="60"/>
        <v>25.200000000000003</v>
      </c>
      <c r="M407" s="7">
        <f t="shared" si="61"/>
        <v>21.450000000000003</v>
      </c>
      <c r="N407" s="7">
        <f t="shared" si="62"/>
        <v>3.968253968253968E-2</v>
      </c>
      <c r="O407" s="7">
        <f t="shared" si="63"/>
        <v>4.6620046620046617E-2</v>
      </c>
    </row>
    <row r="408" spans="9:15" x14ac:dyDescent="0.15">
      <c r="I408" s="7">
        <f t="shared" si="65"/>
        <v>7</v>
      </c>
      <c r="J408" s="7">
        <f t="shared" si="66"/>
        <v>21</v>
      </c>
      <c r="K408" s="7">
        <f t="shared" si="64"/>
        <v>147</v>
      </c>
      <c r="L408" s="7">
        <f t="shared" si="60"/>
        <v>26.250000000000004</v>
      </c>
      <c r="M408" s="7">
        <f t="shared" si="61"/>
        <v>23.55</v>
      </c>
      <c r="N408" s="7">
        <f t="shared" si="62"/>
        <v>3.8095238095238092E-2</v>
      </c>
      <c r="O408" s="7">
        <f t="shared" si="63"/>
        <v>4.2462845010615709E-2</v>
      </c>
    </row>
    <row r="409" spans="9:15" x14ac:dyDescent="0.15">
      <c r="I409" s="7">
        <f t="shared" si="65"/>
        <v>8</v>
      </c>
      <c r="J409" s="7">
        <f t="shared" si="66"/>
        <v>21</v>
      </c>
      <c r="K409" s="7">
        <f t="shared" si="64"/>
        <v>168</v>
      </c>
      <c r="L409" s="7">
        <f t="shared" si="60"/>
        <v>27.300000000000004</v>
      </c>
      <c r="M409" s="7">
        <f t="shared" si="61"/>
        <v>25.65</v>
      </c>
      <c r="N409" s="7">
        <f t="shared" si="62"/>
        <v>3.6630036630036625E-2</v>
      </c>
      <c r="O409" s="7">
        <f t="shared" si="63"/>
        <v>3.8986354775828465E-2</v>
      </c>
    </row>
    <row r="410" spans="9:15" x14ac:dyDescent="0.15">
      <c r="I410" s="7">
        <f t="shared" si="65"/>
        <v>9</v>
      </c>
      <c r="J410" s="7">
        <f t="shared" si="66"/>
        <v>21</v>
      </c>
      <c r="K410" s="7">
        <f t="shared" si="64"/>
        <v>189</v>
      </c>
      <c r="L410" s="7">
        <f t="shared" si="60"/>
        <v>28.35</v>
      </c>
      <c r="M410" s="7">
        <f t="shared" si="61"/>
        <v>27.75</v>
      </c>
      <c r="N410" s="7">
        <f t="shared" si="62"/>
        <v>3.5273368606701938E-2</v>
      </c>
      <c r="O410" s="7">
        <f t="shared" si="63"/>
        <v>3.6036036036036036E-2</v>
      </c>
    </row>
    <row r="411" spans="9:15" x14ac:dyDescent="0.15">
      <c r="I411" s="7">
        <f t="shared" si="65"/>
        <v>10</v>
      </c>
      <c r="J411" s="7">
        <f t="shared" si="66"/>
        <v>21</v>
      </c>
      <c r="K411" s="7">
        <f t="shared" si="64"/>
        <v>210</v>
      </c>
      <c r="L411" s="7">
        <f t="shared" si="60"/>
        <v>29.400000000000002</v>
      </c>
      <c r="M411" s="7">
        <f t="shared" si="61"/>
        <v>29.85</v>
      </c>
      <c r="N411" s="7">
        <f t="shared" si="62"/>
        <v>3.4013605442176867E-2</v>
      </c>
      <c r="O411" s="7">
        <f t="shared" si="63"/>
        <v>3.350083752093802E-2</v>
      </c>
    </row>
    <row r="412" spans="9:15" x14ac:dyDescent="0.15">
      <c r="I412" s="7">
        <f t="shared" si="65"/>
        <v>11</v>
      </c>
      <c r="J412" s="7">
        <f t="shared" si="66"/>
        <v>21</v>
      </c>
      <c r="K412" s="7">
        <f t="shared" si="64"/>
        <v>231</v>
      </c>
      <c r="L412" s="7">
        <f t="shared" si="60"/>
        <v>30.450000000000003</v>
      </c>
      <c r="M412" s="7">
        <f t="shared" si="61"/>
        <v>31.950000000000003</v>
      </c>
      <c r="N412" s="7">
        <f t="shared" si="62"/>
        <v>3.2840722495894904E-2</v>
      </c>
      <c r="O412" s="7">
        <f t="shared" si="63"/>
        <v>3.1298904538341152E-2</v>
      </c>
    </row>
    <row r="413" spans="9:15" x14ac:dyDescent="0.15">
      <c r="I413" s="7">
        <f t="shared" si="65"/>
        <v>12</v>
      </c>
      <c r="J413" s="7">
        <f t="shared" si="66"/>
        <v>21</v>
      </c>
      <c r="K413" s="7">
        <f t="shared" si="64"/>
        <v>252</v>
      </c>
      <c r="L413" s="7">
        <f t="shared" si="60"/>
        <v>31.500000000000004</v>
      </c>
      <c r="M413" s="7">
        <f t="shared" si="61"/>
        <v>34.050000000000004</v>
      </c>
      <c r="N413" s="7">
        <f t="shared" si="62"/>
        <v>3.1746031746031744E-2</v>
      </c>
      <c r="O413" s="7">
        <f t="shared" si="63"/>
        <v>2.9368575624082228E-2</v>
      </c>
    </row>
    <row r="414" spans="9:15" x14ac:dyDescent="0.15">
      <c r="I414" s="7">
        <f t="shared" si="65"/>
        <v>13</v>
      </c>
      <c r="J414" s="7">
        <f t="shared" si="66"/>
        <v>21</v>
      </c>
      <c r="K414" s="7">
        <f t="shared" si="64"/>
        <v>273</v>
      </c>
      <c r="L414" s="7">
        <f t="shared" si="60"/>
        <v>32.550000000000004</v>
      </c>
      <c r="M414" s="7">
        <f t="shared" si="61"/>
        <v>36.15</v>
      </c>
      <c r="N414" s="7">
        <f t="shared" si="62"/>
        <v>3.072196620583717E-2</v>
      </c>
      <c r="O414" s="7">
        <f t="shared" si="63"/>
        <v>2.7662517289073308E-2</v>
      </c>
    </row>
    <row r="415" spans="9:15" x14ac:dyDescent="0.15">
      <c r="I415" s="7">
        <f t="shared" si="65"/>
        <v>14</v>
      </c>
      <c r="J415" s="7">
        <f t="shared" si="66"/>
        <v>21</v>
      </c>
      <c r="K415" s="7">
        <f t="shared" si="64"/>
        <v>294</v>
      </c>
      <c r="L415" s="7">
        <f t="shared" si="60"/>
        <v>33.6</v>
      </c>
      <c r="M415" s="7">
        <f t="shared" si="61"/>
        <v>38.25</v>
      </c>
      <c r="N415" s="7">
        <f t="shared" si="62"/>
        <v>2.976190476190476E-2</v>
      </c>
      <c r="O415" s="7">
        <f t="shared" si="63"/>
        <v>2.6143790849673203E-2</v>
      </c>
    </row>
    <row r="416" spans="9:15" x14ac:dyDescent="0.15">
      <c r="I416" s="7">
        <f t="shared" si="65"/>
        <v>15</v>
      </c>
      <c r="J416" s="7">
        <f t="shared" si="66"/>
        <v>21</v>
      </c>
      <c r="K416" s="7">
        <f t="shared" si="64"/>
        <v>315</v>
      </c>
      <c r="L416" s="7">
        <f t="shared" si="60"/>
        <v>34.650000000000006</v>
      </c>
      <c r="M416" s="7">
        <f t="shared" si="61"/>
        <v>40.35</v>
      </c>
      <c r="N416" s="7">
        <f t="shared" si="62"/>
        <v>2.8860028860028857E-2</v>
      </c>
      <c r="O416" s="7">
        <f t="shared" si="63"/>
        <v>2.4783147459727383E-2</v>
      </c>
    </row>
    <row r="417" spans="9:15" x14ac:dyDescent="0.15">
      <c r="I417" s="7">
        <f t="shared" si="65"/>
        <v>16</v>
      </c>
      <c r="J417" s="7">
        <f t="shared" si="66"/>
        <v>21</v>
      </c>
      <c r="K417" s="7">
        <f t="shared" si="64"/>
        <v>336</v>
      </c>
      <c r="L417" s="7">
        <f t="shared" si="60"/>
        <v>35.700000000000003</v>
      </c>
      <c r="M417" s="7">
        <f t="shared" si="61"/>
        <v>42.45</v>
      </c>
      <c r="N417" s="7">
        <f t="shared" si="62"/>
        <v>2.8011204481792715E-2</v>
      </c>
      <c r="O417" s="7">
        <f t="shared" si="63"/>
        <v>2.3557126030624261E-2</v>
      </c>
    </row>
    <row r="418" spans="9:15" x14ac:dyDescent="0.15">
      <c r="I418" s="7">
        <f t="shared" si="65"/>
        <v>17</v>
      </c>
      <c r="J418" s="7">
        <f t="shared" si="66"/>
        <v>21</v>
      </c>
      <c r="K418" s="7">
        <f t="shared" si="64"/>
        <v>357</v>
      </c>
      <c r="L418" s="7">
        <f t="shared" si="60"/>
        <v>36.75</v>
      </c>
      <c r="M418" s="7">
        <f t="shared" si="61"/>
        <v>44.550000000000004</v>
      </c>
      <c r="N418" s="7">
        <f t="shared" si="62"/>
        <v>2.7210884353741496E-2</v>
      </c>
      <c r="O418" s="7">
        <f t="shared" si="63"/>
        <v>2.2446689113355778E-2</v>
      </c>
    </row>
    <row r="419" spans="9:15" x14ac:dyDescent="0.15">
      <c r="I419" s="7">
        <f t="shared" si="65"/>
        <v>18</v>
      </c>
      <c r="J419" s="7">
        <f t="shared" si="66"/>
        <v>21</v>
      </c>
      <c r="K419" s="7">
        <f t="shared" si="64"/>
        <v>378</v>
      </c>
      <c r="L419" s="7">
        <f t="shared" si="60"/>
        <v>37.800000000000004</v>
      </c>
      <c r="M419" s="7">
        <f t="shared" si="61"/>
        <v>46.650000000000006</v>
      </c>
      <c r="N419" s="7">
        <f t="shared" si="62"/>
        <v>2.6455026455026454E-2</v>
      </c>
      <c r="O419" s="7">
        <f t="shared" si="63"/>
        <v>2.1436227224008571E-2</v>
      </c>
    </row>
    <row r="420" spans="9:15" x14ac:dyDescent="0.15">
      <c r="I420" s="7">
        <f t="shared" si="65"/>
        <v>19</v>
      </c>
      <c r="J420" s="7">
        <f t="shared" si="66"/>
        <v>21</v>
      </c>
      <c r="K420" s="7">
        <f t="shared" si="64"/>
        <v>399</v>
      </c>
      <c r="L420" s="7">
        <f t="shared" si="60"/>
        <v>38.850000000000009</v>
      </c>
      <c r="M420" s="7">
        <f t="shared" si="61"/>
        <v>48.750000000000007</v>
      </c>
      <c r="N420" s="7">
        <f t="shared" si="62"/>
        <v>2.5740025740025735E-2</v>
      </c>
      <c r="O420" s="7">
        <f t="shared" si="63"/>
        <v>2.0512820512820509E-2</v>
      </c>
    </row>
    <row r="421" spans="9:15" x14ac:dyDescent="0.15">
      <c r="I421" s="7">
        <f t="shared" si="65"/>
        <v>20</v>
      </c>
      <c r="J421" s="7">
        <f t="shared" si="66"/>
        <v>21</v>
      </c>
      <c r="K421" s="7">
        <f t="shared" si="64"/>
        <v>420</v>
      </c>
      <c r="L421" s="7">
        <f t="shared" si="60"/>
        <v>39.900000000000006</v>
      </c>
      <c r="M421" s="7">
        <f t="shared" si="61"/>
        <v>50.85</v>
      </c>
      <c r="N421" s="7">
        <f t="shared" si="62"/>
        <v>2.5062656641604005E-2</v>
      </c>
      <c r="O421" s="7">
        <f t="shared" si="63"/>
        <v>1.966568338249754E-2</v>
      </c>
    </row>
    <row r="422" spans="9:15" x14ac:dyDescent="0.15">
      <c r="I422" s="7">
        <f t="shared" si="65"/>
        <v>1</v>
      </c>
      <c r="J422" s="7">
        <f t="shared" si="66"/>
        <v>22</v>
      </c>
      <c r="K422" s="7">
        <f>J422</f>
        <v>22</v>
      </c>
      <c r="L422" s="7">
        <f t="shared" si="60"/>
        <v>20.900000000000002</v>
      </c>
      <c r="M422" s="7">
        <f t="shared" si="61"/>
        <v>11.45</v>
      </c>
      <c r="N422" s="7">
        <f t="shared" si="62"/>
        <v>4.7846889952153103E-2</v>
      </c>
      <c r="O422" s="7">
        <f t="shared" si="63"/>
        <v>8.7336244541484725E-2</v>
      </c>
    </row>
    <row r="423" spans="9:15" x14ac:dyDescent="0.15">
      <c r="I423" s="7">
        <f t="shared" si="65"/>
        <v>2</v>
      </c>
      <c r="J423" s="7">
        <f t="shared" si="66"/>
        <v>22</v>
      </c>
      <c r="K423" s="7">
        <f>K422+J422</f>
        <v>44</v>
      </c>
      <c r="L423" s="7">
        <f t="shared" si="60"/>
        <v>22</v>
      </c>
      <c r="M423" s="7">
        <f t="shared" si="61"/>
        <v>13.65</v>
      </c>
      <c r="N423" s="7">
        <f t="shared" si="62"/>
        <v>4.5454545454545456E-2</v>
      </c>
      <c r="O423" s="7">
        <f t="shared" si="63"/>
        <v>7.3260073260073263E-2</v>
      </c>
    </row>
    <row r="424" spans="9:15" x14ac:dyDescent="0.15">
      <c r="I424" s="7">
        <f t="shared" si="65"/>
        <v>3</v>
      </c>
      <c r="J424" s="7">
        <f t="shared" si="66"/>
        <v>22</v>
      </c>
      <c r="K424" s="7">
        <f t="shared" ref="K424:K441" si="67">K423+J423</f>
        <v>66</v>
      </c>
      <c r="L424" s="7">
        <f t="shared" si="60"/>
        <v>23.1</v>
      </c>
      <c r="M424" s="7">
        <f t="shared" si="61"/>
        <v>15.850000000000001</v>
      </c>
      <c r="N424" s="7">
        <f t="shared" si="62"/>
        <v>4.3290043290043288E-2</v>
      </c>
      <c r="O424" s="7">
        <f t="shared" si="63"/>
        <v>6.3091482649842268E-2</v>
      </c>
    </row>
    <row r="425" spans="9:15" x14ac:dyDescent="0.15">
      <c r="I425" s="7">
        <f t="shared" si="65"/>
        <v>4</v>
      </c>
      <c r="J425" s="7">
        <f t="shared" si="66"/>
        <v>22</v>
      </c>
      <c r="K425" s="7">
        <f t="shared" si="67"/>
        <v>88</v>
      </c>
      <c r="L425" s="7">
        <f t="shared" si="60"/>
        <v>24.200000000000003</v>
      </c>
      <c r="M425" s="7">
        <f t="shared" si="61"/>
        <v>18.05</v>
      </c>
      <c r="N425" s="7">
        <f t="shared" si="62"/>
        <v>4.1322314049586771E-2</v>
      </c>
      <c r="O425" s="7">
        <f t="shared" si="63"/>
        <v>5.5401662049861494E-2</v>
      </c>
    </row>
    <row r="426" spans="9:15" x14ac:dyDescent="0.15">
      <c r="I426" s="7">
        <f t="shared" si="65"/>
        <v>5</v>
      </c>
      <c r="J426" s="7">
        <f t="shared" si="66"/>
        <v>22</v>
      </c>
      <c r="K426" s="7">
        <f t="shared" si="67"/>
        <v>110</v>
      </c>
      <c r="L426" s="7">
        <f t="shared" si="60"/>
        <v>25.3</v>
      </c>
      <c r="M426" s="7">
        <f t="shared" si="61"/>
        <v>20.25</v>
      </c>
      <c r="N426" s="7">
        <f t="shared" si="62"/>
        <v>3.9525691699604744E-2</v>
      </c>
      <c r="O426" s="7">
        <f t="shared" si="63"/>
        <v>4.9382716049382713E-2</v>
      </c>
    </row>
    <row r="427" spans="9:15" x14ac:dyDescent="0.15">
      <c r="I427" s="7">
        <f t="shared" si="65"/>
        <v>6</v>
      </c>
      <c r="J427" s="7">
        <f t="shared" si="66"/>
        <v>22</v>
      </c>
      <c r="K427" s="7">
        <f t="shared" si="67"/>
        <v>132</v>
      </c>
      <c r="L427" s="7">
        <f t="shared" si="60"/>
        <v>26.400000000000002</v>
      </c>
      <c r="M427" s="7">
        <f t="shared" si="61"/>
        <v>22.450000000000003</v>
      </c>
      <c r="N427" s="7">
        <f t="shared" si="62"/>
        <v>3.7878787878787873E-2</v>
      </c>
      <c r="O427" s="7">
        <f t="shared" si="63"/>
        <v>4.4543429844097988E-2</v>
      </c>
    </row>
    <row r="428" spans="9:15" x14ac:dyDescent="0.15">
      <c r="I428" s="7">
        <f t="shared" si="65"/>
        <v>7</v>
      </c>
      <c r="J428" s="7">
        <f t="shared" si="66"/>
        <v>22</v>
      </c>
      <c r="K428" s="7">
        <f t="shared" si="67"/>
        <v>154</v>
      </c>
      <c r="L428" s="7">
        <f t="shared" si="60"/>
        <v>27.5</v>
      </c>
      <c r="M428" s="7">
        <f t="shared" si="61"/>
        <v>24.65</v>
      </c>
      <c r="N428" s="7">
        <f t="shared" si="62"/>
        <v>3.6363636363636362E-2</v>
      </c>
      <c r="O428" s="7">
        <f t="shared" si="63"/>
        <v>4.0567951318458417E-2</v>
      </c>
    </row>
    <row r="429" spans="9:15" x14ac:dyDescent="0.15">
      <c r="I429" s="7">
        <f t="shared" si="65"/>
        <v>8</v>
      </c>
      <c r="J429" s="7">
        <f t="shared" si="66"/>
        <v>22</v>
      </c>
      <c r="K429" s="7">
        <f t="shared" si="67"/>
        <v>176</v>
      </c>
      <c r="L429" s="7">
        <f t="shared" si="60"/>
        <v>28.6</v>
      </c>
      <c r="M429" s="7">
        <f t="shared" si="61"/>
        <v>26.85</v>
      </c>
      <c r="N429" s="7">
        <f t="shared" si="62"/>
        <v>3.4965034965034961E-2</v>
      </c>
      <c r="O429" s="7">
        <f t="shared" si="63"/>
        <v>3.7243947858472994E-2</v>
      </c>
    </row>
    <row r="430" spans="9:15" x14ac:dyDescent="0.15">
      <c r="I430" s="7">
        <f t="shared" si="65"/>
        <v>9</v>
      </c>
      <c r="J430" s="7">
        <f t="shared" si="66"/>
        <v>22</v>
      </c>
      <c r="K430" s="7">
        <f t="shared" si="67"/>
        <v>198</v>
      </c>
      <c r="L430" s="7">
        <f t="shared" si="60"/>
        <v>29.700000000000003</v>
      </c>
      <c r="M430" s="7">
        <f t="shared" si="61"/>
        <v>29.05</v>
      </c>
      <c r="N430" s="7">
        <f t="shared" si="62"/>
        <v>3.3670033670033669E-2</v>
      </c>
      <c r="O430" s="7">
        <f t="shared" si="63"/>
        <v>3.4423407917383818E-2</v>
      </c>
    </row>
    <row r="431" spans="9:15" x14ac:dyDescent="0.15">
      <c r="I431" s="7">
        <f t="shared" si="65"/>
        <v>10</v>
      </c>
      <c r="J431" s="7">
        <f t="shared" si="66"/>
        <v>22</v>
      </c>
      <c r="K431" s="7">
        <f t="shared" si="67"/>
        <v>220</v>
      </c>
      <c r="L431" s="7">
        <f t="shared" si="60"/>
        <v>30.8</v>
      </c>
      <c r="M431" s="7">
        <f t="shared" si="61"/>
        <v>31.25</v>
      </c>
      <c r="N431" s="7">
        <f t="shared" si="62"/>
        <v>3.2467532467532464E-2</v>
      </c>
      <c r="O431" s="7">
        <f t="shared" si="63"/>
        <v>3.2000000000000001E-2</v>
      </c>
    </row>
    <row r="432" spans="9:15" x14ac:dyDescent="0.15">
      <c r="I432" s="7">
        <f t="shared" si="65"/>
        <v>11</v>
      </c>
      <c r="J432" s="7">
        <f t="shared" si="66"/>
        <v>22</v>
      </c>
      <c r="K432" s="7">
        <f t="shared" si="67"/>
        <v>242</v>
      </c>
      <c r="L432" s="7">
        <f t="shared" si="60"/>
        <v>31.900000000000002</v>
      </c>
      <c r="M432" s="7">
        <f t="shared" si="61"/>
        <v>33.450000000000003</v>
      </c>
      <c r="N432" s="7">
        <f t="shared" si="62"/>
        <v>3.1347962382445138E-2</v>
      </c>
      <c r="O432" s="7">
        <f t="shared" si="63"/>
        <v>2.9895366218236172E-2</v>
      </c>
    </row>
    <row r="433" spans="9:15" x14ac:dyDescent="0.15">
      <c r="I433" s="7">
        <f t="shared" si="65"/>
        <v>12</v>
      </c>
      <c r="J433" s="7">
        <f t="shared" si="66"/>
        <v>22</v>
      </c>
      <c r="K433" s="7">
        <f t="shared" si="67"/>
        <v>264</v>
      </c>
      <c r="L433" s="7">
        <f t="shared" si="60"/>
        <v>33</v>
      </c>
      <c r="M433" s="7">
        <f t="shared" si="61"/>
        <v>35.650000000000006</v>
      </c>
      <c r="N433" s="7">
        <f t="shared" si="62"/>
        <v>3.0303030303030304E-2</v>
      </c>
      <c r="O433" s="7">
        <f t="shared" si="63"/>
        <v>2.8050490883590459E-2</v>
      </c>
    </row>
    <row r="434" spans="9:15" x14ac:dyDescent="0.15">
      <c r="I434" s="7">
        <f t="shared" si="65"/>
        <v>13</v>
      </c>
      <c r="J434" s="7">
        <f t="shared" si="66"/>
        <v>22</v>
      </c>
      <c r="K434" s="7">
        <f t="shared" si="67"/>
        <v>286</v>
      </c>
      <c r="L434" s="7">
        <f t="shared" si="60"/>
        <v>34.1</v>
      </c>
      <c r="M434" s="7">
        <f t="shared" si="61"/>
        <v>37.85</v>
      </c>
      <c r="N434" s="7">
        <f t="shared" si="62"/>
        <v>2.9325513196480937E-2</v>
      </c>
      <c r="O434" s="7">
        <f t="shared" si="63"/>
        <v>2.6420079260237778E-2</v>
      </c>
    </row>
    <row r="435" spans="9:15" x14ac:dyDescent="0.15">
      <c r="I435" s="7">
        <f t="shared" si="65"/>
        <v>14</v>
      </c>
      <c r="J435" s="7">
        <f t="shared" si="66"/>
        <v>22</v>
      </c>
      <c r="K435" s="7">
        <f t="shared" si="67"/>
        <v>308</v>
      </c>
      <c r="L435" s="7">
        <f t="shared" si="60"/>
        <v>35.200000000000003</v>
      </c>
      <c r="M435" s="7">
        <f t="shared" si="61"/>
        <v>40.049999999999997</v>
      </c>
      <c r="N435" s="7">
        <f t="shared" si="62"/>
        <v>2.8409090909090908E-2</v>
      </c>
      <c r="O435" s="7">
        <f t="shared" si="63"/>
        <v>2.4968789013732836E-2</v>
      </c>
    </row>
    <row r="436" spans="9:15" x14ac:dyDescent="0.15">
      <c r="I436" s="7">
        <f t="shared" si="65"/>
        <v>15</v>
      </c>
      <c r="J436" s="7">
        <f t="shared" si="66"/>
        <v>22</v>
      </c>
      <c r="K436" s="7">
        <f t="shared" si="67"/>
        <v>330</v>
      </c>
      <c r="L436" s="7">
        <f t="shared" si="60"/>
        <v>36.299999999999997</v>
      </c>
      <c r="M436" s="7">
        <f t="shared" si="61"/>
        <v>42.25</v>
      </c>
      <c r="N436" s="7">
        <f t="shared" si="62"/>
        <v>2.7548209366391185E-2</v>
      </c>
      <c r="O436" s="7">
        <f t="shared" si="63"/>
        <v>2.3668639053254437E-2</v>
      </c>
    </row>
    <row r="437" spans="9:15" x14ac:dyDescent="0.15">
      <c r="I437" s="7">
        <f t="shared" si="65"/>
        <v>16</v>
      </c>
      <c r="J437" s="7">
        <f t="shared" si="66"/>
        <v>22</v>
      </c>
      <c r="K437" s="7">
        <f t="shared" si="67"/>
        <v>352</v>
      </c>
      <c r="L437" s="7">
        <f t="shared" si="60"/>
        <v>37.400000000000006</v>
      </c>
      <c r="M437" s="7">
        <f t="shared" si="61"/>
        <v>44.45</v>
      </c>
      <c r="N437" s="7">
        <f t="shared" si="62"/>
        <v>2.6737967914438499E-2</v>
      </c>
      <c r="O437" s="7">
        <f t="shared" si="63"/>
        <v>2.2497187851518559E-2</v>
      </c>
    </row>
    <row r="438" spans="9:15" x14ac:dyDescent="0.15">
      <c r="I438" s="7">
        <f t="shared" si="65"/>
        <v>17</v>
      </c>
      <c r="J438" s="7">
        <f t="shared" si="66"/>
        <v>22</v>
      </c>
      <c r="K438" s="7">
        <f t="shared" si="67"/>
        <v>374</v>
      </c>
      <c r="L438" s="7">
        <f t="shared" si="60"/>
        <v>38.5</v>
      </c>
      <c r="M438" s="7">
        <f t="shared" si="61"/>
        <v>46.65</v>
      </c>
      <c r="N438" s="7">
        <f t="shared" si="62"/>
        <v>2.5974025974025976E-2</v>
      </c>
      <c r="O438" s="7">
        <f t="shared" si="63"/>
        <v>2.1436227224008574E-2</v>
      </c>
    </row>
    <row r="439" spans="9:15" x14ac:dyDescent="0.15">
      <c r="I439" s="7">
        <f t="shared" si="65"/>
        <v>18</v>
      </c>
      <c r="J439" s="7">
        <f t="shared" si="66"/>
        <v>22</v>
      </c>
      <c r="K439" s="7">
        <f t="shared" si="67"/>
        <v>396</v>
      </c>
      <c r="L439" s="7">
        <f t="shared" si="60"/>
        <v>39.6</v>
      </c>
      <c r="M439" s="7">
        <f t="shared" si="61"/>
        <v>48.85</v>
      </c>
      <c r="N439" s="7">
        <f t="shared" si="62"/>
        <v>2.5252525252525252E-2</v>
      </c>
      <c r="O439" s="7">
        <f t="shared" si="63"/>
        <v>2.0470829068577275E-2</v>
      </c>
    </row>
    <row r="440" spans="9:15" x14ac:dyDescent="0.15">
      <c r="I440" s="7">
        <f t="shared" si="65"/>
        <v>19</v>
      </c>
      <c r="J440" s="7">
        <f t="shared" si="66"/>
        <v>22</v>
      </c>
      <c r="K440" s="7">
        <f t="shared" si="67"/>
        <v>418</v>
      </c>
      <c r="L440" s="7">
        <f t="shared" si="60"/>
        <v>40.700000000000003</v>
      </c>
      <c r="M440" s="7">
        <f t="shared" si="61"/>
        <v>51.050000000000004</v>
      </c>
      <c r="N440" s="7">
        <f t="shared" si="62"/>
        <v>2.4570024570024569E-2</v>
      </c>
      <c r="O440" s="7">
        <f t="shared" si="63"/>
        <v>1.958863858961802E-2</v>
      </c>
    </row>
    <row r="441" spans="9:15" x14ac:dyDescent="0.15">
      <c r="I441" s="7">
        <f t="shared" si="65"/>
        <v>20</v>
      </c>
      <c r="J441" s="7">
        <f t="shared" si="66"/>
        <v>22</v>
      </c>
      <c r="K441" s="7">
        <f t="shared" si="67"/>
        <v>440</v>
      </c>
      <c r="L441" s="7">
        <f t="shared" si="60"/>
        <v>41.8</v>
      </c>
      <c r="M441" s="7">
        <f t="shared" si="61"/>
        <v>53.25</v>
      </c>
      <c r="N441" s="7">
        <f t="shared" si="62"/>
        <v>2.3923444976076555E-2</v>
      </c>
      <c r="O441" s="7">
        <f t="shared" si="63"/>
        <v>1.8779342723004695E-2</v>
      </c>
    </row>
    <row r="442" spans="9:15" x14ac:dyDescent="0.15">
      <c r="I442" s="7">
        <f t="shared" si="65"/>
        <v>1</v>
      </c>
      <c r="J442" s="7">
        <f t="shared" si="66"/>
        <v>23</v>
      </c>
      <c r="K442" s="7">
        <f>J442</f>
        <v>23</v>
      </c>
      <c r="L442" s="7">
        <f t="shared" si="60"/>
        <v>21.849999999999998</v>
      </c>
      <c r="M442" s="7">
        <f t="shared" si="61"/>
        <v>11.950000000000001</v>
      </c>
      <c r="N442" s="7">
        <f t="shared" si="62"/>
        <v>4.5766590389016024E-2</v>
      </c>
      <c r="O442" s="7">
        <f t="shared" si="63"/>
        <v>8.3682008368200833E-2</v>
      </c>
    </row>
    <row r="443" spans="9:15" x14ac:dyDescent="0.15">
      <c r="I443" s="7">
        <f t="shared" si="65"/>
        <v>2</v>
      </c>
      <c r="J443" s="7">
        <f t="shared" si="66"/>
        <v>23</v>
      </c>
      <c r="K443" s="7">
        <f>K442+J442</f>
        <v>46</v>
      </c>
      <c r="L443" s="7">
        <f t="shared" si="60"/>
        <v>23</v>
      </c>
      <c r="M443" s="7">
        <f t="shared" si="61"/>
        <v>14.25</v>
      </c>
      <c r="N443" s="7">
        <f t="shared" si="62"/>
        <v>4.3478260869565216E-2</v>
      </c>
      <c r="O443" s="7">
        <f t="shared" si="63"/>
        <v>7.0175438596491224E-2</v>
      </c>
    </row>
    <row r="444" spans="9:15" x14ac:dyDescent="0.15">
      <c r="I444" s="7">
        <f t="shared" si="65"/>
        <v>3</v>
      </c>
      <c r="J444" s="7">
        <f t="shared" si="66"/>
        <v>23</v>
      </c>
      <c r="K444" s="7">
        <f t="shared" ref="K444:K461" si="68">K443+J443</f>
        <v>69</v>
      </c>
      <c r="L444" s="7">
        <f t="shared" si="60"/>
        <v>24.15</v>
      </c>
      <c r="M444" s="7">
        <f t="shared" si="61"/>
        <v>16.55</v>
      </c>
      <c r="N444" s="7">
        <f t="shared" si="62"/>
        <v>4.1407867494824016E-2</v>
      </c>
      <c r="O444" s="7">
        <f t="shared" si="63"/>
        <v>6.0422960725075525E-2</v>
      </c>
    </row>
    <row r="445" spans="9:15" x14ac:dyDescent="0.15">
      <c r="I445" s="7">
        <f t="shared" si="65"/>
        <v>4</v>
      </c>
      <c r="J445" s="7">
        <f t="shared" si="66"/>
        <v>23</v>
      </c>
      <c r="K445" s="7">
        <f t="shared" si="68"/>
        <v>92</v>
      </c>
      <c r="L445" s="7">
        <f t="shared" si="60"/>
        <v>25.3</v>
      </c>
      <c r="M445" s="7">
        <f t="shared" si="61"/>
        <v>18.850000000000001</v>
      </c>
      <c r="N445" s="7">
        <f t="shared" si="62"/>
        <v>3.9525691699604744E-2</v>
      </c>
      <c r="O445" s="7">
        <f t="shared" si="63"/>
        <v>5.305039787798408E-2</v>
      </c>
    </row>
    <row r="446" spans="9:15" x14ac:dyDescent="0.15">
      <c r="I446" s="7">
        <f t="shared" si="65"/>
        <v>5</v>
      </c>
      <c r="J446" s="7">
        <f t="shared" si="66"/>
        <v>23</v>
      </c>
      <c r="K446" s="7">
        <f t="shared" si="68"/>
        <v>115</v>
      </c>
      <c r="L446" s="7">
        <f t="shared" si="60"/>
        <v>26.45</v>
      </c>
      <c r="M446" s="7">
        <f t="shared" si="61"/>
        <v>21.15</v>
      </c>
      <c r="N446" s="7">
        <f t="shared" si="62"/>
        <v>3.780718336483932E-2</v>
      </c>
      <c r="O446" s="7">
        <f t="shared" si="63"/>
        <v>4.7281323877068564E-2</v>
      </c>
    </row>
    <row r="447" spans="9:15" x14ac:dyDescent="0.15">
      <c r="I447" s="7">
        <f t="shared" si="65"/>
        <v>6</v>
      </c>
      <c r="J447" s="7">
        <f t="shared" si="66"/>
        <v>23</v>
      </c>
      <c r="K447" s="7">
        <f t="shared" si="68"/>
        <v>138</v>
      </c>
      <c r="L447" s="7">
        <f t="shared" si="60"/>
        <v>27.6</v>
      </c>
      <c r="M447" s="7">
        <f t="shared" si="61"/>
        <v>23.450000000000003</v>
      </c>
      <c r="N447" s="7">
        <f t="shared" si="62"/>
        <v>3.6231884057971016E-2</v>
      </c>
      <c r="O447" s="7">
        <f t="shared" si="63"/>
        <v>4.2643923240938159E-2</v>
      </c>
    </row>
    <row r="448" spans="9:15" x14ac:dyDescent="0.15">
      <c r="I448" s="7">
        <f t="shared" si="65"/>
        <v>7</v>
      </c>
      <c r="J448" s="7">
        <f t="shared" si="66"/>
        <v>23</v>
      </c>
      <c r="K448" s="7">
        <f t="shared" si="68"/>
        <v>161</v>
      </c>
      <c r="L448" s="7">
        <f t="shared" si="60"/>
        <v>28.75</v>
      </c>
      <c r="M448" s="7">
        <f t="shared" si="61"/>
        <v>25.75</v>
      </c>
      <c r="N448" s="7">
        <f t="shared" si="62"/>
        <v>3.4782608695652174E-2</v>
      </c>
      <c r="O448" s="7">
        <f t="shared" si="63"/>
        <v>3.8834951456310676E-2</v>
      </c>
    </row>
    <row r="449" spans="9:15" x14ac:dyDescent="0.15">
      <c r="I449" s="7">
        <f t="shared" si="65"/>
        <v>8</v>
      </c>
      <c r="J449" s="7">
        <f t="shared" si="66"/>
        <v>23</v>
      </c>
      <c r="K449" s="7">
        <f t="shared" si="68"/>
        <v>184</v>
      </c>
      <c r="L449" s="7">
        <f t="shared" si="60"/>
        <v>29.9</v>
      </c>
      <c r="M449" s="7">
        <f t="shared" si="61"/>
        <v>28.050000000000004</v>
      </c>
      <c r="N449" s="7">
        <f t="shared" si="62"/>
        <v>3.3444816053511704E-2</v>
      </c>
      <c r="O449" s="7">
        <f t="shared" si="63"/>
        <v>3.5650623885917998E-2</v>
      </c>
    </row>
    <row r="450" spans="9:15" x14ac:dyDescent="0.15">
      <c r="I450" s="7">
        <f t="shared" si="65"/>
        <v>9</v>
      </c>
      <c r="J450" s="7">
        <f t="shared" si="66"/>
        <v>23</v>
      </c>
      <c r="K450" s="7">
        <f t="shared" si="68"/>
        <v>207</v>
      </c>
      <c r="L450" s="7">
        <f t="shared" si="60"/>
        <v>31.05</v>
      </c>
      <c r="M450" s="7">
        <f t="shared" si="61"/>
        <v>30.35</v>
      </c>
      <c r="N450" s="7">
        <f t="shared" si="62"/>
        <v>3.2206119162640899E-2</v>
      </c>
      <c r="O450" s="7">
        <f t="shared" si="63"/>
        <v>3.2948929159802305E-2</v>
      </c>
    </row>
    <row r="451" spans="9:15" x14ac:dyDescent="0.15">
      <c r="I451" s="7">
        <f t="shared" si="65"/>
        <v>10</v>
      </c>
      <c r="J451" s="7">
        <f t="shared" si="66"/>
        <v>23</v>
      </c>
      <c r="K451" s="7">
        <f t="shared" si="68"/>
        <v>230</v>
      </c>
      <c r="L451" s="7">
        <f t="shared" ref="L451:L514" si="69">0.9*J451+0.05*K451</f>
        <v>32.200000000000003</v>
      </c>
      <c r="M451" s="7">
        <f t="shared" ref="M451:M514" si="70">0.45+0.4*J451+0.1*K451</f>
        <v>32.65</v>
      </c>
      <c r="N451" s="7">
        <f t="shared" ref="N451:N514" si="71">1/L451</f>
        <v>3.1055900621118009E-2</v>
      </c>
      <c r="O451" s="7">
        <f t="shared" ref="O451:O514" si="72">1/M451</f>
        <v>3.0627871362940276E-2</v>
      </c>
    </row>
    <row r="452" spans="9:15" x14ac:dyDescent="0.15">
      <c r="I452" s="7">
        <f t="shared" si="65"/>
        <v>11</v>
      </c>
      <c r="J452" s="7">
        <f t="shared" si="66"/>
        <v>23</v>
      </c>
      <c r="K452" s="7">
        <f t="shared" si="68"/>
        <v>253</v>
      </c>
      <c r="L452" s="7">
        <f t="shared" si="69"/>
        <v>33.35</v>
      </c>
      <c r="M452" s="7">
        <f t="shared" si="70"/>
        <v>34.950000000000003</v>
      </c>
      <c r="N452" s="7">
        <f t="shared" si="71"/>
        <v>2.9985007496251874E-2</v>
      </c>
      <c r="O452" s="7">
        <f t="shared" si="72"/>
        <v>2.8612303290414875E-2</v>
      </c>
    </row>
    <row r="453" spans="9:15" x14ac:dyDescent="0.15">
      <c r="I453" s="7">
        <f t="shared" si="65"/>
        <v>12</v>
      </c>
      <c r="J453" s="7">
        <f t="shared" si="66"/>
        <v>23</v>
      </c>
      <c r="K453" s="7">
        <f t="shared" si="68"/>
        <v>276</v>
      </c>
      <c r="L453" s="7">
        <f t="shared" si="69"/>
        <v>34.5</v>
      </c>
      <c r="M453" s="7">
        <f t="shared" si="70"/>
        <v>37.25</v>
      </c>
      <c r="N453" s="7">
        <f t="shared" si="71"/>
        <v>2.8985507246376812E-2</v>
      </c>
      <c r="O453" s="7">
        <f t="shared" si="72"/>
        <v>2.6845637583892617E-2</v>
      </c>
    </row>
    <row r="454" spans="9:15" x14ac:dyDescent="0.15">
      <c r="I454" s="7">
        <f t="shared" si="65"/>
        <v>13</v>
      </c>
      <c r="J454" s="7">
        <f t="shared" si="66"/>
        <v>23</v>
      </c>
      <c r="K454" s="7">
        <f t="shared" si="68"/>
        <v>299</v>
      </c>
      <c r="L454" s="7">
        <f t="shared" si="69"/>
        <v>35.65</v>
      </c>
      <c r="M454" s="7">
        <f t="shared" si="70"/>
        <v>39.550000000000004</v>
      </c>
      <c r="N454" s="7">
        <f t="shared" si="71"/>
        <v>2.8050490883590466E-2</v>
      </c>
      <c r="O454" s="7">
        <f t="shared" si="72"/>
        <v>2.5284450063211124E-2</v>
      </c>
    </row>
    <row r="455" spans="9:15" x14ac:dyDescent="0.15">
      <c r="I455" s="7">
        <f t="shared" si="65"/>
        <v>14</v>
      </c>
      <c r="J455" s="7">
        <f t="shared" si="66"/>
        <v>23</v>
      </c>
      <c r="K455" s="7">
        <f t="shared" si="68"/>
        <v>322</v>
      </c>
      <c r="L455" s="7">
        <f t="shared" si="69"/>
        <v>36.799999999999997</v>
      </c>
      <c r="M455" s="7">
        <f t="shared" si="70"/>
        <v>41.85</v>
      </c>
      <c r="N455" s="7">
        <f t="shared" si="71"/>
        <v>2.7173913043478264E-2</v>
      </c>
      <c r="O455" s="7">
        <f t="shared" si="72"/>
        <v>2.3894862604540022E-2</v>
      </c>
    </row>
    <row r="456" spans="9:15" x14ac:dyDescent="0.15">
      <c r="I456" s="7">
        <f t="shared" si="65"/>
        <v>15</v>
      </c>
      <c r="J456" s="7">
        <f t="shared" si="66"/>
        <v>23</v>
      </c>
      <c r="K456" s="7">
        <f t="shared" si="68"/>
        <v>345</v>
      </c>
      <c r="L456" s="7">
        <f t="shared" si="69"/>
        <v>37.950000000000003</v>
      </c>
      <c r="M456" s="7">
        <f t="shared" si="70"/>
        <v>44.15</v>
      </c>
      <c r="N456" s="7">
        <f t="shared" si="71"/>
        <v>2.6350461133069828E-2</v>
      </c>
      <c r="O456" s="7">
        <f t="shared" si="72"/>
        <v>2.2650056625141565E-2</v>
      </c>
    </row>
    <row r="457" spans="9:15" x14ac:dyDescent="0.15">
      <c r="I457" s="7">
        <f t="shared" si="65"/>
        <v>16</v>
      </c>
      <c r="J457" s="7">
        <f t="shared" si="66"/>
        <v>23</v>
      </c>
      <c r="K457" s="7">
        <f t="shared" si="68"/>
        <v>368</v>
      </c>
      <c r="L457" s="7">
        <f t="shared" si="69"/>
        <v>39.1</v>
      </c>
      <c r="M457" s="7">
        <f t="shared" si="70"/>
        <v>46.45</v>
      </c>
      <c r="N457" s="7">
        <f t="shared" si="71"/>
        <v>2.557544757033248E-2</v>
      </c>
      <c r="O457" s="7">
        <f t="shared" si="72"/>
        <v>2.1528525296017221E-2</v>
      </c>
    </row>
    <row r="458" spans="9:15" x14ac:dyDescent="0.15">
      <c r="I458" s="7">
        <f t="shared" si="65"/>
        <v>17</v>
      </c>
      <c r="J458" s="7">
        <f t="shared" si="66"/>
        <v>23</v>
      </c>
      <c r="K458" s="7">
        <f t="shared" si="68"/>
        <v>391</v>
      </c>
      <c r="L458" s="7">
        <f t="shared" si="69"/>
        <v>40.25</v>
      </c>
      <c r="M458" s="7">
        <f t="shared" si="70"/>
        <v>48.75</v>
      </c>
      <c r="N458" s="7">
        <f t="shared" si="71"/>
        <v>2.4844720496894408E-2</v>
      </c>
      <c r="O458" s="7">
        <f t="shared" si="72"/>
        <v>2.0512820512820513E-2</v>
      </c>
    </row>
    <row r="459" spans="9:15" x14ac:dyDescent="0.15">
      <c r="I459" s="7">
        <f t="shared" si="65"/>
        <v>18</v>
      </c>
      <c r="J459" s="7">
        <f t="shared" si="66"/>
        <v>23</v>
      </c>
      <c r="K459" s="7">
        <f t="shared" si="68"/>
        <v>414</v>
      </c>
      <c r="L459" s="7">
        <f t="shared" si="69"/>
        <v>41.400000000000006</v>
      </c>
      <c r="M459" s="7">
        <f t="shared" si="70"/>
        <v>51.050000000000004</v>
      </c>
      <c r="N459" s="7">
        <f t="shared" si="71"/>
        <v>2.4154589371980673E-2</v>
      </c>
      <c r="O459" s="7">
        <f t="shared" si="72"/>
        <v>1.958863858961802E-2</v>
      </c>
    </row>
    <row r="460" spans="9:15" x14ac:dyDescent="0.15">
      <c r="I460" s="7">
        <f t="shared" si="65"/>
        <v>19</v>
      </c>
      <c r="J460" s="7">
        <f t="shared" si="66"/>
        <v>23</v>
      </c>
      <c r="K460" s="7">
        <f t="shared" si="68"/>
        <v>437</v>
      </c>
      <c r="L460" s="7">
        <f t="shared" si="69"/>
        <v>42.55</v>
      </c>
      <c r="M460" s="7">
        <f t="shared" si="70"/>
        <v>53.35</v>
      </c>
      <c r="N460" s="7">
        <f t="shared" si="71"/>
        <v>2.3501762632197415E-2</v>
      </c>
      <c r="O460" s="7">
        <f t="shared" si="72"/>
        <v>1.874414245548266E-2</v>
      </c>
    </row>
    <row r="461" spans="9:15" x14ac:dyDescent="0.15">
      <c r="I461" s="7">
        <f t="shared" si="65"/>
        <v>20</v>
      </c>
      <c r="J461" s="7">
        <f t="shared" si="66"/>
        <v>23</v>
      </c>
      <c r="K461" s="7">
        <f t="shared" si="68"/>
        <v>460</v>
      </c>
      <c r="L461" s="7">
        <f t="shared" si="69"/>
        <v>43.7</v>
      </c>
      <c r="M461" s="7">
        <f t="shared" si="70"/>
        <v>55.65</v>
      </c>
      <c r="N461" s="7">
        <f t="shared" si="71"/>
        <v>2.2883295194508008E-2</v>
      </c>
      <c r="O461" s="7">
        <f t="shared" si="72"/>
        <v>1.7969451931716084E-2</v>
      </c>
    </row>
    <row r="462" spans="9:15" x14ac:dyDescent="0.15">
      <c r="I462" s="7">
        <f t="shared" si="65"/>
        <v>1</v>
      </c>
      <c r="J462" s="7">
        <f t="shared" si="66"/>
        <v>24</v>
      </c>
      <c r="K462" s="7">
        <f>J462</f>
        <v>24</v>
      </c>
      <c r="L462" s="7">
        <f t="shared" si="69"/>
        <v>22.8</v>
      </c>
      <c r="M462" s="7">
        <f t="shared" si="70"/>
        <v>12.450000000000001</v>
      </c>
      <c r="N462" s="7">
        <f t="shared" si="71"/>
        <v>4.3859649122807015E-2</v>
      </c>
      <c r="O462" s="7">
        <f t="shared" si="72"/>
        <v>8.0321285140562249E-2</v>
      </c>
    </row>
    <row r="463" spans="9:15" x14ac:dyDescent="0.15">
      <c r="I463" s="7">
        <f t="shared" si="65"/>
        <v>2</v>
      </c>
      <c r="J463" s="7">
        <f t="shared" si="66"/>
        <v>24</v>
      </c>
      <c r="K463" s="7">
        <f>K462+J462</f>
        <v>48</v>
      </c>
      <c r="L463" s="7">
        <f t="shared" si="69"/>
        <v>24</v>
      </c>
      <c r="M463" s="7">
        <f t="shared" si="70"/>
        <v>14.850000000000001</v>
      </c>
      <c r="N463" s="7">
        <f t="shared" si="71"/>
        <v>4.1666666666666664E-2</v>
      </c>
      <c r="O463" s="7">
        <f t="shared" si="72"/>
        <v>6.7340067340067339E-2</v>
      </c>
    </row>
    <row r="464" spans="9:15" x14ac:dyDescent="0.15">
      <c r="I464" s="7">
        <f t="shared" si="65"/>
        <v>3</v>
      </c>
      <c r="J464" s="7">
        <f t="shared" si="66"/>
        <v>24</v>
      </c>
      <c r="K464" s="7">
        <f t="shared" ref="K464:K481" si="73">K463+J463</f>
        <v>72</v>
      </c>
      <c r="L464" s="7">
        <f t="shared" si="69"/>
        <v>25.200000000000003</v>
      </c>
      <c r="M464" s="7">
        <f t="shared" si="70"/>
        <v>17.25</v>
      </c>
      <c r="N464" s="7">
        <f t="shared" si="71"/>
        <v>3.968253968253968E-2</v>
      </c>
      <c r="O464" s="7">
        <f t="shared" si="72"/>
        <v>5.7971014492753624E-2</v>
      </c>
    </row>
    <row r="465" spans="9:15" x14ac:dyDescent="0.15">
      <c r="I465" s="7">
        <f t="shared" si="65"/>
        <v>4</v>
      </c>
      <c r="J465" s="7">
        <f t="shared" si="66"/>
        <v>24</v>
      </c>
      <c r="K465" s="7">
        <f t="shared" si="73"/>
        <v>96</v>
      </c>
      <c r="L465" s="7">
        <f t="shared" si="69"/>
        <v>26.400000000000002</v>
      </c>
      <c r="M465" s="7">
        <f t="shared" si="70"/>
        <v>19.650000000000002</v>
      </c>
      <c r="N465" s="7">
        <f t="shared" si="71"/>
        <v>3.7878787878787873E-2</v>
      </c>
      <c r="O465" s="7">
        <f t="shared" si="72"/>
        <v>5.0890585241730277E-2</v>
      </c>
    </row>
    <row r="466" spans="9:15" x14ac:dyDescent="0.15">
      <c r="I466" s="7">
        <f t="shared" si="65"/>
        <v>5</v>
      </c>
      <c r="J466" s="7">
        <f t="shared" si="66"/>
        <v>24</v>
      </c>
      <c r="K466" s="7">
        <f t="shared" si="73"/>
        <v>120</v>
      </c>
      <c r="L466" s="7">
        <f t="shared" si="69"/>
        <v>27.6</v>
      </c>
      <c r="M466" s="7">
        <f t="shared" si="70"/>
        <v>22.05</v>
      </c>
      <c r="N466" s="7">
        <f t="shared" si="71"/>
        <v>3.6231884057971016E-2</v>
      </c>
      <c r="O466" s="7">
        <f t="shared" si="72"/>
        <v>4.5351473922902494E-2</v>
      </c>
    </row>
    <row r="467" spans="9:15" x14ac:dyDescent="0.15">
      <c r="I467" s="7">
        <f t="shared" si="65"/>
        <v>6</v>
      </c>
      <c r="J467" s="7">
        <f t="shared" si="66"/>
        <v>24</v>
      </c>
      <c r="K467" s="7">
        <f t="shared" si="73"/>
        <v>144</v>
      </c>
      <c r="L467" s="7">
        <f t="shared" si="69"/>
        <v>28.8</v>
      </c>
      <c r="M467" s="7">
        <f t="shared" si="70"/>
        <v>24.450000000000003</v>
      </c>
      <c r="N467" s="7">
        <f t="shared" si="71"/>
        <v>3.4722222222222224E-2</v>
      </c>
      <c r="O467" s="7">
        <f t="shared" si="72"/>
        <v>4.089979550102249E-2</v>
      </c>
    </row>
    <row r="468" spans="9:15" x14ac:dyDescent="0.15">
      <c r="I468" s="7">
        <f t="shared" si="65"/>
        <v>7</v>
      </c>
      <c r="J468" s="7">
        <f t="shared" si="66"/>
        <v>24</v>
      </c>
      <c r="K468" s="7">
        <f t="shared" si="73"/>
        <v>168</v>
      </c>
      <c r="L468" s="7">
        <f t="shared" si="69"/>
        <v>30</v>
      </c>
      <c r="M468" s="7">
        <f t="shared" si="70"/>
        <v>26.85</v>
      </c>
      <c r="N468" s="7">
        <f t="shared" si="71"/>
        <v>3.3333333333333333E-2</v>
      </c>
      <c r="O468" s="7">
        <f t="shared" si="72"/>
        <v>3.7243947858472994E-2</v>
      </c>
    </row>
    <row r="469" spans="9:15" x14ac:dyDescent="0.15">
      <c r="I469" s="7">
        <f t="shared" si="65"/>
        <v>8</v>
      </c>
      <c r="J469" s="7">
        <f t="shared" si="66"/>
        <v>24</v>
      </c>
      <c r="K469" s="7">
        <f t="shared" si="73"/>
        <v>192</v>
      </c>
      <c r="L469" s="7">
        <f t="shared" si="69"/>
        <v>31.200000000000003</v>
      </c>
      <c r="M469" s="7">
        <f t="shared" si="70"/>
        <v>29.250000000000004</v>
      </c>
      <c r="N469" s="7">
        <f t="shared" si="71"/>
        <v>3.2051282051282048E-2</v>
      </c>
      <c r="O469" s="7">
        <f t="shared" si="72"/>
        <v>3.4188034188034185E-2</v>
      </c>
    </row>
    <row r="470" spans="9:15" x14ac:dyDescent="0.15">
      <c r="I470" s="7">
        <f t="shared" si="65"/>
        <v>9</v>
      </c>
      <c r="J470" s="7">
        <f t="shared" si="66"/>
        <v>24</v>
      </c>
      <c r="K470" s="7">
        <f t="shared" si="73"/>
        <v>216</v>
      </c>
      <c r="L470" s="7">
        <f t="shared" si="69"/>
        <v>32.400000000000006</v>
      </c>
      <c r="M470" s="7">
        <f t="shared" si="70"/>
        <v>31.650000000000002</v>
      </c>
      <c r="N470" s="7">
        <f t="shared" si="71"/>
        <v>3.0864197530864192E-2</v>
      </c>
      <c r="O470" s="7">
        <f t="shared" si="72"/>
        <v>3.15955766192733E-2</v>
      </c>
    </row>
    <row r="471" spans="9:15" x14ac:dyDescent="0.15">
      <c r="I471" s="7">
        <f t="shared" ref="I471:I534" si="74">I451</f>
        <v>10</v>
      </c>
      <c r="J471" s="7">
        <f t="shared" ref="J471:J534" si="75">J451+1</f>
        <v>24</v>
      </c>
      <c r="K471" s="7">
        <f t="shared" si="73"/>
        <v>240</v>
      </c>
      <c r="L471" s="7">
        <f t="shared" si="69"/>
        <v>33.6</v>
      </c>
      <c r="M471" s="7">
        <f t="shared" si="70"/>
        <v>34.049999999999997</v>
      </c>
      <c r="N471" s="7">
        <f t="shared" si="71"/>
        <v>2.976190476190476E-2</v>
      </c>
      <c r="O471" s="7">
        <f t="shared" si="72"/>
        <v>2.9368575624082235E-2</v>
      </c>
    </row>
    <row r="472" spans="9:15" x14ac:dyDescent="0.15">
      <c r="I472" s="7">
        <f t="shared" si="74"/>
        <v>11</v>
      </c>
      <c r="J472" s="7">
        <f t="shared" si="75"/>
        <v>24</v>
      </c>
      <c r="K472" s="7">
        <f t="shared" si="73"/>
        <v>264</v>
      </c>
      <c r="L472" s="7">
        <f t="shared" si="69"/>
        <v>34.800000000000004</v>
      </c>
      <c r="M472" s="7">
        <f t="shared" si="70"/>
        <v>36.450000000000003</v>
      </c>
      <c r="N472" s="7">
        <f t="shared" si="71"/>
        <v>2.8735632183908042E-2</v>
      </c>
      <c r="O472" s="7">
        <f t="shared" si="72"/>
        <v>2.7434842249657063E-2</v>
      </c>
    </row>
    <row r="473" spans="9:15" x14ac:dyDescent="0.15">
      <c r="I473" s="7">
        <f t="shared" si="74"/>
        <v>12</v>
      </c>
      <c r="J473" s="7">
        <f t="shared" si="75"/>
        <v>24</v>
      </c>
      <c r="K473" s="7">
        <f t="shared" si="73"/>
        <v>288</v>
      </c>
      <c r="L473" s="7">
        <f t="shared" si="69"/>
        <v>36</v>
      </c>
      <c r="M473" s="7">
        <f t="shared" si="70"/>
        <v>38.85</v>
      </c>
      <c r="N473" s="7">
        <f t="shared" si="71"/>
        <v>2.7777777777777776E-2</v>
      </c>
      <c r="O473" s="7">
        <f t="shared" si="72"/>
        <v>2.5740025740025738E-2</v>
      </c>
    </row>
    <row r="474" spans="9:15" x14ac:dyDescent="0.15">
      <c r="I474" s="7">
        <f t="shared" si="74"/>
        <v>13</v>
      </c>
      <c r="J474" s="7">
        <f t="shared" si="75"/>
        <v>24</v>
      </c>
      <c r="K474" s="7">
        <f t="shared" si="73"/>
        <v>312</v>
      </c>
      <c r="L474" s="7">
        <f t="shared" si="69"/>
        <v>37.200000000000003</v>
      </c>
      <c r="M474" s="7">
        <f t="shared" si="70"/>
        <v>41.25</v>
      </c>
      <c r="N474" s="7">
        <f t="shared" si="71"/>
        <v>2.6881720430107524E-2</v>
      </c>
      <c r="O474" s="7">
        <f t="shared" si="72"/>
        <v>2.4242424242424242E-2</v>
      </c>
    </row>
    <row r="475" spans="9:15" x14ac:dyDescent="0.15">
      <c r="I475" s="7">
        <f t="shared" si="74"/>
        <v>14</v>
      </c>
      <c r="J475" s="7">
        <f t="shared" si="75"/>
        <v>24</v>
      </c>
      <c r="K475" s="7">
        <f t="shared" si="73"/>
        <v>336</v>
      </c>
      <c r="L475" s="7">
        <f t="shared" si="69"/>
        <v>38.400000000000006</v>
      </c>
      <c r="M475" s="7">
        <f t="shared" si="70"/>
        <v>43.650000000000006</v>
      </c>
      <c r="N475" s="7">
        <f t="shared" si="71"/>
        <v>2.6041666666666664E-2</v>
      </c>
      <c r="O475" s="7">
        <f t="shared" si="72"/>
        <v>2.2909507445589918E-2</v>
      </c>
    </row>
    <row r="476" spans="9:15" x14ac:dyDescent="0.15">
      <c r="I476" s="7">
        <f t="shared" si="74"/>
        <v>15</v>
      </c>
      <c r="J476" s="7">
        <f t="shared" si="75"/>
        <v>24</v>
      </c>
      <c r="K476" s="7">
        <f t="shared" si="73"/>
        <v>360</v>
      </c>
      <c r="L476" s="7">
        <f t="shared" si="69"/>
        <v>39.6</v>
      </c>
      <c r="M476" s="7">
        <f t="shared" si="70"/>
        <v>46.05</v>
      </c>
      <c r="N476" s="7">
        <f t="shared" si="71"/>
        <v>2.5252525252525252E-2</v>
      </c>
      <c r="O476" s="7">
        <f t="shared" si="72"/>
        <v>2.171552660152009E-2</v>
      </c>
    </row>
    <row r="477" spans="9:15" x14ac:dyDescent="0.15">
      <c r="I477" s="7">
        <f t="shared" si="74"/>
        <v>16</v>
      </c>
      <c r="J477" s="7">
        <f t="shared" si="75"/>
        <v>24</v>
      </c>
      <c r="K477" s="7">
        <f t="shared" si="73"/>
        <v>384</v>
      </c>
      <c r="L477" s="7">
        <f t="shared" si="69"/>
        <v>40.800000000000004</v>
      </c>
      <c r="M477" s="7">
        <f t="shared" si="70"/>
        <v>48.45</v>
      </c>
      <c r="N477" s="7">
        <f t="shared" si="71"/>
        <v>2.4509803921568624E-2</v>
      </c>
      <c r="O477" s="7">
        <f t="shared" si="72"/>
        <v>2.063983488132095E-2</v>
      </c>
    </row>
    <row r="478" spans="9:15" x14ac:dyDescent="0.15">
      <c r="I478" s="7">
        <f t="shared" si="74"/>
        <v>17</v>
      </c>
      <c r="J478" s="7">
        <f t="shared" si="75"/>
        <v>24</v>
      </c>
      <c r="K478" s="7">
        <f t="shared" si="73"/>
        <v>408</v>
      </c>
      <c r="L478" s="7">
        <f t="shared" si="69"/>
        <v>42</v>
      </c>
      <c r="M478" s="7">
        <f t="shared" si="70"/>
        <v>50.850000000000009</v>
      </c>
      <c r="N478" s="7">
        <f t="shared" si="71"/>
        <v>2.3809523809523808E-2</v>
      </c>
      <c r="O478" s="7">
        <f t="shared" si="72"/>
        <v>1.9665683382497537E-2</v>
      </c>
    </row>
    <row r="479" spans="9:15" x14ac:dyDescent="0.15">
      <c r="I479" s="7">
        <f t="shared" si="74"/>
        <v>18</v>
      </c>
      <c r="J479" s="7">
        <f t="shared" si="75"/>
        <v>24</v>
      </c>
      <c r="K479" s="7">
        <f t="shared" si="73"/>
        <v>432</v>
      </c>
      <c r="L479" s="7">
        <f t="shared" si="69"/>
        <v>43.2</v>
      </c>
      <c r="M479" s="7">
        <f t="shared" si="70"/>
        <v>53.25</v>
      </c>
      <c r="N479" s="7">
        <f t="shared" si="71"/>
        <v>2.3148148148148147E-2</v>
      </c>
      <c r="O479" s="7">
        <f t="shared" si="72"/>
        <v>1.8779342723004695E-2</v>
      </c>
    </row>
    <row r="480" spans="9:15" x14ac:dyDescent="0.15">
      <c r="I480" s="7">
        <f t="shared" si="74"/>
        <v>19</v>
      </c>
      <c r="J480" s="7">
        <f t="shared" si="75"/>
        <v>24</v>
      </c>
      <c r="K480" s="7">
        <f t="shared" si="73"/>
        <v>456</v>
      </c>
      <c r="L480" s="7">
        <f t="shared" si="69"/>
        <v>44.400000000000006</v>
      </c>
      <c r="M480" s="7">
        <f t="shared" si="70"/>
        <v>55.650000000000006</v>
      </c>
      <c r="N480" s="7">
        <f t="shared" si="71"/>
        <v>2.2522522522522518E-2</v>
      </c>
      <c r="O480" s="7">
        <f t="shared" si="72"/>
        <v>1.796945193171608E-2</v>
      </c>
    </row>
    <row r="481" spans="9:15" x14ac:dyDescent="0.15">
      <c r="I481" s="7">
        <f t="shared" si="74"/>
        <v>20</v>
      </c>
      <c r="J481" s="7">
        <f t="shared" si="75"/>
        <v>24</v>
      </c>
      <c r="K481" s="7">
        <f t="shared" si="73"/>
        <v>480</v>
      </c>
      <c r="L481" s="7">
        <f t="shared" si="69"/>
        <v>45.6</v>
      </c>
      <c r="M481" s="7">
        <f t="shared" si="70"/>
        <v>58.05</v>
      </c>
      <c r="N481" s="7">
        <f t="shared" si="71"/>
        <v>2.1929824561403508E-2</v>
      </c>
      <c r="O481" s="7">
        <f t="shared" si="72"/>
        <v>1.7226528854435832E-2</v>
      </c>
    </row>
    <row r="482" spans="9:15" x14ac:dyDescent="0.15">
      <c r="I482" s="7">
        <f t="shared" si="74"/>
        <v>1</v>
      </c>
      <c r="J482" s="7">
        <f t="shared" si="75"/>
        <v>25</v>
      </c>
      <c r="K482" s="7">
        <f>J482</f>
        <v>25</v>
      </c>
      <c r="L482" s="7">
        <f t="shared" si="69"/>
        <v>23.75</v>
      </c>
      <c r="M482" s="7">
        <f t="shared" si="70"/>
        <v>12.95</v>
      </c>
      <c r="N482" s="7">
        <f t="shared" si="71"/>
        <v>4.2105263157894736E-2</v>
      </c>
      <c r="O482" s="7">
        <f t="shared" si="72"/>
        <v>7.7220077220077218E-2</v>
      </c>
    </row>
    <row r="483" spans="9:15" x14ac:dyDescent="0.15">
      <c r="I483" s="7">
        <f t="shared" si="74"/>
        <v>2</v>
      </c>
      <c r="J483" s="7">
        <f t="shared" si="75"/>
        <v>25</v>
      </c>
      <c r="K483" s="7">
        <f>K482+J482</f>
        <v>50</v>
      </c>
      <c r="L483" s="7">
        <f t="shared" si="69"/>
        <v>25</v>
      </c>
      <c r="M483" s="7">
        <f t="shared" si="70"/>
        <v>15.45</v>
      </c>
      <c r="N483" s="7">
        <f t="shared" si="71"/>
        <v>0.04</v>
      </c>
      <c r="O483" s="7">
        <f t="shared" si="72"/>
        <v>6.4724919093851141E-2</v>
      </c>
    </row>
    <row r="484" spans="9:15" x14ac:dyDescent="0.15">
      <c r="I484" s="7">
        <f t="shared" si="74"/>
        <v>3</v>
      </c>
      <c r="J484" s="7">
        <f t="shared" si="75"/>
        <v>25</v>
      </c>
      <c r="K484" s="7">
        <f t="shared" ref="K484:K501" si="76">K483+J483</f>
        <v>75</v>
      </c>
      <c r="L484" s="7">
        <f t="shared" si="69"/>
        <v>26.25</v>
      </c>
      <c r="M484" s="7">
        <f t="shared" si="70"/>
        <v>17.95</v>
      </c>
      <c r="N484" s="7">
        <f t="shared" si="71"/>
        <v>3.8095238095238099E-2</v>
      </c>
      <c r="O484" s="7">
        <f t="shared" si="72"/>
        <v>5.5710306406685242E-2</v>
      </c>
    </row>
    <row r="485" spans="9:15" x14ac:dyDescent="0.15">
      <c r="I485" s="7">
        <f t="shared" si="74"/>
        <v>4</v>
      </c>
      <c r="J485" s="7">
        <f t="shared" si="75"/>
        <v>25</v>
      </c>
      <c r="K485" s="7">
        <f t="shared" si="76"/>
        <v>100</v>
      </c>
      <c r="L485" s="7">
        <f t="shared" si="69"/>
        <v>27.5</v>
      </c>
      <c r="M485" s="7">
        <f t="shared" si="70"/>
        <v>20.45</v>
      </c>
      <c r="N485" s="7">
        <f t="shared" si="71"/>
        <v>3.6363636363636362E-2</v>
      </c>
      <c r="O485" s="7">
        <f t="shared" si="72"/>
        <v>4.8899755501222497E-2</v>
      </c>
    </row>
    <row r="486" spans="9:15" x14ac:dyDescent="0.15">
      <c r="I486" s="7">
        <f t="shared" si="74"/>
        <v>5</v>
      </c>
      <c r="J486" s="7">
        <f t="shared" si="75"/>
        <v>25</v>
      </c>
      <c r="K486" s="7">
        <f t="shared" si="76"/>
        <v>125</v>
      </c>
      <c r="L486" s="7">
        <f t="shared" si="69"/>
        <v>28.75</v>
      </c>
      <c r="M486" s="7">
        <f t="shared" si="70"/>
        <v>22.95</v>
      </c>
      <c r="N486" s="7">
        <f t="shared" si="71"/>
        <v>3.4782608695652174E-2</v>
      </c>
      <c r="O486" s="7">
        <f t="shared" si="72"/>
        <v>4.357298474945534E-2</v>
      </c>
    </row>
    <row r="487" spans="9:15" x14ac:dyDescent="0.15">
      <c r="I487" s="7">
        <f t="shared" si="74"/>
        <v>6</v>
      </c>
      <c r="J487" s="7">
        <f t="shared" si="75"/>
        <v>25</v>
      </c>
      <c r="K487" s="7">
        <f t="shared" si="76"/>
        <v>150</v>
      </c>
      <c r="L487" s="7">
        <f t="shared" si="69"/>
        <v>30</v>
      </c>
      <c r="M487" s="7">
        <f t="shared" si="70"/>
        <v>25.45</v>
      </c>
      <c r="N487" s="7">
        <f t="shared" si="71"/>
        <v>3.3333333333333333E-2</v>
      </c>
      <c r="O487" s="7">
        <f t="shared" si="72"/>
        <v>3.9292730844793712E-2</v>
      </c>
    </row>
    <row r="488" spans="9:15" x14ac:dyDescent="0.15">
      <c r="I488" s="7">
        <f t="shared" si="74"/>
        <v>7</v>
      </c>
      <c r="J488" s="7">
        <f t="shared" si="75"/>
        <v>25</v>
      </c>
      <c r="K488" s="7">
        <f t="shared" si="76"/>
        <v>175</v>
      </c>
      <c r="L488" s="7">
        <f t="shared" si="69"/>
        <v>31.25</v>
      </c>
      <c r="M488" s="7">
        <f t="shared" si="70"/>
        <v>27.95</v>
      </c>
      <c r="N488" s="7">
        <f t="shared" si="71"/>
        <v>3.2000000000000001E-2</v>
      </c>
      <c r="O488" s="7">
        <f t="shared" si="72"/>
        <v>3.5778175313059032E-2</v>
      </c>
    </row>
    <row r="489" spans="9:15" x14ac:dyDescent="0.15">
      <c r="I489" s="7">
        <f t="shared" si="74"/>
        <v>8</v>
      </c>
      <c r="J489" s="7">
        <f t="shared" si="75"/>
        <v>25</v>
      </c>
      <c r="K489" s="7">
        <f t="shared" si="76"/>
        <v>200</v>
      </c>
      <c r="L489" s="7">
        <f t="shared" si="69"/>
        <v>32.5</v>
      </c>
      <c r="M489" s="7">
        <f t="shared" si="70"/>
        <v>30.45</v>
      </c>
      <c r="N489" s="7">
        <f t="shared" si="71"/>
        <v>3.0769230769230771E-2</v>
      </c>
      <c r="O489" s="7">
        <f t="shared" si="72"/>
        <v>3.2840722495894911E-2</v>
      </c>
    </row>
    <row r="490" spans="9:15" x14ac:dyDescent="0.15">
      <c r="I490" s="7">
        <f t="shared" si="74"/>
        <v>9</v>
      </c>
      <c r="J490" s="7">
        <f t="shared" si="75"/>
        <v>25</v>
      </c>
      <c r="K490" s="7">
        <f t="shared" si="76"/>
        <v>225</v>
      </c>
      <c r="L490" s="7">
        <f t="shared" si="69"/>
        <v>33.75</v>
      </c>
      <c r="M490" s="7">
        <f t="shared" si="70"/>
        <v>32.950000000000003</v>
      </c>
      <c r="N490" s="7">
        <f t="shared" si="71"/>
        <v>2.9629629629629631E-2</v>
      </c>
      <c r="O490" s="7">
        <f t="shared" si="72"/>
        <v>3.0349013657056143E-2</v>
      </c>
    </row>
    <row r="491" spans="9:15" x14ac:dyDescent="0.15">
      <c r="I491" s="7">
        <f t="shared" si="74"/>
        <v>10</v>
      </c>
      <c r="J491" s="7">
        <f t="shared" si="75"/>
        <v>25</v>
      </c>
      <c r="K491" s="7">
        <f t="shared" si="76"/>
        <v>250</v>
      </c>
      <c r="L491" s="7">
        <f t="shared" si="69"/>
        <v>35</v>
      </c>
      <c r="M491" s="7">
        <f t="shared" si="70"/>
        <v>35.450000000000003</v>
      </c>
      <c r="N491" s="7">
        <f t="shared" si="71"/>
        <v>2.8571428571428571E-2</v>
      </c>
      <c r="O491" s="7">
        <f t="shared" si="72"/>
        <v>2.8208744710860365E-2</v>
      </c>
    </row>
    <row r="492" spans="9:15" x14ac:dyDescent="0.15">
      <c r="I492" s="7">
        <f t="shared" si="74"/>
        <v>11</v>
      </c>
      <c r="J492" s="7">
        <f t="shared" si="75"/>
        <v>25</v>
      </c>
      <c r="K492" s="7">
        <f t="shared" si="76"/>
        <v>275</v>
      </c>
      <c r="L492" s="7">
        <f t="shared" si="69"/>
        <v>36.25</v>
      </c>
      <c r="M492" s="7">
        <f t="shared" si="70"/>
        <v>37.950000000000003</v>
      </c>
      <c r="N492" s="7">
        <f t="shared" si="71"/>
        <v>2.7586206896551724E-2</v>
      </c>
      <c r="O492" s="7">
        <f t="shared" si="72"/>
        <v>2.6350461133069828E-2</v>
      </c>
    </row>
    <row r="493" spans="9:15" x14ac:dyDescent="0.15">
      <c r="I493" s="7">
        <f t="shared" si="74"/>
        <v>12</v>
      </c>
      <c r="J493" s="7">
        <f t="shared" si="75"/>
        <v>25</v>
      </c>
      <c r="K493" s="7">
        <f t="shared" si="76"/>
        <v>300</v>
      </c>
      <c r="L493" s="7">
        <f t="shared" si="69"/>
        <v>37.5</v>
      </c>
      <c r="M493" s="7">
        <f t="shared" si="70"/>
        <v>40.450000000000003</v>
      </c>
      <c r="N493" s="7">
        <f t="shared" si="71"/>
        <v>2.6666666666666668E-2</v>
      </c>
      <c r="O493" s="7">
        <f t="shared" si="72"/>
        <v>2.4721878862793572E-2</v>
      </c>
    </row>
    <row r="494" spans="9:15" x14ac:dyDescent="0.15">
      <c r="I494" s="7">
        <f t="shared" si="74"/>
        <v>13</v>
      </c>
      <c r="J494" s="7">
        <f t="shared" si="75"/>
        <v>25</v>
      </c>
      <c r="K494" s="7">
        <f t="shared" si="76"/>
        <v>325</v>
      </c>
      <c r="L494" s="7">
        <f t="shared" si="69"/>
        <v>38.75</v>
      </c>
      <c r="M494" s="7">
        <f t="shared" si="70"/>
        <v>42.95</v>
      </c>
      <c r="N494" s="7">
        <f t="shared" si="71"/>
        <v>2.5806451612903226E-2</v>
      </c>
      <c r="O494" s="7">
        <f t="shared" si="72"/>
        <v>2.3282887077997669E-2</v>
      </c>
    </row>
    <row r="495" spans="9:15" x14ac:dyDescent="0.15">
      <c r="I495" s="7">
        <f t="shared" si="74"/>
        <v>14</v>
      </c>
      <c r="J495" s="7">
        <f t="shared" si="75"/>
        <v>25</v>
      </c>
      <c r="K495" s="7">
        <f t="shared" si="76"/>
        <v>350</v>
      </c>
      <c r="L495" s="7">
        <f t="shared" si="69"/>
        <v>40</v>
      </c>
      <c r="M495" s="7">
        <f t="shared" si="70"/>
        <v>45.45</v>
      </c>
      <c r="N495" s="7">
        <f t="shared" si="71"/>
        <v>2.5000000000000001E-2</v>
      </c>
      <c r="O495" s="7">
        <f t="shared" si="72"/>
        <v>2.2002200220022E-2</v>
      </c>
    </row>
    <row r="496" spans="9:15" x14ac:dyDescent="0.15">
      <c r="I496" s="7">
        <f t="shared" si="74"/>
        <v>15</v>
      </c>
      <c r="J496" s="7">
        <f t="shared" si="75"/>
        <v>25</v>
      </c>
      <c r="K496" s="7">
        <f t="shared" si="76"/>
        <v>375</v>
      </c>
      <c r="L496" s="7">
        <f t="shared" si="69"/>
        <v>41.25</v>
      </c>
      <c r="M496" s="7">
        <f t="shared" si="70"/>
        <v>47.95</v>
      </c>
      <c r="N496" s="7">
        <f t="shared" si="71"/>
        <v>2.4242424242424242E-2</v>
      </c>
      <c r="O496" s="7">
        <f t="shared" si="72"/>
        <v>2.0855057351407715E-2</v>
      </c>
    </row>
    <row r="497" spans="9:15" x14ac:dyDescent="0.15">
      <c r="I497" s="7">
        <f t="shared" si="74"/>
        <v>16</v>
      </c>
      <c r="J497" s="7">
        <f t="shared" si="75"/>
        <v>25</v>
      </c>
      <c r="K497" s="7">
        <f t="shared" si="76"/>
        <v>400</v>
      </c>
      <c r="L497" s="7">
        <f t="shared" si="69"/>
        <v>42.5</v>
      </c>
      <c r="M497" s="7">
        <f t="shared" si="70"/>
        <v>50.45</v>
      </c>
      <c r="N497" s="7">
        <f t="shared" si="71"/>
        <v>2.3529411764705882E-2</v>
      </c>
      <c r="O497" s="7">
        <f t="shared" si="72"/>
        <v>1.9821605550049554E-2</v>
      </c>
    </row>
    <row r="498" spans="9:15" x14ac:dyDescent="0.15">
      <c r="I498" s="7">
        <f t="shared" si="74"/>
        <v>17</v>
      </c>
      <c r="J498" s="7">
        <f t="shared" si="75"/>
        <v>25</v>
      </c>
      <c r="K498" s="7">
        <f t="shared" si="76"/>
        <v>425</v>
      </c>
      <c r="L498" s="7">
        <f t="shared" si="69"/>
        <v>43.75</v>
      </c>
      <c r="M498" s="7">
        <f t="shared" si="70"/>
        <v>52.95</v>
      </c>
      <c r="N498" s="7">
        <f t="shared" si="71"/>
        <v>2.2857142857142857E-2</v>
      </c>
      <c r="O498" s="7">
        <f t="shared" si="72"/>
        <v>1.8885741265344664E-2</v>
      </c>
    </row>
    <row r="499" spans="9:15" x14ac:dyDescent="0.15">
      <c r="I499" s="7">
        <f t="shared" si="74"/>
        <v>18</v>
      </c>
      <c r="J499" s="7">
        <f t="shared" si="75"/>
        <v>25</v>
      </c>
      <c r="K499" s="7">
        <f t="shared" si="76"/>
        <v>450</v>
      </c>
      <c r="L499" s="7">
        <f t="shared" si="69"/>
        <v>45</v>
      </c>
      <c r="M499" s="7">
        <f t="shared" si="70"/>
        <v>55.45</v>
      </c>
      <c r="N499" s="7">
        <f t="shared" si="71"/>
        <v>2.2222222222222223E-2</v>
      </c>
      <c r="O499" s="7">
        <f t="shared" si="72"/>
        <v>1.8034265103697024E-2</v>
      </c>
    </row>
    <row r="500" spans="9:15" x14ac:dyDescent="0.15">
      <c r="I500" s="7">
        <f t="shared" si="74"/>
        <v>19</v>
      </c>
      <c r="J500" s="7">
        <f t="shared" si="75"/>
        <v>25</v>
      </c>
      <c r="K500" s="7">
        <f t="shared" si="76"/>
        <v>475</v>
      </c>
      <c r="L500" s="7">
        <f t="shared" si="69"/>
        <v>46.25</v>
      </c>
      <c r="M500" s="7">
        <f t="shared" si="70"/>
        <v>57.95</v>
      </c>
      <c r="N500" s="7">
        <f t="shared" si="71"/>
        <v>2.1621621621621623E-2</v>
      </c>
      <c r="O500" s="7">
        <f t="shared" si="72"/>
        <v>1.7256255392579811E-2</v>
      </c>
    </row>
    <row r="501" spans="9:15" x14ac:dyDescent="0.15">
      <c r="I501" s="7">
        <f t="shared" si="74"/>
        <v>20</v>
      </c>
      <c r="J501" s="7">
        <f t="shared" si="75"/>
        <v>25</v>
      </c>
      <c r="K501" s="7">
        <f t="shared" si="76"/>
        <v>500</v>
      </c>
      <c r="L501" s="7">
        <f t="shared" si="69"/>
        <v>47.5</v>
      </c>
      <c r="M501" s="7">
        <f t="shared" si="70"/>
        <v>60.45</v>
      </c>
      <c r="N501" s="7">
        <f t="shared" si="71"/>
        <v>2.1052631578947368E-2</v>
      </c>
      <c r="O501" s="7">
        <f t="shared" si="72"/>
        <v>1.6542597187758478E-2</v>
      </c>
    </row>
    <row r="502" spans="9:15" x14ac:dyDescent="0.15">
      <c r="I502" s="7">
        <f t="shared" si="74"/>
        <v>1</v>
      </c>
      <c r="J502" s="7">
        <f t="shared" si="75"/>
        <v>26</v>
      </c>
      <c r="K502" s="7">
        <f>J502</f>
        <v>26</v>
      </c>
      <c r="L502" s="7">
        <f t="shared" si="69"/>
        <v>24.700000000000003</v>
      </c>
      <c r="M502" s="7">
        <f t="shared" si="70"/>
        <v>13.45</v>
      </c>
      <c r="N502" s="7">
        <f t="shared" si="71"/>
        <v>4.0485829959514164E-2</v>
      </c>
      <c r="O502" s="7">
        <f t="shared" si="72"/>
        <v>7.434944237918216E-2</v>
      </c>
    </row>
    <row r="503" spans="9:15" x14ac:dyDescent="0.15">
      <c r="I503" s="7">
        <f t="shared" si="74"/>
        <v>2</v>
      </c>
      <c r="J503" s="7">
        <f t="shared" si="75"/>
        <v>26</v>
      </c>
      <c r="K503" s="7">
        <f>K502+J502</f>
        <v>52</v>
      </c>
      <c r="L503" s="7">
        <f t="shared" si="69"/>
        <v>26.000000000000004</v>
      </c>
      <c r="M503" s="7">
        <f t="shared" si="70"/>
        <v>16.05</v>
      </c>
      <c r="N503" s="7">
        <f t="shared" si="71"/>
        <v>3.8461538461538457E-2</v>
      </c>
      <c r="O503" s="7">
        <f t="shared" si="72"/>
        <v>6.2305295950155763E-2</v>
      </c>
    </row>
    <row r="504" spans="9:15" x14ac:dyDescent="0.15">
      <c r="I504" s="7">
        <f t="shared" si="74"/>
        <v>3</v>
      </c>
      <c r="J504" s="7">
        <f t="shared" si="75"/>
        <v>26</v>
      </c>
      <c r="K504" s="7">
        <f t="shared" ref="K504:K521" si="77">K503+J503</f>
        <v>78</v>
      </c>
      <c r="L504" s="7">
        <f t="shared" si="69"/>
        <v>27.300000000000004</v>
      </c>
      <c r="M504" s="7">
        <f t="shared" si="70"/>
        <v>18.649999999999999</v>
      </c>
      <c r="N504" s="7">
        <f t="shared" si="71"/>
        <v>3.6630036630036625E-2</v>
      </c>
      <c r="O504" s="7">
        <f t="shared" si="72"/>
        <v>5.3619302949061663E-2</v>
      </c>
    </row>
    <row r="505" spans="9:15" x14ac:dyDescent="0.15">
      <c r="I505" s="7">
        <f t="shared" si="74"/>
        <v>4</v>
      </c>
      <c r="J505" s="7">
        <f t="shared" si="75"/>
        <v>26</v>
      </c>
      <c r="K505" s="7">
        <f t="shared" si="77"/>
        <v>104</v>
      </c>
      <c r="L505" s="7">
        <f t="shared" si="69"/>
        <v>28.6</v>
      </c>
      <c r="M505" s="7">
        <f t="shared" si="70"/>
        <v>21.25</v>
      </c>
      <c r="N505" s="7">
        <f t="shared" si="71"/>
        <v>3.4965034965034961E-2</v>
      </c>
      <c r="O505" s="7">
        <f t="shared" si="72"/>
        <v>4.7058823529411764E-2</v>
      </c>
    </row>
    <row r="506" spans="9:15" x14ac:dyDescent="0.15">
      <c r="I506" s="7">
        <f t="shared" si="74"/>
        <v>5</v>
      </c>
      <c r="J506" s="7">
        <f t="shared" si="75"/>
        <v>26</v>
      </c>
      <c r="K506" s="7">
        <f t="shared" si="77"/>
        <v>130</v>
      </c>
      <c r="L506" s="7">
        <f t="shared" si="69"/>
        <v>29.900000000000002</v>
      </c>
      <c r="M506" s="7">
        <f t="shared" si="70"/>
        <v>23.85</v>
      </c>
      <c r="N506" s="7">
        <f t="shared" si="71"/>
        <v>3.3444816053511704E-2</v>
      </c>
      <c r="O506" s="7">
        <f t="shared" si="72"/>
        <v>4.1928721174004188E-2</v>
      </c>
    </row>
    <row r="507" spans="9:15" x14ac:dyDescent="0.15">
      <c r="I507" s="7">
        <f t="shared" si="74"/>
        <v>6</v>
      </c>
      <c r="J507" s="7">
        <f t="shared" si="75"/>
        <v>26</v>
      </c>
      <c r="K507" s="7">
        <f t="shared" si="77"/>
        <v>156</v>
      </c>
      <c r="L507" s="7">
        <f t="shared" si="69"/>
        <v>31.200000000000003</v>
      </c>
      <c r="M507" s="7">
        <f t="shared" si="70"/>
        <v>26.450000000000003</v>
      </c>
      <c r="N507" s="7">
        <f t="shared" si="71"/>
        <v>3.2051282051282048E-2</v>
      </c>
      <c r="O507" s="7">
        <f t="shared" si="72"/>
        <v>3.7807183364839313E-2</v>
      </c>
    </row>
    <row r="508" spans="9:15" x14ac:dyDescent="0.15">
      <c r="I508" s="7">
        <f t="shared" si="74"/>
        <v>7</v>
      </c>
      <c r="J508" s="7">
        <f t="shared" si="75"/>
        <v>26</v>
      </c>
      <c r="K508" s="7">
        <f t="shared" si="77"/>
        <v>182</v>
      </c>
      <c r="L508" s="7">
        <f t="shared" si="69"/>
        <v>32.5</v>
      </c>
      <c r="M508" s="7">
        <f t="shared" si="70"/>
        <v>29.049999999999997</v>
      </c>
      <c r="N508" s="7">
        <f t="shared" si="71"/>
        <v>3.0769230769230771E-2</v>
      </c>
      <c r="O508" s="7">
        <f t="shared" si="72"/>
        <v>3.4423407917383825E-2</v>
      </c>
    </row>
    <row r="509" spans="9:15" x14ac:dyDescent="0.15">
      <c r="I509" s="7">
        <f t="shared" si="74"/>
        <v>8</v>
      </c>
      <c r="J509" s="7">
        <f t="shared" si="75"/>
        <v>26</v>
      </c>
      <c r="K509" s="7">
        <f t="shared" si="77"/>
        <v>208</v>
      </c>
      <c r="L509" s="7">
        <f t="shared" si="69"/>
        <v>33.800000000000004</v>
      </c>
      <c r="M509" s="7">
        <f t="shared" si="70"/>
        <v>31.65</v>
      </c>
      <c r="N509" s="7">
        <f t="shared" si="71"/>
        <v>2.9585798816568042E-2</v>
      </c>
      <c r="O509" s="7">
        <f t="shared" si="72"/>
        <v>3.1595576619273306E-2</v>
      </c>
    </row>
    <row r="510" spans="9:15" x14ac:dyDescent="0.15">
      <c r="I510" s="7">
        <f t="shared" si="74"/>
        <v>9</v>
      </c>
      <c r="J510" s="7">
        <f t="shared" si="75"/>
        <v>26</v>
      </c>
      <c r="K510" s="7">
        <f t="shared" si="77"/>
        <v>234</v>
      </c>
      <c r="L510" s="7">
        <f t="shared" si="69"/>
        <v>35.1</v>
      </c>
      <c r="M510" s="7">
        <f t="shared" si="70"/>
        <v>34.25</v>
      </c>
      <c r="N510" s="7">
        <f t="shared" si="71"/>
        <v>2.8490028490028491E-2</v>
      </c>
      <c r="O510" s="7">
        <f t="shared" si="72"/>
        <v>2.9197080291970802E-2</v>
      </c>
    </row>
    <row r="511" spans="9:15" x14ac:dyDescent="0.15">
      <c r="I511" s="7">
        <f t="shared" si="74"/>
        <v>10</v>
      </c>
      <c r="J511" s="7">
        <f t="shared" si="75"/>
        <v>26</v>
      </c>
      <c r="K511" s="7">
        <f t="shared" si="77"/>
        <v>260</v>
      </c>
      <c r="L511" s="7">
        <f t="shared" si="69"/>
        <v>36.400000000000006</v>
      </c>
      <c r="M511" s="7">
        <f t="shared" si="70"/>
        <v>36.85</v>
      </c>
      <c r="N511" s="7">
        <f t="shared" si="71"/>
        <v>2.7472527472527469E-2</v>
      </c>
      <c r="O511" s="7">
        <f t="shared" si="72"/>
        <v>2.7137042062415195E-2</v>
      </c>
    </row>
    <row r="512" spans="9:15" x14ac:dyDescent="0.15">
      <c r="I512" s="7">
        <f t="shared" si="74"/>
        <v>11</v>
      </c>
      <c r="J512" s="7">
        <f t="shared" si="75"/>
        <v>26</v>
      </c>
      <c r="K512" s="7">
        <f t="shared" si="77"/>
        <v>286</v>
      </c>
      <c r="L512" s="7">
        <f t="shared" si="69"/>
        <v>37.700000000000003</v>
      </c>
      <c r="M512" s="7">
        <f t="shared" si="70"/>
        <v>39.450000000000003</v>
      </c>
      <c r="N512" s="7">
        <f t="shared" si="71"/>
        <v>2.652519893899204E-2</v>
      </c>
      <c r="O512" s="7">
        <f t="shared" si="72"/>
        <v>2.5348542458808618E-2</v>
      </c>
    </row>
    <row r="513" spans="9:15" x14ac:dyDescent="0.15">
      <c r="I513" s="7">
        <f t="shared" si="74"/>
        <v>12</v>
      </c>
      <c r="J513" s="7">
        <f t="shared" si="75"/>
        <v>26</v>
      </c>
      <c r="K513" s="7">
        <f t="shared" si="77"/>
        <v>312</v>
      </c>
      <c r="L513" s="7">
        <f t="shared" si="69"/>
        <v>39</v>
      </c>
      <c r="M513" s="7">
        <f t="shared" si="70"/>
        <v>42.050000000000004</v>
      </c>
      <c r="N513" s="7">
        <f t="shared" si="71"/>
        <v>2.564102564102564E-2</v>
      </c>
      <c r="O513" s="7">
        <f t="shared" si="72"/>
        <v>2.3781212841854932E-2</v>
      </c>
    </row>
    <row r="514" spans="9:15" x14ac:dyDescent="0.15">
      <c r="I514" s="7">
        <f t="shared" si="74"/>
        <v>13</v>
      </c>
      <c r="J514" s="7">
        <f t="shared" si="75"/>
        <v>26</v>
      </c>
      <c r="K514" s="7">
        <f t="shared" si="77"/>
        <v>338</v>
      </c>
      <c r="L514" s="7">
        <f t="shared" si="69"/>
        <v>40.300000000000004</v>
      </c>
      <c r="M514" s="7">
        <f t="shared" si="70"/>
        <v>44.650000000000006</v>
      </c>
      <c r="N514" s="7">
        <f t="shared" si="71"/>
        <v>2.4813895781637715E-2</v>
      </c>
      <c r="O514" s="7">
        <f t="shared" si="72"/>
        <v>2.239641657334826E-2</v>
      </c>
    </row>
    <row r="515" spans="9:15" x14ac:dyDescent="0.15">
      <c r="I515" s="7">
        <f t="shared" si="74"/>
        <v>14</v>
      </c>
      <c r="J515" s="7">
        <f t="shared" si="75"/>
        <v>26</v>
      </c>
      <c r="K515" s="7">
        <f t="shared" si="77"/>
        <v>364</v>
      </c>
      <c r="L515" s="7">
        <f t="shared" ref="L515:L578" si="78">0.9*J515+0.05*K515</f>
        <v>41.6</v>
      </c>
      <c r="M515" s="7">
        <f t="shared" ref="M515:M578" si="79">0.45+0.4*J515+0.1*K515</f>
        <v>47.25</v>
      </c>
      <c r="N515" s="7">
        <f t="shared" ref="N515:N578" si="80">1/L515</f>
        <v>2.4038461538461536E-2</v>
      </c>
      <c r="O515" s="7">
        <f t="shared" ref="O515:O578" si="81">1/M515</f>
        <v>2.1164021164021163E-2</v>
      </c>
    </row>
    <row r="516" spans="9:15" x14ac:dyDescent="0.15">
      <c r="I516" s="7">
        <f t="shared" si="74"/>
        <v>15</v>
      </c>
      <c r="J516" s="7">
        <f t="shared" si="75"/>
        <v>26</v>
      </c>
      <c r="K516" s="7">
        <f t="shared" si="77"/>
        <v>390</v>
      </c>
      <c r="L516" s="7">
        <f t="shared" si="78"/>
        <v>42.900000000000006</v>
      </c>
      <c r="M516" s="7">
        <f t="shared" si="79"/>
        <v>49.85</v>
      </c>
      <c r="N516" s="7">
        <f t="shared" si="80"/>
        <v>2.3310023310023308E-2</v>
      </c>
      <c r="O516" s="7">
        <f t="shared" si="81"/>
        <v>2.0060180541624874E-2</v>
      </c>
    </row>
    <row r="517" spans="9:15" x14ac:dyDescent="0.15">
      <c r="I517" s="7">
        <f t="shared" si="74"/>
        <v>16</v>
      </c>
      <c r="J517" s="7">
        <f t="shared" si="75"/>
        <v>26</v>
      </c>
      <c r="K517" s="7">
        <f t="shared" si="77"/>
        <v>416</v>
      </c>
      <c r="L517" s="7">
        <f t="shared" si="78"/>
        <v>44.2</v>
      </c>
      <c r="M517" s="7">
        <f t="shared" si="79"/>
        <v>52.45</v>
      </c>
      <c r="N517" s="7">
        <f t="shared" si="80"/>
        <v>2.2624434389140271E-2</v>
      </c>
      <c r="O517" s="7">
        <f t="shared" si="81"/>
        <v>1.9065776930409912E-2</v>
      </c>
    </row>
    <row r="518" spans="9:15" x14ac:dyDescent="0.15">
      <c r="I518" s="7">
        <f t="shared" si="74"/>
        <v>17</v>
      </c>
      <c r="J518" s="7">
        <f t="shared" si="75"/>
        <v>26</v>
      </c>
      <c r="K518" s="7">
        <f t="shared" si="77"/>
        <v>442</v>
      </c>
      <c r="L518" s="7">
        <f t="shared" si="78"/>
        <v>45.5</v>
      </c>
      <c r="M518" s="7">
        <f t="shared" si="79"/>
        <v>55.050000000000004</v>
      </c>
      <c r="N518" s="7">
        <f t="shared" si="80"/>
        <v>2.197802197802198E-2</v>
      </c>
      <c r="O518" s="7">
        <f t="shared" si="81"/>
        <v>1.8165304268846501E-2</v>
      </c>
    </row>
    <row r="519" spans="9:15" x14ac:dyDescent="0.15">
      <c r="I519" s="7">
        <f t="shared" si="74"/>
        <v>18</v>
      </c>
      <c r="J519" s="7">
        <f t="shared" si="75"/>
        <v>26</v>
      </c>
      <c r="K519" s="7">
        <f t="shared" si="77"/>
        <v>468</v>
      </c>
      <c r="L519" s="7">
        <f t="shared" si="78"/>
        <v>46.800000000000004</v>
      </c>
      <c r="M519" s="7">
        <f t="shared" si="79"/>
        <v>57.650000000000006</v>
      </c>
      <c r="N519" s="7">
        <f t="shared" si="80"/>
        <v>2.1367521367521364E-2</v>
      </c>
      <c r="O519" s="7">
        <f t="shared" si="81"/>
        <v>1.7346053772766695E-2</v>
      </c>
    </row>
    <row r="520" spans="9:15" x14ac:dyDescent="0.15">
      <c r="I520" s="7">
        <f t="shared" si="74"/>
        <v>19</v>
      </c>
      <c r="J520" s="7">
        <f t="shared" si="75"/>
        <v>26</v>
      </c>
      <c r="K520" s="7">
        <f t="shared" si="77"/>
        <v>494</v>
      </c>
      <c r="L520" s="7">
        <f t="shared" si="78"/>
        <v>48.100000000000009</v>
      </c>
      <c r="M520" s="7">
        <f t="shared" si="79"/>
        <v>60.250000000000007</v>
      </c>
      <c r="N520" s="7">
        <f t="shared" si="80"/>
        <v>2.0790020790020788E-2</v>
      </c>
      <c r="O520" s="7">
        <f t="shared" si="81"/>
        <v>1.659751037344398E-2</v>
      </c>
    </row>
    <row r="521" spans="9:15" x14ac:dyDescent="0.15">
      <c r="I521" s="7">
        <f t="shared" si="74"/>
        <v>20</v>
      </c>
      <c r="J521" s="7">
        <f t="shared" si="75"/>
        <v>26</v>
      </c>
      <c r="K521" s="7">
        <f t="shared" si="77"/>
        <v>520</v>
      </c>
      <c r="L521" s="7">
        <f t="shared" si="78"/>
        <v>49.400000000000006</v>
      </c>
      <c r="M521" s="7">
        <f t="shared" si="79"/>
        <v>62.85</v>
      </c>
      <c r="N521" s="7">
        <f t="shared" si="80"/>
        <v>2.0242914979757082E-2</v>
      </c>
      <c r="O521" s="7">
        <f t="shared" si="81"/>
        <v>1.5910898965791568E-2</v>
      </c>
    </row>
    <row r="522" spans="9:15" x14ac:dyDescent="0.15">
      <c r="I522" s="7">
        <f t="shared" si="74"/>
        <v>1</v>
      </c>
      <c r="J522" s="7">
        <f t="shared" si="75"/>
        <v>27</v>
      </c>
      <c r="K522" s="7">
        <f>J522</f>
        <v>27</v>
      </c>
      <c r="L522" s="7">
        <f t="shared" si="78"/>
        <v>25.650000000000002</v>
      </c>
      <c r="M522" s="7">
        <f t="shared" si="79"/>
        <v>13.95</v>
      </c>
      <c r="N522" s="7">
        <f t="shared" si="80"/>
        <v>3.8986354775828458E-2</v>
      </c>
      <c r="O522" s="7">
        <f t="shared" si="81"/>
        <v>7.1684587813620082E-2</v>
      </c>
    </row>
    <row r="523" spans="9:15" x14ac:dyDescent="0.15">
      <c r="I523" s="7">
        <f t="shared" si="74"/>
        <v>2</v>
      </c>
      <c r="J523" s="7">
        <f t="shared" si="75"/>
        <v>27</v>
      </c>
      <c r="K523" s="7">
        <f>K522+J522</f>
        <v>54</v>
      </c>
      <c r="L523" s="7">
        <f t="shared" si="78"/>
        <v>27</v>
      </c>
      <c r="M523" s="7">
        <f t="shared" si="79"/>
        <v>16.649999999999999</v>
      </c>
      <c r="N523" s="7">
        <f t="shared" si="80"/>
        <v>3.7037037037037035E-2</v>
      </c>
      <c r="O523" s="7">
        <f t="shared" si="81"/>
        <v>6.0060060060060066E-2</v>
      </c>
    </row>
    <row r="524" spans="9:15" x14ac:dyDescent="0.15">
      <c r="I524" s="7">
        <f t="shared" si="74"/>
        <v>3</v>
      </c>
      <c r="J524" s="7">
        <f t="shared" si="75"/>
        <v>27</v>
      </c>
      <c r="K524" s="7">
        <f t="shared" ref="K524:K541" si="82">K523+J523</f>
        <v>81</v>
      </c>
      <c r="L524" s="7">
        <f t="shared" si="78"/>
        <v>28.35</v>
      </c>
      <c r="M524" s="7">
        <f t="shared" si="79"/>
        <v>19.350000000000001</v>
      </c>
      <c r="N524" s="7">
        <f t="shared" si="80"/>
        <v>3.5273368606701938E-2</v>
      </c>
      <c r="O524" s="7">
        <f t="shared" si="81"/>
        <v>5.1679586563307491E-2</v>
      </c>
    </row>
    <row r="525" spans="9:15" x14ac:dyDescent="0.15">
      <c r="I525" s="7">
        <f t="shared" si="74"/>
        <v>4</v>
      </c>
      <c r="J525" s="7">
        <f t="shared" si="75"/>
        <v>27</v>
      </c>
      <c r="K525" s="7">
        <f t="shared" si="82"/>
        <v>108</v>
      </c>
      <c r="L525" s="7">
        <f t="shared" si="78"/>
        <v>29.700000000000003</v>
      </c>
      <c r="M525" s="7">
        <f t="shared" si="79"/>
        <v>22.05</v>
      </c>
      <c r="N525" s="7">
        <f t="shared" si="80"/>
        <v>3.3670033670033669E-2</v>
      </c>
      <c r="O525" s="7">
        <f t="shared" si="81"/>
        <v>4.5351473922902494E-2</v>
      </c>
    </row>
    <row r="526" spans="9:15" x14ac:dyDescent="0.15">
      <c r="I526" s="7">
        <f t="shared" si="74"/>
        <v>5</v>
      </c>
      <c r="J526" s="7">
        <f t="shared" si="75"/>
        <v>27</v>
      </c>
      <c r="K526" s="7">
        <f t="shared" si="82"/>
        <v>135</v>
      </c>
      <c r="L526" s="7">
        <f t="shared" si="78"/>
        <v>31.05</v>
      </c>
      <c r="M526" s="7">
        <f t="shared" si="79"/>
        <v>24.75</v>
      </c>
      <c r="N526" s="7">
        <f t="shared" si="80"/>
        <v>3.2206119162640899E-2</v>
      </c>
      <c r="O526" s="7">
        <f t="shared" si="81"/>
        <v>4.0404040404040407E-2</v>
      </c>
    </row>
    <row r="527" spans="9:15" x14ac:dyDescent="0.15">
      <c r="I527" s="7">
        <f t="shared" si="74"/>
        <v>6</v>
      </c>
      <c r="J527" s="7">
        <f t="shared" si="75"/>
        <v>27</v>
      </c>
      <c r="K527" s="7">
        <f t="shared" si="82"/>
        <v>162</v>
      </c>
      <c r="L527" s="7">
        <f t="shared" si="78"/>
        <v>32.4</v>
      </c>
      <c r="M527" s="7">
        <f t="shared" si="79"/>
        <v>27.45</v>
      </c>
      <c r="N527" s="7">
        <f t="shared" si="80"/>
        <v>3.0864197530864199E-2</v>
      </c>
      <c r="O527" s="7">
        <f t="shared" si="81"/>
        <v>3.6429872495446269E-2</v>
      </c>
    </row>
    <row r="528" spans="9:15" x14ac:dyDescent="0.15">
      <c r="I528" s="7">
        <f t="shared" si="74"/>
        <v>7</v>
      </c>
      <c r="J528" s="7">
        <f t="shared" si="75"/>
        <v>27</v>
      </c>
      <c r="K528" s="7">
        <f t="shared" si="82"/>
        <v>189</v>
      </c>
      <c r="L528" s="7">
        <f t="shared" si="78"/>
        <v>33.75</v>
      </c>
      <c r="M528" s="7">
        <f t="shared" si="79"/>
        <v>30.150000000000002</v>
      </c>
      <c r="N528" s="7">
        <f t="shared" si="80"/>
        <v>2.9629629629629631E-2</v>
      </c>
      <c r="O528" s="7">
        <f t="shared" si="81"/>
        <v>3.3167495854063013E-2</v>
      </c>
    </row>
    <row r="529" spans="9:15" x14ac:dyDescent="0.15">
      <c r="I529" s="7">
        <f t="shared" si="74"/>
        <v>8</v>
      </c>
      <c r="J529" s="7">
        <f t="shared" si="75"/>
        <v>27</v>
      </c>
      <c r="K529" s="7">
        <f t="shared" si="82"/>
        <v>216</v>
      </c>
      <c r="L529" s="7">
        <f t="shared" si="78"/>
        <v>35.1</v>
      </c>
      <c r="M529" s="7">
        <f t="shared" si="79"/>
        <v>32.85</v>
      </c>
      <c r="N529" s="7">
        <f t="shared" si="80"/>
        <v>2.8490028490028491E-2</v>
      </c>
      <c r="O529" s="7">
        <f t="shared" si="81"/>
        <v>3.0441400304414001E-2</v>
      </c>
    </row>
    <row r="530" spans="9:15" x14ac:dyDescent="0.15">
      <c r="I530" s="7">
        <f t="shared" si="74"/>
        <v>9</v>
      </c>
      <c r="J530" s="7">
        <f t="shared" si="75"/>
        <v>27</v>
      </c>
      <c r="K530" s="7">
        <f t="shared" si="82"/>
        <v>243</v>
      </c>
      <c r="L530" s="7">
        <f t="shared" si="78"/>
        <v>36.450000000000003</v>
      </c>
      <c r="M530" s="7">
        <f t="shared" si="79"/>
        <v>35.549999999999997</v>
      </c>
      <c r="N530" s="7">
        <f t="shared" si="80"/>
        <v>2.7434842249657063E-2</v>
      </c>
      <c r="O530" s="7">
        <f t="shared" si="81"/>
        <v>2.8129395218002815E-2</v>
      </c>
    </row>
    <row r="531" spans="9:15" x14ac:dyDescent="0.15">
      <c r="I531" s="7">
        <f t="shared" si="74"/>
        <v>10</v>
      </c>
      <c r="J531" s="7">
        <f t="shared" si="75"/>
        <v>27</v>
      </c>
      <c r="K531" s="7">
        <f t="shared" si="82"/>
        <v>270</v>
      </c>
      <c r="L531" s="7">
        <f t="shared" si="78"/>
        <v>37.799999999999997</v>
      </c>
      <c r="M531" s="7">
        <f t="shared" si="79"/>
        <v>38.25</v>
      </c>
      <c r="N531" s="7">
        <f t="shared" si="80"/>
        <v>2.6455026455026457E-2</v>
      </c>
      <c r="O531" s="7">
        <f t="shared" si="81"/>
        <v>2.6143790849673203E-2</v>
      </c>
    </row>
    <row r="532" spans="9:15" x14ac:dyDescent="0.15">
      <c r="I532" s="7">
        <f t="shared" si="74"/>
        <v>11</v>
      </c>
      <c r="J532" s="7">
        <f t="shared" si="75"/>
        <v>27</v>
      </c>
      <c r="K532" s="7">
        <f t="shared" si="82"/>
        <v>297</v>
      </c>
      <c r="L532" s="7">
        <f t="shared" si="78"/>
        <v>39.150000000000006</v>
      </c>
      <c r="M532" s="7">
        <f t="shared" si="79"/>
        <v>40.950000000000003</v>
      </c>
      <c r="N532" s="7">
        <f t="shared" si="80"/>
        <v>2.5542784163473813E-2</v>
      </c>
      <c r="O532" s="7">
        <f t="shared" si="81"/>
        <v>2.442002442002442E-2</v>
      </c>
    </row>
    <row r="533" spans="9:15" x14ac:dyDescent="0.15">
      <c r="I533" s="7">
        <f t="shared" si="74"/>
        <v>12</v>
      </c>
      <c r="J533" s="7">
        <f t="shared" si="75"/>
        <v>27</v>
      </c>
      <c r="K533" s="7">
        <f t="shared" si="82"/>
        <v>324</v>
      </c>
      <c r="L533" s="7">
        <f t="shared" si="78"/>
        <v>40.5</v>
      </c>
      <c r="M533" s="7">
        <f t="shared" si="79"/>
        <v>43.65</v>
      </c>
      <c r="N533" s="7">
        <f t="shared" si="80"/>
        <v>2.4691358024691357E-2</v>
      </c>
      <c r="O533" s="7">
        <f t="shared" si="81"/>
        <v>2.2909507445589922E-2</v>
      </c>
    </row>
    <row r="534" spans="9:15" x14ac:dyDescent="0.15">
      <c r="I534" s="7">
        <f t="shared" si="74"/>
        <v>13</v>
      </c>
      <c r="J534" s="7">
        <f t="shared" si="75"/>
        <v>27</v>
      </c>
      <c r="K534" s="7">
        <f t="shared" si="82"/>
        <v>351</v>
      </c>
      <c r="L534" s="7">
        <f t="shared" si="78"/>
        <v>41.85</v>
      </c>
      <c r="M534" s="7">
        <f t="shared" si="79"/>
        <v>46.35</v>
      </c>
      <c r="N534" s="7">
        <f t="shared" si="80"/>
        <v>2.3894862604540022E-2</v>
      </c>
      <c r="O534" s="7">
        <f t="shared" si="81"/>
        <v>2.1574973031283709E-2</v>
      </c>
    </row>
    <row r="535" spans="9:15" x14ac:dyDescent="0.15">
      <c r="I535" s="7">
        <f t="shared" ref="I535:I598" si="83">I515</f>
        <v>14</v>
      </c>
      <c r="J535" s="7">
        <f t="shared" ref="J535:J598" si="84">J515+1</f>
        <v>27</v>
      </c>
      <c r="K535" s="7">
        <f t="shared" si="82"/>
        <v>378</v>
      </c>
      <c r="L535" s="7">
        <f t="shared" si="78"/>
        <v>43.2</v>
      </c>
      <c r="M535" s="7">
        <f t="shared" si="79"/>
        <v>49.050000000000004</v>
      </c>
      <c r="N535" s="7">
        <f t="shared" si="80"/>
        <v>2.3148148148148147E-2</v>
      </c>
      <c r="O535" s="7">
        <f t="shared" si="81"/>
        <v>2.0387359836901119E-2</v>
      </c>
    </row>
    <row r="536" spans="9:15" x14ac:dyDescent="0.15">
      <c r="I536" s="7">
        <f t="shared" si="83"/>
        <v>15</v>
      </c>
      <c r="J536" s="7">
        <f t="shared" si="84"/>
        <v>27</v>
      </c>
      <c r="K536" s="7">
        <f t="shared" si="82"/>
        <v>405</v>
      </c>
      <c r="L536" s="7">
        <f t="shared" si="78"/>
        <v>44.55</v>
      </c>
      <c r="M536" s="7">
        <f t="shared" si="79"/>
        <v>51.75</v>
      </c>
      <c r="N536" s="7">
        <f t="shared" si="80"/>
        <v>2.2446689113355782E-2</v>
      </c>
      <c r="O536" s="7">
        <f t="shared" si="81"/>
        <v>1.932367149758454E-2</v>
      </c>
    </row>
    <row r="537" spans="9:15" x14ac:dyDescent="0.15">
      <c r="I537" s="7">
        <f t="shared" si="83"/>
        <v>16</v>
      </c>
      <c r="J537" s="7">
        <f t="shared" si="84"/>
        <v>27</v>
      </c>
      <c r="K537" s="7">
        <f t="shared" si="82"/>
        <v>432</v>
      </c>
      <c r="L537" s="7">
        <f t="shared" si="78"/>
        <v>45.900000000000006</v>
      </c>
      <c r="M537" s="7">
        <f t="shared" si="79"/>
        <v>54.45</v>
      </c>
      <c r="N537" s="7">
        <f t="shared" si="80"/>
        <v>2.1786492374727667E-2</v>
      </c>
      <c r="O537" s="7">
        <f t="shared" si="81"/>
        <v>1.8365472910927456E-2</v>
      </c>
    </row>
    <row r="538" spans="9:15" x14ac:dyDescent="0.15">
      <c r="I538" s="7">
        <f t="shared" si="83"/>
        <v>17</v>
      </c>
      <c r="J538" s="7">
        <f t="shared" si="84"/>
        <v>27</v>
      </c>
      <c r="K538" s="7">
        <f t="shared" si="82"/>
        <v>459</v>
      </c>
      <c r="L538" s="7">
        <f t="shared" si="78"/>
        <v>47.25</v>
      </c>
      <c r="M538" s="7">
        <f t="shared" si="79"/>
        <v>57.150000000000006</v>
      </c>
      <c r="N538" s="7">
        <f t="shared" si="80"/>
        <v>2.1164021164021163E-2</v>
      </c>
      <c r="O538" s="7">
        <f t="shared" si="81"/>
        <v>1.7497812773403322E-2</v>
      </c>
    </row>
    <row r="539" spans="9:15" x14ac:dyDescent="0.15">
      <c r="I539" s="7">
        <f t="shared" si="83"/>
        <v>18</v>
      </c>
      <c r="J539" s="7">
        <f t="shared" si="84"/>
        <v>27</v>
      </c>
      <c r="K539" s="7">
        <f t="shared" si="82"/>
        <v>486</v>
      </c>
      <c r="L539" s="7">
        <f t="shared" si="78"/>
        <v>48.6</v>
      </c>
      <c r="M539" s="7">
        <f t="shared" si="79"/>
        <v>59.85</v>
      </c>
      <c r="N539" s="7">
        <f t="shared" si="80"/>
        <v>2.0576131687242798E-2</v>
      </c>
      <c r="O539" s="7">
        <f t="shared" si="81"/>
        <v>1.6708437761069339E-2</v>
      </c>
    </row>
    <row r="540" spans="9:15" x14ac:dyDescent="0.15">
      <c r="I540" s="7">
        <f t="shared" si="83"/>
        <v>19</v>
      </c>
      <c r="J540" s="7">
        <f t="shared" si="84"/>
        <v>27</v>
      </c>
      <c r="K540" s="7">
        <f t="shared" si="82"/>
        <v>513</v>
      </c>
      <c r="L540" s="7">
        <f t="shared" si="78"/>
        <v>49.95</v>
      </c>
      <c r="M540" s="7">
        <f t="shared" si="79"/>
        <v>62.550000000000004</v>
      </c>
      <c r="N540" s="7">
        <f t="shared" si="80"/>
        <v>2.002002002002002E-2</v>
      </c>
      <c r="O540" s="7">
        <f t="shared" si="81"/>
        <v>1.5987210231814548E-2</v>
      </c>
    </row>
    <row r="541" spans="9:15" x14ac:dyDescent="0.15">
      <c r="I541" s="7">
        <f t="shared" si="83"/>
        <v>20</v>
      </c>
      <c r="J541" s="7">
        <f t="shared" si="84"/>
        <v>27</v>
      </c>
      <c r="K541" s="7">
        <f t="shared" si="82"/>
        <v>540</v>
      </c>
      <c r="L541" s="7">
        <f t="shared" si="78"/>
        <v>51.3</v>
      </c>
      <c r="M541" s="7">
        <f t="shared" si="79"/>
        <v>65.25</v>
      </c>
      <c r="N541" s="7">
        <f t="shared" si="80"/>
        <v>1.9493177387914232E-2</v>
      </c>
      <c r="O541" s="7">
        <f t="shared" si="81"/>
        <v>1.532567049808429E-2</v>
      </c>
    </row>
    <row r="542" spans="9:15" x14ac:dyDescent="0.15">
      <c r="I542" s="7">
        <f t="shared" si="83"/>
        <v>1</v>
      </c>
      <c r="J542" s="7">
        <f t="shared" si="84"/>
        <v>28</v>
      </c>
      <c r="K542" s="7">
        <f>J542</f>
        <v>28</v>
      </c>
      <c r="L542" s="7">
        <f t="shared" si="78"/>
        <v>26.599999999999998</v>
      </c>
      <c r="M542" s="7">
        <f t="shared" si="79"/>
        <v>14.450000000000001</v>
      </c>
      <c r="N542" s="7">
        <f t="shared" si="80"/>
        <v>3.759398496240602E-2</v>
      </c>
      <c r="O542" s="7">
        <f t="shared" si="81"/>
        <v>6.920415224913494E-2</v>
      </c>
    </row>
    <row r="543" spans="9:15" x14ac:dyDescent="0.15">
      <c r="I543" s="7">
        <f t="shared" si="83"/>
        <v>2</v>
      </c>
      <c r="J543" s="7">
        <f t="shared" si="84"/>
        <v>28</v>
      </c>
      <c r="K543" s="7">
        <f>K542+J542</f>
        <v>56</v>
      </c>
      <c r="L543" s="7">
        <f t="shared" si="78"/>
        <v>28</v>
      </c>
      <c r="M543" s="7">
        <f t="shared" si="79"/>
        <v>17.25</v>
      </c>
      <c r="N543" s="7">
        <f t="shared" si="80"/>
        <v>3.5714285714285712E-2</v>
      </c>
      <c r="O543" s="7">
        <f t="shared" si="81"/>
        <v>5.7971014492753624E-2</v>
      </c>
    </row>
    <row r="544" spans="9:15" x14ac:dyDescent="0.15">
      <c r="I544" s="7">
        <f t="shared" si="83"/>
        <v>3</v>
      </c>
      <c r="J544" s="7">
        <f t="shared" si="84"/>
        <v>28</v>
      </c>
      <c r="K544" s="7">
        <f t="shared" ref="K544:K561" si="85">K543+J543</f>
        <v>84</v>
      </c>
      <c r="L544" s="7">
        <f t="shared" si="78"/>
        <v>29.4</v>
      </c>
      <c r="M544" s="7">
        <f t="shared" si="79"/>
        <v>20.05</v>
      </c>
      <c r="N544" s="7">
        <f t="shared" si="80"/>
        <v>3.4013605442176874E-2</v>
      </c>
      <c r="O544" s="7">
        <f t="shared" si="81"/>
        <v>4.987531172069825E-2</v>
      </c>
    </row>
    <row r="545" spans="9:15" x14ac:dyDescent="0.15">
      <c r="I545" s="7">
        <f t="shared" si="83"/>
        <v>4</v>
      </c>
      <c r="J545" s="7">
        <f t="shared" si="84"/>
        <v>28</v>
      </c>
      <c r="K545" s="7">
        <f t="shared" si="85"/>
        <v>112</v>
      </c>
      <c r="L545" s="7">
        <f t="shared" si="78"/>
        <v>30.8</v>
      </c>
      <c r="M545" s="7">
        <f t="shared" si="79"/>
        <v>22.85</v>
      </c>
      <c r="N545" s="7">
        <f t="shared" si="80"/>
        <v>3.2467532467532464E-2</v>
      </c>
      <c r="O545" s="7">
        <f t="shared" si="81"/>
        <v>4.3763676148796497E-2</v>
      </c>
    </row>
    <row r="546" spans="9:15" x14ac:dyDescent="0.15">
      <c r="I546" s="7">
        <f t="shared" si="83"/>
        <v>5</v>
      </c>
      <c r="J546" s="7">
        <f t="shared" si="84"/>
        <v>28</v>
      </c>
      <c r="K546" s="7">
        <f t="shared" si="85"/>
        <v>140</v>
      </c>
      <c r="L546" s="7">
        <f t="shared" si="78"/>
        <v>32.200000000000003</v>
      </c>
      <c r="M546" s="7">
        <f t="shared" si="79"/>
        <v>25.65</v>
      </c>
      <c r="N546" s="7">
        <f t="shared" si="80"/>
        <v>3.1055900621118009E-2</v>
      </c>
      <c r="O546" s="7">
        <f t="shared" si="81"/>
        <v>3.8986354775828465E-2</v>
      </c>
    </row>
    <row r="547" spans="9:15" x14ac:dyDescent="0.15">
      <c r="I547" s="7">
        <f t="shared" si="83"/>
        <v>6</v>
      </c>
      <c r="J547" s="7">
        <f t="shared" si="84"/>
        <v>28</v>
      </c>
      <c r="K547" s="7">
        <f t="shared" si="85"/>
        <v>168</v>
      </c>
      <c r="L547" s="7">
        <f t="shared" si="78"/>
        <v>33.6</v>
      </c>
      <c r="M547" s="7">
        <f t="shared" si="79"/>
        <v>28.450000000000003</v>
      </c>
      <c r="N547" s="7">
        <f t="shared" si="80"/>
        <v>2.976190476190476E-2</v>
      </c>
      <c r="O547" s="7">
        <f t="shared" si="81"/>
        <v>3.5149384885764495E-2</v>
      </c>
    </row>
    <row r="548" spans="9:15" x14ac:dyDescent="0.15">
      <c r="I548" s="7">
        <f t="shared" si="83"/>
        <v>7</v>
      </c>
      <c r="J548" s="7">
        <f t="shared" si="84"/>
        <v>28</v>
      </c>
      <c r="K548" s="7">
        <f t="shared" si="85"/>
        <v>196</v>
      </c>
      <c r="L548" s="7">
        <f t="shared" si="78"/>
        <v>35</v>
      </c>
      <c r="M548" s="7">
        <f t="shared" si="79"/>
        <v>31.25</v>
      </c>
      <c r="N548" s="7">
        <f t="shared" si="80"/>
        <v>2.8571428571428571E-2</v>
      </c>
      <c r="O548" s="7">
        <f t="shared" si="81"/>
        <v>3.2000000000000001E-2</v>
      </c>
    </row>
    <row r="549" spans="9:15" x14ac:dyDescent="0.15">
      <c r="I549" s="7">
        <f t="shared" si="83"/>
        <v>8</v>
      </c>
      <c r="J549" s="7">
        <f t="shared" si="84"/>
        <v>28</v>
      </c>
      <c r="K549" s="7">
        <f t="shared" si="85"/>
        <v>224</v>
      </c>
      <c r="L549" s="7">
        <f t="shared" si="78"/>
        <v>36.4</v>
      </c>
      <c r="M549" s="7">
        <f t="shared" si="79"/>
        <v>34.050000000000004</v>
      </c>
      <c r="N549" s="7">
        <f t="shared" si="80"/>
        <v>2.7472527472527472E-2</v>
      </c>
      <c r="O549" s="7">
        <f t="shared" si="81"/>
        <v>2.9368575624082228E-2</v>
      </c>
    </row>
    <row r="550" spans="9:15" x14ac:dyDescent="0.15">
      <c r="I550" s="7">
        <f t="shared" si="83"/>
        <v>9</v>
      </c>
      <c r="J550" s="7">
        <f t="shared" si="84"/>
        <v>28</v>
      </c>
      <c r="K550" s="7">
        <f t="shared" si="85"/>
        <v>252</v>
      </c>
      <c r="L550" s="7">
        <f t="shared" si="78"/>
        <v>37.799999999999997</v>
      </c>
      <c r="M550" s="7">
        <f t="shared" si="79"/>
        <v>36.85</v>
      </c>
      <c r="N550" s="7">
        <f t="shared" si="80"/>
        <v>2.6455026455026457E-2</v>
      </c>
      <c r="O550" s="7">
        <f t="shared" si="81"/>
        <v>2.7137042062415195E-2</v>
      </c>
    </row>
    <row r="551" spans="9:15" x14ac:dyDescent="0.15">
      <c r="I551" s="7">
        <f t="shared" si="83"/>
        <v>10</v>
      </c>
      <c r="J551" s="7">
        <f t="shared" si="84"/>
        <v>28</v>
      </c>
      <c r="K551" s="7">
        <f t="shared" si="85"/>
        <v>280</v>
      </c>
      <c r="L551" s="7">
        <f t="shared" si="78"/>
        <v>39.200000000000003</v>
      </c>
      <c r="M551" s="7">
        <f t="shared" si="79"/>
        <v>39.65</v>
      </c>
      <c r="N551" s="7">
        <f t="shared" si="80"/>
        <v>2.551020408163265E-2</v>
      </c>
      <c r="O551" s="7">
        <f t="shared" si="81"/>
        <v>2.5220680958385876E-2</v>
      </c>
    </row>
    <row r="552" spans="9:15" x14ac:dyDescent="0.15">
      <c r="I552" s="7">
        <f t="shared" si="83"/>
        <v>11</v>
      </c>
      <c r="J552" s="7">
        <f t="shared" si="84"/>
        <v>28</v>
      </c>
      <c r="K552" s="7">
        <f t="shared" si="85"/>
        <v>308</v>
      </c>
      <c r="L552" s="7">
        <f t="shared" si="78"/>
        <v>40.6</v>
      </c>
      <c r="M552" s="7">
        <f t="shared" si="79"/>
        <v>42.45</v>
      </c>
      <c r="N552" s="7">
        <f t="shared" si="80"/>
        <v>2.463054187192118E-2</v>
      </c>
      <c r="O552" s="7">
        <f t="shared" si="81"/>
        <v>2.3557126030624261E-2</v>
      </c>
    </row>
    <row r="553" spans="9:15" x14ac:dyDescent="0.15">
      <c r="I553" s="7">
        <f t="shared" si="83"/>
        <v>12</v>
      </c>
      <c r="J553" s="7">
        <f t="shared" si="84"/>
        <v>28</v>
      </c>
      <c r="K553" s="7">
        <f t="shared" si="85"/>
        <v>336</v>
      </c>
      <c r="L553" s="7">
        <f t="shared" si="78"/>
        <v>42</v>
      </c>
      <c r="M553" s="7">
        <f t="shared" si="79"/>
        <v>45.25</v>
      </c>
      <c r="N553" s="7">
        <f t="shared" si="80"/>
        <v>2.3809523809523808E-2</v>
      </c>
      <c r="O553" s="7">
        <f t="shared" si="81"/>
        <v>2.2099447513812154E-2</v>
      </c>
    </row>
    <row r="554" spans="9:15" x14ac:dyDescent="0.15">
      <c r="I554" s="7">
        <f t="shared" si="83"/>
        <v>13</v>
      </c>
      <c r="J554" s="7">
        <f t="shared" si="84"/>
        <v>28</v>
      </c>
      <c r="K554" s="7">
        <f t="shared" si="85"/>
        <v>364</v>
      </c>
      <c r="L554" s="7">
        <f t="shared" si="78"/>
        <v>43.4</v>
      </c>
      <c r="M554" s="7">
        <f t="shared" si="79"/>
        <v>48.05</v>
      </c>
      <c r="N554" s="7">
        <f t="shared" si="80"/>
        <v>2.3041474654377881E-2</v>
      </c>
      <c r="O554" s="7">
        <f t="shared" si="81"/>
        <v>2.081165452653486E-2</v>
      </c>
    </row>
    <row r="555" spans="9:15" x14ac:dyDescent="0.15">
      <c r="I555" s="7">
        <f t="shared" si="83"/>
        <v>14</v>
      </c>
      <c r="J555" s="7">
        <f t="shared" si="84"/>
        <v>28</v>
      </c>
      <c r="K555" s="7">
        <f t="shared" si="85"/>
        <v>392</v>
      </c>
      <c r="L555" s="7">
        <f t="shared" si="78"/>
        <v>44.8</v>
      </c>
      <c r="M555" s="7">
        <f t="shared" si="79"/>
        <v>50.85</v>
      </c>
      <c r="N555" s="7">
        <f t="shared" si="80"/>
        <v>2.2321428571428572E-2</v>
      </c>
      <c r="O555" s="7">
        <f t="shared" si="81"/>
        <v>1.966568338249754E-2</v>
      </c>
    </row>
    <row r="556" spans="9:15" x14ac:dyDescent="0.15">
      <c r="I556" s="7">
        <f t="shared" si="83"/>
        <v>15</v>
      </c>
      <c r="J556" s="7">
        <f t="shared" si="84"/>
        <v>28</v>
      </c>
      <c r="K556" s="7">
        <f t="shared" si="85"/>
        <v>420</v>
      </c>
      <c r="L556" s="7">
        <f t="shared" si="78"/>
        <v>46.2</v>
      </c>
      <c r="M556" s="7">
        <f t="shared" si="79"/>
        <v>53.65</v>
      </c>
      <c r="N556" s="7">
        <f t="shared" si="80"/>
        <v>2.1645021645021644E-2</v>
      </c>
      <c r="O556" s="7">
        <f t="shared" si="81"/>
        <v>1.8639328984156572E-2</v>
      </c>
    </row>
    <row r="557" spans="9:15" x14ac:dyDescent="0.15">
      <c r="I557" s="7">
        <f t="shared" si="83"/>
        <v>16</v>
      </c>
      <c r="J557" s="7">
        <f t="shared" si="84"/>
        <v>28</v>
      </c>
      <c r="K557" s="7">
        <f t="shared" si="85"/>
        <v>448</v>
      </c>
      <c r="L557" s="7">
        <f t="shared" si="78"/>
        <v>47.6</v>
      </c>
      <c r="M557" s="7">
        <f t="shared" si="79"/>
        <v>56.45</v>
      </c>
      <c r="N557" s="7">
        <f t="shared" si="80"/>
        <v>2.1008403361344536E-2</v>
      </c>
      <c r="O557" s="7">
        <f t="shared" si="81"/>
        <v>1.7714791851195746E-2</v>
      </c>
    </row>
    <row r="558" spans="9:15" x14ac:dyDescent="0.15">
      <c r="I558" s="7">
        <f t="shared" si="83"/>
        <v>17</v>
      </c>
      <c r="J558" s="7">
        <f t="shared" si="84"/>
        <v>28</v>
      </c>
      <c r="K558" s="7">
        <f t="shared" si="85"/>
        <v>476</v>
      </c>
      <c r="L558" s="7">
        <f t="shared" si="78"/>
        <v>49</v>
      </c>
      <c r="M558" s="7">
        <f t="shared" si="79"/>
        <v>59.25</v>
      </c>
      <c r="N558" s="7">
        <f t="shared" si="80"/>
        <v>2.0408163265306121E-2</v>
      </c>
      <c r="O558" s="7">
        <f t="shared" si="81"/>
        <v>1.6877637130801686E-2</v>
      </c>
    </row>
    <row r="559" spans="9:15" x14ac:dyDescent="0.15">
      <c r="I559" s="7">
        <f t="shared" si="83"/>
        <v>18</v>
      </c>
      <c r="J559" s="7">
        <f t="shared" si="84"/>
        <v>28</v>
      </c>
      <c r="K559" s="7">
        <f t="shared" si="85"/>
        <v>504</v>
      </c>
      <c r="L559" s="7">
        <f t="shared" si="78"/>
        <v>50.400000000000006</v>
      </c>
      <c r="M559" s="7">
        <f t="shared" si="79"/>
        <v>62.050000000000004</v>
      </c>
      <c r="N559" s="7">
        <f t="shared" si="80"/>
        <v>1.984126984126984E-2</v>
      </c>
      <c r="O559" s="7">
        <f t="shared" si="81"/>
        <v>1.6116035455278E-2</v>
      </c>
    </row>
    <row r="560" spans="9:15" x14ac:dyDescent="0.15">
      <c r="I560" s="7">
        <f t="shared" si="83"/>
        <v>19</v>
      </c>
      <c r="J560" s="7">
        <f t="shared" si="84"/>
        <v>28</v>
      </c>
      <c r="K560" s="7">
        <f t="shared" si="85"/>
        <v>532</v>
      </c>
      <c r="L560" s="7">
        <f t="shared" si="78"/>
        <v>51.8</v>
      </c>
      <c r="M560" s="7">
        <f t="shared" si="79"/>
        <v>64.850000000000009</v>
      </c>
      <c r="N560" s="7">
        <f t="shared" si="80"/>
        <v>1.9305019305019305E-2</v>
      </c>
      <c r="O560" s="7">
        <f t="shared" si="81"/>
        <v>1.5420200462606011E-2</v>
      </c>
    </row>
    <row r="561" spans="9:15" x14ac:dyDescent="0.15">
      <c r="I561" s="7">
        <f t="shared" si="83"/>
        <v>20</v>
      </c>
      <c r="J561" s="7">
        <f t="shared" si="84"/>
        <v>28</v>
      </c>
      <c r="K561" s="7">
        <f t="shared" si="85"/>
        <v>560</v>
      </c>
      <c r="L561" s="7">
        <f t="shared" si="78"/>
        <v>53.2</v>
      </c>
      <c r="M561" s="7">
        <f t="shared" si="79"/>
        <v>67.650000000000006</v>
      </c>
      <c r="N561" s="7">
        <f t="shared" si="80"/>
        <v>1.8796992481203006E-2</v>
      </c>
      <c r="O561" s="7">
        <f t="shared" si="81"/>
        <v>1.4781966001478195E-2</v>
      </c>
    </row>
    <row r="562" spans="9:15" x14ac:dyDescent="0.15">
      <c r="I562" s="7">
        <f t="shared" si="83"/>
        <v>1</v>
      </c>
      <c r="J562" s="7">
        <f t="shared" si="84"/>
        <v>29</v>
      </c>
      <c r="K562" s="7">
        <f>J562</f>
        <v>29</v>
      </c>
      <c r="L562" s="7">
        <f t="shared" si="78"/>
        <v>27.55</v>
      </c>
      <c r="M562" s="7">
        <f t="shared" si="79"/>
        <v>14.950000000000001</v>
      </c>
      <c r="N562" s="7">
        <f t="shared" si="80"/>
        <v>3.6297640653357534E-2</v>
      </c>
      <c r="O562" s="7">
        <f t="shared" si="81"/>
        <v>6.6889632107023408E-2</v>
      </c>
    </row>
    <row r="563" spans="9:15" x14ac:dyDescent="0.15">
      <c r="I563" s="7">
        <f t="shared" si="83"/>
        <v>2</v>
      </c>
      <c r="J563" s="7">
        <f t="shared" si="84"/>
        <v>29</v>
      </c>
      <c r="K563" s="7">
        <f>K562+J562</f>
        <v>58</v>
      </c>
      <c r="L563" s="7">
        <f t="shared" si="78"/>
        <v>29</v>
      </c>
      <c r="M563" s="7">
        <f t="shared" si="79"/>
        <v>17.850000000000001</v>
      </c>
      <c r="N563" s="7">
        <f t="shared" si="80"/>
        <v>3.4482758620689655E-2</v>
      </c>
      <c r="O563" s="7">
        <f t="shared" si="81"/>
        <v>5.6022408963585429E-2</v>
      </c>
    </row>
    <row r="564" spans="9:15" x14ac:dyDescent="0.15">
      <c r="I564" s="7">
        <f t="shared" si="83"/>
        <v>3</v>
      </c>
      <c r="J564" s="7">
        <f t="shared" si="84"/>
        <v>29</v>
      </c>
      <c r="K564" s="7">
        <f t="shared" ref="K564:K581" si="86">K563+J563</f>
        <v>87</v>
      </c>
      <c r="L564" s="7">
        <f t="shared" si="78"/>
        <v>30.450000000000003</v>
      </c>
      <c r="M564" s="7">
        <f t="shared" si="79"/>
        <v>20.75</v>
      </c>
      <c r="N564" s="7">
        <f t="shared" si="80"/>
        <v>3.2840722495894904E-2</v>
      </c>
      <c r="O564" s="7">
        <f t="shared" si="81"/>
        <v>4.8192771084337352E-2</v>
      </c>
    </row>
    <row r="565" spans="9:15" x14ac:dyDescent="0.15">
      <c r="I565" s="7">
        <f t="shared" si="83"/>
        <v>4</v>
      </c>
      <c r="J565" s="7">
        <f t="shared" si="84"/>
        <v>29</v>
      </c>
      <c r="K565" s="7">
        <f t="shared" si="86"/>
        <v>116</v>
      </c>
      <c r="L565" s="7">
        <f t="shared" si="78"/>
        <v>31.900000000000002</v>
      </c>
      <c r="M565" s="7">
        <f t="shared" si="79"/>
        <v>23.650000000000002</v>
      </c>
      <c r="N565" s="7">
        <f t="shared" si="80"/>
        <v>3.1347962382445138E-2</v>
      </c>
      <c r="O565" s="7">
        <f t="shared" si="81"/>
        <v>4.2283298097251579E-2</v>
      </c>
    </row>
    <row r="566" spans="9:15" x14ac:dyDescent="0.15">
      <c r="I566" s="7">
        <f t="shared" si="83"/>
        <v>5</v>
      </c>
      <c r="J566" s="7">
        <f t="shared" si="84"/>
        <v>29</v>
      </c>
      <c r="K566" s="7">
        <f t="shared" si="86"/>
        <v>145</v>
      </c>
      <c r="L566" s="7">
        <f t="shared" si="78"/>
        <v>33.35</v>
      </c>
      <c r="M566" s="7">
        <f t="shared" si="79"/>
        <v>26.55</v>
      </c>
      <c r="N566" s="7">
        <f t="shared" si="80"/>
        <v>2.9985007496251874E-2</v>
      </c>
      <c r="O566" s="7">
        <f t="shared" si="81"/>
        <v>3.7664783427495289E-2</v>
      </c>
    </row>
    <row r="567" spans="9:15" x14ac:dyDescent="0.15">
      <c r="I567" s="7">
        <f t="shared" si="83"/>
        <v>6</v>
      </c>
      <c r="J567" s="7">
        <f t="shared" si="84"/>
        <v>29</v>
      </c>
      <c r="K567" s="7">
        <f t="shared" si="86"/>
        <v>174</v>
      </c>
      <c r="L567" s="7">
        <f t="shared" si="78"/>
        <v>34.800000000000004</v>
      </c>
      <c r="M567" s="7">
        <f t="shared" si="79"/>
        <v>29.450000000000003</v>
      </c>
      <c r="N567" s="7">
        <f t="shared" si="80"/>
        <v>2.8735632183908042E-2</v>
      </c>
      <c r="O567" s="7">
        <f t="shared" si="81"/>
        <v>3.3955857385398976E-2</v>
      </c>
    </row>
    <row r="568" spans="9:15" x14ac:dyDescent="0.15">
      <c r="I568" s="7">
        <f t="shared" si="83"/>
        <v>7</v>
      </c>
      <c r="J568" s="7">
        <f t="shared" si="84"/>
        <v>29</v>
      </c>
      <c r="K568" s="7">
        <f t="shared" si="86"/>
        <v>203</v>
      </c>
      <c r="L568" s="7">
        <f t="shared" si="78"/>
        <v>36.25</v>
      </c>
      <c r="M568" s="7">
        <f t="shared" si="79"/>
        <v>32.35</v>
      </c>
      <c r="N568" s="7">
        <f t="shared" si="80"/>
        <v>2.7586206896551724E-2</v>
      </c>
      <c r="O568" s="7">
        <f t="shared" si="81"/>
        <v>3.0911901081916538E-2</v>
      </c>
    </row>
    <row r="569" spans="9:15" x14ac:dyDescent="0.15">
      <c r="I569" s="7">
        <f t="shared" si="83"/>
        <v>8</v>
      </c>
      <c r="J569" s="7">
        <f t="shared" si="84"/>
        <v>29</v>
      </c>
      <c r="K569" s="7">
        <f t="shared" si="86"/>
        <v>232</v>
      </c>
      <c r="L569" s="7">
        <f t="shared" si="78"/>
        <v>37.700000000000003</v>
      </c>
      <c r="M569" s="7">
        <f t="shared" si="79"/>
        <v>35.25</v>
      </c>
      <c r="N569" s="7">
        <f t="shared" si="80"/>
        <v>2.652519893899204E-2</v>
      </c>
      <c r="O569" s="7">
        <f t="shared" si="81"/>
        <v>2.8368794326241134E-2</v>
      </c>
    </row>
    <row r="570" spans="9:15" x14ac:dyDescent="0.15">
      <c r="I570" s="7">
        <f t="shared" si="83"/>
        <v>9</v>
      </c>
      <c r="J570" s="7">
        <f t="shared" si="84"/>
        <v>29</v>
      </c>
      <c r="K570" s="7">
        <f t="shared" si="86"/>
        <v>261</v>
      </c>
      <c r="L570" s="7">
        <f t="shared" si="78"/>
        <v>39.150000000000006</v>
      </c>
      <c r="M570" s="7">
        <f t="shared" si="79"/>
        <v>38.150000000000006</v>
      </c>
      <c r="N570" s="7">
        <f t="shared" si="80"/>
        <v>2.5542784163473813E-2</v>
      </c>
      <c r="O570" s="7">
        <f t="shared" si="81"/>
        <v>2.6212319790301437E-2</v>
      </c>
    </row>
    <row r="571" spans="9:15" x14ac:dyDescent="0.15">
      <c r="I571" s="7">
        <f t="shared" si="83"/>
        <v>10</v>
      </c>
      <c r="J571" s="7">
        <f t="shared" si="84"/>
        <v>29</v>
      </c>
      <c r="K571" s="7">
        <f t="shared" si="86"/>
        <v>290</v>
      </c>
      <c r="L571" s="7">
        <f t="shared" si="78"/>
        <v>40.6</v>
      </c>
      <c r="M571" s="7">
        <f t="shared" si="79"/>
        <v>41.05</v>
      </c>
      <c r="N571" s="7">
        <f t="shared" si="80"/>
        <v>2.463054187192118E-2</v>
      </c>
      <c r="O571" s="7">
        <f t="shared" si="81"/>
        <v>2.4360535931790502E-2</v>
      </c>
    </row>
    <row r="572" spans="9:15" x14ac:dyDescent="0.15">
      <c r="I572" s="7">
        <f t="shared" si="83"/>
        <v>11</v>
      </c>
      <c r="J572" s="7">
        <f t="shared" si="84"/>
        <v>29</v>
      </c>
      <c r="K572" s="7">
        <f t="shared" si="86"/>
        <v>319</v>
      </c>
      <c r="L572" s="7">
        <f t="shared" si="78"/>
        <v>42.050000000000004</v>
      </c>
      <c r="M572" s="7">
        <f t="shared" si="79"/>
        <v>43.95</v>
      </c>
      <c r="N572" s="7">
        <f t="shared" si="80"/>
        <v>2.3781212841854932E-2</v>
      </c>
      <c r="O572" s="7">
        <f t="shared" si="81"/>
        <v>2.2753128555176336E-2</v>
      </c>
    </row>
    <row r="573" spans="9:15" x14ac:dyDescent="0.15">
      <c r="I573" s="7">
        <f t="shared" si="83"/>
        <v>12</v>
      </c>
      <c r="J573" s="7">
        <f t="shared" si="84"/>
        <v>29</v>
      </c>
      <c r="K573" s="7">
        <f t="shared" si="86"/>
        <v>348</v>
      </c>
      <c r="L573" s="7">
        <f t="shared" si="78"/>
        <v>43.5</v>
      </c>
      <c r="M573" s="7">
        <f t="shared" si="79"/>
        <v>46.850000000000009</v>
      </c>
      <c r="N573" s="7">
        <f t="shared" si="80"/>
        <v>2.2988505747126436E-2</v>
      </c>
      <c r="O573" s="7">
        <f t="shared" si="81"/>
        <v>2.1344717182497329E-2</v>
      </c>
    </row>
    <row r="574" spans="9:15" x14ac:dyDescent="0.15">
      <c r="I574" s="7">
        <f t="shared" si="83"/>
        <v>13</v>
      </c>
      <c r="J574" s="7">
        <f t="shared" si="84"/>
        <v>29</v>
      </c>
      <c r="K574" s="7">
        <f t="shared" si="86"/>
        <v>377</v>
      </c>
      <c r="L574" s="7">
        <f t="shared" si="78"/>
        <v>44.95</v>
      </c>
      <c r="M574" s="7">
        <f t="shared" si="79"/>
        <v>49.75</v>
      </c>
      <c r="N574" s="7">
        <f t="shared" si="80"/>
        <v>2.2246941045606226E-2</v>
      </c>
      <c r="O574" s="7">
        <f t="shared" si="81"/>
        <v>2.0100502512562814E-2</v>
      </c>
    </row>
    <row r="575" spans="9:15" x14ac:dyDescent="0.15">
      <c r="I575" s="7">
        <f t="shared" si="83"/>
        <v>14</v>
      </c>
      <c r="J575" s="7">
        <f t="shared" si="84"/>
        <v>29</v>
      </c>
      <c r="K575" s="7">
        <f t="shared" si="86"/>
        <v>406</v>
      </c>
      <c r="L575" s="7">
        <f t="shared" si="78"/>
        <v>46.400000000000006</v>
      </c>
      <c r="M575" s="7">
        <f t="shared" si="79"/>
        <v>52.650000000000006</v>
      </c>
      <c r="N575" s="7">
        <f t="shared" si="80"/>
        <v>2.1551724137931032E-2</v>
      </c>
      <c r="O575" s="7">
        <f t="shared" si="81"/>
        <v>1.8993352326685659E-2</v>
      </c>
    </row>
    <row r="576" spans="9:15" x14ac:dyDescent="0.15">
      <c r="I576" s="7">
        <f t="shared" si="83"/>
        <v>15</v>
      </c>
      <c r="J576" s="7">
        <f t="shared" si="84"/>
        <v>29</v>
      </c>
      <c r="K576" s="7">
        <f t="shared" si="86"/>
        <v>435</v>
      </c>
      <c r="L576" s="7">
        <f t="shared" si="78"/>
        <v>47.85</v>
      </c>
      <c r="M576" s="7">
        <f t="shared" si="79"/>
        <v>55.55</v>
      </c>
      <c r="N576" s="7">
        <f t="shared" si="80"/>
        <v>2.0898641588296761E-2</v>
      </c>
      <c r="O576" s="7">
        <f t="shared" si="81"/>
        <v>1.8001800180018002E-2</v>
      </c>
    </row>
    <row r="577" spans="9:15" x14ac:dyDescent="0.15">
      <c r="I577" s="7">
        <f t="shared" si="83"/>
        <v>16</v>
      </c>
      <c r="J577" s="7">
        <f t="shared" si="84"/>
        <v>29</v>
      </c>
      <c r="K577" s="7">
        <f t="shared" si="86"/>
        <v>464</v>
      </c>
      <c r="L577" s="7">
        <f t="shared" si="78"/>
        <v>49.300000000000004</v>
      </c>
      <c r="M577" s="7">
        <f t="shared" si="79"/>
        <v>58.45</v>
      </c>
      <c r="N577" s="7">
        <f t="shared" si="80"/>
        <v>2.0283975659229209E-2</v>
      </c>
      <c r="O577" s="7">
        <f t="shared" si="81"/>
        <v>1.7108639863130881E-2</v>
      </c>
    </row>
    <row r="578" spans="9:15" x14ac:dyDescent="0.15">
      <c r="I578" s="7">
        <f t="shared" si="83"/>
        <v>17</v>
      </c>
      <c r="J578" s="7">
        <f t="shared" si="84"/>
        <v>29</v>
      </c>
      <c r="K578" s="7">
        <f t="shared" si="86"/>
        <v>493</v>
      </c>
      <c r="L578" s="7">
        <f t="shared" si="78"/>
        <v>50.75</v>
      </c>
      <c r="M578" s="7">
        <f t="shared" si="79"/>
        <v>61.350000000000009</v>
      </c>
      <c r="N578" s="7">
        <f t="shared" si="80"/>
        <v>1.9704433497536946E-2</v>
      </c>
      <c r="O578" s="7">
        <f t="shared" si="81"/>
        <v>1.6299918500407497E-2</v>
      </c>
    </row>
    <row r="579" spans="9:15" x14ac:dyDescent="0.15">
      <c r="I579" s="7">
        <f t="shared" si="83"/>
        <v>18</v>
      </c>
      <c r="J579" s="7">
        <f t="shared" si="84"/>
        <v>29</v>
      </c>
      <c r="K579" s="7">
        <f t="shared" si="86"/>
        <v>522</v>
      </c>
      <c r="L579" s="7">
        <f t="shared" ref="L579:L642" si="87">0.9*J579+0.05*K579</f>
        <v>52.2</v>
      </c>
      <c r="M579" s="7">
        <f t="shared" ref="M579:M642" si="88">0.45+0.4*J579+0.1*K579</f>
        <v>64.25</v>
      </c>
      <c r="N579" s="7">
        <f t="shared" ref="N579:N642" si="89">1/L579</f>
        <v>1.9157088122605363E-2</v>
      </c>
      <c r="O579" s="7">
        <f t="shared" ref="O579:O642" si="90">1/M579</f>
        <v>1.556420233463035E-2</v>
      </c>
    </row>
    <row r="580" spans="9:15" x14ac:dyDescent="0.15">
      <c r="I580" s="7">
        <f t="shared" si="83"/>
        <v>19</v>
      </c>
      <c r="J580" s="7">
        <f t="shared" si="84"/>
        <v>29</v>
      </c>
      <c r="K580" s="7">
        <f t="shared" si="86"/>
        <v>551</v>
      </c>
      <c r="L580" s="7">
        <f t="shared" si="87"/>
        <v>53.650000000000006</v>
      </c>
      <c r="M580" s="7">
        <f t="shared" si="88"/>
        <v>67.150000000000006</v>
      </c>
      <c r="N580" s="7">
        <f t="shared" si="89"/>
        <v>1.8639328984156569E-2</v>
      </c>
      <c r="O580" s="7">
        <f t="shared" si="90"/>
        <v>1.4892032762472076E-2</v>
      </c>
    </row>
    <row r="581" spans="9:15" x14ac:dyDescent="0.15">
      <c r="I581" s="7">
        <f t="shared" si="83"/>
        <v>20</v>
      </c>
      <c r="J581" s="7">
        <f t="shared" si="84"/>
        <v>29</v>
      </c>
      <c r="K581" s="7">
        <f t="shared" si="86"/>
        <v>580</v>
      </c>
      <c r="L581" s="7">
        <f t="shared" si="87"/>
        <v>55.1</v>
      </c>
      <c r="M581" s="7">
        <f t="shared" si="88"/>
        <v>70.05</v>
      </c>
      <c r="N581" s="7">
        <f t="shared" si="89"/>
        <v>1.8148820326678767E-2</v>
      </c>
      <c r="O581" s="7">
        <f t="shared" si="90"/>
        <v>1.4275517487508924E-2</v>
      </c>
    </row>
    <row r="582" spans="9:15" x14ac:dyDescent="0.15">
      <c r="I582" s="7">
        <f t="shared" si="83"/>
        <v>1</v>
      </c>
      <c r="J582" s="7">
        <f t="shared" si="84"/>
        <v>30</v>
      </c>
      <c r="K582" s="7">
        <f>J582</f>
        <v>30</v>
      </c>
      <c r="L582" s="7">
        <f t="shared" si="87"/>
        <v>28.5</v>
      </c>
      <c r="M582" s="7">
        <f t="shared" si="88"/>
        <v>15.45</v>
      </c>
      <c r="N582" s="7">
        <f t="shared" si="89"/>
        <v>3.5087719298245612E-2</v>
      </c>
      <c r="O582" s="7">
        <f t="shared" si="90"/>
        <v>6.4724919093851141E-2</v>
      </c>
    </row>
    <row r="583" spans="9:15" x14ac:dyDescent="0.15">
      <c r="I583" s="7">
        <f t="shared" si="83"/>
        <v>2</v>
      </c>
      <c r="J583" s="7">
        <f t="shared" si="84"/>
        <v>30</v>
      </c>
      <c r="K583" s="7">
        <f>K582+J582</f>
        <v>60</v>
      </c>
      <c r="L583" s="7">
        <f t="shared" si="87"/>
        <v>30</v>
      </c>
      <c r="M583" s="7">
        <f t="shared" si="88"/>
        <v>18.45</v>
      </c>
      <c r="N583" s="7">
        <f t="shared" si="89"/>
        <v>3.3333333333333333E-2</v>
      </c>
      <c r="O583" s="7">
        <f t="shared" si="90"/>
        <v>5.4200542005420058E-2</v>
      </c>
    </row>
    <row r="584" spans="9:15" x14ac:dyDescent="0.15">
      <c r="I584" s="7">
        <f t="shared" si="83"/>
        <v>3</v>
      </c>
      <c r="J584" s="7">
        <f t="shared" si="84"/>
        <v>30</v>
      </c>
      <c r="K584" s="7">
        <f t="shared" ref="K584:K601" si="91">K583+J583</f>
        <v>90</v>
      </c>
      <c r="L584" s="7">
        <f t="shared" si="87"/>
        <v>31.5</v>
      </c>
      <c r="M584" s="7">
        <f t="shared" si="88"/>
        <v>21.45</v>
      </c>
      <c r="N584" s="7">
        <f t="shared" si="89"/>
        <v>3.1746031746031744E-2</v>
      </c>
      <c r="O584" s="7">
        <f t="shared" si="90"/>
        <v>4.6620046620046623E-2</v>
      </c>
    </row>
    <row r="585" spans="9:15" x14ac:dyDescent="0.15">
      <c r="I585" s="7">
        <f t="shared" si="83"/>
        <v>4</v>
      </c>
      <c r="J585" s="7">
        <f t="shared" si="84"/>
        <v>30</v>
      </c>
      <c r="K585" s="7">
        <f t="shared" si="91"/>
        <v>120</v>
      </c>
      <c r="L585" s="7">
        <f t="shared" si="87"/>
        <v>33</v>
      </c>
      <c r="M585" s="7">
        <f t="shared" si="88"/>
        <v>24.45</v>
      </c>
      <c r="N585" s="7">
        <f t="shared" si="89"/>
        <v>3.0303030303030304E-2</v>
      </c>
      <c r="O585" s="7">
        <f t="shared" si="90"/>
        <v>4.0899795501022497E-2</v>
      </c>
    </row>
    <row r="586" spans="9:15" x14ac:dyDescent="0.15">
      <c r="I586" s="7">
        <f t="shared" si="83"/>
        <v>5</v>
      </c>
      <c r="J586" s="7">
        <f t="shared" si="84"/>
        <v>30</v>
      </c>
      <c r="K586" s="7">
        <f t="shared" si="91"/>
        <v>150</v>
      </c>
      <c r="L586" s="7">
        <f t="shared" si="87"/>
        <v>34.5</v>
      </c>
      <c r="M586" s="7">
        <f t="shared" si="88"/>
        <v>27.45</v>
      </c>
      <c r="N586" s="7">
        <f t="shared" si="89"/>
        <v>2.8985507246376812E-2</v>
      </c>
      <c r="O586" s="7">
        <f t="shared" si="90"/>
        <v>3.6429872495446269E-2</v>
      </c>
    </row>
    <row r="587" spans="9:15" x14ac:dyDescent="0.15">
      <c r="I587" s="7">
        <f t="shared" si="83"/>
        <v>6</v>
      </c>
      <c r="J587" s="7">
        <f t="shared" si="84"/>
        <v>30</v>
      </c>
      <c r="K587" s="7">
        <f t="shared" si="91"/>
        <v>180</v>
      </c>
      <c r="L587" s="7">
        <f t="shared" si="87"/>
        <v>36</v>
      </c>
      <c r="M587" s="7">
        <f t="shared" si="88"/>
        <v>30.45</v>
      </c>
      <c r="N587" s="7">
        <f t="shared" si="89"/>
        <v>2.7777777777777776E-2</v>
      </c>
      <c r="O587" s="7">
        <f t="shared" si="90"/>
        <v>3.2840722495894911E-2</v>
      </c>
    </row>
    <row r="588" spans="9:15" x14ac:dyDescent="0.15">
      <c r="I588" s="7">
        <f t="shared" si="83"/>
        <v>7</v>
      </c>
      <c r="J588" s="7">
        <f t="shared" si="84"/>
        <v>30</v>
      </c>
      <c r="K588" s="7">
        <f t="shared" si="91"/>
        <v>210</v>
      </c>
      <c r="L588" s="7">
        <f t="shared" si="87"/>
        <v>37.5</v>
      </c>
      <c r="M588" s="7">
        <f t="shared" si="88"/>
        <v>33.450000000000003</v>
      </c>
      <c r="N588" s="7">
        <f t="shared" si="89"/>
        <v>2.6666666666666668E-2</v>
      </c>
      <c r="O588" s="7">
        <f t="shared" si="90"/>
        <v>2.9895366218236172E-2</v>
      </c>
    </row>
    <row r="589" spans="9:15" x14ac:dyDescent="0.15">
      <c r="I589" s="7">
        <f t="shared" si="83"/>
        <v>8</v>
      </c>
      <c r="J589" s="7">
        <f t="shared" si="84"/>
        <v>30</v>
      </c>
      <c r="K589" s="7">
        <f t="shared" si="91"/>
        <v>240</v>
      </c>
      <c r="L589" s="7">
        <f t="shared" si="87"/>
        <v>39</v>
      </c>
      <c r="M589" s="7">
        <f t="shared" si="88"/>
        <v>36.450000000000003</v>
      </c>
      <c r="N589" s="7">
        <f t="shared" si="89"/>
        <v>2.564102564102564E-2</v>
      </c>
      <c r="O589" s="7">
        <f t="shared" si="90"/>
        <v>2.7434842249657063E-2</v>
      </c>
    </row>
    <row r="590" spans="9:15" x14ac:dyDescent="0.15">
      <c r="I590" s="7">
        <f t="shared" si="83"/>
        <v>9</v>
      </c>
      <c r="J590" s="7">
        <f t="shared" si="84"/>
        <v>30</v>
      </c>
      <c r="K590" s="7">
        <f t="shared" si="91"/>
        <v>270</v>
      </c>
      <c r="L590" s="7">
        <f t="shared" si="87"/>
        <v>40.5</v>
      </c>
      <c r="M590" s="7">
        <f t="shared" si="88"/>
        <v>39.450000000000003</v>
      </c>
      <c r="N590" s="7">
        <f t="shared" si="89"/>
        <v>2.4691358024691357E-2</v>
      </c>
      <c r="O590" s="7">
        <f t="shared" si="90"/>
        <v>2.5348542458808618E-2</v>
      </c>
    </row>
    <row r="591" spans="9:15" x14ac:dyDescent="0.15">
      <c r="I591" s="7">
        <f t="shared" si="83"/>
        <v>10</v>
      </c>
      <c r="J591" s="7">
        <f t="shared" si="84"/>
        <v>30</v>
      </c>
      <c r="K591" s="7">
        <f t="shared" si="91"/>
        <v>300</v>
      </c>
      <c r="L591" s="7">
        <f t="shared" si="87"/>
        <v>42</v>
      </c>
      <c r="M591" s="7">
        <f t="shared" si="88"/>
        <v>42.45</v>
      </c>
      <c r="N591" s="7">
        <f t="shared" si="89"/>
        <v>2.3809523809523808E-2</v>
      </c>
      <c r="O591" s="7">
        <f t="shared" si="90"/>
        <v>2.3557126030624261E-2</v>
      </c>
    </row>
    <row r="592" spans="9:15" x14ac:dyDescent="0.15">
      <c r="I592" s="7">
        <f t="shared" si="83"/>
        <v>11</v>
      </c>
      <c r="J592" s="7">
        <f t="shared" si="84"/>
        <v>30</v>
      </c>
      <c r="K592" s="7">
        <f t="shared" si="91"/>
        <v>330</v>
      </c>
      <c r="L592" s="7">
        <f t="shared" si="87"/>
        <v>43.5</v>
      </c>
      <c r="M592" s="7">
        <f t="shared" si="88"/>
        <v>45.45</v>
      </c>
      <c r="N592" s="7">
        <f t="shared" si="89"/>
        <v>2.2988505747126436E-2</v>
      </c>
      <c r="O592" s="7">
        <f t="shared" si="90"/>
        <v>2.2002200220022E-2</v>
      </c>
    </row>
    <row r="593" spans="9:15" x14ac:dyDescent="0.15">
      <c r="I593" s="7">
        <f t="shared" si="83"/>
        <v>12</v>
      </c>
      <c r="J593" s="7">
        <f t="shared" si="84"/>
        <v>30</v>
      </c>
      <c r="K593" s="7">
        <f t="shared" si="91"/>
        <v>360</v>
      </c>
      <c r="L593" s="7">
        <f t="shared" si="87"/>
        <v>45</v>
      </c>
      <c r="M593" s="7">
        <f t="shared" si="88"/>
        <v>48.45</v>
      </c>
      <c r="N593" s="7">
        <f t="shared" si="89"/>
        <v>2.2222222222222223E-2</v>
      </c>
      <c r="O593" s="7">
        <f t="shared" si="90"/>
        <v>2.063983488132095E-2</v>
      </c>
    </row>
    <row r="594" spans="9:15" x14ac:dyDescent="0.15">
      <c r="I594" s="7">
        <f t="shared" si="83"/>
        <v>13</v>
      </c>
      <c r="J594" s="7">
        <f t="shared" si="84"/>
        <v>30</v>
      </c>
      <c r="K594" s="7">
        <f t="shared" si="91"/>
        <v>390</v>
      </c>
      <c r="L594" s="7">
        <f t="shared" si="87"/>
        <v>46.5</v>
      </c>
      <c r="M594" s="7">
        <f t="shared" si="88"/>
        <v>51.45</v>
      </c>
      <c r="N594" s="7">
        <f t="shared" si="89"/>
        <v>2.1505376344086023E-2</v>
      </c>
      <c r="O594" s="7">
        <f t="shared" si="90"/>
        <v>1.9436345966958212E-2</v>
      </c>
    </row>
    <row r="595" spans="9:15" x14ac:dyDescent="0.15">
      <c r="I595" s="7">
        <f t="shared" si="83"/>
        <v>14</v>
      </c>
      <c r="J595" s="7">
        <f t="shared" si="84"/>
        <v>30</v>
      </c>
      <c r="K595" s="7">
        <f t="shared" si="91"/>
        <v>420</v>
      </c>
      <c r="L595" s="7">
        <f t="shared" si="87"/>
        <v>48</v>
      </c>
      <c r="M595" s="7">
        <f t="shared" si="88"/>
        <v>54.45</v>
      </c>
      <c r="N595" s="7">
        <f t="shared" si="89"/>
        <v>2.0833333333333332E-2</v>
      </c>
      <c r="O595" s="7">
        <f t="shared" si="90"/>
        <v>1.8365472910927456E-2</v>
      </c>
    </row>
    <row r="596" spans="9:15" x14ac:dyDescent="0.15">
      <c r="I596" s="7">
        <f t="shared" si="83"/>
        <v>15</v>
      </c>
      <c r="J596" s="7">
        <f t="shared" si="84"/>
        <v>30</v>
      </c>
      <c r="K596" s="7">
        <f t="shared" si="91"/>
        <v>450</v>
      </c>
      <c r="L596" s="7">
        <f t="shared" si="87"/>
        <v>49.5</v>
      </c>
      <c r="M596" s="7">
        <f t="shared" si="88"/>
        <v>57.45</v>
      </c>
      <c r="N596" s="7">
        <f t="shared" si="89"/>
        <v>2.0202020202020204E-2</v>
      </c>
      <c r="O596" s="7">
        <f t="shared" si="90"/>
        <v>1.7406440382941687E-2</v>
      </c>
    </row>
    <row r="597" spans="9:15" x14ac:dyDescent="0.15">
      <c r="I597" s="7">
        <f t="shared" si="83"/>
        <v>16</v>
      </c>
      <c r="J597" s="7">
        <f t="shared" si="84"/>
        <v>30</v>
      </c>
      <c r="K597" s="7">
        <f t="shared" si="91"/>
        <v>480</v>
      </c>
      <c r="L597" s="7">
        <f t="shared" si="87"/>
        <v>51</v>
      </c>
      <c r="M597" s="7">
        <f t="shared" si="88"/>
        <v>60.45</v>
      </c>
      <c r="N597" s="7">
        <f t="shared" si="89"/>
        <v>1.9607843137254902E-2</v>
      </c>
      <c r="O597" s="7">
        <f t="shared" si="90"/>
        <v>1.6542597187758478E-2</v>
      </c>
    </row>
    <row r="598" spans="9:15" x14ac:dyDescent="0.15">
      <c r="I598" s="7">
        <f t="shared" si="83"/>
        <v>17</v>
      </c>
      <c r="J598" s="7">
        <f t="shared" si="84"/>
        <v>30</v>
      </c>
      <c r="K598" s="7">
        <f t="shared" si="91"/>
        <v>510</v>
      </c>
      <c r="L598" s="7">
        <f t="shared" si="87"/>
        <v>52.5</v>
      </c>
      <c r="M598" s="7">
        <f t="shared" si="88"/>
        <v>63.45</v>
      </c>
      <c r="N598" s="7">
        <f t="shared" si="89"/>
        <v>1.9047619047619049E-2</v>
      </c>
      <c r="O598" s="7">
        <f t="shared" si="90"/>
        <v>1.5760441292356184E-2</v>
      </c>
    </row>
    <row r="599" spans="9:15" x14ac:dyDescent="0.15">
      <c r="I599" s="7">
        <f t="shared" ref="I599:I662" si="92">I579</f>
        <v>18</v>
      </c>
      <c r="J599" s="7">
        <f t="shared" ref="J599:J662" si="93">J579+1</f>
        <v>30</v>
      </c>
      <c r="K599" s="7">
        <f t="shared" si="91"/>
        <v>540</v>
      </c>
      <c r="L599" s="7">
        <f t="shared" si="87"/>
        <v>54</v>
      </c>
      <c r="M599" s="7">
        <f t="shared" si="88"/>
        <v>66.45</v>
      </c>
      <c r="N599" s="7">
        <f t="shared" si="89"/>
        <v>1.8518518518518517E-2</v>
      </c>
      <c r="O599" s="7">
        <f t="shared" si="90"/>
        <v>1.5048908954100828E-2</v>
      </c>
    </row>
    <row r="600" spans="9:15" x14ac:dyDescent="0.15">
      <c r="I600" s="7">
        <f t="shared" si="92"/>
        <v>19</v>
      </c>
      <c r="J600" s="7">
        <f t="shared" si="93"/>
        <v>30</v>
      </c>
      <c r="K600" s="7">
        <f t="shared" si="91"/>
        <v>570</v>
      </c>
      <c r="L600" s="7">
        <f t="shared" si="87"/>
        <v>55.5</v>
      </c>
      <c r="M600" s="7">
        <f t="shared" si="88"/>
        <v>69.45</v>
      </c>
      <c r="N600" s="7">
        <f t="shared" si="89"/>
        <v>1.8018018018018018E-2</v>
      </c>
      <c r="O600" s="7">
        <f t="shared" si="90"/>
        <v>1.4398848092152626E-2</v>
      </c>
    </row>
    <row r="601" spans="9:15" x14ac:dyDescent="0.15">
      <c r="I601" s="7">
        <f t="shared" si="92"/>
        <v>20</v>
      </c>
      <c r="J601" s="7">
        <f t="shared" si="93"/>
        <v>30</v>
      </c>
      <c r="K601" s="7">
        <f t="shared" si="91"/>
        <v>600</v>
      </c>
      <c r="L601" s="7">
        <f t="shared" si="87"/>
        <v>57</v>
      </c>
      <c r="M601" s="7">
        <f t="shared" si="88"/>
        <v>72.45</v>
      </c>
      <c r="N601" s="7">
        <f t="shared" si="89"/>
        <v>1.7543859649122806E-2</v>
      </c>
      <c r="O601" s="7">
        <f t="shared" si="90"/>
        <v>1.3802622498274672E-2</v>
      </c>
    </row>
    <row r="602" spans="9:15" x14ac:dyDescent="0.15">
      <c r="I602" s="7">
        <f t="shared" si="92"/>
        <v>1</v>
      </c>
      <c r="J602" s="7">
        <f t="shared" si="93"/>
        <v>31</v>
      </c>
      <c r="K602" s="7">
        <f>J602</f>
        <v>31</v>
      </c>
      <c r="L602" s="7">
        <f t="shared" si="87"/>
        <v>29.450000000000003</v>
      </c>
      <c r="M602" s="7">
        <f t="shared" si="88"/>
        <v>15.95</v>
      </c>
      <c r="N602" s="7">
        <f t="shared" si="89"/>
        <v>3.3955857385398976E-2</v>
      </c>
      <c r="O602" s="7">
        <f t="shared" si="90"/>
        <v>6.269592476489029E-2</v>
      </c>
    </row>
    <row r="603" spans="9:15" x14ac:dyDescent="0.15">
      <c r="I603" s="7">
        <f t="shared" si="92"/>
        <v>2</v>
      </c>
      <c r="J603" s="7">
        <f t="shared" si="93"/>
        <v>31</v>
      </c>
      <c r="K603" s="7">
        <f>K602+J602</f>
        <v>62</v>
      </c>
      <c r="L603" s="7">
        <f t="shared" si="87"/>
        <v>31.000000000000004</v>
      </c>
      <c r="M603" s="7">
        <f t="shared" si="88"/>
        <v>19.05</v>
      </c>
      <c r="N603" s="7">
        <f t="shared" si="89"/>
        <v>3.2258064516129031E-2</v>
      </c>
      <c r="O603" s="7">
        <f t="shared" si="90"/>
        <v>5.2493438320209973E-2</v>
      </c>
    </row>
    <row r="604" spans="9:15" x14ac:dyDescent="0.15">
      <c r="I604" s="7">
        <f t="shared" si="92"/>
        <v>3</v>
      </c>
      <c r="J604" s="7">
        <f t="shared" si="93"/>
        <v>31</v>
      </c>
      <c r="K604" s="7">
        <f t="shared" ref="K604:K621" si="94">K603+J603</f>
        <v>93</v>
      </c>
      <c r="L604" s="7">
        <f t="shared" si="87"/>
        <v>32.550000000000004</v>
      </c>
      <c r="M604" s="7">
        <f t="shared" si="88"/>
        <v>22.15</v>
      </c>
      <c r="N604" s="7">
        <f t="shared" si="89"/>
        <v>3.072196620583717E-2</v>
      </c>
      <c r="O604" s="7">
        <f t="shared" si="90"/>
        <v>4.5146726862302484E-2</v>
      </c>
    </row>
    <row r="605" spans="9:15" x14ac:dyDescent="0.15">
      <c r="I605" s="7">
        <f t="shared" si="92"/>
        <v>4</v>
      </c>
      <c r="J605" s="7">
        <f t="shared" si="93"/>
        <v>31</v>
      </c>
      <c r="K605" s="7">
        <f t="shared" si="94"/>
        <v>124</v>
      </c>
      <c r="L605" s="7">
        <f t="shared" si="87"/>
        <v>34.1</v>
      </c>
      <c r="M605" s="7">
        <f t="shared" si="88"/>
        <v>25.25</v>
      </c>
      <c r="N605" s="7">
        <f t="shared" si="89"/>
        <v>2.9325513196480937E-2</v>
      </c>
      <c r="O605" s="7">
        <f t="shared" si="90"/>
        <v>3.9603960396039604E-2</v>
      </c>
    </row>
    <row r="606" spans="9:15" x14ac:dyDescent="0.15">
      <c r="I606" s="7">
        <f t="shared" si="92"/>
        <v>5</v>
      </c>
      <c r="J606" s="7">
        <f t="shared" si="93"/>
        <v>31</v>
      </c>
      <c r="K606" s="7">
        <f t="shared" si="94"/>
        <v>155</v>
      </c>
      <c r="L606" s="7">
        <f t="shared" si="87"/>
        <v>35.650000000000006</v>
      </c>
      <c r="M606" s="7">
        <f t="shared" si="88"/>
        <v>28.35</v>
      </c>
      <c r="N606" s="7">
        <f t="shared" si="89"/>
        <v>2.8050490883590459E-2</v>
      </c>
      <c r="O606" s="7">
        <f t="shared" si="90"/>
        <v>3.5273368606701938E-2</v>
      </c>
    </row>
    <row r="607" spans="9:15" x14ac:dyDescent="0.15">
      <c r="I607" s="7">
        <f t="shared" si="92"/>
        <v>6</v>
      </c>
      <c r="J607" s="7">
        <f t="shared" si="93"/>
        <v>31</v>
      </c>
      <c r="K607" s="7">
        <f t="shared" si="94"/>
        <v>186</v>
      </c>
      <c r="L607" s="7">
        <f t="shared" si="87"/>
        <v>37.200000000000003</v>
      </c>
      <c r="M607" s="7">
        <f t="shared" si="88"/>
        <v>31.450000000000003</v>
      </c>
      <c r="N607" s="7">
        <f t="shared" si="89"/>
        <v>2.6881720430107524E-2</v>
      </c>
      <c r="O607" s="7">
        <f t="shared" si="90"/>
        <v>3.1796502384737677E-2</v>
      </c>
    </row>
    <row r="608" spans="9:15" x14ac:dyDescent="0.15">
      <c r="I608" s="7">
        <f t="shared" si="92"/>
        <v>7</v>
      </c>
      <c r="J608" s="7">
        <f t="shared" si="93"/>
        <v>31</v>
      </c>
      <c r="K608" s="7">
        <f t="shared" si="94"/>
        <v>217</v>
      </c>
      <c r="L608" s="7">
        <f t="shared" si="87"/>
        <v>38.75</v>
      </c>
      <c r="M608" s="7">
        <f t="shared" si="88"/>
        <v>34.550000000000004</v>
      </c>
      <c r="N608" s="7">
        <f t="shared" si="89"/>
        <v>2.5806451612903226E-2</v>
      </c>
      <c r="O608" s="7">
        <f t="shared" si="90"/>
        <v>2.8943560057887115E-2</v>
      </c>
    </row>
    <row r="609" spans="9:15" x14ac:dyDescent="0.15">
      <c r="I609" s="7">
        <f t="shared" si="92"/>
        <v>8</v>
      </c>
      <c r="J609" s="7">
        <f t="shared" si="93"/>
        <v>31</v>
      </c>
      <c r="K609" s="7">
        <f t="shared" si="94"/>
        <v>248</v>
      </c>
      <c r="L609" s="7">
        <f t="shared" si="87"/>
        <v>40.300000000000004</v>
      </c>
      <c r="M609" s="7">
        <f t="shared" si="88"/>
        <v>37.65</v>
      </c>
      <c r="N609" s="7">
        <f t="shared" si="89"/>
        <v>2.4813895781637715E-2</v>
      </c>
      <c r="O609" s="7">
        <f t="shared" si="90"/>
        <v>2.6560424966799469E-2</v>
      </c>
    </row>
    <row r="610" spans="9:15" x14ac:dyDescent="0.15">
      <c r="I610" s="7">
        <f t="shared" si="92"/>
        <v>9</v>
      </c>
      <c r="J610" s="7">
        <f t="shared" si="93"/>
        <v>31</v>
      </c>
      <c r="K610" s="7">
        <f t="shared" si="94"/>
        <v>279</v>
      </c>
      <c r="L610" s="7">
        <f t="shared" si="87"/>
        <v>41.85</v>
      </c>
      <c r="M610" s="7">
        <f t="shared" si="88"/>
        <v>40.75</v>
      </c>
      <c r="N610" s="7">
        <f t="shared" si="89"/>
        <v>2.3894862604540022E-2</v>
      </c>
      <c r="O610" s="7">
        <f t="shared" si="90"/>
        <v>2.4539877300613498E-2</v>
      </c>
    </row>
    <row r="611" spans="9:15" x14ac:dyDescent="0.15">
      <c r="I611" s="7">
        <f t="shared" si="92"/>
        <v>10</v>
      </c>
      <c r="J611" s="7">
        <f t="shared" si="93"/>
        <v>31</v>
      </c>
      <c r="K611" s="7">
        <f t="shared" si="94"/>
        <v>310</v>
      </c>
      <c r="L611" s="7">
        <f t="shared" si="87"/>
        <v>43.400000000000006</v>
      </c>
      <c r="M611" s="7">
        <f t="shared" si="88"/>
        <v>43.85</v>
      </c>
      <c r="N611" s="7">
        <f t="shared" si="89"/>
        <v>2.3041474654377878E-2</v>
      </c>
      <c r="O611" s="7">
        <f t="shared" si="90"/>
        <v>2.2805017103762829E-2</v>
      </c>
    </row>
    <row r="612" spans="9:15" x14ac:dyDescent="0.15">
      <c r="I612" s="7">
        <f t="shared" si="92"/>
        <v>11</v>
      </c>
      <c r="J612" s="7">
        <f t="shared" si="93"/>
        <v>31</v>
      </c>
      <c r="K612" s="7">
        <f t="shared" si="94"/>
        <v>341</v>
      </c>
      <c r="L612" s="7">
        <f t="shared" si="87"/>
        <v>44.95</v>
      </c>
      <c r="M612" s="7">
        <f t="shared" si="88"/>
        <v>46.95</v>
      </c>
      <c r="N612" s="7">
        <f t="shared" si="89"/>
        <v>2.2246941045606226E-2</v>
      </c>
      <c r="O612" s="7">
        <f t="shared" si="90"/>
        <v>2.1299254526091587E-2</v>
      </c>
    </row>
    <row r="613" spans="9:15" x14ac:dyDescent="0.15">
      <c r="I613" s="7">
        <f t="shared" si="92"/>
        <v>12</v>
      </c>
      <c r="J613" s="7">
        <f t="shared" si="93"/>
        <v>31</v>
      </c>
      <c r="K613" s="7">
        <f t="shared" si="94"/>
        <v>372</v>
      </c>
      <c r="L613" s="7">
        <f t="shared" si="87"/>
        <v>46.5</v>
      </c>
      <c r="M613" s="7">
        <f t="shared" si="88"/>
        <v>50.050000000000004</v>
      </c>
      <c r="N613" s="7">
        <f t="shared" si="89"/>
        <v>2.1505376344086023E-2</v>
      </c>
      <c r="O613" s="7">
        <f t="shared" si="90"/>
        <v>1.998001998001998E-2</v>
      </c>
    </row>
    <row r="614" spans="9:15" x14ac:dyDescent="0.15">
      <c r="I614" s="7">
        <f t="shared" si="92"/>
        <v>13</v>
      </c>
      <c r="J614" s="7">
        <f t="shared" si="93"/>
        <v>31</v>
      </c>
      <c r="K614" s="7">
        <f t="shared" si="94"/>
        <v>403</v>
      </c>
      <c r="L614" s="7">
        <f t="shared" si="87"/>
        <v>48.050000000000004</v>
      </c>
      <c r="M614" s="7">
        <f t="shared" si="88"/>
        <v>53.150000000000006</v>
      </c>
      <c r="N614" s="7">
        <f t="shared" si="89"/>
        <v>2.0811654526534856E-2</v>
      </c>
      <c r="O614" s="7">
        <f t="shared" si="90"/>
        <v>1.881467544684854E-2</v>
      </c>
    </row>
    <row r="615" spans="9:15" x14ac:dyDescent="0.15">
      <c r="I615" s="7">
        <f t="shared" si="92"/>
        <v>14</v>
      </c>
      <c r="J615" s="7">
        <f t="shared" si="93"/>
        <v>31</v>
      </c>
      <c r="K615" s="7">
        <f t="shared" si="94"/>
        <v>434</v>
      </c>
      <c r="L615" s="7">
        <f t="shared" si="87"/>
        <v>49.600000000000009</v>
      </c>
      <c r="M615" s="7">
        <f t="shared" si="88"/>
        <v>56.250000000000007</v>
      </c>
      <c r="N615" s="7">
        <f t="shared" si="89"/>
        <v>2.0161290322580641E-2</v>
      </c>
      <c r="O615" s="7">
        <f t="shared" si="90"/>
        <v>1.7777777777777774E-2</v>
      </c>
    </row>
    <row r="616" spans="9:15" x14ac:dyDescent="0.15">
      <c r="I616" s="7">
        <f t="shared" si="92"/>
        <v>15</v>
      </c>
      <c r="J616" s="7">
        <f t="shared" si="93"/>
        <v>31</v>
      </c>
      <c r="K616" s="7">
        <f t="shared" si="94"/>
        <v>465</v>
      </c>
      <c r="L616" s="7">
        <f t="shared" si="87"/>
        <v>51.150000000000006</v>
      </c>
      <c r="M616" s="7">
        <f t="shared" si="88"/>
        <v>59.35</v>
      </c>
      <c r="N616" s="7">
        <f t="shared" si="89"/>
        <v>1.9550342130987289E-2</v>
      </c>
      <c r="O616" s="7">
        <f t="shared" si="90"/>
        <v>1.6849199663016005E-2</v>
      </c>
    </row>
    <row r="617" spans="9:15" x14ac:dyDescent="0.15">
      <c r="I617" s="7">
        <f t="shared" si="92"/>
        <v>16</v>
      </c>
      <c r="J617" s="7">
        <f t="shared" si="93"/>
        <v>31</v>
      </c>
      <c r="K617" s="7">
        <f t="shared" si="94"/>
        <v>496</v>
      </c>
      <c r="L617" s="7">
        <f t="shared" si="87"/>
        <v>52.7</v>
      </c>
      <c r="M617" s="7">
        <f t="shared" si="88"/>
        <v>62.45</v>
      </c>
      <c r="N617" s="7">
        <f t="shared" si="89"/>
        <v>1.8975332068311195E-2</v>
      </c>
      <c r="O617" s="7">
        <f t="shared" si="90"/>
        <v>1.6012810248198558E-2</v>
      </c>
    </row>
    <row r="618" spans="9:15" x14ac:dyDescent="0.15">
      <c r="I618" s="7">
        <f t="shared" si="92"/>
        <v>17</v>
      </c>
      <c r="J618" s="7">
        <f t="shared" si="93"/>
        <v>31</v>
      </c>
      <c r="K618" s="7">
        <f t="shared" si="94"/>
        <v>527</v>
      </c>
      <c r="L618" s="7">
        <f t="shared" si="87"/>
        <v>54.25</v>
      </c>
      <c r="M618" s="7">
        <f t="shared" si="88"/>
        <v>65.55</v>
      </c>
      <c r="N618" s="7">
        <f t="shared" si="89"/>
        <v>1.8433179723502304E-2</v>
      </c>
      <c r="O618" s="7">
        <f t="shared" si="90"/>
        <v>1.5255530129672007E-2</v>
      </c>
    </row>
    <row r="619" spans="9:15" x14ac:dyDescent="0.15">
      <c r="I619" s="7">
        <f t="shared" si="92"/>
        <v>18</v>
      </c>
      <c r="J619" s="7">
        <f t="shared" si="93"/>
        <v>31</v>
      </c>
      <c r="K619" s="7">
        <f t="shared" si="94"/>
        <v>558</v>
      </c>
      <c r="L619" s="7">
        <f t="shared" si="87"/>
        <v>55.800000000000004</v>
      </c>
      <c r="M619" s="7">
        <f t="shared" si="88"/>
        <v>68.650000000000006</v>
      </c>
      <c r="N619" s="7">
        <f t="shared" si="89"/>
        <v>1.7921146953405017E-2</v>
      </c>
      <c r="O619" s="7">
        <f t="shared" si="90"/>
        <v>1.456664238892935E-2</v>
      </c>
    </row>
    <row r="620" spans="9:15" x14ac:dyDescent="0.15">
      <c r="I620" s="7">
        <f t="shared" si="92"/>
        <v>19</v>
      </c>
      <c r="J620" s="7">
        <f t="shared" si="93"/>
        <v>31</v>
      </c>
      <c r="K620" s="7">
        <f t="shared" si="94"/>
        <v>589</v>
      </c>
      <c r="L620" s="7">
        <f t="shared" si="87"/>
        <v>57.350000000000009</v>
      </c>
      <c r="M620" s="7">
        <f t="shared" si="88"/>
        <v>71.75</v>
      </c>
      <c r="N620" s="7">
        <f t="shared" si="89"/>
        <v>1.7436791630340016E-2</v>
      </c>
      <c r="O620" s="7">
        <f t="shared" si="90"/>
        <v>1.3937282229965157E-2</v>
      </c>
    </row>
    <row r="621" spans="9:15" x14ac:dyDescent="0.15">
      <c r="I621" s="7">
        <f t="shared" si="92"/>
        <v>20</v>
      </c>
      <c r="J621" s="7">
        <f t="shared" si="93"/>
        <v>31</v>
      </c>
      <c r="K621" s="7">
        <f t="shared" si="94"/>
        <v>620</v>
      </c>
      <c r="L621" s="7">
        <f t="shared" si="87"/>
        <v>58.900000000000006</v>
      </c>
      <c r="M621" s="7">
        <f t="shared" si="88"/>
        <v>74.849999999999994</v>
      </c>
      <c r="N621" s="7">
        <f t="shared" si="89"/>
        <v>1.6977928692699488E-2</v>
      </c>
      <c r="O621" s="7">
        <f t="shared" si="90"/>
        <v>1.3360053440213761E-2</v>
      </c>
    </row>
    <row r="622" spans="9:15" x14ac:dyDescent="0.15">
      <c r="I622" s="7">
        <f t="shared" si="92"/>
        <v>1</v>
      </c>
      <c r="J622" s="7">
        <f t="shared" si="93"/>
        <v>32</v>
      </c>
      <c r="K622" s="7">
        <f>J622</f>
        <v>32</v>
      </c>
      <c r="L622" s="7">
        <f t="shared" si="87"/>
        <v>30.400000000000002</v>
      </c>
      <c r="M622" s="7">
        <f t="shared" si="88"/>
        <v>16.45</v>
      </c>
      <c r="N622" s="7">
        <f t="shared" si="89"/>
        <v>3.2894736842105261E-2</v>
      </c>
      <c r="O622" s="7">
        <f t="shared" si="90"/>
        <v>6.0790273556231005E-2</v>
      </c>
    </row>
    <row r="623" spans="9:15" x14ac:dyDescent="0.15">
      <c r="I623" s="7">
        <f t="shared" si="92"/>
        <v>2</v>
      </c>
      <c r="J623" s="7">
        <f t="shared" si="93"/>
        <v>32</v>
      </c>
      <c r="K623" s="7">
        <f>K622+J622</f>
        <v>64</v>
      </c>
      <c r="L623" s="7">
        <f t="shared" si="87"/>
        <v>32</v>
      </c>
      <c r="M623" s="7">
        <f t="shared" si="88"/>
        <v>19.649999999999999</v>
      </c>
      <c r="N623" s="7">
        <f t="shared" si="89"/>
        <v>3.125E-2</v>
      </c>
      <c r="O623" s="7">
        <f t="shared" si="90"/>
        <v>5.0890585241730284E-2</v>
      </c>
    </row>
    <row r="624" spans="9:15" x14ac:dyDescent="0.15">
      <c r="I624" s="7">
        <f t="shared" si="92"/>
        <v>3</v>
      </c>
      <c r="J624" s="7">
        <f t="shared" si="93"/>
        <v>32</v>
      </c>
      <c r="K624" s="7">
        <f t="shared" ref="K624:K641" si="95">K623+J623</f>
        <v>96</v>
      </c>
      <c r="L624" s="7">
        <f t="shared" si="87"/>
        <v>33.6</v>
      </c>
      <c r="M624" s="7">
        <f t="shared" si="88"/>
        <v>22.85</v>
      </c>
      <c r="N624" s="7">
        <f t="shared" si="89"/>
        <v>2.976190476190476E-2</v>
      </c>
      <c r="O624" s="7">
        <f t="shared" si="90"/>
        <v>4.3763676148796497E-2</v>
      </c>
    </row>
    <row r="625" spans="9:15" x14ac:dyDescent="0.15">
      <c r="I625" s="7">
        <f t="shared" si="92"/>
        <v>4</v>
      </c>
      <c r="J625" s="7">
        <f t="shared" si="93"/>
        <v>32</v>
      </c>
      <c r="K625" s="7">
        <f t="shared" si="95"/>
        <v>128</v>
      </c>
      <c r="L625" s="7">
        <f t="shared" si="87"/>
        <v>35.200000000000003</v>
      </c>
      <c r="M625" s="7">
        <f t="shared" si="88"/>
        <v>26.05</v>
      </c>
      <c r="N625" s="7">
        <f t="shared" si="89"/>
        <v>2.8409090909090908E-2</v>
      </c>
      <c r="O625" s="7">
        <f t="shared" si="90"/>
        <v>3.8387715930902108E-2</v>
      </c>
    </row>
    <row r="626" spans="9:15" x14ac:dyDescent="0.15">
      <c r="I626" s="7">
        <f t="shared" si="92"/>
        <v>5</v>
      </c>
      <c r="J626" s="7">
        <f t="shared" si="93"/>
        <v>32</v>
      </c>
      <c r="K626" s="7">
        <f t="shared" si="95"/>
        <v>160</v>
      </c>
      <c r="L626" s="7">
        <f t="shared" si="87"/>
        <v>36.799999999999997</v>
      </c>
      <c r="M626" s="7">
        <f t="shared" si="88"/>
        <v>29.25</v>
      </c>
      <c r="N626" s="7">
        <f t="shared" si="89"/>
        <v>2.7173913043478264E-2</v>
      </c>
      <c r="O626" s="7">
        <f t="shared" si="90"/>
        <v>3.4188034188034191E-2</v>
      </c>
    </row>
    <row r="627" spans="9:15" x14ac:dyDescent="0.15">
      <c r="I627" s="7">
        <f t="shared" si="92"/>
        <v>6</v>
      </c>
      <c r="J627" s="7">
        <f t="shared" si="93"/>
        <v>32</v>
      </c>
      <c r="K627" s="7">
        <f t="shared" si="95"/>
        <v>192</v>
      </c>
      <c r="L627" s="7">
        <f t="shared" si="87"/>
        <v>38.400000000000006</v>
      </c>
      <c r="M627" s="7">
        <f t="shared" si="88"/>
        <v>32.450000000000003</v>
      </c>
      <c r="N627" s="7">
        <f t="shared" si="89"/>
        <v>2.6041666666666664E-2</v>
      </c>
      <c r="O627" s="7">
        <f t="shared" si="90"/>
        <v>3.0816640986132508E-2</v>
      </c>
    </row>
    <row r="628" spans="9:15" x14ac:dyDescent="0.15">
      <c r="I628" s="7">
        <f t="shared" si="92"/>
        <v>7</v>
      </c>
      <c r="J628" s="7">
        <f t="shared" si="93"/>
        <v>32</v>
      </c>
      <c r="K628" s="7">
        <f t="shared" si="95"/>
        <v>224</v>
      </c>
      <c r="L628" s="7">
        <f t="shared" si="87"/>
        <v>40</v>
      </c>
      <c r="M628" s="7">
        <f t="shared" si="88"/>
        <v>35.650000000000006</v>
      </c>
      <c r="N628" s="7">
        <f t="shared" si="89"/>
        <v>2.5000000000000001E-2</v>
      </c>
      <c r="O628" s="7">
        <f t="shared" si="90"/>
        <v>2.8050490883590459E-2</v>
      </c>
    </row>
    <row r="629" spans="9:15" x14ac:dyDescent="0.15">
      <c r="I629" s="7">
        <f t="shared" si="92"/>
        <v>8</v>
      </c>
      <c r="J629" s="7">
        <f t="shared" si="93"/>
        <v>32</v>
      </c>
      <c r="K629" s="7">
        <f t="shared" si="95"/>
        <v>256</v>
      </c>
      <c r="L629" s="7">
        <f t="shared" si="87"/>
        <v>41.6</v>
      </c>
      <c r="M629" s="7">
        <f t="shared" si="88"/>
        <v>38.85</v>
      </c>
      <c r="N629" s="7">
        <f t="shared" si="89"/>
        <v>2.4038461538461536E-2</v>
      </c>
      <c r="O629" s="7">
        <f t="shared" si="90"/>
        <v>2.5740025740025738E-2</v>
      </c>
    </row>
    <row r="630" spans="9:15" x14ac:dyDescent="0.15">
      <c r="I630" s="7">
        <f t="shared" si="92"/>
        <v>9</v>
      </c>
      <c r="J630" s="7">
        <f t="shared" si="93"/>
        <v>32</v>
      </c>
      <c r="K630" s="7">
        <f t="shared" si="95"/>
        <v>288</v>
      </c>
      <c r="L630" s="7">
        <f t="shared" si="87"/>
        <v>43.2</v>
      </c>
      <c r="M630" s="7">
        <f t="shared" si="88"/>
        <v>42.05</v>
      </c>
      <c r="N630" s="7">
        <f t="shared" si="89"/>
        <v>2.3148148148148147E-2</v>
      </c>
      <c r="O630" s="7">
        <f t="shared" si="90"/>
        <v>2.3781212841854936E-2</v>
      </c>
    </row>
    <row r="631" spans="9:15" x14ac:dyDescent="0.15">
      <c r="I631" s="7">
        <f t="shared" si="92"/>
        <v>10</v>
      </c>
      <c r="J631" s="7">
        <f t="shared" si="93"/>
        <v>32</v>
      </c>
      <c r="K631" s="7">
        <f t="shared" si="95"/>
        <v>320</v>
      </c>
      <c r="L631" s="7">
        <f t="shared" si="87"/>
        <v>44.8</v>
      </c>
      <c r="M631" s="7">
        <f t="shared" si="88"/>
        <v>45.25</v>
      </c>
      <c r="N631" s="7">
        <f t="shared" si="89"/>
        <v>2.2321428571428572E-2</v>
      </c>
      <c r="O631" s="7">
        <f t="shared" si="90"/>
        <v>2.2099447513812154E-2</v>
      </c>
    </row>
    <row r="632" spans="9:15" x14ac:dyDescent="0.15">
      <c r="I632" s="7">
        <f t="shared" si="92"/>
        <v>11</v>
      </c>
      <c r="J632" s="7">
        <f t="shared" si="93"/>
        <v>32</v>
      </c>
      <c r="K632" s="7">
        <f t="shared" si="95"/>
        <v>352</v>
      </c>
      <c r="L632" s="7">
        <f t="shared" si="87"/>
        <v>46.400000000000006</v>
      </c>
      <c r="M632" s="7">
        <f t="shared" si="88"/>
        <v>48.45</v>
      </c>
      <c r="N632" s="7">
        <f t="shared" si="89"/>
        <v>2.1551724137931032E-2</v>
      </c>
      <c r="O632" s="7">
        <f t="shared" si="90"/>
        <v>2.063983488132095E-2</v>
      </c>
    </row>
    <row r="633" spans="9:15" x14ac:dyDescent="0.15">
      <c r="I633" s="7">
        <f t="shared" si="92"/>
        <v>12</v>
      </c>
      <c r="J633" s="7">
        <f t="shared" si="93"/>
        <v>32</v>
      </c>
      <c r="K633" s="7">
        <f t="shared" si="95"/>
        <v>384</v>
      </c>
      <c r="L633" s="7">
        <f t="shared" si="87"/>
        <v>48</v>
      </c>
      <c r="M633" s="7">
        <f t="shared" si="88"/>
        <v>51.650000000000006</v>
      </c>
      <c r="N633" s="7">
        <f t="shared" si="89"/>
        <v>2.0833333333333332E-2</v>
      </c>
      <c r="O633" s="7">
        <f t="shared" si="90"/>
        <v>1.9361084220716359E-2</v>
      </c>
    </row>
    <row r="634" spans="9:15" x14ac:dyDescent="0.15">
      <c r="I634" s="7">
        <f t="shared" si="92"/>
        <v>13</v>
      </c>
      <c r="J634" s="7">
        <f t="shared" si="93"/>
        <v>32</v>
      </c>
      <c r="K634" s="7">
        <f t="shared" si="95"/>
        <v>416</v>
      </c>
      <c r="L634" s="7">
        <f t="shared" si="87"/>
        <v>49.6</v>
      </c>
      <c r="M634" s="7">
        <f t="shared" si="88"/>
        <v>54.85</v>
      </c>
      <c r="N634" s="7">
        <f t="shared" si="89"/>
        <v>2.0161290322580645E-2</v>
      </c>
      <c r="O634" s="7">
        <f t="shared" si="90"/>
        <v>1.8231540565177756E-2</v>
      </c>
    </row>
    <row r="635" spans="9:15" x14ac:dyDescent="0.15">
      <c r="I635" s="7">
        <f t="shared" si="92"/>
        <v>14</v>
      </c>
      <c r="J635" s="7">
        <f t="shared" si="93"/>
        <v>32</v>
      </c>
      <c r="K635" s="7">
        <f t="shared" si="95"/>
        <v>448</v>
      </c>
      <c r="L635" s="7">
        <f t="shared" si="87"/>
        <v>51.2</v>
      </c>
      <c r="M635" s="7">
        <f t="shared" si="88"/>
        <v>58.050000000000004</v>
      </c>
      <c r="N635" s="7">
        <f t="shared" si="89"/>
        <v>1.953125E-2</v>
      </c>
      <c r="O635" s="7">
        <f t="shared" si="90"/>
        <v>1.7226528854435829E-2</v>
      </c>
    </row>
    <row r="636" spans="9:15" x14ac:dyDescent="0.15">
      <c r="I636" s="7">
        <f t="shared" si="92"/>
        <v>15</v>
      </c>
      <c r="J636" s="7">
        <f t="shared" si="93"/>
        <v>32</v>
      </c>
      <c r="K636" s="7">
        <f t="shared" si="95"/>
        <v>480</v>
      </c>
      <c r="L636" s="7">
        <f t="shared" si="87"/>
        <v>52.8</v>
      </c>
      <c r="M636" s="7">
        <f t="shared" si="88"/>
        <v>61.25</v>
      </c>
      <c r="N636" s="7">
        <f t="shared" si="89"/>
        <v>1.893939393939394E-2</v>
      </c>
      <c r="O636" s="7">
        <f t="shared" si="90"/>
        <v>1.6326530612244899E-2</v>
      </c>
    </row>
    <row r="637" spans="9:15" x14ac:dyDescent="0.15">
      <c r="I637" s="7">
        <f t="shared" si="92"/>
        <v>16</v>
      </c>
      <c r="J637" s="7">
        <f t="shared" si="93"/>
        <v>32</v>
      </c>
      <c r="K637" s="7">
        <f t="shared" si="95"/>
        <v>512</v>
      </c>
      <c r="L637" s="7">
        <f t="shared" si="87"/>
        <v>54.400000000000006</v>
      </c>
      <c r="M637" s="7">
        <f t="shared" si="88"/>
        <v>64.45</v>
      </c>
      <c r="N637" s="7">
        <f t="shared" si="89"/>
        <v>1.8382352941176468E-2</v>
      </c>
      <c r="O637" s="7">
        <f t="shared" si="90"/>
        <v>1.5515903801396431E-2</v>
      </c>
    </row>
    <row r="638" spans="9:15" x14ac:dyDescent="0.15">
      <c r="I638" s="7">
        <f t="shared" si="92"/>
        <v>17</v>
      </c>
      <c r="J638" s="7">
        <f t="shared" si="93"/>
        <v>32</v>
      </c>
      <c r="K638" s="7">
        <f t="shared" si="95"/>
        <v>544</v>
      </c>
      <c r="L638" s="7">
        <f t="shared" si="87"/>
        <v>56</v>
      </c>
      <c r="M638" s="7">
        <f t="shared" si="88"/>
        <v>67.650000000000006</v>
      </c>
      <c r="N638" s="7">
        <f t="shared" si="89"/>
        <v>1.7857142857142856E-2</v>
      </c>
      <c r="O638" s="7">
        <f t="shared" si="90"/>
        <v>1.4781966001478195E-2</v>
      </c>
    </row>
    <row r="639" spans="9:15" x14ac:dyDescent="0.15">
      <c r="I639" s="7">
        <f t="shared" si="92"/>
        <v>18</v>
      </c>
      <c r="J639" s="7">
        <f t="shared" si="93"/>
        <v>32</v>
      </c>
      <c r="K639" s="7">
        <f t="shared" si="95"/>
        <v>576</v>
      </c>
      <c r="L639" s="7">
        <f t="shared" si="87"/>
        <v>57.6</v>
      </c>
      <c r="M639" s="7">
        <f t="shared" si="88"/>
        <v>70.849999999999994</v>
      </c>
      <c r="N639" s="7">
        <f t="shared" si="89"/>
        <v>1.7361111111111112E-2</v>
      </c>
      <c r="O639" s="7">
        <f t="shared" si="90"/>
        <v>1.4114326040931546E-2</v>
      </c>
    </row>
    <row r="640" spans="9:15" x14ac:dyDescent="0.15">
      <c r="I640" s="7">
        <f t="shared" si="92"/>
        <v>19</v>
      </c>
      <c r="J640" s="7">
        <f t="shared" si="93"/>
        <v>32</v>
      </c>
      <c r="K640" s="7">
        <f t="shared" si="95"/>
        <v>608</v>
      </c>
      <c r="L640" s="7">
        <f t="shared" si="87"/>
        <v>59.2</v>
      </c>
      <c r="M640" s="7">
        <f t="shared" si="88"/>
        <v>74.050000000000011</v>
      </c>
      <c r="N640" s="7">
        <f t="shared" si="89"/>
        <v>1.6891891891891889E-2</v>
      </c>
      <c r="O640" s="7">
        <f t="shared" si="90"/>
        <v>1.3504388926401078E-2</v>
      </c>
    </row>
    <row r="641" spans="9:15" x14ac:dyDescent="0.15">
      <c r="I641" s="7">
        <f t="shared" si="92"/>
        <v>20</v>
      </c>
      <c r="J641" s="7">
        <f t="shared" si="93"/>
        <v>32</v>
      </c>
      <c r="K641" s="7">
        <f t="shared" si="95"/>
        <v>640</v>
      </c>
      <c r="L641" s="7">
        <f t="shared" si="87"/>
        <v>60.8</v>
      </c>
      <c r="M641" s="7">
        <f t="shared" si="88"/>
        <v>77.25</v>
      </c>
      <c r="N641" s="7">
        <f t="shared" si="89"/>
        <v>1.6447368421052631E-2</v>
      </c>
      <c r="O641" s="7">
        <f t="shared" si="90"/>
        <v>1.2944983818770227E-2</v>
      </c>
    </row>
    <row r="642" spans="9:15" x14ac:dyDescent="0.15">
      <c r="I642" s="7">
        <f t="shared" si="92"/>
        <v>1</v>
      </c>
      <c r="J642" s="7">
        <f t="shared" si="93"/>
        <v>33</v>
      </c>
      <c r="K642" s="7">
        <f>J642</f>
        <v>33</v>
      </c>
      <c r="L642" s="7">
        <f t="shared" si="87"/>
        <v>31.349999999999998</v>
      </c>
      <c r="M642" s="7">
        <f t="shared" si="88"/>
        <v>16.95</v>
      </c>
      <c r="N642" s="7">
        <f t="shared" si="89"/>
        <v>3.1897926634768745E-2</v>
      </c>
      <c r="O642" s="7">
        <f t="shared" si="90"/>
        <v>5.8997050147492625E-2</v>
      </c>
    </row>
    <row r="643" spans="9:15" x14ac:dyDescent="0.15">
      <c r="I643" s="7">
        <f t="shared" si="92"/>
        <v>2</v>
      </c>
      <c r="J643" s="7">
        <f t="shared" si="93"/>
        <v>33</v>
      </c>
      <c r="K643" s="7">
        <f>K642+J642</f>
        <v>66</v>
      </c>
      <c r="L643" s="7">
        <f t="shared" ref="L643:L706" si="96">0.9*J643+0.05*K643</f>
        <v>33</v>
      </c>
      <c r="M643" s="7">
        <f t="shared" ref="M643:M706" si="97">0.45+0.4*J643+0.1*K643</f>
        <v>20.25</v>
      </c>
      <c r="N643" s="7">
        <f t="shared" ref="N643:N706" si="98">1/L643</f>
        <v>3.0303030303030304E-2</v>
      </c>
      <c r="O643" s="7">
        <f t="shared" ref="O643:O706" si="99">1/M643</f>
        <v>4.9382716049382713E-2</v>
      </c>
    </row>
    <row r="644" spans="9:15" x14ac:dyDescent="0.15">
      <c r="I644" s="7">
        <f t="shared" si="92"/>
        <v>3</v>
      </c>
      <c r="J644" s="7">
        <f t="shared" si="93"/>
        <v>33</v>
      </c>
      <c r="K644" s="7">
        <f t="shared" ref="K644:K661" si="100">K643+J643</f>
        <v>99</v>
      </c>
      <c r="L644" s="7">
        <f t="shared" si="96"/>
        <v>34.65</v>
      </c>
      <c r="M644" s="7">
        <f t="shared" si="97"/>
        <v>23.55</v>
      </c>
      <c r="N644" s="7">
        <f t="shared" si="98"/>
        <v>2.886002886002886E-2</v>
      </c>
      <c r="O644" s="7">
        <f t="shared" si="99"/>
        <v>4.2462845010615709E-2</v>
      </c>
    </row>
    <row r="645" spans="9:15" x14ac:dyDescent="0.15">
      <c r="I645" s="7">
        <f t="shared" si="92"/>
        <v>4</v>
      </c>
      <c r="J645" s="7">
        <f t="shared" si="93"/>
        <v>33</v>
      </c>
      <c r="K645" s="7">
        <f t="shared" si="100"/>
        <v>132</v>
      </c>
      <c r="L645" s="7">
        <f t="shared" si="96"/>
        <v>36.299999999999997</v>
      </c>
      <c r="M645" s="7">
        <f t="shared" si="97"/>
        <v>26.85</v>
      </c>
      <c r="N645" s="7">
        <f t="shared" si="98"/>
        <v>2.7548209366391185E-2</v>
      </c>
      <c r="O645" s="7">
        <f t="shared" si="99"/>
        <v>3.7243947858472994E-2</v>
      </c>
    </row>
    <row r="646" spans="9:15" x14ac:dyDescent="0.15">
      <c r="I646" s="7">
        <f t="shared" si="92"/>
        <v>5</v>
      </c>
      <c r="J646" s="7">
        <f t="shared" si="93"/>
        <v>33</v>
      </c>
      <c r="K646" s="7">
        <f t="shared" si="100"/>
        <v>165</v>
      </c>
      <c r="L646" s="7">
        <f t="shared" si="96"/>
        <v>37.950000000000003</v>
      </c>
      <c r="M646" s="7">
        <f t="shared" si="97"/>
        <v>30.15</v>
      </c>
      <c r="N646" s="7">
        <f t="shared" si="98"/>
        <v>2.6350461133069828E-2</v>
      </c>
      <c r="O646" s="7">
        <f t="shared" si="99"/>
        <v>3.316749585406302E-2</v>
      </c>
    </row>
    <row r="647" spans="9:15" x14ac:dyDescent="0.15">
      <c r="I647" s="7">
        <f t="shared" si="92"/>
        <v>6</v>
      </c>
      <c r="J647" s="7">
        <f t="shared" si="93"/>
        <v>33</v>
      </c>
      <c r="K647" s="7">
        <f t="shared" si="100"/>
        <v>198</v>
      </c>
      <c r="L647" s="7">
        <f t="shared" si="96"/>
        <v>39.6</v>
      </c>
      <c r="M647" s="7">
        <f t="shared" si="97"/>
        <v>33.450000000000003</v>
      </c>
      <c r="N647" s="7">
        <f t="shared" si="98"/>
        <v>2.5252525252525252E-2</v>
      </c>
      <c r="O647" s="7">
        <f t="shared" si="99"/>
        <v>2.9895366218236172E-2</v>
      </c>
    </row>
    <row r="648" spans="9:15" x14ac:dyDescent="0.15">
      <c r="I648" s="7">
        <f t="shared" si="92"/>
        <v>7</v>
      </c>
      <c r="J648" s="7">
        <f t="shared" si="93"/>
        <v>33</v>
      </c>
      <c r="K648" s="7">
        <f t="shared" si="100"/>
        <v>231</v>
      </c>
      <c r="L648" s="7">
        <f t="shared" si="96"/>
        <v>41.25</v>
      </c>
      <c r="M648" s="7">
        <f t="shared" si="97"/>
        <v>36.75</v>
      </c>
      <c r="N648" s="7">
        <f t="shared" si="98"/>
        <v>2.4242424242424242E-2</v>
      </c>
      <c r="O648" s="7">
        <f t="shared" si="99"/>
        <v>2.7210884353741496E-2</v>
      </c>
    </row>
    <row r="649" spans="9:15" x14ac:dyDescent="0.15">
      <c r="I649" s="7">
        <f t="shared" si="92"/>
        <v>8</v>
      </c>
      <c r="J649" s="7">
        <f t="shared" si="93"/>
        <v>33</v>
      </c>
      <c r="K649" s="7">
        <f t="shared" si="100"/>
        <v>264</v>
      </c>
      <c r="L649" s="7">
        <f t="shared" si="96"/>
        <v>42.9</v>
      </c>
      <c r="M649" s="7">
        <f t="shared" si="97"/>
        <v>40.050000000000004</v>
      </c>
      <c r="N649" s="7">
        <f t="shared" si="98"/>
        <v>2.3310023310023312E-2</v>
      </c>
      <c r="O649" s="7">
        <f t="shared" si="99"/>
        <v>2.4968789013732832E-2</v>
      </c>
    </row>
    <row r="650" spans="9:15" x14ac:dyDescent="0.15">
      <c r="I650" s="7">
        <f t="shared" si="92"/>
        <v>9</v>
      </c>
      <c r="J650" s="7">
        <f t="shared" si="93"/>
        <v>33</v>
      </c>
      <c r="K650" s="7">
        <f t="shared" si="100"/>
        <v>297</v>
      </c>
      <c r="L650" s="7">
        <f t="shared" si="96"/>
        <v>44.55</v>
      </c>
      <c r="M650" s="7">
        <f t="shared" si="97"/>
        <v>43.35</v>
      </c>
      <c r="N650" s="7">
        <f t="shared" si="98"/>
        <v>2.2446689113355782E-2</v>
      </c>
      <c r="O650" s="7">
        <f t="shared" si="99"/>
        <v>2.306805074971165E-2</v>
      </c>
    </row>
    <row r="651" spans="9:15" x14ac:dyDescent="0.15">
      <c r="I651" s="7">
        <f t="shared" si="92"/>
        <v>10</v>
      </c>
      <c r="J651" s="7">
        <f t="shared" si="93"/>
        <v>33</v>
      </c>
      <c r="K651" s="7">
        <f t="shared" si="100"/>
        <v>330</v>
      </c>
      <c r="L651" s="7">
        <f t="shared" si="96"/>
        <v>46.2</v>
      </c>
      <c r="M651" s="7">
        <f t="shared" si="97"/>
        <v>46.65</v>
      </c>
      <c r="N651" s="7">
        <f t="shared" si="98"/>
        <v>2.1645021645021644E-2</v>
      </c>
      <c r="O651" s="7">
        <f t="shared" si="99"/>
        <v>2.1436227224008574E-2</v>
      </c>
    </row>
    <row r="652" spans="9:15" x14ac:dyDescent="0.15">
      <c r="I652" s="7">
        <f t="shared" si="92"/>
        <v>11</v>
      </c>
      <c r="J652" s="7">
        <f t="shared" si="93"/>
        <v>33</v>
      </c>
      <c r="K652" s="7">
        <f t="shared" si="100"/>
        <v>363</v>
      </c>
      <c r="L652" s="7">
        <f t="shared" si="96"/>
        <v>47.85</v>
      </c>
      <c r="M652" s="7">
        <f t="shared" si="97"/>
        <v>49.95</v>
      </c>
      <c r="N652" s="7">
        <f t="shared" si="98"/>
        <v>2.0898641588296761E-2</v>
      </c>
      <c r="O652" s="7">
        <f t="shared" si="99"/>
        <v>2.002002002002002E-2</v>
      </c>
    </row>
    <row r="653" spans="9:15" x14ac:dyDescent="0.15">
      <c r="I653" s="7">
        <f t="shared" si="92"/>
        <v>12</v>
      </c>
      <c r="J653" s="7">
        <f t="shared" si="93"/>
        <v>33</v>
      </c>
      <c r="K653" s="7">
        <f t="shared" si="100"/>
        <v>396</v>
      </c>
      <c r="L653" s="7">
        <f t="shared" si="96"/>
        <v>49.5</v>
      </c>
      <c r="M653" s="7">
        <f t="shared" si="97"/>
        <v>53.25</v>
      </c>
      <c r="N653" s="7">
        <f t="shared" si="98"/>
        <v>2.0202020202020204E-2</v>
      </c>
      <c r="O653" s="7">
        <f t="shared" si="99"/>
        <v>1.8779342723004695E-2</v>
      </c>
    </row>
    <row r="654" spans="9:15" x14ac:dyDescent="0.15">
      <c r="I654" s="7">
        <f t="shared" si="92"/>
        <v>13</v>
      </c>
      <c r="J654" s="7">
        <f t="shared" si="93"/>
        <v>33</v>
      </c>
      <c r="K654" s="7">
        <f t="shared" si="100"/>
        <v>429</v>
      </c>
      <c r="L654" s="7">
        <f t="shared" si="96"/>
        <v>51.150000000000006</v>
      </c>
      <c r="M654" s="7">
        <f t="shared" si="97"/>
        <v>56.550000000000004</v>
      </c>
      <c r="N654" s="7">
        <f t="shared" si="98"/>
        <v>1.9550342130987289E-2</v>
      </c>
      <c r="O654" s="7">
        <f t="shared" si="99"/>
        <v>1.7683465959328026E-2</v>
      </c>
    </row>
    <row r="655" spans="9:15" x14ac:dyDescent="0.15">
      <c r="I655" s="7">
        <f t="shared" si="92"/>
        <v>14</v>
      </c>
      <c r="J655" s="7">
        <f t="shared" si="93"/>
        <v>33</v>
      </c>
      <c r="K655" s="7">
        <f t="shared" si="100"/>
        <v>462</v>
      </c>
      <c r="L655" s="7">
        <f t="shared" si="96"/>
        <v>52.8</v>
      </c>
      <c r="M655" s="7">
        <f t="shared" si="97"/>
        <v>59.85</v>
      </c>
      <c r="N655" s="7">
        <f t="shared" si="98"/>
        <v>1.893939393939394E-2</v>
      </c>
      <c r="O655" s="7">
        <f t="shared" si="99"/>
        <v>1.6708437761069339E-2</v>
      </c>
    </row>
    <row r="656" spans="9:15" x14ac:dyDescent="0.15">
      <c r="I656" s="7">
        <f t="shared" si="92"/>
        <v>15</v>
      </c>
      <c r="J656" s="7">
        <f t="shared" si="93"/>
        <v>33</v>
      </c>
      <c r="K656" s="7">
        <f t="shared" si="100"/>
        <v>495</v>
      </c>
      <c r="L656" s="7">
        <f t="shared" si="96"/>
        <v>54.45</v>
      </c>
      <c r="M656" s="7">
        <f t="shared" si="97"/>
        <v>63.15</v>
      </c>
      <c r="N656" s="7">
        <f t="shared" si="98"/>
        <v>1.8365472910927456E-2</v>
      </c>
      <c r="O656" s="7">
        <f t="shared" si="99"/>
        <v>1.5835312747426764E-2</v>
      </c>
    </row>
    <row r="657" spans="9:15" x14ac:dyDescent="0.15">
      <c r="I657" s="7">
        <f t="shared" si="92"/>
        <v>16</v>
      </c>
      <c r="J657" s="7">
        <f t="shared" si="93"/>
        <v>33</v>
      </c>
      <c r="K657" s="7">
        <f t="shared" si="100"/>
        <v>528</v>
      </c>
      <c r="L657" s="7">
        <f t="shared" si="96"/>
        <v>56.1</v>
      </c>
      <c r="M657" s="7">
        <f t="shared" si="97"/>
        <v>66.45</v>
      </c>
      <c r="N657" s="7">
        <f t="shared" si="98"/>
        <v>1.7825311942959002E-2</v>
      </c>
      <c r="O657" s="7">
        <f t="shared" si="99"/>
        <v>1.5048908954100828E-2</v>
      </c>
    </row>
    <row r="658" spans="9:15" x14ac:dyDescent="0.15">
      <c r="I658" s="7">
        <f t="shared" si="92"/>
        <v>17</v>
      </c>
      <c r="J658" s="7">
        <f t="shared" si="93"/>
        <v>33</v>
      </c>
      <c r="K658" s="7">
        <f t="shared" si="100"/>
        <v>561</v>
      </c>
      <c r="L658" s="7">
        <f t="shared" si="96"/>
        <v>57.75</v>
      </c>
      <c r="M658" s="7">
        <f t="shared" si="97"/>
        <v>69.75</v>
      </c>
      <c r="N658" s="7">
        <f t="shared" si="98"/>
        <v>1.7316017316017316E-2</v>
      </c>
      <c r="O658" s="7">
        <f t="shared" si="99"/>
        <v>1.4336917562724014E-2</v>
      </c>
    </row>
    <row r="659" spans="9:15" x14ac:dyDescent="0.15">
      <c r="I659" s="7">
        <f t="shared" si="92"/>
        <v>18</v>
      </c>
      <c r="J659" s="7">
        <f t="shared" si="93"/>
        <v>33</v>
      </c>
      <c r="K659" s="7">
        <f t="shared" si="100"/>
        <v>594</v>
      </c>
      <c r="L659" s="7">
        <f t="shared" si="96"/>
        <v>59.400000000000006</v>
      </c>
      <c r="M659" s="7">
        <f t="shared" si="97"/>
        <v>73.050000000000011</v>
      </c>
      <c r="N659" s="7">
        <f t="shared" si="98"/>
        <v>1.6835016835016835E-2</v>
      </c>
      <c r="O659" s="7">
        <f t="shared" si="99"/>
        <v>1.3689253935660504E-2</v>
      </c>
    </row>
    <row r="660" spans="9:15" x14ac:dyDescent="0.15">
      <c r="I660" s="7">
        <f t="shared" si="92"/>
        <v>19</v>
      </c>
      <c r="J660" s="7">
        <f t="shared" si="93"/>
        <v>33</v>
      </c>
      <c r="K660" s="7">
        <f t="shared" si="100"/>
        <v>627</v>
      </c>
      <c r="L660" s="7">
        <f t="shared" si="96"/>
        <v>61.05</v>
      </c>
      <c r="M660" s="7">
        <f t="shared" si="97"/>
        <v>76.350000000000009</v>
      </c>
      <c r="N660" s="7">
        <f t="shared" si="98"/>
        <v>1.638001638001638E-2</v>
      </c>
      <c r="O660" s="7">
        <f t="shared" si="99"/>
        <v>1.3097576948264569E-2</v>
      </c>
    </row>
    <row r="661" spans="9:15" x14ac:dyDescent="0.15">
      <c r="I661" s="7">
        <f t="shared" si="92"/>
        <v>20</v>
      </c>
      <c r="J661" s="7">
        <f t="shared" si="93"/>
        <v>33</v>
      </c>
      <c r="K661" s="7">
        <f t="shared" si="100"/>
        <v>660</v>
      </c>
      <c r="L661" s="7">
        <f t="shared" si="96"/>
        <v>62.7</v>
      </c>
      <c r="M661" s="7">
        <f t="shared" si="97"/>
        <v>79.650000000000006</v>
      </c>
      <c r="N661" s="7">
        <f t="shared" si="98"/>
        <v>1.5948963317384369E-2</v>
      </c>
      <c r="O661" s="7">
        <f t="shared" si="99"/>
        <v>1.2554927809165096E-2</v>
      </c>
    </row>
    <row r="662" spans="9:15" x14ac:dyDescent="0.15">
      <c r="I662" s="7">
        <f t="shared" si="92"/>
        <v>1</v>
      </c>
      <c r="J662" s="7">
        <f t="shared" si="93"/>
        <v>34</v>
      </c>
      <c r="K662" s="7">
        <f>J662</f>
        <v>34</v>
      </c>
      <c r="L662" s="7">
        <f t="shared" si="96"/>
        <v>32.300000000000004</v>
      </c>
      <c r="M662" s="7">
        <f t="shared" si="97"/>
        <v>17.450000000000003</v>
      </c>
      <c r="N662" s="7">
        <f t="shared" si="98"/>
        <v>3.0959752321981421E-2</v>
      </c>
      <c r="O662" s="7">
        <f t="shared" si="99"/>
        <v>5.7306590257879646E-2</v>
      </c>
    </row>
    <row r="663" spans="9:15" x14ac:dyDescent="0.15">
      <c r="I663" s="7">
        <f t="shared" ref="I663:I726" si="101">I643</f>
        <v>2</v>
      </c>
      <c r="J663" s="7">
        <f t="shared" ref="J663:J726" si="102">J643+1</f>
        <v>34</v>
      </c>
      <c r="K663" s="7">
        <f>K662+J662</f>
        <v>68</v>
      </c>
      <c r="L663" s="7">
        <f t="shared" si="96"/>
        <v>34</v>
      </c>
      <c r="M663" s="7">
        <f t="shared" si="97"/>
        <v>20.85</v>
      </c>
      <c r="N663" s="7">
        <f t="shared" si="98"/>
        <v>2.9411764705882353E-2</v>
      </c>
      <c r="O663" s="7">
        <f t="shared" si="99"/>
        <v>4.7961630695443645E-2</v>
      </c>
    </row>
    <row r="664" spans="9:15" x14ac:dyDescent="0.15">
      <c r="I664" s="7">
        <f t="shared" si="101"/>
        <v>3</v>
      </c>
      <c r="J664" s="7">
        <f t="shared" si="102"/>
        <v>34</v>
      </c>
      <c r="K664" s="7">
        <f t="shared" ref="K664:K681" si="103">K663+J663</f>
        <v>102</v>
      </c>
      <c r="L664" s="7">
        <f t="shared" si="96"/>
        <v>35.700000000000003</v>
      </c>
      <c r="M664" s="7">
        <f t="shared" si="97"/>
        <v>24.25</v>
      </c>
      <c r="N664" s="7">
        <f t="shared" si="98"/>
        <v>2.8011204481792715E-2</v>
      </c>
      <c r="O664" s="7">
        <f t="shared" si="99"/>
        <v>4.1237113402061855E-2</v>
      </c>
    </row>
    <row r="665" spans="9:15" x14ac:dyDescent="0.15">
      <c r="I665" s="7">
        <f t="shared" si="101"/>
        <v>4</v>
      </c>
      <c r="J665" s="7">
        <f t="shared" si="102"/>
        <v>34</v>
      </c>
      <c r="K665" s="7">
        <f t="shared" si="103"/>
        <v>136</v>
      </c>
      <c r="L665" s="7">
        <f t="shared" si="96"/>
        <v>37.400000000000006</v>
      </c>
      <c r="M665" s="7">
        <f t="shared" si="97"/>
        <v>27.650000000000002</v>
      </c>
      <c r="N665" s="7">
        <f t="shared" si="98"/>
        <v>2.6737967914438499E-2</v>
      </c>
      <c r="O665" s="7">
        <f t="shared" si="99"/>
        <v>3.6166365280289325E-2</v>
      </c>
    </row>
    <row r="666" spans="9:15" x14ac:dyDescent="0.15">
      <c r="I666" s="7">
        <f t="shared" si="101"/>
        <v>5</v>
      </c>
      <c r="J666" s="7">
        <f t="shared" si="102"/>
        <v>34</v>
      </c>
      <c r="K666" s="7">
        <f t="shared" si="103"/>
        <v>170</v>
      </c>
      <c r="L666" s="7">
        <f t="shared" si="96"/>
        <v>39.1</v>
      </c>
      <c r="M666" s="7">
        <f t="shared" si="97"/>
        <v>31.05</v>
      </c>
      <c r="N666" s="7">
        <f t="shared" si="98"/>
        <v>2.557544757033248E-2</v>
      </c>
      <c r="O666" s="7">
        <f t="shared" si="99"/>
        <v>3.2206119162640899E-2</v>
      </c>
    </row>
    <row r="667" spans="9:15" x14ac:dyDescent="0.15">
      <c r="I667" s="7">
        <f t="shared" si="101"/>
        <v>6</v>
      </c>
      <c r="J667" s="7">
        <f t="shared" si="102"/>
        <v>34</v>
      </c>
      <c r="K667" s="7">
        <f t="shared" si="103"/>
        <v>204</v>
      </c>
      <c r="L667" s="7">
        <f t="shared" si="96"/>
        <v>40.800000000000004</v>
      </c>
      <c r="M667" s="7">
        <f t="shared" si="97"/>
        <v>34.450000000000003</v>
      </c>
      <c r="N667" s="7">
        <f t="shared" si="98"/>
        <v>2.4509803921568624E-2</v>
      </c>
      <c r="O667" s="7">
        <f t="shared" si="99"/>
        <v>2.9027576197387515E-2</v>
      </c>
    </row>
    <row r="668" spans="9:15" x14ac:dyDescent="0.15">
      <c r="I668" s="7">
        <f t="shared" si="101"/>
        <v>7</v>
      </c>
      <c r="J668" s="7">
        <f t="shared" si="102"/>
        <v>34</v>
      </c>
      <c r="K668" s="7">
        <f t="shared" si="103"/>
        <v>238</v>
      </c>
      <c r="L668" s="7">
        <f t="shared" si="96"/>
        <v>42.5</v>
      </c>
      <c r="M668" s="7">
        <f t="shared" si="97"/>
        <v>37.85</v>
      </c>
      <c r="N668" s="7">
        <f t="shared" si="98"/>
        <v>2.3529411764705882E-2</v>
      </c>
      <c r="O668" s="7">
        <f t="shared" si="99"/>
        <v>2.6420079260237778E-2</v>
      </c>
    </row>
    <row r="669" spans="9:15" x14ac:dyDescent="0.15">
      <c r="I669" s="7">
        <f t="shared" si="101"/>
        <v>8</v>
      </c>
      <c r="J669" s="7">
        <f t="shared" si="102"/>
        <v>34</v>
      </c>
      <c r="K669" s="7">
        <f t="shared" si="103"/>
        <v>272</v>
      </c>
      <c r="L669" s="7">
        <f t="shared" si="96"/>
        <v>44.2</v>
      </c>
      <c r="M669" s="7">
        <f t="shared" si="97"/>
        <v>41.25</v>
      </c>
      <c r="N669" s="7">
        <f t="shared" si="98"/>
        <v>2.2624434389140271E-2</v>
      </c>
      <c r="O669" s="7">
        <f t="shared" si="99"/>
        <v>2.4242424242424242E-2</v>
      </c>
    </row>
    <row r="670" spans="9:15" x14ac:dyDescent="0.15">
      <c r="I670" s="7">
        <f t="shared" si="101"/>
        <v>9</v>
      </c>
      <c r="J670" s="7">
        <f t="shared" si="102"/>
        <v>34</v>
      </c>
      <c r="K670" s="7">
        <f t="shared" si="103"/>
        <v>306</v>
      </c>
      <c r="L670" s="7">
        <f t="shared" si="96"/>
        <v>45.900000000000006</v>
      </c>
      <c r="M670" s="7">
        <f t="shared" si="97"/>
        <v>44.650000000000006</v>
      </c>
      <c r="N670" s="7">
        <f t="shared" si="98"/>
        <v>2.1786492374727667E-2</v>
      </c>
      <c r="O670" s="7">
        <f t="shared" si="99"/>
        <v>2.239641657334826E-2</v>
      </c>
    </row>
    <row r="671" spans="9:15" x14ac:dyDescent="0.15">
      <c r="I671" s="7">
        <f t="shared" si="101"/>
        <v>10</v>
      </c>
      <c r="J671" s="7">
        <f t="shared" si="102"/>
        <v>34</v>
      </c>
      <c r="K671" s="7">
        <f t="shared" si="103"/>
        <v>340</v>
      </c>
      <c r="L671" s="7">
        <f t="shared" si="96"/>
        <v>47.6</v>
      </c>
      <c r="M671" s="7">
        <f t="shared" si="97"/>
        <v>48.05</v>
      </c>
      <c r="N671" s="7">
        <f t="shared" si="98"/>
        <v>2.1008403361344536E-2</v>
      </c>
      <c r="O671" s="7">
        <f t="shared" si="99"/>
        <v>2.081165452653486E-2</v>
      </c>
    </row>
    <row r="672" spans="9:15" x14ac:dyDescent="0.15">
      <c r="I672" s="7">
        <f t="shared" si="101"/>
        <v>11</v>
      </c>
      <c r="J672" s="7">
        <f t="shared" si="102"/>
        <v>34</v>
      </c>
      <c r="K672" s="7">
        <f t="shared" si="103"/>
        <v>374</v>
      </c>
      <c r="L672" s="7">
        <f t="shared" si="96"/>
        <v>49.3</v>
      </c>
      <c r="M672" s="7">
        <f t="shared" si="97"/>
        <v>51.45</v>
      </c>
      <c r="N672" s="7">
        <f t="shared" si="98"/>
        <v>2.0283975659229209E-2</v>
      </c>
      <c r="O672" s="7">
        <f t="shared" si="99"/>
        <v>1.9436345966958212E-2</v>
      </c>
    </row>
    <row r="673" spans="9:15" x14ac:dyDescent="0.15">
      <c r="I673" s="7">
        <f t="shared" si="101"/>
        <v>12</v>
      </c>
      <c r="J673" s="7">
        <f t="shared" si="102"/>
        <v>34</v>
      </c>
      <c r="K673" s="7">
        <f t="shared" si="103"/>
        <v>408</v>
      </c>
      <c r="L673" s="7">
        <f t="shared" si="96"/>
        <v>51</v>
      </c>
      <c r="M673" s="7">
        <f t="shared" si="97"/>
        <v>54.850000000000009</v>
      </c>
      <c r="N673" s="7">
        <f t="shared" si="98"/>
        <v>1.9607843137254902E-2</v>
      </c>
      <c r="O673" s="7">
        <f t="shared" si="99"/>
        <v>1.8231540565177756E-2</v>
      </c>
    </row>
    <row r="674" spans="9:15" x14ac:dyDescent="0.15">
      <c r="I674" s="7">
        <f t="shared" si="101"/>
        <v>13</v>
      </c>
      <c r="J674" s="7">
        <f t="shared" si="102"/>
        <v>34</v>
      </c>
      <c r="K674" s="7">
        <f t="shared" si="103"/>
        <v>442</v>
      </c>
      <c r="L674" s="7">
        <f t="shared" si="96"/>
        <v>52.7</v>
      </c>
      <c r="M674" s="7">
        <f t="shared" si="97"/>
        <v>58.25</v>
      </c>
      <c r="N674" s="7">
        <f t="shared" si="98"/>
        <v>1.8975332068311195E-2</v>
      </c>
      <c r="O674" s="7">
        <f t="shared" si="99"/>
        <v>1.7167381974248927E-2</v>
      </c>
    </row>
    <row r="675" spans="9:15" x14ac:dyDescent="0.15">
      <c r="I675" s="7">
        <f t="shared" si="101"/>
        <v>14</v>
      </c>
      <c r="J675" s="7">
        <f t="shared" si="102"/>
        <v>34</v>
      </c>
      <c r="K675" s="7">
        <f t="shared" si="103"/>
        <v>476</v>
      </c>
      <c r="L675" s="7">
        <f t="shared" si="96"/>
        <v>54.400000000000006</v>
      </c>
      <c r="M675" s="7">
        <f t="shared" si="97"/>
        <v>61.650000000000006</v>
      </c>
      <c r="N675" s="7">
        <f t="shared" si="98"/>
        <v>1.8382352941176468E-2</v>
      </c>
      <c r="O675" s="7">
        <f t="shared" si="99"/>
        <v>1.6220600162206E-2</v>
      </c>
    </row>
    <row r="676" spans="9:15" x14ac:dyDescent="0.15">
      <c r="I676" s="7">
        <f t="shared" si="101"/>
        <v>15</v>
      </c>
      <c r="J676" s="7">
        <f t="shared" si="102"/>
        <v>34</v>
      </c>
      <c r="K676" s="7">
        <f t="shared" si="103"/>
        <v>510</v>
      </c>
      <c r="L676" s="7">
        <f t="shared" si="96"/>
        <v>56.1</v>
      </c>
      <c r="M676" s="7">
        <f t="shared" si="97"/>
        <v>65.05</v>
      </c>
      <c r="N676" s="7">
        <f t="shared" si="98"/>
        <v>1.7825311942959002E-2</v>
      </c>
      <c r="O676" s="7">
        <f t="shared" si="99"/>
        <v>1.5372790161414298E-2</v>
      </c>
    </row>
    <row r="677" spans="9:15" x14ac:dyDescent="0.15">
      <c r="I677" s="7">
        <f t="shared" si="101"/>
        <v>16</v>
      </c>
      <c r="J677" s="7">
        <f t="shared" si="102"/>
        <v>34</v>
      </c>
      <c r="K677" s="7">
        <f t="shared" si="103"/>
        <v>544</v>
      </c>
      <c r="L677" s="7">
        <f t="shared" si="96"/>
        <v>57.800000000000004</v>
      </c>
      <c r="M677" s="7">
        <f t="shared" si="97"/>
        <v>68.45</v>
      </c>
      <c r="N677" s="7">
        <f t="shared" si="98"/>
        <v>1.7301038062283735E-2</v>
      </c>
      <c r="O677" s="7">
        <f t="shared" si="99"/>
        <v>1.4609203798392987E-2</v>
      </c>
    </row>
    <row r="678" spans="9:15" x14ac:dyDescent="0.15">
      <c r="I678" s="7">
        <f t="shared" si="101"/>
        <v>17</v>
      </c>
      <c r="J678" s="7">
        <f t="shared" si="102"/>
        <v>34</v>
      </c>
      <c r="K678" s="7">
        <f t="shared" si="103"/>
        <v>578</v>
      </c>
      <c r="L678" s="7">
        <f t="shared" si="96"/>
        <v>59.5</v>
      </c>
      <c r="M678" s="7">
        <f t="shared" si="97"/>
        <v>71.850000000000009</v>
      </c>
      <c r="N678" s="7">
        <f t="shared" si="98"/>
        <v>1.680672268907563E-2</v>
      </c>
      <c r="O678" s="7">
        <f t="shared" si="99"/>
        <v>1.3917884481558802E-2</v>
      </c>
    </row>
    <row r="679" spans="9:15" x14ac:dyDescent="0.15">
      <c r="I679" s="7">
        <f t="shared" si="101"/>
        <v>18</v>
      </c>
      <c r="J679" s="7">
        <f t="shared" si="102"/>
        <v>34</v>
      </c>
      <c r="K679" s="7">
        <f t="shared" si="103"/>
        <v>612</v>
      </c>
      <c r="L679" s="7">
        <f t="shared" si="96"/>
        <v>61.2</v>
      </c>
      <c r="M679" s="7">
        <f t="shared" si="97"/>
        <v>75.25</v>
      </c>
      <c r="N679" s="7">
        <f t="shared" si="98"/>
        <v>1.6339869281045753E-2</v>
      </c>
      <c r="O679" s="7">
        <f t="shared" si="99"/>
        <v>1.3289036544850499E-2</v>
      </c>
    </row>
    <row r="680" spans="9:15" x14ac:dyDescent="0.15">
      <c r="I680" s="7">
        <f t="shared" si="101"/>
        <v>19</v>
      </c>
      <c r="J680" s="7">
        <f t="shared" si="102"/>
        <v>34</v>
      </c>
      <c r="K680" s="7">
        <f t="shared" si="103"/>
        <v>646</v>
      </c>
      <c r="L680" s="7">
        <f t="shared" si="96"/>
        <v>62.900000000000006</v>
      </c>
      <c r="M680" s="7">
        <f t="shared" si="97"/>
        <v>78.650000000000006</v>
      </c>
      <c r="N680" s="7">
        <f t="shared" si="98"/>
        <v>1.5898251192368838E-2</v>
      </c>
      <c r="O680" s="7">
        <f t="shared" si="99"/>
        <v>1.2714558169103623E-2</v>
      </c>
    </row>
    <row r="681" spans="9:15" x14ac:dyDescent="0.15">
      <c r="I681" s="7">
        <f t="shared" si="101"/>
        <v>20</v>
      </c>
      <c r="J681" s="7">
        <f t="shared" si="102"/>
        <v>34</v>
      </c>
      <c r="K681" s="7">
        <f t="shared" si="103"/>
        <v>680</v>
      </c>
      <c r="L681" s="7">
        <f t="shared" si="96"/>
        <v>64.599999999999994</v>
      </c>
      <c r="M681" s="7">
        <f t="shared" si="97"/>
        <v>82.05</v>
      </c>
      <c r="N681" s="7">
        <f t="shared" si="98"/>
        <v>1.5479876160990714E-2</v>
      </c>
      <c r="O681" s="7">
        <f t="shared" si="99"/>
        <v>1.2187690432663011E-2</v>
      </c>
    </row>
    <row r="682" spans="9:15" x14ac:dyDescent="0.15">
      <c r="I682" s="7">
        <f t="shared" si="101"/>
        <v>1</v>
      </c>
      <c r="J682" s="7">
        <f t="shared" si="102"/>
        <v>35</v>
      </c>
      <c r="K682" s="7">
        <f>J682</f>
        <v>35</v>
      </c>
      <c r="L682" s="7">
        <f t="shared" si="96"/>
        <v>33.25</v>
      </c>
      <c r="M682" s="7">
        <f t="shared" si="97"/>
        <v>17.95</v>
      </c>
      <c r="N682" s="7">
        <f t="shared" si="98"/>
        <v>3.007518796992481E-2</v>
      </c>
      <c r="O682" s="7">
        <f t="shared" si="99"/>
        <v>5.5710306406685242E-2</v>
      </c>
    </row>
    <row r="683" spans="9:15" x14ac:dyDescent="0.15">
      <c r="I683" s="7">
        <f t="shared" si="101"/>
        <v>2</v>
      </c>
      <c r="J683" s="7">
        <f t="shared" si="102"/>
        <v>35</v>
      </c>
      <c r="K683" s="7">
        <f>K682+J682</f>
        <v>70</v>
      </c>
      <c r="L683" s="7">
        <f t="shared" si="96"/>
        <v>35</v>
      </c>
      <c r="M683" s="7">
        <f t="shared" si="97"/>
        <v>21.45</v>
      </c>
      <c r="N683" s="7">
        <f t="shared" si="98"/>
        <v>2.8571428571428571E-2</v>
      </c>
      <c r="O683" s="7">
        <f t="shared" si="99"/>
        <v>4.6620046620046623E-2</v>
      </c>
    </row>
    <row r="684" spans="9:15" x14ac:dyDescent="0.15">
      <c r="I684" s="7">
        <f t="shared" si="101"/>
        <v>3</v>
      </c>
      <c r="J684" s="7">
        <f t="shared" si="102"/>
        <v>35</v>
      </c>
      <c r="K684" s="7">
        <f t="shared" ref="K684:K701" si="104">K683+J683</f>
        <v>105</v>
      </c>
      <c r="L684" s="7">
        <f t="shared" si="96"/>
        <v>36.75</v>
      </c>
      <c r="M684" s="7">
        <f t="shared" si="97"/>
        <v>24.95</v>
      </c>
      <c r="N684" s="7">
        <f t="shared" si="98"/>
        <v>2.7210884353741496E-2</v>
      </c>
      <c r="O684" s="7">
        <f t="shared" si="99"/>
        <v>4.0080160320641281E-2</v>
      </c>
    </row>
    <row r="685" spans="9:15" x14ac:dyDescent="0.15">
      <c r="I685" s="7">
        <f t="shared" si="101"/>
        <v>4</v>
      </c>
      <c r="J685" s="7">
        <f t="shared" si="102"/>
        <v>35</v>
      </c>
      <c r="K685" s="7">
        <f t="shared" si="104"/>
        <v>140</v>
      </c>
      <c r="L685" s="7">
        <f t="shared" si="96"/>
        <v>38.5</v>
      </c>
      <c r="M685" s="7">
        <f t="shared" si="97"/>
        <v>28.45</v>
      </c>
      <c r="N685" s="7">
        <f t="shared" si="98"/>
        <v>2.5974025974025976E-2</v>
      </c>
      <c r="O685" s="7">
        <f t="shared" si="99"/>
        <v>3.5149384885764502E-2</v>
      </c>
    </row>
    <row r="686" spans="9:15" x14ac:dyDescent="0.15">
      <c r="I686" s="7">
        <f t="shared" si="101"/>
        <v>5</v>
      </c>
      <c r="J686" s="7">
        <f t="shared" si="102"/>
        <v>35</v>
      </c>
      <c r="K686" s="7">
        <f t="shared" si="104"/>
        <v>175</v>
      </c>
      <c r="L686" s="7">
        <f t="shared" si="96"/>
        <v>40.25</v>
      </c>
      <c r="M686" s="7">
        <f t="shared" si="97"/>
        <v>31.95</v>
      </c>
      <c r="N686" s="7">
        <f t="shared" si="98"/>
        <v>2.4844720496894408E-2</v>
      </c>
      <c r="O686" s="7">
        <f t="shared" si="99"/>
        <v>3.1298904538341159E-2</v>
      </c>
    </row>
    <row r="687" spans="9:15" x14ac:dyDescent="0.15">
      <c r="I687" s="7">
        <f t="shared" si="101"/>
        <v>6</v>
      </c>
      <c r="J687" s="7">
        <f t="shared" si="102"/>
        <v>35</v>
      </c>
      <c r="K687" s="7">
        <f t="shared" si="104"/>
        <v>210</v>
      </c>
      <c r="L687" s="7">
        <f t="shared" si="96"/>
        <v>42</v>
      </c>
      <c r="M687" s="7">
        <f t="shared" si="97"/>
        <v>35.450000000000003</v>
      </c>
      <c r="N687" s="7">
        <f t="shared" si="98"/>
        <v>2.3809523809523808E-2</v>
      </c>
      <c r="O687" s="7">
        <f t="shared" si="99"/>
        <v>2.8208744710860365E-2</v>
      </c>
    </row>
    <row r="688" spans="9:15" x14ac:dyDescent="0.15">
      <c r="I688" s="7">
        <f t="shared" si="101"/>
        <v>7</v>
      </c>
      <c r="J688" s="7">
        <f t="shared" si="102"/>
        <v>35</v>
      </c>
      <c r="K688" s="7">
        <f t="shared" si="104"/>
        <v>245</v>
      </c>
      <c r="L688" s="7">
        <f t="shared" si="96"/>
        <v>43.75</v>
      </c>
      <c r="M688" s="7">
        <f t="shared" si="97"/>
        <v>38.950000000000003</v>
      </c>
      <c r="N688" s="7">
        <f t="shared" si="98"/>
        <v>2.2857142857142857E-2</v>
      </c>
      <c r="O688" s="7">
        <f t="shared" si="99"/>
        <v>2.5673940949935813E-2</v>
      </c>
    </row>
    <row r="689" spans="9:15" x14ac:dyDescent="0.15">
      <c r="I689" s="7">
        <f t="shared" si="101"/>
        <v>8</v>
      </c>
      <c r="J689" s="7">
        <f t="shared" si="102"/>
        <v>35</v>
      </c>
      <c r="K689" s="7">
        <f t="shared" si="104"/>
        <v>280</v>
      </c>
      <c r="L689" s="7">
        <f t="shared" si="96"/>
        <v>45.5</v>
      </c>
      <c r="M689" s="7">
        <f t="shared" si="97"/>
        <v>42.45</v>
      </c>
      <c r="N689" s="7">
        <f t="shared" si="98"/>
        <v>2.197802197802198E-2</v>
      </c>
      <c r="O689" s="7">
        <f t="shared" si="99"/>
        <v>2.3557126030624261E-2</v>
      </c>
    </row>
    <row r="690" spans="9:15" x14ac:dyDescent="0.15">
      <c r="I690" s="7">
        <f t="shared" si="101"/>
        <v>9</v>
      </c>
      <c r="J690" s="7">
        <f t="shared" si="102"/>
        <v>35</v>
      </c>
      <c r="K690" s="7">
        <f t="shared" si="104"/>
        <v>315</v>
      </c>
      <c r="L690" s="7">
        <f t="shared" si="96"/>
        <v>47.25</v>
      </c>
      <c r="M690" s="7">
        <f t="shared" si="97"/>
        <v>45.95</v>
      </c>
      <c r="N690" s="7">
        <f t="shared" si="98"/>
        <v>2.1164021164021163E-2</v>
      </c>
      <c r="O690" s="7">
        <f t="shared" si="99"/>
        <v>2.1762785636561477E-2</v>
      </c>
    </row>
    <row r="691" spans="9:15" x14ac:dyDescent="0.15">
      <c r="I691" s="7">
        <f t="shared" si="101"/>
        <v>10</v>
      </c>
      <c r="J691" s="7">
        <f t="shared" si="102"/>
        <v>35</v>
      </c>
      <c r="K691" s="7">
        <f t="shared" si="104"/>
        <v>350</v>
      </c>
      <c r="L691" s="7">
        <f t="shared" si="96"/>
        <v>49</v>
      </c>
      <c r="M691" s="7">
        <f t="shared" si="97"/>
        <v>49.45</v>
      </c>
      <c r="N691" s="7">
        <f t="shared" si="98"/>
        <v>2.0408163265306121E-2</v>
      </c>
      <c r="O691" s="7">
        <f t="shared" si="99"/>
        <v>2.0222446916076844E-2</v>
      </c>
    </row>
    <row r="692" spans="9:15" x14ac:dyDescent="0.15">
      <c r="I692" s="7">
        <f t="shared" si="101"/>
        <v>11</v>
      </c>
      <c r="J692" s="7">
        <f t="shared" si="102"/>
        <v>35</v>
      </c>
      <c r="K692" s="7">
        <f t="shared" si="104"/>
        <v>385</v>
      </c>
      <c r="L692" s="7">
        <f t="shared" si="96"/>
        <v>50.75</v>
      </c>
      <c r="M692" s="7">
        <f t="shared" si="97"/>
        <v>52.95</v>
      </c>
      <c r="N692" s="7">
        <f t="shared" si="98"/>
        <v>1.9704433497536946E-2</v>
      </c>
      <c r="O692" s="7">
        <f t="shared" si="99"/>
        <v>1.8885741265344664E-2</v>
      </c>
    </row>
    <row r="693" spans="9:15" x14ac:dyDescent="0.15">
      <c r="I693" s="7">
        <f t="shared" si="101"/>
        <v>12</v>
      </c>
      <c r="J693" s="7">
        <f t="shared" si="102"/>
        <v>35</v>
      </c>
      <c r="K693" s="7">
        <f t="shared" si="104"/>
        <v>420</v>
      </c>
      <c r="L693" s="7">
        <f t="shared" si="96"/>
        <v>52.5</v>
      </c>
      <c r="M693" s="7">
        <f t="shared" si="97"/>
        <v>56.45</v>
      </c>
      <c r="N693" s="7">
        <f t="shared" si="98"/>
        <v>1.9047619047619049E-2</v>
      </c>
      <c r="O693" s="7">
        <f t="shared" si="99"/>
        <v>1.7714791851195746E-2</v>
      </c>
    </row>
    <row r="694" spans="9:15" x14ac:dyDescent="0.15">
      <c r="I694" s="7">
        <f t="shared" si="101"/>
        <v>13</v>
      </c>
      <c r="J694" s="7">
        <f t="shared" si="102"/>
        <v>35</v>
      </c>
      <c r="K694" s="7">
        <f t="shared" si="104"/>
        <v>455</v>
      </c>
      <c r="L694" s="7">
        <f t="shared" si="96"/>
        <v>54.25</v>
      </c>
      <c r="M694" s="7">
        <f t="shared" si="97"/>
        <v>59.95</v>
      </c>
      <c r="N694" s="7">
        <f t="shared" si="98"/>
        <v>1.8433179723502304E-2</v>
      </c>
      <c r="O694" s="7">
        <f t="shared" si="99"/>
        <v>1.6680567139282735E-2</v>
      </c>
    </row>
    <row r="695" spans="9:15" x14ac:dyDescent="0.15">
      <c r="I695" s="7">
        <f t="shared" si="101"/>
        <v>14</v>
      </c>
      <c r="J695" s="7">
        <f t="shared" si="102"/>
        <v>35</v>
      </c>
      <c r="K695" s="7">
        <f t="shared" si="104"/>
        <v>490</v>
      </c>
      <c r="L695" s="7">
        <f t="shared" si="96"/>
        <v>56</v>
      </c>
      <c r="M695" s="7">
        <f t="shared" si="97"/>
        <v>63.45</v>
      </c>
      <c r="N695" s="7">
        <f t="shared" si="98"/>
        <v>1.7857142857142856E-2</v>
      </c>
      <c r="O695" s="7">
        <f t="shared" si="99"/>
        <v>1.5760441292356184E-2</v>
      </c>
    </row>
    <row r="696" spans="9:15" x14ac:dyDescent="0.15">
      <c r="I696" s="7">
        <f t="shared" si="101"/>
        <v>15</v>
      </c>
      <c r="J696" s="7">
        <f t="shared" si="102"/>
        <v>35</v>
      </c>
      <c r="K696" s="7">
        <f t="shared" si="104"/>
        <v>525</v>
      </c>
      <c r="L696" s="7">
        <f t="shared" si="96"/>
        <v>57.75</v>
      </c>
      <c r="M696" s="7">
        <f t="shared" si="97"/>
        <v>66.95</v>
      </c>
      <c r="N696" s="7">
        <f t="shared" si="98"/>
        <v>1.7316017316017316E-2</v>
      </c>
      <c r="O696" s="7">
        <f t="shared" si="99"/>
        <v>1.4936519790888723E-2</v>
      </c>
    </row>
    <row r="697" spans="9:15" x14ac:dyDescent="0.15">
      <c r="I697" s="7">
        <f t="shared" si="101"/>
        <v>16</v>
      </c>
      <c r="J697" s="7">
        <f t="shared" si="102"/>
        <v>35</v>
      </c>
      <c r="K697" s="7">
        <f t="shared" si="104"/>
        <v>560</v>
      </c>
      <c r="L697" s="7">
        <f t="shared" si="96"/>
        <v>59.5</v>
      </c>
      <c r="M697" s="7">
        <f t="shared" si="97"/>
        <v>70.45</v>
      </c>
      <c r="N697" s="7">
        <f t="shared" si="98"/>
        <v>1.680672268907563E-2</v>
      </c>
      <c r="O697" s="7">
        <f t="shared" si="99"/>
        <v>1.4194464158977998E-2</v>
      </c>
    </row>
    <row r="698" spans="9:15" x14ac:dyDescent="0.15">
      <c r="I698" s="7">
        <f t="shared" si="101"/>
        <v>17</v>
      </c>
      <c r="J698" s="7">
        <f t="shared" si="102"/>
        <v>35</v>
      </c>
      <c r="K698" s="7">
        <f t="shared" si="104"/>
        <v>595</v>
      </c>
      <c r="L698" s="7">
        <f t="shared" si="96"/>
        <v>61.25</v>
      </c>
      <c r="M698" s="7">
        <f t="shared" si="97"/>
        <v>73.95</v>
      </c>
      <c r="N698" s="7">
        <f t="shared" si="98"/>
        <v>1.6326530612244899E-2</v>
      </c>
      <c r="O698" s="7">
        <f t="shared" si="99"/>
        <v>1.3522650439486139E-2</v>
      </c>
    </row>
    <row r="699" spans="9:15" x14ac:dyDescent="0.15">
      <c r="I699" s="7">
        <f t="shared" si="101"/>
        <v>18</v>
      </c>
      <c r="J699" s="7">
        <f t="shared" si="102"/>
        <v>35</v>
      </c>
      <c r="K699" s="7">
        <f t="shared" si="104"/>
        <v>630</v>
      </c>
      <c r="L699" s="7">
        <f t="shared" si="96"/>
        <v>63</v>
      </c>
      <c r="M699" s="7">
        <f t="shared" si="97"/>
        <v>77.45</v>
      </c>
      <c r="N699" s="7">
        <f t="shared" si="98"/>
        <v>1.5873015873015872E-2</v>
      </c>
      <c r="O699" s="7">
        <f t="shared" si="99"/>
        <v>1.2911555842479019E-2</v>
      </c>
    </row>
    <row r="700" spans="9:15" x14ac:dyDescent="0.15">
      <c r="I700" s="7">
        <f t="shared" si="101"/>
        <v>19</v>
      </c>
      <c r="J700" s="7">
        <f t="shared" si="102"/>
        <v>35</v>
      </c>
      <c r="K700" s="7">
        <f t="shared" si="104"/>
        <v>665</v>
      </c>
      <c r="L700" s="7">
        <f t="shared" si="96"/>
        <v>64.75</v>
      </c>
      <c r="M700" s="7">
        <f t="shared" si="97"/>
        <v>80.95</v>
      </c>
      <c r="N700" s="7">
        <f t="shared" si="98"/>
        <v>1.5444015444015444E-2</v>
      </c>
      <c r="O700" s="7">
        <f t="shared" si="99"/>
        <v>1.2353304508956145E-2</v>
      </c>
    </row>
    <row r="701" spans="9:15" x14ac:dyDescent="0.15">
      <c r="I701" s="7">
        <f t="shared" si="101"/>
        <v>20</v>
      </c>
      <c r="J701" s="7">
        <f t="shared" si="102"/>
        <v>35</v>
      </c>
      <c r="K701" s="7">
        <f t="shared" si="104"/>
        <v>700</v>
      </c>
      <c r="L701" s="7">
        <f t="shared" si="96"/>
        <v>66.5</v>
      </c>
      <c r="M701" s="7">
        <f t="shared" si="97"/>
        <v>84.45</v>
      </c>
      <c r="N701" s="7">
        <f t="shared" si="98"/>
        <v>1.5037593984962405E-2</v>
      </c>
      <c r="O701" s="7">
        <f t="shared" si="99"/>
        <v>1.1841326228537596E-2</v>
      </c>
    </row>
    <row r="702" spans="9:15" x14ac:dyDescent="0.15">
      <c r="I702" s="7">
        <f t="shared" si="101"/>
        <v>1</v>
      </c>
      <c r="J702" s="7">
        <f t="shared" si="102"/>
        <v>36</v>
      </c>
      <c r="K702" s="7">
        <f>J702</f>
        <v>36</v>
      </c>
      <c r="L702" s="7">
        <f t="shared" si="96"/>
        <v>34.199999999999996</v>
      </c>
      <c r="M702" s="7">
        <f t="shared" si="97"/>
        <v>18.45</v>
      </c>
      <c r="N702" s="7">
        <f t="shared" si="98"/>
        <v>2.923976608187135E-2</v>
      </c>
      <c r="O702" s="7">
        <f t="shared" si="99"/>
        <v>5.4200542005420058E-2</v>
      </c>
    </row>
    <row r="703" spans="9:15" x14ac:dyDescent="0.15">
      <c r="I703" s="7">
        <f t="shared" si="101"/>
        <v>2</v>
      </c>
      <c r="J703" s="7">
        <f t="shared" si="102"/>
        <v>36</v>
      </c>
      <c r="K703" s="7">
        <f>K702+J702</f>
        <v>72</v>
      </c>
      <c r="L703" s="7">
        <f t="shared" si="96"/>
        <v>36</v>
      </c>
      <c r="M703" s="7">
        <f t="shared" si="97"/>
        <v>22.05</v>
      </c>
      <c r="N703" s="7">
        <f t="shared" si="98"/>
        <v>2.7777777777777776E-2</v>
      </c>
      <c r="O703" s="7">
        <f t="shared" si="99"/>
        <v>4.5351473922902494E-2</v>
      </c>
    </row>
    <row r="704" spans="9:15" x14ac:dyDescent="0.15">
      <c r="I704" s="7">
        <f t="shared" si="101"/>
        <v>3</v>
      </c>
      <c r="J704" s="7">
        <f t="shared" si="102"/>
        <v>36</v>
      </c>
      <c r="K704" s="7">
        <f t="shared" ref="K704:K721" si="105">K703+J703</f>
        <v>108</v>
      </c>
      <c r="L704" s="7">
        <f t="shared" si="96"/>
        <v>37.799999999999997</v>
      </c>
      <c r="M704" s="7">
        <f t="shared" si="97"/>
        <v>25.65</v>
      </c>
      <c r="N704" s="7">
        <f t="shared" si="98"/>
        <v>2.6455026455026457E-2</v>
      </c>
      <c r="O704" s="7">
        <f t="shared" si="99"/>
        <v>3.8986354775828465E-2</v>
      </c>
    </row>
    <row r="705" spans="9:15" x14ac:dyDescent="0.15">
      <c r="I705" s="7">
        <f t="shared" si="101"/>
        <v>4</v>
      </c>
      <c r="J705" s="7">
        <f t="shared" si="102"/>
        <v>36</v>
      </c>
      <c r="K705" s="7">
        <f t="shared" si="105"/>
        <v>144</v>
      </c>
      <c r="L705" s="7">
        <f t="shared" si="96"/>
        <v>39.6</v>
      </c>
      <c r="M705" s="7">
        <f t="shared" si="97"/>
        <v>29.25</v>
      </c>
      <c r="N705" s="7">
        <f t="shared" si="98"/>
        <v>2.5252525252525252E-2</v>
      </c>
      <c r="O705" s="7">
        <f t="shared" si="99"/>
        <v>3.4188034188034191E-2</v>
      </c>
    </row>
    <row r="706" spans="9:15" x14ac:dyDescent="0.15">
      <c r="I706" s="7">
        <f t="shared" si="101"/>
        <v>5</v>
      </c>
      <c r="J706" s="7">
        <f t="shared" si="102"/>
        <v>36</v>
      </c>
      <c r="K706" s="7">
        <f t="shared" si="105"/>
        <v>180</v>
      </c>
      <c r="L706" s="7">
        <f t="shared" si="96"/>
        <v>41.4</v>
      </c>
      <c r="M706" s="7">
        <f t="shared" si="97"/>
        <v>32.85</v>
      </c>
      <c r="N706" s="7">
        <f t="shared" si="98"/>
        <v>2.4154589371980676E-2</v>
      </c>
      <c r="O706" s="7">
        <f t="shared" si="99"/>
        <v>3.0441400304414001E-2</v>
      </c>
    </row>
    <row r="707" spans="9:15" x14ac:dyDescent="0.15">
      <c r="I707" s="7">
        <f t="shared" si="101"/>
        <v>6</v>
      </c>
      <c r="J707" s="7">
        <f t="shared" si="102"/>
        <v>36</v>
      </c>
      <c r="K707" s="7">
        <f t="shared" si="105"/>
        <v>216</v>
      </c>
      <c r="L707" s="7">
        <f t="shared" ref="L707:L770" si="106">0.9*J707+0.05*K707</f>
        <v>43.2</v>
      </c>
      <c r="M707" s="7">
        <f t="shared" ref="M707:M770" si="107">0.45+0.4*J707+0.1*K707</f>
        <v>36.450000000000003</v>
      </c>
      <c r="N707" s="7">
        <f t="shared" ref="N707:N770" si="108">1/L707</f>
        <v>2.3148148148148147E-2</v>
      </c>
      <c r="O707" s="7">
        <f t="shared" ref="O707:O770" si="109">1/M707</f>
        <v>2.7434842249657063E-2</v>
      </c>
    </row>
    <row r="708" spans="9:15" x14ac:dyDescent="0.15">
      <c r="I708" s="7">
        <f t="shared" si="101"/>
        <v>7</v>
      </c>
      <c r="J708" s="7">
        <f t="shared" si="102"/>
        <v>36</v>
      </c>
      <c r="K708" s="7">
        <f t="shared" si="105"/>
        <v>252</v>
      </c>
      <c r="L708" s="7">
        <f t="shared" si="106"/>
        <v>45</v>
      </c>
      <c r="M708" s="7">
        <f t="shared" si="107"/>
        <v>40.050000000000004</v>
      </c>
      <c r="N708" s="7">
        <f t="shared" si="108"/>
        <v>2.2222222222222223E-2</v>
      </c>
      <c r="O708" s="7">
        <f t="shared" si="109"/>
        <v>2.4968789013732832E-2</v>
      </c>
    </row>
    <row r="709" spans="9:15" x14ac:dyDescent="0.15">
      <c r="I709" s="7">
        <f t="shared" si="101"/>
        <v>8</v>
      </c>
      <c r="J709" s="7">
        <f t="shared" si="102"/>
        <v>36</v>
      </c>
      <c r="K709" s="7">
        <f t="shared" si="105"/>
        <v>288</v>
      </c>
      <c r="L709" s="7">
        <f t="shared" si="106"/>
        <v>46.8</v>
      </c>
      <c r="M709" s="7">
        <f t="shared" si="107"/>
        <v>43.65</v>
      </c>
      <c r="N709" s="7">
        <f t="shared" si="108"/>
        <v>2.1367521367521368E-2</v>
      </c>
      <c r="O709" s="7">
        <f t="shared" si="109"/>
        <v>2.2909507445589922E-2</v>
      </c>
    </row>
    <row r="710" spans="9:15" x14ac:dyDescent="0.15">
      <c r="I710" s="7">
        <f t="shared" si="101"/>
        <v>9</v>
      </c>
      <c r="J710" s="7">
        <f t="shared" si="102"/>
        <v>36</v>
      </c>
      <c r="K710" s="7">
        <f t="shared" si="105"/>
        <v>324</v>
      </c>
      <c r="L710" s="7">
        <f t="shared" si="106"/>
        <v>48.599999999999994</v>
      </c>
      <c r="M710" s="7">
        <f t="shared" si="107"/>
        <v>47.25</v>
      </c>
      <c r="N710" s="7">
        <f t="shared" si="108"/>
        <v>2.0576131687242802E-2</v>
      </c>
      <c r="O710" s="7">
        <f t="shared" si="109"/>
        <v>2.1164021164021163E-2</v>
      </c>
    </row>
    <row r="711" spans="9:15" x14ac:dyDescent="0.15">
      <c r="I711" s="7">
        <f t="shared" si="101"/>
        <v>10</v>
      </c>
      <c r="J711" s="7">
        <f t="shared" si="102"/>
        <v>36</v>
      </c>
      <c r="K711" s="7">
        <f t="shared" si="105"/>
        <v>360</v>
      </c>
      <c r="L711" s="7">
        <f t="shared" si="106"/>
        <v>50.4</v>
      </c>
      <c r="M711" s="7">
        <f t="shared" si="107"/>
        <v>50.85</v>
      </c>
      <c r="N711" s="7">
        <f t="shared" si="108"/>
        <v>1.984126984126984E-2</v>
      </c>
      <c r="O711" s="7">
        <f t="shared" si="109"/>
        <v>1.966568338249754E-2</v>
      </c>
    </row>
    <row r="712" spans="9:15" x14ac:dyDescent="0.15">
      <c r="I712" s="7">
        <f t="shared" si="101"/>
        <v>11</v>
      </c>
      <c r="J712" s="7">
        <f t="shared" si="102"/>
        <v>36</v>
      </c>
      <c r="K712" s="7">
        <f t="shared" si="105"/>
        <v>396</v>
      </c>
      <c r="L712" s="7">
        <f t="shared" si="106"/>
        <v>52.2</v>
      </c>
      <c r="M712" s="7">
        <f t="shared" si="107"/>
        <v>54.45</v>
      </c>
      <c r="N712" s="7">
        <f t="shared" si="108"/>
        <v>1.9157088122605363E-2</v>
      </c>
      <c r="O712" s="7">
        <f t="shared" si="109"/>
        <v>1.8365472910927456E-2</v>
      </c>
    </row>
    <row r="713" spans="9:15" x14ac:dyDescent="0.15">
      <c r="I713" s="7">
        <f t="shared" si="101"/>
        <v>12</v>
      </c>
      <c r="J713" s="7">
        <f t="shared" si="102"/>
        <v>36</v>
      </c>
      <c r="K713" s="7">
        <f t="shared" si="105"/>
        <v>432</v>
      </c>
      <c r="L713" s="7">
        <f t="shared" si="106"/>
        <v>54</v>
      </c>
      <c r="M713" s="7">
        <f t="shared" si="107"/>
        <v>58.050000000000004</v>
      </c>
      <c r="N713" s="7">
        <f t="shared" si="108"/>
        <v>1.8518518518518517E-2</v>
      </c>
      <c r="O713" s="7">
        <f t="shared" si="109"/>
        <v>1.7226528854435829E-2</v>
      </c>
    </row>
    <row r="714" spans="9:15" x14ac:dyDescent="0.15">
      <c r="I714" s="7">
        <f t="shared" si="101"/>
        <v>13</v>
      </c>
      <c r="J714" s="7">
        <f t="shared" si="102"/>
        <v>36</v>
      </c>
      <c r="K714" s="7">
        <f t="shared" si="105"/>
        <v>468</v>
      </c>
      <c r="L714" s="7">
        <f t="shared" si="106"/>
        <v>55.8</v>
      </c>
      <c r="M714" s="7">
        <f t="shared" si="107"/>
        <v>61.650000000000006</v>
      </c>
      <c r="N714" s="7">
        <f t="shared" si="108"/>
        <v>1.7921146953405021E-2</v>
      </c>
      <c r="O714" s="7">
        <f t="shared" si="109"/>
        <v>1.6220600162206E-2</v>
      </c>
    </row>
    <row r="715" spans="9:15" x14ac:dyDescent="0.15">
      <c r="I715" s="7">
        <f t="shared" si="101"/>
        <v>14</v>
      </c>
      <c r="J715" s="7">
        <f t="shared" si="102"/>
        <v>36</v>
      </c>
      <c r="K715" s="7">
        <f t="shared" si="105"/>
        <v>504</v>
      </c>
      <c r="L715" s="7">
        <f t="shared" si="106"/>
        <v>57.6</v>
      </c>
      <c r="M715" s="7">
        <f t="shared" si="107"/>
        <v>65.25</v>
      </c>
      <c r="N715" s="7">
        <f t="shared" si="108"/>
        <v>1.7361111111111112E-2</v>
      </c>
      <c r="O715" s="7">
        <f t="shared" si="109"/>
        <v>1.532567049808429E-2</v>
      </c>
    </row>
    <row r="716" spans="9:15" x14ac:dyDescent="0.15">
      <c r="I716" s="7">
        <f t="shared" si="101"/>
        <v>15</v>
      </c>
      <c r="J716" s="7">
        <f t="shared" si="102"/>
        <v>36</v>
      </c>
      <c r="K716" s="7">
        <f t="shared" si="105"/>
        <v>540</v>
      </c>
      <c r="L716" s="7">
        <f t="shared" si="106"/>
        <v>59.4</v>
      </c>
      <c r="M716" s="7">
        <f t="shared" si="107"/>
        <v>68.849999999999994</v>
      </c>
      <c r="N716" s="7">
        <f t="shared" si="108"/>
        <v>1.6835016835016835E-2</v>
      </c>
      <c r="O716" s="7">
        <f t="shared" si="109"/>
        <v>1.4524328249818447E-2</v>
      </c>
    </row>
    <row r="717" spans="9:15" x14ac:dyDescent="0.15">
      <c r="I717" s="7">
        <f t="shared" si="101"/>
        <v>16</v>
      </c>
      <c r="J717" s="7">
        <f t="shared" si="102"/>
        <v>36</v>
      </c>
      <c r="K717" s="7">
        <f t="shared" si="105"/>
        <v>576</v>
      </c>
      <c r="L717" s="7">
        <f t="shared" si="106"/>
        <v>61.2</v>
      </c>
      <c r="M717" s="7">
        <f t="shared" si="107"/>
        <v>72.45</v>
      </c>
      <c r="N717" s="7">
        <f t="shared" si="108"/>
        <v>1.6339869281045753E-2</v>
      </c>
      <c r="O717" s="7">
        <f t="shared" si="109"/>
        <v>1.3802622498274672E-2</v>
      </c>
    </row>
    <row r="718" spans="9:15" x14ac:dyDescent="0.15">
      <c r="I718" s="7">
        <f t="shared" si="101"/>
        <v>17</v>
      </c>
      <c r="J718" s="7">
        <f t="shared" si="102"/>
        <v>36</v>
      </c>
      <c r="K718" s="7">
        <f t="shared" si="105"/>
        <v>612</v>
      </c>
      <c r="L718" s="7">
        <f t="shared" si="106"/>
        <v>63</v>
      </c>
      <c r="M718" s="7">
        <f t="shared" si="107"/>
        <v>76.05</v>
      </c>
      <c r="N718" s="7">
        <f t="shared" si="108"/>
        <v>1.5873015873015872E-2</v>
      </c>
      <c r="O718" s="7">
        <f t="shared" si="109"/>
        <v>1.3149243918474688E-2</v>
      </c>
    </row>
    <row r="719" spans="9:15" x14ac:dyDescent="0.15">
      <c r="I719" s="7">
        <f t="shared" si="101"/>
        <v>18</v>
      </c>
      <c r="J719" s="7">
        <f t="shared" si="102"/>
        <v>36</v>
      </c>
      <c r="K719" s="7">
        <f t="shared" si="105"/>
        <v>648</v>
      </c>
      <c r="L719" s="7">
        <f t="shared" si="106"/>
        <v>64.8</v>
      </c>
      <c r="M719" s="7">
        <f t="shared" si="107"/>
        <v>79.649999999999991</v>
      </c>
      <c r="N719" s="7">
        <f t="shared" si="108"/>
        <v>1.54320987654321E-2</v>
      </c>
      <c r="O719" s="7">
        <f t="shared" si="109"/>
        <v>1.2554927809165098E-2</v>
      </c>
    </row>
    <row r="720" spans="9:15" x14ac:dyDescent="0.15">
      <c r="I720" s="7">
        <f t="shared" si="101"/>
        <v>19</v>
      </c>
      <c r="J720" s="7">
        <f t="shared" si="102"/>
        <v>36</v>
      </c>
      <c r="K720" s="7">
        <f t="shared" si="105"/>
        <v>684</v>
      </c>
      <c r="L720" s="7">
        <f t="shared" si="106"/>
        <v>66.599999999999994</v>
      </c>
      <c r="M720" s="7">
        <f t="shared" si="107"/>
        <v>83.25</v>
      </c>
      <c r="N720" s="7">
        <f t="shared" si="108"/>
        <v>1.5015015015015017E-2</v>
      </c>
      <c r="O720" s="7">
        <f t="shared" si="109"/>
        <v>1.2012012012012012E-2</v>
      </c>
    </row>
    <row r="721" spans="9:15" x14ac:dyDescent="0.15">
      <c r="I721" s="7">
        <f t="shared" si="101"/>
        <v>20</v>
      </c>
      <c r="J721" s="7">
        <f t="shared" si="102"/>
        <v>36</v>
      </c>
      <c r="K721" s="7">
        <f t="shared" si="105"/>
        <v>720</v>
      </c>
      <c r="L721" s="7">
        <f t="shared" si="106"/>
        <v>68.400000000000006</v>
      </c>
      <c r="M721" s="7">
        <f t="shared" si="107"/>
        <v>86.85</v>
      </c>
      <c r="N721" s="7">
        <f t="shared" si="108"/>
        <v>1.4619883040935672E-2</v>
      </c>
      <c r="O721" s="7">
        <f t="shared" si="109"/>
        <v>1.1514104778353483E-2</v>
      </c>
    </row>
    <row r="722" spans="9:15" x14ac:dyDescent="0.15">
      <c r="I722" s="7">
        <f t="shared" si="101"/>
        <v>1</v>
      </c>
      <c r="J722" s="7">
        <f t="shared" si="102"/>
        <v>37</v>
      </c>
      <c r="K722" s="7">
        <f>J722</f>
        <v>37</v>
      </c>
      <c r="L722" s="7">
        <f t="shared" si="106"/>
        <v>35.150000000000006</v>
      </c>
      <c r="M722" s="7">
        <f t="shared" si="107"/>
        <v>18.95</v>
      </c>
      <c r="N722" s="7">
        <f t="shared" si="108"/>
        <v>2.8449502133712657E-2</v>
      </c>
      <c r="O722" s="7">
        <f t="shared" si="109"/>
        <v>5.2770448548812667E-2</v>
      </c>
    </row>
    <row r="723" spans="9:15" x14ac:dyDescent="0.15">
      <c r="I723" s="7">
        <f t="shared" si="101"/>
        <v>2</v>
      </c>
      <c r="J723" s="7">
        <f t="shared" si="102"/>
        <v>37</v>
      </c>
      <c r="K723" s="7">
        <f>K722+J722</f>
        <v>74</v>
      </c>
      <c r="L723" s="7">
        <f t="shared" si="106"/>
        <v>37.000000000000007</v>
      </c>
      <c r="M723" s="7">
        <f t="shared" si="107"/>
        <v>22.65</v>
      </c>
      <c r="N723" s="7">
        <f t="shared" si="108"/>
        <v>2.7027027027027022E-2</v>
      </c>
      <c r="O723" s="7">
        <f t="shared" si="109"/>
        <v>4.4150110375275942E-2</v>
      </c>
    </row>
    <row r="724" spans="9:15" x14ac:dyDescent="0.15">
      <c r="I724" s="7">
        <f t="shared" si="101"/>
        <v>3</v>
      </c>
      <c r="J724" s="7">
        <f t="shared" si="102"/>
        <v>37</v>
      </c>
      <c r="K724" s="7">
        <f t="shared" ref="K724:K741" si="110">K723+J723</f>
        <v>111</v>
      </c>
      <c r="L724" s="7">
        <f t="shared" si="106"/>
        <v>38.850000000000009</v>
      </c>
      <c r="M724" s="7">
        <f t="shared" si="107"/>
        <v>26.35</v>
      </c>
      <c r="N724" s="7">
        <f t="shared" si="108"/>
        <v>2.5740025740025735E-2</v>
      </c>
      <c r="O724" s="7">
        <f t="shared" si="109"/>
        <v>3.7950664136622389E-2</v>
      </c>
    </row>
    <row r="725" spans="9:15" x14ac:dyDescent="0.15">
      <c r="I725" s="7">
        <f t="shared" si="101"/>
        <v>4</v>
      </c>
      <c r="J725" s="7">
        <f t="shared" si="102"/>
        <v>37</v>
      </c>
      <c r="K725" s="7">
        <f t="shared" si="110"/>
        <v>148</v>
      </c>
      <c r="L725" s="7">
        <f t="shared" si="106"/>
        <v>40.700000000000003</v>
      </c>
      <c r="M725" s="7">
        <f t="shared" si="107"/>
        <v>30.05</v>
      </c>
      <c r="N725" s="7">
        <f t="shared" si="108"/>
        <v>2.4570024570024569E-2</v>
      </c>
      <c r="O725" s="7">
        <f t="shared" si="109"/>
        <v>3.3277870216306155E-2</v>
      </c>
    </row>
    <row r="726" spans="9:15" x14ac:dyDescent="0.15">
      <c r="I726" s="7">
        <f t="shared" si="101"/>
        <v>5</v>
      </c>
      <c r="J726" s="7">
        <f t="shared" si="102"/>
        <v>37</v>
      </c>
      <c r="K726" s="7">
        <f t="shared" si="110"/>
        <v>185</v>
      </c>
      <c r="L726" s="7">
        <f t="shared" si="106"/>
        <v>42.550000000000004</v>
      </c>
      <c r="M726" s="7">
        <f t="shared" si="107"/>
        <v>33.75</v>
      </c>
      <c r="N726" s="7">
        <f t="shared" si="108"/>
        <v>2.3501762632197411E-2</v>
      </c>
      <c r="O726" s="7">
        <f t="shared" si="109"/>
        <v>2.9629629629629631E-2</v>
      </c>
    </row>
    <row r="727" spans="9:15" x14ac:dyDescent="0.15">
      <c r="I727" s="7">
        <f t="shared" ref="I727:I790" si="111">I707</f>
        <v>6</v>
      </c>
      <c r="J727" s="7">
        <f t="shared" ref="J727:J790" si="112">J707+1</f>
        <v>37</v>
      </c>
      <c r="K727" s="7">
        <f t="shared" si="110"/>
        <v>222</v>
      </c>
      <c r="L727" s="7">
        <f t="shared" si="106"/>
        <v>44.400000000000006</v>
      </c>
      <c r="M727" s="7">
        <f t="shared" si="107"/>
        <v>37.450000000000003</v>
      </c>
      <c r="N727" s="7">
        <f t="shared" si="108"/>
        <v>2.2522522522522518E-2</v>
      </c>
      <c r="O727" s="7">
        <f t="shared" si="109"/>
        <v>2.6702269692923896E-2</v>
      </c>
    </row>
    <row r="728" spans="9:15" x14ac:dyDescent="0.15">
      <c r="I728" s="7">
        <f t="shared" si="111"/>
        <v>7</v>
      </c>
      <c r="J728" s="7">
        <f t="shared" si="112"/>
        <v>37</v>
      </c>
      <c r="K728" s="7">
        <f t="shared" si="110"/>
        <v>259</v>
      </c>
      <c r="L728" s="7">
        <f t="shared" si="106"/>
        <v>46.250000000000007</v>
      </c>
      <c r="M728" s="7">
        <f t="shared" si="107"/>
        <v>41.150000000000006</v>
      </c>
      <c r="N728" s="7">
        <f t="shared" si="108"/>
        <v>2.1621621621621619E-2</v>
      </c>
      <c r="O728" s="7">
        <f t="shared" si="109"/>
        <v>2.430133657351154E-2</v>
      </c>
    </row>
    <row r="729" spans="9:15" x14ac:dyDescent="0.15">
      <c r="I729" s="7">
        <f t="shared" si="111"/>
        <v>8</v>
      </c>
      <c r="J729" s="7">
        <f t="shared" si="112"/>
        <v>37</v>
      </c>
      <c r="K729" s="7">
        <f t="shared" si="110"/>
        <v>296</v>
      </c>
      <c r="L729" s="7">
        <f t="shared" si="106"/>
        <v>48.100000000000009</v>
      </c>
      <c r="M729" s="7">
        <f t="shared" si="107"/>
        <v>44.85</v>
      </c>
      <c r="N729" s="7">
        <f t="shared" si="108"/>
        <v>2.0790020790020788E-2</v>
      </c>
      <c r="O729" s="7">
        <f t="shared" si="109"/>
        <v>2.2296544035674468E-2</v>
      </c>
    </row>
    <row r="730" spans="9:15" x14ac:dyDescent="0.15">
      <c r="I730" s="7">
        <f t="shared" si="111"/>
        <v>9</v>
      </c>
      <c r="J730" s="7">
        <f t="shared" si="112"/>
        <v>37</v>
      </c>
      <c r="K730" s="7">
        <f t="shared" si="110"/>
        <v>333</v>
      </c>
      <c r="L730" s="7">
        <f t="shared" si="106"/>
        <v>49.95</v>
      </c>
      <c r="M730" s="7">
        <f t="shared" si="107"/>
        <v>48.550000000000004</v>
      </c>
      <c r="N730" s="7">
        <f t="shared" si="108"/>
        <v>2.002002002002002E-2</v>
      </c>
      <c r="O730" s="7">
        <f t="shared" si="109"/>
        <v>2.0597322348094745E-2</v>
      </c>
    </row>
    <row r="731" spans="9:15" x14ac:dyDescent="0.15">
      <c r="I731" s="7">
        <f t="shared" si="111"/>
        <v>10</v>
      </c>
      <c r="J731" s="7">
        <f t="shared" si="112"/>
        <v>37</v>
      </c>
      <c r="K731" s="7">
        <f t="shared" si="110"/>
        <v>370</v>
      </c>
      <c r="L731" s="7">
        <f t="shared" si="106"/>
        <v>51.800000000000004</v>
      </c>
      <c r="M731" s="7">
        <f t="shared" si="107"/>
        <v>52.25</v>
      </c>
      <c r="N731" s="7">
        <f t="shared" si="108"/>
        <v>1.9305019305019305E-2</v>
      </c>
      <c r="O731" s="7">
        <f t="shared" si="109"/>
        <v>1.9138755980861243E-2</v>
      </c>
    </row>
    <row r="732" spans="9:15" x14ac:dyDescent="0.15">
      <c r="I732" s="7">
        <f t="shared" si="111"/>
        <v>11</v>
      </c>
      <c r="J732" s="7">
        <f t="shared" si="112"/>
        <v>37</v>
      </c>
      <c r="K732" s="7">
        <f t="shared" si="110"/>
        <v>407</v>
      </c>
      <c r="L732" s="7">
        <f t="shared" si="106"/>
        <v>53.650000000000006</v>
      </c>
      <c r="M732" s="7">
        <f t="shared" si="107"/>
        <v>55.95</v>
      </c>
      <c r="N732" s="7">
        <f t="shared" si="108"/>
        <v>1.8639328984156569E-2</v>
      </c>
      <c r="O732" s="7">
        <f t="shared" si="109"/>
        <v>1.7873100983020553E-2</v>
      </c>
    </row>
    <row r="733" spans="9:15" x14ac:dyDescent="0.15">
      <c r="I733" s="7">
        <f t="shared" si="111"/>
        <v>12</v>
      </c>
      <c r="J733" s="7">
        <f t="shared" si="112"/>
        <v>37</v>
      </c>
      <c r="K733" s="7">
        <f t="shared" si="110"/>
        <v>444</v>
      </c>
      <c r="L733" s="7">
        <f t="shared" si="106"/>
        <v>55.500000000000007</v>
      </c>
      <c r="M733" s="7">
        <f t="shared" si="107"/>
        <v>59.650000000000006</v>
      </c>
      <c r="N733" s="7">
        <f t="shared" si="108"/>
        <v>1.8018018018018014E-2</v>
      </c>
      <c r="O733" s="7">
        <f t="shared" si="109"/>
        <v>1.6764459346186082E-2</v>
      </c>
    </row>
    <row r="734" spans="9:15" x14ac:dyDescent="0.15">
      <c r="I734" s="7">
        <f t="shared" si="111"/>
        <v>13</v>
      </c>
      <c r="J734" s="7">
        <f t="shared" si="112"/>
        <v>37</v>
      </c>
      <c r="K734" s="7">
        <f t="shared" si="110"/>
        <v>481</v>
      </c>
      <c r="L734" s="7">
        <f t="shared" si="106"/>
        <v>57.350000000000009</v>
      </c>
      <c r="M734" s="7">
        <f t="shared" si="107"/>
        <v>63.35</v>
      </c>
      <c r="N734" s="7">
        <f t="shared" si="108"/>
        <v>1.7436791630340016E-2</v>
      </c>
      <c r="O734" s="7">
        <f t="shared" si="109"/>
        <v>1.5785319652722968E-2</v>
      </c>
    </row>
    <row r="735" spans="9:15" x14ac:dyDescent="0.15">
      <c r="I735" s="7">
        <f t="shared" si="111"/>
        <v>14</v>
      </c>
      <c r="J735" s="7">
        <f t="shared" si="112"/>
        <v>37</v>
      </c>
      <c r="K735" s="7">
        <f t="shared" si="110"/>
        <v>518</v>
      </c>
      <c r="L735" s="7">
        <f t="shared" si="106"/>
        <v>59.2</v>
      </c>
      <c r="M735" s="7">
        <f t="shared" si="107"/>
        <v>67.050000000000011</v>
      </c>
      <c r="N735" s="7">
        <f t="shared" si="108"/>
        <v>1.6891891891891889E-2</v>
      </c>
      <c r="O735" s="7">
        <f t="shared" si="109"/>
        <v>1.4914243102162562E-2</v>
      </c>
    </row>
    <row r="736" spans="9:15" x14ac:dyDescent="0.15">
      <c r="I736" s="7">
        <f t="shared" si="111"/>
        <v>15</v>
      </c>
      <c r="J736" s="7">
        <f t="shared" si="112"/>
        <v>37</v>
      </c>
      <c r="K736" s="7">
        <f t="shared" si="110"/>
        <v>555</v>
      </c>
      <c r="L736" s="7">
        <f t="shared" si="106"/>
        <v>61.050000000000004</v>
      </c>
      <c r="M736" s="7">
        <f t="shared" si="107"/>
        <v>70.75</v>
      </c>
      <c r="N736" s="7">
        <f t="shared" si="108"/>
        <v>1.638001638001638E-2</v>
      </c>
      <c r="O736" s="7">
        <f t="shared" si="109"/>
        <v>1.4134275618374558E-2</v>
      </c>
    </row>
    <row r="737" spans="9:15" x14ac:dyDescent="0.15">
      <c r="I737" s="7">
        <f t="shared" si="111"/>
        <v>16</v>
      </c>
      <c r="J737" s="7">
        <f t="shared" si="112"/>
        <v>37</v>
      </c>
      <c r="K737" s="7">
        <f t="shared" si="110"/>
        <v>592</v>
      </c>
      <c r="L737" s="7">
        <f t="shared" si="106"/>
        <v>62.900000000000006</v>
      </c>
      <c r="M737" s="7">
        <f t="shared" si="107"/>
        <v>74.45</v>
      </c>
      <c r="N737" s="7">
        <f t="shared" si="108"/>
        <v>1.5898251192368838E-2</v>
      </c>
      <c r="O737" s="7">
        <f t="shared" si="109"/>
        <v>1.3431833445265278E-2</v>
      </c>
    </row>
    <row r="738" spans="9:15" x14ac:dyDescent="0.15">
      <c r="I738" s="7">
        <f t="shared" si="111"/>
        <v>17</v>
      </c>
      <c r="J738" s="7">
        <f t="shared" si="112"/>
        <v>37</v>
      </c>
      <c r="K738" s="7">
        <f t="shared" si="110"/>
        <v>629</v>
      </c>
      <c r="L738" s="7">
        <f t="shared" si="106"/>
        <v>64.75</v>
      </c>
      <c r="M738" s="7">
        <f t="shared" si="107"/>
        <v>78.150000000000006</v>
      </c>
      <c r="N738" s="7">
        <f t="shared" si="108"/>
        <v>1.5444015444015444E-2</v>
      </c>
      <c r="O738" s="7">
        <f t="shared" si="109"/>
        <v>1.2795905310300703E-2</v>
      </c>
    </row>
    <row r="739" spans="9:15" x14ac:dyDescent="0.15">
      <c r="I739" s="7">
        <f t="shared" si="111"/>
        <v>18</v>
      </c>
      <c r="J739" s="7">
        <f t="shared" si="112"/>
        <v>37</v>
      </c>
      <c r="K739" s="7">
        <f t="shared" si="110"/>
        <v>666</v>
      </c>
      <c r="L739" s="7">
        <f t="shared" si="106"/>
        <v>66.600000000000009</v>
      </c>
      <c r="M739" s="7">
        <f t="shared" si="107"/>
        <v>81.850000000000009</v>
      </c>
      <c r="N739" s="7">
        <f t="shared" si="108"/>
        <v>1.5015015015015013E-2</v>
      </c>
      <c r="O739" s="7">
        <f t="shared" si="109"/>
        <v>1.2217470983506413E-2</v>
      </c>
    </row>
    <row r="740" spans="9:15" x14ac:dyDescent="0.15">
      <c r="I740" s="7">
        <f t="shared" si="111"/>
        <v>19</v>
      </c>
      <c r="J740" s="7">
        <f t="shared" si="112"/>
        <v>37</v>
      </c>
      <c r="K740" s="7">
        <f t="shared" si="110"/>
        <v>703</v>
      </c>
      <c r="L740" s="7">
        <f t="shared" si="106"/>
        <v>68.45</v>
      </c>
      <c r="M740" s="7">
        <f t="shared" si="107"/>
        <v>85.55</v>
      </c>
      <c r="N740" s="7">
        <f t="shared" si="108"/>
        <v>1.4609203798392987E-2</v>
      </c>
      <c r="O740" s="7">
        <f t="shared" si="109"/>
        <v>1.1689070718877849E-2</v>
      </c>
    </row>
    <row r="741" spans="9:15" x14ac:dyDescent="0.15">
      <c r="I741" s="7">
        <f t="shared" si="111"/>
        <v>20</v>
      </c>
      <c r="J741" s="7">
        <f t="shared" si="112"/>
        <v>37</v>
      </c>
      <c r="K741" s="7">
        <f t="shared" si="110"/>
        <v>740</v>
      </c>
      <c r="L741" s="7">
        <f t="shared" si="106"/>
        <v>70.300000000000011</v>
      </c>
      <c r="M741" s="7">
        <f t="shared" si="107"/>
        <v>89.25</v>
      </c>
      <c r="N741" s="7">
        <f t="shared" si="108"/>
        <v>1.4224751066856329E-2</v>
      </c>
      <c r="O741" s="7">
        <f t="shared" si="109"/>
        <v>1.1204481792717087E-2</v>
      </c>
    </row>
    <row r="742" spans="9:15" x14ac:dyDescent="0.15">
      <c r="I742" s="7">
        <f t="shared" si="111"/>
        <v>1</v>
      </c>
      <c r="J742" s="7">
        <f t="shared" si="112"/>
        <v>38</v>
      </c>
      <c r="K742" s="7">
        <f>J742</f>
        <v>38</v>
      </c>
      <c r="L742" s="7">
        <f t="shared" si="106"/>
        <v>36.1</v>
      </c>
      <c r="M742" s="7">
        <f t="shared" si="107"/>
        <v>19.45</v>
      </c>
      <c r="N742" s="7">
        <f t="shared" si="108"/>
        <v>2.7700831024930747E-2</v>
      </c>
      <c r="O742" s="7">
        <f t="shared" si="109"/>
        <v>5.1413881748071981E-2</v>
      </c>
    </row>
    <row r="743" spans="9:15" x14ac:dyDescent="0.15">
      <c r="I743" s="7">
        <f t="shared" si="111"/>
        <v>2</v>
      </c>
      <c r="J743" s="7">
        <f t="shared" si="112"/>
        <v>38</v>
      </c>
      <c r="K743" s="7">
        <f>K742+J742</f>
        <v>76</v>
      </c>
      <c r="L743" s="7">
        <f t="shared" si="106"/>
        <v>38</v>
      </c>
      <c r="M743" s="7">
        <f t="shared" si="107"/>
        <v>23.25</v>
      </c>
      <c r="N743" s="7">
        <f t="shared" si="108"/>
        <v>2.6315789473684209E-2</v>
      </c>
      <c r="O743" s="7">
        <f t="shared" si="109"/>
        <v>4.3010752688172046E-2</v>
      </c>
    </row>
    <row r="744" spans="9:15" x14ac:dyDescent="0.15">
      <c r="I744" s="7">
        <f t="shared" si="111"/>
        <v>3</v>
      </c>
      <c r="J744" s="7">
        <f t="shared" si="112"/>
        <v>38</v>
      </c>
      <c r="K744" s="7">
        <f t="shared" ref="K744:K761" si="113">K743+J743</f>
        <v>114</v>
      </c>
      <c r="L744" s="7">
        <f t="shared" si="106"/>
        <v>39.900000000000006</v>
      </c>
      <c r="M744" s="7">
        <f t="shared" si="107"/>
        <v>27.05</v>
      </c>
      <c r="N744" s="7">
        <f t="shared" si="108"/>
        <v>2.5062656641604005E-2</v>
      </c>
      <c r="O744" s="7">
        <f t="shared" si="109"/>
        <v>3.6968576709796669E-2</v>
      </c>
    </row>
    <row r="745" spans="9:15" x14ac:dyDescent="0.15">
      <c r="I745" s="7">
        <f t="shared" si="111"/>
        <v>4</v>
      </c>
      <c r="J745" s="7">
        <f t="shared" si="112"/>
        <v>38</v>
      </c>
      <c r="K745" s="7">
        <f t="shared" si="113"/>
        <v>152</v>
      </c>
      <c r="L745" s="7">
        <f t="shared" si="106"/>
        <v>41.800000000000004</v>
      </c>
      <c r="M745" s="7">
        <f t="shared" si="107"/>
        <v>30.85</v>
      </c>
      <c r="N745" s="7">
        <f t="shared" si="108"/>
        <v>2.3923444976076551E-2</v>
      </c>
      <c r="O745" s="7">
        <f t="shared" si="109"/>
        <v>3.2414910858995137E-2</v>
      </c>
    </row>
    <row r="746" spans="9:15" x14ac:dyDescent="0.15">
      <c r="I746" s="7">
        <f t="shared" si="111"/>
        <v>5</v>
      </c>
      <c r="J746" s="7">
        <f t="shared" si="112"/>
        <v>38</v>
      </c>
      <c r="K746" s="7">
        <f t="shared" si="113"/>
        <v>190</v>
      </c>
      <c r="L746" s="7">
        <f t="shared" si="106"/>
        <v>43.7</v>
      </c>
      <c r="M746" s="7">
        <f t="shared" si="107"/>
        <v>34.65</v>
      </c>
      <c r="N746" s="7">
        <f t="shared" si="108"/>
        <v>2.2883295194508008E-2</v>
      </c>
      <c r="O746" s="7">
        <f t="shared" si="109"/>
        <v>2.886002886002886E-2</v>
      </c>
    </row>
    <row r="747" spans="9:15" x14ac:dyDescent="0.15">
      <c r="I747" s="7">
        <f t="shared" si="111"/>
        <v>6</v>
      </c>
      <c r="J747" s="7">
        <f t="shared" si="112"/>
        <v>38</v>
      </c>
      <c r="K747" s="7">
        <f t="shared" si="113"/>
        <v>228</v>
      </c>
      <c r="L747" s="7">
        <f t="shared" si="106"/>
        <v>45.6</v>
      </c>
      <c r="M747" s="7">
        <f t="shared" si="107"/>
        <v>38.450000000000003</v>
      </c>
      <c r="N747" s="7">
        <f t="shared" si="108"/>
        <v>2.1929824561403508E-2</v>
      </c>
      <c r="O747" s="7">
        <f t="shared" si="109"/>
        <v>2.600780234070221E-2</v>
      </c>
    </row>
    <row r="748" spans="9:15" x14ac:dyDescent="0.15">
      <c r="I748" s="7">
        <f t="shared" si="111"/>
        <v>7</v>
      </c>
      <c r="J748" s="7">
        <f t="shared" si="112"/>
        <v>38</v>
      </c>
      <c r="K748" s="7">
        <f t="shared" si="113"/>
        <v>266</v>
      </c>
      <c r="L748" s="7">
        <f t="shared" si="106"/>
        <v>47.5</v>
      </c>
      <c r="M748" s="7">
        <f t="shared" si="107"/>
        <v>42.25</v>
      </c>
      <c r="N748" s="7">
        <f t="shared" si="108"/>
        <v>2.1052631578947368E-2</v>
      </c>
      <c r="O748" s="7">
        <f t="shared" si="109"/>
        <v>2.3668639053254437E-2</v>
      </c>
    </row>
    <row r="749" spans="9:15" x14ac:dyDescent="0.15">
      <c r="I749" s="7">
        <f t="shared" si="111"/>
        <v>8</v>
      </c>
      <c r="J749" s="7">
        <f t="shared" si="112"/>
        <v>38</v>
      </c>
      <c r="K749" s="7">
        <f t="shared" si="113"/>
        <v>304</v>
      </c>
      <c r="L749" s="7">
        <f t="shared" si="106"/>
        <v>49.400000000000006</v>
      </c>
      <c r="M749" s="7">
        <f t="shared" si="107"/>
        <v>46.050000000000004</v>
      </c>
      <c r="N749" s="7">
        <f t="shared" si="108"/>
        <v>2.0242914979757082E-2</v>
      </c>
      <c r="O749" s="7">
        <f t="shared" si="109"/>
        <v>2.1715526601520086E-2</v>
      </c>
    </row>
    <row r="750" spans="9:15" x14ac:dyDescent="0.15">
      <c r="I750" s="7">
        <f t="shared" si="111"/>
        <v>9</v>
      </c>
      <c r="J750" s="7">
        <f t="shared" si="112"/>
        <v>38</v>
      </c>
      <c r="K750" s="7">
        <f t="shared" si="113"/>
        <v>342</v>
      </c>
      <c r="L750" s="7">
        <f t="shared" si="106"/>
        <v>51.300000000000004</v>
      </c>
      <c r="M750" s="7">
        <f t="shared" si="107"/>
        <v>49.85</v>
      </c>
      <c r="N750" s="7">
        <f t="shared" si="108"/>
        <v>1.9493177387914229E-2</v>
      </c>
      <c r="O750" s="7">
        <f t="shared" si="109"/>
        <v>2.0060180541624874E-2</v>
      </c>
    </row>
    <row r="751" spans="9:15" x14ac:dyDescent="0.15">
      <c r="I751" s="7">
        <f t="shared" si="111"/>
        <v>10</v>
      </c>
      <c r="J751" s="7">
        <f t="shared" si="112"/>
        <v>38</v>
      </c>
      <c r="K751" s="7">
        <f t="shared" si="113"/>
        <v>380</v>
      </c>
      <c r="L751" s="7">
        <f t="shared" si="106"/>
        <v>53.2</v>
      </c>
      <c r="M751" s="7">
        <f t="shared" si="107"/>
        <v>53.65</v>
      </c>
      <c r="N751" s="7">
        <f t="shared" si="108"/>
        <v>1.8796992481203006E-2</v>
      </c>
      <c r="O751" s="7">
        <f t="shared" si="109"/>
        <v>1.8639328984156572E-2</v>
      </c>
    </row>
    <row r="752" spans="9:15" x14ac:dyDescent="0.15">
      <c r="I752" s="7">
        <f t="shared" si="111"/>
        <v>11</v>
      </c>
      <c r="J752" s="7">
        <f t="shared" si="112"/>
        <v>38</v>
      </c>
      <c r="K752" s="7">
        <f t="shared" si="113"/>
        <v>418</v>
      </c>
      <c r="L752" s="7">
        <f t="shared" si="106"/>
        <v>55.100000000000009</v>
      </c>
      <c r="M752" s="7">
        <f t="shared" si="107"/>
        <v>57.45</v>
      </c>
      <c r="N752" s="7">
        <f t="shared" si="108"/>
        <v>1.8148820326678763E-2</v>
      </c>
      <c r="O752" s="7">
        <f t="shared" si="109"/>
        <v>1.7406440382941687E-2</v>
      </c>
    </row>
    <row r="753" spans="9:15" x14ac:dyDescent="0.15">
      <c r="I753" s="7">
        <f t="shared" si="111"/>
        <v>12</v>
      </c>
      <c r="J753" s="7">
        <f t="shared" si="112"/>
        <v>38</v>
      </c>
      <c r="K753" s="7">
        <f t="shared" si="113"/>
        <v>456</v>
      </c>
      <c r="L753" s="7">
        <f t="shared" si="106"/>
        <v>57</v>
      </c>
      <c r="M753" s="7">
        <f t="shared" si="107"/>
        <v>61.25</v>
      </c>
      <c r="N753" s="7">
        <f t="shared" si="108"/>
        <v>1.7543859649122806E-2</v>
      </c>
      <c r="O753" s="7">
        <f t="shared" si="109"/>
        <v>1.6326530612244899E-2</v>
      </c>
    </row>
    <row r="754" spans="9:15" x14ac:dyDescent="0.15">
      <c r="I754" s="7">
        <f t="shared" si="111"/>
        <v>13</v>
      </c>
      <c r="J754" s="7">
        <f t="shared" si="112"/>
        <v>38</v>
      </c>
      <c r="K754" s="7">
        <f t="shared" si="113"/>
        <v>494</v>
      </c>
      <c r="L754" s="7">
        <f t="shared" si="106"/>
        <v>58.900000000000006</v>
      </c>
      <c r="M754" s="7">
        <f t="shared" si="107"/>
        <v>65.050000000000011</v>
      </c>
      <c r="N754" s="7">
        <f t="shared" si="108"/>
        <v>1.6977928692699488E-2</v>
      </c>
      <c r="O754" s="7">
        <f t="shared" si="109"/>
        <v>1.5372790161414294E-2</v>
      </c>
    </row>
    <row r="755" spans="9:15" x14ac:dyDescent="0.15">
      <c r="I755" s="7">
        <f t="shared" si="111"/>
        <v>14</v>
      </c>
      <c r="J755" s="7">
        <f t="shared" si="112"/>
        <v>38</v>
      </c>
      <c r="K755" s="7">
        <f t="shared" si="113"/>
        <v>532</v>
      </c>
      <c r="L755" s="7">
        <f t="shared" si="106"/>
        <v>60.800000000000004</v>
      </c>
      <c r="M755" s="7">
        <f t="shared" si="107"/>
        <v>68.850000000000009</v>
      </c>
      <c r="N755" s="7">
        <f t="shared" si="108"/>
        <v>1.6447368421052631E-2</v>
      </c>
      <c r="O755" s="7">
        <f t="shared" si="109"/>
        <v>1.4524328249818443E-2</v>
      </c>
    </row>
    <row r="756" spans="9:15" x14ac:dyDescent="0.15">
      <c r="I756" s="7">
        <f t="shared" si="111"/>
        <v>15</v>
      </c>
      <c r="J756" s="7">
        <f t="shared" si="112"/>
        <v>38</v>
      </c>
      <c r="K756" s="7">
        <f t="shared" si="113"/>
        <v>570</v>
      </c>
      <c r="L756" s="7">
        <f t="shared" si="106"/>
        <v>62.7</v>
      </c>
      <c r="M756" s="7">
        <f t="shared" si="107"/>
        <v>72.650000000000006</v>
      </c>
      <c r="N756" s="7">
        <f t="shared" si="108"/>
        <v>1.5948963317384369E-2</v>
      </c>
      <c r="O756" s="7">
        <f t="shared" si="109"/>
        <v>1.3764624913971093E-2</v>
      </c>
    </row>
    <row r="757" spans="9:15" x14ac:dyDescent="0.15">
      <c r="I757" s="7">
        <f t="shared" si="111"/>
        <v>16</v>
      </c>
      <c r="J757" s="7">
        <f t="shared" si="112"/>
        <v>38</v>
      </c>
      <c r="K757" s="7">
        <f t="shared" si="113"/>
        <v>608</v>
      </c>
      <c r="L757" s="7">
        <f t="shared" si="106"/>
        <v>64.600000000000009</v>
      </c>
      <c r="M757" s="7">
        <f t="shared" si="107"/>
        <v>76.45</v>
      </c>
      <c r="N757" s="7">
        <f t="shared" si="108"/>
        <v>1.547987616099071E-2</v>
      </c>
      <c r="O757" s="7">
        <f t="shared" si="109"/>
        <v>1.3080444735120994E-2</v>
      </c>
    </row>
    <row r="758" spans="9:15" x14ac:dyDescent="0.15">
      <c r="I758" s="7">
        <f t="shared" si="111"/>
        <v>17</v>
      </c>
      <c r="J758" s="7">
        <f t="shared" si="112"/>
        <v>38</v>
      </c>
      <c r="K758" s="7">
        <f t="shared" si="113"/>
        <v>646</v>
      </c>
      <c r="L758" s="7">
        <f t="shared" si="106"/>
        <v>66.5</v>
      </c>
      <c r="M758" s="7">
        <f t="shared" si="107"/>
        <v>80.250000000000014</v>
      </c>
      <c r="N758" s="7">
        <f t="shared" si="108"/>
        <v>1.5037593984962405E-2</v>
      </c>
      <c r="O758" s="7">
        <f t="shared" si="109"/>
        <v>1.2461059190031151E-2</v>
      </c>
    </row>
    <row r="759" spans="9:15" x14ac:dyDescent="0.15">
      <c r="I759" s="7">
        <f t="shared" si="111"/>
        <v>18</v>
      </c>
      <c r="J759" s="7">
        <f t="shared" si="112"/>
        <v>38</v>
      </c>
      <c r="K759" s="7">
        <f t="shared" si="113"/>
        <v>684</v>
      </c>
      <c r="L759" s="7">
        <f t="shared" si="106"/>
        <v>68.400000000000006</v>
      </c>
      <c r="M759" s="7">
        <f t="shared" si="107"/>
        <v>84.050000000000011</v>
      </c>
      <c r="N759" s="7">
        <f t="shared" si="108"/>
        <v>1.4619883040935672E-2</v>
      </c>
      <c r="O759" s="7">
        <f t="shared" si="109"/>
        <v>1.1897679952409278E-2</v>
      </c>
    </row>
    <row r="760" spans="9:15" x14ac:dyDescent="0.15">
      <c r="I760" s="7">
        <f t="shared" si="111"/>
        <v>19</v>
      </c>
      <c r="J760" s="7">
        <f t="shared" si="112"/>
        <v>38</v>
      </c>
      <c r="K760" s="7">
        <f t="shared" si="113"/>
        <v>722</v>
      </c>
      <c r="L760" s="7">
        <f t="shared" si="106"/>
        <v>70.300000000000011</v>
      </c>
      <c r="M760" s="7">
        <f t="shared" si="107"/>
        <v>87.850000000000009</v>
      </c>
      <c r="N760" s="7">
        <f t="shared" si="108"/>
        <v>1.4224751066856329E-2</v>
      </c>
      <c r="O760" s="7">
        <f t="shared" si="109"/>
        <v>1.1383039271485486E-2</v>
      </c>
    </row>
    <row r="761" spans="9:15" x14ac:dyDescent="0.15">
      <c r="I761" s="7">
        <f t="shared" si="111"/>
        <v>20</v>
      </c>
      <c r="J761" s="7">
        <f t="shared" si="112"/>
        <v>38</v>
      </c>
      <c r="K761" s="7">
        <f t="shared" si="113"/>
        <v>760</v>
      </c>
      <c r="L761" s="7">
        <f t="shared" si="106"/>
        <v>72.2</v>
      </c>
      <c r="M761" s="7">
        <f t="shared" si="107"/>
        <v>91.65</v>
      </c>
      <c r="N761" s="7">
        <f t="shared" si="108"/>
        <v>1.3850415512465374E-2</v>
      </c>
      <c r="O761" s="7">
        <f t="shared" si="109"/>
        <v>1.0911074740861974E-2</v>
      </c>
    </row>
    <row r="762" spans="9:15" x14ac:dyDescent="0.15">
      <c r="I762" s="7">
        <f t="shared" si="111"/>
        <v>1</v>
      </c>
      <c r="J762" s="7">
        <f t="shared" si="112"/>
        <v>39</v>
      </c>
      <c r="K762" s="7">
        <f>J762</f>
        <v>39</v>
      </c>
      <c r="L762" s="7">
        <f t="shared" si="106"/>
        <v>37.050000000000004</v>
      </c>
      <c r="M762" s="7">
        <f t="shared" si="107"/>
        <v>19.950000000000003</v>
      </c>
      <c r="N762" s="7">
        <f t="shared" si="108"/>
        <v>2.6990553306342778E-2</v>
      </c>
      <c r="O762" s="7">
        <f t="shared" si="109"/>
        <v>5.012531328320801E-2</v>
      </c>
    </row>
    <row r="763" spans="9:15" x14ac:dyDescent="0.15">
      <c r="I763" s="7">
        <f t="shared" si="111"/>
        <v>2</v>
      </c>
      <c r="J763" s="7">
        <f t="shared" si="112"/>
        <v>39</v>
      </c>
      <c r="K763" s="7">
        <f>K762+J762</f>
        <v>78</v>
      </c>
      <c r="L763" s="7">
        <f t="shared" si="106"/>
        <v>39</v>
      </c>
      <c r="M763" s="7">
        <f t="shared" si="107"/>
        <v>23.85</v>
      </c>
      <c r="N763" s="7">
        <f t="shared" si="108"/>
        <v>2.564102564102564E-2</v>
      </c>
      <c r="O763" s="7">
        <f t="shared" si="109"/>
        <v>4.1928721174004188E-2</v>
      </c>
    </row>
    <row r="764" spans="9:15" x14ac:dyDescent="0.15">
      <c r="I764" s="7">
        <f t="shared" si="111"/>
        <v>3</v>
      </c>
      <c r="J764" s="7">
        <f t="shared" si="112"/>
        <v>39</v>
      </c>
      <c r="K764" s="7">
        <f t="shared" ref="K764:K781" si="114">K763+J763</f>
        <v>117</v>
      </c>
      <c r="L764" s="7">
        <f t="shared" si="106"/>
        <v>40.950000000000003</v>
      </c>
      <c r="M764" s="7">
        <f t="shared" si="107"/>
        <v>27.75</v>
      </c>
      <c r="N764" s="7">
        <f t="shared" si="108"/>
        <v>2.442002442002442E-2</v>
      </c>
      <c r="O764" s="7">
        <f t="shared" si="109"/>
        <v>3.6036036036036036E-2</v>
      </c>
    </row>
    <row r="765" spans="9:15" x14ac:dyDescent="0.15">
      <c r="I765" s="7">
        <f t="shared" si="111"/>
        <v>4</v>
      </c>
      <c r="J765" s="7">
        <f t="shared" si="112"/>
        <v>39</v>
      </c>
      <c r="K765" s="7">
        <f t="shared" si="114"/>
        <v>156</v>
      </c>
      <c r="L765" s="7">
        <f t="shared" si="106"/>
        <v>42.900000000000006</v>
      </c>
      <c r="M765" s="7">
        <f t="shared" si="107"/>
        <v>31.650000000000002</v>
      </c>
      <c r="N765" s="7">
        <f t="shared" si="108"/>
        <v>2.3310023310023308E-2</v>
      </c>
      <c r="O765" s="7">
        <f t="shared" si="109"/>
        <v>3.15955766192733E-2</v>
      </c>
    </row>
    <row r="766" spans="9:15" x14ac:dyDescent="0.15">
      <c r="I766" s="7">
        <f t="shared" si="111"/>
        <v>5</v>
      </c>
      <c r="J766" s="7">
        <f t="shared" si="112"/>
        <v>39</v>
      </c>
      <c r="K766" s="7">
        <f t="shared" si="114"/>
        <v>195</v>
      </c>
      <c r="L766" s="7">
        <f t="shared" si="106"/>
        <v>44.85</v>
      </c>
      <c r="M766" s="7">
        <f t="shared" si="107"/>
        <v>35.549999999999997</v>
      </c>
      <c r="N766" s="7">
        <f t="shared" si="108"/>
        <v>2.2296544035674468E-2</v>
      </c>
      <c r="O766" s="7">
        <f t="shared" si="109"/>
        <v>2.8129395218002815E-2</v>
      </c>
    </row>
    <row r="767" spans="9:15" x14ac:dyDescent="0.15">
      <c r="I767" s="7">
        <f t="shared" si="111"/>
        <v>6</v>
      </c>
      <c r="J767" s="7">
        <f t="shared" si="112"/>
        <v>39</v>
      </c>
      <c r="K767" s="7">
        <f t="shared" si="114"/>
        <v>234</v>
      </c>
      <c r="L767" s="7">
        <f t="shared" si="106"/>
        <v>46.800000000000004</v>
      </c>
      <c r="M767" s="7">
        <f t="shared" si="107"/>
        <v>39.450000000000003</v>
      </c>
      <c r="N767" s="7">
        <f t="shared" si="108"/>
        <v>2.1367521367521364E-2</v>
      </c>
      <c r="O767" s="7">
        <f t="shared" si="109"/>
        <v>2.5348542458808618E-2</v>
      </c>
    </row>
    <row r="768" spans="9:15" x14ac:dyDescent="0.15">
      <c r="I768" s="7">
        <f t="shared" si="111"/>
        <v>7</v>
      </c>
      <c r="J768" s="7">
        <f t="shared" si="112"/>
        <v>39</v>
      </c>
      <c r="K768" s="7">
        <f t="shared" si="114"/>
        <v>273</v>
      </c>
      <c r="L768" s="7">
        <f t="shared" si="106"/>
        <v>48.75</v>
      </c>
      <c r="M768" s="7">
        <f t="shared" si="107"/>
        <v>43.35</v>
      </c>
      <c r="N768" s="7">
        <f t="shared" si="108"/>
        <v>2.0512820512820513E-2</v>
      </c>
      <c r="O768" s="7">
        <f t="shared" si="109"/>
        <v>2.306805074971165E-2</v>
      </c>
    </row>
    <row r="769" spans="9:15" x14ac:dyDescent="0.15">
      <c r="I769" s="7">
        <f t="shared" si="111"/>
        <v>8</v>
      </c>
      <c r="J769" s="7">
        <f t="shared" si="112"/>
        <v>39</v>
      </c>
      <c r="K769" s="7">
        <f t="shared" si="114"/>
        <v>312</v>
      </c>
      <c r="L769" s="7">
        <f t="shared" si="106"/>
        <v>50.7</v>
      </c>
      <c r="M769" s="7">
        <f t="shared" si="107"/>
        <v>47.25</v>
      </c>
      <c r="N769" s="7">
        <f t="shared" si="108"/>
        <v>1.9723865877712032E-2</v>
      </c>
      <c r="O769" s="7">
        <f t="shared" si="109"/>
        <v>2.1164021164021163E-2</v>
      </c>
    </row>
    <row r="770" spans="9:15" x14ac:dyDescent="0.15">
      <c r="I770" s="7">
        <f t="shared" si="111"/>
        <v>9</v>
      </c>
      <c r="J770" s="7">
        <f t="shared" si="112"/>
        <v>39</v>
      </c>
      <c r="K770" s="7">
        <f t="shared" si="114"/>
        <v>351</v>
      </c>
      <c r="L770" s="7">
        <f t="shared" si="106"/>
        <v>52.650000000000006</v>
      </c>
      <c r="M770" s="7">
        <f t="shared" si="107"/>
        <v>51.150000000000006</v>
      </c>
      <c r="N770" s="7">
        <f t="shared" si="108"/>
        <v>1.8993352326685659E-2</v>
      </c>
      <c r="O770" s="7">
        <f t="shared" si="109"/>
        <v>1.9550342130987289E-2</v>
      </c>
    </row>
    <row r="771" spans="9:15" x14ac:dyDescent="0.15">
      <c r="I771" s="7">
        <f t="shared" si="111"/>
        <v>10</v>
      </c>
      <c r="J771" s="7">
        <f t="shared" si="112"/>
        <v>39</v>
      </c>
      <c r="K771" s="7">
        <f t="shared" si="114"/>
        <v>390</v>
      </c>
      <c r="L771" s="7">
        <f t="shared" ref="L771:L834" si="115">0.9*J771+0.05*K771</f>
        <v>54.6</v>
      </c>
      <c r="M771" s="7">
        <f t="shared" ref="M771:M834" si="116">0.45+0.4*J771+0.1*K771</f>
        <v>55.05</v>
      </c>
      <c r="N771" s="7">
        <f t="shared" ref="N771:N834" si="117">1/L771</f>
        <v>1.8315018315018316E-2</v>
      </c>
      <c r="O771" s="7">
        <f t="shared" ref="O771:O834" si="118">1/M771</f>
        <v>1.8165304268846504E-2</v>
      </c>
    </row>
    <row r="772" spans="9:15" x14ac:dyDescent="0.15">
      <c r="I772" s="7">
        <f t="shared" si="111"/>
        <v>11</v>
      </c>
      <c r="J772" s="7">
        <f t="shared" si="112"/>
        <v>39</v>
      </c>
      <c r="K772" s="7">
        <f t="shared" si="114"/>
        <v>429</v>
      </c>
      <c r="L772" s="7">
        <f t="shared" si="115"/>
        <v>56.550000000000004</v>
      </c>
      <c r="M772" s="7">
        <f t="shared" si="116"/>
        <v>58.95</v>
      </c>
      <c r="N772" s="7">
        <f t="shared" si="117"/>
        <v>1.7683465959328026E-2</v>
      </c>
      <c r="O772" s="7">
        <f t="shared" si="118"/>
        <v>1.6963528413910092E-2</v>
      </c>
    </row>
    <row r="773" spans="9:15" x14ac:dyDescent="0.15">
      <c r="I773" s="7">
        <f t="shared" si="111"/>
        <v>12</v>
      </c>
      <c r="J773" s="7">
        <f t="shared" si="112"/>
        <v>39</v>
      </c>
      <c r="K773" s="7">
        <f t="shared" si="114"/>
        <v>468</v>
      </c>
      <c r="L773" s="7">
        <f t="shared" si="115"/>
        <v>58.5</v>
      </c>
      <c r="M773" s="7">
        <f t="shared" si="116"/>
        <v>62.850000000000009</v>
      </c>
      <c r="N773" s="7">
        <f t="shared" si="117"/>
        <v>1.7094017094017096E-2</v>
      </c>
      <c r="O773" s="7">
        <f t="shared" si="118"/>
        <v>1.5910898965791564E-2</v>
      </c>
    </row>
    <row r="774" spans="9:15" x14ac:dyDescent="0.15">
      <c r="I774" s="7">
        <f t="shared" si="111"/>
        <v>13</v>
      </c>
      <c r="J774" s="7">
        <f t="shared" si="112"/>
        <v>39</v>
      </c>
      <c r="K774" s="7">
        <f t="shared" si="114"/>
        <v>507</v>
      </c>
      <c r="L774" s="7">
        <f t="shared" si="115"/>
        <v>60.45</v>
      </c>
      <c r="M774" s="7">
        <f t="shared" si="116"/>
        <v>66.75</v>
      </c>
      <c r="N774" s="7">
        <f t="shared" si="117"/>
        <v>1.6542597187758478E-2</v>
      </c>
      <c r="O774" s="7">
        <f t="shared" si="118"/>
        <v>1.4981273408239701E-2</v>
      </c>
    </row>
    <row r="775" spans="9:15" x14ac:dyDescent="0.15">
      <c r="I775" s="7">
        <f t="shared" si="111"/>
        <v>14</v>
      </c>
      <c r="J775" s="7">
        <f t="shared" si="112"/>
        <v>39</v>
      </c>
      <c r="K775" s="7">
        <f t="shared" si="114"/>
        <v>546</v>
      </c>
      <c r="L775" s="7">
        <f t="shared" si="115"/>
        <v>62.400000000000006</v>
      </c>
      <c r="M775" s="7">
        <f t="shared" si="116"/>
        <v>70.650000000000006</v>
      </c>
      <c r="N775" s="7">
        <f t="shared" si="117"/>
        <v>1.6025641025641024E-2</v>
      </c>
      <c r="O775" s="7">
        <f t="shared" si="118"/>
        <v>1.4154281670205236E-2</v>
      </c>
    </row>
    <row r="776" spans="9:15" x14ac:dyDescent="0.15">
      <c r="I776" s="7">
        <f t="shared" si="111"/>
        <v>15</v>
      </c>
      <c r="J776" s="7">
        <f t="shared" si="112"/>
        <v>39</v>
      </c>
      <c r="K776" s="7">
        <f t="shared" si="114"/>
        <v>585</v>
      </c>
      <c r="L776" s="7">
        <f t="shared" si="115"/>
        <v>64.349999999999994</v>
      </c>
      <c r="M776" s="7">
        <f t="shared" si="116"/>
        <v>74.55</v>
      </c>
      <c r="N776" s="7">
        <f t="shared" si="117"/>
        <v>1.5540015540015542E-2</v>
      </c>
      <c r="O776" s="7">
        <f t="shared" si="118"/>
        <v>1.341381623071764E-2</v>
      </c>
    </row>
    <row r="777" spans="9:15" x14ac:dyDescent="0.15">
      <c r="I777" s="7">
        <f t="shared" si="111"/>
        <v>16</v>
      </c>
      <c r="J777" s="7">
        <f t="shared" si="112"/>
        <v>39</v>
      </c>
      <c r="K777" s="7">
        <f t="shared" si="114"/>
        <v>624</v>
      </c>
      <c r="L777" s="7">
        <f t="shared" si="115"/>
        <v>66.300000000000011</v>
      </c>
      <c r="M777" s="7">
        <f t="shared" si="116"/>
        <v>78.45</v>
      </c>
      <c r="N777" s="7">
        <f t="shared" si="117"/>
        <v>1.5082956259426844E-2</v>
      </c>
      <c r="O777" s="7">
        <f t="shared" si="118"/>
        <v>1.2746972594008922E-2</v>
      </c>
    </row>
    <row r="778" spans="9:15" x14ac:dyDescent="0.15">
      <c r="I778" s="7">
        <f t="shared" si="111"/>
        <v>17</v>
      </c>
      <c r="J778" s="7">
        <f t="shared" si="112"/>
        <v>39</v>
      </c>
      <c r="K778" s="7">
        <f t="shared" si="114"/>
        <v>663</v>
      </c>
      <c r="L778" s="7">
        <f t="shared" si="115"/>
        <v>68.25</v>
      </c>
      <c r="M778" s="7">
        <f t="shared" si="116"/>
        <v>82.35</v>
      </c>
      <c r="N778" s="7">
        <f t="shared" si="117"/>
        <v>1.4652014652014652E-2</v>
      </c>
      <c r="O778" s="7">
        <f t="shared" si="118"/>
        <v>1.2143290831815423E-2</v>
      </c>
    </row>
    <row r="779" spans="9:15" x14ac:dyDescent="0.15">
      <c r="I779" s="7">
        <f t="shared" si="111"/>
        <v>18</v>
      </c>
      <c r="J779" s="7">
        <f t="shared" si="112"/>
        <v>39</v>
      </c>
      <c r="K779" s="7">
        <f t="shared" si="114"/>
        <v>702</v>
      </c>
      <c r="L779" s="7">
        <f t="shared" si="115"/>
        <v>70.2</v>
      </c>
      <c r="M779" s="7">
        <f t="shared" si="116"/>
        <v>86.25</v>
      </c>
      <c r="N779" s="7">
        <f t="shared" si="117"/>
        <v>1.4245014245014245E-2</v>
      </c>
      <c r="O779" s="7">
        <f t="shared" si="118"/>
        <v>1.1594202898550725E-2</v>
      </c>
    </row>
    <row r="780" spans="9:15" x14ac:dyDescent="0.15">
      <c r="I780" s="7">
        <f t="shared" si="111"/>
        <v>19</v>
      </c>
      <c r="J780" s="7">
        <f t="shared" si="112"/>
        <v>39</v>
      </c>
      <c r="K780" s="7">
        <f t="shared" si="114"/>
        <v>741</v>
      </c>
      <c r="L780" s="7">
        <f t="shared" si="115"/>
        <v>72.150000000000006</v>
      </c>
      <c r="M780" s="7">
        <f t="shared" si="116"/>
        <v>90.15</v>
      </c>
      <c r="N780" s="7">
        <f t="shared" si="117"/>
        <v>1.386001386001386E-2</v>
      </c>
      <c r="O780" s="7">
        <f t="shared" si="118"/>
        <v>1.1092623405435384E-2</v>
      </c>
    </row>
    <row r="781" spans="9:15" x14ac:dyDescent="0.15">
      <c r="I781" s="7">
        <f t="shared" si="111"/>
        <v>20</v>
      </c>
      <c r="J781" s="7">
        <f t="shared" si="112"/>
        <v>39</v>
      </c>
      <c r="K781" s="7">
        <f t="shared" si="114"/>
        <v>780</v>
      </c>
      <c r="L781" s="7">
        <f t="shared" si="115"/>
        <v>74.099999999999994</v>
      </c>
      <c r="M781" s="7">
        <f t="shared" si="116"/>
        <v>94.05</v>
      </c>
      <c r="N781" s="7">
        <f t="shared" si="117"/>
        <v>1.3495276653171391E-2</v>
      </c>
      <c r="O781" s="7">
        <f t="shared" si="118"/>
        <v>1.063264221158958E-2</v>
      </c>
    </row>
    <row r="782" spans="9:15" x14ac:dyDescent="0.15">
      <c r="I782" s="7">
        <f t="shared" si="111"/>
        <v>1</v>
      </c>
      <c r="J782" s="7">
        <f t="shared" si="112"/>
        <v>40</v>
      </c>
      <c r="K782" s="7">
        <f>J782</f>
        <v>40</v>
      </c>
      <c r="L782" s="7">
        <f t="shared" si="115"/>
        <v>38</v>
      </c>
      <c r="M782" s="7">
        <f t="shared" si="116"/>
        <v>20.45</v>
      </c>
      <c r="N782" s="7">
        <f t="shared" si="117"/>
        <v>2.6315789473684209E-2</v>
      </c>
      <c r="O782" s="7">
        <f t="shared" si="118"/>
        <v>4.8899755501222497E-2</v>
      </c>
    </row>
    <row r="783" spans="9:15" x14ac:dyDescent="0.15">
      <c r="I783" s="7">
        <f t="shared" si="111"/>
        <v>2</v>
      </c>
      <c r="J783" s="7">
        <f t="shared" si="112"/>
        <v>40</v>
      </c>
      <c r="K783" s="7">
        <f>K782+J782</f>
        <v>80</v>
      </c>
      <c r="L783" s="7">
        <f t="shared" si="115"/>
        <v>40</v>
      </c>
      <c r="M783" s="7">
        <f t="shared" si="116"/>
        <v>24.45</v>
      </c>
      <c r="N783" s="7">
        <f t="shared" si="117"/>
        <v>2.5000000000000001E-2</v>
      </c>
      <c r="O783" s="7">
        <f t="shared" si="118"/>
        <v>4.0899795501022497E-2</v>
      </c>
    </row>
    <row r="784" spans="9:15" x14ac:dyDescent="0.15">
      <c r="I784" s="7">
        <f t="shared" si="111"/>
        <v>3</v>
      </c>
      <c r="J784" s="7">
        <f t="shared" si="112"/>
        <v>40</v>
      </c>
      <c r="K784" s="7">
        <f t="shared" ref="K784:K801" si="119">K783+J783</f>
        <v>120</v>
      </c>
      <c r="L784" s="7">
        <f t="shared" si="115"/>
        <v>42</v>
      </c>
      <c r="M784" s="7">
        <f t="shared" si="116"/>
        <v>28.45</v>
      </c>
      <c r="N784" s="7">
        <f t="shared" si="117"/>
        <v>2.3809523809523808E-2</v>
      </c>
      <c r="O784" s="7">
        <f t="shared" si="118"/>
        <v>3.5149384885764502E-2</v>
      </c>
    </row>
    <row r="785" spans="9:15" x14ac:dyDescent="0.15">
      <c r="I785" s="7">
        <f t="shared" si="111"/>
        <v>4</v>
      </c>
      <c r="J785" s="7">
        <f t="shared" si="112"/>
        <v>40</v>
      </c>
      <c r="K785" s="7">
        <f t="shared" si="119"/>
        <v>160</v>
      </c>
      <c r="L785" s="7">
        <f t="shared" si="115"/>
        <v>44</v>
      </c>
      <c r="M785" s="7">
        <f t="shared" si="116"/>
        <v>32.450000000000003</v>
      </c>
      <c r="N785" s="7">
        <f t="shared" si="117"/>
        <v>2.2727272727272728E-2</v>
      </c>
      <c r="O785" s="7">
        <f t="shared" si="118"/>
        <v>3.0816640986132508E-2</v>
      </c>
    </row>
    <row r="786" spans="9:15" x14ac:dyDescent="0.15">
      <c r="I786" s="7">
        <f t="shared" si="111"/>
        <v>5</v>
      </c>
      <c r="J786" s="7">
        <f t="shared" si="112"/>
        <v>40</v>
      </c>
      <c r="K786" s="7">
        <f t="shared" si="119"/>
        <v>200</v>
      </c>
      <c r="L786" s="7">
        <f t="shared" si="115"/>
        <v>46</v>
      </c>
      <c r="M786" s="7">
        <f t="shared" si="116"/>
        <v>36.450000000000003</v>
      </c>
      <c r="N786" s="7">
        <f t="shared" si="117"/>
        <v>2.1739130434782608E-2</v>
      </c>
      <c r="O786" s="7">
        <f t="shared" si="118"/>
        <v>2.7434842249657063E-2</v>
      </c>
    </row>
    <row r="787" spans="9:15" x14ac:dyDescent="0.15">
      <c r="I787" s="7">
        <f t="shared" si="111"/>
        <v>6</v>
      </c>
      <c r="J787" s="7">
        <f t="shared" si="112"/>
        <v>40</v>
      </c>
      <c r="K787" s="7">
        <f t="shared" si="119"/>
        <v>240</v>
      </c>
      <c r="L787" s="7">
        <f t="shared" si="115"/>
        <v>48</v>
      </c>
      <c r="M787" s="7">
        <f t="shared" si="116"/>
        <v>40.450000000000003</v>
      </c>
      <c r="N787" s="7">
        <f t="shared" si="117"/>
        <v>2.0833333333333332E-2</v>
      </c>
      <c r="O787" s="7">
        <f t="shared" si="118"/>
        <v>2.4721878862793572E-2</v>
      </c>
    </row>
    <row r="788" spans="9:15" x14ac:dyDescent="0.15">
      <c r="I788" s="7">
        <f t="shared" si="111"/>
        <v>7</v>
      </c>
      <c r="J788" s="7">
        <f t="shared" si="112"/>
        <v>40</v>
      </c>
      <c r="K788" s="7">
        <f t="shared" si="119"/>
        <v>280</v>
      </c>
      <c r="L788" s="7">
        <f t="shared" si="115"/>
        <v>50</v>
      </c>
      <c r="M788" s="7">
        <f t="shared" si="116"/>
        <v>44.45</v>
      </c>
      <c r="N788" s="7">
        <f t="shared" si="117"/>
        <v>0.02</v>
      </c>
      <c r="O788" s="7">
        <f t="shared" si="118"/>
        <v>2.2497187851518559E-2</v>
      </c>
    </row>
    <row r="789" spans="9:15" x14ac:dyDescent="0.15">
      <c r="I789" s="7">
        <f t="shared" si="111"/>
        <v>8</v>
      </c>
      <c r="J789" s="7">
        <f t="shared" si="112"/>
        <v>40</v>
      </c>
      <c r="K789" s="7">
        <f t="shared" si="119"/>
        <v>320</v>
      </c>
      <c r="L789" s="7">
        <f t="shared" si="115"/>
        <v>52</v>
      </c>
      <c r="M789" s="7">
        <f t="shared" si="116"/>
        <v>48.45</v>
      </c>
      <c r="N789" s="7">
        <f t="shared" si="117"/>
        <v>1.9230769230769232E-2</v>
      </c>
      <c r="O789" s="7">
        <f t="shared" si="118"/>
        <v>2.063983488132095E-2</v>
      </c>
    </row>
    <row r="790" spans="9:15" x14ac:dyDescent="0.15">
      <c r="I790" s="7">
        <f t="shared" si="111"/>
        <v>9</v>
      </c>
      <c r="J790" s="7">
        <f t="shared" si="112"/>
        <v>40</v>
      </c>
      <c r="K790" s="7">
        <f t="shared" si="119"/>
        <v>360</v>
      </c>
      <c r="L790" s="7">
        <f t="shared" si="115"/>
        <v>54</v>
      </c>
      <c r="M790" s="7">
        <f t="shared" si="116"/>
        <v>52.45</v>
      </c>
      <c r="N790" s="7">
        <f t="shared" si="117"/>
        <v>1.8518518518518517E-2</v>
      </c>
      <c r="O790" s="7">
        <f t="shared" si="118"/>
        <v>1.9065776930409912E-2</v>
      </c>
    </row>
    <row r="791" spans="9:15" x14ac:dyDescent="0.15">
      <c r="I791" s="7">
        <f t="shared" ref="I791:I854" si="120">I771</f>
        <v>10</v>
      </c>
      <c r="J791" s="7">
        <f t="shared" ref="J791:J854" si="121">J771+1</f>
        <v>40</v>
      </c>
      <c r="K791" s="7">
        <f t="shared" si="119"/>
        <v>400</v>
      </c>
      <c r="L791" s="7">
        <f t="shared" si="115"/>
        <v>56</v>
      </c>
      <c r="M791" s="7">
        <f t="shared" si="116"/>
        <v>56.45</v>
      </c>
      <c r="N791" s="7">
        <f t="shared" si="117"/>
        <v>1.7857142857142856E-2</v>
      </c>
      <c r="O791" s="7">
        <f t="shared" si="118"/>
        <v>1.7714791851195746E-2</v>
      </c>
    </row>
    <row r="792" spans="9:15" x14ac:dyDescent="0.15">
      <c r="I792" s="7">
        <f t="shared" si="120"/>
        <v>11</v>
      </c>
      <c r="J792" s="7">
        <f t="shared" si="121"/>
        <v>40</v>
      </c>
      <c r="K792" s="7">
        <f t="shared" si="119"/>
        <v>440</v>
      </c>
      <c r="L792" s="7">
        <f t="shared" si="115"/>
        <v>58</v>
      </c>
      <c r="M792" s="7">
        <f t="shared" si="116"/>
        <v>60.45</v>
      </c>
      <c r="N792" s="7">
        <f t="shared" si="117"/>
        <v>1.7241379310344827E-2</v>
      </c>
      <c r="O792" s="7">
        <f t="shared" si="118"/>
        <v>1.6542597187758478E-2</v>
      </c>
    </row>
    <row r="793" spans="9:15" x14ac:dyDescent="0.15">
      <c r="I793" s="7">
        <f t="shared" si="120"/>
        <v>12</v>
      </c>
      <c r="J793" s="7">
        <f t="shared" si="121"/>
        <v>40</v>
      </c>
      <c r="K793" s="7">
        <f t="shared" si="119"/>
        <v>480</v>
      </c>
      <c r="L793" s="7">
        <f t="shared" si="115"/>
        <v>60</v>
      </c>
      <c r="M793" s="7">
        <f t="shared" si="116"/>
        <v>64.45</v>
      </c>
      <c r="N793" s="7">
        <f t="shared" si="117"/>
        <v>1.6666666666666666E-2</v>
      </c>
      <c r="O793" s="7">
        <f t="shared" si="118"/>
        <v>1.5515903801396431E-2</v>
      </c>
    </row>
    <row r="794" spans="9:15" x14ac:dyDescent="0.15">
      <c r="I794" s="7">
        <f t="shared" si="120"/>
        <v>13</v>
      </c>
      <c r="J794" s="7">
        <f t="shared" si="121"/>
        <v>40</v>
      </c>
      <c r="K794" s="7">
        <f t="shared" si="119"/>
        <v>520</v>
      </c>
      <c r="L794" s="7">
        <f t="shared" si="115"/>
        <v>62</v>
      </c>
      <c r="M794" s="7">
        <f t="shared" si="116"/>
        <v>68.45</v>
      </c>
      <c r="N794" s="7">
        <f t="shared" si="117"/>
        <v>1.6129032258064516E-2</v>
      </c>
      <c r="O794" s="7">
        <f t="shared" si="118"/>
        <v>1.4609203798392987E-2</v>
      </c>
    </row>
    <row r="795" spans="9:15" x14ac:dyDescent="0.15">
      <c r="I795" s="7">
        <f t="shared" si="120"/>
        <v>14</v>
      </c>
      <c r="J795" s="7">
        <f t="shared" si="121"/>
        <v>40</v>
      </c>
      <c r="K795" s="7">
        <f t="shared" si="119"/>
        <v>560</v>
      </c>
      <c r="L795" s="7">
        <f t="shared" si="115"/>
        <v>64</v>
      </c>
      <c r="M795" s="7">
        <f t="shared" si="116"/>
        <v>72.45</v>
      </c>
      <c r="N795" s="7">
        <f t="shared" si="117"/>
        <v>1.5625E-2</v>
      </c>
      <c r="O795" s="7">
        <f t="shared" si="118"/>
        <v>1.3802622498274672E-2</v>
      </c>
    </row>
    <row r="796" spans="9:15" x14ac:dyDescent="0.15">
      <c r="I796" s="7">
        <f t="shared" si="120"/>
        <v>15</v>
      </c>
      <c r="J796" s="7">
        <f t="shared" si="121"/>
        <v>40</v>
      </c>
      <c r="K796" s="7">
        <f t="shared" si="119"/>
        <v>600</v>
      </c>
      <c r="L796" s="7">
        <f t="shared" si="115"/>
        <v>66</v>
      </c>
      <c r="M796" s="7">
        <f t="shared" si="116"/>
        <v>76.45</v>
      </c>
      <c r="N796" s="7">
        <f t="shared" si="117"/>
        <v>1.5151515151515152E-2</v>
      </c>
      <c r="O796" s="7">
        <f t="shared" si="118"/>
        <v>1.3080444735120994E-2</v>
      </c>
    </row>
    <row r="797" spans="9:15" x14ac:dyDescent="0.15">
      <c r="I797" s="7">
        <f t="shared" si="120"/>
        <v>16</v>
      </c>
      <c r="J797" s="7">
        <f t="shared" si="121"/>
        <v>40</v>
      </c>
      <c r="K797" s="7">
        <f t="shared" si="119"/>
        <v>640</v>
      </c>
      <c r="L797" s="7">
        <f t="shared" si="115"/>
        <v>68</v>
      </c>
      <c r="M797" s="7">
        <f t="shared" si="116"/>
        <v>80.45</v>
      </c>
      <c r="N797" s="7">
        <f t="shared" si="117"/>
        <v>1.4705882352941176E-2</v>
      </c>
      <c r="O797" s="7">
        <f t="shared" si="118"/>
        <v>1.243008079552517E-2</v>
      </c>
    </row>
    <row r="798" spans="9:15" x14ac:dyDescent="0.15">
      <c r="I798" s="7">
        <f t="shared" si="120"/>
        <v>17</v>
      </c>
      <c r="J798" s="7">
        <f t="shared" si="121"/>
        <v>40</v>
      </c>
      <c r="K798" s="7">
        <f t="shared" si="119"/>
        <v>680</v>
      </c>
      <c r="L798" s="7">
        <f t="shared" si="115"/>
        <v>70</v>
      </c>
      <c r="M798" s="7">
        <f t="shared" si="116"/>
        <v>84.45</v>
      </c>
      <c r="N798" s="7">
        <f t="shared" si="117"/>
        <v>1.4285714285714285E-2</v>
      </c>
      <c r="O798" s="7">
        <f t="shared" si="118"/>
        <v>1.1841326228537596E-2</v>
      </c>
    </row>
    <row r="799" spans="9:15" x14ac:dyDescent="0.15">
      <c r="I799" s="7">
        <f t="shared" si="120"/>
        <v>18</v>
      </c>
      <c r="J799" s="7">
        <f t="shared" si="121"/>
        <v>40</v>
      </c>
      <c r="K799" s="7">
        <f t="shared" si="119"/>
        <v>720</v>
      </c>
      <c r="L799" s="7">
        <f t="shared" si="115"/>
        <v>72</v>
      </c>
      <c r="M799" s="7">
        <f t="shared" si="116"/>
        <v>88.45</v>
      </c>
      <c r="N799" s="7">
        <f t="shared" si="117"/>
        <v>1.3888888888888888E-2</v>
      </c>
      <c r="O799" s="7">
        <f t="shared" si="118"/>
        <v>1.1305822498586773E-2</v>
      </c>
    </row>
    <row r="800" spans="9:15" x14ac:dyDescent="0.15">
      <c r="I800" s="7">
        <f t="shared" si="120"/>
        <v>19</v>
      </c>
      <c r="J800" s="7">
        <f t="shared" si="121"/>
        <v>40</v>
      </c>
      <c r="K800" s="7">
        <f t="shared" si="119"/>
        <v>760</v>
      </c>
      <c r="L800" s="7">
        <f t="shared" si="115"/>
        <v>74</v>
      </c>
      <c r="M800" s="7">
        <f t="shared" si="116"/>
        <v>92.45</v>
      </c>
      <c r="N800" s="7">
        <f t="shared" si="117"/>
        <v>1.3513513513513514E-2</v>
      </c>
      <c r="O800" s="7">
        <f t="shared" si="118"/>
        <v>1.081665765278529E-2</v>
      </c>
    </row>
    <row r="801" spans="9:15" x14ac:dyDescent="0.15">
      <c r="I801" s="7">
        <f t="shared" si="120"/>
        <v>20</v>
      </c>
      <c r="J801" s="7">
        <f t="shared" si="121"/>
        <v>40</v>
      </c>
      <c r="K801" s="7">
        <f t="shared" si="119"/>
        <v>800</v>
      </c>
      <c r="L801" s="7">
        <f t="shared" si="115"/>
        <v>76</v>
      </c>
      <c r="M801" s="7">
        <f t="shared" si="116"/>
        <v>96.45</v>
      </c>
      <c r="N801" s="7">
        <f t="shared" si="117"/>
        <v>1.3157894736842105E-2</v>
      </c>
      <c r="O801" s="7">
        <f t="shared" si="118"/>
        <v>1.0368066355624676E-2</v>
      </c>
    </row>
    <row r="802" spans="9:15" x14ac:dyDescent="0.15">
      <c r="I802" s="7">
        <f t="shared" si="120"/>
        <v>1</v>
      </c>
      <c r="J802" s="7">
        <f t="shared" si="121"/>
        <v>41</v>
      </c>
      <c r="K802" s="7">
        <f>J802</f>
        <v>41</v>
      </c>
      <c r="L802" s="7">
        <f t="shared" si="115"/>
        <v>38.949999999999996</v>
      </c>
      <c r="M802" s="7">
        <f t="shared" si="116"/>
        <v>20.950000000000003</v>
      </c>
      <c r="N802" s="7">
        <f t="shared" si="117"/>
        <v>2.5673940949935817E-2</v>
      </c>
      <c r="O802" s="7">
        <f t="shared" si="118"/>
        <v>4.7732696897374693E-2</v>
      </c>
    </row>
    <row r="803" spans="9:15" x14ac:dyDescent="0.15">
      <c r="I803" s="7">
        <f t="shared" si="120"/>
        <v>2</v>
      </c>
      <c r="J803" s="7">
        <f t="shared" si="121"/>
        <v>41</v>
      </c>
      <c r="K803" s="7">
        <f>K802+J802</f>
        <v>82</v>
      </c>
      <c r="L803" s="7">
        <f t="shared" si="115"/>
        <v>41</v>
      </c>
      <c r="M803" s="7">
        <f t="shared" si="116"/>
        <v>25.050000000000004</v>
      </c>
      <c r="N803" s="7">
        <f t="shared" si="117"/>
        <v>2.4390243902439025E-2</v>
      </c>
      <c r="O803" s="7">
        <f t="shared" si="118"/>
        <v>3.9920159680638716E-2</v>
      </c>
    </row>
    <row r="804" spans="9:15" x14ac:dyDescent="0.15">
      <c r="I804" s="7">
        <f t="shared" si="120"/>
        <v>3</v>
      </c>
      <c r="J804" s="7">
        <f t="shared" si="121"/>
        <v>41</v>
      </c>
      <c r="K804" s="7">
        <f t="shared" ref="K804:K821" si="122">K803+J803</f>
        <v>123</v>
      </c>
      <c r="L804" s="7">
        <f t="shared" si="115"/>
        <v>43.05</v>
      </c>
      <c r="M804" s="7">
        <f t="shared" si="116"/>
        <v>29.150000000000002</v>
      </c>
      <c r="N804" s="7">
        <f t="shared" si="117"/>
        <v>2.3228803716608595E-2</v>
      </c>
      <c r="O804" s="7">
        <f t="shared" si="118"/>
        <v>3.4305317324185243E-2</v>
      </c>
    </row>
    <row r="805" spans="9:15" x14ac:dyDescent="0.15">
      <c r="I805" s="7">
        <f t="shared" si="120"/>
        <v>4</v>
      </c>
      <c r="J805" s="7">
        <f t="shared" si="121"/>
        <v>41</v>
      </c>
      <c r="K805" s="7">
        <f t="shared" si="122"/>
        <v>164</v>
      </c>
      <c r="L805" s="7">
        <f t="shared" si="115"/>
        <v>45.1</v>
      </c>
      <c r="M805" s="7">
        <f t="shared" si="116"/>
        <v>33.25</v>
      </c>
      <c r="N805" s="7">
        <f t="shared" si="117"/>
        <v>2.2172949002217293E-2</v>
      </c>
      <c r="O805" s="7">
        <f t="shared" si="118"/>
        <v>3.007518796992481E-2</v>
      </c>
    </row>
    <row r="806" spans="9:15" x14ac:dyDescent="0.15">
      <c r="I806" s="7">
        <f t="shared" si="120"/>
        <v>5</v>
      </c>
      <c r="J806" s="7">
        <f t="shared" si="121"/>
        <v>41</v>
      </c>
      <c r="K806" s="7">
        <f t="shared" si="122"/>
        <v>205</v>
      </c>
      <c r="L806" s="7">
        <f t="shared" si="115"/>
        <v>47.15</v>
      </c>
      <c r="M806" s="7">
        <f t="shared" si="116"/>
        <v>37.35</v>
      </c>
      <c r="N806" s="7">
        <f t="shared" si="117"/>
        <v>2.1208907741251327E-2</v>
      </c>
      <c r="O806" s="7">
        <f t="shared" si="118"/>
        <v>2.677376171352075E-2</v>
      </c>
    </row>
    <row r="807" spans="9:15" x14ac:dyDescent="0.15">
      <c r="I807" s="7">
        <f t="shared" si="120"/>
        <v>6</v>
      </c>
      <c r="J807" s="7">
        <f t="shared" si="121"/>
        <v>41</v>
      </c>
      <c r="K807" s="7">
        <f t="shared" si="122"/>
        <v>246</v>
      </c>
      <c r="L807" s="7">
        <f t="shared" si="115"/>
        <v>49.2</v>
      </c>
      <c r="M807" s="7">
        <f t="shared" si="116"/>
        <v>41.45</v>
      </c>
      <c r="N807" s="7">
        <f t="shared" si="117"/>
        <v>2.032520325203252E-2</v>
      </c>
      <c r="O807" s="7">
        <f t="shared" si="118"/>
        <v>2.4125452352231604E-2</v>
      </c>
    </row>
    <row r="808" spans="9:15" x14ac:dyDescent="0.15">
      <c r="I808" s="7">
        <f t="shared" si="120"/>
        <v>7</v>
      </c>
      <c r="J808" s="7">
        <f t="shared" si="121"/>
        <v>41</v>
      </c>
      <c r="K808" s="7">
        <f t="shared" si="122"/>
        <v>287</v>
      </c>
      <c r="L808" s="7">
        <f t="shared" si="115"/>
        <v>51.25</v>
      </c>
      <c r="M808" s="7">
        <f t="shared" si="116"/>
        <v>45.550000000000004</v>
      </c>
      <c r="N808" s="7">
        <f t="shared" si="117"/>
        <v>1.9512195121951219E-2</v>
      </c>
      <c r="O808" s="7">
        <f t="shared" si="118"/>
        <v>2.195389681668496E-2</v>
      </c>
    </row>
    <row r="809" spans="9:15" x14ac:dyDescent="0.15">
      <c r="I809" s="7">
        <f t="shared" si="120"/>
        <v>8</v>
      </c>
      <c r="J809" s="7">
        <f t="shared" si="121"/>
        <v>41</v>
      </c>
      <c r="K809" s="7">
        <f t="shared" si="122"/>
        <v>328</v>
      </c>
      <c r="L809" s="7">
        <f t="shared" si="115"/>
        <v>53.3</v>
      </c>
      <c r="M809" s="7">
        <f t="shared" si="116"/>
        <v>49.650000000000006</v>
      </c>
      <c r="N809" s="7">
        <f t="shared" si="117"/>
        <v>1.8761726078799251E-2</v>
      </c>
      <c r="O809" s="7">
        <f t="shared" si="118"/>
        <v>2.0140986908358506E-2</v>
      </c>
    </row>
    <row r="810" spans="9:15" x14ac:dyDescent="0.15">
      <c r="I810" s="7">
        <f t="shared" si="120"/>
        <v>9</v>
      </c>
      <c r="J810" s="7">
        <f t="shared" si="121"/>
        <v>41</v>
      </c>
      <c r="K810" s="7">
        <f t="shared" si="122"/>
        <v>369</v>
      </c>
      <c r="L810" s="7">
        <f t="shared" si="115"/>
        <v>55.349999999999994</v>
      </c>
      <c r="M810" s="7">
        <f t="shared" si="116"/>
        <v>53.75</v>
      </c>
      <c r="N810" s="7">
        <f t="shared" si="117"/>
        <v>1.806684733514002E-2</v>
      </c>
      <c r="O810" s="7">
        <f t="shared" si="118"/>
        <v>1.8604651162790697E-2</v>
      </c>
    </row>
    <row r="811" spans="9:15" x14ac:dyDescent="0.15">
      <c r="I811" s="7">
        <f t="shared" si="120"/>
        <v>10</v>
      </c>
      <c r="J811" s="7">
        <f t="shared" si="121"/>
        <v>41</v>
      </c>
      <c r="K811" s="7">
        <f t="shared" si="122"/>
        <v>410</v>
      </c>
      <c r="L811" s="7">
        <f t="shared" si="115"/>
        <v>57.4</v>
      </c>
      <c r="M811" s="7">
        <f t="shared" si="116"/>
        <v>57.85</v>
      </c>
      <c r="N811" s="7">
        <f t="shared" si="117"/>
        <v>1.7421602787456445E-2</v>
      </c>
      <c r="O811" s="7">
        <f t="shared" si="118"/>
        <v>1.7286084701815037E-2</v>
      </c>
    </row>
    <row r="812" spans="9:15" x14ac:dyDescent="0.15">
      <c r="I812" s="7">
        <f t="shared" si="120"/>
        <v>11</v>
      </c>
      <c r="J812" s="7">
        <f t="shared" si="121"/>
        <v>41</v>
      </c>
      <c r="K812" s="7">
        <f t="shared" si="122"/>
        <v>451</v>
      </c>
      <c r="L812" s="7">
        <f t="shared" si="115"/>
        <v>59.45</v>
      </c>
      <c r="M812" s="7">
        <f t="shared" si="116"/>
        <v>61.95</v>
      </c>
      <c r="N812" s="7">
        <f t="shared" si="117"/>
        <v>1.6820857863751051E-2</v>
      </c>
      <c r="O812" s="7">
        <f t="shared" si="118"/>
        <v>1.6142050040355124E-2</v>
      </c>
    </row>
    <row r="813" spans="9:15" x14ac:dyDescent="0.15">
      <c r="I813" s="7">
        <f t="shared" si="120"/>
        <v>12</v>
      </c>
      <c r="J813" s="7">
        <f t="shared" si="121"/>
        <v>41</v>
      </c>
      <c r="K813" s="7">
        <f t="shared" si="122"/>
        <v>492</v>
      </c>
      <c r="L813" s="7">
        <f t="shared" si="115"/>
        <v>61.5</v>
      </c>
      <c r="M813" s="7">
        <f t="shared" si="116"/>
        <v>66.050000000000011</v>
      </c>
      <c r="N813" s="7">
        <f t="shared" si="117"/>
        <v>1.6260162601626018E-2</v>
      </c>
      <c r="O813" s="7">
        <f t="shared" si="118"/>
        <v>1.5140045420136259E-2</v>
      </c>
    </row>
    <row r="814" spans="9:15" x14ac:dyDescent="0.15">
      <c r="I814" s="7">
        <f t="shared" si="120"/>
        <v>13</v>
      </c>
      <c r="J814" s="7">
        <f t="shared" si="121"/>
        <v>41</v>
      </c>
      <c r="K814" s="7">
        <f t="shared" si="122"/>
        <v>533</v>
      </c>
      <c r="L814" s="7">
        <f t="shared" si="115"/>
        <v>63.55</v>
      </c>
      <c r="M814" s="7">
        <f t="shared" si="116"/>
        <v>70.150000000000006</v>
      </c>
      <c r="N814" s="7">
        <f t="shared" si="117"/>
        <v>1.5735641227380016E-2</v>
      </c>
      <c r="O814" s="7">
        <f t="shared" si="118"/>
        <v>1.4255167498218103E-2</v>
      </c>
    </row>
    <row r="815" spans="9:15" x14ac:dyDescent="0.15">
      <c r="I815" s="7">
        <f t="shared" si="120"/>
        <v>14</v>
      </c>
      <c r="J815" s="7">
        <f t="shared" si="121"/>
        <v>41</v>
      </c>
      <c r="K815" s="7">
        <f t="shared" si="122"/>
        <v>574</v>
      </c>
      <c r="L815" s="7">
        <f t="shared" si="115"/>
        <v>65.599999999999994</v>
      </c>
      <c r="M815" s="7">
        <f t="shared" si="116"/>
        <v>74.25</v>
      </c>
      <c r="N815" s="7">
        <f t="shared" si="117"/>
        <v>1.5243902439024392E-2</v>
      </c>
      <c r="O815" s="7">
        <f t="shared" si="118"/>
        <v>1.3468013468013467E-2</v>
      </c>
    </row>
    <row r="816" spans="9:15" x14ac:dyDescent="0.15">
      <c r="I816" s="7">
        <f t="shared" si="120"/>
        <v>15</v>
      </c>
      <c r="J816" s="7">
        <f t="shared" si="121"/>
        <v>41</v>
      </c>
      <c r="K816" s="7">
        <f t="shared" si="122"/>
        <v>615</v>
      </c>
      <c r="L816" s="7">
        <f t="shared" si="115"/>
        <v>67.650000000000006</v>
      </c>
      <c r="M816" s="7">
        <f t="shared" si="116"/>
        <v>78.349999999999994</v>
      </c>
      <c r="N816" s="7">
        <f t="shared" si="117"/>
        <v>1.4781966001478195E-2</v>
      </c>
      <c r="O816" s="7">
        <f t="shared" si="118"/>
        <v>1.2763241863433313E-2</v>
      </c>
    </row>
    <row r="817" spans="9:15" x14ac:dyDescent="0.15">
      <c r="I817" s="7">
        <f t="shared" si="120"/>
        <v>16</v>
      </c>
      <c r="J817" s="7">
        <f t="shared" si="121"/>
        <v>41</v>
      </c>
      <c r="K817" s="7">
        <f t="shared" si="122"/>
        <v>656</v>
      </c>
      <c r="L817" s="7">
        <f t="shared" si="115"/>
        <v>69.7</v>
      </c>
      <c r="M817" s="7">
        <f t="shared" si="116"/>
        <v>82.450000000000017</v>
      </c>
      <c r="N817" s="7">
        <f t="shared" si="117"/>
        <v>1.4347202295552367E-2</v>
      </c>
      <c r="O817" s="7">
        <f t="shared" si="118"/>
        <v>1.2128562765312307E-2</v>
      </c>
    </row>
    <row r="818" spans="9:15" x14ac:dyDescent="0.15">
      <c r="I818" s="7">
        <f t="shared" si="120"/>
        <v>17</v>
      </c>
      <c r="J818" s="7">
        <f t="shared" si="121"/>
        <v>41</v>
      </c>
      <c r="K818" s="7">
        <f t="shared" si="122"/>
        <v>697</v>
      </c>
      <c r="L818" s="7">
        <f t="shared" si="115"/>
        <v>71.75</v>
      </c>
      <c r="M818" s="7">
        <f t="shared" si="116"/>
        <v>86.550000000000011</v>
      </c>
      <c r="N818" s="7">
        <f t="shared" si="117"/>
        <v>1.3937282229965157E-2</v>
      </c>
      <c r="O818" s="7">
        <f t="shared" si="118"/>
        <v>1.1554015020219525E-2</v>
      </c>
    </row>
    <row r="819" spans="9:15" x14ac:dyDescent="0.15">
      <c r="I819" s="7">
        <f t="shared" si="120"/>
        <v>18</v>
      </c>
      <c r="J819" s="7">
        <f t="shared" si="121"/>
        <v>41</v>
      </c>
      <c r="K819" s="7">
        <f t="shared" si="122"/>
        <v>738</v>
      </c>
      <c r="L819" s="7">
        <f t="shared" si="115"/>
        <v>73.8</v>
      </c>
      <c r="M819" s="7">
        <f t="shared" si="116"/>
        <v>90.65</v>
      </c>
      <c r="N819" s="7">
        <f t="shared" si="117"/>
        <v>1.3550135501355014E-2</v>
      </c>
      <c r="O819" s="7">
        <f t="shared" si="118"/>
        <v>1.1031439602868174E-2</v>
      </c>
    </row>
    <row r="820" spans="9:15" x14ac:dyDescent="0.15">
      <c r="I820" s="7">
        <f t="shared" si="120"/>
        <v>19</v>
      </c>
      <c r="J820" s="7">
        <f t="shared" si="121"/>
        <v>41</v>
      </c>
      <c r="K820" s="7">
        <f t="shared" si="122"/>
        <v>779</v>
      </c>
      <c r="L820" s="7">
        <f t="shared" si="115"/>
        <v>75.849999999999994</v>
      </c>
      <c r="M820" s="7">
        <f t="shared" si="116"/>
        <v>94.75</v>
      </c>
      <c r="N820" s="7">
        <f t="shared" si="117"/>
        <v>1.3183915622940015E-2</v>
      </c>
      <c r="O820" s="7">
        <f t="shared" si="118"/>
        <v>1.0554089709762533E-2</v>
      </c>
    </row>
    <row r="821" spans="9:15" x14ac:dyDescent="0.15">
      <c r="I821" s="7">
        <f t="shared" si="120"/>
        <v>20</v>
      </c>
      <c r="J821" s="7">
        <f t="shared" si="121"/>
        <v>41</v>
      </c>
      <c r="K821" s="7">
        <f t="shared" si="122"/>
        <v>820</v>
      </c>
      <c r="L821" s="7">
        <f t="shared" si="115"/>
        <v>77.900000000000006</v>
      </c>
      <c r="M821" s="7">
        <f t="shared" si="116"/>
        <v>98.85</v>
      </c>
      <c r="N821" s="7">
        <f t="shared" si="117"/>
        <v>1.2836970474967907E-2</v>
      </c>
      <c r="O821" s="7">
        <f t="shared" si="118"/>
        <v>1.0116337885685382E-2</v>
      </c>
    </row>
    <row r="822" spans="9:15" x14ac:dyDescent="0.15">
      <c r="I822" s="7">
        <f t="shared" si="120"/>
        <v>1</v>
      </c>
      <c r="J822" s="7">
        <f t="shared" si="121"/>
        <v>42</v>
      </c>
      <c r="K822" s="7">
        <f>J822</f>
        <v>42</v>
      </c>
      <c r="L822" s="7">
        <f t="shared" si="115"/>
        <v>39.900000000000006</v>
      </c>
      <c r="M822" s="7">
        <f t="shared" si="116"/>
        <v>21.45</v>
      </c>
      <c r="N822" s="7">
        <f t="shared" si="117"/>
        <v>2.5062656641604005E-2</v>
      </c>
      <c r="O822" s="7">
        <f t="shared" si="118"/>
        <v>4.6620046620046623E-2</v>
      </c>
    </row>
    <row r="823" spans="9:15" x14ac:dyDescent="0.15">
      <c r="I823" s="7">
        <f t="shared" si="120"/>
        <v>2</v>
      </c>
      <c r="J823" s="7">
        <f t="shared" si="121"/>
        <v>42</v>
      </c>
      <c r="K823" s="7">
        <f>K822+J822</f>
        <v>84</v>
      </c>
      <c r="L823" s="7">
        <f t="shared" si="115"/>
        <v>42.000000000000007</v>
      </c>
      <c r="M823" s="7">
        <f t="shared" si="116"/>
        <v>25.65</v>
      </c>
      <c r="N823" s="7">
        <f t="shared" si="117"/>
        <v>2.3809523809523805E-2</v>
      </c>
      <c r="O823" s="7">
        <f t="shared" si="118"/>
        <v>3.8986354775828465E-2</v>
      </c>
    </row>
    <row r="824" spans="9:15" x14ac:dyDescent="0.15">
      <c r="I824" s="7">
        <f t="shared" si="120"/>
        <v>3</v>
      </c>
      <c r="J824" s="7">
        <f t="shared" si="121"/>
        <v>42</v>
      </c>
      <c r="K824" s="7">
        <f t="shared" ref="K824:K841" si="123">K823+J823</f>
        <v>126</v>
      </c>
      <c r="L824" s="7">
        <f t="shared" si="115"/>
        <v>44.100000000000009</v>
      </c>
      <c r="M824" s="7">
        <f t="shared" si="116"/>
        <v>29.85</v>
      </c>
      <c r="N824" s="7">
        <f t="shared" si="117"/>
        <v>2.2675736961451243E-2</v>
      </c>
      <c r="O824" s="7">
        <f t="shared" si="118"/>
        <v>3.350083752093802E-2</v>
      </c>
    </row>
    <row r="825" spans="9:15" x14ac:dyDescent="0.15">
      <c r="I825" s="7">
        <f t="shared" si="120"/>
        <v>4</v>
      </c>
      <c r="J825" s="7">
        <f t="shared" si="121"/>
        <v>42</v>
      </c>
      <c r="K825" s="7">
        <f t="shared" si="123"/>
        <v>168</v>
      </c>
      <c r="L825" s="7">
        <f t="shared" si="115"/>
        <v>46.2</v>
      </c>
      <c r="M825" s="7">
        <f t="shared" si="116"/>
        <v>34.049999999999997</v>
      </c>
      <c r="N825" s="7">
        <f t="shared" si="117"/>
        <v>2.1645021645021644E-2</v>
      </c>
      <c r="O825" s="7">
        <f t="shared" si="118"/>
        <v>2.9368575624082235E-2</v>
      </c>
    </row>
    <row r="826" spans="9:15" x14ac:dyDescent="0.15">
      <c r="I826" s="7">
        <f t="shared" si="120"/>
        <v>5</v>
      </c>
      <c r="J826" s="7">
        <f t="shared" si="121"/>
        <v>42</v>
      </c>
      <c r="K826" s="7">
        <f t="shared" si="123"/>
        <v>210</v>
      </c>
      <c r="L826" s="7">
        <f t="shared" si="115"/>
        <v>48.300000000000004</v>
      </c>
      <c r="M826" s="7">
        <f t="shared" si="116"/>
        <v>38.25</v>
      </c>
      <c r="N826" s="7">
        <f t="shared" si="117"/>
        <v>2.0703933747412008E-2</v>
      </c>
      <c r="O826" s="7">
        <f t="shared" si="118"/>
        <v>2.6143790849673203E-2</v>
      </c>
    </row>
    <row r="827" spans="9:15" x14ac:dyDescent="0.15">
      <c r="I827" s="7">
        <f t="shared" si="120"/>
        <v>6</v>
      </c>
      <c r="J827" s="7">
        <f t="shared" si="121"/>
        <v>42</v>
      </c>
      <c r="K827" s="7">
        <f t="shared" si="123"/>
        <v>252</v>
      </c>
      <c r="L827" s="7">
        <f t="shared" si="115"/>
        <v>50.400000000000006</v>
      </c>
      <c r="M827" s="7">
        <f t="shared" si="116"/>
        <v>42.45</v>
      </c>
      <c r="N827" s="7">
        <f t="shared" si="117"/>
        <v>1.984126984126984E-2</v>
      </c>
      <c r="O827" s="7">
        <f t="shared" si="118"/>
        <v>2.3557126030624261E-2</v>
      </c>
    </row>
    <row r="828" spans="9:15" x14ac:dyDescent="0.15">
      <c r="I828" s="7">
        <f t="shared" si="120"/>
        <v>7</v>
      </c>
      <c r="J828" s="7">
        <f t="shared" si="121"/>
        <v>42</v>
      </c>
      <c r="K828" s="7">
        <f t="shared" si="123"/>
        <v>294</v>
      </c>
      <c r="L828" s="7">
        <f t="shared" si="115"/>
        <v>52.500000000000007</v>
      </c>
      <c r="M828" s="7">
        <f t="shared" si="116"/>
        <v>46.650000000000006</v>
      </c>
      <c r="N828" s="7">
        <f t="shared" si="117"/>
        <v>1.9047619047619046E-2</v>
      </c>
      <c r="O828" s="7">
        <f t="shared" si="118"/>
        <v>2.1436227224008571E-2</v>
      </c>
    </row>
    <row r="829" spans="9:15" x14ac:dyDescent="0.15">
      <c r="I829" s="7">
        <f t="shared" si="120"/>
        <v>8</v>
      </c>
      <c r="J829" s="7">
        <f t="shared" si="121"/>
        <v>42</v>
      </c>
      <c r="K829" s="7">
        <f t="shared" si="123"/>
        <v>336</v>
      </c>
      <c r="L829" s="7">
        <f t="shared" si="115"/>
        <v>54.600000000000009</v>
      </c>
      <c r="M829" s="7">
        <f t="shared" si="116"/>
        <v>50.85</v>
      </c>
      <c r="N829" s="7">
        <f t="shared" si="117"/>
        <v>1.8315018315018312E-2</v>
      </c>
      <c r="O829" s="7">
        <f t="shared" si="118"/>
        <v>1.966568338249754E-2</v>
      </c>
    </row>
    <row r="830" spans="9:15" x14ac:dyDescent="0.15">
      <c r="I830" s="7">
        <f t="shared" si="120"/>
        <v>9</v>
      </c>
      <c r="J830" s="7">
        <f t="shared" si="121"/>
        <v>42</v>
      </c>
      <c r="K830" s="7">
        <f t="shared" si="123"/>
        <v>378</v>
      </c>
      <c r="L830" s="7">
        <f t="shared" si="115"/>
        <v>56.7</v>
      </c>
      <c r="M830" s="7">
        <f t="shared" si="116"/>
        <v>55.050000000000004</v>
      </c>
      <c r="N830" s="7">
        <f t="shared" si="117"/>
        <v>1.7636684303350969E-2</v>
      </c>
      <c r="O830" s="7">
        <f t="shared" si="118"/>
        <v>1.8165304268846501E-2</v>
      </c>
    </row>
    <row r="831" spans="9:15" x14ac:dyDescent="0.15">
      <c r="I831" s="7">
        <f t="shared" si="120"/>
        <v>10</v>
      </c>
      <c r="J831" s="7">
        <f t="shared" si="121"/>
        <v>42</v>
      </c>
      <c r="K831" s="7">
        <f t="shared" si="123"/>
        <v>420</v>
      </c>
      <c r="L831" s="7">
        <f t="shared" si="115"/>
        <v>58.800000000000004</v>
      </c>
      <c r="M831" s="7">
        <f t="shared" si="116"/>
        <v>59.25</v>
      </c>
      <c r="N831" s="7">
        <f t="shared" si="117"/>
        <v>1.7006802721088433E-2</v>
      </c>
      <c r="O831" s="7">
        <f t="shared" si="118"/>
        <v>1.6877637130801686E-2</v>
      </c>
    </row>
    <row r="832" spans="9:15" x14ac:dyDescent="0.15">
      <c r="I832" s="7">
        <f t="shared" si="120"/>
        <v>11</v>
      </c>
      <c r="J832" s="7">
        <f t="shared" si="121"/>
        <v>42</v>
      </c>
      <c r="K832" s="7">
        <f t="shared" si="123"/>
        <v>462</v>
      </c>
      <c r="L832" s="7">
        <f t="shared" si="115"/>
        <v>60.900000000000006</v>
      </c>
      <c r="M832" s="7">
        <f t="shared" si="116"/>
        <v>63.45</v>
      </c>
      <c r="N832" s="7">
        <f t="shared" si="117"/>
        <v>1.6420361247947452E-2</v>
      </c>
      <c r="O832" s="7">
        <f t="shared" si="118"/>
        <v>1.5760441292356184E-2</v>
      </c>
    </row>
    <row r="833" spans="9:15" x14ac:dyDescent="0.15">
      <c r="I833" s="7">
        <f t="shared" si="120"/>
        <v>12</v>
      </c>
      <c r="J833" s="7">
        <f t="shared" si="121"/>
        <v>42</v>
      </c>
      <c r="K833" s="7">
        <f t="shared" si="123"/>
        <v>504</v>
      </c>
      <c r="L833" s="7">
        <f t="shared" si="115"/>
        <v>63.000000000000007</v>
      </c>
      <c r="M833" s="7">
        <f t="shared" si="116"/>
        <v>67.650000000000006</v>
      </c>
      <c r="N833" s="7">
        <f t="shared" si="117"/>
        <v>1.5873015873015872E-2</v>
      </c>
      <c r="O833" s="7">
        <f t="shared" si="118"/>
        <v>1.4781966001478195E-2</v>
      </c>
    </row>
    <row r="834" spans="9:15" x14ac:dyDescent="0.15">
      <c r="I834" s="7">
        <f t="shared" si="120"/>
        <v>13</v>
      </c>
      <c r="J834" s="7">
        <f t="shared" si="121"/>
        <v>42</v>
      </c>
      <c r="K834" s="7">
        <f t="shared" si="123"/>
        <v>546</v>
      </c>
      <c r="L834" s="7">
        <f t="shared" si="115"/>
        <v>65.100000000000009</v>
      </c>
      <c r="M834" s="7">
        <f t="shared" si="116"/>
        <v>71.849999999999994</v>
      </c>
      <c r="N834" s="7">
        <f t="shared" si="117"/>
        <v>1.5360983102918585E-2</v>
      </c>
      <c r="O834" s="7">
        <f t="shared" si="118"/>
        <v>1.3917884481558803E-2</v>
      </c>
    </row>
    <row r="835" spans="9:15" x14ac:dyDescent="0.15">
      <c r="I835" s="7">
        <f t="shared" si="120"/>
        <v>14</v>
      </c>
      <c r="J835" s="7">
        <f t="shared" si="121"/>
        <v>42</v>
      </c>
      <c r="K835" s="7">
        <f t="shared" si="123"/>
        <v>588</v>
      </c>
      <c r="L835" s="7">
        <f t="shared" ref="L835:L898" si="124">0.9*J835+0.05*K835</f>
        <v>67.2</v>
      </c>
      <c r="M835" s="7">
        <f t="shared" ref="M835:M898" si="125">0.45+0.4*J835+0.1*K835</f>
        <v>76.050000000000011</v>
      </c>
      <c r="N835" s="7">
        <f t="shared" ref="N835:N898" si="126">1/L835</f>
        <v>1.488095238095238E-2</v>
      </c>
      <c r="O835" s="7">
        <f t="shared" ref="O835:O898" si="127">1/M835</f>
        <v>1.3149243918474685E-2</v>
      </c>
    </row>
    <row r="836" spans="9:15" x14ac:dyDescent="0.15">
      <c r="I836" s="7">
        <f t="shared" si="120"/>
        <v>15</v>
      </c>
      <c r="J836" s="7">
        <f t="shared" si="121"/>
        <v>42</v>
      </c>
      <c r="K836" s="7">
        <f t="shared" si="123"/>
        <v>630</v>
      </c>
      <c r="L836" s="7">
        <f t="shared" si="124"/>
        <v>69.300000000000011</v>
      </c>
      <c r="M836" s="7">
        <f t="shared" si="125"/>
        <v>80.25</v>
      </c>
      <c r="N836" s="7">
        <f t="shared" si="126"/>
        <v>1.4430014430014428E-2</v>
      </c>
      <c r="O836" s="7">
        <f t="shared" si="127"/>
        <v>1.2461059190031152E-2</v>
      </c>
    </row>
    <row r="837" spans="9:15" x14ac:dyDescent="0.15">
      <c r="I837" s="7">
        <f t="shared" si="120"/>
        <v>16</v>
      </c>
      <c r="J837" s="7">
        <f t="shared" si="121"/>
        <v>42</v>
      </c>
      <c r="K837" s="7">
        <f t="shared" si="123"/>
        <v>672</v>
      </c>
      <c r="L837" s="7">
        <f t="shared" si="124"/>
        <v>71.400000000000006</v>
      </c>
      <c r="M837" s="7">
        <f t="shared" si="125"/>
        <v>84.45</v>
      </c>
      <c r="N837" s="7">
        <f t="shared" si="126"/>
        <v>1.4005602240896357E-2</v>
      </c>
      <c r="O837" s="7">
        <f t="shared" si="127"/>
        <v>1.1841326228537596E-2</v>
      </c>
    </row>
    <row r="838" spans="9:15" x14ac:dyDescent="0.15">
      <c r="I838" s="7">
        <f t="shared" si="120"/>
        <v>17</v>
      </c>
      <c r="J838" s="7">
        <f t="shared" si="121"/>
        <v>42</v>
      </c>
      <c r="K838" s="7">
        <f t="shared" si="123"/>
        <v>714</v>
      </c>
      <c r="L838" s="7">
        <f t="shared" si="124"/>
        <v>73.5</v>
      </c>
      <c r="M838" s="7">
        <f t="shared" si="125"/>
        <v>88.65</v>
      </c>
      <c r="N838" s="7">
        <f t="shared" si="126"/>
        <v>1.3605442176870748E-2</v>
      </c>
      <c r="O838" s="7">
        <f t="shared" si="127"/>
        <v>1.1280315848843767E-2</v>
      </c>
    </row>
    <row r="839" spans="9:15" x14ac:dyDescent="0.15">
      <c r="I839" s="7">
        <f t="shared" si="120"/>
        <v>18</v>
      </c>
      <c r="J839" s="7">
        <f t="shared" si="121"/>
        <v>42</v>
      </c>
      <c r="K839" s="7">
        <f t="shared" si="123"/>
        <v>756</v>
      </c>
      <c r="L839" s="7">
        <f t="shared" si="124"/>
        <v>75.600000000000009</v>
      </c>
      <c r="M839" s="7">
        <f t="shared" si="125"/>
        <v>92.850000000000009</v>
      </c>
      <c r="N839" s="7">
        <f t="shared" si="126"/>
        <v>1.3227513227513227E-2</v>
      </c>
      <c r="O839" s="7">
        <f t="shared" si="127"/>
        <v>1.0770059235325794E-2</v>
      </c>
    </row>
    <row r="840" spans="9:15" x14ac:dyDescent="0.15">
      <c r="I840" s="7">
        <f t="shared" si="120"/>
        <v>19</v>
      </c>
      <c r="J840" s="7">
        <f t="shared" si="121"/>
        <v>42</v>
      </c>
      <c r="K840" s="7">
        <f t="shared" si="123"/>
        <v>798</v>
      </c>
      <c r="L840" s="7">
        <f t="shared" si="124"/>
        <v>77.700000000000017</v>
      </c>
      <c r="M840" s="7">
        <f t="shared" si="125"/>
        <v>97.050000000000011</v>
      </c>
      <c r="N840" s="7">
        <f t="shared" si="126"/>
        <v>1.2870012870012867E-2</v>
      </c>
      <c r="O840" s="7">
        <f t="shared" si="127"/>
        <v>1.0303967027305511E-2</v>
      </c>
    </row>
    <row r="841" spans="9:15" x14ac:dyDescent="0.15">
      <c r="I841" s="7">
        <f t="shared" si="120"/>
        <v>20</v>
      </c>
      <c r="J841" s="7">
        <f t="shared" si="121"/>
        <v>42</v>
      </c>
      <c r="K841" s="7">
        <f t="shared" si="123"/>
        <v>840</v>
      </c>
      <c r="L841" s="7">
        <f t="shared" si="124"/>
        <v>79.800000000000011</v>
      </c>
      <c r="M841" s="7">
        <f t="shared" si="125"/>
        <v>101.25</v>
      </c>
      <c r="N841" s="7">
        <f t="shared" si="126"/>
        <v>1.2531328320802003E-2</v>
      </c>
      <c r="O841" s="7">
        <f t="shared" si="127"/>
        <v>9.876543209876543E-3</v>
      </c>
    </row>
    <row r="842" spans="9:15" x14ac:dyDescent="0.15">
      <c r="I842" s="7">
        <f t="shared" si="120"/>
        <v>1</v>
      </c>
      <c r="J842" s="7">
        <f t="shared" si="121"/>
        <v>43</v>
      </c>
      <c r="K842" s="7">
        <f>J842</f>
        <v>43</v>
      </c>
      <c r="L842" s="7">
        <f t="shared" si="124"/>
        <v>40.85</v>
      </c>
      <c r="M842" s="7">
        <f t="shared" si="125"/>
        <v>21.95</v>
      </c>
      <c r="N842" s="7">
        <f t="shared" si="126"/>
        <v>2.4479804161566705E-2</v>
      </c>
      <c r="O842" s="7">
        <f t="shared" si="127"/>
        <v>4.5558086560364468E-2</v>
      </c>
    </row>
    <row r="843" spans="9:15" x14ac:dyDescent="0.15">
      <c r="I843" s="7">
        <f t="shared" si="120"/>
        <v>2</v>
      </c>
      <c r="J843" s="7">
        <f t="shared" si="121"/>
        <v>43</v>
      </c>
      <c r="K843" s="7">
        <f>K842+J842</f>
        <v>86</v>
      </c>
      <c r="L843" s="7">
        <f t="shared" si="124"/>
        <v>43</v>
      </c>
      <c r="M843" s="7">
        <f t="shared" si="125"/>
        <v>26.25</v>
      </c>
      <c r="N843" s="7">
        <f t="shared" si="126"/>
        <v>2.3255813953488372E-2</v>
      </c>
      <c r="O843" s="7">
        <f t="shared" si="127"/>
        <v>3.8095238095238099E-2</v>
      </c>
    </row>
    <row r="844" spans="9:15" x14ac:dyDescent="0.15">
      <c r="I844" s="7">
        <f t="shared" si="120"/>
        <v>3</v>
      </c>
      <c r="J844" s="7">
        <f t="shared" si="121"/>
        <v>43</v>
      </c>
      <c r="K844" s="7">
        <f t="shared" ref="K844:K861" si="128">K843+J843</f>
        <v>129</v>
      </c>
      <c r="L844" s="7">
        <f t="shared" si="124"/>
        <v>45.150000000000006</v>
      </c>
      <c r="M844" s="7">
        <f t="shared" si="125"/>
        <v>30.549999999999997</v>
      </c>
      <c r="N844" s="7">
        <f t="shared" si="126"/>
        <v>2.2148394241417495E-2</v>
      </c>
      <c r="O844" s="7">
        <f t="shared" si="127"/>
        <v>3.2733224222585927E-2</v>
      </c>
    </row>
    <row r="845" spans="9:15" x14ac:dyDescent="0.15">
      <c r="I845" s="7">
        <f t="shared" si="120"/>
        <v>4</v>
      </c>
      <c r="J845" s="7">
        <f t="shared" si="121"/>
        <v>43</v>
      </c>
      <c r="K845" s="7">
        <f t="shared" si="128"/>
        <v>172</v>
      </c>
      <c r="L845" s="7">
        <f t="shared" si="124"/>
        <v>47.300000000000004</v>
      </c>
      <c r="M845" s="7">
        <f t="shared" si="125"/>
        <v>34.849999999999994</v>
      </c>
      <c r="N845" s="7">
        <f t="shared" si="126"/>
        <v>2.1141649048625789E-2</v>
      </c>
      <c r="O845" s="7">
        <f t="shared" si="127"/>
        <v>2.8694404591104738E-2</v>
      </c>
    </row>
    <row r="846" spans="9:15" x14ac:dyDescent="0.15">
      <c r="I846" s="7">
        <f t="shared" si="120"/>
        <v>5</v>
      </c>
      <c r="J846" s="7">
        <f t="shared" si="121"/>
        <v>43</v>
      </c>
      <c r="K846" s="7">
        <f t="shared" si="128"/>
        <v>215</v>
      </c>
      <c r="L846" s="7">
        <f t="shared" si="124"/>
        <v>49.45</v>
      </c>
      <c r="M846" s="7">
        <f t="shared" si="125"/>
        <v>39.15</v>
      </c>
      <c r="N846" s="7">
        <f t="shared" si="126"/>
        <v>2.0222446916076844E-2</v>
      </c>
      <c r="O846" s="7">
        <f t="shared" si="127"/>
        <v>2.554278416347382E-2</v>
      </c>
    </row>
    <row r="847" spans="9:15" x14ac:dyDescent="0.15">
      <c r="I847" s="7">
        <f t="shared" si="120"/>
        <v>6</v>
      </c>
      <c r="J847" s="7">
        <f t="shared" si="121"/>
        <v>43</v>
      </c>
      <c r="K847" s="7">
        <f t="shared" si="128"/>
        <v>258</v>
      </c>
      <c r="L847" s="7">
        <f t="shared" si="124"/>
        <v>51.6</v>
      </c>
      <c r="M847" s="7">
        <f t="shared" si="125"/>
        <v>43.45</v>
      </c>
      <c r="N847" s="7">
        <f t="shared" si="126"/>
        <v>1.937984496124031E-2</v>
      </c>
      <c r="O847" s="7">
        <f t="shared" si="127"/>
        <v>2.3014959723820481E-2</v>
      </c>
    </row>
    <row r="848" spans="9:15" x14ac:dyDescent="0.15">
      <c r="I848" s="7">
        <f t="shared" si="120"/>
        <v>7</v>
      </c>
      <c r="J848" s="7">
        <f t="shared" si="121"/>
        <v>43</v>
      </c>
      <c r="K848" s="7">
        <f t="shared" si="128"/>
        <v>301</v>
      </c>
      <c r="L848" s="7">
        <f t="shared" si="124"/>
        <v>53.75</v>
      </c>
      <c r="M848" s="7">
        <f t="shared" si="125"/>
        <v>47.75</v>
      </c>
      <c r="N848" s="7">
        <f t="shared" si="126"/>
        <v>1.8604651162790697E-2</v>
      </c>
      <c r="O848" s="7">
        <f t="shared" si="127"/>
        <v>2.0942408376963352E-2</v>
      </c>
    </row>
    <row r="849" spans="9:15" x14ac:dyDescent="0.15">
      <c r="I849" s="7">
        <f t="shared" si="120"/>
        <v>8</v>
      </c>
      <c r="J849" s="7">
        <f t="shared" si="121"/>
        <v>43</v>
      </c>
      <c r="K849" s="7">
        <f t="shared" si="128"/>
        <v>344</v>
      </c>
      <c r="L849" s="7">
        <f t="shared" si="124"/>
        <v>55.900000000000006</v>
      </c>
      <c r="M849" s="7">
        <f t="shared" si="125"/>
        <v>52.05</v>
      </c>
      <c r="N849" s="7">
        <f t="shared" si="126"/>
        <v>1.7889087656529516E-2</v>
      </c>
      <c r="O849" s="7">
        <f t="shared" si="127"/>
        <v>1.921229586935639E-2</v>
      </c>
    </row>
    <row r="850" spans="9:15" x14ac:dyDescent="0.15">
      <c r="I850" s="7">
        <f t="shared" si="120"/>
        <v>9</v>
      </c>
      <c r="J850" s="7">
        <f t="shared" si="121"/>
        <v>43</v>
      </c>
      <c r="K850" s="7">
        <f t="shared" si="128"/>
        <v>387</v>
      </c>
      <c r="L850" s="7">
        <f t="shared" si="124"/>
        <v>58.050000000000004</v>
      </c>
      <c r="M850" s="7">
        <f t="shared" si="125"/>
        <v>56.35</v>
      </c>
      <c r="N850" s="7">
        <f t="shared" si="126"/>
        <v>1.7226528854435829E-2</v>
      </c>
      <c r="O850" s="7">
        <f t="shared" si="127"/>
        <v>1.774622892635315E-2</v>
      </c>
    </row>
    <row r="851" spans="9:15" x14ac:dyDescent="0.15">
      <c r="I851" s="7">
        <f t="shared" si="120"/>
        <v>10</v>
      </c>
      <c r="J851" s="7">
        <f t="shared" si="121"/>
        <v>43</v>
      </c>
      <c r="K851" s="7">
        <f t="shared" si="128"/>
        <v>430</v>
      </c>
      <c r="L851" s="7">
        <f t="shared" si="124"/>
        <v>60.2</v>
      </c>
      <c r="M851" s="7">
        <f t="shared" si="125"/>
        <v>60.65</v>
      </c>
      <c r="N851" s="7">
        <f t="shared" si="126"/>
        <v>1.6611295681063121E-2</v>
      </c>
      <c r="O851" s="7">
        <f t="shared" si="127"/>
        <v>1.6488046166529265E-2</v>
      </c>
    </row>
    <row r="852" spans="9:15" x14ac:dyDescent="0.15">
      <c r="I852" s="7">
        <f t="shared" si="120"/>
        <v>11</v>
      </c>
      <c r="J852" s="7">
        <f t="shared" si="121"/>
        <v>43</v>
      </c>
      <c r="K852" s="7">
        <f t="shared" si="128"/>
        <v>473</v>
      </c>
      <c r="L852" s="7">
        <f t="shared" si="124"/>
        <v>62.350000000000009</v>
      </c>
      <c r="M852" s="7">
        <f t="shared" si="125"/>
        <v>64.95</v>
      </c>
      <c r="N852" s="7">
        <f t="shared" si="126"/>
        <v>1.6038492381716115E-2</v>
      </c>
      <c r="O852" s="7">
        <f t="shared" si="127"/>
        <v>1.539645881447267E-2</v>
      </c>
    </row>
    <row r="853" spans="9:15" x14ac:dyDescent="0.15">
      <c r="I853" s="7">
        <f t="shared" si="120"/>
        <v>12</v>
      </c>
      <c r="J853" s="7">
        <f t="shared" si="121"/>
        <v>43</v>
      </c>
      <c r="K853" s="7">
        <f t="shared" si="128"/>
        <v>516</v>
      </c>
      <c r="L853" s="7">
        <f t="shared" si="124"/>
        <v>64.5</v>
      </c>
      <c r="M853" s="7">
        <f t="shared" si="125"/>
        <v>69.25</v>
      </c>
      <c r="N853" s="7">
        <f t="shared" si="126"/>
        <v>1.5503875968992248E-2</v>
      </c>
      <c r="O853" s="7">
        <f t="shared" si="127"/>
        <v>1.444043321299639E-2</v>
      </c>
    </row>
    <row r="854" spans="9:15" x14ac:dyDescent="0.15">
      <c r="I854" s="7">
        <f t="shared" si="120"/>
        <v>13</v>
      </c>
      <c r="J854" s="7">
        <f t="shared" si="121"/>
        <v>43</v>
      </c>
      <c r="K854" s="7">
        <f t="shared" si="128"/>
        <v>559</v>
      </c>
      <c r="L854" s="7">
        <f t="shared" si="124"/>
        <v>66.650000000000006</v>
      </c>
      <c r="M854" s="7">
        <f t="shared" si="125"/>
        <v>73.550000000000011</v>
      </c>
      <c r="N854" s="7">
        <f t="shared" si="126"/>
        <v>1.5003750937734431E-2</v>
      </c>
      <c r="O854" s="7">
        <f t="shared" si="127"/>
        <v>1.3596193065941535E-2</v>
      </c>
    </row>
    <row r="855" spans="9:15" x14ac:dyDescent="0.15">
      <c r="I855" s="7">
        <f t="shared" ref="I855:I918" si="129">I835</f>
        <v>14</v>
      </c>
      <c r="J855" s="7">
        <f t="shared" ref="J855:J918" si="130">J835+1</f>
        <v>43</v>
      </c>
      <c r="K855" s="7">
        <f t="shared" si="128"/>
        <v>602</v>
      </c>
      <c r="L855" s="7">
        <f t="shared" si="124"/>
        <v>68.800000000000011</v>
      </c>
      <c r="M855" s="7">
        <f t="shared" si="125"/>
        <v>77.849999999999994</v>
      </c>
      <c r="N855" s="7">
        <f t="shared" si="126"/>
        <v>1.4534883720930231E-2</v>
      </c>
      <c r="O855" s="7">
        <f t="shared" si="127"/>
        <v>1.2845215157353887E-2</v>
      </c>
    </row>
    <row r="856" spans="9:15" x14ac:dyDescent="0.15">
      <c r="I856" s="7">
        <f t="shared" si="129"/>
        <v>15</v>
      </c>
      <c r="J856" s="7">
        <f t="shared" si="130"/>
        <v>43</v>
      </c>
      <c r="K856" s="7">
        <f t="shared" si="128"/>
        <v>645</v>
      </c>
      <c r="L856" s="7">
        <f t="shared" si="124"/>
        <v>70.95</v>
      </c>
      <c r="M856" s="7">
        <f t="shared" si="125"/>
        <v>82.15</v>
      </c>
      <c r="N856" s="7">
        <f t="shared" si="126"/>
        <v>1.4094432699083861E-2</v>
      </c>
      <c r="O856" s="7">
        <f t="shared" si="127"/>
        <v>1.2172854534388313E-2</v>
      </c>
    </row>
    <row r="857" spans="9:15" x14ac:dyDescent="0.15">
      <c r="I857" s="7">
        <f t="shared" si="129"/>
        <v>16</v>
      </c>
      <c r="J857" s="7">
        <f t="shared" si="130"/>
        <v>43</v>
      </c>
      <c r="K857" s="7">
        <f t="shared" si="128"/>
        <v>688</v>
      </c>
      <c r="L857" s="7">
        <f t="shared" si="124"/>
        <v>73.099999999999994</v>
      </c>
      <c r="M857" s="7">
        <f t="shared" si="125"/>
        <v>86.449999999999989</v>
      </c>
      <c r="N857" s="7">
        <f t="shared" si="126"/>
        <v>1.3679890560875515E-2</v>
      </c>
      <c r="O857" s="7">
        <f t="shared" si="127"/>
        <v>1.1567379988432621E-2</v>
      </c>
    </row>
    <row r="858" spans="9:15" x14ac:dyDescent="0.15">
      <c r="I858" s="7">
        <f t="shared" si="129"/>
        <v>17</v>
      </c>
      <c r="J858" s="7">
        <f t="shared" si="130"/>
        <v>43</v>
      </c>
      <c r="K858" s="7">
        <f t="shared" si="128"/>
        <v>731</v>
      </c>
      <c r="L858" s="7">
        <f t="shared" si="124"/>
        <v>75.25</v>
      </c>
      <c r="M858" s="7">
        <f t="shared" si="125"/>
        <v>90.75</v>
      </c>
      <c r="N858" s="7">
        <f t="shared" si="126"/>
        <v>1.3289036544850499E-2</v>
      </c>
      <c r="O858" s="7">
        <f t="shared" si="127"/>
        <v>1.1019283746556474E-2</v>
      </c>
    </row>
    <row r="859" spans="9:15" x14ac:dyDescent="0.15">
      <c r="I859" s="7">
        <f t="shared" si="129"/>
        <v>18</v>
      </c>
      <c r="J859" s="7">
        <f t="shared" si="130"/>
        <v>43</v>
      </c>
      <c r="K859" s="7">
        <f t="shared" si="128"/>
        <v>774</v>
      </c>
      <c r="L859" s="7">
        <f t="shared" si="124"/>
        <v>77.400000000000006</v>
      </c>
      <c r="M859" s="7">
        <f t="shared" si="125"/>
        <v>95.050000000000011</v>
      </c>
      <c r="N859" s="7">
        <f t="shared" si="126"/>
        <v>1.2919896640826873E-2</v>
      </c>
      <c r="O859" s="7">
        <f t="shared" si="127"/>
        <v>1.0520778537611781E-2</v>
      </c>
    </row>
    <row r="860" spans="9:15" x14ac:dyDescent="0.15">
      <c r="I860" s="7">
        <f t="shared" si="129"/>
        <v>19</v>
      </c>
      <c r="J860" s="7">
        <f t="shared" si="130"/>
        <v>43</v>
      </c>
      <c r="K860" s="7">
        <f t="shared" si="128"/>
        <v>817</v>
      </c>
      <c r="L860" s="7">
        <f t="shared" si="124"/>
        <v>79.550000000000011</v>
      </c>
      <c r="M860" s="7">
        <f t="shared" si="125"/>
        <v>99.35</v>
      </c>
      <c r="N860" s="7">
        <f t="shared" si="126"/>
        <v>1.2570710245128848E-2</v>
      </c>
      <c r="O860" s="7">
        <f t="shared" si="127"/>
        <v>1.0065425264217413E-2</v>
      </c>
    </row>
    <row r="861" spans="9:15" x14ac:dyDescent="0.15">
      <c r="I861" s="7">
        <f t="shared" si="129"/>
        <v>20</v>
      </c>
      <c r="J861" s="7">
        <f t="shared" si="130"/>
        <v>43</v>
      </c>
      <c r="K861" s="7">
        <f t="shared" si="128"/>
        <v>860</v>
      </c>
      <c r="L861" s="7">
        <f t="shared" si="124"/>
        <v>81.7</v>
      </c>
      <c r="M861" s="7">
        <f t="shared" si="125"/>
        <v>103.65</v>
      </c>
      <c r="N861" s="7">
        <f t="shared" si="126"/>
        <v>1.2239902080783353E-2</v>
      </c>
      <c r="O861" s="7">
        <f t="shared" si="127"/>
        <v>9.6478533526290402E-3</v>
      </c>
    </row>
    <row r="862" spans="9:15" x14ac:dyDescent="0.15">
      <c r="I862" s="7">
        <f t="shared" si="129"/>
        <v>1</v>
      </c>
      <c r="J862" s="7">
        <f t="shared" si="130"/>
        <v>44</v>
      </c>
      <c r="K862" s="7">
        <f>J862</f>
        <v>44</v>
      </c>
      <c r="L862" s="7">
        <f t="shared" si="124"/>
        <v>41.800000000000004</v>
      </c>
      <c r="M862" s="7">
        <f t="shared" si="125"/>
        <v>22.450000000000003</v>
      </c>
      <c r="N862" s="7">
        <f t="shared" si="126"/>
        <v>2.3923444976076551E-2</v>
      </c>
      <c r="O862" s="7">
        <f t="shared" si="127"/>
        <v>4.4543429844097988E-2</v>
      </c>
    </row>
    <row r="863" spans="9:15" x14ac:dyDescent="0.15">
      <c r="I863" s="7">
        <f t="shared" si="129"/>
        <v>2</v>
      </c>
      <c r="J863" s="7">
        <f t="shared" si="130"/>
        <v>44</v>
      </c>
      <c r="K863" s="7">
        <f>K862+J862</f>
        <v>88</v>
      </c>
      <c r="L863" s="7">
        <f t="shared" si="124"/>
        <v>44</v>
      </c>
      <c r="M863" s="7">
        <f t="shared" si="125"/>
        <v>26.85</v>
      </c>
      <c r="N863" s="7">
        <f t="shared" si="126"/>
        <v>2.2727272727272728E-2</v>
      </c>
      <c r="O863" s="7">
        <f t="shared" si="127"/>
        <v>3.7243947858472994E-2</v>
      </c>
    </row>
    <row r="864" spans="9:15" x14ac:dyDescent="0.15">
      <c r="I864" s="7">
        <f t="shared" si="129"/>
        <v>3</v>
      </c>
      <c r="J864" s="7">
        <f t="shared" si="130"/>
        <v>44</v>
      </c>
      <c r="K864" s="7">
        <f t="shared" ref="K864:K881" si="131">K863+J863</f>
        <v>132</v>
      </c>
      <c r="L864" s="7">
        <f t="shared" si="124"/>
        <v>46.2</v>
      </c>
      <c r="M864" s="7">
        <f t="shared" si="125"/>
        <v>31.25</v>
      </c>
      <c r="N864" s="7">
        <f t="shared" si="126"/>
        <v>2.1645021645021644E-2</v>
      </c>
      <c r="O864" s="7">
        <f t="shared" si="127"/>
        <v>3.2000000000000001E-2</v>
      </c>
    </row>
    <row r="865" spans="9:15" x14ac:dyDescent="0.15">
      <c r="I865" s="7">
        <f t="shared" si="129"/>
        <v>4</v>
      </c>
      <c r="J865" s="7">
        <f t="shared" si="130"/>
        <v>44</v>
      </c>
      <c r="K865" s="7">
        <f t="shared" si="131"/>
        <v>176</v>
      </c>
      <c r="L865" s="7">
        <f t="shared" si="124"/>
        <v>48.400000000000006</v>
      </c>
      <c r="M865" s="7">
        <f t="shared" si="125"/>
        <v>35.650000000000006</v>
      </c>
      <c r="N865" s="7">
        <f t="shared" si="126"/>
        <v>2.0661157024793386E-2</v>
      </c>
      <c r="O865" s="7">
        <f t="shared" si="127"/>
        <v>2.8050490883590459E-2</v>
      </c>
    </row>
    <row r="866" spans="9:15" x14ac:dyDescent="0.15">
      <c r="I866" s="7">
        <f t="shared" si="129"/>
        <v>5</v>
      </c>
      <c r="J866" s="7">
        <f t="shared" si="130"/>
        <v>44</v>
      </c>
      <c r="K866" s="7">
        <f t="shared" si="131"/>
        <v>220</v>
      </c>
      <c r="L866" s="7">
        <f t="shared" si="124"/>
        <v>50.6</v>
      </c>
      <c r="M866" s="7">
        <f t="shared" si="125"/>
        <v>40.049999999999997</v>
      </c>
      <c r="N866" s="7">
        <f t="shared" si="126"/>
        <v>1.9762845849802372E-2</v>
      </c>
      <c r="O866" s="7">
        <f t="shared" si="127"/>
        <v>2.4968789013732836E-2</v>
      </c>
    </row>
    <row r="867" spans="9:15" x14ac:dyDescent="0.15">
      <c r="I867" s="7">
        <f t="shared" si="129"/>
        <v>6</v>
      </c>
      <c r="J867" s="7">
        <f t="shared" si="130"/>
        <v>44</v>
      </c>
      <c r="K867" s="7">
        <f t="shared" si="131"/>
        <v>264</v>
      </c>
      <c r="L867" s="7">
        <f t="shared" si="124"/>
        <v>52.800000000000004</v>
      </c>
      <c r="M867" s="7">
        <f t="shared" si="125"/>
        <v>44.45</v>
      </c>
      <c r="N867" s="7">
        <f t="shared" si="126"/>
        <v>1.8939393939393936E-2</v>
      </c>
      <c r="O867" s="7">
        <f t="shared" si="127"/>
        <v>2.2497187851518559E-2</v>
      </c>
    </row>
    <row r="868" spans="9:15" x14ac:dyDescent="0.15">
      <c r="I868" s="7">
        <f t="shared" si="129"/>
        <v>7</v>
      </c>
      <c r="J868" s="7">
        <f t="shared" si="130"/>
        <v>44</v>
      </c>
      <c r="K868" s="7">
        <f t="shared" si="131"/>
        <v>308</v>
      </c>
      <c r="L868" s="7">
        <f t="shared" si="124"/>
        <v>55</v>
      </c>
      <c r="M868" s="7">
        <f t="shared" si="125"/>
        <v>48.85</v>
      </c>
      <c r="N868" s="7">
        <f t="shared" si="126"/>
        <v>1.8181818181818181E-2</v>
      </c>
      <c r="O868" s="7">
        <f t="shared" si="127"/>
        <v>2.0470829068577275E-2</v>
      </c>
    </row>
    <row r="869" spans="9:15" x14ac:dyDescent="0.15">
      <c r="I869" s="7">
        <f t="shared" si="129"/>
        <v>8</v>
      </c>
      <c r="J869" s="7">
        <f t="shared" si="130"/>
        <v>44</v>
      </c>
      <c r="K869" s="7">
        <f t="shared" si="131"/>
        <v>352</v>
      </c>
      <c r="L869" s="7">
        <f t="shared" si="124"/>
        <v>57.2</v>
      </c>
      <c r="M869" s="7">
        <f t="shared" si="125"/>
        <v>53.25</v>
      </c>
      <c r="N869" s="7">
        <f t="shared" si="126"/>
        <v>1.748251748251748E-2</v>
      </c>
      <c r="O869" s="7">
        <f t="shared" si="127"/>
        <v>1.8779342723004695E-2</v>
      </c>
    </row>
    <row r="870" spans="9:15" x14ac:dyDescent="0.15">
      <c r="I870" s="7">
        <f t="shared" si="129"/>
        <v>9</v>
      </c>
      <c r="J870" s="7">
        <f t="shared" si="130"/>
        <v>44</v>
      </c>
      <c r="K870" s="7">
        <f t="shared" si="131"/>
        <v>396</v>
      </c>
      <c r="L870" s="7">
        <f t="shared" si="124"/>
        <v>59.400000000000006</v>
      </c>
      <c r="M870" s="7">
        <f t="shared" si="125"/>
        <v>57.650000000000006</v>
      </c>
      <c r="N870" s="7">
        <f t="shared" si="126"/>
        <v>1.6835016835016835E-2</v>
      </c>
      <c r="O870" s="7">
        <f t="shared" si="127"/>
        <v>1.7346053772766695E-2</v>
      </c>
    </row>
    <row r="871" spans="9:15" x14ac:dyDescent="0.15">
      <c r="I871" s="7">
        <f t="shared" si="129"/>
        <v>10</v>
      </c>
      <c r="J871" s="7">
        <f t="shared" si="130"/>
        <v>44</v>
      </c>
      <c r="K871" s="7">
        <f t="shared" si="131"/>
        <v>440</v>
      </c>
      <c r="L871" s="7">
        <f t="shared" si="124"/>
        <v>61.6</v>
      </c>
      <c r="M871" s="7">
        <f t="shared" si="125"/>
        <v>62.05</v>
      </c>
      <c r="N871" s="7">
        <f t="shared" si="126"/>
        <v>1.6233766233766232E-2</v>
      </c>
      <c r="O871" s="7">
        <f t="shared" si="127"/>
        <v>1.6116035455278004E-2</v>
      </c>
    </row>
    <row r="872" spans="9:15" x14ac:dyDescent="0.15">
      <c r="I872" s="7">
        <f t="shared" si="129"/>
        <v>11</v>
      </c>
      <c r="J872" s="7">
        <f t="shared" si="130"/>
        <v>44</v>
      </c>
      <c r="K872" s="7">
        <f t="shared" si="131"/>
        <v>484</v>
      </c>
      <c r="L872" s="7">
        <f t="shared" si="124"/>
        <v>63.800000000000004</v>
      </c>
      <c r="M872" s="7">
        <f t="shared" si="125"/>
        <v>66.45</v>
      </c>
      <c r="N872" s="7">
        <f t="shared" si="126"/>
        <v>1.5673981191222569E-2</v>
      </c>
      <c r="O872" s="7">
        <f t="shared" si="127"/>
        <v>1.5048908954100828E-2</v>
      </c>
    </row>
    <row r="873" spans="9:15" x14ac:dyDescent="0.15">
      <c r="I873" s="7">
        <f t="shared" si="129"/>
        <v>12</v>
      </c>
      <c r="J873" s="7">
        <f t="shared" si="130"/>
        <v>44</v>
      </c>
      <c r="K873" s="7">
        <f t="shared" si="131"/>
        <v>528</v>
      </c>
      <c r="L873" s="7">
        <f t="shared" si="124"/>
        <v>66</v>
      </c>
      <c r="M873" s="7">
        <f t="shared" si="125"/>
        <v>70.850000000000009</v>
      </c>
      <c r="N873" s="7">
        <f t="shared" si="126"/>
        <v>1.5151515151515152E-2</v>
      </c>
      <c r="O873" s="7">
        <f t="shared" si="127"/>
        <v>1.4114326040931545E-2</v>
      </c>
    </row>
    <row r="874" spans="9:15" x14ac:dyDescent="0.15">
      <c r="I874" s="7">
        <f t="shared" si="129"/>
        <v>13</v>
      </c>
      <c r="J874" s="7">
        <f t="shared" si="130"/>
        <v>44</v>
      </c>
      <c r="K874" s="7">
        <f t="shared" si="131"/>
        <v>572</v>
      </c>
      <c r="L874" s="7">
        <f t="shared" si="124"/>
        <v>68.2</v>
      </c>
      <c r="M874" s="7">
        <f t="shared" si="125"/>
        <v>75.25</v>
      </c>
      <c r="N874" s="7">
        <f t="shared" si="126"/>
        <v>1.4662756598240468E-2</v>
      </c>
      <c r="O874" s="7">
        <f t="shared" si="127"/>
        <v>1.3289036544850499E-2</v>
      </c>
    </row>
    <row r="875" spans="9:15" x14ac:dyDescent="0.15">
      <c r="I875" s="7">
        <f t="shared" si="129"/>
        <v>14</v>
      </c>
      <c r="J875" s="7">
        <f t="shared" si="130"/>
        <v>44</v>
      </c>
      <c r="K875" s="7">
        <f t="shared" si="131"/>
        <v>616</v>
      </c>
      <c r="L875" s="7">
        <f t="shared" si="124"/>
        <v>70.400000000000006</v>
      </c>
      <c r="M875" s="7">
        <f t="shared" si="125"/>
        <v>79.650000000000006</v>
      </c>
      <c r="N875" s="7">
        <f t="shared" si="126"/>
        <v>1.4204545454545454E-2</v>
      </c>
      <c r="O875" s="7">
        <f t="shared" si="127"/>
        <v>1.2554927809165096E-2</v>
      </c>
    </row>
    <row r="876" spans="9:15" x14ac:dyDescent="0.15">
      <c r="I876" s="7">
        <f t="shared" si="129"/>
        <v>15</v>
      </c>
      <c r="J876" s="7">
        <f t="shared" si="130"/>
        <v>44</v>
      </c>
      <c r="K876" s="7">
        <f t="shared" si="131"/>
        <v>660</v>
      </c>
      <c r="L876" s="7">
        <f t="shared" si="124"/>
        <v>72.599999999999994</v>
      </c>
      <c r="M876" s="7">
        <f t="shared" si="125"/>
        <v>84.05</v>
      </c>
      <c r="N876" s="7">
        <f t="shared" si="126"/>
        <v>1.3774104683195593E-2</v>
      </c>
      <c r="O876" s="7">
        <f t="shared" si="127"/>
        <v>1.1897679952409281E-2</v>
      </c>
    </row>
    <row r="877" spans="9:15" x14ac:dyDescent="0.15">
      <c r="I877" s="7">
        <f t="shared" si="129"/>
        <v>16</v>
      </c>
      <c r="J877" s="7">
        <f t="shared" si="130"/>
        <v>44</v>
      </c>
      <c r="K877" s="7">
        <f t="shared" si="131"/>
        <v>704</v>
      </c>
      <c r="L877" s="7">
        <f t="shared" si="124"/>
        <v>74.800000000000011</v>
      </c>
      <c r="M877" s="7">
        <f t="shared" si="125"/>
        <v>88.45</v>
      </c>
      <c r="N877" s="7">
        <f t="shared" si="126"/>
        <v>1.3368983957219249E-2</v>
      </c>
      <c r="O877" s="7">
        <f t="shared" si="127"/>
        <v>1.1305822498586773E-2</v>
      </c>
    </row>
    <row r="878" spans="9:15" x14ac:dyDescent="0.15">
      <c r="I878" s="7">
        <f t="shared" si="129"/>
        <v>17</v>
      </c>
      <c r="J878" s="7">
        <f t="shared" si="130"/>
        <v>44</v>
      </c>
      <c r="K878" s="7">
        <f t="shared" si="131"/>
        <v>748</v>
      </c>
      <c r="L878" s="7">
        <f t="shared" si="124"/>
        <v>77</v>
      </c>
      <c r="M878" s="7">
        <f t="shared" si="125"/>
        <v>92.85</v>
      </c>
      <c r="N878" s="7">
        <f t="shared" si="126"/>
        <v>1.2987012987012988E-2</v>
      </c>
      <c r="O878" s="7">
        <f t="shared" si="127"/>
        <v>1.0770059235325796E-2</v>
      </c>
    </row>
    <row r="879" spans="9:15" x14ac:dyDescent="0.15">
      <c r="I879" s="7">
        <f t="shared" si="129"/>
        <v>18</v>
      </c>
      <c r="J879" s="7">
        <f t="shared" si="130"/>
        <v>44</v>
      </c>
      <c r="K879" s="7">
        <f t="shared" si="131"/>
        <v>792</v>
      </c>
      <c r="L879" s="7">
        <f t="shared" si="124"/>
        <v>79.2</v>
      </c>
      <c r="M879" s="7">
        <f t="shared" si="125"/>
        <v>97.25</v>
      </c>
      <c r="N879" s="7">
        <f t="shared" si="126"/>
        <v>1.2626262626262626E-2</v>
      </c>
      <c r="O879" s="7">
        <f t="shared" si="127"/>
        <v>1.0282776349614395E-2</v>
      </c>
    </row>
    <row r="880" spans="9:15" x14ac:dyDescent="0.15">
      <c r="I880" s="7">
        <f t="shared" si="129"/>
        <v>19</v>
      </c>
      <c r="J880" s="7">
        <f t="shared" si="130"/>
        <v>44</v>
      </c>
      <c r="K880" s="7">
        <f t="shared" si="131"/>
        <v>836</v>
      </c>
      <c r="L880" s="7">
        <f t="shared" si="124"/>
        <v>81.400000000000006</v>
      </c>
      <c r="M880" s="7">
        <f t="shared" si="125"/>
        <v>101.65</v>
      </c>
      <c r="N880" s="7">
        <f t="shared" si="126"/>
        <v>1.2285012285012284E-2</v>
      </c>
      <c r="O880" s="7">
        <f t="shared" si="127"/>
        <v>9.8376783079193297E-3</v>
      </c>
    </row>
    <row r="881" spans="9:15" x14ac:dyDescent="0.15">
      <c r="I881" s="7">
        <f t="shared" si="129"/>
        <v>20</v>
      </c>
      <c r="J881" s="7">
        <f t="shared" si="130"/>
        <v>44</v>
      </c>
      <c r="K881" s="7">
        <f t="shared" si="131"/>
        <v>880</v>
      </c>
      <c r="L881" s="7">
        <f t="shared" si="124"/>
        <v>83.6</v>
      </c>
      <c r="M881" s="7">
        <f t="shared" si="125"/>
        <v>106.05</v>
      </c>
      <c r="N881" s="7">
        <f t="shared" si="126"/>
        <v>1.1961722488038277E-2</v>
      </c>
      <c r="O881" s="7">
        <f t="shared" si="127"/>
        <v>9.4295143800094301E-3</v>
      </c>
    </row>
    <row r="882" spans="9:15" x14ac:dyDescent="0.15">
      <c r="I882" s="7">
        <f t="shared" si="129"/>
        <v>1</v>
      </c>
      <c r="J882" s="7">
        <f t="shared" si="130"/>
        <v>45</v>
      </c>
      <c r="K882" s="7">
        <f>J882</f>
        <v>45</v>
      </c>
      <c r="L882" s="7">
        <f t="shared" si="124"/>
        <v>42.75</v>
      </c>
      <c r="M882" s="7">
        <f t="shared" si="125"/>
        <v>22.95</v>
      </c>
      <c r="N882" s="7">
        <f t="shared" si="126"/>
        <v>2.3391812865497075E-2</v>
      </c>
      <c r="O882" s="7">
        <f t="shared" si="127"/>
        <v>4.357298474945534E-2</v>
      </c>
    </row>
    <row r="883" spans="9:15" x14ac:dyDescent="0.15">
      <c r="I883" s="7">
        <f t="shared" si="129"/>
        <v>2</v>
      </c>
      <c r="J883" s="7">
        <f t="shared" si="130"/>
        <v>45</v>
      </c>
      <c r="K883" s="7">
        <f>K882+J882</f>
        <v>90</v>
      </c>
      <c r="L883" s="7">
        <f t="shared" si="124"/>
        <v>45</v>
      </c>
      <c r="M883" s="7">
        <f t="shared" si="125"/>
        <v>27.45</v>
      </c>
      <c r="N883" s="7">
        <f t="shared" si="126"/>
        <v>2.2222222222222223E-2</v>
      </c>
      <c r="O883" s="7">
        <f t="shared" si="127"/>
        <v>3.6429872495446269E-2</v>
      </c>
    </row>
    <row r="884" spans="9:15" x14ac:dyDescent="0.15">
      <c r="I884" s="7">
        <f t="shared" si="129"/>
        <v>3</v>
      </c>
      <c r="J884" s="7">
        <f t="shared" si="130"/>
        <v>45</v>
      </c>
      <c r="K884" s="7">
        <f t="shared" ref="K884:K901" si="132">K883+J883</f>
        <v>135</v>
      </c>
      <c r="L884" s="7">
        <f t="shared" si="124"/>
        <v>47.25</v>
      </c>
      <c r="M884" s="7">
        <f t="shared" si="125"/>
        <v>31.95</v>
      </c>
      <c r="N884" s="7">
        <f t="shared" si="126"/>
        <v>2.1164021164021163E-2</v>
      </c>
      <c r="O884" s="7">
        <f t="shared" si="127"/>
        <v>3.1298904538341159E-2</v>
      </c>
    </row>
    <row r="885" spans="9:15" x14ac:dyDescent="0.15">
      <c r="I885" s="7">
        <f t="shared" si="129"/>
        <v>4</v>
      </c>
      <c r="J885" s="7">
        <f t="shared" si="130"/>
        <v>45</v>
      </c>
      <c r="K885" s="7">
        <f t="shared" si="132"/>
        <v>180</v>
      </c>
      <c r="L885" s="7">
        <f t="shared" si="124"/>
        <v>49.5</v>
      </c>
      <c r="M885" s="7">
        <f t="shared" si="125"/>
        <v>36.450000000000003</v>
      </c>
      <c r="N885" s="7">
        <f t="shared" si="126"/>
        <v>2.0202020202020204E-2</v>
      </c>
      <c r="O885" s="7">
        <f t="shared" si="127"/>
        <v>2.7434842249657063E-2</v>
      </c>
    </row>
    <row r="886" spans="9:15" x14ac:dyDescent="0.15">
      <c r="I886" s="7">
        <f t="shared" si="129"/>
        <v>5</v>
      </c>
      <c r="J886" s="7">
        <f t="shared" si="130"/>
        <v>45</v>
      </c>
      <c r="K886" s="7">
        <f t="shared" si="132"/>
        <v>225</v>
      </c>
      <c r="L886" s="7">
        <f t="shared" si="124"/>
        <v>51.75</v>
      </c>
      <c r="M886" s="7">
        <f t="shared" si="125"/>
        <v>40.950000000000003</v>
      </c>
      <c r="N886" s="7">
        <f t="shared" si="126"/>
        <v>1.932367149758454E-2</v>
      </c>
      <c r="O886" s="7">
        <f t="shared" si="127"/>
        <v>2.442002442002442E-2</v>
      </c>
    </row>
    <row r="887" spans="9:15" x14ac:dyDescent="0.15">
      <c r="I887" s="7">
        <f t="shared" si="129"/>
        <v>6</v>
      </c>
      <c r="J887" s="7">
        <f t="shared" si="130"/>
        <v>45</v>
      </c>
      <c r="K887" s="7">
        <f t="shared" si="132"/>
        <v>270</v>
      </c>
      <c r="L887" s="7">
        <f t="shared" si="124"/>
        <v>54</v>
      </c>
      <c r="M887" s="7">
        <f t="shared" si="125"/>
        <v>45.45</v>
      </c>
      <c r="N887" s="7">
        <f t="shared" si="126"/>
        <v>1.8518518518518517E-2</v>
      </c>
      <c r="O887" s="7">
        <f t="shared" si="127"/>
        <v>2.2002200220022E-2</v>
      </c>
    </row>
    <row r="888" spans="9:15" x14ac:dyDescent="0.15">
      <c r="I888" s="7">
        <f t="shared" si="129"/>
        <v>7</v>
      </c>
      <c r="J888" s="7">
        <f t="shared" si="130"/>
        <v>45</v>
      </c>
      <c r="K888" s="7">
        <f t="shared" si="132"/>
        <v>315</v>
      </c>
      <c r="L888" s="7">
        <f t="shared" si="124"/>
        <v>56.25</v>
      </c>
      <c r="M888" s="7">
        <f t="shared" si="125"/>
        <v>49.95</v>
      </c>
      <c r="N888" s="7">
        <f t="shared" si="126"/>
        <v>1.7777777777777778E-2</v>
      </c>
      <c r="O888" s="7">
        <f t="shared" si="127"/>
        <v>2.002002002002002E-2</v>
      </c>
    </row>
    <row r="889" spans="9:15" x14ac:dyDescent="0.15">
      <c r="I889" s="7">
        <f t="shared" si="129"/>
        <v>8</v>
      </c>
      <c r="J889" s="7">
        <f t="shared" si="130"/>
        <v>45</v>
      </c>
      <c r="K889" s="7">
        <f t="shared" si="132"/>
        <v>360</v>
      </c>
      <c r="L889" s="7">
        <f t="shared" si="124"/>
        <v>58.5</v>
      </c>
      <c r="M889" s="7">
        <f t="shared" si="125"/>
        <v>54.45</v>
      </c>
      <c r="N889" s="7">
        <f t="shared" si="126"/>
        <v>1.7094017094017096E-2</v>
      </c>
      <c r="O889" s="7">
        <f t="shared" si="127"/>
        <v>1.8365472910927456E-2</v>
      </c>
    </row>
    <row r="890" spans="9:15" x14ac:dyDescent="0.15">
      <c r="I890" s="7">
        <f t="shared" si="129"/>
        <v>9</v>
      </c>
      <c r="J890" s="7">
        <f t="shared" si="130"/>
        <v>45</v>
      </c>
      <c r="K890" s="7">
        <f t="shared" si="132"/>
        <v>405</v>
      </c>
      <c r="L890" s="7">
        <f t="shared" si="124"/>
        <v>60.75</v>
      </c>
      <c r="M890" s="7">
        <f t="shared" si="125"/>
        <v>58.95</v>
      </c>
      <c r="N890" s="7">
        <f t="shared" si="126"/>
        <v>1.646090534979424E-2</v>
      </c>
      <c r="O890" s="7">
        <f t="shared" si="127"/>
        <v>1.6963528413910092E-2</v>
      </c>
    </row>
    <row r="891" spans="9:15" x14ac:dyDescent="0.15">
      <c r="I891" s="7">
        <f t="shared" si="129"/>
        <v>10</v>
      </c>
      <c r="J891" s="7">
        <f t="shared" si="130"/>
        <v>45</v>
      </c>
      <c r="K891" s="7">
        <f t="shared" si="132"/>
        <v>450</v>
      </c>
      <c r="L891" s="7">
        <f t="shared" si="124"/>
        <v>63</v>
      </c>
      <c r="M891" s="7">
        <f t="shared" si="125"/>
        <v>63.45</v>
      </c>
      <c r="N891" s="7">
        <f t="shared" si="126"/>
        <v>1.5873015873015872E-2</v>
      </c>
      <c r="O891" s="7">
        <f t="shared" si="127"/>
        <v>1.5760441292356184E-2</v>
      </c>
    </row>
    <row r="892" spans="9:15" x14ac:dyDescent="0.15">
      <c r="I892" s="7">
        <f t="shared" si="129"/>
        <v>11</v>
      </c>
      <c r="J892" s="7">
        <f t="shared" si="130"/>
        <v>45</v>
      </c>
      <c r="K892" s="7">
        <f t="shared" si="132"/>
        <v>495</v>
      </c>
      <c r="L892" s="7">
        <f t="shared" si="124"/>
        <v>65.25</v>
      </c>
      <c r="M892" s="7">
        <f t="shared" si="125"/>
        <v>67.95</v>
      </c>
      <c r="N892" s="7">
        <f t="shared" si="126"/>
        <v>1.532567049808429E-2</v>
      </c>
      <c r="O892" s="7">
        <f t="shared" si="127"/>
        <v>1.4716703458425313E-2</v>
      </c>
    </row>
    <row r="893" spans="9:15" x14ac:dyDescent="0.15">
      <c r="I893" s="7">
        <f t="shared" si="129"/>
        <v>12</v>
      </c>
      <c r="J893" s="7">
        <f t="shared" si="130"/>
        <v>45</v>
      </c>
      <c r="K893" s="7">
        <f t="shared" si="132"/>
        <v>540</v>
      </c>
      <c r="L893" s="7">
        <f t="shared" si="124"/>
        <v>67.5</v>
      </c>
      <c r="M893" s="7">
        <f t="shared" si="125"/>
        <v>72.45</v>
      </c>
      <c r="N893" s="7">
        <f t="shared" si="126"/>
        <v>1.4814814814814815E-2</v>
      </c>
      <c r="O893" s="7">
        <f t="shared" si="127"/>
        <v>1.3802622498274672E-2</v>
      </c>
    </row>
    <row r="894" spans="9:15" x14ac:dyDescent="0.15">
      <c r="I894" s="7">
        <f t="shared" si="129"/>
        <v>13</v>
      </c>
      <c r="J894" s="7">
        <f t="shared" si="130"/>
        <v>45</v>
      </c>
      <c r="K894" s="7">
        <f t="shared" si="132"/>
        <v>585</v>
      </c>
      <c r="L894" s="7">
        <f t="shared" si="124"/>
        <v>69.75</v>
      </c>
      <c r="M894" s="7">
        <f t="shared" si="125"/>
        <v>76.95</v>
      </c>
      <c r="N894" s="7">
        <f t="shared" si="126"/>
        <v>1.4336917562724014E-2</v>
      </c>
      <c r="O894" s="7">
        <f t="shared" si="127"/>
        <v>1.2995451591942819E-2</v>
      </c>
    </row>
    <row r="895" spans="9:15" x14ac:dyDescent="0.15">
      <c r="I895" s="7">
        <f t="shared" si="129"/>
        <v>14</v>
      </c>
      <c r="J895" s="7">
        <f t="shared" si="130"/>
        <v>45</v>
      </c>
      <c r="K895" s="7">
        <f t="shared" si="132"/>
        <v>630</v>
      </c>
      <c r="L895" s="7">
        <f t="shared" si="124"/>
        <v>72</v>
      </c>
      <c r="M895" s="7">
        <f t="shared" si="125"/>
        <v>81.45</v>
      </c>
      <c r="N895" s="7">
        <f t="shared" si="126"/>
        <v>1.3888888888888888E-2</v>
      </c>
      <c r="O895" s="7">
        <f t="shared" si="127"/>
        <v>1.2277470841006752E-2</v>
      </c>
    </row>
    <row r="896" spans="9:15" x14ac:dyDescent="0.15">
      <c r="I896" s="7">
        <f t="shared" si="129"/>
        <v>15</v>
      </c>
      <c r="J896" s="7">
        <f t="shared" si="130"/>
        <v>45</v>
      </c>
      <c r="K896" s="7">
        <f t="shared" si="132"/>
        <v>675</v>
      </c>
      <c r="L896" s="7">
        <f t="shared" si="124"/>
        <v>74.25</v>
      </c>
      <c r="M896" s="7">
        <f t="shared" si="125"/>
        <v>85.95</v>
      </c>
      <c r="N896" s="7">
        <f t="shared" si="126"/>
        <v>1.3468013468013467E-2</v>
      </c>
      <c r="O896" s="7">
        <f t="shared" si="127"/>
        <v>1.1634671320535195E-2</v>
      </c>
    </row>
    <row r="897" spans="9:15" x14ac:dyDescent="0.15">
      <c r="I897" s="7">
        <f t="shared" si="129"/>
        <v>16</v>
      </c>
      <c r="J897" s="7">
        <f t="shared" si="130"/>
        <v>45</v>
      </c>
      <c r="K897" s="7">
        <f t="shared" si="132"/>
        <v>720</v>
      </c>
      <c r="L897" s="7">
        <f t="shared" si="124"/>
        <v>76.5</v>
      </c>
      <c r="M897" s="7">
        <f t="shared" si="125"/>
        <v>90.45</v>
      </c>
      <c r="N897" s="7">
        <f t="shared" si="126"/>
        <v>1.3071895424836602E-2</v>
      </c>
      <c r="O897" s="7">
        <f t="shared" si="127"/>
        <v>1.1055831951354339E-2</v>
      </c>
    </row>
    <row r="898" spans="9:15" x14ac:dyDescent="0.15">
      <c r="I898" s="7">
        <f t="shared" si="129"/>
        <v>17</v>
      </c>
      <c r="J898" s="7">
        <f t="shared" si="130"/>
        <v>45</v>
      </c>
      <c r="K898" s="7">
        <f t="shared" si="132"/>
        <v>765</v>
      </c>
      <c r="L898" s="7">
        <f t="shared" si="124"/>
        <v>78.75</v>
      </c>
      <c r="M898" s="7">
        <f t="shared" si="125"/>
        <v>94.95</v>
      </c>
      <c r="N898" s="7">
        <f t="shared" si="126"/>
        <v>1.2698412698412698E-2</v>
      </c>
      <c r="O898" s="7">
        <f t="shared" si="127"/>
        <v>1.0531858873091101E-2</v>
      </c>
    </row>
    <row r="899" spans="9:15" x14ac:dyDescent="0.15">
      <c r="I899" s="7">
        <f t="shared" si="129"/>
        <v>18</v>
      </c>
      <c r="J899" s="7">
        <f t="shared" si="130"/>
        <v>45</v>
      </c>
      <c r="K899" s="7">
        <f t="shared" si="132"/>
        <v>810</v>
      </c>
      <c r="L899" s="7">
        <f t="shared" ref="L899:L962" si="133">0.9*J899+0.05*K899</f>
        <v>81</v>
      </c>
      <c r="M899" s="7">
        <f t="shared" ref="M899:M962" si="134">0.45+0.4*J899+0.1*K899</f>
        <v>99.45</v>
      </c>
      <c r="N899" s="7">
        <f t="shared" ref="N899:N962" si="135">1/L899</f>
        <v>1.2345679012345678E-2</v>
      </c>
      <c r="O899" s="7">
        <f t="shared" ref="O899:O962" si="136">1/M899</f>
        <v>1.0055304172951231E-2</v>
      </c>
    </row>
    <row r="900" spans="9:15" x14ac:dyDescent="0.15">
      <c r="I900" s="7">
        <f t="shared" si="129"/>
        <v>19</v>
      </c>
      <c r="J900" s="7">
        <f t="shared" si="130"/>
        <v>45</v>
      </c>
      <c r="K900" s="7">
        <f t="shared" si="132"/>
        <v>855</v>
      </c>
      <c r="L900" s="7">
        <f t="shared" si="133"/>
        <v>83.25</v>
      </c>
      <c r="M900" s="7">
        <f t="shared" si="134"/>
        <v>103.95</v>
      </c>
      <c r="N900" s="7">
        <f t="shared" si="135"/>
        <v>1.2012012012012012E-2</v>
      </c>
      <c r="O900" s="7">
        <f t="shared" si="136"/>
        <v>9.6200096200096206E-3</v>
      </c>
    </row>
    <row r="901" spans="9:15" x14ac:dyDescent="0.15">
      <c r="I901" s="7">
        <f t="shared" si="129"/>
        <v>20</v>
      </c>
      <c r="J901" s="7">
        <f t="shared" si="130"/>
        <v>45</v>
      </c>
      <c r="K901" s="7">
        <f t="shared" si="132"/>
        <v>900</v>
      </c>
      <c r="L901" s="7">
        <f t="shared" si="133"/>
        <v>85.5</v>
      </c>
      <c r="M901" s="7">
        <f t="shared" si="134"/>
        <v>108.45</v>
      </c>
      <c r="N901" s="7">
        <f t="shared" si="135"/>
        <v>1.1695906432748537E-2</v>
      </c>
      <c r="O901" s="7">
        <f t="shared" si="136"/>
        <v>9.2208390963577688E-3</v>
      </c>
    </row>
    <row r="902" spans="9:15" x14ac:dyDescent="0.15">
      <c r="I902" s="7">
        <f t="shared" si="129"/>
        <v>1</v>
      </c>
      <c r="J902" s="7">
        <f t="shared" si="130"/>
        <v>46</v>
      </c>
      <c r="K902" s="7">
        <f>J902</f>
        <v>46</v>
      </c>
      <c r="L902" s="7">
        <f t="shared" si="133"/>
        <v>43.699999999999996</v>
      </c>
      <c r="M902" s="7">
        <f t="shared" si="134"/>
        <v>23.450000000000003</v>
      </c>
      <c r="N902" s="7">
        <f t="shared" si="135"/>
        <v>2.2883295194508012E-2</v>
      </c>
      <c r="O902" s="7">
        <f t="shared" si="136"/>
        <v>4.2643923240938159E-2</v>
      </c>
    </row>
    <row r="903" spans="9:15" x14ac:dyDescent="0.15">
      <c r="I903" s="7">
        <f t="shared" si="129"/>
        <v>2</v>
      </c>
      <c r="J903" s="7">
        <f t="shared" si="130"/>
        <v>46</v>
      </c>
      <c r="K903" s="7">
        <f>K902+J902</f>
        <v>92</v>
      </c>
      <c r="L903" s="7">
        <f t="shared" si="133"/>
        <v>46</v>
      </c>
      <c r="M903" s="7">
        <f t="shared" si="134"/>
        <v>28.050000000000004</v>
      </c>
      <c r="N903" s="7">
        <f t="shared" si="135"/>
        <v>2.1739130434782608E-2</v>
      </c>
      <c r="O903" s="7">
        <f t="shared" si="136"/>
        <v>3.5650623885917998E-2</v>
      </c>
    </row>
    <row r="904" spans="9:15" x14ac:dyDescent="0.15">
      <c r="I904" s="7">
        <f t="shared" si="129"/>
        <v>3</v>
      </c>
      <c r="J904" s="7">
        <f t="shared" si="130"/>
        <v>46</v>
      </c>
      <c r="K904" s="7">
        <f t="shared" ref="K904:K921" si="137">K903+J903</f>
        <v>138</v>
      </c>
      <c r="L904" s="7">
        <f t="shared" si="133"/>
        <v>48.3</v>
      </c>
      <c r="M904" s="7">
        <f t="shared" si="134"/>
        <v>32.650000000000006</v>
      </c>
      <c r="N904" s="7">
        <f t="shared" si="135"/>
        <v>2.0703933747412008E-2</v>
      </c>
      <c r="O904" s="7">
        <f t="shared" si="136"/>
        <v>3.0627871362940269E-2</v>
      </c>
    </row>
    <row r="905" spans="9:15" x14ac:dyDescent="0.15">
      <c r="I905" s="7">
        <f t="shared" si="129"/>
        <v>4</v>
      </c>
      <c r="J905" s="7">
        <f t="shared" si="130"/>
        <v>46</v>
      </c>
      <c r="K905" s="7">
        <f t="shared" si="137"/>
        <v>184</v>
      </c>
      <c r="L905" s="7">
        <f t="shared" si="133"/>
        <v>50.6</v>
      </c>
      <c r="M905" s="7">
        <f t="shared" si="134"/>
        <v>37.25</v>
      </c>
      <c r="N905" s="7">
        <f t="shared" si="135"/>
        <v>1.9762845849802372E-2</v>
      </c>
      <c r="O905" s="7">
        <f t="shared" si="136"/>
        <v>2.6845637583892617E-2</v>
      </c>
    </row>
    <row r="906" spans="9:15" x14ac:dyDescent="0.15">
      <c r="I906" s="7">
        <f t="shared" si="129"/>
        <v>5</v>
      </c>
      <c r="J906" s="7">
        <f t="shared" si="130"/>
        <v>46</v>
      </c>
      <c r="K906" s="7">
        <f t="shared" si="137"/>
        <v>230</v>
      </c>
      <c r="L906" s="7">
        <f t="shared" si="133"/>
        <v>52.9</v>
      </c>
      <c r="M906" s="7">
        <f t="shared" si="134"/>
        <v>41.85</v>
      </c>
      <c r="N906" s="7">
        <f t="shared" si="135"/>
        <v>1.890359168241966E-2</v>
      </c>
      <c r="O906" s="7">
        <f t="shared" si="136"/>
        <v>2.3894862604540022E-2</v>
      </c>
    </row>
    <row r="907" spans="9:15" x14ac:dyDescent="0.15">
      <c r="I907" s="7">
        <f t="shared" si="129"/>
        <v>6</v>
      </c>
      <c r="J907" s="7">
        <f t="shared" si="130"/>
        <v>46</v>
      </c>
      <c r="K907" s="7">
        <f t="shared" si="137"/>
        <v>276</v>
      </c>
      <c r="L907" s="7">
        <f t="shared" si="133"/>
        <v>55.2</v>
      </c>
      <c r="M907" s="7">
        <f t="shared" si="134"/>
        <v>46.45</v>
      </c>
      <c r="N907" s="7">
        <f t="shared" si="135"/>
        <v>1.8115942028985508E-2</v>
      </c>
      <c r="O907" s="7">
        <f t="shared" si="136"/>
        <v>2.1528525296017221E-2</v>
      </c>
    </row>
    <row r="908" spans="9:15" x14ac:dyDescent="0.15">
      <c r="I908" s="7">
        <f t="shared" si="129"/>
        <v>7</v>
      </c>
      <c r="J908" s="7">
        <f t="shared" si="130"/>
        <v>46</v>
      </c>
      <c r="K908" s="7">
        <f t="shared" si="137"/>
        <v>322</v>
      </c>
      <c r="L908" s="7">
        <f t="shared" si="133"/>
        <v>57.5</v>
      </c>
      <c r="M908" s="7">
        <f t="shared" si="134"/>
        <v>51.050000000000004</v>
      </c>
      <c r="N908" s="7">
        <f t="shared" si="135"/>
        <v>1.7391304347826087E-2</v>
      </c>
      <c r="O908" s="7">
        <f t="shared" si="136"/>
        <v>1.958863858961802E-2</v>
      </c>
    </row>
    <row r="909" spans="9:15" x14ac:dyDescent="0.15">
      <c r="I909" s="7">
        <f t="shared" si="129"/>
        <v>8</v>
      </c>
      <c r="J909" s="7">
        <f t="shared" si="130"/>
        <v>46</v>
      </c>
      <c r="K909" s="7">
        <f t="shared" si="137"/>
        <v>368</v>
      </c>
      <c r="L909" s="7">
        <f t="shared" si="133"/>
        <v>59.8</v>
      </c>
      <c r="M909" s="7">
        <f t="shared" si="134"/>
        <v>55.650000000000006</v>
      </c>
      <c r="N909" s="7">
        <f t="shared" si="135"/>
        <v>1.6722408026755852E-2</v>
      </c>
      <c r="O909" s="7">
        <f t="shared" si="136"/>
        <v>1.796945193171608E-2</v>
      </c>
    </row>
    <row r="910" spans="9:15" x14ac:dyDescent="0.15">
      <c r="I910" s="7">
        <f t="shared" si="129"/>
        <v>9</v>
      </c>
      <c r="J910" s="7">
        <f t="shared" si="130"/>
        <v>46</v>
      </c>
      <c r="K910" s="7">
        <f t="shared" si="137"/>
        <v>414</v>
      </c>
      <c r="L910" s="7">
        <f t="shared" si="133"/>
        <v>62.1</v>
      </c>
      <c r="M910" s="7">
        <f t="shared" si="134"/>
        <v>60.250000000000007</v>
      </c>
      <c r="N910" s="7">
        <f t="shared" si="135"/>
        <v>1.610305958132045E-2</v>
      </c>
      <c r="O910" s="7">
        <f t="shared" si="136"/>
        <v>1.659751037344398E-2</v>
      </c>
    </row>
    <row r="911" spans="9:15" x14ac:dyDescent="0.15">
      <c r="I911" s="7">
        <f t="shared" si="129"/>
        <v>10</v>
      </c>
      <c r="J911" s="7">
        <f t="shared" si="130"/>
        <v>46</v>
      </c>
      <c r="K911" s="7">
        <f t="shared" si="137"/>
        <v>460</v>
      </c>
      <c r="L911" s="7">
        <f t="shared" si="133"/>
        <v>64.400000000000006</v>
      </c>
      <c r="M911" s="7">
        <f t="shared" si="134"/>
        <v>64.849999999999994</v>
      </c>
      <c r="N911" s="7">
        <f t="shared" si="135"/>
        <v>1.5527950310559004E-2</v>
      </c>
      <c r="O911" s="7">
        <f t="shared" si="136"/>
        <v>1.5420200462606014E-2</v>
      </c>
    </row>
    <row r="912" spans="9:15" x14ac:dyDescent="0.15">
      <c r="I912" s="7">
        <f t="shared" si="129"/>
        <v>11</v>
      </c>
      <c r="J912" s="7">
        <f t="shared" si="130"/>
        <v>46</v>
      </c>
      <c r="K912" s="7">
        <f t="shared" si="137"/>
        <v>506</v>
      </c>
      <c r="L912" s="7">
        <f t="shared" si="133"/>
        <v>66.7</v>
      </c>
      <c r="M912" s="7">
        <f t="shared" si="134"/>
        <v>69.45</v>
      </c>
      <c r="N912" s="7">
        <f t="shared" si="135"/>
        <v>1.4992503748125937E-2</v>
      </c>
      <c r="O912" s="7">
        <f t="shared" si="136"/>
        <v>1.4398848092152626E-2</v>
      </c>
    </row>
    <row r="913" spans="9:15" x14ac:dyDescent="0.15">
      <c r="I913" s="7">
        <f t="shared" si="129"/>
        <v>12</v>
      </c>
      <c r="J913" s="7">
        <f t="shared" si="130"/>
        <v>46</v>
      </c>
      <c r="K913" s="7">
        <f t="shared" si="137"/>
        <v>552</v>
      </c>
      <c r="L913" s="7">
        <f t="shared" si="133"/>
        <v>69</v>
      </c>
      <c r="M913" s="7">
        <f t="shared" si="134"/>
        <v>74.050000000000011</v>
      </c>
      <c r="N913" s="7">
        <f t="shared" si="135"/>
        <v>1.4492753623188406E-2</v>
      </c>
      <c r="O913" s="7">
        <f t="shared" si="136"/>
        <v>1.3504388926401078E-2</v>
      </c>
    </row>
    <row r="914" spans="9:15" x14ac:dyDescent="0.15">
      <c r="I914" s="7">
        <f t="shared" si="129"/>
        <v>13</v>
      </c>
      <c r="J914" s="7">
        <f t="shared" si="130"/>
        <v>46</v>
      </c>
      <c r="K914" s="7">
        <f t="shared" si="137"/>
        <v>598</v>
      </c>
      <c r="L914" s="7">
        <f t="shared" si="133"/>
        <v>71.3</v>
      </c>
      <c r="M914" s="7">
        <f t="shared" si="134"/>
        <v>78.650000000000006</v>
      </c>
      <c r="N914" s="7">
        <f t="shared" si="135"/>
        <v>1.4025245441795233E-2</v>
      </c>
      <c r="O914" s="7">
        <f t="shared" si="136"/>
        <v>1.2714558169103623E-2</v>
      </c>
    </row>
    <row r="915" spans="9:15" x14ac:dyDescent="0.15">
      <c r="I915" s="7">
        <f t="shared" si="129"/>
        <v>14</v>
      </c>
      <c r="J915" s="7">
        <f t="shared" si="130"/>
        <v>46</v>
      </c>
      <c r="K915" s="7">
        <f t="shared" si="137"/>
        <v>644</v>
      </c>
      <c r="L915" s="7">
        <f t="shared" si="133"/>
        <v>73.599999999999994</v>
      </c>
      <c r="M915" s="7">
        <f t="shared" si="134"/>
        <v>83.25</v>
      </c>
      <c r="N915" s="7">
        <f t="shared" si="135"/>
        <v>1.3586956521739132E-2</v>
      </c>
      <c r="O915" s="7">
        <f t="shared" si="136"/>
        <v>1.2012012012012012E-2</v>
      </c>
    </row>
    <row r="916" spans="9:15" x14ac:dyDescent="0.15">
      <c r="I916" s="7">
        <f t="shared" si="129"/>
        <v>15</v>
      </c>
      <c r="J916" s="7">
        <f t="shared" si="130"/>
        <v>46</v>
      </c>
      <c r="K916" s="7">
        <f t="shared" si="137"/>
        <v>690</v>
      </c>
      <c r="L916" s="7">
        <f t="shared" si="133"/>
        <v>75.900000000000006</v>
      </c>
      <c r="M916" s="7">
        <f t="shared" si="134"/>
        <v>87.85</v>
      </c>
      <c r="N916" s="7">
        <f t="shared" si="135"/>
        <v>1.3175230566534914E-2</v>
      </c>
      <c r="O916" s="7">
        <f t="shared" si="136"/>
        <v>1.1383039271485488E-2</v>
      </c>
    </row>
    <row r="917" spans="9:15" x14ac:dyDescent="0.15">
      <c r="I917" s="7">
        <f t="shared" si="129"/>
        <v>16</v>
      </c>
      <c r="J917" s="7">
        <f t="shared" si="130"/>
        <v>46</v>
      </c>
      <c r="K917" s="7">
        <f t="shared" si="137"/>
        <v>736</v>
      </c>
      <c r="L917" s="7">
        <f t="shared" si="133"/>
        <v>78.2</v>
      </c>
      <c r="M917" s="7">
        <f t="shared" si="134"/>
        <v>92.450000000000017</v>
      </c>
      <c r="N917" s="7">
        <f t="shared" si="135"/>
        <v>1.278772378516624E-2</v>
      </c>
      <c r="O917" s="7">
        <f t="shared" si="136"/>
        <v>1.0816657652785288E-2</v>
      </c>
    </row>
    <row r="918" spans="9:15" x14ac:dyDescent="0.15">
      <c r="I918" s="7">
        <f t="shared" si="129"/>
        <v>17</v>
      </c>
      <c r="J918" s="7">
        <f t="shared" si="130"/>
        <v>46</v>
      </c>
      <c r="K918" s="7">
        <f t="shared" si="137"/>
        <v>782</v>
      </c>
      <c r="L918" s="7">
        <f t="shared" si="133"/>
        <v>80.5</v>
      </c>
      <c r="M918" s="7">
        <f t="shared" si="134"/>
        <v>97.050000000000011</v>
      </c>
      <c r="N918" s="7">
        <f t="shared" si="135"/>
        <v>1.2422360248447204E-2</v>
      </c>
      <c r="O918" s="7">
        <f t="shared" si="136"/>
        <v>1.0303967027305511E-2</v>
      </c>
    </row>
    <row r="919" spans="9:15" x14ac:dyDescent="0.15">
      <c r="I919" s="7">
        <f t="shared" ref="I919:I982" si="138">I899</f>
        <v>18</v>
      </c>
      <c r="J919" s="7">
        <f t="shared" ref="J919:J982" si="139">J899+1</f>
        <v>46</v>
      </c>
      <c r="K919" s="7">
        <f t="shared" si="137"/>
        <v>828</v>
      </c>
      <c r="L919" s="7">
        <f t="shared" si="133"/>
        <v>82.800000000000011</v>
      </c>
      <c r="M919" s="7">
        <f t="shared" si="134"/>
        <v>101.65</v>
      </c>
      <c r="N919" s="7">
        <f t="shared" si="135"/>
        <v>1.2077294685990336E-2</v>
      </c>
      <c r="O919" s="7">
        <f t="shared" si="136"/>
        <v>9.8376783079193297E-3</v>
      </c>
    </row>
    <row r="920" spans="9:15" x14ac:dyDescent="0.15">
      <c r="I920" s="7">
        <f t="shared" si="138"/>
        <v>19</v>
      </c>
      <c r="J920" s="7">
        <f t="shared" si="139"/>
        <v>46</v>
      </c>
      <c r="K920" s="7">
        <f t="shared" si="137"/>
        <v>874</v>
      </c>
      <c r="L920" s="7">
        <f t="shared" si="133"/>
        <v>85.1</v>
      </c>
      <c r="M920" s="7">
        <f t="shared" si="134"/>
        <v>106.25</v>
      </c>
      <c r="N920" s="7">
        <f t="shared" si="135"/>
        <v>1.1750881316098707E-2</v>
      </c>
      <c r="O920" s="7">
        <f t="shared" si="136"/>
        <v>9.4117647058823521E-3</v>
      </c>
    </row>
    <row r="921" spans="9:15" x14ac:dyDescent="0.15">
      <c r="I921" s="7">
        <f t="shared" si="138"/>
        <v>20</v>
      </c>
      <c r="J921" s="7">
        <f t="shared" si="139"/>
        <v>46</v>
      </c>
      <c r="K921" s="7">
        <f t="shared" si="137"/>
        <v>920</v>
      </c>
      <c r="L921" s="7">
        <f t="shared" si="133"/>
        <v>87.4</v>
      </c>
      <c r="M921" s="7">
        <f t="shared" si="134"/>
        <v>110.85</v>
      </c>
      <c r="N921" s="7">
        <f t="shared" si="135"/>
        <v>1.1441647597254004E-2</v>
      </c>
      <c r="O921" s="7">
        <f t="shared" si="136"/>
        <v>9.0211998195760049E-3</v>
      </c>
    </row>
    <row r="922" spans="9:15" x14ac:dyDescent="0.15">
      <c r="I922" s="7">
        <f t="shared" si="138"/>
        <v>1</v>
      </c>
      <c r="J922" s="7">
        <f t="shared" si="139"/>
        <v>47</v>
      </c>
      <c r="K922" s="7">
        <f>J922</f>
        <v>47</v>
      </c>
      <c r="L922" s="7">
        <f t="shared" si="133"/>
        <v>44.650000000000006</v>
      </c>
      <c r="M922" s="7">
        <f t="shared" si="134"/>
        <v>23.95</v>
      </c>
      <c r="N922" s="7">
        <f t="shared" si="135"/>
        <v>2.239641657334826E-2</v>
      </c>
      <c r="O922" s="7">
        <f t="shared" si="136"/>
        <v>4.1753653444676408E-2</v>
      </c>
    </row>
    <row r="923" spans="9:15" x14ac:dyDescent="0.15">
      <c r="I923" s="7">
        <f t="shared" si="138"/>
        <v>2</v>
      </c>
      <c r="J923" s="7">
        <f t="shared" si="139"/>
        <v>47</v>
      </c>
      <c r="K923" s="7">
        <f>K922+J922</f>
        <v>94</v>
      </c>
      <c r="L923" s="7">
        <f t="shared" si="133"/>
        <v>47.000000000000007</v>
      </c>
      <c r="M923" s="7">
        <f t="shared" si="134"/>
        <v>28.65</v>
      </c>
      <c r="N923" s="7">
        <f t="shared" si="135"/>
        <v>2.1276595744680847E-2</v>
      </c>
      <c r="O923" s="7">
        <f t="shared" si="136"/>
        <v>3.4904013961605584E-2</v>
      </c>
    </row>
    <row r="924" spans="9:15" x14ac:dyDescent="0.15">
      <c r="I924" s="7">
        <f t="shared" si="138"/>
        <v>3</v>
      </c>
      <c r="J924" s="7">
        <f t="shared" si="139"/>
        <v>47</v>
      </c>
      <c r="K924" s="7">
        <f t="shared" ref="K924:K941" si="140">K923+J923</f>
        <v>141</v>
      </c>
      <c r="L924" s="7">
        <f t="shared" si="133"/>
        <v>49.350000000000009</v>
      </c>
      <c r="M924" s="7">
        <f t="shared" si="134"/>
        <v>33.35</v>
      </c>
      <c r="N924" s="7">
        <f t="shared" si="135"/>
        <v>2.0263424518743665E-2</v>
      </c>
      <c r="O924" s="7">
        <f t="shared" si="136"/>
        <v>2.9985007496251874E-2</v>
      </c>
    </row>
    <row r="925" spans="9:15" x14ac:dyDescent="0.15">
      <c r="I925" s="7">
        <f t="shared" si="138"/>
        <v>4</v>
      </c>
      <c r="J925" s="7">
        <f t="shared" si="139"/>
        <v>47</v>
      </c>
      <c r="K925" s="7">
        <f t="shared" si="140"/>
        <v>188</v>
      </c>
      <c r="L925" s="7">
        <f t="shared" si="133"/>
        <v>51.7</v>
      </c>
      <c r="M925" s="7">
        <f t="shared" si="134"/>
        <v>38.049999999999997</v>
      </c>
      <c r="N925" s="7">
        <f t="shared" si="135"/>
        <v>1.9342359767891681E-2</v>
      </c>
      <c r="O925" s="7">
        <f t="shared" si="136"/>
        <v>2.628120893561104E-2</v>
      </c>
    </row>
    <row r="926" spans="9:15" x14ac:dyDescent="0.15">
      <c r="I926" s="7">
        <f t="shared" si="138"/>
        <v>5</v>
      </c>
      <c r="J926" s="7">
        <f t="shared" si="139"/>
        <v>47</v>
      </c>
      <c r="K926" s="7">
        <f t="shared" si="140"/>
        <v>235</v>
      </c>
      <c r="L926" s="7">
        <f t="shared" si="133"/>
        <v>54.050000000000004</v>
      </c>
      <c r="M926" s="7">
        <f t="shared" si="134"/>
        <v>42.75</v>
      </c>
      <c r="N926" s="7">
        <f t="shared" si="135"/>
        <v>1.8501387604070305E-2</v>
      </c>
      <c r="O926" s="7">
        <f t="shared" si="136"/>
        <v>2.3391812865497075E-2</v>
      </c>
    </row>
    <row r="927" spans="9:15" x14ac:dyDescent="0.15">
      <c r="I927" s="7">
        <f t="shared" si="138"/>
        <v>6</v>
      </c>
      <c r="J927" s="7">
        <f t="shared" si="139"/>
        <v>47</v>
      </c>
      <c r="K927" s="7">
        <f t="shared" si="140"/>
        <v>282</v>
      </c>
      <c r="L927" s="7">
        <f t="shared" si="133"/>
        <v>56.400000000000006</v>
      </c>
      <c r="M927" s="7">
        <f t="shared" si="134"/>
        <v>47.45</v>
      </c>
      <c r="N927" s="7">
        <f t="shared" si="135"/>
        <v>1.7730496453900707E-2</v>
      </c>
      <c r="O927" s="7">
        <f t="shared" si="136"/>
        <v>2.107481559536354E-2</v>
      </c>
    </row>
    <row r="928" spans="9:15" x14ac:dyDescent="0.15">
      <c r="I928" s="7">
        <f t="shared" si="138"/>
        <v>7</v>
      </c>
      <c r="J928" s="7">
        <f t="shared" si="139"/>
        <v>47</v>
      </c>
      <c r="K928" s="7">
        <f t="shared" si="140"/>
        <v>329</v>
      </c>
      <c r="L928" s="7">
        <f t="shared" si="133"/>
        <v>58.75</v>
      </c>
      <c r="M928" s="7">
        <f t="shared" si="134"/>
        <v>52.15</v>
      </c>
      <c r="N928" s="7">
        <f t="shared" si="135"/>
        <v>1.7021276595744681E-2</v>
      </c>
      <c r="O928" s="7">
        <f t="shared" si="136"/>
        <v>1.9175455417066157E-2</v>
      </c>
    </row>
    <row r="929" spans="9:15" x14ac:dyDescent="0.15">
      <c r="I929" s="7">
        <f t="shared" si="138"/>
        <v>8</v>
      </c>
      <c r="J929" s="7">
        <f t="shared" si="139"/>
        <v>47</v>
      </c>
      <c r="K929" s="7">
        <f t="shared" si="140"/>
        <v>376</v>
      </c>
      <c r="L929" s="7">
        <f t="shared" si="133"/>
        <v>61.100000000000009</v>
      </c>
      <c r="M929" s="7">
        <f t="shared" si="134"/>
        <v>56.85</v>
      </c>
      <c r="N929" s="7">
        <f t="shared" si="135"/>
        <v>1.636661211129296E-2</v>
      </c>
      <c r="O929" s="7">
        <f t="shared" si="136"/>
        <v>1.7590149516270887E-2</v>
      </c>
    </row>
    <row r="930" spans="9:15" x14ac:dyDescent="0.15">
      <c r="I930" s="7">
        <f t="shared" si="138"/>
        <v>9</v>
      </c>
      <c r="J930" s="7">
        <f t="shared" si="139"/>
        <v>47</v>
      </c>
      <c r="K930" s="7">
        <f t="shared" si="140"/>
        <v>423</v>
      </c>
      <c r="L930" s="7">
        <f t="shared" si="133"/>
        <v>63.45</v>
      </c>
      <c r="M930" s="7">
        <f t="shared" si="134"/>
        <v>61.550000000000004</v>
      </c>
      <c r="N930" s="7">
        <f t="shared" si="135"/>
        <v>1.5760441292356184E-2</v>
      </c>
      <c r="O930" s="7">
        <f t="shared" si="136"/>
        <v>1.6246953696181964E-2</v>
      </c>
    </row>
    <row r="931" spans="9:15" x14ac:dyDescent="0.15">
      <c r="I931" s="7">
        <f t="shared" si="138"/>
        <v>10</v>
      </c>
      <c r="J931" s="7">
        <f t="shared" si="139"/>
        <v>47</v>
      </c>
      <c r="K931" s="7">
        <f t="shared" si="140"/>
        <v>470</v>
      </c>
      <c r="L931" s="7">
        <f t="shared" si="133"/>
        <v>65.800000000000011</v>
      </c>
      <c r="M931" s="7">
        <f t="shared" si="134"/>
        <v>66.25</v>
      </c>
      <c r="N931" s="7">
        <f t="shared" si="135"/>
        <v>1.5197568389057748E-2</v>
      </c>
      <c r="O931" s="7">
        <f t="shared" si="136"/>
        <v>1.509433962264151E-2</v>
      </c>
    </row>
    <row r="932" spans="9:15" x14ac:dyDescent="0.15">
      <c r="I932" s="7">
        <f t="shared" si="138"/>
        <v>11</v>
      </c>
      <c r="J932" s="7">
        <f t="shared" si="139"/>
        <v>47</v>
      </c>
      <c r="K932" s="7">
        <f t="shared" si="140"/>
        <v>517</v>
      </c>
      <c r="L932" s="7">
        <f t="shared" si="133"/>
        <v>68.150000000000006</v>
      </c>
      <c r="M932" s="7">
        <f t="shared" si="134"/>
        <v>70.95</v>
      </c>
      <c r="N932" s="7">
        <f t="shared" si="135"/>
        <v>1.4673514306676448E-2</v>
      </c>
      <c r="O932" s="7">
        <f t="shared" si="136"/>
        <v>1.4094432699083861E-2</v>
      </c>
    </row>
    <row r="933" spans="9:15" x14ac:dyDescent="0.15">
      <c r="I933" s="7">
        <f t="shared" si="138"/>
        <v>12</v>
      </c>
      <c r="J933" s="7">
        <f t="shared" si="139"/>
        <v>47</v>
      </c>
      <c r="K933" s="7">
        <f t="shared" si="140"/>
        <v>564</v>
      </c>
      <c r="L933" s="7">
        <f t="shared" si="133"/>
        <v>70.5</v>
      </c>
      <c r="M933" s="7">
        <f t="shared" si="134"/>
        <v>75.650000000000006</v>
      </c>
      <c r="N933" s="7">
        <f t="shared" si="135"/>
        <v>1.4184397163120567E-2</v>
      </c>
      <c r="O933" s="7">
        <f t="shared" si="136"/>
        <v>1.3218770654329146E-2</v>
      </c>
    </row>
    <row r="934" spans="9:15" x14ac:dyDescent="0.15">
      <c r="I934" s="7">
        <f t="shared" si="138"/>
        <v>13</v>
      </c>
      <c r="J934" s="7">
        <f t="shared" si="139"/>
        <v>47</v>
      </c>
      <c r="K934" s="7">
        <f t="shared" si="140"/>
        <v>611</v>
      </c>
      <c r="L934" s="7">
        <f t="shared" si="133"/>
        <v>72.850000000000009</v>
      </c>
      <c r="M934" s="7">
        <f t="shared" si="134"/>
        <v>80.349999999999994</v>
      </c>
      <c r="N934" s="7">
        <f t="shared" si="135"/>
        <v>1.3726835964310225E-2</v>
      </c>
      <c r="O934" s="7">
        <f t="shared" si="136"/>
        <v>1.2445550715619168E-2</v>
      </c>
    </row>
    <row r="935" spans="9:15" x14ac:dyDescent="0.15">
      <c r="I935" s="7">
        <f t="shared" si="138"/>
        <v>14</v>
      </c>
      <c r="J935" s="7">
        <f t="shared" si="139"/>
        <v>47</v>
      </c>
      <c r="K935" s="7">
        <f t="shared" si="140"/>
        <v>658</v>
      </c>
      <c r="L935" s="7">
        <f t="shared" si="133"/>
        <v>75.2</v>
      </c>
      <c r="M935" s="7">
        <f t="shared" si="134"/>
        <v>85.05</v>
      </c>
      <c r="N935" s="7">
        <f t="shared" si="135"/>
        <v>1.3297872340425532E-2</v>
      </c>
      <c r="O935" s="7">
        <f t="shared" si="136"/>
        <v>1.1757789535567314E-2</v>
      </c>
    </row>
    <row r="936" spans="9:15" x14ac:dyDescent="0.15">
      <c r="I936" s="7">
        <f t="shared" si="138"/>
        <v>15</v>
      </c>
      <c r="J936" s="7">
        <f t="shared" si="139"/>
        <v>47</v>
      </c>
      <c r="K936" s="7">
        <f t="shared" si="140"/>
        <v>705</v>
      </c>
      <c r="L936" s="7">
        <f t="shared" si="133"/>
        <v>77.550000000000011</v>
      </c>
      <c r="M936" s="7">
        <f t="shared" si="134"/>
        <v>89.75</v>
      </c>
      <c r="N936" s="7">
        <f t="shared" si="135"/>
        <v>1.2894906511927786E-2</v>
      </c>
      <c r="O936" s="7">
        <f t="shared" si="136"/>
        <v>1.1142061281337047E-2</v>
      </c>
    </row>
    <row r="937" spans="9:15" x14ac:dyDescent="0.15">
      <c r="I937" s="7">
        <f t="shared" si="138"/>
        <v>16</v>
      </c>
      <c r="J937" s="7">
        <f t="shared" si="139"/>
        <v>47</v>
      </c>
      <c r="K937" s="7">
        <f t="shared" si="140"/>
        <v>752</v>
      </c>
      <c r="L937" s="7">
        <f t="shared" si="133"/>
        <v>79.900000000000006</v>
      </c>
      <c r="M937" s="7">
        <f t="shared" si="134"/>
        <v>94.45</v>
      </c>
      <c r="N937" s="7">
        <f t="shared" si="135"/>
        <v>1.2515644555694618E-2</v>
      </c>
      <c r="O937" s="7">
        <f t="shared" si="136"/>
        <v>1.0587612493382742E-2</v>
      </c>
    </row>
    <row r="938" spans="9:15" x14ac:dyDescent="0.15">
      <c r="I938" s="7">
        <f t="shared" si="138"/>
        <v>17</v>
      </c>
      <c r="J938" s="7">
        <f t="shared" si="139"/>
        <v>47</v>
      </c>
      <c r="K938" s="7">
        <f t="shared" si="140"/>
        <v>799</v>
      </c>
      <c r="L938" s="7">
        <f t="shared" si="133"/>
        <v>82.25</v>
      </c>
      <c r="M938" s="7">
        <f t="shared" si="134"/>
        <v>99.15</v>
      </c>
      <c r="N938" s="7">
        <f t="shared" si="135"/>
        <v>1.2158054711246201E-2</v>
      </c>
      <c r="O938" s="7">
        <f t="shared" si="136"/>
        <v>1.0085728693898134E-2</v>
      </c>
    </row>
    <row r="939" spans="9:15" x14ac:dyDescent="0.15">
      <c r="I939" s="7">
        <f t="shared" si="138"/>
        <v>18</v>
      </c>
      <c r="J939" s="7">
        <f t="shared" si="139"/>
        <v>47</v>
      </c>
      <c r="K939" s="7">
        <f t="shared" si="140"/>
        <v>846</v>
      </c>
      <c r="L939" s="7">
        <f t="shared" si="133"/>
        <v>84.600000000000009</v>
      </c>
      <c r="M939" s="7">
        <f t="shared" si="134"/>
        <v>103.85000000000001</v>
      </c>
      <c r="N939" s="7">
        <f t="shared" si="135"/>
        <v>1.1820330969267137E-2</v>
      </c>
      <c r="O939" s="7">
        <f t="shared" si="136"/>
        <v>9.6292729898892621E-3</v>
      </c>
    </row>
    <row r="940" spans="9:15" x14ac:dyDescent="0.15">
      <c r="I940" s="7">
        <f t="shared" si="138"/>
        <v>19</v>
      </c>
      <c r="J940" s="7">
        <f t="shared" si="139"/>
        <v>47</v>
      </c>
      <c r="K940" s="7">
        <f t="shared" si="140"/>
        <v>893</v>
      </c>
      <c r="L940" s="7">
        <f t="shared" si="133"/>
        <v>86.950000000000017</v>
      </c>
      <c r="M940" s="7">
        <f t="shared" si="134"/>
        <v>108.55000000000001</v>
      </c>
      <c r="N940" s="7">
        <f t="shared" si="135"/>
        <v>1.1500862564692349E-2</v>
      </c>
      <c r="O940" s="7">
        <f t="shared" si="136"/>
        <v>9.2123445416858584E-3</v>
      </c>
    </row>
    <row r="941" spans="9:15" x14ac:dyDescent="0.15">
      <c r="I941" s="7">
        <f t="shared" si="138"/>
        <v>20</v>
      </c>
      <c r="J941" s="7">
        <f t="shared" si="139"/>
        <v>47</v>
      </c>
      <c r="K941" s="7">
        <f t="shared" si="140"/>
        <v>940</v>
      </c>
      <c r="L941" s="7">
        <f t="shared" si="133"/>
        <v>89.300000000000011</v>
      </c>
      <c r="M941" s="7">
        <f t="shared" si="134"/>
        <v>113.25</v>
      </c>
      <c r="N941" s="7">
        <f t="shared" si="135"/>
        <v>1.119820828667413E-2</v>
      </c>
      <c r="O941" s="7">
        <f t="shared" si="136"/>
        <v>8.8300220750551876E-3</v>
      </c>
    </row>
    <row r="942" spans="9:15" x14ac:dyDescent="0.15">
      <c r="I942" s="7">
        <f t="shared" si="138"/>
        <v>1</v>
      </c>
      <c r="J942" s="7">
        <f t="shared" si="139"/>
        <v>48</v>
      </c>
      <c r="K942" s="7">
        <f>J942</f>
        <v>48</v>
      </c>
      <c r="L942" s="7">
        <f t="shared" si="133"/>
        <v>45.6</v>
      </c>
      <c r="M942" s="7">
        <f t="shared" si="134"/>
        <v>24.450000000000003</v>
      </c>
      <c r="N942" s="7">
        <f t="shared" si="135"/>
        <v>2.1929824561403508E-2</v>
      </c>
      <c r="O942" s="7">
        <f t="shared" si="136"/>
        <v>4.089979550102249E-2</v>
      </c>
    </row>
    <row r="943" spans="9:15" x14ac:dyDescent="0.15">
      <c r="I943" s="7">
        <f t="shared" si="138"/>
        <v>2</v>
      </c>
      <c r="J943" s="7">
        <f t="shared" si="139"/>
        <v>48</v>
      </c>
      <c r="K943" s="7">
        <f>K942+J942</f>
        <v>96</v>
      </c>
      <c r="L943" s="7">
        <f t="shared" si="133"/>
        <v>48</v>
      </c>
      <c r="M943" s="7">
        <f t="shared" si="134"/>
        <v>29.250000000000004</v>
      </c>
      <c r="N943" s="7">
        <f t="shared" si="135"/>
        <v>2.0833333333333332E-2</v>
      </c>
      <c r="O943" s="7">
        <f t="shared" si="136"/>
        <v>3.4188034188034185E-2</v>
      </c>
    </row>
    <row r="944" spans="9:15" x14ac:dyDescent="0.15">
      <c r="I944" s="7">
        <f t="shared" si="138"/>
        <v>3</v>
      </c>
      <c r="J944" s="7">
        <f t="shared" si="139"/>
        <v>48</v>
      </c>
      <c r="K944" s="7">
        <f t="shared" ref="K944:K961" si="141">K943+J943</f>
        <v>144</v>
      </c>
      <c r="L944" s="7">
        <f t="shared" si="133"/>
        <v>50.400000000000006</v>
      </c>
      <c r="M944" s="7">
        <f t="shared" si="134"/>
        <v>34.050000000000004</v>
      </c>
      <c r="N944" s="7">
        <f t="shared" si="135"/>
        <v>1.984126984126984E-2</v>
      </c>
      <c r="O944" s="7">
        <f t="shared" si="136"/>
        <v>2.9368575624082228E-2</v>
      </c>
    </row>
    <row r="945" spans="9:15" x14ac:dyDescent="0.15">
      <c r="I945" s="7">
        <f t="shared" si="138"/>
        <v>4</v>
      </c>
      <c r="J945" s="7">
        <f t="shared" si="139"/>
        <v>48</v>
      </c>
      <c r="K945" s="7">
        <f t="shared" si="141"/>
        <v>192</v>
      </c>
      <c r="L945" s="7">
        <f t="shared" si="133"/>
        <v>52.800000000000004</v>
      </c>
      <c r="M945" s="7">
        <f t="shared" si="134"/>
        <v>38.850000000000009</v>
      </c>
      <c r="N945" s="7">
        <f t="shared" si="135"/>
        <v>1.8939393939393936E-2</v>
      </c>
      <c r="O945" s="7">
        <f t="shared" si="136"/>
        <v>2.5740025740025735E-2</v>
      </c>
    </row>
    <row r="946" spans="9:15" x14ac:dyDescent="0.15">
      <c r="I946" s="7">
        <f t="shared" si="138"/>
        <v>5</v>
      </c>
      <c r="J946" s="7">
        <f t="shared" si="139"/>
        <v>48</v>
      </c>
      <c r="K946" s="7">
        <f t="shared" si="141"/>
        <v>240</v>
      </c>
      <c r="L946" s="7">
        <f t="shared" si="133"/>
        <v>55.2</v>
      </c>
      <c r="M946" s="7">
        <f t="shared" si="134"/>
        <v>43.650000000000006</v>
      </c>
      <c r="N946" s="7">
        <f t="shared" si="135"/>
        <v>1.8115942028985508E-2</v>
      </c>
      <c r="O946" s="7">
        <f t="shared" si="136"/>
        <v>2.2909507445589918E-2</v>
      </c>
    </row>
    <row r="947" spans="9:15" x14ac:dyDescent="0.15">
      <c r="I947" s="7">
        <f t="shared" si="138"/>
        <v>6</v>
      </c>
      <c r="J947" s="7">
        <f t="shared" si="139"/>
        <v>48</v>
      </c>
      <c r="K947" s="7">
        <f t="shared" si="141"/>
        <v>288</v>
      </c>
      <c r="L947" s="7">
        <f t="shared" si="133"/>
        <v>57.6</v>
      </c>
      <c r="M947" s="7">
        <f t="shared" si="134"/>
        <v>48.45</v>
      </c>
      <c r="N947" s="7">
        <f t="shared" si="135"/>
        <v>1.7361111111111112E-2</v>
      </c>
      <c r="O947" s="7">
        <f t="shared" si="136"/>
        <v>2.063983488132095E-2</v>
      </c>
    </row>
    <row r="948" spans="9:15" x14ac:dyDescent="0.15">
      <c r="I948" s="7">
        <f t="shared" si="138"/>
        <v>7</v>
      </c>
      <c r="J948" s="7">
        <f t="shared" si="139"/>
        <v>48</v>
      </c>
      <c r="K948" s="7">
        <f t="shared" si="141"/>
        <v>336</v>
      </c>
      <c r="L948" s="7">
        <f t="shared" si="133"/>
        <v>60</v>
      </c>
      <c r="M948" s="7">
        <f t="shared" si="134"/>
        <v>53.25</v>
      </c>
      <c r="N948" s="7">
        <f t="shared" si="135"/>
        <v>1.6666666666666666E-2</v>
      </c>
      <c r="O948" s="7">
        <f t="shared" si="136"/>
        <v>1.8779342723004695E-2</v>
      </c>
    </row>
    <row r="949" spans="9:15" x14ac:dyDescent="0.15">
      <c r="I949" s="7">
        <f t="shared" si="138"/>
        <v>8</v>
      </c>
      <c r="J949" s="7">
        <f t="shared" si="139"/>
        <v>48</v>
      </c>
      <c r="K949" s="7">
        <f t="shared" si="141"/>
        <v>384</v>
      </c>
      <c r="L949" s="7">
        <f t="shared" si="133"/>
        <v>62.400000000000006</v>
      </c>
      <c r="M949" s="7">
        <f t="shared" si="134"/>
        <v>58.050000000000011</v>
      </c>
      <c r="N949" s="7">
        <f t="shared" si="135"/>
        <v>1.6025641025641024E-2</v>
      </c>
      <c r="O949" s="7">
        <f t="shared" si="136"/>
        <v>1.7226528854435829E-2</v>
      </c>
    </row>
    <row r="950" spans="9:15" x14ac:dyDescent="0.15">
      <c r="I950" s="7">
        <f t="shared" si="138"/>
        <v>9</v>
      </c>
      <c r="J950" s="7">
        <f t="shared" si="139"/>
        <v>48</v>
      </c>
      <c r="K950" s="7">
        <f t="shared" si="141"/>
        <v>432</v>
      </c>
      <c r="L950" s="7">
        <f t="shared" si="133"/>
        <v>64.800000000000011</v>
      </c>
      <c r="M950" s="7">
        <f t="shared" si="134"/>
        <v>62.850000000000009</v>
      </c>
      <c r="N950" s="7">
        <f t="shared" si="135"/>
        <v>1.5432098765432096E-2</v>
      </c>
      <c r="O950" s="7">
        <f t="shared" si="136"/>
        <v>1.5910898965791564E-2</v>
      </c>
    </row>
    <row r="951" spans="9:15" x14ac:dyDescent="0.15">
      <c r="I951" s="7">
        <f t="shared" si="138"/>
        <v>10</v>
      </c>
      <c r="J951" s="7">
        <f t="shared" si="139"/>
        <v>48</v>
      </c>
      <c r="K951" s="7">
        <f t="shared" si="141"/>
        <v>480</v>
      </c>
      <c r="L951" s="7">
        <f t="shared" si="133"/>
        <v>67.2</v>
      </c>
      <c r="M951" s="7">
        <f t="shared" si="134"/>
        <v>67.650000000000006</v>
      </c>
      <c r="N951" s="7">
        <f t="shared" si="135"/>
        <v>1.488095238095238E-2</v>
      </c>
      <c r="O951" s="7">
        <f t="shared" si="136"/>
        <v>1.4781966001478195E-2</v>
      </c>
    </row>
    <row r="952" spans="9:15" x14ac:dyDescent="0.15">
      <c r="I952" s="7">
        <f t="shared" si="138"/>
        <v>11</v>
      </c>
      <c r="J952" s="7">
        <f t="shared" si="139"/>
        <v>48</v>
      </c>
      <c r="K952" s="7">
        <f t="shared" si="141"/>
        <v>528</v>
      </c>
      <c r="L952" s="7">
        <f t="shared" si="133"/>
        <v>69.600000000000009</v>
      </c>
      <c r="M952" s="7">
        <f t="shared" si="134"/>
        <v>72.45</v>
      </c>
      <c r="N952" s="7">
        <f t="shared" si="135"/>
        <v>1.4367816091954021E-2</v>
      </c>
      <c r="O952" s="7">
        <f t="shared" si="136"/>
        <v>1.3802622498274672E-2</v>
      </c>
    </row>
    <row r="953" spans="9:15" x14ac:dyDescent="0.15">
      <c r="I953" s="7">
        <f t="shared" si="138"/>
        <v>12</v>
      </c>
      <c r="J953" s="7">
        <f t="shared" si="139"/>
        <v>48</v>
      </c>
      <c r="K953" s="7">
        <f t="shared" si="141"/>
        <v>576</v>
      </c>
      <c r="L953" s="7">
        <f t="shared" si="133"/>
        <v>72</v>
      </c>
      <c r="M953" s="7">
        <f t="shared" si="134"/>
        <v>77.25</v>
      </c>
      <c r="N953" s="7">
        <f t="shared" si="135"/>
        <v>1.3888888888888888E-2</v>
      </c>
      <c r="O953" s="7">
        <f t="shared" si="136"/>
        <v>1.2944983818770227E-2</v>
      </c>
    </row>
    <row r="954" spans="9:15" x14ac:dyDescent="0.15">
      <c r="I954" s="7">
        <f t="shared" si="138"/>
        <v>13</v>
      </c>
      <c r="J954" s="7">
        <f t="shared" si="139"/>
        <v>48</v>
      </c>
      <c r="K954" s="7">
        <f t="shared" si="141"/>
        <v>624</v>
      </c>
      <c r="L954" s="7">
        <f t="shared" si="133"/>
        <v>74.400000000000006</v>
      </c>
      <c r="M954" s="7">
        <f t="shared" si="134"/>
        <v>82.050000000000011</v>
      </c>
      <c r="N954" s="7">
        <f t="shared" si="135"/>
        <v>1.3440860215053762E-2</v>
      </c>
      <c r="O954" s="7">
        <f t="shared" si="136"/>
        <v>1.2187690432663009E-2</v>
      </c>
    </row>
    <row r="955" spans="9:15" x14ac:dyDescent="0.15">
      <c r="I955" s="7">
        <f t="shared" si="138"/>
        <v>14</v>
      </c>
      <c r="J955" s="7">
        <f t="shared" si="139"/>
        <v>48</v>
      </c>
      <c r="K955" s="7">
        <f t="shared" si="141"/>
        <v>672</v>
      </c>
      <c r="L955" s="7">
        <f t="shared" si="133"/>
        <v>76.800000000000011</v>
      </c>
      <c r="M955" s="7">
        <f t="shared" si="134"/>
        <v>86.850000000000009</v>
      </c>
      <c r="N955" s="7">
        <f t="shared" si="135"/>
        <v>1.3020833333333332E-2</v>
      </c>
      <c r="O955" s="7">
        <f t="shared" si="136"/>
        <v>1.1514104778353481E-2</v>
      </c>
    </row>
    <row r="956" spans="9:15" x14ac:dyDescent="0.15">
      <c r="I956" s="7">
        <f t="shared" si="138"/>
        <v>15</v>
      </c>
      <c r="J956" s="7">
        <f t="shared" si="139"/>
        <v>48</v>
      </c>
      <c r="K956" s="7">
        <f t="shared" si="141"/>
        <v>720</v>
      </c>
      <c r="L956" s="7">
        <f t="shared" si="133"/>
        <v>79.2</v>
      </c>
      <c r="M956" s="7">
        <f t="shared" si="134"/>
        <v>91.65</v>
      </c>
      <c r="N956" s="7">
        <f t="shared" si="135"/>
        <v>1.2626262626262626E-2</v>
      </c>
      <c r="O956" s="7">
        <f t="shared" si="136"/>
        <v>1.0911074740861974E-2</v>
      </c>
    </row>
    <row r="957" spans="9:15" x14ac:dyDescent="0.15">
      <c r="I957" s="7">
        <f t="shared" si="138"/>
        <v>16</v>
      </c>
      <c r="J957" s="7">
        <f t="shared" si="139"/>
        <v>48</v>
      </c>
      <c r="K957" s="7">
        <f t="shared" si="141"/>
        <v>768</v>
      </c>
      <c r="L957" s="7">
        <f t="shared" si="133"/>
        <v>81.600000000000009</v>
      </c>
      <c r="M957" s="7">
        <f t="shared" si="134"/>
        <v>96.450000000000017</v>
      </c>
      <c r="N957" s="7">
        <f t="shared" si="135"/>
        <v>1.2254901960784312E-2</v>
      </c>
      <c r="O957" s="7">
        <f t="shared" si="136"/>
        <v>1.0368066355624674E-2</v>
      </c>
    </row>
    <row r="958" spans="9:15" x14ac:dyDescent="0.15">
      <c r="I958" s="7">
        <f t="shared" si="138"/>
        <v>17</v>
      </c>
      <c r="J958" s="7">
        <f t="shared" si="139"/>
        <v>48</v>
      </c>
      <c r="K958" s="7">
        <f t="shared" si="141"/>
        <v>816</v>
      </c>
      <c r="L958" s="7">
        <f t="shared" si="133"/>
        <v>84</v>
      </c>
      <c r="M958" s="7">
        <f t="shared" si="134"/>
        <v>101.25000000000001</v>
      </c>
      <c r="N958" s="7">
        <f t="shared" si="135"/>
        <v>1.1904761904761904E-2</v>
      </c>
      <c r="O958" s="7">
        <f t="shared" si="136"/>
        <v>9.8765432098765413E-3</v>
      </c>
    </row>
    <row r="959" spans="9:15" x14ac:dyDescent="0.15">
      <c r="I959" s="7">
        <f t="shared" si="138"/>
        <v>18</v>
      </c>
      <c r="J959" s="7">
        <f t="shared" si="139"/>
        <v>48</v>
      </c>
      <c r="K959" s="7">
        <f t="shared" si="141"/>
        <v>864</v>
      </c>
      <c r="L959" s="7">
        <f t="shared" si="133"/>
        <v>86.4</v>
      </c>
      <c r="M959" s="7">
        <f t="shared" si="134"/>
        <v>106.05000000000001</v>
      </c>
      <c r="N959" s="7">
        <f t="shared" si="135"/>
        <v>1.1574074074074073E-2</v>
      </c>
      <c r="O959" s="7">
        <f t="shared" si="136"/>
        <v>9.4295143800094284E-3</v>
      </c>
    </row>
    <row r="960" spans="9:15" x14ac:dyDescent="0.15">
      <c r="I960" s="7">
        <f t="shared" si="138"/>
        <v>19</v>
      </c>
      <c r="J960" s="7">
        <f t="shared" si="139"/>
        <v>48</v>
      </c>
      <c r="K960" s="7">
        <f t="shared" si="141"/>
        <v>912</v>
      </c>
      <c r="L960" s="7">
        <f t="shared" si="133"/>
        <v>88.800000000000011</v>
      </c>
      <c r="M960" s="7">
        <f t="shared" si="134"/>
        <v>110.85000000000001</v>
      </c>
      <c r="N960" s="7">
        <f t="shared" si="135"/>
        <v>1.1261261261261259E-2</v>
      </c>
      <c r="O960" s="7">
        <f t="shared" si="136"/>
        <v>9.0211998195760031E-3</v>
      </c>
    </row>
    <row r="961" spans="9:15" x14ac:dyDescent="0.15">
      <c r="I961" s="7">
        <f t="shared" si="138"/>
        <v>20</v>
      </c>
      <c r="J961" s="7">
        <f t="shared" si="139"/>
        <v>48</v>
      </c>
      <c r="K961" s="7">
        <f t="shared" si="141"/>
        <v>960</v>
      </c>
      <c r="L961" s="7">
        <f t="shared" si="133"/>
        <v>91.2</v>
      </c>
      <c r="M961" s="7">
        <f t="shared" si="134"/>
        <v>115.65</v>
      </c>
      <c r="N961" s="7">
        <f t="shared" si="135"/>
        <v>1.0964912280701754E-2</v>
      </c>
      <c r="O961" s="7">
        <f t="shared" si="136"/>
        <v>8.6467790747946378E-3</v>
      </c>
    </row>
    <row r="962" spans="9:15" x14ac:dyDescent="0.15">
      <c r="I962" s="7">
        <f t="shared" si="138"/>
        <v>1</v>
      </c>
      <c r="J962" s="7">
        <f t="shared" si="139"/>
        <v>49</v>
      </c>
      <c r="K962" s="7">
        <f>J962</f>
        <v>49</v>
      </c>
      <c r="L962" s="7">
        <f t="shared" si="133"/>
        <v>46.550000000000004</v>
      </c>
      <c r="M962" s="7">
        <f t="shared" si="134"/>
        <v>24.950000000000003</v>
      </c>
      <c r="N962" s="7">
        <f t="shared" si="135"/>
        <v>2.1482277121374863E-2</v>
      </c>
      <c r="O962" s="7">
        <f t="shared" si="136"/>
        <v>4.0080160320641281E-2</v>
      </c>
    </row>
    <row r="963" spans="9:15" x14ac:dyDescent="0.15">
      <c r="I963" s="7">
        <f t="shared" si="138"/>
        <v>2</v>
      </c>
      <c r="J963" s="7">
        <f t="shared" si="139"/>
        <v>49</v>
      </c>
      <c r="K963" s="7">
        <f>K962+J962</f>
        <v>98</v>
      </c>
      <c r="L963" s="7">
        <f t="shared" ref="L963:L1001" si="142">0.9*J963+0.05*K963</f>
        <v>49</v>
      </c>
      <c r="M963" s="7">
        <f t="shared" ref="M963:M1001" si="143">0.45+0.4*J963+0.1*K963</f>
        <v>29.85</v>
      </c>
      <c r="N963" s="7">
        <f t="shared" ref="N963:N1001" si="144">1/L963</f>
        <v>2.0408163265306121E-2</v>
      </c>
      <c r="O963" s="7">
        <f t="shared" ref="O963:O1001" si="145">1/M963</f>
        <v>3.350083752093802E-2</v>
      </c>
    </row>
    <row r="964" spans="9:15" x14ac:dyDescent="0.15">
      <c r="I964" s="7">
        <f t="shared" si="138"/>
        <v>3</v>
      </c>
      <c r="J964" s="7">
        <f t="shared" si="139"/>
        <v>49</v>
      </c>
      <c r="K964" s="7">
        <f t="shared" ref="K964:K981" si="146">K963+J963</f>
        <v>147</v>
      </c>
      <c r="L964" s="7">
        <f t="shared" si="142"/>
        <v>51.45</v>
      </c>
      <c r="M964" s="7">
        <f t="shared" si="143"/>
        <v>34.75</v>
      </c>
      <c r="N964" s="7">
        <f t="shared" si="144"/>
        <v>1.9436345966958212E-2</v>
      </c>
      <c r="O964" s="7">
        <f t="shared" si="145"/>
        <v>2.8776978417266189E-2</v>
      </c>
    </row>
    <row r="965" spans="9:15" x14ac:dyDescent="0.15">
      <c r="I965" s="7">
        <f t="shared" si="138"/>
        <v>4</v>
      </c>
      <c r="J965" s="7">
        <f t="shared" si="139"/>
        <v>49</v>
      </c>
      <c r="K965" s="7">
        <f t="shared" si="146"/>
        <v>196</v>
      </c>
      <c r="L965" s="7">
        <f t="shared" si="142"/>
        <v>53.900000000000006</v>
      </c>
      <c r="M965" s="7">
        <f t="shared" si="143"/>
        <v>39.650000000000006</v>
      </c>
      <c r="N965" s="7">
        <f t="shared" si="144"/>
        <v>1.8552875695732836E-2</v>
      </c>
      <c r="O965" s="7">
        <f t="shared" si="145"/>
        <v>2.5220680958385873E-2</v>
      </c>
    </row>
    <row r="966" spans="9:15" x14ac:dyDescent="0.15">
      <c r="I966" s="7">
        <f t="shared" si="138"/>
        <v>5</v>
      </c>
      <c r="J966" s="7">
        <f t="shared" si="139"/>
        <v>49</v>
      </c>
      <c r="K966" s="7">
        <f t="shared" si="146"/>
        <v>245</v>
      </c>
      <c r="L966" s="7">
        <f t="shared" si="142"/>
        <v>56.35</v>
      </c>
      <c r="M966" s="7">
        <f t="shared" si="143"/>
        <v>44.55</v>
      </c>
      <c r="N966" s="7">
        <f t="shared" si="144"/>
        <v>1.774622892635315E-2</v>
      </c>
      <c r="O966" s="7">
        <f t="shared" si="145"/>
        <v>2.2446689113355782E-2</v>
      </c>
    </row>
    <row r="967" spans="9:15" x14ac:dyDescent="0.15">
      <c r="I967" s="7">
        <f t="shared" si="138"/>
        <v>6</v>
      </c>
      <c r="J967" s="7">
        <f t="shared" si="139"/>
        <v>49</v>
      </c>
      <c r="K967" s="7">
        <f t="shared" si="146"/>
        <v>294</v>
      </c>
      <c r="L967" s="7">
        <f t="shared" si="142"/>
        <v>58.800000000000004</v>
      </c>
      <c r="M967" s="7">
        <f t="shared" si="143"/>
        <v>49.45</v>
      </c>
      <c r="N967" s="7">
        <f t="shared" si="144"/>
        <v>1.7006802721088433E-2</v>
      </c>
      <c r="O967" s="7">
        <f t="shared" si="145"/>
        <v>2.0222446916076844E-2</v>
      </c>
    </row>
    <row r="968" spans="9:15" x14ac:dyDescent="0.15">
      <c r="I968" s="7">
        <f t="shared" si="138"/>
        <v>7</v>
      </c>
      <c r="J968" s="7">
        <f t="shared" si="139"/>
        <v>49</v>
      </c>
      <c r="K968" s="7">
        <f t="shared" si="146"/>
        <v>343</v>
      </c>
      <c r="L968" s="7">
        <f t="shared" si="142"/>
        <v>61.25</v>
      </c>
      <c r="M968" s="7">
        <f t="shared" si="143"/>
        <v>54.350000000000009</v>
      </c>
      <c r="N968" s="7">
        <f t="shared" si="144"/>
        <v>1.6326530612244899E-2</v>
      </c>
      <c r="O968" s="7">
        <f t="shared" si="145"/>
        <v>1.8399264029438818E-2</v>
      </c>
    </row>
    <row r="969" spans="9:15" x14ac:dyDescent="0.15">
      <c r="I969" s="7">
        <f t="shared" si="138"/>
        <v>8</v>
      </c>
      <c r="J969" s="7">
        <f t="shared" si="139"/>
        <v>49</v>
      </c>
      <c r="K969" s="7">
        <f t="shared" si="146"/>
        <v>392</v>
      </c>
      <c r="L969" s="7">
        <f t="shared" si="142"/>
        <v>63.7</v>
      </c>
      <c r="M969" s="7">
        <f t="shared" si="143"/>
        <v>59.25</v>
      </c>
      <c r="N969" s="7">
        <f t="shared" si="144"/>
        <v>1.5698587127158554E-2</v>
      </c>
      <c r="O969" s="7">
        <f t="shared" si="145"/>
        <v>1.6877637130801686E-2</v>
      </c>
    </row>
    <row r="970" spans="9:15" x14ac:dyDescent="0.15">
      <c r="I970" s="7">
        <f t="shared" si="138"/>
        <v>9</v>
      </c>
      <c r="J970" s="7">
        <f t="shared" si="139"/>
        <v>49</v>
      </c>
      <c r="K970" s="7">
        <f t="shared" si="146"/>
        <v>441</v>
      </c>
      <c r="L970" s="7">
        <f t="shared" si="142"/>
        <v>66.150000000000006</v>
      </c>
      <c r="M970" s="7">
        <f t="shared" si="143"/>
        <v>64.150000000000006</v>
      </c>
      <c r="N970" s="7">
        <f t="shared" si="144"/>
        <v>1.511715797430083E-2</v>
      </c>
      <c r="O970" s="7">
        <f t="shared" si="145"/>
        <v>1.5588464536243178E-2</v>
      </c>
    </row>
    <row r="971" spans="9:15" x14ac:dyDescent="0.15">
      <c r="I971" s="7">
        <f t="shared" si="138"/>
        <v>10</v>
      </c>
      <c r="J971" s="7">
        <f t="shared" si="139"/>
        <v>49</v>
      </c>
      <c r="K971" s="7">
        <f t="shared" si="146"/>
        <v>490</v>
      </c>
      <c r="L971" s="7">
        <f t="shared" si="142"/>
        <v>68.599999999999994</v>
      </c>
      <c r="M971" s="7">
        <f t="shared" si="143"/>
        <v>69.05</v>
      </c>
      <c r="N971" s="7">
        <f t="shared" si="144"/>
        <v>1.457725947521866E-2</v>
      </c>
      <c r="O971" s="7">
        <f t="shared" si="145"/>
        <v>1.4482259232440261E-2</v>
      </c>
    </row>
    <row r="972" spans="9:15" x14ac:dyDescent="0.15">
      <c r="I972" s="7">
        <f t="shared" si="138"/>
        <v>11</v>
      </c>
      <c r="J972" s="7">
        <f t="shared" si="139"/>
        <v>49</v>
      </c>
      <c r="K972" s="7">
        <f t="shared" si="146"/>
        <v>539</v>
      </c>
      <c r="L972" s="7">
        <f t="shared" si="142"/>
        <v>71.050000000000011</v>
      </c>
      <c r="M972" s="7">
        <f t="shared" si="143"/>
        <v>73.95</v>
      </c>
      <c r="N972" s="7">
        <f t="shared" si="144"/>
        <v>1.407459535538353E-2</v>
      </c>
      <c r="O972" s="7">
        <f t="shared" si="145"/>
        <v>1.3522650439486139E-2</v>
      </c>
    </row>
    <row r="973" spans="9:15" x14ac:dyDescent="0.15">
      <c r="I973" s="7">
        <f t="shared" si="138"/>
        <v>12</v>
      </c>
      <c r="J973" s="7">
        <f t="shared" si="139"/>
        <v>49</v>
      </c>
      <c r="K973" s="7">
        <f t="shared" si="146"/>
        <v>588</v>
      </c>
      <c r="L973" s="7">
        <f t="shared" si="142"/>
        <v>73.5</v>
      </c>
      <c r="M973" s="7">
        <f t="shared" si="143"/>
        <v>78.850000000000009</v>
      </c>
      <c r="N973" s="7">
        <f t="shared" si="144"/>
        <v>1.3605442176870748E-2</v>
      </c>
      <c r="O973" s="7">
        <f t="shared" si="145"/>
        <v>1.2682308180088775E-2</v>
      </c>
    </row>
    <row r="974" spans="9:15" x14ac:dyDescent="0.15">
      <c r="I974" s="7">
        <f t="shared" si="138"/>
        <v>13</v>
      </c>
      <c r="J974" s="7">
        <f t="shared" si="139"/>
        <v>49</v>
      </c>
      <c r="K974" s="7">
        <f t="shared" si="146"/>
        <v>637</v>
      </c>
      <c r="L974" s="7">
        <f t="shared" si="142"/>
        <v>75.95</v>
      </c>
      <c r="M974" s="7">
        <f t="shared" si="143"/>
        <v>83.75</v>
      </c>
      <c r="N974" s="7">
        <f t="shared" si="144"/>
        <v>1.3166556945358789E-2</v>
      </c>
      <c r="O974" s="7">
        <f t="shared" si="145"/>
        <v>1.1940298507462687E-2</v>
      </c>
    </row>
    <row r="975" spans="9:15" x14ac:dyDescent="0.15">
      <c r="I975" s="7">
        <f t="shared" si="138"/>
        <v>14</v>
      </c>
      <c r="J975" s="7">
        <f t="shared" si="139"/>
        <v>49</v>
      </c>
      <c r="K975" s="7">
        <f t="shared" si="146"/>
        <v>686</v>
      </c>
      <c r="L975" s="7">
        <f t="shared" si="142"/>
        <v>78.400000000000006</v>
      </c>
      <c r="M975" s="7">
        <f t="shared" si="143"/>
        <v>88.65</v>
      </c>
      <c r="N975" s="7">
        <f t="shared" si="144"/>
        <v>1.2755102040816325E-2</v>
      </c>
      <c r="O975" s="7">
        <f t="shared" si="145"/>
        <v>1.1280315848843767E-2</v>
      </c>
    </row>
    <row r="976" spans="9:15" x14ac:dyDescent="0.15">
      <c r="I976" s="7">
        <f t="shared" si="138"/>
        <v>15</v>
      </c>
      <c r="J976" s="7">
        <f t="shared" si="139"/>
        <v>49</v>
      </c>
      <c r="K976" s="7">
        <f t="shared" si="146"/>
        <v>735</v>
      </c>
      <c r="L976" s="7">
        <f t="shared" si="142"/>
        <v>80.849999999999994</v>
      </c>
      <c r="M976" s="7">
        <f t="shared" si="143"/>
        <v>93.55</v>
      </c>
      <c r="N976" s="7">
        <f t="shared" si="144"/>
        <v>1.2368583797155226E-2</v>
      </c>
      <c r="O976" s="7">
        <f t="shared" si="145"/>
        <v>1.0689470871191877E-2</v>
      </c>
    </row>
    <row r="977" spans="9:15" x14ac:dyDescent="0.15">
      <c r="I977" s="7">
        <f t="shared" si="138"/>
        <v>16</v>
      </c>
      <c r="J977" s="7">
        <f t="shared" si="139"/>
        <v>49</v>
      </c>
      <c r="K977" s="7">
        <f t="shared" si="146"/>
        <v>784</v>
      </c>
      <c r="L977" s="7">
        <f t="shared" si="142"/>
        <v>83.300000000000011</v>
      </c>
      <c r="M977" s="7">
        <f t="shared" si="143"/>
        <v>98.45</v>
      </c>
      <c r="N977" s="7">
        <f t="shared" si="144"/>
        <v>1.2004801920768306E-2</v>
      </c>
      <c r="O977" s="7">
        <f t="shared" si="145"/>
        <v>1.015744032503809E-2</v>
      </c>
    </row>
    <row r="978" spans="9:15" x14ac:dyDescent="0.15">
      <c r="I978" s="7">
        <f t="shared" si="138"/>
        <v>17</v>
      </c>
      <c r="J978" s="7">
        <f t="shared" si="139"/>
        <v>49</v>
      </c>
      <c r="K978" s="7">
        <f t="shared" si="146"/>
        <v>833</v>
      </c>
      <c r="L978" s="7">
        <f t="shared" si="142"/>
        <v>85.75</v>
      </c>
      <c r="M978" s="7">
        <f t="shared" si="143"/>
        <v>103.35000000000001</v>
      </c>
      <c r="N978" s="7">
        <f t="shared" si="144"/>
        <v>1.1661807580174927E-2</v>
      </c>
      <c r="O978" s="7">
        <f t="shared" si="145"/>
        <v>9.6758587324625046E-3</v>
      </c>
    </row>
    <row r="979" spans="9:15" x14ac:dyDescent="0.15">
      <c r="I979" s="7">
        <f t="shared" si="138"/>
        <v>18</v>
      </c>
      <c r="J979" s="7">
        <f t="shared" si="139"/>
        <v>49</v>
      </c>
      <c r="K979" s="7">
        <f t="shared" si="146"/>
        <v>882</v>
      </c>
      <c r="L979" s="7">
        <f t="shared" si="142"/>
        <v>88.2</v>
      </c>
      <c r="M979" s="7">
        <f t="shared" si="143"/>
        <v>108.25</v>
      </c>
      <c r="N979" s="7">
        <f t="shared" si="144"/>
        <v>1.1337868480725623E-2</v>
      </c>
      <c r="O979" s="7">
        <f t="shared" si="145"/>
        <v>9.2378752886836026E-3</v>
      </c>
    </row>
    <row r="980" spans="9:15" x14ac:dyDescent="0.15">
      <c r="I980" s="7">
        <f t="shared" si="138"/>
        <v>19</v>
      </c>
      <c r="J980" s="7">
        <f t="shared" si="139"/>
        <v>49</v>
      </c>
      <c r="K980" s="7">
        <f t="shared" si="146"/>
        <v>931</v>
      </c>
      <c r="L980" s="7">
        <f t="shared" si="142"/>
        <v>90.65</v>
      </c>
      <c r="M980" s="7">
        <f t="shared" si="143"/>
        <v>113.15</v>
      </c>
      <c r="N980" s="7">
        <f t="shared" si="144"/>
        <v>1.1031439602868174E-2</v>
      </c>
      <c r="O980" s="7">
        <f t="shared" si="145"/>
        <v>8.8378258948298722E-3</v>
      </c>
    </row>
    <row r="981" spans="9:15" x14ac:dyDescent="0.15">
      <c r="I981" s="7">
        <f t="shared" si="138"/>
        <v>20</v>
      </c>
      <c r="J981" s="7">
        <f t="shared" si="139"/>
        <v>49</v>
      </c>
      <c r="K981" s="7">
        <f t="shared" si="146"/>
        <v>980</v>
      </c>
      <c r="L981" s="7">
        <f t="shared" si="142"/>
        <v>93.1</v>
      </c>
      <c r="M981" s="7">
        <f t="shared" si="143"/>
        <v>118.05</v>
      </c>
      <c r="N981" s="7">
        <f t="shared" si="144"/>
        <v>1.0741138560687433E-2</v>
      </c>
      <c r="O981" s="7">
        <f t="shared" si="145"/>
        <v>8.4709868699703525E-3</v>
      </c>
    </row>
    <row r="982" spans="9:15" x14ac:dyDescent="0.15">
      <c r="I982" s="7">
        <f t="shared" si="138"/>
        <v>1</v>
      </c>
      <c r="J982" s="7">
        <f t="shared" si="139"/>
        <v>50</v>
      </c>
      <c r="K982" s="7">
        <f>J982</f>
        <v>50</v>
      </c>
      <c r="L982" s="7">
        <f t="shared" si="142"/>
        <v>47.5</v>
      </c>
      <c r="M982" s="7">
        <f t="shared" si="143"/>
        <v>25.45</v>
      </c>
      <c r="N982" s="7">
        <f t="shared" si="144"/>
        <v>2.1052631578947368E-2</v>
      </c>
      <c r="O982" s="7">
        <f t="shared" si="145"/>
        <v>3.9292730844793712E-2</v>
      </c>
    </row>
    <row r="983" spans="9:15" x14ac:dyDescent="0.15">
      <c r="I983" s="7">
        <f t="shared" ref="I983:I1001" si="147">I963</f>
        <v>2</v>
      </c>
      <c r="J983" s="7">
        <f t="shared" ref="J983:J1001" si="148">J963+1</f>
        <v>50</v>
      </c>
      <c r="K983" s="7">
        <f>K982+J982</f>
        <v>100</v>
      </c>
      <c r="L983" s="7">
        <f t="shared" si="142"/>
        <v>50</v>
      </c>
      <c r="M983" s="7">
        <f t="shared" si="143"/>
        <v>30.45</v>
      </c>
      <c r="N983" s="7">
        <f t="shared" si="144"/>
        <v>0.02</v>
      </c>
      <c r="O983" s="7">
        <f t="shared" si="145"/>
        <v>3.2840722495894911E-2</v>
      </c>
    </row>
    <row r="984" spans="9:15" x14ac:dyDescent="0.15">
      <c r="I984" s="7">
        <f t="shared" si="147"/>
        <v>3</v>
      </c>
      <c r="J984" s="7">
        <f t="shared" si="148"/>
        <v>50</v>
      </c>
      <c r="K984" s="7">
        <f t="shared" ref="K984:K1001" si="149">K983+J983</f>
        <v>150</v>
      </c>
      <c r="L984" s="7">
        <f t="shared" si="142"/>
        <v>52.5</v>
      </c>
      <c r="M984" s="7">
        <f t="shared" si="143"/>
        <v>35.450000000000003</v>
      </c>
      <c r="N984" s="7">
        <f t="shared" si="144"/>
        <v>1.9047619047619049E-2</v>
      </c>
      <c r="O984" s="7">
        <f t="shared" si="145"/>
        <v>2.8208744710860365E-2</v>
      </c>
    </row>
    <row r="985" spans="9:15" x14ac:dyDescent="0.15">
      <c r="I985" s="7">
        <f t="shared" si="147"/>
        <v>4</v>
      </c>
      <c r="J985" s="7">
        <f t="shared" si="148"/>
        <v>50</v>
      </c>
      <c r="K985" s="7">
        <f t="shared" si="149"/>
        <v>200</v>
      </c>
      <c r="L985" s="7">
        <f t="shared" si="142"/>
        <v>55</v>
      </c>
      <c r="M985" s="7">
        <f t="shared" si="143"/>
        <v>40.450000000000003</v>
      </c>
      <c r="N985" s="7">
        <f t="shared" si="144"/>
        <v>1.8181818181818181E-2</v>
      </c>
      <c r="O985" s="7">
        <f t="shared" si="145"/>
        <v>2.4721878862793572E-2</v>
      </c>
    </row>
    <row r="986" spans="9:15" x14ac:dyDescent="0.15">
      <c r="I986" s="7">
        <f t="shared" si="147"/>
        <v>5</v>
      </c>
      <c r="J986" s="7">
        <f t="shared" si="148"/>
        <v>50</v>
      </c>
      <c r="K986" s="7">
        <f t="shared" si="149"/>
        <v>250</v>
      </c>
      <c r="L986" s="7">
        <f t="shared" si="142"/>
        <v>57.5</v>
      </c>
      <c r="M986" s="7">
        <f t="shared" si="143"/>
        <v>45.45</v>
      </c>
      <c r="N986" s="7">
        <f t="shared" si="144"/>
        <v>1.7391304347826087E-2</v>
      </c>
      <c r="O986" s="7">
        <f t="shared" si="145"/>
        <v>2.2002200220022E-2</v>
      </c>
    </row>
    <row r="987" spans="9:15" x14ac:dyDescent="0.15">
      <c r="I987" s="7">
        <f t="shared" si="147"/>
        <v>6</v>
      </c>
      <c r="J987" s="7">
        <f t="shared" si="148"/>
        <v>50</v>
      </c>
      <c r="K987" s="7">
        <f t="shared" si="149"/>
        <v>300</v>
      </c>
      <c r="L987" s="7">
        <f t="shared" si="142"/>
        <v>60</v>
      </c>
      <c r="M987" s="7">
        <f t="shared" si="143"/>
        <v>50.45</v>
      </c>
      <c r="N987" s="7">
        <f t="shared" si="144"/>
        <v>1.6666666666666666E-2</v>
      </c>
      <c r="O987" s="7">
        <f t="shared" si="145"/>
        <v>1.9821605550049554E-2</v>
      </c>
    </row>
    <row r="988" spans="9:15" x14ac:dyDescent="0.15">
      <c r="I988" s="7">
        <f t="shared" si="147"/>
        <v>7</v>
      </c>
      <c r="J988" s="7">
        <f t="shared" si="148"/>
        <v>50</v>
      </c>
      <c r="K988" s="7">
        <f t="shared" si="149"/>
        <v>350</v>
      </c>
      <c r="L988" s="7">
        <f t="shared" si="142"/>
        <v>62.5</v>
      </c>
      <c r="M988" s="7">
        <f t="shared" si="143"/>
        <v>55.45</v>
      </c>
      <c r="N988" s="7">
        <f t="shared" si="144"/>
        <v>1.6E-2</v>
      </c>
      <c r="O988" s="7">
        <f t="shared" si="145"/>
        <v>1.8034265103697024E-2</v>
      </c>
    </row>
    <row r="989" spans="9:15" x14ac:dyDescent="0.15">
      <c r="I989" s="7">
        <f t="shared" si="147"/>
        <v>8</v>
      </c>
      <c r="J989" s="7">
        <f t="shared" si="148"/>
        <v>50</v>
      </c>
      <c r="K989" s="7">
        <f t="shared" si="149"/>
        <v>400</v>
      </c>
      <c r="L989" s="7">
        <f t="shared" si="142"/>
        <v>65</v>
      </c>
      <c r="M989" s="7">
        <f t="shared" si="143"/>
        <v>60.45</v>
      </c>
      <c r="N989" s="7">
        <f t="shared" si="144"/>
        <v>1.5384615384615385E-2</v>
      </c>
      <c r="O989" s="7">
        <f t="shared" si="145"/>
        <v>1.6542597187758478E-2</v>
      </c>
    </row>
    <row r="990" spans="9:15" x14ac:dyDescent="0.15">
      <c r="I990" s="7">
        <f t="shared" si="147"/>
        <v>9</v>
      </c>
      <c r="J990" s="7">
        <f t="shared" si="148"/>
        <v>50</v>
      </c>
      <c r="K990" s="7">
        <f t="shared" si="149"/>
        <v>450</v>
      </c>
      <c r="L990" s="7">
        <f t="shared" si="142"/>
        <v>67.5</v>
      </c>
      <c r="M990" s="7">
        <f t="shared" si="143"/>
        <v>65.45</v>
      </c>
      <c r="N990" s="7">
        <f t="shared" si="144"/>
        <v>1.4814814814814815E-2</v>
      </c>
      <c r="O990" s="7">
        <f t="shared" si="145"/>
        <v>1.5278838808250572E-2</v>
      </c>
    </row>
    <row r="991" spans="9:15" x14ac:dyDescent="0.15">
      <c r="I991" s="7">
        <f t="shared" si="147"/>
        <v>10</v>
      </c>
      <c r="J991" s="7">
        <f t="shared" si="148"/>
        <v>50</v>
      </c>
      <c r="K991" s="7">
        <f t="shared" si="149"/>
        <v>500</v>
      </c>
      <c r="L991" s="7">
        <f t="shared" si="142"/>
        <v>70</v>
      </c>
      <c r="M991" s="7">
        <f t="shared" si="143"/>
        <v>70.45</v>
      </c>
      <c r="N991" s="7">
        <f t="shared" si="144"/>
        <v>1.4285714285714285E-2</v>
      </c>
      <c r="O991" s="7">
        <f t="shared" si="145"/>
        <v>1.4194464158977998E-2</v>
      </c>
    </row>
    <row r="992" spans="9:15" x14ac:dyDescent="0.15">
      <c r="I992" s="7">
        <f t="shared" si="147"/>
        <v>11</v>
      </c>
      <c r="J992" s="7">
        <f t="shared" si="148"/>
        <v>50</v>
      </c>
      <c r="K992" s="7">
        <f t="shared" si="149"/>
        <v>550</v>
      </c>
      <c r="L992" s="7">
        <f t="shared" si="142"/>
        <v>72.5</v>
      </c>
      <c r="M992" s="7">
        <f t="shared" si="143"/>
        <v>75.45</v>
      </c>
      <c r="N992" s="7">
        <f t="shared" si="144"/>
        <v>1.3793103448275862E-2</v>
      </c>
      <c r="O992" s="7">
        <f t="shared" si="145"/>
        <v>1.3253810470510271E-2</v>
      </c>
    </row>
    <row r="993" spans="9:15" x14ac:dyDescent="0.15">
      <c r="I993" s="7">
        <f t="shared" si="147"/>
        <v>12</v>
      </c>
      <c r="J993" s="7">
        <f t="shared" si="148"/>
        <v>50</v>
      </c>
      <c r="K993" s="7">
        <f t="shared" si="149"/>
        <v>600</v>
      </c>
      <c r="L993" s="7">
        <f t="shared" si="142"/>
        <v>75</v>
      </c>
      <c r="M993" s="7">
        <f t="shared" si="143"/>
        <v>80.45</v>
      </c>
      <c r="N993" s="7">
        <f t="shared" si="144"/>
        <v>1.3333333333333334E-2</v>
      </c>
      <c r="O993" s="7">
        <f t="shared" si="145"/>
        <v>1.243008079552517E-2</v>
      </c>
    </row>
    <row r="994" spans="9:15" x14ac:dyDescent="0.15">
      <c r="I994" s="7">
        <f t="shared" si="147"/>
        <v>13</v>
      </c>
      <c r="J994" s="7">
        <f t="shared" si="148"/>
        <v>50</v>
      </c>
      <c r="K994" s="7">
        <f t="shared" si="149"/>
        <v>650</v>
      </c>
      <c r="L994" s="7">
        <f t="shared" si="142"/>
        <v>77.5</v>
      </c>
      <c r="M994" s="7">
        <f t="shared" si="143"/>
        <v>85.45</v>
      </c>
      <c r="N994" s="7">
        <f t="shared" si="144"/>
        <v>1.2903225806451613E-2</v>
      </c>
      <c r="O994" s="7">
        <f t="shared" si="145"/>
        <v>1.1702750146284377E-2</v>
      </c>
    </row>
    <row r="995" spans="9:15" x14ac:dyDescent="0.15">
      <c r="I995" s="7">
        <f t="shared" si="147"/>
        <v>14</v>
      </c>
      <c r="J995" s="7">
        <f t="shared" si="148"/>
        <v>50</v>
      </c>
      <c r="K995" s="7">
        <f t="shared" si="149"/>
        <v>700</v>
      </c>
      <c r="L995" s="7">
        <f t="shared" si="142"/>
        <v>80</v>
      </c>
      <c r="M995" s="7">
        <f t="shared" si="143"/>
        <v>90.45</v>
      </c>
      <c r="N995" s="7">
        <f t="shared" si="144"/>
        <v>1.2500000000000001E-2</v>
      </c>
      <c r="O995" s="7">
        <f t="shared" si="145"/>
        <v>1.1055831951354339E-2</v>
      </c>
    </row>
    <row r="996" spans="9:15" x14ac:dyDescent="0.15">
      <c r="I996" s="7">
        <f t="shared" si="147"/>
        <v>15</v>
      </c>
      <c r="J996" s="7">
        <f t="shared" si="148"/>
        <v>50</v>
      </c>
      <c r="K996" s="7">
        <f t="shared" si="149"/>
        <v>750</v>
      </c>
      <c r="L996" s="7">
        <f t="shared" si="142"/>
        <v>82.5</v>
      </c>
      <c r="M996" s="7">
        <f t="shared" si="143"/>
        <v>95.45</v>
      </c>
      <c r="N996" s="7">
        <f t="shared" si="144"/>
        <v>1.2121212121212121E-2</v>
      </c>
      <c r="O996" s="7">
        <f t="shared" si="145"/>
        <v>1.0476689366160294E-2</v>
      </c>
    </row>
    <row r="997" spans="9:15" x14ac:dyDescent="0.15">
      <c r="I997" s="7">
        <f t="shared" si="147"/>
        <v>16</v>
      </c>
      <c r="J997" s="7">
        <f t="shared" si="148"/>
        <v>50</v>
      </c>
      <c r="K997" s="7">
        <f t="shared" si="149"/>
        <v>800</v>
      </c>
      <c r="L997" s="7">
        <f t="shared" si="142"/>
        <v>85</v>
      </c>
      <c r="M997" s="7">
        <f t="shared" si="143"/>
        <v>100.45</v>
      </c>
      <c r="N997" s="7">
        <f t="shared" si="144"/>
        <v>1.1764705882352941E-2</v>
      </c>
      <c r="O997" s="7">
        <f t="shared" si="145"/>
        <v>9.9552015928322541E-3</v>
      </c>
    </row>
    <row r="998" spans="9:15" x14ac:dyDescent="0.15">
      <c r="I998" s="7">
        <f t="shared" si="147"/>
        <v>17</v>
      </c>
      <c r="J998" s="7">
        <f t="shared" si="148"/>
        <v>50</v>
      </c>
      <c r="K998" s="7">
        <f t="shared" si="149"/>
        <v>850</v>
      </c>
      <c r="L998" s="7">
        <f t="shared" si="142"/>
        <v>87.5</v>
      </c>
      <c r="M998" s="7">
        <f t="shared" si="143"/>
        <v>105.45</v>
      </c>
      <c r="N998" s="7">
        <f t="shared" si="144"/>
        <v>1.1428571428571429E-2</v>
      </c>
      <c r="O998" s="7">
        <f t="shared" si="145"/>
        <v>9.483167377904219E-3</v>
      </c>
    </row>
    <row r="999" spans="9:15" x14ac:dyDescent="0.15">
      <c r="I999" s="7">
        <f t="shared" si="147"/>
        <v>18</v>
      </c>
      <c r="J999" s="7">
        <f t="shared" si="148"/>
        <v>50</v>
      </c>
      <c r="K999" s="7">
        <f t="shared" si="149"/>
        <v>900</v>
      </c>
      <c r="L999" s="7">
        <f t="shared" si="142"/>
        <v>90</v>
      </c>
      <c r="M999" s="7">
        <f t="shared" si="143"/>
        <v>110.45</v>
      </c>
      <c r="N999" s="7">
        <f t="shared" si="144"/>
        <v>1.1111111111111112E-2</v>
      </c>
      <c r="O999" s="7">
        <f t="shared" si="145"/>
        <v>9.0538705296514255E-3</v>
      </c>
    </row>
    <row r="1000" spans="9:15" x14ac:dyDescent="0.15">
      <c r="I1000" s="7">
        <f t="shared" si="147"/>
        <v>19</v>
      </c>
      <c r="J1000" s="7">
        <f t="shared" si="148"/>
        <v>50</v>
      </c>
      <c r="K1000" s="7">
        <f t="shared" si="149"/>
        <v>950</v>
      </c>
      <c r="L1000" s="7">
        <f t="shared" si="142"/>
        <v>92.5</v>
      </c>
      <c r="M1000" s="7">
        <f t="shared" si="143"/>
        <v>115.45</v>
      </c>
      <c r="N1000" s="7">
        <f t="shared" si="144"/>
        <v>1.0810810810810811E-2</v>
      </c>
      <c r="O1000" s="7">
        <f t="shared" si="145"/>
        <v>8.6617583369423996E-3</v>
      </c>
    </row>
    <row r="1001" spans="9:15" x14ac:dyDescent="0.15">
      <c r="I1001" s="7">
        <f t="shared" si="147"/>
        <v>20</v>
      </c>
      <c r="J1001" s="7">
        <f t="shared" si="148"/>
        <v>50</v>
      </c>
      <c r="K1001" s="7">
        <f t="shared" si="149"/>
        <v>1000</v>
      </c>
      <c r="L1001" s="7">
        <f t="shared" si="142"/>
        <v>95</v>
      </c>
      <c r="M1001" s="7">
        <f t="shared" si="143"/>
        <v>120.45</v>
      </c>
      <c r="N1001" s="7">
        <f t="shared" si="144"/>
        <v>1.0526315789473684E-2</v>
      </c>
      <c r="O1001" s="7">
        <f t="shared" si="145"/>
        <v>8.3022000830219999E-3</v>
      </c>
    </row>
  </sheetData>
  <autoFilter ref="I1:I1001"/>
  <phoneticPr fontId="1" type="noConversion"/>
  <dataValidations count="2">
    <dataValidation type="list" allowBlank="1" showInputMessage="1" showErrorMessage="1" sqref="F7">
      <formula1>"0,1"</formula1>
    </dataValidation>
    <dataValidation type="list" allowBlank="1" showInputMessage="1" showErrorMessage="1" sqref="F1">
      <formula1>$H$1:$H$12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0" tint="-0.249977111117893"/>
  </sheetPr>
  <dimension ref="A1:P24"/>
  <sheetViews>
    <sheetView workbookViewId="0">
      <selection activeCell="G10" sqref="G10"/>
    </sheetView>
  </sheetViews>
  <sheetFormatPr defaultRowHeight="13.5" x14ac:dyDescent="0.15"/>
  <sheetData>
    <row r="1" spans="1:16" x14ac:dyDescent="0.15">
      <c r="A1" t="s">
        <v>0</v>
      </c>
      <c r="B1" t="s">
        <v>1</v>
      </c>
      <c r="C1" t="s">
        <v>3</v>
      </c>
      <c r="D1" t="s">
        <v>4</v>
      </c>
      <c r="E1" t="s">
        <v>2</v>
      </c>
      <c r="F1" t="s">
        <v>5</v>
      </c>
      <c r="G1" t="s">
        <v>6</v>
      </c>
      <c r="H1" t="s">
        <v>7</v>
      </c>
      <c r="I1" t="s">
        <v>8</v>
      </c>
      <c r="L1" t="s">
        <v>13</v>
      </c>
    </row>
    <row r="2" spans="1:16" x14ac:dyDescent="0.15">
      <c r="A2" t="s">
        <v>9</v>
      </c>
      <c r="B2">
        <f>B5*2</f>
        <v>485028</v>
      </c>
      <c r="C2" s="24">
        <f t="shared" ref="C2:E2" si="0">C5*2</f>
        <v>4850</v>
      </c>
      <c r="D2" s="24">
        <f t="shared" si="0"/>
        <v>4850</v>
      </c>
      <c r="E2" s="24">
        <f t="shared" si="0"/>
        <v>4850</v>
      </c>
      <c r="F2">
        <v>1400</v>
      </c>
      <c r="G2">
        <v>650</v>
      </c>
      <c r="J2" t="s">
        <v>11</v>
      </c>
      <c r="K2" s="24" t="s">
        <v>952</v>
      </c>
    </row>
    <row r="3" spans="1:16" x14ac:dyDescent="0.15">
      <c r="A3" t="s">
        <v>10</v>
      </c>
      <c r="B3" s="24">
        <f>B7*2</f>
        <v>776044.8</v>
      </c>
      <c r="C3" s="24">
        <f t="shared" ref="C3:E3" si="1">C7*2</f>
        <v>3395</v>
      </c>
      <c r="D3" s="24">
        <f t="shared" si="1"/>
        <v>3395</v>
      </c>
      <c r="E3" s="24">
        <f t="shared" si="1"/>
        <v>5820</v>
      </c>
      <c r="F3">
        <v>1800</v>
      </c>
      <c r="G3">
        <v>100</v>
      </c>
      <c r="J3" t="s">
        <v>12</v>
      </c>
      <c r="K3" t="s">
        <v>1111</v>
      </c>
    </row>
    <row r="4" spans="1:16" x14ac:dyDescent="0.15">
      <c r="J4" s="7" t="s">
        <v>14</v>
      </c>
      <c r="K4">
        <f ca="1">VLOOKUP(K2,A:D,4,FALSE)*MIN(2,MAX(0.5,(VLOOKUP(K2,A:D,4,FALSE)/VLOOKUP(K3,A:E,5,FALSE))))*((RAND()*40+1)/100+0.8)*5</f>
        <v>11290.353212891459</v>
      </c>
      <c r="L4" s="4" t="s">
        <v>195</v>
      </c>
      <c r="M4" s="4"/>
      <c r="N4" s="4"/>
      <c r="O4" s="4"/>
      <c r="P4" s="4"/>
    </row>
    <row r="5" spans="1:16" x14ac:dyDescent="0.15">
      <c r="B5" s="24">
        <v>242514</v>
      </c>
      <c r="C5" s="24">
        <v>2425</v>
      </c>
      <c r="D5" s="24">
        <v>2425</v>
      </c>
      <c r="E5" s="24">
        <v>2425</v>
      </c>
      <c r="F5" s="24">
        <v>1400</v>
      </c>
      <c r="G5" s="24">
        <v>650</v>
      </c>
      <c r="J5" s="7" t="s">
        <v>407</v>
      </c>
      <c r="K5">
        <f ca="1">VLOOKUP(K3,A:D,2,FALSE)/K4</f>
        <v>42.959506301909961</v>
      </c>
      <c r="L5" s="4"/>
      <c r="M5" s="4"/>
      <c r="N5" s="4"/>
      <c r="O5" s="4"/>
      <c r="P5" s="4"/>
    </row>
    <row r="6" spans="1:16" x14ac:dyDescent="0.15">
      <c r="B6" s="24">
        <v>242514</v>
      </c>
      <c r="C6" s="24">
        <f>C5*1.2</f>
        <v>2910</v>
      </c>
      <c r="D6" s="24">
        <f>D5*1.2</f>
        <v>2910</v>
      </c>
      <c r="E6" s="24">
        <f>E5/1.44</f>
        <v>1684.0277777777778</v>
      </c>
      <c r="F6" s="24">
        <v>1800</v>
      </c>
      <c r="G6" s="24">
        <v>100</v>
      </c>
      <c r="L6" s="4"/>
      <c r="M6" s="5" t="s">
        <v>408</v>
      </c>
      <c r="N6" s="4"/>
      <c r="O6" s="4"/>
      <c r="P6" s="4"/>
    </row>
    <row r="7" spans="1:16" x14ac:dyDescent="0.15">
      <c r="B7">
        <f>B6*1.6</f>
        <v>388022.4</v>
      </c>
      <c r="C7">
        <f>C5*0.7</f>
        <v>1697.5</v>
      </c>
      <c r="D7" s="24">
        <f>D5*0.7</f>
        <v>1697.5</v>
      </c>
      <c r="E7">
        <f>E5*1.2</f>
        <v>2910</v>
      </c>
      <c r="F7">
        <v>700</v>
      </c>
      <c r="J7" s="7"/>
      <c r="L7" s="4"/>
      <c r="M7" s="4"/>
      <c r="N7" s="4"/>
      <c r="O7" s="4"/>
      <c r="P7" s="4"/>
    </row>
    <row r="8" spans="1:16" x14ac:dyDescent="0.15">
      <c r="E8">
        <f>C3/E2</f>
        <v>0.7</v>
      </c>
    </row>
    <row r="9" spans="1:16" x14ac:dyDescent="0.15">
      <c r="D9" s="7"/>
      <c r="E9" s="7"/>
      <c r="F9" s="14"/>
      <c r="H9" s="7"/>
      <c r="J9" s="7"/>
    </row>
    <row r="10" spans="1:16" x14ac:dyDescent="0.15">
      <c r="D10" s="7"/>
      <c r="E10" s="7"/>
      <c r="F10" s="14"/>
    </row>
    <row r="11" spans="1:16" x14ac:dyDescent="0.15">
      <c r="D11" s="7"/>
      <c r="E11" s="7"/>
    </row>
    <row r="12" spans="1:16" x14ac:dyDescent="0.15">
      <c r="D12" s="7"/>
      <c r="E12" s="7"/>
    </row>
    <row r="16" spans="1:16" x14ac:dyDescent="0.15">
      <c r="F16">
        <v>10</v>
      </c>
      <c r="G16">
        <f>2000*INT(F16^2/100)*2</f>
        <v>4000</v>
      </c>
    </row>
    <row r="17" spans="6:7" x14ac:dyDescent="0.15">
      <c r="F17">
        <v>15</v>
      </c>
      <c r="G17" s="24">
        <f t="shared" ref="G17:G24" si="2">2000*INT(F17^2/100)*2</f>
        <v>8000</v>
      </c>
    </row>
    <row r="18" spans="6:7" x14ac:dyDescent="0.15">
      <c r="F18">
        <v>20</v>
      </c>
      <c r="G18" s="24">
        <f t="shared" si="2"/>
        <v>16000</v>
      </c>
    </row>
    <row r="19" spans="6:7" x14ac:dyDescent="0.15">
      <c r="F19" s="24">
        <v>25</v>
      </c>
      <c r="G19" s="24">
        <f t="shared" si="2"/>
        <v>24000</v>
      </c>
    </row>
    <row r="20" spans="6:7" x14ac:dyDescent="0.15">
      <c r="F20" s="24">
        <v>30</v>
      </c>
      <c r="G20" s="24">
        <f t="shared" si="2"/>
        <v>36000</v>
      </c>
    </row>
    <row r="21" spans="6:7" x14ac:dyDescent="0.15">
      <c r="F21" s="24">
        <v>35</v>
      </c>
      <c r="G21" s="24">
        <f t="shared" si="2"/>
        <v>48000</v>
      </c>
    </row>
    <row r="22" spans="6:7" x14ac:dyDescent="0.15">
      <c r="F22" s="24">
        <v>40</v>
      </c>
      <c r="G22" s="24">
        <f t="shared" si="2"/>
        <v>64000</v>
      </c>
    </row>
    <row r="23" spans="6:7" x14ac:dyDescent="0.15">
      <c r="F23" s="24">
        <v>45</v>
      </c>
      <c r="G23" s="24">
        <f t="shared" si="2"/>
        <v>80000</v>
      </c>
    </row>
    <row r="24" spans="6:7" x14ac:dyDescent="0.15">
      <c r="F24" s="24">
        <v>50</v>
      </c>
      <c r="G24" s="24">
        <f t="shared" si="2"/>
        <v>100000</v>
      </c>
    </row>
  </sheetData>
  <phoneticPr fontId="1" type="noConversion"/>
  <dataValidations count="1">
    <dataValidation type="list" allowBlank="1" showInputMessage="1" showErrorMessage="1" sqref="K2:K3">
      <formula1>$A:$A</formula1>
    </dataValidation>
  </dataValidations>
  <pageMargins left="0.7" right="0.7" top="0.75" bottom="0.75" header="0.3" footer="0.3"/>
  <pageSetup paperSize="9" orientation="portrait" horizontalDpi="200" verticalDpi="2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M108"/>
  <sheetViews>
    <sheetView workbookViewId="0">
      <pane xSplit="1" ySplit="1" topLeftCell="B66" activePane="bottomRight" state="frozen"/>
      <selection pane="topRight" activeCell="B1" sqref="B1"/>
      <selection pane="bottomLeft" activeCell="A2" sqref="A2"/>
      <selection pane="bottomRight" activeCell="C75" sqref="C75"/>
    </sheetView>
  </sheetViews>
  <sheetFormatPr defaultRowHeight="13.5" x14ac:dyDescent="0.15"/>
  <cols>
    <col min="1" max="1" width="20.625" customWidth="1"/>
    <col min="3" max="3" width="12.375" customWidth="1"/>
    <col min="12" max="12" width="9" style="24"/>
    <col min="13" max="13" width="9" style="7"/>
    <col min="14" max="14" width="9" style="24"/>
    <col min="17" max="17" width="10.375" bestFit="1" customWidth="1"/>
    <col min="18" max="18" width="9.375" bestFit="1" customWidth="1"/>
    <col min="20" max="20" width="9.375" bestFit="1" customWidth="1"/>
    <col min="21" max="21" width="9.375" style="24" customWidth="1"/>
    <col min="22" max="24" width="9" style="24"/>
    <col min="29" max="29" width="9" style="24"/>
    <col min="38" max="38" width="9" style="24"/>
  </cols>
  <sheetData>
    <row r="1" spans="1:39" s="1" customFormat="1" x14ac:dyDescent="0.15">
      <c r="A1" s="1" t="s">
        <v>257</v>
      </c>
      <c r="B1" s="1" t="s">
        <v>196</v>
      </c>
      <c r="C1" s="1" t="s">
        <v>197</v>
      </c>
      <c r="D1" s="1" t="s">
        <v>198</v>
      </c>
      <c r="E1" s="1" t="s">
        <v>199</v>
      </c>
      <c r="F1" s="1" t="s">
        <v>200</v>
      </c>
      <c r="G1" s="1" t="s">
        <v>201</v>
      </c>
      <c r="H1" s="1" t="s">
        <v>202</v>
      </c>
      <c r="I1" s="1" t="s">
        <v>203</v>
      </c>
      <c r="J1" s="1" t="s">
        <v>204</v>
      </c>
      <c r="K1" s="1" t="s">
        <v>258</v>
      </c>
      <c r="L1" s="25" t="s">
        <v>1044</v>
      </c>
      <c r="M1" s="8"/>
      <c r="N1" s="25" t="s">
        <v>988</v>
      </c>
      <c r="O1" s="1" t="s">
        <v>323</v>
      </c>
      <c r="P1" s="1" t="s">
        <v>322</v>
      </c>
      <c r="Q1" s="1" t="s">
        <v>229</v>
      </c>
      <c r="R1" s="1" t="s">
        <v>227</v>
      </c>
      <c r="S1" s="1" t="s">
        <v>228</v>
      </c>
      <c r="T1" s="1" t="s">
        <v>226</v>
      </c>
      <c r="U1" s="25" t="s">
        <v>1042</v>
      </c>
      <c r="V1" s="25" t="s">
        <v>1028</v>
      </c>
      <c r="W1" s="25" t="s">
        <v>1113</v>
      </c>
      <c r="X1" s="25" t="s">
        <v>1114</v>
      </c>
      <c r="Y1" s="25" t="s">
        <v>387</v>
      </c>
      <c r="Z1" s="1" t="s">
        <v>324</v>
      </c>
      <c r="AA1" s="1" t="s">
        <v>325</v>
      </c>
      <c r="AB1" s="25" t="s">
        <v>1129</v>
      </c>
      <c r="AC1" s="25" t="s">
        <v>1043</v>
      </c>
      <c r="AD1" s="1" t="s">
        <v>327</v>
      </c>
      <c r="AE1" s="25" t="s">
        <v>411</v>
      </c>
      <c r="AF1" s="1" t="s">
        <v>329</v>
      </c>
      <c r="AG1" s="1" t="s">
        <v>330</v>
      </c>
      <c r="AH1" s="1" t="s">
        <v>331</v>
      </c>
      <c r="AI1" s="25" t="s">
        <v>909</v>
      </c>
      <c r="AJ1" s="25" t="s">
        <v>1029</v>
      </c>
      <c r="AK1" s="25" t="s">
        <v>1115</v>
      </c>
      <c r="AL1" s="25" t="s">
        <v>1116</v>
      </c>
      <c r="AM1" s="25" t="s">
        <v>1061</v>
      </c>
    </row>
    <row r="2" spans="1:39" x14ac:dyDescent="0.15">
      <c r="A2" s="24" t="s">
        <v>1063</v>
      </c>
      <c r="B2">
        <v>0</v>
      </c>
      <c r="C2">
        <v>10</v>
      </c>
      <c r="D2">
        <v>10</v>
      </c>
      <c r="E2">
        <v>75</v>
      </c>
      <c r="F2">
        <v>200</v>
      </c>
      <c r="G2">
        <v>0</v>
      </c>
      <c r="H2">
        <v>20</v>
      </c>
      <c r="I2">
        <v>3</v>
      </c>
      <c r="J2">
        <v>1</v>
      </c>
      <c r="K2">
        <v>26</v>
      </c>
      <c r="L2" s="24">
        <f t="shared" ref="L2:L12" si="0">SUM(Q2:U2)/250000*55+K2/345600*275+O2/20000*55</f>
        <v>7.4038657407407407E-2</v>
      </c>
      <c r="N2" s="24">
        <f>L2</f>
        <v>7.4038657407407407E-2</v>
      </c>
      <c r="O2">
        <v>1</v>
      </c>
      <c r="P2">
        <v>1</v>
      </c>
      <c r="Q2">
        <v>80</v>
      </c>
      <c r="R2">
        <v>100</v>
      </c>
      <c r="S2">
        <v>0</v>
      </c>
      <c r="T2">
        <v>50</v>
      </c>
    </row>
    <row r="3" spans="1:39" x14ac:dyDescent="0.15">
      <c r="A3" s="24" t="s">
        <v>1064</v>
      </c>
      <c r="B3">
        <v>0</v>
      </c>
      <c r="C3">
        <v>1</v>
      </c>
      <c r="D3">
        <v>10</v>
      </c>
      <c r="E3">
        <v>45</v>
      </c>
      <c r="F3">
        <v>100</v>
      </c>
      <c r="G3">
        <v>0</v>
      </c>
      <c r="H3">
        <v>200</v>
      </c>
      <c r="I3">
        <v>2</v>
      </c>
      <c r="J3">
        <v>1</v>
      </c>
      <c r="K3">
        <v>48</v>
      </c>
      <c r="L3" s="24">
        <f t="shared" si="0"/>
        <v>8.7144444444444455E-2</v>
      </c>
      <c r="N3" s="24">
        <f t="shared" ref="N3:N12" si="1">L3</f>
        <v>8.7144444444444455E-2</v>
      </c>
      <c r="O3">
        <v>1</v>
      </c>
      <c r="P3">
        <v>2</v>
      </c>
      <c r="Q3">
        <v>50</v>
      </c>
      <c r="R3">
        <v>150</v>
      </c>
      <c r="S3">
        <v>0</v>
      </c>
      <c r="T3">
        <v>10</v>
      </c>
    </row>
    <row r="4" spans="1:39" x14ac:dyDescent="0.15">
      <c r="A4" s="24" t="s">
        <v>1065</v>
      </c>
      <c r="B4">
        <v>0</v>
      </c>
      <c r="C4">
        <v>5</v>
      </c>
      <c r="D4">
        <v>5</v>
      </c>
      <c r="E4">
        <v>10</v>
      </c>
      <c r="F4">
        <v>3000</v>
      </c>
      <c r="G4">
        <v>0</v>
      </c>
      <c r="H4">
        <v>0</v>
      </c>
      <c r="I4">
        <v>5</v>
      </c>
      <c r="J4">
        <v>2</v>
      </c>
      <c r="K4">
        <v>103</v>
      </c>
      <c r="L4" s="24">
        <f t="shared" si="0"/>
        <v>0.18810891203703703</v>
      </c>
      <c r="N4" s="24">
        <f t="shared" si="1"/>
        <v>0.18810891203703703</v>
      </c>
      <c r="O4">
        <v>1</v>
      </c>
      <c r="P4">
        <v>4</v>
      </c>
      <c r="Q4">
        <v>120</v>
      </c>
      <c r="R4">
        <v>200</v>
      </c>
      <c r="S4">
        <v>0</v>
      </c>
      <c r="T4">
        <v>150</v>
      </c>
      <c r="Y4">
        <v>1</v>
      </c>
    </row>
    <row r="5" spans="1:39" x14ac:dyDescent="0.15">
      <c r="A5" s="24" t="s">
        <v>1066</v>
      </c>
      <c r="B5">
        <v>0</v>
      </c>
      <c r="C5">
        <v>40</v>
      </c>
      <c r="D5">
        <v>40</v>
      </c>
      <c r="E5">
        <v>150</v>
      </c>
      <c r="F5">
        <v>300</v>
      </c>
      <c r="G5">
        <v>0</v>
      </c>
      <c r="H5">
        <v>40</v>
      </c>
      <c r="I5">
        <v>6</v>
      </c>
      <c r="J5">
        <v>2</v>
      </c>
      <c r="K5">
        <v>141</v>
      </c>
      <c r="L5" s="24">
        <f t="shared" si="0"/>
        <v>0.27994618055555553</v>
      </c>
      <c r="N5" s="24">
        <f t="shared" si="1"/>
        <v>0.27994618055555553</v>
      </c>
      <c r="O5">
        <v>1</v>
      </c>
      <c r="P5">
        <v>4</v>
      </c>
      <c r="Q5">
        <v>150</v>
      </c>
      <c r="R5">
        <v>500</v>
      </c>
      <c r="S5">
        <v>0</v>
      </c>
      <c r="T5">
        <v>100</v>
      </c>
      <c r="Z5">
        <v>1</v>
      </c>
    </row>
    <row r="6" spans="1:39" x14ac:dyDescent="0.15">
      <c r="A6" s="24" t="s">
        <v>1067</v>
      </c>
      <c r="B6">
        <v>0</v>
      </c>
      <c r="C6">
        <v>70</v>
      </c>
      <c r="D6">
        <v>45</v>
      </c>
      <c r="E6">
        <v>225</v>
      </c>
      <c r="F6">
        <v>275</v>
      </c>
      <c r="G6">
        <v>0</v>
      </c>
      <c r="H6">
        <v>30</v>
      </c>
      <c r="I6">
        <v>7</v>
      </c>
      <c r="J6">
        <v>3</v>
      </c>
      <c r="K6">
        <v>219</v>
      </c>
      <c r="L6" s="24">
        <f t="shared" si="0"/>
        <v>0.34201215277777774</v>
      </c>
      <c r="N6" s="24">
        <f t="shared" si="1"/>
        <v>0.34201215277777774</v>
      </c>
      <c r="O6">
        <v>1</v>
      </c>
      <c r="P6">
        <v>6</v>
      </c>
      <c r="Q6">
        <v>200</v>
      </c>
      <c r="R6">
        <v>150</v>
      </c>
      <c r="S6">
        <v>0</v>
      </c>
      <c r="T6">
        <v>400</v>
      </c>
      <c r="Z6">
        <v>1</v>
      </c>
      <c r="AA6">
        <v>2</v>
      </c>
    </row>
    <row r="7" spans="1:39" x14ac:dyDescent="0.15">
      <c r="A7" s="24" t="s">
        <v>1068</v>
      </c>
      <c r="B7">
        <v>80</v>
      </c>
      <c r="C7">
        <v>5</v>
      </c>
      <c r="D7">
        <v>30</v>
      </c>
      <c r="E7">
        <v>75</v>
      </c>
      <c r="F7">
        <v>250</v>
      </c>
      <c r="G7">
        <v>1200</v>
      </c>
      <c r="H7">
        <v>25</v>
      </c>
      <c r="I7">
        <v>9</v>
      </c>
      <c r="J7">
        <v>4</v>
      </c>
      <c r="K7">
        <v>343</v>
      </c>
      <c r="L7" s="24">
        <f t="shared" si="0"/>
        <v>0.48743113425925927</v>
      </c>
      <c r="N7" s="24">
        <f t="shared" si="1"/>
        <v>0.48743113425925927</v>
      </c>
      <c r="O7">
        <v>2</v>
      </c>
      <c r="P7">
        <v>8</v>
      </c>
      <c r="Q7">
        <v>300</v>
      </c>
      <c r="R7">
        <v>350</v>
      </c>
      <c r="S7">
        <v>0</v>
      </c>
      <c r="T7">
        <v>300</v>
      </c>
      <c r="AB7">
        <v>1</v>
      </c>
    </row>
    <row r="8" spans="1:39" x14ac:dyDescent="0.15">
      <c r="A8" t="s">
        <v>265</v>
      </c>
      <c r="B8">
        <v>0</v>
      </c>
      <c r="C8">
        <v>150</v>
      </c>
      <c r="D8">
        <v>60</v>
      </c>
      <c r="E8">
        <v>300</v>
      </c>
      <c r="F8">
        <v>1000</v>
      </c>
      <c r="G8">
        <v>0</v>
      </c>
      <c r="H8">
        <v>100</v>
      </c>
      <c r="I8">
        <v>18</v>
      </c>
      <c r="J8">
        <v>5</v>
      </c>
      <c r="K8">
        <v>498</v>
      </c>
      <c r="L8" s="24">
        <f t="shared" si="0"/>
        <v>0.86651736111111111</v>
      </c>
      <c r="N8" s="24">
        <f t="shared" si="1"/>
        <v>0.86651736111111111</v>
      </c>
      <c r="O8">
        <v>3</v>
      </c>
      <c r="P8">
        <v>10</v>
      </c>
      <c r="Q8">
        <v>1000</v>
      </c>
      <c r="R8">
        <v>600</v>
      </c>
      <c r="S8">
        <v>0</v>
      </c>
      <c r="T8">
        <v>500</v>
      </c>
      <c r="AD8">
        <v>2</v>
      </c>
      <c r="AE8">
        <v>1</v>
      </c>
      <c r="AF8">
        <v>2</v>
      </c>
    </row>
    <row r="9" spans="1:39" x14ac:dyDescent="0.15">
      <c r="A9" s="24" t="s">
        <v>1069</v>
      </c>
      <c r="B9">
        <v>0</v>
      </c>
      <c r="C9">
        <v>300</v>
      </c>
      <c r="D9">
        <v>300</v>
      </c>
      <c r="E9">
        <v>1500</v>
      </c>
      <c r="F9">
        <v>750</v>
      </c>
      <c r="G9">
        <v>0</v>
      </c>
      <c r="H9">
        <v>80</v>
      </c>
      <c r="I9">
        <v>35</v>
      </c>
      <c r="J9">
        <v>7</v>
      </c>
      <c r="K9">
        <v>1492</v>
      </c>
      <c r="L9" s="24">
        <f t="shared" si="0"/>
        <v>2.3037106481481486</v>
      </c>
      <c r="N9" s="24">
        <f t="shared" si="1"/>
        <v>2.3037106481481486</v>
      </c>
      <c r="O9">
        <v>6</v>
      </c>
      <c r="P9">
        <v>14</v>
      </c>
      <c r="Q9">
        <v>2000</v>
      </c>
      <c r="R9">
        <v>500</v>
      </c>
      <c r="S9">
        <v>0</v>
      </c>
      <c r="T9">
        <v>2500</v>
      </c>
      <c r="AA9">
        <v>10</v>
      </c>
      <c r="AD9">
        <v>10</v>
      </c>
      <c r="AE9">
        <v>5</v>
      </c>
      <c r="AF9">
        <v>3</v>
      </c>
    </row>
    <row r="10" spans="1:39" x14ac:dyDescent="0.15">
      <c r="A10" t="s">
        <v>267</v>
      </c>
      <c r="B10">
        <v>0</v>
      </c>
      <c r="C10">
        <v>5</v>
      </c>
      <c r="D10">
        <v>200</v>
      </c>
      <c r="E10">
        <v>750</v>
      </c>
      <c r="F10">
        <v>150</v>
      </c>
      <c r="G10">
        <v>0</v>
      </c>
      <c r="H10">
        <v>5000</v>
      </c>
      <c r="I10">
        <v>10</v>
      </c>
      <c r="J10">
        <v>6</v>
      </c>
      <c r="K10">
        <v>975</v>
      </c>
      <c r="L10" s="24">
        <f t="shared" si="0"/>
        <v>1.3258246527777777</v>
      </c>
      <c r="N10" s="24">
        <f t="shared" si="1"/>
        <v>1.3258246527777777</v>
      </c>
      <c r="O10">
        <v>4</v>
      </c>
      <c r="P10">
        <v>12</v>
      </c>
      <c r="Q10">
        <v>600</v>
      </c>
      <c r="R10">
        <v>1500</v>
      </c>
      <c r="S10">
        <v>0</v>
      </c>
      <c r="T10">
        <v>350</v>
      </c>
      <c r="AG10">
        <v>6</v>
      </c>
      <c r="AH10">
        <v>3</v>
      </c>
    </row>
    <row r="11" spans="1:39" x14ac:dyDescent="0.15">
      <c r="A11" s="24" t="s">
        <v>956</v>
      </c>
      <c r="B11">
        <v>0</v>
      </c>
      <c r="C11">
        <v>1000</v>
      </c>
      <c r="D11">
        <v>400</v>
      </c>
      <c r="E11">
        <v>4000</v>
      </c>
      <c r="F11">
        <v>120</v>
      </c>
      <c r="G11">
        <v>0</v>
      </c>
      <c r="H11">
        <v>45</v>
      </c>
      <c r="I11">
        <v>100</v>
      </c>
      <c r="J11">
        <v>9</v>
      </c>
      <c r="K11">
        <v>4334</v>
      </c>
      <c r="L11" s="24">
        <f t="shared" si="0"/>
        <v>6.0006400462962963</v>
      </c>
      <c r="N11" s="24">
        <f t="shared" si="1"/>
        <v>6.0006400462962963</v>
      </c>
      <c r="O11">
        <v>8</v>
      </c>
      <c r="P11">
        <v>18</v>
      </c>
      <c r="Q11">
        <v>4000</v>
      </c>
      <c r="R11">
        <v>6000</v>
      </c>
      <c r="S11">
        <v>0</v>
      </c>
      <c r="T11">
        <v>1500</v>
      </c>
      <c r="Y11">
        <v>3</v>
      </c>
      <c r="Z11">
        <v>8</v>
      </c>
      <c r="AA11">
        <v>10</v>
      </c>
      <c r="AG11">
        <v>14</v>
      </c>
    </row>
    <row r="12" spans="1:39" x14ac:dyDescent="0.15">
      <c r="A12" t="s">
        <v>269</v>
      </c>
      <c r="B12">
        <v>1200</v>
      </c>
      <c r="C12">
        <v>20</v>
      </c>
      <c r="D12">
        <v>30</v>
      </c>
      <c r="E12">
        <v>1500</v>
      </c>
      <c r="F12">
        <v>50</v>
      </c>
      <c r="G12">
        <v>1500</v>
      </c>
      <c r="H12">
        <v>75</v>
      </c>
      <c r="I12">
        <v>250</v>
      </c>
      <c r="J12">
        <v>10</v>
      </c>
      <c r="K12">
        <v>5843</v>
      </c>
      <c r="L12" s="24">
        <f t="shared" si="0"/>
        <v>8.9008778935185191</v>
      </c>
      <c r="N12" s="24">
        <f t="shared" si="1"/>
        <v>8.9008778935185191</v>
      </c>
      <c r="O12">
        <v>10</v>
      </c>
      <c r="P12">
        <v>20</v>
      </c>
      <c r="Q12">
        <v>5000</v>
      </c>
      <c r="R12">
        <v>5000</v>
      </c>
      <c r="S12">
        <v>8000</v>
      </c>
      <c r="T12">
        <v>1200</v>
      </c>
      <c r="Z12">
        <v>10</v>
      </c>
      <c r="AA12">
        <v>14</v>
      </c>
      <c r="AB12">
        <v>10</v>
      </c>
      <c r="AG12">
        <v>18</v>
      </c>
    </row>
    <row r="13" spans="1:39" s="3" customFormat="1" x14ac:dyDescent="0.15">
      <c r="A13" s="3" t="s">
        <v>281</v>
      </c>
      <c r="B13" s="3">
        <v>800</v>
      </c>
      <c r="C13" s="3">
        <v>1600</v>
      </c>
      <c r="D13" s="3">
        <v>300</v>
      </c>
      <c r="E13" s="3">
        <v>3000</v>
      </c>
      <c r="F13" s="3">
        <v>500</v>
      </c>
      <c r="G13" s="3">
        <v>600</v>
      </c>
      <c r="H13" s="3">
        <v>45</v>
      </c>
      <c r="I13" s="3">
        <v>125</v>
      </c>
      <c r="J13" s="3">
        <v>10</v>
      </c>
      <c r="K13" s="3">
        <v>2000</v>
      </c>
      <c r="L13" s="24">
        <f t="shared" ref="L13:L15" si="2">SUM(Q13:U13)/250000*55+K13/345600*275+O13/20000*55+SUM(V13:X13)/80000*30</f>
        <v>5.8336851851851845</v>
      </c>
      <c r="N13" s="24">
        <f t="shared" ref="N13:N16" si="3">L13</f>
        <v>5.8336851851851845</v>
      </c>
      <c r="O13" s="3">
        <v>9</v>
      </c>
      <c r="P13" s="3">
        <v>18</v>
      </c>
      <c r="Q13" s="3">
        <v>4000</v>
      </c>
      <c r="R13" s="3">
        <v>5500</v>
      </c>
      <c r="S13" s="3">
        <v>7000</v>
      </c>
      <c r="T13" s="3">
        <v>2500</v>
      </c>
      <c r="V13" s="3">
        <v>100</v>
      </c>
      <c r="Y13" s="3">
        <v>0</v>
      </c>
      <c r="AA13" s="3">
        <v>14</v>
      </c>
      <c r="AE13" s="3">
        <v>8</v>
      </c>
      <c r="AG13" s="3">
        <v>14</v>
      </c>
      <c r="AI13" s="3">
        <v>18</v>
      </c>
      <c r="AJ13" s="3">
        <v>9</v>
      </c>
    </row>
    <row r="14" spans="1:39" s="3" customFormat="1" ht="14.25" x14ac:dyDescent="0.15">
      <c r="A14" s="54" t="s">
        <v>1041</v>
      </c>
      <c r="B14" s="3">
        <v>0</v>
      </c>
      <c r="C14" s="3">
        <v>3100</v>
      </c>
      <c r="D14" s="3">
        <v>400</v>
      </c>
      <c r="E14" s="3">
        <v>250</v>
      </c>
      <c r="F14" s="3">
        <v>900</v>
      </c>
      <c r="G14" s="3">
        <v>0</v>
      </c>
      <c r="H14" s="3">
        <v>0</v>
      </c>
      <c r="I14" s="3">
        <v>10</v>
      </c>
      <c r="J14" s="3">
        <v>10</v>
      </c>
      <c r="K14" s="3">
        <v>2504</v>
      </c>
      <c r="L14" s="24">
        <f t="shared" si="2"/>
        <v>4.8772268518518516</v>
      </c>
      <c r="N14" s="24">
        <f t="shared" si="3"/>
        <v>4.8772268518518516</v>
      </c>
      <c r="O14" s="3">
        <v>9</v>
      </c>
      <c r="P14" s="3">
        <v>20</v>
      </c>
      <c r="Q14" s="3">
        <v>1000</v>
      </c>
      <c r="R14" s="3">
        <v>3000</v>
      </c>
      <c r="S14" s="3">
        <v>1000</v>
      </c>
      <c r="T14" s="3">
        <v>4000</v>
      </c>
      <c r="U14" s="3">
        <v>4000</v>
      </c>
      <c r="Z14" s="3">
        <v>10</v>
      </c>
      <c r="AA14" s="3">
        <v>20</v>
      </c>
      <c r="AC14" s="3">
        <v>7</v>
      </c>
      <c r="AE14" s="3">
        <v>10</v>
      </c>
    </row>
    <row r="15" spans="1:39" s="3" customFormat="1" ht="14.25" x14ac:dyDescent="0.15">
      <c r="A15" s="54" t="s">
        <v>1117</v>
      </c>
      <c r="B15" s="3">
        <v>0</v>
      </c>
      <c r="C15" s="3">
        <v>2000</v>
      </c>
      <c r="D15" s="3">
        <v>500</v>
      </c>
      <c r="E15" s="3">
        <v>5000</v>
      </c>
      <c r="F15" s="3">
        <v>150</v>
      </c>
      <c r="G15" s="3">
        <v>0</v>
      </c>
      <c r="H15" s="3">
        <v>60</v>
      </c>
      <c r="I15" s="3">
        <v>125</v>
      </c>
      <c r="J15" s="3">
        <v>10</v>
      </c>
      <c r="K15" s="3">
        <v>2000</v>
      </c>
      <c r="L15" s="24">
        <f t="shared" si="2"/>
        <v>6.0536851851851852</v>
      </c>
      <c r="N15" s="24">
        <f t="shared" si="3"/>
        <v>6.0536851851851852</v>
      </c>
      <c r="O15" s="3">
        <v>9</v>
      </c>
      <c r="P15" s="3">
        <v>18</v>
      </c>
      <c r="Q15" s="3">
        <v>1000</v>
      </c>
      <c r="R15" s="3">
        <v>4000</v>
      </c>
      <c r="S15" s="3">
        <v>8000</v>
      </c>
      <c r="T15" s="3">
        <v>2000</v>
      </c>
      <c r="U15" s="3">
        <v>5000</v>
      </c>
      <c r="W15" s="3">
        <v>100</v>
      </c>
      <c r="Y15" s="3">
        <v>8</v>
      </c>
      <c r="AA15" s="3">
        <v>18</v>
      </c>
      <c r="AE15" s="3">
        <v>9</v>
      </c>
      <c r="AK15" s="3">
        <v>9</v>
      </c>
      <c r="AM15" s="3">
        <v>8</v>
      </c>
    </row>
    <row r="16" spans="1:39" s="3" customFormat="1" ht="14.25" x14ac:dyDescent="0.15">
      <c r="A16" s="54" t="s">
        <v>1112</v>
      </c>
      <c r="B16" s="3">
        <v>0</v>
      </c>
      <c r="C16" s="3">
        <v>650</v>
      </c>
      <c r="D16" s="3">
        <v>900</v>
      </c>
      <c r="E16" s="3">
        <v>15000</v>
      </c>
      <c r="F16" s="3">
        <v>350</v>
      </c>
      <c r="G16" s="3">
        <v>0</v>
      </c>
      <c r="H16" s="3">
        <v>30</v>
      </c>
      <c r="I16" s="3">
        <v>110</v>
      </c>
      <c r="J16" s="3">
        <v>9</v>
      </c>
      <c r="K16" s="3">
        <v>2000</v>
      </c>
      <c r="L16" s="24">
        <f>SUM(Q16:U16)/250000*55+K16/345600*275+O16/20000*55+SUM(V16:X16)/80000*30</f>
        <v>5.3909351851851852</v>
      </c>
      <c r="N16" s="24">
        <f t="shared" si="3"/>
        <v>5.3909351851851852</v>
      </c>
      <c r="O16" s="3">
        <v>8</v>
      </c>
      <c r="P16" s="3">
        <v>18</v>
      </c>
      <c r="Q16" s="3">
        <v>3000</v>
      </c>
      <c r="R16" s="3">
        <v>4000</v>
      </c>
      <c r="S16" s="3">
        <v>8000</v>
      </c>
      <c r="T16" s="3">
        <v>2000</v>
      </c>
      <c r="X16" s="3">
        <v>100</v>
      </c>
      <c r="Y16" s="3">
        <v>5</v>
      </c>
      <c r="Z16" s="3">
        <v>9</v>
      </c>
      <c r="AA16" s="3">
        <v>18</v>
      </c>
      <c r="AJ16" s="3">
        <v>9</v>
      </c>
      <c r="AL16" s="3">
        <v>9</v>
      </c>
    </row>
    <row r="17" spans="1:25" s="3" customFormat="1" ht="14.25" x14ac:dyDescent="0.15">
      <c r="A17" s="54"/>
      <c r="L17" s="24"/>
      <c r="N17" s="24"/>
    </row>
    <row r="18" spans="1:25" x14ac:dyDescent="0.15">
      <c r="A18" t="s">
        <v>270</v>
      </c>
      <c r="B18">
        <v>0</v>
      </c>
      <c r="C18">
        <v>8000</v>
      </c>
      <c r="D18">
        <v>0</v>
      </c>
      <c r="E18">
        <v>1</v>
      </c>
      <c r="F18">
        <v>750</v>
      </c>
      <c r="G18">
        <v>0</v>
      </c>
      <c r="H18">
        <v>0</v>
      </c>
      <c r="I18">
        <v>0</v>
      </c>
      <c r="J18">
        <v>0</v>
      </c>
    </row>
    <row r="19" spans="1:25" x14ac:dyDescent="0.15">
      <c r="A19" t="s">
        <v>271</v>
      </c>
      <c r="B19">
        <v>0</v>
      </c>
      <c r="C19">
        <v>150</v>
      </c>
      <c r="D19">
        <v>60</v>
      </c>
      <c r="E19">
        <v>300</v>
      </c>
      <c r="F19">
        <v>1000</v>
      </c>
      <c r="G19">
        <v>0</v>
      </c>
      <c r="H19">
        <v>100</v>
      </c>
      <c r="I19">
        <v>18</v>
      </c>
      <c r="J19">
        <v>5</v>
      </c>
      <c r="K19">
        <v>498</v>
      </c>
      <c r="M19" s="24" t="s">
        <v>1005</v>
      </c>
      <c r="Q19">
        <f>12*5+1*16</f>
        <v>76</v>
      </c>
      <c r="R19" s="24"/>
      <c r="S19" s="9" t="s">
        <v>1070</v>
      </c>
      <c r="T19" s="24"/>
    </row>
    <row r="20" spans="1:25" x14ac:dyDescent="0.15">
      <c r="A20" t="s">
        <v>272</v>
      </c>
      <c r="B20">
        <v>1200</v>
      </c>
      <c r="C20">
        <v>20</v>
      </c>
      <c r="D20">
        <v>30</v>
      </c>
      <c r="E20">
        <v>1500</v>
      </c>
      <c r="F20">
        <v>50</v>
      </c>
      <c r="G20">
        <v>1500</v>
      </c>
      <c r="H20">
        <v>75</v>
      </c>
      <c r="I20">
        <v>250</v>
      </c>
      <c r="J20">
        <v>10</v>
      </c>
      <c r="K20">
        <v>5843</v>
      </c>
      <c r="M20" s="24" t="s">
        <v>259</v>
      </c>
      <c r="N20" s="7">
        <v>1600000</v>
      </c>
      <c r="O20" s="24">
        <f t="shared" ref="O20:O30" si="4">$N$20/(E2*1.35)</f>
        <v>15802.469135802468</v>
      </c>
      <c r="P20">
        <f t="shared" ref="P20:P30" si="5">O20*J2</f>
        <v>15802.469135802468</v>
      </c>
      <c r="Q20">
        <f t="shared" ref="Q20:Q30" si="6">O20*K2</f>
        <v>410864.19753086416</v>
      </c>
      <c r="R20">
        <f>K2/J2</f>
        <v>26</v>
      </c>
      <c r="S20" s="9">
        <f>CEILING(R20/$R$20,1)</f>
        <v>1</v>
      </c>
      <c r="Y20" s="7"/>
    </row>
    <row r="21" spans="1:25" x14ac:dyDescent="0.15">
      <c r="A21" t="s">
        <v>273</v>
      </c>
      <c r="B21">
        <v>0</v>
      </c>
      <c r="C21">
        <v>10</v>
      </c>
      <c r="D21">
        <v>10</v>
      </c>
      <c r="E21">
        <v>75</v>
      </c>
      <c r="F21">
        <v>200</v>
      </c>
      <c r="G21">
        <v>0</v>
      </c>
      <c r="H21">
        <v>20</v>
      </c>
      <c r="I21">
        <v>3</v>
      </c>
      <c r="J21">
        <v>1</v>
      </c>
      <c r="K21">
        <v>26</v>
      </c>
      <c r="M21" s="24" t="s">
        <v>260</v>
      </c>
      <c r="N21" s="7"/>
      <c r="O21" s="24">
        <f t="shared" si="4"/>
        <v>26337.448559670778</v>
      </c>
      <c r="P21" s="24">
        <f t="shared" si="5"/>
        <v>26337.448559670778</v>
      </c>
      <c r="Q21" s="24">
        <f t="shared" si="6"/>
        <v>1264197.5308641973</v>
      </c>
      <c r="R21" s="24">
        <f t="shared" ref="R21:R30" si="7">K3/J3</f>
        <v>48</v>
      </c>
      <c r="S21" s="9">
        <f t="shared" ref="S21:S30" si="8">CEILING(R21/$R$20,1)</f>
        <v>2</v>
      </c>
      <c r="T21" s="24"/>
      <c r="Y21" s="7"/>
    </row>
    <row r="22" spans="1:25" x14ac:dyDescent="0.15">
      <c r="A22" t="s">
        <v>274</v>
      </c>
      <c r="B22">
        <v>0</v>
      </c>
      <c r="C22">
        <v>300</v>
      </c>
      <c r="D22">
        <v>300</v>
      </c>
      <c r="E22">
        <v>1500</v>
      </c>
      <c r="F22">
        <v>750</v>
      </c>
      <c r="G22">
        <v>0</v>
      </c>
      <c r="H22">
        <v>80</v>
      </c>
      <c r="I22">
        <v>35</v>
      </c>
      <c r="J22">
        <v>7</v>
      </c>
      <c r="K22">
        <v>1492</v>
      </c>
      <c r="M22" s="24" t="s">
        <v>261</v>
      </c>
      <c r="O22" s="24">
        <f t="shared" si="4"/>
        <v>118518.51851851853</v>
      </c>
      <c r="P22" s="24">
        <f t="shared" si="5"/>
        <v>237037.03703703705</v>
      </c>
      <c r="Q22" s="24">
        <f t="shared" si="6"/>
        <v>12207407.407407409</v>
      </c>
      <c r="R22" s="24">
        <f t="shared" si="7"/>
        <v>51.5</v>
      </c>
      <c r="S22" s="9">
        <f t="shared" si="8"/>
        <v>2</v>
      </c>
      <c r="Y22" s="7"/>
    </row>
    <row r="23" spans="1:25" x14ac:dyDescent="0.15">
      <c r="A23" t="s">
        <v>275</v>
      </c>
      <c r="B23">
        <v>0</v>
      </c>
      <c r="C23">
        <v>1</v>
      </c>
      <c r="D23">
        <v>10</v>
      </c>
      <c r="E23">
        <v>45</v>
      </c>
      <c r="F23">
        <v>100</v>
      </c>
      <c r="G23">
        <v>0</v>
      </c>
      <c r="H23">
        <v>200</v>
      </c>
      <c r="I23">
        <v>2</v>
      </c>
      <c r="J23">
        <v>1</v>
      </c>
      <c r="K23">
        <v>48</v>
      </c>
      <c r="M23" s="24" t="s">
        <v>262</v>
      </c>
      <c r="O23" s="24">
        <f t="shared" si="4"/>
        <v>7901.2345679012342</v>
      </c>
      <c r="P23" s="24">
        <f t="shared" si="5"/>
        <v>15802.469135802468</v>
      </c>
      <c r="Q23" s="24">
        <f t="shared" si="6"/>
        <v>1114074.0740740739</v>
      </c>
      <c r="R23" s="24">
        <f t="shared" si="7"/>
        <v>70.5</v>
      </c>
      <c r="S23" s="9">
        <f t="shared" si="8"/>
        <v>3</v>
      </c>
      <c r="Y23" s="7"/>
    </row>
    <row r="24" spans="1:25" x14ac:dyDescent="0.15">
      <c r="A24" t="s">
        <v>276</v>
      </c>
      <c r="B24">
        <v>0</v>
      </c>
      <c r="C24">
        <v>40</v>
      </c>
      <c r="D24">
        <v>40</v>
      </c>
      <c r="E24">
        <v>150</v>
      </c>
      <c r="F24">
        <v>300</v>
      </c>
      <c r="G24">
        <v>0</v>
      </c>
      <c r="H24">
        <v>40</v>
      </c>
      <c r="I24">
        <v>6</v>
      </c>
      <c r="J24">
        <v>2</v>
      </c>
      <c r="K24">
        <v>141</v>
      </c>
      <c r="M24" s="24" t="s">
        <v>263</v>
      </c>
      <c r="O24" s="24">
        <f t="shared" si="4"/>
        <v>5267.4897119341567</v>
      </c>
      <c r="P24" s="24">
        <f t="shared" si="5"/>
        <v>15802.46913580247</v>
      </c>
      <c r="Q24" s="24">
        <f t="shared" si="6"/>
        <v>1153580.2469135802</v>
      </c>
      <c r="R24" s="24">
        <f t="shared" si="7"/>
        <v>73</v>
      </c>
      <c r="S24" s="9">
        <f t="shared" si="8"/>
        <v>3</v>
      </c>
      <c r="Y24" s="7"/>
    </row>
    <row r="25" spans="1:25" x14ac:dyDescent="0.15">
      <c r="A25" t="s">
        <v>277</v>
      </c>
      <c r="B25">
        <v>0</v>
      </c>
      <c r="C25">
        <v>70</v>
      </c>
      <c r="D25">
        <v>45</v>
      </c>
      <c r="E25">
        <v>225</v>
      </c>
      <c r="F25">
        <v>275</v>
      </c>
      <c r="G25">
        <v>0</v>
      </c>
      <c r="H25">
        <v>30</v>
      </c>
      <c r="I25">
        <v>7</v>
      </c>
      <c r="J25">
        <v>3</v>
      </c>
      <c r="K25">
        <v>219</v>
      </c>
      <c r="M25" s="24" t="s">
        <v>264</v>
      </c>
      <c r="O25" s="24">
        <f t="shared" si="4"/>
        <v>15802.469135802468</v>
      </c>
      <c r="P25" s="24">
        <f t="shared" si="5"/>
        <v>63209.876543209873</v>
      </c>
      <c r="Q25" s="24">
        <f t="shared" si="6"/>
        <v>5420246.9135802463</v>
      </c>
      <c r="R25" s="24">
        <f t="shared" si="7"/>
        <v>85.75</v>
      </c>
      <c r="S25" s="9">
        <f t="shared" si="8"/>
        <v>4</v>
      </c>
      <c r="Y25" s="7"/>
    </row>
    <row r="26" spans="1:25" x14ac:dyDescent="0.15">
      <c r="A26" t="s">
        <v>278</v>
      </c>
      <c r="B26">
        <v>0</v>
      </c>
      <c r="C26">
        <v>1000</v>
      </c>
      <c r="D26">
        <v>400</v>
      </c>
      <c r="E26">
        <v>4000</v>
      </c>
      <c r="F26">
        <v>120</v>
      </c>
      <c r="G26">
        <v>0</v>
      </c>
      <c r="H26">
        <v>45</v>
      </c>
      <c r="I26">
        <v>100</v>
      </c>
      <c r="J26">
        <v>9</v>
      </c>
      <c r="K26">
        <v>4334</v>
      </c>
      <c r="M26" s="24" t="s">
        <v>265</v>
      </c>
      <c r="N26" s="7"/>
      <c r="O26" s="24">
        <f t="shared" si="4"/>
        <v>3950.6172839506171</v>
      </c>
      <c r="P26" s="24">
        <f t="shared" si="5"/>
        <v>19753.086419753086</v>
      </c>
      <c r="Q26" s="24">
        <f t="shared" si="6"/>
        <v>1967407.4074074074</v>
      </c>
      <c r="R26" s="24">
        <f t="shared" si="7"/>
        <v>99.6</v>
      </c>
      <c r="S26" s="9">
        <f t="shared" si="8"/>
        <v>4</v>
      </c>
      <c r="Y26" s="7"/>
    </row>
    <row r="27" spans="1:25" x14ac:dyDescent="0.15">
      <c r="A27" t="s">
        <v>279</v>
      </c>
      <c r="B27">
        <v>80</v>
      </c>
      <c r="C27">
        <v>5</v>
      </c>
      <c r="D27">
        <v>30</v>
      </c>
      <c r="E27">
        <v>75</v>
      </c>
      <c r="F27">
        <v>250</v>
      </c>
      <c r="G27">
        <v>1200</v>
      </c>
      <c r="H27">
        <v>25</v>
      </c>
      <c r="I27">
        <v>9</v>
      </c>
      <c r="J27">
        <v>4</v>
      </c>
      <c r="K27">
        <v>343</v>
      </c>
      <c r="M27" s="24" t="s">
        <v>266</v>
      </c>
      <c r="N27" s="7"/>
      <c r="O27" s="24">
        <f t="shared" si="4"/>
        <v>790.12345679012333</v>
      </c>
      <c r="P27" s="24">
        <f t="shared" si="5"/>
        <v>5530.8641975308637</v>
      </c>
      <c r="Q27" s="24">
        <f t="shared" si="6"/>
        <v>1178864.197530864</v>
      </c>
      <c r="R27" s="24">
        <f t="shared" si="7"/>
        <v>213.14285714285714</v>
      </c>
      <c r="S27" s="9">
        <f t="shared" si="8"/>
        <v>9</v>
      </c>
      <c r="Y27" s="7"/>
    </row>
    <row r="28" spans="1:25" x14ac:dyDescent="0.15">
      <c r="A28" t="s">
        <v>280</v>
      </c>
      <c r="B28">
        <v>0</v>
      </c>
      <c r="C28">
        <v>5</v>
      </c>
      <c r="D28">
        <v>5</v>
      </c>
      <c r="E28">
        <v>10</v>
      </c>
      <c r="F28">
        <v>3000</v>
      </c>
      <c r="G28">
        <v>0</v>
      </c>
      <c r="H28">
        <v>0</v>
      </c>
      <c r="I28">
        <v>5</v>
      </c>
      <c r="J28">
        <v>2</v>
      </c>
      <c r="K28">
        <v>103</v>
      </c>
      <c r="M28" s="24" t="s">
        <v>267</v>
      </c>
      <c r="N28" s="7"/>
      <c r="O28" s="24">
        <f t="shared" si="4"/>
        <v>1580.2469135802467</v>
      </c>
      <c r="P28" s="24">
        <f t="shared" si="5"/>
        <v>9481.4814814814799</v>
      </c>
      <c r="Q28" s="24">
        <f t="shared" si="6"/>
        <v>1540740.7407407404</v>
      </c>
      <c r="R28" s="24">
        <f t="shared" si="7"/>
        <v>162.5</v>
      </c>
      <c r="S28" s="9">
        <f t="shared" si="8"/>
        <v>7</v>
      </c>
      <c r="Y28" s="7"/>
    </row>
    <row r="29" spans="1:25" x14ac:dyDescent="0.15">
      <c r="A29" t="s">
        <v>282</v>
      </c>
      <c r="B29">
        <v>1</v>
      </c>
      <c r="C29">
        <v>0</v>
      </c>
      <c r="D29">
        <v>0</v>
      </c>
      <c r="E29">
        <v>0</v>
      </c>
      <c r="F29">
        <v>0</v>
      </c>
      <c r="G29">
        <v>375</v>
      </c>
      <c r="H29">
        <v>650</v>
      </c>
      <c r="I29">
        <v>0</v>
      </c>
      <c r="J29">
        <v>0</v>
      </c>
      <c r="K29">
        <v>0</v>
      </c>
      <c r="M29" s="24" t="s">
        <v>942</v>
      </c>
      <c r="N29" s="7"/>
      <c r="O29" s="24">
        <f t="shared" si="4"/>
        <v>296.2962962962963</v>
      </c>
      <c r="P29" s="24">
        <f t="shared" si="5"/>
        <v>2666.666666666667</v>
      </c>
      <c r="Q29" s="24">
        <f t="shared" si="6"/>
        <v>1284148.1481481481</v>
      </c>
      <c r="R29" s="24">
        <f t="shared" si="7"/>
        <v>481.55555555555554</v>
      </c>
      <c r="S29" s="9">
        <f t="shared" si="8"/>
        <v>19</v>
      </c>
      <c r="Y29" s="7"/>
    </row>
    <row r="30" spans="1:25" x14ac:dyDescent="0.15">
      <c r="A30" t="s">
        <v>283</v>
      </c>
      <c r="B30">
        <v>0</v>
      </c>
      <c r="C30">
        <v>0</v>
      </c>
      <c r="D30">
        <v>0</v>
      </c>
      <c r="E30">
        <v>0</v>
      </c>
      <c r="F30">
        <v>650</v>
      </c>
      <c r="G30">
        <v>1400</v>
      </c>
      <c r="H30">
        <v>0</v>
      </c>
      <c r="I30">
        <v>0</v>
      </c>
      <c r="J30">
        <v>0</v>
      </c>
      <c r="M30" s="24" t="s">
        <v>269</v>
      </c>
      <c r="N30" s="7"/>
      <c r="O30" s="24">
        <f t="shared" si="4"/>
        <v>790.12345679012333</v>
      </c>
      <c r="P30" s="24">
        <f t="shared" si="5"/>
        <v>7901.2345679012333</v>
      </c>
      <c r="Q30" s="24">
        <f t="shared" si="6"/>
        <v>4616691.3580246903</v>
      </c>
      <c r="R30" s="24">
        <f t="shared" si="7"/>
        <v>584.29999999999995</v>
      </c>
      <c r="S30" s="9">
        <f t="shared" si="8"/>
        <v>23</v>
      </c>
      <c r="Y30" s="7"/>
    </row>
    <row r="31" spans="1:25" x14ac:dyDescent="0.15">
      <c r="A31" t="s">
        <v>284</v>
      </c>
      <c r="B31">
        <v>50</v>
      </c>
      <c r="C31">
        <v>50</v>
      </c>
      <c r="D31">
        <v>50</v>
      </c>
      <c r="E31">
        <v>5000</v>
      </c>
      <c r="F31">
        <v>650</v>
      </c>
      <c r="G31">
        <v>1400</v>
      </c>
      <c r="H31">
        <v>0</v>
      </c>
      <c r="I31">
        <v>50</v>
      </c>
      <c r="J31">
        <v>0</v>
      </c>
      <c r="O31" s="7"/>
      <c r="S31" s="5"/>
    </row>
    <row r="32" spans="1:25" x14ac:dyDescent="0.15">
      <c r="A32" t="s">
        <v>285</v>
      </c>
      <c r="B32">
        <v>100</v>
      </c>
      <c r="C32">
        <v>100</v>
      </c>
      <c r="D32">
        <v>100</v>
      </c>
      <c r="E32">
        <v>10000</v>
      </c>
      <c r="F32">
        <v>650</v>
      </c>
      <c r="G32">
        <v>1400</v>
      </c>
      <c r="H32">
        <v>0</v>
      </c>
      <c r="I32">
        <v>100</v>
      </c>
      <c r="J32">
        <v>0</v>
      </c>
      <c r="P32" s="7"/>
    </row>
    <row r="33" spans="1:16" x14ac:dyDescent="0.15">
      <c r="A33" t="s">
        <v>286</v>
      </c>
      <c r="B33">
        <v>150</v>
      </c>
      <c r="C33">
        <v>150</v>
      </c>
      <c r="D33">
        <v>150</v>
      </c>
      <c r="E33">
        <v>14000</v>
      </c>
      <c r="F33">
        <v>650</v>
      </c>
      <c r="G33">
        <v>1400</v>
      </c>
      <c r="H33">
        <v>0</v>
      </c>
      <c r="I33">
        <v>150</v>
      </c>
      <c r="J33">
        <v>0</v>
      </c>
      <c r="P33" s="7"/>
    </row>
    <row r="34" spans="1:16" x14ac:dyDescent="0.15">
      <c r="A34" t="s">
        <v>287</v>
      </c>
      <c r="B34">
        <v>200</v>
      </c>
      <c r="C34">
        <v>200</v>
      </c>
      <c r="D34">
        <v>200</v>
      </c>
      <c r="E34">
        <v>20000</v>
      </c>
      <c r="F34">
        <v>650</v>
      </c>
      <c r="G34">
        <v>1400</v>
      </c>
      <c r="H34">
        <v>0</v>
      </c>
      <c r="I34">
        <v>200</v>
      </c>
      <c r="J34">
        <v>0</v>
      </c>
    </row>
    <row r="35" spans="1:16" x14ac:dyDescent="0.15">
      <c r="A35" t="s">
        <v>288</v>
      </c>
      <c r="B35">
        <v>329</v>
      </c>
      <c r="C35">
        <v>329</v>
      </c>
      <c r="D35">
        <v>329</v>
      </c>
      <c r="E35">
        <v>32973</v>
      </c>
      <c r="F35">
        <v>650</v>
      </c>
      <c r="G35">
        <v>1400</v>
      </c>
      <c r="H35">
        <v>0</v>
      </c>
      <c r="I35">
        <v>300</v>
      </c>
      <c r="J35">
        <v>0</v>
      </c>
    </row>
    <row r="36" spans="1:16" x14ac:dyDescent="0.15">
      <c r="A36" t="s">
        <v>289</v>
      </c>
      <c r="B36">
        <v>459</v>
      </c>
      <c r="C36">
        <v>459</v>
      </c>
      <c r="D36">
        <v>459</v>
      </c>
      <c r="E36">
        <v>45947</v>
      </c>
      <c r="F36">
        <v>650</v>
      </c>
      <c r="G36">
        <v>1400</v>
      </c>
      <c r="H36">
        <v>0</v>
      </c>
      <c r="I36">
        <v>400</v>
      </c>
      <c r="J36">
        <v>0</v>
      </c>
    </row>
    <row r="37" spans="1:16" x14ac:dyDescent="0.15">
      <c r="A37" t="s">
        <v>290</v>
      </c>
      <c r="B37">
        <v>603</v>
      </c>
      <c r="C37">
        <v>603</v>
      </c>
      <c r="D37">
        <v>603</v>
      </c>
      <c r="E37">
        <v>60345</v>
      </c>
      <c r="F37">
        <v>650</v>
      </c>
      <c r="G37">
        <v>1400</v>
      </c>
      <c r="H37">
        <v>0</v>
      </c>
      <c r="I37">
        <v>500</v>
      </c>
      <c r="J37">
        <v>0</v>
      </c>
    </row>
    <row r="38" spans="1:16" x14ac:dyDescent="0.15">
      <c r="A38" t="s">
        <v>291</v>
      </c>
      <c r="B38">
        <v>747</v>
      </c>
      <c r="C38">
        <v>747</v>
      </c>
      <c r="D38">
        <v>747</v>
      </c>
      <c r="E38">
        <v>74743</v>
      </c>
      <c r="F38">
        <v>650</v>
      </c>
      <c r="G38">
        <v>1400</v>
      </c>
      <c r="H38">
        <v>0</v>
      </c>
      <c r="I38">
        <v>600</v>
      </c>
      <c r="J38">
        <v>0</v>
      </c>
    </row>
    <row r="39" spans="1:16" x14ac:dyDescent="0.15">
      <c r="A39" t="s">
        <v>292</v>
      </c>
      <c r="B39">
        <v>901</v>
      </c>
      <c r="C39">
        <v>901</v>
      </c>
      <c r="D39">
        <v>901</v>
      </c>
      <c r="E39">
        <v>90151</v>
      </c>
      <c r="F39">
        <v>650</v>
      </c>
      <c r="G39">
        <v>1400</v>
      </c>
      <c r="H39">
        <v>0</v>
      </c>
      <c r="I39">
        <v>700</v>
      </c>
      <c r="J39">
        <v>0</v>
      </c>
    </row>
    <row r="40" spans="1:16" x14ac:dyDescent="0.15">
      <c r="A40" t="s">
        <v>293</v>
      </c>
      <c r="B40">
        <v>1055</v>
      </c>
      <c r="C40">
        <v>1055</v>
      </c>
      <c r="D40">
        <v>1055</v>
      </c>
      <c r="E40">
        <v>105560</v>
      </c>
      <c r="F40">
        <v>650</v>
      </c>
      <c r="G40">
        <v>1400</v>
      </c>
      <c r="H40">
        <v>0</v>
      </c>
      <c r="I40">
        <v>800</v>
      </c>
      <c r="J40">
        <v>0</v>
      </c>
    </row>
    <row r="41" spans="1:16" x14ac:dyDescent="0.15">
      <c r="A41" t="s">
        <v>294</v>
      </c>
      <c r="B41">
        <v>1217</v>
      </c>
      <c r="C41">
        <v>1217</v>
      </c>
      <c r="D41">
        <v>1217</v>
      </c>
      <c r="E41">
        <v>121766</v>
      </c>
      <c r="F41">
        <v>650</v>
      </c>
      <c r="G41">
        <v>1400</v>
      </c>
      <c r="H41">
        <v>0</v>
      </c>
      <c r="I41">
        <v>900</v>
      </c>
      <c r="J41">
        <v>0</v>
      </c>
    </row>
    <row r="42" spans="1:16" x14ac:dyDescent="0.15">
      <c r="A42" t="s">
        <v>295</v>
      </c>
      <c r="B42">
        <v>1379</v>
      </c>
      <c r="C42">
        <v>1379</v>
      </c>
      <c r="D42">
        <v>1379</v>
      </c>
      <c r="E42">
        <v>137972</v>
      </c>
      <c r="F42">
        <v>650</v>
      </c>
      <c r="G42">
        <v>1400</v>
      </c>
      <c r="H42">
        <v>0</v>
      </c>
      <c r="I42">
        <v>1000</v>
      </c>
      <c r="J42">
        <v>0</v>
      </c>
    </row>
    <row r="43" spans="1:16" x14ac:dyDescent="0.15">
      <c r="A43" t="s">
        <v>296</v>
      </c>
      <c r="B43">
        <v>1548</v>
      </c>
      <c r="C43">
        <v>1548</v>
      </c>
      <c r="D43">
        <v>1548</v>
      </c>
      <c r="E43">
        <v>154844</v>
      </c>
      <c r="F43">
        <v>650</v>
      </c>
      <c r="G43">
        <v>1400</v>
      </c>
      <c r="H43">
        <v>0</v>
      </c>
      <c r="I43">
        <v>1100</v>
      </c>
      <c r="J43">
        <v>0</v>
      </c>
    </row>
    <row r="44" spans="1:16" x14ac:dyDescent="0.15">
      <c r="A44" t="s">
        <v>297</v>
      </c>
      <c r="B44">
        <v>1717</v>
      </c>
      <c r="C44">
        <v>1717</v>
      </c>
      <c r="D44">
        <v>1717</v>
      </c>
      <c r="E44">
        <v>171716</v>
      </c>
      <c r="F44">
        <v>650</v>
      </c>
      <c r="G44">
        <v>1400</v>
      </c>
      <c r="H44">
        <v>0</v>
      </c>
      <c r="I44">
        <v>1200</v>
      </c>
      <c r="J44">
        <v>0</v>
      </c>
    </row>
    <row r="45" spans="1:16" x14ac:dyDescent="0.15">
      <c r="A45" t="s">
        <v>298</v>
      </c>
      <c r="B45">
        <v>1891</v>
      </c>
      <c r="C45">
        <v>1891</v>
      </c>
      <c r="D45">
        <v>1891</v>
      </c>
      <c r="E45">
        <v>189162</v>
      </c>
      <c r="F45">
        <v>650</v>
      </c>
      <c r="G45">
        <v>1400</v>
      </c>
      <c r="H45">
        <v>0</v>
      </c>
      <c r="I45">
        <v>1300</v>
      </c>
      <c r="J45">
        <v>0</v>
      </c>
    </row>
    <row r="46" spans="1:16" x14ac:dyDescent="0.15">
      <c r="A46" t="s">
        <v>299</v>
      </c>
      <c r="B46">
        <v>2066</v>
      </c>
      <c r="C46">
        <v>2066</v>
      </c>
      <c r="D46">
        <v>2066</v>
      </c>
      <c r="E46">
        <v>206608</v>
      </c>
      <c r="F46">
        <v>650</v>
      </c>
      <c r="G46">
        <v>1400</v>
      </c>
      <c r="H46">
        <v>0</v>
      </c>
      <c r="I46">
        <v>1400</v>
      </c>
      <c r="J46">
        <v>0</v>
      </c>
    </row>
    <row r="47" spans="1:16" x14ac:dyDescent="0.15">
      <c r="A47" t="s">
        <v>300</v>
      </c>
      <c r="B47">
        <v>2245</v>
      </c>
      <c r="C47">
        <v>2245</v>
      </c>
      <c r="D47">
        <v>2245</v>
      </c>
      <c r="E47">
        <v>224561</v>
      </c>
      <c r="F47">
        <v>650</v>
      </c>
      <c r="G47">
        <v>1400</v>
      </c>
      <c r="H47">
        <v>0</v>
      </c>
      <c r="I47">
        <v>1400</v>
      </c>
      <c r="J47">
        <v>0</v>
      </c>
    </row>
    <row r="48" spans="1:16" x14ac:dyDescent="0.15">
      <c r="A48" t="s">
        <v>301</v>
      </c>
      <c r="B48">
        <v>2425</v>
      </c>
      <c r="C48">
        <v>2425</v>
      </c>
      <c r="D48">
        <v>2425</v>
      </c>
      <c r="E48">
        <v>242514</v>
      </c>
      <c r="F48">
        <v>650</v>
      </c>
      <c r="G48">
        <v>1400</v>
      </c>
      <c r="H48">
        <v>0</v>
      </c>
      <c r="I48">
        <v>1600</v>
      </c>
      <c r="J48">
        <v>0</v>
      </c>
    </row>
    <row r="49" spans="1:10" s="3" customFormat="1" x14ac:dyDescent="0.15">
      <c r="A49" s="3" t="s">
        <v>302</v>
      </c>
      <c r="B49" s="3">
        <v>0</v>
      </c>
      <c r="C49" s="3">
        <v>0</v>
      </c>
      <c r="D49" s="3">
        <v>0</v>
      </c>
      <c r="E49" s="3">
        <v>0</v>
      </c>
      <c r="F49" s="3">
        <v>900</v>
      </c>
      <c r="G49" s="3">
        <v>1800</v>
      </c>
      <c r="H49" s="3">
        <v>0</v>
      </c>
      <c r="I49" s="3">
        <v>0</v>
      </c>
      <c r="J49" s="3">
        <v>0</v>
      </c>
    </row>
    <row r="50" spans="1:10" s="3" customFormat="1" x14ac:dyDescent="0.15">
      <c r="A50" s="3" t="s">
        <v>303</v>
      </c>
      <c r="B50" s="3">
        <v>40</v>
      </c>
      <c r="C50" s="3">
        <v>40</v>
      </c>
      <c r="D50" s="3">
        <v>20</v>
      </c>
      <c r="E50" s="3">
        <v>3333</v>
      </c>
      <c r="F50" s="3">
        <v>900</v>
      </c>
      <c r="G50" s="3">
        <v>1800</v>
      </c>
      <c r="H50" s="3">
        <v>0</v>
      </c>
      <c r="I50" s="3">
        <v>0</v>
      </c>
      <c r="J50" s="3">
        <v>0</v>
      </c>
    </row>
    <row r="51" spans="1:10" s="3" customFormat="1" x14ac:dyDescent="0.15">
      <c r="A51" s="3" t="s">
        <v>304</v>
      </c>
      <c r="B51" s="3">
        <f t="shared" ref="B51:C51" si="9">INT(B31*1.2)</f>
        <v>60</v>
      </c>
      <c r="C51" s="3">
        <f t="shared" si="9"/>
        <v>60</v>
      </c>
      <c r="D51" s="3">
        <f t="shared" ref="D51:D67" si="10">INT(D31/1.44)</f>
        <v>34</v>
      </c>
      <c r="E51" s="3">
        <f t="shared" ref="E51:E67" si="11">E31</f>
        <v>5000</v>
      </c>
      <c r="F51" s="3">
        <v>900</v>
      </c>
      <c r="G51" s="3">
        <v>1800</v>
      </c>
      <c r="H51" s="3">
        <v>0</v>
      </c>
      <c r="I51" s="3">
        <v>50</v>
      </c>
      <c r="J51" s="3">
        <v>0</v>
      </c>
    </row>
    <row r="52" spans="1:10" s="3" customFormat="1" x14ac:dyDescent="0.15">
      <c r="A52" s="3" t="s">
        <v>305</v>
      </c>
      <c r="B52" s="3">
        <f t="shared" ref="B52:C52" si="12">INT(B32*1.2)</f>
        <v>120</v>
      </c>
      <c r="C52" s="3">
        <f t="shared" si="12"/>
        <v>120</v>
      </c>
      <c r="D52" s="3">
        <f t="shared" si="10"/>
        <v>69</v>
      </c>
      <c r="E52" s="3">
        <f t="shared" si="11"/>
        <v>10000</v>
      </c>
      <c r="F52" s="3">
        <v>900</v>
      </c>
      <c r="G52" s="3">
        <v>1800</v>
      </c>
      <c r="H52" s="3">
        <v>0</v>
      </c>
      <c r="I52" s="3">
        <v>100</v>
      </c>
      <c r="J52" s="3">
        <v>0</v>
      </c>
    </row>
    <row r="53" spans="1:10" s="3" customFormat="1" x14ac:dyDescent="0.15">
      <c r="A53" s="3" t="s">
        <v>306</v>
      </c>
      <c r="B53" s="3">
        <f t="shared" ref="B53:C53" si="13">INT(B33*1.2)</f>
        <v>180</v>
      </c>
      <c r="C53" s="3">
        <f t="shared" si="13"/>
        <v>180</v>
      </c>
      <c r="D53" s="3">
        <f t="shared" si="10"/>
        <v>104</v>
      </c>
      <c r="E53" s="3">
        <f t="shared" si="11"/>
        <v>14000</v>
      </c>
      <c r="F53" s="3">
        <v>900</v>
      </c>
      <c r="G53" s="3">
        <v>1800</v>
      </c>
      <c r="H53" s="3">
        <v>0</v>
      </c>
      <c r="I53" s="3">
        <v>150</v>
      </c>
      <c r="J53" s="3">
        <v>0</v>
      </c>
    </row>
    <row r="54" spans="1:10" s="3" customFormat="1" x14ac:dyDescent="0.15">
      <c r="A54" s="3" t="s">
        <v>307</v>
      </c>
      <c r="B54" s="3">
        <f t="shared" ref="B54:C54" si="14">INT(B34*1.2)</f>
        <v>240</v>
      </c>
      <c r="C54" s="3">
        <f t="shared" si="14"/>
        <v>240</v>
      </c>
      <c r="D54" s="3">
        <f t="shared" si="10"/>
        <v>138</v>
      </c>
      <c r="E54" s="3">
        <f t="shared" si="11"/>
        <v>20000</v>
      </c>
      <c r="F54" s="3">
        <v>900</v>
      </c>
      <c r="G54" s="3">
        <v>1800</v>
      </c>
      <c r="H54" s="3">
        <v>0</v>
      </c>
      <c r="I54" s="3">
        <v>200</v>
      </c>
      <c r="J54" s="3">
        <v>0</v>
      </c>
    </row>
    <row r="55" spans="1:10" s="3" customFormat="1" x14ac:dyDescent="0.15">
      <c r="A55" s="3" t="s">
        <v>308</v>
      </c>
      <c r="B55" s="3">
        <f t="shared" ref="B55:C55" si="15">INT(B35*1.2)</f>
        <v>394</v>
      </c>
      <c r="C55" s="3">
        <f t="shared" si="15"/>
        <v>394</v>
      </c>
      <c r="D55" s="3">
        <f t="shared" si="10"/>
        <v>228</v>
      </c>
      <c r="E55" s="3">
        <f t="shared" si="11"/>
        <v>32973</v>
      </c>
      <c r="F55" s="3">
        <v>900</v>
      </c>
      <c r="G55" s="3">
        <v>1800</v>
      </c>
      <c r="H55" s="3">
        <v>0</v>
      </c>
      <c r="I55" s="3">
        <v>300</v>
      </c>
      <c r="J55" s="3">
        <v>0</v>
      </c>
    </row>
    <row r="56" spans="1:10" s="3" customFormat="1" x14ac:dyDescent="0.15">
      <c r="A56" s="3" t="s">
        <v>309</v>
      </c>
      <c r="B56" s="3">
        <f t="shared" ref="B56:C56" si="16">INT(B36*1.2)</f>
        <v>550</v>
      </c>
      <c r="C56" s="3">
        <f t="shared" si="16"/>
        <v>550</v>
      </c>
      <c r="D56" s="3">
        <f t="shared" si="10"/>
        <v>318</v>
      </c>
      <c r="E56" s="3">
        <f t="shared" si="11"/>
        <v>45947</v>
      </c>
      <c r="F56" s="3">
        <v>900</v>
      </c>
      <c r="G56" s="3">
        <v>1800</v>
      </c>
      <c r="H56" s="3">
        <v>0</v>
      </c>
      <c r="I56" s="3">
        <v>400</v>
      </c>
      <c r="J56" s="3">
        <v>0</v>
      </c>
    </row>
    <row r="57" spans="1:10" s="3" customFormat="1" x14ac:dyDescent="0.15">
      <c r="A57" s="3" t="s">
        <v>310</v>
      </c>
      <c r="B57" s="3">
        <f t="shared" ref="B57:C57" si="17">INT(B37*1.2)</f>
        <v>723</v>
      </c>
      <c r="C57" s="3">
        <f t="shared" si="17"/>
        <v>723</v>
      </c>
      <c r="D57" s="3">
        <f t="shared" si="10"/>
        <v>418</v>
      </c>
      <c r="E57" s="3">
        <f t="shared" si="11"/>
        <v>60345</v>
      </c>
      <c r="F57" s="3">
        <v>900</v>
      </c>
      <c r="G57" s="3">
        <v>1800</v>
      </c>
      <c r="H57" s="3">
        <v>0</v>
      </c>
      <c r="I57" s="3">
        <v>500</v>
      </c>
      <c r="J57" s="3">
        <v>0</v>
      </c>
    </row>
    <row r="58" spans="1:10" s="3" customFormat="1" x14ac:dyDescent="0.15">
      <c r="A58" s="3" t="s">
        <v>311</v>
      </c>
      <c r="B58" s="3">
        <f t="shared" ref="B58:C58" si="18">INT(B38*1.2)</f>
        <v>896</v>
      </c>
      <c r="C58" s="3">
        <f t="shared" si="18"/>
        <v>896</v>
      </c>
      <c r="D58" s="3">
        <f t="shared" si="10"/>
        <v>518</v>
      </c>
      <c r="E58" s="3">
        <f t="shared" si="11"/>
        <v>74743</v>
      </c>
      <c r="F58" s="3">
        <v>900</v>
      </c>
      <c r="G58" s="3">
        <v>1800</v>
      </c>
      <c r="H58" s="3">
        <v>0</v>
      </c>
      <c r="I58" s="3">
        <v>600</v>
      </c>
      <c r="J58" s="3">
        <v>0</v>
      </c>
    </row>
    <row r="59" spans="1:10" s="3" customFormat="1" x14ac:dyDescent="0.15">
      <c r="A59" s="3" t="s">
        <v>312</v>
      </c>
      <c r="B59" s="3">
        <f t="shared" ref="B59:C59" si="19">INT(B39*1.2)</f>
        <v>1081</v>
      </c>
      <c r="C59" s="3">
        <f t="shared" si="19"/>
        <v>1081</v>
      </c>
      <c r="D59" s="3">
        <f t="shared" si="10"/>
        <v>625</v>
      </c>
      <c r="E59" s="3">
        <f t="shared" si="11"/>
        <v>90151</v>
      </c>
      <c r="F59" s="3">
        <v>900</v>
      </c>
      <c r="G59" s="3">
        <v>1800</v>
      </c>
      <c r="H59" s="3">
        <v>0</v>
      </c>
      <c r="I59" s="3">
        <v>700</v>
      </c>
      <c r="J59" s="3">
        <v>0</v>
      </c>
    </row>
    <row r="60" spans="1:10" s="3" customFormat="1" x14ac:dyDescent="0.15">
      <c r="A60" s="3" t="s">
        <v>313</v>
      </c>
      <c r="B60" s="3">
        <f t="shared" ref="B60:C60" si="20">INT(B40*1.2)</f>
        <v>1266</v>
      </c>
      <c r="C60" s="3">
        <f t="shared" si="20"/>
        <v>1266</v>
      </c>
      <c r="D60" s="3">
        <f t="shared" si="10"/>
        <v>732</v>
      </c>
      <c r="E60" s="3">
        <f t="shared" si="11"/>
        <v>105560</v>
      </c>
      <c r="F60" s="3">
        <v>900</v>
      </c>
      <c r="G60" s="3">
        <v>1800</v>
      </c>
      <c r="H60" s="3">
        <v>0</v>
      </c>
      <c r="I60" s="3">
        <v>800</v>
      </c>
      <c r="J60" s="3">
        <v>0</v>
      </c>
    </row>
    <row r="61" spans="1:10" s="3" customFormat="1" x14ac:dyDescent="0.15">
      <c r="A61" s="3" t="s">
        <v>314</v>
      </c>
      <c r="B61" s="3">
        <f t="shared" ref="B61:C61" si="21">INT(B41*1.2)</f>
        <v>1460</v>
      </c>
      <c r="C61" s="3">
        <f t="shared" si="21"/>
        <v>1460</v>
      </c>
      <c r="D61" s="3">
        <f t="shared" si="10"/>
        <v>845</v>
      </c>
      <c r="E61" s="3">
        <f t="shared" si="11"/>
        <v>121766</v>
      </c>
      <c r="F61" s="3">
        <v>900</v>
      </c>
      <c r="G61" s="3">
        <v>1800</v>
      </c>
      <c r="H61" s="3">
        <v>0</v>
      </c>
      <c r="I61" s="3">
        <v>900</v>
      </c>
      <c r="J61" s="3">
        <v>0</v>
      </c>
    </row>
    <row r="62" spans="1:10" s="3" customFormat="1" x14ac:dyDescent="0.15">
      <c r="A62" s="3" t="s">
        <v>315</v>
      </c>
      <c r="B62" s="3">
        <f t="shared" ref="B62:C62" si="22">INT(B42*1.2)</f>
        <v>1654</v>
      </c>
      <c r="C62" s="3">
        <f t="shared" si="22"/>
        <v>1654</v>
      </c>
      <c r="D62" s="3">
        <f t="shared" si="10"/>
        <v>957</v>
      </c>
      <c r="E62" s="3">
        <f t="shared" si="11"/>
        <v>137972</v>
      </c>
      <c r="F62" s="3">
        <v>900</v>
      </c>
      <c r="G62" s="3">
        <v>1800</v>
      </c>
      <c r="H62" s="3">
        <v>0</v>
      </c>
      <c r="I62" s="3">
        <v>1000</v>
      </c>
      <c r="J62" s="3">
        <v>0</v>
      </c>
    </row>
    <row r="63" spans="1:10" s="3" customFormat="1" x14ac:dyDescent="0.15">
      <c r="A63" s="3" t="s">
        <v>316</v>
      </c>
      <c r="B63" s="3">
        <f t="shared" ref="B63:C63" si="23">INT(B43*1.2)</f>
        <v>1857</v>
      </c>
      <c r="C63" s="3">
        <f t="shared" si="23"/>
        <v>1857</v>
      </c>
      <c r="D63" s="3">
        <f t="shared" si="10"/>
        <v>1075</v>
      </c>
      <c r="E63" s="3">
        <f t="shared" si="11"/>
        <v>154844</v>
      </c>
      <c r="F63" s="3">
        <v>900</v>
      </c>
      <c r="G63" s="3">
        <v>1800</v>
      </c>
      <c r="H63" s="3">
        <v>0</v>
      </c>
      <c r="I63" s="3">
        <v>1100</v>
      </c>
      <c r="J63" s="3">
        <v>0</v>
      </c>
    </row>
    <row r="64" spans="1:10" s="3" customFormat="1" x14ac:dyDescent="0.15">
      <c r="A64" s="3" t="s">
        <v>317</v>
      </c>
      <c r="B64" s="3">
        <f t="shared" ref="B64:C64" si="24">INT(B44*1.2)</f>
        <v>2060</v>
      </c>
      <c r="C64" s="3">
        <f t="shared" si="24"/>
        <v>2060</v>
      </c>
      <c r="D64" s="3">
        <f t="shared" si="10"/>
        <v>1192</v>
      </c>
      <c r="E64" s="3">
        <f t="shared" si="11"/>
        <v>171716</v>
      </c>
      <c r="F64" s="3">
        <v>900</v>
      </c>
      <c r="G64" s="3">
        <v>1800</v>
      </c>
      <c r="H64" s="3">
        <v>0</v>
      </c>
      <c r="I64" s="3">
        <v>1200</v>
      </c>
      <c r="J64" s="3">
        <v>0</v>
      </c>
    </row>
    <row r="65" spans="1:16" s="3" customFormat="1" x14ac:dyDescent="0.15">
      <c r="A65" s="3" t="s">
        <v>318</v>
      </c>
      <c r="B65" s="3">
        <f t="shared" ref="B65:C65" si="25">INT(B45*1.2)</f>
        <v>2269</v>
      </c>
      <c r="C65" s="3">
        <f t="shared" si="25"/>
        <v>2269</v>
      </c>
      <c r="D65" s="3">
        <f t="shared" si="10"/>
        <v>1313</v>
      </c>
      <c r="E65" s="3">
        <f t="shared" si="11"/>
        <v>189162</v>
      </c>
      <c r="F65" s="3">
        <v>900</v>
      </c>
      <c r="G65" s="3">
        <v>1800</v>
      </c>
      <c r="H65" s="3">
        <v>0</v>
      </c>
      <c r="I65" s="3">
        <v>1300</v>
      </c>
      <c r="J65" s="3">
        <v>0</v>
      </c>
    </row>
    <row r="66" spans="1:16" s="3" customFormat="1" x14ac:dyDescent="0.15">
      <c r="A66" s="3" t="s">
        <v>319</v>
      </c>
      <c r="B66" s="3">
        <f t="shared" ref="B66:C66" si="26">INT(B46*1.2)</f>
        <v>2479</v>
      </c>
      <c r="C66" s="3">
        <f t="shared" si="26"/>
        <v>2479</v>
      </c>
      <c r="D66" s="3">
        <f t="shared" si="10"/>
        <v>1434</v>
      </c>
      <c r="E66" s="3">
        <f t="shared" si="11"/>
        <v>206608</v>
      </c>
      <c r="F66" s="3">
        <v>900</v>
      </c>
      <c r="G66" s="3">
        <v>1800</v>
      </c>
      <c r="H66" s="3">
        <v>0</v>
      </c>
      <c r="I66" s="3">
        <v>1400</v>
      </c>
      <c r="J66" s="3">
        <v>0</v>
      </c>
    </row>
    <row r="67" spans="1:16" s="3" customFormat="1" x14ac:dyDescent="0.15">
      <c r="A67" s="3" t="s">
        <v>320</v>
      </c>
      <c r="B67" s="3">
        <f t="shared" ref="B67:C67" si="27">INT(B47*1.2)</f>
        <v>2694</v>
      </c>
      <c r="C67" s="3">
        <f t="shared" si="27"/>
        <v>2694</v>
      </c>
      <c r="D67" s="3">
        <f t="shared" si="10"/>
        <v>1559</v>
      </c>
      <c r="E67" s="3">
        <f t="shared" si="11"/>
        <v>224561</v>
      </c>
      <c r="F67" s="3">
        <v>900</v>
      </c>
      <c r="G67" s="3">
        <v>1800</v>
      </c>
      <c r="H67" s="3">
        <v>0</v>
      </c>
      <c r="I67" s="3">
        <v>1400</v>
      </c>
      <c r="J67" s="3">
        <v>0</v>
      </c>
    </row>
    <row r="68" spans="1:16" s="3" customFormat="1" x14ac:dyDescent="0.15">
      <c r="A68" s="3" t="s">
        <v>321</v>
      </c>
      <c r="B68" s="3">
        <f>INT(B48*1.2)</f>
        <v>2910</v>
      </c>
      <c r="C68" s="3">
        <f t="shared" ref="C68" si="28">INT(C48*1.2)</f>
        <v>2910</v>
      </c>
      <c r="D68" s="3">
        <f>INT(D48/1.44)</f>
        <v>1684</v>
      </c>
      <c r="E68" s="3">
        <f>E48</f>
        <v>242514</v>
      </c>
      <c r="F68" s="3">
        <v>900</v>
      </c>
      <c r="G68" s="3">
        <v>1800</v>
      </c>
      <c r="H68" s="3">
        <v>0</v>
      </c>
      <c r="I68" s="3">
        <v>1600</v>
      </c>
      <c r="J68" s="3">
        <v>0</v>
      </c>
    </row>
    <row r="69" spans="1:16" x14ac:dyDescent="0.15">
      <c r="A69" s="3" t="s">
        <v>1071</v>
      </c>
      <c r="B69">
        <v>0</v>
      </c>
      <c r="C69" s="24">
        <v>0</v>
      </c>
      <c r="D69" s="24">
        <v>0</v>
      </c>
      <c r="E69" s="24">
        <v>0</v>
      </c>
      <c r="F69" s="3">
        <v>1000</v>
      </c>
      <c r="G69" s="3">
        <v>700</v>
      </c>
      <c r="H69" s="3">
        <v>0</v>
      </c>
      <c r="I69" s="3">
        <v>0</v>
      </c>
      <c r="J69" s="3">
        <v>0</v>
      </c>
    </row>
    <row r="70" spans="1:16" x14ac:dyDescent="0.15">
      <c r="A70" s="3" t="s">
        <v>1072</v>
      </c>
      <c r="B70">
        <v>17</v>
      </c>
      <c r="C70">
        <v>32</v>
      </c>
      <c r="D70">
        <v>20</v>
      </c>
      <c r="E70">
        <v>3750</v>
      </c>
      <c r="F70" s="3">
        <v>1000</v>
      </c>
      <c r="G70" s="3">
        <v>700</v>
      </c>
      <c r="H70" s="3">
        <v>0</v>
      </c>
      <c r="I70" s="3">
        <v>0</v>
      </c>
      <c r="J70" s="3">
        <v>0</v>
      </c>
      <c r="K70" s="24" t="s">
        <v>1046</v>
      </c>
      <c r="L70" s="24" t="s">
        <v>1045</v>
      </c>
      <c r="M70"/>
      <c r="O70" s="7"/>
      <c r="P70" s="24"/>
    </row>
    <row r="71" spans="1:16" x14ac:dyDescent="0.15">
      <c r="A71" s="3" t="s">
        <v>1073</v>
      </c>
      <c r="B71">
        <f>INT(B31*0.7)</f>
        <v>35</v>
      </c>
      <c r="C71" s="24">
        <f>INT(C31*1.3)</f>
        <v>65</v>
      </c>
      <c r="D71" s="24">
        <f>INT(D31*0.8)</f>
        <v>40</v>
      </c>
      <c r="E71" s="24">
        <f>INT(E31*1.5)</f>
        <v>7500</v>
      </c>
      <c r="F71" s="3">
        <v>1000</v>
      </c>
      <c r="G71" s="3">
        <v>700</v>
      </c>
      <c r="H71" s="3">
        <v>0</v>
      </c>
      <c r="I71" s="3">
        <v>50</v>
      </c>
      <c r="J71" s="3">
        <v>0</v>
      </c>
      <c r="L71" s="24" t="s">
        <v>1047</v>
      </c>
      <c r="M71"/>
      <c r="O71" s="7"/>
      <c r="P71" s="24"/>
    </row>
    <row r="72" spans="1:16" x14ac:dyDescent="0.15">
      <c r="A72" s="3" t="s">
        <v>1074</v>
      </c>
      <c r="B72" s="24">
        <f t="shared" ref="B72:B88" si="29">INT(B32*0.7)</f>
        <v>70</v>
      </c>
      <c r="C72" s="24">
        <f t="shared" ref="C72:C88" si="30">INT(C32*1.3)</f>
        <v>130</v>
      </c>
      <c r="D72" s="24">
        <f t="shared" ref="D72:D88" si="31">INT(D32*0.8)</f>
        <v>80</v>
      </c>
      <c r="E72" s="24">
        <f t="shared" ref="E72:E88" si="32">INT(E32*1.5)</f>
        <v>15000</v>
      </c>
      <c r="F72" s="3">
        <v>1000</v>
      </c>
      <c r="G72" s="3">
        <v>700</v>
      </c>
      <c r="H72" s="3">
        <v>0</v>
      </c>
      <c r="I72" s="3">
        <v>100</v>
      </c>
      <c r="J72" s="3">
        <v>0</v>
      </c>
      <c r="L72" s="24" t="s">
        <v>1048</v>
      </c>
      <c r="M72"/>
      <c r="O72" s="7"/>
      <c r="P72" s="24"/>
    </row>
    <row r="73" spans="1:16" x14ac:dyDescent="0.15">
      <c r="A73" s="3" t="s">
        <v>1075</v>
      </c>
      <c r="B73" s="24">
        <f t="shared" si="29"/>
        <v>105</v>
      </c>
      <c r="C73" s="24">
        <f t="shared" si="30"/>
        <v>195</v>
      </c>
      <c r="D73" s="24">
        <f t="shared" si="31"/>
        <v>120</v>
      </c>
      <c r="E73" s="24">
        <f t="shared" si="32"/>
        <v>21000</v>
      </c>
      <c r="F73" s="3">
        <v>1000</v>
      </c>
      <c r="G73" s="3">
        <v>700</v>
      </c>
      <c r="H73" s="3">
        <v>0</v>
      </c>
      <c r="I73" s="3">
        <v>150</v>
      </c>
      <c r="J73" s="3">
        <v>0</v>
      </c>
      <c r="L73" s="24" t="s">
        <v>1049</v>
      </c>
      <c r="M73"/>
      <c r="O73" s="7"/>
      <c r="P73" s="24"/>
    </row>
    <row r="74" spans="1:16" x14ac:dyDescent="0.15">
      <c r="A74" s="3" t="s">
        <v>1076</v>
      </c>
      <c r="B74" s="24">
        <f t="shared" si="29"/>
        <v>140</v>
      </c>
      <c r="C74" s="24">
        <f t="shared" si="30"/>
        <v>260</v>
      </c>
      <c r="D74" s="24">
        <f t="shared" si="31"/>
        <v>160</v>
      </c>
      <c r="E74" s="24">
        <f t="shared" si="32"/>
        <v>30000</v>
      </c>
      <c r="F74" s="3">
        <v>1000</v>
      </c>
      <c r="G74" s="3">
        <v>700</v>
      </c>
      <c r="H74" s="3">
        <v>0</v>
      </c>
      <c r="I74" s="3">
        <v>200</v>
      </c>
      <c r="J74" s="3">
        <v>0</v>
      </c>
      <c r="L74"/>
      <c r="M74"/>
      <c r="O74" s="7"/>
      <c r="P74" s="24"/>
    </row>
    <row r="75" spans="1:16" x14ac:dyDescent="0.15">
      <c r="A75" s="3" t="s">
        <v>1077</v>
      </c>
      <c r="B75" s="24">
        <f t="shared" si="29"/>
        <v>230</v>
      </c>
      <c r="C75" s="24">
        <f t="shared" si="30"/>
        <v>427</v>
      </c>
      <c r="D75" s="24">
        <f t="shared" si="31"/>
        <v>263</v>
      </c>
      <c r="E75" s="24">
        <f t="shared" si="32"/>
        <v>49459</v>
      </c>
      <c r="F75" s="3">
        <v>1000</v>
      </c>
      <c r="G75" s="3">
        <v>700</v>
      </c>
      <c r="H75" s="3">
        <v>0</v>
      </c>
      <c r="I75" s="3">
        <v>300</v>
      </c>
      <c r="J75" s="3">
        <v>0</v>
      </c>
      <c r="K75" s="24" t="s">
        <v>1050</v>
      </c>
      <c r="L75" s="24" t="s">
        <v>1051</v>
      </c>
      <c r="M75"/>
      <c r="O75" s="7"/>
      <c r="P75" s="24"/>
    </row>
    <row r="76" spans="1:16" x14ac:dyDescent="0.15">
      <c r="A76" s="3" t="s">
        <v>1078</v>
      </c>
      <c r="B76" s="24">
        <f t="shared" si="29"/>
        <v>321</v>
      </c>
      <c r="C76" s="24">
        <f t="shared" si="30"/>
        <v>596</v>
      </c>
      <c r="D76" s="24">
        <f t="shared" si="31"/>
        <v>367</v>
      </c>
      <c r="E76" s="24">
        <f t="shared" si="32"/>
        <v>68920</v>
      </c>
      <c r="F76" s="3">
        <v>1000</v>
      </c>
      <c r="G76" s="3">
        <v>700</v>
      </c>
      <c r="H76" s="3">
        <v>0</v>
      </c>
      <c r="I76" s="3">
        <v>400</v>
      </c>
      <c r="J76" s="3">
        <v>0</v>
      </c>
      <c r="L76"/>
      <c r="M76"/>
      <c r="O76" s="7"/>
      <c r="P76" s="24"/>
    </row>
    <row r="77" spans="1:16" x14ac:dyDescent="0.15">
      <c r="A77" s="3" t="s">
        <v>1079</v>
      </c>
      <c r="B77" s="24">
        <f t="shared" si="29"/>
        <v>422</v>
      </c>
      <c r="C77" s="24">
        <f t="shared" si="30"/>
        <v>783</v>
      </c>
      <c r="D77" s="24">
        <f t="shared" si="31"/>
        <v>482</v>
      </c>
      <c r="E77" s="24">
        <f t="shared" si="32"/>
        <v>90517</v>
      </c>
      <c r="F77" s="3">
        <v>1000</v>
      </c>
      <c r="G77" s="3">
        <v>700</v>
      </c>
      <c r="H77" s="3">
        <v>10000</v>
      </c>
      <c r="I77" s="3">
        <v>500</v>
      </c>
      <c r="J77" s="3">
        <v>0</v>
      </c>
      <c r="K77" s="24" t="s">
        <v>1052</v>
      </c>
      <c r="L77" s="24" t="s">
        <v>1053</v>
      </c>
      <c r="M77" s="24" t="s">
        <v>1054</v>
      </c>
      <c r="O77" s="7"/>
      <c r="P77" s="24"/>
    </row>
    <row r="78" spans="1:16" x14ac:dyDescent="0.15">
      <c r="A78" s="3" t="s">
        <v>1080</v>
      </c>
      <c r="B78" s="24">
        <f t="shared" si="29"/>
        <v>522</v>
      </c>
      <c r="C78" s="24">
        <f t="shared" si="30"/>
        <v>971</v>
      </c>
      <c r="D78" s="24">
        <f t="shared" si="31"/>
        <v>597</v>
      </c>
      <c r="E78" s="24">
        <f t="shared" si="32"/>
        <v>112114</v>
      </c>
      <c r="F78" s="3">
        <v>1000</v>
      </c>
      <c r="G78" s="3">
        <v>700</v>
      </c>
      <c r="H78" s="3">
        <v>30000</v>
      </c>
      <c r="I78" s="3">
        <v>600</v>
      </c>
      <c r="J78" s="3">
        <v>0</v>
      </c>
      <c r="L78" s="24" t="s">
        <v>1060</v>
      </c>
      <c r="M78"/>
      <c r="O78" s="7"/>
      <c r="P78" s="24"/>
    </row>
    <row r="79" spans="1:16" x14ac:dyDescent="0.15">
      <c r="A79" s="3" t="s">
        <v>1081</v>
      </c>
      <c r="B79" s="24">
        <f t="shared" si="29"/>
        <v>630</v>
      </c>
      <c r="C79" s="24">
        <f t="shared" si="30"/>
        <v>1171</v>
      </c>
      <c r="D79" s="24">
        <f t="shared" si="31"/>
        <v>720</v>
      </c>
      <c r="E79" s="24">
        <f t="shared" si="32"/>
        <v>135226</v>
      </c>
      <c r="F79" s="3">
        <v>1000</v>
      </c>
      <c r="G79" s="3">
        <v>700</v>
      </c>
      <c r="H79" s="3">
        <v>60000</v>
      </c>
      <c r="I79" s="3">
        <v>700</v>
      </c>
      <c r="J79" s="3">
        <v>0</v>
      </c>
      <c r="L79"/>
      <c r="M79"/>
      <c r="O79" s="7"/>
      <c r="P79" s="24"/>
    </row>
    <row r="80" spans="1:16" x14ac:dyDescent="0.15">
      <c r="A80" s="3" t="s">
        <v>1082</v>
      </c>
      <c r="B80" s="24">
        <f t="shared" si="29"/>
        <v>738</v>
      </c>
      <c r="C80" s="24">
        <f t="shared" si="30"/>
        <v>1371</v>
      </c>
      <c r="D80" s="24">
        <f t="shared" si="31"/>
        <v>844</v>
      </c>
      <c r="E80" s="24">
        <f t="shared" si="32"/>
        <v>158340</v>
      </c>
      <c r="F80" s="3">
        <v>1000</v>
      </c>
      <c r="G80" s="3">
        <v>700</v>
      </c>
      <c r="H80" s="3">
        <v>100000</v>
      </c>
      <c r="I80" s="3">
        <v>800</v>
      </c>
      <c r="J80" s="3">
        <v>0</v>
      </c>
    </row>
    <row r="81" spans="1:10" x14ac:dyDescent="0.15">
      <c r="A81" s="3" t="s">
        <v>1083</v>
      </c>
      <c r="B81" s="24">
        <f t="shared" si="29"/>
        <v>851</v>
      </c>
      <c r="C81" s="24">
        <f t="shared" si="30"/>
        <v>1582</v>
      </c>
      <c r="D81" s="24">
        <f t="shared" si="31"/>
        <v>973</v>
      </c>
      <c r="E81" s="24">
        <f t="shared" si="32"/>
        <v>182649</v>
      </c>
      <c r="F81" s="3">
        <v>1000</v>
      </c>
      <c r="G81" s="3">
        <v>700</v>
      </c>
      <c r="H81" s="3">
        <v>150000</v>
      </c>
      <c r="I81" s="3">
        <v>900</v>
      </c>
      <c r="J81" s="3">
        <v>0</v>
      </c>
    </row>
    <row r="82" spans="1:10" x14ac:dyDescent="0.15">
      <c r="A82" s="3" t="s">
        <v>1084</v>
      </c>
      <c r="B82" s="24">
        <f t="shared" si="29"/>
        <v>965</v>
      </c>
      <c r="C82" s="24">
        <f t="shared" si="30"/>
        <v>1792</v>
      </c>
      <c r="D82" s="24">
        <f t="shared" si="31"/>
        <v>1103</v>
      </c>
      <c r="E82" s="24">
        <f t="shared" si="32"/>
        <v>206958</v>
      </c>
      <c r="F82" s="3">
        <v>1000</v>
      </c>
      <c r="G82" s="3">
        <v>700</v>
      </c>
      <c r="H82" s="3">
        <v>200000</v>
      </c>
      <c r="I82" s="3">
        <v>1000</v>
      </c>
      <c r="J82" s="3">
        <v>0</v>
      </c>
    </row>
    <row r="83" spans="1:10" x14ac:dyDescent="0.15">
      <c r="A83" s="3" t="s">
        <v>1085</v>
      </c>
      <c r="B83" s="24">
        <f t="shared" si="29"/>
        <v>1083</v>
      </c>
      <c r="C83" s="24">
        <f t="shared" si="30"/>
        <v>2012</v>
      </c>
      <c r="D83" s="24">
        <f t="shared" si="31"/>
        <v>1238</v>
      </c>
      <c r="E83" s="24">
        <f t="shared" si="32"/>
        <v>232266</v>
      </c>
      <c r="F83" s="3">
        <v>1000</v>
      </c>
      <c r="G83" s="3">
        <v>700</v>
      </c>
      <c r="H83" s="3">
        <v>300000</v>
      </c>
      <c r="I83" s="3">
        <v>1100</v>
      </c>
      <c r="J83" s="3">
        <v>0</v>
      </c>
    </row>
    <row r="84" spans="1:10" x14ac:dyDescent="0.15">
      <c r="A84" s="3" t="s">
        <v>1086</v>
      </c>
      <c r="B84" s="24">
        <f t="shared" si="29"/>
        <v>1201</v>
      </c>
      <c r="C84" s="24">
        <f t="shared" si="30"/>
        <v>2232</v>
      </c>
      <c r="D84" s="24">
        <f t="shared" si="31"/>
        <v>1373</v>
      </c>
      <c r="E84" s="24">
        <f t="shared" si="32"/>
        <v>257574</v>
      </c>
      <c r="F84" s="3">
        <v>1000</v>
      </c>
      <c r="G84" s="3">
        <v>700</v>
      </c>
      <c r="H84" s="3">
        <v>400000</v>
      </c>
      <c r="I84" s="3">
        <v>1200</v>
      </c>
      <c r="J84" s="3">
        <v>0</v>
      </c>
    </row>
    <row r="85" spans="1:10" x14ac:dyDescent="0.15">
      <c r="A85" s="3" t="s">
        <v>1087</v>
      </c>
      <c r="B85" s="24">
        <f t="shared" si="29"/>
        <v>1323</v>
      </c>
      <c r="C85" s="24">
        <f t="shared" si="30"/>
        <v>2458</v>
      </c>
      <c r="D85" s="24">
        <f t="shared" si="31"/>
        <v>1512</v>
      </c>
      <c r="E85" s="24">
        <f t="shared" si="32"/>
        <v>283743</v>
      </c>
      <c r="F85" s="3">
        <v>1000</v>
      </c>
      <c r="G85" s="3">
        <v>700</v>
      </c>
      <c r="H85" s="3">
        <v>500000</v>
      </c>
      <c r="I85" s="3">
        <v>1300</v>
      </c>
      <c r="J85" s="3">
        <v>0</v>
      </c>
    </row>
    <row r="86" spans="1:10" x14ac:dyDescent="0.15">
      <c r="A86" s="3" t="s">
        <v>1088</v>
      </c>
      <c r="B86" s="24">
        <f t="shared" si="29"/>
        <v>1446</v>
      </c>
      <c r="C86" s="24">
        <f t="shared" si="30"/>
        <v>2685</v>
      </c>
      <c r="D86" s="24">
        <f t="shared" si="31"/>
        <v>1652</v>
      </c>
      <c r="E86" s="24">
        <f t="shared" si="32"/>
        <v>309912</v>
      </c>
      <c r="F86" s="3">
        <v>1000</v>
      </c>
      <c r="G86" s="3">
        <v>700</v>
      </c>
      <c r="H86" s="3">
        <v>600000</v>
      </c>
      <c r="I86" s="3">
        <v>1400</v>
      </c>
      <c r="J86" s="3">
        <v>0</v>
      </c>
    </row>
    <row r="87" spans="1:10" x14ac:dyDescent="0.15">
      <c r="A87" s="3" t="s">
        <v>1089</v>
      </c>
      <c r="B87" s="24">
        <f t="shared" si="29"/>
        <v>1571</v>
      </c>
      <c r="C87" s="24">
        <f t="shared" si="30"/>
        <v>2918</v>
      </c>
      <c r="D87" s="24">
        <f t="shared" si="31"/>
        <v>1796</v>
      </c>
      <c r="E87" s="24">
        <f t="shared" si="32"/>
        <v>336841</v>
      </c>
      <c r="F87" s="3">
        <v>1000</v>
      </c>
      <c r="G87" s="3">
        <v>700</v>
      </c>
      <c r="H87" s="3">
        <v>800000</v>
      </c>
      <c r="I87" s="3">
        <v>1400</v>
      </c>
      <c r="J87" s="3">
        <v>0</v>
      </c>
    </row>
    <row r="88" spans="1:10" x14ac:dyDescent="0.15">
      <c r="A88" s="3" t="s">
        <v>1090</v>
      </c>
      <c r="B88" s="24">
        <f t="shared" si="29"/>
        <v>1697</v>
      </c>
      <c r="C88" s="24">
        <f t="shared" si="30"/>
        <v>3152</v>
      </c>
      <c r="D88" s="24">
        <f t="shared" si="31"/>
        <v>1940</v>
      </c>
      <c r="E88" s="24">
        <f t="shared" si="32"/>
        <v>363771</v>
      </c>
      <c r="F88" s="3">
        <v>1000</v>
      </c>
      <c r="G88" s="3">
        <v>700</v>
      </c>
      <c r="H88" s="3">
        <v>1000000</v>
      </c>
      <c r="I88" s="3">
        <v>1600</v>
      </c>
      <c r="J88" s="3">
        <v>0</v>
      </c>
    </row>
    <row r="89" spans="1:10" x14ac:dyDescent="0.15">
      <c r="A89" s="3" t="s">
        <v>1091</v>
      </c>
      <c r="B89">
        <f>INT(B29*0.7)</f>
        <v>0</v>
      </c>
      <c r="C89" s="24">
        <f>INT(C29*0.7)</f>
        <v>0</v>
      </c>
      <c r="D89" s="24">
        <f>INT(D29*1.2)</f>
        <v>0</v>
      </c>
      <c r="E89" s="24">
        <f>INT(E29*1.6)</f>
        <v>0</v>
      </c>
      <c r="F89" s="3">
        <v>650</v>
      </c>
      <c r="G89" s="3">
        <v>1700</v>
      </c>
      <c r="H89" s="3">
        <v>0</v>
      </c>
      <c r="I89" s="3">
        <v>0</v>
      </c>
    </row>
    <row r="90" spans="1:10" x14ac:dyDescent="0.15">
      <c r="A90" s="3" t="s">
        <v>1092</v>
      </c>
      <c r="B90" s="24">
        <f>INT(B91/2)</f>
        <v>17</v>
      </c>
      <c r="C90" s="24">
        <f t="shared" ref="C90:E90" si="33">INT(C91/2)</f>
        <v>17</v>
      </c>
      <c r="D90" s="24">
        <f t="shared" si="33"/>
        <v>30</v>
      </c>
      <c r="E90" s="24">
        <f t="shared" si="33"/>
        <v>4000</v>
      </c>
      <c r="F90" s="3">
        <v>650</v>
      </c>
      <c r="G90" s="3">
        <v>1700</v>
      </c>
      <c r="H90" s="3">
        <v>0</v>
      </c>
      <c r="I90" s="3">
        <v>0</v>
      </c>
    </row>
    <row r="91" spans="1:10" x14ac:dyDescent="0.15">
      <c r="A91" s="3" t="s">
        <v>1093</v>
      </c>
      <c r="B91" s="24">
        <f t="shared" ref="B91:C91" si="34">INT(B31*0.7)</f>
        <v>35</v>
      </c>
      <c r="C91" s="24">
        <f t="shared" si="34"/>
        <v>35</v>
      </c>
      <c r="D91" s="24">
        <f t="shared" ref="D91:D108" si="35">INT(D31*1.2)</f>
        <v>60</v>
      </c>
      <c r="E91" s="24">
        <f t="shared" ref="E91:E108" si="36">INT(E31*1.6)</f>
        <v>8000</v>
      </c>
      <c r="F91" s="3">
        <v>650</v>
      </c>
      <c r="G91" s="3">
        <v>1700</v>
      </c>
      <c r="H91" s="3">
        <v>0</v>
      </c>
      <c r="I91" s="3">
        <v>50</v>
      </c>
    </row>
    <row r="92" spans="1:10" x14ac:dyDescent="0.15">
      <c r="A92" s="3" t="s">
        <v>1094</v>
      </c>
      <c r="B92" s="24">
        <f t="shared" ref="B92:C92" si="37">INT(B32*0.7)</f>
        <v>70</v>
      </c>
      <c r="C92" s="24">
        <f t="shared" si="37"/>
        <v>70</v>
      </c>
      <c r="D92" s="24">
        <f t="shared" si="35"/>
        <v>120</v>
      </c>
      <c r="E92" s="24">
        <f t="shared" si="36"/>
        <v>16000</v>
      </c>
      <c r="F92" s="3">
        <v>650</v>
      </c>
      <c r="G92" s="3">
        <v>1700</v>
      </c>
      <c r="H92" s="3">
        <v>0</v>
      </c>
      <c r="I92" s="3">
        <v>100</v>
      </c>
    </row>
    <row r="93" spans="1:10" x14ac:dyDescent="0.15">
      <c r="A93" s="3" t="s">
        <v>1095</v>
      </c>
      <c r="B93" s="24">
        <f t="shared" ref="B93:C93" si="38">INT(B33*0.7)</f>
        <v>105</v>
      </c>
      <c r="C93" s="24">
        <f t="shared" si="38"/>
        <v>105</v>
      </c>
      <c r="D93" s="24">
        <f t="shared" si="35"/>
        <v>180</v>
      </c>
      <c r="E93" s="24">
        <f t="shared" si="36"/>
        <v>22400</v>
      </c>
      <c r="F93" s="3">
        <v>650</v>
      </c>
      <c r="G93" s="3">
        <v>1700</v>
      </c>
      <c r="H93" s="3">
        <v>0</v>
      </c>
      <c r="I93" s="3">
        <v>150</v>
      </c>
    </row>
    <row r="94" spans="1:10" x14ac:dyDescent="0.15">
      <c r="A94" s="3" t="s">
        <v>1096</v>
      </c>
      <c r="B94" s="24">
        <f t="shared" ref="B94:C94" si="39">INT(B34*0.7)</f>
        <v>140</v>
      </c>
      <c r="C94" s="24">
        <f t="shared" si="39"/>
        <v>140</v>
      </c>
      <c r="D94" s="24">
        <f t="shared" si="35"/>
        <v>240</v>
      </c>
      <c r="E94" s="24">
        <f t="shared" si="36"/>
        <v>32000</v>
      </c>
      <c r="F94" s="3">
        <v>650</v>
      </c>
      <c r="G94" s="3">
        <v>1700</v>
      </c>
      <c r="H94" s="3">
        <v>0</v>
      </c>
      <c r="I94" s="3">
        <v>200</v>
      </c>
    </row>
    <row r="95" spans="1:10" x14ac:dyDescent="0.15">
      <c r="A95" s="3" t="s">
        <v>1097</v>
      </c>
      <c r="B95" s="24">
        <f t="shared" ref="B95:C95" si="40">INT(B35*0.7)</f>
        <v>230</v>
      </c>
      <c r="C95" s="24">
        <f t="shared" si="40"/>
        <v>230</v>
      </c>
      <c r="D95" s="24">
        <f t="shared" si="35"/>
        <v>394</v>
      </c>
      <c r="E95" s="24">
        <f t="shared" si="36"/>
        <v>52756</v>
      </c>
      <c r="F95" s="3">
        <v>650</v>
      </c>
      <c r="G95" s="3">
        <v>1700</v>
      </c>
      <c r="H95" s="3">
        <v>0</v>
      </c>
      <c r="I95" s="3">
        <v>300</v>
      </c>
    </row>
    <row r="96" spans="1:10" x14ac:dyDescent="0.15">
      <c r="A96" s="3" t="s">
        <v>1098</v>
      </c>
      <c r="B96" s="24">
        <f t="shared" ref="B96:C96" si="41">INT(B36*0.7)</f>
        <v>321</v>
      </c>
      <c r="C96" s="24">
        <f t="shared" si="41"/>
        <v>321</v>
      </c>
      <c r="D96" s="24">
        <f t="shared" si="35"/>
        <v>550</v>
      </c>
      <c r="E96" s="24">
        <f t="shared" si="36"/>
        <v>73515</v>
      </c>
      <c r="F96" s="3">
        <v>650</v>
      </c>
      <c r="G96" s="3">
        <v>1700</v>
      </c>
      <c r="H96" s="3">
        <v>0</v>
      </c>
      <c r="I96" s="3">
        <v>400</v>
      </c>
    </row>
    <row r="97" spans="1:9" x14ac:dyDescent="0.15">
      <c r="A97" s="3" t="s">
        <v>1099</v>
      </c>
      <c r="B97" s="24">
        <f t="shared" ref="B97:C97" si="42">INT(B37*0.7)</f>
        <v>422</v>
      </c>
      <c r="C97" s="24">
        <f t="shared" si="42"/>
        <v>422</v>
      </c>
      <c r="D97" s="24">
        <f t="shared" si="35"/>
        <v>723</v>
      </c>
      <c r="E97" s="24">
        <f t="shared" si="36"/>
        <v>96552</v>
      </c>
      <c r="F97" s="3">
        <v>650</v>
      </c>
      <c r="G97" s="3">
        <v>1700</v>
      </c>
      <c r="H97" s="3">
        <v>0</v>
      </c>
      <c r="I97" s="3">
        <v>500</v>
      </c>
    </row>
    <row r="98" spans="1:9" x14ac:dyDescent="0.15">
      <c r="A98" s="3" t="s">
        <v>1100</v>
      </c>
      <c r="B98" s="24">
        <f t="shared" ref="B98:C98" si="43">INT(B38*0.7)</f>
        <v>522</v>
      </c>
      <c r="C98" s="24">
        <f t="shared" si="43"/>
        <v>522</v>
      </c>
      <c r="D98" s="24">
        <f t="shared" si="35"/>
        <v>896</v>
      </c>
      <c r="E98" s="24">
        <f t="shared" si="36"/>
        <v>119588</v>
      </c>
      <c r="F98" s="3">
        <v>650</v>
      </c>
      <c r="G98" s="3">
        <v>1700</v>
      </c>
      <c r="H98" s="3">
        <v>0</v>
      </c>
      <c r="I98" s="3">
        <v>600</v>
      </c>
    </row>
    <row r="99" spans="1:9" x14ac:dyDescent="0.15">
      <c r="A99" s="3" t="s">
        <v>1101</v>
      </c>
      <c r="B99" s="24">
        <f t="shared" ref="B99:C99" si="44">INT(B39*0.7)</f>
        <v>630</v>
      </c>
      <c r="C99" s="24">
        <f t="shared" si="44"/>
        <v>630</v>
      </c>
      <c r="D99" s="24">
        <f t="shared" si="35"/>
        <v>1081</v>
      </c>
      <c r="E99" s="24">
        <f t="shared" si="36"/>
        <v>144241</v>
      </c>
      <c r="F99" s="3">
        <v>650</v>
      </c>
      <c r="G99" s="3">
        <v>1700</v>
      </c>
      <c r="H99" s="3">
        <v>0</v>
      </c>
      <c r="I99" s="3">
        <v>700</v>
      </c>
    </row>
    <row r="100" spans="1:9" x14ac:dyDescent="0.15">
      <c r="A100" s="3" t="s">
        <v>1102</v>
      </c>
      <c r="B100" s="24">
        <f t="shared" ref="B100:C100" si="45">INT(B40*0.7)</f>
        <v>738</v>
      </c>
      <c r="C100" s="24">
        <f t="shared" si="45"/>
        <v>738</v>
      </c>
      <c r="D100" s="24">
        <f t="shared" si="35"/>
        <v>1266</v>
      </c>
      <c r="E100" s="24">
        <f t="shared" si="36"/>
        <v>168896</v>
      </c>
      <c r="F100" s="3">
        <v>650</v>
      </c>
      <c r="G100" s="3">
        <v>1700</v>
      </c>
      <c r="H100" s="3">
        <v>0</v>
      </c>
      <c r="I100" s="3">
        <v>800</v>
      </c>
    </row>
    <row r="101" spans="1:9" x14ac:dyDescent="0.15">
      <c r="A101" s="3" t="s">
        <v>1103</v>
      </c>
      <c r="B101" s="24">
        <f t="shared" ref="B101:C101" si="46">INT(B41*0.7)</f>
        <v>851</v>
      </c>
      <c r="C101" s="24">
        <f t="shared" si="46"/>
        <v>851</v>
      </c>
      <c r="D101" s="24">
        <f t="shared" si="35"/>
        <v>1460</v>
      </c>
      <c r="E101" s="24">
        <f t="shared" si="36"/>
        <v>194825</v>
      </c>
      <c r="F101" s="3">
        <v>650</v>
      </c>
      <c r="G101" s="3">
        <v>1700</v>
      </c>
      <c r="H101" s="3">
        <v>0</v>
      </c>
      <c r="I101" s="3">
        <v>900</v>
      </c>
    </row>
    <row r="102" spans="1:9" x14ac:dyDescent="0.15">
      <c r="A102" s="3" t="s">
        <v>1104</v>
      </c>
      <c r="B102" s="24">
        <f t="shared" ref="B102:C102" si="47">INT(B42*0.7)</f>
        <v>965</v>
      </c>
      <c r="C102" s="24">
        <f t="shared" si="47"/>
        <v>965</v>
      </c>
      <c r="D102" s="24">
        <f t="shared" si="35"/>
        <v>1654</v>
      </c>
      <c r="E102" s="24">
        <f t="shared" si="36"/>
        <v>220755</v>
      </c>
      <c r="F102" s="3">
        <v>650</v>
      </c>
      <c r="G102" s="3">
        <v>1700</v>
      </c>
      <c r="H102" s="3">
        <v>0</v>
      </c>
      <c r="I102" s="3">
        <v>1000</v>
      </c>
    </row>
    <row r="103" spans="1:9" x14ac:dyDescent="0.15">
      <c r="A103" s="3" t="s">
        <v>1105</v>
      </c>
      <c r="B103" s="24">
        <f t="shared" ref="B103:C103" si="48">INT(B43*0.7)</f>
        <v>1083</v>
      </c>
      <c r="C103" s="24">
        <f t="shared" si="48"/>
        <v>1083</v>
      </c>
      <c r="D103" s="24">
        <f t="shared" si="35"/>
        <v>1857</v>
      </c>
      <c r="E103" s="24">
        <f t="shared" si="36"/>
        <v>247750</v>
      </c>
      <c r="F103" s="3">
        <v>650</v>
      </c>
      <c r="G103" s="3">
        <v>1700</v>
      </c>
      <c r="H103" s="3">
        <v>0</v>
      </c>
      <c r="I103" s="3">
        <v>1100</v>
      </c>
    </row>
    <row r="104" spans="1:9" x14ac:dyDescent="0.15">
      <c r="A104" s="3" t="s">
        <v>1106</v>
      </c>
      <c r="B104" s="24">
        <f t="shared" ref="B104:C104" si="49">INT(B44*0.7)</f>
        <v>1201</v>
      </c>
      <c r="C104" s="24">
        <f t="shared" si="49"/>
        <v>1201</v>
      </c>
      <c r="D104" s="24">
        <f t="shared" si="35"/>
        <v>2060</v>
      </c>
      <c r="E104" s="24">
        <f t="shared" si="36"/>
        <v>274745</v>
      </c>
      <c r="F104" s="3">
        <v>650</v>
      </c>
      <c r="G104" s="3">
        <v>1700</v>
      </c>
      <c r="H104" s="3">
        <v>0</v>
      </c>
      <c r="I104" s="3">
        <v>1200</v>
      </c>
    </row>
    <row r="105" spans="1:9" x14ac:dyDescent="0.15">
      <c r="A105" s="3" t="s">
        <v>1107</v>
      </c>
      <c r="B105" s="24">
        <f t="shared" ref="B105:C105" si="50">INT(B45*0.7)</f>
        <v>1323</v>
      </c>
      <c r="C105" s="24">
        <f t="shared" si="50"/>
        <v>1323</v>
      </c>
      <c r="D105" s="24">
        <f t="shared" si="35"/>
        <v>2269</v>
      </c>
      <c r="E105" s="24">
        <f t="shared" si="36"/>
        <v>302659</v>
      </c>
      <c r="F105" s="3">
        <v>650</v>
      </c>
      <c r="G105" s="3">
        <v>1700</v>
      </c>
      <c r="H105" s="3">
        <v>0</v>
      </c>
      <c r="I105" s="3">
        <v>1300</v>
      </c>
    </row>
    <row r="106" spans="1:9" x14ac:dyDescent="0.15">
      <c r="A106" s="3" t="s">
        <v>1108</v>
      </c>
      <c r="B106" s="24">
        <f t="shared" ref="B106:C106" si="51">INT(B46*0.7)</f>
        <v>1446</v>
      </c>
      <c r="C106" s="24">
        <f t="shared" si="51"/>
        <v>1446</v>
      </c>
      <c r="D106" s="24">
        <f t="shared" si="35"/>
        <v>2479</v>
      </c>
      <c r="E106" s="24">
        <f t="shared" si="36"/>
        <v>330572</v>
      </c>
      <c r="F106" s="3">
        <v>650</v>
      </c>
      <c r="G106" s="3">
        <v>1700</v>
      </c>
      <c r="H106" s="3">
        <v>0</v>
      </c>
      <c r="I106" s="3">
        <v>1400</v>
      </c>
    </row>
    <row r="107" spans="1:9" x14ac:dyDescent="0.15">
      <c r="A107" s="3" t="s">
        <v>1109</v>
      </c>
      <c r="B107" s="24">
        <f t="shared" ref="B107:C107" si="52">INT(B47*0.7)</f>
        <v>1571</v>
      </c>
      <c r="C107" s="24">
        <f t="shared" si="52"/>
        <v>1571</v>
      </c>
      <c r="D107" s="24">
        <f t="shared" si="35"/>
        <v>2694</v>
      </c>
      <c r="E107" s="24">
        <f t="shared" si="36"/>
        <v>359297</v>
      </c>
      <c r="F107" s="3">
        <v>650</v>
      </c>
      <c r="G107" s="3">
        <v>1700</v>
      </c>
      <c r="H107" s="3">
        <v>0</v>
      </c>
      <c r="I107" s="3">
        <v>1400</v>
      </c>
    </row>
    <row r="108" spans="1:9" x14ac:dyDescent="0.15">
      <c r="A108" s="3" t="s">
        <v>1110</v>
      </c>
      <c r="B108" s="24">
        <f t="shared" ref="B108:C108" si="53">INT(B48*0.7)</f>
        <v>1697</v>
      </c>
      <c r="C108" s="24">
        <f t="shared" si="53"/>
        <v>1697</v>
      </c>
      <c r="D108" s="24">
        <f t="shared" si="35"/>
        <v>2910</v>
      </c>
      <c r="E108" s="24">
        <f t="shared" si="36"/>
        <v>388022</v>
      </c>
      <c r="F108" s="3">
        <v>650</v>
      </c>
      <c r="G108" s="3">
        <v>1700</v>
      </c>
      <c r="H108" s="3">
        <v>0</v>
      </c>
      <c r="I108" s="3">
        <v>1600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F15"/>
  <sheetViews>
    <sheetView workbookViewId="0">
      <selection activeCell="F14" sqref="F14"/>
    </sheetView>
  </sheetViews>
  <sheetFormatPr defaultRowHeight="13.5" x14ac:dyDescent="0.15"/>
  <cols>
    <col min="1" max="1" width="9" style="24"/>
  </cols>
  <sheetData>
    <row r="1" spans="1:6" x14ac:dyDescent="0.15">
      <c r="B1" s="10" t="s">
        <v>360</v>
      </c>
      <c r="C1" s="10" t="s">
        <v>361</v>
      </c>
      <c r="D1" s="10" t="s">
        <v>362</v>
      </c>
      <c r="E1" s="10" t="s">
        <v>987</v>
      </c>
    </row>
    <row r="2" spans="1:6" x14ac:dyDescent="0.15">
      <c r="A2" s="24">
        <v>1</v>
      </c>
      <c r="B2" s="10" t="s">
        <v>374</v>
      </c>
      <c r="C2" s="10">
        <v>60</v>
      </c>
      <c r="D2" s="10">
        <v>1</v>
      </c>
      <c r="E2">
        <f>D2/C2</f>
        <v>1.6666666666666666E-2</v>
      </c>
    </row>
    <row r="3" spans="1:6" x14ac:dyDescent="0.15">
      <c r="A3" s="24">
        <v>2</v>
      </c>
      <c r="B3" s="10" t="s">
        <v>375</v>
      </c>
      <c r="C3" s="10">
        <v>300</v>
      </c>
      <c r="D3" s="10">
        <v>3</v>
      </c>
      <c r="E3" s="24">
        <f t="shared" ref="E3:E15" si="0">D3/C3</f>
        <v>0.01</v>
      </c>
      <c r="F3" s="24"/>
    </row>
    <row r="4" spans="1:6" x14ac:dyDescent="0.15">
      <c r="A4" s="24">
        <v>3</v>
      </c>
      <c r="B4" s="10" t="s">
        <v>376</v>
      </c>
      <c r="C4" s="10">
        <f>15*60</f>
        <v>900</v>
      </c>
      <c r="D4" s="10">
        <v>5</v>
      </c>
      <c r="E4" s="24">
        <f t="shared" si="0"/>
        <v>5.5555555555555558E-3</v>
      </c>
      <c r="F4" s="24"/>
    </row>
    <row r="5" spans="1:6" x14ac:dyDescent="0.15">
      <c r="A5" s="24">
        <v>4</v>
      </c>
      <c r="B5" s="10" t="s">
        <v>377</v>
      </c>
      <c r="C5" s="10">
        <f>3600</f>
        <v>3600</v>
      </c>
      <c r="D5" s="10">
        <v>10</v>
      </c>
      <c r="E5" s="24">
        <f t="shared" si="0"/>
        <v>2.7777777777777779E-3</v>
      </c>
      <c r="F5" s="24"/>
    </row>
    <row r="6" spans="1:6" x14ac:dyDescent="0.15">
      <c r="A6" s="24">
        <v>5</v>
      </c>
      <c r="B6" s="10" t="s">
        <v>378</v>
      </c>
      <c r="C6" s="10">
        <f>2.5*3600</f>
        <v>9000</v>
      </c>
      <c r="D6" s="10">
        <v>15</v>
      </c>
      <c r="E6" s="24">
        <f t="shared" si="0"/>
        <v>1.6666666666666668E-3</v>
      </c>
      <c r="F6" s="24"/>
    </row>
    <row r="7" spans="1:6" x14ac:dyDescent="0.15">
      <c r="A7" s="24">
        <v>6</v>
      </c>
      <c r="B7" s="10" t="s">
        <v>379</v>
      </c>
      <c r="C7" s="10">
        <f>8*3600</f>
        <v>28800</v>
      </c>
      <c r="D7" s="10">
        <v>40</v>
      </c>
      <c r="E7" s="24">
        <f t="shared" si="0"/>
        <v>1.3888888888888889E-3</v>
      </c>
      <c r="F7" s="24"/>
    </row>
    <row r="8" spans="1:6" x14ac:dyDescent="0.15">
      <c r="A8" s="24">
        <v>7</v>
      </c>
      <c r="B8" s="10" t="s">
        <v>380</v>
      </c>
      <c r="C8" s="10">
        <f>15*3600</f>
        <v>54000</v>
      </c>
      <c r="D8" s="10">
        <v>65</v>
      </c>
      <c r="E8" s="24">
        <f t="shared" si="0"/>
        <v>1.2037037037037038E-3</v>
      </c>
      <c r="F8" s="24"/>
    </row>
    <row r="9" spans="1:6" x14ac:dyDescent="0.15">
      <c r="A9" s="24">
        <v>8</v>
      </c>
      <c r="B9" s="10" t="s">
        <v>381</v>
      </c>
      <c r="C9" s="10">
        <f>24*3600</f>
        <v>86400</v>
      </c>
      <c r="D9" s="10">
        <v>95</v>
      </c>
      <c r="E9" s="24">
        <f t="shared" si="0"/>
        <v>1.0995370370370371E-3</v>
      </c>
      <c r="F9" s="24"/>
    </row>
    <row r="10" spans="1:6" x14ac:dyDescent="0.15">
      <c r="A10" s="24">
        <v>9</v>
      </c>
      <c r="B10" s="10" t="s">
        <v>382</v>
      </c>
      <c r="C10" s="10">
        <f>2.5*24*3600</f>
        <v>216000</v>
      </c>
      <c r="D10" s="10">
        <v>210</v>
      </c>
      <c r="E10" s="24">
        <f t="shared" si="0"/>
        <v>9.7222222222222219E-4</v>
      </c>
      <c r="F10" s="24"/>
    </row>
    <row r="11" spans="1:6" x14ac:dyDescent="0.15">
      <c r="A11" s="24">
        <v>10</v>
      </c>
      <c r="B11" s="10" t="s">
        <v>383</v>
      </c>
      <c r="C11" s="10">
        <f>4*24*3600</f>
        <v>345600</v>
      </c>
      <c r="D11" s="10">
        <v>275</v>
      </c>
      <c r="E11" s="24">
        <f t="shared" si="0"/>
        <v>7.9571759259259255E-4</v>
      </c>
      <c r="F11" s="24"/>
    </row>
    <row r="12" spans="1:6" x14ac:dyDescent="0.15">
      <c r="B12" s="10"/>
      <c r="C12" s="10"/>
      <c r="D12" s="10"/>
      <c r="E12" s="24"/>
    </row>
    <row r="13" spans="1:6" x14ac:dyDescent="0.15">
      <c r="A13" s="24">
        <v>1</v>
      </c>
      <c r="B13" s="10" t="s">
        <v>93</v>
      </c>
      <c r="C13" s="10">
        <v>80000</v>
      </c>
      <c r="D13" s="10">
        <v>20</v>
      </c>
      <c r="E13" s="24">
        <f t="shared" si="0"/>
        <v>2.5000000000000001E-4</v>
      </c>
    </row>
    <row r="14" spans="1:6" x14ac:dyDescent="0.15">
      <c r="A14" s="24">
        <v>2</v>
      </c>
      <c r="B14" s="10"/>
      <c r="C14" s="10">
        <v>250000</v>
      </c>
      <c r="D14" s="10">
        <v>55</v>
      </c>
      <c r="E14" s="24">
        <f t="shared" si="0"/>
        <v>2.2000000000000001E-4</v>
      </c>
    </row>
    <row r="15" spans="1:6" x14ac:dyDescent="0.15">
      <c r="A15" s="24">
        <v>3</v>
      </c>
      <c r="B15" s="10"/>
      <c r="C15" s="10">
        <v>500000</v>
      </c>
      <c r="D15" s="10">
        <v>95</v>
      </c>
      <c r="E15" s="24">
        <f t="shared" si="0"/>
        <v>1.9000000000000001E-4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rgb="FFFF0000"/>
  </sheetPr>
  <dimension ref="A1:X53"/>
  <sheetViews>
    <sheetView workbookViewId="0">
      <pane xSplit="2" ySplit="12" topLeftCell="J13" activePane="bottomRight" state="frozen"/>
      <selection pane="topRight" activeCell="C1" sqref="C1"/>
      <selection pane="bottomLeft" activeCell="A13" sqref="A13"/>
      <selection pane="bottomRight" activeCell="O21" sqref="O21"/>
    </sheetView>
  </sheetViews>
  <sheetFormatPr defaultRowHeight="13.5" x14ac:dyDescent="0.15"/>
  <cols>
    <col min="1" max="1" width="10.375" style="24" bestFit="1" customWidth="1"/>
    <col min="2" max="2" width="13" bestFit="1" customWidth="1"/>
    <col min="3" max="6" width="8.375" bestFit="1" customWidth="1"/>
    <col min="7" max="7" width="12.75" bestFit="1" customWidth="1"/>
    <col min="8" max="8" width="8.875" customWidth="1"/>
    <col min="9" max="9" width="8.375" bestFit="1" customWidth="1"/>
    <col min="13" max="13" width="10.25" customWidth="1"/>
  </cols>
  <sheetData>
    <row r="1" spans="1:24" x14ac:dyDescent="0.15">
      <c r="B1" s="24"/>
      <c r="C1" s="24" t="s">
        <v>229</v>
      </c>
      <c r="D1" s="24" t="s">
        <v>227</v>
      </c>
      <c r="E1" s="24" t="s">
        <v>228</v>
      </c>
      <c r="F1" t="s">
        <v>226</v>
      </c>
      <c r="G1" t="s">
        <v>958</v>
      </c>
      <c r="J1" s="24" t="s">
        <v>969</v>
      </c>
      <c r="K1">
        <v>16</v>
      </c>
      <c r="L1" s="24" t="s">
        <v>980</v>
      </c>
      <c r="M1">
        <f>34-K1-12</f>
        <v>6</v>
      </c>
    </row>
    <row r="2" spans="1:24" x14ac:dyDescent="0.15">
      <c r="B2" s="24" t="s">
        <v>959</v>
      </c>
      <c r="C2">
        <v>3</v>
      </c>
      <c r="D2">
        <v>14</v>
      </c>
      <c r="E2">
        <v>7</v>
      </c>
      <c r="F2">
        <v>14</v>
      </c>
      <c r="G2">
        <v>8</v>
      </c>
      <c r="H2" t="str">
        <f>IF(SUM(C2:F2)&gt;38,"FALSE","TRUE")</f>
        <v>TRUE</v>
      </c>
      <c r="J2" s="24" t="s">
        <v>970</v>
      </c>
      <c r="K2">
        <v>300</v>
      </c>
      <c r="L2" s="24" t="s">
        <v>981</v>
      </c>
      <c r="M2">
        <f>M1*金币产出!F21</f>
        <v>33000</v>
      </c>
    </row>
    <row r="3" spans="1:24" x14ac:dyDescent="0.15">
      <c r="B3" s="24" t="s">
        <v>960</v>
      </c>
      <c r="C3">
        <v>10</v>
      </c>
      <c r="D3" s="24">
        <v>10</v>
      </c>
      <c r="E3" s="24">
        <v>10</v>
      </c>
      <c r="F3" s="24">
        <v>10</v>
      </c>
      <c r="G3" s="24">
        <v>9</v>
      </c>
      <c r="J3" s="24" t="s">
        <v>971</v>
      </c>
      <c r="K3">
        <f>0.9*K1+0.05*K2</f>
        <v>29.4</v>
      </c>
      <c r="L3" s="24" t="s">
        <v>983</v>
      </c>
      <c r="M3">
        <f>VLOOKUP(C3,资源产出!A2:B11,2,FALSE)*(SUM(C2:F2)+G2*2)</f>
        <v>29700</v>
      </c>
    </row>
    <row r="4" spans="1:24" x14ac:dyDescent="0.15">
      <c r="B4" s="24" t="s">
        <v>961</v>
      </c>
      <c r="C4">
        <v>10</v>
      </c>
      <c r="D4" s="24">
        <v>10</v>
      </c>
      <c r="E4" s="24">
        <v>10</v>
      </c>
      <c r="F4" s="24">
        <v>10</v>
      </c>
      <c r="G4">
        <v>0</v>
      </c>
      <c r="J4" s="24" t="s">
        <v>985</v>
      </c>
      <c r="K4">
        <v>20</v>
      </c>
      <c r="L4" s="24" t="s">
        <v>984</v>
      </c>
      <c r="M4">
        <v>0.6</v>
      </c>
    </row>
    <row r="5" spans="1:24" x14ac:dyDescent="0.15">
      <c r="B5" s="24" t="s">
        <v>962</v>
      </c>
      <c r="C5">
        <v>0</v>
      </c>
      <c r="D5">
        <v>40</v>
      </c>
      <c r="E5">
        <v>30</v>
      </c>
      <c r="F5">
        <v>30</v>
      </c>
      <c r="G5">
        <v>0</v>
      </c>
      <c r="H5" s="24" t="str">
        <f>IF(SUM(C5:F5)&gt;100,"FALSE","TRUE")</f>
        <v>TRUE</v>
      </c>
      <c r="J5" s="24" t="s">
        <v>986</v>
      </c>
      <c r="K5">
        <f>K3*(1+K4*0.005)</f>
        <v>32.340000000000003</v>
      </c>
      <c r="L5" s="24" t="s">
        <v>982</v>
      </c>
      <c r="M5">
        <f>(M2-M3)*M4</f>
        <v>1980</v>
      </c>
    </row>
    <row r="6" spans="1:24" x14ac:dyDescent="0.15">
      <c r="B6" s="24" t="s">
        <v>963</v>
      </c>
      <c r="C6">
        <v>0</v>
      </c>
      <c r="D6" s="24">
        <v>0</v>
      </c>
      <c r="E6" s="24">
        <v>0</v>
      </c>
      <c r="F6" s="24">
        <v>0</v>
      </c>
      <c r="G6">
        <v>0</v>
      </c>
    </row>
    <row r="7" spans="1:24" x14ac:dyDescent="0.15">
      <c r="B7" s="24" t="s">
        <v>964</v>
      </c>
      <c r="C7">
        <f>(100+VLOOKUP(C3,资源产出!$A$2:$D$11,3,FALSE)*C2)*(1+C4*0.1+C5*0.05+C6*0.25)</f>
        <v>33200</v>
      </c>
      <c r="D7" s="24">
        <f>(100+VLOOKUP(D3,资源产出!$A$2:$D$11,3,FALSE)*D2)*(1+D4*0.1+D5*0.05+D6*0.25)</f>
        <v>308400</v>
      </c>
      <c r="E7" s="24">
        <f>(100+VLOOKUP(E3,资源产出!$A$2:$D$11,3,FALSE)*E2)*(1+E4*0.1+E5*0.05+E6*0.25)</f>
        <v>135100</v>
      </c>
      <c r="F7" s="24">
        <f>(100+VLOOKUP(F3,资源产出!$A$2:$D$11,3,FALSE)*F2)*(1+F4*0.1+F5*0.05+F6*0.25)</f>
        <v>269850</v>
      </c>
      <c r="G7">
        <f>VLOOKUP(G3,资源产出!A18:D27,3,FALSE)*8</f>
        <v>1440</v>
      </c>
    </row>
    <row r="8" spans="1:24" x14ac:dyDescent="0.15">
      <c r="B8" s="24" t="s">
        <v>965</v>
      </c>
      <c r="C8">
        <f>VLOOKUP(C3,资源产出!$A$2:$D$11,4,FALSE)*C2</f>
        <v>1650000</v>
      </c>
      <c r="D8" s="24">
        <f>VLOOKUP(D3,资源产出!$A$2:$D$11,4,FALSE)*D2</f>
        <v>7700000</v>
      </c>
      <c r="E8" s="24">
        <f>VLOOKUP(E3,资源产出!$A$2:$D$11,4,FALSE)*E2</f>
        <v>3850000</v>
      </c>
      <c r="F8" s="24">
        <f>VLOOKUP(F3,资源产出!$A$2:$D$11,4,FALSE)*F2</f>
        <v>7700000</v>
      </c>
      <c r="G8">
        <f>VLOOKUP(G3,资源产出!A18:D27,4,FALSE)*8</f>
        <v>69120</v>
      </c>
    </row>
    <row r="9" spans="1:24" x14ac:dyDescent="0.15">
      <c r="B9" s="24" t="s">
        <v>966</v>
      </c>
      <c r="C9">
        <f>MIN(C7*24,C8)</f>
        <v>796800</v>
      </c>
      <c r="D9" s="24">
        <f t="shared" ref="D9:G9" si="0">MIN(D7*24,D8)</f>
        <v>7401600</v>
      </c>
      <c r="E9" s="24">
        <f t="shared" si="0"/>
        <v>3242400</v>
      </c>
      <c r="F9" s="24">
        <f t="shared" si="0"/>
        <v>6476400</v>
      </c>
      <c r="G9" s="24">
        <f t="shared" si="0"/>
        <v>34560</v>
      </c>
    </row>
    <row r="11" spans="1:24" x14ac:dyDescent="0.15">
      <c r="I11" s="61" t="s">
        <v>973</v>
      </c>
      <c r="J11" s="61"/>
      <c r="K11" s="61"/>
      <c r="L11" s="61"/>
      <c r="M11" s="61"/>
      <c r="N11" s="62" t="s">
        <v>974</v>
      </c>
      <c r="O11" s="62"/>
      <c r="P11" s="62"/>
      <c r="Q11" s="62"/>
      <c r="R11" s="62"/>
      <c r="S11" s="5" t="s">
        <v>975</v>
      </c>
    </row>
    <row r="12" spans="1:24" x14ac:dyDescent="0.15">
      <c r="A12" s="24" t="s">
        <v>967</v>
      </c>
      <c r="B12" s="24" t="s">
        <v>968</v>
      </c>
      <c r="C12" s="24" t="s">
        <v>229</v>
      </c>
      <c r="D12" s="24" t="s">
        <v>227</v>
      </c>
      <c r="E12" s="24" t="s">
        <v>228</v>
      </c>
      <c r="F12" s="24" t="s">
        <v>226</v>
      </c>
      <c r="G12" s="24" t="s">
        <v>958</v>
      </c>
      <c r="H12" s="24" t="s">
        <v>972</v>
      </c>
      <c r="I12" s="24" t="s">
        <v>229</v>
      </c>
      <c r="J12" s="24" t="s">
        <v>227</v>
      </c>
      <c r="K12" s="24" t="s">
        <v>228</v>
      </c>
      <c r="L12" s="24" t="s">
        <v>226</v>
      </c>
      <c r="M12" s="24" t="s">
        <v>958</v>
      </c>
      <c r="N12" s="5" t="s">
        <v>229</v>
      </c>
      <c r="O12" s="5" t="s">
        <v>227</v>
      </c>
      <c r="P12" s="5" t="s">
        <v>228</v>
      </c>
      <c r="Q12" s="5" t="s">
        <v>226</v>
      </c>
      <c r="R12" s="5" t="s">
        <v>958</v>
      </c>
      <c r="S12" s="5"/>
      <c r="T12" s="24" t="s">
        <v>976</v>
      </c>
      <c r="U12" s="5" t="s">
        <v>977</v>
      </c>
      <c r="V12" s="29" t="s">
        <v>978</v>
      </c>
      <c r="W12" s="5" t="s">
        <v>979</v>
      </c>
    </row>
    <row r="13" spans="1:24" x14ac:dyDescent="0.15">
      <c r="A13" t="str">
        <f>兵种!A2</f>
        <v>Conscript</v>
      </c>
      <c r="B13">
        <f>兵种!K2</f>
        <v>26</v>
      </c>
      <c r="C13">
        <f>兵种!Q2</f>
        <v>80</v>
      </c>
      <c r="D13" s="24">
        <f>兵种!R2</f>
        <v>100</v>
      </c>
      <c r="E13" s="24">
        <f>兵种!S2</f>
        <v>0</v>
      </c>
      <c r="F13" s="24">
        <f>兵种!T2</f>
        <v>50</v>
      </c>
      <c r="G13" s="24">
        <f>兵种!V2</f>
        <v>0</v>
      </c>
      <c r="H13">
        <f>24*3600*$K$3/B13</f>
        <v>97698.461538461532</v>
      </c>
      <c r="I13">
        <f>C13*$H13</f>
        <v>7815876.9230769221</v>
      </c>
      <c r="J13" s="24">
        <f t="shared" ref="J13:L13" si="1">D13*$H13</f>
        <v>9769846.153846154</v>
      </c>
      <c r="K13" s="24">
        <f t="shared" si="1"/>
        <v>0</v>
      </c>
      <c r="L13" s="24">
        <f t="shared" si="1"/>
        <v>4884923.076923077</v>
      </c>
      <c r="M13" s="24">
        <f>G13*$H13</f>
        <v>0</v>
      </c>
      <c r="N13" s="5">
        <f>I13/C$9</f>
        <v>9.8090824837812782</v>
      </c>
      <c r="O13" s="5">
        <f t="shared" ref="O13:R13" si="2">J13/D$9</f>
        <v>1.319964082609997</v>
      </c>
      <c r="P13" s="5">
        <f t="shared" si="2"/>
        <v>0</v>
      </c>
      <c r="Q13" s="5">
        <f t="shared" si="2"/>
        <v>0.75426519006285542</v>
      </c>
      <c r="R13" s="5">
        <f t="shared" si="2"/>
        <v>0</v>
      </c>
      <c r="S13" s="5">
        <f>SUM(O13:R13)</f>
        <v>2.0742292726728522</v>
      </c>
      <c r="T13" s="5">
        <f>兵种!J2</f>
        <v>1</v>
      </c>
      <c r="U13">
        <f>T13*H13</f>
        <v>97698.461538461532</v>
      </c>
      <c r="V13">
        <f>兵种!O2</f>
        <v>1</v>
      </c>
      <c r="W13">
        <f>V13*H13</f>
        <v>97698.461538461532</v>
      </c>
    </row>
    <row r="14" spans="1:24" x14ac:dyDescent="0.15">
      <c r="A14" s="24" t="str">
        <f>兵种!A3</f>
        <v>Porter</v>
      </c>
      <c r="B14" s="24">
        <f>兵种!K3</f>
        <v>48</v>
      </c>
      <c r="C14" s="24">
        <f>兵种!Q3</f>
        <v>50</v>
      </c>
      <c r="D14" s="24">
        <f>兵种!R3</f>
        <v>150</v>
      </c>
      <c r="E14" s="24">
        <f>兵种!S3</f>
        <v>0</v>
      </c>
      <c r="F14" s="24">
        <f>兵种!T3</f>
        <v>10</v>
      </c>
      <c r="G14" s="24">
        <f>兵种!V3</f>
        <v>0</v>
      </c>
      <c r="H14" s="24">
        <f t="shared" ref="H14:H35" si="3">24*3600*$K$3/B14</f>
        <v>52920</v>
      </c>
      <c r="I14" s="24">
        <f t="shared" ref="I14:I35" si="4">C14*$H14</f>
        <v>2646000</v>
      </c>
      <c r="J14" s="24">
        <f t="shared" ref="J14:J35" si="5">D14*$H14</f>
        <v>7938000</v>
      </c>
      <c r="K14" s="24">
        <f t="shared" ref="K14:K35" si="6">E14*$H14</f>
        <v>0</v>
      </c>
      <c r="L14" s="24">
        <f t="shared" ref="L14:L35" si="7">F14*$H14</f>
        <v>529200</v>
      </c>
      <c r="M14" s="24">
        <f t="shared" ref="M14:M35" si="8">G14*$H14</f>
        <v>0</v>
      </c>
      <c r="N14" s="5">
        <f t="shared" ref="N14:N35" si="9">I14/C$9</f>
        <v>3.3207831325301207</v>
      </c>
      <c r="O14" s="5">
        <f t="shared" ref="O14:O35" si="10">J14/D$9</f>
        <v>1.0724708171206225</v>
      </c>
      <c r="P14" s="5">
        <f t="shared" ref="P14:P35" si="11">K14/E$9</f>
        <v>0</v>
      </c>
      <c r="Q14" s="5">
        <f t="shared" ref="Q14:Q35" si="12">L14/F$9</f>
        <v>8.171206225680934E-2</v>
      </c>
      <c r="R14" s="5">
        <f t="shared" ref="R14:R35" si="13">M14/G$9</f>
        <v>0</v>
      </c>
      <c r="S14" s="5">
        <f t="shared" ref="S14:S35" si="14">SUM(O14:R14)</f>
        <v>1.1541828793774318</v>
      </c>
      <c r="T14" s="5">
        <f>兵种!J3</f>
        <v>1</v>
      </c>
      <c r="U14" s="24">
        <f t="shared" ref="U14:U35" si="15">T14*H14</f>
        <v>52920</v>
      </c>
      <c r="V14" s="24">
        <f>兵种!O3</f>
        <v>1</v>
      </c>
      <c r="W14" s="24">
        <f t="shared" ref="W14:W24" si="16">V14*H14</f>
        <v>52920</v>
      </c>
    </row>
    <row r="15" spans="1:24" x14ac:dyDescent="0.15">
      <c r="A15" s="24" t="str">
        <f>兵种!A4</f>
        <v>Spy</v>
      </c>
      <c r="B15" s="24">
        <f>兵种!K4</f>
        <v>103</v>
      </c>
      <c r="C15" s="24">
        <f>兵种!Q4</f>
        <v>120</v>
      </c>
      <c r="D15" s="24">
        <f>兵种!R4</f>
        <v>200</v>
      </c>
      <c r="E15" s="24">
        <f>兵种!S4</f>
        <v>0</v>
      </c>
      <c r="F15" s="24">
        <f>兵种!T4</f>
        <v>150</v>
      </c>
      <c r="G15" s="24">
        <f>兵种!V4</f>
        <v>0</v>
      </c>
      <c r="H15" s="24">
        <f t="shared" si="3"/>
        <v>24661.747572815533</v>
      </c>
      <c r="I15" s="24">
        <f t="shared" si="4"/>
        <v>2959409.7087378642</v>
      </c>
      <c r="J15" s="24">
        <f t="shared" si="5"/>
        <v>4932349.5145631069</v>
      </c>
      <c r="K15" s="24">
        <f t="shared" si="6"/>
        <v>0</v>
      </c>
      <c r="L15" s="24">
        <f t="shared" si="7"/>
        <v>3699262.13592233</v>
      </c>
      <c r="M15" s="24">
        <f t="shared" si="8"/>
        <v>0</v>
      </c>
      <c r="N15" s="5">
        <f t="shared" si="9"/>
        <v>3.7141186103637853</v>
      </c>
      <c r="O15" s="5">
        <f t="shared" si="10"/>
        <v>0.66638963393902761</v>
      </c>
      <c r="P15" s="5">
        <f t="shared" si="11"/>
        <v>0</v>
      </c>
      <c r="Q15" s="5">
        <f t="shared" si="12"/>
        <v>0.57119111480488083</v>
      </c>
      <c r="R15" s="5">
        <f t="shared" si="13"/>
        <v>0</v>
      </c>
      <c r="S15" s="5">
        <f t="shared" si="14"/>
        <v>1.2375807487439086</v>
      </c>
      <c r="T15" s="5">
        <f>兵种!J4</f>
        <v>2</v>
      </c>
      <c r="U15" s="24">
        <f t="shared" si="15"/>
        <v>49323.495145631066</v>
      </c>
      <c r="V15" s="24">
        <f>兵种!O4</f>
        <v>1</v>
      </c>
      <c r="W15" s="24">
        <f t="shared" si="16"/>
        <v>24661.747572815533</v>
      </c>
    </row>
    <row r="16" spans="1:24" x14ac:dyDescent="0.15">
      <c r="A16" s="24" t="str">
        <f>兵种!A5</f>
        <v>Halberdsman</v>
      </c>
      <c r="B16" s="24">
        <f>兵种!K5</f>
        <v>141</v>
      </c>
      <c r="C16" s="24">
        <f>兵种!Q5</f>
        <v>150</v>
      </c>
      <c r="D16" s="24">
        <f>兵种!R5</f>
        <v>500</v>
      </c>
      <c r="E16" s="24">
        <f>兵种!S5</f>
        <v>0</v>
      </c>
      <c r="F16" s="24">
        <f>兵种!T5</f>
        <v>100</v>
      </c>
      <c r="G16" s="24">
        <f>兵种!V5</f>
        <v>0</v>
      </c>
      <c r="H16" s="24">
        <f t="shared" si="3"/>
        <v>18015.319148936171</v>
      </c>
      <c r="I16" s="24">
        <f t="shared" si="4"/>
        <v>2702297.8723404254</v>
      </c>
      <c r="J16" s="24">
        <f t="shared" si="5"/>
        <v>9007659.5744680855</v>
      </c>
      <c r="K16" s="24">
        <f t="shared" si="6"/>
        <v>0</v>
      </c>
      <c r="L16" s="24">
        <f t="shared" si="7"/>
        <v>1801531.9148936172</v>
      </c>
      <c r="M16" s="24">
        <f t="shared" si="8"/>
        <v>0</v>
      </c>
      <c r="N16" s="5">
        <f t="shared" si="9"/>
        <v>3.3914380927967187</v>
      </c>
      <c r="O16" s="5">
        <f t="shared" si="10"/>
        <v>1.2169881612716285</v>
      </c>
      <c r="P16" s="5">
        <f t="shared" si="11"/>
        <v>0</v>
      </c>
      <c r="Q16" s="5">
        <f t="shared" si="12"/>
        <v>0.27816872257637226</v>
      </c>
      <c r="R16" s="5">
        <f t="shared" si="13"/>
        <v>0</v>
      </c>
      <c r="S16" s="5">
        <f t="shared" si="14"/>
        <v>1.4951568838480007</v>
      </c>
      <c r="T16" s="5">
        <f>兵种!J5</f>
        <v>2</v>
      </c>
      <c r="U16" s="24">
        <f t="shared" si="15"/>
        <v>36030.638297872341</v>
      </c>
      <c r="V16" s="24">
        <f>兵种!O5</f>
        <v>1</v>
      </c>
      <c r="W16" s="24">
        <f t="shared" si="16"/>
        <v>18015.319148936171</v>
      </c>
      <c r="X16">
        <f>U16/(24*3600)</f>
        <v>0.41702127659574467</v>
      </c>
    </row>
    <row r="17" spans="1:24" x14ac:dyDescent="0.15">
      <c r="A17" s="24" t="str">
        <f>兵种!A6</f>
        <v>Minotaur</v>
      </c>
      <c r="B17" s="24">
        <f>兵种!K6</f>
        <v>219</v>
      </c>
      <c r="C17" s="24">
        <f>兵种!Q6</f>
        <v>200</v>
      </c>
      <c r="D17" s="24">
        <f>兵种!R6</f>
        <v>150</v>
      </c>
      <c r="E17" s="24">
        <f>兵种!S6</f>
        <v>0</v>
      </c>
      <c r="F17" s="24">
        <f>兵种!T6</f>
        <v>400</v>
      </c>
      <c r="G17" s="24">
        <f>兵种!V6</f>
        <v>0</v>
      </c>
      <c r="H17" s="24">
        <f t="shared" si="3"/>
        <v>11598.904109589041</v>
      </c>
      <c r="I17" s="24">
        <f t="shared" si="4"/>
        <v>2319780.8219178081</v>
      </c>
      <c r="J17" s="24">
        <f t="shared" si="5"/>
        <v>1739835.616438356</v>
      </c>
      <c r="K17" s="24">
        <f t="shared" si="6"/>
        <v>0</v>
      </c>
      <c r="L17" s="24">
        <f t="shared" si="7"/>
        <v>4639561.6438356163</v>
      </c>
      <c r="M17" s="24">
        <f t="shared" si="8"/>
        <v>0</v>
      </c>
      <c r="N17" s="5">
        <f t="shared" si="9"/>
        <v>2.9113715134510643</v>
      </c>
      <c r="O17" s="5">
        <f t="shared" si="10"/>
        <v>0.23506209690315014</v>
      </c>
      <c r="P17" s="5">
        <f t="shared" si="11"/>
        <v>0</v>
      </c>
      <c r="Q17" s="5">
        <f t="shared" si="12"/>
        <v>0.71637972389531468</v>
      </c>
      <c r="R17" s="5">
        <f t="shared" si="13"/>
        <v>0</v>
      </c>
      <c r="S17" s="5">
        <f t="shared" si="14"/>
        <v>0.95144182079846484</v>
      </c>
      <c r="T17" s="5">
        <f>兵种!J6</f>
        <v>3</v>
      </c>
      <c r="U17" s="24">
        <f t="shared" si="15"/>
        <v>34796.71232876712</v>
      </c>
      <c r="V17" s="24">
        <f>兵种!O6</f>
        <v>1</v>
      </c>
      <c r="W17" s="24">
        <f t="shared" si="16"/>
        <v>11598.904109589041</v>
      </c>
      <c r="X17" s="24">
        <f t="shared" ref="X17:X24" si="17">U17/(24*3600)</f>
        <v>0.40273972602739722</v>
      </c>
    </row>
    <row r="18" spans="1:24" x14ac:dyDescent="0.15">
      <c r="A18" s="24" t="str">
        <f>兵种!A7</f>
        <v>Longbowman</v>
      </c>
      <c r="B18" s="24">
        <f>兵种!K7</f>
        <v>343</v>
      </c>
      <c r="C18" s="24">
        <f>兵种!Q7</f>
        <v>300</v>
      </c>
      <c r="D18" s="24">
        <f>兵种!R7</f>
        <v>350</v>
      </c>
      <c r="E18" s="24">
        <f>兵种!S7</f>
        <v>0</v>
      </c>
      <c r="F18" s="24">
        <f>兵种!T7</f>
        <v>300</v>
      </c>
      <c r="G18" s="24">
        <f>兵种!V7</f>
        <v>0</v>
      </c>
      <c r="H18" s="24">
        <f t="shared" si="3"/>
        <v>7405.7142857142853</v>
      </c>
      <c r="I18" s="24">
        <f t="shared" si="4"/>
        <v>2221714.2857142854</v>
      </c>
      <c r="J18" s="24">
        <f t="shared" si="5"/>
        <v>2592000</v>
      </c>
      <c r="K18" s="24">
        <f t="shared" si="6"/>
        <v>0</v>
      </c>
      <c r="L18" s="24">
        <f t="shared" si="7"/>
        <v>2221714.2857142854</v>
      </c>
      <c r="M18" s="24">
        <f t="shared" si="8"/>
        <v>0</v>
      </c>
      <c r="N18" s="5">
        <f t="shared" si="9"/>
        <v>2.7882960413080893</v>
      </c>
      <c r="O18" s="5">
        <f t="shared" si="10"/>
        <v>0.35019455252918286</v>
      </c>
      <c r="P18" s="5">
        <f t="shared" si="11"/>
        <v>0</v>
      </c>
      <c r="Q18" s="5">
        <f t="shared" si="12"/>
        <v>0.34304772492654645</v>
      </c>
      <c r="R18" s="5">
        <f t="shared" si="13"/>
        <v>0</v>
      </c>
      <c r="S18" s="5">
        <f t="shared" si="14"/>
        <v>0.69324227745572931</v>
      </c>
      <c r="T18" s="5">
        <f>兵种!J7</f>
        <v>4</v>
      </c>
      <c r="U18" s="24">
        <f t="shared" si="15"/>
        <v>29622.857142857141</v>
      </c>
      <c r="V18" s="24">
        <f>兵种!O7</f>
        <v>2</v>
      </c>
      <c r="W18" s="24">
        <f t="shared" si="16"/>
        <v>14811.428571428571</v>
      </c>
      <c r="X18" s="24">
        <f t="shared" si="17"/>
        <v>0.34285714285714286</v>
      </c>
    </row>
    <row r="19" spans="1:24" x14ac:dyDescent="0.15">
      <c r="A19" s="24" t="str">
        <f>兵种!A8</f>
        <v>SwiftStrikeDragon</v>
      </c>
      <c r="B19" s="24">
        <f>兵种!K8</f>
        <v>498</v>
      </c>
      <c r="C19" s="24">
        <f>兵种!Q8</f>
        <v>1000</v>
      </c>
      <c r="D19" s="24">
        <f>兵种!R8</f>
        <v>600</v>
      </c>
      <c r="E19" s="24">
        <f>兵种!S8</f>
        <v>0</v>
      </c>
      <c r="F19" s="24">
        <f>兵种!T8</f>
        <v>500</v>
      </c>
      <c r="G19" s="24">
        <f>兵种!V8</f>
        <v>0</v>
      </c>
      <c r="H19" s="24">
        <f>24*3600*$K$5/B19</f>
        <v>5610.7951807228928</v>
      </c>
      <c r="I19" s="24">
        <f t="shared" si="4"/>
        <v>5610795.1807228932</v>
      </c>
      <c r="J19" s="24">
        <f t="shared" si="5"/>
        <v>3366477.1084337356</v>
      </c>
      <c r="K19" s="24">
        <f t="shared" si="6"/>
        <v>0</v>
      </c>
      <c r="L19" s="24">
        <f t="shared" si="7"/>
        <v>2805397.5903614466</v>
      </c>
      <c r="M19" s="24">
        <f t="shared" si="8"/>
        <v>0</v>
      </c>
      <c r="N19" s="5">
        <f t="shared" si="9"/>
        <v>7.0416606183771249</v>
      </c>
      <c r="O19" s="5">
        <f t="shared" si="10"/>
        <v>0.45483099714031233</v>
      </c>
      <c r="P19" s="5">
        <f t="shared" si="11"/>
        <v>0</v>
      </c>
      <c r="Q19" s="5">
        <f t="shared" si="12"/>
        <v>0.43317237822886889</v>
      </c>
      <c r="R19" s="5">
        <f t="shared" si="13"/>
        <v>0</v>
      </c>
      <c r="S19" s="5">
        <f t="shared" si="14"/>
        <v>0.88800337536918117</v>
      </c>
      <c r="T19" s="5">
        <f>兵种!J8</f>
        <v>5</v>
      </c>
      <c r="U19" s="24">
        <f t="shared" si="15"/>
        <v>28053.975903614464</v>
      </c>
      <c r="V19" s="24">
        <f>兵种!O8</f>
        <v>3</v>
      </c>
      <c r="W19" s="24">
        <f t="shared" si="16"/>
        <v>16832.385542168679</v>
      </c>
      <c r="X19" s="24">
        <f t="shared" si="17"/>
        <v>0.32469879518072298</v>
      </c>
    </row>
    <row r="20" spans="1:24" x14ac:dyDescent="0.15">
      <c r="A20" s="24" t="str">
        <f>兵种!A9</f>
        <v>BattleDragon</v>
      </c>
      <c r="B20" s="24">
        <f>兵种!K9</f>
        <v>1492</v>
      </c>
      <c r="C20" s="24">
        <f>兵种!Q9</f>
        <v>2000</v>
      </c>
      <c r="D20" s="24">
        <f>兵种!R9</f>
        <v>500</v>
      </c>
      <c r="E20" s="24">
        <f>兵种!S9</f>
        <v>0</v>
      </c>
      <c r="F20" s="24">
        <f>兵种!T9</f>
        <v>2500</v>
      </c>
      <c r="G20" s="24">
        <f>兵种!V9</f>
        <v>0</v>
      </c>
      <c r="H20" s="24">
        <f>24*3600*$K$5/B20</f>
        <v>1872.7721179624668</v>
      </c>
      <c r="I20" s="24">
        <f t="shared" si="4"/>
        <v>3745544.2359249336</v>
      </c>
      <c r="J20" s="24">
        <f t="shared" si="5"/>
        <v>936386.05898123339</v>
      </c>
      <c r="K20" s="24">
        <f t="shared" si="6"/>
        <v>0</v>
      </c>
      <c r="L20" s="24">
        <f t="shared" si="7"/>
        <v>4681930.2949061673</v>
      </c>
      <c r="M20" s="24">
        <f t="shared" si="8"/>
        <v>0</v>
      </c>
      <c r="N20" s="5">
        <f t="shared" si="9"/>
        <v>4.7007332278174365</v>
      </c>
      <c r="O20" s="5">
        <f t="shared" si="10"/>
        <v>0.12651130282388043</v>
      </c>
      <c r="P20" s="5">
        <f t="shared" si="11"/>
        <v>0</v>
      </c>
      <c r="Q20" s="5">
        <f t="shared" si="12"/>
        <v>0.72292173042217389</v>
      </c>
      <c r="R20" s="5">
        <f t="shared" si="13"/>
        <v>0</v>
      </c>
      <c r="S20" s="5">
        <f t="shared" si="14"/>
        <v>0.84943303324605435</v>
      </c>
      <c r="T20" s="5">
        <f>兵种!J9</f>
        <v>7</v>
      </c>
      <c r="U20" s="24">
        <f t="shared" si="15"/>
        <v>13109.404825737267</v>
      </c>
      <c r="V20" s="24">
        <f>兵种!O9</f>
        <v>6</v>
      </c>
      <c r="W20" s="24">
        <f t="shared" si="16"/>
        <v>11236.632707774801</v>
      </c>
      <c r="X20" s="24">
        <f t="shared" si="17"/>
        <v>0.15172922252010726</v>
      </c>
    </row>
    <row r="21" spans="1:24" x14ac:dyDescent="0.15">
      <c r="A21" s="24" t="str">
        <f>兵种!A10</f>
        <v>ArmoredTransport</v>
      </c>
      <c r="B21" s="24">
        <f>兵种!K10</f>
        <v>975</v>
      </c>
      <c r="C21" s="24">
        <f>兵种!Q10</f>
        <v>600</v>
      </c>
      <c r="D21" s="24">
        <f>兵种!R10</f>
        <v>1500</v>
      </c>
      <c r="E21" s="24">
        <f>兵种!S10</f>
        <v>0</v>
      </c>
      <c r="F21" s="24">
        <f>兵种!T10</f>
        <v>350</v>
      </c>
      <c r="G21" s="24">
        <f>兵种!V10</f>
        <v>0</v>
      </c>
      <c r="H21" s="24">
        <f t="shared" si="3"/>
        <v>2605.2923076923075</v>
      </c>
      <c r="I21" s="24">
        <f t="shared" si="4"/>
        <v>1563175.3846153845</v>
      </c>
      <c r="J21" s="24">
        <f t="shared" si="5"/>
        <v>3907938.4615384615</v>
      </c>
      <c r="K21" s="24">
        <f t="shared" si="6"/>
        <v>0</v>
      </c>
      <c r="L21" s="24">
        <f t="shared" si="7"/>
        <v>911852.30769230763</v>
      </c>
      <c r="M21" s="24">
        <f t="shared" si="8"/>
        <v>0</v>
      </c>
      <c r="N21" s="5">
        <f t="shared" si="9"/>
        <v>1.9618164967562557</v>
      </c>
      <c r="O21" s="5">
        <f t="shared" si="10"/>
        <v>0.52798563304399881</v>
      </c>
      <c r="P21" s="5">
        <f t="shared" si="11"/>
        <v>0</v>
      </c>
      <c r="Q21" s="5">
        <f t="shared" si="12"/>
        <v>0.14079616881173301</v>
      </c>
      <c r="R21" s="5">
        <f t="shared" si="13"/>
        <v>0</v>
      </c>
      <c r="S21" s="5">
        <f t="shared" si="14"/>
        <v>0.66878180185573188</v>
      </c>
      <c r="T21" s="5">
        <f>兵种!J10</f>
        <v>6</v>
      </c>
      <c r="U21" s="24">
        <f t="shared" si="15"/>
        <v>15631.753846153846</v>
      </c>
      <c r="V21" s="24">
        <f>兵种!O10</f>
        <v>4</v>
      </c>
      <c r="W21" s="24">
        <f t="shared" si="16"/>
        <v>10421.16923076923</v>
      </c>
      <c r="X21" s="24">
        <f t="shared" si="17"/>
        <v>0.18092307692307691</v>
      </c>
    </row>
    <row r="22" spans="1:24" x14ac:dyDescent="0.15">
      <c r="A22" s="24" t="str">
        <f>兵种!A11</f>
        <v>Giant</v>
      </c>
      <c r="B22" s="24">
        <f>兵种!K11</f>
        <v>4334</v>
      </c>
      <c r="C22" s="24">
        <f>兵种!Q11</f>
        <v>4000</v>
      </c>
      <c r="D22" s="24">
        <f>兵种!R11</f>
        <v>6000</v>
      </c>
      <c r="E22" s="24">
        <f>兵种!S11</f>
        <v>0</v>
      </c>
      <c r="F22" s="24">
        <f>兵种!T11</f>
        <v>1500</v>
      </c>
      <c r="G22" s="24">
        <f>兵种!V11</f>
        <v>0</v>
      </c>
      <c r="H22" s="24">
        <f t="shared" si="3"/>
        <v>586.10059990770651</v>
      </c>
      <c r="I22" s="24">
        <f t="shared" si="4"/>
        <v>2344402.399630826</v>
      </c>
      <c r="J22" s="24">
        <f t="shared" si="5"/>
        <v>3516603.5994462389</v>
      </c>
      <c r="K22" s="24">
        <f t="shared" si="6"/>
        <v>0</v>
      </c>
      <c r="L22" s="24">
        <f t="shared" si="7"/>
        <v>879150.89986155974</v>
      </c>
      <c r="M22" s="24">
        <f t="shared" si="8"/>
        <v>0</v>
      </c>
      <c r="N22" s="5">
        <f t="shared" si="9"/>
        <v>2.942272087890093</v>
      </c>
      <c r="O22" s="5">
        <f t="shared" si="10"/>
        <v>0.47511397528186322</v>
      </c>
      <c r="P22" s="5">
        <f t="shared" si="11"/>
        <v>0</v>
      </c>
      <c r="Q22" s="5">
        <f t="shared" si="12"/>
        <v>0.13574685008053236</v>
      </c>
      <c r="R22" s="5">
        <f t="shared" si="13"/>
        <v>0</v>
      </c>
      <c r="S22" s="5">
        <f t="shared" si="14"/>
        <v>0.61086082536239561</v>
      </c>
      <c r="T22" s="5">
        <f>兵种!J11</f>
        <v>9</v>
      </c>
      <c r="U22" s="24">
        <f t="shared" si="15"/>
        <v>5274.9053991693581</v>
      </c>
      <c r="V22" s="24">
        <f>兵种!O11</f>
        <v>8</v>
      </c>
      <c r="W22" s="24">
        <f t="shared" si="16"/>
        <v>4688.8047992616521</v>
      </c>
      <c r="X22" s="24">
        <f t="shared" si="17"/>
        <v>6.1052145823719421E-2</v>
      </c>
    </row>
    <row r="23" spans="1:24" x14ac:dyDescent="0.15">
      <c r="A23" s="24" t="str">
        <f>兵种!A12</f>
        <v>FireMirror</v>
      </c>
      <c r="B23" s="24">
        <f>兵种!K12</f>
        <v>5843</v>
      </c>
      <c r="C23" s="24">
        <f>兵种!Q12</f>
        <v>5000</v>
      </c>
      <c r="D23" s="24">
        <f>兵种!R12</f>
        <v>5000</v>
      </c>
      <c r="E23" s="24">
        <f>兵种!S12</f>
        <v>8000</v>
      </c>
      <c r="F23" s="24">
        <f>兵种!T12</f>
        <v>1200</v>
      </c>
      <c r="G23" s="24">
        <f>兵种!V12</f>
        <v>0</v>
      </c>
      <c r="H23" s="24">
        <f t="shared" si="3"/>
        <v>434.73558103713845</v>
      </c>
      <c r="I23" s="24">
        <f t="shared" si="4"/>
        <v>2173677.905185692</v>
      </c>
      <c r="J23" s="24">
        <f t="shared" si="5"/>
        <v>2173677.905185692</v>
      </c>
      <c r="K23" s="24">
        <f t="shared" si="6"/>
        <v>3477884.6482971078</v>
      </c>
      <c r="L23" s="24">
        <f t="shared" si="7"/>
        <v>521682.69724456611</v>
      </c>
      <c r="M23" s="24">
        <f t="shared" si="8"/>
        <v>0</v>
      </c>
      <c r="N23" s="5">
        <f t="shared" si="9"/>
        <v>2.7280094191587501</v>
      </c>
      <c r="O23" s="5">
        <f t="shared" si="10"/>
        <v>0.29367675977973573</v>
      </c>
      <c r="P23" s="5">
        <f t="shared" si="11"/>
        <v>1.0726266494871415</v>
      </c>
      <c r="Q23" s="5">
        <f t="shared" si="12"/>
        <v>8.0551339825298954E-2</v>
      </c>
      <c r="R23" s="5">
        <f t="shared" si="13"/>
        <v>0</v>
      </c>
      <c r="S23" s="5">
        <f>SUM(O23:R23)</f>
        <v>1.4468547490921762</v>
      </c>
      <c r="T23" s="5">
        <f>兵种!J12</f>
        <v>10</v>
      </c>
      <c r="U23" s="24">
        <f t="shared" si="15"/>
        <v>4347.355810371384</v>
      </c>
      <c r="V23" s="24">
        <f>兵种!O12</f>
        <v>10</v>
      </c>
      <c r="W23" s="24">
        <f t="shared" si="16"/>
        <v>4347.355810371384</v>
      </c>
      <c r="X23" s="24">
        <f t="shared" si="17"/>
        <v>5.031661817559472E-2</v>
      </c>
    </row>
    <row r="24" spans="1:24" x14ac:dyDescent="0.15">
      <c r="A24" s="24" t="str">
        <f>兵种!A13</f>
        <v>Fangtooth</v>
      </c>
      <c r="B24" s="24">
        <f>兵种!K13</f>
        <v>2000</v>
      </c>
      <c r="C24" s="24">
        <f>兵种!Q13</f>
        <v>4000</v>
      </c>
      <c r="D24" s="24">
        <f>兵种!R13</f>
        <v>5500</v>
      </c>
      <c r="E24" s="24">
        <f>兵种!S13</f>
        <v>7000</v>
      </c>
      <c r="F24" s="24">
        <f>兵种!T13</f>
        <v>2500</v>
      </c>
      <c r="G24" s="24">
        <f>兵种!V13</f>
        <v>100</v>
      </c>
      <c r="H24" s="24">
        <f t="shared" si="3"/>
        <v>1270.08</v>
      </c>
      <c r="I24" s="24">
        <f t="shared" si="4"/>
        <v>5080320</v>
      </c>
      <c r="J24" s="24">
        <f t="shared" si="5"/>
        <v>6985440</v>
      </c>
      <c r="K24" s="24">
        <f t="shared" si="6"/>
        <v>8890560</v>
      </c>
      <c r="L24" s="24">
        <f t="shared" si="7"/>
        <v>3175200</v>
      </c>
      <c r="M24" s="24">
        <f t="shared" si="8"/>
        <v>127008</v>
      </c>
      <c r="N24" s="5">
        <f t="shared" si="9"/>
        <v>6.3759036144578314</v>
      </c>
      <c r="O24" s="5">
        <f t="shared" si="10"/>
        <v>0.94377431906614784</v>
      </c>
      <c r="P24" s="5">
        <f t="shared" si="11"/>
        <v>2.7419689119170982</v>
      </c>
      <c r="Q24" s="5">
        <f t="shared" si="12"/>
        <v>0.49027237354085601</v>
      </c>
      <c r="R24" s="5">
        <f t="shared" si="13"/>
        <v>3.6749999999999998</v>
      </c>
      <c r="S24" s="5">
        <f t="shared" si="14"/>
        <v>7.8510156045241022</v>
      </c>
      <c r="T24" s="5">
        <f>兵种!J13</f>
        <v>10</v>
      </c>
      <c r="U24" s="24">
        <f t="shared" si="15"/>
        <v>12700.8</v>
      </c>
      <c r="V24" s="24">
        <f>兵种!O13</f>
        <v>9</v>
      </c>
      <c r="W24" s="24">
        <f t="shared" si="16"/>
        <v>11430.72</v>
      </c>
      <c r="X24" s="24">
        <f t="shared" si="17"/>
        <v>0.14699999999999999</v>
      </c>
    </row>
    <row r="25" spans="1:24" x14ac:dyDescent="0.15">
      <c r="A25" s="24" t="str">
        <f>兵种!A18</f>
        <v>BlackholeOne</v>
      </c>
      <c r="B25" s="24">
        <f>兵种!K18</f>
        <v>0</v>
      </c>
      <c r="C25" s="24"/>
      <c r="D25" s="24"/>
      <c r="E25" s="24"/>
      <c r="F25" s="24"/>
      <c r="G25" s="24">
        <f>兵种!V18</f>
        <v>0</v>
      </c>
      <c r="H25" s="24" t="e">
        <f t="shared" si="3"/>
        <v>#DIV/0!</v>
      </c>
      <c r="I25" s="24" t="e">
        <f t="shared" si="4"/>
        <v>#DIV/0!</v>
      </c>
      <c r="J25" s="24" t="e">
        <f t="shared" si="5"/>
        <v>#DIV/0!</v>
      </c>
      <c r="K25" s="24" t="e">
        <f t="shared" si="6"/>
        <v>#DIV/0!</v>
      </c>
      <c r="L25" s="24" t="e">
        <f t="shared" si="7"/>
        <v>#DIV/0!</v>
      </c>
      <c r="M25" s="24" t="e">
        <f t="shared" si="8"/>
        <v>#DIV/0!</v>
      </c>
      <c r="N25" s="5" t="e">
        <f t="shared" si="9"/>
        <v>#DIV/0!</v>
      </c>
      <c r="O25" s="5" t="e">
        <f t="shared" si="10"/>
        <v>#DIV/0!</v>
      </c>
      <c r="P25" s="5" t="e">
        <f t="shared" si="11"/>
        <v>#DIV/0!</v>
      </c>
      <c r="Q25" s="5" t="e">
        <f t="shared" si="12"/>
        <v>#DIV/0!</v>
      </c>
      <c r="R25" s="5" t="e">
        <f t="shared" si="13"/>
        <v>#DIV/0!</v>
      </c>
      <c r="S25" s="5" t="e">
        <f t="shared" si="14"/>
        <v>#DIV/0!</v>
      </c>
      <c r="T25" s="5">
        <f>兵种!J18</f>
        <v>0</v>
      </c>
      <c r="U25" s="24" t="e">
        <f t="shared" si="15"/>
        <v>#DIV/0!</v>
      </c>
      <c r="V25" s="24"/>
    </row>
    <row r="26" spans="1:24" x14ac:dyDescent="0.15">
      <c r="A26" s="24" t="str">
        <f>兵种!A19</f>
        <v>Shredder</v>
      </c>
      <c r="B26" s="24">
        <f>兵种!K19</f>
        <v>498</v>
      </c>
      <c r="C26" s="24"/>
      <c r="D26" s="24"/>
      <c r="E26" s="24"/>
      <c r="F26" s="24"/>
      <c r="G26" s="24">
        <f>兵种!V19</f>
        <v>0</v>
      </c>
      <c r="H26" s="24">
        <f t="shared" si="3"/>
        <v>5100.7228915662654</v>
      </c>
      <c r="I26" s="24">
        <f t="shared" si="4"/>
        <v>0</v>
      </c>
      <c r="J26" s="24">
        <f t="shared" si="5"/>
        <v>0</v>
      </c>
      <c r="K26" s="24">
        <f t="shared" si="6"/>
        <v>0</v>
      </c>
      <c r="L26" s="24">
        <f t="shared" si="7"/>
        <v>0</v>
      </c>
      <c r="M26" s="24">
        <f t="shared" si="8"/>
        <v>0</v>
      </c>
      <c r="N26" s="5">
        <f t="shared" si="9"/>
        <v>0</v>
      </c>
      <c r="O26" s="5">
        <f t="shared" si="10"/>
        <v>0</v>
      </c>
      <c r="P26" s="5">
        <f t="shared" si="11"/>
        <v>0</v>
      </c>
      <c r="Q26" s="5">
        <f t="shared" si="12"/>
        <v>0</v>
      </c>
      <c r="R26" s="5">
        <f t="shared" si="13"/>
        <v>0</v>
      </c>
      <c r="S26" s="5">
        <f t="shared" si="14"/>
        <v>0</v>
      </c>
      <c r="T26" s="5">
        <f>兵种!J19</f>
        <v>5</v>
      </c>
      <c r="U26" s="24">
        <f t="shared" si="15"/>
        <v>25503.614457831325</v>
      </c>
      <c r="V26" s="24"/>
    </row>
    <row r="27" spans="1:24" x14ac:dyDescent="0.15">
      <c r="A27" s="24" t="str">
        <f>兵种!A20</f>
        <v>Rager</v>
      </c>
      <c r="B27" s="24">
        <f>兵种!K20</f>
        <v>5843</v>
      </c>
      <c r="C27" s="24"/>
      <c r="D27" s="24"/>
      <c r="E27" s="24"/>
      <c r="F27" s="24"/>
      <c r="G27" s="24">
        <f>兵种!V20</f>
        <v>0</v>
      </c>
      <c r="H27" s="24">
        <f t="shared" si="3"/>
        <v>434.73558103713845</v>
      </c>
      <c r="I27" s="24">
        <f t="shared" si="4"/>
        <v>0</v>
      </c>
      <c r="J27" s="24">
        <f t="shared" si="5"/>
        <v>0</v>
      </c>
      <c r="K27" s="24">
        <f t="shared" si="6"/>
        <v>0</v>
      </c>
      <c r="L27" s="24">
        <f t="shared" si="7"/>
        <v>0</v>
      </c>
      <c r="M27" s="24">
        <f t="shared" si="8"/>
        <v>0</v>
      </c>
      <c r="N27" s="5">
        <f t="shared" si="9"/>
        <v>0</v>
      </c>
      <c r="O27" s="5">
        <f t="shared" si="10"/>
        <v>0</v>
      </c>
      <c r="P27" s="5">
        <f t="shared" si="11"/>
        <v>0</v>
      </c>
      <c r="Q27" s="5">
        <f t="shared" si="12"/>
        <v>0</v>
      </c>
      <c r="R27" s="5">
        <f t="shared" si="13"/>
        <v>0</v>
      </c>
      <c r="S27" s="5">
        <f t="shared" si="14"/>
        <v>0</v>
      </c>
      <c r="T27" s="5">
        <f>兵种!J20</f>
        <v>10</v>
      </c>
      <c r="U27" s="24">
        <f t="shared" si="15"/>
        <v>4347.355810371384</v>
      </c>
      <c r="V27" s="24"/>
    </row>
    <row r="28" spans="1:24" x14ac:dyDescent="0.15">
      <c r="A28" s="24" t="str">
        <f>兵种!A21</f>
        <v>Cannibal</v>
      </c>
      <c r="B28" s="24">
        <f>兵种!K21</f>
        <v>26</v>
      </c>
      <c r="C28" s="24"/>
      <c r="D28" s="24"/>
      <c r="E28" s="24"/>
      <c r="F28" s="24"/>
      <c r="G28" s="24">
        <f>兵种!V21</f>
        <v>0</v>
      </c>
      <c r="H28" s="24">
        <f t="shared" si="3"/>
        <v>97698.461538461532</v>
      </c>
      <c r="I28" s="24">
        <f t="shared" si="4"/>
        <v>0</v>
      </c>
      <c r="J28" s="24">
        <f t="shared" si="5"/>
        <v>0</v>
      </c>
      <c r="K28" s="24">
        <f t="shared" si="6"/>
        <v>0</v>
      </c>
      <c r="L28" s="24">
        <f t="shared" si="7"/>
        <v>0</v>
      </c>
      <c r="M28" s="24">
        <f t="shared" si="8"/>
        <v>0</v>
      </c>
      <c r="N28" s="5">
        <f t="shared" si="9"/>
        <v>0</v>
      </c>
      <c r="O28" s="5">
        <f t="shared" si="10"/>
        <v>0</v>
      </c>
      <c r="P28" s="5">
        <f t="shared" si="11"/>
        <v>0</v>
      </c>
      <c r="Q28" s="5">
        <f t="shared" si="12"/>
        <v>0</v>
      </c>
      <c r="R28" s="5">
        <f t="shared" si="13"/>
        <v>0</v>
      </c>
      <c r="S28" s="5">
        <f t="shared" si="14"/>
        <v>0</v>
      </c>
      <c r="T28" s="5">
        <f>兵种!J21</f>
        <v>1</v>
      </c>
      <c r="U28" s="24">
        <f t="shared" si="15"/>
        <v>97698.461538461532</v>
      </c>
      <c r="V28" s="24"/>
    </row>
    <row r="29" spans="1:24" x14ac:dyDescent="0.15">
      <c r="A29" s="24" t="str">
        <f>兵种!A22</f>
        <v>Chieftan</v>
      </c>
      <c r="B29" s="24">
        <f>兵种!K22</f>
        <v>1492</v>
      </c>
      <c r="C29" s="24"/>
      <c r="D29" s="24"/>
      <c r="E29" s="24"/>
      <c r="F29" s="24"/>
      <c r="G29" s="24">
        <f>兵种!V22</f>
        <v>0</v>
      </c>
      <c r="H29" s="24">
        <f t="shared" si="3"/>
        <v>1702.520107238606</v>
      </c>
      <c r="I29" s="24">
        <f t="shared" si="4"/>
        <v>0</v>
      </c>
      <c r="J29" s="24">
        <f t="shared" si="5"/>
        <v>0</v>
      </c>
      <c r="K29" s="24">
        <f t="shared" si="6"/>
        <v>0</v>
      </c>
      <c r="L29" s="24">
        <f t="shared" si="7"/>
        <v>0</v>
      </c>
      <c r="M29" s="24">
        <f t="shared" si="8"/>
        <v>0</v>
      </c>
      <c r="N29" s="5">
        <f t="shared" si="9"/>
        <v>0</v>
      </c>
      <c r="O29" s="5">
        <f t="shared" si="10"/>
        <v>0</v>
      </c>
      <c r="P29" s="5">
        <f t="shared" si="11"/>
        <v>0</v>
      </c>
      <c r="Q29" s="5">
        <f t="shared" si="12"/>
        <v>0</v>
      </c>
      <c r="R29" s="5">
        <f t="shared" si="13"/>
        <v>0</v>
      </c>
      <c r="S29" s="5">
        <f t="shared" si="14"/>
        <v>0</v>
      </c>
      <c r="T29" s="5">
        <f>兵种!J22</f>
        <v>7</v>
      </c>
      <c r="U29" s="24">
        <f t="shared" si="15"/>
        <v>11917.640750670242</v>
      </c>
      <c r="V29" s="24"/>
    </row>
    <row r="30" spans="1:24" x14ac:dyDescent="0.15">
      <c r="A30" s="24" t="str">
        <f>兵种!A23</f>
        <v>Brat</v>
      </c>
      <c r="B30" s="24">
        <f>兵种!K23</f>
        <v>48</v>
      </c>
      <c r="C30" s="24"/>
      <c r="D30" s="24"/>
      <c r="E30" s="24"/>
      <c r="F30" s="24"/>
      <c r="G30" s="24">
        <f>兵种!V23</f>
        <v>0</v>
      </c>
      <c r="H30" s="24">
        <f t="shared" si="3"/>
        <v>52920</v>
      </c>
      <c r="I30" s="24">
        <f t="shared" si="4"/>
        <v>0</v>
      </c>
      <c r="J30" s="24">
        <f t="shared" si="5"/>
        <v>0</v>
      </c>
      <c r="K30" s="24">
        <f t="shared" si="6"/>
        <v>0</v>
      </c>
      <c r="L30" s="24">
        <f t="shared" si="7"/>
        <v>0</v>
      </c>
      <c r="M30" s="24">
        <f t="shared" si="8"/>
        <v>0</v>
      </c>
      <c r="N30" s="5">
        <f t="shared" si="9"/>
        <v>0</v>
      </c>
      <c r="O30" s="5">
        <f t="shared" si="10"/>
        <v>0</v>
      </c>
      <c r="P30" s="5">
        <f t="shared" si="11"/>
        <v>0</v>
      </c>
      <c r="Q30" s="5">
        <f t="shared" si="12"/>
        <v>0</v>
      </c>
      <c r="R30" s="5">
        <f t="shared" si="13"/>
        <v>0</v>
      </c>
      <c r="S30" s="5">
        <f t="shared" si="14"/>
        <v>0</v>
      </c>
      <c r="T30" s="5">
        <f>兵种!J23</f>
        <v>1</v>
      </c>
      <c r="U30" s="24">
        <f t="shared" si="15"/>
        <v>52920</v>
      </c>
      <c r="V30" s="24"/>
    </row>
    <row r="31" spans="1:24" x14ac:dyDescent="0.15">
      <c r="A31" s="24" t="str">
        <f>兵种!A24</f>
        <v>SheDevil</v>
      </c>
      <c r="B31" s="24">
        <f>兵种!K24</f>
        <v>141</v>
      </c>
      <c r="C31" s="24"/>
      <c r="D31" s="24"/>
      <c r="E31" s="24"/>
      <c r="F31" s="24"/>
      <c r="G31" s="24">
        <f>兵种!V24</f>
        <v>0</v>
      </c>
      <c r="H31" s="24">
        <f t="shared" si="3"/>
        <v>18015.319148936171</v>
      </c>
      <c r="I31" s="24">
        <f t="shared" si="4"/>
        <v>0</v>
      </c>
      <c r="J31" s="24">
        <f t="shared" si="5"/>
        <v>0</v>
      </c>
      <c r="K31" s="24">
        <f t="shared" si="6"/>
        <v>0</v>
      </c>
      <c r="L31" s="24">
        <f t="shared" si="7"/>
        <v>0</v>
      </c>
      <c r="M31" s="24">
        <f t="shared" si="8"/>
        <v>0</v>
      </c>
      <c r="N31" s="5">
        <f t="shared" si="9"/>
        <v>0</v>
      </c>
      <c r="O31" s="5">
        <f t="shared" si="10"/>
        <v>0</v>
      </c>
      <c r="P31" s="5">
        <f t="shared" si="11"/>
        <v>0</v>
      </c>
      <c r="Q31" s="5">
        <f t="shared" si="12"/>
        <v>0</v>
      </c>
      <c r="R31" s="5">
        <f t="shared" si="13"/>
        <v>0</v>
      </c>
      <c r="S31" s="5">
        <f t="shared" si="14"/>
        <v>0</v>
      </c>
      <c r="T31" s="5">
        <f>兵种!J24</f>
        <v>2</v>
      </c>
      <c r="U31" s="24">
        <f t="shared" si="15"/>
        <v>36030.638297872341</v>
      </c>
      <c r="V31" s="24"/>
    </row>
    <row r="32" spans="1:24" x14ac:dyDescent="0.15">
      <c r="A32" s="24" t="str">
        <f>兵种!A25</f>
        <v>Clubber</v>
      </c>
      <c r="B32" s="24">
        <f>兵种!K25</f>
        <v>219</v>
      </c>
      <c r="C32" s="24"/>
      <c r="D32" s="24"/>
      <c r="E32" s="24"/>
      <c r="F32" s="24"/>
      <c r="G32" s="24">
        <f>兵种!V25</f>
        <v>0</v>
      </c>
      <c r="H32" s="24">
        <f t="shared" si="3"/>
        <v>11598.904109589041</v>
      </c>
      <c r="I32" s="24">
        <f t="shared" si="4"/>
        <v>0</v>
      </c>
      <c r="J32" s="24">
        <f t="shared" si="5"/>
        <v>0</v>
      </c>
      <c r="K32" s="24">
        <f t="shared" si="6"/>
        <v>0</v>
      </c>
      <c r="L32" s="24">
        <f t="shared" si="7"/>
        <v>0</v>
      </c>
      <c r="M32" s="24">
        <f t="shared" si="8"/>
        <v>0</v>
      </c>
      <c r="N32" s="5">
        <f t="shared" si="9"/>
        <v>0</v>
      </c>
      <c r="O32" s="5">
        <f t="shared" si="10"/>
        <v>0</v>
      </c>
      <c r="P32" s="5">
        <f t="shared" si="11"/>
        <v>0</v>
      </c>
      <c r="Q32" s="5">
        <f t="shared" si="12"/>
        <v>0</v>
      </c>
      <c r="R32" s="5">
        <f t="shared" si="13"/>
        <v>0</v>
      </c>
      <c r="S32" s="5">
        <f t="shared" si="14"/>
        <v>0</v>
      </c>
      <c r="T32" s="5">
        <f>兵种!J25</f>
        <v>3</v>
      </c>
      <c r="U32" s="24">
        <f t="shared" si="15"/>
        <v>34796.71232876712</v>
      </c>
      <c r="V32" s="24"/>
    </row>
    <row r="33" spans="1:22" x14ac:dyDescent="0.15">
      <c r="A33" s="24" t="str">
        <f>兵种!A26</f>
        <v>Blood</v>
      </c>
      <c r="B33" s="24">
        <f>兵种!K26</f>
        <v>4334</v>
      </c>
      <c r="C33" s="24"/>
      <c r="D33" s="24"/>
      <c r="E33" s="24"/>
      <c r="F33" s="24"/>
      <c r="G33" s="24">
        <f>兵种!V26</f>
        <v>0</v>
      </c>
      <c r="H33" s="24">
        <f t="shared" si="3"/>
        <v>586.10059990770651</v>
      </c>
      <c r="I33" s="24">
        <f t="shared" si="4"/>
        <v>0</v>
      </c>
      <c r="J33" s="24">
        <f t="shared" si="5"/>
        <v>0</v>
      </c>
      <c r="K33" s="24">
        <f t="shared" si="6"/>
        <v>0</v>
      </c>
      <c r="L33" s="24">
        <f t="shared" si="7"/>
        <v>0</v>
      </c>
      <c r="M33" s="24">
        <f t="shared" si="8"/>
        <v>0</v>
      </c>
      <c r="N33" s="5">
        <f t="shared" si="9"/>
        <v>0</v>
      </c>
      <c r="O33" s="5">
        <f t="shared" si="10"/>
        <v>0</v>
      </c>
      <c r="P33" s="5">
        <f t="shared" si="11"/>
        <v>0</v>
      </c>
      <c r="Q33" s="5">
        <f t="shared" si="12"/>
        <v>0</v>
      </c>
      <c r="R33" s="5">
        <f t="shared" si="13"/>
        <v>0</v>
      </c>
      <c r="S33" s="5">
        <f t="shared" si="14"/>
        <v>0</v>
      </c>
      <c r="T33" s="5">
        <f>兵种!J26</f>
        <v>9</v>
      </c>
      <c r="U33" s="24">
        <f t="shared" si="15"/>
        <v>5274.9053991693581</v>
      </c>
      <c r="V33" s="24"/>
    </row>
    <row r="34" spans="1:22" x14ac:dyDescent="0.15">
      <c r="A34" s="24" t="str">
        <f>兵种!A27</f>
        <v>Hurler</v>
      </c>
      <c r="B34" s="24">
        <f>兵种!K27</f>
        <v>343</v>
      </c>
      <c r="C34" s="24"/>
      <c r="D34" s="24"/>
      <c r="E34" s="24"/>
      <c r="F34" s="24"/>
      <c r="G34" s="24">
        <f>兵种!V27</f>
        <v>0</v>
      </c>
      <c r="H34" s="24">
        <f t="shared" si="3"/>
        <v>7405.7142857142853</v>
      </c>
      <c r="I34" s="24">
        <f t="shared" si="4"/>
        <v>0</v>
      </c>
      <c r="J34" s="24">
        <f t="shared" si="5"/>
        <v>0</v>
      </c>
      <c r="K34" s="24">
        <f t="shared" si="6"/>
        <v>0</v>
      </c>
      <c r="L34" s="24">
        <f t="shared" si="7"/>
        <v>0</v>
      </c>
      <c r="M34" s="24">
        <f t="shared" si="8"/>
        <v>0</v>
      </c>
      <c r="N34" s="5">
        <f t="shared" si="9"/>
        <v>0</v>
      </c>
      <c r="O34" s="5">
        <f t="shared" si="10"/>
        <v>0</v>
      </c>
      <c r="P34" s="5">
        <f t="shared" si="11"/>
        <v>0</v>
      </c>
      <c r="Q34" s="5">
        <f t="shared" si="12"/>
        <v>0</v>
      </c>
      <c r="R34" s="5">
        <f t="shared" si="13"/>
        <v>0</v>
      </c>
      <c r="S34" s="5">
        <f t="shared" si="14"/>
        <v>0</v>
      </c>
      <c r="T34" s="5">
        <f>兵种!J27</f>
        <v>4</v>
      </c>
      <c r="U34" s="24">
        <f t="shared" si="15"/>
        <v>29622.857142857141</v>
      </c>
      <c r="V34" s="24"/>
    </row>
    <row r="35" spans="1:22" x14ac:dyDescent="0.15">
      <c r="A35" s="24" t="str">
        <f>兵种!A28</f>
        <v>Stench</v>
      </c>
      <c r="B35" s="24">
        <f>兵种!K28</f>
        <v>103</v>
      </c>
      <c r="C35" s="24"/>
      <c r="D35" s="24"/>
      <c r="E35" s="24"/>
      <c r="F35" s="24"/>
      <c r="G35" s="24">
        <f>兵种!V28</f>
        <v>0</v>
      </c>
      <c r="H35" s="24">
        <f t="shared" si="3"/>
        <v>24661.747572815533</v>
      </c>
      <c r="I35" s="24">
        <f t="shared" si="4"/>
        <v>0</v>
      </c>
      <c r="J35" s="24">
        <f t="shared" si="5"/>
        <v>0</v>
      </c>
      <c r="K35" s="24">
        <f t="shared" si="6"/>
        <v>0</v>
      </c>
      <c r="L35" s="24">
        <f t="shared" si="7"/>
        <v>0</v>
      </c>
      <c r="M35" s="24">
        <f t="shared" si="8"/>
        <v>0</v>
      </c>
      <c r="N35" s="5">
        <f t="shared" si="9"/>
        <v>0</v>
      </c>
      <c r="O35" s="5">
        <f t="shared" si="10"/>
        <v>0</v>
      </c>
      <c r="P35" s="5">
        <f t="shared" si="11"/>
        <v>0</v>
      </c>
      <c r="Q35" s="5">
        <f t="shared" si="12"/>
        <v>0</v>
      </c>
      <c r="R35" s="5">
        <f t="shared" si="13"/>
        <v>0</v>
      </c>
      <c r="S35" s="5">
        <f t="shared" si="14"/>
        <v>0</v>
      </c>
      <c r="T35" s="5">
        <f>兵种!J28</f>
        <v>2</v>
      </c>
      <c r="U35" s="24">
        <f t="shared" si="15"/>
        <v>49323.495145631066</v>
      </c>
      <c r="V35" s="24"/>
    </row>
    <row r="36" spans="1:22" x14ac:dyDescent="0.15">
      <c r="B36" s="24"/>
      <c r="C36" s="24"/>
      <c r="D36" s="24"/>
      <c r="E36" s="24"/>
      <c r="F36" s="24"/>
      <c r="G36" s="24"/>
    </row>
    <row r="37" spans="1:22" x14ac:dyDescent="0.15">
      <c r="B37" s="24"/>
      <c r="C37" s="24"/>
      <c r="D37" s="24"/>
      <c r="E37" s="24"/>
      <c r="F37" s="24"/>
      <c r="G37" s="24"/>
    </row>
    <row r="38" spans="1:22" x14ac:dyDescent="0.15">
      <c r="B38" s="24"/>
      <c r="C38" s="24"/>
      <c r="D38" s="24"/>
      <c r="E38" s="24"/>
      <c r="F38" s="24"/>
      <c r="G38" s="24"/>
    </row>
    <row r="39" spans="1:22" x14ac:dyDescent="0.15">
      <c r="B39" s="24"/>
      <c r="C39" s="24"/>
      <c r="D39" s="24"/>
      <c r="E39" s="24"/>
      <c r="F39" s="24"/>
      <c r="G39" s="24"/>
    </row>
    <row r="40" spans="1:22" x14ac:dyDescent="0.15">
      <c r="B40" s="24"/>
      <c r="C40" s="24"/>
      <c r="D40" s="24"/>
      <c r="E40" s="24"/>
      <c r="F40" s="24"/>
      <c r="G40" s="24"/>
    </row>
    <row r="41" spans="1:22" x14ac:dyDescent="0.15">
      <c r="B41" s="24"/>
      <c r="C41" s="24"/>
      <c r="D41" s="24"/>
      <c r="E41" s="24"/>
      <c r="F41" s="24"/>
      <c r="G41" s="24"/>
    </row>
    <row r="42" spans="1:22" x14ac:dyDescent="0.15">
      <c r="B42" s="24"/>
      <c r="C42" s="24"/>
      <c r="D42" s="24"/>
      <c r="E42" s="24"/>
      <c r="F42" s="24"/>
      <c r="G42" s="24"/>
    </row>
    <row r="43" spans="1:22" x14ac:dyDescent="0.15">
      <c r="B43" s="24"/>
      <c r="C43" s="24"/>
      <c r="D43" s="24"/>
      <c r="E43" s="24"/>
      <c r="F43" s="24"/>
      <c r="G43" s="24"/>
    </row>
    <row r="44" spans="1:22" x14ac:dyDescent="0.15">
      <c r="B44" s="24"/>
      <c r="C44" s="24"/>
      <c r="D44" s="24"/>
      <c r="E44" s="24"/>
      <c r="F44" s="24"/>
      <c r="G44" s="24"/>
    </row>
    <row r="45" spans="1:22" x14ac:dyDescent="0.15">
      <c r="B45" s="24"/>
      <c r="C45" s="24"/>
      <c r="D45" s="24"/>
      <c r="E45" s="24"/>
      <c r="F45" s="24"/>
      <c r="G45" s="24"/>
    </row>
    <row r="46" spans="1:22" x14ac:dyDescent="0.15">
      <c r="B46" s="24"/>
      <c r="C46" s="24"/>
      <c r="D46" s="24"/>
      <c r="E46" s="24"/>
      <c r="F46" s="24"/>
      <c r="G46" s="24"/>
    </row>
    <row r="47" spans="1:22" x14ac:dyDescent="0.15">
      <c r="B47" s="24"/>
      <c r="C47" s="24"/>
      <c r="D47" s="24"/>
      <c r="E47" s="24"/>
      <c r="F47" s="24"/>
      <c r="G47" s="24"/>
    </row>
    <row r="48" spans="1:22" x14ac:dyDescent="0.15">
      <c r="B48" s="24"/>
      <c r="C48" s="24"/>
      <c r="D48" s="24"/>
      <c r="E48" s="24"/>
      <c r="F48" s="24"/>
      <c r="G48" s="24"/>
    </row>
    <row r="49" spans="2:7" x14ac:dyDescent="0.15">
      <c r="B49" s="24"/>
      <c r="C49" s="24"/>
      <c r="D49" s="24"/>
      <c r="E49" s="24"/>
      <c r="F49" s="24"/>
      <c r="G49" s="24"/>
    </row>
    <row r="50" spans="2:7" x14ac:dyDescent="0.15">
      <c r="B50" s="24"/>
      <c r="C50" s="24"/>
      <c r="D50" s="24"/>
      <c r="E50" s="24"/>
      <c r="F50" s="24"/>
      <c r="G50" s="24"/>
    </row>
    <row r="51" spans="2:7" x14ac:dyDescent="0.15">
      <c r="B51" s="24"/>
      <c r="C51" s="24"/>
      <c r="D51" s="24"/>
      <c r="E51" s="24"/>
      <c r="F51" s="24"/>
      <c r="G51" s="24"/>
    </row>
    <row r="52" spans="2:7" x14ac:dyDescent="0.15">
      <c r="B52" s="24"/>
      <c r="C52" s="24"/>
      <c r="D52" s="24"/>
      <c r="E52" s="24"/>
      <c r="F52" s="24"/>
      <c r="G52" s="24"/>
    </row>
    <row r="53" spans="2:7" x14ac:dyDescent="0.15">
      <c r="B53" s="24"/>
      <c r="C53" s="24"/>
      <c r="D53" s="24"/>
      <c r="E53" s="24"/>
      <c r="F53" s="24"/>
      <c r="G53" s="24"/>
    </row>
  </sheetData>
  <mergeCells count="2">
    <mergeCell ref="I11:M11"/>
    <mergeCell ref="N11:R11"/>
  </mergeCells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Q37"/>
  <sheetViews>
    <sheetView topLeftCell="A9" workbookViewId="0">
      <selection activeCell="D13" sqref="D13"/>
    </sheetView>
  </sheetViews>
  <sheetFormatPr defaultRowHeight="13.5" x14ac:dyDescent="0.15"/>
  <cols>
    <col min="1" max="1" width="13.875" bestFit="1" customWidth="1"/>
    <col min="2" max="2" width="13.875" customWidth="1"/>
    <col min="3" max="3" width="10.875" customWidth="1"/>
    <col min="9" max="9" width="11.375" customWidth="1"/>
  </cols>
  <sheetData>
    <row r="1" spans="1:17" x14ac:dyDescent="0.15">
      <c r="A1" t="s">
        <v>351</v>
      </c>
      <c r="C1" s="57" t="s">
        <v>335</v>
      </c>
      <c r="D1" s="57"/>
      <c r="E1" s="57"/>
      <c r="F1" s="57"/>
      <c r="G1" s="57"/>
      <c r="H1" s="57"/>
      <c r="I1" s="57" t="s">
        <v>336</v>
      </c>
      <c r="J1" s="57"/>
      <c r="K1" s="57"/>
      <c r="L1" s="57"/>
      <c r="M1" s="57"/>
      <c r="N1" s="57"/>
      <c r="Q1">
        <v>0</v>
      </c>
    </row>
    <row r="2" spans="1:17" x14ac:dyDescent="0.15">
      <c r="B2" t="s">
        <v>339</v>
      </c>
      <c r="C2" t="s">
        <v>196</v>
      </c>
      <c r="D2" t="s">
        <v>197</v>
      </c>
      <c r="E2" t="s">
        <v>198</v>
      </c>
      <c r="F2" t="s">
        <v>199</v>
      </c>
      <c r="G2" t="s">
        <v>200</v>
      </c>
      <c r="H2" t="s">
        <v>201</v>
      </c>
      <c r="I2" t="s">
        <v>337</v>
      </c>
      <c r="J2" t="s">
        <v>338</v>
      </c>
      <c r="K2" t="s">
        <v>198</v>
      </c>
      <c r="L2" t="s">
        <v>199</v>
      </c>
      <c r="M2" t="s">
        <v>200</v>
      </c>
      <c r="N2" t="s">
        <v>201</v>
      </c>
      <c r="Q2">
        <v>1</v>
      </c>
    </row>
    <row r="3" spans="1:17" x14ac:dyDescent="0.15">
      <c r="A3" t="s">
        <v>341</v>
      </c>
      <c r="B3">
        <v>1</v>
      </c>
      <c r="C3">
        <v>0.2</v>
      </c>
      <c r="D3">
        <v>0.2</v>
      </c>
      <c r="E3">
        <v>0.2</v>
      </c>
      <c r="I3">
        <v>0.2</v>
      </c>
      <c r="J3">
        <v>0.2</v>
      </c>
      <c r="K3">
        <v>0.2</v>
      </c>
      <c r="Q3">
        <v>2</v>
      </c>
    </row>
    <row r="4" spans="1:17" x14ac:dyDescent="0.15">
      <c r="A4" t="s">
        <v>334</v>
      </c>
      <c r="B4">
        <v>10</v>
      </c>
      <c r="I4">
        <v>0.05</v>
      </c>
      <c r="J4">
        <v>0.05</v>
      </c>
      <c r="Q4">
        <v>3</v>
      </c>
    </row>
    <row r="5" spans="1:17" x14ac:dyDescent="0.15">
      <c r="A5" t="s">
        <v>340</v>
      </c>
      <c r="B5">
        <v>20</v>
      </c>
      <c r="E5">
        <v>2.5000000000000001E-2</v>
      </c>
      <c r="K5">
        <v>2.5000000000000001E-2</v>
      </c>
      <c r="Q5">
        <v>4</v>
      </c>
    </row>
    <row r="6" spans="1:17" x14ac:dyDescent="0.15">
      <c r="A6" t="s">
        <v>342</v>
      </c>
      <c r="B6">
        <v>1</v>
      </c>
      <c r="I6">
        <v>0.2</v>
      </c>
      <c r="J6">
        <v>0.2</v>
      </c>
      <c r="Q6">
        <v>5</v>
      </c>
    </row>
    <row r="7" spans="1:17" x14ac:dyDescent="0.15">
      <c r="A7" t="s">
        <v>343</v>
      </c>
      <c r="B7">
        <v>1</v>
      </c>
      <c r="K7">
        <v>0.2</v>
      </c>
      <c r="Q7">
        <v>6</v>
      </c>
    </row>
    <row r="8" spans="1:17" x14ac:dyDescent="0.15">
      <c r="A8" t="s">
        <v>344</v>
      </c>
      <c r="B8">
        <v>1</v>
      </c>
      <c r="C8">
        <v>0.2</v>
      </c>
      <c r="D8">
        <v>0.2</v>
      </c>
      <c r="Q8">
        <v>7</v>
      </c>
    </row>
    <row r="9" spans="1:17" x14ac:dyDescent="0.15">
      <c r="A9" t="s">
        <v>345</v>
      </c>
      <c r="B9">
        <v>1</v>
      </c>
      <c r="E9">
        <v>0.2</v>
      </c>
      <c r="Q9">
        <v>8</v>
      </c>
    </row>
    <row r="10" spans="1:17" x14ac:dyDescent="0.15">
      <c r="A10" t="s">
        <v>346</v>
      </c>
      <c r="B10">
        <v>20</v>
      </c>
      <c r="C10">
        <f>LOOKUP(B10,将领!D:D,将领!F:F)/100</f>
        <v>0.3</v>
      </c>
      <c r="D10">
        <f>C10</f>
        <v>0.3</v>
      </c>
      <c r="Q10">
        <v>9</v>
      </c>
    </row>
    <row r="11" spans="1:17" x14ac:dyDescent="0.15">
      <c r="A11" t="s">
        <v>347</v>
      </c>
      <c r="B11" s="7">
        <v>20</v>
      </c>
      <c r="E11">
        <f>LOOKUP(B11,将领!D:D,将领!G:G)/100</f>
        <v>0.35</v>
      </c>
      <c r="Q11">
        <v>10</v>
      </c>
    </row>
    <row r="12" spans="1:17" x14ac:dyDescent="0.15">
      <c r="A12" s="7" t="s">
        <v>324</v>
      </c>
      <c r="B12">
        <v>10</v>
      </c>
      <c r="C12">
        <v>0.05</v>
      </c>
      <c r="D12" s="7">
        <v>0.05</v>
      </c>
      <c r="E12" s="7">
        <v>0.05</v>
      </c>
      <c r="Q12">
        <v>11</v>
      </c>
    </row>
    <row r="13" spans="1:17" x14ac:dyDescent="0.15">
      <c r="A13" t="s">
        <v>348</v>
      </c>
      <c r="B13">
        <v>20</v>
      </c>
      <c r="C13" s="7">
        <v>0.05</v>
      </c>
      <c r="D13" s="7">
        <v>0.05</v>
      </c>
      <c r="Q13">
        <v>12</v>
      </c>
    </row>
    <row r="14" spans="1:17" x14ac:dyDescent="0.15">
      <c r="A14" s="7" t="s">
        <v>328</v>
      </c>
      <c r="B14">
        <v>10</v>
      </c>
      <c r="G14">
        <v>0.05</v>
      </c>
      <c r="Q14">
        <v>13</v>
      </c>
    </row>
    <row r="15" spans="1:17" x14ac:dyDescent="0.15">
      <c r="A15" s="7" t="s">
        <v>329</v>
      </c>
      <c r="B15">
        <v>10</v>
      </c>
      <c r="G15">
        <v>0.05</v>
      </c>
      <c r="Q15">
        <v>14</v>
      </c>
    </row>
    <row r="16" spans="1:17" x14ac:dyDescent="0.15">
      <c r="A16" t="s">
        <v>349</v>
      </c>
      <c r="B16" s="7">
        <v>10</v>
      </c>
      <c r="F16" s="7">
        <v>0.05</v>
      </c>
      <c r="Q16">
        <v>15</v>
      </c>
    </row>
    <row r="17" spans="1:17" x14ac:dyDescent="0.15">
      <c r="A17" s="7" t="s">
        <v>326</v>
      </c>
      <c r="B17" s="7">
        <v>10</v>
      </c>
      <c r="H17">
        <v>0.05</v>
      </c>
      <c r="Q17">
        <v>16</v>
      </c>
    </row>
    <row r="18" spans="1:17" s="7" customFormat="1" x14ac:dyDescent="0.15"/>
    <row r="19" spans="1:17" x14ac:dyDescent="0.15">
      <c r="A19" t="s">
        <v>350</v>
      </c>
      <c r="C19" s="57" t="s">
        <v>335</v>
      </c>
      <c r="D19" s="57"/>
      <c r="E19" s="57"/>
      <c r="F19" s="57"/>
      <c r="G19" s="57"/>
      <c r="H19" s="57"/>
      <c r="I19" s="57" t="s">
        <v>336</v>
      </c>
      <c r="J19" s="57"/>
      <c r="K19" s="57"/>
      <c r="L19" s="57"/>
      <c r="M19" s="57"/>
      <c r="N19" s="57"/>
      <c r="Q19">
        <v>17</v>
      </c>
    </row>
    <row r="20" spans="1:17" x14ac:dyDescent="0.15">
      <c r="A20" s="7"/>
      <c r="B20" s="7" t="s">
        <v>339</v>
      </c>
      <c r="C20" s="7" t="s">
        <v>196</v>
      </c>
      <c r="D20" s="7" t="s">
        <v>197</v>
      </c>
      <c r="E20" s="7" t="s">
        <v>198</v>
      </c>
      <c r="F20" s="7" t="s">
        <v>199</v>
      </c>
      <c r="G20" s="7" t="s">
        <v>200</v>
      </c>
      <c r="H20" s="7" t="s">
        <v>201</v>
      </c>
      <c r="I20" s="7" t="s">
        <v>337</v>
      </c>
      <c r="J20" s="7" t="s">
        <v>338</v>
      </c>
      <c r="K20" s="7" t="s">
        <v>198</v>
      </c>
      <c r="L20" s="7" t="s">
        <v>199</v>
      </c>
      <c r="M20" s="7" t="s">
        <v>200</v>
      </c>
      <c r="N20" s="7" t="s">
        <v>201</v>
      </c>
      <c r="Q20">
        <v>18</v>
      </c>
    </row>
    <row r="21" spans="1:17" x14ac:dyDescent="0.15">
      <c r="A21" s="7" t="s">
        <v>341</v>
      </c>
      <c r="B21" s="7">
        <v>1</v>
      </c>
      <c r="C21" s="7">
        <f>$B3*C3</f>
        <v>0.2</v>
      </c>
      <c r="D21" s="7">
        <f t="shared" ref="D21:N21" si="0">$B3*D3</f>
        <v>0.2</v>
      </c>
      <c r="E21" s="7">
        <f t="shared" si="0"/>
        <v>0.2</v>
      </c>
      <c r="F21" s="7">
        <f t="shared" si="0"/>
        <v>0</v>
      </c>
      <c r="G21" s="7">
        <f t="shared" si="0"/>
        <v>0</v>
      </c>
      <c r="H21" s="7">
        <f t="shared" si="0"/>
        <v>0</v>
      </c>
      <c r="I21" s="7">
        <f t="shared" si="0"/>
        <v>0.2</v>
      </c>
      <c r="J21" s="7">
        <f t="shared" si="0"/>
        <v>0.2</v>
      </c>
      <c r="K21" s="7">
        <f t="shared" si="0"/>
        <v>0.2</v>
      </c>
      <c r="L21" s="7">
        <f t="shared" si="0"/>
        <v>0</v>
      </c>
      <c r="M21" s="7">
        <f t="shared" si="0"/>
        <v>0</v>
      </c>
      <c r="N21" s="7">
        <f t="shared" si="0"/>
        <v>0</v>
      </c>
      <c r="Q21">
        <v>19</v>
      </c>
    </row>
    <row r="22" spans="1:17" x14ac:dyDescent="0.15">
      <c r="A22" s="7" t="s">
        <v>334</v>
      </c>
      <c r="B22" s="7">
        <v>10</v>
      </c>
      <c r="C22" s="7">
        <f t="shared" ref="C22:N22" si="1">$B4*C4</f>
        <v>0</v>
      </c>
      <c r="D22" s="7">
        <f t="shared" si="1"/>
        <v>0</v>
      </c>
      <c r="E22" s="7">
        <f t="shared" si="1"/>
        <v>0</v>
      </c>
      <c r="F22" s="7">
        <f t="shared" si="1"/>
        <v>0</v>
      </c>
      <c r="G22" s="7">
        <f t="shared" si="1"/>
        <v>0</v>
      </c>
      <c r="H22" s="7">
        <f t="shared" si="1"/>
        <v>0</v>
      </c>
      <c r="I22" s="7">
        <f t="shared" si="1"/>
        <v>0.5</v>
      </c>
      <c r="J22" s="7">
        <f t="shared" si="1"/>
        <v>0.5</v>
      </c>
      <c r="K22" s="7">
        <f t="shared" si="1"/>
        <v>0</v>
      </c>
      <c r="L22" s="7">
        <f t="shared" si="1"/>
        <v>0</v>
      </c>
      <c r="M22" s="7">
        <f t="shared" si="1"/>
        <v>0</v>
      </c>
      <c r="N22" s="7">
        <f t="shared" si="1"/>
        <v>0</v>
      </c>
      <c r="Q22">
        <v>20</v>
      </c>
    </row>
    <row r="23" spans="1:17" x14ac:dyDescent="0.15">
      <c r="A23" s="7" t="s">
        <v>340</v>
      </c>
      <c r="B23" s="7">
        <v>20</v>
      </c>
      <c r="C23" s="7">
        <f t="shared" ref="C23:N23" si="2">$B5*C5</f>
        <v>0</v>
      </c>
      <c r="D23" s="7">
        <f t="shared" si="2"/>
        <v>0</v>
      </c>
      <c r="E23" s="7">
        <f t="shared" si="2"/>
        <v>0.5</v>
      </c>
      <c r="F23" s="7">
        <f t="shared" si="2"/>
        <v>0</v>
      </c>
      <c r="G23" s="7">
        <f t="shared" si="2"/>
        <v>0</v>
      </c>
      <c r="H23" s="7">
        <f t="shared" si="2"/>
        <v>0</v>
      </c>
      <c r="I23" s="7">
        <f t="shared" si="2"/>
        <v>0</v>
      </c>
      <c r="J23" s="7">
        <f t="shared" si="2"/>
        <v>0</v>
      </c>
      <c r="K23" s="7">
        <f t="shared" si="2"/>
        <v>0.5</v>
      </c>
      <c r="L23" s="7">
        <f t="shared" si="2"/>
        <v>0</v>
      </c>
      <c r="M23" s="7">
        <f t="shared" si="2"/>
        <v>0</v>
      </c>
      <c r="N23" s="7">
        <f t="shared" si="2"/>
        <v>0</v>
      </c>
    </row>
    <row r="24" spans="1:17" x14ac:dyDescent="0.15">
      <c r="A24" s="7" t="s">
        <v>342</v>
      </c>
      <c r="B24" s="7">
        <v>1</v>
      </c>
      <c r="C24" s="7">
        <f t="shared" ref="C24:N24" si="3">$B6*C6</f>
        <v>0</v>
      </c>
      <c r="D24" s="7">
        <f t="shared" si="3"/>
        <v>0</v>
      </c>
      <c r="E24" s="7">
        <f t="shared" si="3"/>
        <v>0</v>
      </c>
      <c r="F24" s="7">
        <f t="shared" si="3"/>
        <v>0</v>
      </c>
      <c r="G24" s="7">
        <f t="shared" si="3"/>
        <v>0</v>
      </c>
      <c r="H24" s="7">
        <f t="shared" si="3"/>
        <v>0</v>
      </c>
      <c r="I24" s="7">
        <f t="shared" si="3"/>
        <v>0.2</v>
      </c>
      <c r="J24" s="7">
        <f t="shared" si="3"/>
        <v>0.2</v>
      </c>
      <c r="K24" s="7">
        <f t="shared" si="3"/>
        <v>0</v>
      </c>
      <c r="L24" s="7">
        <f t="shared" si="3"/>
        <v>0</v>
      </c>
      <c r="M24" s="7">
        <f t="shared" si="3"/>
        <v>0</v>
      </c>
      <c r="N24" s="7">
        <f t="shared" si="3"/>
        <v>0</v>
      </c>
    </row>
    <row r="25" spans="1:17" x14ac:dyDescent="0.15">
      <c r="A25" s="7" t="s">
        <v>343</v>
      </c>
      <c r="B25" s="7">
        <v>1</v>
      </c>
      <c r="C25" s="7">
        <f t="shared" ref="C25:N25" si="4">$B7*C7</f>
        <v>0</v>
      </c>
      <c r="D25" s="7">
        <f t="shared" si="4"/>
        <v>0</v>
      </c>
      <c r="E25" s="7">
        <f t="shared" si="4"/>
        <v>0</v>
      </c>
      <c r="F25" s="7">
        <f t="shared" si="4"/>
        <v>0</v>
      </c>
      <c r="G25" s="7">
        <f t="shared" si="4"/>
        <v>0</v>
      </c>
      <c r="H25" s="7">
        <f t="shared" si="4"/>
        <v>0</v>
      </c>
      <c r="I25" s="7">
        <f t="shared" si="4"/>
        <v>0</v>
      </c>
      <c r="J25" s="7">
        <f t="shared" si="4"/>
        <v>0</v>
      </c>
      <c r="K25" s="7">
        <f t="shared" si="4"/>
        <v>0.2</v>
      </c>
      <c r="L25" s="7">
        <f t="shared" si="4"/>
        <v>0</v>
      </c>
      <c r="M25" s="7">
        <f t="shared" si="4"/>
        <v>0</v>
      </c>
      <c r="N25" s="7">
        <f t="shared" si="4"/>
        <v>0</v>
      </c>
    </row>
    <row r="26" spans="1:17" x14ac:dyDescent="0.15">
      <c r="A26" s="7" t="s">
        <v>344</v>
      </c>
      <c r="B26" s="7">
        <v>1</v>
      </c>
      <c r="C26" s="7">
        <f t="shared" ref="C26:N26" si="5">$B8*C8</f>
        <v>0.2</v>
      </c>
      <c r="D26" s="7">
        <f t="shared" si="5"/>
        <v>0.2</v>
      </c>
      <c r="E26" s="7">
        <f t="shared" si="5"/>
        <v>0</v>
      </c>
      <c r="F26" s="7">
        <f t="shared" si="5"/>
        <v>0</v>
      </c>
      <c r="G26" s="7">
        <f t="shared" si="5"/>
        <v>0</v>
      </c>
      <c r="H26" s="7">
        <f t="shared" si="5"/>
        <v>0</v>
      </c>
      <c r="I26" s="7">
        <f t="shared" si="5"/>
        <v>0</v>
      </c>
      <c r="J26" s="7">
        <f t="shared" si="5"/>
        <v>0</v>
      </c>
      <c r="K26" s="7">
        <f t="shared" si="5"/>
        <v>0</v>
      </c>
      <c r="L26" s="7">
        <f t="shared" si="5"/>
        <v>0</v>
      </c>
      <c r="M26" s="7">
        <f t="shared" si="5"/>
        <v>0</v>
      </c>
      <c r="N26" s="7">
        <f t="shared" si="5"/>
        <v>0</v>
      </c>
    </row>
    <row r="27" spans="1:17" x14ac:dyDescent="0.15">
      <c r="A27" s="7" t="s">
        <v>345</v>
      </c>
      <c r="B27" s="7">
        <v>1</v>
      </c>
      <c r="C27" s="7">
        <f t="shared" ref="C27:N27" si="6">$B9*C9</f>
        <v>0</v>
      </c>
      <c r="D27" s="7">
        <f t="shared" si="6"/>
        <v>0</v>
      </c>
      <c r="E27" s="7">
        <f t="shared" si="6"/>
        <v>0.2</v>
      </c>
      <c r="F27" s="7">
        <f t="shared" si="6"/>
        <v>0</v>
      </c>
      <c r="G27" s="7">
        <f t="shared" si="6"/>
        <v>0</v>
      </c>
      <c r="H27" s="7">
        <f t="shared" si="6"/>
        <v>0</v>
      </c>
      <c r="I27" s="7">
        <f t="shared" si="6"/>
        <v>0</v>
      </c>
      <c r="J27" s="7">
        <f t="shared" si="6"/>
        <v>0</v>
      </c>
      <c r="K27" s="7">
        <f t="shared" si="6"/>
        <v>0</v>
      </c>
      <c r="L27" s="7">
        <f t="shared" si="6"/>
        <v>0</v>
      </c>
      <c r="M27" s="7">
        <f t="shared" si="6"/>
        <v>0</v>
      </c>
      <c r="N27" s="7">
        <f t="shared" si="6"/>
        <v>0</v>
      </c>
    </row>
    <row r="28" spans="1:17" x14ac:dyDescent="0.15">
      <c r="A28" s="7" t="s">
        <v>346</v>
      </c>
      <c r="B28" s="7">
        <v>20</v>
      </c>
      <c r="C28" s="7">
        <f>C10</f>
        <v>0.3</v>
      </c>
      <c r="D28" s="7">
        <f t="shared" ref="D28:N29" si="7">D10</f>
        <v>0.3</v>
      </c>
      <c r="E28" s="7">
        <f t="shared" si="7"/>
        <v>0</v>
      </c>
      <c r="F28" s="7">
        <f t="shared" si="7"/>
        <v>0</v>
      </c>
      <c r="G28" s="7">
        <f t="shared" si="7"/>
        <v>0</v>
      </c>
      <c r="H28" s="7">
        <f t="shared" si="7"/>
        <v>0</v>
      </c>
      <c r="I28" s="7">
        <f t="shared" si="7"/>
        <v>0</v>
      </c>
      <c r="J28" s="7">
        <f t="shared" si="7"/>
        <v>0</v>
      </c>
      <c r="K28" s="7">
        <f t="shared" si="7"/>
        <v>0</v>
      </c>
      <c r="L28" s="7">
        <f t="shared" si="7"/>
        <v>0</v>
      </c>
      <c r="M28" s="7">
        <f t="shared" si="7"/>
        <v>0</v>
      </c>
      <c r="N28" s="7">
        <f t="shared" si="7"/>
        <v>0</v>
      </c>
    </row>
    <row r="29" spans="1:17" x14ac:dyDescent="0.15">
      <c r="A29" s="7" t="s">
        <v>347</v>
      </c>
      <c r="B29" s="7">
        <v>20</v>
      </c>
      <c r="C29" s="7">
        <f>C11</f>
        <v>0</v>
      </c>
      <c r="D29" s="7">
        <f t="shared" si="7"/>
        <v>0</v>
      </c>
      <c r="E29" s="7">
        <f t="shared" si="7"/>
        <v>0.35</v>
      </c>
      <c r="F29" s="7">
        <f t="shared" si="7"/>
        <v>0</v>
      </c>
      <c r="G29" s="7">
        <f t="shared" si="7"/>
        <v>0</v>
      </c>
      <c r="H29" s="7">
        <f t="shared" si="7"/>
        <v>0</v>
      </c>
      <c r="I29" s="7">
        <f t="shared" si="7"/>
        <v>0</v>
      </c>
      <c r="J29" s="7">
        <f t="shared" si="7"/>
        <v>0</v>
      </c>
      <c r="K29" s="7">
        <f t="shared" si="7"/>
        <v>0</v>
      </c>
      <c r="L29" s="7">
        <f t="shared" si="7"/>
        <v>0</v>
      </c>
      <c r="M29" s="7">
        <f t="shared" si="7"/>
        <v>0</v>
      </c>
      <c r="N29" s="7">
        <f t="shared" si="7"/>
        <v>0</v>
      </c>
    </row>
    <row r="30" spans="1:17" x14ac:dyDescent="0.15">
      <c r="A30" s="7" t="s">
        <v>324</v>
      </c>
      <c r="B30" s="7">
        <v>10</v>
      </c>
      <c r="C30" s="7">
        <f t="shared" ref="C30:N30" si="8">$B12*C12</f>
        <v>0.5</v>
      </c>
      <c r="D30" s="7">
        <f t="shared" si="8"/>
        <v>0.5</v>
      </c>
      <c r="E30" s="7">
        <f t="shared" si="8"/>
        <v>0.5</v>
      </c>
      <c r="F30" s="7">
        <f t="shared" si="8"/>
        <v>0</v>
      </c>
      <c r="G30" s="7">
        <f t="shared" si="8"/>
        <v>0</v>
      </c>
      <c r="H30" s="7">
        <f t="shared" si="8"/>
        <v>0</v>
      </c>
      <c r="I30" s="7">
        <f t="shared" si="8"/>
        <v>0</v>
      </c>
      <c r="J30" s="7">
        <f t="shared" si="8"/>
        <v>0</v>
      </c>
      <c r="K30" s="7">
        <f t="shared" si="8"/>
        <v>0</v>
      </c>
      <c r="L30" s="7">
        <f t="shared" si="8"/>
        <v>0</v>
      </c>
      <c r="M30" s="7">
        <f t="shared" si="8"/>
        <v>0</v>
      </c>
      <c r="N30" s="7">
        <f t="shared" si="8"/>
        <v>0</v>
      </c>
    </row>
    <row r="31" spans="1:17" x14ac:dyDescent="0.15">
      <c r="A31" s="7" t="s">
        <v>348</v>
      </c>
      <c r="B31" s="7">
        <v>20</v>
      </c>
      <c r="C31" s="7">
        <f t="shared" ref="C31:N31" si="9">$B13*C13</f>
        <v>1</v>
      </c>
      <c r="D31" s="7">
        <f t="shared" si="9"/>
        <v>1</v>
      </c>
      <c r="E31" s="7">
        <f t="shared" si="9"/>
        <v>0</v>
      </c>
      <c r="F31" s="7">
        <f t="shared" si="9"/>
        <v>0</v>
      </c>
      <c r="G31" s="7">
        <f t="shared" si="9"/>
        <v>0</v>
      </c>
      <c r="H31" s="7">
        <f t="shared" si="9"/>
        <v>0</v>
      </c>
      <c r="I31" s="7">
        <f t="shared" si="9"/>
        <v>0</v>
      </c>
      <c r="J31" s="7">
        <f t="shared" si="9"/>
        <v>0</v>
      </c>
      <c r="K31" s="7">
        <f t="shared" si="9"/>
        <v>0</v>
      </c>
      <c r="L31" s="7">
        <f t="shared" si="9"/>
        <v>0</v>
      </c>
      <c r="M31" s="7">
        <f t="shared" si="9"/>
        <v>0</v>
      </c>
      <c r="N31" s="7">
        <f t="shared" si="9"/>
        <v>0</v>
      </c>
    </row>
    <row r="32" spans="1:17" x14ac:dyDescent="0.15">
      <c r="A32" s="7" t="s">
        <v>328</v>
      </c>
      <c r="B32" s="7">
        <v>10</v>
      </c>
      <c r="C32" s="7">
        <f t="shared" ref="C32:N32" si="10">$B14*C14</f>
        <v>0</v>
      </c>
      <c r="D32" s="7">
        <f t="shared" si="10"/>
        <v>0</v>
      </c>
      <c r="E32" s="7">
        <f t="shared" si="10"/>
        <v>0</v>
      </c>
      <c r="F32" s="7">
        <f t="shared" si="10"/>
        <v>0</v>
      </c>
      <c r="G32" s="7">
        <f t="shared" si="10"/>
        <v>0.5</v>
      </c>
      <c r="H32" s="7">
        <f t="shared" si="10"/>
        <v>0</v>
      </c>
      <c r="I32" s="7">
        <f t="shared" si="10"/>
        <v>0</v>
      </c>
      <c r="J32" s="7">
        <f t="shared" si="10"/>
        <v>0</v>
      </c>
      <c r="K32" s="7">
        <f t="shared" si="10"/>
        <v>0</v>
      </c>
      <c r="L32" s="7">
        <f t="shared" si="10"/>
        <v>0</v>
      </c>
      <c r="M32" s="7">
        <f t="shared" si="10"/>
        <v>0</v>
      </c>
      <c r="N32" s="7">
        <f t="shared" si="10"/>
        <v>0</v>
      </c>
    </row>
    <row r="33" spans="1:14" x14ac:dyDescent="0.15">
      <c r="A33" s="7" t="s">
        <v>403</v>
      </c>
      <c r="B33" s="7">
        <v>10</v>
      </c>
      <c r="C33" s="7">
        <f t="shared" ref="C33:N33" si="11">$B15*C15</f>
        <v>0</v>
      </c>
      <c r="D33" s="7">
        <f t="shared" si="11"/>
        <v>0</v>
      </c>
      <c r="E33" s="7">
        <f t="shared" si="11"/>
        <v>0</v>
      </c>
      <c r="F33" s="7">
        <f t="shared" si="11"/>
        <v>0</v>
      </c>
      <c r="G33" s="7">
        <f t="shared" si="11"/>
        <v>0.5</v>
      </c>
      <c r="H33" s="7">
        <f t="shared" si="11"/>
        <v>0</v>
      </c>
      <c r="I33" s="7">
        <f t="shared" si="11"/>
        <v>0</v>
      </c>
      <c r="J33" s="7">
        <f t="shared" si="11"/>
        <v>0</v>
      </c>
      <c r="K33" s="7">
        <f t="shared" si="11"/>
        <v>0</v>
      </c>
      <c r="L33" s="7">
        <f t="shared" si="11"/>
        <v>0</v>
      </c>
      <c r="M33" s="7">
        <f t="shared" si="11"/>
        <v>0</v>
      </c>
      <c r="N33" s="7">
        <f t="shared" si="11"/>
        <v>0</v>
      </c>
    </row>
    <row r="34" spans="1:14" x14ac:dyDescent="0.15">
      <c r="A34" s="7" t="s">
        <v>349</v>
      </c>
      <c r="B34" s="7">
        <v>10</v>
      </c>
      <c r="C34" s="7">
        <f t="shared" ref="C34:N34" si="12">$B16*C16</f>
        <v>0</v>
      </c>
      <c r="D34" s="7">
        <f t="shared" si="12"/>
        <v>0</v>
      </c>
      <c r="E34" s="7">
        <f t="shared" si="12"/>
        <v>0</v>
      </c>
      <c r="F34" s="7">
        <f t="shared" si="12"/>
        <v>0.5</v>
      </c>
      <c r="G34" s="7">
        <f t="shared" si="12"/>
        <v>0</v>
      </c>
      <c r="H34" s="7">
        <f t="shared" si="12"/>
        <v>0</v>
      </c>
      <c r="I34" s="7">
        <f t="shared" si="12"/>
        <v>0</v>
      </c>
      <c r="J34" s="7">
        <f t="shared" si="12"/>
        <v>0</v>
      </c>
      <c r="K34" s="7">
        <f t="shared" si="12"/>
        <v>0</v>
      </c>
      <c r="L34" s="7">
        <f t="shared" si="12"/>
        <v>0</v>
      </c>
      <c r="M34" s="7">
        <f t="shared" si="12"/>
        <v>0</v>
      </c>
      <c r="N34" s="7">
        <f t="shared" si="12"/>
        <v>0</v>
      </c>
    </row>
    <row r="35" spans="1:14" x14ac:dyDescent="0.15">
      <c r="A35" s="7" t="s">
        <v>326</v>
      </c>
      <c r="B35" s="7">
        <v>10</v>
      </c>
      <c r="C35" s="7">
        <f t="shared" ref="C35:N35" si="13">$B17*C17</f>
        <v>0</v>
      </c>
      <c r="D35" s="7">
        <f t="shared" si="13"/>
        <v>0</v>
      </c>
      <c r="E35" s="7">
        <f t="shared" si="13"/>
        <v>0</v>
      </c>
      <c r="F35" s="7">
        <f t="shared" si="13"/>
        <v>0</v>
      </c>
      <c r="G35" s="7">
        <f t="shared" si="13"/>
        <v>0</v>
      </c>
      <c r="H35" s="7">
        <f t="shared" si="13"/>
        <v>0.5</v>
      </c>
      <c r="I35" s="7">
        <f t="shared" si="13"/>
        <v>0</v>
      </c>
      <c r="J35" s="7">
        <f t="shared" si="13"/>
        <v>0</v>
      </c>
      <c r="K35" s="7">
        <f t="shared" si="13"/>
        <v>0</v>
      </c>
      <c r="L35" s="7">
        <f t="shared" si="13"/>
        <v>0</v>
      </c>
      <c r="M35" s="7">
        <f t="shared" si="13"/>
        <v>0</v>
      </c>
      <c r="N35" s="7">
        <f t="shared" si="13"/>
        <v>0</v>
      </c>
    </row>
    <row r="37" spans="1:14" x14ac:dyDescent="0.15">
      <c r="A37" t="s">
        <v>173</v>
      </c>
      <c r="C37">
        <f>SUM(C21:C35)</f>
        <v>2.2000000000000002</v>
      </c>
      <c r="D37" s="7">
        <f t="shared" ref="D37:N37" si="14">SUM(D21:D35)</f>
        <v>2.2000000000000002</v>
      </c>
      <c r="E37" s="7">
        <f t="shared" si="14"/>
        <v>1.75</v>
      </c>
      <c r="F37" s="7">
        <f t="shared" si="14"/>
        <v>0.5</v>
      </c>
      <c r="G37" s="7">
        <f t="shared" si="14"/>
        <v>1</v>
      </c>
      <c r="H37" s="7">
        <f t="shared" si="14"/>
        <v>0.5</v>
      </c>
      <c r="I37" s="7">
        <f t="shared" si="14"/>
        <v>0.89999999999999991</v>
      </c>
      <c r="J37" s="7">
        <f t="shared" si="14"/>
        <v>0.89999999999999991</v>
      </c>
      <c r="K37" s="7">
        <f t="shared" si="14"/>
        <v>0.89999999999999991</v>
      </c>
      <c r="L37" s="7">
        <f t="shared" si="14"/>
        <v>0</v>
      </c>
      <c r="M37" s="7">
        <f t="shared" si="14"/>
        <v>0</v>
      </c>
      <c r="N37" s="7">
        <f t="shared" si="14"/>
        <v>0</v>
      </c>
    </row>
  </sheetData>
  <mergeCells count="4">
    <mergeCell ref="C1:H1"/>
    <mergeCell ref="I1:N1"/>
    <mergeCell ref="C19:H19"/>
    <mergeCell ref="I19:N19"/>
  </mergeCells>
  <phoneticPr fontId="1" type="noConversion"/>
  <dataValidations count="1">
    <dataValidation type="list" allowBlank="1" showInputMessage="1" showErrorMessage="1" sqref="B10:B11 B28:B29">
      <formula1>$Q$1:$Q$22</formula1>
    </dataValidation>
  </dataValidation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P27"/>
  <sheetViews>
    <sheetView topLeftCell="F4" workbookViewId="0">
      <selection activeCell="J13" sqref="J13"/>
    </sheetView>
  </sheetViews>
  <sheetFormatPr defaultRowHeight="13.5" x14ac:dyDescent="0.15"/>
  <cols>
    <col min="3" max="3" width="9.125" bestFit="1" customWidth="1"/>
    <col min="5" max="5" width="9.125" bestFit="1" customWidth="1"/>
    <col min="6" max="6" width="21.625" customWidth="1"/>
    <col min="7" max="8" width="9.125" style="24" customWidth="1"/>
    <col min="10" max="10" width="9.125" bestFit="1" customWidth="1"/>
    <col min="11" max="11" width="9.75" bestFit="1" customWidth="1"/>
    <col min="13" max="13" width="14" bestFit="1" customWidth="1"/>
    <col min="14" max="14" width="22.75" bestFit="1" customWidth="1"/>
    <col min="15" max="15" width="9.125" bestFit="1" customWidth="1"/>
    <col min="16" max="16" width="33.875" bestFit="1" customWidth="1"/>
    <col min="17" max="18" width="9.125" bestFit="1" customWidth="1"/>
  </cols>
  <sheetData>
    <row r="1" spans="1:16" x14ac:dyDescent="0.15">
      <c r="A1" s="7" t="s">
        <v>399</v>
      </c>
      <c r="B1" s="7" t="s">
        <v>400</v>
      </c>
      <c r="C1" s="7" t="s">
        <v>401</v>
      </c>
      <c r="E1" s="7" t="s">
        <v>402</v>
      </c>
      <c r="F1" s="24" t="s">
        <v>957</v>
      </c>
      <c r="G1" s="24" t="s">
        <v>955</v>
      </c>
      <c r="H1" s="24" t="s">
        <v>954</v>
      </c>
      <c r="J1" s="7" t="s">
        <v>594</v>
      </c>
      <c r="K1" s="7" t="s">
        <v>595</v>
      </c>
    </row>
    <row r="2" spans="1:16" x14ac:dyDescent="0.15">
      <c r="A2">
        <v>1</v>
      </c>
      <c r="B2">
        <v>1</v>
      </c>
      <c r="C2">
        <v>10000</v>
      </c>
      <c r="E2">
        <v>1</v>
      </c>
      <c r="F2">
        <v>1</v>
      </c>
      <c r="G2" s="24">
        <v>1</v>
      </c>
      <c r="H2" s="24">
        <v>11</v>
      </c>
      <c r="J2">
        <v>1</v>
      </c>
      <c r="K2">
        <v>50000</v>
      </c>
    </row>
    <row r="3" spans="1:16" x14ac:dyDescent="0.15">
      <c r="A3">
        <v>2</v>
      </c>
      <c r="B3">
        <v>1</v>
      </c>
      <c r="C3">
        <v>15000</v>
      </c>
      <c r="E3">
        <v>2</v>
      </c>
      <c r="F3">
        <v>1</v>
      </c>
      <c r="G3" s="24">
        <v>1</v>
      </c>
      <c r="H3" s="24">
        <v>2</v>
      </c>
      <c r="J3">
        <v>2</v>
      </c>
      <c r="K3">
        <v>100000</v>
      </c>
      <c r="M3" s="7" t="s">
        <v>870</v>
      </c>
      <c r="O3" s="7" t="s">
        <v>908</v>
      </c>
    </row>
    <row r="4" spans="1:16" x14ac:dyDescent="0.15">
      <c r="A4" s="7">
        <v>3</v>
      </c>
      <c r="B4">
        <f>B2+1</f>
        <v>2</v>
      </c>
      <c r="C4" s="7">
        <v>20000</v>
      </c>
      <c r="E4" s="7">
        <v>3</v>
      </c>
      <c r="F4">
        <v>2</v>
      </c>
      <c r="G4" s="24">
        <v>2</v>
      </c>
      <c r="H4" s="24">
        <v>1</v>
      </c>
      <c r="J4" s="7">
        <v>3</v>
      </c>
      <c r="K4" s="7">
        <v>150000</v>
      </c>
      <c r="M4" s="7" t="s">
        <v>849</v>
      </c>
      <c r="N4" t="s">
        <v>837</v>
      </c>
      <c r="O4" t="s">
        <v>836</v>
      </c>
      <c r="P4" t="s">
        <v>897</v>
      </c>
    </row>
    <row r="5" spans="1:16" x14ac:dyDescent="0.15">
      <c r="A5" s="7">
        <v>4</v>
      </c>
      <c r="B5" s="7">
        <f t="shared" ref="B5:B21" si="0">B3+1</f>
        <v>2</v>
      </c>
      <c r="C5" s="7">
        <v>25000</v>
      </c>
      <c r="E5" s="7">
        <v>4</v>
      </c>
      <c r="F5" s="7">
        <v>2</v>
      </c>
      <c r="G5" s="24">
        <v>2</v>
      </c>
      <c r="H5" s="24">
        <v>2</v>
      </c>
      <c r="J5" s="7">
        <v>4</v>
      </c>
      <c r="K5" s="7">
        <v>200000</v>
      </c>
      <c r="M5">
        <v>1</v>
      </c>
      <c r="N5" s="7" t="s">
        <v>850</v>
      </c>
      <c r="O5">
        <v>2</v>
      </c>
      <c r="P5" t="s">
        <v>898</v>
      </c>
    </row>
    <row r="6" spans="1:16" x14ac:dyDescent="0.15">
      <c r="A6" s="7">
        <v>5</v>
      </c>
      <c r="B6" s="7">
        <f t="shared" si="0"/>
        <v>3</v>
      </c>
      <c r="C6" s="7">
        <v>30000</v>
      </c>
      <c r="E6" s="7">
        <v>5</v>
      </c>
      <c r="F6" s="7">
        <v>3</v>
      </c>
      <c r="G6" s="24">
        <v>3</v>
      </c>
      <c r="H6" s="24">
        <v>1</v>
      </c>
      <c r="J6" s="7">
        <v>5</v>
      </c>
      <c r="K6" s="7">
        <v>250000</v>
      </c>
      <c r="M6">
        <v>2</v>
      </c>
      <c r="N6" t="s">
        <v>840</v>
      </c>
      <c r="O6">
        <v>4</v>
      </c>
      <c r="P6" t="s">
        <v>899</v>
      </c>
    </row>
    <row r="7" spans="1:16" x14ac:dyDescent="0.15">
      <c r="A7" s="7">
        <v>6</v>
      </c>
      <c r="B7" s="7">
        <f t="shared" si="0"/>
        <v>3</v>
      </c>
      <c r="C7" s="7">
        <v>35000</v>
      </c>
      <c r="E7" s="7">
        <v>6</v>
      </c>
      <c r="F7" s="7">
        <v>3</v>
      </c>
      <c r="G7" s="24">
        <v>3</v>
      </c>
      <c r="H7" s="24">
        <v>2</v>
      </c>
      <c r="J7" s="7">
        <v>6</v>
      </c>
      <c r="K7" s="7">
        <v>300000</v>
      </c>
      <c r="M7">
        <v>3</v>
      </c>
      <c r="N7" t="s">
        <v>841</v>
      </c>
      <c r="O7" s="7">
        <v>6</v>
      </c>
      <c r="P7" t="s">
        <v>900</v>
      </c>
    </row>
    <row r="8" spans="1:16" x14ac:dyDescent="0.15">
      <c r="A8" s="7">
        <v>7</v>
      </c>
      <c r="B8" s="7">
        <f t="shared" si="0"/>
        <v>4</v>
      </c>
      <c r="C8" s="7">
        <v>40000</v>
      </c>
      <c r="E8" s="7">
        <v>7</v>
      </c>
      <c r="F8" s="7">
        <v>4</v>
      </c>
      <c r="G8" s="24">
        <v>4</v>
      </c>
      <c r="H8" s="24">
        <v>1</v>
      </c>
      <c r="J8" s="7">
        <v>7</v>
      </c>
      <c r="K8" s="7">
        <v>350000</v>
      </c>
      <c r="M8">
        <v>4</v>
      </c>
      <c r="N8" t="s">
        <v>842</v>
      </c>
      <c r="O8" s="7">
        <v>8</v>
      </c>
      <c r="P8" t="s">
        <v>901</v>
      </c>
    </row>
    <row r="9" spans="1:16" x14ac:dyDescent="0.15">
      <c r="A9" s="7">
        <v>8</v>
      </c>
      <c r="B9" s="7">
        <f t="shared" si="0"/>
        <v>4</v>
      </c>
      <c r="C9" s="7">
        <v>45000</v>
      </c>
      <c r="E9" s="7">
        <v>8</v>
      </c>
      <c r="F9" s="7">
        <v>4</v>
      </c>
      <c r="G9" s="24">
        <v>4</v>
      </c>
      <c r="H9" s="24">
        <v>2</v>
      </c>
      <c r="J9" s="7">
        <v>8</v>
      </c>
      <c r="K9" s="7">
        <v>400000</v>
      </c>
      <c r="M9">
        <v>5</v>
      </c>
      <c r="N9" t="s">
        <v>843</v>
      </c>
      <c r="O9" s="7">
        <v>10</v>
      </c>
      <c r="P9" t="s">
        <v>902</v>
      </c>
    </row>
    <row r="10" spans="1:16" x14ac:dyDescent="0.15">
      <c r="A10" s="7">
        <v>9</v>
      </c>
      <c r="B10" s="7">
        <f t="shared" si="0"/>
        <v>5</v>
      </c>
      <c r="C10" s="7">
        <v>50000</v>
      </c>
      <c r="E10" s="7">
        <v>9</v>
      </c>
      <c r="F10" s="7">
        <v>5</v>
      </c>
      <c r="G10" s="24">
        <v>5</v>
      </c>
      <c r="H10" s="24">
        <v>1</v>
      </c>
      <c r="J10" s="7">
        <v>9</v>
      </c>
      <c r="K10" s="7">
        <v>450000</v>
      </c>
      <c r="M10">
        <v>6</v>
      </c>
      <c r="N10" t="s">
        <v>844</v>
      </c>
      <c r="O10" s="7">
        <v>12</v>
      </c>
      <c r="P10" t="s">
        <v>903</v>
      </c>
    </row>
    <row r="11" spans="1:16" x14ac:dyDescent="0.15">
      <c r="A11" s="7">
        <v>10</v>
      </c>
      <c r="B11" s="7">
        <f t="shared" si="0"/>
        <v>5</v>
      </c>
      <c r="C11" s="7">
        <v>55000</v>
      </c>
      <c r="E11" s="7">
        <v>10</v>
      </c>
      <c r="F11" s="7">
        <v>5</v>
      </c>
      <c r="G11" s="24">
        <v>5</v>
      </c>
      <c r="H11" s="24">
        <v>2</v>
      </c>
      <c r="J11" s="7">
        <v>10</v>
      </c>
      <c r="K11" s="7">
        <v>500000</v>
      </c>
      <c r="M11">
        <v>7</v>
      </c>
      <c r="N11" t="s">
        <v>845</v>
      </c>
      <c r="O11" s="7">
        <v>14</v>
      </c>
      <c r="P11" t="s">
        <v>904</v>
      </c>
    </row>
    <row r="12" spans="1:16" x14ac:dyDescent="0.15">
      <c r="A12" s="7">
        <v>11</v>
      </c>
      <c r="B12" s="7">
        <f t="shared" si="0"/>
        <v>6</v>
      </c>
      <c r="C12" s="7">
        <v>60000</v>
      </c>
      <c r="E12" s="7">
        <v>11</v>
      </c>
      <c r="F12" s="7">
        <v>6</v>
      </c>
      <c r="G12" s="24">
        <v>5</v>
      </c>
      <c r="H12" s="24">
        <v>1</v>
      </c>
      <c r="J12" s="7">
        <v>11</v>
      </c>
      <c r="K12" s="7">
        <v>550000</v>
      </c>
      <c r="M12">
        <v>8</v>
      </c>
      <c r="N12" t="s">
        <v>846</v>
      </c>
      <c r="O12" s="7">
        <v>16</v>
      </c>
      <c r="P12" t="s">
        <v>905</v>
      </c>
    </row>
    <row r="13" spans="1:16" x14ac:dyDescent="0.15">
      <c r="A13" s="7">
        <v>12</v>
      </c>
      <c r="B13" s="7">
        <f t="shared" si="0"/>
        <v>6</v>
      </c>
      <c r="C13" s="7">
        <v>65000</v>
      </c>
      <c r="E13" s="7">
        <v>12</v>
      </c>
      <c r="F13" s="7">
        <v>6</v>
      </c>
      <c r="G13" s="24">
        <v>6</v>
      </c>
      <c r="H13" s="24">
        <v>2</v>
      </c>
      <c r="J13" s="7">
        <v>12</v>
      </c>
      <c r="K13" s="7">
        <v>600000</v>
      </c>
      <c r="M13">
        <v>9</v>
      </c>
      <c r="N13" t="s">
        <v>847</v>
      </c>
      <c r="O13" s="7">
        <v>18</v>
      </c>
      <c r="P13" t="s">
        <v>906</v>
      </c>
    </row>
    <row r="14" spans="1:16" x14ac:dyDescent="0.15">
      <c r="A14" s="7">
        <v>13</v>
      </c>
      <c r="B14" s="7">
        <f t="shared" si="0"/>
        <v>7</v>
      </c>
      <c r="C14" s="7">
        <v>70000</v>
      </c>
      <c r="E14" s="7">
        <v>13</v>
      </c>
      <c r="F14" s="7">
        <v>7</v>
      </c>
      <c r="G14" s="24">
        <v>6</v>
      </c>
      <c r="H14" s="24">
        <v>1</v>
      </c>
      <c r="J14" s="7">
        <v>13</v>
      </c>
      <c r="K14" s="7">
        <v>650000</v>
      </c>
      <c r="M14">
        <v>10</v>
      </c>
      <c r="N14" t="s">
        <v>848</v>
      </c>
      <c r="O14" s="7">
        <v>20</v>
      </c>
      <c r="P14" t="s">
        <v>907</v>
      </c>
    </row>
    <row r="15" spans="1:16" x14ac:dyDescent="0.15">
      <c r="A15" s="7">
        <v>14</v>
      </c>
      <c r="B15" s="7">
        <f t="shared" si="0"/>
        <v>7</v>
      </c>
      <c r="C15" s="7">
        <v>75000</v>
      </c>
      <c r="E15" s="7">
        <v>14</v>
      </c>
      <c r="F15" s="7">
        <v>7</v>
      </c>
      <c r="G15" s="24">
        <v>7</v>
      </c>
      <c r="H15" s="24">
        <v>2</v>
      </c>
      <c r="J15" s="7">
        <v>14</v>
      </c>
      <c r="K15" s="7">
        <v>700000</v>
      </c>
    </row>
    <row r="16" spans="1:16" x14ac:dyDescent="0.15">
      <c r="A16" s="7">
        <v>15</v>
      </c>
      <c r="B16" s="7">
        <f t="shared" si="0"/>
        <v>8</v>
      </c>
      <c r="C16" s="7">
        <v>80000</v>
      </c>
      <c r="E16" s="7">
        <v>15</v>
      </c>
      <c r="F16" s="7">
        <v>7</v>
      </c>
      <c r="G16" s="24">
        <v>7</v>
      </c>
      <c r="H16" s="24">
        <v>1</v>
      </c>
      <c r="J16" s="7">
        <v>15</v>
      </c>
      <c r="K16" s="7">
        <v>750000</v>
      </c>
    </row>
    <row r="17" spans="1:16" x14ac:dyDescent="0.15">
      <c r="A17" s="7">
        <v>16</v>
      </c>
      <c r="B17" s="7">
        <f t="shared" si="0"/>
        <v>8</v>
      </c>
      <c r="C17" s="7">
        <v>85000</v>
      </c>
      <c r="E17" s="7">
        <v>16</v>
      </c>
      <c r="F17" s="7">
        <v>8</v>
      </c>
      <c r="G17" s="24">
        <v>8</v>
      </c>
      <c r="H17" s="24">
        <v>2</v>
      </c>
      <c r="J17" s="7">
        <v>16</v>
      </c>
      <c r="K17" s="7">
        <v>800000</v>
      </c>
      <c r="N17" s="2" t="s">
        <v>1118</v>
      </c>
    </row>
    <row r="18" spans="1:16" x14ac:dyDescent="0.15">
      <c r="A18" s="7">
        <v>17</v>
      </c>
      <c r="B18" s="7">
        <f t="shared" si="0"/>
        <v>9</v>
      </c>
      <c r="C18" s="7">
        <v>90000</v>
      </c>
      <c r="E18" s="7">
        <v>17</v>
      </c>
      <c r="F18" s="7">
        <v>8</v>
      </c>
      <c r="G18" s="24">
        <v>8</v>
      </c>
      <c r="H18" s="24">
        <v>1</v>
      </c>
      <c r="J18" s="7">
        <v>17</v>
      </c>
      <c r="K18" s="7">
        <v>850000</v>
      </c>
      <c r="M18">
        <v>1</v>
      </c>
      <c r="N18" s="2" t="s">
        <v>1119</v>
      </c>
      <c r="P18" s="7"/>
    </row>
    <row r="19" spans="1:16" x14ac:dyDescent="0.15">
      <c r="A19" s="7">
        <v>18</v>
      </c>
      <c r="B19" s="7">
        <f t="shared" si="0"/>
        <v>9</v>
      </c>
      <c r="C19">
        <v>93000</v>
      </c>
      <c r="E19" s="7">
        <v>18</v>
      </c>
      <c r="F19" s="7">
        <v>9</v>
      </c>
      <c r="G19" s="24">
        <v>9</v>
      </c>
      <c r="H19" s="24">
        <v>1</v>
      </c>
      <c r="J19" s="7">
        <v>18</v>
      </c>
      <c r="K19" s="7">
        <v>900000</v>
      </c>
      <c r="M19">
        <v>2</v>
      </c>
      <c r="N19" s="2" t="s">
        <v>1120</v>
      </c>
    </row>
    <row r="20" spans="1:16" x14ac:dyDescent="0.15">
      <c r="A20" s="7">
        <v>19</v>
      </c>
      <c r="B20" s="7">
        <v>9</v>
      </c>
      <c r="C20">
        <v>96000</v>
      </c>
      <c r="E20" s="7">
        <v>19</v>
      </c>
      <c r="F20" s="7">
        <v>9</v>
      </c>
      <c r="G20" s="24">
        <v>9</v>
      </c>
      <c r="H20" s="24">
        <v>1</v>
      </c>
      <c r="J20" s="7">
        <v>19</v>
      </c>
      <c r="K20" s="7">
        <v>950000</v>
      </c>
      <c r="L20" s="24"/>
      <c r="M20" s="24">
        <v>3</v>
      </c>
      <c r="N20" s="2" t="s">
        <v>1121</v>
      </c>
    </row>
    <row r="21" spans="1:16" x14ac:dyDescent="0.15">
      <c r="A21" s="7">
        <v>20</v>
      </c>
      <c r="B21" s="7">
        <f t="shared" si="0"/>
        <v>10</v>
      </c>
      <c r="C21">
        <v>100000</v>
      </c>
      <c r="E21" s="7">
        <v>20</v>
      </c>
      <c r="F21" s="7">
        <v>10</v>
      </c>
      <c r="G21" s="24">
        <v>10</v>
      </c>
      <c r="H21" s="24">
        <v>1</v>
      </c>
      <c r="J21" s="7">
        <v>20</v>
      </c>
      <c r="K21" s="7">
        <v>1000000</v>
      </c>
      <c r="L21" s="24"/>
      <c r="M21" s="24">
        <v>4</v>
      </c>
      <c r="N21" s="2" t="s">
        <v>1122</v>
      </c>
    </row>
    <row r="22" spans="1:16" x14ac:dyDescent="0.15">
      <c r="L22" s="24"/>
      <c r="M22" s="24">
        <v>5</v>
      </c>
      <c r="N22" s="2" t="s">
        <v>1123</v>
      </c>
    </row>
    <row r="23" spans="1:16" x14ac:dyDescent="0.15">
      <c r="L23" s="24"/>
      <c r="M23" s="24">
        <v>6</v>
      </c>
      <c r="N23" s="2" t="s">
        <v>1124</v>
      </c>
    </row>
    <row r="24" spans="1:16" x14ac:dyDescent="0.15">
      <c r="M24" s="24">
        <v>7</v>
      </c>
      <c r="N24" s="2" t="s">
        <v>1125</v>
      </c>
    </row>
    <row r="25" spans="1:16" x14ac:dyDescent="0.15">
      <c r="M25" s="24">
        <v>8</v>
      </c>
      <c r="N25" s="2" t="s">
        <v>1126</v>
      </c>
    </row>
    <row r="26" spans="1:16" x14ac:dyDescent="0.15">
      <c r="M26" s="24">
        <v>9</v>
      </c>
      <c r="N26" s="2" t="s">
        <v>1127</v>
      </c>
    </row>
    <row r="27" spans="1:16" x14ac:dyDescent="0.15">
      <c r="M27" s="24">
        <v>10</v>
      </c>
      <c r="N27" s="2" t="s">
        <v>1128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G13"/>
  <sheetViews>
    <sheetView workbookViewId="0">
      <selection activeCell="H19" sqref="H19"/>
    </sheetView>
  </sheetViews>
  <sheetFormatPr defaultRowHeight="13.5" x14ac:dyDescent="0.15"/>
  <cols>
    <col min="2" max="2" width="13.875" bestFit="1" customWidth="1"/>
    <col min="3" max="3" width="8.375" bestFit="1" customWidth="1"/>
  </cols>
  <sheetData>
    <row r="1" spans="1:7" ht="29.25" thickBot="1" x14ac:dyDescent="0.2">
      <c r="A1" s="52"/>
      <c r="B1" s="52" t="s">
        <v>1032</v>
      </c>
      <c r="C1" s="53" t="s">
        <v>1033</v>
      </c>
      <c r="D1" s="52"/>
      <c r="E1" s="52"/>
      <c r="F1" s="52" t="s">
        <v>1034</v>
      </c>
      <c r="G1" s="52" t="s">
        <v>1035</v>
      </c>
    </row>
    <row r="2" spans="1:7" ht="14.25" x14ac:dyDescent="0.15">
      <c r="A2" s="52" t="s">
        <v>260</v>
      </c>
      <c r="B2" s="52">
        <v>1</v>
      </c>
      <c r="C2" s="52">
        <v>0.6</v>
      </c>
      <c r="D2" s="52"/>
      <c r="E2" s="52"/>
      <c r="F2" s="52" t="s">
        <v>1036</v>
      </c>
      <c r="G2" s="52">
        <v>0.7</v>
      </c>
    </row>
    <row r="3" spans="1:7" ht="14.25" x14ac:dyDescent="0.15">
      <c r="A3" s="52" t="s">
        <v>259</v>
      </c>
      <c r="B3" s="52">
        <v>1</v>
      </c>
      <c r="C3" s="52">
        <v>0.7</v>
      </c>
      <c r="D3" s="52"/>
      <c r="E3" s="52"/>
      <c r="F3" s="52" t="s">
        <v>1037</v>
      </c>
      <c r="G3" s="52">
        <v>0.6</v>
      </c>
    </row>
    <row r="4" spans="1:7" ht="14.25" x14ac:dyDescent="0.15">
      <c r="A4" s="52" t="s">
        <v>261</v>
      </c>
      <c r="B4" s="52">
        <v>2</v>
      </c>
      <c r="C4" s="52">
        <v>0.6</v>
      </c>
      <c r="D4" s="52"/>
      <c r="E4" s="52"/>
      <c r="F4" s="52" t="s">
        <v>1038</v>
      </c>
      <c r="G4" s="52">
        <v>0.55000000000000004</v>
      </c>
    </row>
    <row r="5" spans="1:7" ht="14.25" x14ac:dyDescent="0.15">
      <c r="A5" s="52" t="s">
        <v>262</v>
      </c>
      <c r="B5" s="52">
        <v>4</v>
      </c>
      <c r="C5" s="52">
        <v>2</v>
      </c>
      <c r="D5" s="52"/>
      <c r="E5" s="52"/>
      <c r="F5" s="52" t="s">
        <v>1039</v>
      </c>
      <c r="G5" s="52">
        <v>0.5</v>
      </c>
    </row>
    <row r="6" spans="1:7" ht="14.25" x14ac:dyDescent="0.15">
      <c r="A6" s="52" t="s">
        <v>263</v>
      </c>
      <c r="B6" s="52">
        <v>3</v>
      </c>
      <c r="C6" s="52">
        <v>2</v>
      </c>
      <c r="D6" s="52"/>
      <c r="E6" s="52"/>
      <c r="F6" s="52"/>
      <c r="G6" s="52"/>
    </row>
    <row r="7" spans="1:7" ht="14.25" x14ac:dyDescent="0.15">
      <c r="A7" s="52" t="s">
        <v>264</v>
      </c>
      <c r="B7" s="52">
        <v>5</v>
      </c>
      <c r="C7" s="52">
        <v>3</v>
      </c>
      <c r="D7" s="52"/>
      <c r="E7" s="52"/>
      <c r="F7" s="52"/>
      <c r="G7" s="52"/>
    </row>
    <row r="8" spans="1:7" ht="14.25" x14ac:dyDescent="0.15">
      <c r="A8" s="52" t="s">
        <v>265</v>
      </c>
      <c r="B8" s="52">
        <v>5</v>
      </c>
      <c r="C8" s="52">
        <v>3</v>
      </c>
      <c r="D8" s="52"/>
      <c r="E8" s="52"/>
      <c r="F8" s="52" t="s">
        <v>1040</v>
      </c>
      <c r="G8" s="52"/>
    </row>
    <row r="9" spans="1:7" ht="14.25" x14ac:dyDescent="0.15">
      <c r="A9" s="52" t="s">
        <v>266</v>
      </c>
      <c r="B9" s="52">
        <v>7</v>
      </c>
      <c r="C9" s="52">
        <v>4</v>
      </c>
      <c r="D9" s="52"/>
      <c r="E9" s="52"/>
      <c r="F9" s="52"/>
      <c r="G9" s="52"/>
    </row>
    <row r="10" spans="1:7" ht="14.25" x14ac:dyDescent="0.15">
      <c r="A10" s="52" t="s">
        <v>267</v>
      </c>
      <c r="B10" s="52">
        <v>6</v>
      </c>
      <c r="C10" s="52">
        <v>3.5</v>
      </c>
      <c r="D10" s="52"/>
      <c r="E10" s="52"/>
      <c r="F10" s="52"/>
      <c r="G10" s="52"/>
    </row>
    <row r="11" spans="1:7" ht="14.25" x14ac:dyDescent="0.15">
      <c r="A11" s="52" t="s">
        <v>268</v>
      </c>
      <c r="B11" s="52">
        <v>15</v>
      </c>
      <c r="C11" s="52">
        <v>8.5</v>
      </c>
      <c r="D11" s="52"/>
      <c r="E11" s="52"/>
      <c r="F11" s="52"/>
      <c r="G11" s="52"/>
    </row>
    <row r="12" spans="1:7" ht="14.25" x14ac:dyDescent="0.15">
      <c r="A12" s="52" t="s">
        <v>269</v>
      </c>
      <c r="B12" s="52">
        <v>17</v>
      </c>
      <c r="C12" s="52">
        <v>10</v>
      </c>
      <c r="D12" s="52"/>
      <c r="E12" s="52"/>
      <c r="F12" s="52"/>
      <c r="G12" s="52"/>
    </row>
    <row r="13" spans="1:7" ht="14.25" x14ac:dyDescent="0.15">
      <c r="A13" s="52" t="s">
        <v>281</v>
      </c>
      <c r="B13" s="52">
        <v>15</v>
      </c>
      <c r="C13" s="52">
        <v>8.5</v>
      </c>
      <c r="D13" s="52"/>
      <c r="E13" s="52"/>
      <c r="F13" s="52"/>
      <c r="G13" s="52"/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H262"/>
  <sheetViews>
    <sheetView topLeftCell="A208" workbookViewId="0">
      <selection activeCell="I221" sqref="I221"/>
    </sheetView>
  </sheetViews>
  <sheetFormatPr defaultRowHeight="13.5" x14ac:dyDescent="0.15"/>
  <cols>
    <col min="1" max="1" width="12.125" customWidth="1"/>
    <col min="5" max="6" width="9" style="7"/>
  </cols>
  <sheetData>
    <row r="1" spans="1:8" x14ac:dyDescent="0.15">
      <c r="A1" t="s">
        <v>412</v>
      </c>
      <c r="E1" s="7" t="str">
        <f>A1&amp;C1&amp;B1&amp;D1</f>
        <v>{</v>
      </c>
      <c r="H1" t="s">
        <v>412</v>
      </c>
    </row>
    <row r="2" spans="1:8" x14ac:dyDescent="0.15">
      <c r="A2" s="7" t="s">
        <v>416</v>
      </c>
      <c r="B2" t="s">
        <v>417</v>
      </c>
      <c r="C2" s="7" t="s">
        <v>590</v>
      </c>
      <c r="E2" s="7" t="str">
        <f t="shared" ref="E2:E65" si="0">A2&amp;C2&amp;B2&amp;D2</f>
        <v xml:space="preserve">  "1":  {</v>
      </c>
      <c r="H2" s="7" t="s">
        <v>589</v>
      </c>
    </row>
    <row r="3" spans="1:8" x14ac:dyDescent="0.15">
      <c r="A3" t="s">
        <v>418</v>
      </c>
      <c r="B3">
        <v>1</v>
      </c>
      <c r="C3" s="7" t="s">
        <v>590</v>
      </c>
      <c r="D3" t="s">
        <v>592</v>
      </c>
      <c r="E3" s="7" t="str">
        <f t="shared" si="0"/>
        <v xml:space="preserve">    "level": 1,</v>
      </c>
      <c r="H3" s="7" t="s">
        <v>591</v>
      </c>
    </row>
    <row r="4" spans="1:8" x14ac:dyDescent="0.15">
      <c r="A4" t="s">
        <v>419</v>
      </c>
      <c r="B4">
        <v>20</v>
      </c>
      <c r="C4" s="7" t="s">
        <v>590</v>
      </c>
      <c r="D4" s="7" t="s">
        <v>592</v>
      </c>
      <c r="E4" s="7" t="str">
        <f t="shared" si="0"/>
        <v xml:space="preserve">    "ranged": 20,</v>
      </c>
      <c r="H4" t="s">
        <v>448</v>
      </c>
    </row>
    <row r="5" spans="1:8" x14ac:dyDescent="0.15">
      <c r="A5" t="s">
        <v>420</v>
      </c>
      <c r="B5">
        <v>20</v>
      </c>
      <c r="C5" s="7" t="s">
        <v>590</v>
      </c>
      <c r="D5" s="7" t="s">
        <v>592</v>
      </c>
      <c r="E5" s="7" t="str">
        <f t="shared" si="0"/>
        <v xml:space="preserve">    "melee": 20,</v>
      </c>
      <c r="H5" t="s">
        <v>449</v>
      </c>
    </row>
    <row r="6" spans="1:8" x14ac:dyDescent="0.15">
      <c r="A6" t="s">
        <v>421</v>
      </c>
      <c r="B6">
        <v>10</v>
      </c>
      <c r="C6" s="7" t="s">
        <v>590</v>
      </c>
      <c r="D6" s="7" t="s">
        <v>592</v>
      </c>
      <c r="E6" s="7" t="str">
        <f t="shared" si="0"/>
        <v xml:space="preserve">    "defense": 10,</v>
      </c>
      <c r="H6" t="s">
        <v>450</v>
      </c>
    </row>
    <row r="7" spans="1:8" x14ac:dyDescent="0.15">
      <c r="A7" t="s">
        <v>422</v>
      </c>
      <c r="B7">
        <v>1666</v>
      </c>
      <c r="C7" s="7" t="s">
        <v>590</v>
      </c>
      <c r="D7" s="7" t="s">
        <v>592</v>
      </c>
      <c r="E7" s="7" t="str">
        <f t="shared" si="0"/>
        <v xml:space="preserve">    "life": 1666,</v>
      </c>
      <c r="H7" t="s">
        <v>451</v>
      </c>
    </row>
    <row r="8" spans="1:8" x14ac:dyDescent="0.15">
      <c r="A8" t="s">
        <v>423</v>
      </c>
      <c r="B8">
        <v>300</v>
      </c>
      <c r="C8" s="7" t="s">
        <v>590</v>
      </c>
      <c r="D8" s="7" t="s">
        <v>592</v>
      </c>
      <c r="E8" s="7" t="str">
        <f t="shared" si="0"/>
        <v xml:space="preserve">    "speed": 300,</v>
      </c>
      <c r="H8" t="s">
        <v>452</v>
      </c>
    </row>
    <row r="9" spans="1:8" x14ac:dyDescent="0.15">
      <c r="A9" t="s">
        <v>424</v>
      </c>
      <c r="B9">
        <v>1800</v>
      </c>
      <c r="C9" s="7" t="s">
        <v>590</v>
      </c>
      <c r="D9" s="7" t="s">
        <v>592</v>
      </c>
      <c r="E9" s="7" t="str">
        <f t="shared" si="0"/>
        <v xml:space="preserve">    "range": 1800,</v>
      </c>
      <c r="H9" t="s">
        <v>453</v>
      </c>
    </row>
    <row r="10" spans="1:8" x14ac:dyDescent="0.15">
      <c r="A10" t="s">
        <v>425</v>
      </c>
      <c r="B10">
        <v>0</v>
      </c>
      <c r="C10" s="7" t="s">
        <v>590</v>
      </c>
      <c r="D10" s="7" t="s">
        <v>592</v>
      </c>
      <c r="E10" s="7" t="str">
        <f t="shared" si="0"/>
        <v xml:space="preserve">    "load": 0,</v>
      </c>
      <c r="H10" t="s">
        <v>454</v>
      </c>
    </row>
    <row r="11" spans="1:8" x14ac:dyDescent="0.15">
      <c r="A11" t="s">
        <v>426</v>
      </c>
      <c r="B11">
        <v>0</v>
      </c>
      <c r="C11" s="7" t="s">
        <v>590</v>
      </c>
      <c r="D11" s="7" t="s">
        <v>592</v>
      </c>
      <c r="E11" s="7" t="str">
        <f t="shared" si="0"/>
        <v xml:space="preserve">    "upkeep": 0,</v>
      </c>
      <c r="H11" t="s">
        <v>455</v>
      </c>
    </row>
    <row r="12" spans="1:8" x14ac:dyDescent="0.15">
      <c r="A12" t="s">
        <v>427</v>
      </c>
      <c r="B12">
        <v>0</v>
      </c>
      <c r="C12" s="7" t="s">
        <v>590</v>
      </c>
      <c r="D12" s="7" t="s">
        <v>592</v>
      </c>
      <c r="E12" s="7" t="str">
        <f t="shared" si="0"/>
        <v xml:space="preserve">    "might": 0,</v>
      </c>
      <c r="H12" t="s">
        <v>456</v>
      </c>
    </row>
    <row r="13" spans="1:8" x14ac:dyDescent="0.15">
      <c r="A13" t="s">
        <v>428</v>
      </c>
      <c r="B13">
        <v>0</v>
      </c>
      <c r="C13" s="7" t="s">
        <v>590</v>
      </c>
      <c r="E13" s="7" t="str">
        <f t="shared" si="0"/>
        <v xml:space="preserve">    "transform": 0</v>
      </c>
      <c r="H13" t="s">
        <v>457</v>
      </c>
    </row>
    <row r="14" spans="1:8" x14ac:dyDescent="0.15">
      <c r="A14" t="s">
        <v>413</v>
      </c>
      <c r="C14" s="7"/>
      <c r="E14" s="7" t="str">
        <f t="shared" si="0"/>
        <v xml:space="preserve">  },</v>
      </c>
      <c r="H14" t="s">
        <v>413</v>
      </c>
    </row>
    <row r="15" spans="1:8" x14ac:dyDescent="0.15">
      <c r="A15" t="s">
        <v>429</v>
      </c>
      <c r="B15" t="s">
        <v>417</v>
      </c>
      <c r="C15" s="7" t="s">
        <v>590</v>
      </c>
      <c r="D15" s="7"/>
      <c r="E15" s="7" t="str">
        <f t="shared" si="0"/>
        <v xml:space="preserve">  "2":  {</v>
      </c>
      <c r="H15" t="s">
        <v>458</v>
      </c>
    </row>
    <row r="16" spans="1:8" x14ac:dyDescent="0.15">
      <c r="A16" t="s">
        <v>418</v>
      </c>
      <c r="B16">
        <v>2</v>
      </c>
      <c r="C16" s="7" t="s">
        <v>590</v>
      </c>
      <c r="D16" s="7" t="s">
        <v>592</v>
      </c>
      <c r="E16" s="7" t="str">
        <f t="shared" si="0"/>
        <v xml:space="preserve">    "level": 2,</v>
      </c>
      <c r="H16" t="s">
        <v>459</v>
      </c>
    </row>
    <row r="17" spans="1:8" x14ac:dyDescent="0.15">
      <c r="A17" t="s">
        <v>419</v>
      </c>
      <c r="B17">
        <v>40</v>
      </c>
      <c r="C17" s="7" t="s">
        <v>590</v>
      </c>
      <c r="D17" s="7" t="s">
        <v>592</v>
      </c>
      <c r="E17" s="7" t="str">
        <f t="shared" si="0"/>
        <v xml:space="preserve">    "ranged": 40,</v>
      </c>
      <c r="H17" t="s">
        <v>448</v>
      </c>
    </row>
    <row r="18" spans="1:8" x14ac:dyDescent="0.15">
      <c r="A18" t="s">
        <v>420</v>
      </c>
      <c r="B18">
        <v>40</v>
      </c>
      <c r="C18" s="7" t="s">
        <v>590</v>
      </c>
      <c r="D18" s="7" t="s">
        <v>592</v>
      </c>
      <c r="E18" s="7" t="str">
        <f t="shared" si="0"/>
        <v xml:space="preserve">    "melee": 40,</v>
      </c>
      <c r="H18" t="s">
        <v>449</v>
      </c>
    </row>
    <row r="19" spans="1:8" x14ac:dyDescent="0.15">
      <c r="A19" t="s">
        <v>421</v>
      </c>
      <c r="B19">
        <v>20</v>
      </c>
      <c r="C19" s="7" t="s">
        <v>590</v>
      </c>
      <c r="D19" s="7" t="s">
        <v>592</v>
      </c>
      <c r="E19" s="7" t="str">
        <f t="shared" si="0"/>
        <v xml:space="preserve">    "defense": 20,</v>
      </c>
      <c r="H19" t="s">
        <v>450</v>
      </c>
    </row>
    <row r="20" spans="1:8" x14ac:dyDescent="0.15">
      <c r="A20" t="s">
        <v>422</v>
      </c>
      <c r="B20">
        <v>3333</v>
      </c>
      <c r="C20" s="7" t="s">
        <v>590</v>
      </c>
      <c r="D20" s="7" t="s">
        <v>592</v>
      </c>
      <c r="E20" s="7" t="str">
        <f t="shared" si="0"/>
        <v xml:space="preserve">    "life": 3333,</v>
      </c>
      <c r="H20" t="s">
        <v>451</v>
      </c>
    </row>
    <row r="21" spans="1:8" x14ac:dyDescent="0.15">
      <c r="A21" t="s">
        <v>423</v>
      </c>
      <c r="B21">
        <v>300</v>
      </c>
      <c r="C21" s="7" t="s">
        <v>590</v>
      </c>
      <c r="D21" s="7" t="s">
        <v>592</v>
      </c>
      <c r="E21" s="7" t="str">
        <f t="shared" si="0"/>
        <v xml:space="preserve">    "speed": 300,</v>
      </c>
      <c r="H21" t="s">
        <v>460</v>
      </c>
    </row>
    <row r="22" spans="1:8" x14ac:dyDescent="0.15">
      <c r="A22" t="s">
        <v>424</v>
      </c>
      <c r="B22">
        <v>1800</v>
      </c>
      <c r="C22" s="7" t="s">
        <v>590</v>
      </c>
      <c r="D22" s="7" t="s">
        <v>592</v>
      </c>
      <c r="E22" s="7" t="str">
        <f t="shared" si="0"/>
        <v xml:space="preserve">    "range": 1800,</v>
      </c>
      <c r="H22" t="s">
        <v>461</v>
      </c>
    </row>
    <row r="23" spans="1:8" x14ac:dyDescent="0.15">
      <c r="A23" t="s">
        <v>425</v>
      </c>
      <c r="B23">
        <v>0</v>
      </c>
      <c r="C23" s="7" t="s">
        <v>590</v>
      </c>
      <c r="D23" s="7" t="s">
        <v>592</v>
      </c>
      <c r="E23" s="7" t="str">
        <f t="shared" si="0"/>
        <v xml:space="preserve">    "load": 0,</v>
      </c>
      <c r="H23" t="s">
        <v>454</v>
      </c>
    </row>
    <row r="24" spans="1:8" x14ac:dyDescent="0.15">
      <c r="A24" t="s">
        <v>426</v>
      </c>
      <c r="B24">
        <v>0</v>
      </c>
      <c r="C24" s="7" t="s">
        <v>590</v>
      </c>
      <c r="D24" s="7" t="s">
        <v>592</v>
      </c>
      <c r="E24" s="7" t="str">
        <f t="shared" si="0"/>
        <v xml:space="preserve">    "upkeep": 0,</v>
      </c>
      <c r="H24" t="s">
        <v>455</v>
      </c>
    </row>
    <row r="25" spans="1:8" x14ac:dyDescent="0.15">
      <c r="A25" t="s">
        <v>427</v>
      </c>
      <c r="B25">
        <v>0</v>
      </c>
      <c r="C25" s="7" t="s">
        <v>590</v>
      </c>
      <c r="D25" s="7" t="s">
        <v>592</v>
      </c>
      <c r="E25" s="7" t="str">
        <f t="shared" si="0"/>
        <v xml:space="preserve">    "might": 0,</v>
      </c>
      <c r="H25" t="s">
        <v>456</v>
      </c>
    </row>
    <row r="26" spans="1:8" x14ac:dyDescent="0.15">
      <c r="A26" t="s">
        <v>428</v>
      </c>
      <c r="B26">
        <v>0</v>
      </c>
      <c r="C26" s="7" t="s">
        <v>590</v>
      </c>
      <c r="D26" s="7"/>
      <c r="E26" s="7" t="str">
        <f t="shared" si="0"/>
        <v xml:space="preserve">    "transform": 0</v>
      </c>
      <c r="H26" t="s">
        <v>457</v>
      </c>
    </row>
    <row r="27" spans="1:8" x14ac:dyDescent="0.15">
      <c r="A27" t="s">
        <v>413</v>
      </c>
      <c r="C27" s="7"/>
      <c r="D27" s="7"/>
      <c r="E27" s="7" t="str">
        <f t="shared" si="0"/>
        <v xml:space="preserve">  },</v>
      </c>
      <c r="H27" t="s">
        <v>413</v>
      </c>
    </row>
    <row r="28" spans="1:8" x14ac:dyDescent="0.15">
      <c r="A28" t="s">
        <v>430</v>
      </c>
      <c r="B28" t="s">
        <v>417</v>
      </c>
      <c r="C28" s="7" t="s">
        <v>590</v>
      </c>
      <c r="D28" s="7"/>
      <c r="E28" s="7" t="str">
        <f t="shared" si="0"/>
        <v xml:space="preserve">  "3":  {</v>
      </c>
      <c r="H28" t="s">
        <v>462</v>
      </c>
    </row>
    <row r="29" spans="1:8" x14ac:dyDescent="0.15">
      <c r="A29" t="s">
        <v>418</v>
      </c>
      <c r="B29">
        <v>3</v>
      </c>
      <c r="C29" s="7" t="s">
        <v>590</v>
      </c>
      <c r="D29" s="7" t="s">
        <v>592</v>
      </c>
      <c r="E29" s="7" t="str">
        <f t="shared" si="0"/>
        <v xml:space="preserve">    "level": 3,</v>
      </c>
      <c r="H29" t="s">
        <v>463</v>
      </c>
    </row>
    <row r="30" spans="1:8" x14ac:dyDescent="0.15">
      <c r="A30" t="s">
        <v>419</v>
      </c>
      <c r="B30">
        <v>60</v>
      </c>
      <c r="C30" s="7" t="s">
        <v>590</v>
      </c>
      <c r="D30" s="7" t="s">
        <v>592</v>
      </c>
      <c r="E30" s="7" t="str">
        <f t="shared" si="0"/>
        <v xml:space="preserve">    "ranged": 60,</v>
      </c>
      <c r="H30" t="s">
        <v>464</v>
      </c>
    </row>
    <row r="31" spans="1:8" x14ac:dyDescent="0.15">
      <c r="A31" t="s">
        <v>420</v>
      </c>
      <c r="B31">
        <v>60</v>
      </c>
      <c r="C31" s="7" t="s">
        <v>590</v>
      </c>
      <c r="D31" s="7" t="s">
        <v>592</v>
      </c>
      <c r="E31" s="7" t="str">
        <f t="shared" si="0"/>
        <v xml:space="preserve">    "melee": 60,</v>
      </c>
      <c r="H31" t="s">
        <v>465</v>
      </c>
    </row>
    <row r="32" spans="1:8" x14ac:dyDescent="0.15">
      <c r="A32" t="s">
        <v>421</v>
      </c>
      <c r="B32">
        <v>34</v>
      </c>
      <c r="C32" s="7" t="s">
        <v>590</v>
      </c>
      <c r="D32" s="7" t="s">
        <v>592</v>
      </c>
      <c r="E32" s="7" t="str">
        <f t="shared" si="0"/>
        <v xml:space="preserve">    "defense": 34,</v>
      </c>
      <c r="H32" t="s">
        <v>466</v>
      </c>
    </row>
    <row r="33" spans="1:8" x14ac:dyDescent="0.15">
      <c r="A33" t="s">
        <v>422</v>
      </c>
      <c r="B33">
        <v>5000</v>
      </c>
      <c r="C33" s="7" t="s">
        <v>590</v>
      </c>
      <c r="D33" s="7" t="s">
        <v>592</v>
      </c>
      <c r="E33" s="7" t="str">
        <f t="shared" si="0"/>
        <v xml:space="preserve">    "life": 5000,</v>
      </c>
      <c r="H33" t="s">
        <v>467</v>
      </c>
    </row>
    <row r="34" spans="1:8" x14ac:dyDescent="0.15">
      <c r="A34" t="s">
        <v>423</v>
      </c>
      <c r="B34">
        <v>300</v>
      </c>
      <c r="C34" s="7" t="s">
        <v>590</v>
      </c>
      <c r="D34" s="7" t="s">
        <v>592</v>
      </c>
      <c r="E34" s="7" t="str">
        <f t="shared" si="0"/>
        <v xml:space="preserve">    "speed": 300,</v>
      </c>
      <c r="H34" t="s">
        <v>460</v>
      </c>
    </row>
    <row r="35" spans="1:8" x14ac:dyDescent="0.15">
      <c r="A35" t="s">
        <v>424</v>
      </c>
      <c r="B35">
        <v>1800</v>
      </c>
      <c r="C35" s="7" t="s">
        <v>590</v>
      </c>
      <c r="D35" s="7" t="s">
        <v>592</v>
      </c>
      <c r="E35" s="7" t="str">
        <f t="shared" si="0"/>
        <v xml:space="preserve">    "range": 1800,</v>
      </c>
      <c r="H35" t="s">
        <v>461</v>
      </c>
    </row>
    <row r="36" spans="1:8" x14ac:dyDescent="0.15">
      <c r="A36" t="s">
        <v>425</v>
      </c>
      <c r="B36">
        <v>0</v>
      </c>
      <c r="C36" s="7" t="s">
        <v>590</v>
      </c>
      <c r="D36" s="7" t="s">
        <v>592</v>
      </c>
      <c r="E36" s="7" t="str">
        <f t="shared" si="0"/>
        <v xml:space="preserve">    "load": 0,</v>
      </c>
      <c r="H36" t="s">
        <v>454</v>
      </c>
    </row>
    <row r="37" spans="1:8" x14ac:dyDescent="0.15">
      <c r="A37" t="s">
        <v>426</v>
      </c>
      <c r="B37">
        <v>50</v>
      </c>
      <c r="C37" s="7" t="s">
        <v>590</v>
      </c>
      <c r="D37" s="7" t="s">
        <v>592</v>
      </c>
      <c r="E37" s="7" t="str">
        <f t="shared" si="0"/>
        <v xml:space="preserve">    "upkeep": 50,</v>
      </c>
      <c r="H37" t="s">
        <v>468</v>
      </c>
    </row>
    <row r="38" spans="1:8" x14ac:dyDescent="0.15">
      <c r="A38" t="s">
        <v>427</v>
      </c>
      <c r="B38">
        <v>0</v>
      </c>
      <c r="C38" s="7" t="s">
        <v>590</v>
      </c>
      <c r="D38" s="7" t="s">
        <v>592</v>
      </c>
      <c r="E38" s="7" t="str">
        <f t="shared" si="0"/>
        <v xml:space="preserve">    "might": 0,</v>
      </c>
      <c r="H38" t="s">
        <v>456</v>
      </c>
    </row>
    <row r="39" spans="1:8" x14ac:dyDescent="0.15">
      <c r="A39" t="s">
        <v>428</v>
      </c>
      <c r="B39">
        <v>0</v>
      </c>
      <c r="C39" s="7" t="s">
        <v>590</v>
      </c>
      <c r="D39" s="7"/>
      <c r="E39" s="7" t="str">
        <f t="shared" si="0"/>
        <v xml:space="preserve">    "transform": 0</v>
      </c>
      <c r="H39" t="s">
        <v>457</v>
      </c>
    </row>
    <row r="40" spans="1:8" x14ac:dyDescent="0.15">
      <c r="A40" t="s">
        <v>413</v>
      </c>
      <c r="C40" s="7"/>
      <c r="D40" s="7"/>
      <c r="E40" s="7" t="str">
        <f t="shared" si="0"/>
        <v xml:space="preserve">  },</v>
      </c>
      <c r="H40" t="s">
        <v>413</v>
      </c>
    </row>
    <row r="41" spans="1:8" x14ac:dyDescent="0.15">
      <c r="A41" t="s">
        <v>431</v>
      </c>
      <c r="B41" t="s">
        <v>417</v>
      </c>
      <c r="C41" s="7" t="s">
        <v>590</v>
      </c>
      <c r="D41" s="7"/>
      <c r="E41" s="7" t="str">
        <f t="shared" si="0"/>
        <v xml:space="preserve">  "4":  {</v>
      </c>
      <c r="H41" t="s">
        <v>469</v>
      </c>
    </row>
    <row r="42" spans="1:8" x14ac:dyDescent="0.15">
      <c r="A42" t="s">
        <v>418</v>
      </c>
      <c r="B42">
        <v>4</v>
      </c>
      <c r="C42" s="7" t="s">
        <v>590</v>
      </c>
      <c r="D42" s="7" t="s">
        <v>592</v>
      </c>
      <c r="E42" s="7" t="str">
        <f t="shared" si="0"/>
        <v xml:space="preserve">    "level": 4,</v>
      </c>
      <c r="H42" t="s">
        <v>470</v>
      </c>
    </row>
    <row r="43" spans="1:8" x14ac:dyDescent="0.15">
      <c r="A43" t="s">
        <v>419</v>
      </c>
      <c r="B43">
        <v>120</v>
      </c>
      <c r="C43" s="7" t="s">
        <v>590</v>
      </c>
      <c r="D43" s="7" t="s">
        <v>592</v>
      </c>
      <c r="E43" s="7" t="str">
        <f t="shared" si="0"/>
        <v xml:space="preserve">    "ranged": 120,</v>
      </c>
      <c r="H43" t="s">
        <v>471</v>
      </c>
    </row>
    <row r="44" spans="1:8" x14ac:dyDescent="0.15">
      <c r="A44" t="s">
        <v>420</v>
      </c>
      <c r="B44">
        <v>120</v>
      </c>
      <c r="C44" s="7" t="s">
        <v>590</v>
      </c>
      <c r="D44" s="7" t="s">
        <v>592</v>
      </c>
      <c r="E44" s="7" t="str">
        <f t="shared" si="0"/>
        <v xml:space="preserve">    "melee": 120,</v>
      </c>
      <c r="H44" t="s">
        <v>472</v>
      </c>
    </row>
    <row r="45" spans="1:8" x14ac:dyDescent="0.15">
      <c r="A45" t="s">
        <v>421</v>
      </c>
      <c r="B45">
        <v>69</v>
      </c>
      <c r="C45" s="7" t="s">
        <v>590</v>
      </c>
      <c r="D45" s="7" t="s">
        <v>592</v>
      </c>
      <c r="E45" s="7" t="str">
        <f t="shared" si="0"/>
        <v xml:space="preserve">    "defense": 69,</v>
      </c>
      <c r="H45" t="s">
        <v>473</v>
      </c>
    </row>
    <row r="46" spans="1:8" x14ac:dyDescent="0.15">
      <c r="A46" t="s">
        <v>422</v>
      </c>
      <c r="B46">
        <v>10000</v>
      </c>
      <c r="C46" s="7" t="s">
        <v>590</v>
      </c>
      <c r="D46" s="7" t="s">
        <v>592</v>
      </c>
      <c r="E46" s="7" t="str">
        <f t="shared" si="0"/>
        <v xml:space="preserve">    "life": 10000,</v>
      </c>
      <c r="H46" t="s">
        <v>474</v>
      </c>
    </row>
    <row r="47" spans="1:8" x14ac:dyDescent="0.15">
      <c r="A47" t="s">
        <v>423</v>
      </c>
      <c r="B47">
        <v>300</v>
      </c>
      <c r="C47" s="7" t="s">
        <v>590</v>
      </c>
      <c r="D47" s="7" t="s">
        <v>592</v>
      </c>
      <c r="E47" s="7" t="str">
        <f t="shared" si="0"/>
        <v xml:space="preserve">    "speed": 300,</v>
      </c>
      <c r="H47" t="s">
        <v>460</v>
      </c>
    </row>
    <row r="48" spans="1:8" x14ac:dyDescent="0.15">
      <c r="A48" t="s">
        <v>424</v>
      </c>
      <c r="B48">
        <v>1800</v>
      </c>
      <c r="C48" s="7" t="s">
        <v>590</v>
      </c>
      <c r="D48" s="7" t="s">
        <v>592</v>
      </c>
      <c r="E48" s="7" t="str">
        <f t="shared" si="0"/>
        <v xml:space="preserve">    "range": 1800,</v>
      </c>
      <c r="H48" t="s">
        <v>461</v>
      </c>
    </row>
    <row r="49" spans="1:8" x14ac:dyDescent="0.15">
      <c r="A49" t="s">
        <v>425</v>
      </c>
      <c r="B49">
        <v>0</v>
      </c>
      <c r="C49" s="7" t="s">
        <v>590</v>
      </c>
      <c r="D49" s="7" t="s">
        <v>592</v>
      </c>
      <c r="E49" s="7" t="str">
        <f t="shared" si="0"/>
        <v xml:space="preserve">    "load": 0,</v>
      </c>
      <c r="H49" t="s">
        <v>454</v>
      </c>
    </row>
    <row r="50" spans="1:8" x14ac:dyDescent="0.15">
      <c r="A50" t="s">
        <v>426</v>
      </c>
      <c r="B50">
        <v>100</v>
      </c>
      <c r="C50" s="7" t="s">
        <v>590</v>
      </c>
      <c r="D50" s="7" t="s">
        <v>592</v>
      </c>
      <c r="E50" s="7" t="str">
        <f t="shared" si="0"/>
        <v xml:space="preserve">    "upkeep": 100,</v>
      </c>
      <c r="H50" t="s">
        <v>475</v>
      </c>
    </row>
    <row r="51" spans="1:8" x14ac:dyDescent="0.15">
      <c r="A51" t="s">
        <v>427</v>
      </c>
      <c r="B51">
        <v>0</v>
      </c>
      <c r="C51" s="7" t="s">
        <v>590</v>
      </c>
      <c r="D51" s="7" t="s">
        <v>592</v>
      </c>
      <c r="E51" s="7" t="str">
        <f t="shared" si="0"/>
        <v xml:space="preserve">    "might": 0,</v>
      </c>
      <c r="H51" t="s">
        <v>456</v>
      </c>
    </row>
    <row r="52" spans="1:8" x14ac:dyDescent="0.15">
      <c r="A52" t="s">
        <v>428</v>
      </c>
      <c r="B52">
        <v>0</v>
      </c>
      <c r="C52" s="7" t="s">
        <v>590</v>
      </c>
      <c r="D52" s="7"/>
      <c r="E52" s="7" t="str">
        <f t="shared" si="0"/>
        <v xml:space="preserve">    "transform": 0</v>
      </c>
      <c r="H52" t="s">
        <v>457</v>
      </c>
    </row>
    <row r="53" spans="1:8" x14ac:dyDescent="0.15">
      <c r="A53" t="s">
        <v>413</v>
      </c>
      <c r="C53" s="7"/>
      <c r="D53" s="7"/>
      <c r="E53" s="7" t="str">
        <f t="shared" si="0"/>
        <v xml:space="preserve">  },</v>
      </c>
      <c r="H53" t="s">
        <v>413</v>
      </c>
    </row>
    <row r="54" spans="1:8" x14ac:dyDescent="0.15">
      <c r="A54" t="s">
        <v>432</v>
      </c>
      <c r="B54" t="s">
        <v>417</v>
      </c>
      <c r="C54" s="7" t="s">
        <v>590</v>
      </c>
      <c r="D54" s="7"/>
      <c r="E54" s="7" t="str">
        <f t="shared" si="0"/>
        <v xml:space="preserve">  "5":  {</v>
      </c>
      <c r="H54" t="s">
        <v>476</v>
      </c>
    </row>
    <row r="55" spans="1:8" x14ac:dyDescent="0.15">
      <c r="A55" t="s">
        <v>418</v>
      </c>
      <c r="B55">
        <v>5</v>
      </c>
      <c r="C55" s="7" t="s">
        <v>590</v>
      </c>
      <c r="D55" s="7" t="s">
        <v>592</v>
      </c>
      <c r="E55" s="7" t="str">
        <f t="shared" si="0"/>
        <v xml:space="preserve">    "level": 5,</v>
      </c>
      <c r="H55" t="s">
        <v>477</v>
      </c>
    </row>
    <row r="56" spans="1:8" x14ac:dyDescent="0.15">
      <c r="A56" t="s">
        <v>419</v>
      </c>
      <c r="B56">
        <v>180</v>
      </c>
      <c r="C56" s="7" t="s">
        <v>590</v>
      </c>
      <c r="D56" s="7" t="s">
        <v>592</v>
      </c>
      <c r="E56" s="7" t="str">
        <f t="shared" si="0"/>
        <v xml:space="preserve">    "ranged": 180,</v>
      </c>
      <c r="H56" t="s">
        <v>478</v>
      </c>
    </row>
    <row r="57" spans="1:8" x14ac:dyDescent="0.15">
      <c r="A57" t="s">
        <v>420</v>
      </c>
      <c r="B57">
        <v>180</v>
      </c>
      <c r="C57" s="7" t="s">
        <v>590</v>
      </c>
      <c r="D57" s="7" t="s">
        <v>592</v>
      </c>
      <c r="E57" s="7" t="str">
        <f t="shared" si="0"/>
        <v xml:space="preserve">    "melee": 180,</v>
      </c>
      <c r="H57" t="s">
        <v>479</v>
      </c>
    </row>
    <row r="58" spans="1:8" x14ac:dyDescent="0.15">
      <c r="A58" t="s">
        <v>421</v>
      </c>
      <c r="B58">
        <v>104</v>
      </c>
      <c r="C58" s="7" t="s">
        <v>590</v>
      </c>
      <c r="D58" s="7" t="s">
        <v>592</v>
      </c>
      <c r="E58" s="7" t="str">
        <f t="shared" si="0"/>
        <v xml:space="preserve">    "defense": 104,</v>
      </c>
      <c r="H58" t="s">
        <v>480</v>
      </c>
    </row>
    <row r="59" spans="1:8" x14ac:dyDescent="0.15">
      <c r="A59" t="s">
        <v>422</v>
      </c>
      <c r="B59">
        <v>14000</v>
      </c>
      <c r="C59" s="7" t="s">
        <v>590</v>
      </c>
      <c r="D59" s="7" t="s">
        <v>592</v>
      </c>
      <c r="E59" s="7" t="str">
        <f t="shared" si="0"/>
        <v xml:space="preserve">    "life": 14000,</v>
      </c>
      <c r="H59" t="s">
        <v>481</v>
      </c>
    </row>
    <row r="60" spans="1:8" x14ac:dyDescent="0.15">
      <c r="A60" t="s">
        <v>423</v>
      </c>
      <c r="B60">
        <v>300</v>
      </c>
      <c r="C60" s="7" t="s">
        <v>590</v>
      </c>
      <c r="D60" s="7" t="s">
        <v>592</v>
      </c>
      <c r="E60" s="7" t="str">
        <f t="shared" si="0"/>
        <v xml:space="preserve">    "speed": 300,</v>
      </c>
      <c r="H60" t="s">
        <v>460</v>
      </c>
    </row>
    <row r="61" spans="1:8" x14ac:dyDescent="0.15">
      <c r="A61" t="s">
        <v>424</v>
      </c>
      <c r="B61">
        <v>1800</v>
      </c>
      <c r="C61" s="7" t="s">
        <v>590</v>
      </c>
      <c r="D61" s="7" t="s">
        <v>592</v>
      </c>
      <c r="E61" s="7" t="str">
        <f t="shared" si="0"/>
        <v xml:space="preserve">    "range": 1800,</v>
      </c>
      <c r="H61" t="s">
        <v>461</v>
      </c>
    </row>
    <row r="62" spans="1:8" x14ac:dyDescent="0.15">
      <c r="A62" t="s">
        <v>425</v>
      </c>
      <c r="B62">
        <v>0</v>
      </c>
      <c r="C62" s="7" t="s">
        <v>590</v>
      </c>
      <c r="D62" s="7" t="s">
        <v>592</v>
      </c>
      <c r="E62" s="7" t="str">
        <f t="shared" si="0"/>
        <v xml:space="preserve">    "load": 0,</v>
      </c>
      <c r="H62" t="s">
        <v>454</v>
      </c>
    </row>
    <row r="63" spans="1:8" x14ac:dyDescent="0.15">
      <c r="A63" t="s">
        <v>426</v>
      </c>
      <c r="B63">
        <v>150</v>
      </c>
      <c r="C63" s="7" t="s">
        <v>590</v>
      </c>
      <c r="D63" s="7" t="s">
        <v>592</v>
      </c>
      <c r="E63" s="7" t="str">
        <f t="shared" si="0"/>
        <v xml:space="preserve">    "upkeep": 150,</v>
      </c>
      <c r="H63" t="s">
        <v>482</v>
      </c>
    </row>
    <row r="64" spans="1:8" x14ac:dyDescent="0.15">
      <c r="A64" t="s">
        <v>427</v>
      </c>
      <c r="B64">
        <v>0</v>
      </c>
      <c r="C64" s="7" t="s">
        <v>590</v>
      </c>
      <c r="D64" s="7" t="s">
        <v>592</v>
      </c>
      <c r="E64" s="7" t="str">
        <f t="shared" si="0"/>
        <v xml:space="preserve">    "might": 0,</v>
      </c>
      <c r="H64" t="s">
        <v>456</v>
      </c>
    </row>
    <row r="65" spans="1:8" x14ac:dyDescent="0.15">
      <c r="A65" t="s">
        <v>428</v>
      </c>
      <c r="B65">
        <v>0</v>
      </c>
      <c r="C65" s="7" t="s">
        <v>590</v>
      </c>
      <c r="D65" s="7"/>
      <c r="E65" s="7" t="str">
        <f t="shared" si="0"/>
        <v xml:space="preserve">    "transform": 0</v>
      </c>
      <c r="H65" t="s">
        <v>457</v>
      </c>
    </row>
    <row r="66" spans="1:8" x14ac:dyDescent="0.15">
      <c r="A66" t="s">
        <v>413</v>
      </c>
      <c r="C66" s="7"/>
      <c r="D66" s="7"/>
      <c r="E66" s="7" t="str">
        <f t="shared" ref="E66:E129" si="1">A66&amp;C66&amp;B66&amp;D66</f>
        <v xml:space="preserve">  },</v>
      </c>
      <c r="H66" t="s">
        <v>413</v>
      </c>
    </row>
    <row r="67" spans="1:8" x14ac:dyDescent="0.15">
      <c r="A67" t="s">
        <v>433</v>
      </c>
      <c r="B67" t="s">
        <v>417</v>
      </c>
      <c r="C67" s="7" t="s">
        <v>590</v>
      </c>
      <c r="D67" s="7"/>
      <c r="E67" s="7" t="str">
        <f t="shared" si="1"/>
        <v xml:space="preserve">  "6":  {</v>
      </c>
      <c r="H67" t="s">
        <v>483</v>
      </c>
    </row>
    <row r="68" spans="1:8" x14ac:dyDescent="0.15">
      <c r="A68" t="s">
        <v>418</v>
      </c>
      <c r="B68">
        <v>6</v>
      </c>
      <c r="C68" s="7" t="s">
        <v>590</v>
      </c>
      <c r="D68" s="7" t="s">
        <v>592</v>
      </c>
      <c r="E68" s="7" t="str">
        <f t="shared" si="1"/>
        <v xml:space="preserve">    "level": 6,</v>
      </c>
      <c r="H68" t="s">
        <v>484</v>
      </c>
    </row>
    <row r="69" spans="1:8" x14ac:dyDescent="0.15">
      <c r="A69" t="s">
        <v>419</v>
      </c>
      <c r="B69">
        <v>240</v>
      </c>
      <c r="C69" s="7" t="s">
        <v>590</v>
      </c>
      <c r="D69" s="7" t="s">
        <v>592</v>
      </c>
      <c r="E69" s="7" t="str">
        <f t="shared" si="1"/>
        <v xml:space="preserve">    "ranged": 240,</v>
      </c>
      <c r="H69" t="s">
        <v>485</v>
      </c>
    </row>
    <row r="70" spans="1:8" x14ac:dyDescent="0.15">
      <c r="A70" t="s">
        <v>420</v>
      </c>
      <c r="B70">
        <v>240</v>
      </c>
      <c r="C70" s="7" t="s">
        <v>590</v>
      </c>
      <c r="D70" s="7" t="s">
        <v>592</v>
      </c>
      <c r="E70" s="7" t="str">
        <f t="shared" si="1"/>
        <v xml:space="preserve">    "melee": 240,</v>
      </c>
      <c r="H70" t="s">
        <v>486</v>
      </c>
    </row>
    <row r="71" spans="1:8" x14ac:dyDescent="0.15">
      <c r="A71" t="s">
        <v>421</v>
      </c>
      <c r="B71">
        <v>138</v>
      </c>
      <c r="C71" s="7" t="s">
        <v>590</v>
      </c>
      <c r="D71" s="7" t="s">
        <v>592</v>
      </c>
      <c r="E71" s="7" t="str">
        <f t="shared" si="1"/>
        <v xml:space="preserve">    "defense": 138,</v>
      </c>
      <c r="H71" t="s">
        <v>487</v>
      </c>
    </row>
    <row r="72" spans="1:8" x14ac:dyDescent="0.15">
      <c r="A72" t="s">
        <v>422</v>
      </c>
      <c r="B72">
        <v>20000</v>
      </c>
      <c r="C72" s="7" t="s">
        <v>590</v>
      </c>
      <c r="D72" s="7" t="s">
        <v>592</v>
      </c>
      <c r="E72" s="7" t="str">
        <f t="shared" si="1"/>
        <v xml:space="preserve">    "life": 20000,</v>
      </c>
      <c r="H72" t="s">
        <v>488</v>
      </c>
    </row>
    <row r="73" spans="1:8" x14ac:dyDescent="0.15">
      <c r="A73" t="s">
        <v>423</v>
      </c>
      <c r="B73">
        <v>300</v>
      </c>
      <c r="C73" s="7" t="s">
        <v>590</v>
      </c>
      <c r="D73" s="7" t="s">
        <v>592</v>
      </c>
      <c r="E73" s="7" t="str">
        <f t="shared" si="1"/>
        <v xml:space="preserve">    "speed": 300,</v>
      </c>
      <c r="H73" t="s">
        <v>460</v>
      </c>
    </row>
    <row r="74" spans="1:8" x14ac:dyDescent="0.15">
      <c r="A74" t="s">
        <v>424</v>
      </c>
      <c r="B74">
        <v>1800</v>
      </c>
      <c r="C74" s="7" t="s">
        <v>590</v>
      </c>
      <c r="D74" s="7" t="s">
        <v>592</v>
      </c>
      <c r="E74" s="7" t="str">
        <f t="shared" si="1"/>
        <v xml:space="preserve">    "range": 1800,</v>
      </c>
      <c r="H74" t="s">
        <v>461</v>
      </c>
    </row>
    <row r="75" spans="1:8" x14ac:dyDescent="0.15">
      <c r="A75" t="s">
        <v>425</v>
      </c>
      <c r="B75">
        <v>0</v>
      </c>
      <c r="C75" s="7" t="s">
        <v>590</v>
      </c>
      <c r="D75" s="7" t="s">
        <v>592</v>
      </c>
      <c r="E75" s="7" t="str">
        <f t="shared" si="1"/>
        <v xml:space="preserve">    "load": 0,</v>
      </c>
      <c r="H75" t="s">
        <v>454</v>
      </c>
    </row>
    <row r="76" spans="1:8" x14ac:dyDescent="0.15">
      <c r="A76" t="s">
        <v>426</v>
      </c>
      <c r="B76">
        <v>200</v>
      </c>
      <c r="C76" s="7" t="s">
        <v>590</v>
      </c>
      <c r="D76" s="7" t="s">
        <v>592</v>
      </c>
      <c r="E76" s="7" t="str">
        <f t="shared" si="1"/>
        <v xml:space="preserve">    "upkeep": 200,</v>
      </c>
      <c r="H76" t="s">
        <v>489</v>
      </c>
    </row>
    <row r="77" spans="1:8" x14ac:dyDescent="0.15">
      <c r="A77" t="s">
        <v>427</v>
      </c>
      <c r="B77">
        <v>0</v>
      </c>
      <c r="C77" s="7" t="s">
        <v>590</v>
      </c>
      <c r="D77" s="7" t="s">
        <v>592</v>
      </c>
      <c r="E77" s="7" t="str">
        <f t="shared" si="1"/>
        <v xml:space="preserve">    "might": 0,</v>
      </c>
      <c r="H77" t="s">
        <v>456</v>
      </c>
    </row>
    <row r="78" spans="1:8" x14ac:dyDescent="0.15">
      <c r="A78" t="s">
        <v>428</v>
      </c>
      <c r="B78">
        <v>0</v>
      </c>
      <c r="C78" s="7" t="s">
        <v>590</v>
      </c>
      <c r="D78" s="7"/>
      <c r="E78" s="7" t="str">
        <f t="shared" si="1"/>
        <v xml:space="preserve">    "transform": 0</v>
      </c>
      <c r="H78" t="s">
        <v>457</v>
      </c>
    </row>
    <row r="79" spans="1:8" x14ac:dyDescent="0.15">
      <c r="A79" t="s">
        <v>413</v>
      </c>
      <c r="C79" s="7"/>
      <c r="D79" s="7"/>
      <c r="E79" s="7" t="str">
        <f t="shared" si="1"/>
        <v xml:space="preserve">  },</v>
      </c>
      <c r="H79" t="s">
        <v>413</v>
      </c>
    </row>
    <row r="80" spans="1:8" x14ac:dyDescent="0.15">
      <c r="A80" t="s">
        <v>434</v>
      </c>
      <c r="B80" t="s">
        <v>417</v>
      </c>
      <c r="C80" s="7" t="s">
        <v>590</v>
      </c>
      <c r="D80" s="7"/>
      <c r="E80" s="7" t="str">
        <f t="shared" si="1"/>
        <v xml:space="preserve">  "7":  {</v>
      </c>
      <c r="H80" t="s">
        <v>490</v>
      </c>
    </row>
    <row r="81" spans="1:8" x14ac:dyDescent="0.15">
      <c r="A81" t="s">
        <v>418</v>
      </c>
      <c r="B81">
        <v>7</v>
      </c>
      <c r="C81" s="7" t="s">
        <v>590</v>
      </c>
      <c r="D81" s="7" t="s">
        <v>592</v>
      </c>
      <c r="E81" s="7" t="str">
        <f t="shared" si="1"/>
        <v xml:space="preserve">    "level": 7,</v>
      </c>
      <c r="H81" t="s">
        <v>491</v>
      </c>
    </row>
    <row r="82" spans="1:8" x14ac:dyDescent="0.15">
      <c r="A82" t="s">
        <v>419</v>
      </c>
      <c r="B82">
        <v>394</v>
      </c>
      <c r="C82" s="7" t="s">
        <v>590</v>
      </c>
      <c r="D82" s="7" t="s">
        <v>592</v>
      </c>
      <c r="E82" s="7" t="str">
        <f t="shared" si="1"/>
        <v xml:space="preserve">    "ranged": 394,</v>
      </c>
      <c r="H82" t="s">
        <v>492</v>
      </c>
    </row>
    <row r="83" spans="1:8" x14ac:dyDescent="0.15">
      <c r="A83" t="s">
        <v>420</v>
      </c>
      <c r="B83">
        <v>394</v>
      </c>
      <c r="C83" s="7" t="s">
        <v>590</v>
      </c>
      <c r="D83" s="7" t="s">
        <v>592</v>
      </c>
      <c r="E83" s="7" t="str">
        <f t="shared" si="1"/>
        <v xml:space="preserve">    "melee": 394,</v>
      </c>
      <c r="H83" t="s">
        <v>493</v>
      </c>
    </row>
    <row r="84" spans="1:8" x14ac:dyDescent="0.15">
      <c r="A84" t="s">
        <v>421</v>
      </c>
      <c r="B84">
        <v>228</v>
      </c>
      <c r="C84" s="7" t="s">
        <v>590</v>
      </c>
      <c r="D84" s="7" t="s">
        <v>592</v>
      </c>
      <c r="E84" s="7" t="str">
        <f t="shared" si="1"/>
        <v xml:space="preserve">    "defense": 228,</v>
      </c>
      <c r="H84" t="s">
        <v>494</v>
      </c>
    </row>
    <row r="85" spans="1:8" x14ac:dyDescent="0.15">
      <c r="A85" t="s">
        <v>422</v>
      </c>
      <c r="B85">
        <v>32973</v>
      </c>
      <c r="C85" s="7" t="s">
        <v>590</v>
      </c>
      <c r="D85" s="7" t="s">
        <v>592</v>
      </c>
      <c r="E85" s="7" t="str">
        <f t="shared" si="1"/>
        <v xml:space="preserve">    "life": 32973,</v>
      </c>
      <c r="H85" t="s">
        <v>495</v>
      </c>
    </row>
    <row r="86" spans="1:8" x14ac:dyDescent="0.15">
      <c r="A86" t="s">
        <v>423</v>
      </c>
      <c r="B86">
        <v>300</v>
      </c>
      <c r="C86" s="7" t="s">
        <v>590</v>
      </c>
      <c r="D86" s="7" t="s">
        <v>592</v>
      </c>
      <c r="E86" s="7" t="str">
        <f t="shared" si="1"/>
        <v xml:space="preserve">    "speed": 300,</v>
      </c>
      <c r="H86" t="s">
        <v>460</v>
      </c>
    </row>
    <row r="87" spans="1:8" x14ac:dyDescent="0.15">
      <c r="A87" t="s">
        <v>424</v>
      </c>
      <c r="B87">
        <v>1800</v>
      </c>
      <c r="C87" s="7" t="s">
        <v>590</v>
      </c>
      <c r="D87" s="7" t="s">
        <v>592</v>
      </c>
      <c r="E87" s="7" t="str">
        <f t="shared" si="1"/>
        <v xml:space="preserve">    "range": 1800,</v>
      </c>
      <c r="H87" t="s">
        <v>461</v>
      </c>
    </row>
    <row r="88" spans="1:8" x14ac:dyDescent="0.15">
      <c r="A88" t="s">
        <v>425</v>
      </c>
      <c r="B88">
        <v>0</v>
      </c>
      <c r="C88" s="7" t="s">
        <v>590</v>
      </c>
      <c r="D88" s="7" t="s">
        <v>592</v>
      </c>
      <c r="E88" s="7" t="str">
        <f t="shared" si="1"/>
        <v xml:space="preserve">    "load": 0,</v>
      </c>
      <c r="H88" t="s">
        <v>454</v>
      </c>
    </row>
    <row r="89" spans="1:8" x14ac:dyDescent="0.15">
      <c r="A89" t="s">
        <v>426</v>
      </c>
      <c r="B89">
        <v>300</v>
      </c>
      <c r="C89" s="7" t="s">
        <v>590</v>
      </c>
      <c r="D89" s="7" t="s">
        <v>592</v>
      </c>
      <c r="E89" s="7" t="str">
        <f t="shared" si="1"/>
        <v xml:space="preserve">    "upkeep": 300,</v>
      </c>
      <c r="H89" t="s">
        <v>496</v>
      </c>
    </row>
    <row r="90" spans="1:8" x14ac:dyDescent="0.15">
      <c r="A90" t="s">
        <v>427</v>
      </c>
      <c r="B90">
        <v>0</v>
      </c>
      <c r="C90" s="7" t="s">
        <v>590</v>
      </c>
      <c r="D90" s="7" t="s">
        <v>592</v>
      </c>
      <c r="E90" s="7" t="str">
        <f t="shared" si="1"/>
        <v xml:space="preserve">    "might": 0,</v>
      </c>
      <c r="H90" t="s">
        <v>456</v>
      </c>
    </row>
    <row r="91" spans="1:8" x14ac:dyDescent="0.15">
      <c r="A91" t="s">
        <v>428</v>
      </c>
      <c r="B91">
        <v>0</v>
      </c>
      <c r="C91" s="7" t="s">
        <v>590</v>
      </c>
      <c r="D91" s="7"/>
      <c r="E91" s="7" t="str">
        <f t="shared" si="1"/>
        <v xml:space="preserve">    "transform": 0</v>
      </c>
      <c r="H91" t="s">
        <v>457</v>
      </c>
    </row>
    <row r="92" spans="1:8" x14ac:dyDescent="0.15">
      <c r="A92" t="s">
        <v>413</v>
      </c>
      <c r="C92" s="7"/>
      <c r="D92" s="7"/>
      <c r="E92" s="7" t="str">
        <f t="shared" si="1"/>
        <v xml:space="preserve">  },</v>
      </c>
      <c r="H92" t="s">
        <v>413</v>
      </c>
    </row>
    <row r="93" spans="1:8" x14ac:dyDescent="0.15">
      <c r="A93" t="s">
        <v>435</v>
      </c>
      <c r="B93" t="s">
        <v>417</v>
      </c>
      <c r="C93" s="7" t="s">
        <v>590</v>
      </c>
      <c r="D93" s="7"/>
      <c r="E93" s="7" t="str">
        <f t="shared" si="1"/>
        <v xml:space="preserve">  "8":  {</v>
      </c>
      <c r="H93" t="s">
        <v>497</v>
      </c>
    </row>
    <row r="94" spans="1:8" x14ac:dyDescent="0.15">
      <c r="A94" t="s">
        <v>418</v>
      </c>
      <c r="B94">
        <v>8</v>
      </c>
      <c r="C94" s="7" t="s">
        <v>590</v>
      </c>
      <c r="D94" s="7" t="s">
        <v>592</v>
      </c>
      <c r="E94" s="7" t="str">
        <f t="shared" si="1"/>
        <v xml:space="preserve">    "level": 8,</v>
      </c>
      <c r="H94" t="s">
        <v>498</v>
      </c>
    </row>
    <row r="95" spans="1:8" x14ac:dyDescent="0.15">
      <c r="A95" t="s">
        <v>419</v>
      </c>
      <c r="B95">
        <v>550</v>
      </c>
      <c r="C95" s="7" t="s">
        <v>590</v>
      </c>
      <c r="D95" s="7" t="s">
        <v>592</v>
      </c>
      <c r="E95" s="7" t="str">
        <f t="shared" si="1"/>
        <v xml:space="preserve">    "ranged": 550,</v>
      </c>
      <c r="H95" t="s">
        <v>499</v>
      </c>
    </row>
    <row r="96" spans="1:8" x14ac:dyDescent="0.15">
      <c r="A96" t="s">
        <v>420</v>
      </c>
      <c r="B96">
        <v>550</v>
      </c>
      <c r="C96" s="7" t="s">
        <v>590</v>
      </c>
      <c r="D96" s="7" t="s">
        <v>592</v>
      </c>
      <c r="E96" s="7" t="str">
        <f t="shared" si="1"/>
        <v xml:space="preserve">    "melee": 550,</v>
      </c>
      <c r="H96" t="s">
        <v>500</v>
      </c>
    </row>
    <row r="97" spans="1:8" x14ac:dyDescent="0.15">
      <c r="A97" t="s">
        <v>421</v>
      </c>
      <c r="B97">
        <v>318</v>
      </c>
      <c r="C97" s="7" t="s">
        <v>590</v>
      </c>
      <c r="D97" s="7" t="s">
        <v>592</v>
      </c>
      <c r="E97" s="7" t="str">
        <f t="shared" si="1"/>
        <v xml:space="preserve">    "defense": 318,</v>
      </c>
      <c r="H97" t="s">
        <v>501</v>
      </c>
    </row>
    <row r="98" spans="1:8" x14ac:dyDescent="0.15">
      <c r="A98" t="s">
        <v>422</v>
      </c>
      <c r="B98">
        <v>45947</v>
      </c>
      <c r="C98" s="7" t="s">
        <v>590</v>
      </c>
      <c r="D98" s="7" t="s">
        <v>592</v>
      </c>
      <c r="E98" s="7" t="str">
        <f t="shared" si="1"/>
        <v xml:space="preserve">    "life": 45947,</v>
      </c>
      <c r="H98" t="s">
        <v>502</v>
      </c>
    </row>
    <row r="99" spans="1:8" x14ac:dyDescent="0.15">
      <c r="A99" t="s">
        <v>423</v>
      </c>
      <c r="B99">
        <v>300</v>
      </c>
      <c r="C99" s="7" t="s">
        <v>590</v>
      </c>
      <c r="D99" s="7" t="s">
        <v>592</v>
      </c>
      <c r="E99" s="7" t="str">
        <f t="shared" si="1"/>
        <v xml:space="preserve">    "speed": 300,</v>
      </c>
      <c r="H99" t="s">
        <v>460</v>
      </c>
    </row>
    <row r="100" spans="1:8" x14ac:dyDescent="0.15">
      <c r="A100" t="s">
        <v>424</v>
      </c>
      <c r="B100">
        <v>1800</v>
      </c>
      <c r="C100" s="7" t="s">
        <v>590</v>
      </c>
      <c r="D100" s="7" t="s">
        <v>592</v>
      </c>
      <c r="E100" s="7" t="str">
        <f t="shared" si="1"/>
        <v xml:space="preserve">    "range": 1800,</v>
      </c>
      <c r="H100" t="s">
        <v>461</v>
      </c>
    </row>
    <row r="101" spans="1:8" x14ac:dyDescent="0.15">
      <c r="A101" t="s">
        <v>425</v>
      </c>
      <c r="B101">
        <v>0</v>
      </c>
      <c r="C101" s="7" t="s">
        <v>590</v>
      </c>
      <c r="D101" s="7" t="s">
        <v>592</v>
      </c>
      <c r="E101" s="7" t="str">
        <f t="shared" si="1"/>
        <v xml:space="preserve">    "load": 0,</v>
      </c>
      <c r="H101" t="s">
        <v>454</v>
      </c>
    </row>
    <row r="102" spans="1:8" x14ac:dyDescent="0.15">
      <c r="A102" t="s">
        <v>426</v>
      </c>
      <c r="B102">
        <v>400</v>
      </c>
      <c r="C102" s="7" t="s">
        <v>590</v>
      </c>
      <c r="D102" s="7" t="s">
        <v>592</v>
      </c>
      <c r="E102" s="7" t="str">
        <f t="shared" si="1"/>
        <v xml:space="preserve">    "upkeep": 400,</v>
      </c>
      <c r="H102" t="s">
        <v>503</v>
      </c>
    </row>
    <row r="103" spans="1:8" x14ac:dyDescent="0.15">
      <c r="A103" t="s">
        <v>427</v>
      </c>
      <c r="B103">
        <v>0</v>
      </c>
      <c r="C103" s="7" t="s">
        <v>590</v>
      </c>
      <c r="D103" s="7" t="s">
        <v>592</v>
      </c>
      <c r="E103" s="7" t="str">
        <f t="shared" si="1"/>
        <v xml:space="preserve">    "might": 0,</v>
      </c>
      <c r="H103" t="s">
        <v>456</v>
      </c>
    </row>
    <row r="104" spans="1:8" x14ac:dyDescent="0.15">
      <c r="A104" t="s">
        <v>428</v>
      </c>
      <c r="B104">
        <v>0</v>
      </c>
      <c r="C104" s="7" t="s">
        <v>590</v>
      </c>
      <c r="D104" s="7"/>
      <c r="E104" s="7" t="str">
        <f t="shared" si="1"/>
        <v xml:space="preserve">    "transform": 0</v>
      </c>
      <c r="H104" t="s">
        <v>457</v>
      </c>
    </row>
    <row r="105" spans="1:8" x14ac:dyDescent="0.15">
      <c r="A105" t="s">
        <v>413</v>
      </c>
      <c r="C105" s="7"/>
      <c r="D105" s="7"/>
      <c r="E105" s="7" t="str">
        <f t="shared" si="1"/>
        <v xml:space="preserve">  },</v>
      </c>
      <c r="H105" t="s">
        <v>413</v>
      </c>
    </row>
    <row r="106" spans="1:8" x14ac:dyDescent="0.15">
      <c r="A106" t="s">
        <v>436</v>
      </c>
      <c r="B106" t="s">
        <v>417</v>
      </c>
      <c r="C106" s="7" t="s">
        <v>590</v>
      </c>
      <c r="D106" s="7"/>
      <c r="E106" s="7" t="str">
        <f t="shared" si="1"/>
        <v xml:space="preserve">  "9":  {</v>
      </c>
      <c r="H106" t="s">
        <v>504</v>
      </c>
    </row>
    <row r="107" spans="1:8" x14ac:dyDescent="0.15">
      <c r="A107" t="s">
        <v>418</v>
      </c>
      <c r="B107">
        <v>9</v>
      </c>
      <c r="C107" s="7" t="s">
        <v>590</v>
      </c>
      <c r="D107" s="7" t="s">
        <v>592</v>
      </c>
      <c r="E107" s="7" t="str">
        <f t="shared" si="1"/>
        <v xml:space="preserve">    "level": 9,</v>
      </c>
      <c r="H107" t="s">
        <v>505</v>
      </c>
    </row>
    <row r="108" spans="1:8" x14ac:dyDescent="0.15">
      <c r="A108" t="s">
        <v>419</v>
      </c>
      <c r="B108">
        <v>723</v>
      </c>
      <c r="C108" s="7" t="s">
        <v>590</v>
      </c>
      <c r="D108" s="7" t="s">
        <v>592</v>
      </c>
      <c r="E108" s="7" t="str">
        <f t="shared" si="1"/>
        <v xml:space="preserve">    "ranged": 723,</v>
      </c>
      <c r="H108" t="s">
        <v>506</v>
      </c>
    </row>
    <row r="109" spans="1:8" x14ac:dyDescent="0.15">
      <c r="A109" t="s">
        <v>420</v>
      </c>
      <c r="B109">
        <v>723</v>
      </c>
      <c r="C109" s="7" t="s">
        <v>590</v>
      </c>
      <c r="D109" s="7" t="s">
        <v>592</v>
      </c>
      <c r="E109" s="7" t="str">
        <f t="shared" si="1"/>
        <v xml:space="preserve">    "melee": 723,</v>
      </c>
      <c r="H109" t="s">
        <v>507</v>
      </c>
    </row>
    <row r="110" spans="1:8" x14ac:dyDescent="0.15">
      <c r="A110" t="s">
        <v>421</v>
      </c>
      <c r="B110">
        <v>418</v>
      </c>
      <c r="C110" s="7" t="s">
        <v>590</v>
      </c>
      <c r="D110" s="7" t="s">
        <v>592</v>
      </c>
      <c r="E110" s="7" t="str">
        <f t="shared" si="1"/>
        <v xml:space="preserve">    "defense": 418,</v>
      </c>
      <c r="H110" t="s">
        <v>508</v>
      </c>
    </row>
    <row r="111" spans="1:8" x14ac:dyDescent="0.15">
      <c r="A111" t="s">
        <v>422</v>
      </c>
      <c r="B111">
        <v>60345</v>
      </c>
      <c r="C111" s="7" t="s">
        <v>590</v>
      </c>
      <c r="D111" s="7" t="s">
        <v>592</v>
      </c>
      <c r="E111" s="7" t="str">
        <f t="shared" si="1"/>
        <v xml:space="preserve">    "life": 60345,</v>
      </c>
      <c r="H111" t="s">
        <v>509</v>
      </c>
    </row>
    <row r="112" spans="1:8" x14ac:dyDescent="0.15">
      <c r="A112" t="s">
        <v>423</v>
      </c>
      <c r="B112">
        <v>300</v>
      </c>
      <c r="C112" s="7" t="s">
        <v>590</v>
      </c>
      <c r="D112" s="7" t="s">
        <v>592</v>
      </c>
      <c r="E112" s="7" t="str">
        <f t="shared" si="1"/>
        <v xml:space="preserve">    "speed": 300,</v>
      </c>
      <c r="H112" t="s">
        <v>460</v>
      </c>
    </row>
    <row r="113" spans="1:8" x14ac:dyDescent="0.15">
      <c r="A113" t="s">
        <v>424</v>
      </c>
      <c r="B113">
        <v>1800</v>
      </c>
      <c r="C113" s="7" t="s">
        <v>590</v>
      </c>
      <c r="D113" s="7" t="s">
        <v>592</v>
      </c>
      <c r="E113" s="7" t="str">
        <f t="shared" si="1"/>
        <v xml:space="preserve">    "range": 1800,</v>
      </c>
      <c r="H113" t="s">
        <v>461</v>
      </c>
    </row>
    <row r="114" spans="1:8" x14ac:dyDescent="0.15">
      <c r="A114" t="s">
        <v>425</v>
      </c>
      <c r="B114">
        <v>0</v>
      </c>
      <c r="C114" s="7" t="s">
        <v>590</v>
      </c>
      <c r="D114" s="7" t="s">
        <v>592</v>
      </c>
      <c r="E114" s="7" t="str">
        <f t="shared" si="1"/>
        <v xml:space="preserve">    "load": 0,</v>
      </c>
      <c r="H114" t="s">
        <v>454</v>
      </c>
    </row>
    <row r="115" spans="1:8" x14ac:dyDescent="0.15">
      <c r="A115" t="s">
        <v>426</v>
      </c>
      <c r="B115">
        <v>500</v>
      </c>
      <c r="C115" s="7" t="s">
        <v>590</v>
      </c>
      <c r="D115" s="7" t="s">
        <v>592</v>
      </c>
      <c r="E115" s="7" t="str">
        <f t="shared" si="1"/>
        <v xml:space="preserve">    "upkeep": 500,</v>
      </c>
      <c r="H115" t="s">
        <v>510</v>
      </c>
    </row>
    <row r="116" spans="1:8" x14ac:dyDescent="0.15">
      <c r="A116" t="s">
        <v>427</v>
      </c>
      <c r="B116">
        <v>0</v>
      </c>
      <c r="C116" s="7" t="s">
        <v>590</v>
      </c>
      <c r="D116" s="7" t="s">
        <v>592</v>
      </c>
      <c r="E116" s="7" t="str">
        <f t="shared" si="1"/>
        <v xml:space="preserve">    "might": 0,</v>
      </c>
      <c r="H116" t="s">
        <v>456</v>
      </c>
    </row>
    <row r="117" spans="1:8" x14ac:dyDescent="0.15">
      <c r="A117" t="s">
        <v>428</v>
      </c>
      <c r="B117">
        <v>0</v>
      </c>
      <c r="C117" s="7" t="s">
        <v>590</v>
      </c>
      <c r="D117" s="7"/>
      <c r="E117" s="7" t="str">
        <f t="shared" si="1"/>
        <v xml:space="preserve">    "transform": 0</v>
      </c>
      <c r="H117" t="s">
        <v>457</v>
      </c>
    </row>
    <row r="118" spans="1:8" x14ac:dyDescent="0.15">
      <c r="A118" t="s">
        <v>413</v>
      </c>
      <c r="C118" s="7"/>
      <c r="D118" s="7"/>
      <c r="E118" s="7" t="str">
        <f t="shared" si="1"/>
        <v xml:space="preserve">  },</v>
      </c>
      <c r="H118" t="s">
        <v>413</v>
      </c>
    </row>
    <row r="119" spans="1:8" x14ac:dyDescent="0.15">
      <c r="A119" t="s">
        <v>437</v>
      </c>
      <c r="B119" t="s">
        <v>417</v>
      </c>
      <c r="C119" s="7" t="s">
        <v>590</v>
      </c>
      <c r="D119" s="7"/>
      <c r="E119" s="7" t="str">
        <f t="shared" si="1"/>
        <v xml:space="preserve">  "10":  {</v>
      </c>
      <c r="H119" t="s">
        <v>511</v>
      </c>
    </row>
    <row r="120" spans="1:8" x14ac:dyDescent="0.15">
      <c r="A120" t="s">
        <v>418</v>
      </c>
      <c r="B120">
        <v>10</v>
      </c>
      <c r="C120" s="7" t="s">
        <v>590</v>
      </c>
      <c r="D120" s="7" t="s">
        <v>592</v>
      </c>
      <c r="E120" s="7" t="str">
        <f t="shared" si="1"/>
        <v xml:space="preserve">    "level": 10,</v>
      </c>
      <c r="H120" t="s">
        <v>512</v>
      </c>
    </row>
    <row r="121" spans="1:8" x14ac:dyDescent="0.15">
      <c r="A121" t="s">
        <v>419</v>
      </c>
      <c r="B121">
        <v>896</v>
      </c>
      <c r="C121" s="7" t="s">
        <v>590</v>
      </c>
      <c r="D121" s="7" t="s">
        <v>592</v>
      </c>
      <c r="E121" s="7" t="str">
        <f t="shared" si="1"/>
        <v xml:space="preserve">    "ranged": 896,</v>
      </c>
      <c r="H121" t="s">
        <v>513</v>
      </c>
    </row>
    <row r="122" spans="1:8" x14ac:dyDescent="0.15">
      <c r="A122" t="s">
        <v>420</v>
      </c>
      <c r="B122">
        <v>896</v>
      </c>
      <c r="C122" s="7" t="s">
        <v>590</v>
      </c>
      <c r="D122" s="7" t="s">
        <v>592</v>
      </c>
      <c r="E122" s="7" t="str">
        <f t="shared" si="1"/>
        <v xml:space="preserve">    "melee": 896,</v>
      </c>
      <c r="H122" t="s">
        <v>514</v>
      </c>
    </row>
    <row r="123" spans="1:8" x14ac:dyDescent="0.15">
      <c r="A123" t="s">
        <v>421</v>
      </c>
      <c r="B123">
        <v>518</v>
      </c>
      <c r="C123" s="7" t="s">
        <v>590</v>
      </c>
      <c r="D123" s="7" t="s">
        <v>592</v>
      </c>
      <c r="E123" s="7" t="str">
        <f t="shared" si="1"/>
        <v xml:space="preserve">    "defense": 518,</v>
      </c>
      <c r="H123" t="s">
        <v>515</v>
      </c>
    </row>
    <row r="124" spans="1:8" x14ac:dyDescent="0.15">
      <c r="A124" t="s">
        <v>422</v>
      </c>
      <c r="B124">
        <v>74743</v>
      </c>
      <c r="C124" s="7" t="s">
        <v>590</v>
      </c>
      <c r="D124" s="7" t="s">
        <v>592</v>
      </c>
      <c r="E124" s="7" t="str">
        <f t="shared" si="1"/>
        <v xml:space="preserve">    "life": 74743,</v>
      </c>
      <c r="H124" t="s">
        <v>516</v>
      </c>
    </row>
    <row r="125" spans="1:8" x14ac:dyDescent="0.15">
      <c r="A125" t="s">
        <v>423</v>
      </c>
      <c r="B125">
        <v>300</v>
      </c>
      <c r="C125" s="7" t="s">
        <v>590</v>
      </c>
      <c r="D125" s="7" t="s">
        <v>592</v>
      </c>
      <c r="E125" s="7" t="str">
        <f t="shared" si="1"/>
        <v xml:space="preserve">    "speed": 300,</v>
      </c>
      <c r="H125" t="s">
        <v>460</v>
      </c>
    </row>
    <row r="126" spans="1:8" x14ac:dyDescent="0.15">
      <c r="A126" t="s">
        <v>424</v>
      </c>
      <c r="B126">
        <v>1800</v>
      </c>
      <c r="C126" s="7" t="s">
        <v>590</v>
      </c>
      <c r="D126" s="7" t="s">
        <v>592</v>
      </c>
      <c r="E126" s="7" t="str">
        <f t="shared" si="1"/>
        <v xml:space="preserve">    "range": 1800,</v>
      </c>
      <c r="H126" t="s">
        <v>461</v>
      </c>
    </row>
    <row r="127" spans="1:8" x14ac:dyDescent="0.15">
      <c r="A127" t="s">
        <v>425</v>
      </c>
      <c r="B127">
        <v>0</v>
      </c>
      <c r="C127" s="7" t="s">
        <v>590</v>
      </c>
      <c r="D127" s="7" t="s">
        <v>592</v>
      </c>
      <c r="E127" s="7" t="str">
        <f t="shared" si="1"/>
        <v xml:space="preserve">    "load": 0,</v>
      </c>
      <c r="H127" t="s">
        <v>454</v>
      </c>
    </row>
    <row r="128" spans="1:8" x14ac:dyDescent="0.15">
      <c r="A128" t="s">
        <v>426</v>
      </c>
      <c r="B128">
        <v>600</v>
      </c>
      <c r="C128" s="7" t="s">
        <v>590</v>
      </c>
      <c r="D128" s="7" t="s">
        <v>592</v>
      </c>
      <c r="E128" s="7" t="str">
        <f t="shared" si="1"/>
        <v xml:space="preserve">    "upkeep": 600,</v>
      </c>
      <c r="H128" t="s">
        <v>517</v>
      </c>
    </row>
    <row r="129" spans="1:8" x14ac:dyDescent="0.15">
      <c r="A129" t="s">
        <v>427</v>
      </c>
      <c r="B129">
        <v>0</v>
      </c>
      <c r="C129" s="7" t="s">
        <v>590</v>
      </c>
      <c r="D129" s="7" t="s">
        <v>592</v>
      </c>
      <c r="E129" s="7" t="str">
        <f t="shared" si="1"/>
        <v xml:space="preserve">    "might": 0,</v>
      </c>
      <c r="H129" t="s">
        <v>456</v>
      </c>
    </row>
    <row r="130" spans="1:8" x14ac:dyDescent="0.15">
      <c r="A130" t="s">
        <v>428</v>
      </c>
      <c r="B130">
        <v>1</v>
      </c>
      <c r="C130" s="7" t="s">
        <v>590</v>
      </c>
      <c r="D130" s="7"/>
      <c r="E130" s="7" t="str">
        <f t="shared" ref="E130:E193" si="2">A130&amp;C130&amp;B130&amp;D130</f>
        <v xml:space="preserve">    "transform": 1</v>
      </c>
      <c r="H130" t="s">
        <v>518</v>
      </c>
    </row>
    <row r="131" spans="1:8" x14ac:dyDescent="0.15">
      <c r="A131" t="s">
        <v>413</v>
      </c>
      <c r="C131" s="7"/>
      <c r="D131" s="7"/>
      <c r="E131" s="7" t="str">
        <f t="shared" si="2"/>
        <v xml:space="preserve">  },</v>
      </c>
      <c r="H131" t="s">
        <v>413</v>
      </c>
    </row>
    <row r="132" spans="1:8" x14ac:dyDescent="0.15">
      <c r="A132" t="s">
        <v>438</v>
      </c>
      <c r="B132" t="s">
        <v>417</v>
      </c>
      <c r="C132" s="7" t="s">
        <v>590</v>
      </c>
      <c r="D132" s="7"/>
      <c r="E132" s="7" t="str">
        <f t="shared" si="2"/>
        <v xml:space="preserve">  "11":  {</v>
      </c>
      <c r="H132" t="s">
        <v>519</v>
      </c>
    </row>
    <row r="133" spans="1:8" x14ac:dyDescent="0.15">
      <c r="A133" t="s">
        <v>418</v>
      </c>
      <c r="B133">
        <v>11</v>
      </c>
      <c r="C133" s="7" t="s">
        <v>590</v>
      </c>
      <c r="D133" s="7" t="s">
        <v>592</v>
      </c>
      <c r="E133" s="7" t="str">
        <f t="shared" si="2"/>
        <v xml:space="preserve">    "level": 11,</v>
      </c>
      <c r="H133" t="s">
        <v>520</v>
      </c>
    </row>
    <row r="134" spans="1:8" x14ac:dyDescent="0.15">
      <c r="A134" t="s">
        <v>419</v>
      </c>
      <c r="B134">
        <v>1081</v>
      </c>
      <c r="C134" s="7" t="s">
        <v>590</v>
      </c>
      <c r="D134" s="7" t="s">
        <v>592</v>
      </c>
      <c r="E134" s="7" t="str">
        <f t="shared" si="2"/>
        <v xml:space="preserve">    "ranged": 1081,</v>
      </c>
      <c r="H134" t="s">
        <v>521</v>
      </c>
    </row>
    <row r="135" spans="1:8" x14ac:dyDescent="0.15">
      <c r="A135" t="s">
        <v>420</v>
      </c>
      <c r="B135">
        <v>1081</v>
      </c>
      <c r="C135" s="7" t="s">
        <v>590</v>
      </c>
      <c r="D135" s="7" t="s">
        <v>592</v>
      </c>
      <c r="E135" s="7" t="str">
        <f t="shared" si="2"/>
        <v xml:space="preserve">    "melee": 1081,</v>
      </c>
      <c r="H135" t="s">
        <v>522</v>
      </c>
    </row>
    <row r="136" spans="1:8" x14ac:dyDescent="0.15">
      <c r="A136" t="s">
        <v>421</v>
      </c>
      <c r="B136">
        <v>625</v>
      </c>
      <c r="C136" s="7" t="s">
        <v>590</v>
      </c>
      <c r="D136" s="7" t="s">
        <v>592</v>
      </c>
      <c r="E136" s="7" t="str">
        <f t="shared" si="2"/>
        <v xml:space="preserve">    "defense": 625,</v>
      </c>
      <c r="H136" t="s">
        <v>523</v>
      </c>
    </row>
    <row r="137" spans="1:8" x14ac:dyDescent="0.15">
      <c r="A137" t="s">
        <v>422</v>
      </c>
      <c r="B137">
        <v>90151</v>
      </c>
      <c r="C137" s="7" t="s">
        <v>590</v>
      </c>
      <c r="D137" s="7" t="s">
        <v>592</v>
      </c>
      <c r="E137" s="7" t="str">
        <f t="shared" si="2"/>
        <v xml:space="preserve">    "life": 90151,</v>
      </c>
      <c r="H137" t="s">
        <v>524</v>
      </c>
    </row>
    <row r="138" spans="1:8" x14ac:dyDescent="0.15">
      <c r="A138" t="s">
        <v>423</v>
      </c>
      <c r="B138">
        <v>300</v>
      </c>
      <c r="C138" s="7" t="s">
        <v>590</v>
      </c>
      <c r="D138" s="7" t="s">
        <v>592</v>
      </c>
      <c r="E138" s="7" t="str">
        <f t="shared" si="2"/>
        <v xml:space="preserve">    "speed": 300,</v>
      </c>
      <c r="H138" t="s">
        <v>460</v>
      </c>
    </row>
    <row r="139" spans="1:8" x14ac:dyDescent="0.15">
      <c r="A139" t="s">
        <v>424</v>
      </c>
      <c r="B139">
        <v>1800</v>
      </c>
      <c r="C139" s="7" t="s">
        <v>590</v>
      </c>
      <c r="D139" s="7" t="s">
        <v>592</v>
      </c>
      <c r="E139" s="7" t="str">
        <f t="shared" si="2"/>
        <v xml:space="preserve">    "range": 1800,</v>
      </c>
      <c r="H139" t="s">
        <v>461</v>
      </c>
    </row>
    <row r="140" spans="1:8" x14ac:dyDescent="0.15">
      <c r="A140" t="s">
        <v>425</v>
      </c>
      <c r="B140">
        <v>0</v>
      </c>
      <c r="C140" s="7" t="s">
        <v>590</v>
      </c>
      <c r="D140" s="7" t="s">
        <v>592</v>
      </c>
      <c r="E140" s="7" t="str">
        <f t="shared" si="2"/>
        <v xml:space="preserve">    "load": 0,</v>
      </c>
      <c r="H140" t="s">
        <v>454</v>
      </c>
    </row>
    <row r="141" spans="1:8" x14ac:dyDescent="0.15">
      <c r="A141" t="s">
        <v>426</v>
      </c>
      <c r="B141">
        <v>700</v>
      </c>
      <c r="C141" s="7" t="s">
        <v>590</v>
      </c>
      <c r="D141" s="7" t="s">
        <v>592</v>
      </c>
      <c r="E141" s="7" t="str">
        <f t="shared" si="2"/>
        <v xml:space="preserve">    "upkeep": 700,</v>
      </c>
      <c r="H141" t="s">
        <v>525</v>
      </c>
    </row>
    <row r="142" spans="1:8" x14ac:dyDescent="0.15">
      <c r="A142" t="s">
        <v>427</v>
      </c>
      <c r="B142">
        <v>0</v>
      </c>
      <c r="C142" s="7" t="s">
        <v>590</v>
      </c>
      <c r="D142" s="7" t="s">
        <v>592</v>
      </c>
      <c r="E142" s="7" t="str">
        <f t="shared" si="2"/>
        <v xml:space="preserve">    "might": 0,</v>
      </c>
      <c r="H142" t="s">
        <v>456</v>
      </c>
    </row>
    <row r="143" spans="1:8" x14ac:dyDescent="0.15">
      <c r="A143" t="s">
        <v>428</v>
      </c>
      <c r="B143">
        <v>1</v>
      </c>
      <c r="C143" s="7" t="s">
        <v>590</v>
      </c>
      <c r="D143" s="7"/>
      <c r="E143" s="7" t="str">
        <f t="shared" si="2"/>
        <v xml:space="preserve">    "transform": 1</v>
      </c>
      <c r="H143" t="s">
        <v>518</v>
      </c>
    </row>
    <row r="144" spans="1:8" x14ac:dyDescent="0.15">
      <c r="A144" t="s">
        <v>413</v>
      </c>
      <c r="C144" s="7"/>
      <c r="D144" s="7"/>
      <c r="E144" s="7" t="str">
        <f t="shared" si="2"/>
        <v xml:space="preserve">  },</v>
      </c>
      <c r="H144" t="s">
        <v>413</v>
      </c>
    </row>
    <row r="145" spans="1:8" x14ac:dyDescent="0.15">
      <c r="A145" t="s">
        <v>439</v>
      </c>
      <c r="B145" t="s">
        <v>417</v>
      </c>
      <c r="C145" s="7" t="s">
        <v>590</v>
      </c>
      <c r="D145" s="7"/>
      <c r="E145" s="7" t="str">
        <f t="shared" si="2"/>
        <v xml:space="preserve">  "12":  {</v>
      </c>
      <c r="H145" t="s">
        <v>526</v>
      </c>
    </row>
    <row r="146" spans="1:8" x14ac:dyDescent="0.15">
      <c r="A146" t="s">
        <v>418</v>
      </c>
      <c r="B146">
        <v>12</v>
      </c>
      <c r="C146" s="7" t="s">
        <v>590</v>
      </c>
      <c r="D146" s="7" t="s">
        <v>592</v>
      </c>
      <c r="E146" s="7" t="str">
        <f t="shared" si="2"/>
        <v xml:space="preserve">    "level": 12,</v>
      </c>
      <c r="H146" t="s">
        <v>527</v>
      </c>
    </row>
    <row r="147" spans="1:8" x14ac:dyDescent="0.15">
      <c r="A147" t="s">
        <v>419</v>
      </c>
      <c r="B147">
        <v>1266</v>
      </c>
      <c r="C147" s="7" t="s">
        <v>590</v>
      </c>
      <c r="D147" s="7" t="s">
        <v>592</v>
      </c>
      <c r="E147" s="7" t="str">
        <f t="shared" si="2"/>
        <v xml:space="preserve">    "ranged": 1266,</v>
      </c>
      <c r="H147" t="s">
        <v>528</v>
      </c>
    </row>
    <row r="148" spans="1:8" x14ac:dyDescent="0.15">
      <c r="A148" t="s">
        <v>420</v>
      </c>
      <c r="B148">
        <v>1266</v>
      </c>
      <c r="C148" s="7" t="s">
        <v>590</v>
      </c>
      <c r="D148" s="7" t="s">
        <v>592</v>
      </c>
      <c r="E148" s="7" t="str">
        <f t="shared" si="2"/>
        <v xml:space="preserve">    "melee": 1266,</v>
      </c>
      <c r="H148" t="s">
        <v>529</v>
      </c>
    </row>
    <row r="149" spans="1:8" x14ac:dyDescent="0.15">
      <c r="A149" t="s">
        <v>421</v>
      </c>
      <c r="B149">
        <v>732</v>
      </c>
      <c r="C149" s="7" t="s">
        <v>590</v>
      </c>
      <c r="D149" s="7" t="s">
        <v>592</v>
      </c>
      <c r="E149" s="7" t="str">
        <f t="shared" si="2"/>
        <v xml:space="preserve">    "defense": 732,</v>
      </c>
      <c r="H149" t="s">
        <v>530</v>
      </c>
    </row>
    <row r="150" spans="1:8" x14ac:dyDescent="0.15">
      <c r="A150" t="s">
        <v>422</v>
      </c>
      <c r="B150">
        <v>105560</v>
      </c>
      <c r="C150" s="7" t="s">
        <v>590</v>
      </c>
      <c r="D150" s="7" t="s">
        <v>592</v>
      </c>
      <c r="E150" s="7" t="str">
        <f t="shared" si="2"/>
        <v xml:space="preserve">    "life": 105560,</v>
      </c>
      <c r="H150" t="s">
        <v>531</v>
      </c>
    </row>
    <row r="151" spans="1:8" x14ac:dyDescent="0.15">
      <c r="A151" t="s">
        <v>423</v>
      </c>
      <c r="B151">
        <v>300</v>
      </c>
      <c r="C151" s="7" t="s">
        <v>590</v>
      </c>
      <c r="D151" s="7" t="s">
        <v>592</v>
      </c>
      <c r="E151" s="7" t="str">
        <f t="shared" si="2"/>
        <v xml:space="preserve">    "speed": 300,</v>
      </c>
      <c r="H151" t="s">
        <v>460</v>
      </c>
    </row>
    <row r="152" spans="1:8" x14ac:dyDescent="0.15">
      <c r="A152" t="s">
        <v>424</v>
      </c>
      <c r="B152">
        <v>1800</v>
      </c>
      <c r="C152" s="7" t="s">
        <v>590</v>
      </c>
      <c r="D152" s="7" t="s">
        <v>592</v>
      </c>
      <c r="E152" s="7" t="str">
        <f t="shared" si="2"/>
        <v xml:space="preserve">    "range": 1800,</v>
      </c>
      <c r="H152" t="s">
        <v>461</v>
      </c>
    </row>
    <row r="153" spans="1:8" x14ac:dyDescent="0.15">
      <c r="A153" t="s">
        <v>425</v>
      </c>
      <c r="B153">
        <v>0</v>
      </c>
      <c r="C153" s="7" t="s">
        <v>590</v>
      </c>
      <c r="D153" s="7" t="s">
        <v>592</v>
      </c>
      <c r="E153" s="7" t="str">
        <f t="shared" si="2"/>
        <v xml:space="preserve">    "load": 0,</v>
      </c>
      <c r="H153" t="s">
        <v>454</v>
      </c>
    </row>
    <row r="154" spans="1:8" x14ac:dyDescent="0.15">
      <c r="A154" t="s">
        <v>426</v>
      </c>
      <c r="B154">
        <v>800</v>
      </c>
      <c r="C154" s="7" t="s">
        <v>590</v>
      </c>
      <c r="D154" s="7" t="s">
        <v>592</v>
      </c>
      <c r="E154" s="7" t="str">
        <f t="shared" si="2"/>
        <v xml:space="preserve">    "upkeep": 800,</v>
      </c>
      <c r="H154" t="s">
        <v>532</v>
      </c>
    </row>
    <row r="155" spans="1:8" x14ac:dyDescent="0.15">
      <c r="A155" t="s">
        <v>427</v>
      </c>
      <c r="B155">
        <v>0</v>
      </c>
      <c r="C155" s="7" t="s">
        <v>590</v>
      </c>
      <c r="D155" s="7" t="s">
        <v>592</v>
      </c>
      <c r="E155" s="7" t="str">
        <f t="shared" si="2"/>
        <v xml:space="preserve">    "might": 0,</v>
      </c>
      <c r="H155" t="s">
        <v>456</v>
      </c>
    </row>
    <row r="156" spans="1:8" x14ac:dyDescent="0.15">
      <c r="A156" t="s">
        <v>428</v>
      </c>
      <c r="B156">
        <v>1</v>
      </c>
      <c r="C156" s="7" t="s">
        <v>590</v>
      </c>
      <c r="D156" s="7"/>
      <c r="E156" s="7" t="str">
        <f t="shared" si="2"/>
        <v xml:space="preserve">    "transform": 1</v>
      </c>
      <c r="H156" t="s">
        <v>518</v>
      </c>
    </row>
    <row r="157" spans="1:8" x14ac:dyDescent="0.15">
      <c r="A157" t="s">
        <v>413</v>
      </c>
      <c r="C157" s="7"/>
      <c r="D157" s="7"/>
      <c r="E157" s="7" t="str">
        <f t="shared" si="2"/>
        <v xml:space="preserve">  },</v>
      </c>
      <c r="H157" t="s">
        <v>413</v>
      </c>
    </row>
    <row r="158" spans="1:8" x14ac:dyDescent="0.15">
      <c r="A158" t="s">
        <v>440</v>
      </c>
      <c r="B158" t="s">
        <v>417</v>
      </c>
      <c r="C158" s="7" t="s">
        <v>590</v>
      </c>
      <c r="D158" s="7"/>
      <c r="E158" s="7" t="str">
        <f t="shared" si="2"/>
        <v xml:space="preserve">  "13":  {</v>
      </c>
      <c r="H158" t="s">
        <v>533</v>
      </c>
    </row>
    <row r="159" spans="1:8" x14ac:dyDescent="0.15">
      <c r="A159" t="s">
        <v>418</v>
      </c>
      <c r="B159">
        <v>13</v>
      </c>
      <c r="C159" s="7" t="s">
        <v>590</v>
      </c>
      <c r="D159" s="7" t="s">
        <v>592</v>
      </c>
      <c r="E159" s="7" t="str">
        <f t="shared" si="2"/>
        <v xml:space="preserve">    "level": 13,</v>
      </c>
      <c r="H159" t="s">
        <v>534</v>
      </c>
    </row>
    <row r="160" spans="1:8" x14ac:dyDescent="0.15">
      <c r="A160" t="s">
        <v>419</v>
      </c>
      <c r="B160">
        <v>1460</v>
      </c>
      <c r="C160" s="7" t="s">
        <v>590</v>
      </c>
      <c r="D160" s="7" t="s">
        <v>592</v>
      </c>
      <c r="E160" s="7" t="str">
        <f t="shared" si="2"/>
        <v xml:space="preserve">    "ranged": 1460,</v>
      </c>
      <c r="H160" t="s">
        <v>535</v>
      </c>
    </row>
    <row r="161" spans="1:8" x14ac:dyDescent="0.15">
      <c r="A161" t="s">
        <v>420</v>
      </c>
      <c r="B161">
        <v>1460</v>
      </c>
      <c r="C161" s="7" t="s">
        <v>590</v>
      </c>
      <c r="D161" s="7" t="s">
        <v>592</v>
      </c>
      <c r="E161" s="7" t="str">
        <f t="shared" si="2"/>
        <v xml:space="preserve">    "melee": 1460,</v>
      </c>
      <c r="H161" t="s">
        <v>536</v>
      </c>
    </row>
    <row r="162" spans="1:8" x14ac:dyDescent="0.15">
      <c r="A162" t="s">
        <v>421</v>
      </c>
      <c r="B162">
        <v>845</v>
      </c>
      <c r="C162" s="7" t="s">
        <v>590</v>
      </c>
      <c r="D162" s="7" t="s">
        <v>592</v>
      </c>
      <c r="E162" s="7" t="str">
        <f t="shared" si="2"/>
        <v xml:space="preserve">    "defense": 845,</v>
      </c>
      <c r="H162" t="s">
        <v>537</v>
      </c>
    </row>
    <row r="163" spans="1:8" x14ac:dyDescent="0.15">
      <c r="A163" t="s">
        <v>422</v>
      </c>
      <c r="B163">
        <v>121766</v>
      </c>
      <c r="C163" s="7" t="s">
        <v>590</v>
      </c>
      <c r="D163" s="7" t="s">
        <v>592</v>
      </c>
      <c r="E163" s="7" t="str">
        <f t="shared" si="2"/>
        <v xml:space="preserve">    "life": 121766,</v>
      </c>
      <c r="H163" t="s">
        <v>538</v>
      </c>
    </row>
    <row r="164" spans="1:8" x14ac:dyDescent="0.15">
      <c r="A164" t="s">
        <v>423</v>
      </c>
      <c r="B164">
        <v>300</v>
      </c>
      <c r="C164" s="7" t="s">
        <v>590</v>
      </c>
      <c r="D164" s="7" t="s">
        <v>592</v>
      </c>
      <c r="E164" s="7" t="str">
        <f t="shared" si="2"/>
        <v xml:space="preserve">    "speed": 300,</v>
      </c>
      <c r="H164" t="s">
        <v>460</v>
      </c>
    </row>
    <row r="165" spans="1:8" x14ac:dyDescent="0.15">
      <c r="A165" t="s">
        <v>424</v>
      </c>
      <c r="B165">
        <v>1800</v>
      </c>
      <c r="C165" s="7" t="s">
        <v>590</v>
      </c>
      <c r="D165" s="7" t="s">
        <v>592</v>
      </c>
      <c r="E165" s="7" t="str">
        <f t="shared" si="2"/>
        <v xml:space="preserve">    "range": 1800,</v>
      </c>
      <c r="H165" t="s">
        <v>461</v>
      </c>
    </row>
    <row r="166" spans="1:8" x14ac:dyDescent="0.15">
      <c r="A166" t="s">
        <v>425</v>
      </c>
      <c r="B166">
        <v>0</v>
      </c>
      <c r="C166" s="7" t="s">
        <v>590</v>
      </c>
      <c r="D166" s="7" t="s">
        <v>592</v>
      </c>
      <c r="E166" s="7" t="str">
        <f t="shared" si="2"/>
        <v xml:space="preserve">    "load": 0,</v>
      </c>
      <c r="H166" t="s">
        <v>454</v>
      </c>
    </row>
    <row r="167" spans="1:8" x14ac:dyDescent="0.15">
      <c r="A167" t="s">
        <v>426</v>
      </c>
      <c r="B167">
        <v>900</v>
      </c>
      <c r="C167" s="7" t="s">
        <v>590</v>
      </c>
      <c r="D167" s="7" t="s">
        <v>592</v>
      </c>
      <c r="E167" s="7" t="str">
        <f t="shared" si="2"/>
        <v xml:space="preserve">    "upkeep": 900,</v>
      </c>
      <c r="H167" t="s">
        <v>539</v>
      </c>
    </row>
    <row r="168" spans="1:8" x14ac:dyDescent="0.15">
      <c r="A168" t="s">
        <v>427</v>
      </c>
      <c r="B168">
        <v>0</v>
      </c>
      <c r="C168" s="7" t="s">
        <v>590</v>
      </c>
      <c r="D168" s="7" t="s">
        <v>592</v>
      </c>
      <c r="E168" s="7" t="str">
        <f t="shared" si="2"/>
        <v xml:space="preserve">    "might": 0,</v>
      </c>
      <c r="H168" t="s">
        <v>456</v>
      </c>
    </row>
    <row r="169" spans="1:8" x14ac:dyDescent="0.15">
      <c r="A169" t="s">
        <v>428</v>
      </c>
      <c r="B169">
        <v>1</v>
      </c>
      <c r="C169" s="7" t="s">
        <v>590</v>
      </c>
      <c r="D169" s="7"/>
      <c r="E169" s="7" t="str">
        <f t="shared" si="2"/>
        <v xml:space="preserve">    "transform": 1</v>
      </c>
      <c r="H169" t="s">
        <v>518</v>
      </c>
    </row>
    <row r="170" spans="1:8" x14ac:dyDescent="0.15">
      <c r="A170" t="s">
        <v>413</v>
      </c>
      <c r="C170" s="7"/>
      <c r="D170" s="7"/>
      <c r="E170" s="7" t="str">
        <f t="shared" si="2"/>
        <v xml:space="preserve">  },</v>
      </c>
      <c r="H170" t="s">
        <v>413</v>
      </c>
    </row>
    <row r="171" spans="1:8" x14ac:dyDescent="0.15">
      <c r="A171" t="s">
        <v>441</v>
      </c>
      <c r="B171" t="s">
        <v>417</v>
      </c>
      <c r="C171" s="7" t="s">
        <v>590</v>
      </c>
      <c r="D171" s="7"/>
      <c r="E171" s="7" t="str">
        <f t="shared" si="2"/>
        <v xml:space="preserve">  "14":  {</v>
      </c>
      <c r="H171" t="s">
        <v>540</v>
      </c>
    </row>
    <row r="172" spans="1:8" x14ac:dyDescent="0.15">
      <c r="A172" t="s">
        <v>418</v>
      </c>
      <c r="B172">
        <v>14</v>
      </c>
      <c r="C172" s="7" t="s">
        <v>590</v>
      </c>
      <c r="D172" s="7" t="s">
        <v>592</v>
      </c>
      <c r="E172" s="7" t="str">
        <f t="shared" si="2"/>
        <v xml:space="preserve">    "level": 14,</v>
      </c>
      <c r="H172" t="s">
        <v>541</v>
      </c>
    </row>
    <row r="173" spans="1:8" x14ac:dyDescent="0.15">
      <c r="A173" t="s">
        <v>419</v>
      </c>
      <c r="B173">
        <v>1654</v>
      </c>
      <c r="C173" s="7" t="s">
        <v>590</v>
      </c>
      <c r="D173" s="7" t="s">
        <v>592</v>
      </c>
      <c r="E173" s="7" t="str">
        <f t="shared" si="2"/>
        <v xml:space="preserve">    "ranged": 1654,</v>
      </c>
      <c r="H173" t="s">
        <v>542</v>
      </c>
    </row>
    <row r="174" spans="1:8" x14ac:dyDescent="0.15">
      <c r="A174" t="s">
        <v>420</v>
      </c>
      <c r="B174">
        <v>1654</v>
      </c>
      <c r="C174" s="7" t="s">
        <v>590</v>
      </c>
      <c r="D174" s="7" t="s">
        <v>592</v>
      </c>
      <c r="E174" s="7" t="str">
        <f t="shared" si="2"/>
        <v xml:space="preserve">    "melee": 1654,</v>
      </c>
      <c r="H174" t="s">
        <v>543</v>
      </c>
    </row>
    <row r="175" spans="1:8" x14ac:dyDescent="0.15">
      <c r="A175" t="s">
        <v>421</v>
      </c>
      <c r="B175">
        <v>957</v>
      </c>
      <c r="C175" s="7" t="s">
        <v>590</v>
      </c>
      <c r="D175" s="7" t="s">
        <v>592</v>
      </c>
      <c r="E175" s="7" t="str">
        <f t="shared" si="2"/>
        <v xml:space="preserve">    "defense": 957,</v>
      </c>
      <c r="H175" t="s">
        <v>544</v>
      </c>
    </row>
    <row r="176" spans="1:8" x14ac:dyDescent="0.15">
      <c r="A176" t="s">
        <v>422</v>
      </c>
      <c r="B176">
        <v>137972</v>
      </c>
      <c r="C176" s="7" t="s">
        <v>590</v>
      </c>
      <c r="D176" s="7" t="s">
        <v>592</v>
      </c>
      <c r="E176" s="7" t="str">
        <f t="shared" si="2"/>
        <v xml:space="preserve">    "life": 137972,</v>
      </c>
      <c r="H176" t="s">
        <v>545</v>
      </c>
    </row>
    <row r="177" spans="1:8" x14ac:dyDescent="0.15">
      <c r="A177" t="s">
        <v>423</v>
      </c>
      <c r="B177">
        <v>300</v>
      </c>
      <c r="C177" s="7" t="s">
        <v>590</v>
      </c>
      <c r="D177" s="7" t="s">
        <v>592</v>
      </c>
      <c r="E177" s="7" t="str">
        <f t="shared" si="2"/>
        <v xml:space="preserve">    "speed": 300,</v>
      </c>
      <c r="H177" t="s">
        <v>460</v>
      </c>
    </row>
    <row r="178" spans="1:8" x14ac:dyDescent="0.15">
      <c r="A178" t="s">
        <v>424</v>
      </c>
      <c r="B178">
        <v>1800</v>
      </c>
      <c r="C178" s="7" t="s">
        <v>590</v>
      </c>
      <c r="D178" s="7" t="s">
        <v>592</v>
      </c>
      <c r="E178" s="7" t="str">
        <f t="shared" si="2"/>
        <v xml:space="preserve">    "range": 1800,</v>
      </c>
      <c r="H178" t="s">
        <v>461</v>
      </c>
    </row>
    <row r="179" spans="1:8" x14ac:dyDescent="0.15">
      <c r="A179" t="s">
        <v>425</v>
      </c>
      <c r="B179">
        <v>0</v>
      </c>
      <c r="C179" s="7" t="s">
        <v>590</v>
      </c>
      <c r="D179" s="7" t="s">
        <v>592</v>
      </c>
      <c r="E179" s="7" t="str">
        <f t="shared" si="2"/>
        <v xml:space="preserve">    "load": 0,</v>
      </c>
      <c r="H179" t="s">
        <v>454</v>
      </c>
    </row>
    <row r="180" spans="1:8" x14ac:dyDescent="0.15">
      <c r="A180" t="s">
        <v>426</v>
      </c>
      <c r="B180">
        <v>1000</v>
      </c>
      <c r="C180" s="7" t="s">
        <v>590</v>
      </c>
      <c r="D180" s="7" t="s">
        <v>592</v>
      </c>
      <c r="E180" s="7" t="str">
        <f t="shared" si="2"/>
        <v xml:space="preserve">    "upkeep": 1000,</v>
      </c>
      <c r="H180" t="s">
        <v>546</v>
      </c>
    </row>
    <row r="181" spans="1:8" x14ac:dyDescent="0.15">
      <c r="A181" t="s">
        <v>427</v>
      </c>
      <c r="B181">
        <v>0</v>
      </c>
      <c r="C181" s="7" t="s">
        <v>590</v>
      </c>
      <c r="D181" s="7" t="s">
        <v>592</v>
      </c>
      <c r="E181" s="7" t="str">
        <f t="shared" si="2"/>
        <v xml:space="preserve">    "might": 0,</v>
      </c>
      <c r="H181" t="s">
        <v>456</v>
      </c>
    </row>
    <row r="182" spans="1:8" x14ac:dyDescent="0.15">
      <c r="A182" t="s">
        <v>428</v>
      </c>
      <c r="B182">
        <v>1</v>
      </c>
      <c r="C182" s="7" t="s">
        <v>590</v>
      </c>
      <c r="D182" s="7"/>
      <c r="E182" s="7" t="str">
        <f t="shared" si="2"/>
        <v xml:space="preserve">    "transform": 1</v>
      </c>
      <c r="H182" t="s">
        <v>518</v>
      </c>
    </row>
    <row r="183" spans="1:8" x14ac:dyDescent="0.15">
      <c r="A183" t="s">
        <v>413</v>
      </c>
      <c r="C183" s="7"/>
      <c r="D183" s="7"/>
      <c r="E183" s="7" t="str">
        <f t="shared" si="2"/>
        <v xml:space="preserve">  },</v>
      </c>
      <c r="H183" t="s">
        <v>413</v>
      </c>
    </row>
    <row r="184" spans="1:8" x14ac:dyDescent="0.15">
      <c r="A184" t="s">
        <v>442</v>
      </c>
      <c r="B184" t="s">
        <v>417</v>
      </c>
      <c r="C184" s="7" t="s">
        <v>590</v>
      </c>
      <c r="D184" s="7"/>
      <c r="E184" s="7" t="str">
        <f t="shared" si="2"/>
        <v xml:space="preserve">  "15":  {</v>
      </c>
      <c r="H184" t="s">
        <v>547</v>
      </c>
    </row>
    <row r="185" spans="1:8" x14ac:dyDescent="0.15">
      <c r="A185" t="s">
        <v>418</v>
      </c>
      <c r="B185">
        <v>15</v>
      </c>
      <c r="C185" s="7" t="s">
        <v>590</v>
      </c>
      <c r="D185" s="7" t="s">
        <v>592</v>
      </c>
      <c r="E185" s="7" t="str">
        <f t="shared" si="2"/>
        <v xml:space="preserve">    "level": 15,</v>
      </c>
      <c r="H185" t="s">
        <v>548</v>
      </c>
    </row>
    <row r="186" spans="1:8" x14ac:dyDescent="0.15">
      <c r="A186" t="s">
        <v>419</v>
      </c>
      <c r="B186">
        <v>1857</v>
      </c>
      <c r="C186" s="7" t="s">
        <v>590</v>
      </c>
      <c r="D186" s="7" t="s">
        <v>592</v>
      </c>
      <c r="E186" s="7" t="str">
        <f t="shared" si="2"/>
        <v xml:space="preserve">    "ranged": 1857,</v>
      </c>
      <c r="H186" t="s">
        <v>549</v>
      </c>
    </row>
    <row r="187" spans="1:8" x14ac:dyDescent="0.15">
      <c r="A187" t="s">
        <v>420</v>
      </c>
      <c r="B187">
        <v>1857</v>
      </c>
      <c r="C187" s="7" t="s">
        <v>590</v>
      </c>
      <c r="D187" s="7" t="s">
        <v>592</v>
      </c>
      <c r="E187" s="7" t="str">
        <f t="shared" si="2"/>
        <v xml:space="preserve">    "melee": 1857,</v>
      </c>
      <c r="H187" t="s">
        <v>550</v>
      </c>
    </row>
    <row r="188" spans="1:8" x14ac:dyDescent="0.15">
      <c r="A188" t="s">
        <v>421</v>
      </c>
      <c r="B188">
        <v>1075</v>
      </c>
      <c r="C188" s="7" t="s">
        <v>590</v>
      </c>
      <c r="D188" s="7" t="s">
        <v>592</v>
      </c>
      <c r="E188" s="7" t="str">
        <f t="shared" si="2"/>
        <v xml:space="preserve">    "defense": 1075,</v>
      </c>
      <c r="H188" t="s">
        <v>551</v>
      </c>
    </row>
    <row r="189" spans="1:8" x14ac:dyDescent="0.15">
      <c r="A189" t="s">
        <v>422</v>
      </c>
      <c r="B189">
        <v>154844</v>
      </c>
      <c r="C189" s="7" t="s">
        <v>590</v>
      </c>
      <c r="D189" s="7" t="s">
        <v>592</v>
      </c>
      <c r="E189" s="7" t="str">
        <f t="shared" si="2"/>
        <v xml:space="preserve">    "life": 154844,</v>
      </c>
      <c r="H189" t="s">
        <v>552</v>
      </c>
    </row>
    <row r="190" spans="1:8" x14ac:dyDescent="0.15">
      <c r="A190" t="s">
        <v>423</v>
      </c>
      <c r="B190">
        <v>300</v>
      </c>
      <c r="C190" s="7" t="s">
        <v>590</v>
      </c>
      <c r="D190" s="7" t="s">
        <v>592</v>
      </c>
      <c r="E190" s="7" t="str">
        <f t="shared" si="2"/>
        <v xml:space="preserve">    "speed": 300,</v>
      </c>
      <c r="H190" t="s">
        <v>460</v>
      </c>
    </row>
    <row r="191" spans="1:8" x14ac:dyDescent="0.15">
      <c r="A191" t="s">
        <v>424</v>
      </c>
      <c r="B191">
        <v>1800</v>
      </c>
      <c r="C191" s="7" t="s">
        <v>590</v>
      </c>
      <c r="D191" s="7" t="s">
        <v>592</v>
      </c>
      <c r="E191" s="7" t="str">
        <f t="shared" si="2"/>
        <v xml:space="preserve">    "range": 1800,</v>
      </c>
      <c r="H191" t="s">
        <v>461</v>
      </c>
    </row>
    <row r="192" spans="1:8" x14ac:dyDescent="0.15">
      <c r="A192" t="s">
        <v>425</v>
      </c>
      <c r="B192">
        <v>0</v>
      </c>
      <c r="C192" s="7" t="s">
        <v>590</v>
      </c>
      <c r="D192" s="7" t="s">
        <v>592</v>
      </c>
      <c r="E192" s="7" t="str">
        <f t="shared" si="2"/>
        <v xml:space="preserve">    "load": 0,</v>
      </c>
      <c r="H192" t="s">
        <v>454</v>
      </c>
    </row>
    <row r="193" spans="1:8" x14ac:dyDescent="0.15">
      <c r="A193" t="s">
        <v>426</v>
      </c>
      <c r="B193">
        <v>1100</v>
      </c>
      <c r="C193" s="7" t="s">
        <v>590</v>
      </c>
      <c r="D193" s="7" t="s">
        <v>592</v>
      </c>
      <c r="E193" s="7" t="str">
        <f t="shared" si="2"/>
        <v xml:space="preserve">    "upkeep": 1100,</v>
      </c>
      <c r="H193" t="s">
        <v>553</v>
      </c>
    </row>
    <row r="194" spans="1:8" x14ac:dyDescent="0.15">
      <c r="A194" t="s">
        <v>427</v>
      </c>
      <c r="B194">
        <v>0</v>
      </c>
      <c r="C194" s="7" t="s">
        <v>590</v>
      </c>
      <c r="D194" s="7" t="s">
        <v>592</v>
      </c>
      <c r="E194" s="7" t="str">
        <f t="shared" ref="E194:E257" si="3">A194&amp;C194&amp;B194&amp;D194</f>
        <v xml:space="preserve">    "might": 0,</v>
      </c>
      <c r="H194" t="s">
        <v>456</v>
      </c>
    </row>
    <row r="195" spans="1:8" x14ac:dyDescent="0.15">
      <c r="A195" t="s">
        <v>428</v>
      </c>
      <c r="B195">
        <v>1</v>
      </c>
      <c r="C195" s="7" t="s">
        <v>590</v>
      </c>
      <c r="D195" s="7"/>
      <c r="E195" s="7" t="str">
        <f t="shared" si="3"/>
        <v xml:space="preserve">    "transform": 1</v>
      </c>
      <c r="H195" t="s">
        <v>518</v>
      </c>
    </row>
    <row r="196" spans="1:8" x14ac:dyDescent="0.15">
      <c r="A196" t="s">
        <v>413</v>
      </c>
      <c r="C196" s="7"/>
      <c r="D196" s="7"/>
      <c r="E196" s="7" t="str">
        <f t="shared" si="3"/>
        <v xml:space="preserve">  },</v>
      </c>
      <c r="H196" t="s">
        <v>413</v>
      </c>
    </row>
    <row r="197" spans="1:8" x14ac:dyDescent="0.15">
      <c r="A197" t="s">
        <v>443</v>
      </c>
      <c r="B197" t="s">
        <v>417</v>
      </c>
      <c r="C197" s="7" t="s">
        <v>590</v>
      </c>
      <c r="D197" s="7"/>
      <c r="E197" s="7" t="str">
        <f t="shared" si="3"/>
        <v xml:space="preserve">  "16":  {</v>
      </c>
      <c r="H197" t="s">
        <v>554</v>
      </c>
    </row>
    <row r="198" spans="1:8" x14ac:dyDescent="0.15">
      <c r="A198" t="s">
        <v>418</v>
      </c>
      <c r="B198">
        <v>16</v>
      </c>
      <c r="C198" s="7" t="s">
        <v>590</v>
      </c>
      <c r="D198" s="7" t="s">
        <v>592</v>
      </c>
      <c r="E198" s="7" t="str">
        <f t="shared" si="3"/>
        <v xml:space="preserve">    "level": 16,</v>
      </c>
      <c r="H198" t="s">
        <v>555</v>
      </c>
    </row>
    <row r="199" spans="1:8" x14ac:dyDescent="0.15">
      <c r="A199" t="s">
        <v>419</v>
      </c>
      <c r="B199">
        <v>2060</v>
      </c>
      <c r="C199" s="7" t="s">
        <v>590</v>
      </c>
      <c r="D199" s="7" t="s">
        <v>592</v>
      </c>
      <c r="E199" s="7" t="str">
        <f t="shared" si="3"/>
        <v xml:space="preserve">    "ranged": 2060,</v>
      </c>
      <c r="H199" t="s">
        <v>556</v>
      </c>
    </row>
    <row r="200" spans="1:8" x14ac:dyDescent="0.15">
      <c r="A200" t="s">
        <v>420</v>
      </c>
      <c r="B200">
        <v>2060</v>
      </c>
      <c r="C200" s="7" t="s">
        <v>590</v>
      </c>
      <c r="D200" s="7" t="s">
        <v>592</v>
      </c>
      <c r="E200" s="7" t="str">
        <f t="shared" si="3"/>
        <v xml:space="preserve">    "melee": 2060,</v>
      </c>
      <c r="H200" t="s">
        <v>557</v>
      </c>
    </row>
    <row r="201" spans="1:8" x14ac:dyDescent="0.15">
      <c r="A201" t="s">
        <v>421</v>
      </c>
      <c r="B201">
        <v>1192</v>
      </c>
      <c r="C201" s="7" t="s">
        <v>590</v>
      </c>
      <c r="D201" s="7" t="s">
        <v>592</v>
      </c>
      <c r="E201" s="7" t="str">
        <f t="shared" si="3"/>
        <v xml:space="preserve">    "defense": 1192,</v>
      </c>
      <c r="H201" t="s">
        <v>558</v>
      </c>
    </row>
    <row r="202" spans="1:8" x14ac:dyDescent="0.15">
      <c r="A202" t="s">
        <v>422</v>
      </c>
      <c r="B202">
        <v>171716</v>
      </c>
      <c r="C202" s="7" t="s">
        <v>590</v>
      </c>
      <c r="D202" s="7" t="s">
        <v>592</v>
      </c>
      <c r="E202" s="7" t="str">
        <f t="shared" si="3"/>
        <v xml:space="preserve">    "life": 171716,</v>
      </c>
      <c r="H202" t="s">
        <v>559</v>
      </c>
    </row>
    <row r="203" spans="1:8" x14ac:dyDescent="0.15">
      <c r="A203" t="s">
        <v>423</v>
      </c>
      <c r="B203">
        <v>300</v>
      </c>
      <c r="C203" s="7" t="s">
        <v>590</v>
      </c>
      <c r="D203" s="7" t="s">
        <v>592</v>
      </c>
      <c r="E203" s="7" t="str">
        <f t="shared" si="3"/>
        <v xml:space="preserve">    "speed": 300,</v>
      </c>
      <c r="H203" t="s">
        <v>460</v>
      </c>
    </row>
    <row r="204" spans="1:8" x14ac:dyDescent="0.15">
      <c r="A204" t="s">
        <v>424</v>
      </c>
      <c r="B204">
        <v>1800</v>
      </c>
      <c r="C204" s="7" t="s">
        <v>590</v>
      </c>
      <c r="D204" s="7" t="s">
        <v>592</v>
      </c>
      <c r="E204" s="7" t="str">
        <f t="shared" si="3"/>
        <v xml:space="preserve">    "range": 1800,</v>
      </c>
      <c r="H204" t="s">
        <v>461</v>
      </c>
    </row>
    <row r="205" spans="1:8" x14ac:dyDescent="0.15">
      <c r="A205" t="s">
        <v>425</v>
      </c>
      <c r="B205">
        <v>0</v>
      </c>
      <c r="C205" s="7" t="s">
        <v>590</v>
      </c>
      <c r="D205" s="7" t="s">
        <v>592</v>
      </c>
      <c r="E205" s="7" t="str">
        <f t="shared" si="3"/>
        <v xml:space="preserve">    "load": 0,</v>
      </c>
      <c r="H205" t="s">
        <v>454</v>
      </c>
    </row>
    <row r="206" spans="1:8" x14ac:dyDescent="0.15">
      <c r="A206" t="s">
        <v>426</v>
      </c>
      <c r="B206">
        <v>1200</v>
      </c>
      <c r="C206" s="7" t="s">
        <v>590</v>
      </c>
      <c r="D206" s="7" t="s">
        <v>592</v>
      </c>
      <c r="E206" s="7" t="str">
        <f t="shared" si="3"/>
        <v xml:space="preserve">    "upkeep": 1200,</v>
      </c>
      <c r="H206" t="s">
        <v>560</v>
      </c>
    </row>
    <row r="207" spans="1:8" x14ac:dyDescent="0.15">
      <c r="A207" t="s">
        <v>427</v>
      </c>
      <c r="B207">
        <v>0</v>
      </c>
      <c r="C207" s="7" t="s">
        <v>590</v>
      </c>
      <c r="D207" s="7" t="s">
        <v>592</v>
      </c>
      <c r="E207" s="7" t="str">
        <f t="shared" si="3"/>
        <v xml:space="preserve">    "might": 0,</v>
      </c>
      <c r="H207" t="s">
        <v>456</v>
      </c>
    </row>
    <row r="208" spans="1:8" x14ac:dyDescent="0.15">
      <c r="A208" t="s">
        <v>428</v>
      </c>
      <c r="B208">
        <v>2</v>
      </c>
      <c r="C208" s="7" t="s">
        <v>590</v>
      </c>
      <c r="D208" s="7"/>
      <c r="E208" s="7" t="str">
        <f t="shared" si="3"/>
        <v xml:space="preserve">    "transform": 2</v>
      </c>
      <c r="H208" t="s">
        <v>561</v>
      </c>
    </row>
    <row r="209" spans="1:8" x14ac:dyDescent="0.15">
      <c r="A209" t="s">
        <v>413</v>
      </c>
      <c r="C209" s="7"/>
      <c r="D209" s="7"/>
      <c r="E209" s="7" t="str">
        <f t="shared" si="3"/>
        <v xml:space="preserve">  },</v>
      </c>
      <c r="H209" t="s">
        <v>413</v>
      </c>
    </row>
    <row r="210" spans="1:8" x14ac:dyDescent="0.15">
      <c r="A210" t="s">
        <v>444</v>
      </c>
      <c r="B210" t="s">
        <v>417</v>
      </c>
      <c r="C210" s="7" t="s">
        <v>590</v>
      </c>
      <c r="D210" s="7"/>
      <c r="E210" s="7" t="str">
        <f t="shared" si="3"/>
        <v xml:space="preserve">  "17":  {</v>
      </c>
      <c r="H210" t="s">
        <v>562</v>
      </c>
    </row>
    <row r="211" spans="1:8" x14ac:dyDescent="0.15">
      <c r="A211" t="s">
        <v>418</v>
      </c>
      <c r="B211">
        <v>17</v>
      </c>
      <c r="C211" s="7" t="s">
        <v>590</v>
      </c>
      <c r="D211" s="7" t="s">
        <v>592</v>
      </c>
      <c r="E211" s="7" t="str">
        <f t="shared" si="3"/>
        <v xml:space="preserve">    "level": 17,</v>
      </c>
      <c r="H211" t="s">
        <v>563</v>
      </c>
    </row>
    <row r="212" spans="1:8" x14ac:dyDescent="0.15">
      <c r="A212" t="s">
        <v>419</v>
      </c>
      <c r="B212">
        <v>2269</v>
      </c>
      <c r="C212" s="7" t="s">
        <v>590</v>
      </c>
      <c r="D212" s="7" t="s">
        <v>592</v>
      </c>
      <c r="E212" s="7" t="str">
        <f t="shared" si="3"/>
        <v xml:space="preserve">    "ranged": 2269,</v>
      </c>
      <c r="H212" t="s">
        <v>564</v>
      </c>
    </row>
    <row r="213" spans="1:8" x14ac:dyDescent="0.15">
      <c r="A213" t="s">
        <v>420</v>
      </c>
      <c r="B213">
        <v>2269</v>
      </c>
      <c r="C213" s="7" t="s">
        <v>590</v>
      </c>
      <c r="D213" s="7" t="s">
        <v>592</v>
      </c>
      <c r="E213" s="7" t="str">
        <f t="shared" si="3"/>
        <v xml:space="preserve">    "melee": 2269,</v>
      </c>
      <c r="H213" t="s">
        <v>565</v>
      </c>
    </row>
    <row r="214" spans="1:8" x14ac:dyDescent="0.15">
      <c r="A214" t="s">
        <v>421</v>
      </c>
      <c r="B214">
        <v>1313</v>
      </c>
      <c r="C214" s="7" t="s">
        <v>590</v>
      </c>
      <c r="D214" s="7" t="s">
        <v>592</v>
      </c>
      <c r="E214" s="7" t="str">
        <f t="shared" si="3"/>
        <v xml:space="preserve">    "defense": 1313,</v>
      </c>
      <c r="H214" t="s">
        <v>566</v>
      </c>
    </row>
    <row r="215" spans="1:8" x14ac:dyDescent="0.15">
      <c r="A215" t="s">
        <v>422</v>
      </c>
      <c r="B215">
        <v>189162</v>
      </c>
      <c r="C215" s="7" t="s">
        <v>590</v>
      </c>
      <c r="D215" s="7" t="s">
        <v>592</v>
      </c>
      <c r="E215" s="7" t="str">
        <f t="shared" si="3"/>
        <v xml:space="preserve">    "life": 189162,</v>
      </c>
      <c r="H215" t="s">
        <v>567</v>
      </c>
    </row>
    <row r="216" spans="1:8" x14ac:dyDescent="0.15">
      <c r="A216" t="s">
        <v>423</v>
      </c>
      <c r="B216">
        <v>300</v>
      </c>
      <c r="C216" s="7" t="s">
        <v>590</v>
      </c>
      <c r="D216" s="7" t="s">
        <v>592</v>
      </c>
      <c r="E216" s="7" t="str">
        <f t="shared" si="3"/>
        <v xml:space="preserve">    "speed": 300,</v>
      </c>
      <c r="H216" t="s">
        <v>460</v>
      </c>
    </row>
    <row r="217" spans="1:8" x14ac:dyDescent="0.15">
      <c r="A217" t="s">
        <v>424</v>
      </c>
      <c r="B217">
        <v>1800</v>
      </c>
      <c r="C217" s="7" t="s">
        <v>590</v>
      </c>
      <c r="D217" s="7" t="s">
        <v>592</v>
      </c>
      <c r="E217" s="7" t="str">
        <f t="shared" si="3"/>
        <v xml:space="preserve">    "range": 1800,</v>
      </c>
      <c r="H217" t="s">
        <v>461</v>
      </c>
    </row>
    <row r="218" spans="1:8" x14ac:dyDescent="0.15">
      <c r="A218" t="s">
        <v>425</v>
      </c>
      <c r="B218">
        <v>0</v>
      </c>
      <c r="C218" s="7" t="s">
        <v>590</v>
      </c>
      <c r="D218" s="7" t="s">
        <v>592</v>
      </c>
      <c r="E218" s="7" t="str">
        <f t="shared" si="3"/>
        <v xml:space="preserve">    "load": 0,</v>
      </c>
      <c r="H218" t="s">
        <v>454</v>
      </c>
    </row>
    <row r="219" spans="1:8" x14ac:dyDescent="0.15">
      <c r="A219" t="s">
        <v>426</v>
      </c>
      <c r="B219">
        <v>1300</v>
      </c>
      <c r="C219" s="7" t="s">
        <v>590</v>
      </c>
      <c r="D219" s="7" t="s">
        <v>592</v>
      </c>
      <c r="E219" s="7" t="str">
        <f t="shared" si="3"/>
        <v xml:space="preserve">    "upkeep": 1300,</v>
      </c>
      <c r="H219" t="s">
        <v>568</v>
      </c>
    </row>
    <row r="220" spans="1:8" x14ac:dyDescent="0.15">
      <c r="A220" t="s">
        <v>427</v>
      </c>
      <c r="B220">
        <v>0</v>
      </c>
      <c r="C220" s="7" t="s">
        <v>590</v>
      </c>
      <c r="D220" s="7" t="s">
        <v>592</v>
      </c>
      <c r="E220" s="7" t="str">
        <f t="shared" si="3"/>
        <v xml:space="preserve">    "might": 0,</v>
      </c>
      <c r="H220" t="s">
        <v>456</v>
      </c>
    </row>
    <row r="221" spans="1:8" x14ac:dyDescent="0.15">
      <c r="A221" t="s">
        <v>428</v>
      </c>
      <c r="B221">
        <v>2</v>
      </c>
      <c r="C221" s="7" t="s">
        <v>590</v>
      </c>
      <c r="D221" s="7"/>
      <c r="E221" s="7" t="str">
        <f t="shared" si="3"/>
        <v xml:space="preserve">    "transform": 2</v>
      </c>
      <c r="H221" t="s">
        <v>561</v>
      </c>
    </row>
    <row r="222" spans="1:8" x14ac:dyDescent="0.15">
      <c r="A222" t="s">
        <v>413</v>
      </c>
      <c r="C222" s="7"/>
      <c r="D222" s="7"/>
      <c r="E222" s="7" t="str">
        <f t="shared" si="3"/>
        <v xml:space="preserve">  },</v>
      </c>
      <c r="H222" t="s">
        <v>413</v>
      </c>
    </row>
    <row r="223" spans="1:8" x14ac:dyDescent="0.15">
      <c r="A223" t="s">
        <v>445</v>
      </c>
      <c r="B223" t="s">
        <v>417</v>
      </c>
      <c r="C223" s="7" t="s">
        <v>590</v>
      </c>
      <c r="D223" s="7"/>
      <c r="E223" s="7" t="str">
        <f t="shared" si="3"/>
        <v xml:space="preserve">  "18":  {</v>
      </c>
      <c r="H223" t="s">
        <v>569</v>
      </c>
    </row>
    <row r="224" spans="1:8" x14ac:dyDescent="0.15">
      <c r="A224" t="s">
        <v>418</v>
      </c>
      <c r="B224">
        <v>18</v>
      </c>
      <c r="C224" s="7" t="s">
        <v>590</v>
      </c>
      <c r="D224" s="7" t="s">
        <v>592</v>
      </c>
      <c r="E224" s="7" t="str">
        <f t="shared" si="3"/>
        <v xml:space="preserve">    "level": 18,</v>
      </c>
      <c r="H224" t="s">
        <v>570</v>
      </c>
    </row>
    <row r="225" spans="1:8" x14ac:dyDescent="0.15">
      <c r="A225" t="s">
        <v>419</v>
      </c>
      <c r="B225">
        <v>2479</v>
      </c>
      <c r="C225" s="7" t="s">
        <v>590</v>
      </c>
      <c r="D225" s="7" t="s">
        <v>592</v>
      </c>
      <c r="E225" s="7" t="str">
        <f t="shared" si="3"/>
        <v xml:space="preserve">    "ranged": 2479,</v>
      </c>
      <c r="H225" t="s">
        <v>571</v>
      </c>
    </row>
    <row r="226" spans="1:8" x14ac:dyDescent="0.15">
      <c r="A226" t="s">
        <v>420</v>
      </c>
      <c r="B226">
        <v>2479</v>
      </c>
      <c r="C226" s="7" t="s">
        <v>590</v>
      </c>
      <c r="D226" s="7" t="s">
        <v>592</v>
      </c>
      <c r="E226" s="7" t="str">
        <f t="shared" si="3"/>
        <v xml:space="preserve">    "melee": 2479,</v>
      </c>
      <c r="H226" t="s">
        <v>572</v>
      </c>
    </row>
    <row r="227" spans="1:8" x14ac:dyDescent="0.15">
      <c r="A227" t="s">
        <v>421</v>
      </c>
      <c r="B227">
        <v>1434</v>
      </c>
      <c r="C227" s="7" t="s">
        <v>590</v>
      </c>
      <c r="D227" s="7" t="s">
        <v>592</v>
      </c>
      <c r="E227" s="7" t="str">
        <f t="shared" si="3"/>
        <v xml:space="preserve">    "defense": 1434,</v>
      </c>
      <c r="H227" t="s">
        <v>573</v>
      </c>
    </row>
    <row r="228" spans="1:8" x14ac:dyDescent="0.15">
      <c r="A228" t="s">
        <v>422</v>
      </c>
      <c r="B228">
        <v>206608</v>
      </c>
      <c r="C228" s="7" t="s">
        <v>590</v>
      </c>
      <c r="D228" s="7" t="s">
        <v>592</v>
      </c>
      <c r="E228" s="7" t="str">
        <f t="shared" si="3"/>
        <v xml:space="preserve">    "life": 206608,</v>
      </c>
      <c r="H228" t="s">
        <v>574</v>
      </c>
    </row>
    <row r="229" spans="1:8" x14ac:dyDescent="0.15">
      <c r="A229" t="s">
        <v>423</v>
      </c>
      <c r="B229">
        <v>300</v>
      </c>
      <c r="C229" s="7" t="s">
        <v>590</v>
      </c>
      <c r="D229" s="7" t="s">
        <v>592</v>
      </c>
      <c r="E229" s="7" t="str">
        <f t="shared" si="3"/>
        <v xml:space="preserve">    "speed": 300,</v>
      </c>
      <c r="H229" t="s">
        <v>460</v>
      </c>
    </row>
    <row r="230" spans="1:8" x14ac:dyDescent="0.15">
      <c r="A230" t="s">
        <v>424</v>
      </c>
      <c r="B230">
        <v>1800</v>
      </c>
      <c r="C230" s="7" t="s">
        <v>590</v>
      </c>
      <c r="D230" s="7" t="s">
        <v>592</v>
      </c>
      <c r="E230" s="7" t="str">
        <f t="shared" si="3"/>
        <v xml:space="preserve">    "range": 1800,</v>
      </c>
      <c r="H230" t="s">
        <v>461</v>
      </c>
    </row>
    <row r="231" spans="1:8" x14ac:dyDescent="0.15">
      <c r="A231" t="s">
        <v>425</v>
      </c>
      <c r="B231">
        <v>0</v>
      </c>
      <c r="C231" s="7" t="s">
        <v>590</v>
      </c>
      <c r="D231" s="7" t="s">
        <v>592</v>
      </c>
      <c r="E231" s="7" t="str">
        <f t="shared" si="3"/>
        <v xml:space="preserve">    "load": 0,</v>
      </c>
      <c r="H231" t="s">
        <v>454</v>
      </c>
    </row>
    <row r="232" spans="1:8" x14ac:dyDescent="0.15">
      <c r="A232" t="s">
        <v>426</v>
      </c>
      <c r="B232">
        <v>1400</v>
      </c>
      <c r="C232" s="7" t="s">
        <v>590</v>
      </c>
      <c r="D232" s="7" t="s">
        <v>592</v>
      </c>
      <c r="E232" s="7" t="str">
        <f t="shared" si="3"/>
        <v xml:space="preserve">    "upkeep": 1400,</v>
      </c>
      <c r="H232" t="s">
        <v>575</v>
      </c>
    </row>
    <row r="233" spans="1:8" x14ac:dyDescent="0.15">
      <c r="A233" t="s">
        <v>427</v>
      </c>
      <c r="B233">
        <v>0</v>
      </c>
      <c r="C233" s="7" t="s">
        <v>590</v>
      </c>
      <c r="D233" s="7" t="s">
        <v>592</v>
      </c>
      <c r="E233" s="7" t="str">
        <f t="shared" si="3"/>
        <v xml:space="preserve">    "might": 0,</v>
      </c>
      <c r="H233" t="s">
        <v>456</v>
      </c>
    </row>
    <row r="234" spans="1:8" x14ac:dyDescent="0.15">
      <c r="A234" t="s">
        <v>428</v>
      </c>
      <c r="B234">
        <v>2</v>
      </c>
      <c r="C234" s="7" t="s">
        <v>590</v>
      </c>
      <c r="D234" s="7"/>
      <c r="E234" s="7" t="str">
        <f t="shared" si="3"/>
        <v xml:space="preserve">    "transform": 2</v>
      </c>
      <c r="H234" t="s">
        <v>561</v>
      </c>
    </row>
    <row r="235" spans="1:8" x14ac:dyDescent="0.15">
      <c r="A235" t="s">
        <v>413</v>
      </c>
      <c r="C235" s="7"/>
      <c r="D235" s="7"/>
      <c r="E235" s="7" t="str">
        <f t="shared" si="3"/>
        <v xml:space="preserve">  },</v>
      </c>
      <c r="H235" t="s">
        <v>413</v>
      </c>
    </row>
    <row r="236" spans="1:8" x14ac:dyDescent="0.15">
      <c r="A236" t="s">
        <v>446</v>
      </c>
      <c r="B236" t="s">
        <v>417</v>
      </c>
      <c r="C236" s="7" t="s">
        <v>590</v>
      </c>
      <c r="D236" s="7"/>
      <c r="E236" s="7" t="str">
        <f t="shared" si="3"/>
        <v xml:space="preserve">  "19":  {</v>
      </c>
      <c r="H236" t="s">
        <v>576</v>
      </c>
    </row>
    <row r="237" spans="1:8" x14ac:dyDescent="0.15">
      <c r="A237" t="s">
        <v>418</v>
      </c>
      <c r="B237">
        <v>19</v>
      </c>
      <c r="C237" s="7" t="s">
        <v>590</v>
      </c>
      <c r="D237" s="7" t="s">
        <v>592</v>
      </c>
      <c r="E237" s="7" t="str">
        <f t="shared" si="3"/>
        <v xml:space="preserve">    "level": 19,</v>
      </c>
      <c r="H237" t="s">
        <v>577</v>
      </c>
    </row>
    <row r="238" spans="1:8" x14ac:dyDescent="0.15">
      <c r="A238" t="s">
        <v>419</v>
      </c>
      <c r="B238">
        <v>2694</v>
      </c>
      <c r="C238" s="7" t="s">
        <v>590</v>
      </c>
      <c r="D238" s="7" t="s">
        <v>592</v>
      </c>
      <c r="E238" s="7" t="str">
        <f t="shared" si="3"/>
        <v xml:space="preserve">    "ranged": 2694,</v>
      </c>
      <c r="H238" t="s">
        <v>578</v>
      </c>
    </row>
    <row r="239" spans="1:8" x14ac:dyDescent="0.15">
      <c r="A239" t="s">
        <v>420</v>
      </c>
      <c r="B239">
        <v>2694</v>
      </c>
      <c r="C239" s="7" t="s">
        <v>590</v>
      </c>
      <c r="D239" s="7" t="s">
        <v>592</v>
      </c>
      <c r="E239" s="7" t="str">
        <f t="shared" si="3"/>
        <v xml:space="preserve">    "melee": 2694,</v>
      </c>
      <c r="H239" t="s">
        <v>579</v>
      </c>
    </row>
    <row r="240" spans="1:8" x14ac:dyDescent="0.15">
      <c r="A240" t="s">
        <v>421</v>
      </c>
      <c r="B240">
        <v>1559</v>
      </c>
      <c r="C240" s="7" t="s">
        <v>590</v>
      </c>
      <c r="D240" s="7" t="s">
        <v>592</v>
      </c>
      <c r="E240" s="7" t="str">
        <f t="shared" si="3"/>
        <v xml:space="preserve">    "defense": 1559,</v>
      </c>
      <c r="H240" t="s">
        <v>580</v>
      </c>
    </row>
    <row r="241" spans="1:8" x14ac:dyDescent="0.15">
      <c r="A241" t="s">
        <v>422</v>
      </c>
      <c r="B241">
        <v>224561</v>
      </c>
      <c r="C241" s="7" t="s">
        <v>590</v>
      </c>
      <c r="D241" s="7" t="s">
        <v>592</v>
      </c>
      <c r="E241" s="7" t="str">
        <f t="shared" si="3"/>
        <v xml:space="preserve">    "life": 224561,</v>
      </c>
      <c r="H241" t="s">
        <v>581</v>
      </c>
    </row>
    <row r="242" spans="1:8" x14ac:dyDescent="0.15">
      <c r="A242" t="s">
        <v>423</v>
      </c>
      <c r="B242">
        <v>300</v>
      </c>
      <c r="C242" s="7" t="s">
        <v>590</v>
      </c>
      <c r="D242" s="7" t="s">
        <v>592</v>
      </c>
      <c r="E242" s="7" t="str">
        <f t="shared" si="3"/>
        <v xml:space="preserve">    "speed": 300,</v>
      </c>
      <c r="H242" t="s">
        <v>460</v>
      </c>
    </row>
    <row r="243" spans="1:8" x14ac:dyDescent="0.15">
      <c r="A243" t="s">
        <v>424</v>
      </c>
      <c r="B243">
        <v>1800</v>
      </c>
      <c r="C243" s="7" t="s">
        <v>590</v>
      </c>
      <c r="D243" s="7" t="s">
        <v>592</v>
      </c>
      <c r="E243" s="7" t="str">
        <f t="shared" si="3"/>
        <v xml:space="preserve">    "range": 1800,</v>
      </c>
      <c r="H243" t="s">
        <v>461</v>
      </c>
    </row>
    <row r="244" spans="1:8" x14ac:dyDescent="0.15">
      <c r="A244" t="s">
        <v>425</v>
      </c>
      <c r="B244">
        <v>0</v>
      </c>
      <c r="C244" s="7" t="s">
        <v>590</v>
      </c>
      <c r="D244" s="7" t="s">
        <v>592</v>
      </c>
      <c r="E244" s="7" t="str">
        <f t="shared" si="3"/>
        <v xml:space="preserve">    "load": 0,</v>
      </c>
      <c r="H244" t="s">
        <v>454</v>
      </c>
    </row>
    <row r="245" spans="1:8" x14ac:dyDescent="0.15">
      <c r="A245" t="s">
        <v>426</v>
      </c>
      <c r="B245">
        <v>1400</v>
      </c>
      <c r="C245" s="7" t="s">
        <v>590</v>
      </c>
      <c r="D245" s="7" t="s">
        <v>592</v>
      </c>
      <c r="E245" s="7" t="str">
        <f t="shared" si="3"/>
        <v xml:space="preserve">    "upkeep": 1400,</v>
      </c>
      <c r="H245" t="s">
        <v>575</v>
      </c>
    </row>
    <row r="246" spans="1:8" x14ac:dyDescent="0.15">
      <c r="A246" t="s">
        <v>427</v>
      </c>
      <c r="B246">
        <v>0</v>
      </c>
      <c r="C246" s="7" t="s">
        <v>590</v>
      </c>
      <c r="D246" s="7" t="s">
        <v>592</v>
      </c>
      <c r="E246" s="7" t="str">
        <f t="shared" si="3"/>
        <v xml:space="preserve">    "might": 0,</v>
      </c>
      <c r="H246" t="s">
        <v>456</v>
      </c>
    </row>
    <row r="247" spans="1:8" x14ac:dyDescent="0.15">
      <c r="A247" t="s">
        <v>428</v>
      </c>
      <c r="B247">
        <v>2</v>
      </c>
      <c r="C247" s="7" t="s">
        <v>590</v>
      </c>
      <c r="D247" s="7"/>
      <c r="E247" s="7" t="str">
        <f t="shared" si="3"/>
        <v xml:space="preserve">    "transform": 2</v>
      </c>
      <c r="H247" t="s">
        <v>561</v>
      </c>
    </row>
    <row r="248" spans="1:8" x14ac:dyDescent="0.15">
      <c r="A248" t="s">
        <v>413</v>
      </c>
      <c r="C248" s="7"/>
      <c r="D248" s="7"/>
      <c r="E248" s="7" t="str">
        <f t="shared" si="3"/>
        <v xml:space="preserve">  },</v>
      </c>
      <c r="H248" t="s">
        <v>413</v>
      </c>
    </row>
    <row r="249" spans="1:8" x14ac:dyDescent="0.15">
      <c r="A249" t="s">
        <v>447</v>
      </c>
      <c r="B249" t="s">
        <v>417</v>
      </c>
      <c r="C249" s="7" t="s">
        <v>590</v>
      </c>
      <c r="D249" s="7"/>
      <c r="E249" s="7" t="str">
        <f t="shared" si="3"/>
        <v xml:space="preserve">  "20":  {</v>
      </c>
      <c r="H249" t="s">
        <v>582</v>
      </c>
    </row>
    <row r="250" spans="1:8" x14ac:dyDescent="0.15">
      <c r="A250" t="s">
        <v>418</v>
      </c>
      <c r="B250">
        <v>20</v>
      </c>
      <c r="C250" s="7" t="s">
        <v>590</v>
      </c>
      <c r="D250" s="7" t="s">
        <v>592</v>
      </c>
      <c r="E250" s="7" t="str">
        <f t="shared" si="3"/>
        <v xml:space="preserve">    "level": 20,</v>
      </c>
      <c r="H250" t="s">
        <v>583</v>
      </c>
    </row>
    <row r="251" spans="1:8" x14ac:dyDescent="0.15">
      <c r="A251" t="s">
        <v>419</v>
      </c>
      <c r="B251">
        <v>2910</v>
      </c>
      <c r="C251" s="7" t="s">
        <v>590</v>
      </c>
      <c r="D251" s="7" t="s">
        <v>592</v>
      </c>
      <c r="E251" s="7" t="str">
        <f t="shared" si="3"/>
        <v xml:space="preserve">    "ranged": 2910,</v>
      </c>
      <c r="H251" t="s">
        <v>584</v>
      </c>
    </row>
    <row r="252" spans="1:8" x14ac:dyDescent="0.15">
      <c r="A252" t="s">
        <v>420</v>
      </c>
      <c r="B252">
        <v>2910</v>
      </c>
      <c r="C252" s="7" t="s">
        <v>590</v>
      </c>
      <c r="D252" s="7" t="s">
        <v>592</v>
      </c>
      <c r="E252" s="7" t="str">
        <f t="shared" si="3"/>
        <v xml:space="preserve">    "melee": 2910,</v>
      </c>
      <c r="H252" t="s">
        <v>585</v>
      </c>
    </row>
    <row r="253" spans="1:8" x14ac:dyDescent="0.15">
      <c r="A253" t="s">
        <v>421</v>
      </c>
      <c r="B253">
        <v>1684</v>
      </c>
      <c r="C253" s="7" t="s">
        <v>590</v>
      </c>
      <c r="D253" s="7" t="s">
        <v>592</v>
      </c>
      <c r="E253" s="7" t="str">
        <f t="shared" si="3"/>
        <v xml:space="preserve">    "defense": 1684,</v>
      </c>
      <c r="H253" t="s">
        <v>586</v>
      </c>
    </row>
    <row r="254" spans="1:8" x14ac:dyDescent="0.15">
      <c r="A254" t="s">
        <v>422</v>
      </c>
      <c r="B254">
        <v>242514</v>
      </c>
      <c r="C254" s="7" t="s">
        <v>590</v>
      </c>
      <c r="D254" s="7" t="s">
        <v>592</v>
      </c>
      <c r="E254" s="7" t="str">
        <f t="shared" si="3"/>
        <v xml:space="preserve">    "life": 242514,</v>
      </c>
      <c r="H254" t="s">
        <v>587</v>
      </c>
    </row>
    <row r="255" spans="1:8" x14ac:dyDescent="0.15">
      <c r="A255" t="s">
        <v>423</v>
      </c>
      <c r="B255">
        <v>300</v>
      </c>
      <c r="C255" s="7" t="s">
        <v>590</v>
      </c>
      <c r="D255" s="7" t="s">
        <v>592</v>
      </c>
      <c r="E255" s="7" t="str">
        <f t="shared" si="3"/>
        <v xml:space="preserve">    "speed": 300,</v>
      </c>
      <c r="H255" t="s">
        <v>460</v>
      </c>
    </row>
    <row r="256" spans="1:8" x14ac:dyDescent="0.15">
      <c r="A256" t="s">
        <v>424</v>
      </c>
      <c r="B256">
        <v>1800</v>
      </c>
      <c r="C256" s="7" t="s">
        <v>590</v>
      </c>
      <c r="D256" s="7" t="s">
        <v>592</v>
      </c>
      <c r="E256" s="7" t="str">
        <f t="shared" si="3"/>
        <v xml:space="preserve">    "range": 1800,</v>
      </c>
      <c r="H256" t="s">
        <v>461</v>
      </c>
    </row>
    <row r="257" spans="1:8" x14ac:dyDescent="0.15">
      <c r="A257" t="s">
        <v>425</v>
      </c>
      <c r="B257">
        <v>0</v>
      </c>
      <c r="C257" s="7" t="s">
        <v>590</v>
      </c>
      <c r="D257" s="7" t="s">
        <v>592</v>
      </c>
      <c r="E257" s="7" t="str">
        <f t="shared" si="3"/>
        <v xml:space="preserve">    "load": 0,</v>
      </c>
      <c r="H257" t="s">
        <v>454</v>
      </c>
    </row>
    <row r="258" spans="1:8" x14ac:dyDescent="0.15">
      <c r="A258" t="s">
        <v>426</v>
      </c>
      <c r="B258">
        <v>1600</v>
      </c>
      <c r="C258" s="7" t="s">
        <v>590</v>
      </c>
      <c r="D258" s="7" t="s">
        <v>592</v>
      </c>
      <c r="E258" s="7" t="str">
        <f t="shared" ref="E258:E262" si="4">A258&amp;C258&amp;B258&amp;D258</f>
        <v xml:space="preserve">    "upkeep": 1600,</v>
      </c>
      <c r="H258" t="s">
        <v>588</v>
      </c>
    </row>
    <row r="259" spans="1:8" x14ac:dyDescent="0.15">
      <c r="A259" t="s">
        <v>427</v>
      </c>
      <c r="B259">
        <v>0</v>
      </c>
      <c r="C259" s="7" t="s">
        <v>590</v>
      </c>
      <c r="D259" s="7" t="s">
        <v>592</v>
      </c>
      <c r="E259" s="7" t="str">
        <f t="shared" si="4"/>
        <v xml:space="preserve">    "might": 0,</v>
      </c>
      <c r="H259" t="s">
        <v>456</v>
      </c>
    </row>
    <row r="260" spans="1:8" x14ac:dyDescent="0.15">
      <c r="A260" t="s">
        <v>428</v>
      </c>
      <c r="B260">
        <v>2</v>
      </c>
      <c r="C260" s="7" t="s">
        <v>590</v>
      </c>
      <c r="D260" s="7"/>
      <c r="E260" s="7" t="str">
        <f t="shared" si="4"/>
        <v xml:space="preserve">    "transform": 2</v>
      </c>
      <c r="H260" t="s">
        <v>561</v>
      </c>
    </row>
    <row r="261" spans="1:8" x14ac:dyDescent="0.15">
      <c r="A261" t="s">
        <v>414</v>
      </c>
      <c r="C261" s="7"/>
      <c r="D261" s="7"/>
      <c r="E261" s="7" t="str">
        <f t="shared" si="4"/>
        <v xml:space="preserve">  }</v>
      </c>
      <c r="H261" t="s">
        <v>414</v>
      </c>
    </row>
    <row r="262" spans="1:8" x14ac:dyDescent="0.15">
      <c r="A262" t="s">
        <v>415</v>
      </c>
      <c r="E262" s="7" t="str">
        <f t="shared" si="4"/>
        <v>}</v>
      </c>
      <c r="H262" t="s">
        <v>415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N75"/>
  <sheetViews>
    <sheetView topLeftCell="C56" workbookViewId="0">
      <selection activeCell="I20" sqref="I20"/>
    </sheetView>
  </sheetViews>
  <sheetFormatPr defaultColWidth="7" defaultRowHeight="13.5" x14ac:dyDescent="0.15"/>
  <cols>
    <col min="1" max="1" width="60.375" style="24" bestFit="1" customWidth="1"/>
    <col min="3" max="3" width="15.375" style="34" bestFit="1" customWidth="1"/>
    <col min="4" max="4" width="21.625" style="34" bestFit="1" customWidth="1"/>
    <col min="5" max="5" width="5.25" style="34" bestFit="1" customWidth="1"/>
    <col min="6" max="6" width="9" style="34" bestFit="1" customWidth="1"/>
    <col min="7" max="7" width="7.125" style="34" bestFit="1" customWidth="1"/>
    <col min="8" max="8" width="13" style="34" bestFit="1" customWidth="1"/>
    <col min="9" max="9" width="7.375" style="43" bestFit="1" customWidth="1"/>
    <col min="11" max="11" width="9.25" style="34" bestFit="1" customWidth="1"/>
    <col min="12" max="12" width="19.125" style="34" bestFit="1" customWidth="1"/>
    <col min="13" max="13" width="9.25" style="34" bestFit="1" customWidth="1"/>
    <col min="14" max="14" width="7" style="34"/>
  </cols>
  <sheetData>
    <row r="1" spans="1:14" ht="14.25" thickBot="1" x14ac:dyDescent="0.2">
      <c r="A1" s="25" t="s">
        <v>17</v>
      </c>
      <c r="B1" s="25"/>
      <c r="C1" s="32"/>
      <c r="D1" s="32"/>
      <c r="E1" s="32"/>
      <c r="F1" s="32"/>
      <c r="G1" s="32"/>
      <c r="K1" s="48" t="s">
        <v>1024</v>
      </c>
      <c r="L1" s="48" t="s">
        <v>1025</v>
      </c>
      <c r="M1" s="48" t="s">
        <v>1026</v>
      </c>
    </row>
    <row r="2" spans="1:14" x14ac:dyDescent="0.15">
      <c r="A2" s="24" t="s">
        <v>27</v>
      </c>
      <c r="B2" s="24"/>
      <c r="C2" s="35" t="s">
        <v>1006</v>
      </c>
      <c r="D2" s="36" t="s">
        <v>1007</v>
      </c>
      <c r="E2" s="36" t="s">
        <v>1008</v>
      </c>
      <c r="F2" s="36" t="s">
        <v>1009</v>
      </c>
      <c r="G2" s="36" t="s">
        <v>1012</v>
      </c>
      <c r="H2" s="36" t="s">
        <v>1022</v>
      </c>
      <c r="I2" s="44" t="s">
        <v>1023</v>
      </c>
      <c r="K2" s="33">
        <v>30</v>
      </c>
      <c r="L2" s="33">
        <v>1</v>
      </c>
      <c r="M2" s="33">
        <v>1</v>
      </c>
    </row>
    <row r="3" spans="1:14" x14ac:dyDescent="0.15">
      <c r="A3" s="24" t="s">
        <v>32</v>
      </c>
      <c r="C3" s="37">
        <v>30</v>
      </c>
      <c r="D3" s="38" t="s">
        <v>43</v>
      </c>
      <c r="E3" s="38">
        <v>1</v>
      </c>
      <c r="F3" s="38">
        <f>VLOOKUP(D3,道具列表!$B:$F,5,FALSE)</f>
        <v>1</v>
      </c>
      <c r="G3" s="38">
        <f>E3*F3</f>
        <v>1</v>
      </c>
      <c r="H3" s="38"/>
      <c r="I3" s="45"/>
      <c r="K3" s="33">
        <v>65</v>
      </c>
      <c r="L3" s="33">
        <v>2</v>
      </c>
      <c r="M3" s="33">
        <v>2</v>
      </c>
    </row>
    <row r="4" spans="1:14" x14ac:dyDescent="0.15">
      <c r="A4" s="24" t="s">
        <v>34</v>
      </c>
      <c r="C4" s="37">
        <v>30</v>
      </c>
      <c r="D4" s="38" t="s">
        <v>1011</v>
      </c>
      <c r="E4" s="38">
        <v>1</v>
      </c>
      <c r="F4" s="38">
        <f>VLOOKUP(D4,道具列表!$B:$F,5,FALSE)</f>
        <v>3</v>
      </c>
      <c r="G4" s="38">
        <f t="shared" ref="G4:G58" si="0">E4*F4</f>
        <v>3</v>
      </c>
      <c r="H4" s="38"/>
      <c r="I4" s="45"/>
      <c r="K4" s="33">
        <v>155</v>
      </c>
      <c r="L4" s="33">
        <v>3</v>
      </c>
      <c r="M4" s="33">
        <v>4</v>
      </c>
    </row>
    <row r="5" spans="1:14" x14ac:dyDescent="0.15">
      <c r="A5" s="24" t="s">
        <v>38</v>
      </c>
      <c r="C5" s="37">
        <v>30</v>
      </c>
      <c r="D5" s="38" t="s">
        <v>141</v>
      </c>
      <c r="E5" s="38">
        <v>1</v>
      </c>
      <c r="F5" s="38">
        <f>VLOOKUP(D5,道具列表!$B:$F,5,FALSE)</f>
        <v>10</v>
      </c>
      <c r="G5" s="38">
        <f t="shared" si="0"/>
        <v>10</v>
      </c>
      <c r="H5" s="38">
        <f>SUM(G3:G5)</f>
        <v>14</v>
      </c>
      <c r="I5" s="45">
        <f>C5/(C5+H5)</f>
        <v>0.68181818181818177</v>
      </c>
      <c r="K5" s="33">
        <v>240</v>
      </c>
      <c r="L5" s="33">
        <v>4</v>
      </c>
      <c r="M5" s="33">
        <v>6</v>
      </c>
    </row>
    <row r="6" spans="1:14" x14ac:dyDescent="0.15">
      <c r="A6" s="24" t="s">
        <v>40</v>
      </c>
      <c r="C6" s="39">
        <v>65</v>
      </c>
      <c r="D6" s="40" t="s">
        <v>43</v>
      </c>
      <c r="E6" s="40">
        <v>1</v>
      </c>
      <c r="F6" s="40">
        <f>VLOOKUP(D6,道具列表!$B:$F,5,FALSE)</f>
        <v>1</v>
      </c>
      <c r="G6" s="40">
        <f t="shared" si="0"/>
        <v>1</v>
      </c>
      <c r="H6" s="40"/>
      <c r="I6" s="46"/>
      <c r="K6" s="33">
        <v>425</v>
      </c>
      <c r="L6" s="33">
        <v>5</v>
      </c>
      <c r="M6" s="33">
        <v>8</v>
      </c>
    </row>
    <row r="7" spans="1:14" x14ac:dyDescent="0.15">
      <c r="A7" s="24" t="s">
        <v>1010</v>
      </c>
      <c r="C7" s="39">
        <v>65</v>
      </c>
      <c r="D7" s="40" t="s">
        <v>1011</v>
      </c>
      <c r="E7" s="40">
        <v>1</v>
      </c>
      <c r="F7" s="40">
        <f>VLOOKUP(D7,道具列表!$B:$F,5,FALSE)</f>
        <v>3</v>
      </c>
      <c r="G7" s="40">
        <f t="shared" si="0"/>
        <v>3</v>
      </c>
      <c r="H7" s="40"/>
      <c r="I7" s="46"/>
      <c r="K7" s="33">
        <v>1100</v>
      </c>
      <c r="L7" s="33">
        <v>6</v>
      </c>
      <c r="M7" s="33">
        <v>10</v>
      </c>
    </row>
    <row r="8" spans="1:14" x14ac:dyDescent="0.15">
      <c r="A8" s="24" t="s">
        <v>45</v>
      </c>
      <c r="C8" s="39">
        <v>65</v>
      </c>
      <c r="D8" s="40" t="s">
        <v>1013</v>
      </c>
      <c r="E8" s="40">
        <v>1</v>
      </c>
      <c r="F8" s="40">
        <f>VLOOKUP(D8,道具列表!$B:$F,5,FALSE)</f>
        <v>5</v>
      </c>
      <c r="G8" s="40">
        <f t="shared" si="0"/>
        <v>5</v>
      </c>
      <c r="H8" s="40"/>
      <c r="I8" s="46"/>
      <c r="K8" s="34">
        <v>50</v>
      </c>
      <c r="L8" s="34">
        <v>5</v>
      </c>
      <c r="M8" s="55">
        <v>320</v>
      </c>
      <c r="N8" s="34">
        <f>K8*(1+M8/100)</f>
        <v>210</v>
      </c>
    </row>
    <row r="9" spans="1:14" x14ac:dyDescent="0.15">
      <c r="A9" s="24" t="s">
        <v>47</v>
      </c>
      <c r="C9" s="39">
        <v>65</v>
      </c>
      <c r="D9" s="40" t="s">
        <v>141</v>
      </c>
      <c r="E9" s="40">
        <v>1</v>
      </c>
      <c r="F9" s="40">
        <f>VLOOKUP(D9,道具列表!$B:$F,5,FALSE)</f>
        <v>10</v>
      </c>
      <c r="G9" s="40">
        <f t="shared" si="0"/>
        <v>10</v>
      </c>
      <c r="H9" s="40">
        <f>SUM(G3:G9)</f>
        <v>33</v>
      </c>
      <c r="I9" s="46">
        <f>C9/(C9+H9)</f>
        <v>0.66326530612244894</v>
      </c>
      <c r="K9" s="55">
        <v>100</v>
      </c>
      <c r="L9" s="34">
        <v>10</v>
      </c>
      <c r="M9" s="55">
        <v>280</v>
      </c>
      <c r="N9" s="55">
        <f t="shared" ref="N9:N12" si="1">K9*(1+M9/100)</f>
        <v>380</v>
      </c>
    </row>
    <row r="10" spans="1:14" x14ac:dyDescent="0.15">
      <c r="A10" s="24" t="s">
        <v>49</v>
      </c>
      <c r="C10" s="37">
        <v>155</v>
      </c>
      <c r="D10" s="38" t="s">
        <v>43</v>
      </c>
      <c r="E10" s="38">
        <v>1</v>
      </c>
      <c r="F10" s="38">
        <f>VLOOKUP(D10,道具列表!$B:$F,5,FALSE)</f>
        <v>1</v>
      </c>
      <c r="G10" s="38">
        <f t="shared" si="0"/>
        <v>1</v>
      </c>
      <c r="H10" s="38"/>
      <c r="I10" s="45"/>
      <c r="K10" s="34">
        <v>240</v>
      </c>
      <c r="L10" s="34">
        <v>20</v>
      </c>
      <c r="M10" s="55">
        <v>360</v>
      </c>
      <c r="N10" s="55">
        <f t="shared" si="1"/>
        <v>1104</v>
      </c>
    </row>
    <row r="11" spans="1:14" x14ac:dyDescent="0.15">
      <c r="A11" s="24" t="s">
        <v>51</v>
      </c>
      <c r="B11" s="24"/>
      <c r="C11" s="37">
        <v>155</v>
      </c>
      <c r="D11" s="38" t="s">
        <v>1011</v>
      </c>
      <c r="E11" s="38">
        <v>1</v>
      </c>
      <c r="F11" s="38">
        <f>VLOOKUP(D11,道具列表!$B:$F,5,FALSE)</f>
        <v>3</v>
      </c>
      <c r="G11" s="38">
        <f t="shared" si="0"/>
        <v>3</v>
      </c>
      <c r="H11" s="38"/>
      <c r="I11" s="45"/>
      <c r="K11" s="34">
        <v>665</v>
      </c>
      <c r="L11" s="34">
        <v>50</v>
      </c>
      <c r="M11" s="34">
        <v>240</v>
      </c>
      <c r="N11" s="55">
        <f t="shared" si="1"/>
        <v>2261</v>
      </c>
    </row>
    <row r="12" spans="1:14" x14ac:dyDescent="0.15">
      <c r="A12" s="24" t="s">
        <v>53</v>
      </c>
      <c r="C12" s="37">
        <v>155</v>
      </c>
      <c r="D12" s="38" t="s">
        <v>1013</v>
      </c>
      <c r="E12" s="38">
        <v>1</v>
      </c>
      <c r="F12" s="38">
        <f>VLOOKUP(D12,道具列表!$B:$F,5,FALSE)</f>
        <v>5</v>
      </c>
      <c r="G12" s="38">
        <f t="shared" si="0"/>
        <v>5</v>
      </c>
      <c r="H12" s="38"/>
      <c r="I12" s="45"/>
      <c r="K12" s="34">
        <v>1600</v>
      </c>
      <c r="L12" s="34">
        <v>100</v>
      </c>
      <c r="M12" s="34">
        <v>200</v>
      </c>
      <c r="N12" s="55">
        <f t="shared" si="1"/>
        <v>4800</v>
      </c>
    </row>
    <row r="13" spans="1:14" x14ac:dyDescent="0.15">
      <c r="A13" s="24" t="s">
        <v>57</v>
      </c>
      <c r="C13" s="37">
        <v>155</v>
      </c>
      <c r="D13" s="38" t="s">
        <v>1015</v>
      </c>
      <c r="E13" s="38">
        <v>1</v>
      </c>
      <c r="F13" s="38">
        <f>VLOOKUP(D13,道具列表!$B:$F,5,FALSE)</f>
        <v>10</v>
      </c>
      <c r="G13" s="38">
        <f t="shared" si="0"/>
        <v>10</v>
      </c>
      <c r="H13" s="38"/>
      <c r="I13" s="45"/>
    </row>
    <row r="14" spans="1:14" x14ac:dyDescent="0.15">
      <c r="A14" s="24" t="s">
        <v>1021</v>
      </c>
      <c r="C14" s="37">
        <v>155</v>
      </c>
      <c r="D14" s="38" t="s">
        <v>141</v>
      </c>
      <c r="E14" s="38">
        <v>1</v>
      </c>
      <c r="F14" s="38">
        <f>VLOOKUP(D14,道具列表!$B:$F,5,FALSE)</f>
        <v>10</v>
      </c>
      <c r="G14" s="38">
        <f t="shared" si="0"/>
        <v>10</v>
      </c>
      <c r="H14" s="38">
        <f>SUM(G3:G14)</f>
        <v>62</v>
      </c>
      <c r="I14" s="45">
        <f>C14/(C14+H14)</f>
        <v>0.7142857142857143</v>
      </c>
    </row>
    <row r="15" spans="1:14" x14ac:dyDescent="0.15">
      <c r="A15" s="24" t="s">
        <v>64</v>
      </c>
      <c r="C15" s="39">
        <v>240</v>
      </c>
      <c r="D15" s="40" t="s">
        <v>43</v>
      </c>
      <c r="E15" s="40">
        <v>1</v>
      </c>
      <c r="F15" s="40">
        <f>VLOOKUP(D15,道具列表!$B:$F,5,FALSE)</f>
        <v>1</v>
      </c>
      <c r="G15" s="40">
        <f t="shared" si="0"/>
        <v>1</v>
      </c>
      <c r="H15" s="40"/>
      <c r="I15" s="46"/>
    </row>
    <row r="16" spans="1:14" x14ac:dyDescent="0.15">
      <c r="A16" s="24" t="s">
        <v>66</v>
      </c>
      <c r="C16" s="39">
        <v>240</v>
      </c>
      <c r="D16" s="40" t="s">
        <v>1011</v>
      </c>
      <c r="E16" s="40">
        <v>1</v>
      </c>
      <c r="F16" s="40">
        <f>VLOOKUP(D16,道具列表!$B:$F,5,FALSE)</f>
        <v>3</v>
      </c>
      <c r="G16" s="40">
        <f t="shared" si="0"/>
        <v>3</v>
      </c>
      <c r="H16" s="40"/>
      <c r="I16" s="46"/>
    </row>
    <row r="17" spans="1:9" x14ac:dyDescent="0.15">
      <c r="A17" s="24" t="s">
        <v>69</v>
      </c>
      <c r="C17" s="39">
        <v>240</v>
      </c>
      <c r="D17" s="40" t="s">
        <v>1013</v>
      </c>
      <c r="E17" s="40">
        <v>1</v>
      </c>
      <c r="F17" s="40">
        <f>VLOOKUP(D17,道具列表!$B:$F,5,FALSE)</f>
        <v>5</v>
      </c>
      <c r="G17" s="40">
        <f t="shared" si="0"/>
        <v>5</v>
      </c>
      <c r="H17" s="40"/>
      <c r="I17" s="46"/>
    </row>
    <row r="18" spans="1:9" x14ac:dyDescent="0.15">
      <c r="A18" s="24" t="s">
        <v>1020</v>
      </c>
      <c r="C18" s="39">
        <v>240</v>
      </c>
      <c r="D18" s="40" t="s">
        <v>1015</v>
      </c>
      <c r="E18" s="40">
        <v>1</v>
      </c>
      <c r="F18" s="40">
        <f>VLOOKUP(D18,道具列表!$B:$F,5,FALSE)</f>
        <v>10</v>
      </c>
      <c r="G18" s="40">
        <f t="shared" si="0"/>
        <v>10</v>
      </c>
      <c r="H18" s="40"/>
      <c r="I18" s="46"/>
    </row>
    <row r="19" spans="1:9" x14ac:dyDescent="0.15">
      <c r="A19" s="24" t="s">
        <v>73</v>
      </c>
      <c r="C19" s="39">
        <v>240</v>
      </c>
      <c r="D19" s="40" t="s">
        <v>1016</v>
      </c>
      <c r="E19" s="40">
        <v>1</v>
      </c>
      <c r="F19" s="40">
        <f>VLOOKUP(D19,道具列表!$B:$F,5,FALSE)</f>
        <v>15</v>
      </c>
      <c r="G19" s="40">
        <f t="shared" si="0"/>
        <v>15</v>
      </c>
      <c r="H19" s="40"/>
      <c r="I19" s="46"/>
    </row>
    <row r="20" spans="1:9" x14ac:dyDescent="0.15">
      <c r="A20" s="24" t="s">
        <v>75</v>
      </c>
      <c r="C20" s="39">
        <v>240</v>
      </c>
      <c r="D20" s="40" t="s">
        <v>141</v>
      </c>
      <c r="E20" s="40">
        <v>1</v>
      </c>
      <c r="F20" s="40">
        <f>VLOOKUP(D20,道具列表!$B:$F,5,FALSE)</f>
        <v>10</v>
      </c>
      <c r="G20" s="40">
        <f t="shared" si="0"/>
        <v>10</v>
      </c>
      <c r="H20" s="40"/>
      <c r="I20" s="46"/>
    </row>
    <row r="21" spans="1:9" x14ac:dyDescent="0.15">
      <c r="A21" s="24" t="s">
        <v>77</v>
      </c>
      <c r="C21" s="39">
        <v>240</v>
      </c>
      <c r="D21" s="40" t="s">
        <v>69</v>
      </c>
      <c r="E21" s="40">
        <v>1</v>
      </c>
      <c r="F21" s="40">
        <f>VLOOKUP(D21,道具列表!$B:$F,5,FALSE)</f>
        <v>10</v>
      </c>
      <c r="G21" s="40">
        <f t="shared" si="0"/>
        <v>10</v>
      </c>
      <c r="H21" s="40"/>
      <c r="I21" s="46"/>
    </row>
    <row r="22" spans="1:9" x14ac:dyDescent="0.15">
      <c r="A22" s="24" t="s">
        <v>79</v>
      </c>
      <c r="C22" s="39">
        <v>240</v>
      </c>
      <c r="D22" s="40" t="s">
        <v>139</v>
      </c>
      <c r="E22" s="40">
        <v>1</v>
      </c>
      <c r="F22" s="40">
        <f>VLOOKUP(D22,道具列表!$B:$F,5,FALSE)</f>
        <v>10</v>
      </c>
      <c r="G22" s="40">
        <f t="shared" si="0"/>
        <v>10</v>
      </c>
      <c r="H22" s="40">
        <f>SUM(G3:G22)</f>
        <v>126</v>
      </c>
      <c r="I22" s="46">
        <f>C22/(C22+H22)</f>
        <v>0.65573770491803274</v>
      </c>
    </row>
    <row r="23" spans="1:9" x14ac:dyDescent="0.15">
      <c r="A23" s="24" t="s">
        <v>81</v>
      </c>
      <c r="C23" s="37">
        <v>425</v>
      </c>
      <c r="D23" s="38" t="s">
        <v>43</v>
      </c>
      <c r="E23" s="38">
        <v>1</v>
      </c>
      <c r="F23" s="38">
        <f>VLOOKUP(D23,道具列表!$B:$F,5,FALSE)</f>
        <v>1</v>
      </c>
      <c r="G23" s="38">
        <f t="shared" si="0"/>
        <v>1</v>
      </c>
      <c r="H23" s="38"/>
      <c r="I23" s="45"/>
    </row>
    <row r="24" spans="1:9" x14ac:dyDescent="0.15">
      <c r="A24" s="24" t="s">
        <v>161</v>
      </c>
      <c r="C24" s="37">
        <v>425</v>
      </c>
      <c r="D24" s="38" t="s">
        <v>1011</v>
      </c>
      <c r="E24" s="38">
        <v>1</v>
      </c>
      <c r="F24" s="38">
        <f>VLOOKUP(D24,道具列表!$B:$F,5,FALSE)</f>
        <v>3</v>
      </c>
      <c r="G24" s="38">
        <f t="shared" si="0"/>
        <v>3</v>
      </c>
      <c r="H24" s="38"/>
      <c r="I24" s="45"/>
    </row>
    <row r="25" spans="1:9" x14ac:dyDescent="0.15">
      <c r="A25" s="24" t="s">
        <v>85</v>
      </c>
      <c r="C25" s="37">
        <v>425</v>
      </c>
      <c r="D25" s="38" t="s">
        <v>1013</v>
      </c>
      <c r="E25" s="38">
        <v>1</v>
      </c>
      <c r="F25" s="38">
        <f>VLOOKUP(D25,道具列表!$B:$F,5,FALSE)</f>
        <v>5</v>
      </c>
      <c r="G25" s="38">
        <f t="shared" si="0"/>
        <v>5</v>
      </c>
      <c r="H25" s="38"/>
      <c r="I25" s="45"/>
    </row>
    <row r="26" spans="1:9" x14ac:dyDescent="0.15">
      <c r="A26" s="24" t="s">
        <v>87</v>
      </c>
      <c r="C26" s="37">
        <v>425</v>
      </c>
      <c r="D26" s="38" t="s">
        <v>1015</v>
      </c>
      <c r="E26" s="38">
        <v>1</v>
      </c>
      <c r="F26" s="38">
        <f>VLOOKUP(D26,道具列表!$B:$F,5,FALSE)</f>
        <v>10</v>
      </c>
      <c r="G26" s="38">
        <f t="shared" si="0"/>
        <v>10</v>
      </c>
      <c r="H26" s="38"/>
      <c r="I26" s="45"/>
    </row>
    <row r="27" spans="1:9" x14ac:dyDescent="0.15">
      <c r="A27" s="24" t="s">
        <v>89</v>
      </c>
      <c r="C27" s="37">
        <v>425</v>
      </c>
      <c r="D27" s="38" t="s">
        <v>1016</v>
      </c>
      <c r="E27" s="38">
        <v>1</v>
      </c>
      <c r="F27" s="38">
        <f>VLOOKUP(D27,道具列表!$B:$F,5,FALSE)</f>
        <v>15</v>
      </c>
      <c r="G27" s="38">
        <f t="shared" si="0"/>
        <v>15</v>
      </c>
      <c r="H27" s="38"/>
      <c r="I27" s="45"/>
    </row>
    <row r="28" spans="1:9" x14ac:dyDescent="0.15">
      <c r="A28" s="24" t="s">
        <v>91</v>
      </c>
      <c r="C28" s="37">
        <v>425</v>
      </c>
      <c r="D28" s="38" t="s">
        <v>1017</v>
      </c>
      <c r="E28" s="38">
        <v>1</v>
      </c>
      <c r="F28" s="38">
        <f>VLOOKUP(D28,道具列表!$B:$F,5,FALSE)</f>
        <v>40</v>
      </c>
      <c r="G28" s="38">
        <f t="shared" si="0"/>
        <v>40</v>
      </c>
      <c r="H28" s="38"/>
      <c r="I28" s="45"/>
    </row>
    <row r="29" spans="1:9" x14ac:dyDescent="0.15">
      <c r="A29" s="24" t="s">
        <v>95</v>
      </c>
      <c r="C29" s="37">
        <v>425</v>
      </c>
      <c r="D29" s="38" t="s">
        <v>141</v>
      </c>
      <c r="E29" s="38">
        <v>1</v>
      </c>
      <c r="F29" s="38">
        <f>VLOOKUP(D29,道具列表!$B:$F,5,FALSE)</f>
        <v>10</v>
      </c>
      <c r="G29" s="38">
        <f t="shared" si="0"/>
        <v>10</v>
      </c>
      <c r="H29" s="38"/>
      <c r="I29" s="45"/>
    </row>
    <row r="30" spans="1:9" x14ac:dyDescent="0.15">
      <c r="A30" s="24" t="s">
        <v>97</v>
      </c>
      <c r="C30" s="37">
        <v>425</v>
      </c>
      <c r="D30" s="38" t="s">
        <v>69</v>
      </c>
      <c r="E30" s="38">
        <v>1</v>
      </c>
      <c r="F30" s="38">
        <f>VLOOKUP(D30,道具列表!$B:$F,5,FALSE)</f>
        <v>10</v>
      </c>
      <c r="G30" s="38">
        <f t="shared" si="0"/>
        <v>10</v>
      </c>
      <c r="H30" s="38"/>
      <c r="I30" s="45"/>
    </row>
    <row r="31" spans="1:9" x14ac:dyDescent="0.15">
      <c r="A31" s="24" t="s">
        <v>99</v>
      </c>
      <c r="C31" s="37">
        <v>425</v>
      </c>
      <c r="D31" s="38" t="s">
        <v>139</v>
      </c>
      <c r="E31" s="38">
        <v>1</v>
      </c>
      <c r="F31" s="38">
        <f>VLOOKUP(D31,道具列表!$B:$F,5,FALSE)</f>
        <v>10</v>
      </c>
      <c r="G31" s="38">
        <f t="shared" si="0"/>
        <v>10</v>
      </c>
      <c r="H31" s="38">
        <f>SUM(G3:G31)</f>
        <v>230</v>
      </c>
      <c r="I31" s="45">
        <f>C31/(C31+H31)</f>
        <v>0.64885496183206104</v>
      </c>
    </row>
    <row r="32" spans="1:9" x14ac:dyDescent="0.15">
      <c r="A32" s="24" t="s">
        <v>102</v>
      </c>
      <c r="C32" s="39">
        <v>1100</v>
      </c>
      <c r="D32" s="40" t="s">
        <v>43</v>
      </c>
      <c r="E32" s="40">
        <v>1</v>
      </c>
      <c r="F32" s="40">
        <f>VLOOKUP(D32,道具列表!$B:$F,5,FALSE)</f>
        <v>1</v>
      </c>
      <c r="G32" s="40">
        <f t="shared" si="0"/>
        <v>1</v>
      </c>
      <c r="H32" s="40"/>
      <c r="I32" s="46"/>
    </row>
    <row r="33" spans="1:9" x14ac:dyDescent="0.15">
      <c r="A33" s="24" t="s">
        <v>104</v>
      </c>
      <c r="C33" s="39">
        <v>1100</v>
      </c>
      <c r="D33" s="40" t="s">
        <v>1011</v>
      </c>
      <c r="E33" s="40">
        <v>1</v>
      </c>
      <c r="F33" s="40">
        <f>VLOOKUP(D33,道具列表!$B:$F,5,FALSE)</f>
        <v>3</v>
      </c>
      <c r="G33" s="40">
        <f t="shared" si="0"/>
        <v>3</v>
      </c>
      <c r="H33" s="40"/>
      <c r="I33" s="46"/>
    </row>
    <row r="34" spans="1:9" x14ac:dyDescent="0.15">
      <c r="A34" s="24" t="s">
        <v>106</v>
      </c>
      <c r="C34" s="39">
        <v>1100</v>
      </c>
      <c r="D34" s="40" t="s">
        <v>1013</v>
      </c>
      <c r="E34" s="40">
        <v>1</v>
      </c>
      <c r="F34" s="40">
        <f>VLOOKUP(D34,道具列表!$B:$F,5,FALSE)</f>
        <v>5</v>
      </c>
      <c r="G34" s="40">
        <f t="shared" si="0"/>
        <v>5</v>
      </c>
      <c r="H34" s="40"/>
      <c r="I34" s="46"/>
    </row>
    <row r="35" spans="1:9" x14ac:dyDescent="0.15">
      <c r="A35" s="24" t="s">
        <v>108</v>
      </c>
      <c r="C35" s="39">
        <v>1100</v>
      </c>
      <c r="D35" s="40" t="s">
        <v>1015</v>
      </c>
      <c r="E35" s="40">
        <v>1</v>
      </c>
      <c r="F35" s="40">
        <f>VLOOKUP(D35,道具列表!$B:$F,5,FALSE)</f>
        <v>10</v>
      </c>
      <c r="G35" s="40">
        <f t="shared" si="0"/>
        <v>10</v>
      </c>
      <c r="H35" s="40"/>
      <c r="I35" s="46"/>
    </row>
    <row r="36" spans="1:9" x14ac:dyDescent="0.15">
      <c r="A36" s="24" t="s">
        <v>110</v>
      </c>
      <c r="C36" s="39">
        <v>1100</v>
      </c>
      <c r="D36" s="40" t="s">
        <v>1016</v>
      </c>
      <c r="E36" s="40">
        <v>1</v>
      </c>
      <c r="F36" s="40">
        <f>VLOOKUP(D36,道具列表!$B:$F,5,FALSE)</f>
        <v>15</v>
      </c>
      <c r="G36" s="40">
        <f t="shared" si="0"/>
        <v>15</v>
      </c>
      <c r="H36" s="40"/>
      <c r="I36" s="46"/>
    </row>
    <row r="37" spans="1:9" x14ac:dyDescent="0.15">
      <c r="A37" s="24" t="s">
        <v>112</v>
      </c>
      <c r="C37" s="39">
        <v>1100</v>
      </c>
      <c r="D37" s="40" t="s">
        <v>1017</v>
      </c>
      <c r="E37" s="40">
        <v>1</v>
      </c>
      <c r="F37" s="40">
        <f>VLOOKUP(D37,道具列表!$B:$F,5,FALSE)</f>
        <v>40</v>
      </c>
      <c r="G37" s="40">
        <f t="shared" si="0"/>
        <v>40</v>
      </c>
      <c r="H37" s="40"/>
      <c r="I37" s="46"/>
    </row>
    <row r="38" spans="1:9" x14ac:dyDescent="0.15">
      <c r="A38" s="24" t="s">
        <v>114</v>
      </c>
      <c r="C38" s="39">
        <v>1100</v>
      </c>
      <c r="D38" s="40" t="s">
        <v>1018</v>
      </c>
      <c r="E38" s="40">
        <v>1</v>
      </c>
      <c r="F38" s="40">
        <f>VLOOKUP(D38,道具列表!$B:$F,5,FALSE)</f>
        <v>65</v>
      </c>
      <c r="G38" s="40">
        <f t="shared" si="0"/>
        <v>65</v>
      </c>
      <c r="H38" s="40"/>
      <c r="I38" s="46"/>
    </row>
    <row r="39" spans="1:9" x14ac:dyDescent="0.15">
      <c r="A39" s="24" t="s">
        <v>116</v>
      </c>
      <c r="C39" s="39">
        <v>1100</v>
      </c>
      <c r="D39" s="40" t="s">
        <v>141</v>
      </c>
      <c r="E39" s="40">
        <v>1</v>
      </c>
      <c r="F39" s="40">
        <f>VLOOKUP(D39,道具列表!$B:$F,5,FALSE)</f>
        <v>10</v>
      </c>
      <c r="G39" s="40">
        <f t="shared" si="0"/>
        <v>10</v>
      </c>
      <c r="H39" s="40"/>
      <c r="I39" s="46"/>
    </row>
    <row r="40" spans="1:9" x14ac:dyDescent="0.15">
      <c r="A40" s="24" t="s">
        <v>118</v>
      </c>
      <c r="C40" s="39">
        <v>1100</v>
      </c>
      <c r="D40" s="40" t="s">
        <v>69</v>
      </c>
      <c r="E40" s="40">
        <v>1</v>
      </c>
      <c r="F40" s="40">
        <f>VLOOKUP(D40,道具列表!$B:$F,5,FALSE)</f>
        <v>10</v>
      </c>
      <c r="G40" s="40">
        <f t="shared" si="0"/>
        <v>10</v>
      </c>
      <c r="H40" s="40"/>
      <c r="I40" s="46"/>
    </row>
    <row r="41" spans="1:9" x14ac:dyDescent="0.15">
      <c r="A41" s="24" t="s">
        <v>120</v>
      </c>
      <c r="C41" s="39">
        <v>1100</v>
      </c>
      <c r="D41" s="40" t="s">
        <v>139</v>
      </c>
      <c r="E41" s="40">
        <v>1</v>
      </c>
      <c r="F41" s="40">
        <f>VLOOKUP(D41,道具列表!$B:$F,5,FALSE)</f>
        <v>10</v>
      </c>
      <c r="G41" s="40">
        <f t="shared" si="0"/>
        <v>10</v>
      </c>
      <c r="H41" s="40"/>
      <c r="I41" s="46"/>
    </row>
    <row r="42" spans="1:9" x14ac:dyDescent="0.15">
      <c r="A42" s="24" t="s">
        <v>123</v>
      </c>
      <c r="C42" s="39">
        <v>1100</v>
      </c>
      <c r="D42" s="40" t="s">
        <v>77</v>
      </c>
      <c r="E42" s="40">
        <v>1</v>
      </c>
      <c r="F42" s="40">
        <f>VLOOKUP(D42,道具列表!$B:$F,5,FALSE)</f>
        <v>10</v>
      </c>
      <c r="G42" s="40">
        <f t="shared" si="0"/>
        <v>10</v>
      </c>
      <c r="H42" s="40"/>
      <c r="I42" s="46"/>
    </row>
    <row r="43" spans="1:9" x14ac:dyDescent="0.15">
      <c r="A43" s="24" t="s">
        <v>125</v>
      </c>
      <c r="C43" s="39">
        <v>1100</v>
      </c>
      <c r="D43" s="40" t="s">
        <v>102</v>
      </c>
      <c r="E43" s="40">
        <v>1</v>
      </c>
      <c r="F43" s="40">
        <f>VLOOKUP(D43,道具列表!$B:$F,5,FALSE)</f>
        <v>10</v>
      </c>
      <c r="G43" s="40">
        <f t="shared" si="0"/>
        <v>10</v>
      </c>
      <c r="H43" s="40"/>
      <c r="I43" s="46"/>
    </row>
    <row r="44" spans="1:9" x14ac:dyDescent="0.15">
      <c r="A44" s="24" t="s">
        <v>127</v>
      </c>
      <c r="C44" s="39">
        <v>1100</v>
      </c>
      <c r="D44" s="40" t="s">
        <v>1020</v>
      </c>
      <c r="E44" s="40">
        <v>1</v>
      </c>
      <c r="F44" s="40">
        <f>VLOOKUP(D44,道具列表!$B:$F,5,FALSE)</f>
        <v>30</v>
      </c>
      <c r="G44" s="40">
        <f t="shared" si="0"/>
        <v>30</v>
      </c>
      <c r="H44" s="40">
        <f>SUM(G3:G44)</f>
        <v>449</v>
      </c>
      <c r="I44" s="46">
        <f>C44/(C44+H44)</f>
        <v>0.71013557133634608</v>
      </c>
    </row>
    <row r="45" spans="1:9" x14ac:dyDescent="0.15">
      <c r="A45" s="24" t="s">
        <v>129</v>
      </c>
      <c r="C45" s="37">
        <v>5000</v>
      </c>
      <c r="D45" s="38" t="s">
        <v>43</v>
      </c>
      <c r="E45" s="38">
        <v>1</v>
      </c>
      <c r="F45" s="38">
        <f>VLOOKUP(D45,道具列表!$B:$F,5,FALSE)</f>
        <v>1</v>
      </c>
      <c r="G45" s="38">
        <f t="shared" si="0"/>
        <v>1</v>
      </c>
      <c r="H45" s="38"/>
      <c r="I45" s="45"/>
    </row>
    <row r="46" spans="1:9" x14ac:dyDescent="0.15">
      <c r="C46" s="37">
        <v>5000</v>
      </c>
      <c r="D46" s="38" t="s">
        <v>1011</v>
      </c>
      <c r="E46" s="38">
        <v>1</v>
      </c>
      <c r="F46" s="38">
        <f>VLOOKUP(D46,道具列表!$B:$F,5,FALSE)</f>
        <v>3</v>
      </c>
      <c r="G46" s="38">
        <f t="shared" si="0"/>
        <v>3</v>
      </c>
      <c r="H46" s="38"/>
      <c r="I46" s="45"/>
    </row>
    <row r="47" spans="1:9" x14ac:dyDescent="0.15">
      <c r="A47" s="24" t="s">
        <v>132</v>
      </c>
      <c r="C47" s="37">
        <v>5000</v>
      </c>
      <c r="D47" s="38" t="s">
        <v>1013</v>
      </c>
      <c r="E47" s="38">
        <v>1</v>
      </c>
      <c r="F47" s="38">
        <f>VLOOKUP(D47,道具列表!$B:$F,5,FALSE)</f>
        <v>5</v>
      </c>
      <c r="G47" s="38">
        <f t="shared" si="0"/>
        <v>5</v>
      </c>
      <c r="H47" s="38"/>
      <c r="I47" s="45"/>
    </row>
    <row r="48" spans="1:9" x14ac:dyDescent="0.15">
      <c r="A48" s="24" t="s">
        <v>133</v>
      </c>
      <c r="C48" s="37">
        <v>5000</v>
      </c>
      <c r="D48" s="38" t="s">
        <v>1015</v>
      </c>
      <c r="E48" s="38">
        <v>1</v>
      </c>
      <c r="F48" s="38">
        <f>VLOOKUP(D48,道具列表!$B:$F,5,FALSE)</f>
        <v>10</v>
      </c>
      <c r="G48" s="38">
        <f t="shared" si="0"/>
        <v>10</v>
      </c>
      <c r="H48" s="38"/>
      <c r="I48" s="45"/>
    </row>
    <row r="49" spans="1:9" x14ac:dyDescent="0.15">
      <c r="A49" s="24" t="s">
        <v>135</v>
      </c>
      <c r="C49" s="37">
        <v>5000</v>
      </c>
      <c r="D49" s="38" t="s">
        <v>1016</v>
      </c>
      <c r="E49" s="38">
        <v>1</v>
      </c>
      <c r="F49" s="38">
        <f>VLOOKUP(D49,道具列表!$B:$F,5,FALSE)</f>
        <v>15</v>
      </c>
      <c r="G49" s="38">
        <f t="shared" si="0"/>
        <v>15</v>
      </c>
      <c r="H49" s="38"/>
      <c r="I49" s="45"/>
    </row>
    <row r="50" spans="1:9" x14ac:dyDescent="0.15">
      <c r="A50" s="24" t="s">
        <v>137</v>
      </c>
      <c r="C50" s="37">
        <v>5000</v>
      </c>
      <c r="D50" s="38" t="s">
        <v>1017</v>
      </c>
      <c r="E50" s="38">
        <v>1</v>
      </c>
      <c r="F50" s="38">
        <f>VLOOKUP(D50,道具列表!$B:$F,5,FALSE)</f>
        <v>40</v>
      </c>
      <c r="G50" s="38">
        <f t="shared" si="0"/>
        <v>40</v>
      </c>
      <c r="H50" s="38"/>
      <c r="I50" s="45"/>
    </row>
    <row r="51" spans="1:9" x14ac:dyDescent="0.15">
      <c r="A51" s="24" t="s">
        <v>139</v>
      </c>
      <c r="C51" s="37">
        <v>5000</v>
      </c>
      <c r="D51" s="38" t="s">
        <v>1018</v>
      </c>
      <c r="E51" s="38">
        <v>1</v>
      </c>
      <c r="F51" s="38">
        <f>VLOOKUP(D51,道具列表!$B:$F,5,FALSE)</f>
        <v>65</v>
      </c>
      <c r="G51" s="38">
        <f t="shared" si="0"/>
        <v>65</v>
      </c>
      <c r="H51" s="38"/>
      <c r="I51" s="45"/>
    </row>
    <row r="52" spans="1:9" x14ac:dyDescent="0.15">
      <c r="A52" s="24" t="s">
        <v>141</v>
      </c>
      <c r="C52" s="37">
        <v>5000</v>
      </c>
      <c r="D52" s="38" t="s">
        <v>1019</v>
      </c>
      <c r="E52" s="38">
        <v>1</v>
      </c>
      <c r="F52" s="38">
        <f>VLOOKUP(D52,道具列表!$B:$F,5,FALSE)</f>
        <v>95</v>
      </c>
      <c r="G52" s="38">
        <f t="shared" si="0"/>
        <v>95</v>
      </c>
      <c r="H52" s="38"/>
      <c r="I52" s="45"/>
    </row>
    <row r="53" spans="1:9" x14ac:dyDescent="0.15">
      <c r="A53" s="24" t="s">
        <v>144</v>
      </c>
      <c r="C53" s="37">
        <v>5000</v>
      </c>
      <c r="D53" s="38" t="s">
        <v>141</v>
      </c>
      <c r="E53" s="38">
        <v>1</v>
      </c>
      <c r="F53" s="38">
        <f>VLOOKUP(D53,道具列表!$B:$F,5,FALSE)</f>
        <v>10</v>
      </c>
      <c r="G53" s="38">
        <f t="shared" si="0"/>
        <v>10</v>
      </c>
      <c r="H53" s="38"/>
      <c r="I53" s="45"/>
    </row>
    <row r="54" spans="1:9" x14ac:dyDescent="0.15">
      <c r="A54" s="24" t="s">
        <v>146</v>
      </c>
      <c r="C54" s="37">
        <v>5000</v>
      </c>
      <c r="D54" s="38" t="s">
        <v>69</v>
      </c>
      <c r="E54" s="38">
        <v>1</v>
      </c>
      <c r="F54" s="38">
        <f>VLOOKUP(D54,道具列表!$B:$F,5,FALSE)</f>
        <v>10</v>
      </c>
      <c r="G54" s="38">
        <f t="shared" si="0"/>
        <v>10</v>
      </c>
      <c r="H54" s="38"/>
      <c r="I54" s="45"/>
    </row>
    <row r="55" spans="1:9" x14ac:dyDescent="0.15">
      <c r="A55" s="24" t="s">
        <v>148</v>
      </c>
      <c r="C55" s="37">
        <v>5000</v>
      </c>
      <c r="D55" s="38" t="s">
        <v>139</v>
      </c>
      <c r="E55" s="38">
        <v>1</v>
      </c>
      <c r="F55" s="38">
        <f>VLOOKUP(D55,道具列表!$B:$F,5,FALSE)</f>
        <v>10</v>
      </c>
      <c r="G55" s="38">
        <f t="shared" si="0"/>
        <v>10</v>
      </c>
      <c r="H55" s="38"/>
      <c r="I55" s="45"/>
    </row>
    <row r="56" spans="1:9" x14ac:dyDescent="0.15">
      <c r="A56" s="24" t="s">
        <v>150</v>
      </c>
      <c r="C56" s="37">
        <v>5000</v>
      </c>
      <c r="D56" s="38" t="s">
        <v>77</v>
      </c>
      <c r="E56" s="38">
        <v>1</v>
      </c>
      <c r="F56" s="38">
        <f>VLOOKUP(D56,道具列表!$B:$F,5,FALSE)</f>
        <v>10</v>
      </c>
      <c r="G56" s="38">
        <f t="shared" si="0"/>
        <v>10</v>
      </c>
      <c r="H56" s="38"/>
      <c r="I56" s="45"/>
    </row>
    <row r="57" spans="1:9" x14ac:dyDescent="0.15">
      <c r="A57" s="24" t="s">
        <v>164</v>
      </c>
      <c r="C57" s="37">
        <v>5000</v>
      </c>
      <c r="D57" s="38" t="s">
        <v>102</v>
      </c>
      <c r="E57" s="38">
        <v>1</v>
      </c>
      <c r="F57" s="38">
        <f>VLOOKUP(D57,道具列表!$B:$F,5,FALSE)</f>
        <v>10</v>
      </c>
      <c r="G57" s="38">
        <f t="shared" si="0"/>
        <v>10</v>
      </c>
      <c r="H57" s="38"/>
      <c r="I57" s="45"/>
    </row>
    <row r="58" spans="1:9" x14ac:dyDescent="0.15">
      <c r="A58" s="24" t="s">
        <v>153</v>
      </c>
      <c r="C58" s="37">
        <v>5000</v>
      </c>
      <c r="D58" s="38" t="s">
        <v>1021</v>
      </c>
      <c r="E58" s="38">
        <v>1</v>
      </c>
      <c r="F58" s="38">
        <f>VLOOKUP(D58,道具列表!$B:$F,5,FALSE)</f>
        <v>75</v>
      </c>
      <c r="G58" s="38">
        <f t="shared" si="0"/>
        <v>75</v>
      </c>
      <c r="H58" s="38"/>
      <c r="I58" s="45"/>
    </row>
    <row r="59" spans="1:9" x14ac:dyDescent="0.15">
      <c r="A59" s="24" t="s">
        <v>155</v>
      </c>
      <c r="C59" s="37">
        <v>5000</v>
      </c>
      <c r="D59" s="38" t="s">
        <v>144</v>
      </c>
      <c r="E59" s="38">
        <v>5</v>
      </c>
      <c r="F59" s="38">
        <f>VLOOKUP(D59,道具列表!$B:$F,5,FALSE)</f>
        <v>250</v>
      </c>
      <c r="G59" s="38">
        <f t="shared" ref="G59" si="2">E59*F59</f>
        <v>1250</v>
      </c>
      <c r="H59" s="38">
        <f>SUM(G3:G59)</f>
        <v>2058</v>
      </c>
      <c r="I59" s="45">
        <f>C59/(C59+H59)</f>
        <v>0.7084159818645509</v>
      </c>
    </row>
    <row r="60" spans="1:9" x14ac:dyDescent="0.15">
      <c r="A60" s="24" t="s">
        <v>157</v>
      </c>
      <c r="C60" s="39">
        <v>10000</v>
      </c>
      <c r="D60" s="40" t="s">
        <v>43</v>
      </c>
      <c r="E60" s="40">
        <v>1</v>
      </c>
      <c r="F60" s="40">
        <f>VLOOKUP(D60,道具列表!$B:$F,5,FALSE)</f>
        <v>1</v>
      </c>
      <c r="G60" s="40">
        <f t="shared" ref="G60:G68" si="3">E60*F60</f>
        <v>1</v>
      </c>
      <c r="H60" s="40"/>
      <c r="I60" s="46"/>
    </row>
    <row r="61" spans="1:9" x14ac:dyDescent="0.15">
      <c r="A61" s="24" t="s">
        <v>159</v>
      </c>
      <c r="C61" s="39">
        <v>10000</v>
      </c>
      <c r="D61" s="40" t="s">
        <v>1011</v>
      </c>
      <c r="E61" s="40">
        <v>1</v>
      </c>
      <c r="F61" s="40">
        <f>VLOOKUP(D61,道具列表!$B:$F,5,FALSE)</f>
        <v>3</v>
      </c>
      <c r="G61" s="40">
        <f t="shared" si="3"/>
        <v>3</v>
      </c>
      <c r="H61" s="40"/>
      <c r="I61" s="46"/>
    </row>
    <row r="62" spans="1:9" x14ac:dyDescent="0.15">
      <c r="C62" s="39">
        <v>10000</v>
      </c>
      <c r="D62" s="40" t="s">
        <v>1013</v>
      </c>
      <c r="E62" s="40">
        <v>1</v>
      </c>
      <c r="F62" s="40">
        <f>VLOOKUP(D62,道具列表!$B:$F,5,FALSE)</f>
        <v>5</v>
      </c>
      <c r="G62" s="40">
        <f t="shared" si="3"/>
        <v>5</v>
      </c>
      <c r="H62" s="40"/>
      <c r="I62" s="46"/>
    </row>
    <row r="63" spans="1:9" x14ac:dyDescent="0.15">
      <c r="C63" s="39">
        <v>10000</v>
      </c>
      <c r="D63" s="40" t="s">
        <v>1015</v>
      </c>
      <c r="E63" s="40">
        <v>1</v>
      </c>
      <c r="F63" s="40">
        <f>VLOOKUP(D63,道具列表!$B:$F,5,FALSE)</f>
        <v>10</v>
      </c>
      <c r="G63" s="40">
        <f t="shared" si="3"/>
        <v>10</v>
      </c>
      <c r="H63" s="40"/>
      <c r="I63" s="46"/>
    </row>
    <row r="64" spans="1:9" x14ac:dyDescent="0.15">
      <c r="C64" s="39">
        <v>10000</v>
      </c>
      <c r="D64" s="40" t="s">
        <v>1016</v>
      </c>
      <c r="E64" s="40">
        <v>1</v>
      </c>
      <c r="F64" s="40">
        <f>VLOOKUP(D64,道具列表!$B:$F,5,FALSE)</f>
        <v>15</v>
      </c>
      <c r="G64" s="40">
        <f t="shared" si="3"/>
        <v>15</v>
      </c>
      <c r="H64" s="40"/>
      <c r="I64" s="46"/>
    </row>
    <row r="65" spans="3:9" x14ac:dyDescent="0.15">
      <c r="C65" s="39">
        <v>10000</v>
      </c>
      <c r="D65" s="40" t="s">
        <v>1017</v>
      </c>
      <c r="E65" s="40">
        <v>1</v>
      </c>
      <c r="F65" s="40">
        <f>VLOOKUP(D65,道具列表!$B:$F,5,FALSE)</f>
        <v>40</v>
      </c>
      <c r="G65" s="40">
        <f t="shared" si="3"/>
        <v>40</v>
      </c>
      <c r="H65" s="40"/>
      <c r="I65" s="46"/>
    </row>
    <row r="66" spans="3:9" x14ac:dyDescent="0.15">
      <c r="C66" s="39">
        <v>10000</v>
      </c>
      <c r="D66" s="40" t="s">
        <v>1018</v>
      </c>
      <c r="E66" s="40">
        <v>1</v>
      </c>
      <c r="F66" s="40">
        <f>VLOOKUP(D66,道具列表!$B:$F,5,FALSE)</f>
        <v>65</v>
      </c>
      <c r="G66" s="40">
        <f t="shared" si="3"/>
        <v>65</v>
      </c>
      <c r="H66" s="40"/>
      <c r="I66" s="46"/>
    </row>
    <row r="67" spans="3:9" x14ac:dyDescent="0.15">
      <c r="C67" s="39">
        <v>10000</v>
      </c>
      <c r="D67" s="40" t="s">
        <v>1019</v>
      </c>
      <c r="E67" s="40">
        <v>1</v>
      </c>
      <c r="F67" s="40">
        <f>VLOOKUP(D67,道具列表!$B:$F,5,FALSE)</f>
        <v>95</v>
      </c>
      <c r="G67" s="40">
        <f t="shared" si="3"/>
        <v>95</v>
      </c>
      <c r="H67" s="40"/>
      <c r="I67" s="46"/>
    </row>
    <row r="68" spans="3:9" x14ac:dyDescent="0.15">
      <c r="C68" s="39">
        <v>10000</v>
      </c>
      <c r="D68" s="40" t="s">
        <v>40</v>
      </c>
      <c r="E68" s="40">
        <v>1</v>
      </c>
      <c r="F68" s="40">
        <f>VLOOKUP(D68,道具列表!$B:$F,5,FALSE)</f>
        <v>210</v>
      </c>
      <c r="G68" s="40">
        <f t="shared" si="3"/>
        <v>210</v>
      </c>
      <c r="H68" s="40"/>
      <c r="I68" s="46"/>
    </row>
    <row r="69" spans="3:9" x14ac:dyDescent="0.15">
      <c r="C69" s="39">
        <v>10000</v>
      </c>
      <c r="D69" s="40" t="s">
        <v>141</v>
      </c>
      <c r="E69" s="40">
        <v>1</v>
      </c>
      <c r="F69" s="40">
        <f>VLOOKUP(D69,道具列表!$B:$F,5,FALSE)</f>
        <v>10</v>
      </c>
      <c r="G69" s="40">
        <f t="shared" ref="G69:G75" si="4">E69*F69</f>
        <v>10</v>
      </c>
      <c r="H69" s="40"/>
      <c r="I69" s="46"/>
    </row>
    <row r="70" spans="3:9" x14ac:dyDescent="0.15">
      <c r="C70" s="39">
        <v>10000</v>
      </c>
      <c r="D70" s="40" t="s">
        <v>69</v>
      </c>
      <c r="E70" s="40">
        <v>1</v>
      </c>
      <c r="F70" s="40">
        <f>VLOOKUP(D70,道具列表!$B:$F,5,FALSE)</f>
        <v>10</v>
      </c>
      <c r="G70" s="40">
        <f t="shared" si="4"/>
        <v>10</v>
      </c>
      <c r="H70" s="40"/>
      <c r="I70" s="46"/>
    </row>
    <row r="71" spans="3:9" x14ac:dyDescent="0.15">
      <c r="C71" s="39">
        <v>10000</v>
      </c>
      <c r="D71" s="40" t="s">
        <v>139</v>
      </c>
      <c r="E71" s="40">
        <v>1</v>
      </c>
      <c r="F71" s="40">
        <f>VLOOKUP(D71,道具列表!$B:$F,5,FALSE)</f>
        <v>10</v>
      </c>
      <c r="G71" s="40">
        <f t="shared" si="4"/>
        <v>10</v>
      </c>
      <c r="H71" s="40"/>
      <c r="I71" s="46"/>
    </row>
    <row r="72" spans="3:9" x14ac:dyDescent="0.15">
      <c r="C72" s="39">
        <v>10000</v>
      </c>
      <c r="D72" s="40" t="s">
        <v>77</v>
      </c>
      <c r="E72" s="40">
        <v>1</v>
      </c>
      <c r="F72" s="40">
        <f>VLOOKUP(D72,道具列表!$B:$F,5,FALSE)</f>
        <v>10</v>
      </c>
      <c r="G72" s="40">
        <f t="shared" si="4"/>
        <v>10</v>
      </c>
      <c r="H72" s="40"/>
      <c r="I72" s="46"/>
    </row>
    <row r="73" spans="3:9" x14ac:dyDescent="0.15">
      <c r="C73" s="39">
        <v>10000</v>
      </c>
      <c r="D73" s="40" t="s">
        <v>102</v>
      </c>
      <c r="E73" s="40">
        <v>1</v>
      </c>
      <c r="F73" s="40">
        <f>VLOOKUP(D73,道具列表!$B:$F,5,FALSE)</f>
        <v>10</v>
      </c>
      <c r="G73" s="40">
        <f t="shared" si="4"/>
        <v>10</v>
      </c>
      <c r="H73" s="40"/>
      <c r="I73" s="46"/>
    </row>
    <row r="74" spans="3:9" x14ac:dyDescent="0.15">
      <c r="C74" s="39">
        <v>10000</v>
      </c>
      <c r="D74" s="40" t="s">
        <v>1021</v>
      </c>
      <c r="E74" s="40">
        <v>1</v>
      </c>
      <c r="F74" s="40">
        <f>VLOOKUP(D74,道具列表!$B:$F,5,FALSE)</f>
        <v>75</v>
      </c>
      <c r="G74" s="40">
        <f t="shared" si="4"/>
        <v>75</v>
      </c>
      <c r="H74" s="40"/>
      <c r="I74" s="46"/>
    </row>
    <row r="75" spans="3:9" ht="14.25" thickBot="1" x14ac:dyDescent="0.2">
      <c r="C75" s="41">
        <v>10000</v>
      </c>
      <c r="D75" s="42" t="s">
        <v>144</v>
      </c>
      <c r="E75" s="42">
        <v>10</v>
      </c>
      <c r="F75" s="42">
        <f>VLOOKUP(D75,道具列表!$B:$F,5,FALSE)</f>
        <v>250</v>
      </c>
      <c r="G75" s="42">
        <f t="shared" si="4"/>
        <v>2500</v>
      </c>
      <c r="H75" s="42">
        <f>SUM(G3:G75)</f>
        <v>5127</v>
      </c>
      <c r="I75" s="47">
        <f>C75/(C75+H75)</f>
        <v>0.66106961062999936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角色战力</vt:lpstr>
      <vt:lpstr>道具列表</vt:lpstr>
      <vt:lpstr>任务及升级奖励</vt:lpstr>
      <vt:lpstr>金币产出</vt:lpstr>
      <vt:lpstr>资源产出</vt:lpstr>
      <vt:lpstr>野蛮营地怪及资源及掉落</vt:lpstr>
      <vt:lpstr>资源点怪及奖励</vt:lpstr>
      <vt:lpstr>战役兵种及资源</vt:lpstr>
      <vt:lpstr>建筑消耗</vt:lpstr>
      <vt:lpstr>科技消耗</vt:lpstr>
      <vt:lpstr>将领</vt:lpstr>
      <vt:lpstr>造兵时间</vt:lpstr>
      <vt:lpstr>龙v龙</vt:lpstr>
      <vt:lpstr>兵种</vt:lpstr>
      <vt:lpstr>物品价格</vt:lpstr>
      <vt:lpstr>各兵种资源消耗产出详细计算</vt:lpstr>
      <vt:lpstr>buff加成</vt:lpstr>
      <vt:lpstr>军队资源点等</vt:lpstr>
      <vt:lpstr>recovery</vt:lpstr>
      <vt:lpstr>龙属性json用</vt:lpstr>
      <vt:lpstr>运营活动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2014-09-05T08:54:10Z</dcterms:modified>
</cp:coreProperties>
</file>
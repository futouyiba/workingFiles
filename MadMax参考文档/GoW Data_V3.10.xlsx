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drawings/drawing7.xml" ContentType="application/vnd.openxmlformats-officedocument.drawing+xml"/>
  <Override PartName="/xl/charts/chart11.xml" ContentType="application/vnd.openxmlformats-officedocument.drawingml.chart+xml"/>
  <Override PartName="/xl/drawings/drawing8.xml" ContentType="application/vnd.openxmlformats-officedocument.drawing+xml"/>
  <Override PartName="/xl/charts/chart12.xml" ContentType="application/vnd.openxmlformats-officedocument.drawingml.chart+xml"/>
  <Override PartName="/xl/drawings/drawing9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10.xml" ContentType="application/vnd.openxmlformats-officedocument.drawing+xml"/>
  <Override PartName="/xl/comments2.xml" ContentType="application/vnd.openxmlformats-officedocument.spreadsheetml.comments+xml"/>
  <Override PartName="/xl/charts/chart15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MadMax参考文档\"/>
    </mc:Choice>
  </mc:AlternateContent>
  <bookViews>
    <workbookView xWindow="0" yWindow="90" windowWidth="15960" windowHeight="7275" tabRatio="811" firstSheet="7" activeTab="11"/>
  </bookViews>
  <sheets>
    <sheet name="Reward and Cost" sheetId="1" r:id="rId1"/>
    <sheet name="Construction Sequence" sheetId="11" r:id="rId2"/>
    <sheet name="Free Speed Ups" sheetId="14" r:id="rId3"/>
    <sheet name="Free Gold" sheetId="17" r:id="rId4"/>
    <sheet name="Rss-Time Scarcity" sheetId="18" r:id="rId5"/>
    <sheet name="Rss Output, Overload" sheetId="15" r:id="rId6"/>
    <sheet name="Silver Supply" sheetId="19" r:id="rId7"/>
    <sheet name="Level Up Time" sheetId="20" r:id="rId8"/>
    <sheet name="March" sheetId="21" r:id="rId9"/>
    <sheet name="Leader Board" sheetId="16" r:id="rId10"/>
    <sheet name="Store" sheetId="4" r:id="rId11"/>
    <sheet name="Construction" sheetId="5" r:id="rId12"/>
    <sheet name="Research" sheetId="9" r:id="rId13"/>
    <sheet name="Troop" sheetId="7" r:id="rId14"/>
    <sheet name="Hero" sheetId="2" r:id="rId15"/>
    <sheet name="Alliance" sheetId="10" r:id="rId16"/>
  </sheets>
  <definedNames>
    <definedName name="_xlnm._FilterDatabase" localSheetId="0" hidden="1">'Reward and Cost'!$C$3:$C$1284</definedName>
    <definedName name="Alliance">'Reward and Cost'!$DC$4:$DC$7</definedName>
    <definedName name="Battle">'Reward and Cost'!$CZ$4:$CZ$10</definedName>
    <definedName name="Casino">'Reward and Cost'!$CX$4:$CX$5</definedName>
    <definedName name="CATEGORY">'Reward and Cost'!$CS$4:$CS$18</definedName>
    <definedName name="Construction">'Reward and Cost'!$CV$4:$CV$7</definedName>
    <definedName name="Construction_BuildingCost_Food">Construction!$J$3</definedName>
    <definedName name="Construction_BuildingCost_Ore">Construction!$I$3</definedName>
    <definedName name="Construction_BuildingCost_Stone">Construction!$G$3</definedName>
    <definedName name="Construction_BuildingCost_Wood">Construction!$H$3</definedName>
    <definedName name="Construction_BuildingReward_HeroXP">Construction!$E$2</definedName>
    <definedName name="Construction_BuildingReward_Power">Construction!$F$2</definedName>
    <definedName name="Construction_Name_and_Level">Construction!$B$2</definedName>
    <definedName name="Construction_ProtectedAmountOfEachRssByStorehouse">Construction!$Y$3</definedName>
    <definedName name="Construction_QuestReward_Food">Construction!$P$3</definedName>
    <definedName name="Construction_QuestReward_HeroXP">Construction!$K$3</definedName>
    <definedName name="Construction_QuestReward_Ore">Construction!$O$3</definedName>
    <definedName name="Construction_QuestReward_Power">Construction!$L$3</definedName>
    <definedName name="Construction_QuestReward_Silver">Construction!$Q$3</definedName>
    <definedName name="Construction_QuestReward_Stone">Construction!$M$3</definedName>
    <definedName name="Construction_QuestReward_Wood">Construction!$N$3</definedName>
    <definedName name="Construction_Time">Construction!$C$2</definedName>
    <definedName name="Craft">'Reward and Cost'!$DA$4:$DA$9</definedName>
    <definedName name="Event">'Reward and Cost'!$DE$4:$DE$6</definedName>
    <definedName name="Friend">'Reward and Cost'!$DD$4:$DD$6</definedName>
    <definedName name="Gift">'Reward and Cost'!$CU$4:$CU$8</definedName>
    <definedName name="Level_Up">'Reward and Cost'!$DB$4:$DB$5</definedName>
    <definedName name="Quest">'Reward and Cost'!$CT$4:$CT$15</definedName>
    <definedName name="Research">'Reward and Cost'!$CW$4:$CW$10</definedName>
    <definedName name="Research_Name_and_Level">Research!$C$2</definedName>
    <definedName name="Research_QuestReward_Food">Research!$R$3</definedName>
    <definedName name="Research_QuestReward_HeroXP">Research!$M$3</definedName>
    <definedName name="Research_QuestReward_Ore">Research!$Q$3</definedName>
    <definedName name="Research_QuestReward_Power">Research!$N$3</definedName>
    <definedName name="Research_QuestReward_Silver">Research!$S$3</definedName>
    <definedName name="Research_QuestReward_Stone">Research!$O$3</definedName>
    <definedName name="Research_QuestReward_Wood">Research!$P$3</definedName>
    <definedName name="Research_Research_Name_and_Level">Research!$C$2</definedName>
    <definedName name="Research_ResearchCost_Food">Research!$K$3</definedName>
    <definedName name="Research_ResearchCost_Ore">Research!$J$3</definedName>
    <definedName name="Research_ResearchCost_Silver">Research!$L$3</definedName>
    <definedName name="Research_ResearchCost_Stone">Research!$H$3</definedName>
    <definedName name="Research_ResearchCost_Wood">Research!$I$3</definedName>
    <definedName name="Research_ResearchReward_HeroXP">Research!$F$3</definedName>
    <definedName name="Research_ResearchReward_Power">Research!$G$3</definedName>
    <definedName name="Research_Time">Research!$D$2</definedName>
    <definedName name="Store">'Reward and Cost'!$DF$4:$DF$8</definedName>
    <definedName name="Training">'Reward and Cost'!$CY$4:$CY$30</definedName>
    <definedName name="Troop_Name">Troop!$B$2</definedName>
    <definedName name="Troop_TrainingCost_Food">Troop!$O$3</definedName>
    <definedName name="Troop_TrainingCost_Ore">Troop!$N$3</definedName>
    <definedName name="Troop_TrainingCost_Silver">Troop!$P$3</definedName>
    <definedName name="Troop_TrainingCost_Stone">Troop!$L$3</definedName>
    <definedName name="Troop_TrainingCost_Wood">Troop!$M$3</definedName>
    <definedName name="Troop_TrainingReward_Power">Troop!$AK$3</definedName>
  </definedNames>
  <calcPr calcId="152511"/>
</workbook>
</file>

<file path=xl/calcChain.xml><?xml version="1.0" encoding="utf-8"?>
<calcChain xmlns="http://schemas.openxmlformats.org/spreadsheetml/2006/main">
  <c r="H388" i="5" l="1"/>
  <c r="I388" i="5"/>
  <c r="J388" i="5"/>
  <c r="G388" i="5"/>
  <c r="Q35" i="17" l="1"/>
  <c r="Q36" i="17"/>
  <c r="Q37" i="17"/>
  <c r="Q38" i="17"/>
  <c r="Q39" i="17"/>
  <c r="Q40" i="17"/>
  <c r="Q41" i="17"/>
  <c r="Q42" i="17"/>
  <c r="Q43" i="17"/>
  <c r="Q44" i="17"/>
  <c r="Q45" i="17"/>
  <c r="Q46" i="17"/>
  <c r="Q47" i="17"/>
  <c r="Q48" i="17"/>
  <c r="Q49" i="17"/>
  <c r="Q50" i="17"/>
  <c r="Q51" i="17"/>
  <c r="Q52" i="17"/>
  <c r="Q53" i="17"/>
  <c r="Q54" i="17"/>
  <c r="K35" i="17"/>
  <c r="D35" i="17"/>
  <c r="K36" i="17"/>
  <c r="AX1284" i="1"/>
  <c r="AW1284" i="1"/>
  <c r="AV1284" i="1"/>
  <c r="AU1284" i="1"/>
  <c r="AN1284" i="1"/>
  <c r="AL1284" i="1"/>
  <c r="AM1284" i="1" s="1"/>
  <c r="AI1284" i="1"/>
  <c r="J1284" i="1"/>
  <c r="G1284" i="1"/>
  <c r="H1284" i="1" s="1"/>
  <c r="AY1283" i="1"/>
  <c r="AX1283" i="1"/>
  <c r="AW1283" i="1"/>
  <c r="AV1283" i="1"/>
  <c r="AU1283" i="1"/>
  <c r="J1283" i="1"/>
  <c r="G1283" i="1"/>
  <c r="H1283" i="1" s="1"/>
  <c r="AI1282" i="1"/>
  <c r="AX1282" i="1"/>
  <c r="AW1282" i="1"/>
  <c r="AV1282" i="1"/>
  <c r="AU1282" i="1"/>
  <c r="AN1282" i="1"/>
  <c r="AL1282" i="1"/>
  <c r="AM1282" i="1" s="1"/>
  <c r="J1282" i="1"/>
  <c r="G1282" i="1"/>
  <c r="H1282" i="1" s="1"/>
  <c r="AJ1281" i="1"/>
  <c r="AJ1282" i="1" s="1"/>
  <c r="AJ1283" i="1" s="1"/>
  <c r="AJ1284" i="1" s="1"/>
  <c r="AG1281" i="1"/>
  <c r="P1281" i="1"/>
  <c r="O1281" i="1"/>
  <c r="AY1279" i="1"/>
  <c r="AX1279" i="1"/>
  <c r="AW1279" i="1"/>
  <c r="AV1279" i="1"/>
  <c r="AU1279" i="1"/>
  <c r="J1279" i="1"/>
  <c r="G1279" i="1"/>
  <c r="H1279" i="1" s="1"/>
  <c r="AX1278" i="1"/>
  <c r="AW1278" i="1"/>
  <c r="AV1278" i="1"/>
  <c r="AU1278" i="1"/>
  <c r="AN1278" i="1"/>
  <c r="AL1278" i="1"/>
  <c r="AM1278" i="1" s="1"/>
  <c r="AI1278" i="1"/>
  <c r="J1278" i="1"/>
  <c r="G1278" i="1"/>
  <c r="H1278" i="1" s="1"/>
  <c r="AX1277" i="1"/>
  <c r="AW1277" i="1"/>
  <c r="AV1277" i="1"/>
  <c r="AU1277" i="1"/>
  <c r="AN1277" i="1"/>
  <c r="AL1277" i="1"/>
  <c r="AM1277" i="1" s="1"/>
  <c r="AI1277" i="1"/>
  <c r="J1277" i="1"/>
  <c r="G1277" i="1"/>
  <c r="H1277" i="1" s="1"/>
  <c r="AY1259" i="1"/>
  <c r="AX1259" i="1"/>
  <c r="AW1259" i="1"/>
  <c r="AV1259" i="1"/>
  <c r="AU1259" i="1"/>
  <c r="J1259" i="1"/>
  <c r="G1259" i="1"/>
  <c r="H1259" i="1" s="1"/>
  <c r="G1260" i="1"/>
  <c r="H1260" i="1" s="1"/>
  <c r="J1260" i="1"/>
  <c r="AU1260" i="1"/>
  <c r="AV1260" i="1"/>
  <c r="AW1260" i="1"/>
  <c r="AX1260" i="1"/>
  <c r="AY1260" i="1"/>
  <c r="H1276" i="1"/>
  <c r="AY1275" i="1"/>
  <c r="AX1275" i="1"/>
  <c r="AW1275" i="1"/>
  <c r="AV1275" i="1"/>
  <c r="AU1275" i="1"/>
  <c r="AS1275" i="1"/>
  <c r="AQ1275" i="1"/>
  <c r="AR1275" i="1" s="1"/>
  <c r="J1275" i="1"/>
  <c r="G1275" i="1"/>
  <c r="H1275" i="1" s="1"/>
  <c r="H1273" i="1"/>
  <c r="CM1272" i="1"/>
  <c r="H1272" i="1"/>
  <c r="CM1271" i="1"/>
  <c r="H1271" i="1"/>
  <c r="CM1270" i="1"/>
  <c r="H1270" i="1"/>
  <c r="AI1257" i="1"/>
  <c r="BB5" i="15"/>
  <c r="BH5" i="15" s="1"/>
  <c r="BB9" i="15"/>
  <c r="BH9" i="15" s="1"/>
  <c r="BB13" i="15"/>
  <c r="BH13" i="15" s="1"/>
  <c r="AZ13" i="15"/>
  <c r="AZ12" i="15"/>
  <c r="BB12" i="15" s="1"/>
  <c r="BH12" i="15" s="1"/>
  <c r="AZ11" i="15"/>
  <c r="BB11" i="15" s="1"/>
  <c r="BH11" i="15" s="1"/>
  <c r="AZ10" i="15"/>
  <c r="BB10" i="15" s="1"/>
  <c r="BH10" i="15" s="1"/>
  <c r="AZ9" i="15"/>
  <c r="AZ8" i="15"/>
  <c r="BB8" i="15" s="1"/>
  <c r="BH8" i="15" s="1"/>
  <c r="AZ7" i="15"/>
  <c r="BB7" i="15" s="1"/>
  <c r="BH7" i="15" s="1"/>
  <c r="AZ6" i="15"/>
  <c r="BB6" i="15" s="1"/>
  <c r="BH6" i="15" s="1"/>
  <c r="AZ5" i="15"/>
  <c r="AZ4" i="15"/>
  <c r="BB4" i="15" s="1"/>
  <c r="BH4" i="15" s="1"/>
  <c r="BG13" i="15"/>
  <c r="BG12" i="15"/>
  <c r="BG11" i="15"/>
  <c r="BG10" i="15"/>
  <c r="BG9" i="15"/>
  <c r="BG8" i="15"/>
  <c r="BG7" i="15"/>
  <c r="BG6" i="15"/>
  <c r="BG5" i="15"/>
  <c r="BG4" i="15"/>
  <c r="AV5" i="15"/>
  <c r="AV6" i="15"/>
  <c r="AV7" i="15"/>
  <c r="AV8" i="15"/>
  <c r="AV9" i="15"/>
  <c r="AV10" i="15"/>
  <c r="AV11" i="15"/>
  <c r="AV12" i="15"/>
  <c r="AV13" i="15"/>
  <c r="AV14" i="15"/>
  <c r="AV15" i="15"/>
  <c r="AV16" i="15"/>
  <c r="AV17" i="15"/>
  <c r="AV18" i="15"/>
  <c r="AV19" i="15"/>
  <c r="AV20" i="15"/>
  <c r="AV21" i="15"/>
  <c r="AV22" i="15"/>
  <c r="AV23" i="15"/>
  <c r="AV24" i="15"/>
  <c r="AV4" i="15"/>
  <c r="AQ15" i="15"/>
  <c r="AQ16" i="15"/>
  <c r="AW16" i="15" s="1"/>
  <c r="AQ17" i="15"/>
  <c r="AQ18" i="15"/>
  <c r="AQ19" i="15"/>
  <c r="AQ20" i="15"/>
  <c r="AW20" i="15" s="1"/>
  <c r="AQ21" i="15"/>
  <c r="AQ22" i="15"/>
  <c r="AQ23" i="15"/>
  <c r="AQ24" i="15"/>
  <c r="AW24" i="15" s="1"/>
  <c r="AQ4" i="15"/>
  <c r="AQ5" i="15"/>
  <c r="AW5" i="15" s="1"/>
  <c r="AQ6" i="15"/>
  <c r="AW6" i="15" s="1"/>
  <c r="AQ7" i="15"/>
  <c r="AW7" i="15" s="1"/>
  <c r="AQ8" i="15"/>
  <c r="AW8" i="15" s="1"/>
  <c r="AQ9" i="15"/>
  <c r="AW9" i="15" s="1"/>
  <c r="AQ10" i="15"/>
  <c r="AW10" i="15" s="1"/>
  <c r="AQ11" i="15"/>
  <c r="AW11" i="15" s="1"/>
  <c r="AQ12" i="15"/>
  <c r="AW12" i="15" s="1"/>
  <c r="AQ13" i="15"/>
  <c r="AW13" i="15" s="1"/>
  <c r="AQ14" i="15"/>
  <c r="AW14" i="15" s="1"/>
  <c r="M27" i="15"/>
  <c r="M13" i="15"/>
  <c r="M33" i="15"/>
  <c r="M32" i="15"/>
  <c r="M31" i="15"/>
  <c r="M30" i="15"/>
  <c r="M29" i="15"/>
  <c r="M28" i="15"/>
  <c r="M26" i="15"/>
  <c r="M25" i="15"/>
  <c r="M24" i="15"/>
  <c r="M23" i="15"/>
  <c r="M22" i="15"/>
  <c r="M21" i="15"/>
  <c r="M20" i="15"/>
  <c r="M19" i="15"/>
  <c r="M18" i="15"/>
  <c r="M17" i="15"/>
  <c r="M16" i="15"/>
  <c r="M15" i="15"/>
  <c r="M14" i="15"/>
  <c r="M12" i="15"/>
  <c r="M11" i="15"/>
  <c r="M10" i="15"/>
  <c r="M9" i="15"/>
  <c r="M8" i="15"/>
  <c r="M7" i="15"/>
  <c r="M6" i="15"/>
  <c r="M5" i="15"/>
  <c r="M4" i="15"/>
  <c r="AY1266" i="1"/>
  <c r="AX1266" i="1"/>
  <c r="AW1266" i="1"/>
  <c r="AV1266" i="1"/>
  <c r="AU1266" i="1"/>
  <c r="J1266" i="1"/>
  <c r="AY1265" i="1"/>
  <c r="AX1265" i="1"/>
  <c r="AW1265" i="1"/>
  <c r="AV1265" i="1"/>
  <c r="AU1265" i="1"/>
  <c r="J1265" i="1"/>
  <c r="CM1264" i="1"/>
  <c r="H1264" i="1"/>
  <c r="AY1263" i="1"/>
  <c r="AX1263" i="1"/>
  <c r="AW1263" i="1"/>
  <c r="AV1263" i="1"/>
  <c r="AU1263" i="1"/>
  <c r="J1263" i="1"/>
  <c r="G1263" i="1"/>
  <c r="H1263" i="1" s="1"/>
  <c r="AY1262" i="1"/>
  <c r="AX1262" i="1"/>
  <c r="AW1262" i="1"/>
  <c r="AV1262" i="1"/>
  <c r="AU1262" i="1"/>
  <c r="J1262" i="1"/>
  <c r="G1262" i="1"/>
  <c r="H1262" i="1" s="1"/>
  <c r="AY1261" i="1"/>
  <c r="AX1261" i="1"/>
  <c r="AW1261" i="1"/>
  <c r="AV1261" i="1"/>
  <c r="AU1261" i="1"/>
  <c r="J1261" i="1"/>
  <c r="G1261" i="1"/>
  <c r="H1261" i="1" s="1"/>
  <c r="AY1258" i="1"/>
  <c r="AX1258" i="1"/>
  <c r="AW1258" i="1"/>
  <c r="AV1258" i="1"/>
  <c r="AU1258" i="1"/>
  <c r="AS1258" i="1"/>
  <c r="AQ1258" i="1"/>
  <c r="AR1258" i="1" s="1"/>
  <c r="J1258" i="1"/>
  <c r="G1258" i="1"/>
  <c r="H1258" i="1" s="1"/>
  <c r="V198" i="9"/>
  <c r="V197" i="9"/>
  <c r="V196" i="9"/>
  <c r="V195" i="9"/>
  <c r="V194" i="9"/>
  <c r="V193" i="9"/>
  <c r="V192" i="9"/>
  <c r="V191" i="9"/>
  <c r="V190" i="9"/>
  <c r="V189" i="9"/>
  <c r="AX1257" i="1"/>
  <c r="AW1257" i="1"/>
  <c r="AV1257" i="1"/>
  <c r="AU1257" i="1"/>
  <c r="AN1257" i="1"/>
  <c r="AL1257" i="1"/>
  <c r="AM1257" i="1" s="1"/>
  <c r="J1257" i="1"/>
  <c r="G1257" i="1"/>
  <c r="H1257" i="1" s="1"/>
  <c r="CM1256" i="1"/>
  <c r="H1256" i="1"/>
  <c r="AY1254" i="1"/>
  <c r="AX1254" i="1"/>
  <c r="AW1254" i="1"/>
  <c r="AV1254" i="1"/>
  <c r="AU1254" i="1"/>
  <c r="J1254" i="1"/>
  <c r="H1253" i="1"/>
  <c r="CM1252" i="1"/>
  <c r="H1252" i="1"/>
  <c r="AX1251" i="1"/>
  <c r="AW1251" i="1"/>
  <c r="AV1251" i="1"/>
  <c r="AU1251" i="1"/>
  <c r="AN1251" i="1"/>
  <c r="AL1251" i="1"/>
  <c r="AM1251" i="1" s="1"/>
  <c r="J1251" i="1"/>
  <c r="G1251" i="1"/>
  <c r="H1251" i="1" s="1"/>
  <c r="AY1250" i="1"/>
  <c r="AX1250" i="1"/>
  <c r="AW1250" i="1"/>
  <c r="AV1250" i="1"/>
  <c r="AU1250" i="1"/>
  <c r="AS1250" i="1"/>
  <c r="AQ1250" i="1"/>
  <c r="AR1250" i="1" s="1"/>
  <c r="J1250" i="1"/>
  <c r="G1250" i="1"/>
  <c r="H1250" i="1" s="1"/>
  <c r="AF1249" i="1"/>
  <c r="AF1248" i="1"/>
  <c r="AF1246" i="1"/>
  <c r="AF1244" i="1"/>
  <c r="AN5" i="18"/>
  <c r="AN6" i="18"/>
  <c r="AN7" i="18"/>
  <c r="AN8" i="18"/>
  <c r="AN9" i="18"/>
  <c r="AN10" i="18"/>
  <c r="AN11" i="18"/>
  <c r="AN12" i="18"/>
  <c r="AN13" i="18"/>
  <c r="AN14" i="18"/>
  <c r="AN15" i="18"/>
  <c r="AN16" i="18"/>
  <c r="AN17" i="18"/>
  <c r="AN18" i="18"/>
  <c r="AN19" i="18"/>
  <c r="AN20" i="18"/>
  <c r="AN21" i="18"/>
  <c r="AN22" i="18"/>
  <c r="AN23" i="18"/>
  <c r="AN24" i="18"/>
  <c r="AN25" i="18"/>
  <c r="AN26" i="18"/>
  <c r="AN27" i="18"/>
  <c r="AN28" i="18"/>
  <c r="AN29" i="18"/>
  <c r="AN30" i="18"/>
  <c r="AN31" i="18"/>
  <c r="AN32" i="18"/>
  <c r="AN33" i="18"/>
  <c r="AN4" i="18"/>
  <c r="AM5" i="18"/>
  <c r="AM6" i="18"/>
  <c r="AM7" i="18"/>
  <c r="AM8" i="18"/>
  <c r="AM9" i="18"/>
  <c r="AM10" i="18"/>
  <c r="AM11" i="18"/>
  <c r="AM12" i="18"/>
  <c r="AM13" i="18"/>
  <c r="AM14" i="18"/>
  <c r="AM15" i="18"/>
  <c r="AM16" i="18"/>
  <c r="AM17" i="18"/>
  <c r="AM18" i="18"/>
  <c r="AM19" i="18"/>
  <c r="AM20" i="18"/>
  <c r="AM21" i="18"/>
  <c r="AM22" i="18"/>
  <c r="AM23" i="18"/>
  <c r="AM24" i="18"/>
  <c r="AM25" i="18"/>
  <c r="AM26" i="18"/>
  <c r="AM27" i="18"/>
  <c r="AM28" i="18"/>
  <c r="AM29" i="18"/>
  <c r="AM30" i="18"/>
  <c r="AM31" i="18"/>
  <c r="AM32" i="18"/>
  <c r="AM33" i="18"/>
  <c r="AM4" i="18"/>
  <c r="R11" i="7"/>
  <c r="R10" i="7"/>
  <c r="R9" i="7"/>
  <c r="R8" i="7"/>
  <c r="R7" i="7"/>
  <c r="R6" i="7"/>
  <c r="R5" i="7"/>
  <c r="R4" i="7"/>
  <c r="AH30" i="18"/>
  <c r="AH31" i="18"/>
  <c r="AH5" i="18"/>
  <c r="AH6" i="18"/>
  <c r="AH7" i="18"/>
  <c r="AH8" i="18"/>
  <c r="AH9" i="18"/>
  <c r="AH10" i="18"/>
  <c r="AH11" i="18"/>
  <c r="AH12" i="18"/>
  <c r="AH13" i="18"/>
  <c r="AH14" i="18"/>
  <c r="AH15" i="18"/>
  <c r="AH16" i="18"/>
  <c r="AH17" i="18"/>
  <c r="AH18" i="18"/>
  <c r="AH19" i="18"/>
  <c r="AH20" i="18"/>
  <c r="AH21" i="18"/>
  <c r="AH22" i="18"/>
  <c r="AH23" i="18"/>
  <c r="AH24" i="18"/>
  <c r="AH25" i="18"/>
  <c r="AH26" i="18"/>
  <c r="AH27" i="18"/>
  <c r="AH28" i="18"/>
  <c r="AH29" i="18"/>
  <c r="AH32" i="18"/>
  <c r="AH33" i="18"/>
  <c r="AH4" i="18"/>
  <c r="Q5" i="7"/>
  <c r="AY1243" i="1"/>
  <c r="AX1243" i="1"/>
  <c r="AW1243" i="1"/>
  <c r="AV1243" i="1"/>
  <c r="AU1243" i="1"/>
  <c r="J1243" i="1"/>
  <c r="CM1242" i="1"/>
  <c r="H1242" i="1"/>
  <c r="AF1239" i="1"/>
  <c r="CM1238" i="1"/>
  <c r="H1238" i="1"/>
  <c r="H1237" i="1"/>
  <c r="H1236" i="1"/>
  <c r="H1235" i="1"/>
  <c r="H1234" i="1"/>
  <c r="H1233" i="1"/>
  <c r="H1232" i="1"/>
  <c r="H1231" i="1"/>
  <c r="AY1230" i="1"/>
  <c r="AX1230" i="1"/>
  <c r="AW1230" i="1"/>
  <c r="AV1230" i="1"/>
  <c r="AU1230" i="1"/>
  <c r="AS1230" i="1"/>
  <c r="AQ1230" i="1"/>
  <c r="AR1230" i="1" s="1"/>
  <c r="J1230" i="1"/>
  <c r="G1230" i="1"/>
  <c r="H1230" i="1" s="1"/>
  <c r="AX1229" i="1"/>
  <c r="AW1229" i="1"/>
  <c r="AV1229" i="1"/>
  <c r="AU1229" i="1"/>
  <c r="AN1229" i="1"/>
  <c r="AL1229" i="1"/>
  <c r="AM1229" i="1" s="1"/>
  <c r="J1229" i="1"/>
  <c r="G1229" i="1"/>
  <c r="H1229" i="1" s="1"/>
  <c r="AF1227" i="1"/>
  <c r="H1223" i="1"/>
  <c r="CM1222" i="1"/>
  <c r="H1222" i="1"/>
  <c r="AW23" i="15" l="1"/>
  <c r="AW19" i="15"/>
  <c r="AW15" i="15"/>
  <c r="AW22" i="15"/>
  <c r="AW18" i="15"/>
  <c r="AW4" i="15"/>
  <c r="AW21" i="15"/>
  <c r="AW17" i="15"/>
  <c r="AO1229" i="1"/>
  <c r="AO1251" i="1"/>
  <c r="AO1284" i="1"/>
  <c r="AO1282" i="1"/>
  <c r="AT1250" i="1"/>
  <c r="AT1230" i="1"/>
  <c r="AT1258" i="1"/>
  <c r="AT1275" i="1"/>
  <c r="AO1278" i="1"/>
  <c r="AO1277" i="1"/>
  <c r="AO1257" i="1"/>
  <c r="AY1221" i="1"/>
  <c r="AX1221" i="1"/>
  <c r="AW1221" i="1"/>
  <c r="AV1221" i="1"/>
  <c r="AU1221" i="1"/>
  <c r="J1221" i="1"/>
  <c r="AX1220" i="1"/>
  <c r="AW1220" i="1"/>
  <c r="AV1220" i="1"/>
  <c r="AU1220" i="1"/>
  <c r="AN1220" i="1"/>
  <c r="AL1220" i="1"/>
  <c r="AM1220" i="1" s="1"/>
  <c r="J1220" i="1"/>
  <c r="G1220" i="1"/>
  <c r="H1220" i="1" s="1"/>
  <c r="H1219" i="1"/>
  <c r="AJ1219" i="1"/>
  <c r="AJ1220" i="1" s="1"/>
  <c r="AJ1221" i="1" s="1"/>
  <c r="AJ1222" i="1" s="1"/>
  <c r="AJ1223" i="1" s="1"/>
  <c r="AJ1224" i="1" s="1"/>
  <c r="AJ1225" i="1" s="1"/>
  <c r="AJ1226" i="1" s="1"/>
  <c r="AJ1227" i="1" s="1"/>
  <c r="AJ1228" i="1" s="1"/>
  <c r="AJ1229" i="1" s="1"/>
  <c r="AJ1230" i="1" s="1"/>
  <c r="AJ1231" i="1" s="1"/>
  <c r="AJ1232" i="1" s="1"/>
  <c r="AJ1233" i="1" s="1"/>
  <c r="AJ1234" i="1" s="1"/>
  <c r="AJ1235" i="1" s="1"/>
  <c r="AJ1236" i="1" s="1"/>
  <c r="AJ1237" i="1" s="1"/>
  <c r="AJ1238" i="1" s="1"/>
  <c r="AJ1239" i="1" s="1"/>
  <c r="AJ1240" i="1" s="1"/>
  <c r="AJ1241" i="1" s="1"/>
  <c r="AJ1242" i="1" s="1"/>
  <c r="AJ1243" i="1" s="1"/>
  <c r="AJ1244" i="1" s="1"/>
  <c r="AJ1245" i="1" s="1"/>
  <c r="AJ1246" i="1" s="1"/>
  <c r="AJ1247" i="1" s="1"/>
  <c r="AJ1248" i="1" s="1"/>
  <c r="AJ1249" i="1" s="1"/>
  <c r="AJ1250" i="1" s="1"/>
  <c r="AJ1251" i="1" s="1"/>
  <c r="AJ1252" i="1" s="1"/>
  <c r="AJ1253" i="1" s="1"/>
  <c r="AJ1254" i="1" s="1"/>
  <c r="AJ1255" i="1" s="1"/>
  <c r="AJ1256" i="1" s="1"/>
  <c r="AJ1257" i="1" s="1"/>
  <c r="AJ1258" i="1" s="1"/>
  <c r="AJ1259" i="1" s="1"/>
  <c r="AJ1260" i="1" s="1"/>
  <c r="AJ1261" i="1" s="1"/>
  <c r="AJ1262" i="1" s="1"/>
  <c r="AJ1263" i="1" s="1"/>
  <c r="AJ1264" i="1" s="1"/>
  <c r="AJ1265" i="1" s="1"/>
  <c r="AJ1266" i="1" s="1"/>
  <c r="AJ1267" i="1" s="1"/>
  <c r="AJ1268" i="1" s="1"/>
  <c r="AJ1269" i="1" s="1"/>
  <c r="AJ1270" i="1" s="1"/>
  <c r="AJ1271" i="1" s="1"/>
  <c r="AJ1272" i="1" s="1"/>
  <c r="AJ1273" i="1" s="1"/>
  <c r="AJ1274" i="1" s="1"/>
  <c r="AJ1275" i="1" s="1"/>
  <c r="AJ1276" i="1" s="1"/>
  <c r="AJ1277" i="1" s="1"/>
  <c r="AJ1278" i="1" s="1"/>
  <c r="AJ1279" i="1" s="1"/>
  <c r="AJ1280" i="1" s="1"/>
  <c r="AG1219" i="1"/>
  <c r="P1219" i="1"/>
  <c r="O1219" i="1"/>
  <c r="H1217" i="1"/>
  <c r="AX1216" i="1"/>
  <c r="AW1216" i="1"/>
  <c r="AV1216" i="1"/>
  <c r="AU1216" i="1"/>
  <c r="AN1216" i="1"/>
  <c r="AL1216" i="1"/>
  <c r="AM1216" i="1" s="1"/>
  <c r="AO1216" i="1" s="1"/>
  <c r="J1216" i="1"/>
  <c r="G1216" i="1"/>
  <c r="H1216" i="1" s="1"/>
  <c r="AX1215" i="1"/>
  <c r="AW1215" i="1"/>
  <c r="AV1215" i="1"/>
  <c r="AU1215" i="1"/>
  <c r="AN1215" i="1"/>
  <c r="AL1215" i="1"/>
  <c r="AM1215" i="1" s="1"/>
  <c r="AO1215" i="1" s="1"/>
  <c r="J1215" i="1"/>
  <c r="G1215" i="1"/>
  <c r="H1215" i="1" s="1"/>
  <c r="H1214" i="1"/>
  <c r="AY1213" i="1"/>
  <c r="AX1213" i="1"/>
  <c r="AW1213" i="1"/>
  <c r="AV1213" i="1"/>
  <c r="AU1213" i="1"/>
  <c r="J1213" i="1"/>
  <c r="CM1212" i="1"/>
  <c r="H1212" i="1"/>
  <c r="AF1211" i="1"/>
  <c r="AI1210" i="1"/>
  <c r="AX1210" i="1"/>
  <c r="AW1210" i="1"/>
  <c r="AV1210" i="1"/>
  <c r="AU1210" i="1"/>
  <c r="AN1210" i="1"/>
  <c r="AL1210" i="1"/>
  <c r="AM1210" i="1" s="1"/>
  <c r="J1210" i="1"/>
  <c r="G1210" i="1"/>
  <c r="H1210" i="1" s="1"/>
  <c r="H1208" i="1"/>
  <c r="AY1207" i="1"/>
  <c r="AX1207" i="1"/>
  <c r="AW1207" i="1"/>
  <c r="AV1207" i="1"/>
  <c r="AU1207" i="1"/>
  <c r="J1207" i="1"/>
  <c r="G1207" i="1"/>
  <c r="H1207" i="1" s="1"/>
  <c r="AX1206" i="1"/>
  <c r="AW1206" i="1"/>
  <c r="AV1206" i="1"/>
  <c r="AU1206" i="1"/>
  <c r="AN1206" i="1"/>
  <c r="AL1206" i="1"/>
  <c r="AM1206" i="1" s="1"/>
  <c r="J1206" i="1"/>
  <c r="G1206" i="1"/>
  <c r="H1206" i="1" s="1"/>
  <c r="AY1205" i="1"/>
  <c r="AX1205" i="1"/>
  <c r="AW1205" i="1"/>
  <c r="AV1205" i="1"/>
  <c r="AU1205" i="1"/>
  <c r="J1205" i="1"/>
  <c r="G1205" i="1"/>
  <c r="H1205" i="1" s="1"/>
  <c r="AX1204" i="1"/>
  <c r="AW1204" i="1"/>
  <c r="AV1204" i="1"/>
  <c r="AU1204" i="1"/>
  <c r="AN1204" i="1"/>
  <c r="AL1204" i="1"/>
  <c r="AM1204" i="1" s="1"/>
  <c r="J1204" i="1"/>
  <c r="G1204" i="1"/>
  <c r="H1204" i="1" s="1"/>
  <c r="AM13" i="2"/>
  <c r="AM12" i="2"/>
  <c r="AM11" i="2"/>
  <c r="AM10" i="2"/>
  <c r="AM9" i="2"/>
  <c r="AM8" i="2"/>
  <c r="AM7" i="2"/>
  <c r="AM6" i="2"/>
  <c r="AM5" i="2"/>
  <c r="AM4" i="2"/>
  <c r="CM1203" i="1"/>
  <c r="H1203" i="1"/>
  <c r="H1202" i="1"/>
  <c r="AF1199" i="1"/>
  <c r="CM1197" i="1"/>
  <c r="H1197" i="1"/>
  <c r="H1196" i="1"/>
  <c r="AF1195" i="1"/>
  <c r="E5" i="21"/>
  <c r="E6" i="21"/>
  <c r="E7" i="21"/>
  <c r="E8" i="21"/>
  <c r="E9" i="21"/>
  <c r="E10" i="21"/>
  <c r="E11" i="21"/>
  <c r="E12" i="21"/>
  <c r="E13" i="21"/>
  <c r="E14" i="21"/>
  <c r="E15" i="21"/>
  <c r="E16" i="21"/>
  <c r="E17" i="21"/>
  <c r="E18" i="21"/>
  <c r="E19" i="21"/>
  <c r="E20" i="21"/>
  <c r="E21" i="21"/>
  <c r="E22" i="21"/>
  <c r="E23" i="21"/>
  <c r="E24" i="21"/>
  <c r="E4" i="21"/>
  <c r="AF1194" i="1"/>
  <c r="V27" i="15"/>
  <c r="W27" i="15" s="1"/>
  <c r="V28" i="15"/>
  <c r="W28" i="15" s="1"/>
  <c r="V29" i="15"/>
  <c r="W29" i="15" s="1"/>
  <c r="V30" i="15"/>
  <c r="W30" i="15" s="1"/>
  <c r="V31" i="15"/>
  <c r="W31" i="15" s="1"/>
  <c r="V32" i="15"/>
  <c r="W32" i="15" s="1"/>
  <c r="V33" i="15"/>
  <c r="W33" i="15" s="1"/>
  <c r="G27" i="15"/>
  <c r="G28" i="15"/>
  <c r="G29" i="15"/>
  <c r="G30" i="15"/>
  <c r="G31" i="15"/>
  <c r="G32" i="15"/>
  <c r="G33" i="15"/>
  <c r="CM1193" i="1"/>
  <c r="H1193" i="1"/>
  <c r="AF1192" i="1"/>
  <c r="AX1191" i="1"/>
  <c r="AW1191" i="1"/>
  <c r="AV1191" i="1"/>
  <c r="AU1191" i="1"/>
  <c r="AN1191" i="1"/>
  <c r="AL1191" i="1"/>
  <c r="AM1191" i="1" s="1"/>
  <c r="AO1191" i="1" s="1"/>
  <c r="J1191" i="1"/>
  <c r="G1191" i="1"/>
  <c r="H1191" i="1" s="1"/>
  <c r="CM1190" i="1"/>
  <c r="H1190" i="1"/>
  <c r="AY1188" i="1"/>
  <c r="AX1188" i="1"/>
  <c r="AW1188" i="1"/>
  <c r="AV1188" i="1"/>
  <c r="AU1188" i="1"/>
  <c r="J1188" i="1"/>
  <c r="G1188" i="1"/>
  <c r="H1188" i="1" s="1"/>
  <c r="AY1187" i="1"/>
  <c r="AX1187" i="1"/>
  <c r="AW1187" i="1"/>
  <c r="AV1187" i="1"/>
  <c r="AU1187" i="1"/>
  <c r="J1187" i="1"/>
  <c r="G1187" i="1"/>
  <c r="H1187" i="1" s="1"/>
  <c r="AY1186" i="1"/>
  <c r="AX1186" i="1"/>
  <c r="AW1186" i="1"/>
  <c r="AV1186" i="1"/>
  <c r="AU1186" i="1"/>
  <c r="J1186" i="1"/>
  <c r="G1186" i="1"/>
  <c r="H1186" i="1" s="1"/>
  <c r="H1185" i="1"/>
  <c r="AJ1158" i="1"/>
  <c r="AI1157" i="1"/>
  <c r="AI1174" i="1"/>
  <c r="AX1183" i="1"/>
  <c r="AW1183" i="1"/>
  <c r="AV1183" i="1"/>
  <c r="AU1183" i="1"/>
  <c r="AN1183" i="1"/>
  <c r="AL1183" i="1"/>
  <c r="AM1183" i="1" s="1"/>
  <c r="J1183" i="1"/>
  <c r="G1183" i="1"/>
  <c r="H1183" i="1" s="1"/>
  <c r="AX1182" i="1"/>
  <c r="AW1182" i="1"/>
  <c r="AV1182" i="1"/>
  <c r="AU1182" i="1"/>
  <c r="AN1182" i="1"/>
  <c r="AL1182" i="1"/>
  <c r="AM1182" i="1" s="1"/>
  <c r="J1182" i="1"/>
  <c r="G1182" i="1"/>
  <c r="H1182" i="1" s="1"/>
  <c r="O1136" i="1"/>
  <c r="O1123" i="1"/>
  <c r="O1097" i="1"/>
  <c r="O1025" i="1"/>
  <c r="O984" i="1"/>
  <c r="O942" i="1"/>
  <c r="O889" i="1"/>
  <c r="O860" i="1"/>
  <c r="O822" i="1"/>
  <c r="O767" i="1"/>
  <c r="O649" i="1"/>
  <c r="O611" i="1"/>
  <c r="O583" i="1"/>
  <c r="O479" i="1"/>
  <c r="O456" i="1"/>
  <c r="O345" i="1"/>
  <c r="O300" i="1"/>
  <c r="O262" i="1"/>
  <c r="O238" i="1"/>
  <c r="O179" i="1"/>
  <c r="O139" i="1"/>
  <c r="O136" i="1"/>
  <c r="O94" i="1"/>
  <c r="O61" i="1"/>
  <c r="O50" i="1"/>
  <c r="O42" i="1"/>
  <c r="O29" i="1"/>
  <c r="O27" i="1"/>
  <c r="O17" i="1"/>
  <c r="P17" i="1"/>
  <c r="R14" i="20"/>
  <c r="L6" i="20"/>
  <c r="R7" i="20"/>
  <c r="R8" i="20"/>
  <c r="R9" i="20"/>
  <c r="R10" i="20"/>
  <c r="R11" i="20"/>
  <c r="R12" i="20"/>
  <c r="R13" i="20"/>
  <c r="R15" i="20"/>
  <c r="R16" i="20"/>
  <c r="R17" i="20"/>
  <c r="R18" i="20"/>
  <c r="R19" i="20"/>
  <c r="R20" i="20"/>
  <c r="R21" i="20"/>
  <c r="R22" i="20"/>
  <c r="R23" i="20"/>
  <c r="R24" i="20"/>
  <c r="R25" i="20"/>
  <c r="R26" i="20"/>
  <c r="R27" i="20"/>
  <c r="R28" i="20"/>
  <c r="R29" i="20"/>
  <c r="R30" i="20"/>
  <c r="R31" i="20"/>
  <c r="R32" i="20"/>
  <c r="R33" i="20"/>
  <c r="R34" i="20"/>
  <c r="R6" i="20"/>
  <c r="AO1182" i="1" l="1"/>
  <c r="AO1204" i="1"/>
  <c r="AO1220" i="1"/>
  <c r="AO1206" i="1"/>
  <c r="AO1210" i="1"/>
  <c r="AO1183" i="1"/>
  <c r="L10" i="20"/>
  <c r="L13" i="20"/>
  <c r="L14" i="20"/>
  <c r="L15" i="20"/>
  <c r="L16" i="20"/>
  <c r="L18" i="20"/>
  <c r="L19" i="20"/>
  <c r="L20" i="20"/>
  <c r="L21" i="20"/>
  <c r="L24" i="20"/>
  <c r="L25" i="20"/>
  <c r="L26" i="20"/>
  <c r="L27" i="20"/>
  <c r="L28" i="20"/>
  <c r="L29" i="20"/>
  <c r="L30" i="20"/>
  <c r="L32" i="20"/>
  <c r="L33" i="20"/>
  <c r="L34" i="20"/>
  <c r="L35" i="20"/>
  <c r="L36" i="20"/>
  <c r="L37" i="20"/>
  <c r="L38" i="20"/>
  <c r="L39" i="20"/>
  <c r="L40" i="20"/>
  <c r="L41" i="20"/>
  <c r="L42" i="20"/>
  <c r="L43" i="20"/>
  <c r="L44" i="20"/>
  <c r="L45" i="20"/>
  <c r="L46" i="20"/>
  <c r="L47" i="20"/>
  <c r="L48" i="20"/>
  <c r="L49" i="20"/>
  <c r="L52" i="20"/>
  <c r="L53" i="20"/>
  <c r="L54" i="20"/>
  <c r="L55" i="20"/>
  <c r="L56" i="20"/>
  <c r="L57" i="20"/>
  <c r="L58" i="20"/>
  <c r="L59" i="20"/>
  <c r="L60" i="20"/>
  <c r="L61" i="20"/>
  <c r="L62" i="20"/>
  <c r="L63" i="20"/>
  <c r="L64" i="20"/>
  <c r="L66" i="20"/>
  <c r="L67" i="20"/>
  <c r="L68" i="20"/>
  <c r="L69" i="20"/>
  <c r="L70" i="20"/>
  <c r="L71" i="20"/>
  <c r="L72" i="20"/>
  <c r="L73" i="20"/>
  <c r="L74" i="20"/>
  <c r="L75" i="20"/>
  <c r="L76" i="20"/>
  <c r="L77" i="20"/>
  <c r="L78" i="20"/>
  <c r="L79" i="20"/>
  <c r="L80" i="20"/>
  <c r="L81" i="20"/>
  <c r="L82" i="20"/>
  <c r="L83" i="20"/>
  <c r="L84" i="20"/>
  <c r="L85" i="20"/>
  <c r="L87" i="20"/>
  <c r="L88" i="20"/>
  <c r="L89" i="20"/>
  <c r="L90" i="20"/>
  <c r="L91" i="20"/>
  <c r="L92" i="20"/>
  <c r="L94" i="20"/>
  <c r="L95" i="20"/>
  <c r="L96" i="20"/>
  <c r="L97" i="20"/>
  <c r="L98" i="20"/>
  <c r="L99" i="20"/>
  <c r="L100" i="20"/>
  <c r="L101" i="20"/>
  <c r="L102" i="20"/>
  <c r="L103" i="20"/>
  <c r="L104" i="20"/>
  <c r="L105" i="20"/>
  <c r="L106" i="20"/>
  <c r="L107" i="20"/>
  <c r="L109" i="20"/>
  <c r="L110" i="20"/>
  <c r="L111" i="20"/>
  <c r="L112" i="20"/>
  <c r="L113" i="20"/>
  <c r="L114" i="20"/>
  <c r="L115" i="20"/>
  <c r="L116" i="20"/>
  <c r="L117" i="20"/>
  <c r="L118" i="20"/>
  <c r="L120" i="20"/>
  <c r="L121" i="20"/>
  <c r="L122" i="20"/>
  <c r="L123" i="20"/>
  <c r="L124" i="20"/>
  <c r="L125" i="20"/>
  <c r="L126" i="20"/>
  <c r="L127" i="20"/>
  <c r="L128" i="20"/>
  <c r="L129" i="20"/>
  <c r="L130" i="20"/>
  <c r="L131" i="20"/>
  <c r="L132" i="20"/>
  <c r="L133" i="20"/>
  <c r="L134" i="20"/>
  <c r="L135" i="20"/>
  <c r="L136" i="20"/>
  <c r="L137" i="20"/>
  <c r="L138" i="20"/>
  <c r="L139" i="20"/>
  <c r="L140" i="20"/>
  <c r="L141" i="20"/>
  <c r="L142" i="20"/>
  <c r="L143" i="20"/>
  <c r="L144" i="20"/>
  <c r="L145" i="20"/>
  <c r="L146" i="20"/>
  <c r="L147" i="20"/>
  <c r="L148" i="20"/>
  <c r="L149" i="20"/>
  <c r="L150" i="20"/>
  <c r="L151" i="20"/>
  <c r="L152" i="20"/>
  <c r="L153" i="20"/>
  <c r="L154" i="20"/>
  <c r="L155" i="20"/>
  <c r="L156" i="20"/>
  <c r="L157" i="20"/>
  <c r="L158" i="20"/>
  <c r="L159" i="20"/>
  <c r="L160" i="20"/>
  <c r="L161" i="20"/>
  <c r="L162" i="20"/>
  <c r="L163" i="20"/>
  <c r="L164" i="20"/>
  <c r="L165" i="20"/>
  <c r="L166" i="20"/>
  <c r="L167" i="20"/>
  <c r="L168" i="20"/>
  <c r="L169" i="20"/>
  <c r="L170" i="20"/>
  <c r="L171" i="20"/>
  <c r="L172" i="20"/>
  <c r="L173" i="20"/>
  <c r="L174" i="20"/>
  <c r="L175" i="20"/>
  <c r="L176" i="20"/>
  <c r="L177" i="20"/>
  <c r="L178" i="20"/>
  <c r="L179" i="20"/>
  <c r="L180" i="20"/>
  <c r="L181" i="20"/>
  <c r="L182" i="20"/>
  <c r="L183" i="20"/>
  <c r="L184" i="20"/>
  <c r="L185" i="20"/>
  <c r="L186" i="20"/>
  <c r="L187" i="20"/>
  <c r="L188" i="20"/>
  <c r="L189" i="20"/>
  <c r="L190" i="20"/>
  <c r="L191" i="20"/>
  <c r="L193" i="20"/>
  <c r="L194" i="20"/>
  <c r="L195" i="20"/>
  <c r="L196" i="20"/>
  <c r="L197" i="20"/>
  <c r="L198" i="20"/>
  <c r="L199" i="20"/>
  <c r="L200" i="20"/>
  <c r="L201" i="20"/>
  <c r="L202" i="20"/>
  <c r="L204" i="20"/>
  <c r="L205" i="20"/>
  <c r="L206" i="20"/>
  <c r="L207" i="20"/>
  <c r="L208" i="20"/>
  <c r="L209" i="20"/>
  <c r="L210" i="20"/>
  <c r="L211" i="20"/>
  <c r="L212" i="20"/>
  <c r="L213" i="20"/>
  <c r="L214" i="20"/>
  <c r="L215" i="20"/>
  <c r="L216" i="20"/>
  <c r="L217" i="20"/>
  <c r="L218" i="20"/>
  <c r="L219" i="20"/>
  <c r="L220" i="20"/>
  <c r="L221" i="20"/>
  <c r="L222" i="20"/>
  <c r="L223" i="20"/>
  <c r="L224" i="20"/>
  <c r="L225" i="20"/>
  <c r="L226" i="20"/>
  <c r="L227" i="20"/>
  <c r="L228" i="20"/>
  <c r="L229" i="20"/>
  <c r="L230" i="20"/>
  <c r="L231" i="20"/>
  <c r="L232" i="20"/>
  <c r="L233" i="20"/>
  <c r="L234" i="20"/>
  <c r="L235" i="20"/>
  <c r="L236" i="20"/>
  <c r="L237" i="20"/>
  <c r="L238" i="20"/>
  <c r="L239" i="20"/>
  <c r="L240" i="20"/>
  <c r="L241" i="20"/>
  <c r="L242" i="20"/>
  <c r="L243" i="20"/>
  <c r="L244" i="20"/>
  <c r="L245" i="20"/>
  <c r="L246" i="20"/>
  <c r="L247" i="20"/>
  <c r="L248" i="20"/>
  <c r="L249" i="20"/>
  <c r="L250" i="20"/>
  <c r="L252" i="20"/>
  <c r="L253" i="20"/>
  <c r="L254" i="20"/>
  <c r="L255" i="20"/>
  <c r="L256" i="20"/>
  <c r="L257" i="20"/>
  <c r="L259" i="20"/>
  <c r="L260" i="20"/>
  <c r="L261" i="20"/>
  <c r="L262" i="20"/>
  <c r="L263" i="20"/>
  <c r="L264" i="20"/>
  <c r="L265" i="20"/>
  <c r="L266" i="20"/>
  <c r="L267" i="20"/>
  <c r="L268" i="20"/>
  <c r="L269" i="20"/>
  <c r="L270" i="20"/>
  <c r="L272" i="20"/>
  <c r="L273" i="20"/>
  <c r="L274" i="20"/>
  <c r="L275" i="20"/>
  <c r="L276" i="20"/>
  <c r="L277" i="20"/>
  <c r="L278" i="20"/>
  <c r="L279" i="20"/>
  <c r="L280" i="20"/>
  <c r="L281" i="20"/>
  <c r="L282" i="20"/>
  <c r="L283" i="20"/>
  <c r="L284" i="20"/>
  <c r="L285" i="20"/>
  <c r="L286" i="20"/>
  <c r="L287" i="20"/>
  <c r="L288" i="20"/>
  <c r="L289" i="20"/>
  <c r="L290" i="20"/>
  <c r="L291" i="20"/>
  <c r="L292" i="20"/>
  <c r="L293" i="20"/>
  <c r="L294" i="20"/>
  <c r="L295" i="20"/>
  <c r="L296" i="20"/>
  <c r="L297" i="20"/>
  <c r="L298" i="20"/>
  <c r="L299" i="20"/>
  <c r="L300" i="20"/>
  <c r="L301" i="20"/>
  <c r="L302" i="20"/>
  <c r="L303" i="20"/>
  <c r="L304" i="20"/>
  <c r="L305" i="20"/>
  <c r="L306" i="20"/>
  <c r="L307" i="20"/>
  <c r="L308" i="20"/>
  <c r="L309" i="20"/>
  <c r="L310" i="20"/>
  <c r="L311" i="20"/>
  <c r="L312" i="20"/>
  <c r="L313" i="20"/>
  <c r="L314" i="20"/>
  <c r="L315" i="20"/>
  <c r="L316" i="20"/>
  <c r="L317" i="20"/>
  <c r="L318" i="20"/>
  <c r="L319" i="20"/>
  <c r="L320" i="20"/>
  <c r="L321" i="20"/>
  <c r="L322" i="20"/>
  <c r="L323" i="20"/>
  <c r="L324" i="20"/>
  <c r="L325" i="20"/>
  <c r="L326" i="20"/>
  <c r="L327" i="20"/>
  <c r="L328" i="20"/>
  <c r="L329" i="20"/>
  <c r="L330" i="20"/>
  <c r="L331" i="20"/>
  <c r="L332" i="20"/>
  <c r="L333" i="20"/>
  <c r="L334" i="20"/>
  <c r="L335" i="20"/>
  <c r="L336" i="20"/>
  <c r="L337" i="20"/>
  <c r="L338" i="20"/>
  <c r="L340" i="20"/>
  <c r="L341" i="20"/>
  <c r="L342" i="20"/>
  <c r="L343" i="20"/>
  <c r="L344" i="20"/>
  <c r="L345" i="20"/>
  <c r="L346" i="20"/>
  <c r="L347" i="20"/>
  <c r="L348" i="20"/>
  <c r="L350" i="20"/>
  <c r="L351" i="20"/>
  <c r="L352" i="20"/>
  <c r="L353" i="20"/>
  <c r="L354" i="20"/>
  <c r="L355" i="20"/>
  <c r="L356" i="20"/>
  <c r="L357" i="20"/>
  <c r="L358" i="20"/>
  <c r="L360" i="20"/>
  <c r="L361" i="20"/>
  <c r="L362" i="20"/>
  <c r="L363" i="20"/>
  <c r="L364" i="20"/>
  <c r="L365" i="20"/>
  <c r="L366" i="20"/>
  <c r="L367" i="20"/>
  <c r="L368" i="20"/>
  <c r="L369" i="20"/>
  <c r="L371" i="20"/>
  <c r="L372" i="20"/>
  <c r="L373" i="20"/>
  <c r="L374" i="20"/>
  <c r="L375" i="20"/>
  <c r="L376" i="20"/>
  <c r="L378" i="20"/>
  <c r="L379" i="20"/>
  <c r="L380" i="20"/>
  <c r="L381" i="20"/>
  <c r="L383" i="20"/>
  <c r="L384" i="20"/>
  <c r="L385" i="20"/>
  <c r="L386" i="20"/>
  <c r="L387" i="20"/>
  <c r="L388" i="20"/>
  <c r="L389" i="20"/>
  <c r="L391" i="20"/>
  <c r="L392" i="20"/>
  <c r="L393" i="20"/>
  <c r="L394" i="20"/>
  <c r="L395" i="20"/>
  <c r="L396" i="20"/>
  <c r="L397" i="20"/>
  <c r="L398" i="20"/>
  <c r="L399" i="20"/>
  <c r="L400" i="20"/>
  <c r="L401" i="20"/>
  <c r="L402" i="20"/>
  <c r="L404" i="20"/>
  <c r="L405" i="20"/>
  <c r="L406" i="20"/>
  <c r="L407" i="20"/>
  <c r="L408" i="20"/>
  <c r="L409" i="20"/>
  <c r="L410" i="20"/>
  <c r="L412" i="20"/>
  <c r="L414" i="20"/>
  <c r="L415" i="20"/>
  <c r="L416" i="20"/>
  <c r="L417" i="20"/>
  <c r="L418" i="20"/>
  <c r="L9" i="20"/>
  <c r="L7" i="20"/>
  <c r="K9" i="19"/>
  <c r="K8" i="19"/>
  <c r="K7" i="19"/>
  <c r="K6" i="19"/>
  <c r="K5" i="19"/>
  <c r="O6" i="19"/>
  <c r="O7" i="19"/>
  <c r="O8" i="19"/>
  <c r="O9" i="19"/>
  <c r="O10" i="19"/>
  <c r="O11" i="19"/>
  <c r="O12" i="19"/>
  <c r="O13" i="19"/>
  <c r="O14" i="19"/>
  <c r="O15" i="19"/>
  <c r="O16" i="19"/>
  <c r="O17" i="19"/>
  <c r="O18" i="19"/>
  <c r="O19" i="19"/>
  <c r="O20" i="19"/>
  <c r="O21" i="19"/>
  <c r="O22" i="19"/>
  <c r="O23" i="19"/>
  <c r="O24" i="19"/>
  <c r="O5" i="19"/>
  <c r="H5" i="18"/>
  <c r="K5" i="18" s="1"/>
  <c r="L5" i="18" s="1"/>
  <c r="M5" i="18" s="1"/>
  <c r="H6" i="18"/>
  <c r="K6" i="18" s="1"/>
  <c r="L6" i="18" s="1"/>
  <c r="M6" i="18" s="1"/>
  <c r="H7" i="18"/>
  <c r="K7" i="18" s="1"/>
  <c r="L7" i="18" s="1"/>
  <c r="M7" i="18" s="1"/>
  <c r="H8" i="18"/>
  <c r="K8" i="18" s="1"/>
  <c r="L8" i="18" s="1"/>
  <c r="M8" i="18" s="1"/>
  <c r="H9" i="18"/>
  <c r="K9" i="18" s="1"/>
  <c r="L9" i="18" s="1"/>
  <c r="M9" i="18" s="1"/>
  <c r="H10" i="18"/>
  <c r="K10" i="18" s="1"/>
  <c r="L10" i="18" s="1"/>
  <c r="M10" i="18" s="1"/>
  <c r="H11" i="18"/>
  <c r="K11" i="18" s="1"/>
  <c r="L11" i="18" s="1"/>
  <c r="M11" i="18" s="1"/>
  <c r="H13" i="18"/>
  <c r="K13" i="18" s="1"/>
  <c r="L13" i="18" s="1"/>
  <c r="M13" i="18" s="1"/>
  <c r="H14" i="18"/>
  <c r="K14" i="18" s="1"/>
  <c r="L14" i="18" s="1"/>
  <c r="M14" i="18" s="1"/>
  <c r="H15" i="18"/>
  <c r="H16" i="18"/>
  <c r="H17" i="18"/>
  <c r="H18" i="18"/>
  <c r="H19" i="18"/>
  <c r="H20" i="18"/>
  <c r="H21" i="18"/>
  <c r="H22" i="18"/>
  <c r="H23" i="18"/>
  <c r="H24" i="18"/>
  <c r="H4" i="18"/>
  <c r="K4" i="18" s="1"/>
  <c r="L4" i="18" s="1"/>
  <c r="M4" i="18" s="1"/>
  <c r="G12" i="18"/>
  <c r="F12" i="18"/>
  <c r="E12" i="18"/>
  <c r="Q6" i="17"/>
  <c r="Q7" i="17"/>
  <c r="Q8" i="17"/>
  <c r="Q9" i="17"/>
  <c r="Q10" i="17"/>
  <c r="Q11" i="17"/>
  <c r="Q12" i="17"/>
  <c r="Q13" i="17"/>
  <c r="Q14" i="17"/>
  <c r="Q15" i="17"/>
  <c r="Q16" i="17"/>
  <c r="Q17" i="17"/>
  <c r="Q18" i="17"/>
  <c r="Q19" i="17"/>
  <c r="Q20" i="17"/>
  <c r="Q21" i="17"/>
  <c r="Q22" i="17"/>
  <c r="Q23" i="17"/>
  <c r="Q24" i="17"/>
  <c r="Q25" i="17"/>
  <c r="Q26" i="17"/>
  <c r="Q27" i="17"/>
  <c r="Q28" i="17"/>
  <c r="Q29" i="17"/>
  <c r="Q30" i="17"/>
  <c r="Q31" i="17"/>
  <c r="Q32" i="17"/>
  <c r="Q33" i="17"/>
  <c r="Q34" i="17"/>
  <c r="Q5" i="17"/>
  <c r="K6" i="17"/>
  <c r="K7" i="17"/>
  <c r="K8" i="17"/>
  <c r="K9" i="17"/>
  <c r="K10" i="17"/>
  <c r="K11" i="17"/>
  <c r="K12" i="17"/>
  <c r="K13" i="17"/>
  <c r="K14" i="17"/>
  <c r="K15" i="17"/>
  <c r="K16" i="17"/>
  <c r="K17" i="17"/>
  <c r="K18" i="17"/>
  <c r="K19" i="17"/>
  <c r="K20" i="17"/>
  <c r="K21" i="17"/>
  <c r="K22" i="17"/>
  <c r="K23" i="17"/>
  <c r="K24" i="17"/>
  <c r="K25" i="17"/>
  <c r="K26" i="17"/>
  <c r="K27" i="17"/>
  <c r="K28" i="17"/>
  <c r="K29" i="17"/>
  <c r="K30" i="17"/>
  <c r="K31" i="17"/>
  <c r="K32" i="17"/>
  <c r="K33" i="17"/>
  <c r="K34" i="17"/>
  <c r="K5" i="17"/>
  <c r="P1136" i="1"/>
  <c r="P1123" i="1"/>
  <c r="P1097" i="1"/>
  <c r="P1025" i="1"/>
  <c r="P984" i="1"/>
  <c r="P942" i="1"/>
  <c r="P889" i="1"/>
  <c r="P860" i="1"/>
  <c r="P822" i="1"/>
  <c r="P767" i="1"/>
  <c r="P649" i="1"/>
  <c r="P611" i="1"/>
  <c r="P583" i="1"/>
  <c r="P479" i="1"/>
  <c r="P456" i="1"/>
  <c r="P345" i="1"/>
  <c r="P300" i="1"/>
  <c r="P262" i="1"/>
  <c r="P238" i="1"/>
  <c r="P179" i="1"/>
  <c r="P139" i="1"/>
  <c r="P136" i="1"/>
  <c r="P94" i="1"/>
  <c r="P61" i="1"/>
  <c r="P50" i="1"/>
  <c r="P42" i="1"/>
  <c r="P29" i="1"/>
  <c r="P27" i="1"/>
  <c r="AI17" i="1"/>
  <c r="Q84" i="14"/>
  <c r="Q83" i="14"/>
  <c r="Q82" i="14"/>
  <c r="Q81" i="14"/>
  <c r="Q80" i="14"/>
  <c r="Q79" i="14"/>
  <c r="Q73" i="14"/>
  <c r="Q67" i="14"/>
  <c r="Q61" i="14"/>
  <c r="Q55" i="14"/>
  <c r="Q49" i="14"/>
  <c r="Q43" i="14"/>
  <c r="Q39" i="14"/>
  <c r="Q35" i="14"/>
  <c r="Q32" i="14"/>
  <c r="Q30" i="14"/>
  <c r="R30" i="14" s="1"/>
  <c r="R31" i="14" s="1"/>
  <c r="R29" i="14"/>
  <c r="H34" i="14"/>
  <c r="AY1180" i="1"/>
  <c r="AX1180" i="1"/>
  <c r="AW1180" i="1"/>
  <c r="AV1180" i="1"/>
  <c r="AU1180" i="1"/>
  <c r="J1180" i="1"/>
  <c r="G1180" i="1"/>
  <c r="H1180" i="1" s="1"/>
  <c r="AY1179" i="1"/>
  <c r="AX1179" i="1"/>
  <c r="AW1179" i="1"/>
  <c r="AV1179" i="1"/>
  <c r="AU1179" i="1"/>
  <c r="J1179" i="1"/>
  <c r="G1179" i="1"/>
  <c r="H1179" i="1" s="1"/>
  <c r="H1178" i="1"/>
  <c r="CM1176" i="1"/>
  <c r="H1176" i="1"/>
  <c r="H1175" i="1"/>
  <c r="AX1174" i="1"/>
  <c r="AW1174" i="1"/>
  <c r="AV1174" i="1"/>
  <c r="AU1174" i="1"/>
  <c r="AN1174" i="1"/>
  <c r="AL1174" i="1"/>
  <c r="AM1174" i="1" s="1"/>
  <c r="J1174" i="1"/>
  <c r="G1174" i="1"/>
  <c r="H1174" i="1" s="1"/>
  <c r="AF1173" i="1"/>
  <c r="AY1172" i="1"/>
  <c r="AX1172" i="1"/>
  <c r="AW1172" i="1"/>
  <c r="AV1172" i="1"/>
  <c r="AU1172" i="1"/>
  <c r="J1172" i="1"/>
  <c r="AX1171" i="1"/>
  <c r="AW1171" i="1"/>
  <c r="AV1171" i="1"/>
  <c r="AU1171" i="1"/>
  <c r="AN1171" i="1"/>
  <c r="AL1171" i="1"/>
  <c r="AM1171" i="1" s="1"/>
  <c r="J1171" i="1"/>
  <c r="G1171" i="1"/>
  <c r="H1171" i="1" s="1"/>
  <c r="CM1170" i="1"/>
  <c r="H1170" i="1"/>
  <c r="H1169" i="1"/>
  <c r="CM1168" i="1"/>
  <c r="H1168" i="1"/>
  <c r="H1167" i="1"/>
  <c r="H1166" i="1"/>
  <c r="CM1165" i="1"/>
  <c r="H1165" i="1"/>
  <c r="AG24" i="14"/>
  <c r="AG23" i="14"/>
  <c r="AG22" i="14"/>
  <c r="AG21" i="14"/>
  <c r="AG20" i="14"/>
  <c r="AG19" i="14"/>
  <c r="AG18" i="14"/>
  <c r="AG16" i="14"/>
  <c r="AG15" i="14"/>
  <c r="AG14" i="14"/>
  <c r="AH14" i="14" s="1"/>
  <c r="AG13" i="14"/>
  <c r="AH13" i="14" s="1"/>
  <c r="AG12" i="14"/>
  <c r="AH12" i="14" s="1"/>
  <c r="AG10" i="14"/>
  <c r="AH10" i="14" s="1"/>
  <c r="AG9" i="14"/>
  <c r="AH9" i="14" s="1"/>
  <c r="AG7" i="14"/>
  <c r="AH7" i="14" s="1"/>
  <c r="AG17" i="14"/>
  <c r="AG11" i="14"/>
  <c r="AH11" i="14" s="1"/>
  <c r="AG8" i="14"/>
  <c r="AH8" i="14" s="1"/>
  <c r="AG6" i="14"/>
  <c r="AH6" i="14" s="1"/>
  <c r="AG5" i="14"/>
  <c r="AH5" i="14" s="1"/>
  <c r="AG4" i="14"/>
  <c r="AH4" i="14" s="1"/>
  <c r="R32" i="14" l="1"/>
  <c r="R33" i="14" s="1"/>
  <c r="R34" i="14" s="1"/>
  <c r="H12" i="18"/>
  <c r="K12" i="18" s="1"/>
  <c r="L12" i="18" s="1"/>
  <c r="M12" i="18" s="1"/>
  <c r="AO1171" i="1"/>
  <c r="AO1174" i="1"/>
  <c r="L390" i="20"/>
  <c r="L8" i="20"/>
  <c r="L22" i="20"/>
  <c r="L51" i="20"/>
  <c r="L108" i="20"/>
  <c r="L251" i="20"/>
  <c r="L349" i="20"/>
  <c r="L382" i="20"/>
  <c r="L413" i="20"/>
  <c r="L17" i="20"/>
  <c r="L50" i="20"/>
  <c r="L93" i="20"/>
  <c r="L203" i="20"/>
  <c r="L339" i="20"/>
  <c r="L377" i="20"/>
  <c r="L411" i="20"/>
  <c r="L12" i="20"/>
  <c r="L31" i="20"/>
  <c r="L86" i="20"/>
  <c r="L192" i="20"/>
  <c r="L271" i="20"/>
  <c r="L370" i="20"/>
  <c r="L403" i="20"/>
  <c r="L11" i="20"/>
  <c r="L23" i="20"/>
  <c r="L65" i="20"/>
  <c r="L119" i="20"/>
  <c r="L258" i="20"/>
  <c r="L359" i="20"/>
  <c r="R35" i="14"/>
  <c r="R36" i="14" s="1"/>
  <c r="R37" i="14" s="1"/>
  <c r="R38" i="14" s="1"/>
  <c r="R39" i="14" s="1"/>
  <c r="R40" i="14" s="1"/>
  <c r="R41" i="14" s="1"/>
  <c r="R42" i="14" s="1"/>
  <c r="R43" i="14" s="1"/>
  <c r="R44" i="14" s="1"/>
  <c r="R45" i="14" s="1"/>
  <c r="R46" i="14" s="1"/>
  <c r="R47" i="14" s="1"/>
  <c r="R48" i="14" s="1"/>
  <c r="R49" i="14" s="1"/>
  <c r="R50" i="14" s="1"/>
  <c r="R51" i="14" s="1"/>
  <c r="R52" i="14" s="1"/>
  <c r="R53" i="14" s="1"/>
  <c r="R54" i="14" s="1"/>
  <c r="R55" i="14" s="1"/>
  <c r="R56" i="14" s="1"/>
  <c r="R57" i="14" s="1"/>
  <c r="R58" i="14" s="1"/>
  <c r="R59" i="14" s="1"/>
  <c r="R60" i="14" s="1"/>
  <c r="R61" i="14" s="1"/>
  <c r="R62" i="14" s="1"/>
  <c r="R63" i="14" s="1"/>
  <c r="R64" i="14" s="1"/>
  <c r="R65" i="14" s="1"/>
  <c r="R66" i="14" s="1"/>
  <c r="R67" i="14" s="1"/>
  <c r="R68" i="14" s="1"/>
  <c r="R69" i="14" s="1"/>
  <c r="R70" i="14" s="1"/>
  <c r="R71" i="14" s="1"/>
  <c r="R72" i="14" s="1"/>
  <c r="R73" i="14" s="1"/>
  <c r="R74" i="14" s="1"/>
  <c r="R75" i="14" s="1"/>
  <c r="R76" i="14" s="1"/>
  <c r="R77" i="14" s="1"/>
  <c r="R78" i="14" s="1"/>
  <c r="R79" i="14" s="1"/>
  <c r="R80" i="14" s="1"/>
  <c r="R81" i="14" s="1"/>
  <c r="R82" i="14" s="1"/>
  <c r="R83" i="14" s="1"/>
  <c r="R84" i="14" s="1"/>
  <c r="H1164" i="1"/>
  <c r="CM1163" i="1"/>
  <c r="H1163" i="1"/>
  <c r="AY1161" i="1"/>
  <c r="AX1161" i="1"/>
  <c r="AW1161" i="1"/>
  <c r="AV1161" i="1"/>
  <c r="AU1161" i="1"/>
  <c r="J1161" i="1"/>
  <c r="AY1160" i="1"/>
  <c r="AX1160" i="1"/>
  <c r="AW1160" i="1"/>
  <c r="AV1160" i="1"/>
  <c r="AU1160" i="1"/>
  <c r="J1160" i="1"/>
  <c r="H1159" i="1"/>
  <c r="CM1158" i="1"/>
  <c r="H1158" i="1"/>
  <c r="AX1157" i="1"/>
  <c r="AW1157" i="1"/>
  <c r="AV1157" i="1"/>
  <c r="AU1157" i="1"/>
  <c r="AN1157" i="1"/>
  <c r="AL1157" i="1"/>
  <c r="AM1157" i="1" s="1"/>
  <c r="J1157" i="1"/>
  <c r="G1157" i="1"/>
  <c r="H1157" i="1" s="1"/>
  <c r="AY1156" i="1"/>
  <c r="AX1156" i="1"/>
  <c r="AW1156" i="1"/>
  <c r="AV1156" i="1"/>
  <c r="AU1156" i="1"/>
  <c r="AS1156" i="1"/>
  <c r="AQ1156" i="1"/>
  <c r="AR1156" i="1" s="1"/>
  <c r="AT1156" i="1" s="1"/>
  <c r="J1156" i="1"/>
  <c r="G1156" i="1"/>
  <c r="H1156" i="1" s="1"/>
  <c r="AY1155" i="1"/>
  <c r="AX1155" i="1"/>
  <c r="AW1155" i="1"/>
  <c r="AV1155" i="1"/>
  <c r="AU1155" i="1"/>
  <c r="J1155" i="1"/>
  <c r="G1155" i="1"/>
  <c r="H1155" i="1" s="1"/>
  <c r="AY1154" i="1"/>
  <c r="AX1154" i="1"/>
  <c r="AW1154" i="1"/>
  <c r="AV1154" i="1"/>
  <c r="AU1154" i="1"/>
  <c r="J1154" i="1"/>
  <c r="G1154" i="1"/>
  <c r="H1154" i="1" s="1"/>
  <c r="AI1153" i="1"/>
  <c r="AX1153" i="1"/>
  <c r="AW1153" i="1"/>
  <c r="AV1153" i="1"/>
  <c r="AU1153" i="1"/>
  <c r="AN1153" i="1"/>
  <c r="AL1153" i="1"/>
  <c r="AM1153" i="1" s="1"/>
  <c r="J1153" i="1"/>
  <c r="G1153" i="1"/>
  <c r="H1153" i="1" s="1"/>
  <c r="AI1152" i="1"/>
  <c r="AF1151" i="1"/>
  <c r="AX1152" i="1"/>
  <c r="AW1152" i="1"/>
  <c r="AV1152" i="1"/>
  <c r="AU1152" i="1"/>
  <c r="AN1152" i="1"/>
  <c r="AL1152" i="1"/>
  <c r="AM1152" i="1" s="1"/>
  <c r="J1152" i="1"/>
  <c r="G1152" i="1"/>
  <c r="H1152" i="1" s="1"/>
  <c r="AY1104" i="1"/>
  <c r="AX1104" i="1"/>
  <c r="AW1104" i="1"/>
  <c r="AV1104" i="1"/>
  <c r="AU1104" i="1"/>
  <c r="AS1104" i="1"/>
  <c r="AQ1104" i="1"/>
  <c r="AR1104" i="1" s="1"/>
  <c r="J1104" i="1"/>
  <c r="G1104" i="1"/>
  <c r="H1104" i="1" s="1"/>
  <c r="H1149" i="1"/>
  <c r="AY1148" i="1"/>
  <c r="AX1148" i="1"/>
  <c r="AW1148" i="1"/>
  <c r="AV1148" i="1"/>
  <c r="AU1148" i="1"/>
  <c r="J1148" i="1"/>
  <c r="G1148" i="1"/>
  <c r="H1148" i="1" s="1"/>
  <c r="AY1147" i="1"/>
  <c r="AX1147" i="1"/>
  <c r="AW1147" i="1"/>
  <c r="AV1147" i="1"/>
  <c r="AU1147" i="1"/>
  <c r="J1147" i="1"/>
  <c r="G1147" i="1"/>
  <c r="H1147" i="1" s="1"/>
  <c r="AY1146" i="1"/>
  <c r="AX1146" i="1"/>
  <c r="AW1146" i="1"/>
  <c r="AV1146" i="1"/>
  <c r="AU1146" i="1"/>
  <c r="J1146" i="1"/>
  <c r="G1146" i="1"/>
  <c r="H1146" i="1" s="1"/>
  <c r="AY1145" i="1"/>
  <c r="AX1145" i="1"/>
  <c r="AW1145" i="1"/>
  <c r="AV1145" i="1"/>
  <c r="AU1145" i="1"/>
  <c r="J1145" i="1"/>
  <c r="G1145" i="1"/>
  <c r="H1145" i="1" s="1"/>
  <c r="AY1144" i="1"/>
  <c r="AX1144" i="1"/>
  <c r="AW1144" i="1"/>
  <c r="AV1144" i="1"/>
  <c r="AU1144" i="1"/>
  <c r="J1144" i="1"/>
  <c r="G1144" i="1"/>
  <c r="H1144" i="1" s="1"/>
  <c r="AY1143" i="1"/>
  <c r="AX1143" i="1"/>
  <c r="AW1143" i="1"/>
  <c r="AV1143" i="1"/>
  <c r="AU1143" i="1"/>
  <c r="J1143" i="1"/>
  <c r="G1143" i="1"/>
  <c r="H1143" i="1" s="1"/>
  <c r="AY1142" i="1"/>
  <c r="AX1142" i="1"/>
  <c r="AW1142" i="1"/>
  <c r="AV1142" i="1"/>
  <c r="AU1142" i="1"/>
  <c r="J1142" i="1"/>
  <c r="G1142" i="1"/>
  <c r="H1142" i="1" s="1"/>
  <c r="AY1141" i="1"/>
  <c r="AX1141" i="1"/>
  <c r="AW1141" i="1"/>
  <c r="AV1141" i="1"/>
  <c r="AU1141" i="1"/>
  <c r="J1141" i="1"/>
  <c r="G1141" i="1"/>
  <c r="H1141" i="1" s="1"/>
  <c r="AY1140" i="1"/>
  <c r="AX1140" i="1"/>
  <c r="AW1140" i="1"/>
  <c r="AV1140" i="1"/>
  <c r="AU1140" i="1"/>
  <c r="J1140" i="1"/>
  <c r="G1140" i="1"/>
  <c r="H1140" i="1" s="1"/>
  <c r="AY1139" i="1"/>
  <c r="AX1139" i="1"/>
  <c r="AW1139" i="1"/>
  <c r="AV1139" i="1"/>
  <c r="AU1139" i="1"/>
  <c r="J1139" i="1"/>
  <c r="G1139" i="1"/>
  <c r="H1139" i="1" s="1"/>
  <c r="AY1138" i="1"/>
  <c r="AX1138" i="1"/>
  <c r="AW1138" i="1"/>
  <c r="AV1138" i="1"/>
  <c r="AU1138" i="1"/>
  <c r="J1138" i="1"/>
  <c r="G1138" i="1"/>
  <c r="H1138" i="1" s="1"/>
  <c r="AF1137" i="1"/>
  <c r="AJ1136" i="1"/>
  <c r="AJ1137" i="1" s="1"/>
  <c r="AJ1138" i="1" s="1"/>
  <c r="AJ1139" i="1" s="1"/>
  <c r="AJ1140" i="1" s="1"/>
  <c r="AJ1141" i="1" s="1"/>
  <c r="AJ1142" i="1" s="1"/>
  <c r="AJ1143" i="1" s="1"/>
  <c r="AJ1144" i="1" s="1"/>
  <c r="AJ1145" i="1" s="1"/>
  <c r="AJ1146" i="1" s="1"/>
  <c r="AJ1147" i="1" s="1"/>
  <c r="AJ1148" i="1" s="1"/>
  <c r="AJ1149" i="1" s="1"/>
  <c r="AJ1150" i="1" s="1"/>
  <c r="AJ1151" i="1" s="1"/>
  <c r="AJ1152" i="1" s="1"/>
  <c r="AJ1153" i="1" s="1"/>
  <c r="AJ1154" i="1" s="1"/>
  <c r="AJ1155" i="1" s="1"/>
  <c r="AJ1156" i="1" s="1"/>
  <c r="AJ1159" i="1" s="1"/>
  <c r="AJ1160" i="1" s="1"/>
  <c r="AJ1161" i="1" s="1"/>
  <c r="AJ1162" i="1" s="1"/>
  <c r="AG1136" i="1"/>
  <c r="AY1134" i="1"/>
  <c r="AX1134" i="1"/>
  <c r="AW1134" i="1"/>
  <c r="AV1134" i="1"/>
  <c r="AU1134" i="1"/>
  <c r="J1134" i="1"/>
  <c r="G1134" i="1"/>
  <c r="H1134" i="1" s="1"/>
  <c r="AY1133" i="1"/>
  <c r="AX1133" i="1"/>
  <c r="AW1133" i="1"/>
  <c r="AV1133" i="1"/>
  <c r="AU1133" i="1"/>
  <c r="J1133" i="1"/>
  <c r="G1133" i="1"/>
  <c r="H1133" i="1" s="1"/>
  <c r="AY1132" i="1"/>
  <c r="AX1132" i="1"/>
  <c r="AW1132" i="1"/>
  <c r="AV1132" i="1"/>
  <c r="AU1132" i="1"/>
  <c r="J1132" i="1"/>
  <c r="G1132" i="1"/>
  <c r="H1132" i="1" s="1"/>
  <c r="AY1131" i="1"/>
  <c r="AX1131" i="1"/>
  <c r="AW1131" i="1"/>
  <c r="AV1131" i="1"/>
  <c r="AU1131" i="1"/>
  <c r="J1131" i="1"/>
  <c r="G1131" i="1"/>
  <c r="H1131" i="1" s="1"/>
  <c r="AY1130" i="1"/>
  <c r="AX1130" i="1"/>
  <c r="AW1130" i="1"/>
  <c r="AV1130" i="1"/>
  <c r="AU1130" i="1"/>
  <c r="J1130" i="1"/>
  <c r="G1130" i="1"/>
  <c r="H1130" i="1" s="1"/>
  <c r="AY1129" i="1"/>
  <c r="AX1129" i="1"/>
  <c r="AW1129" i="1"/>
  <c r="AV1129" i="1"/>
  <c r="AU1129" i="1"/>
  <c r="J1129" i="1"/>
  <c r="G1129" i="1"/>
  <c r="H1129" i="1" s="1"/>
  <c r="AI1102" i="1"/>
  <c r="AJ1123" i="1"/>
  <c r="AJ1124" i="1" s="1"/>
  <c r="AJ1125" i="1" s="1"/>
  <c r="AJ1126" i="1" s="1"/>
  <c r="AJ1127" i="1" s="1"/>
  <c r="AJ1128" i="1" s="1"/>
  <c r="AJ1129" i="1" s="1"/>
  <c r="AJ1130" i="1" s="1"/>
  <c r="AJ1131" i="1" s="1"/>
  <c r="AJ1132" i="1" s="1"/>
  <c r="AJ1133" i="1" s="1"/>
  <c r="AJ1134" i="1" s="1"/>
  <c r="AJ1135" i="1" s="1"/>
  <c r="H1115" i="1"/>
  <c r="AF1114" i="1"/>
  <c r="AY1127" i="1"/>
  <c r="AX1127" i="1"/>
  <c r="AW1127" i="1"/>
  <c r="AV1127" i="1"/>
  <c r="AU1127" i="1"/>
  <c r="AS1127" i="1"/>
  <c r="AQ1127" i="1"/>
  <c r="AR1127" i="1" s="1"/>
  <c r="J1127" i="1"/>
  <c r="G1127" i="1"/>
  <c r="H1127" i="1" s="1"/>
  <c r="AX1126" i="1"/>
  <c r="AW1126" i="1"/>
  <c r="AV1126" i="1"/>
  <c r="AU1126" i="1"/>
  <c r="AN1126" i="1"/>
  <c r="AL1126" i="1"/>
  <c r="AM1126" i="1" s="1"/>
  <c r="J1126" i="1"/>
  <c r="G1126" i="1"/>
  <c r="H1126" i="1" s="1"/>
  <c r="H1125" i="1"/>
  <c r="CM1124" i="1"/>
  <c r="H1124" i="1"/>
  <c r="AG1123" i="1"/>
  <c r="CM1121" i="1"/>
  <c r="H1121" i="1"/>
  <c r="AF1120" i="1"/>
  <c r="AF1115" i="1"/>
  <c r="AX1113" i="1"/>
  <c r="AW1113" i="1"/>
  <c r="AV1113" i="1"/>
  <c r="AU1113" i="1"/>
  <c r="AN1113" i="1"/>
  <c r="AL1113" i="1"/>
  <c r="AM1113" i="1" s="1"/>
  <c r="J1113" i="1"/>
  <c r="G1113" i="1"/>
  <c r="H1113" i="1" s="1"/>
  <c r="CM1106" i="1"/>
  <c r="H1106" i="1"/>
  <c r="H1105" i="1"/>
  <c r="AX1112" i="1"/>
  <c r="AW1112" i="1"/>
  <c r="AV1112" i="1"/>
  <c r="AU1112" i="1"/>
  <c r="AN1112" i="1"/>
  <c r="AL1112" i="1"/>
  <c r="AM1112" i="1" s="1"/>
  <c r="J1112" i="1"/>
  <c r="G1112" i="1"/>
  <c r="H1112" i="1" s="1"/>
  <c r="AY1099" i="1"/>
  <c r="AX1099" i="1"/>
  <c r="AW1099" i="1"/>
  <c r="AV1099" i="1"/>
  <c r="AU1099" i="1"/>
  <c r="AS1099" i="1"/>
  <c r="AQ1099" i="1"/>
  <c r="AR1099" i="1" s="1"/>
  <c r="J1099" i="1"/>
  <c r="G1099" i="1"/>
  <c r="H1099" i="1" s="1"/>
  <c r="AX1111" i="1"/>
  <c r="AW1111" i="1"/>
  <c r="AV1111" i="1"/>
  <c r="AU1111" i="1"/>
  <c r="AN1111" i="1"/>
  <c r="AL1111" i="1"/>
  <c r="AM1111" i="1" s="1"/>
  <c r="J1111" i="1"/>
  <c r="G1111" i="1"/>
  <c r="H1111" i="1" s="1"/>
  <c r="H1101" i="1"/>
  <c r="AX1103" i="1"/>
  <c r="AW1103" i="1"/>
  <c r="AV1103" i="1"/>
  <c r="AU1103" i="1"/>
  <c r="AN1103" i="1"/>
  <c r="AL1103" i="1"/>
  <c r="AM1103" i="1" s="1"/>
  <c r="J1103" i="1"/>
  <c r="G1103" i="1"/>
  <c r="H1103" i="1" s="1"/>
  <c r="AX1102" i="1"/>
  <c r="AW1102" i="1"/>
  <c r="AV1102" i="1"/>
  <c r="AU1102" i="1"/>
  <c r="AN1102" i="1"/>
  <c r="AL1102" i="1"/>
  <c r="AM1102" i="1" s="1"/>
  <c r="J1102" i="1"/>
  <c r="G1102" i="1"/>
  <c r="H1102" i="1" s="1"/>
  <c r="CM1110" i="1"/>
  <c r="H1110" i="1"/>
  <c r="AF1109" i="1"/>
  <c r="AY1100" i="1"/>
  <c r="AX1100" i="1"/>
  <c r="AW1100" i="1"/>
  <c r="AV1100" i="1"/>
  <c r="AU1100" i="1"/>
  <c r="AS1100" i="1"/>
  <c r="AQ1100" i="1"/>
  <c r="AR1100" i="1" s="1"/>
  <c r="J1100" i="1"/>
  <c r="G1100" i="1"/>
  <c r="H1100" i="1" s="1"/>
  <c r="AX1108" i="1"/>
  <c r="AW1108" i="1"/>
  <c r="AV1108" i="1"/>
  <c r="AU1108" i="1"/>
  <c r="AN1108" i="1"/>
  <c r="AL1108" i="1"/>
  <c r="AM1108" i="1" s="1"/>
  <c r="J1108" i="1"/>
  <c r="G1108" i="1"/>
  <c r="H1108" i="1" s="1"/>
  <c r="AX1107" i="1"/>
  <c r="AW1107" i="1"/>
  <c r="AV1107" i="1"/>
  <c r="AU1107" i="1"/>
  <c r="AN1107" i="1"/>
  <c r="AL1107" i="1"/>
  <c r="AM1107" i="1" s="1"/>
  <c r="J1107" i="1"/>
  <c r="G1107" i="1"/>
  <c r="H1107" i="1" s="1"/>
  <c r="AY1098" i="1"/>
  <c r="AX1098" i="1"/>
  <c r="AW1098" i="1"/>
  <c r="AV1098" i="1"/>
  <c r="AU1098" i="1"/>
  <c r="AS1098" i="1"/>
  <c r="AQ1098" i="1"/>
  <c r="AR1098" i="1" s="1"/>
  <c r="AT1098" i="1" s="1"/>
  <c r="J1098" i="1"/>
  <c r="G1098" i="1"/>
  <c r="H1098" i="1" s="1"/>
  <c r="AJ1097" i="1"/>
  <c r="AJ1098" i="1" s="1"/>
  <c r="AJ1099" i="1" s="1"/>
  <c r="AJ1100" i="1" s="1"/>
  <c r="AJ1101" i="1" s="1"/>
  <c r="AJ1102" i="1" s="1"/>
  <c r="AJ1103" i="1" s="1"/>
  <c r="AJ1104" i="1" s="1"/>
  <c r="AJ1105" i="1" s="1"/>
  <c r="AJ1106" i="1" s="1"/>
  <c r="AJ1107" i="1" s="1"/>
  <c r="AJ1108" i="1" s="1"/>
  <c r="AJ1109" i="1" s="1"/>
  <c r="AJ1110" i="1" s="1"/>
  <c r="AJ1111" i="1" s="1"/>
  <c r="AJ1112" i="1" s="1"/>
  <c r="AJ1113" i="1" s="1"/>
  <c r="AJ1114" i="1" s="1"/>
  <c r="AJ1115" i="1" s="1"/>
  <c r="AJ1116" i="1" s="1"/>
  <c r="AJ1117" i="1" s="1"/>
  <c r="AJ1118" i="1" s="1"/>
  <c r="AJ1119" i="1" s="1"/>
  <c r="AJ1120" i="1" s="1"/>
  <c r="AJ1121" i="1" s="1"/>
  <c r="AJ1122" i="1" s="1"/>
  <c r="AG1097" i="1"/>
  <c r="AY1090" i="1"/>
  <c r="AX1090" i="1"/>
  <c r="AW1090" i="1"/>
  <c r="AV1090" i="1"/>
  <c r="AU1090" i="1"/>
  <c r="J1090" i="1"/>
  <c r="G1090" i="1"/>
  <c r="H1090" i="1" s="1"/>
  <c r="H1095" i="1"/>
  <c r="AX1089" i="1"/>
  <c r="AW1089" i="1"/>
  <c r="AV1089" i="1"/>
  <c r="AU1089" i="1"/>
  <c r="AN1089" i="1"/>
  <c r="AL1089" i="1"/>
  <c r="AM1089" i="1" s="1"/>
  <c r="J1089" i="1"/>
  <c r="G1089" i="1"/>
  <c r="H1089" i="1" s="1"/>
  <c r="AY1086" i="1"/>
  <c r="AX1086" i="1"/>
  <c r="AW1086" i="1"/>
  <c r="AV1086" i="1"/>
  <c r="AU1086" i="1"/>
  <c r="AS1086" i="1"/>
  <c r="AQ1086" i="1"/>
  <c r="AR1086" i="1" s="1"/>
  <c r="J1086" i="1"/>
  <c r="G1086" i="1"/>
  <c r="H1086" i="1" s="1"/>
  <c r="AX1085" i="1"/>
  <c r="AW1085" i="1"/>
  <c r="AV1085" i="1"/>
  <c r="AU1085" i="1"/>
  <c r="AN1085" i="1"/>
  <c r="AL1085" i="1"/>
  <c r="AM1085" i="1" s="1"/>
  <c r="J1085" i="1"/>
  <c r="G1085" i="1"/>
  <c r="H1085" i="1" s="1"/>
  <c r="AX1084" i="1"/>
  <c r="AW1084" i="1"/>
  <c r="AV1084" i="1"/>
  <c r="AU1084" i="1"/>
  <c r="AN1084" i="1"/>
  <c r="AL1084" i="1"/>
  <c r="AM1084" i="1" s="1"/>
  <c r="J1084" i="1"/>
  <c r="G1084" i="1"/>
  <c r="H1084" i="1" s="1"/>
  <c r="AY1083" i="1"/>
  <c r="AX1083" i="1"/>
  <c r="AW1083" i="1"/>
  <c r="AV1083" i="1"/>
  <c r="AU1083" i="1"/>
  <c r="AS1083" i="1"/>
  <c r="AQ1083" i="1"/>
  <c r="AR1083" i="1" s="1"/>
  <c r="J1083" i="1"/>
  <c r="G1083" i="1"/>
  <c r="H1083" i="1" s="1"/>
  <c r="AX1081" i="1"/>
  <c r="AW1081" i="1"/>
  <c r="AV1081" i="1"/>
  <c r="AU1081" i="1"/>
  <c r="AN1081" i="1"/>
  <c r="AL1081" i="1"/>
  <c r="AM1081" i="1" s="1"/>
  <c r="J1081" i="1"/>
  <c r="G1081" i="1"/>
  <c r="H1081" i="1" s="1"/>
  <c r="AY1080" i="1"/>
  <c r="AX1080" i="1"/>
  <c r="AW1080" i="1"/>
  <c r="AV1080" i="1"/>
  <c r="AU1080" i="1"/>
  <c r="AS1080" i="1"/>
  <c r="AQ1080" i="1"/>
  <c r="AR1080" i="1" s="1"/>
  <c r="J1080" i="1"/>
  <c r="G1080" i="1"/>
  <c r="H1080" i="1" s="1"/>
  <c r="CM1078" i="1"/>
  <c r="H1078" i="1"/>
  <c r="AF1077" i="1"/>
  <c r="AY1074" i="1"/>
  <c r="AX1074" i="1"/>
  <c r="AW1074" i="1"/>
  <c r="AV1074" i="1"/>
  <c r="AU1074" i="1"/>
  <c r="AS1074" i="1"/>
  <c r="AQ1074" i="1"/>
  <c r="AR1074" i="1" s="1"/>
  <c r="J1074" i="1"/>
  <c r="G1074" i="1"/>
  <c r="H1074" i="1" s="1"/>
  <c r="AX1073" i="1"/>
  <c r="AW1073" i="1"/>
  <c r="AV1073" i="1"/>
  <c r="AU1073" i="1"/>
  <c r="AN1073" i="1"/>
  <c r="AL1073" i="1"/>
  <c r="AM1073" i="1" s="1"/>
  <c r="J1073" i="1"/>
  <c r="G1073" i="1"/>
  <c r="H1073" i="1" s="1"/>
  <c r="AF1072" i="1"/>
  <c r="H1071" i="1"/>
  <c r="CM1070" i="1"/>
  <c r="H1070" i="1"/>
  <c r="AX1069" i="1"/>
  <c r="AW1069" i="1"/>
  <c r="AV1069" i="1"/>
  <c r="AU1069" i="1"/>
  <c r="AN1069" i="1"/>
  <c r="AL1069" i="1"/>
  <c r="AM1069" i="1" s="1"/>
  <c r="J1069" i="1"/>
  <c r="G1069" i="1"/>
  <c r="H1069" i="1" s="1"/>
  <c r="CM1068" i="1"/>
  <c r="H1068" i="1"/>
  <c r="CM1067" i="1"/>
  <c r="H1067" i="1"/>
  <c r="CM1066" i="1"/>
  <c r="H1066" i="1"/>
  <c r="H1065" i="1"/>
  <c r="AY1064" i="1"/>
  <c r="AX1064" i="1"/>
  <c r="AW1064" i="1"/>
  <c r="AV1064" i="1"/>
  <c r="AU1064" i="1"/>
  <c r="AS1064" i="1"/>
  <c r="AQ1064" i="1"/>
  <c r="AR1064" i="1" s="1"/>
  <c r="J1064" i="1"/>
  <c r="G1064" i="1"/>
  <c r="H1064" i="1" s="1"/>
  <c r="AX1063" i="1"/>
  <c r="AW1063" i="1"/>
  <c r="AV1063" i="1"/>
  <c r="AU1063" i="1"/>
  <c r="AN1063" i="1"/>
  <c r="AL1063" i="1"/>
  <c r="AM1063" i="1" s="1"/>
  <c r="J1063" i="1"/>
  <c r="G1063" i="1"/>
  <c r="H1063" i="1" s="1"/>
  <c r="AF1059" i="1"/>
  <c r="AX1058" i="1"/>
  <c r="AW1058" i="1"/>
  <c r="AV1058" i="1"/>
  <c r="AU1058" i="1"/>
  <c r="AN1058" i="1"/>
  <c r="AL1058" i="1"/>
  <c r="AM1058" i="1" s="1"/>
  <c r="J1058" i="1"/>
  <c r="G1058" i="1"/>
  <c r="H1058" i="1" s="1"/>
  <c r="CM1057" i="1"/>
  <c r="H1057" i="1"/>
  <c r="CM1055" i="1"/>
  <c r="H1055" i="1"/>
  <c r="AX1054" i="1"/>
  <c r="AW1054" i="1"/>
  <c r="AV1054" i="1"/>
  <c r="AU1054" i="1"/>
  <c r="AN1054" i="1"/>
  <c r="AL1054" i="1"/>
  <c r="AM1054" i="1" s="1"/>
  <c r="J1054" i="1"/>
  <c r="G1054" i="1"/>
  <c r="H1054" i="1" s="1"/>
  <c r="AI1051" i="1"/>
  <c r="AX1051" i="1"/>
  <c r="AW1051" i="1"/>
  <c r="AV1051" i="1"/>
  <c r="AU1051" i="1"/>
  <c r="AN1051" i="1"/>
  <c r="AL1051" i="1"/>
  <c r="AM1051" i="1" s="1"/>
  <c r="J1051" i="1"/>
  <c r="G1051" i="1"/>
  <c r="H1051" i="1" s="1"/>
  <c r="AY1049" i="1"/>
  <c r="AX1049" i="1"/>
  <c r="AW1049" i="1"/>
  <c r="AV1049" i="1"/>
  <c r="AU1049" i="1"/>
  <c r="J1049" i="1"/>
  <c r="CM1048" i="1"/>
  <c r="H1048" i="1"/>
  <c r="AY1046" i="1"/>
  <c r="AX1046" i="1"/>
  <c r="AW1046" i="1"/>
  <c r="AV1046" i="1"/>
  <c r="AU1046" i="1"/>
  <c r="J1046" i="1"/>
  <c r="G1046" i="1"/>
  <c r="H1046" i="1" s="1"/>
  <c r="AX1045" i="1"/>
  <c r="AW1045" i="1"/>
  <c r="AV1045" i="1"/>
  <c r="AU1045" i="1"/>
  <c r="AN1045" i="1"/>
  <c r="AL1045" i="1"/>
  <c r="AM1045" i="1" s="1"/>
  <c r="J1045" i="1"/>
  <c r="G1045" i="1"/>
  <c r="H1045" i="1" s="1"/>
  <c r="H1044" i="1"/>
  <c r="AY1040" i="1"/>
  <c r="AX1040" i="1"/>
  <c r="AW1040" i="1"/>
  <c r="AV1040" i="1"/>
  <c r="AU1040" i="1"/>
  <c r="J1040" i="1"/>
  <c r="AF1038" i="1"/>
  <c r="CM1032" i="1"/>
  <c r="H1032" i="1"/>
  <c r="H1031" i="1"/>
  <c r="CM1029" i="1"/>
  <c r="AY1028" i="1"/>
  <c r="AX1028" i="1"/>
  <c r="AW1028" i="1"/>
  <c r="AV1028" i="1"/>
  <c r="AU1028" i="1"/>
  <c r="AS1028" i="1"/>
  <c r="AQ1028" i="1"/>
  <c r="AR1028" i="1" s="1"/>
  <c r="J1028" i="1"/>
  <c r="G1028" i="1"/>
  <c r="H1028" i="1" s="1"/>
  <c r="AJ1025" i="1"/>
  <c r="AJ1026" i="1" s="1"/>
  <c r="AJ1027" i="1" s="1"/>
  <c r="AJ1028" i="1" s="1"/>
  <c r="AJ1029" i="1" s="1"/>
  <c r="AJ1030" i="1" s="1"/>
  <c r="AJ1031" i="1" s="1"/>
  <c r="AJ1032" i="1" s="1"/>
  <c r="AJ1033" i="1" s="1"/>
  <c r="AJ1034" i="1" s="1"/>
  <c r="AJ1035" i="1" s="1"/>
  <c r="AJ1036" i="1" s="1"/>
  <c r="AJ1037" i="1" s="1"/>
  <c r="AJ1038" i="1" s="1"/>
  <c r="AJ1039" i="1" s="1"/>
  <c r="AJ1040" i="1" s="1"/>
  <c r="AJ1041" i="1" s="1"/>
  <c r="AJ1042" i="1" s="1"/>
  <c r="AJ1043" i="1" s="1"/>
  <c r="AJ1044" i="1" s="1"/>
  <c r="AJ1045" i="1" s="1"/>
  <c r="AJ1046" i="1" s="1"/>
  <c r="AJ1047" i="1" s="1"/>
  <c r="AJ1048" i="1" s="1"/>
  <c r="AJ1049" i="1" s="1"/>
  <c r="AJ1050" i="1" s="1"/>
  <c r="AJ1051" i="1" s="1"/>
  <c r="AJ1052" i="1" s="1"/>
  <c r="AJ1053" i="1" s="1"/>
  <c r="AJ1054" i="1" s="1"/>
  <c r="AJ1055" i="1" s="1"/>
  <c r="AJ1056" i="1" s="1"/>
  <c r="AJ1057" i="1" s="1"/>
  <c r="AJ1058" i="1" s="1"/>
  <c r="AJ1059" i="1" s="1"/>
  <c r="AJ1060" i="1" s="1"/>
  <c r="AJ1061" i="1" s="1"/>
  <c r="AJ1062" i="1" s="1"/>
  <c r="AG1025" i="1"/>
  <c r="H1014" i="1"/>
  <c r="CM1013" i="1"/>
  <c r="H1013" i="1"/>
  <c r="H1010" i="1"/>
  <c r="AY1023" i="1"/>
  <c r="AX1023" i="1"/>
  <c r="AW1023" i="1"/>
  <c r="AV1023" i="1"/>
  <c r="AU1023" i="1"/>
  <c r="J1023" i="1"/>
  <c r="G1023" i="1"/>
  <c r="H1023" i="1" s="1"/>
  <c r="AX1022" i="1"/>
  <c r="AW1022" i="1"/>
  <c r="AV1022" i="1"/>
  <c r="AU1022" i="1"/>
  <c r="AN1022" i="1"/>
  <c r="AL1022" i="1"/>
  <c r="AM1022" i="1" s="1"/>
  <c r="J1022" i="1"/>
  <c r="G1022" i="1"/>
  <c r="H1022" i="1" s="1"/>
  <c r="AU1027" i="1"/>
  <c r="AN1027" i="1"/>
  <c r="AL1027" i="1"/>
  <c r="AM1027" i="1" s="1"/>
  <c r="J1027" i="1"/>
  <c r="G1027" i="1"/>
  <c r="H1027" i="1" s="1"/>
  <c r="AX1021" i="1"/>
  <c r="AW1021" i="1"/>
  <c r="AV1021" i="1"/>
  <c r="AU1021" i="1"/>
  <c r="AN1021" i="1"/>
  <c r="AL1021" i="1"/>
  <c r="AM1021" i="1" s="1"/>
  <c r="J1021" i="1"/>
  <c r="G1021" i="1"/>
  <c r="H1021" i="1" s="1"/>
  <c r="CM1012" i="1"/>
  <c r="H1012" i="1"/>
  <c r="CM1009" i="1"/>
  <c r="H1009" i="1"/>
  <c r="AI1006" i="1"/>
  <c r="AF1005" i="1"/>
  <c r="CM1004" i="1"/>
  <c r="H1004" i="1"/>
  <c r="H1003" i="1"/>
  <c r="AY1007" i="1"/>
  <c r="AX1007" i="1"/>
  <c r="AW1007" i="1"/>
  <c r="AV1007" i="1"/>
  <c r="AU1007" i="1"/>
  <c r="J1007" i="1"/>
  <c r="G1007" i="1"/>
  <c r="H1007" i="1" s="1"/>
  <c r="AX1006" i="1"/>
  <c r="AW1006" i="1"/>
  <c r="AV1006" i="1"/>
  <c r="AU1006" i="1"/>
  <c r="AN1006" i="1"/>
  <c r="AL1006" i="1"/>
  <c r="AM1006" i="1" s="1"/>
  <c r="J1006" i="1"/>
  <c r="G1006" i="1"/>
  <c r="H1006" i="1" s="1"/>
  <c r="AY1001" i="1"/>
  <c r="AX1001" i="1"/>
  <c r="AW1001" i="1"/>
  <c r="AV1001" i="1"/>
  <c r="AU1001" i="1"/>
  <c r="J1001" i="1"/>
  <c r="G1001" i="1"/>
  <c r="H1001" i="1" s="1"/>
  <c r="AX1000" i="1"/>
  <c r="AW1000" i="1"/>
  <c r="AV1000" i="1"/>
  <c r="AU1000" i="1"/>
  <c r="AN1000" i="1"/>
  <c r="AL1000" i="1"/>
  <c r="AM1000" i="1" s="1"/>
  <c r="J1000" i="1"/>
  <c r="G1000" i="1"/>
  <c r="H1000" i="1" s="1"/>
  <c r="AY999" i="1"/>
  <c r="AX999" i="1"/>
  <c r="AW999" i="1"/>
  <c r="AV999" i="1"/>
  <c r="AU999" i="1"/>
  <c r="J999" i="1"/>
  <c r="G999" i="1"/>
  <c r="H999" i="1" s="1"/>
  <c r="AX998" i="1"/>
  <c r="AW998" i="1"/>
  <c r="AV998" i="1"/>
  <c r="AU998" i="1"/>
  <c r="AN998" i="1"/>
  <c r="AL998" i="1"/>
  <c r="AM998" i="1" s="1"/>
  <c r="J998" i="1"/>
  <c r="G998" i="1"/>
  <c r="H998" i="1" s="1"/>
  <c r="AY997" i="1"/>
  <c r="AX997" i="1"/>
  <c r="AW997" i="1"/>
  <c r="AV997" i="1"/>
  <c r="AU997" i="1"/>
  <c r="J997" i="1"/>
  <c r="G997" i="1"/>
  <c r="H997" i="1" s="1"/>
  <c r="AX996" i="1"/>
  <c r="AW996" i="1"/>
  <c r="AV996" i="1"/>
  <c r="AU996" i="1"/>
  <c r="AN996" i="1"/>
  <c r="AL996" i="1"/>
  <c r="AM996" i="1" s="1"/>
  <c r="J996" i="1"/>
  <c r="G996" i="1"/>
  <c r="H996" i="1" s="1"/>
  <c r="V188" i="9"/>
  <c r="V187" i="9"/>
  <c r="V186" i="9"/>
  <c r="V185" i="9"/>
  <c r="V184" i="9"/>
  <c r="V183" i="9"/>
  <c r="V182" i="9"/>
  <c r="V181" i="9"/>
  <c r="V180" i="9"/>
  <c r="V179" i="9"/>
  <c r="V178" i="9"/>
  <c r="V177" i="9"/>
  <c r="V176" i="9"/>
  <c r="V175" i="9"/>
  <c r="V174" i="9"/>
  <c r="V173" i="9"/>
  <c r="V172" i="9"/>
  <c r="V171" i="9"/>
  <c r="V170" i="9"/>
  <c r="V169" i="9"/>
  <c r="V168" i="9"/>
  <c r="V167" i="9"/>
  <c r="V166" i="9"/>
  <c r="V165" i="9"/>
  <c r="V164" i="9"/>
  <c r="V163" i="9"/>
  <c r="V162" i="9"/>
  <c r="V161" i="9"/>
  <c r="V160" i="9"/>
  <c r="V159" i="9"/>
  <c r="V158" i="9"/>
  <c r="V157" i="9"/>
  <c r="V156" i="9"/>
  <c r="V155" i="9"/>
  <c r="V154" i="9"/>
  <c r="V153" i="9"/>
  <c r="V152" i="9"/>
  <c r="V151" i="9"/>
  <c r="V150" i="9"/>
  <c r="V149" i="9"/>
  <c r="V148" i="9"/>
  <c r="V147" i="9"/>
  <c r="V146" i="9"/>
  <c r="V145" i="9"/>
  <c r="V144" i="9"/>
  <c r="V143" i="9"/>
  <c r="V142" i="9"/>
  <c r="V141" i="9"/>
  <c r="V140" i="9"/>
  <c r="V139" i="9"/>
  <c r="V138" i="9"/>
  <c r="V137" i="9"/>
  <c r="V136" i="9"/>
  <c r="V135" i="9"/>
  <c r="V134" i="9"/>
  <c r="V133" i="9"/>
  <c r="V132" i="9"/>
  <c r="V131" i="9"/>
  <c r="V130" i="9"/>
  <c r="V129" i="9"/>
  <c r="V126" i="9"/>
  <c r="V125" i="9"/>
  <c r="V124" i="9"/>
  <c r="V123" i="9"/>
  <c r="V122" i="9"/>
  <c r="V121" i="9"/>
  <c r="V120" i="9"/>
  <c r="V119" i="9"/>
  <c r="V118" i="9"/>
  <c r="V117" i="9"/>
  <c r="V116" i="9"/>
  <c r="V115" i="9"/>
  <c r="V114" i="9"/>
  <c r="V113" i="9"/>
  <c r="V112" i="9"/>
  <c r="V111" i="9"/>
  <c r="V110" i="9"/>
  <c r="V109" i="9"/>
  <c r="V108" i="9"/>
  <c r="V107" i="9"/>
  <c r="V74" i="9"/>
  <c r="V73" i="9"/>
  <c r="V72" i="9"/>
  <c r="V71" i="9"/>
  <c r="V70" i="9"/>
  <c r="V69" i="9"/>
  <c r="V68" i="9"/>
  <c r="V67" i="9"/>
  <c r="V66" i="9"/>
  <c r="V65" i="9"/>
  <c r="V64" i="9"/>
  <c r="V63" i="9"/>
  <c r="V62" i="9"/>
  <c r="V61" i="9"/>
  <c r="V60" i="9"/>
  <c r="V59" i="9"/>
  <c r="V58" i="9"/>
  <c r="V57" i="9"/>
  <c r="V56" i="9"/>
  <c r="V55" i="9"/>
  <c r="V54" i="9"/>
  <c r="V53" i="9"/>
  <c r="V52" i="9"/>
  <c r="V51" i="9"/>
  <c r="V50" i="9"/>
  <c r="V49" i="9"/>
  <c r="V48" i="9"/>
  <c r="V47" i="9"/>
  <c r="V46" i="9"/>
  <c r="V45" i="9"/>
  <c r="V44" i="9"/>
  <c r="V43" i="9"/>
  <c r="V42" i="9"/>
  <c r="V41" i="9"/>
  <c r="V40" i="9"/>
  <c r="V39" i="9"/>
  <c r="V38" i="9"/>
  <c r="V37" i="9"/>
  <c r="V36" i="9"/>
  <c r="V35" i="9"/>
  <c r="V34" i="9"/>
  <c r="V33" i="9"/>
  <c r="V32" i="9"/>
  <c r="V31" i="9"/>
  <c r="V30" i="9"/>
  <c r="V29" i="9"/>
  <c r="V28" i="9"/>
  <c r="V27" i="9"/>
  <c r="V26" i="9"/>
  <c r="V25" i="9"/>
  <c r="V24" i="9"/>
  <c r="V23" i="9"/>
  <c r="V22" i="9"/>
  <c r="V21" i="9"/>
  <c r="V20" i="9"/>
  <c r="V19" i="9"/>
  <c r="V18" i="9"/>
  <c r="V17" i="9"/>
  <c r="V15" i="9"/>
  <c r="V16" i="9"/>
  <c r="CM994" i="1"/>
  <c r="H994" i="1"/>
  <c r="H993" i="1"/>
  <c r="CM991" i="1"/>
  <c r="H991" i="1"/>
  <c r="H990" i="1"/>
  <c r="AY988" i="1"/>
  <c r="AX988" i="1"/>
  <c r="AW988" i="1"/>
  <c r="AV988" i="1"/>
  <c r="AU988" i="1"/>
  <c r="J988" i="1"/>
  <c r="AY987" i="1"/>
  <c r="AX987" i="1"/>
  <c r="AW987" i="1"/>
  <c r="AV987" i="1"/>
  <c r="AU987" i="1"/>
  <c r="J987" i="1"/>
  <c r="AY1026" i="1"/>
  <c r="AX1026" i="1"/>
  <c r="AW1026" i="1"/>
  <c r="AV1026" i="1"/>
  <c r="AU1026" i="1"/>
  <c r="J1026" i="1"/>
  <c r="G1026" i="1"/>
  <c r="H1026" i="1" s="1"/>
  <c r="AY1008" i="1"/>
  <c r="AX1008" i="1"/>
  <c r="AW1008" i="1"/>
  <c r="AV1008" i="1"/>
  <c r="AU1008" i="1"/>
  <c r="AS1008" i="1"/>
  <c r="AQ1008" i="1"/>
  <c r="AR1008" i="1" s="1"/>
  <c r="J1008" i="1"/>
  <c r="G1008" i="1"/>
  <c r="H1008" i="1" s="1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AI978" i="1"/>
  <c r="AJ984" i="1"/>
  <c r="AJ985" i="1" s="1"/>
  <c r="AJ986" i="1" s="1"/>
  <c r="AJ987" i="1" s="1"/>
  <c r="AJ988" i="1" s="1"/>
  <c r="AJ989" i="1" s="1"/>
  <c r="AJ990" i="1" s="1"/>
  <c r="AJ991" i="1" s="1"/>
  <c r="AJ992" i="1" s="1"/>
  <c r="AJ993" i="1" s="1"/>
  <c r="AJ994" i="1" s="1"/>
  <c r="AJ995" i="1" s="1"/>
  <c r="AJ996" i="1" s="1"/>
  <c r="AJ997" i="1" s="1"/>
  <c r="AJ998" i="1" s="1"/>
  <c r="AJ999" i="1" s="1"/>
  <c r="AJ1000" i="1" s="1"/>
  <c r="AJ1001" i="1" s="1"/>
  <c r="AJ1002" i="1" s="1"/>
  <c r="AJ1003" i="1" s="1"/>
  <c r="AJ1004" i="1" s="1"/>
  <c r="AJ1005" i="1" s="1"/>
  <c r="AJ1006" i="1" s="1"/>
  <c r="AJ1007" i="1" s="1"/>
  <c r="AJ1008" i="1" s="1"/>
  <c r="AJ1009" i="1" s="1"/>
  <c r="AJ1010" i="1" s="1"/>
  <c r="AJ1011" i="1" s="1"/>
  <c r="AJ1012" i="1" s="1"/>
  <c r="AJ1013" i="1" s="1"/>
  <c r="AJ1014" i="1" s="1"/>
  <c r="AJ1015" i="1" s="1"/>
  <c r="AJ1016" i="1" s="1"/>
  <c r="AJ1017" i="1" s="1"/>
  <c r="AJ1018" i="1" s="1"/>
  <c r="AJ1019" i="1" s="1"/>
  <c r="AJ1020" i="1" s="1"/>
  <c r="AJ1021" i="1" s="1"/>
  <c r="AJ1022" i="1" s="1"/>
  <c r="AJ1023" i="1" s="1"/>
  <c r="AJ1024" i="1" s="1"/>
  <c r="AG984" i="1"/>
  <c r="H982" i="1"/>
  <c r="CM981" i="1"/>
  <c r="H981" i="1"/>
  <c r="AY979" i="1"/>
  <c r="AX979" i="1"/>
  <c r="AW979" i="1"/>
  <c r="AV979" i="1"/>
  <c r="AU979" i="1"/>
  <c r="J979" i="1"/>
  <c r="G979" i="1"/>
  <c r="H979" i="1" s="1"/>
  <c r="AX978" i="1"/>
  <c r="AW978" i="1"/>
  <c r="AV978" i="1"/>
  <c r="AU978" i="1"/>
  <c r="AN978" i="1"/>
  <c r="AL978" i="1"/>
  <c r="AM978" i="1" s="1"/>
  <c r="J978" i="1"/>
  <c r="G978" i="1"/>
  <c r="H978" i="1" s="1"/>
  <c r="AY986" i="1"/>
  <c r="AX986" i="1"/>
  <c r="AW986" i="1"/>
  <c r="AV986" i="1"/>
  <c r="AU986" i="1"/>
  <c r="J986" i="1"/>
  <c r="G986" i="1"/>
  <c r="H986" i="1" s="1"/>
  <c r="AX985" i="1"/>
  <c r="AW985" i="1"/>
  <c r="AV985" i="1"/>
  <c r="AU985" i="1"/>
  <c r="AN985" i="1"/>
  <c r="AL985" i="1"/>
  <c r="AM985" i="1" s="1"/>
  <c r="J985" i="1"/>
  <c r="G985" i="1"/>
  <c r="H985" i="1" s="1"/>
  <c r="H977" i="1"/>
  <c r="CM976" i="1"/>
  <c r="H976" i="1"/>
  <c r="AY975" i="1"/>
  <c r="AX975" i="1"/>
  <c r="AW975" i="1"/>
  <c r="AV975" i="1"/>
  <c r="AU975" i="1"/>
  <c r="J975" i="1"/>
  <c r="G975" i="1"/>
  <c r="H975" i="1" s="1"/>
  <c r="AX974" i="1"/>
  <c r="AW974" i="1"/>
  <c r="AV974" i="1"/>
  <c r="AU974" i="1"/>
  <c r="AN974" i="1"/>
  <c r="AL974" i="1"/>
  <c r="AM974" i="1" s="1"/>
  <c r="J974" i="1"/>
  <c r="G974" i="1"/>
  <c r="H974" i="1" s="1"/>
  <c r="AY972" i="1"/>
  <c r="AX972" i="1"/>
  <c r="AW972" i="1"/>
  <c r="AV972" i="1"/>
  <c r="AU972" i="1"/>
  <c r="J972" i="1"/>
  <c r="G972" i="1"/>
  <c r="H972" i="1" s="1"/>
  <c r="AX971" i="1"/>
  <c r="AW971" i="1"/>
  <c r="AV971" i="1"/>
  <c r="AU971" i="1"/>
  <c r="AN971" i="1"/>
  <c r="AL971" i="1"/>
  <c r="AM971" i="1" s="1"/>
  <c r="J971" i="1"/>
  <c r="G971" i="1"/>
  <c r="H971" i="1" s="1"/>
  <c r="H970" i="1"/>
  <c r="CM969" i="1"/>
  <c r="H969" i="1"/>
  <c r="H968" i="1"/>
  <c r="CM967" i="1"/>
  <c r="H967" i="1"/>
  <c r="AY955" i="1"/>
  <c r="AX955" i="1"/>
  <c r="AW955" i="1"/>
  <c r="AV955" i="1"/>
  <c r="AU955" i="1"/>
  <c r="J955" i="1"/>
  <c r="H966" i="1"/>
  <c r="H959" i="1"/>
  <c r="CM958" i="1"/>
  <c r="H958" i="1"/>
  <c r="AY953" i="1"/>
  <c r="AX953" i="1"/>
  <c r="AW953" i="1"/>
  <c r="AV953" i="1"/>
  <c r="AU953" i="1"/>
  <c r="J953" i="1"/>
  <c r="G953" i="1"/>
  <c r="H953" i="1" s="1"/>
  <c r="AX952" i="1"/>
  <c r="AW952" i="1"/>
  <c r="AV952" i="1"/>
  <c r="AU952" i="1"/>
  <c r="AN952" i="1"/>
  <c r="AL952" i="1"/>
  <c r="AM952" i="1" s="1"/>
  <c r="J952" i="1"/>
  <c r="G952" i="1"/>
  <c r="H952" i="1" s="1"/>
  <c r="AY957" i="1"/>
  <c r="AX957" i="1"/>
  <c r="AW957" i="1"/>
  <c r="AV957" i="1"/>
  <c r="AU957" i="1"/>
  <c r="J957" i="1"/>
  <c r="G957" i="1"/>
  <c r="H957" i="1" s="1"/>
  <c r="AY956" i="1"/>
  <c r="AX956" i="1"/>
  <c r="AW956" i="1"/>
  <c r="AV956" i="1"/>
  <c r="AU956" i="1"/>
  <c r="AS956" i="1"/>
  <c r="AQ956" i="1"/>
  <c r="AR956" i="1" s="1"/>
  <c r="J956" i="1"/>
  <c r="G956" i="1"/>
  <c r="H956" i="1" s="1"/>
  <c r="AY954" i="1"/>
  <c r="AX954" i="1"/>
  <c r="AW954" i="1"/>
  <c r="AV954" i="1"/>
  <c r="AU954" i="1"/>
  <c r="J954" i="1"/>
  <c r="H951" i="1"/>
  <c r="CM950" i="1"/>
  <c r="H950" i="1"/>
  <c r="H949" i="1"/>
  <c r="AY948" i="1"/>
  <c r="AX948" i="1"/>
  <c r="AW948" i="1"/>
  <c r="AV948" i="1"/>
  <c r="AU948" i="1"/>
  <c r="J948" i="1"/>
  <c r="G948" i="1"/>
  <c r="H948" i="1" s="1"/>
  <c r="AY947" i="1"/>
  <c r="AX947" i="1"/>
  <c r="AW947" i="1"/>
  <c r="AV947" i="1"/>
  <c r="AU947" i="1"/>
  <c r="J947" i="1"/>
  <c r="G947" i="1"/>
  <c r="H947" i="1" s="1"/>
  <c r="H946" i="1"/>
  <c r="AY945" i="1"/>
  <c r="AX945" i="1"/>
  <c r="AW945" i="1"/>
  <c r="AV945" i="1"/>
  <c r="AU945" i="1"/>
  <c r="J945" i="1"/>
  <c r="G945" i="1"/>
  <c r="H945" i="1" s="1"/>
  <c r="AF944" i="1"/>
  <c r="CM932" i="1"/>
  <c r="H932" i="1"/>
  <c r="D28" i="2"/>
  <c r="AJ942" i="1"/>
  <c r="AJ943" i="1" s="1"/>
  <c r="AJ944" i="1" s="1"/>
  <c r="AJ945" i="1" s="1"/>
  <c r="AJ946" i="1" s="1"/>
  <c r="AJ947" i="1" s="1"/>
  <c r="AJ948" i="1" s="1"/>
  <c r="AJ949" i="1" s="1"/>
  <c r="AJ950" i="1" s="1"/>
  <c r="AJ951" i="1" s="1"/>
  <c r="AJ952" i="1" s="1"/>
  <c r="AJ953" i="1" s="1"/>
  <c r="AJ954" i="1" s="1"/>
  <c r="AJ955" i="1" s="1"/>
  <c r="AJ956" i="1" s="1"/>
  <c r="AJ957" i="1" s="1"/>
  <c r="AJ958" i="1" s="1"/>
  <c r="AJ959" i="1" s="1"/>
  <c r="AJ960" i="1" s="1"/>
  <c r="AJ961" i="1" s="1"/>
  <c r="AJ962" i="1" s="1"/>
  <c r="AJ963" i="1" s="1"/>
  <c r="AJ964" i="1" s="1"/>
  <c r="AJ965" i="1" s="1"/>
  <c r="AJ966" i="1" s="1"/>
  <c r="AJ967" i="1" s="1"/>
  <c r="AJ968" i="1" s="1"/>
  <c r="AJ969" i="1" s="1"/>
  <c r="AJ970" i="1" s="1"/>
  <c r="AJ971" i="1" s="1"/>
  <c r="AJ972" i="1" s="1"/>
  <c r="AJ973" i="1" s="1"/>
  <c r="AJ974" i="1" s="1"/>
  <c r="AJ975" i="1" s="1"/>
  <c r="AJ976" i="1" s="1"/>
  <c r="AJ977" i="1" s="1"/>
  <c r="AJ978" i="1" s="1"/>
  <c r="AJ979" i="1" s="1"/>
  <c r="AJ980" i="1" s="1"/>
  <c r="AJ981" i="1" s="1"/>
  <c r="AJ982" i="1" s="1"/>
  <c r="AJ983" i="1" s="1"/>
  <c r="AG942" i="1"/>
  <c r="H938" i="1"/>
  <c r="CM937" i="1"/>
  <c r="AY922" i="1"/>
  <c r="AX922" i="1"/>
  <c r="AW922" i="1"/>
  <c r="AV922" i="1"/>
  <c r="AU922" i="1"/>
  <c r="AS922" i="1"/>
  <c r="AQ922" i="1"/>
  <c r="AR922" i="1" s="1"/>
  <c r="J922" i="1"/>
  <c r="G922" i="1"/>
  <c r="H922" i="1" s="1"/>
  <c r="AF925" i="1"/>
  <c r="AF924" i="1"/>
  <c r="AY934" i="1"/>
  <c r="AX934" i="1"/>
  <c r="AW934" i="1"/>
  <c r="AV934" i="1"/>
  <c r="AU934" i="1"/>
  <c r="AS934" i="1"/>
  <c r="AQ934" i="1"/>
  <c r="AR934" i="1" s="1"/>
  <c r="J934" i="1"/>
  <c r="G934" i="1"/>
  <c r="H934" i="1" s="1"/>
  <c r="AX933" i="1"/>
  <c r="AW933" i="1"/>
  <c r="AV933" i="1"/>
  <c r="AU933" i="1"/>
  <c r="AN933" i="1"/>
  <c r="AL933" i="1"/>
  <c r="AM933" i="1" s="1"/>
  <c r="J933" i="1"/>
  <c r="G933" i="1"/>
  <c r="H933" i="1" s="1"/>
  <c r="CM931" i="1"/>
  <c r="H931" i="1"/>
  <c r="CM930" i="1"/>
  <c r="H930" i="1"/>
  <c r="H929" i="1"/>
  <c r="H928" i="1"/>
  <c r="AY927" i="1"/>
  <c r="AX927" i="1"/>
  <c r="AW927" i="1"/>
  <c r="AV927" i="1"/>
  <c r="AU927" i="1"/>
  <c r="J927" i="1"/>
  <c r="AY926" i="1"/>
  <c r="AX926" i="1"/>
  <c r="AW926" i="1"/>
  <c r="AV926" i="1"/>
  <c r="AU926" i="1"/>
  <c r="J926" i="1"/>
  <c r="G926" i="1"/>
  <c r="H926" i="1" s="1"/>
  <c r="AX923" i="1"/>
  <c r="AW923" i="1"/>
  <c r="AV923" i="1"/>
  <c r="AU923" i="1"/>
  <c r="AN923" i="1"/>
  <c r="AL923" i="1"/>
  <c r="AM923" i="1" s="1"/>
  <c r="J923" i="1"/>
  <c r="G923" i="1"/>
  <c r="H923" i="1" s="1"/>
  <c r="AI920" i="1"/>
  <c r="AF919" i="1"/>
  <c r="CM918" i="1"/>
  <c r="H918" i="1"/>
  <c r="AY921" i="1"/>
  <c r="AX921" i="1"/>
  <c r="AW921" i="1"/>
  <c r="AV921" i="1"/>
  <c r="AU921" i="1"/>
  <c r="J921" i="1"/>
  <c r="G921" i="1"/>
  <c r="H921" i="1" s="1"/>
  <c r="AX920" i="1"/>
  <c r="AW920" i="1"/>
  <c r="AV920" i="1"/>
  <c r="AU920" i="1"/>
  <c r="AN920" i="1"/>
  <c r="AL920" i="1"/>
  <c r="AM920" i="1" s="1"/>
  <c r="J920" i="1"/>
  <c r="G920" i="1"/>
  <c r="H920" i="1" s="1"/>
  <c r="AY917" i="1"/>
  <c r="AX917" i="1"/>
  <c r="AW917" i="1"/>
  <c r="AV917" i="1"/>
  <c r="AU917" i="1"/>
  <c r="J917" i="1"/>
  <c r="G917" i="1"/>
  <c r="H917" i="1" s="1"/>
  <c r="AX916" i="1"/>
  <c r="AW916" i="1"/>
  <c r="AV916" i="1"/>
  <c r="AU916" i="1"/>
  <c r="AN916" i="1"/>
  <c r="AL916" i="1"/>
  <c r="AM916" i="1" s="1"/>
  <c r="AI916" i="1"/>
  <c r="J916" i="1"/>
  <c r="G916" i="1"/>
  <c r="H916" i="1" s="1"/>
  <c r="AY912" i="1"/>
  <c r="AX912" i="1"/>
  <c r="AW912" i="1"/>
  <c r="AV912" i="1"/>
  <c r="AU912" i="1"/>
  <c r="J912" i="1"/>
  <c r="G912" i="1"/>
  <c r="H912" i="1" s="1"/>
  <c r="CM915" i="1"/>
  <c r="H915" i="1"/>
  <c r="CM913" i="1"/>
  <c r="H913" i="1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5" i="2"/>
  <c r="AI911" i="1"/>
  <c r="AX911" i="1"/>
  <c r="AW911" i="1"/>
  <c r="AV911" i="1"/>
  <c r="AU911" i="1"/>
  <c r="AN911" i="1"/>
  <c r="AL911" i="1"/>
  <c r="AM911" i="1" s="1"/>
  <c r="J911" i="1"/>
  <c r="G911" i="1"/>
  <c r="H911" i="1" s="1"/>
  <c r="H906" i="1"/>
  <c r="H901" i="1"/>
  <c r="CM899" i="1"/>
  <c r="H899" i="1"/>
  <c r="H898" i="1"/>
  <c r="CM897" i="1"/>
  <c r="H897" i="1"/>
  <c r="H895" i="1"/>
  <c r="CM894" i="1"/>
  <c r="H894" i="1"/>
  <c r="AY892" i="1"/>
  <c r="AX892" i="1"/>
  <c r="AW892" i="1"/>
  <c r="AV892" i="1"/>
  <c r="AU892" i="1"/>
  <c r="J892" i="1"/>
  <c r="G892" i="1"/>
  <c r="H892" i="1" s="1"/>
  <c r="AX891" i="1"/>
  <c r="AW891" i="1"/>
  <c r="AV891" i="1"/>
  <c r="AU891" i="1"/>
  <c r="AN891" i="1"/>
  <c r="AL891" i="1"/>
  <c r="AM891" i="1" s="1"/>
  <c r="J891" i="1"/>
  <c r="G891" i="1"/>
  <c r="H891" i="1" s="1"/>
  <c r="AJ889" i="1"/>
  <c r="AJ890" i="1" s="1"/>
  <c r="AJ891" i="1" s="1"/>
  <c r="AJ892" i="1" s="1"/>
  <c r="AJ893" i="1" s="1"/>
  <c r="AJ894" i="1" s="1"/>
  <c r="AJ895" i="1" s="1"/>
  <c r="AJ896" i="1" s="1"/>
  <c r="AJ897" i="1" s="1"/>
  <c r="AJ898" i="1" s="1"/>
  <c r="AJ899" i="1" s="1"/>
  <c r="AJ900" i="1" s="1"/>
  <c r="AJ901" i="1" s="1"/>
  <c r="AJ902" i="1" s="1"/>
  <c r="AJ903" i="1" s="1"/>
  <c r="AJ904" i="1" s="1"/>
  <c r="AJ905" i="1" s="1"/>
  <c r="AJ906" i="1" s="1"/>
  <c r="AJ907" i="1" s="1"/>
  <c r="AJ908" i="1" s="1"/>
  <c r="AJ909" i="1" s="1"/>
  <c r="AJ910" i="1" s="1"/>
  <c r="AJ911" i="1" s="1"/>
  <c r="AJ912" i="1" s="1"/>
  <c r="AJ913" i="1" s="1"/>
  <c r="AJ914" i="1" s="1"/>
  <c r="AJ915" i="1" s="1"/>
  <c r="AJ916" i="1" s="1"/>
  <c r="AJ917" i="1" s="1"/>
  <c r="AJ918" i="1" s="1"/>
  <c r="AJ919" i="1" s="1"/>
  <c r="AJ920" i="1" s="1"/>
  <c r="AJ921" i="1" s="1"/>
  <c r="AJ922" i="1" s="1"/>
  <c r="AJ923" i="1" s="1"/>
  <c r="AJ924" i="1" s="1"/>
  <c r="AJ925" i="1" s="1"/>
  <c r="AJ926" i="1" s="1"/>
  <c r="AJ927" i="1" s="1"/>
  <c r="AJ928" i="1" s="1"/>
  <c r="AJ929" i="1" s="1"/>
  <c r="AJ930" i="1" s="1"/>
  <c r="AJ931" i="1" s="1"/>
  <c r="AJ932" i="1" s="1"/>
  <c r="AJ933" i="1" s="1"/>
  <c r="AJ934" i="1" s="1"/>
  <c r="AJ935" i="1" s="1"/>
  <c r="AJ936" i="1" s="1"/>
  <c r="AJ937" i="1" s="1"/>
  <c r="AJ938" i="1" s="1"/>
  <c r="AJ939" i="1" s="1"/>
  <c r="AG889" i="1"/>
  <c r="CM887" i="1"/>
  <c r="H887" i="1"/>
  <c r="H890" i="1"/>
  <c r="AY886" i="1"/>
  <c r="AX886" i="1"/>
  <c r="AW886" i="1"/>
  <c r="AV886" i="1"/>
  <c r="AU886" i="1"/>
  <c r="J886" i="1"/>
  <c r="G886" i="1"/>
  <c r="H886" i="1" s="1"/>
  <c r="AI885" i="1"/>
  <c r="AY893" i="1"/>
  <c r="AX893" i="1"/>
  <c r="AW893" i="1"/>
  <c r="AV893" i="1"/>
  <c r="AU893" i="1"/>
  <c r="J893" i="1"/>
  <c r="CM884" i="1"/>
  <c r="H884" i="1"/>
  <c r="H883" i="1"/>
  <c r="AU885" i="1"/>
  <c r="AN885" i="1"/>
  <c r="AL885" i="1"/>
  <c r="AM885" i="1" s="1"/>
  <c r="J885" i="1"/>
  <c r="G885" i="1"/>
  <c r="H885" i="1" s="1"/>
  <c r="AF880" i="1"/>
  <c r="AY879" i="1"/>
  <c r="AX879" i="1"/>
  <c r="AW879" i="1"/>
  <c r="AV879" i="1"/>
  <c r="AU879" i="1"/>
  <c r="J879" i="1"/>
  <c r="G879" i="1"/>
  <c r="H879" i="1" s="1"/>
  <c r="AY878" i="1"/>
  <c r="AX878" i="1"/>
  <c r="AW878" i="1"/>
  <c r="AV878" i="1"/>
  <c r="AU878" i="1"/>
  <c r="AS878" i="1"/>
  <c r="AQ878" i="1"/>
  <c r="AR878" i="1" s="1"/>
  <c r="J878" i="1"/>
  <c r="G878" i="1"/>
  <c r="H878" i="1" s="1"/>
  <c r="AY877" i="1"/>
  <c r="AX877" i="1"/>
  <c r="AW877" i="1"/>
  <c r="AV877" i="1"/>
  <c r="AU877" i="1"/>
  <c r="J877" i="1"/>
  <c r="G877" i="1"/>
  <c r="H877" i="1" s="1"/>
  <c r="AY876" i="1"/>
  <c r="AX876" i="1"/>
  <c r="AW876" i="1"/>
  <c r="AV876" i="1"/>
  <c r="AU876" i="1"/>
  <c r="J876" i="1"/>
  <c r="G876" i="1"/>
  <c r="H876" i="1" s="1"/>
  <c r="I117" i="5"/>
  <c r="AW1027" i="1" s="1"/>
  <c r="J117" i="5"/>
  <c r="AX1027" i="1" s="1"/>
  <c r="H117" i="5"/>
  <c r="AV1027" i="1" s="1"/>
  <c r="AN875" i="1"/>
  <c r="AL875" i="1"/>
  <c r="AM875" i="1" s="1"/>
  <c r="J875" i="1"/>
  <c r="G875" i="1"/>
  <c r="H875" i="1" s="1"/>
  <c r="AN874" i="1"/>
  <c r="AL874" i="1"/>
  <c r="AM874" i="1" s="1"/>
  <c r="J874" i="1"/>
  <c r="G874" i="1"/>
  <c r="H874" i="1" s="1"/>
  <c r="H222" i="5"/>
  <c r="AV874" i="1" s="1"/>
  <c r="I222" i="5"/>
  <c r="AW874" i="1" s="1"/>
  <c r="J222" i="5"/>
  <c r="AX874" i="1" s="1"/>
  <c r="G222" i="5"/>
  <c r="AU874" i="1" s="1"/>
  <c r="AY871" i="1"/>
  <c r="AX871" i="1"/>
  <c r="AW871" i="1"/>
  <c r="AV871" i="1"/>
  <c r="AU871" i="1"/>
  <c r="J871" i="1"/>
  <c r="G871" i="1"/>
  <c r="H871" i="1" s="1"/>
  <c r="AY870" i="1"/>
  <c r="AX870" i="1"/>
  <c r="AW870" i="1"/>
  <c r="AV870" i="1"/>
  <c r="AU870" i="1"/>
  <c r="AS870" i="1"/>
  <c r="AQ870" i="1"/>
  <c r="AR870" i="1" s="1"/>
  <c r="J870" i="1"/>
  <c r="G870" i="1"/>
  <c r="H870" i="1" s="1"/>
  <c r="AY872" i="1"/>
  <c r="AX872" i="1"/>
  <c r="AW872" i="1"/>
  <c r="AV872" i="1"/>
  <c r="AU872" i="1"/>
  <c r="J872" i="1"/>
  <c r="AI869" i="1"/>
  <c r="CM873" i="1"/>
  <c r="H873" i="1"/>
  <c r="AX869" i="1"/>
  <c r="AW869" i="1"/>
  <c r="AV869" i="1"/>
  <c r="AU869" i="1"/>
  <c r="AN869" i="1"/>
  <c r="AL869" i="1"/>
  <c r="AM869" i="1" s="1"/>
  <c r="J869" i="1"/>
  <c r="G869" i="1"/>
  <c r="H869" i="1" s="1"/>
  <c r="AX868" i="1"/>
  <c r="AW868" i="1"/>
  <c r="AV868" i="1"/>
  <c r="AU868" i="1"/>
  <c r="AN868" i="1"/>
  <c r="AL868" i="1"/>
  <c r="AM868" i="1" s="1"/>
  <c r="J868" i="1"/>
  <c r="G868" i="1"/>
  <c r="H868" i="1" s="1"/>
  <c r="AX867" i="1"/>
  <c r="AW867" i="1"/>
  <c r="AV867" i="1"/>
  <c r="AU867" i="1"/>
  <c r="AN867" i="1"/>
  <c r="AL867" i="1"/>
  <c r="AM867" i="1" s="1"/>
  <c r="J867" i="1"/>
  <c r="G867" i="1"/>
  <c r="H867" i="1" s="1"/>
  <c r="AX866" i="1"/>
  <c r="AW866" i="1"/>
  <c r="AV866" i="1"/>
  <c r="AU866" i="1"/>
  <c r="AN866" i="1"/>
  <c r="AL866" i="1"/>
  <c r="AM866" i="1" s="1"/>
  <c r="J866" i="1"/>
  <c r="G866" i="1"/>
  <c r="H866" i="1" s="1"/>
  <c r="AX865" i="1"/>
  <c r="AW865" i="1"/>
  <c r="AV865" i="1"/>
  <c r="AU865" i="1"/>
  <c r="AN865" i="1"/>
  <c r="AL865" i="1"/>
  <c r="AM865" i="1" s="1"/>
  <c r="J865" i="1"/>
  <c r="G865" i="1"/>
  <c r="H865" i="1" s="1"/>
  <c r="V5" i="15"/>
  <c r="W5" i="15" s="1"/>
  <c r="V6" i="15"/>
  <c r="W6" i="15" s="1"/>
  <c r="V7" i="15"/>
  <c r="W7" i="15" s="1"/>
  <c r="V8" i="15"/>
  <c r="W8" i="15" s="1"/>
  <c r="V9" i="15"/>
  <c r="W9" i="15" s="1"/>
  <c r="V10" i="15"/>
  <c r="W10" i="15" s="1"/>
  <c r="V11" i="15"/>
  <c r="W11" i="15" s="1"/>
  <c r="V12" i="15"/>
  <c r="W12" i="15" s="1"/>
  <c r="V13" i="15"/>
  <c r="W13" i="15" s="1"/>
  <c r="V14" i="15"/>
  <c r="W14" i="15" s="1"/>
  <c r="V15" i="15"/>
  <c r="W15" i="15" s="1"/>
  <c r="V16" i="15"/>
  <c r="W16" i="15" s="1"/>
  <c r="V17" i="15"/>
  <c r="W17" i="15" s="1"/>
  <c r="V18" i="15"/>
  <c r="W18" i="15" s="1"/>
  <c r="V19" i="15"/>
  <c r="W19" i="15" s="1"/>
  <c r="V20" i="15"/>
  <c r="W20" i="15" s="1"/>
  <c r="V21" i="15"/>
  <c r="W21" i="15" s="1"/>
  <c r="V22" i="15"/>
  <c r="W22" i="15" s="1"/>
  <c r="V23" i="15"/>
  <c r="W23" i="15" s="1"/>
  <c r="V24" i="15"/>
  <c r="W24" i="15" s="1"/>
  <c r="V25" i="15"/>
  <c r="W25" i="15" s="1"/>
  <c r="V26" i="15"/>
  <c r="W26" i="15" s="1"/>
  <c r="V4" i="15"/>
  <c r="W4" i="15" s="1"/>
  <c r="G5" i="15"/>
  <c r="G6" i="15"/>
  <c r="G7" i="15"/>
  <c r="G8" i="15"/>
  <c r="G9" i="15"/>
  <c r="G10" i="15"/>
  <c r="G11" i="15"/>
  <c r="G12" i="15"/>
  <c r="G13" i="15"/>
  <c r="G14" i="15"/>
  <c r="G15" i="15"/>
  <c r="G16" i="15"/>
  <c r="G17" i="15"/>
  <c r="G18" i="15"/>
  <c r="G19" i="15"/>
  <c r="G20" i="15"/>
  <c r="G21" i="15"/>
  <c r="G22" i="15"/>
  <c r="G23" i="15"/>
  <c r="G24" i="15"/>
  <c r="G25" i="15"/>
  <c r="G26" i="15"/>
  <c r="G4" i="15"/>
  <c r="CM864" i="1"/>
  <c r="H864" i="1"/>
  <c r="AY863" i="1"/>
  <c r="AX863" i="1"/>
  <c r="AW863" i="1"/>
  <c r="AV863" i="1"/>
  <c r="AU863" i="1"/>
  <c r="J863" i="1"/>
  <c r="AX862" i="1"/>
  <c r="AW862" i="1"/>
  <c r="AV862" i="1"/>
  <c r="AU862" i="1"/>
  <c r="AN862" i="1"/>
  <c r="AL862" i="1"/>
  <c r="AM862" i="1" s="1"/>
  <c r="J862" i="1"/>
  <c r="G862" i="1"/>
  <c r="H862" i="1" s="1"/>
  <c r="AX861" i="1"/>
  <c r="AW861" i="1"/>
  <c r="AV861" i="1"/>
  <c r="AU861" i="1"/>
  <c r="AN861" i="1"/>
  <c r="AL861" i="1"/>
  <c r="AM861" i="1" s="1"/>
  <c r="J861" i="1"/>
  <c r="G861" i="1"/>
  <c r="H861" i="1" s="1"/>
  <c r="AJ860" i="1"/>
  <c r="AJ861" i="1" s="1"/>
  <c r="AJ862" i="1" s="1"/>
  <c r="AJ863" i="1" s="1"/>
  <c r="AJ864" i="1" s="1"/>
  <c r="AJ865" i="1" s="1"/>
  <c r="AJ866" i="1" s="1"/>
  <c r="AJ867" i="1" s="1"/>
  <c r="AJ868" i="1" s="1"/>
  <c r="AJ869" i="1" s="1"/>
  <c r="AG860" i="1"/>
  <c r="AI849" i="1"/>
  <c r="AI845" i="1"/>
  <c r="AF850" i="1"/>
  <c r="AY858" i="1"/>
  <c r="AX858" i="1"/>
  <c r="AW858" i="1"/>
  <c r="AV858" i="1"/>
  <c r="AU858" i="1"/>
  <c r="J858" i="1"/>
  <c r="G858" i="1"/>
  <c r="H858" i="1" s="1"/>
  <c r="AY856" i="1"/>
  <c r="AX856" i="1"/>
  <c r="AW856" i="1"/>
  <c r="AV856" i="1"/>
  <c r="AU856" i="1"/>
  <c r="J856" i="1"/>
  <c r="G856" i="1"/>
  <c r="H856" i="1" s="1"/>
  <c r="AY855" i="1"/>
  <c r="AX855" i="1"/>
  <c r="AW855" i="1"/>
  <c r="AV855" i="1"/>
  <c r="AU855" i="1"/>
  <c r="AS855" i="1"/>
  <c r="AQ855" i="1"/>
  <c r="AR855" i="1" s="1"/>
  <c r="J855" i="1"/>
  <c r="G855" i="1"/>
  <c r="H855" i="1" s="1"/>
  <c r="AX854" i="1"/>
  <c r="AW854" i="1"/>
  <c r="AV854" i="1"/>
  <c r="AU854" i="1"/>
  <c r="AN854" i="1"/>
  <c r="AL854" i="1"/>
  <c r="AM854" i="1" s="1"/>
  <c r="J854" i="1"/>
  <c r="G854" i="1"/>
  <c r="H854" i="1" s="1"/>
  <c r="AY853" i="1"/>
  <c r="AX853" i="1"/>
  <c r="AW853" i="1"/>
  <c r="AV853" i="1"/>
  <c r="AU853" i="1"/>
  <c r="J853" i="1"/>
  <c r="AY852" i="1"/>
  <c r="AX852" i="1"/>
  <c r="AW852" i="1"/>
  <c r="AV852" i="1"/>
  <c r="AU852" i="1"/>
  <c r="J852" i="1"/>
  <c r="G852" i="1"/>
  <c r="H852" i="1" s="1"/>
  <c r="AX849" i="1"/>
  <c r="AW849" i="1"/>
  <c r="AV849" i="1"/>
  <c r="AU849" i="1"/>
  <c r="AN849" i="1"/>
  <c r="AL849" i="1"/>
  <c r="AM849" i="1" s="1"/>
  <c r="J849" i="1"/>
  <c r="G849" i="1"/>
  <c r="H849" i="1" s="1"/>
  <c r="AY846" i="1"/>
  <c r="AX846" i="1"/>
  <c r="AW846" i="1"/>
  <c r="AV846" i="1"/>
  <c r="AU846" i="1"/>
  <c r="J846" i="1"/>
  <c r="G846" i="1"/>
  <c r="H846" i="1" s="1"/>
  <c r="AX848" i="1"/>
  <c r="AW848" i="1"/>
  <c r="AV848" i="1"/>
  <c r="AU848" i="1"/>
  <c r="AN848" i="1"/>
  <c r="AL848" i="1"/>
  <c r="AM848" i="1" s="1"/>
  <c r="J848" i="1"/>
  <c r="G848" i="1"/>
  <c r="H848" i="1" s="1"/>
  <c r="AN847" i="1"/>
  <c r="AO847" i="1" s="1"/>
  <c r="AX845" i="1"/>
  <c r="AW845" i="1"/>
  <c r="AV845" i="1"/>
  <c r="AU845" i="1"/>
  <c r="AN845" i="1"/>
  <c r="AL845" i="1"/>
  <c r="AM845" i="1" s="1"/>
  <c r="J845" i="1"/>
  <c r="G845" i="1"/>
  <c r="H845" i="1" s="1"/>
  <c r="AY844" i="1"/>
  <c r="AX844" i="1"/>
  <c r="AW844" i="1"/>
  <c r="AV844" i="1"/>
  <c r="AU844" i="1"/>
  <c r="J844" i="1"/>
  <c r="AY843" i="1"/>
  <c r="AX843" i="1"/>
  <c r="AW843" i="1"/>
  <c r="AV843" i="1"/>
  <c r="AU843" i="1"/>
  <c r="J843" i="1"/>
  <c r="G843" i="1"/>
  <c r="H843" i="1" s="1"/>
  <c r="AY842" i="1"/>
  <c r="AX842" i="1"/>
  <c r="AW842" i="1"/>
  <c r="AV842" i="1"/>
  <c r="AU842" i="1"/>
  <c r="AS842" i="1"/>
  <c r="AQ842" i="1"/>
  <c r="AR842" i="1" s="1"/>
  <c r="J842" i="1"/>
  <c r="G842" i="1"/>
  <c r="H842" i="1" s="1"/>
  <c r="AF837" i="1"/>
  <c r="AF835" i="1"/>
  <c r="AF834" i="1"/>
  <c r="AY826" i="1"/>
  <c r="AX826" i="1"/>
  <c r="AW826" i="1"/>
  <c r="AV826" i="1"/>
  <c r="AU826" i="1"/>
  <c r="J826" i="1"/>
  <c r="G826" i="1"/>
  <c r="H826" i="1" s="1"/>
  <c r="AY836" i="1"/>
  <c r="AX836" i="1"/>
  <c r="AW836" i="1"/>
  <c r="AV836" i="1"/>
  <c r="AU836" i="1"/>
  <c r="J836" i="1"/>
  <c r="G836" i="1"/>
  <c r="H836" i="1" s="1"/>
  <c r="BC6" i="4"/>
  <c r="BD6" i="4" s="1"/>
  <c r="BD7" i="4"/>
  <c r="BF7" i="4"/>
  <c r="BH7" i="4"/>
  <c r="BD8" i="4"/>
  <c r="BF8" i="4"/>
  <c r="BH8" i="4"/>
  <c r="BD9" i="4"/>
  <c r="BF9" i="4"/>
  <c r="BH9" i="4"/>
  <c r="BD10" i="4"/>
  <c r="BF10" i="4"/>
  <c r="BH10" i="4"/>
  <c r="J12" i="5"/>
  <c r="AX833" i="1" s="1"/>
  <c r="I12" i="5"/>
  <c r="AW833" i="1" s="1"/>
  <c r="H12" i="5"/>
  <c r="AV833" i="1" s="1"/>
  <c r="AU833" i="1"/>
  <c r="AN833" i="1"/>
  <c r="AL833" i="1"/>
  <c r="AM833" i="1" s="1"/>
  <c r="J833" i="1"/>
  <c r="G833" i="1"/>
  <c r="H833" i="1" s="1"/>
  <c r="AI832" i="1"/>
  <c r="AF831" i="1"/>
  <c r="AF830" i="1"/>
  <c r="AX832" i="1"/>
  <c r="AW832" i="1"/>
  <c r="AV832" i="1"/>
  <c r="AU832" i="1"/>
  <c r="AN832" i="1"/>
  <c r="AL832" i="1"/>
  <c r="AM832" i="1" s="1"/>
  <c r="J832" i="1"/>
  <c r="G832" i="1"/>
  <c r="H832" i="1" s="1"/>
  <c r="BD5" i="4"/>
  <c r="BD4" i="4"/>
  <c r="AX829" i="1"/>
  <c r="AW829" i="1"/>
  <c r="AV829" i="1"/>
  <c r="AU829" i="1"/>
  <c r="AN829" i="1"/>
  <c r="AL829" i="1"/>
  <c r="AM829" i="1" s="1"/>
  <c r="J829" i="1"/>
  <c r="G829" i="1"/>
  <c r="H829" i="1" s="1"/>
  <c r="AY828" i="1"/>
  <c r="AX828" i="1"/>
  <c r="AW828" i="1"/>
  <c r="AV828" i="1"/>
  <c r="AU828" i="1"/>
  <c r="J828" i="1"/>
  <c r="AI824" i="1"/>
  <c r="AX827" i="1"/>
  <c r="AW827" i="1"/>
  <c r="AV827" i="1"/>
  <c r="AU827" i="1"/>
  <c r="AN827" i="1"/>
  <c r="AL827" i="1"/>
  <c r="AM827" i="1" s="1"/>
  <c r="J827" i="1"/>
  <c r="G827" i="1"/>
  <c r="H827" i="1" s="1"/>
  <c r="BH5" i="4"/>
  <c r="BH4" i="4"/>
  <c r="AY825" i="1"/>
  <c r="AX825" i="1"/>
  <c r="AW825" i="1"/>
  <c r="AV825" i="1"/>
  <c r="AU825" i="1"/>
  <c r="AS825" i="1"/>
  <c r="AQ825" i="1"/>
  <c r="AR825" i="1" s="1"/>
  <c r="J825" i="1"/>
  <c r="G825" i="1"/>
  <c r="H825" i="1" s="1"/>
  <c r="BF5" i="4"/>
  <c r="BF4" i="4"/>
  <c r="AX824" i="1"/>
  <c r="AW824" i="1"/>
  <c r="AV824" i="1"/>
  <c r="AU824" i="1"/>
  <c r="AN824" i="1"/>
  <c r="AL824" i="1"/>
  <c r="AM824" i="1" s="1"/>
  <c r="J824" i="1"/>
  <c r="G824" i="1"/>
  <c r="H824" i="1" s="1"/>
  <c r="AJ822" i="1"/>
  <c r="AJ823" i="1" s="1"/>
  <c r="AG822" i="1"/>
  <c r="AY820" i="1"/>
  <c r="AX820" i="1"/>
  <c r="AW820" i="1"/>
  <c r="AV820" i="1"/>
  <c r="AU820" i="1"/>
  <c r="J820" i="1"/>
  <c r="G820" i="1"/>
  <c r="H820" i="1" s="1"/>
  <c r="AY819" i="1"/>
  <c r="AX819" i="1"/>
  <c r="AW819" i="1"/>
  <c r="AV819" i="1"/>
  <c r="AU819" i="1"/>
  <c r="J819" i="1"/>
  <c r="G819" i="1"/>
  <c r="H819" i="1" s="1"/>
  <c r="AY818" i="1"/>
  <c r="AX818" i="1"/>
  <c r="AW818" i="1"/>
  <c r="AV818" i="1"/>
  <c r="AU818" i="1"/>
  <c r="J818" i="1"/>
  <c r="G818" i="1"/>
  <c r="H818" i="1" s="1"/>
  <c r="AY816" i="1"/>
  <c r="AX816" i="1"/>
  <c r="AW816" i="1"/>
  <c r="AV816" i="1"/>
  <c r="AU816" i="1"/>
  <c r="J816" i="1"/>
  <c r="G816" i="1"/>
  <c r="H816" i="1" s="1"/>
  <c r="AY815" i="1"/>
  <c r="AX815" i="1"/>
  <c r="AW815" i="1"/>
  <c r="AV815" i="1"/>
  <c r="AU815" i="1"/>
  <c r="J815" i="1"/>
  <c r="G815" i="1"/>
  <c r="H815" i="1" s="1"/>
  <c r="AY814" i="1"/>
  <c r="AX814" i="1"/>
  <c r="AW814" i="1"/>
  <c r="AV814" i="1"/>
  <c r="AU814" i="1"/>
  <c r="J814" i="1"/>
  <c r="G814" i="1"/>
  <c r="H814" i="1" s="1"/>
  <c r="AY813" i="1"/>
  <c r="AX813" i="1"/>
  <c r="AW813" i="1"/>
  <c r="AV813" i="1"/>
  <c r="AU813" i="1"/>
  <c r="J813" i="1"/>
  <c r="G813" i="1"/>
  <c r="H813" i="1" s="1"/>
  <c r="CM812" i="1"/>
  <c r="H812" i="1"/>
  <c r="H811" i="1"/>
  <c r="AF823" i="1"/>
  <c r="AN803" i="1"/>
  <c r="AL803" i="1"/>
  <c r="AM803" i="1" s="1"/>
  <c r="J803" i="1"/>
  <c r="G803" i="1"/>
  <c r="H803" i="1" s="1"/>
  <c r="AN802" i="1"/>
  <c r="AL802" i="1"/>
  <c r="AM802" i="1" s="1"/>
  <c r="J802" i="1"/>
  <c r="G802" i="1"/>
  <c r="H802" i="1" s="1"/>
  <c r="J261" i="5"/>
  <c r="J262" i="5" s="1"/>
  <c r="J263" i="5" s="1"/>
  <c r="AX803" i="1" s="1"/>
  <c r="I261" i="5"/>
  <c r="I262" i="5" s="1"/>
  <c r="I263" i="5" s="1"/>
  <c r="I264" i="5" s="1"/>
  <c r="AW875" i="1" s="1"/>
  <c r="H261" i="5"/>
  <c r="H262" i="5" s="1"/>
  <c r="H263" i="5" s="1"/>
  <c r="AV803" i="1" s="1"/>
  <c r="G261" i="5"/>
  <c r="G262" i="5" s="1"/>
  <c r="AU802" i="1" s="1"/>
  <c r="AN801" i="1"/>
  <c r="AL801" i="1"/>
  <c r="AM801" i="1" s="1"/>
  <c r="J801" i="1"/>
  <c r="G801" i="1"/>
  <c r="H801" i="1" s="1"/>
  <c r="AX808" i="1"/>
  <c r="AW808" i="1"/>
  <c r="AV808" i="1"/>
  <c r="AU808" i="1"/>
  <c r="AN808" i="1"/>
  <c r="AL808" i="1"/>
  <c r="AM808" i="1" s="1"/>
  <c r="J808" i="1"/>
  <c r="G808" i="1"/>
  <c r="H808" i="1" s="1"/>
  <c r="AY807" i="1"/>
  <c r="AX807" i="1"/>
  <c r="AW807" i="1"/>
  <c r="AV807" i="1"/>
  <c r="AU807" i="1"/>
  <c r="AS807" i="1"/>
  <c r="AQ807" i="1"/>
  <c r="AR807" i="1" s="1"/>
  <c r="J807" i="1"/>
  <c r="G807" i="1"/>
  <c r="H807" i="1" s="1"/>
  <c r="AY806" i="1"/>
  <c r="AX806" i="1"/>
  <c r="AW806" i="1"/>
  <c r="AV806" i="1"/>
  <c r="AU806" i="1"/>
  <c r="AS806" i="1"/>
  <c r="AQ806" i="1"/>
  <c r="AR806" i="1" s="1"/>
  <c r="J806" i="1"/>
  <c r="G806" i="1"/>
  <c r="H806" i="1" s="1"/>
  <c r="AX805" i="1"/>
  <c r="AW805" i="1"/>
  <c r="AV805" i="1"/>
  <c r="AU805" i="1"/>
  <c r="AN805" i="1"/>
  <c r="AL805" i="1"/>
  <c r="AM805" i="1" s="1"/>
  <c r="J805" i="1"/>
  <c r="G805" i="1"/>
  <c r="H805" i="1" s="1"/>
  <c r="AX804" i="1"/>
  <c r="AW804" i="1"/>
  <c r="AV804" i="1"/>
  <c r="AU804" i="1"/>
  <c r="AN804" i="1"/>
  <c r="AL804" i="1"/>
  <c r="AM804" i="1" s="1"/>
  <c r="J804" i="1"/>
  <c r="G804" i="1"/>
  <c r="H804" i="1" s="1"/>
  <c r="H799" i="1"/>
  <c r="CM798" i="1"/>
  <c r="H798" i="1"/>
  <c r="AY797" i="1"/>
  <c r="AX797" i="1"/>
  <c r="AW797" i="1"/>
  <c r="AV797" i="1"/>
  <c r="AU797" i="1"/>
  <c r="J797" i="1"/>
  <c r="AX796" i="1"/>
  <c r="AW796" i="1"/>
  <c r="AV796" i="1"/>
  <c r="AU796" i="1"/>
  <c r="AN796" i="1"/>
  <c r="AL796" i="1"/>
  <c r="AM796" i="1" s="1"/>
  <c r="J796" i="1"/>
  <c r="G796" i="1"/>
  <c r="H796" i="1" s="1"/>
  <c r="AY795" i="1"/>
  <c r="AX795" i="1"/>
  <c r="AW795" i="1"/>
  <c r="AV795" i="1"/>
  <c r="AU795" i="1"/>
  <c r="AS795" i="1"/>
  <c r="AQ795" i="1"/>
  <c r="AR795" i="1" s="1"/>
  <c r="J795" i="1"/>
  <c r="G795" i="1"/>
  <c r="H795" i="1" s="1"/>
  <c r="AI787" i="1"/>
  <c r="AY794" i="1"/>
  <c r="AX794" i="1"/>
  <c r="AW794" i="1"/>
  <c r="AV794" i="1"/>
  <c r="AU794" i="1"/>
  <c r="J794" i="1"/>
  <c r="G794" i="1"/>
  <c r="H794" i="1" s="1"/>
  <c r="AY793" i="1"/>
  <c r="AX793" i="1"/>
  <c r="AW793" i="1"/>
  <c r="AV793" i="1"/>
  <c r="AU793" i="1"/>
  <c r="AS793" i="1"/>
  <c r="AQ793" i="1"/>
  <c r="AR793" i="1" s="1"/>
  <c r="J793" i="1"/>
  <c r="G793" i="1"/>
  <c r="H793" i="1" s="1"/>
  <c r="AF786" i="1"/>
  <c r="AY792" i="1"/>
  <c r="AX792" i="1"/>
  <c r="AW792" i="1"/>
  <c r="AV792" i="1"/>
  <c r="AU792" i="1"/>
  <c r="J792" i="1"/>
  <c r="AY791" i="1"/>
  <c r="AX791" i="1"/>
  <c r="AW791" i="1"/>
  <c r="AV791" i="1"/>
  <c r="AU791" i="1"/>
  <c r="J791" i="1"/>
  <c r="AY788" i="1"/>
  <c r="AX788" i="1"/>
  <c r="AW788" i="1"/>
  <c r="AV788" i="1"/>
  <c r="AU788" i="1"/>
  <c r="J788" i="1"/>
  <c r="G788" i="1"/>
  <c r="H788" i="1" s="1"/>
  <c r="AY790" i="1"/>
  <c r="AX790" i="1"/>
  <c r="AW790" i="1"/>
  <c r="AV790" i="1"/>
  <c r="AU790" i="1"/>
  <c r="J790" i="1"/>
  <c r="G790" i="1"/>
  <c r="H790" i="1" s="1"/>
  <c r="AX789" i="1"/>
  <c r="AW789" i="1"/>
  <c r="AV789" i="1"/>
  <c r="AU789" i="1"/>
  <c r="AN789" i="1"/>
  <c r="AL789" i="1"/>
  <c r="AM789" i="1" s="1"/>
  <c r="J789" i="1"/>
  <c r="G789" i="1"/>
  <c r="H789" i="1" s="1"/>
  <c r="H784" i="1"/>
  <c r="CM783" i="1"/>
  <c r="H783" i="1"/>
  <c r="AF778" i="1"/>
  <c r="CM776" i="1"/>
  <c r="H776" i="1"/>
  <c r="H775" i="1"/>
  <c r="AY774" i="1"/>
  <c r="AX774" i="1"/>
  <c r="AW774" i="1"/>
  <c r="AV774" i="1"/>
  <c r="AU774" i="1"/>
  <c r="J774" i="1"/>
  <c r="G774" i="1"/>
  <c r="H774" i="1" s="1"/>
  <c r="AY773" i="1"/>
  <c r="AX773" i="1"/>
  <c r="AW773" i="1"/>
  <c r="AV773" i="1"/>
  <c r="AU773" i="1"/>
  <c r="J773" i="1"/>
  <c r="G773" i="1"/>
  <c r="H773" i="1" s="1"/>
  <c r="AY772" i="1"/>
  <c r="AX772" i="1"/>
  <c r="AW772" i="1"/>
  <c r="AV772" i="1"/>
  <c r="AU772" i="1"/>
  <c r="J772" i="1"/>
  <c r="G772" i="1"/>
  <c r="H772" i="1" s="1"/>
  <c r="CM771" i="1"/>
  <c r="H771" i="1"/>
  <c r="H770" i="1"/>
  <c r="CM153" i="1"/>
  <c r="CM169" i="1"/>
  <c r="CM196" i="1"/>
  <c r="CM308" i="1"/>
  <c r="CM343" i="1"/>
  <c r="CM357" i="1"/>
  <c r="CM446" i="1"/>
  <c r="CM452" i="1"/>
  <c r="CM457" i="1"/>
  <c r="CM466" i="1"/>
  <c r="CM475" i="1"/>
  <c r="CM492" i="1"/>
  <c r="CM493" i="1"/>
  <c r="CM505" i="1"/>
  <c r="CM523" i="1"/>
  <c r="CM544" i="1"/>
  <c r="CM552" i="1"/>
  <c r="CM562" i="1"/>
  <c r="CM559" i="1"/>
  <c r="CM563" i="1"/>
  <c r="CM584" i="1"/>
  <c r="CM599" i="1"/>
  <c r="CM604" i="1"/>
  <c r="CM619" i="1"/>
  <c r="CM662" i="1"/>
  <c r="CM728" i="1"/>
  <c r="CM746" i="1"/>
  <c r="CM761" i="1"/>
  <c r="CM769" i="1"/>
  <c r="H769" i="1"/>
  <c r="AX768" i="1"/>
  <c r="AW768" i="1"/>
  <c r="AV768" i="1"/>
  <c r="AU768" i="1"/>
  <c r="AN768" i="1"/>
  <c r="AL768" i="1"/>
  <c r="AM768" i="1" s="1"/>
  <c r="J768" i="1"/>
  <c r="G768" i="1"/>
  <c r="H768" i="1" s="1"/>
  <c r="AY787" i="1"/>
  <c r="AX787" i="1"/>
  <c r="AW787" i="1"/>
  <c r="AV787" i="1"/>
  <c r="AU787" i="1"/>
  <c r="AS787" i="1"/>
  <c r="AQ787" i="1"/>
  <c r="AR787" i="1" s="1"/>
  <c r="J787" i="1"/>
  <c r="G787" i="1"/>
  <c r="H787" i="1" s="1"/>
  <c r="AJ767" i="1"/>
  <c r="AJ768" i="1" s="1"/>
  <c r="AJ769" i="1" s="1"/>
  <c r="AJ770" i="1" s="1"/>
  <c r="AJ771" i="1" s="1"/>
  <c r="AJ772" i="1" s="1"/>
  <c r="AJ773" i="1" s="1"/>
  <c r="AJ774" i="1" s="1"/>
  <c r="AJ775" i="1" s="1"/>
  <c r="AJ776" i="1" s="1"/>
  <c r="AJ777" i="1" s="1"/>
  <c r="AJ778" i="1" s="1"/>
  <c r="AJ779" i="1" s="1"/>
  <c r="AJ780" i="1" s="1"/>
  <c r="AJ781" i="1" s="1"/>
  <c r="AJ782" i="1" s="1"/>
  <c r="AJ783" i="1" s="1"/>
  <c r="AJ784" i="1" s="1"/>
  <c r="AJ785" i="1" s="1"/>
  <c r="AJ786" i="1" s="1"/>
  <c r="AJ787" i="1" s="1"/>
  <c r="AJ788" i="1" s="1"/>
  <c r="AJ789" i="1" s="1"/>
  <c r="AJ790" i="1" s="1"/>
  <c r="AJ791" i="1" s="1"/>
  <c r="AJ792" i="1" s="1"/>
  <c r="AG767" i="1"/>
  <c r="AF760" i="1"/>
  <c r="AY764" i="1"/>
  <c r="AX764" i="1"/>
  <c r="AW764" i="1"/>
  <c r="AV764" i="1"/>
  <c r="AU764" i="1"/>
  <c r="J764" i="1"/>
  <c r="AY763" i="1"/>
  <c r="AX763" i="1"/>
  <c r="AW763" i="1"/>
  <c r="AV763" i="1"/>
  <c r="AU763" i="1"/>
  <c r="J763" i="1"/>
  <c r="H762" i="1"/>
  <c r="H761" i="1"/>
  <c r="AY765" i="1"/>
  <c r="AX765" i="1"/>
  <c r="AW765" i="1"/>
  <c r="AV765" i="1"/>
  <c r="AU765" i="1"/>
  <c r="AS765" i="1"/>
  <c r="AQ765" i="1"/>
  <c r="AR765" i="1" s="1"/>
  <c r="J765" i="1"/>
  <c r="G765" i="1"/>
  <c r="H765" i="1" s="1"/>
  <c r="AX759" i="1"/>
  <c r="AW759" i="1"/>
  <c r="AV759" i="1"/>
  <c r="AU759" i="1"/>
  <c r="AN759" i="1"/>
  <c r="AL759" i="1"/>
  <c r="AM759" i="1" s="1"/>
  <c r="J759" i="1"/>
  <c r="G759" i="1"/>
  <c r="H759" i="1" s="1"/>
  <c r="AX758" i="1"/>
  <c r="AW758" i="1"/>
  <c r="AV758" i="1"/>
  <c r="AU758" i="1"/>
  <c r="AN758" i="1"/>
  <c r="AL758" i="1"/>
  <c r="AM758" i="1" s="1"/>
  <c r="J758" i="1"/>
  <c r="G758" i="1"/>
  <c r="H758" i="1" s="1"/>
  <c r="AY757" i="1"/>
  <c r="AX757" i="1"/>
  <c r="AW757" i="1"/>
  <c r="AV757" i="1"/>
  <c r="AU757" i="1"/>
  <c r="J757" i="1"/>
  <c r="AX755" i="1"/>
  <c r="AW755" i="1"/>
  <c r="AV755" i="1"/>
  <c r="AU755" i="1"/>
  <c r="AN755" i="1"/>
  <c r="AL755" i="1"/>
  <c r="AM755" i="1" s="1"/>
  <c r="J755" i="1"/>
  <c r="G755" i="1"/>
  <c r="H755" i="1" s="1"/>
  <c r="AY754" i="1"/>
  <c r="AX754" i="1"/>
  <c r="AW754" i="1"/>
  <c r="AV754" i="1"/>
  <c r="AU754" i="1"/>
  <c r="J754" i="1"/>
  <c r="AY753" i="1"/>
  <c r="AX753" i="1"/>
  <c r="AW753" i="1"/>
  <c r="AV753" i="1"/>
  <c r="AU753" i="1"/>
  <c r="J753" i="1"/>
  <c r="AY752" i="1"/>
  <c r="AX752" i="1"/>
  <c r="AW752" i="1"/>
  <c r="AV752" i="1"/>
  <c r="AU752" i="1"/>
  <c r="AS752" i="1"/>
  <c r="AQ752" i="1"/>
  <c r="AR752" i="1" s="1"/>
  <c r="J752" i="1"/>
  <c r="G752" i="1"/>
  <c r="H752" i="1" s="1"/>
  <c r="AI750" i="1"/>
  <c r="AY751" i="1"/>
  <c r="AX751" i="1"/>
  <c r="AW751" i="1"/>
  <c r="AV751" i="1"/>
  <c r="AU751" i="1"/>
  <c r="J751" i="1"/>
  <c r="G751" i="1"/>
  <c r="H751" i="1" s="1"/>
  <c r="AX750" i="1"/>
  <c r="AW750" i="1"/>
  <c r="AV750" i="1"/>
  <c r="AU750" i="1"/>
  <c r="AN750" i="1"/>
  <c r="AL750" i="1"/>
  <c r="AM750" i="1" s="1"/>
  <c r="J750" i="1"/>
  <c r="G750" i="1"/>
  <c r="H750" i="1" s="1"/>
  <c r="H747" i="1"/>
  <c r="H746" i="1"/>
  <c r="AY745" i="1"/>
  <c r="AX745" i="1"/>
  <c r="AW745" i="1"/>
  <c r="AV745" i="1"/>
  <c r="AU745" i="1"/>
  <c r="J745" i="1"/>
  <c r="G745" i="1"/>
  <c r="H745" i="1" s="1"/>
  <c r="AY744" i="1"/>
  <c r="AX744" i="1"/>
  <c r="AW744" i="1"/>
  <c r="AV744" i="1"/>
  <c r="AU744" i="1"/>
  <c r="AS744" i="1"/>
  <c r="AQ744" i="1"/>
  <c r="AR744" i="1" s="1"/>
  <c r="J744" i="1"/>
  <c r="G744" i="1"/>
  <c r="H744" i="1" s="1"/>
  <c r="AY743" i="1"/>
  <c r="AX743" i="1"/>
  <c r="AW743" i="1"/>
  <c r="AV743" i="1"/>
  <c r="AU743" i="1"/>
  <c r="J743" i="1"/>
  <c r="G743" i="1"/>
  <c r="H743" i="1" s="1"/>
  <c r="AI700" i="1"/>
  <c r="AF739" i="1"/>
  <c r="AI668" i="1"/>
  <c r="AF661" i="1"/>
  <c r="AF657" i="1"/>
  <c r="AF654" i="1"/>
  <c r="AI642" i="1"/>
  <c r="AF629" i="1"/>
  <c r="AI632" i="1"/>
  <c r="AI622" i="1"/>
  <c r="AI603" i="1"/>
  <c r="AI596" i="1"/>
  <c r="AF602" i="1"/>
  <c r="AF601" i="1"/>
  <c r="AF595" i="1"/>
  <c r="AI574" i="1"/>
  <c r="AF577" i="1"/>
  <c r="AF576" i="1"/>
  <c r="AF573" i="1"/>
  <c r="AI498" i="1"/>
  <c r="AI491" i="1"/>
  <c r="AF497" i="1"/>
  <c r="AF490" i="1"/>
  <c r="AF484" i="1"/>
  <c r="AI472" i="1"/>
  <c r="AI471" i="1"/>
  <c r="AI469" i="1"/>
  <c r="AI467" i="1"/>
  <c r="AF450" i="1"/>
  <c r="AF449" i="1"/>
  <c r="AI363" i="1"/>
  <c r="AI360" i="1"/>
  <c r="AI352" i="1"/>
  <c r="AF359" i="1"/>
  <c r="AF354" i="1"/>
  <c r="AF351" i="1"/>
  <c r="AI334" i="1"/>
  <c r="AI328" i="1"/>
  <c r="AF330" i="1"/>
  <c r="AF326" i="1"/>
  <c r="AF280" i="1"/>
  <c r="AI274" i="1"/>
  <c r="AI272" i="1"/>
  <c r="AF270" i="1"/>
  <c r="AF269" i="1"/>
  <c r="AY742" i="1"/>
  <c r="AX742" i="1"/>
  <c r="AW742" i="1"/>
  <c r="AV742" i="1"/>
  <c r="AU742" i="1"/>
  <c r="J742" i="1"/>
  <c r="AY741" i="1"/>
  <c r="AX741" i="1"/>
  <c r="AW741" i="1"/>
  <c r="AV741" i="1"/>
  <c r="AU741" i="1"/>
  <c r="J741" i="1"/>
  <c r="H740" i="1"/>
  <c r="AX738" i="1"/>
  <c r="AW738" i="1"/>
  <c r="AV738" i="1"/>
  <c r="AU738" i="1"/>
  <c r="AN738" i="1"/>
  <c r="AL738" i="1"/>
  <c r="AM738" i="1" s="1"/>
  <c r="J738" i="1"/>
  <c r="G738" i="1"/>
  <c r="H738" i="1" s="1"/>
  <c r="AY737" i="1"/>
  <c r="AX737" i="1"/>
  <c r="AW737" i="1"/>
  <c r="AV737" i="1"/>
  <c r="AU737" i="1"/>
  <c r="J737" i="1"/>
  <c r="G737" i="1"/>
  <c r="H737" i="1" s="1"/>
  <c r="AY735" i="1"/>
  <c r="AX735" i="1"/>
  <c r="AW735" i="1"/>
  <c r="AV735" i="1"/>
  <c r="AU735" i="1"/>
  <c r="J735" i="1"/>
  <c r="G735" i="1"/>
  <c r="H735" i="1" s="1"/>
  <c r="H731" i="1"/>
  <c r="AY736" i="1"/>
  <c r="AX736" i="1"/>
  <c r="AW736" i="1"/>
  <c r="AV736" i="1"/>
  <c r="AU736" i="1"/>
  <c r="AS736" i="1"/>
  <c r="AQ736" i="1"/>
  <c r="AR736" i="1" s="1"/>
  <c r="J736" i="1"/>
  <c r="G736" i="1"/>
  <c r="H736" i="1" s="1"/>
  <c r="AI241" i="1"/>
  <c r="AI233" i="1"/>
  <c r="AF219" i="1"/>
  <c r="AF218" i="1"/>
  <c r="AI217" i="1"/>
  <c r="AI146" i="1"/>
  <c r="AI111" i="1"/>
  <c r="AI105" i="1"/>
  <c r="AF68" i="1"/>
  <c r="AF67" i="1"/>
  <c r="AF65" i="1"/>
  <c r="AF64" i="1"/>
  <c r="AF45" i="1"/>
  <c r="AI44" i="1"/>
  <c r="AI39" i="1"/>
  <c r="AF40" i="1"/>
  <c r="AF20" i="1"/>
  <c r="AF14" i="1"/>
  <c r="AF13" i="1"/>
  <c r="AF10" i="1"/>
  <c r="AF9" i="1"/>
  <c r="AG649" i="1"/>
  <c r="AG611" i="1"/>
  <c r="AG583" i="1"/>
  <c r="AG479" i="1"/>
  <c r="AG456" i="1"/>
  <c r="AG345" i="1"/>
  <c r="AG300" i="1"/>
  <c r="AG262" i="1"/>
  <c r="AG238" i="1"/>
  <c r="AG179" i="1"/>
  <c r="AG139" i="1"/>
  <c r="AG136" i="1"/>
  <c r="AG94" i="1"/>
  <c r="AG61" i="1"/>
  <c r="AG50" i="1"/>
  <c r="AG42" i="1"/>
  <c r="AI29" i="1"/>
  <c r="AG29" i="1"/>
  <c r="AI27" i="1"/>
  <c r="AG27" i="1"/>
  <c r="AG17" i="1"/>
  <c r="AH4" i="1"/>
  <c r="AX734" i="1"/>
  <c r="AW734" i="1"/>
  <c r="AV734" i="1"/>
  <c r="AU734" i="1"/>
  <c r="AN734" i="1"/>
  <c r="AL734" i="1"/>
  <c r="AM734" i="1" s="1"/>
  <c r="J734" i="1"/>
  <c r="G734" i="1"/>
  <c r="H734" i="1" s="1"/>
  <c r="AY733" i="1"/>
  <c r="AX733" i="1"/>
  <c r="AW733" i="1"/>
  <c r="AV733" i="1"/>
  <c r="AU733" i="1"/>
  <c r="J733" i="1"/>
  <c r="G733" i="1"/>
  <c r="H733" i="1" s="1"/>
  <c r="AX732" i="1"/>
  <c r="AW732" i="1"/>
  <c r="AV732" i="1"/>
  <c r="AU732" i="1"/>
  <c r="AN732" i="1"/>
  <c r="AL732" i="1"/>
  <c r="AM732" i="1" s="1"/>
  <c r="J732" i="1"/>
  <c r="G732" i="1"/>
  <c r="H732" i="1" s="1"/>
  <c r="H726" i="1"/>
  <c r="G710" i="1"/>
  <c r="H710" i="1" s="1"/>
  <c r="H729" i="1"/>
  <c r="AX725" i="1"/>
  <c r="AW725" i="1"/>
  <c r="AV725" i="1"/>
  <c r="AU725" i="1"/>
  <c r="AN725" i="1"/>
  <c r="AL725" i="1"/>
  <c r="AM725" i="1" s="1"/>
  <c r="J725" i="1"/>
  <c r="G725" i="1"/>
  <c r="H725" i="1" s="1"/>
  <c r="AX724" i="1"/>
  <c r="AW724" i="1"/>
  <c r="AV724" i="1"/>
  <c r="AU724" i="1"/>
  <c r="AN724" i="1"/>
  <c r="AL724" i="1"/>
  <c r="AM724" i="1" s="1"/>
  <c r="J724" i="1"/>
  <c r="G724" i="1"/>
  <c r="H724" i="1" s="1"/>
  <c r="AX723" i="1"/>
  <c r="AW723" i="1"/>
  <c r="AV723" i="1"/>
  <c r="AU723" i="1"/>
  <c r="AN723" i="1"/>
  <c r="AL723" i="1"/>
  <c r="AM723" i="1" s="1"/>
  <c r="J723" i="1"/>
  <c r="G723" i="1"/>
  <c r="H723" i="1" s="1"/>
  <c r="AX722" i="1"/>
  <c r="AW722" i="1"/>
  <c r="AV722" i="1"/>
  <c r="AU722" i="1"/>
  <c r="AN722" i="1"/>
  <c r="AL722" i="1"/>
  <c r="AM722" i="1" s="1"/>
  <c r="J722" i="1"/>
  <c r="G722" i="1"/>
  <c r="H722" i="1" s="1"/>
  <c r="AX721" i="1"/>
  <c r="AW721" i="1"/>
  <c r="AV721" i="1"/>
  <c r="AU721" i="1"/>
  <c r="AN721" i="1"/>
  <c r="AL721" i="1"/>
  <c r="AM721" i="1" s="1"/>
  <c r="J721" i="1"/>
  <c r="G721" i="1"/>
  <c r="H721" i="1" s="1"/>
  <c r="AX720" i="1"/>
  <c r="AW720" i="1"/>
  <c r="AV720" i="1"/>
  <c r="AU720" i="1"/>
  <c r="AN720" i="1"/>
  <c r="AL720" i="1"/>
  <c r="AM720" i="1" s="1"/>
  <c r="J720" i="1"/>
  <c r="G720" i="1"/>
  <c r="H720" i="1" s="1"/>
  <c r="AX719" i="1"/>
  <c r="AW719" i="1"/>
  <c r="AV719" i="1"/>
  <c r="AU719" i="1"/>
  <c r="AN719" i="1"/>
  <c r="AL719" i="1"/>
  <c r="AM719" i="1" s="1"/>
  <c r="J719" i="1"/>
  <c r="G719" i="1"/>
  <c r="H719" i="1" s="1"/>
  <c r="AX718" i="1"/>
  <c r="AW718" i="1"/>
  <c r="AV718" i="1"/>
  <c r="AU718" i="1"/>
  <c r="AN718" i="1"/>
  <c r="AL718" i="1"/>
  <c r="AM718" i="1" s="1"/>
  <c r="J718" i="1"/>
  <c r="G718" i="1"/>
  <c r="H718" i="1" s="1"/>
  <c r="AX717" i="1"/>
  <c r="AW717" i="1"/>
  <c r="AV717" i="1"/>
  <c r="AU717" i="1"/>
  <c r="AN717" i="1"/>
  <c r="AL717" i="1"/>
  <c r="AM717" i="1" s="1"/>
  <c r="J717" i="1"/>
  <c r="G717" i="1"/>
  <c r="H717" i="1" s="1"/>
  <c r="AX716" i="1"/>
  <c r="AW716" i="1"/>
  <c r="AV716" i="1"/>
  <c r="AU716" i="1"/>
  <c r="AN716" i="1"/>
  <c r="AL716" i="1"/>
  <c r="AM716" i="1" s="1"/>
  <c r="J716" i="1"/>
  <c r="G716" i="1"/>
  <c r="H716" i="1" s="1"/>
  <c r="AX715" i="1"/>
  <c r="AW715" i="1"/>
  <c r="AV715" i="1"/>
  <c r="AU715" i="1"/>
  <c r="AN715" i="1"/>
  <c r="AL715" i="1"/>
  <c r="AM715" i="1" s="1"/>
  <c r="J715" i="1"/>
  <c r="G715" i="1"/>
  <c r="H715" i="1" s="1"/>
  <c r="AX714" i="1"/>
  <c r="AW714" i="1"/>
  <c r="AV714" i="1"/>
  <c r="AU714" i="1"/>
  <c r="AN714" i="1"/>
  <c r="AL714" i="1"/>
  <c r="AM714" i="1" s="1"/>
  <c r="J714" i="1"/>
  <c r="G714" i="1"/>
  <c r="H714" i="1" s="1"/>
  <c r="AX713" i="1"/>
  <c r="AW713" i="1"/>
  <c r="AV713" i="1"/>
  <c r="AU713" i="1"/>
  <c r="AN713" i="1"/>
  <c r="AL713" i="1"/>
  <c r="AM713" i="1" s="1"/>
  <c r="J713" i="1"/>
  <c r="G713" i="1"/>
  <c r="H713" i="1" s="1"/>
  <c r="AX712" i="1"/>
  <c r="AW712" i="1"/>
  <c r="AV712" i="1"/>
  <c r="AU712" i="1"/>
  <c r="AN712" i="1"/>
  <c r="AL712" i="1"/>
  <c r="AM712" i="1" s="1"/>
  <c r="J712" i="1"/>
  <c r="G712" i="1"/>
  <c r="H712" i="1" s="1"/>
  <c r="AX711" i="1"/>
  <c r="AW711" i="1"/>
  <c r="AV711" i="1"/>
  <c r="AU711" i="1"/>
  <c r="AN711" i="1"/>
  <c r="AL711" i="1"/>
  <c r="AM711" i="1" s="1"/>
  <c r="J711" i="1"/>
  <c r="G711" i="1"/>
  <c r="H711" i="1" s="1"/>
  <c r="AX710" i="1"/>
  <c r="AW710" i="1"/>
  <c r="AV710" i="1"/>
  <c r="AU710" i="1"/>
  <c r="AN710" i="1"/>
  <c r="AL710" i="1"/>
  <c r="AM710" i="1" s="1"/>
  <c r="J710" i="1"/>
  <c r="AX709" i="1"/>
  <c r="AW709" i="1"/>
  <c r="AV709" i="1"/>
  <c r="AU709" i="1"/>
  <c r="AN709" i="1"/>
  <c r="AL709" i="1"/>
  <c r="AM709" i="1" s="1"/>
  <c r="J709" i="1"/>
  <c r="G709" i="1"/>
  <c r="H709" i="1" s="1"/>
  <c r="AX708" i="1"/>
  <c r="AW708" i="1"/>
  <c r="AV708" i="1"/>
  <c r="AU708" i="1"/>
  <c r="AN708" i="1"/>
  <c r="AL708" i="1"/>
  <c r="AM708" i="1" s="1"/>
  <c r="J708" i="1"/>
  <c r="G708" i="1"/>
  <c r="H708" i="1" s="1"/>
  <c r="AX707" i="1"/>
  <c r="AW707" i="1"/>
  <c r="AV707" i="1"/>
  <c r="AU707" i="1"/>
  <c r="AN707" i="1"/>
  <c r="AL707" i="1"/>
  <c r="AM707" i="1" s="1"/>
  <c r="J707" i="1"/>
  <c r="G707" i="1"/>
  <c r="H707" i="1" s="1"/>
  <c r="AX706" i="1"/>
  <c r="AW706" i="1"/>
  <c r="AV706" i="1"/>
  <c r="AU706" i="1"/>
  <c r="AN706" i="1"/>
  <c r="AL706" i="1"/>
  <c r="AM706" i="1" s="1"/>
  <c r="J706" i="1"/>
  <c r="G706" i="1"/>
  <c r="H706" i="1" s="1"/>
  <c r="AX705" i="1"/>
  <c r="AW705" i="1"/>
  <c r="AV705" i="1"/>
  <c r="AU705" i="1"/>
  <c r="AN705" i="1"/>
  <c r="AL705" i="1"/>
  <c r="AM705" i="1" s="1"/>
  <c r="J705" i="1"/>
  <c r="G705" i="1"/>
  <c r="H705" i="1" s="1"/>
  <c r="AX704" i="1"/>
  <c r="AW704" i="1"/>
  <c r="AV704" i="1"/>
  <c r="AU704" i="1"/>
  <c r="AN704" i="1"/>
  <c r="AL704" i="1"/>
  <c r="AM704" i="1" s="1"/>
  <c r="J704" i="1"/>
  <c r="G704" i="1"/>
  <c r="H704" i="1" s="1"/>
  <c r="AX703" i="1"/>
  <c r="AW703" i="1"/>
  <c r="AV703" i="1"/>
  <c r="AU703" i="1"/>
  <c r="AN703" i="1"/>
  <c r="AL703" i="1"/>
  <c r="AM703" i="1" s="1"/>
  <c r="J703" i="1"/>
  <c r="G703" i="1"/>
  <c r="H703" i="1" s="1"/>
  <c r="AX702" i="1"/>
  <c r="AW702" i="1"/>
  <c r="AV702" i="1"/>
  <c r="AU702" i="1"/>
  <c r="AN702" i="1"/>
  <c r="AL702" i="1"/>
  <c r="AM702" i="1" s="1"/>
  <c r="J702" i="1"/>
  <c r="G702" i="1"/>
  <c r="H702" i="1" s="1"/>
  <c r="AY701" i="1"/>
  <c r="AX701" i="1"/>
  <c r="AW701" i="1"/>
  <c r="AV701" i="1"/>
  <c r="AU701" i="1"/>
  <c r="J701" i="1"/>
  <c r="G701" i="1"/>
  <c r="H701" i="1" s="1"/>
  <c r="AX700" i="1"/>
  <c r="AW700" i="1"/>
  <c r="AV700" i="1"/>
  <c r="AU700" i="1"/>
  <c r="AN700" i="1"/>
  <c r="AL700" i="1"/>
  <c r="AM700" i="1" s="1"/>
  <c r="J700" i="1"/>
  <c r="G700" i="1"/>
  <c r="H700" i="1" s="1"/>
  <c r="AX699" i="1"/>
  <c r="AW699" i="1"/>
  <c r="AV699" i="1"/>
  <c r="AU699" i="1"/>
  <c r="AN699" i="1"/>
  <c r="AL699" i="1"/>
  <c r="AM699" i="1" s="1"/>
  <c r="J699" i="1"/>
  <c r="G699" i="1"/>
  <c r="H699" i="1" s="1"/>
  <c r="AX698" i="1"/>
  <c r="AW698" i="1"/>
  <c r="AV698" i="1"/>
  <c r="AU698" i="1"/>
  <c r="AN698" i="1"/>
  <c r="AL698" i="1"/>
  <c r="AM698" i="1" s="1"/>
  <c r="J698" i="1"/>
  <c r="G698" i="1"/>
  <c r="H698" i="1" s="1"/>
  <c r="AX697" i="1"/>
  <c r="AW697" i="1"/>
  <c r="AV697" i="1"/>
  <c r="AU697" i="1"/>
  <c r="AN697" i="1"/>
  <c r="AL697" i="1"/>
  <c r="AM697" i="1" s="1"/>
  <c r="J697" i="1"/>
  <c r="G697" i="1"/>
  <c r="H697" i="1" s="1"/>
  <c r="AX696" i="1"/>
  <c r="AW696" i="1"/>
  <c r="AV696" i="1"/>
  <c r="AU696" i="1"/>
  <c r="AN696" i="1"/>
  <c r="AL696" i="1"/>
  <c r="AM696" i="1" s="1"/>
  <c r="J696" i="1"/>
  <c r="G696" i="1"/>
  <c r="H696" i="1" s="1"/>
  <c r="AX695" i="1"/>
  <c r="AW695" i="1"/>
  <c r="AV695" i="1"/>
  <c r="AU695" i="1"/>
  <c r="AN695" i="1"/>
  <c r="AL695" i="1"/>
  <c r="AM695" i="1" s="1"/>
  <c r="J695" i="1"/>
  <c r="G695" i="1"/>
  <c r="H695" i="1" s="1"/>
  <c r="AX694" i="1"/>
  <c r="AW694" i="1"/>
  <c r="AV694" i="1"/>
  <c r="AU694" i="1"/>
  <c r="AN694" i="1"/>
  <c r="AL694" i="1"/>
  <c r="AM694" i="1" s="1"/>
  <c r="J694" i="1"/>
  <c r="G694" i="1"/>
  <c r="H694" i="1" s="1"/>
  <c r="H727" i="1"/>
  <c r="AY693" i="1"/>
  <c r="AX693" i="1"/>
  <c r="AW693" i="1"/>
  <c r="AV693" i="1"/>
  <c r="AU693" i="1"/>
  <c r="J693" i="1"/>
  <c r="AX692" i="1"/>
  <c r="AW692" i="1"/>
  <c r="AV692" i="1"/>
  <c r="AU692" i="1"/>
  <c r="AN692" i="1"/>
  <c r="AL692" i="1"/>
  <c r="AM692" i="1" s="1"/>
  <c r="J692" i="1"/>
  <c r="G692" i="1"/>
  <c r="H692" i="1" s="1"/>
  <c r="AX691" i="1"/>
  <c r="AW691" i="1"/>
  <c r="AV691" i="1"/>
  <c r="AU691" i="1"/>
  <c r="AN691" i="1"/>
  <c r="AL691" i="1"/>
  <c r="AM691" i="1" s="1"/>
  <c r="J691" i="1"/>
  <c r="G691" i="1"/>
  <c r="H691" i="1" s="1"/>
  <c r="AX690" i="1"/>
  <c r="AW690" i="1"/>
  <c r="AV690" i="1"/>
  <c r="AU690" i="1"/>
  <c r="AN690" i="1"/>
  <c r="AL690" i="1"/>
  <c r="AM690" i="1" s="1"/>
  <c r="J690" i="1"/>
  <c r="G690" i="1"/>
  <c r="H690" i="1" s="1"/>
  <c r="AX689" i="1"/>
  <c r="AW689" i="1"/>
  <c r="AV689" i="1"/>
  <c r="AU689" i="1"/>
  <c r="AN689" i="1"/>
  <c r="AL689" i="1"/>
  <c r="AM689" i="1" s="1"/>
  <c r="J689" i="1"/>
  <c r="G689" i="1"/>
  <c r="H689" i="1" s="1"/>
  <c r="AX688" i="1"/>
  <c r="AW688" i="1"/>
  <c r="AV688" i="1"/>
  <c r="AU688" i="1"/>
  <c r="AN688" i="1"/>
  <c r="AL688" i="1"/>
  <c r="AM688" i="1" s="1"/>
  <c r="J688" i="1"/>
  <c r="G688" i="1"/>
  <c r="H688" i="1" s="1"/>
  <c r="AX687" i="1"/>
  <c r="AW687" i="1"/>
  <c r="AV687" i="1"/>
  <c r="AU687" i="1"/>
  <c r="AN687" i="1"/>
  <c r="AL687" i="1"/>
  <c r="AM687" i="1" s="1"/>
  <c r="J687" i="1"/>
  <c r="G687" i="1"/>
  <c r="H687" i="1" s="1"/>
  <c r="AX685" i="1"/>
  <c r="AW685" i="1"/>
  <c r="AV685" i="1"/>
  <c r="AU685" i="1"/>
  <c r="AN685" i="1"/>
  <c r="AL685" i="1"/>
  <c r="AM685" i="1" s="1"/>
  <c r="J685" i="1"/>
  <c r="G685" i="1"/>
  <c r="H685" i="1" s="1"/>
  <c r="AX684" i="1"/>
  <c r="AW684" i="1"/>
  <c r="AV684" i="1"/>
  <c r="AU684" i="1"/>
  <c r="AN684" i="1"/>
  <c r="AL684" i="1"/>
  <c r="AM684" i="1" s="1"/>
  <c r="J684" i="1"/>
  <c r="G684" i="1"/>
  <c r="H684" i="1" s="1"/>
  <c r="AX683" i="1"/>
  <c r="AW683" i="1"/>
  <c r="AV683" i="1"/>
  <c r="AU683" i="1"/>
  <c r="AN683" i="1"/>
  <c r="AL683" i="1"/>
  <c r="AM683" i="1" s="1"/>
  <c r="J683" i="1"/>
  <c r="G683" i="1"/>
  <c r="H683" i="1" s="1"/>
  <c r="AX682" i="1"/>
  <c r="AW682" i="1"/>
  <c r="AV682" i="1"/>
  <c r="AU682" i="1"/>
  <c r="AN682" i="1"/>
  <c r="AL682" i="1"/>
  <c r="AM682" i="1" s="1"/>
  <c r="J682" i="1"/>
  <c r="G682" i="1"/>
  <c r="H682" i="1" s="1"/>
  <c r="AX681" i="1"/>
  <c r="AW681" i="1"/>
  <c r="AV681" i="1"/>
  <c r="AU681" i="1"/>
  <c r="AN681" i="1"/>
  <c r="AL681" i="1"/>
  <c r="AM681" i="1" s="1"/>
  <c r="J681" i="1"/>
  <c r="G681" i="1"/>
  <c r="H681" i="1" s="1"/>
  <c r="AX680" i="1"/>
  <c r="AW680" i="1"/>
  <c r="AV680" i="1"/>
  <c r="AU680" i="1"/>
  <c r="AN680" i="1"/>
  <c r="AL680" i="1"/>
  <c r="AM680" i="1" s="1"/>
  <c r="J680" i="1"/>
  <c r="G680" i="1"/>
  <c r="H680" i="1" s="1"/>
  <c r="AX679" i="1"/>
  <c r="AW679" i="1"/>
  <c r="AV679" i="1"/>
  <c r="AU679" i="1"/>
  <c r="AN679" i="1"/>
  <c r="AL679" i="1"/>
  <c r="AM679" i="1" s="1"/>
  <c r="J679" i="1"/>
  <c r="G679" i="1"/>
  <c r="H679" i="1" s="1"/>
  <c r="AX678" i="1"/>
  <c r="AW678" i="1"/>
  <c r="AV678" i="1"/>
  <c r="AU678" i="1"/>
  <c r="AN678" i="1"/>
  <c r="AL678" i="1"/>
  <c r="AM678" i="1" s="1"/>
  <c r="J678" i="1"/>
  <c r="G678" i="1"/>
  <c r="H678" i="1" s="1"/>
  <c r="AX677" i="1"/>
  <c r="AW677" i="1"/>
  <c r="AV677" i="1"/>
  <c r="AU677" i="1"/>
  <c r="AN677" i="1"/>
  <c r="AL677" i="1"/>
  <c r="AM677" i="1" s="1"/>
  <c r="J677" i="1"/>
  <c r="G677" i="1"/>
  <c r="H677" i="1" s="1"/>
  <c r="AX676" i="1"/>
  <c r="AW676" i="1"/>
  <c r="AV676" i="1"/>
  <c r="AU676" i="1"/>
  <c r="AN676" i="1"/>
  <c r="AL676" i="1"/>
  <c r="AM676" i="1" s="1"/>
  <c r="J676" i="1"/>
  <c r="G676" i="1"/>
  <c r="H676" i="1" s="1"/>
  <c r="AX675" i="1"/>
  <c r="AW675" i="1"/>
  <c r="AV675" i="1"/>
  <c r="AU675" i="1"/>
  <c r="AN675" i="1"/>
  <c r="AL675" i="1"/>
  <c r="AM675" i="1" s="1"/>
  <c r="J675" i="1"/>
  <c r="G675" i="1"/>
  <c r="H675" i="1" s="1"/>
  <c r="AX674" i="1"/>
  <c r="AW674" i="1"/>
  <c r="AV674" i="1"/>
  <c r="AU674" i="1"/>
  <c r="AN674" i="1"/>
  <c r="AL674" i="1"/>
  <c r="AM674" i="1" s="1"/>
  <c r="J674" i="1"/>
  <c r="G674" i="1"/>
  <c r="H674" i="1" s="1"/>
  <c r="AY672" i="1"/>
  <c r="AX672" i="1"/>
  <c r="AW672" i="1"/>
  <c r="AV672" i="1"/>
  <c r="AU672" i="1"/>
  <c r="J672" i="1"/>
  <c r="AX671" i="1"/>
  <c r="AW671" i="1"/>
  <c r="AV671" i="1"/>
  <c r="AU671" i="1"/>
  <c r="AN671" i="1"/>
  <c r="AL671" i="1"/>
  <c r="AM671" i="1" s="1"/>
  <c r="J671" i="1"/>
  <c r="G671" i="1"/>
  <c r="H671" i="1" s="1"/>
  <c r="H728" i="1"/>
  <c r="H669" i="1"/>
  <c r="AX668" i="1"/>
  <c r="AW668" i="1"/>
  <c r="AV668" i="1"/>
  <c r="AU668" i="1"/>
  <c r="AN668" i="1"/>
  <c r="AL668" i="1"/>
  <c r="AM668" i="1" s="1"/>
  <c r="J668" i="1"/>
  <c r="G668" i="1"/>
  <c r="H668" i="1" s="1"/>
  <c r="AX667" i="1"/>
  <c r="AW667" i="1"/>
  <c r="AV667" i="1"/>
  <c r="AU667" i="1"/>
  <c r="AN667" i="1"/>
  <c r="AL667" i="1"/>
  <c r="AM667" i="1" s="1"/>
  <c r="J667" i="1"/>
  <c r="G667" i="1"/>
  <c r="H667" i="1" s="1"/>
  <c r="AX666" i="1"/>
  <c r="AW666" i="1"/>
  <c r="AV666" i="1"/>
  <c r="AU666" i="1"/>
  <c r="AN666" i="1"/>
  <c r="AL666" i="1"/>
  <c r="AM666" i="1" s="1"/>
  <c r="J666" i="1"/>
  <c r="G666" i="1"/>
  <c r="H666" i="1" s="1"/>
  <c r="AX665" i="1"/>
  <c r="AW665" i="1"/>
  <c r="AV665" i="1"/>
  <c r="AU665" i="1"/>
  <c r="AN665" i="1"/>
  <c r="AL665" i="1"/>
  <c r="AM665" i="1" s="1"/>
  <c r="J665" i="1"/>
  <c r="G665" i="1"/>
  <c r="H665" i="1" s="1"/>
  <c r="AX664" i="1"/>
  <c r="AW664" i="1"/>
  <c r="AV664" i="1"/>
  <c r="AU664" i="1"/>
  <c r="AN664" i="1"/>
  <c r="AL664" i="1"/>
  <c r="AM664" i="1" s="1"/>
  <c r="J664" i="1"/>
  <c r="G664" i="1"/>
  <c r="H664" i="1" s="1"/>
  <c r="AX663" i="1"/>
  <c r="AW663" i="1"/>
  <c r="AV663" i="1"/>
  <c r="AU663" i="1"/>
  <c r="AN663" i="1"/>
  <c r="AL663" i="1"/>
  <c r="AM663" i="1" s="1"/>
  <c r="J663" i="1"/>
  <c r="G663" i="1"/>
  <c r="H663" i="1" s="1"/>
  <c r="AY660" i="1"/>
  <c r="AX660" i="1"/>
  <c r="AW660" i="1"/>
  <c r="AV660" i="1"/>
  <c r="AU660" i="1"/>
  <c r="J660" i="1"/>
  <c r="G660" i="1"/>
  <c r="H660" i="1" s="1"/>
  <c r="AY659" i="1"/>
  <c r="AX659" i="1"/>
  <c r="AW659" i="1"/>
  <c r="AV659" i="1"/>
  <c r="AU659" i="1"/>
  <c r="AS659" i="1"/>
  <c r="AQ659" i="1"/>
  <c r="AR659" i="1" s="1"/>
  <c r="J659" i="1"/>
  <c r="G659" i="1"/>
  <c r="H659" i="1" s="1"/>
  <c r="AX658" i="1"/>
  <c r="AW658" i="1"/>
  <c r="AV658" i="1"/>
  <c r="AU658" i="1"/>
  <c r="AN658" i="1"/>
  <c r="AL658" i="1"/>
  <c r="AM658" i="1" s="1"/>
  <c r="J658" i="1"/>
  <c r="G658" i="1"/>
  <c r="H658" i="1" s="1"/>
  <c r="AY656" i="1"/>
  <c r="AX656" i="1"/>
  <c r="AW656" i="1"/>
  <c r="AV656" i="1"/>
  <c r="AU656" i="1"/>
  <c r="J656" i="1"/>
  <c r="G656" i="1"/>
  <c r="H656" i="1" s="1"/>
  <c r="AX653" i="1"/>
  <c r="AW653" i="1"/>
  <c r="AV653" i="1"/>
  <c r="AU653" i="1"/>
  <c r="AN653" i="1"/>
  <c r="AL653" i="1"/>
  <c r="AM653" i="1" s="1"/>
  <c r="J653" i="1"/>
  <c r="G653" i="1"/>
  <c r="H653" i="1" s="1"/>
  <c r="AX652" i="1"/>
  <c r="AW652" i="1"/>
  <c r="AV652" i="1"/>
  <c r="AU652" i="1"/>
  <c r="AN652" i="1"/>
  <c r="AL652" i="1"/>
  <c r="AM652" i="1" s="1"/>
  <c r="J652" i="1"/>
  <c r="G652" i="1"/>
  <c r="H652" i="1" s="1"/>
  <c r="AS5" i="4"/>
  <c r="AS6" i="4"/>
  <c r="AS7" i="4"/>
  <c r="AS8" i="4"/>
  <c r="AS9" i="4"/>
  <c r="AW7" i="4" s="1"/>
  <c r="AS4" i="4"/>
  <c r="AT4" i="4" s="1"/>
  <c r="AR5" i="4"/>
  <c r="AR6" i="4"/>
  <c r="AR7" i="4"/>
  <c r="AR8" i="4"/>
  <c r="AR9" i="4"/>
  <c r="AR4" i="4"/>
  <c r="AI5" i="4"/>
  <c r="AI6" i="4"/>
  <c r="AI8" i="4"/>
  <c r="AI9" i="4"/>
  <c r="AN4" i="4" s="1"/>
  <c r="AI4" i="4"/>
  <c r="AO5" i="4" s="1"/>
  <c r="AH5" i="4"/>
  <c r="AH6" i="4"/>
  <c r="AH8" i="4"/>
  <c r="AH9" i="4"/>
  <c r="AH4" i="4"/>
  <c r="AX651" i="1"/>
  <c r="AW651" i="1"/>
  <c r="AV651" i="1"/>
  <c r="AU651" i="1"/>
  <c r="AN651" i="1"/>
  <c r="AL651" i="1"/>
  <c r="AM651" i="1" s="1"/>
  <c r="J651" i="1"/>
  <c r="G651" i="1"/>
  <c r="H651" i="1" s="1"/>
  <c r="AY650" i="1"/>
  <c r="AX650" i="1"/>
  <c r="AW650" i="1"/>
  <c r="AV650" i="1"/>
  <c r="AU650" i="1"/>
  <c r="AS650" i="1"/>
  <c r="AQ650" i="1"/>
  <c r="AR650" i="1" s="1"/>
  <c r="J650" i="1"/>
  <c r="G650" i="1"/>
  <c r="H650" i="1" s="1"/>
  <c r="AY647" i="1"/>
  <c r="AX647" i="1"/>
  <c r="AW647" i="1"/>
  <c r="AV647" i="1"/>
  <c r="AU647" i="1"/>
  <c r="J647" i="1"/>
  <c r="G647" i="1"/>
  <c r="H647" i="1" s="1"/>
  <c r="AY646" i="1"/>
  <c r="AX646" i="1"/>
  <c r="AW646" i="1"/>
  <c r="AV646" i="1"/>
  <c r="AU646" i="1"/>
  <c r="AS646" i="1"/>
  <c r="AQ646" i="1"/>
  <c r="AR646" i="1" s="1"/>
  <c r="J646" i="1"/>
  <c r="G646" i="1"/>
  <c r="H646" i="1" s="1"/>
  <c r="AJ649" i="1"/>
  <c r="AJ650" i="1" s="1"/>
  <c r="AJ651" i="1" s="1"/>
  <c r="AJ652" i="1" s="1"/>
  <c r="AJ653" i="1" s="1"/>
  <c r="AJ654" i="1" s="1"/>
  <c r="AJ655" i="1" s="1"/>
  <c r="AJ656" i="1" s="1"/>
  <c r="AJ657" i="1" s="1"/>
  <c r="AJ658" i="1" s="1"/>
  <c r="AJ659" i="1" s="1"/>
  <c r="AJ660" i="1" s="1"/>
  <c r="AJ661" i="1" s="1"/>
  <c r="AJ662" i="1" s="1"/>
  <c r="AJ663" i="1" s="1"/>
  <c r="AJ664" i="1" s="1"/>
  <c r="AJ665" i="1" s="1"/>
  <c r="AJ666" i="1" s="1"/>
  <c r="AJ667" i="1" s="1"/>
  <c r="AJ668" i="1" s="1"/>
  <c r="AJ669" i="1" s="1"/>
  <c r="AJ670" i="1" s="1"/>
  <c r="AJ671" i="1" s="1"/>
  <c r="AJ672" i="1" s="1"/>
  <c r="AJ673" i="1" s="1"/>
  <c r="AJ674" i="1" s="1"/>
  <c r="AJ675" i="1" s="1"/>
  <c r="AJ676" i="1" s="1"/>
  <c r="AJ677" i="1" s="1"/>
  <c r="AJ678" i="1" s="1"/>
  <c r="AJ679" i="1" s="1"/>
  <c r="AJ680" i="1" s="1"/>
  <c r="AJ681" i="1" s="1"/>
  <c r="AJ682" i="1" s="1"/>
  <c r="AJ683" i="1" s="1"/>
  <c r="AJ684" i="1" s="1"/>
  <c r="AJ685" i="1" s="1"/>
  <c r="AJ686" i="1" s="1"/>
  <c r="AJ687" i="1" s="1"/>
  <c r="AJ688" i="1" s="1"/>
  <c r="AJ689" i="1" s="1"/>
  <c r="AJ690" i="1" s="1"/>
  <c r="AJ691" i="1" s="1"/>
  <c r="AJ692" i="1" s="1"/>
  <c r="AJ693" i="1" s="1"/>
  <c r="AJ694" i="1" s="1"/>
  <c r="AJ695" i="1" s="1"/>
  <c r="AJ696" i="1" s="1"/>
  <c r="AJ697" i="1" s="1"/>
  <c r="AJ698" i="1" s="1"/>
  <c r="AJ699" i="1" s="1"/>
  <c r="AJ700" i="1" s="1"/>
  <c r="AJ701" i="1" s="1"/>
  <c r="AJ702" i="1" s="1"/>
  <c r="AJ703" i="1" s="1"/>
  <c r="AJ704" i="1" s="1"/>
  <c r="AJ705" i="1" s="1"/>
  <c r="AJ706" i="1" s="1"/>
  <c r="AJ707" i="1" s="1"/>
  <c r="AJ708" i="1" s="1"/>
  <c r="AJ709" i="1" s="1"/>
  <c r="AY645" i="1"/>
  <c r="AX645" i="1"/>
  <c r="AW645" i="1"/>
  <c r="AV645" i="1"/>
  <c r="AU645" i="1"/>
  <c r="J645" i="1"/>
  <c r="G645" i="1"/>
  <c r="H645" i="1" s="1"/>
  <c r="AY644" i="1"/>
  <c r="AX644" i="1"/>
  <c r="AW644" i="1"/>
  <c r="AV644" i="1"/>
  <c r="AU644" i="1"/>
  <c r="AS644" i="1"/>
  <c r="AQ644" i="1"/>
  <c r="AR644" i="1" s="1"/>
  <c r="J644" i="1"/>
  <c r="G644" i="1"/>
  <c r="H644" i="1" s="1"/>
  <c r="AX643" i="1"/>
  <c r="AW643" i="1"/>
  <c r="AV643" i="1"/>
  <c r="AU643" i="1"/>
  <c r="AN643" i="1"/>
  <c r="AL643" i="1"/>
  <c r="AM643" i="1" s="1"/>
  <c r="J643" i="1"/>
  <c r="G643" i="1"/>
  <c r="H643" i="1" s="1"/>
  <c r="AX642" i="1"/>
  <c r="AW642" i="1"/>
  <c r="AV642" i="1"/>
  <c r="AU642" i="1"/>
  <c r="AN642" i="1"/>
  <c r="AL642" i="1"/>
  <c r="AM642" i="1" s="1"/>
  <c r="J642" i="1"/>
  <c r="G642" i="1"/>
  <c r="H642" i="1" s="1"/>
  <c r="AX641" i="1"/>
  <c r="AW641" i="1"/>
  <c r="AV641" i="1"/>
  <c r="AU641" i="1"/>
  <c r="AN641" i="1"/>
  <c r="AL641" i="1"/>
  <c r="AM641" i="1" s="1"/>
  <c r="J641" i="1"/>
  <c r="G641" i="1"/>
  <c r="H641" i="1" s="1"/>
  <c r="AX640" i="1"/>
  <c r="AW640" i="1"/>
  <c r="AV640" i="1"/>
  <c r="AU640" i="1"/>
  <c r="AN640" i="1"/>
  <c r="AL640" i="1"/>
  <c r="AM640" i="1" s="1"/>
  <c r="J640" i="1"/>
  <c r="G640" i="1"/>
  <c r="H640" i="1" s="1"/>
  <c r="AX638" i="1"/>
  <c r="AW638" i="1"/>
  <c r="AV638" i="1"/>
  <c r="AU638" i="1"/>
  <c r="AN638" i="1"/>
  <c r="AL638" i="1"/>
  <c r="AM638" i="1" s="1"/>
  <c r="J638" i="1"/>
  <c r="G638" i="1"/>
  <c r="H638" i="1" s="1"/>
  <c r="AX637" i="1"/>
  <c r="AW637" i="1"/>
  <c r="AV637" i="1"/>
  <c r="AU637" i="1"/>
  <c r="AN637" i="1"/>
  <c r="AL637" i="1"/>
  <c r="AM637" i="1" s="1"/>
  <c r="J637" i="1"/>
  <c r="G637" i="1"/>
  <c r="H637" i="1" s="1"/>
  <c r="AD4" i="11"/>
  <c r="AN241" i="11"/>
  <c r="AM241" i="11"/>
  <c r="AL241" i="11"/>
  <c r="AK241" i="11"/>
  <c r="AH241" i="11"/>
  <c r="AF241" i="11"/>
  <c r="AG241" i="11" s="1"/>
  <c r="AI241" i="11" s="1"/>
  <c r="J241" i="11"/>
  <c r="G241" i="11"/>
  <c r="H241" i="11" s="1"/>
  <c r="AN240" i="11"/>
  <c r="AM240" i="11"/>
  <c r="AL240" i="11"/>
  <c r="AK240" i="11"/>
  <c r="AH240" i="11"/>
  <c r="AF240" i="11"/>
  <c r="AG240" i="11" s="1"/>
  <c r="AI240" i="11" s="1"/>
  <c r="J240" i="11"/>
  <c r="G240" i="11"/>
  <c r="H240" i="11" s="1"/>
  <c r="AN239" i="11"/>
  <c r="AM239" i="11"/>
  <c r="AL239" i="11"/>
  <c r="AK239" i="11"/>
  <c r="AH239" i="11"/>
  <c r="AF239" i="11"/>
  <c r="AG239" i="11" s="1"/>
  <c r="J239" i="11"/>
  <c r="G239" i="11"/>
  <c r="H239" i="11" s="1"/>
  <c r="AN238" i="11"/>
  <c r="AM238" i="11"/>
  <c r="AL238" i="11"/>
  <c r="AK238" i="11"/>
  <c r="AH238" i="11"/>
  <c r="AF238" i="11"/>
  <c r="AG238" i="11" s="1"/>
  <c r="J238" i="11"/>
  <c r="G238" i="11"/>
  <c r="H238" i="11" s="1"/>
  <c r="AN237" i="11"/>
  <c r="AM237" i="11"/>
  <c r="AL237" i="11"/>
  <c r="AK237" i="11"/>
  <c r="AH237" i="11"/>
  <c r="AF237" i="11"/>
  <c r="AG237" i="11" s="1"/>
  <c r="AI237" i="11" s="1"/>
  <c r="J237" i="11"/>
  <c r="G237" i="11"/>
  <c r="H237" i="11" s="1"/>
  <c r="AN236" i="11"/>
  <c r="AM236" i="11"/>
  <c r="AL236" i="11"/>
  <c r="AK236" i="11"/>
  <c r="AH236" i="11"/>
  <c r="AF236" i="11"/>
  <c r="AG236" i="11" s="1"/>
  <c r="AI236" i="11" s="1"/>
  <c r="J236" i="11"/>
  <c r="G236" i="11"/>
  <c r="H236" i="11" s="1"/>
  <c r="AN235" i="11"/>
  <c r="AM235" i="11"/>
  <c r="AL235" i="11"/>
  <c r="AK235" i="11"/>
  <c r="AH235" i="11"/>
  <c r="AF235" i="11"/>
  <c r="AG235" i="11" s="1"/>
  <c r="AI235" i="11" s="1"/>
  <c r="J235" i="11"/>
  <c r="G235" i="11"/>
  <c r="H235" i="11" s="1"/>
  <c r="AN234" i="11"/>
  <c r="AM234" i="11"/>
  <c r="AL234" i="11"/>
  <c r="AK234" i="11"/>
  <c r="AH234" i="11"/>
  <c r="AF234" i="11"/>
  <c r="AG234" i="11" s="1"/>
  <c r="J234" i="11"/>
  <c r="G234" i="11"/>
  <c r="H234" i="11" s="1"/>
  <c r="AN233" i="11"/>
  <c r="AM233" i="11"/>
  <c r="AL233" i="11"/>
  <c r="AK233" i="11"/>
  <c r="AH233" i="11"/>
  <c r="AF233" i="11"/>
  <c r="AG233" i="11" s="1"/>
  <c r="AI233" i="11" s="1"/>
  <c r="J233" i="11"/>
  <c r="G233" i="11"/>
  <c r="H233" i="11" s="1"/>
  <c r="AN232" i="11"/>
  <c r="AM232" i="11"/>
  <c r="AL232" i="11"/>
  <c r="AK232" i="11"/>
  <c r="AH232" i="11"/>
  <c r="AF232" i="11"/>
  <c r="AG232" i="11" s="1"/>
  <c r="J232" i="11"/>
  <c r="G232" i="11"/>
  <c r="H232" i="11" s="1"/>
  <c r="AN231" i="11"/>
  <c r="AM231" i="11"/>
  <c r="AL231" i="11"/>
  <c r="AK231" i="11"/>
  <c r="AH231" i="11"/>
  <c r="AF231" i="11"/>
  <c r="AG231" i="11" s="1"/>
  <c r="J231" i="11"/>
  <c r="G231" i="11"/>
  <c r="H231" i="11" s="1"/>
  <c r="AN230" i="11"/>
  <c r="AM230" i="11"/>
  <c r="AL230" i="11"/>
  <c r="AK230" i="11"/>
  <c r="AH230" i="11"/>
  <c r="AF230" i="11"/>
  <c r="AG230" i="11" s="1"/>
  <c r="AI230" i="11" s="1"/>
  <c r="J230" i="11"/>
  <c r="G230" i="11"/>
  <c r="H230" i="11" s="1"/>
  <c r="AN229" i="11"/>
  <c r="AM229" i="11"/>
  <c r="AL229" i="11"/>
  <c r="AK229" i="11"/>
  <c r="AH229" i="11"/>
  <c r="AF229" i="11"/>
  <c r="AG229" i="11" s="1"/>
  <c r="J229" i="11"/>
  <c r="G229" i="11"/>
  <c r="H229" i="11" s="1"/>
  <c r="AN228" i="11"/>
  <c r="AM228" i="11"/>
  <c r="AL228" i="11"/>
  <c r="AK228" i="11"/>
  <c r="AH228" i="11"/>
  <c r="AF228" i="11"/>
  <c r="AG228" i="11" s="1"/>
  <c r="J228" i="11"/>
  <c r="G228" i="11"/>
  <c r="H228" i="11" s="1"/>
  <c r="AN227" i="11"/>
  <c r="AM227" i="11"/>
  <c r="AL227" i="11"/>
  <c r="AK227" i="11"/>
  <c r="AH227" i="11"/>
  <c r="AF227" i="11"/>
  <c r="AG227" i="11" s="1"/>
  <c r="J227" i="11"/>
  <c r="G227" i="11"/>
  <c r="H227" i="11" s="1"/>
  <c r="AN226" i="11"/>
  <c r="AM226" i="11"/>
  <c r="AL226" i="11"/>
  <c r="AK226" i="11"/>
  <c r="AH226" i="11"/>
  <c r="AF226" i="11"/>
  <c r="AG226" i="11" s="1"/>
  <c r="J226" i="11"/>
  <c r="G226" i="11"/>
  <c r="H226" i="11" s="1"/>
  <c r="AN225" i="11"/>
  <c r="AM225" i="11"/>
  <c r="AL225" i="11"/>
  <c r="AK225" i="11"/>
  <c r="AH225" i="11"/>
  <c r="AF225" i="11"/>
  <c r="AG225" i="11" s="1"/>
  <c r="J225" i="11"/>
  <c r="G225" i="11"/>
  <c r="H225" i="11" s="1"/>
  <c r="AN224" i="11"/>
  <c r="AM224" i="11"/>
  <c r="AL224" i="11"/>
  <c r="AK224" i="11"/>
  <c r="AH224" i="11"/>
  <c r="AF224" i="11"/>
  <c r="AG224" i="11" s="1"/>
  <c r="J224" i="11"/>
  <c r="G224" i="11"/>
  <c r="H224" i="11" s="1"/>
  <c r="AN223" i="11"/>
  <c r="AM223" i="11"/>
  <c r="AL223" i="11"/>
  <c r="AK223" i="11"/>
  <c r="AH223" i="11"/>
  <c r="AF223" i="11"/>
  <c r="AG223" i="11" s="1"/>
  <c r="J223" i="11"/>
  <c r="G223" i="11"/>
  <c r="H223" i="11" s="1"/>
  <c r="AN222" i="11"/>
  <c r="AM222" i="11"/>
  <c r="AL222" i="11"/>
  <c r="AK222" i="11"/>
  <c r="AH222" i="11"/>
  <c r="AF222" i="11"/>
  <c r="AG222" i="11" s="1"/>
  <c r="J222" i="11"/>
  <c r="G222" i="11"/>
  <c r="H222" i="11" s="1"/>
  <c r="AN221" i="11"/>
  <c r="AM221" i="11"/>
  <c r="AL221" i="11"/>
  <c r="AK221" i="11"/>
  <c r="AH221" i="11"/>
  <c r="AF221" i="11"/>
  <c r="AG221" i="11" s="1"/>
  <c r="J221" i="11"/>
  <c r="G221" i="11"/>
  <c r="H221" i="11" s="1"/>
  <c r="AN220" i="11"/>
  <c r="AM220" i="11"/>
  <c r="AL220" i="11"/>
  <c r="AK220" i="11"/>
  <c r="AH220" i="11"/>
  <c r="AF220" i="11"/>
  <c r="AG220" i="11" s="1"/>
  <c r="J220" i="11"/>
  <c r="G220" i="11"/>
  <c r="H220" i="11" s="1"/>
  <c r="AN219" i="11"/>
  <c r="AM219" i="11"/>
  <c r="AL219" i="11"/>
  <c r="AK219" i="11"/>
  <c r="AH219" i="11"/>
  <c r="AF219" i="11"/>
  <c r="AG219" i="11" s="1"/>
  <c r="J219" i="11"/>
  <c r="G219" i="11"/>
  <c r="H219" i="11" s="1"/>
  <c r="AN218" i="11"/>
  <c r="AM218" i="11"/>
  <c r="AL218" i="11"/>
  <c r="AK218" i="11"/>
  <c r="AH218" i="11"/>
  <c r="AF218" i="11"/>
  <c r="AG218" i="11" s="1"/>
  <c r="J218" i="11"/>
  <c r="G218" i="11"/>
  <c r="H218" i="11" s="1"/>
  <c r="AN217" i="11"/>
  <c r="AM217" i="11"/>
  <c r="AL217" i="11"/>
  <c r="AK217" i="11"/>
  <c r="AH217" i="11"/>
  <c r="AF217" i="11"/>
  <c r="AG217" i="11" s="1"/>
  <c r="J217" i="11"/>
  <c r="G217" i="11"/>
  <c r="H217" i="11" s="1"/>
  <c r="AN216" i="11"/>
  <c r="AM216" i="11"/>
  <c r="AL216" i="11"/>
  <c r="AK216" i="11"/>
  <c r="AH216" i="11"/>
  <c r="AF216" i="11"/>
  <c r="AG216" i="11" s="1"/>
  <c r="J216" i="11"/>
  <c r="G216" i="11"/>
  <c r="H216" i="11" s="1"/>
  <c r="AN215" i="11"/>
  <c r="AM215" i="11"/>
  <c r="AL215" i="11"/>
  <c r="AK215" i="11"/>
  <c r="AH215" i="11"/>
  <c r="AF215" i="11"/>
  <c r="AG215" i="11" s="1"/>
  <c r="J215" i="11"/>
  <c r="G215" i="11"/>
  <c r="H215" i="11" s="1"/>
  <c r="AN214" i="11"/>
  <c r="AM214" i="11"/>
  <c r="AL214" i="11"/>
  <c r="AK214" i="11"/>
  <c r="AH214" i="11"/>
  <c r="AF214" i="11"/>
  <c r="AG214" i="11" s="1"/>
  <c r="J214" i="11"/>
  <c r="G214" i="11"/>
  <c r="H214" i="11" s="1"/>
  <c r="AN213" i="11"/>
  <c r="AM213" i="11"/>
  <c r="AL213" i="11"/>
  <c r="AK213" i="11"/>
  <c r="AH213" i="11"/>
  <c r="AF213" i="11"/>
  <c r="AG213" i="11" s="1"/>
  <c r="J213" i="11"/>
  <c r="G213" i="11"/>
  <c r="H213" i="11" s="1"/>
  <c r="AN212" i="11"/>
  <c r="AM212" i="11"/>
  <c r="AL212" i="11"/>
  <c r="AK212" i="11"/>
  <c r="AH212" i="11"/>
  <c r="AF212" i="11"/>
  <c r="AG212" i="11" s="1"/>
  <c r="J212" i="11"/>
  <c r="G212" i="11"/>
  <c r="H212" i="11" s="1"/>
  <c r="AN211" i="11"/>
  <c r="AM211" i="11"/>
  <c r="AL211" i="11"/>
  <c r="AK211" i="11"/>
  <c r="AH211" i="11"/>
  <c r="AF211" i="11"/>
  <c r="AG211" i="11" s="1"/>
  <c r="J211" i="11"/>
  <c r="G211" i="11"/>
  <c r="H211" i="11" s="1"/>
  <c r="AN210" i="11"/>
  <c r="AM210" i="11"/>
  <c r="AL210" i="11"/>
  <c r="AK210" i="11"/>
  <c r="AH210" i="11"/>
  <c r="AF210" i="11"/>
  <c r="AG210" i="11" s="1"/>
  <c r="J210" i="11"/>
  <c r="G210" i="11"/>
  <c r="H210" i="11" s="1"/>
  <c r="AN209" i="11"/>
  <c r="AM209" i="11"/>
  <c r="AL209" i="11"/>
  <c r="AK209" i="11"/>
  <c r="AH209" i="11"/>
  <c r="AF209" i="11"/>
  <c r="AG209" i="11" s="1"/>
  <c r="J209" i="11"/>
  <c r="G209" i="11"/>
  <c r="H209" i="11" s="1"/>
  <c r="AN208" i="11"/>
  <c r="AM208" i="11"/>
  <c r="AL208" i="11"/>
  <c r="AK208" i="11"/>
  <c r="AH208" i="11"/>
  <c r="AF208" i="11"/>
  <c r="AG208" i="11" s="1"/>
  <c r="J208" i="11"/>
  <c r="G208" i="11"/>
  <c r="H208" i="11" s="1"/>
  <c r="AN207" i="11"/>
  <c r="AM207" i="11"/>
  <c r="AL207" i="11"/>
  <c r="AK207" i="11"/>
  <c r="AH207" i="11"/>
  <c r="AF207" i="11"/>
  <c r="AG207" i="11" s="1"/>
  <c r="J207" i="11"/>
  <c r="G207" i="11"/>
  <c r="H207" i="11" s="1"/>
  <c r="AN206" i="11"/>
  <c r="AM206" i="11"/>
  <c r="AL206" i="11"/>
  <c r="AK206" i="11"/>
  <c r="AH206" i="11"/>
  <c r="AF206" i="11"/>
  <c r="AG206" i="11" s="1"/>
  <c r="J206" i="11"/>
  <c r="G206" i="11"/>
  <c r="H206" i="11" s="1"/>
  <c r="AN205" i="11"/>
  <c r="AM205" i="11"/>
  <c r="AL205" i="11"/>
  <c r="AK205" i="11"/>
  <c r="AH205" i="11"/>
  <c r="AF205" i="11"/>
  <c r="AG205" i="11" s="1"/>
  <c r="J205" i="11"/>
  <c r="G205" i="11"/>
  <c r="H205" i="11" s="1"/>
  <c r="AN204" i="11"/>
  <c r="AM204" i="11"/>
  <c r="AL204" i="11"/>
  <c r="AK204" i="11"/>
  <c r="AH204" i="11"/>
  <c r="AF204" i="11"/>
  <c r="AG204" i="11" s="1"/>
  <c r="AI204" i="11" s="1"/>
  <c r="J204" i="11"/>
  <c r="G204" i="11"/>
  <c r="H204" i="11" s="1"/>
  <c r="AN203" i="11"/>
  <c r="AM203" i="11"/>
  <c r="AL203" i="11"/>
  <c r="AK203" i="11"/>
  <c r="AH203" i="11"/>
  <c r="AF203" i="11"/>
  <c r="AG203" i="11" s="1"/>
  <c r="AI203" i="11" s="1"/>
  <c r="J203" i="11"/>
  <c r="G203" i="11"/>
  <c r="H203" i="11" s="1"/>
  <c r="AN202" i="11"/>
  <c r="AM202" i="11"/>
  <c r="AL202" i="11"/>
  <c r="AK202" i="11"/>
  <c r="AH202" i="11"/>
  <c r="AF202" i="11"/>
  <c r="AG202" i="11" s="1"/>
  <c r="J202" i="11"/>
  <c r="G202" i="11"/>
  <c r="H202" i="11" s="1"/>
  <c r="AN201" i="11"/>
  <c r="AM201" i="11"/>
  <c r="AL201" i="11"/>
  <c r="AK201" i="11"/>
  <c r="AH201" i="11"/>
  <c r="AF201" i="11"/>
  <c r="AG201" i="11" s="1"/>
  <c r="J201" i="11"/>
  <c r="G201" i="11"/>
  <c r="H201" i="11" s="1"/>
  <c r="AN200" i="11"/>
  <c r="AM200" i="11"/>
  <c r="AL200" i="11"/>
  <c r="AK200" i="11"/>
  <c r="AH200" i="11"/>
  <c r="AF200" i="11"/>
  <c r="AG200" i="11" s="1"/>
  <c r="J200" i="11"/>
  <c r="G200" i="11"/>
  <c r="H200" i="11" s="1"/>
  <c r="AN199" i="11"/>
  <c r="AM199" i="11"/>
  <c r="AL199" i="11"/>
  <c r="AK199" i="11"/>
  <c r="AH199" i="11"/>
  <c r="AF199" i="11"/>
  <c r="AG199" i="11" s="1"/>
  <c r="J199" i="11"/>
  <c r="G199" i="11"/>
  <c r="H199" i="11" s="1"/>
  <c r="AN198" i="11"/>
  <c r="AM198" i="11"/>
  <c r="AL198" i="11"/>
  <c r="AK198" i="11"/>
  <c r="AH198" i="11"/>
  <c r="AF198" i="11"/>
  <c r="AG198" i="11" s="1"/>
  <c r="J198" i="11"/>
  <c r="G198" i="11"/>
  <c r="H198" i="11" s="1"/>
  <c r="AN197" i="11"/>
  <c r="AM197" i="11"/>
  <c r="AL197" i="11"/>
  <c r="AK197" i="11"/>
  <c r="AH197" i="11"/>
  <c r="AF197" i="11"/>
  <c r="AG197" i="11" s="1"/>
  <c r="J197" i="11"/>
  <c r="G197" i="11"/>
  <c r="H197" i="11" s="1"/>
  <c r="AN196" i="11"/>
  <c r="AM196" i="11"/>
  <c r="AL196" i="11"/>
  <c r="AK196" i="11"/>
  <c r="AH196" i="11"/>
  <c r="AF196" i="11"/>
  <c r="AG196" i="11" s="1"/>
  <c r="J196" i="11"/>
  <c r="G196" i="11"/>
  <c r="H196" i="11" s="1"/>
  <c r="AN195" i="11"/>
  <c r="AM195" i="11"/>
  <c r="AL195" i="11"/>
  <c r="AK195" i="11"/>
  <c r="AH195" i="11"/>
  <c r="AF195" i="11"/>
  <c r="AG195" i="11" s="1"/>
  <c r="J195" i="11"/>
  <c r="G195" i="11"/>
  <c r="H195" i="11" s="1"/>
  <c r="AN194" i="11"/>
  <c r="AM194" i="11"/>
  <c r="AL194" i="11"/>
  <c r="AK194" i="11"/>
  <c r="AH194" i="11"/>
  <c r="AF194" i="11"/>
  <c r="AG194" i="11" s="1"/>
  <c r="J194" i="11"/>
  <c r="G194" i="11"/>
  <c r="H194" i="11" s="1"/>
  <c r="AN193" i="11"/>
  <c r="AM193" i="11"/>
  <c r="AL193" i="11"/>
  <c r="AK193" i="11"/>
  <c r="AH193" i="11"/>
  <c r="AF193" i="11"/>
  <c r="AG193" i="11" s="1"/>
  <c r="J193" i="11"/>
  <c r="G193" i="11"/>
  <c r="H193" i="11" s="1"/>
  <c r="AN192" i="11"/>
  <c r="AM192" i="11"/>
  <c r="AL192" i="11"/>
  <c r="AK192" i="11"/>
  <c r="AH192" i="11"/>
  <c r="AF192" i="11"/>
  <c r="AG192" i="11" s="1"/>
  <c r="J192" i="11"/>
  <c r="G192" i="11"/>
  <c r="H192" i="11" s="1"/>
  <c r="AN191" i="11"/>
  <c r="AM191" i="11"/>
  <c r="AL191" i="11"/>
  <c r="AK191" i="11"/>
  <c r="AH191" i="11"/>
  <c r="AF191" i="11"/>
  <c r="AG191" i="11" s="1"/>
  <c r="J191" i="11"/>
  <c r="G191" i="11"/>
  <c r="H191" i="11" s="1"/>
  <c r="AN190" i="11"/>
  <c r="AM190" i="11"/>
  <c r="AL190" i="11"/>
  <c r="AK190" i="11"/>
  <c r="AH190" i="11"/>
  <c r="AF190" i="11"/>
  <c r="AG190" i="11" s="1"/>
  <c r="J190" i="11"/>
  <c r="G190" i="11"/>
  <c r="H190" i="11" s="1"/>
  <c r="AN189" i="11"/>
  <c r="AM189" i="11"/>
  <c r="AL189" i="11"/>
  <c r="AK189" i="11"/>
  <c r="AH189" i="11"/>
  <c r="AF189" i="11"/>
  <c r="AG189" i="11" s="1"/>
  <c r="J189" i="11"/>
  <c r="G189" i="11"/>
  <c r="H189" i="11" s="1"/>
  <c r="AN188" i="11"/>
  <c r="AM188" i="11"/>
  <c r="AL188" i="11"/>
  <c r="AK188" i="11"/>
  <c r="AH188" i="11"/>
  <c r="AF188" i="11"/>
  <c r="AG188" i="11" s="1"/>
  <c r="J188" i="11"/>
  <c r="G188" i="11"/>
  <c r="H188" i="11" s="1"/>
  <c r="AN187" i="11"/>
  <c r="AM187" i="11"/>
  <c r="AL187" i="11"/>
  <c r="AK187" i="11"/>
  <c r="AH187" i="11"/>
  <c r="AF187" i="11"/>
  <c r="AG187" i="11" s="1"/>
  <c r="J187" i="11"/>
  <c r="G187" i="11"/>
  <c r="H187" i="11" s="1"/>
  <c r="AN186" i="11"/>
  <c r="AM186" i="11"/>
  <c r="AL186" i="11"/>
  <c r="AK186" i="11"/>
  <c r="AH186" i="11"/>
  <c r="AF186" i="11"/>
  <c r="AG186" i="11" s="1"/>
  <c r="J186" i="11"/>
  <c r="G186" i="11"/>
  <c r="H186" i="11" s="1"/>
  <c r="AN185" i="11"/>
  <c r="AM185" i="11"/>
  <c r="AL185" i="11"/>
  <c r="AK185" i="11"/>
  <c r="AH185" i="11"/>
  <c r="AF185" i="11"/>
  <c r="AG185" i="11" s="1"/>
  <c r="J185" i="11"/>
  <c r="G185" i="11"/>
  <c r="H185" i="11" s="1"/>
  <c r="AN184" i="11"/>
  <c r="AM184" i="11"/>
  <c r="AL184" i="11"/>
  <c r="AK184" i="11"/>
  <c r="AH184" i="11"/>
  <c r="AF184" i="11"/>
  <c r="AG184" i="11" s="1"/>
  <c r="J184" i="11"/>
  <c r="G184" i="11"/>
  <c r="H184" i="11" s="1"/>
  <c r="AN183" i="11"/>
  <c r="AM183" i="11"/>
  <c r="AL183" i="11"/>
  <c r="AK183" i="11"/>
  <c r="AH183" i="11"/>
  <c r="AF183" i="11"/>
  <c r="AG183" i="11" s="1"/>
  <c r="J183" i="11"/>
  <c r="G183" i="11"/>
  <c r="H183" i="11" s="1"/>
  <c r="AN182" i="11"/>
  <c r="AM182" i="11"/>
  <c r="AL182" i="11"/>
  <c r="AK182" i="11"/>
  <c r="AH182" i="11"/>
  <c r="AF182" i="11"/>
  <c r="AG182" i="11" s="1"/>
  <c r="J182" i="11"/>
  <c r="G182" i="11"/>
  <c r="H182" i="11" s="1"/>
  <c r="AN181" i="11"/>
  <c r="AM181" i="11"/>
  <c r="AL181" i="11"/>
  <c r="AK181" i="11"/>
  <c r="AH181" i="11"/>
  <c r="AF181" i="11"/>
  <c r="AG181" i="11" s="1"/>
  <c r="J181" i="11"/>
  <c r="G181" i="11"/>
  <c r="H181" i="11" s="1"/>
  <c r="AN180" i="11"/>
  <c r="AM180" i="11"/>
  <c r="AL180" i="11"/>
  <c r="AK180" i="11"/>
  <c r="AH180" i="11"/>
  <c r="AF180" i="11"/>
  <c r="AG180" i="11" s="1"/>
  <c r="J180" i="11"/>
  <c r="G180" i="11"/>
  <c r="H180" i="11" s="1"/>
  <c r="AN179" i="11"/>
  <c r="AM179" i="11"/>
  <c r="AL179" i="11"/>
  <c r="AK179" i="11"/>
  <c r="AH179" i="11"/>
  <c r="AF179" i="11"/>
  <c r="AG179" i="11" s="1"/>
  <c r="J179" i="11"/>
  <c r="G179" i="11"/>
  <c r="H179" i="11" s="1"/>
  <c r="AN178" i="11"/>
  <c r="AM178" i="11"/>
  <c r="AL178" i="11"/>
  <c r="AK178" i="11"/>
  <c r="AH178" i="11"/>
  <c r="AF178" i="11"/>
  <c r="AG178" i="11" s="1"/>
  <c r="J178" i="11"/>
  <c r="G178" i="11"/>
  <c r="H178" i="11" s="1"/>
  <c r="AN177" i="11"/>
  <c r="AM177" i="11"/>
  <c r="AL177" i="11"/>
  <c r="AK177" i="11"/>
  <c r="AH177" i="11"/>
  <c r="AF177" i="11"/>
  <c r="AG177" i="11" s="1"/>
  <c r="J177" i="11"/>
  <c r="G177" i="11"/>
  <c r="H177" i="11" s="1"/>
  <c r="AN176" i="11"/>
  <c r="AM176" i="11"/>
  <c r="AL176" i="11"/>
  <c r="AK176" i="11"/>
  <c r="AH176" i="11"/>
  <c r="AF176" i="11"/>
  <c r="AG176" i="11" s="1"/>
  <c r="J176" i="11"/>
  <c r="G176" i="11"/>
  <c r="H176" i="11" s="1"/>
  <c r="AN175" i="11"/>
  <c r="AM175" i="11"/>
  <c r="AL175" i="11"/>
  <c r="AK175" i="11"/>
  <c r="AH175" i="11"/>
  <c r="AF175" i="11"/>
  <c r="AG175" i="11" s="1"/>
  <c r="J175" i="11"/>
  <c r="G175" i="11"/>
  <c r="H175" i="11" s="1"/>
  <c r="AN174" i="11"/>
  <c r="AM174" i="11"/>
  <c r="AL174" i="11"/>
  <c r="AK174" i="11"/>
  <c r="AH174" i="11"/>
  <c r="AF174" i="11"/>
  <c r="AG174" i="11" s="1"/>
  <c r="J174" i="11"/>
  <c r="G174" i="11"/>
  <c r="H174" i="11" s="1"/>
  <c r="AN173" i="11"/>
  <c r="AM173" i="11"/>
  <c r="AL173" i="11"/>
  <c r="AK173" i="11"/>
  <c r="AH173" i="11"/>
  <c r="AF173" i="11"/>
  <c r="AG173" i="11" s="1"/>
  <c r="J173" i="11"/>
  <c r="G173" i="11"/>
  <c r="H173" i="11" s="1"/>
  <c r="AN172" i="11"/>
  <c r="AM172" i="11"/>
  <c r="AL172" i="11"/>
  <c r="AK172" i="11"/>
  <c r="AH172" i="11"/>
  <c r="AF172" i="11"/>
  <c r="AG172" i="11" s="1"/>
  <c r="J172" i="11"/>
  <c r="G172" i="11"/>
  <c r="H172" i="11" s="1"/>
  <c r="AN171" i="11"/>
  <c r="AM171" i="11"/>
  <c r="AL171" i="11"/>
  <c r="AK171" i="11"/>
  <c r="AH171" i="11"/>
  <c r="AF171" i="11"/>
  <c r="AG171" i="11" s="1"/>
  <c r="J171" i="11"/>
  <c r="G171" i="11"/>
  <c r="H171" i="11" s="1"/>
  <c r="AN170" i="11"/>
  <c r="AM170" i="11"/>
  <c r="AL170" i="11"/>
  <c r="AK170" i="11"/>
  <c r="AH170" i="11"/>
  <c r="AF170" i="11"/>
  <c r="AG170" i="11" s="1"/>
  <c r="J170" i="11"/>
  <c r="G170" i="11"/>
  <c r="H170" i="11" s="1"/>
  <c r="AN169" i="11"/>
  <c r="AM169" i="11"/>
  <c r="AL169" i="11"/>
  <c r="AK169" i="11"/>
  <c r="AH169" i="11"/>
  <c r="AF169" i="11"/>
  <c r="AG169" i="11" s="1"/>
  <c r="J169" i="11"/>
  <c r="G169" i="11"/>
  <c r="H169" i="11" s="1"/>
  <c r="AN168" i="11"/>
  <c r="AM168" i="11"/>
  <c r="AL168" i="11"/>
  <c r="AK168" i="11"/>
  <c r="AH168" i="11"/>
  <c r="AF168" i="11"/>
  <c r="AG168" i="11" s="1"/>
  <c r="J168" i="11"/>
  <c r="G168" i="11"/>
  <c r="H168" i="11" s="1"/>
  <c r="AN167" i="11"/>
  <c r="AM167" i="11"/>
  <c r="AL167" i="11"/>
  <c r="AK167" i="11"/>
  <c r="AH167" i="11"/>
  <c r="AF167" i="11"/>
  <c r="AG167" i="11" s="1"/>
  <c r="J167" i="11"/>
  <c r="G167" i="11"/>
  <c r="H167" i="11" s="1"/>
  <c r="AN166" i="11"/>
  <c r="AM166" i="11"/>
  <c r="AL166" i="11"/>
  <c r="AK166" i="11"/>
  <c r="AH166" i="11"/>
  <c r="AF166" i="11"/>
  <c r="AG166" i="11" s="1"/>
  <c r="J166" i="11"/>
  <c r="G166" i="11"/>
  <c r="H166" i="11" s="1"/>
  <c r="AN165" i="11"/>
  <c r="AM165" i="11"/>
  <c r="AL165" i="11"/>
  <c r="AK165" i="11"/>
  <c r="AH165" i="11"/>
  <c r="AF165" i="11"/>
  <c r="AG165" i="11" s="1"/>
  <c r="J165" i="11"/>
  <c r="G165" i="11"/>
  <c r="H165" i="11" s="1"/>
  <c r="AN164" i="11"/>
  <c r="AM164" i="11"/>
  <c r="AL164" i="11"/>
  <c r="AK164" i="11"/>
  <c r="AH164" i="11"/>
  <c r="AF164" i="11"/>
  <c r="AG164" i="11" s="1"/>
  <c r="J164" i="11"/>
  <c r="G164" i="11"/>
  <c r="H164" i="11" s="1"/>
  <c r="AN163" i="11"/>
  <c r="AM163" i="11"/>
  <c r="AL163" i="11"/>
  <c r="AK163" i="11"/>
  <c r="AH163" i="11"/>
  <c r="AF163" i="11"/>
  <c r="AG163" i="11" s="1"/>
  <c r="AI163" i="11" s="1"/>
  <c r="J163" i="11"/>
  <c r="G163" i="11"/>
  <c r="H163" i="11" s="1"/>
  <c r="AN162" i="11"/>
  <c r="AM162" i="11"/>
  <c r="AL162" i="11"/>
  <c r="AK162" i="11"/>
  <c r="AH162" i="11"/>
  <c r="AF162" i="11"/>
  <c r="AG162" i="11" s="1"/>
  <c r="J162" i="11"/>
  <c r="G162" i="11"/>
  <c r="H162" i="11" s="1"/>
  <c r="AN161" i="11"/>
  <c r="AM161" i="11"/>
  <c r="AL161" i="11"/>
  <c r="AK161" i="11"/>
  <c r="AH161" i="11"/>
  <c r="AF161" i="11"/>
  <c r="AG161" i="11" s="1"/>
  <c r="J161" i="11"/>
  <c r="G161" i="11"/>
  <c r="H161" i="11" s="1"/>
  <c r="AN160" i="11"/>
  <c r="AM160" i="11"/>
  <c r="AL160" i="11"/>
  <c r="AK160" i="11"/>
  <c r="AH160" i="11"/>
  <c r="AF160" i="11"/>
  <c r="AG160" i="11" s="1"/>
  <c r="J160" i="11"/>
  <c r="G160" i="11"/>
  <c r="H160" i="11" s="1"/>
  <c r="AN159" i="11"/>
  <c r="AM159" i="11"/>
  <c r="AL159" i="11"/>
  <c r="AK159" i="11"/>
  <c r="AH159" i="11"/>
  <c r="AF159" i="11"/>
  <c r="AG159" i="11" s="1"/>
  <c r="J159" i="11"/>
  <c r="G159" i="11"/>
  <c r="H159" i="11" s="1"/>
  <c r="AN158" i="11"/>
  <c r="AM158" i="11"/>
  <c r="AL158" i="11"/>
  <c r="AK158" i="11"/>
  <c r="AH158" i="11"/>
  <c r="AF158" i="11"/>
  <c r="AG158" i="11" s="1"/>
  <c r="J158" i="11"/>
  <c r="G158" i="11"/>
  <c r="H158" i="11" s="1"/>
  <c r="AN157" i="11"/>
  <c r="AM157" i="11"/>
  <c r="AL157" i="11"/>
  <c r="AK157" i="11"/>
  <c r="AH157" i="11"/>
  <c r="AF157" i="11"/>
  <c r="AG157" i="11" s="1"/>
  <c r="J157" i="11"/>
  <c r="G157" i="11"/>
  <c r="H157" i="11" s="1"/>
  <c r="AN156" i="11"/>
  <c r="AM156" i="11"/>
  <c r="AL156" i="11"/>
  <c r="AK156" i="11"/>
  <c r="AH156" i="11"/>
  <c r="AF156" i="11"/>
  <c r="AG156" i="11" s="1"/>
  <c r="J156" i="11"/>
  <c r="G156" i="11"/>
  <c r="H156" i="11" s="1"/>
  <c r="AN155" i="11"/>
  <c r="AM155" i="11"/>
  <c r="AL155" i="11"/>
  <c r="AK155" i="11"/>
  <c r="AH155" i="11"/>
  <c r="AF155" i="11"/>
  <c r="AG155" i="11" s="1"/>
  <c r="J155" i="11"/>
  <c r="G155" i="11"/>
  <c r="H155" i="11" s="1"/>
  <c r="AN154" i="11"/>
  <c r="AM154" i="11"/>
  <c r="AL154" i="11"/>
  <c r="AK154" i="11"/>
  <c r="AH154" i="11"/>
  <c r="AF154" i="11"/>
  <c r="AG154" i="11" s="1"/>
  <c r="J154" i="11"/>
  <c r="G154" i="11"/>
  <c r="H154" i="11" s="1"/>
  <c r="AN153" i="11"/>
  <c r="AM153" i="11"/>
  <c r="AL153" i="11"/>
  <c r="AK153" i="11"/>
  <c r="AH153" i="11"/>
  <c r="AF153" i="11"/>
  <c r="AG153" i="11" s="1"/>
  <c r="J153" i="11"/>
  <c r="G153" i="11"/>
  <c r="H153" i="11" s="1"/>
  <c r="AN152" i="11"/>
  <c r="AM152" i="11"/>
  <c r="AL152" i="11"/>
  <c r="AK152" i="11"/>
  <c r="AH152" i="11"/>
  <c r="AF152" i="11"/>
  <c r="AG152" i="11" s="1"/>
  <c r="J152" i="11"/>
  <c r="G152" i="11"/>
  <c r="H152" i="11" s="1"/>
  <c r="AN151" i="11"/>
  <c r="AM151" i="11"/>
  <c r="AL151" i="11"/>
  <c r="AK151" i="11"/>
  <c r="AH151" i="11"/>
  <c r="AF151" i="11"/>
  <c r="AG151" i="11" s="1"/>
  <c r="J151" i="11"/>
  <c r="G151" i="11"/>
  <c r="H151" i="11" s="1"/>
  <c r="AN150" i="11"/>
  <c r="AM150" i="11"/>
  <c r="AL150" i="11"/>
  <c r="AK150" i="11"/>
  <c r="AH150" i="11"/>
  <c r="AF150" i="11"/>
  <c r="AG150" i="11" s="1"/>
  <c r="J150" i="11"/>
  <c r="G150" i="11"/>
  <c r="H150" i="11" s="1"/>
  <c r="AN149" i="11"/>
  <c r="AM149" i="11"/>
  <c r="AL149" i="11"/>
  <c r="AK149" i="11"/>
  <c r="AH149" i="11"/>
  <c r="AF149" i="11"/>
  <c r="AG149" i="11" s="1"/>
  <c r="J149" i="11"/>
  <c r="G149" i="11"/>
  <c r="H149" i="11" s="1"/>
  <c r="AN148" i="11"/>
  <c r="AM148" i="11"/>
  <c r="AL148" i="11"/>
  <c r="AK148" i="11"/>
  <c r="AH148" i="11"/>
  <c r="AF148" i="11"/>
  <c r="AG148" i="11" s="1"/>
  <c r="J148" i="11"/>
  <c r="G148" i="11"/>
  <c r="H148" i="11" s="1"/>
  <c r="AN147" i="11"/>
  <c r="AM147" i="11"/>
  <c r="AL147" i="11"/>
  <c r="AK147" i="11"/>
  <c r="AH147" i="11"/>
  <c r="AF147" i="11"/>
  <c r="AG147" i="11" s="1"/>
  <c r="J147" i="11"/>
  <c r="G147" i="11"/>
  <c r="H147" i="11" s="1"/>
  <c r="AN146" i="11"/>
  <c r="AM146" i="11"/>
  <c r="AL146" i="11"/>
  <c r="AK146" i="11"/>
  <c r="AH146" i="11"/>
  <c r="AF146" i="11"/>
  <c r="AG146" i="11" s="1"/>
  <c r="J146" i="11"/>
  <c r="G146" i="11"/>
  <c r="H146" i="11" s="1"/>
  <c r="AN145" i="11"/>
  <c r="AM145" i="11"/>
  <c r="AL145" i="11"/>
  <c r="AK145" i="11"/>
  <c r="AH145" i="11"/>
  <c r="AF145" i="11"/>
  <c r="AG145" i="11" s="1"/>
  <c r="J145" i="11"/>
  <c r="G145" i="11"/>
  <c r="H145" i="11" s="1"/>
  <c r="AN144" i="11"/>
  <c r="AM144" i="11"/>
  <c r="AL144" i="11"/>
  <c r="AK144" i="11"/>
  <c r="AH144" i="11"/>
  <c r="AF144" i="11"/>
  <c r="AG144" i="11" s="1"/>
  <c r="J144" i="11"/>
  <c r="G144" i="11"/>
  <c r="H144" i="11" s="1"/>
  <c r="AN143" i="11"/>
  <c r="AM143" i="11"/>
  <c r="AL143" i="11"/>
  <c r="AK143" i="11"/>
  <c r="AH143" i="11"/>
  <c r="AF143" i="11"/>
  <c r="AG143" i="11" s="1"/>
  <c r="J143" i="11"/>
  <c r="G143" i="11"/>
  <c r="H143" i="11" s="1"/>
  <c r="AN142" i="11"/>
  <c r="AM142" i="11"/>
  <c r="AL142" i="11"/>
  <c r="AK142" i="11"/>
  <c r="AH142" i="11"/>
  <c r="AF142" i="11"/>
  <c r="AG142" i="11" s="1"/>
  <c r="J142" i="11"/>
  <c r="G142" i="11"/>
  <c r="H142" i="11" s="1"/>
  <c r="AN141" i="11"/>
  <c r="AM141" i="11"/>
  <c r="AL141" i="11"/>
  <c r="AK141" i="11"/>
  <c r="AH141" i="11"/>
  <c r="AF141" i="11"/>
  <c r="AG141" i="11" s="1"/>
  <c r="J141" i="11"/>
  <c r="G141" i="11"/>
  <c r="H141" i="11" s="1"/>
  <c r="AN140" i="11"/>
  <c r="AM140" i="11"/>
  <c r="AL140" i="11"/>
  <c r="AK140" i="11"/>
  <c r="AH140" i="11"/>
  <c r="AF140" i="11"/>
  <c r="AG140" i="11" s="1"/>
  <c r="J140" i="11"/>
  <c r="G140" i="11"/>
  <c r="H140" i="11" s="1"/>
  <c r="AN139" i="11"/>
  <c r="AM139" i="11"/>
  <c r="AL139" i="11"/>
  <c r="AK139" i="11"/>
  <c r="AH139" i="11"/>
  <c r="AF139" i="11"/>
  <c r="AG139" i="11" s="1"/>
  <c r="J139" i="11"/>
  <c r="G139" i="11"/>
  <c r="H139" i="11" s="1"/>
  <c r="AN138" i="11"/>
  <c r="AM138" i="11"/>
  <c r="AL138" i="11"/>
  <c r="AK138" i="11"/>
  <c r="AH138" i="11"/>
  <c r="AF138" i="11"/>
  <c r="AG138" i="11" s="1"/>
  <c r="J138" i="11"/>
  <c r="G138" i="11"/>
  <c r="H138" i="11" s="1"/>
  <c r="AN137" i="11"/>
  <c r="AM137" i="11"/>
  <c r="AL137" i="11"/>
  <c r="AK137" i="11"/>
  <c r="AH137" i="11"/>
  <c r="AF137" i="11"/>
  <c r="AG137" i="11" s="1"/>
  <c r="J137" i="11"/>
  <c r="G137" i="11"/>
  <c r="H137" i="11" s="1"/>
  <c r="AN136" i="11"/>
  <c r="AM136" i="11"/>
  <c r="AL136" i="11"/>
  <c r="AK136" i="11"/>
  <c r="AH136" i="11"/>
  <c r="AF136" i="11"/>
  <c r="AG136" i="11" s="1"/>
  <c r="J136" i="11"/>
  <c r="G136" i="11"/>
  <c r="H136" i="11" s="1"/>
  <c r="AN135" i="11"/>
  <c r="AM135" i="11"/>
  <c r="AL135" i="11"/>
  <c r="AK135" i="11"/>
  <c r="AH135" i="11"/>
  <c r="AF135" i="11"/>
  <c r="AG135" i="11" s="1"/>
  <c r="J135" i="11"/>
  <c r="G135" i="11"/>
  <c r="H135" i="11" s="1"/>
  <c r="AN134" i="11"/>
  <c r="AM134" i="11"/>
  <c r="AL134" i="11"/>
  <c r="AK134" i="11"/>
  <c r="AH134" i="11"/>
  <c r="AF134" i="11"/>
  <c r="AG134" i="11" s="1"/>
  <c r="J134" i="11"/>
  <c r="G134" i="11"/>
  <c r="H134" i="11" s="1"/>
  <c r="AN133" i="11"/>
  <c r="AM133" i="11"/>
  <c r="AL133" i="11"/>
  <c r="AK133" i="11"/>
  <c r="AH133" i="11"/>
  <c r="AF133" i="11"/>
  <c r="AG133" i="11" s="1"/>
  <c r="J133" i="11"/>
  <c r="G133" i="11"/>
  <c r="H133" i="11" s="1"/>
  <c r="AN132" i="11"/>
  <c r="AM132" i="11"/>
  <c r="AL132" i="11"/>
  <c r="AK132" i="11"/>
  <c r="AH132" i="11"/>
  <c r="AF132" i="11"/>
  <c r="AG132" i="11" s="1"/>
  <c r="J132" i="11"/>
  <c r="G132" i="11"/>
  <c r="H132" i="11" s="1"/>
  <c r="AN131" i="11"/>
  <c r="AM131" i="11"/>
  <c r="AL131" i="11"/>
  <c r="AK131" i="11"/>
  <c r="AH131" i="11"/>
  <c r="AF131" i="11"/>
  <c r="AG131" i="11" s="1"/>
  <c r="J131" i="11"/>
  <c r="G131" i="11"/>
  <c r="H131" i="11" s="1"/>
  <c r="AN130" i="11"/>
  <c r="AM130" i="11"/>
  <c r="AL130" i="11"/>
  <c r="AK130" i="11"/>
  <c r="AH130" i="11"/>
  <c r="AF130" i="11"/>
  <c r="AG130" i="11" s="1"/>
  <c r="J130" i="11"/>
  <c r="G130" i="11"/>
  <c r="H130" i="11" s="1"/>
  <c r="AN129" i="11"/>
  <c r="AM129" i="11"/>
  <c r="AL129" i="11"/>
  <c r="AK129" i="11"/>
  <c r="AH129" i="11"/>
  <c r="AF129" i="11"/>
  <c r="AG129" i="11" s="1"/>
  <c r="J129" i="11"/>
  <c r="G129" i="11"/>
  <c r="H129" i="11" s="1"/>
  <c r="AN128" i="11"/>
  <c r="AM128" i="11"/>
  <c r="AL128" i="11"/>
  <c r="AK128" i="11"/>
  <c r="AH128" i="11"/>
  <c r="AF128" i="11"/>
  <c r="AG128" i="11" s="1"/>
  <c r="J128" i="11"/>
  <c r="G128" i="11"/>
  <c r="H128" i="11" s="1"/>
  <c r="AN127" i="11"/>
  <c r="AM127" i="11"/>
  <c r="AL127" i="11"/>
  <c r="AK127" i="11"/>
  <c r="AH127" i="11"/>
  <c r="AF127" i="11"/>
  <c r="AG127" i="11" s="1"/>
  <c r="J127" i="11"/>
  <c r="G127" i="11"/>
  <c r="H127" i="11" s="1"/>
  <c r="AN126" i="11"/>
  <c r="AM126" i="11"/>
  <c r="AL126" i="11"/>
  <c r="AK126" i="11"/>
  <c r="AH126" i="11"/>
  <c r="AF126" i="11"/>
  <c r="AG126" i="11" s="1"/>
  <c r="J126" i="11"/>
  <c r="G126" i="11"/>
  <c r="H126" i="11" s="1"/>
  <c r="AN125" i="11"/>
  <c r="AM125" i="11"/>
  <c r="AL125" i="11"/>
  <c r="AK125" i="11"/>
  <c r="AH125" i="11"/>
  <c r="AF125" i="11"/>
  <c r="AG125" i="11" s="1"/>
  <c r="J125" i="11"/>
  <c r="G125" i="11"/>
  <c r="H125" i="11" s="1"/>
  <c r="AN124" i="11"/>
  <c r="AM124" i="11"/>
  <c r="AL124" i="11"/>
  <c r="AK124" i="11"/>
  <c r="AH124" i="11"/>
  <c r="AF124" i="11"/>
  <c r="AG124" i="11" s="1"/>
  <c r="J124" i="11"/>
  <c r="G124" i="11"/>
  <c r="H124" i="11" s="1"/>
  <c r="AN123" i="11"/>
  <c r="AM123" i="11"/>
  <c r="AL123" i="11"/>
  <c r="AK123" i="11"/>
  <c r="AH123" i="11"/>
  <c r="AF123" i="11"/>
  <c r="AG123" i="11" s="1"/>
  <c r="J123" i="11"/>
  <c r="G123" i="11"/>
  <c r="H123" i="11" s="1"/>
  <c r="AN122" i="11"/>
  <c r="AM122" i="11"/>
  <c r="AL122" i="11"/>
  <c r="AK122" i="11"/>
  <c r="AH122" i="11"/>
  <c r="AF122" i="11"/>
  <c r="AG122" i="11" s="1"/>
  <c r="J122" i="11"/>
  <c r="G122" i="11"/>
  <c r="H122" i="11" s="1"/>
  <c r="AN121" i="11"/>
  <c r="AM121" i="11"/>
  <c r="AL121" i="11"/>
  <c r="AK121" i="11"/>
  <c r="AH121" i="11"/>
  <c r="AF121" i="11"/>
  <c r="AG121" i="11" s="1"/>
  <c r="J121" i="11"/>
  <c r="G121" i="11"/>
  <c r="H121" i="11" s="1"/>
  <c r="AN120" i="11"/>
  <c r="AM120" i="11"/>
  <c r="AL120" i="11"/>
  <c r="AK120" i="11"/>
  <c r="AH120" i="11"/>
  <c r="AF120" i="11"/>
  <c r="AG120" i="11" s="1"/>
  <c r="J120" i="11"/>
  <c r="G120" i="11"/>
  <c r="H120" i="11" s="1"/>
  <c r="AN119" i="11"/>
  <c r="AM119" i="11"/>
  <c r="AL119" i="11"/>
  <c r="AK119" i="11"/>
  <c r="AH119" i="11"/>
  <c r="AF119" i="11"/>
  <c r="AG119" i="11" s="1"/>
  <c r="J119" i="11"/>
  <c r="G119" i="11"/>
  <c r="H119" i="11" s="1"/>
  <c r="AN118" i="11"/>
  <c r="AM118" i="11"/>
  <c r="AL118" i="11"/>
  <c r="AK118" i="11"/>
  <c r="AH118" i="11"/>
  <c r="AF118" i="11"/>
  <c r="AG118" i="11" s="1"/>
  <c r="J118" i="11"/>
  <c r="G118" i="11"/>
  <c r="H118" i="11" s="1"/>
  <c r="AN117" i="11"/>
  <c r="AM117" i="11"/>
  <c r="AL117" i="11"/>
  <c r="AK117" i="11"/>
  <c r="AH117" i="11"/>
  <c r="AF117" i="11"/>
  <c r="AG117" i="11" s="1"/>
  <c r="J117" i="11"/>
  <c r="G117" i="11"/>
  <c r="H117" i="11" s="1"/>
  <c r="AN116" i="11"/>
  <c r="AM116" i="11"/>
  <c r="AL116" i="11"/>
  <c r="AK116" i="11"/>
  <c r="AH116" i="11"/>
  <c r="AF116" i="11"/>
  <c r="AG116" i="11" s="1"/>
  <c r="J116" i="11"/>
  <c r="G116" i="11"/>
  <c r="H116" i="11" s="1"/>
  <c r="AN115" i="11"/>
  <c r="AM115" i="11"/>
  <c r="AL115" i="11"/>
  <c r="AK115" i="11"/>
  <c r="AH115" i="11"/>
  <c r="AF115" i="11"/>
  <c r="AG115" i="11" s="1"/>
  <c r="J115" i="11"/>
  <c r="G115" i="11"/>
  <c r="H115" i="11" s="1"/>
  <c r="AN114" i="11"/>
  <c r="AM114" i="11"/>
  <c r="AL114" i="11"/>
  <c r="AK114" i="11"/>
  <c r="AH114" i="11"/>
  <c r="AF114" i="11"/>
  <c r="AG114" i="11" s="1"/>
  <c r="J114" i="11"/>
  <c r="G114" i="11"/>
  <c r="H114" i="11" s="1"/>
  <c r="AN113" i="11"/>
  <c r="AM113" i="11"/>
  <c r="AL113" i="11"/>
  <c r="AK113" i="11"/>
  <c r="AH113" i="11"/>
  <c r="AF113" i="11"/>
  <c r="AG113" i="11" s="1"/>
  <c r="J113" i="11"/>
  <c r="G113" i="11"/>
  <c r="H113" i="11" s="1"/>
  <c r="AN112" i="11"/>
  <c r="AM112" i="11"/>
  <c r="AL112" i="11"/>
  <c r="AK112" i="11"/>
  <c r="AH112" i="11"/>
  <c r="AF112" i="11"/>
  <c r="AG112" i="11" s="1"/>
  <c r="J112" i="11"/>
  <c r="G112" i="11"/>
  <c r="H112" i="11" s="1"/>
  <c r="AN111" i="11"/>
  <c r="AM111" i="11"/>
  <c r="AL111" i="11"/>
  <c r="AK111" i="11"/>
  <c r="AH111" i="11"/>
  <c r="AF111" i="11"/>
  <c r="AG111" i="11" s="1"/>
  <c r="AI111" i="11" s="1"/>
  <c r="J111" i="11"/>
  <c r="G111" i="11"/>
  <c r="H111" i="11" s="1"/>
  <c r="AN110" i="11"/>
  <c r="AM110" i="11"/>
  <c r="AL110" i="11"/>
  <c r="AK110" i="11"/>
  <c r="AH110" i="11"/>
  <c r="AF110" i="11"/>
  <c r="AG110" i="11" s="1"/>
  <c r="J110" i="11"/>
  <c r="G110" i="11"/>
  <c r="H110" i="11" s="1"/>
  <c r="AN109" i="11"/>
  <c r="AM109" i="11"/>
  <c r="AL109" i="11"/>
  <c r="AK109" i="11"/>
  <c r="AH109" i="11"/>
  <c r="AF109" i="11"/>
  <c r="AG109" i="11" s="1"/>
  <c r="J109" i="11"/>
  <c r="G109" i="11"/>
  <c r="H109" i="11" s="1"/>
  <c r="AN108" i="11"/>
  <c r="AM108" i="11"/>
  <c r="AL108" i="11"/>
  <c r="AK108" i="11"/>
  <c r="AH108" i="11"/>
  <c r="AF108" i="11"/>
  <c r="AG108" i="11" s="1"/>
  <c r="J108" i="11"/>
  <c r="G108" i="11"/>
  <c r="H108" i="11" s="1"/>
  <c r="AN107" i="11"/>
  <c r="AM107" i="11"/>
  <c r="AL107" i="11"/>
  <c r="AK107" i="11"/>
  <c r="AH107" i="11"/>
  <c r="AF107" i="11"/>
  <c r="AG107" i="11" s="1"/>
  <c r="J107" i="11"/>
  <c r="G107" i="11"/>
  <c r="H107" i="11" s="1"/>
  <c r="AN106" i="11"/>
  <c r="AM106" i="11"/>
  <c r="AL106" i="11"/>
  <c r="AK106" i="11"/>
  <c r="AH106" i="11"/>
  <c r="AF106" i="11"/>
  <c r="AG106" i="11" s="1"/>
  <c r="J106" i="11"/>
  <c r="G106" i="11"/>
  <c r="H106" i="11" s="1"/>
  <c r="AN105" i="11"/>
  <c r="AM105" i="11"/>
  <c r="AL105" i="11"/>
  <c r="AK105" i="11"/>
  <c r="AH105" i="11"/>
  <c r="AF105" i="11"/>
  <c r="AG105" i="11" s="1"/>
  <c r="J105" i="11"/>
  <c r="G105" i="11"/>
  <c r="H105" i="11" s="1"/>
  <c r="AN104" i="11"/>
  <c r="AM104" i="11"/>
  <c r="AL104" i="11"/>
  <c r="AK104" i="11"/>
  <c r="AH104" i="11"/>
  <c r="AF104" i="11"/>
  <c r="AG104" i="11" s="1"/>
  <c r="J104" i="11"/>
  <c r="G104" i="11"/>
  <c r="H104" i="11" s="1"/>
  <c r="AN103" i="11"/>
  <c r="AM103" i="11"/>
  <c r="AL103" i="11"/>
  <c r="AK103" i="11"/>
  <c r="AH103" i="11"/>
  <c r="AF103" i="11"/>
  <c r="AG103" i="11" s="1"/>
  <c r="J103" i="11"/>
  <c r="G103" i="11"/>
  <c r="H103" i="11" s="1"/>
  <c r="AN102" i="11"/>
  <c r="AM102" i="11"/>
  <c r="AL102" i="11"/>
  <c r="AK102" i="11"/>
  <c r="AH102" i="11"/>
  <c r="AF102" i="11"/>
  <c r="AG102" i="11" s="1"/>
  <c r="J102" i="11"/>
  <c r="G102" i="11"/>
  <c r="H102" i="11" s="1"/>
  <c r="AN101" i="11"/>
  <c r="AM101" i="11"/>
  <c r="AL101" i="11"/>
  <c r="AK101" i="11"/>
  <c r="AH101" i="11"/>
  <c r="AF101" i="11"/>
  <c r="AG101" i="11" s="1"/>
  <c r="J101" i="11"/>
  <c r="G101" i="11"/>
  <c r="H101" i="11" s="1"/>
  <c r="AN100" i="11"/>
  <c r="AM100" i="11"/>
  <c r="AL100" i="11"/>
  <c r="AK100" i="11"/>
  <c r="AH100" i="11"/>
  <c r="AF100" i="11"/>
  <c r="AG100" i="11" s="1"/>
  <c r="J100" i="11"/>
  <c r="G100" i="11"/>
  <c r="H100" i="11" s="1"/>
  <c r="AN99" i="11"/>
  <c r="AM99" i="11"/>
  <c r="AL99" i="11"/>
  <c r="AK99" i="11"/>
  <c r="AH99" i="11"/>
  <c r="AF99" i="11"/>
  <c r="AG99" i="11" s="1"/>
  <c r="J99" i="11"/>
  <c r="G99" i="11"/>
  <c r="H99" i="11" s="1"/>
  <c r="AN98" i="11"/>
  <c r="AM98" i="11"/>
  <c r="AL98" i="11"/>
  <c r="AK98" i="11"/>
  <c r="AH98" i="11"/>
  <c r="AF98" i="11"/>
  <c r="AG98" i="11" s="1"/>
  <c r="J98" i="11"/>
  <c r="G98" i="11"/>
  <c r="H98" i="11" s="1"/>
  <c r="AN97" i="11"/>
  <c r="AM97" i="11"/>
  <c r="AL97" i="11"/>
  <c r="AK97" i="11"/>
  <c r="AH97" i="11"/>
  <c r="AF97" i="11"/>
  <c r="AG97" i="11" s="1"/>
  <c r="J97" i="11"/>
  <c r="G97" i="11"/>
  <c r="H97" i="11" s="1"/>
  <c r="AN96" i="11"/>
  <c r="AM96" i="11"/>
  <c r="AL96" i="11"/>
  <c r="AK96" i="11"/>
  <c r="AH96" i="11"/>
  <c r="AF96" i="11"/>
  <c r="AG96" i="11" s="1"/>
  <c r="J96" i="11"/>
  <c r="G96" i="11"/>
  <c r="H96" i="11" s="1"/>
  <c r="AN95" i="11"/>
  <c r="AM95" i="11"/>
  <c r="AL95" i="11"/>
  <c r="AK95" i="11"/>
  <c r="AH95" i="11"/>
  <c r="AF95" i="11"/>
  <c r="AG95" i="11" s="1"/>
  <c r="AI95" i="11" s="1"/>
  <c r="J95" i="11"/>
  <c r="G95" i="11"/>
  <c r="H95" i="11" s="1"/>
  <c r="AN94" i="11"/>
  <c r="AM94" i="11"/>
  <c r="AL94" i="11"/>
  <c r="AK94" i="11"/>
  <c r="AH94" i="11"/>
  <c r="AF94" i="11"/>
  <c r="AG94" i="11" s="1"/>
  <c r="J94" i="11"/>
  <c r="G94" i="11"/>
  <c r="H94" i="11" s="1"/>
  <c r="AN93" i="11"/>
  <c r="AM93" i="11"/>
  <c r="AL93" i="11"/>
  <c r="AK93" i="11"/>
  <c r="AH93" i="11"/>
  <c r="AF93" i="11"/>
  <c r="AG93" i="11" s="1"/>
  <c r="J93" i="11"/>
  <c r="G93" i="11"/>
  <c r="H93" i="11" s="1"/>
  <c r="AN92" i="11"/>
  <c r="AM92" i="11"/>
  <c r="AL92" i="11"/>
  <c r="AK92" i="11"/>
  <c r="AH92" i="11"/>
  <c r="AF92" i="11"/>
  <c r="AG92" i="11" s="1"/>
  <c r="J92" i="11"/>
  <c r="G92" i="11"/>
  <c r="H92" i="11" s="1"/>
  <c r="AN91" i="11"/>
  <c r="AM91" i="11"/>
  <c r="AL91" i="11"/>
  <c r="AK91" i="11"/>
  <c r="AH91" i="11"/>
  <c r="AF91" i="11"/>
  <c r="AG91" i="11" s="1"/>
  <c r="J91" i="11"/>
  <c r="G91" i="11"/>
  <c r="H91" i="11" s="1"/>
  <c r="AN90" i="11"/>
  <c r="AM90" i="11"/>
  <c r="AL90" i="11"/>
  <c r="AK90" i="11"/>
  <c r="AH90" i="11"/>
  <c r="AF90" i="11"/>
  <c r="AG90" i="11" s="1"/>
  <c r="J90" i="11"/>
  <c r="G90" i="11"/>
  <c r="H90" i="11" s="1"/>
  <c r="AN89" i="11"/>
  <c r="AM89" i="11"/>
  <c r="AL89" i="11"/>
  <c r="AK89" i="11"/>
  <c r="AH89" i="11"/>
  <c r="AF89" i="11"/>
  <c r="AG89" i="11" s="1"/>
  <c r="J89" i="11"/>
  <c r="G89" i="11"/>
  <c r="H89" i="11" s="1"/>
  <c r="AN88" i="11"/>
  <c r="AM88" i="11"/>
  <c r="AL88" i="11"/>
  <c r="AK88" i="11"/>
  <c r="AH88" i="11"/>
  <c r="AF88" i="11"/>
  <c r="AG88" i="11" s="1"/>
  <c r="J88" i="11"/>
  <c r="G88" i="11"/>
  <c r="H88" i="11" s="1"/>
  <c r="AN87" i="11"/>
  <c r="AM87" i="11"/>
  <c r="AL87" i="11"/>
  <c r="AK87" i="11"/>
  <c r="AH87" i="11"/>
  <c r="AF87" i="11"/>
  <c r="AG87" i="11" s="1"/>
  <c r="J87" i="11"/>
  <c r="G87" i="11"/>
  <c r="H87" i="11" s="1"/>
  <c r="AN86" i="11"/>
  <c r="AM86" i="11"/>
  <c r="AL86" i="11"/>
  <c r="AK86" i="11"/>
  <c r="AH86" i="11"/>
  <c r="AF86" i="11"/>
  <c r="AG86" i="11" s="1"/>
  <c r="AI86" i="11" s="1"/>
  <c r="J86" i="11"/>
  <c r="G86" i="11"/>
  <c r="H86" i="11" s="1"/>
  <c r="AN85" i="11"/>
  <c r="AM85" i="11"/>
  <c r="AL85" i="11"/>
  <c r="AK85" i="11"/>
  <c r="AH85" i="11"/>
  <c r="AF85" i="11"/>
  <c r="AG85" i="11" s="1"/>
  <c r="J85" i="11"/>
  <c r="G85" i="11"/>
  <c r="H85" i="11" s="1"/>
  <c r="AN84" i="11"/>
  <c r="AM84" i="11"/>
  <c r="AL84" i="11"/>
  <c r="AK84" i="11"/>
  <c r="AH84" i="11"/>
  <c r="AF84" i="11"/>
  <c r="AG84" i="11" s="1"/>
  <c r="J84" i="11"/>
  <c r="G84" i="11"/>
  <c r="H84" i="11" s="1"/>
  <c r="AN83" i="11"/>
  <c r="AM83" i="11"/>
  <c r="AL83" i="11"/>
  <c r="AK83" i="11"/>
  <c r="AH83" i="11"/>
  <c r="AF83" i="11"/>
  <c r="AG83" i="11" s="1"/>
  <c r="AI83" i="11" s="1"/>
  <c r="J83" i="11"/>
  <c r="G83" i="11"/>
  <c r="H83" i="11" s="1"/>
  <c r="AN82" i="11"/>
  <c r="AM82" i="11"/>
  <c r="AL82" i="11"/>
  <c r="AK82" i="11"/>
  <c r="AH82" i="11"/>
  <c r="AF82" i="11"/>
  <c r="AG82" i="11" s="1"/>
  <c r="AI82" i="11" s="1"/>
  <c r="J82" i="11"/>
  <c r="G82" i="11"/>
  <c r="H82" i="11" s="1"/>
  <c r="AN81" i="11"/>
  <c r="AM81" i="11"/>
  <c r="AL81" i="11"/>
  <c r="AK81" i="11"/>
  <c r="AH81" i="11"/>
  <c r="AF81" i="11"/>
  <c r="AG81" i="11" s="1"/>
  <c r="AI81" i="11" s="1"/>
  <c r="J81" i="11"/>
  <c r="G81" i="11"/>
  <c r="H81" i="11" s="1"/>
  <c r="AN80" i="11"/>
  <c r="AM80" i="11"/>
  <c r="AL80" i="11"/>
  <c r="AK80" i="11"/>
  <c r="AH80" i="11"/>
  <c r="AF80" i="11"/>
  <c r="AG80" i="11" s="1"/>
  <c r="J80" i="11"/>
  <c r="G80" i="11"/>
  <c r="H80" i="11" s="1"/>
  <c r="AN79" i="11"/>
  <c r="AM79" i="11"/>
  <c r="AL79" i="11"/>
  <c r="AK79" i="11"/>
  <c r="AH79" i="11"/>
  <c r="AF79" i="11"/>
  <c r="AG79" i="11" s="1"/>
  <c r="J79" i="11"/>
  <c r="G79" i="11"/>
  <c r="H79" i="11" s="1"/>
  <c r="AN78" i="11"/>
  <c r="AM78" i="11"/>
  <c r="AL78" i="11"/>
  <c r="AK78" i="11"/>
  <c r="AH78" i="11"/>
  <c r="AF78" i="11"/>
  <c r="AG78" i="11" s="1"/>
  <c r="J78" i="11"/>
  <c r="G78" i="11"/>
  <c r="H78" i="11" s="1"/>
  <c r="AN77" i="11"/>
  <c r="AM77" i="11"/>
  <c r="AL77" i="11"/>
  <c r="AK77" i="11"/>
  <c r="AH77" i="11"/>
  <c r="AF77" i="11"/>
  <c r="AG77" i="11" s="1"/>
  <c r="J77" i="11"/>
  <c r="G77" i="11"/>
  <c r="H77" i="11" s="1"/>
  <c r="AN76" i="11"/>
  <c r="AM76" i="11"/>
  <c r="AL76" i="11"/>
  <c r="AK76" i="11"/>
  <c r="AH76" i="11"/>
  <c r="AF76" i="11"/>
  <c r="AG76" i="11" s="1"/>
  <c r="J76" i="11"/>
  <c r="G76" i="11"/>
  <c r="H76" i="11" s="1"/>
  <c r="AN75" i="11"/>
  <c r="AM75" i="11"/>
  <c r="AL75" i="11"/>
  <c r="AK75" i="11"/>
  <c r="AH75" i="11"/>
  <c r="AF75" i="11"/>
  <c r="AG75" i="11" s="1"/>
  <c r="J75" i="11"/>
  <c r="G75" i="11"/>
  <c r="H75" i="11" s="1"/>
  <c r="AN74" i="11"/>
  <c r="AM74" i="11"/>
  <c r="AL74" i="11"/>
  <c r="AK74" i="11"/>
  <c r="AH74" i="11"/>
  <c r="AF74" i="11"/>
  <c r="AG74" i="11" s="1"/>
  <c r="J74" i="11"/>
  <c r="G74" i="11"/>
  <c r="H74" i="11" s="1"/>
  <c r="AN73" i="11"/>
  <c r="AM73" i="11"/>
  <c r="AL73" i="11"/>
  <c r="AK73" i="11"/>
  <c r="AH73" i="11"/>
  <c r="AF73" i="11"/>
  <c r="AG73" i="11" s="1"/>
  <c r="J73" i="11"/>
  <c r="G73" i="11"/>
  <c r="H73" i="11" s="1"/>
  <c r="AN72" i="11"/>
  <c r="AM72" i="11"/>
  <c r="AL72" i="11"/>
  <c r="AK72" i="11"/>
  <c r="AH72" i="11"/>
  <c r="AF72" i="11"/>
  <c r="AG72" i="11" s="1"/>
  <c r="J72" i="11"/>
  <c r="G72" i="11"/>
  <c r="H72" i="11" s="1"/>
  <c r="AN71" i="11"/>
  <c r="AM71" i="11"/>
  <c r="AL71" i="11"/>
  <c r="AK71" i="11"/>
  <c r="AH71" i="11"/>
  <c r="AF71" i="11"/>
  <c r="AG71" i="11" s="1"/>
  <c r="AI71" i="11" s="1"/>
  <c r="J71" i="11"/>
  <c r="G71" i="11"/>
  <c r="H71" i="11" s="1"/>
  <c r="AN70" i="11"/>
  <c r="AM70" i="11"/>
  <c r="AL70" i="11"/>
  <c r="AK70" i="11"/>
  <c r="AH70" i="11"/>
  <c r="AF70" i="11"/>
  <c r="AG70" i="11" s="1"/>
  <c r="J70" i="11"/>
  <c r="G70" i="11"/>
  <c r="H70" i="11" s="1"/>
  <c r="AN69" i="11"/>
  <c r="AM69" i="11"/>
  <c r="AL69" i="11"/>
  <c r="AK69" i="11"/>
  <c r="AH69" i="11"/>
  <c r="AF69" i="11"/>
  <c r="AG69" i="11" s="1"/>
  <c r="J69" i="11"/>
  <c r="G69" i="11"/>
  <c r="H69" i="11" s="1"/>
  <c r="AN68" i="11"/>
  <c r="AM68" i="11"/>
  <c r="AL68" i="11"/>
  <c r="AK68" i="11"/>
  <c r="AH68" i="11"/>
  <c r="AF68" i="11"/>
  <c r="AG68" i="11" s="1"/>
  <c r="J68" i="11"/>
  <c r="G68" i="11"/>
  <c r="H68" i="11" s="1"/>
  <c r="AN67" i="11"/>
  <c r="AM67" i="11"/>
  <c r="AL67" i="11"/>
  <c r="AK67" i="11"/>
  <c r="AH67" i="11"/>
  <c r="AF67" i="11"/>
  <c r="AG67" i="11" s="1"/>
  <c r="J67" i="11"/>
  <c r="G67" i="11"/>
  <c r="H67" i="11" s="1"/>
  <c r="AN66" i="11"/>
  <c r="AM66" i="11"/>
  <c r="AL66" i="11"/>
  <c r="AK66" i="11"/>
  <c r="AH66" i="11"/>
  <c r="AF66" i="11"/>
  <c r="AG66" i="11" s="1"/>
  <c r="J66" i="11"/>
  <c r="G66" i="11"/>
  <c r="H66" i="11" s="1"/>
  <c r="AN65" i="11"/>
  <c r="AM65" i="11"/>
  <c r="AL65" i="11"/>
  <c r="AK65" i="11"/>
  <c r="AH65" i="11"/>
  <c r="AF65" i="11"/>
  <c r="AG65" i="11" s="1"/>
  <c r="J65" i="11"/>
  <c r="G65" i="11"/>
  <c r="H65" i="11" s="1"/>
  <c r="AN64" i="11"/>
  <c r="AM64" i="11"/>
  <c r="AL64" i="11"/>
  <c r="AK64" i="11"/>
  <c r="AH64" i="11"/>
  <c r="AF64" i="11"/>
  <c r="AG64" i="11" s="1"/>
  <c r="J64" i="11"/>
  <c r="G64" i="11"/>
  <c r="H64" i="11" s="1"/>
  <c r="AN63" i="11"/>
  <c r="AM63" i="11"/>
  <c r="AL63" i="11"/>
  <c r="AK63" i="11"/>
  <c r="AH63" i="11"/>
  <c r="AF63" i="11"/>
  <c r="AG63" i="11" s="1"/>
  <c r="J63" i="11"/>
  <c r="G63" i="11"/>
  <c r="H63" i="11" s="1"/>
  <c r="AN62" i="11"/>
  <c r="AM62" i="11"/>
  <c r="AL62" i="11"/>
  <c r="AK62" i="11"/>
  <c r="AH62" i="11"/>
  <c r="AF62" i="11"/>
  <c r="AG62" i="11" s="1"/>
  <c r="J62" i="11"/>
  <c r="G62" i="11"/>
  <c r="H62" i="11" s="1"/>
  <c r="AN61" i="11"/>
  <c r="AM61" i="11"/>
  <c r="AL61" i="11"/>
  <c r="AK61" i="11"/>
  <c r="AH61" i="11"/>
  <c r="AF61" i="11"/>
  <c r="AG61" i="11" s="1"/>
  <c r="J61" i="11"/>
  <c r="G61" i="11"/>
  <c r="H61" i="11" s="1"/>
  <c r="AN60" i="11"/>
  <c r="AM60" i="11"/>
  <c r="AL60" i="11"/>
  <c r="AK60" i="11"/>
  <c r="AH60" i="11"/>
  <c r="AF60" i="11"/>
  <c r="AG60" i="11" s="1"/>
  <c r="J60" i="11"/>
  <c r="G60" i="11"/>
  <c r="H60" i="11" s="1"/>
  <c r="AN59" i="11"/>
  <c r="AM59" i="11"/>
  <c r="AL59" i="11"/>
  <c r="AK59" i="11"/>
  <c r="AH59" i="11"/>
  <c r="AF59" i="11"/>
  <c r="AG59" i="11" s="1"/>
  <c r="J59" i="11"/>
  <c r="G59" i="11"/>
  <c r="H59" i="11" s="1"/>
  <c r="AN58" i="11"/>
  <c r="AM58" i="11"/>
  <c r="AL58" i="11"/>
  <c r="AK58" i="11"/>
  <c r="AH58" i="11"/>
  <c r="AF58" i="11"/>
  <c r="AG58" i="11" s="1"/>
  <c r="J58" i="11"/>
  <c r="G58" i="11"/>
  <c r="H58" i="11" s="1"/>
  <c r="AN57" i="11"/>
  <c r="AM57" i="11"/>
  <c r="AL57" i="11"/>
  <c r="AK57" i="11"/>
  <c r="AH57" i="11"/>
  <c r="AF57" i="11"/>
  <c r="AG57" i="11" s="1"/>
  <c r="J57" i="11"/>
  <c r="G57" i="11"/>
  <c r="H57" i="11" s="1"/>
  <c r="AN56" i="11"/>
  <c r="AM56" i="11"/>
  <c r="AL56" i="11"/>
  <c r="AK56" i="11"/>
  <c r="AH56" i="11"/>
  <c r="AF56" i="11"/>
  <c r="AG56" i="11" s="1"/>
  <c r="J56" i="11"/>
  <c r="G56" i="11"/>
  <c r="H56" i="11" s="1"/>
  <c r="AN55" i="11"/>
  <c r="AM55" i="11"/>
  <c r="AL55" i="11"/>
  <c r="AK55" i="11"/>
  <c r="AH55" i="11"/>
  <c r="AF55" i="11"/>
  <c r="AG55" i="11" s="1"/>
  <c r="J55" i="11"/>
  <c r="G55" i="11"/>
  <c r="H55" i="11" s="1"/>
  <c r="AN54" i="11"/>
  <c r="AM54" i="11"/>
  <c r="AL54" i="11"/>
  <c r="AK54" i="11"/>
  <c r="AH54" i="11"/>
  <c r="AF54" i="11"/>
  <c r="AG54" i="11" s="1"/>
  <c r="J54" i="11"/>
  <c r="G54" i="11"/>
  <c r="H54" i="11" s="1"/>
  <c r="AN53" i="11"/>
  <c r="AM53" i="11"/>
  <c r="AL53" i="11"/>
  <c r="AK53" i="11"/>
  <c r="AH53" i="11"/>
  <c r="AF53" i="11"/>
  <c r="AG53" i="11" s="1"/>
  <c r="J53" i="11"/>
  <c r="G53" i="11"/>
  <c r="H53" i="11" s="1"/>
  <c r="AN52" i="11"/>
  <c r="AM52" i="11"/>
  <c r="AL52" i="11"/>
  <c r="AK52" i="11"/>
  <c r="AH52" i="11"/>
  <c r="AF52" i="11"/>
  <c r="AG52" i="11" s="1"/>
  <c r="J52" i="11"/>
  <c r="G52" i="11"/>
  <c r="H52" i="11" s="1"/>
  <c r="AN51" i="11"/>
  <c r="AM51" i="11"/>
  <c r="AL51" i="11"/>
  <c r="AK51" i="11"/>
  <c r="AH51" i="11"/>
  <c r="AF51" i="11"/>
  <c r="AG51" i="11" s="1"/>
  <c r="J51" i="11"/>
  <c r="G51" i="11"/>
  <c r="H51" i="11" s="1"/>
  <c r="AN50" i="11"/>
  <c r="AM50" i="11"/>
  <c r="AL50" i="11"/>
  <c r="AK50" i="11"/>
  <c r="AH50" i="11"/>
  <c r="AF50" i="11"/>
  <c r="AG50" i="11" s="1"/>
  <c r="J50" i="11"/>
  <c r="G50" i="11"/>
  <c r="H50" i="11" s="1"/>
  <c r="AN49" i="11"/>
  <c r="AM49" i="11"/>
  <c r="AL49" i="11"/>
  <c r="AK49" i="11"/>
  <c r="AH49" i="11"/>
  <c r="AF49" i="11"/>
  <c r="AG49" i="11" s="1"/>
  <c r="J49" i="11"/>
  <c r="G49" i="11"/>
  <c r="H49" i="11" s="1"/>
  <c r="AN48" i="11"/>
  <c r="AM48" i="11"/>
  <c r="AL48" i="11"/>
  <c r="AK48" i="11"/>
  <c r="AH48" i="11"/>
  <c r="AF48" i="11"/>
  <c r="AG48" i="11" s="1"/>
  <c r="J48" i="11"/>
  <c r="G48" i="11"/>
  <c r="H48" i="11" s="1"/>
  <c r="AN47" i="11"/>
  <c r="AM47" i="11"/>
  <c r="AL47" i="11"/>
  <c r="AK47" i="11"/>
  <c r="AH47" i="11"/>
  <c r="AF47" i="11"/>
  <c r="AG47" i="11" s="1"/>
  <c r="J47" i="11"/>
  <c r="G47" i="11"/>
  <c r="H47" i="11" s="1"/>
  <c r="AN46" i="11"/>
  <c r="AM46" i="11"/>
  <c r="AL46" i="11"/>
  <c r="AK46" i="11"/>
  <c r="AH46" i="11"/>
  <c r="AF46" i="11"/>
  <c r="AG46" i="11" s="1"/>
  <c r="J46" i="11"/>
  <c r="G46" i="11"/>
  <c r="H46" i="11" s="1"/>
  <c r="AN45" i="11"/>
  <c r="AM45" i="11"/>
  <c r="AL45" i="11"/>
  <c r="AK45" i="11"/>
  <c r="AH45" i="11"/>
  <c r="AF45" i="11"/>
  <c r="AG45" i="11" s="1"/>
  <c r="J45" i="11"/>
  <c r="G45" i="11"/>
  <c r="H45" i="11" s="1"/>
  <c r="AN44" i="11"/>
  <c r="AM44" i="11"/>
  <c r="AL44" i="11"/>
  <c r="AK44" i="11"/>
  <c r="AH44" i="11"/>
  <c r="AF44" i="11"/>
  <c r="AG44" i="11" s="1"/>
  <c r="J44" i="11"/>
  <c r="G44" i="11"/>
  <c r="H44" i="11" s="1"/>
  <c r="AN43" i="11"/>
  <c r="AM43" i="11"/>
  <c r="AL43" i="11"/>
  <c r="AK43" i="11"/>
  <c r="AH43" i="11"/>
  <c r="AF43" i="11"/>
  <c r="AG43" i="11" s="1"/>
  <c r="J43" i="11"/>
  <c r="G43" i="11"/>
  <c r="H43" i="11" s="1"/>
  <c r="AN42" i="11"/>
  <c r="AM42" i="11"/>
  <c r="AL42" i="11"/>
  <c r="AK42" i="11"/>
  <c r="AH42" i="11"/>
  <c r="AF42" i="11"/>
  <c r="AG42" i="11" s="1"/>
  <c r="J42" i="11"/>
  <c r="G42" i="11"/>
  <c r="H42" i="11" s="1"/>
  <c r="AN41" i="11"/>
  <c r="AM41" i="11"/>
  <c r="AL41" i="11"/>
  <c r="AK41" i="11"/>
  <c r="AH41" i="11"/>
  <c r="AF41" i="11"/>
  <c r="AG41" i="11" s="1"/>
  <c r="J41" i="11"/>
  <c r="G41" i="11"/>
  <c r="H41" i="11" s="1"/>
  <c r="AN40" i="11"/>
  <c r="AM40" i="11"/>
  <c r="AL40" i="11"/>
  <c r="AK40" i="11"/>
  <c r="AH40" i="11"/>
  <c r="AF40" i="11"/>
  <c r="AG40" i="11" s="1"/>
  <c r="J40" i="11"/>
  <c r="G40" i="11"/>
  <c r="H40" i="11" s="1"/>
  <c r="AN39" i="11"/>
  <c r="AM39" i="11"/>
  <c r="AL39" i="11"/>
  <c r="AK39" i="11"/>
  <c r="AH39" i="11"/>
  <c r="AF39" i="11"/>
  <c r="AG39" i="11" s="1"/>
  <c r="J39" i="11"/>
  <c r="G39" i="11"/>
  <c r="H39" i="11" s="1"/>
  <c r="AN38" i="11"/>
  <c r="AM38" i="11"/>
  <c r="AL38" i="11"/>
  <c r="AK38" i="11"/>
  <c r="AH38" i="11"/>
  <c r="AF38" i="11"/>
  <c r="AG38" i="11" s="1"/>
  <c r="J38" i="11"/>
  <c r="G38" i="11"/>
  <c r="H38" i="11" s="1"/>
  <c r="AN37" i="11"/>
  <c r="AM37" i="11"/>
  <c r="AL37" i="11"/>
  <c r="AK37" i="11"/>
  <c r="AH37" i="11"/>
  <c r="AF37" i="11"/>
  <c r="AG37" i="11" s="1"/>
  <c r="J37" i="11"/>
  <c r="G37" i="11"/>
  <c r="H37" i="11" s="1"/>
  <c r="AN36" i="11"/>
  <c r="AM36" i="11"/>
  <c r="AL36" i="11"/>
  <c r="AK36" i="11"/>
  <c r="AH36" i="11"/>
  <c r="AF36" i="11"/>
  <c r="AG36" i="11" s="1"/>
  <c r="J36" i="11"/>
  <c r="G36" i="11"/>
  <c r="H36" i="11" s="1"/>
  <c r="AN35" i="11"/>
  <c r="AM35" i="11"/>
  <c r="AL35" i="11"/>
  <c r="AK35" i="11"/>
  <c r="AH35" i="11"/>
  <c r="AF35" i="11"/>
  <c r="AG35" i="11" s="1"/>
  <c r="J35" i="11"/>
  <c r="G35" i="11"/>
  <c r="H35" i="11" s="1"/>
  <c r="AN34" i="11"/>
  <c r="AM34" i="11"/>
  <c r="AL34" i="11"/>
  <c r="AK34" i="11"/>
  <c r="AH34" i="11"/>
  <c r="AF34" i="11"/>
  <c r="AG34" i="11" s="1"/>
  <c r="J34" i="11"/>
  <c r="G34" i="11"/>
  <c r="H34" i="11" s="1"/>
  <c r="AN33" i="11"/>
  <c r="AM33" i="11"/>
  <c r="AL33" i="11"/>
  <c r="AK33" i="11"/>
  <c r="AH33" i="11"/>
  <c r="AF33" i="11"/>
  <c r="AG33" i="11" s="1"/>
  <c r="J33" i="11"/>
  <c r="G33" i="11"/>
  <c r="H33" i="11" s="1"/>
  <c r="AN32" i="11"/>
  <c r="AM32" i="11"/>
  <c r="AL32" i="11"/>
  <c r="AK32" i="11"/>
  <c r="AH32" i="11"/>
  <c r="AF32" i="11"/>
  <c r="AG32" i="11" s="1"/>
  <c r="J32" i="11"/>
  <c r="G32" i="11"/>
  <c r="H32" i="11" s="1"/>
  <c r="AN31" i="11"/>
  <c r="AM31" i="11"/>
  <c r="AL31" i="11"/>
  <c r="AK31" i="11"/>
  <c r="AH31" i="11"/>
  <c r="AF31" i="11"/>
  <c r="AG31" i="11" s="1"/>
  <c r="J31" i="11"/>
  <c r="G31" i="11"/>
  <c r="H31" i="11" s="1"/>
  <c r="AN30" i="11"/>
  <c r="AM30" i="11"/>
  <c r="AL30" i="11"/>
  <c r="AK30" i="11"/>
  <c r="AH30" i="11"/>
  <c r="AF30" i="11"/>
  <c r="AG30" i="11" s="1"/>
  <c r="J30" i="11"/>
  <c r="G30" i="11"/>
  <c r="H30" i="11" s="1"/>
  <c r="AN29" i="11"/>
  <c r="AM29" i="11"/>
  <c r="AL29" i="11"/>
  <c r="AK29" i="11"/>
  <c r="AH29" i="11"/>
  <c r="AF29" i="11"/>
  <c r="AG29" i="11" s="1"/>
  <c r="J29" i="11"/>
  <c r="G29" i="11"/>
  <c r="H29" i="11" s="1"/>
  <c r="AN28" i="11"/>
  <c r="AM28" i="11"/>
  <c r="AL28" i="11"/>
  <c r="AK28" i="11"/>
  <c r="AH28" i="11"/>
  <c r="AF28" i="11"/>
  <c r="AG28" i="11" s="1"/>
  <c r="J28" i="11"/>
  <c r="G28" i="11"/>
  <c r="H28" i="11" s="1"/>
  <c r="AN27" i="11"/>
  <c r="AM27" i="11"/>
  <c r="AL27" i="11"/>
  <c r="AK27" i="11"/>
  <c r="AH27" i="11"/>
  <c r="AF27" i="11"/>
  <c r="AG27" i="11" s="1"/>
  <c r="J27" i="11"/>
  <c r="G27" i="11"/>
  <c r="H27" i="11" s="1"/>
  <c r="AN26" i="11"/>
  <c r="AM26" i="11"/>
  <c r="AL26" i="11"/>
  <c r="AK26" i="11"/>
  <c r="AH26" i="11"/>
  <c r="AF26" i="11"/>
  <c r="AG26" i="11" s="1"/>
  <c r="J26" i="11"/>
  <c r="G26" i="11"/>
  <c r="H26" i="11" s="1"/>
  <c r="AN25" i="11"/>
  <c r="AM25" i="11"/>
  <c r="AL25" i="11"/>
  <c r="AK25" i="11"/>
  <c r="AH25" i="11"/>
  <c r="AF25" i="11"/>
  <c r="AG25" i="11" s="1"/>
  <c r="J25" i="11"/>
  <c r="G25" i="11"/>
  <c r="H25" i="11" s="1"/>
  <c r="AN24" i="11"/>
  <c r="AM24" i="11"/>
  <c r="AL24" i="11"/>
  <c r="AK24" i="11"/>
  <c r="AH24" i="11"/>
  <c r="AF24" i="11"/>
  <c r="AG24" i="11" s="1"/>
  <c r="J24" i="11"/>
  <c r="G24" i="11"/>
  <c r="H24" i="11" s="1"/>
  <c r="AN23" i="11"/>
  <c r="AM23" i="11"/>
  <c r="AL23" i="11"/>
  <c r="AK23" i="11"/>
  <c r="AH23" i="11"/>
  <c r="AF23" i="11"/>
  <c r="AG23" i="11" s="1"/>
  <c r="J23" i="11"/>
  <c r="G23" i="11"/>
  <c r="H23" i="11" s="1"/>
  <c r="AN22" i="11"/>
  <c r="AM22" i="11"/>
  <c r="AL22" i="11"/>
  <c r="AK22" i="11"/>
  <c r="AH22" i="11"/>
  <c r="AF22" i="11"/>
  <c r="AG22" i="11" s="1"/>
  <c r="J22" i="11"/>
  <c r="G22" i="11"/>
  <c r="H22" i="11" s="1"/>
  <c r="AN21" i="11"/>
  <c r="AM21" i="11"/>
  <c r="AL21" i="11"/>
  <c r="AK21" i="11"/>
  <c r="AH21" i="11"/>
  <c r="AF21" i="11"/>
  <c r="AG21" i="11" s="1"/>
  <c r="J21" i="11"/>
  <c r="G21" i="11"/>
  <c r="H21" i="11" s="1"/>
  <c r="AN20" i="11"/>
  <c r="AM20" i="11"/>
  <c r="AL20" i="11"/>
  <c r="AK20" i="11"/>
  <c r="AH20" i="11"/>
  <c r="AF20" i="11"/>
  <c r="AG20" i="11" s="1"/>
  <c r="J20" i="11"/>
  <c r="G20" i="11"/>
  <c r="H20" i="11" s="1"/>
  <c r="AN19" i="11"/>
  <c r="AM19" i="11"/>
  <c r="AL19" i="11"/>
  <c r="AK19" i="11"/>
  <c r="AH19" i="11"/>
  <c r="AF19" i="11"/>
  <c r="AG19" i="11" s="1"/>
  <c r="J19" i="11"/>
  <c r="G19" i="11"/>
  <c r="H19" i="11" s="1"/>
  <c r="AN18" i="11"/>
  <c r="AM18" i="11"/>
  <c r="AL18" i="11"/>
  <c r="AK18" i="11"/>
  <c r="AH18" i="11"/>
  <c r="AF18" i="11"/>
  <c r="AG18" i="11" s="1"/>
  <c r="J18" i="11"/>
  <c r="G18" i="11"/>
  <c r="H18" i="11" s="1"/>
  <c r="AN17" i="11"/>
  <c r="AM17" i="11"/>
  <c r="AL17" i="11"/>
  <c r="AK17" i="11"/>
  <c r="AH17" i="11"/>
  <c r="AF17" i="11"/>
  <c r="AG17" i="11" s="1"/>
  <c r="J17" i="11"/>
  <c r="G17" i="11"/>
  <c r="H17" i="11" s="1"/>
  <c r="AN16" i="11"/>
  <c r="AM16" i="11"/>
  <c r="AL16" i="11"/>
  <c r="AK16" i="11"/>
  <c r="AH16" i="11"/>
  <c r="AF16" i="11"/>
  <c r="AG16" i="11" s="1"/>
  <c r="J16" i="11"/>
  <c r="G16" i="11"/>
  <c r="H16" i="11" s="1"/>
  <c r="AN15" i="11"/>
  <c r="AM15" i="11"/>
  <c r="AL15" i="11"/>
  <c r="AK15" i="11"/>
  <c r="AH15" i="11"/>
  <c r="AF15" i="11"/>
  <c r="AG15" i="11" s="1"/>
  <c r="J15" i="11"/>
  <c r="G15" i="11"/>
  <c r="H15" i="11" s="1"/>
  <c r="AN14" i="11"/>
  <c r="AM14" i="11"/>
  <c r="AL14" i="11"/>
  <c r="AK14" i="11"/>
  <c r="AH14" i="11"/>
  <c r="AF14" i="11"/>
  <c r="AG14" i="11" s="1"/>
  <c r="J14" i="11"/>
  <c r="G14" i="11"/>
  <c r="H14" i="11" s="1"/>
  <c r="AN13" i="11"/>
  <c r="AM13" i="11"/>
  <c r="AL13" i="11"/>
  <c r="AK13" i="11"/>
  <c r="AH13" i="11"/>
  <c r="AF13" i="11"/>
  <c r="AG13" i="11" s="1"/>
  <c r="J13" i="11"/>
  <c r="G13" i="11"/>
  <c r="H13" i="11" s="1"/>
  <c r="AN12" i="11"/>
  <c r="AM12" i="11"/>
  <c r="AL12" i="11"/>
  <c r="AK12" i="11"/>
  <c r="AH12" i="11"/>
  <c r="AF12" i="11"/>
  <c r="AG12" i="11" s="1"/>
  <c r="J12" i="11"/>
  <c r="G12" i="11"/>
  <c r="H12" i="11" s="1"/>
  <c r="AN11" i="11"/>
  <c r="AM11" i="11"/>
  <c r="AL11" i="11"/>
  <c r="AK11" i="11"/>
  <c r="AH11" i="11"/>
  <c r="AF11" i="11"/>
  <c r="AG11" i="11" s="1"/>
  <c r="J11" i="11"/>
  <c r="G11" i="11"/>
  <c r="H11" i="11" s="1"/>
  <c r="AN10" i="11"/>
  <c r="AM10" i="11"/>
  <c r="AL10" i="11"/>
  <c r="AK10" i="11"/>
  <c r="AH10" i="11"/>
  <c r="AF10" i="11"/>
  <c r="AG10" i="11" s="1"/>
  <c r="J10" i="11"/>
  <c r="G10" i="11"/>
  <c r="H10" i="11" s="1"/>
  <c r="AN9" i="11"/>
  <c r="AM9" i="11"/>
  <c r="AL9" i="11"/>
  <c r="AK9" i="11"/>
  <c r="AH9" i="11"/>
  <c r="AF9" i="11"/>
  <c r="AG9" i="11" s="1"/>
  <c r="J9" i="11"/>
  <c r="G9" i="11"/>
  <c r="H9" i="11" s="1"/>
  <c r="AN8" i="11"/>
  <c r="AM8" i="11"/>
  <c r="AL8" i="11"/>
  <c r="AK8" i="11"/>
  <c r="AH8" i="11"/>
  <c r="AF8" i="11"/>
  <c r="AG8" i="11" s="1"/>
  <c r="J8" i="11"/>
  <c r="G8" i="11"/>
  <c r="H8" i="11" s="1"/>
  <c r="AN7" i="11"/>
  <c r="AM7" i="11"/>
  <c r="AL7" i="11"/>
  <c r="AK7" i="11"/>
  <c r="AH7" i="11"/>
  <c r="AF7" i="11"/>
  <c r="AG7" i="11" s="1"/>
  <c r="J7" i="11"/>
  <c r="G7" i="11"/>
  <c r="H7" i="11" s="1"/>
  <c r="AN6" i="11"/>
  <c r="AM6" i="11"/>
  <c r="AL6" i="11"/>
  <c r="AK6" i="11"/>
  <c r="AH6" i="11"/>
  <c r="AF6" i="11"/>
  <c r="AG6" i="11" s="1"/>
  <c r="J6" i="11"/>
  <c r="G6" i="11"/>
  <c r="H6" i="11" s="1"/>
  <c r="AN5" i="11"/>
  <c r="AM5" i="11"/>
  <c r="AL5" i="11"/>
  <c r="AK5" i="11"/>
  <c r="AH5" i="11"/>
  <c r="AF5" i="11"/>
  <c r="AG5" i="11" s="1"/>
  <c r="J5" i="11"/>
  <c r="G5" i="11"/>
  <c r="H5" i="11" s="1"/>
  <c r="AN4" i="11"/>
  <c r="AM4" i="11"/>
  <c r="AL4" i="11"/>
  <c r="AK4" i="11"/>
  <c r="AH4" i="11"/>
  <c r="AF4" i="11"/>
  <c r="AG4" i="11" s="1"/>
  <c r="J4" i="11"/>
  <c r="G4" i="11"/>
  <c r="H4" i="11" s="1"/>
  <c r="AY633" i="1"/>
  <c r="AX633" i="1"/>
  <c r="AW633" i="1"/>
  <c r="AV633" i="1"/>
  <c r="AU633" i="1"/>
  <c r="J633" i="1"/>
  <c r="G633" i="1"/>
  <c r="H633" i="1" s="1"/>
  <c r="AX632" i="1"/>
  <c r="AW632" i="1"/>
  <c r="AV632" i="1"/>
  <c r="AU632" i="1"/>
  <c r="AN632" i="1"/>
  <c r="AL632" i="1"/>
  <c r="AM632" i="1" s="1"/>
  <c r="J632" i="1"/>
  <c r="G632" i="1"/>
  <c r="H632" i="1" s="1"/>
  <c r="AY631" i="1"/>
  <c r="AX631" i="1"/>
  <c r="AW631" i="1"/>
  <c r="AV631" i="1"/>
  <c r="AU631" i="1"/>
  <c r="J631" i="1"/>
  <c r="G631" i="1"/>
  <c r="H631" i="1" s="1"/>
  <c r="AX630" i="1"/>
  <c r="AW630" i="1"/>
  <c r="AV630" i="1"/>
  <c r="AU630" i="1"/>
  <c r="AN630" i="1"/>
  <c r="AL630" i="1"/>
  <c r="AM630" i="1" s="1"/>
  <c r="J630" i="1"/>
  <c r="G630" i="1"/>
  <c r="H630" i="1" s="1"/>
  <c r="AY627" i="1"/>
  <c r="AX627" i="1"/>
  <c r="AW627" i="1"/>
  <c r="AV627" i="1"/>
  <c r="AU627" i="1"/>
  <c r="J627" i="1"/>
  <c r="G627" i="1"/>
  <c r="H627" i="1" s="1"/>
  <c r="AX625" i="1"/>
  <c r="AW625" i="1"/>
  <c r="AV625" i="1"/>
  <c r="AU625" i="1"/>
  <c r="AN625" i="1"/>
  <c r="AL625" i="1"/>
  <c r="AM625" i="1" s="1"/>
  <c r="J625" i="1"/>
  <c r="G625" i="1"/>
  <c r="H625" i="1" s="1"/>
  <c r="AY624" i="1"/>
  <c r="AX624" i="1"/>
  <c r="AW624" i="1"/>
  <c r="AV624" i="1"/>
  <c r="AU624" i="1"/>
  <c r="J624" i="1"/>
  <c r="G624" i="1"/>
  <c r="H624" i="1" s="1"/>
  <c r="AY623" i="1"/>
  <c r="AX623" i="1"/>
  <c r="AW623" i="1"/>
  <c r="AV623" i="1"/>
  <c r="AU623" i="1"/>
  <c r="AS623" i="1"/>
  <c r="AQ623" i="1"/>
  <c r="AR623" i="1" s="1"/>
  <c r="J623" i="1"/>
  <c r="G623" i="1"/>
  <c r="H623" i="1" s="1"/>
  <c r="AX622" i="1"/>
  <c r="AW622" i="1"/>
  <c r="AV622" i="1"/>
  <c r="AU622" i="1"/>
  <c r="AN622" i="1"/>
  <c r="AL622" i="1"/>
  <c r="AM622" i="1" s="1"/>
  <c r="J622" i="1"/>
  <c r="G622" i="1"/>
  <c r="H622" i="1" s="1"/>
  <c r="AY621" i="1"/>
  <c r="AX621" i="1"/>
  <c r="AW621" i="1"/>
  <c r="AV621" i="1"/>
  <c r="AU621" i="1"/>
  <c r="J621" i="1"/>
  <c r="G621" i="1"/>
  <c r="H621" i="1" s="1"/>
  <c r="H620" i="1"/>
  <c r="H619" i="1"/>
  <c r="H618" i="1"/>
  <c r="AY615" i="1"/>
  <c r="AX615" i="1"/>
  <c r="AW615" i="1"/>
  <c r="AV615" i="1"/>
  <c r="AU615" i="1"/>
  <c r="J615" i="1"/>
  <c r="G615" i="1"/>
  <c r="H615" i="1" s="1"/>
  <c r="AY614" i="1"/>
  <c r="AX614" i="1"/>
  <c r="AW614" i="1"/>
  <c r="AV614" i="1"/>
  <c r="AU614" i="1"/>
  <c r="J614" i="1"/>
  <c r="G614" i="1"/>
  <c r="H614" i="1" s="1"/>
  <c r="AX613" i="1"/>
  <c r="AW613" i="1"/>
  <c r="AV613" i="1"/>
  <c r="AU613" i="1"/>
  <c r="AN613" i="1"/>
  <c r="AL613" i="1"/>
  <c r="AM613" i="1" s="1"/>
  <c r="J613" i="1"/>
  <c r="G613" i="1"/>
  <c r="H613" i="1" s="1"/>
  <c r="AX612" i="1"/>
  <c r="AW612" i="1"/>
  <c r="AV612" i="1"/>
  <c r="AU612" i="1"/>
  <c r="AN612" i="1"/>
  <c r="AL612" i="1"/>
  <c r="AM612" i="1" s="1"/>
  <c r="J612" i="1"/>
  <c r="G612" i="1"/>
  <c r="H612" i="1" s="1"/>
  <c r="AX608" i="1"/>
  <c r="AW608" i="1"/>
  <c r="AV608" i="1"/>
  <c r="AU608" i="1"/>
  <c r="AN608" i="1"/>
  <c r="AL608" i="1"/>
  <c r="AM608" i="1" s="1"/>
  <c r="J608" i="1"/>
  <c r="G608" i="1"/>
  <c r="H608" i="1" s="1"/>
  <c r="AJ611" i="1"/>
  <c r="AJ613" i="1" s="1"/>
  <c r="AJ614" i="1" s="1"/>
  <c r="AJ615" i="1" s="1"/>
  <c r="AJ616" i="1" s="1"/>
  <c r="AJ617" i="1" s="1"/>
  <c r="AJ618" i="1" s="1"/>
  <c r="AJ619" i="1" s="1"/>
  <c r="AJ620" i="1" s="1"/>
  <c r="AJ621" i="1" s="1"/>
  <c r="AJ622" i="1" s="1"/>
  <c r="AJ623" i="1" s="1"/>
  <c r="AJ624" i="1" s="1"/>
  <c r="AJ625" i="1" s="1"/>
  <c r="AJ626" i="1" s="1"/>
  <c r="AJ627" i="1" s="1"/>
  <c r="AJ628" i="1" s="1"/>
  <c r="AJ629" i="1" s="1"/>
  <c r="AJ630" i="1" s="1"/>
  <c r="AJ631" i="1" s="1"/>
  <c r="AJ632" i="1" s="1"/>
  <c r="AJ633" i="1" s="1"/>
  <c r="AJ634" i="1" s="1"/>
  <c r="AJ635" i="1" s="1"/>
  <c r="AJ636" i="1" s="1"/>
  <c r="AJ637" i="1" s="1"/>
  <c r="AJ638" i="1" s="1"/>
  <c r="AJ639" i="1" s="1"/>
  <c r="AJ640" i="1" s="1"/>
  <c r="AJ641" i="1" s="1"/>
  <c r="AJ642" i="1" s="1"/>
  <c r="AJ643" i="1" s="1"/>
  <c r="AJ644" i="1" s="1"/>
  <c r="AY607" i="1"/>
  <c r="AX607" i="1"/>
  <c r="AW607" i="1"/>
  <c r="AV607" i="1"/>
  <c r="AU607" i="1"/>
  <c r="J607" i="1"/>
  <c r="G607" i="1"/>
  <c r="H607" i="1" s="1"/>
  <c r="AY606" i="1"/>
  <c r="AX606" i="1"/>
  <c r="AW606" i="1"/>
  <c r="AV606" i="1"/>
  <c r="AU606" i="1"/>
  <c r="J606" i="1"/>
  <c r="G606" i="1"/>
  <c r="H606" i="1" s="1"/>
  <c r="H605" i="1"/>
  <c r="H604" i="1"/>
  <c r="AX603" i="1"/>
  <c r="AW603" i="1"/>
  <c r="AV603" i="1"/>
  <c r="AU603" i="1"/>
  <c r="AN603" i="1"/>
  <c r="AL603" i="1"/>
  <c r="AM603" i="1" s="1"/>
  <c r="J603" i="1"/>
  <c r="G603" i="1"/>
  <c r="H603" i="1" s="1"/>
  <c r="H600" i="1"/>
  <c r="H599" i="1"/>
  <c r="AY597" i="1"/>
  <c r="AX597" i="1"/>
  <c r="AW597" i="1"/>
  <c r="AV597" i="1"/>
  <c r="AU597" i="1"/>
  <c r="J597" i="1"/>
  <c r="AY609" i="1"/>
  <c r="AX609" i="1"/>
  <c r="AW609" i="1"/>
  <c r="AV609" i="1"/>
  <c r="AU609" i="1"/>
  <c r="AS609" i="1"/>
  <c r="AQ609" i="1"/>
  <c r="AR609" i="1" s="1"/>
  <c r="J609" i="1"/>
  <c r="G609" i="1"/>
  <c r="H609" i="1" s="1"/>
  <c r="AX596" i="1"/>
  <c r="AW596" i="1"/>
  <c r="AV596" i="1"/>
  <c r="AU596" i="1"/>
  <c r="AN596" i="1"/>
  <c r="AL596" i="1"/>
  <c r="AM596" i="1" s="1"/>
  <c r="J596" i="1"/>
  <c r="G596" i="1"/>
  <c r="H596" i="1" s="1"/>
  <c r="AY594" i="1"/>
  <c r="AX594" i="1"/>
  <c r="AW594" i="1"/>
  <c r="AV594" i="1"/>
  <c r="AU594" i="1"/>
  <c r="J594" i="1"/>
  <c r="G594" i="1"/>
  <c r="H594" i="1" s="1"/>
  <c r="AY593" i="1"/>
  <c r="AX593" i="1"/>
  <c r="AW593" i="1"/>
  <c r="AV593" i="1"/>
  <c r="AU593" i="1"/>
  <c r="J593" i="1"/>
  <c r="G593" i="1"/>
  <c r="H593" i="1" s="1"/>
  <c r="AY592" i="1"/>
  <c r="AX592" i="1"/>
  <c r="AW592" i="1"/>
  <c r="AV592" i="1"/>
  <c r="AU592" i="1"/>
  <c r="J592" i="1"/>
  <c r="G592" i="1"/>
  <c r="H592" i="1" s="1"/>
  <c r="AY591" i="1"/>
  <c r="AX591" i="1"/>
  <c r="AW591" i="1"/>
  <c r="AV591" i="1"/>
  <c r="AU591" i="1"/>
  <c r="J591" i="1"/>
  <c r="G591" i="1"/>
  <c r="H591" i="1" s="1"/>
  <c r="AX588" i="1"/>
  <c r="AW588" i="1"/>
  <c r="AV588" i="1"/>
  <c r="AU588" i="1"/>
  <c r="AN588" i="1"/>
  <c r="AL588" i="1"/>
  <c r="AM588" i="1" s="1"/>
  <c r="J588" i="1"/>
  <c r="G588" i="1"/>
  <c r="H588" i="1" s="1"/>
  <c r="AX589" i="1"/>
  <c r="AW589" i="1"/>
  <c r="AV589" i="1"/>
  <c r="AU589" i="1"/>
  <c r="AN589" i="1"/>
  <c r="AL589" i="1"/>
  <c r="AM589" i="1" s="1"/>
  <c r="J589" i="1"/>
  <c r="G589" i="1"/>
  <c r="H589" i="1" s="1"/>
  <c r="AY587" i="1"/>
  <c r="AX587" i="1"/>
  <c r="AW587" i="1"/>
  <c r="AV587" i="1"/>
  <c r="AU587" i="1"/>
  <c r="AS587" i="1"/>
  <c r="AQ587" i="1"/>
  <c r="AR587" i="1" s="1"/>
  <c r="J587" i="1"/>
  <c r="G587" i="1"/>
  <c r="H587" i="1" s="1"/>
  <c r="H586" i="1"/>
  <c r="AY578" i="1"/>
  <c r="AX578" i="1"/>
  <c r="AW578" i="1"/>
  <c r="AV578" i="1"/>
  <c r="AU578" i="1"/>
  <c r="AS578" i="1"/>
  <c r="AQ578" i="1"/>
  <c r="AR578" i="1" s="1"/>
  <c r="J578" i="1"/>
  <c r="G578" i="1"/>
  <c r="H578" i="1" s="1"/>
  <c r="H584" i="1"/>
  <c r="AX585" i="1"/>
  <c r="AW585" i="1"/>
  <c r="AV585" i="1"/>
  <c r="AU585" i="1"/>
  <c r="AN585" i="1"/>
  <c r="AL585" i="1"/>
  <c r="AM585" i="1" s="1"/>
  <c r="J585" i="1"/>
  <c r="G585" i="1"/>
  <c r="H585" i="1" s="1"/>
  <c r="AJ583" i="1"/>
  <c r="AJ584" i="1" s="1"/>
  <c r="AJ585" i="1" s="1"/>
  <c r="AJ586" i="1" s="1"/>
  <c r="AJ587" i="1" s="1"/>
  <c r="AJ588" i="1" s="1"/>
  <c r="AJ589" i="1" s="1"/>
  <c r="AJ590" i="1" s="1"/>
  <c r="AJ591" i="1" s="1"/>
  <c r="AJ592" i="1" s="1"/>
  <c r="AJ593" i="1" s="1"/>
  <c r="AJ594" i="1" s="1"/>
  <c r="AJ595" i="1" s="1"/>
  <c r="AJ596" i="1" s="1"/>
  <c r="AJ597" i="1" s="1"/>
  <c r="AJ598" i="1" s="1"/>
  <c r="AJ599" i="1" s="1"/>
  <c r="AJ600" i="1" s="1"/>
  <c r="AJ601" i="1" s="1"/>
  <c r="AJ602" i="1" s="1"/>
  <c r="AJ603" i="1" s="1"/>
  <c r="AJ604" i="1" s="1"/>
  <c r="AJ605" i="1" s="1"/>
  <c r="AX580" i="1"/>
  <c r="AW580" i="1"/>
  <c r="AV580" i="1"/>
  <c r="AU580" i="1"/>
  <c r="AN580" i="1"/>
  <c r="AL580" i="1"/>
  <c r="AM580" i="1" s="1"/>
  <c r="J580" i="1"/>
  <c r="G580" i="1"/>
  <c r="H580" i="1" s="1"/>
  <c r="AX579" i="1"/>
  <c r="AW579" i="1"/>
  <c r="AV579" i="1"/>
  <c r="AU579" i="1"/>
  <c r="AN579" i="1"/>
  <c r="AL579" i="1"/>
  <c r="AM579" i="1" s="1"/>
  <c r="J579" i="1"/>
  <c r="G579" i="1"/>
  <c r="H579" i="1" s="1"/>
  <c r="H581" i="1"/>
  <c r="H565" i="1"/>
  <c r="AY564" i="1"/>
  <c r="AX564" i="1"/>
  <c r="AW564" i="1"/>
  <c r="AV564" i="1"/>
  <c r="AU564" i="1"/>
  <c r="J564" i="1"/>
  <c r="H563" i="1"/>
  <c r="H562" i="1"/>
  <c r="AX574" i="1"/>
  <c r="AW574" i="1"/>
  <c r="AV574" i="1"/>
  <c r="AU574" i="1"/>
  <c r="AN574" i="1"/>
  <c r="AL574" i="1"/>
  <c r="AM574" i="1" s="1"/>
  <c r="J574" i="1"/>
  <c r="G574" i="1"/>
  <c r="H574" i="1" s="1"/>
  <c r="H561" i="1"/>
  <c r="H559" i="1"/>
  <c r="AY558" i="1"/>
  <c r="AX558" i="1"/>
  <c r="AW558" i="1"/>
  <c r="AV558" i="1"/>
  <c r="AU558" i="1"/>
  <c r="J558" i="1"/>
  <c r="G558" i="1"/>
  <c r="H558" i="1" s="1"/>
  <c r="AX557" i="1"/>
  <c r="AW557" i="1"/>
  <c r="AV557" i="1"/>
  <c r="AU557" i="1"/>
  <c r="AN557" i="1"/>
  <c r="AL557" i="1"/>
  <c r="AM557" i="1" s="1"/>
  <c r="J557" i="1"/>
  <c r="G557" i="1"/>
  <c r="H557" i="1" s="1"/>
  <c r="AY556" i="1"/>
  <c r="AX556" i="1"/>
  <c r="AW556" i="1"/>
  <c r="AV556" i="1"/>
  <c r="AU556" i="1"/>
  <c r="J556" i="1"/>
  <c r="G556" i="1"/>
  <c r="H556" i="1" s="1"/>
  <c r="AY555" i="1"/>
  <c r="AX555" i="1"/>
  <c r="AW555" i="1"/>
  <c r="AV555" i="1"/>
  <c r="AU555" i="1"/>
  <c r="J555" i="1"/>
  <c r="G555" i="1"/>
  <c r="H555" i="1" s="1"/>
  <c r="AY554" i="1"/>
  <c r="AX554" i="1"/>
  <c r="AW554" i="1"/>
  <c r="AV554" i="1"/>
  <c r="AU554" i="1"/>
  <c r="J554" i="1"/>
  <c r="G554" i="1"/>
  <c r="H554" i="1" s="1"/>
  <c r="H552" i="1"/>
  <c r="AX551" i="1"/>
  <c r="AW551" i="1"/>
  <c r="AV551" i="1"/>
  <c r="AU551" i="1"/>
  <c r="AN551" i="1"/>
  <c r="AL551" i="1"/>
  <c r="AM551" i="1" s="1"/>
  <c r="J551" i="1"/>
  <c r="G551" i="1"/>
  <c r="H551" i="1" s="1"/>
  <c r="AX550" i="1"/>
  <c r="AW550" i="1"/>
  <c r="AV550" i="1"/>
  <c r="AU550" i="1"/>
  <c r="AN550" i="1"/>
  <c r="AL550" i="1"/>
  <c r="AM550" i="1" s="1"/>
  <c r="J550" i="1"/>
  <c r="G550" i="1"/>
  <c r="H550" i="1" s="1"/>
  <c r="AX549" i="1"/>
  <c r="AW549" i="1"/>
  <c r="AV549" i="1"/>
  <c r="AU549" i="1"/>
  <c r="AN549" i="1"/>
  <c r="AL549" i="1"/>
  <c r="AM549" i="1" s="1"/>
  <c r="J549" i="1"/>
  <c r="G549" i="1"/>
  <c r="H549" i="1" s="1"/>
  <c r="H548" i="1"/>
  <c r="AX547" i="1"/>
  <c r="AW547" i="1"/>
  <c r="AV547" i="1"/>
  <c r="AU547" i="1"/>
  <c r="AN547" i="1"/>
  <c r="AL547" i="1"/>
  <c r="AM547" i="1" s="1"/>
  <c r="J547" i="1"/>
  <c r="G547" i="1"/>
  <c r="H547" i="1" s="1"/>
  <c r="AX546" i="1"/>
  <c r="AW546" i="1"/>
  <c r="AV546" i="1"/>
  <c r="AU546" i="1"/>
  <c r="AN546" i="1"/>
  <c r="AL546" i="1"/>
  <c r="AM546" i="1" s="1"/>
  <c r="J546" i="1"/>
  <c r="G546" i="1"/>
  <c r="H546" i="1" s="1"/>
  <c r="AX545" i="1"/>
  <c r="AW545" i="1"/>
  <c r="AV545" i="1"/>
  <c r="AU545" i="1"/>
  <c r="AN545" i="1"/>
  <c r="AL545" i="1"/>
  <c r="AM545" i="1" s="1"/>
  <c r="J545" i="1"/>
  <c r="G545" i="1"/>
  <c r="H545" i="1" s="1"/>
  <c r="H544" i="1"/>
  <c r="AX543" i="1"/>
  <c r="AW543" i="1"/>
  <c r="AV543" i="1"/>
  <c r="AU543" i="1"/>
  <c r="AN543" i="1"/>
  <c r="AL543" i="1"/>
  <c r="AM543" i="1" s="1"/>
  <c r="J543" i="1"/>
  <c r="G543" i="1"/>
  <c r="H543" i="1" s="1"/>
  <c r="AX542" i="1"/>
  <c r="AW542" i="1"/>
  <c r="AV542" i="1"/>
  <c r="AU542" i="1"/>
  <c r="AN542" i="1"/>
  <c r="AL542" i="1"/>
  <c r="AM542" i="1" s="1"/>
  <c r="J542" i="1"/>
  <c r="G542" i="1"/>
  <c r="H542" i="1" s="1"/>
  <c r="AX541" i="1"/>
  <c r="AW541" i="1"/>
  <c r="AV541" i="1"/>
  <c r="AU541" i="1"/>
  <c r="AN541" i="1"/>
  <c r="AL541" i="1"/>
  <c r="AM541" i="1" s="1"/>
  <c r="J541" i="1"/>
  <c r="G541" i="1"/>
  <c r="H541" i="1" s="1"/>
  <c r="AX540" i="1"/>
  <c r="AW540" i="1"/>
  <c r="AV540" i="1"/>
  <c r="AU540" i="1"/>
  <c r="AN540" i="1"/>
  <c r="AL540" i="1"/>
  <c r="AM540" i="1" s="1"/>
  <c r="J540" i="1"/>
  <c r="G540" i="1"/>
  <c r="H540" i="1" s="1"/>
  <c r="AX539" i="1"/>
  <c r="AW539" i="1"/>
  <c r="AV539" i="1"/>
  <c r="AU539" i="1"/>
  <c r="AN539" i="1"/>
  <c r="AL539" i="1"/>
  <c r="AM539" i="1" s="1"/>
  <c r="J539" i="1"/>
  <c r="G539" i="1"/>
  <c r="H539" i="1" s="1"/>
  <c r="AX538" i="1"/>
  <c r="AW538" i="1"/>
  <c r="AV538" i="1"/>
  <c r="AU538" i="1"/>
  <c r="AN538" i="1"/>
  <c r="AL538" i="1"/>
  <c r="AM538" i="1" s="1"/>
  <c r="J538" i="1"/>
  <c r="G538" i="1"/>
  <c r="H538" i="1" s="1"/>
  <c r="AY537" i="1"/>
  <c r="AX537" i="1"/>
  <c r="AW537" i="1"/>
  <c r="AV537" i="1"/>
  <c r="AU537" i="1"/>
  <c r="J537" i="1"/>
  <c r="G537" i="1"/>
  <c r="H537" i="1" s="1"/>
  <c r="AY536" i="1"/>
  <c r="AX536" i="1"/>
  <c r="AW536" i="1"/>
  <c r="AV536" i="1"/>
  <c r="AU536" i="1"/>
  <c r="AS536" i="1"/>
  <c r="AQ536" i="1"/>
  <c r="AR536" i="1" s="1"/>
  <c r="J536" i="1"/>
  <c r="G536" i="1"/>
  <c r="H536" i="1" s="1"/>
  <c r="AX533" i="1"/>
  <c r="AW533" i="1"/>
  <c r="AV533" i="1"/>
  <c r="AU533" i="1"/>
  <c r="AN533" i="1"/>
  <c r="AL533" i="1"/>
  <c r="AM533" i="1" s="1"/>
  <c r="J533" i="1"/>
  <c r="G533" i="1"/>
  <c r="H533" i="1" s="1"/>
  <c r="AX532" i="1"/>
  <c r="AW532" i="1"/>
  <c r="AV532" i="1"/>
  <c r="AU532" i="1"/>
  <c r="AN532" i="1"/>
  <c r="AL532" i="1"/>
  <c r="AM532" i="1" s="1"/>
  <c r="J532" i="1"/>
  <c r="G532" i="1"/>
  <c r="H532" i="1" s="1"/>
  <c r="AX531" i="1"/>
  <c r="AW531" i="1"/>
  <c r="AV531" i="1"/>
  <c r="AU531" i="1"/>
  <c r="AN531" i="1"/>
  <c r="AL531" i="1"/>
  <c r="AM531" i="1" s="1"/>
  <c r="J531" i="1"/>
  <c r="G531" i="1"/>
  <c r="H531" i="1" s="1"/>
  <c r="AX530" i="1"/>
  <c r="AW530" i="1"/>
  <c r="AV530" i="1"/>
  <c r="AU530" i="1"/>
  <c r="AN530" i="1"/>
  <c r="AL530" i="1"/>
  <c r="AM530" i="1" s="1"/>
  <c r="J530" i="1"/>
  <c r="G530" i="1"/>
  <c r="H530" i="1" s="1"/>
  <c r="AX529" i="1"/>
  <c r="AW529" i="1"/>
  <c r="AV529" i="1"/>
  <c r="AU529" i="1"/>
  <c r="AN529" i="1"/>
  <c r="AL529" i="1"/>
  <c r="AM529" i="1" s="1"/>
  <c r="J529" i="1"/>
  <c r="G529" i="1"/>
  <c r="H529" i="1" s="1"/>
  <c r="AX528" i="1"/>
  <c r="AW528" i="1"/>
  <c r="AV528" i="1"/>
  <c r="AU528" i="1"/>
  <c r="AN528" i="1"/>
  <c r="AL528" i="1"/>
  <c r="AM528" i="1" s="1"/>
  <c r="J528" i="1"/>
  <c r="G528" i="1"/>
  <c r="H528" i="1" s="1"/>
  <c r="AX527" i="1"/>
  <c r="AW527" i="1"/>
  <c r="AV527" i="1"/>
  <c r="AU527" i="1"/>
  <c r="AN527" i="1"/>
  <c r="AL527" i="1"/>
  <c r="AM527" i="1" s="1"/>
  <c r="J527" i="1"/>
  <c r="G527" i="1"/>
  <c r="H527" i="1" s="1"/>
  <c r="AX526" i="1"/>
  <c r="AW526" i="1"/>
  <c r="AV526" i="1"/>
  <c r="AU526" i="1"/>
  <c r="AN526" i="1"/>
  <c r="AL526" i="1"/>
  <c r="AM526" i="1" s="1"/>
  <c r="J526" i="1"/>
  <c r="G526" i="1"/>
  <c r="H526" i="1" s="1"/>
  <c r="AX525" i="1"/>
  <c r="AW525" i="1"/>
  <c r="AV525" i="1"/>
  <c r="AU525" i="1"/>
  <c r="AN525" i="1"/>
  <c r="AL525" i="1"/>
  <c r="AM525" i="1" s="1"/>
  <c r="J525" i="1"/>
  <c r="G525" i="1"/>
  <c r="H525" i="1" s="1"/>
  <c r="AX524" i="1"/>
  <c r="AW524" i="1"/>
  <c r="AV524" i="1"/>
  <c r="AU524" i="1"/>
  <c r="AN524" i="1"/>
  <c r="AL524" i="1"/>
  <c r="AM524" i="1" s="1"/>
  <c r="J524" i="1"/>
  <c r="G524" i="1"/>
  <c r="H524" i="1" s="1"/>
  <c r="H523" i="1"/>
  <c r="AX522" i="1"/>
  <c r="AW522" i="1"/>
  <c r="AV522" i="1"/>
  <c r="AU522" i="1"/>
  <c r="AN522" i="1"/>
  <c r="AL522" i="1"/>
  <c r="AM522" i="1" s="1"/>
  <c r="J522" i="1"/>
  <c r="G522" i="1"/>
  <c r="H522" i="1" s="1"/>
  <c r="H503" i="1"/>
  <c r="AX520" i="1"/>
  <c r="AW520" i="1"/>
  <c r="AV520" i="1"/>
  <c r="AU520" i="1"/>
  <c r="AN520" i="1"/>
  <c r="AL520" i="1"/>
  <c r="AM520" i="1" s="1"/>
  <c r="J520" i="1"/>
  <c r="G520" i="1"/>
  <c r="H520" i="1" s="1"/>
  <c r="AX519" i="1"/>
  <c r="AW519" i="1"/>
  <c r="AV519" i="1"/>
  <c r="AU519" i="1"/>
  <c r="AN519" i="1"/>
  <c r="AL519" i="1"/>
  <c r="AM519" i="1" s="1"/>
  <c r="J519" i="1"/>
  <c r="G519" i="1"/>
  <c r="H519" i="1" s="1"/>
  <c r="AX518" i="1"/>
  <c r="AW518" i="1"/>
  <c r="AV518" i="1"/>
  <c r="AU518" i="1"/>
  <c r="AN518" i="1"/>
  <c r="AL518" i="1"/>
  <c r="AM518" i="1" s="1"/>
  <c r="J518" i="1"/>
  <c r="G518" i="1"/>
  <c r="H518" i="1" s="1"/>
  <c r="AX517" i="1"/>
  <c r="AW517" i="1"/>
  <c r="AV517" i="1"/>
  <c r="AU517" i="1"/>
  <c r="AN517" i="1"/>
  <c r="AL517" i="1"/>
  <c r="AM517" i="1" s="1"/>
  <c r="J517" i="1"/>
  <c r="G517" i="1"/>
  <c r="H517" i="1" s="1"/>
  <c r="AX516" i="1"/>
  <c r="AW516" i="1"/>
  <c r="AV516" i="1"/>
  <c r="AU516" i="1"/>
  <c r="AN516" i="1"/>
  <c r="AL516" i="1"/>
  <c r="AM516" i="1" s="1"/>
  <c r="J516" i="1"/>
  <c r="G516" i="1"/>
  <c r="H516" i="1" s="1"/>
  <c r="AX515" i="1"/>
  <c r="AW515" i="1"/>
  <c r="AV515" i="1"/>
  <c r="AU515" i="1"/>
  <c r="AN515" i="1"/>
  <c r="AL515" i="1"/>
  <c r="AM515" i="1" s="1"/>
  <c r="J515" i="1"/>
  <c r="G515" i="1"/>
  <c r="H515" i="1" s="1"/>
  <c r="AX514" i="1"/>
  <c r="AW514" i="1"/>
  <c r="AV514" i="1"/>
  <c r="AU514" i="1"/>
  <c r="AN514" i="1"/>
  <c r="AL514" i="1"/>
  <c r="AM514" i="1" s="1"/>
  <c r="J514" i="1"/>
  <c r="G514" i="1"/>
  <c r="H514" i="1" s="1"/>
  <c r="AX513" i="1"/>
  <c r="AW513" i="1"/>
  <c r="AV513" i="1"/>
  <c r="AU513" i="1"/>
  <c r="AN513" i="1"/>
  <c r="AL513" i="1"/>
  <c r="AM513" i="1" s="1"/>
  <c r="J513" i="1"/>
  <c r="G513" i="1"/>
  <c r="H513" i="1" s="1"/>
  <c r="AX512" i="1"/>
  <c r="AW512" i="1"/>
  <c r="AV512" i="1"/>
  <c r="AU512" i="1"/>
  <c r="AN512" i="1"/>
  <c r="AL512" i="1"/>
  <c r="AM512" i="1" s="1"/>
  <c r="J512" i="1"/>
  <c r="G512" i="1"/>
  <c r="H512" i="1" s="1"/>
  <c r="AX511" i="1"/>
  <c r="AW511" i="1"/>
  <c r="AV511" i="1"/>
  <c r="AU511" i="1"/>
  <c r="AN511" i="1"/>
  <c r="AL511" i="1"/>
  <c r="AM511" i="1" s="1"/>
  <c r="J511" i="1"/>
  <c r="G511" i="1"/>
  <c r="H511" i="1" s="1"/>
  <c r="AX510" i="1"/>
  <c r="AW510" i="1"/>
  <c r="AV510" i="1"/>
  <c r="AU510" i="1"/>
  <c r="AN510" i="1"/>
  <c r="AL510" i="1"/>
  <c r="AM510" i="1" s="1"/>
  <c r="J510" i="1"/>
  <c r="G510" i="1"/>
  <c r="H510" i="1" s="1"/>
  <c r="AX509" i="1"/>
  <c r="AW509" i="1"/>
  <c r="AV509" i="1"/>
  <c r="AU509" i="1"/>
  <c r="AN509" i="1"/>
  <c r="AL509" i="1"/>
  <c r="AM509" i="1" s="1"/>
  <c r="J509" i="1"/>
  <c r="G509" i="1"/>
  <c r="H509" i="1" s="1"/>
  <c r="AX508" i="1"/>
  <c r="AW508" i="1"/>
  <c r="AV508" i="1"/>
  <c r="AU508" i="1"/>
  <c r="AN508" i="1"/>
  <c r="AL508" i="1"/>
  <c r="AM508" i="1" s="1"/>
  <c r="J508" i="1"/>
  <c r="G508" i="1"/>
  <c r="H508" i="1" s="1"/>
  <c r="AX507" i="1"/>
  <c r="AW507" i="1"/>
  <c r="AV507" i="1"/>
  <c r="AU507" i="1"/>
  <c r="AN507" i="1"/>
  <c r="AL507" i="1"/>
  <c r="AM507" i="1" s="1"/>
  <c r="J507" i="1"/>
  <c r="G507" i="1"/>
  <c r="H507" i="1" s="1"/>
  <c r="AX506" i="1"/>
  <c r="AW506" i="1"/>
  <c r="AV506" i="1"/>
  <c r="AU506" i="1"/>
  <c r="AN506" i="1"/>
  <c r="AL506" i="1"/>
  <c r="AM506" i="1" s="1"/>
  <c r="J506" i="1"/>
  <c r="G506" i="1"/>
  <c r="H506" i="1" s="1"/>
  <c r="H505" i="1"/>
  <c r="J502" i="1"/>
  <c r="AY502" i="1"/>
  <c r="AX502" i="1"/>
  <c r="AW502" i="1"/>
  <c r="AV502" i="1"/>
  <c r="AU502" i="1"/>
  <c r="AX501" i="1"/>
  <c r="AW501" i="1"/>
  <c r="AV501" i="1"/>
  <c r="AU501" i="1"/>
  <c r="AN501" i="1"/>
  <c r="AL501" i="1"/>
  <c r="AM501" i="1" s="1"/>
  <c r="J501" i="1"/>
  <c r="G501" i="1"/>
  <c r="H501" i="1" s="1"/>
  <c r="AX498" i="1"/>
  <c r="AW498" i="1"/>
  <c r="AV498" i="1"/>
  <c r="AU498" i="1"/>
  <c r="AN498" i="1"/>
  <c r="AL498" i="1"/>
  <c r="AM498" i="1" s="1"/>
  <c r="J498" i="1"/>
  <c r="G498" i="1"/>
  <c r="H498" i="1" s="1"/>
  <c r="AY496" i="1"/>
  <c r="AX496" i="1"/>
  <c r="AW496" i="1"/>
  <c r="AV496" i="1"/>
  <c r="AU496" i="1"/>
  <c r="J496" i="1"/>
  <c r="G496" i="1"/>
  <c r="H496" i="1" s="1"/>
  <c r="H495" i="1"/>
  <c r="AX494" i="1"/>
  <c r="AW494" i="1"/>
  <c r="AV494" i="1"/>
  <c r="AU494" i="1"/>
  <c r="AN494" i="1"/>
  <c r="AL494" i="1"/>
  <c r="AM494" i="1" s="1"/>
  <c r="J494" i="1"/>
  <c r="G494" i="1"/>
  <c r="H494" i="1" s="1"/>
  <c r="H493" i="1"/>
  <c r="AX491" i="1"/>
  <c r="AW491" i="1"/>
  <c r="AV491" i="1"/>
  <c r="AU491" i="1"/>
  <c r="AN491" i="1"/>
  <c r="AL491" i="1"/>
  <c r="AM491" i="1" s="1"/>
  <c r="J491" i="1"/>
  <c r="G491" i="1"/>
  <c r="H491" i="1" s="1"/>
  <c r="H489" i="1"/>
  <c r="AY488" i="1"/>
  <c r="AX488" i="1"/>
  <c r="AW488" i="1"/>
  <c r="AV488" i="1"/>
  <c r="AU488" i="1"/>
  <c r="J488" i="1"/>
  <c r="AX487" i="1"/>
  <c r="AW487" i="1"/>
  <c r="AV487" i="1"/>
  <c r="AU487" i="1"/>
  <c r="AN487" i="1"/>
  <c r="AL487" i="1"/>
  <c r="AM487" i="1" s="1"/>
  <c r="J487" i="1"/>
  <c r="G487" i="1"/>
  <c r="H487" i="1" s="1"/>
  <c r="H483" i="1"/>
  <c r="H492" i="1"/>
  <c r="AY477" i="1"/>
  <c r="AX477" i="1"/>
  <c r="AW477" i="1"/>
  <c r="AV477" i="1"/>
  <c r="AU477" i="1"/>
  <c r="AS477" i="1"/>
  <c r="AQ477" i="1"/>
  <c r="AR477" i="1" s="1"/>
  <c r="J477" i="1"/>
  <c r="G477" i="1"/>
  <c r="H477" i="1" s="1"/>
  <c r="AY482" i="1"/>
  <c r="AX482" i="1"/>
  <c r="AW482" i="1"/>
  <c r="AV482" i="1"/>
  <c r="AU482" i="1"/>
  <c r="J482" i="1"/>
  <c r="G482" i="1"/>
  <c r="H482" i="1" s="1"/>
  <c r="AJ479" i="1"/>
  <c r="AJ480" i="1" s="1"/>
  <c r="AJ481" i="1" s="1"/>
  <c r="AJ482" i="1" s="1"/>
  <c r="AJ483" i="1" s="1"/>
  <c r="AJ484" i="1" s="1"/>
  <c r="AJ485" i="1" s="1"/>
  <c r="AJ486" i="1" s="1"/>
  <c r="AJ487" i="1" s="1"/>
  <c r="AJ488" i="1" s="1"/>
  <c r="AJ489" i="1" s="1"/>
  <c r="AJ490" i="1" s="1"/>
  <c r="AJ491" i="1" s="1"/>
  <c r="AJ492" i="1" s="1"/>
  <c r="AJ493" i="1" s="1"/>
  <c r="AJ494" i="1" s="1"/>
  <c r="AJ495" i="1" s="1"/>
  <c r="AJ496" i="1" s="1"/>
  <c r="AJ497" i="1" s="1"/>
  <c r="AJ498" i="1" s="1"/>
  <c r="AJ499" i="1" s="1"/>
  <c r="AJ500" i="1" s="1"/>
  <c r="AJ501" i="1" s="1"/>
  <c r="AJ502" i="1" s="1"/>
  <c r="AJ503" i="1" s="1"/>
  <c r="AJ504" i="1" s="1"/>
  <c r="AJ505" i="1" s="1"/>
  <c r="AJ506" i="1" s="1"/>
  <c r="AJ507" i="1" s="1"/>
  <c r="AJ508" i="1" s="1"/>
  <c r="AX476" i="1"/>
  <c r="AW476" i="1"/>
  <c r="AV476" i="1"/>
  <c r="AU476" i="1"/>
  <c r="AN476" i="1"/>
  <c r="AL476" i="1"/>
  <c r="AM476" i="1" s="1"/>
  <c r="J476" i="1"/>
  <c r="G476" i="1"/>
  <c r="H476" i="1" s="1"/>
  <c r="H475" i="1"/>
  <c r="AY481" i="1"/>
  <c r="AX481" i="1"/>
  <c r="AW481" i="1"/>
  <c r="AV481" i="1"/>
  <c r="AU481" i="1"/>
  <c r="J481" i="1"/>
  <c r="G481" i="1"/>
  <c r="H481" i="1" s="1"/>
  <c r="AX472" i="1"/>
  <c r="AW472" i="1"/>
  <c r="AV472" i="1"/>
  <c r="AU472" i="1"/>
  <c r="AN472" i="1"/>
  <c r="AL472" i="1"/>
  <c r="AM472" i="1" s="1"/>
  <c r="J472" i="1"/>
  <c r="G472" i="1"/>
  <c r="H472" i="1" s="1"/>
  <c r="AY480" i="1"/>
  <c r="AX480" i="1"/>
  <c r="AW480" i="1"/>
  <c r="AV480" i="1"/>
  <c r="AU480" i="1"/>
  <c r="J480" i="1"/>
  <c r="G480" i="1"/>
  <c r="H480" i="1" s="1"/>
  <c r="AX471" i="1"/>
  <c r="AW471" i="1"/>
  <c r="AV471" i="1"/>
  <c r="AU471" i="1"/>
  <c r="AN471" i="1"/>
  <c r="AL471" i="1"/>
  <c r="AM471" i="1" s="1"/>
  <c r="J471" i="1"/>
  <c r="G471" i="1"/>
  <c r="H471" i="1" s="1"/>
  <c r="AY470" i="1"/>
  <c r="AX470" i="1"/>
  <c r="AW470" i="1"/>
  <c r="AV470" i="1"/>
  <c r="AU470" i="1"/>
  <c r="J470" i="1"/>
  <c r="G470" i="1"/>
  <c r="H470" i="1" s="1"/>
  <c r="AX469" i="1"/>
  <c r="AW469" i="1"/>
  <c r="AV469" i="1"/>
  <c r="AU469" i="1"/>
  <c r="AN469" i="1"/>
  <c r="AL469" i="1"/>
  <c r="AM469" i="1" s="1"/>
  <c r="J469" i="1"/>
  <c r="G469" i="1"/>
  <c r="H469" i="1" s="1"/>
  <c r="AY468" i="1"/>
  <c r="AX468" i="1"/>
  <c r="AW468" i="1"/>
  <c r="AV468" i="1"/>
  <c r="AU468" i="1"/>
  <c r="J468" i="1"/>
  <c r="G468" i="1"/>
  <c r="H468" i="1" s="1"/>
  <c r="AX467" i="1"/>
  <c r="AW467" i="1"/>
  <c r="AV467" i="1"/>
  <c r="AU467" i="1"/>
  <c r="AN467" i="1"/>
  <c r="AL467" i="1"/>
  <c r="AM467" i="1" s="1"/>
  <c r="J467" i="1"/>
  <c r="G467" i="1"/>
  <c r="H467" i="1" s="1"/>
  <c r="H466" i="1"/>
  <c r="AY465" i="1"/>
  <c r="AX465" i="1"/>
  <c r="AW465" i="1"/>
  <c r="AV465" i="1"/>
  <c r="AU465" i="1"/>
  <c r="J465" i="1"/>
  <c r="AX463" i="1"/>
  <c r="AW463" i="1"/>
  <c r="AV463" i="1"/>
  <c r="AU463" i="1"/>
  <c r="AN463" i="1"/>
  <c r="AL463" i="1"/>
  <c r="AM463" i="1" s="1"/>
  <c r="J463" i="1"/>
  <c r="G463" i="1"/>
  <c r="H463" i="1" s="1"/>
  <c r="AX462" i="1"/>
  <c r="AW462" i="1"/>
  <c r="AV462" i="1"/>
  <c r="AU462" i="1"/>
  <c r="AN462" i="1"/>
  <c r="AL462" i="1"/>
  <c r="AM462" i="1" s="1"/>
  <c r="J462" i="1"/>
  <c r="G462" i="1"/>
  <c r="H462" i="1" s="1"/>
  <c r="AX461" i="1"/>
  <c r="AW461" i="1"/>
  <c r="AV461" i="1"/>
  <c r="AU461" i="1"/>
  <c r="AN461" i="1"/>
  <c r="AL461" i="1"/>
  <c r="AM461" i="1" s="1"/>
  <c r="J461" i="1"/>
  <c r="G461" i="1"/>
  <c r="H461" i="1" s="1"/>
  <c r="AX460" i="1"/>
  <c r="AW460" i="1"/>
  <c r="AV460" i="1"/>
  <c r="AU460" i="1"/>
  <c r="AN460" i="1"/>
  <c r="AL460" i="1"/>
  <c r="AM460" i="1" s="1"/>
  <c r="J460" i="1"/>
  <c r="G460" i="1"/>
  <c r="H460" i="1" s="1"/>
  <c r="AX459" i="1"/>
  <c r="AW459" i="1"/>
  <c r="AV459" i="1"/>
  <c r="AU459" i="1"/>
  <c r="AN459" i="1"/>
  <c r="AL459" i="1"/>
  <c r="AM459" i="1" s="1"/>
  <c r="J459" i="1"/>
  <c r="G459" i="1"/>
  <c r="H459" i="1" s="1"/>
  <c r="H458" i="1"/>
  <c r="H457" i="1"/>
  <c r="AJ456" i="1"/>
  <c r="AJ457" i="1" s="1"/>
  <c r="AJ458" i="1" s="1"/>
  <c r="AJ459" i="1" s="1"/>
  <c r="AJ460" i="1" s="1"/>
  <c r="AJ461" i="1" s="1"/>
  <c r="AJ462" i="1" s="1"/>
  <c r="AJ463" i="1" s="1"/>
  <c r="AJ464" i="1" s="1"/>
  <c r="AJ465" i="1" s="1"/>
  <c r="AJ466" i="1" s="1"/>
  <c r="AJ467" i="1" s="1"/>
  <c r="AJ468" i="1" s="1"/>
  <c r="AJ469" i="1" s="1"/>
  <c r="AJ470" i="1" s="1"/>
  <c r="AJ471" i="1" s="1"/>
  <c r="AJ472" i="1" s="1"/>
  <c r="AJ473" i="1" s="1"/>
  <c r="AJ474" i="1" s="1"/>
  <c r="AJ475" i="1" s="1"/>
  <c r="AJ476" i="1" s="1"/>
  <c r="AJ477" i="1" s="1"/>
  <c r="AJ478" i="1" s="1"/>
  <c r="AY454" i="1"/>
  <c r="AX454" i="1"/>
  <c r="AW454" i="1"/>
  <c r="AV454" i="1"/>
  <c r="AU454" i="1"/>
  <c r="J454" i="1"/>
  <c r="G454" i="1"/>
  <c r="H454" i="1" s="1"/>
  <c r="H452" i="1"/>
  <c r="AX448" i="1"/>
  <c r="AW448" i="1"/>
  <c r="AV448" i="1"/>
  <c r="AU448" i="1"/>
  <c r="AN448" i="1"/>
  <c r="AL448" i="1"/>
  <c r="AM448" i="1" s="1"/>
  <c r="J448" i="1"/>
  <c r="G448" i="1"/>
  <c r="H448" i="1" s="1"/>
  <c r="H447" i="1"/>
  <c r="H446" i="1"/>
  <c r="AX445" i="1"/>
  <c r="AW445" i="1"/>
  <c r="AV445" i="1"/>
  <c r="AU445" i="1"/>
  <c r="AN445" i="1"/>
  <c r="AL445" i="1"/>
  <c r="AM445" i="1" s="1"/>
  <c r="J445" i="1"/>
  <c r="G445" i="1"/>
  <c r="H445" i="1" s="1"/>
  <c r="AX444" i="1"/>
  <c r="AW444" i="1"/>
  <c r="AV444" i="1"/>
  <c r="AU444" i="1"/>
  <c r="AN444" i="1"/>
  <c r="AL444" i="1"/>
  <c r="AM444" i="1" s="1"/>
  <c r="J444" i="1"/>
  <c r="G444" i="1"/>
  <c r="H444" i="1" s="1"/>
  <c r="AX443" i="1"/>
  <c r="AW443" i="1"/>
  <c r="AV443" i="1"/>
  <c r="AU443" i="1"/>
  <c r="AN443" i="1"/>
  <c r="AL443" i="1"/>
  <c r="AM443" i="1" s="1"/>
  <c r="J443" i="1"/>
  <c r="G443" i="1"/>
  <c r="H443" i="1" s="1"/>
  <c r="AX442" i="1"/>
  <c r="AW442" i="1"/>
  <c r="AV442" i="1"/>
  <c r="AU442" i="1"/>
  <c r="AN442" i="1"/>
  <c r="AL442" i="1"/>
  <c r="AM442" i="1" s="1"/>
  <c r="J442" i="1"/>
  <c r="G442" i="1"/>
  <c r="H442" i="1" s="1"/>
  <c r="AX441" i="1"/>
  <c r="AW441" i="1"/>
  <c r="AV441" i="1"/>
  <c r="AU441" i="1"/>
  <c r="AN441" i="1"/>
  <c r="AL441" i="1"/>
  <c r="AM441" i="1" s="1"/>
  <c r="J441" i="1"/>
  <c r="G441" i="1"/>
  <c r="H441" i="1" s="1"/>
  <c r="AX440" i="1"/>
  <c r="AW440" i="1"/>
  <c r="AV440" i="1"/>
  <c r="AU440" i="1"/>
  <c r="AN440" i="1"/>
  <c r="AL440" i="1"/>
  <c r="AM440" i="1" s="1"/>
  <c r="J440" i="1"/>
  <c r="G440" i="1"/>
  <c r="H440" i="1" s="1"/>
  <c r="AX439" i="1"/>
  <c r="AW439" i="1"/>
  <c r="AV439" i="1"/>
  <c r="AU439" i="1"/>
  <c r="AN439" i="1"/>
  <c r="AL439" i="1"/>
  <c r="AM439" i="1" s="1"/>
  <c r="J439" i="1"/>
  <c r="G439" i="1"/>
  <c r="H439" i="1" s="1"/>
  <c r="AX438" i="1"/>
  <c r="AW438" i="1"/>
  <c r="AV438" i="1"/>
  <c r="AU438" i="1"/>
  <c r="AN438" i="1"/>
  <c r="AL438" i="1"/>
  <c r="AM438" i="1" s="1"/>
  <c r="J438" i="1"/>
  <c r="G438" i="1"/>
  <c r="H438" i="1" s="1"/>
  <c r="AX437" i="1"/>
  <c r="AW437" i="1"/>
  <c r="AV437" i="1"/>
  <c r="AU437" i="1"/>
  <c r="AN437" i="1"/>
  <c r="AL437" i="1"/>
  <c r="AM437" i="1" s="1"/>
  <c r="J437" i="1"/>
  <c r="G437" i="1"/>
  <c r="H437" i="1" s="1"/>
  <c r="AX436" i="1"/>
  <c r="AW436" i="1"/>
  <c r="AV436" i="1"/>
  <c r="AU436" i="1"/>
  <c r="AN436" i="1"/>
  <c r="AL436" i="1"/>
  <c r="AM436" i="1" s="1"/>
  <c r="J436" i="1"/>
  <c r="G436" i="1"/>
  <c r="H436" i="1" s="1"/>
  <c r="AY435" i="1"/>
  <c r="AX435" i="1"/>
  <c r="AW435" i="1"/>
  <c r="AV435" i="1"/>
  <c r="AU435" i="1"/>
  <c r="J435" i="1"/>
  <c r="G435" i="1"/>
  <c r="H435" i="1" s="1"/>
  <c r="AY434" i="1"/>
  <c r="AX434" i="1"/>
  <c r="AW434" i="1"/>
  <c r="AV434" i="1"/>
  <c r="AU434" i="1"/>
  <c r="AS434" i="1"/>
  <c r="AQ434" i="1"/>
  <c r="AR434" i="1" s="1"/>
  <c r="J434" i="1"/>
  <c r="G434" i="1"/>
  <c r="H434" i="1" s="1"/>
  <c r="H433" i="1"/>
  <c r="H432" i="1"/>
  <c r="H431" i="1"/>
  <c r="AX429" i="1"/>
  <c r="AW429" i="1"/>
  <c r="AV429" i="1"/>
  <c r="AU429" i="1"/>
  <c r="AN429" i="1"/>
  <c r="AL429" i="1"/>
  <c r="AM429" i="1" s="1"/>
  <c r="J429" i="1"/>
  <c r="G429" i="1"/>
  <c r="H429" i="1" s="1"/>
  <c r="AX428" i="1"/>
  <c r="AW428" i="1"/>
  <c r="AV428" i="1"/>
  <c r="AU428" i="1"/>
  <c r="AN428" i="1"/>
  <c r="AL428" i="1"/>
  <c r="AM428" i="1" s="1"/>
  <c r="J428" i="1"/>
  <c r="G428" i="1"/>
  <c r="H428" i="1" s="1"/>
  <c r="AX427" i="1"/>
  <c r="AW427" i="1"/>
  <c r="AV427" i="1"/>
  <c r="AU427" i="1"/>
  <c r="AN427" i="1"/>
  <c r="AL427" i="1"/>
  <c r="AM427" i="1" s="1"/>
  <c r="J427" i="1"/>
  <c r="G427" i="1"/>
  <c r="H427" i="1" s="1"/>
  <c r="AX426" i="1"/>
  <c r="AW426" i="1"/>
  <c r="AV426" i="1"/>
  <c r="AU426" i="1"/>
  <c r="AN426" i="1"/>
  <c r="AL426" i="1"/>
  <c r="AM426" i="1" s="1"/>
  <c r="J426" i="1"/>
  <c r="G426" i="1"/>
  <c r="H426" i="1" s="1"/>
  <c r="AX425" i="1"/>
  <c r="AW425" i="1"/>
  <c r="AV425" i="1"/>
  <c r="AU425" i="1"/>
  <c r="AN425" i="1"/>
  <c r="AL425" i="1"/>
  <c r="AM425" i="1" s="1"/>
  <c r="J425" i="1"/>
  <c r="G425" i="1"/>
  <c r="H425" i="1" s="1"/>
  <c r="AX424" i="1"/>
  <c r="AW424" i="1"/>
  <c r="AV424" i="1"/>
  <c r="AU424" i="1"/>
  <c r="AN424" i="1"/>
  <c r="AL424" i="1"/>
  <c r="AM424" i="1" s="1"/>
  <c r="J424" i="1"/>
  <c r="G424" i="1"/>
  <c r="H424" i="1" s="1"/>
  <c r="AX423" i="1"/>
  <c r="AW423" i="1"/>
  <c r="AV423" i="1"/>
  <c r="AU423" i="1"/>
  <c r="AN423" i="1"/>
  <c r="AL423" i="1"/>
  <c r="AM423" i="1" s="1"/>
  <c r="J423" i="1"/>
  <c r="G423" i="1"/>
  <c r="H423" i="1" s="1"/>
  <c r="AX422" i="1"/>
  <c r="AW422" i="1"/>
  <c r="AV422" i="1"/>
  <c r="AU422" i="1"/>
  <c r="AN422" i="1"/>
  <c r="AL422" i="1"/>
  <c r="AM422" i="1" s="1"/>
  <c r="J422" i="1"/>
  <c r="G422" i="1"/>
  <c r="H422" i="1" s="1"/>
  <c r="AX421" i="1"/>
  <c r="AW421" i="1"/>
  <c r="AV421" i="1"/>
  <c r="AU421" i="1"/>
  <c r="AN421" i="1"/>
  <c r="AL421" i="1"/>
  <c r="AM421" i="1" s="1"/>
  <c r="J421" i="1"/>
  <c r="G421" i="1"/>
  <c r="H421" i="1" s="1"/>
  <c r="AX420" i="1"/>
  <c r="AW420" i="1"/>
  <c r="AV420" i="1"/>
  <c r="AU420" i="1"/>
  <c r="AN420" i="1"/>
  <c r="AL420" i="1"/>
  <c r="AM420" i="1" s="1"/>
  <c r="J420" i="1"/>
  <c r="G420" i="1"/>
  <c r="H420" i="1" s="1"/>
  <c r="AX419" i="1"/>
  <c r="AW419" i="1"/>
  <c r="AV419" i="1"/>
  <c r="AU419" i="1"/>
  <c r="AN419" i="1"/>
  <c r="AL419" i="1"/>
  <c r="AM419" i="1" s="1"/>
  <c r="J419" i="1"/>
  <c r="G419" i="1"/>
  <c r="H419" i="1" s="1"/>
  <c r="AX418" i="1"/>
  <c r="AW418" i="1"/>
  <c r="AV418" i="1"/>
  <c r="AU418" i="1"/>
  <c r="AN418" i="1"/>
  <c r="AL418" i="1"/>
  <c r="AM418" i="1" s="1"/>
  <c r="J418" i="1"/>
  <c r="G418" i="1"/>
  <c r="H418" i="1" s="1"/>
  <c r="AX417" i="1"/>
  <c r="AW417" i="1"/>
  <c r="AV417" i="1"/>
  <c r="AU417" i="1"/>
  <c r="AN417" i="1"/>
  <c r="AL417" i="1"/>
  <c r="AM417" i="1" s="1"/>
  <c r="J417" i="1"/>
  <c r="G417" i="1"/>
  <c r="H417" i="1" s="1"/>
  <c r="AX416" i="1"/>
  <c r="AW416" i="1"/>
  <c r="AV416" i="1"/>
  <c r="AU416" i="1"/>
  <c r="AN416" i="1"/>
  <c r="AL416" i="1"/>
  <c r="AM416" i="1" s="1"/>
  <c r="J416" i="1"/>
  <c r="G416" i="1"/>
  <c r="H416" i="1" s="1"/>
  <c r="AX415" i="1"/>
  <c r="AW415" i="1"/>
  <c r="AV415" i="1"/>
  <c r="AU415" i="1"/>
  <c r="AN415" i="1"/>
  <c r="AL415" i="1"/>
  <c r="AM415" i="1" s="1"/>
  <c r="J415" i="1"/>
  <c r="G415" i="1"/>
  <c r="H415" i="1" s="1"/>
  <c r="AX414" i="1"/>
  <c r="AW414" i="1"/>
  <c r="AV414" i="1"/>
  <c r="AU414" i="1"/>
  <c r="AN414" i="1"/>
  <c r="AL414" i="1"/>
  <c r="AM414" i="1" s="1"/>
  <c r="J414" i="1"/>
  <c r="G414" i="1"/>
  <c r="H414" i="1" s="1"/>
  <c r="AX413" i="1"/>
  <c r="AW413" i="1"/>
  <c r="AV413" i="1"/>
  <c r="AU413" i="1"/>
  <c r="AN413" i="1"/>
  <c r="AL413" i="1"/>
  <c r="AM413" i="1" s="1"/>
  <c r="J413" i="1"/>
  <c r="G413" i="1"/>
  <c r="H413" i="1" s="1"/>
  <c r="AX412" i="1"/>
  <c r="AW412" i="1"/>
  <c r="AV412" i="1"/>
  <c r="AU412" i="1"/>
  <c r="AN412" i="1"/>
  <c r="AL412" i="1"/>
  <c r="AM412" i="1" s="1"/>
  <c r="J412" i="1"/>
  <c r="G412" i="1"/>
  <c r="H412" i="1" s="1"/>
  <c r="AX411" i="1"/>
  <c r="AW411" i="1"/>
  <c r="AV411" i="1"/>
  <c r="AU411" i="1"/>
  <c r="AN411" i="1"/>
  <c r="AL411" i="1"/>
  <c r="AM411" i="1" s="1"/>
  <c r="J411" i="1"/>
  <c r="G411" i="1"/>
  <c r="H411" i="1" s="1"/>
  <c r="AX410" i="1"/>
  <c r="AW410" i="1"/>
  <c r="AV410" i="1"/>
  <c r="AU410" i="1"/>
  <c r="AN410" i="1"/>
  <c r="AL410" i="1"/>
  <c r="AM410" i="1" s="1"/>
  <c r="J410" i="1"/>
  <c r="G410" i="1"/>
  <c r="H410" i="1" s="1"/>
  <c r="AX409" i="1"/>
  <c r="AW409" i="1"/>
  <c r="AV409" i="1"/>
  <c r="AU409" i="1"/>
  <c r="AN409" i="1"/>
  <c r="AL409" i="1"/>
  <c r="AM409" i="1" s="1"/>
  <c r="J409" i="1"/>
  <c r="G409" i="1"/>
  <c r="H409" i="1" s="1"/>
  <c r="AX408" i="1"/>
  <c r="AW408" i="1"/>
  <c r="AV408" i="1"/>
  <c r="AU408" i="1"/>
  <c r="AN408" i="1"/>
  <c r="AL408" i="1"/>
  <c r="AM408" i="1" s="1"/>
  <c r="J408" i="1"/>
  <c r="G408" i="1"/>
  <c r="H408" i="1" s="1"/>
  <c r="AX407" i="1"/>
  <c r="AW407" i="1"/>
  <c r="AV407" i="1"/>
  <c r="AU407" i="1"/>
  <c r="AN407" i="1"/>
  <c r="AL407" i="1"/>
  <c r="AM407" i="1" s="1"/>
  <c r="J407" i="1"/>
  <c r="G407" i="1"/>
  <c r="H407" i="1" s="1"/>
  <c r="AX406" i="1"/>
  <c r="AW406" i="1"/>
  <c r="AV406" i="1"/>
  <c r="AU406" i="1"/>
  <c r="AN406" i="1"/>
  <c r="AL406" i="1"/>
  <c r="AM406" i="1" s="1"/>
  <c r="J406" i="1"/>
  <c r="G406" i="1"/>
  <c r="H406" i="1" s="1"/>
  <c r="AX405" i="1"/>
  <c r="AW405" i="1"/>
  <c r="AV405" i="1"/>
  <c r="AU405" i="1"/>
  <c r="AN405" i="1"/>
  <c r="AL405" i="1"/>
  <c r="AM405" i="1" s="1"/>
  <c r="J405" i="1"/>
  <c r="G405" i="1"/>
  <c r="H405" i="1" s="1"/>
  <c r="AX404" i="1"/>
  <c r="AW404" i="1"/>
  <c r="AV404" i="1"/>
  <c r="AU404" i="1"/>
  <c r="AN404" i="1"/>
  <c r="AL404" i="1"/>
  <c r="AM404" i="1" s="1"/>
  <c r="J404" i="1"/>
  <c r="G404" i="1"/>
  <c r="H404" i="1" s="1"/>
  <c r="AX403" i="1"/>
  <c r="AW403" i="1"/>
  <c r="AV403" i="1"/>
  <c r="AU403" i="1"/>
  <c r="AN403" i="1"/>
  <c r="AL403" i="1"/>
  <c r="AM403" i="1" s="1"/>
  <c r="J403" i="1"/>
  <c r="G403" i="1"/>
  <c r="H403" i="1" s="1"/>
  <c r="AX402" i="1"/>
  <c r="AW402" i="1"/>
  <c r="AV402" i="1"/>
  <c r="AU402" i="1"/>
  <c r="AN402" i="1"/>
  <c r="AL402" i="1"/>
  <c r="AM402" i="1" s="1"/>
  <c r="J402" i="1"/>
  <c r="G402" i="1"/>
  <c r="H402" i="1" s="1"/>
  <c r="AX401" i="1"/>
  <c r="AW401" i="1"/>
  <c r="AV401" i="1"/>
  <c r="AU401" i="1"/>
  <c r="AN401" i="1"/>
  <c r="AL401" i="1"/>
  <c r="AM401" i="1" s="1"/>
  <c r="J401" i="1"/>
  <c r="G401" i="1"/>
  <c r="H401" i="1" s="1"/>
  <c r="AX400" i="1"/>
  <c r="AW400" i="1"/>
  <c r="AV400" i="1"/>
  <c r="AU400" i="1"/>
  <c r="AN400" i="1"/>
  <c r="AL400" i="1"/>
  <c r="AM400" i="1" s="1"/>
  <c r="J400" i="1"/>
  <c r="G400" i="1"/>
  <c r="H400" i="1" s="1"/>
  <c r="AX399" i="1"/>
  <c r="AW399" i="1"/>
  <c r="AV399" i="1"/>
  <c r="AU399" i="1"/>
  <c r="AN399" i="1"/>
  <c r="AL399" i="1"/>
  <c r="AM399" i="1" s="1"/>
  <c r="J399" i="1"/>
  <c r="G399" i="1"/>
  <c r="H399" i="1" s="1"/>
  <c r="AX398" i="1"/>
  <c r="AW398" i="1"/>
  <c r="AV398" i="1"/>
  <c r="AU398" i="1"/>
  <c r="AN398" i="1"/>
  <c r="AL398" i="1"/>
  <c r="AM398" i="1" s="1"/>
  <c r="J398" i="1"/>
  <c r="G398" i="1"/>
  <c r="H398" i="1" s="1"/>
  <c r="AX397" i="1"/>
  <c r="AW397" i="1"/>
  <c r="AV397" i="1"/>
  <c r="AU397" i="1"/>
  <c r="AN397" i="1"/>
  <c r="AL397" i="1"/>
  <c r="AM397" i="1" s="1"/>
  <c r="J397" i="1"/>
  <c r="G397" i="1"/>
  <c r="H397" i="1" s="1"/>
  <c r="AX396" i="1"/>
  <c r="AW396" i="1"/>
  <c r="AV396" i="1"/>
  <c r="AU396" i="1"/>
  <c r="AN396" i="1"/>
  <c r="AL396" i="1"/>
  <c r="AM396" i="1" s="1"/>
  <c r="J396" i="1"/>
  <c r="G396" i="1"/>
  <c r="H396" i="1" s="1"/>
  <c r="AX395" i="1"/>
  <c r="AW395" i="1"/>
  <c r="AV395" i="1"/>
  <c r="AU395" i="1"/>
  <c r="AN395" i="1"/>
  <c r="AL395" i="1"/>
  <c r="AM395" i="1" s="1"/>
  <c r="J395" i="1"/>
  <c r="G395" i="1"/>
  <c r="H395" i="1" s="1"/>
  <c r="AX394" i="1"/>
  <c r="AW394" i="1"/>
  <c r="AV394" i="1"/>
  <c r="AU394" i="1"/>
  <c r="AN394" i="1"/>
  <c r="AL394" i="1"/>
  <c r="AM394" i="1" s="1"/>
  <c r="J394" i="1"/>
  <c r="G394" i="1"/>
  <c r="H394" i="1" s="1"/>
  <c r="AX393" i="1"/>
  <c r="AW393" i="1"/>
  <c r="AV393" i="1"/>
  <c r="AU393" i="1"/>
  <c r="AN393" i="1"/>
  <c r="AL393" i="1"/>
  <c r="AM393" i="1" s="1"/>
  <c r="J393" i="1"/>
  <c r="G393" i="1"/>
  <c r="H393" i="1" s="1"/>
  <c r="AX392" i="1"/>
  <c r="AW392" i="1"/>
  <c r="AV392" i="1"/>
  <c r="AU392" i="1"/>
  <c r="AN392" i="1"/>
  <c r="AL392" i="1"/>
  <c r="AM392" i="1" s="1"/>
  <c r="J392" i="1"/>
  <c r="G392" i="1"/>
  <c r="H392" i="1" s="1"/>
  <c r="AX391" i="1"/>
  <c r="AW391" i="1"/>
  <c r="AV391" i="1"/>
  <c r="AU391" i="1"/>
  <c r="AN391" i="1"/>
  <c r="AL391" i="1"/>
  <c r="AM391" i="1" s="1"/>
  <c r="J391" i="1"/>
  <c r="G391" i="1"/>
  <c r="H391" i="1" s="1"/>
  <c r="AX388" i="1"/>
  <c r="AW388" i="1"/>
  <c r="AV388" i="1"/>
  <c r="AU388" i="1"/>
  <c r="AN388" i="1"/>
  <c r="AL388" i="1"/>
  <c r="AM388" i="1" s="1"/>
  <c r="J388" i="1"/>
  <c r="G388" i="1"/>
  <c r="H388" i="1" s="1"/>
  <c r="AX387" i="1"/>
  <c r="AW387" i="1"/>
  <c r="AV387" i="1"/>
  <c r="AU387" i="1"/>
  <c r="AN387" i="1"/>
  <c r="AL387" i="1"/>
  <c r="AM387" i="1" s="1"/>
  <c r="J387" i="1"/>
  <c r="G387" i="1"/>
  <c r="H387" i="1" s="1"/>
  <c r="AX386" i="1"/>
  <c r="AW386" i="1"/>
  <c r="AV386" i="1"/>
  <c r="AU386" i="1"/>
  <c r="AN386" i="1"/>
  <c r="AL386" i="1"/>
  <c r="AM386" i="1" s="1"/>
  <c r="J386" i="1"/>
  <c r="G386" i="1"/>
  <c r="H386" i="1" s="1"/>
  <c r="AX385" i="1"/>
  <c r="AW385" i="1"/>
  <c r="AV385" i="1"/>
  <c r="AU385" i="1"/>
  <c r="AN385" i="1"/>
  <c r="AL385" i="1"/>
  <c r="AM385" i="1" s="1"/>
  <c r="J385" i="1"/>
  <c r="G385" i="1"/>
  <c r="H385" i="1" s="1"/>
  <c r="AX384" i="1"/>
  <c r="AW384" i="1"/>
  <c r="AV384" i="1"/>
  <c r="AU384" i="1"/>
  <c r="AN384" i="1"/>
  <c r="AL384" i="1"/>
  <c r="AM384" i="1" s="1"/>
  <c r="J384" i="1"/>
  <c r="G384" i="1"/>
  <c r="H384" i="1" s="1"/>
  <c r="AX383" i="1"/>
  <c r="AW383" i="1"/>
  <c r="AV383" i="1"/>
  <c r="AU383" i="1"/>
  <c r="AN383" i="1"/>
  <c r="AL383" i="1"/>
  <c r="AM383" i="1" s="1"/>
  <c r="J383" i="1"/>
  <c r="G383" i="1"/>
  <c r="H383" i="1" s="1"/>
  <c r="AX382" i="1"/>
  <c r="AW382" i="1"/>
  <c r="AV382" i="1"/>
  <c r="AU382" i="1"/>
  <c r="AN382" i="1"/>
  <c r="AL382" i="1"/>
  <c r="AM382" i="1" s="1"/>
  <c r="J382" i="1"/>
  <c r="G382" i="1"/>
  <c r="H382" i="1" s="1"/>
  <c r="AX381" i="1"/>
  <c r="AW381" i="1"/>
  <c r="AV381" i="1"/>
  <c r="AU381" i="1"/>
  <c r="AN381" i="1"/>
  <c r="AL381" i="1"/>
  <c r="AM381" i="1" s="1"/>
  <c r="J381" i="1"/>
  <c r="G381" i="1"/>
  <c r="H381" i="1" s="1"/>
  <c r="AX380" i="1"/>
  <c r="AW380" i="1"/>
  <c r="AV380" i="1"/>
  <c r="AU380" i="1"/>
  <c r="AN380" i="1"/>
  <c r="AL380" i="1"/>
  <c r="AM380" i="1" s="1"/>
  <c r="J380" i="1"/>
  <c r="G380" i="1"/>
  <c r="H380" i="1" s="1"/>
  <c r="AX379" i="1"/>
  <c r="AW379" i="1"/>
  <c r="AV379" i="1"/>
  <c r="AU379" i="1"/>
  <c r="AN379" i="1"/>
  <c r="AL379" i="1"/>
  <c r="AM379" i="1" s="1"/>
  <c r="J379" i="1"/>
  <c r="G379" i="1"/>
  <c r="H379" i="1" s="1"/>
  <c r="AX378" i="1"/>
  <c r="AW378" i="1"/>
  <c r="AV378" i="1"/>
  <c r="AU378" i="1"/>
  <c r="AN378" i="1"/>
  <c r="AL378" i="1"/>
  <c r="AM378" i="1" s="1"/>
  <c r="J378" i="1"/>
  <c r="G378" i="1"/>
  <c r="H378" i="1" s="1"/>
  <c r="AX377" i="1"/>
  <c r="AW377" i="1"/>
  <c r="AV377" i="1"/>
  <c r="AU377" i="1"/>
  <c r="AN377" i="1"/>
  <c r="AL377" i="1"/>
  <c r="AM377" i="1" s="1"/>
  <c r="J377" i="1"/>
  <c r="G377" i="1"/>
  <c r="H377" i="1" s="1"/>
  <c r="AY375" i="1"/>
  <c r="AX375" i="1"/>
  <c r="AW375" i="1"/>
  <c r="AV375" i="1"/>
  <c r="AU375" i="1"/>
  <c r="J375" i="1"/>
  <c r="G375" i="1"/>
  <c r="H375" i="1" s="1"/>
  <c r="AX374" i="1"/>
  <c r="AW374" i="1"/>
  <c r="AV374" i="1"/>
  <c r="AU374" i="1"/>
  <c r="AN374" i="1"/>
  <c r="AL374" i="1"/>
  <c r="AM374" i="1" s="1"/>
  <c r="J374" i="1"/>
  <c r="G374" i="1"/>
  <c r="H374" i="1" s="1"/>
  <c r="AY373" i="1"/>
  <c r="AX373" i="1"/>
  <c r="AW373" i="1"/>
  <c r="AV373" i="1"/>
  <c r="AU373" i="1"/>
  <c r="J373" i="1"/>
  <c r="G373" i="1"/>
  <c r="H373" i="1" s="1"/>
  <c r="AX372" i="1"/>
  <c r="AW372" i="1"/>
  <c r="AV372" i="1"/>
  <c r="AU372" i="1"/>
  <c r="AN372" i="1"/>
  <c r="AL372" i="1"/>
  <c r="AM372" i="1" s="1"/>
  <c r="J372" i="1"/>
  <c r="G372" i="1"/>
  <c r="H372" i="1" s="1"/>
  <c r="AY371" i="1"/>
  <c r="AX371" i="1"/>
  <c r="AW371" i="1"/>
  <c r="AV371" i="1"/>
  <c r="AU371" i="1"/>
  <c r="J371" i="1"/>
  <c r="G371" i="1"/>
  <c r="H371" i="1" s="1"/>
  <c r="AX370" i="1"/>
  <c r="AW370" i="1"/>
  <c r="AV370" i="1"/>
  <c r="AU370" i="1"/>
  <c r="AN370" i="1"/>
  <c r="AL370" i="1"/>
  <c r="AM370" i="1" s="1"/>
  <c r="J370" i="1"/>
  <c r="G370" i="1"/>
  <c r="H370" i="1" s="1"/>
  <c r="AY369" i="1"/>
  <c r="AX369" i="1"/>
  <c r="AW369" i="1"/>
  <c r="AV369" i="1"/>
  <c r="AU369" i="1"/>
  <c r="J369" i="1"/>
  <c r="G369" i="1"/>
  <c r="H369" i="1" s="1"/>
  <c r="AX368" i="1"/>
  <c r="AW368" i="1"/>
  <c r="AV368" i="1"/>
  <c r="AU368" i="1"/>
  <c r="AN368" i="1"/>
  <c r="AL368" i="1"/>
  <c r="AM368" i="1" s="1"/>
  <c r="J368" i="1"/>
  <c r="G368" i="1"/>
  <c r="H368" i="1" s="1"/>
  <c r="AY367" i="1"/>
  <c r="AX367" i="1"/>
  <c r="AW367" i="1"/>
  <c r="AV367" i="1"/>
  <c r="AU367" i="1"/>
  <c r="J367" i="1"/>
  <c r="G367" i="1"/>
  <c r="H367" i="1" s="1"/>
  <c r="AX366" i="1"/>
  <c r="AW366" i="1"/>
  <c r="AV366" i="1"/>
  <c r="AU366" i="1"/>
  <c r="AN366" i="1"/>
  <c r="AL366" i="1"/>
  <c r="AM366" i="1" s="1"/>
  <c r="J366" i="1"/>
  <c r="G366" i="1"/>
  <c r="H366" i="1" s="1"/>
  <c r="AY364" i="1"/>
  <c r="AX364" i="1"/>
  <c r="AW364" i="1"/>
  <c r="AV364" i="1"/>
  <c r="AU364" i="1"/>
  <c r="J364" i="1"/>
  <c r="G364" i="1"/>
  <c r="H364" i="1" s="1"/>
  <c r="AX363" i="1"/>
  <c r="AW363" i="1"/>
  <c r="AV363" i="1"/>
  <c r="AU363" i="1"/>
  <c r="AN363" i="1"/>
  <c r="AL363" i="1"/>
  <c r="AM363" i="1" s="1"/>
  <c r="J363" i="1"/>
  <c r="G363" i="1"/>
  <c r="H363" i="1" s="1"/>
  <c r="AY453" i="1"/>
  <c r="AX453" i="1"/>
  <c r="AW453" i="1"/>
  <c r="AV453" i="1"/>
  <c r="AU453" i="1"/>
  <c r="J453" i="1"/>
  <c r="AY362" i="1"/>
  <c r="AX362" i="1"/>
  <c r="AW362" i="1"/>
  <c r="AV362" i="1"/>
  <c r="AU362" i="1"/>
  <c r="J362" i="1"/>
  <c r="AY361" i="1"/>
  <c r="AX361" i="1"/>
  <c r="AW361" i="1"/>
  <c r="AV361" i="1"/>
  <c r="AU361" i="1"/>
  <c r="J361" i="1"/>
  <c r="G361" i="1"/>
  <c r="H361" i="1" s="1"/>
  <c r="AX360" i="1"/>
  <c r="AW360" i="1"/>
  <c r="AV360" i="1"/>
  <c r="AU360" i="1"/>
  <c r="AN360" i="1"/>
  <c r="AL360" i="1"/>
  <c r="AM360" i="1" s="1"/>
  <c r="J360" i="1"/>
  <c r="G360" i="1"/>
  <c r="H360" i="1" s="1"/>
  <c r="H358" i="1"/>
  <c r="AY356" i="1"/>
  <c r="AX356" i="1"/>
  <c r="AW356" i="1"/>
  <c r="AV356" i="1"/>
  <c r="AU356" i="1"/>
  <c r="J356" i="1"/>
  <c r="G356" i="1"/>
  <c r="H356" i="1" s="1"/>
  <c r="AX355" i="1"/>
  <c r="AW355" i="1"/>
  <c r="AV355" i="1"/>
  <c r="AU355" i="1"/>
  <c r="AN355" i="1"/>
  <c r="AL355" i="1"/>
  <c r="AM355" i="1" s="1"/>
  <c r="J355" i="1"/>
  <c r="G355" i="1"/>
  <c r="H355" i="1" s="1"/>
  <c r="AY353" i="1"/>
  <c r="AX353" i="1"/>
  <c r="AW353" i="1"/>
  <c r="AV353" i="1"/>
  <c r="AU353" i="1"/>
  <c r="J353" i="1"/>
  <c r="G353" i="1"/>
  <c r="H353" i="1" s="1"/>
  <c r="AX352" i="1"/>
  <c r="AW352" i="1"/>
  <c r="AV352" i="1"/>
  <c r="AU352" i="1"/>
  <c r="AN352" i="1"/>
  <c r="AL352" i="1"/>
  <c r="AM352" i="1" s="1"/>
  <c r="J352" i="1"/>
  <c r="G352" i="1"/>
  <c r="H352" i="1" s="1"/>
  <c r="AJ17" i="1"/>
  <c r="AJ18" i="1" s="1"/>
  <c r="AJ19" i="1" s="1"/>
  <c r="AJ20" i="1" s="1"/>
  <c r="AJ21" i="1" s="1"/>
  <c r="AJ22" i="1" s="1"/>
  <c r="AJ23" i="1" s="1"/>
  <c r="AJ24" i="1" s="1"/>
  <c r="AJ25" i="1" s="1"/>
  <c r="AJ26" i="1" s="1"/>
  <c r="AJ4" i="1"/>
  <c r="AJ5" i="1" s="1"/>
  <c r="AJ6" i="1" s="1"/>
  <c r="AJ7" i="1" s="1"/>
  <c r="AJ8" i="1" s="1"/>
  <c r="AJ27" i="1"/>
  <c r="AJ28" i="1" s="1"/>
  <c r="AJ29" i="1"/>
  <c r="AJ30" i="1" s="1"/>
  <c r="AJ31" i="1" s="1"/>
  <c r="AJ32" i="1" s="1"/>
  <c r="AJ33" i="1" s="1"/>
  <c r="AJ34" i="1" s="1"/>
  <c r="AJ35" i="1" s="1"/>
  <c r="AJ36" i="1" s="1"/>
  <c r="AJ37" i="1" s="1"/>
  <c r="AJ38" i="1" s="1"/>
  <c r="AJ39" i="1" s="1"/>
  <c r="AJ40" i="1" s="1"/>
  <c r="AJ41" i="1" s="1"/>
  <c r="AJ42" i="1"/>
  <c r="AJ43" i="1" s="1"/>
  <c r="AJ44" i="1" s="1"/>
  <c r="AJ45" i="1" s="1"/>
  <c r="AJ46" i="1" s="1"/>
  <c r="AJ47" i="1" s="1"/>
  <c r="AJ48" i="1" s="1"/>
  <c r="AJ49" i="1" s="1"/>
  <c r="AJ50" i="1"/>
  <c r="AJ51" i="1" s="1"/>
  <c r="AJ52" i="1" s="1"/>
  <c r="AJ53" i="1" s="1"/>
  <c r="AJ54" i="1" s="1"/>
  <c r="AJ55" i="1" s="1"/>
  <c r="AJ56" i="1" s="1"/>
  <c r="AJ57" i="1" s="1"/>
  <c r="AJ58" i="1" s="1"/>
  <c r="AJ59" i="1" s="1"/>
  <c r="AJ60" i="1" s="1"/>
  <c r="AJ61" i="1"/>
  <c r="AJ62" i="1" s="1"/>
  <c r="AJ63" i="1" s="1"/>
  <c r="AJ64" i="1" s="1"/>
  <c r="AJ65" i="1" s="1"/>
  <c r="AJ66" i="1" s="1"/>
  <c r="AJ67" i="1" s="1"/>
  <c r="AJ68" i="1" s="1"/>
  <c r="AJ69" i="1" s="1"/>
  <c r="AJ70" i="1" s="1"/>
  <c r="AJ71" i="1" s="1"/>
  <c r="AJ72" i="1" s="1"/>
  <c r="AJ73" i="1" s="1"/>
  <c r="AJ74" i="1" s="1"/>
  <c r="AJ75" i="1" s="1"/>
  <c r="AJ76" i="1" s="1"/>
  <c r="AJ77" i="1" s="1"/>
  <c r="AJ78" i="1" s="1"/>
  <c r="AJ79" i="1" s="1"/>
  <c r="AJ80" i="1" s="1"/>
  <c r="AJ81" i="1" s="1"/>
  <c r="AJ82" i="1" s="1"/>
  <c r="AJ83" i="1" s="1"/>
  <c r="AJ84" i="1" s="1"/>
  <c r="AJ85" i="1" s="1"/>
  <c r="AJ86" i="1" s="1"/>
  <c r="AJ87" i="1" s="1"/>
  <c r="AJ88" i="1" s="1"/>
  <c r="AJ89" i="1" s="1"/>
  <c r="AJ90" i="1" s="1"/>
  <c r="AJ91" i="1" s="1"/>
  <c r="AJ92" i="1" s="1"/>
  <c r="AJ93" i="1" s="1"/>
  <c r="AJ94" i="1"/>
  <c r="AJ95" i="1" s="1"/>
  <c r="AJ96" i="1" s="1"/>
  <c r="AJ97" i="1" s="1"/>
  <c r="AJ98" i="1" s="1"/>
  <c r="AJ99" i="1" s="1"/>
  <c r="AJ100" i="1" s="1"/>
  <c r="AJ101" i="1" s="1"/>
  <c r="AJ102" i="1" s="1"/>
  <c r="AJ103" i="1" s="1"/>
  <c r="AJ104" i="1" s="1"/>
  <c r="AJ105" i="1" s="1"/>
  <c r="AJ106" i="1" s="1"/>
  <c r="AJ107" i="1" s="1"/>
  <c r="AJ108" i="1" s="1"/>
  <c r="AJ109" i="1" s="1"/>
  <c r="AJ110" i="1" s="1"/>
  <c r="AJ111" i="1" s="1"/>
  <c r="AJ112" i="1" s="1"/>
  <c r="AJ113" i="1" s="1"/>
  <c r="AJ114" i="1" s="1"/>
  <c r="AJ115" i="1" s="1"/>
  <c r="AJ116" i="1" s="1"/>
  <c r="AJ117" i="1" s="1"/>
  <c r="AJ118" i="1" s="1"/>
  <c r="AJ119" i="1" s="1"/>
  <c r="AJ120" i="1" s="1"/>
  <c r="AJ121" i="1" s="1"/>
  <c r="AJ122" i="1" s="1"/>
  <c r="AJ123" i="1" s="1"/>
  <c r="AJ124" i="1" s="1"/>
  <c r="AJ125" i="1" s="1"/>
  <c r="AJ126" i="1" s="1"/>
  <c r="AJ127" i="1" s="1"/>
  <c r="AJ128" i="1" s="1"/>
  <c r="AJ129" i="1" s="1"/>
  <c r="AJ130" i="1" s="1"/>
  <c r="AJ131" i="1" s="1"/>
  <c r="AJ132" i="1" s="1"/>
  <c r="AJ133" i="1" s="1"/>
  <c r="AJ134" i="1" s="1"/>
  <c r="AJ135" i="1" s="1"/>
  <c r="AJ179" i="1"/>
  <c r="AJ180" i="1" s="1"/>
  <c r="AJ181" i="1" s="1"/>
  <c r="AJ182" i="1" s="1"/>
  <c r="AJ183" i="1" s="1"/>
  <c r="AJ184" i="1" s="1"/>
  <c r="AJ185" i="1" s="1"/>
  <c r="AJ186" i="1" s="1"/>
  <c r="AJ187" i="1" s="1"/>
  <c r="AJ188" i="1" s="1"/>
  <c r="AJ189" i="1" s="1"/>
  <c r="AJ190" i="1" s="1"/>
  <c r="AJ191" i="1" s="1"/>
  <c r="AJ192" i="1" s="1"/>
  <c r="AJ193" i="1" s="1"/>
  <c r="AJ194" i="1" s="1"/>
  <c r="AJ195" i="1" s="1"/>
  <c r="AJ196" i="1" s="1"/>
  <c r="AJ197" i="1" s="1"/>
  <c r="AJ198" i="1" s="1"/>
  <c r="AJ199" i="1" s="1"/>
  <c r="AJ200" i="1" s="1"/>
  <c r="AJ201" i="1" s="1"/>
  <c r="AJ202" i="1" s="1"/>
  <c r="AJ203" i="1" s="1"/>
  <c r="AJ204" i="1" s="1"/>
  <c r="AJ205" i="1" s="1"/>
  <c r="AJ206" i="1" s="1"/>
  <c r="AJ207" i="1" s="1"/>
  <c r="AJ208" i="1" s="1"/>
  <c r="AJ209" i="1" s="1"/>
  <c r="AJ210" i="1" s="1"/>
  <c r="AJ211" i="1" s="1"/>
  <c r="AJ212" i="1" s="1"/>
  <c r="AJ213" i="1" s="1"/>
  <c r="AJ214" i="1" s="1"/>
  <c r="AJ215" i="1" s="1"/>
  <c r="AJ216" i="1" s="1"/>
  <c r="AJ217" i="1" s="1"/>
  <c r="AJ218" i="1" s="1"/>
  <c r="AJ219" i="1" s="1"/>
  <c r="AJ220" i="1" s="1"/>
  <c r="AJ221" i="1" s="1"/>
  <c r="AJ222" i="1" s="1"/>
  <c r="AJ223" i="1" s="1"/>
  <c r="AJ224" i="1" s="1"/>
  <c r="AJ225" i="1" s="1"/>
  <c r="AJ226" i="1" s="1"/>
  <c r="AJ227" i="1" s="1"/>
  <c r="AJ228" i="1" s="1"/>
  <c r="AJ229" i="1" s="1"/>
  <c r="AJ230" i="1" s="1"/>
  <c r="AJ231" i="1" s="1"/>
  <c r="AJ232" i="1" s="1"/>
  <c r="AJ233" i="1" s="1"/>
  <c r="AJ234" i="1" s="1"/>
  <c r="AJ235" i="1" s="1"/>
  <c r="AJ236" i="1" s="1"/>
  <c r="AJ237" i="1" s="1"/>
  <c r="AJ136" i="1"/>
  <c r="AJ137" i="1" s="1"/>
  <c r="AJ138" i="1" s="1"/>
  <c r="AJ139" i="1"/>
  <c r="AJ140" i="1" s="1"/>
  <c r="AJ141" i="1" s="1"/>
  <c r="AJ142" i="1" s="1"/>
  <c r="AJ143" i="1" s="1"/>
  <c r="AJ144" i="1" s="1"/>
  <c r="AJ145" i="1" s="1"/>
  <c r="AJ146" i="1" s="1"/>
  <c r="AJ147" i="1" s="1"/>
  <c r="AJ148" i="1" s="1"/>
  <c r="AJ149" i="1" s="1"/>
  <c r="AJ150" i="1" s="1"/>
  <c r="AJ151" i="1" s="1"/>
  <c r="AJ152" i="1" s="1"/>
  <c r="AJ153" i="1" s="1"/>
  <c r="AJ154" i="1" s="1"/>
  <c r="AJ155" i="1" s="1"/>
  <c r="AJ156" i="1" s="1"/>
  <c r="AJ157" i="1" s="1"/>
  <c r="AJ158" i="1" s="1"/>
  <c r="AJ159" i="1" s="1"/>
  <c r="AJ160" i="1" s="1"/>
  <c r="AJ161" i="1" s="1"/>
  <c r="AJ162" i="1" s="1"/>
  <c r="AJ163" i="1" s="1"/>
  <c r="AJ164" i="1" s="1"/>
  <c r="AJ165" i="1" s="1"/>
  <c r="AJ166" i="1" s="1"/>
  <c r="AJ167" i="1" s="1"/>
  <c r="AJ168" i="1" s="1"/>
  <c r="AJ169" i="1" s="1"/>
  <c r="AJ170" i="1" s="1"/>
  <c r="AJ171" i="1" s="1"/>
  <c r="AJ172" i="1" s="1"/>
  <c r="AJ173" i="1" s="1"/>
  <c r="AJ174" i="1" s="1"/>
  <c r="AJ175" i="1" s="1"/>
  <c r="AJ176" i="1" s="1"/>
  <c r="AJ177" i="1" s="1"/>
  <c r="AJ178" i="1" s="1"/>
  <c r="AJ238" i="1"/>
  <c r="AJ239" i="1" s="1"/>
  <c r="AJ240" i="1" s="1"/>
  <c r="AJ241" i="1" s="1"/>
  <c r="AJ242" i="1" s="1"/>
  <c r="AJ243" i="1" s="1"/>
  <c r="AJ244" i="1" s="1"/>
  <c r="AJ245" i="1" s="1"/>
  <c r="AJ246" i="1" s="1"/>
  <c r="AJ247" i="1" s="1"/>
  <c r="AJ248" i="1" s="1"/>
  <c r="AJ249" i="1" s="1"/>
  <c r="AJ250" i="1" s="1"/>
  <c r="AJ251" i="1" s="1"/>
  <c r="AJ252" i="1" s="1"/>
  <c r="AJ253" i="1" s="1"/>
  <c r="AJ254" i="1" s="1"/>
  <c r="AJ255" i="1" s="1"/>
  <c r="AJ256" i="1" s="1"/>
  <c r="AJ257" i="1" s="1"/>
  <c r="AJ258" i="1" s="1"/>
  <c r="AJ259" i="1" s="1"/>
  <c r="AJ260" i="1" s="1"/>
  <c r="AJ261" i="1" s="1"/>
  <c r="AJ262" i="1"/>
  <c r="AJ263" i="1" s="1"/>
  <c r="AJ264" i="1" s="1"/>
  <c r="AJ265" i="1" s="1"/>
  <c r="AJ266" i="1" s="1"/>
  <c r="AJ267" i="1" s="1"/>
  <c r="AJ268" i="1" s="1"/>
  <c r="AJ269" i="1" s="1"/>
  <c r="AJ270" i="1" s="1"/>
  <c r="AJ271" i="1" s="1"/>
  <c r="AJ272" i="1" s="1"/>
  <c r="AJ273" i="1" s="1"/>
  <c r="AJ274" i="1" s="1"/>
  <c r="AJ275" i="1" s="1"/>
  <c r="AJ276" i="1" s="1"/>
  <c r="AJ277" i="1" s="1"/>
  <c r="AJ278" i="1" s="1"/>
  <c r="AJ279" i="1" s="1"/>
  <c r="AJ280" i="1" s="1"/>
  <c r="AJ281" i="1" s="1"/>
  <c r="AJ282" i="1" s="1"/>
  <c r="AJ283" i="1" s="1"/>
  <c r="AJ284" i="1" s="1"/>
  <c r="AJ285" i="1" s="1"/>
  <c r="AJ286" i="1" s="1"/>
  <c r="AJ287" i="1" s="1"/>
  <c r="AJ288" i="1" s="1"/>
  <c r="AJ289" i="1" s="1"/>
  <c r="AJ290" i="1" s="1"/>
  <c r="AJ291" i="1" s="1"/>
  <c r="AJ292" i="1" s="1"/>
  <c r="AJ293" i="1" s="1"/>
  <c r="AJ294" i="1" s="1"/>
  <c r="AJ295" i="1" s="1"/>
  <c r="AJ296" i="1" s="1"/>
  <c r="AJ297" i="1" s="1"/>
  <c r="AJ298" i="1" s="1"/>
  <c r="AJ299" i="1" s="1"/>
  <c r="AJ300" i="1"/>
  <c r="AJ301" i="1" s="1"/>
  <c r="AJ302" i="1" s="1"/>
  <c r="AJ303" i="1" s="1"/>
  <c r="AJ304" i="1" s="1"/>
  <c r="AJ305" i="1" s="1"/>
  <c r="AJ306" i="1" s="1"/>
  <c r="AJ307" i="1" s="1"/>
  <c r="AJ308" i="1" s="1"/>
  <c r="AJ309" i="1" s="1"/>
  <c r="AJ310" i="1" s="1"/>
  <c r="AJ311" i="1" s="1"/>
  <c r="AJ312" i="1" s="1"/>
  <c r="AJ313" i="1" s="1"/>
  <c r="AJ314" i="1" s="1"/>
  <c r="AJ315" i="1" s="1"/>
  <c r="AJ316" i="1" s="1"/>
  <c r="AJ317" i="1" s="1"/>
  <c r="AJ318" i="1" s="1"/>
  <c r="AJ319" i="1" s="1"/>
  <c r="AJ320" i="1" s="1"/>
  <c r="AJ321" i="1" s="1"/>
  <c r="AJ322" i="1" s="1"/>
  <c r="AJ323" i="1" s="1"/>
  <c r="AJ324" i="1" s="1"/>
  <c r="AJ325" i="1" s="1"/>
  <c r="AJ326" i="1" s="1"/>
  <c r="AJ327" i="1" s="1"/>
  <c r="AJ328" i="1" s="1"/>
  <c r="AJ329" i="1" s="1"/>
  <c r="AJ330" i="1" s="1"/>
  <c r="AJ331" i="1" s="1"/>
  <c r="AJ332" i="1" s="1"/>
  <c r="AJ333" i="1" s="1"/>
  <c r="AJ334" i="1" s="1"/>
  <c r="AJ335" i="1" s="1"/>
  <c r="AJ336" i="1" s="1"/>
  <c r="AJ337" i="1" s="1"/>
  <c r="AJ338" i="1" s="1"/>
  <c r="AJ339" i="1" s="1"/>
  <c r="AJ340" i="1" s="1"/>
  <c r="AJ341" i="1" s="1"/>
  <c r="AJ342" i="1" s="1"/>
  <c r="AJ343" i="1" s="1"/>
  <c r="AJ344" i="1" s="1"/>
  <c r="AJ345" i="1"/>
  <c r="AJ346" i="1" s="1"/>
  <c r="AJ347" i="1" s="1"/>
  <c r="AJ348" i="1" s="1"/>
  <c r="AJ349" i="1" s="1"/>
  <c r="AJ350" i="1" s="1"/>
  <c r="AJ351" i="1" s="1"/>
  <c r="AJ352" i="1" s="1"/>
  <c r="AJ353" i="1" s="1"/>
  <c r="AJ354" i="1" s="1"/>
  <c r="AJ355" i="1" s="1"/>
  <c r="AJ356" i="1" s="1"/>
  <c r="AJ357" i="1" s="1"/>
  <c r="AJ358" i="1" s="1"/>
  <c r="AJ359" i="1" s="1"/>
  <c r="AJ360" i="1" s="1"/>
  <c r="AJ361" i="1" s="1"/>
  <c r="AJ362" i="1" s="1"/>
  <c r="AJ363" i="1" s="1"/>
  <c r="AJ364" i="1" s="1"/>
  <c r="AJ365" i="1" s="1"/>
  <c r="AJ366" i="1" s="1"/>
  <c r="AJ367" i="1" s="1"/>
  <c r="AJ368" i="1" s="1"/>
  <c r="AJ369" i="1" s="1"/>
  <c r="AJ370" i="1" s="1"/>
  <c r="AJ371" i="1" s="1"/>
  <c r="AJ372" i="1" s="1"/>
  <c r="AJ373" i="1" s="1"/>
  <c r="AJ374" i="1" s="1"/>
  <c r="AJ375" i="1" s="1"/>
  <c r="AJ376" i="1" s="1"/>
  <c r="AJ377" i="1" s="1"/>
  <c r="AJ378" i="1" s="1"/>
  <c r="AJ379" i="1" s="1"/>
  <c r="AJ380" i="1" s="1"/>
  <c r="AJ381" i="1" s="1"/>
  <c r="AJ382" i="1" s="1"/>
  <c r="AJ383" i="1" s="1"/>
  <c r="AJ384" i="1" s="1"/>
  <c r="AJ385" i="1" s="1"/>
  <c r="AJ386" i="1" s="1"/>
  <c r="AJ387" i="1" s="1"/>
  <c r="AJ388" i="1" s="1"/>
  <c r="AJ389" i="1" s="1"/>
  <c r="AJ390" i="1" s="1"/>
  <c r="AJ391" i="1" s="1"/>
  <c r="AJ392" i="1" s="1"/>
  <c r="AJ393" i="1" s="1"/>
  <c r="AJ394" i="1" s="1"/>
  <c r="AJ395" i="1" s="1"/>
  <c r="AJ396" i="1" s="1"/>
  <c r="AJ397" i="1" s="1"/>
  <c r="AJ398" i="1" s="1"/>
  <c r="AJ399" i="1" s="1"/>
  <c r="AJ400" i="1" s="1"/>
  <c r="AJ401" i="1" s="1"/>
  <c r="AJ402" i="1" s="1"/>
  <c r="AJ403" i="1" s="1"/>
  <c r="AJ404" i="1" s="1"/>
  <c r="AJ405" i="1" s="1"/>
  <c r="AJ406" i="1" s="1"/>
  <c r="AJ407" i="1" s="1"/>
  <c r="AJ408" i="1" s="1"/>
  <c r="AJ409" i="1" s="1"/>
  <c r="AJ410" i="1" s="1"/>
  <c r="AJ411" i="1" s="1"/>
  <c r="AJ412" i="1" s="1"/>
  <c r="AJ413" i="1" s="1"/>
  <c r="AJ414" i="1" s="1"/>
  <c r="AJ415" i="1" s="1"/>
  <c r="AJ416" i="1" s="1"/>
  <c r="AJ417" i="1" s="1"/>
  <c r="AJ418" i="1" s="1"/>
  <c r="AJ419" i="1" s="1"/>
  <c r="AJ420" i="1" s="1"/>
  <c r="AJ421" i="1" s="1"/>
  <c r="AJ422" i="1" s="1"/>
  <c r="AJ423" i="1" s="1"/>
  <c r="AJ424" i="1" s="1"/>
  <c r="AJ425" i="1" s="1"/>
  <c r="AJ426" i="1" s="1"/>
  <c r="AJ427" i="1" s="1"/>
  <c r="AJ428" i="1" s="1"/>
  <c r="AJ429" i="1" s="1"/>
  <c r="AJ430" i="1" s="1"/>
  <c r="AJ431" i="1" s="1"/>
  <c r="AJ432" i="1" s="1"/>
  <c r="AJ433" i="1" s="1"/>
  <c r="AJ434" i="1" s="1"/>
  <c r="AJ435" i="1" s="1"/>
  <c r="AJ436" i="1" s="1"/>
  <c r="AJ437" i="1" s="1"/>
  <c r="AJ438" i="1" s="1"/>
  <c r="AJ439" i="1" s="1"/>
  <c r="AJ440" i="1" s="1"/>
  <c r="AJ441" i="1" s="1"/>
  <c r="AJ442" i="1" s="1"/>
  <c r="AJ443" i="1" s="1"/>
  <c r="AJ444" i="1" s="1"/>
  <c r="AJ445" i="1" s="1"/>
  <c r="AJ446" i="1" s="1"/>
  <c r="AJ447" i="1" s="1"/>
  <c r="AJ448" i="1" s="1"/>
  <c r="AJ449" i="1" s="1"/>
  <c r="AJ450" i="1" s="1"/>
  <c r="AJ451" i="1" s="1"/>
  <c r="AJ452" i="1" s="1"/>
  <c r="AJ453" i="1" s="1"/>
  <c r="AJ454" i="1" s="1"/>
  <c r="AJ455" i="1" s="1"/>
  <c r="AY390" i="1"/>
  <c r="AX390" i="1"/>
  <c r="AW390" i="1"/>
  <c r="AV390" i="1"/>
  <c r="AU390" i="1"/>
  <c r="J390" i="1"/>
  <c r="G390" i="1"/>
  <c r="H390" i="1" s="1"/>
  <c r="AY389" i="1"/>
  <c r="AX389" i="1"/>
  <c r="AW389" i="1"/>
  <c r="AV389" i="1"/>
  <c r="AU389" i="1"/>
  <c r="AS389" i="1"/>
  <c r="AQ389" i="1"/>
  <c r="AR389" i="1" s="1"/>
  <c r="J389" i="1"/>
  <c r="G389" i="1"/>
  <c r="H389" i="1" s="1"/>
  <c r="AY350" i="1"/>
  <c r="AX350" i="1"/>
  <c r="AW350" i="1"/>
  <c r="AV350" i="1"/>
  <c r="AU350" i="1"/>
  <c r="J350" i="1"/>
  <c r="G350" i="1"/>
  <c r="H350" i="1" s="1"/>
  <c r="AY349" i="1"/>
  <c r="AX349" i="1"/>
  <c r="AW349" i="1"/>
  <c r="AV349" i="1"/>
  <c r="AU349" i="1"/>
  <c r="AS349" i="1"/>
  <c r="AQ349" i="1"/>
  <c r="AR349" i="1" s="1"/>
  <c r="J349" i="1"/>
  <c r="G349" i="1"/>
  <c r="H349" i="1" s="1"/>
  <c r="AY348" i="1"/>
  <c r="AX348" i="1"/>
  <c r="AW348" i="1"/>
  <c r="AV348" i="1"/>
  <c r="AU348" i="1"/>
  <c r="J348" i="1"/>
  <c r="G348" i="1"/>
  <c r="H348" i="1" s="1"/>
  <c r="AX347" i="1"/>
  <c r="AW347" i="1"/>
  <c r="AV347" i="1"/>
  <c r="AU347" i="1"/>
  <c r="AN347" i="1"/>
  <c r="AL347" i="1"/>
  <c r="AM347" i="1" s="1"/>
  <c r="J347" i="1"/>
  <c r="G347" i="1"/>
  <c r="H347" i="1" s="1"/>
  <c r="AY341" i="1"/>
  <c r="AX341" i="1"/>
  <c r="AW341" i="1"/>
  <c r="AV341" i="1"/>
  <c r="AU341" i="1"/>
  <c r="J341" i="1"/>
  <c r="G341" i="1"/>
  <c r="H341" i="1" s="1"/>
  <c r="AX340" i="1"/>
  <c r="AW340" i="1"/>
  <c r="AV340" i="1"/>
  <c r="AU340" i="1"/>
  <c r="AN340" i="1"/>
  <c r="AL340" i="1"/>
  <c r="AM340" i="1" s="1"/>
  <c r="J340" i="1"/>
  <c r="G340" i="1"/>
  <c r="H340" i="1" s="1"/>
  <c r="H357" i="1"/>
  <c r="H343" i="1"/>
  <c r="H342" i="1"/>
  <c r="AY339" i="1"/>
  <c r="AX339" i="1"/>
  <c r="AW339" i="1"/>
  <c r="AV339" i="1"/>
  <c r="AU339" i="1"/>
  <c r="J339" i="1"/>
  <c r="G339" i="1"/>
  <c r="H339" i="1" s="1"/>
  <c r="AX338" i="1"/>
  <c r="AW338" i="1"/>
  <c r="AV338" i="1"/>
  <c r="AU338" i="1"/>
  <c r="AN338" i="1"/>
  <c r="AL338" i="1"/>
  <c r="AM338" i="1" s="1"/>
  <c r="J338" i="1"/>
  <c r="G338" i="1"/>
  <c r="H338" i="1" s="1"/>
  <c r="AY335" i="1"/>
  <c r="AX335" i="1"/>
  <c r="AW335" i="1"/>
  <c r="AV335" i="1"/>
  <c r="AU335" i="1"/>
  <c r="J335" i="1"/>
  <c r="G335" i="1"/>
  <c r="H335" i="1" s="1"/>
  <c r="AX334" i="1"/>
  <c r="AW334" i="1"/>
  <c r="AV334" i="1"/>
  <c r="AU334" i="1"/>
  <c r="AN334" i="1"/>
  <c r="AL334" i="1"/>
  <c r="AM334" i="1" s="1"/>
  <c r="J334" i="1"/>
  <c r="G334" i="1"/>
  <c r="H334" i="1" s="1"/>
  <c r="AY329" i="1"/>
  <c r="AX329" i="1"/>
  <c r="AW329" i="1"/>
  <c r="AV329" i="1"/>
  <c r="AU329" i="1"/>
  <c r="J329" i="1"/>
  <c r="G329" i="1"/>
  <c r="H329" i="1" s="1"/>
  <c r="AX328" i="1"/>
  <c r="AW328" i="1"/>
  <c r="AV328" i="1"/>
  <c r="AU328" i="1"/>
  <c r="AN328" i="1"/>
  <c r="AL328" i="1"/>
  <c r="AM328" i="1" s="1"/>
  <c r="J328" i="1"/>
  <c r="G328" i="1"/>
  <c r="H328" i="1" s="1"/>
  <c r="H327" i="1"/>
  <c r="AY346" i="1"/>
  <c r="AX346" i="1"/>
  <c r="AW346" i="1"/>
  <c r="AV346" i="1"/>
  <c r="AU346" i="1"/>
  <c r="J346" i="1"/>
  <c r="AY323" i="1"/>
  <c r="AX323" i="1"/>
  <c r="AW323" i="1"/>
  <c r="AV323" i="1"/>
  <c r="AU323" i="1"/>
  <c r="J323" i="1"/>
  <c r="G323" i="1"/>
  <c r="H323" i="1" s="1"/>
  <c r="AX322" i="1"/>
  <c r="AW322" i="1"/>
  <c r="AV322" i="1"/>
  <c r="AU322" i="1"/>
  <c r="AN322" i="1"/>
  <c r="AL322" i="1"/>
  <c r="AM322" i="1" s="1"/>
  <c r="J322" i="1"/>
  <c r="G322" i="1"/>
  <c r="H322" i="1" s="1"/>
  <c r="AY321" i="1"/>
  <c r="AX321" i="1"/>
  <c r="AW321" i="1"/>
  <c r="AV321" i="1"/>
  <c r="AU321" i="1"/>
  <c r="J321" i="1"/>
  <c r="G321" i="1"/>
  <c r="H321" i="1" s="1"/>
  <c r="AY320" i="1"/>
  <c r="AX320" i="1"/>
  <c r="AW320" i="1"/>
  <c r="AV320" i="1"/>
  <c r="AU320" i="1"/>
  <c r="AS320" i="1"/>
  <c r="AQ320" i="1"/>
  <c r="AR320" i="1" s="1"/>
  <c r="J320" i="1"/>
  <c r="G320" i="1"/>
  <c r="H320" i="1" s="1"/>
  <c r="AY319" i="1"/>
  <c r="AX319" i="1"/>
  <c r="AW319" i="1"/>
  <c r="AV319" i="1"/>
  <c r="AU319" i="1"/>
  <c r="J319" i="1"/>
  <c r="G319" i="1"/>
  <c r="H319" i="1" s="1"/>
  <c r="AY318" i="1"/>
  <c r="AX318" i="1"/>
  <c r="AW318" i="1"/>
  <c r="AV318" i="1"/>
  <c r="AU318" i="1"/>
  <c r="AS318" i="1"/>
  <c r="AQ318" i="1"/>
  <c r="AR318" i="1" s="1"/>
  <c r="J318" i="1"/>
  <c r="G318" i="1"/>
  <c r="H318" i="1" s="1"/>
  <c r="AY317" i="1"/>
  <c r="AX317" i="1"/>
  <c r="AW317" i="1"/>
  <c r="AV317" i="1"/>
  <c r="AU317" i="1"/>
  <c r="J317" i="1"/>
  <c r="G317" i="1"/>
  <c r="H317" i="1" s="1"/>
  <c r="AX316" i="1"/>
  <c r="AW316" i="1"/>
  <c r="AV316" i="1"/>
  <c r="AU316" i="1"/>
  <c r="AN316" i="1"/>
  <c r="AL316" i="1"/>
  <c r="AM316" i="1" s="1"/>
  <c r="J316" i="1"/>
  <c r="G316" i="1"/>
  <c r="H316" i="1" s="1"/>
  <c r="AY314" i="1"/>
  <c r="AX314" i="1"/>
  <c r="AW314" i="1"/>
  <c r="AV314" i="1"/>
  <c r="AU314" i="1"/>
  <c r="J314" i="1"/>
  <c r="G314" i="1"/>
  <c r="H314" i="1" s="1"/>
  <c r="AX313" i="1"/>
  <c r="AW313" i="1"/>
  <c r="AV313" i="1"/>
  <c r="AU313" i="1"/>
  <c r="AN313" i="1"/>
  <c r="AL313" i="1"/>
  <c r="AM313" i="1" s="1"/>
  <c r="J313" i="1"/>
  <c r="G313" i="1"/>
  <c r="H313" i="1" s="1"/>
  <c r="AY312" i="1"/>
  <c r="AX312" i="1"/>
  <c r="AW312" i="1"/>
  <c r="AV312" i="1"/>
  <c r="AU312" i="1"/>
  <c r="J312" i="1"/>
  <c r="G312" i="1"/>
  <c r="H312" i="1" s="1"/>
  <c r="AX311" i="1"/>
  <c r="AW311" i="1"/>
  <c r="AV311" i="1"/>
  <c r="AU311" i="1"/>
  <c r="AN311" i="1"/>
  <c r="AL311" i="1"/>
  <c r="AM311" i="1" s="1"/>
  <c r="J311" i="1"/>
  <c r="G311" i="1"/>
  <c r="H311" i="1" s="1"/>
  <c r="AY305" i="1"/>
  <c r="AX305" i="1"/>
  <c r="AW305" i="1"/>
  <c r="AV305" i="1"/>
  <c r="AU305" i="1"/>
  <c r="J305" i="1"/>
  <c r="G305" i="1"/>
  <c r="H305" i="1" s="1"/>
  <c r="H303" i="1"/>
  <c r="AY310" i="1"/>
  <c r="AX310" i="1"/>
  <c r="AW310" i="1"/>
  <c r="AV310" i="1"/>
  <c r="AU310" i="1"/>
  <c r="J310" i="1"/>
  <c r="G310" i="1"/>
  <c r="H310" i="1" s="1"/>
  <c r="AX309" i="1"/>
  <c r="AW309" i="1"/>
  <c r="AV309" i="1"/>
  <c r="AU309" i="1"/>
  <c r="AN309" i="1"/>
  <c r="AL309" i="1"/>
  <c r="AM309" i="1" s="1"/>
  <c r="J309" i="1"/>
  <c r="G309" i="1"/>
  <c r="H309" i="1" s="1"/>
  <c r="H308" i="1"/>
  <c r="AY302" i="1"/>
  <c r="H306" i="1"/>
  <c r="AX304" i="1"/>
  <c r="AW304" i="1"/>
  <c r="AV304" i="1"/>
  <c r="AU304" i="1"/>
  <c r="AN304" i="1"/>
  <c r="AL304" i="1"/>
  <c r="J304" i="1"/>
  <c r="G304" i="1"/>
  <c r="H304" i="1" s="1"/>
  <c r="AX302" i="1"/>
  <c r="AW302" i="1"/>
  <c r="AV302" i="1"/>
  <c r="AU302" i="1"/>
  <c r="J302" i="1"/>
  <c r="AY301" i="1"/>
  <c r="AX301" i="1"/>
  <c r="AW301" i="1"/>
  <c r="AV301" i="1"/>
  <c r="AU301" i="1"/>
  <c r="J301" i="1"/>
  <c r="G301" i="1"/>
  <c r="H301" i="1" s="1"/>
  <c r="AL7" i="7"/>
  <c r="AX294" i="1"/>
  <c r="AW294" i="1"/>
  <c r="AV294" i="1"/>
  <c r="AU294" i="1"/>
  <c r="AN294" i="1"/>
  <c r="AL294" i="1"/>
  <c r="AM294" i="1" s="1"/>
  <c r="J294" i="1"/>
  <c r="G294" i="1"/>
  <c r="H294" i="1" s="1"/>
  <c r="AX292" i="1"/>
  <c r="AW292" i="1"/>
  <c r="AV292" i="1"/>
  <c r="AU292" i="1"/>
  <c r="AN292" i="1"/>
  <c r="AL292" i="1"/>
  <c r="AM292" i="1" s="1"/>
  <c r="J292" i="1"/>
  <c r="G292" i="1"/>
  <c r="H292" i="1" s="1"/>
  <c r="H297" i="1"/>
  <c r="AX296" i="1"/>
  <c r="AW296" i="1"/>
  <c r="AV296" i="1"/>
  <c r="AU296" i="1"/>
  <c r="AN296" i="1"/>
  <c r="AL296" i="1"/>
  <c r="J296" i="1"/>
  <c r="G296" i="1"/>
  <c r="H296" i="1" s="1"/>
  <c r="AX295" i="1"/>
  <c r="AW295" i="1"/>
  <c r="AV295" i="1"/>
  <c r="AU295" i="1"/>
  <c r="AN295" i="1"/>
  <c r="AL295" i="1"/>
  <c r="J295" i="1"/>
  <c r="G295" i="1"/>
  <c r="H295" i="1" s="1"/>
  <c r="H291" i="1"/>
  <c r="AX290" i="1"/>
  <c r="AW290" i="1"/>
  <c r="AV290" i="1"/>
  <c r="AU290" i="1"/>
  <c r="AN290" i="1"/>
  <c r="AL290" i="1"/>
  <c r="J290" i="1"/>
  <c r="G290" i="1"/>
  <c r="H290" i="1" s="1"/>
  <c r="AX289" i="1"/>
  <c r="AW289" i="1"/>
  <c r="AV289" i="1"/>
  <c r="AU289" i="1"/>
  <c r="AN289" i="1"/>
  <c r="AL289" i="1"/>
  <c r="J289" i="1"/>
  <c r="G289" i="1"/>
  <c r="H289" i="1" s="1"/>
  <c r="AY288" i="1"/>
  <c r="AX288" i="1"/>
  <c r="AW288" i="1"/>
  <c r="AV288" i="1"/>
  <c r="AU288" i="1"/>
  <c r="J288" i="1"/>
  <c r="G288" i="1"/>
  <c r="H288" i="1" s="1"/>
  <c r="AX287" i="1"/>
  <c r="AW287" i="1"/>
  <c r="AV287" i="1"/>
  <c r="AU287" i="1"/>
  <c r="AN287" i="1"/>
  <c r="AL287" i="1"/>
  <c r="AM287" i="1" s="1"/>
  <c r="J287" i="1"/>
  <c r="G287" i="1"/>
  <c r="H287" i="1" s="1"/>
  <c r="AY286" i="1"/>
  <c r="AX286" i="1"/>
  <c r="AW286" i="1"/>
  <c r="AV286" i="1"/>
  <c r="AU286" i="1"/>
  <c r="J286" i="1"/>
  <c r="G286" i="1"/>
  <c r="H286" i="1" s="1"/>
  <c r="AX285" i="1"/>
  <c r="AW285" i="1"/>
  <c r="AV285" i="1"/>
  <c r="AU285" i="1"/>
  <c r="AN285" i="1"/>
  <c r="AL285" i="1"/>
  <c r="AM285" i="1" s="1"/>
  <c r="J285" i="1"/>
  <c r="G285" i="1"/>
  <c r="H285" i="1" s="1"/>
  <c r="AY284" i="1"/>
  <c r="AX284" i="1"/>
  <c r="AW284" i="1"/>
  <c r="AV284" i="1"/>
  <c r="AU284" i="1"/>
  <c r="J284" i="1"/>
  <c r="G284" i="1"/>
  <c r="H284" i="1" s="1"/>
  <c r="AY298" i="1"/>
  <c r="AX298" i="1"/>
  <c r="AW298" i="1"/>
  <c r="AV298" i="1"/>
  <c r="AU298" i="1"/>
  <c r="AS298" i="1"/>
  <c r="AQ298" i="1"/>
  <c r="AR298" i="1" s="1"/>
  <c r="J298" i="1"/>
  <c r="G298" i="1"/>
  <c r="H298" i="1" s="1"/>
  <c r="AX283" i="1"/>
  <c r="AW283" i="1"/>
  <c r="AV283" i="1"/>
  <c r="AU283" i="1"/>
  <c r="AN283" i="1"/>
  <c r="AL283" i="1"/>
  <c r="AM283" i="1" s="1"/>
  <c r="J283" i="1"/>
  <c r="G283" i="1"/>
  <c r="H283" i="1" s="1"/>
  <c r="AL275" i="1"/>
  <c r="AM275" i="1" s="1"/>
  <c r="AL274" i="1"/>
  <c r="AM274" i="1" s="1"/>
  <c r="AL272" i="1"/>
  <c r="AM272" i="1" s="1"/>
  <c r="AL268" i="1"/>
  <c r="AM268" i="1" s="1"/>
  <c r="AL266" i="1"/>
  <c r="AM266" i="1" s="1"/>
  <c r="AL258" i="1"/>
  <c r="AM258" i="1" s="1"/>
  <c r="AL252" i="1"/>
  <c r="AM252" i="1" s="1"/>
  <c r="AL247" i="1"/>
  <c r="AM247" i="1" s="1"/>
  <c r="AL246" i="1"/>
  <c r="AM246" i="1" s="1"/>
  <c r="AL243" i="1"/>
  <c r="AM243" i="1" s="1"/>
  <c r="AL241" i="1"/>
  <c r="AM241" i="1" s="1"/>
  <c r="AL233" i="1"/>
  <c r="AM233" i="1" s="1"/>
  <c r="AL229" i="1"/>
  <c r="AM229" i="1" s="1"/>
  <c r="AL227" i="1"/>
  <c r="AM227" i="1" s="1"/>
  <c r="AL223" i="1"/>
  <c r="AM223" i="1" s="1"/>
  <c r="AL221" i="1"/>
  <c r="AM221" i="1" s="1"/>
  <c r="AL217" i="1"/>
  <c r="AM217" i="1" s="1"/>
  <c r="AL214" i="1"/>
  <c r="AM214" i="1" s="1"/>
  <c r="AL212" i="1"/>
  <c r="AM212" i="1" s="1"/>
  <c r="AL210" i="1"/>
  <c r="AM210" i="1" s="1"/>
  <c r="AL206" i="1"/>
  <c r="AM206" i="1" s="1"/>
  <c r="AL204" i="1"/>
  <c r="AM204" i="1" s="1"/>
  <c r="AL201" i="1"/>
  <c r="AM201" i="1" s="1"/>
  <c r="AL200" i="1"/>
  <c r="AM200" i="1" s="1"/>
  <c r="AL199" i="1"/>
  <c r="AM199" i="1" s="1"/>
  <c r="AL197" i="1"/>
  <c r="AM197" i="1" s="1"/>
  <c r="AL194" i="1"/>
  <c r="AM194" i="1" s="1"/>
  <c r="AL192" i="1"/>
  <c r="AM192" i="1" s="1"/>
  <c r="AL190" i="1"/>
  <c r="AM190" i="1" s="1"/>
  <c r="AL188" i="1"/>
  <c r="AM188" i="1" s="1"/>
  <c r="AL185" i="1"/>
  <c r="AM185" i="1" s="1"/>
  <c r="AL176" i="1"/>
  <c r="AM176" i="1" s="1"/>
  <c r="AL175" i="1"/>
  <c r="AM175" i="1" s="1"/>
  <c r="AL174" i="1"/>
  <c r="AM174" i="1" s="1"/>
  <c r="AL172" i="1"/>
  <c r="AM172" i="1" s="1"/>
  <c r="AL170" i="1"/>
  <c r="AM170" i="1" s="1"/>
  <c r="AL165" i="1"/>
  <c r="AM165" i="1" s="1"/>
  <c r="AL164" i="1"/>
  <c r="AM164" i="1" s="1"/>
  <c r="AL163" i="1"/>
  <c r="AM163" i="1" s="1"/>
  <c r="AL160" i="1"/>
  <c r="AM160" i="1" s="1"/>
  <c r="AL157" i="1"/>
  <c r="AM157" i="1" s="1"/>
  <c r="AL154" i="1"/>
  <c r="AM154" i="1" s="1"/>
  <c r="AL150" i="1"/>
  <c r="AM150" i="1" s="1"/>
  <c r="AL144" i="1"/>
  <c r="AM144" i="1" s="1"/>
  <c r="AL133" i="1"/>
  <c r="AM133" i="1" s="1"/>
  <c r="AL132" i="1"/>
  <c r="AM132" i="1" s="1"/>
  <c r="AL131" i="1"/>
  <c r="AM131" i="1" s="1"/>
  <c r="AL129" i="1"/>
  <c r="AM129" i="1" s="1"/>
  <c r="AL128" i="1"/>
  <c r="AM128" i="1" s="1"/>
  <c r="AL125" i="1"/>
  <c r="AM125" i="1" s="1"/>
  <c r="AL124" i="1"/>
  <c r="AM124" i="1" s="1"/>
  <c r="AL123" i="1"/>
  <c r="AM123" i="1" s="1"/>
  <c r="AL121" i="1"/>
  <c r="AM121" i="1" s="1"/>
  <c r="AL119" i="1"/>
  <c r="AM119" i="1" s="1"/>
  <c r="AL117" i="1"/>
  <c r="AM117" i="1" s="1"/>
  <c r="AL115" i="1"/>
  <c r="AM115" i="1" s="1"/>
  <c r="AL114" i="1"/>
  <c r="AM114" i="1" s="1"/>
  <c r="AL113" i="1"/>
  <c r="AM113" i="1" s="1"/>
  <c r="AL109" i="1"/>
  <c r="AM109" i="1" s="1"/>
  <c r="AL107" i="1"/>
  <c r="AM107" i="1" s="1"/>
  <c r="AL103" i="1"/>
  <c r="AM103" i="1" s="1"/>
  <c r="AL100" i="1"/>
  <c r="AM100" i="1" s="1"/>
  <c r="AL91" i="1"/>
  <c r="AM91" i="1" s="1"/>
  <c r="AL88" i="1"/>
  <c r="AM88" i="1" s="1"/>
  <c r="AL82" i="1"/>
  <c r="AM82" i="1" s="1"/>
  <c r="AL77" i="1"/>
  <c r="AM77" i="1" s="1"/>
  <c r="AL74" i="1"/>
  <c r="AM74" i="1" s="1"/>
  <c r="AL72" i="1"/>
  <c r="AM72" i="1" s="1"/>
  <c r="AL70" i="1"/>
  <c r="AM70" i="1" s="1"/>
  <c r="AL47" i="1"/>
  <c r="AM47" i="1" s="1"/>
  <c r="AL46" i="1"/>
  <c r="AM46" i="1" s="1"/>
  <c r="AL44" i="1"/>
  <c r="AM44" i="1" s="1"/>
  <c r="AL43" i="1"/>
  <c r="AM43" i="1" s="1"/>
  <c r="AL39" i="1"/>
  <c r="AM39" i="1" s="1"/>
  <c r="AL38" i="1"/>
  <c r="AM38" i="1" s="1"/>
  <c r="AL37" i="1"/>
  <c r="AM37" i="1" s="1"/>
  <c r="AL31" i="1"/>
  <c r="AM31" i="1" s="1"/>
  <c r="AL23" i="1"/>
  <c r="AM23" i="1" s="1"/>
  <c r="AL21" i="1"/>
  <c r="AM21" i="1" s="1"/>
  <c r="AL7" i="1"/>
  <c r="AM7" i="1" s="1"/>
  <c r="AQ278" i="1"/>
  <c r="AR278" i="1" s="1"/>
  <c r="AQ260" i="1"/>
  <c r="AR260" i="1" s="1"/>
  <c r="AQ255" i="1"/>
  <c r="AR255" i="1" s="1"/>
  <c r="AQ236" i="1"/>
  <c r="AR236" i="1" s="1"/>
  <c r="AQ181" i="1"/>
  <c r="AR181" i="1" s="1"/>
  <c r="AQ146" i="1"/>
  <c r="AR146" i="1" s="1"/>
  <c r="AQ137" i="1"/>
  <c r="AR137" i="1" s="1"/>
  <c r="AQ111" i="1"/>
  <c r="AR111" i="1" s="1"/>
  <c r="AQ105" i="1"/>
  <c r="AR105" i="1" s="1"/>
  <c r="AQ98" i="1"/>
  <c r="AR98" i="1" s="1"/>
  <c r="AQ86" i="1"/>
  <c r="AR86" i="1" s="1"/>
  <c r="AQ80" i="1"/>
  <c r="AR80" i="1" s="1"/>
  <c r="AQ48" i="1"/>
  <c r="AR48" i="1" s="1"/>
  <c r="AY279" i="1"/>
  <c r="AX279" i="1"/>
  <c r="AW279" i="1"/>
  <c r="AV279" i="1"/>
  <c r="AU279" i="1"/>
  <c r="J279" i="1"/>
  <c r="G279" i="1"/>
  <c r="H279" i="1" s="1"/>
  <c r="AY277" i="1"/>
  <c r="AX277" i="1"/>
  <c r="AW277" i="1"/>
  <c r="AV277" i="1"/>
  <c r="AU277" i="1"/>
  <c r="J277" i="1"/>
  <c r="G277" i="1"/>
  <c r="H277" i="1" s="1"/>
  <c r="AY276" i="1"/>
  <c r="AX276" i="1"/>
  <c r="AW276" i="1"/>
  <c r="AV276" i="1"/>
  <c r="AU276" i="1"/>
  <c r="J276" i="1"/>
  <c r="G276" i="1"/>
  <c r="H276" i="1" s="1"/>
  <c r="AX275" i="1"/>
  <c r="AW275" i="1"/>
  <c r="AV275" i="1"/>
  <c r="AU275" i="1"/>
  <c r="AN275" i="1"/>
  <c r="J275" i="1"/>
  <c r="G275" i="1"/>
  <c r="H275" i="1" s="1"/>
  <c r="AX274" i="1"/>
  <c r="AW274" i="1"/>
  <c r="AV274" i="1"/>
  <c r="AU274" i="1"/>
  <c r="AN274" i="1"/>
  <c r="J274" i="1"/>
  <c r="G274" i="1"/>
  <c r="H274" i="1" s="1"/>
  <c r="AY273" i="1"/>
  <c r="AX273" i="1"/>
  <c r="AW273" i="1"/>
  <c r="AV273" i="1"/>
  <c r="AU273" i="1"/>
  <c r="J273" i="1"/>
  <c r="G273" i="1"/>
  <c r="H273" i="1" s="1"/>
  <c r="AX272" i="1"/>
  <c r="AW272" i="1"/>
  <c r="AV272" i="1"/>
  <c r="AU272" i="1"/>
  <c r="AN272" i="1"/>
  <c r="J272" i="1"/>
  <c r="G272" i="1"/>
  <c r="H272" i="1" s="1"/>
  <c r="AN268" i="1"/>
  <c r="AY271" i="1"/>
  <c r="AX271" i="1"/>
  <c r="AW271" i="1"/>
  <c r="AV271" i="1"/>
  <c r="AU271" i="1"/>
  <c r="J271" i="1"/>
  <c r="G271" i="1"/>
  <c r="H271" i="1" s="1"/>
  <c r="H265" i="1"/>
  <c r="H264" i="1"/>
  <c r="AX268" i="1"/>
  <c r="AW268" i="1"/>
  <c r="AV268" i="1"/>
  <c r="AU268" i="1"/>
  <c r="J268" i="1"/>
  <c r="G268" i="1"/>
  <c r="H268" i="1" s="1"/>
  <c r="AY267" i="1"/>
  <c r="AX267" i="1"/>
  <c r="AW267" i="1"/>
  <c r="AV267" i="1"/>
  <c r="AU267" i="1"/>
  <c r="J267" i="1"/>
  <c r="G267" i="1"/>
  <c r="H267" i="1" s="1"/>
  <c r="AX266" i="1"/>
  <c r="AW266" i="1"/>
  <c r="AV266" i="1"/>
  <c r="AU266" i="1"/>
  <c r="AN266" i="1"/>
  <c r="J266" i="1"/>
  <c r="G266" i="1"/>
  <c r="H266" i="1" s="1"/>
  <c r="AY278" i="1"/>
  <c r="AX278" i="1"/>
  <c r="AW278" i="1"/>
  <c r="AV278" i="1"/>
  <c r="AU278" i="1"/>
  <c r="AS278" i="1"/>
  <c r="J278" i="1"/>
  <c r="G278" i="1"/>
  <c r="H278" i="1" s="1"/>
  <c r="AY263" i="1"/>
  <c r="AX263" i="1"/>
  <c r="AW263" i="1"/>
  <c r="AV263" i="1"/>
  <c r="AU263" i="1"/>
  <c r="J263" i="1"/>
  <c r="G263" i="1"/>
  <c r="H263" i="1" s="1"/>
  <c r="AY260" i="1"/>
  <c r="AX260" i="1"/>
  <c r="AW260" i="1"/>
  <c r="AV260" i="1"/>
  <c r="AU260" i="1"/>
  <c r="AS260" i="1"/>
  <c r="J260" i="1"/>
  <c r="G260" i="1"/>
  <c r="H260" i="1" s="1"/>
  <c r="AY259" i="1"/>
  <c r="AX259" i="1"/>
  <c r="AW259" i="1"/>
  <c r="AV259" i="1"/>
  <c r="AU259" i="1"/>
  <c r="J259" i="1"/>
  <c r="G259" i="1"/>
  <c r="H259" i="1" s="1"/>
  <c r="AX258" i="1"/>
  <c r="AW258" i="1"/>
  <c r="AV258" i="1"/>
  <c r="AU258" i="1"/>
  <c r="AN258" i="1"/>
  <c r="J258" i="1"/>
  <c r="G258" i="1"/>
  <c r="H258" i="1" s="1"/>
  <c r="AY257" i="1"/>
  <c r="AX257" i="1"/>
  <c r="AW257" i="1"/>
  <c r="AV257" i="1"/>
  <c r="AU257" i="1"/>
  <c r="J257" i="1"/>
  <c r="AY256" i="1"/>
  <c r="AX256" i="1"/>
  <c r="AW256" i="1"/>
  <c r="AV256" i="1"/>
  <c r="AU256" i="1"/>
  <c r="J256" i="1"/>
  <c r="G256" i="1"/>
  <c r="H256" i="1" s="1"/>
  <c r="AY255" i="1"/>
  <c r="AX255" i="1"/>
  <c r="AW255" i="1"/>
  <c r="AV255" i="1"/>
  <c r="AU255" i="1"/>
  <c r="AS255" i="1"/>
  <c r="J255" i="1"/>
  <c r="G255" i="1"/>
  <c r="H255" i="1" s="1"/>
  <c r="H254" i="1"/>
  <c r="AY253" i="1"/>
  <c r="AX253" i="1"/>
  <c r="AW253" i="1"/>
  <c r="AV253" i="1"/>
  <c r="AU253" i="1"/>
  <c r="J253" i="1"/>
  <c r="G253" i="1"/>
  <c r="H253" i="1" s="1"/>
  <c r="AX252" i="1"/>
  <c r="AW252" i="1"/>
  <c r="AV252" i="1"/>
  <c r="AU252" i="1"/>
  <c r="AN252" i="1"/>
  <c r="J252" i="1"/>
  <c r="G252" i="1"/>
  <c r="H252" i="1" s="1"/>
  <c r="AY250" i="1"/>
  <c r="AX250" i="1"/>
  <c r="AW250" i="1"/>
  <c r="AV250" i="1"/>
  <c r="AU250" i="1"/>
  <c r="J250" i="1"/>
  <c r="H249" i="1"/>
  <c r="AY248" i="1"/>
  <c r="AX248" i="1"/>
  <c r="AW248" i="1"/>
  <c r="AV248" i="1"/>
  <c r="AU248" i="1"/>
  <c r="J248" i="1"/>
  <c r="G248" i="1"/>
  <c r="H248" i="1" s="1"/>
  <c r="AX247" i="1"/>
  <c r="AW247" i="1"/>
  <c r="AV247" i="1"/>
  <c r="AU247" i="1"/>
  <c r="AN247" i="1"/>
  <c r="J247" i="1"/>
  <c r="G247" i="1"/>
  <c r="H247" i="1" s="1"/>
  <c r="AX246" i="1"/>
  <c r="AW246" i="1"/>
  <c r="AV246" i="1"/>
  <c r="AU246" i="1"/>
  <c r="AN246" i="1"/>
  <c r="J246" i="1"/>
  <c r="G246" i="1"/>
  <c r="H246" i="1" s="1"/>
  <c r="AY245" i="1"/>
  <c r="AX245" i="1"/>
  <c r="AW245" i="1"/>
  <c r="AV245" i="1"/>
  <c r="AU245" i="1"/>
  <c r="J245" i="1"/>
  <c r="AY244" i="1"/>
  <c r="AX244" i="1"/>
  <c r="AW244" i="1"/>
  <c r="AV244" i="1"/>
  <c r="AU244" i="1"/>
  <c r="J244" i="1"/>
  <c r="G244" i="1"/>
  <c r="H244" i="1" s="1"/>
  <c r="AX243" i="1"/>
  <c r="AW243" i="1"/>
  <c r="AV243" i="1"/>
  <c r="AU243" i="1"/>
  <c r="AN243" i="1"/>
  <c r="J243" i="1"/>
  <c r="G243" i="1"/>
  <c r="H243" i="1" s="1"/>
  <c r="AY242" i="1"/>
  <c r="AX242" i="1"/>
  <c r="AW242" i="1"/>
  <c r="AV242" i="1"/>
  <c r="AU242" i="1"/>
  <c r="J242" i="1"/>
  <c r="G242" i="1"/>
  <c r="H242" i="1" s="1"/>
  <c r="AX241" i="1"/>
  <c r="AW241" i="1"/>
  <c r="AV241" i="1"/>
  <c r="AU241" i="1"/>
  <c r="AN241" i="1"/>
  <c r="J241" i="1"/>
  <c r="G241" i="1"/>
  <c r="H241" i="1" s="1"/>
  <c r="H251" i="1"/>
  <c r="H232" i="1"/>
  <c r="AY231" i="1"/>
  <c r="AX231" i="1"/>
  <c r="AW231" i="1"/>
  <c r="AV231" i="1"/>
  <c r="AU231" i="1"/>
  <c r="J231" i="1"/>
  <c r="AY234" i="1"/>
  <c r="AX234" i="1"/>
  <c r="AW234" i="1"/>
  <c r="AV234" i="1"/>
  <c r="AU234" i="1"/>
  <c r="J234" i="1"/>
  <c r="G234" i="1"/>
  <c r="H234" i="1" s="1"/>
  <c r="AX233" i="1"/>
  <c r="AW233" i="1"/>
  <c r="AV233" i="1"/>
  <c r="AU233" i="1"/>
  <c r="AN233" i="1"/>
  <c r="J233" i="1"/>
  <c r="G233" i="1"/>
  <c r="H233" i="1" s="1"/>
  <c r="AY230" i="1"/>
  <c r="AX230" i="1"/>
  <c r="AW230" i="1"/>
  <c r="AV230" i="1"/>
  <c r="AU230" i="1"/>
  <c r="J230" i="1"/>
  <c r="G230" i="1"/>
  <c r="H230" i="1" s="1"/>
  <c r="AX229" i="1"/>
  <c r="AW229" i="1"/>
  <c r="AV229" i="1"/>
  <c r="AU229" i="1"/>
  <c r="AN229" i="1"/>
  <c r="J229" i="1"/>
  <c r="G229" i="1"/>
  <c r="H229" i="1" s="1"/>
  <c r="AY228" i="1"/>
  <c r="AX228" i="1"/>
  <c r="AW228" i="1"/>
  <c r="AV228" i="1"/>
  <c r="AU228" i="1"/>
  <c r="J228" i="1"/>
  <c r="G228" i="1"/>
  <c r="H228" i="1" s="1"/>
  <c r="AX227" i="1"/>
  <c r="AW227" i="1"/>
  <c r="AV227" i="1"/>
  <c r="AU227" i="1"/>
  <c r="AN227" i="1"/>
  <c r="J227" i="1"/>
  <c r="G227" i="1"/>
  <c r="H227" i="1" s="1"/>
  <c r="AY224" i="1"/>
  <c r="AX224" i="1"/>
  <c r="AW224" i="1"/>
  <c r="AV224" i="1"/>
  <c r="AU224" i="1"/>
  <c r="J224" i="1"/>
  <c r="G224" i="1"/>
  <c r="H224" i="1" s="1"/>
  <c r="AX223" i="1"/>
  <c r="AW223" i="1"/>
  <c r="AV223" i="1"/>
  <c r="AU223" i="1"/>
  <c r="AN223" i="1"/>
  <c r="J223" i="1"/>
  <c r="G223" i="1"/>
  <c r="H223" i="1" s="1"/>
  <c r="H226" i="1"/>
  <c r="AY225" i="1"/>
  <c r="AX225" i="1"/>
  <c r="AW225" i="1"/>
  <c r="AV225" i="1"/>
  <c r="AU225" i="1"/>
  <c r="J225" i="1"/>
  <c r="AY222" i="1"/>
  <c r="AX222" i="1"/>
  <c r="AW222" i="1"/>
  <c r="AV222" i="1"/>
  <c r="AU222" i="1"/>
  <c r="J222" i="1"/>
  <c r="G222" i="1"/>
  <c r="H222" i="1" s="1"/>
  <c r="AX221" i="1"/>
  <c r="AW221" i="1"/>
  <c r="AV221" i="1"/>
  <c r="AU221" i="1"/>
  <c r="AN221" i="1"/>
  <c r="J221" i="1"/>
  <c r="G221" i="1"/>
  <c r="H221" i="1" s="1"/>
  <c r="AY220" i="1"/>
  <c r="AX220" i="1"/>
  <c r="AW220" i="1"/>
  <c r="AV220" i="1"/>
  <c r="AU220" i="1"/>
  <c r="J220" i="1"/>
  <c r="G220" i="1"/>
  <c r="H220" i="1" s="1"/>
  <c r="AX217" i="1"/>
  <c r="AW217" i="1"/>
  <c r="AV217" i="1"/>
  <c r="AU217" i="1"/>
  <c r="AN217" i="1"/>
  <c r="J217" i="1"/>
  <c r="G217" i="1"/>
  <c r="H217" i="1" s="1"/>
  <c r="AY213" i="1"/>
  <c r="AX213" i="1"/>
  <c r="AW213" i="1"/>
  <c r="AV213" i="1"/>
  <c r="AU213" i="1"/>
  <c r="J213" i="1"/>
  <c r="G213" i="1"/>
  <c r="H213" i="1" s="1"/>
  <c r="AX212" i="1"/>
  <c r="AW212" i="1"/>
  <c r="AV212" i="1"/>
  <c r="AU212" i="1"/>
  <c r="AN212" i="1"/>
  <c r="J212" i="1"/>
  <c r="G212" i="1"/>
  <c r="H212" i="1" s="1"/>
  <c r="AY215" i="1"/>
  <c r="AX215" i="1"/>
  <c r="AW215" i="1"/>
  <c r="AV215" i="1"/>
  <c r="AU215" i="1"/>
  <c r="J215" i="1"/>
  <c r="G215" i="1"/>
  <c r="H215" i="1" s="1"/>
  <c r="AX214" i="1"/>
  <c r="AW214" i="1"/>
  <c r="AV214" i="1"/>
  <c r="AU214" i="1"/>
  <c r="AN214" i="1"/>
  <c r="J214" i="1"/>
  <c r="G214" i="1"/>
  <c r="H214" i="1" s="1"/>
  <c r="AY211" i="1"/>
  <c r="AX211" i="1"/>
  <c r="AW211" i="1"/>
  <c r="AV211" i="1"/>
  <c r="AU211" i="1"/>
  <c r="J211" i="1"/>
  <c r="G211" i="1"/>
  <c r="H211" i="1" s="1"/>
  <c r="AX210" i="1"/>
  <c r="AW210" i="1"/>
  <c r="AV210" i="1"/>
  <c r="AU210" i="1"/>
  <c r="AN210" i="1"/>
  <c r="J210" i="1"/>
  <c r="G210" i="1"/>
  <c r="H210" i="1" s="1"/>
  <c r="H209" i="1"/>
  <c r="H208" i="1"/>
  <c r="AY207" i="1"/>
  <c r="AX207" i="1"/>
  <c r="AW207" i="1"/>
  <c r="AV207" i="1"/>
  <c r="AU207" i="1"/>
  <c r="J207" i="1"/>
  <c r="G207" i="1"/>
  <c r="H207" i="1" s="1"/>
  <c r="AX206" i="1"/>
  <c r="AW206" i="1"/>
  <c r="AV206" i="1"/>
  <c r="AU206" i="1"/>
  <c r="AN206" i="1"/>
  <c r="J206" i="1"/>
  <c r="G206" i="1"/>
  <c r="H206" i="1" s="1"/>
  <c r="AY205" i="1"/>
  <c r="AX205" i="1"/>
  <c r="AW205" i="1"/>
  <c r="AV205" i="1"/>
  <c r="AU205" i="1"/>
  <c r="J205" i="1"/>
  <c r="G205" i="1"/>
  <c r="H205" i="1" s="1"/>
  <c r="AX204" i="1"/>
  <c r="AW204" i="1"/>
  <c r="AV204" i="1"/>
  <c r="AU204" i="1"/>
  <c r="AN204" i="1"/>
  <c r="J204" i="1"/>
  <c r="G204" i="1"/>
  <c r="H204" i="1" s="1"/>
  <c r="H203" i="1"/>
  <c r="H202" i="1"/>
  <c r="AX201" i="1"/>
  <c r="AW201" i="1"/>
  <c r="AV201" i="1"/>
  <c r="AU201" i="1"/>
  <c r="AN201" i="1"/>
  <c r="J201" i="1"/>
  <c r="G201" i="1"/>
  <c r="H201" i="1" s="1"/>
  <c r="AX200" i="1"/>
  <c r="AW200" i="1"/>
  <c r="AV200" i="1"/>
  <c r="AU200" i="1"/>
  <c r="AN200" i="1"/>
  <c r="J200" i="1"/>
  <c r="G200" i="1"/>
  <c r="H200" i="1" s="1"/>
  <c r="AX199" i="1"/>
  <c r="AW199" i="1"/>
  <c r="AV199" i="1"/>
  <c r="AU199" i="1"/>
  <c r="AN199" i="1"/>
  <c r="J199" i="1"/>
  <c r="G199" i="1"/>
  <c r="H199" i="1" s="1"/>
  <c r="AY198" i="1"/>
  <c r="AX198" i="1"/>
  <c r="AW198" i="1"/>
  <c r="AV198" i="1"/>
  <c r="AU198" i="1"/>
  <c r="J198" i="1"/>
  <c r="G198" i="1"/>
  <c r="H198" i="1" s="1"/>
  <c r="AX197" i="1"/>
  <c r="AW197" i="1"/>
  <c r="AV197" i="1"/>
  <c r="AU197" i="1"/>
  <c r="AN197" i="1"/>
  <c r="J197" i="1"/>
  <c r="G197" i="1"/>
  <c r="H197" i="1" s="1"/>
  <c r="H196" i="1"/>
  <c r="AY239" i="1"/>
  <c r="AX239" i="1"/>
  <c r="AW239" i="1"/>
  <c r="AV239" i="1"/>
  <c r="AU239" i="1"/>
  <c r="J239" i="1"/>
  <c r="G239" i="1"/>
  <c r="H239" i="1" s="1"/>
  <c r="AY236" i="1"/>
  <c r="AX236" i="1"/>
  <c r="AW236" i="1"/>
  <c r="AV236" i="1"/>
  <c r="AU236" i="1"/>
  <c r="AS236" i="1"/>
  <c r="J236" i="1"/>
  <c r="G236" i="1"/>
  <c r="H236" i="1" s="1"/>
  <c r="AY195" i="1"/>
  <c r="AX195" i="1"/>
  <c r="AW195" i="1"/>
  <c r="AV195" i="1"/>
  <c r="AU195" i="1"/>
  <c r="J195" i="1"/>
  <c r="G195" i="1"/>
  <c r="H195" i="1" s="1"/>
  <c r="AX194" i="1"/>
  <c r="AW194" i="1"/>
  <c r="AV194" i="1"/>
  <c r="AU194" i="1"/>
  <c r="AN194" i="1"/>
  <c r="J194" i="1"/>
  <c r="G194" i="1"/>
  <c r="H194" i="1" s="1"/>
  <c r="AY193" i="1"/>
  <c r="AX193" i="1"/>
  <c r="AW193" i="1"/>
  <c r="AV193" i="1"/>
  <c r="AU193" i="1"/>
  <c r="J193" i="1"/>
  <c r="G193" i="1"/>
  <c r="H193" i="1" s="1"/>
  <c r="AX192" i="1"/>
  <c r="AW192" i="1"/>
  <c r="AV192" i="1"/>
  <c r="AU192" i="1"/>
  <c r="AN192" i="1"/>
  <c r="J192" i="1"/>
  <c r="G192" i="1"/>
  <c r="H192" i="1" s="1"/>
  <c r="H184" i="1"/>
  <c r="AY191" i="1"/>
  <c r="AX191" i="1"/>
  <c r="AW191" i="1"/>
  <c r="AV191" i="1"/>
  <c r="AU191" i="1"/>
  <c r="J191" i="1"/>
  <c r="G191" i="1"/>
  <c r="H191" i="1" s="1"/>
  <c r="AX190" i="1"/>
  <c r="AW190" i="1"/>
  <c r="AV190" i="1"/>
  <c r="AU190" i="1"/>
  <c r="AN190" i="1"/>
  <c r="J190" i="1"/>
  <c r="G190" i="1"/>
  <c r="H190" i="1" s="1"/>
  <c r="AY189" i="1"/>
  <c r="AX189" i="1"/>
  <c r="AW189" i="1"/>
  <c r="AV189" i="1"/>
  <c r="AU189" i="1"/>
  <c r="J189" i="1"/>
  <c r="G189" i="1"/>
  <c r="H189" i="1" s="1"/>
  <c r="AX188" i="1"/>
  <c r="AW188" i="1"/>
  <c r="AV188" i="1"/>
  <c r="AU188" i="1"/>
  <c r="AN188" i="1"/>
  <c r="J188" i="1"/>
  <c r="G188" i="1"/>
  <c r="H188" i="1" s="1"/>
  <c r="H187" i="1"/>
  <c r="AY186" i="1"/>
  <c r="AX186" i="1"/>
  <c r="AW186" i="1"/>
  <c r="AV186" i="1"/>
  <c r="AU186" i="1"/>
  <c r="J186" i="1"/>
  <c r="G186" i="1"/>
  <c r="H186" i="1" s="1"/>
  <c r="AX185" i="1"/>
  <c r="AW185" i="1"/>
  <c r="AV185" i="1"/>
  <c r="AU185" i="1"/>
  <c r="AN185" i="1"/>
  <c r="J185" i="1"/>
  <c r="G185" i="1"/>
  <c r="H185" i="1" s="1"/>
  <c r="AY183" i="1"/>
  <c r="AX183" i="1"/>
  <c r="AW183" i="1"/>
  <c r="AV183" i="1"/>
  <c r="AU183" i="1"/>
  <c r="J183" i="1"/>
  <c r="H34" i="1"/>
  <c r="H35" i="1"/>
  <c r="H59" i="1"/>
  <c r="H68" i="1"/>
  <c r="H69" i="1"/>
  <c r="H84" i="1"/>
  <c r="H95" i="1"/>
  <c r="H102" i="1"/>
  <c r="H116" i="1"/>
  <c r="H122" i="1"/>
  <c r="H127" i="1"/>
  <c r="H134" i="1"/>
  <c r="H143" i="1"/>
  <c r="H149" i="1"/>
  <c r="H152" i="1"/>
  <c r="H153" i="1"/>
  <c r="H156" i="1"/>
  <c r="H159" i="1"/>
  <c r="H166" i="1"/>
  <c r="H167" i="1"/>
  <c r="H168" i="1"/>
  <c r="H169" i="1"/>
  <c r="H177" i="1"/>
  <c r="AY182" i="1"/>
  <c r="AX182" i="1"/>
  <c r="AW182" i="1"/>
  <c r="AV182" i="1"/>
  <c r="AU182" i="1"/>
  <c r="J182" i="1"/>
  <c r="G182" i="1"/>
  <c r="H182" i="1" s="1"/>
  <c r="AY181" i="1"/>
  <c r="AX181" i="1"/>
  <c r="AW181" i="1"/>
  <c r="AV181" i="1"/>
  <c r="AU181" i="1"/>
  <c r="AS181" i="1"/>
  <c r="J181" i="1"/>
  <c r="G181" i="1"/>
  <c r="H181" i="1" s="1"/>
  <c r="AW161" i="1"/>
  <c r="AX176" i="1"/>
  <c r="AW176" i="1"/>
  <c r="AV176" i="1"/>
  <c r="AU176" i="1"/>
  <c r="AN176" i="1"/>
  <c r="J176" i="1"/>
  <c r="G176" i="1"/>
  <c r="H176" i="1" s="1"/>
  <c r="AX175" i="1"/>
  <c r="AW175" i="1"/>
  <c r="AV175" i="1"/>
  <c r="AU175" i="1"/>
  <c r="AN175" i="1"/>
  <c r="J175" i="1"/>
  <c r="G175" i="1"/>
  <c r="H175" i="1" s="1"/>
  <c r="AX174" i="1"/>
  <c r="AW174" i="1"/>
  <c r="AV174" i="1"/>
  <c r="AU174" i="1"/>
  <c r="AN174" i="1"/>
  <c r="J174" i="1"/>
  <c r="G174" i="1"/>
  <c r="H174" i="1" s="1"/>
  <c r="AY173" i="1"/>
  <c r="AX173" i="1"/>
  <c r="AW173" i="1"/>
  <c r="AV173" i="1"/>
  <c r="AU173" i="1"/>
  <c r="J173" i="1"/>
  <c r="G173" i="1"/>
  <c r="H173" i="1" s="1"/>
  <c r="AX172" i="1"/>
  <c r="AW172" i="1"/>
  <c r="AV172" i="1"/>
  <c r="AU172" i="1"/>
  <c r="AN172" i="1"/>
  <c r="J172" i="1"/>
  <c r="G172" i="1"/>
  <c r="H172" i="1" s="1"/>
  <c r="AY171" i="1"/>
  <c r="AX171" i="1"/>
  <c r="AW171" i="1"/>
  <c r="AV171" i="1"/>
  <c r="AU171" i="1"/>
  <c r="J171" i="1"/>
  <c r="G171" i="1"/>
  <c r="H171" i="1" s="1"/>
  <c r="AX170" i="1"/>
  <c r="AW170" i="1"/>
  <c r="AV170" i="1"/>
  <c r="AU170" i="1"/>
  <c r="AN170" i="1"/>
  <c r="J170" i="1"/>
  <c r="G170" i="1"/>
  <c r="H170" i="1" s="1"/>
  <c r="AX165" i="1"/>
  <c r="AW165" i="1"/>
  <c r="AV165" i="1"/>
  <c r="AU165" i="1"/>
  <c r="AN165" i="1"/>
  <c r="J165" i="1"/>
  <c r="G165" i="1"/>
  <c r="H165" i="1" s="1"/>
  <c r="AX164" i="1"/>
  <c r="AW164" i="1"/>
  <c r="AV164" i="1"/>
  <c r="AU164" i="1"/>
  <c r="AN164" i="1"/>
  <c r="J164" i="1"/>
  <c r="G164" i="1"/>
  <c r="H164" i="1" s="1"/>
  <c r="AX163" i="1"/>
  <c r="AW163" i="1"/>
  <c r="AV163" i="1"/>
  <c r="AU163" i="1"/>
  <c r="AN163" i="1"/>
  <c r="J163" i="1"/>
  <c r="G163" i="1"/>
  <c r="H163" i="1" s="1"/>
  <c r="AY161" i="1"/>
  <c r="AX161" i="1"/>
  <c r="AV161" i="1"/>
  <c r="AU161" i="1"/>
  <c r="J161" i="1"/>
  <c r="G161" i="1"/>
  <c r="H161" i="1" s="1"/>
  <c r="AX160" i="1"/>
  <c r="AW160" i="1"/>
  <c r="AV160" i="1"/>
  <c r="AU160" i="1"/>
  <c r="AN160" i="1"/>
  <c r="J160" i="1"/>
  <c r="G160" i="1"/>
  <c r="H160" i="1" s="1"/>
  <c r="AY158" i="1"/>
  <c r="AX158" i="1"/>
  <c r="AW158" i="1"/>
  <c r="AV158" i="1"/>
  <c r="AU158" i="1"/>
  <c r="J158" i="1"/>
  <c r="G158" i="1"/>
  <c r="H158" i="1" s="1"/>
  <c r="AX157" i="1"/>
  <c r="AW157" i="1"/>
  <c r="AV157" i="1"/>
  <c r="AU157" i="1"/>
  <c r="AN157" i="1"/>
  <c r="J157" i="1"/>
  <c r="G157" i="1"/>
  <c r="H157" i="1" s="1"/>
  <c r="AY155" i="1"/>
  <c r="AX155" i="1"/>
  <c r="AW155" i="1"/>
  <c r="AV155" i="1"/>
  <c r="AU155" i="1"/>
  <c r="J155" i="1"/>
  <c r="G155" i="1"/>
  <c r="H155" i="1" s="1"/>
  <c r="AX154" i="1"/>
  <c r="AW154" i="1"/>
  <c r="AV154" i="1"/>
  <c r="AU154" i="1"/>
  <c r="AN154" i="1"/>
  <c r="J154" i="1"/>
  <c r="G154" i="1"/>
  <c r="H154" i="1" s="1"/>
  <c r="AY151" i="1"/>
  <c r="AX151" i="1"/>
  <c r="AW151" i="1"/>
  <c r="AV151" i="1"/>
  <c r="AU151" i="1"/>
  <c r="J151" i="1"/>
  <c r="G151" i="1"/>
  <c r="H151" i="1" s="1"/>
  <c r="AX150" i="1"/>
  <c r="AW150" i="1"/>
  <c r="AV150" i="1"/>
  <c r="AU150" i="1"/>
  <c r="AN150" i="1"/>
  <c r="J150" i="1"/>
  <c r="G150" i="1"/>
  <c r="H150" i="1" s="1"/>
  <c r="AY148" i="1"/>
  <c r="AX148" i="1"/>
  <c r="AW148" i="1"/>
  <c r="AV148" i="1"/>
  <c r="AU148" i="1"/>
  <c r="J148" i="1"/>
  <c r="AY147" i="1"/>
  <c r="AX147" i="1"/>
  <c r="AW147" i="1"/>
  <c r="AV147" i="1"/>
  <c r="AU147" i="1"/>
  <c r="J147" i="1"/>
  <c r="G147" i="1"/>
  <c r="H147" i="1" s="1"/>
  <c r="AY146" i="1"/>
  <c r="AX146" i="1"/>
  <c r="AW146" i="1"/>
  <c r="AV146" i="1"/>
  <c r="AU146" i="1"/>
  <c r="AS146" i="1"/>
  <c r="J146" i="1"/>
  <c r="G146" i="1"/>
  <c r="H146" i="1" s="1"/>
  <c r="AY145" i="1"/>
  <c r="AX145" i="1"/>
  <c r="AW145" i="1"/>
  <c r="AV145" i="1"/>
  <c r="AU145" i="1"/>
  <c r="J145" i="1"/>
  <c r="G145" i="1"/>
  <c r="H145" i="1" s="1"/>
  <c r="AX144" i="1"/>
  <c r="AW144" i="1"/>
  <c r="AV144" i="1"/>
  <c r="AU144" i="1"/>
  <c r="AN144" i="1"/>
  <c r="J144" i="1"/>
  <c r="G144" i="1"/>
  <c r="H144" i="1" s="1"/>
  <c r="AY141" i="1"/>
  <c r="AX141" i="1"/>
  <c r="AW141" i="1"/>
  <c r="AV141" i="1"/>
  <c r="AU141" i="1"/>
  <c r="AY30" i="1"/>
  <c r="AX30" i="1"/>
  <c r="AW30" i="1"/>
  <c r="AV30" i="1"/>
  <c r="AU30" i="1"/>
  <c r="J141" i="1"/>
  <c r="G141" i="1"/>
  <c r="H141" i="1" s="1"/>
  <c r="AY137" i="1"/>
  <c r="AX137" i="1"/>
  <c r="AW137" i="1"/>
  <c r="AV137" i="1"/>
  <c r="AU137" i="1"/>
  <c r="AS137" i="1"/>
  <c r="J137" i="1"/>
  <c r="G137" i="1"/>
  <c r="H137" i="1" s="1"/>
  <c r="AX133" i="1"/>
  <c r="AW133" i="1"/>
  <c r="AV133" i="1"/>
  <c r="AU133" i="1"/>
  <c r="AN133" i="1"/>
  <c r="J133" i="1"/>
  <c r="G133" i="1"/>
  <c r="H133" i="1" s="1"/>
  <c r="AX132" i="1"/>
  <c r="AW132" i="1"/>
  <c r="AV132" i="1"/>
  <c r="AU132" i="1"/>
  <c r="AN132" i="1"/>
  <c r="J132" i="1"/>
  <c r="G132" i="1"/>
  <c r="H132" i="1" s="1"/>
  <c r="AX131" i="1"/>
  <c r="AW131" i="1"/>
  <c r="AV131" i="1"/>
  <c r="AU131" i="1"/>
  <c r="AN131" i="1"/>
  <c r="J131" i="1"/>
  <c r="G131" i="1"/>
  <c r="H131" i="1" s="1"/>
  <c r="AX129" i="1"/>
  <c r="AW129" i="1"/>
  <c r="AV129" i="1"/>
  <c r="AU129" i="1"/>
  <c r="AN129" i="1"/>
  <c r="J129" i="1"/>
  <c r="G129" i="1"/>
  <c r="H129" i="1" s="1"/>
  <c r="AX128" i="1"/>
  <c r="AW128" i="1"/>
  <c r="AV128" i="1"/>
  <c r="AU128" i="1"/>
  <c r="AN128" i="1"/>
  <c r="J128" i="1"/>
  <c r="G128" i="1"/>
  <c r="H128" i="1" s="1"/>
  <c r="AY130" i="1"/>
  <c r="AX130" i="1"/>
  <c r="AW130" i="1"/>
  <c r="AV130" i="1"/>
  <c r="AU130" i="1"/>
  <c r="J130" i="1"/>
  <c r="G130" i="1"/>
  <c r="H130" i="1" s="1"/>
  <c r="AY126" i="1"/>
  <c r="AX126" i="1"/>
  <c r="AW126" i="1"/>
  <c r="AV126" i="1"/>
  <c r="AU126" i="1"/>
  <c r="J126" i="1"/>
  <c r="G126" i="1"/>
  <c r="H126" i="1" s="1"/>
  <c r="AX125" i="1"/>
  <c r="AW125" i="1"/>
  <c r="AV125" i="1"/>
  <c r="AU125" i="1"/>
  <c r="AN125" i="1"/>
  <c r="J125" i="1"/>
  <c r="G125" i="1"/>
  <c r="H125" i="1" s="1"/>
  <c r="AX124" i="1"/>
  <c r="AW124" i="1"/>
  <c r="AV124" i="1"/>
  <c r="AU124" i="1"/>
  <c r="AN124" i="1"/>
  <c r="J124" i="1"/>
  <c r="G124" i="1"/>
  <c r="H124" i="1" s="1"/>
  <c r="AX123" i="1"/>
  <c r="AW123" i="1"/>
  <c r="AV123" i="1"/>
  <c r="AU123" i="1"/>
  <c r="AN123" i="1"/>
  <c r="J123" i="1"/>
  <c r="G123" i="1"/>
  <c r="H123" i="1" s="1"/>
  <c r="AX121" i="1"/>
  <c r="AW121" i="1"/>
  <c r="AV121" i="1"/>
  <c r="AU121" i="1"/>
  <c r="AN121" i="1"/>
  <c r="J121" i="1"/>
  <c r="G121" i="1"/>
  <c r="H121" i="1" s="1"/>
  <c r="AY120" i="1"/>
  <c r="AX120" i="1"/>
  <c r="AW120" i="1"/>
  <c r="AV120" i="1"/>
  <c r="AU120" i="1"/>
  <c r="J120" i="1"/>
  <c r="G120" i="1"/>
  <c r="H120" i="1" s="1"/>
  <c r="AX119" i="1"/>
  <c r="AW119" i="1"/>
  <c r="AV119" i="1"/>
  <c r="AU119" i="1"/>
  <c r="AN119" i="1"/>
  <c r="J119" i="1"/>
  <c r="G119" i="1"/>
  <c r="H119" i="1" s="1"/>
  <c r="AY118" i="1"/>
  <c r="AX118" i="1"/>
  <c r="AW118" i="1"/>
  <c r="AV118" i="1"/>
  <c r="AU118" i="1"/>
  <c r="J118" i="1"/>
  <c r="G118" i="1"/>
  <c r="H118" i="1" s="1"/>
  <c r="AX117" i="1"/>
  <c r="AW117" i="1"/>
  <c r="AV117" i="1"/>
  <c r="AU117" i="1"/>
  <c r="AN117" i="1"/>
  <c r="J117" i="1"/>
  <c r="G117" i="1"/>
  <c r="H117" i="1" s="1"/>
  <c r="AX115" i="1"/>
  <c r="AW115" i="1"/>
  <c r="AV115" i="1"/>
  <c r="AU115" i="1"/>
  <c r="AN115" i="1"/>
  <c r="J115" i="1"/>
  <c r="G115" i="1"/>
  <c r="H115" i="1" s="1"/>
  <c r="AX114" i="1"/>
  <c r="AW114" i="1"/>
  <c r="AV114" i="1"/>
  <c r="AU114" i="1"/>
  <c r="AN114" i="1"/>
  <c r="J114" i="1"/>
  <c r="G114" i="1"/>
  <c r="H114" i="1" s="1"/>
  <c r="AX113" i="1"/>
  <c r="AW113" i="1"/>
  <c r="AV113" i="1"/>
  <c r="AU113" i="1"/>
  <c r="AN113" i="1"/>
  <c r="J113" i="1"/>
  <c r="G113" i="1"/>
  <c r="H113" i="1" s="1"/>
  <c r="AY112" i="1"/>
  <c r="AX112" i="1"/>
  <c r="AW112" i="1"/>
  <c r="AV112" i="1"/>
  <c r="AU112" i="1"/>
  <c r="J112" i="1"/>
  <c r="G112" i="1"/>
  <c r="H112" i="1" s="1"/>
  <c r="AY111" i="1"/>
  <c r="AX111" i="1"/>
  <c r="AW111" i="1"/>
  <c r="AV111" i="1"/>
  <c r="AU111" i="1"/>
  <c r="AS111" i="1"/>
  <c r="J111" i="1"/>
  <c r="G111" i="1"/>
  <c r="H111" i="1" s="1"/>
  <c r="AY108" i="1"/>
  <c r="AX108" i="1"/>
  <c r="AW108" i="1"/>
  <c r="AV108" i="1"/>
  <c r="AU108" i="1"/>
  <c r="J108" i="1"/>
  <c r="G108" i="1"/>
  <c r="H108" i="1" s="1"/>
  <c r="AX107" i="1"/>
  <c r="AW107" i="1"/>
  <c r="AV107" i="1"/>
  <c r="AU107" i="1"/>
  <c r="AN107" i="1"/>
  <c r="J107" i="1"/>
  <c r="G107" i="1"/>
  <c r="H107" i="1" s="1"/>
  <c r="AY110" i="1"/>
  <c r="AX110" i="1"/>
  <c r="AW110" i="1"/>
  <c r="AV110" i="1"/>
  <c r="AU110" i="1"/>
  <c r="J110" i="1"/>
  <c r="G110" i="1"/>
  <c r="H110" i="1" s="1"/>
  <c r="AX109" i="1"/>
  <c r="AW109" i="1"/>
  <c r="AV109" i="1"/>
  <c r="AU109" i="1"/>
  <c r="AN109" i="1"/>
  <c r="J109" i="1"/>
  <c r="G109" i="1"/>
  <c r="H109" i="1" s="1"/>
  <c r="AY106" i="1"/>
  <c r="AX106" i="1"/>
  <c r="AW106" i="1"/>
  <c r="AV106" i="1"/>
  <c r="AU106" i="1"/>
  <c r="J106" i="1"/>
  <c r="G106" i="1"/>
  <c r="H106" i="1" s="1"/>
  <c r="AY105" i="1"/>
  <c r="AX105" i="1"/>
  <c r="AW105" i="1"/>
  <c r="AV105" i="1"/>
  <c r="AU105" i="1"/>
  <c r="AS105" i="1"/>
  <c r="J105" i="1"/>
  <c r="G105" i="1"/>
  <c r="H105" i="1" s="1"/>
  <c r="AY104" i="1"/>
  <c r="AX104" i="1"/>
  <c r="AW104" i="1"/>
  <c r="AV104" i="1"/>
  <c r="AU104" i="1"/>
  <c r="J104" i="1"/>
  <c r="G104" i="1"/>
  <c r="H104" i="1" s="1"/>
  <c r="AX103" i="1"/>
  <c r="AW103" i="1"/>
  <c r="AV103" i="1"/>
  <c r="AU103" i="1"/>
  <c r="AN103" i="1"/>
  <c r="J103" i="1"/>
  <c r="G103" i="1"/>
  <c r="H103" i="1" s="1"/>
  <c r="AY101" i="1"/>
  <c r="AX101" i="1"/>
  <c r="AW101" i="1"/>
  <c r="AV101" i="1"/>
  <c r="AU101" i="1"/>
  <c r="J101" i="1"/>
  <c r="G101" i="1"/>
  <c r="H101" i="1" s="1"/>
  <c r="AX100" i="1"/>
  <c r="AW100" i="1"/>
  <c r="AV100" i="1"/>
  <c r="AU100" i="1"/>
  <c r="AN100" i="1"/>
  <c r="J100" i="1"/>
  <c r="G100" i="1"/>
  <c r="H100" i="1" s="1"/>
  <c r="AY99" i="1"/>
  <c r="AX99" i="1"/>
  <c r="AW99" i="1"/>
  <c r="AV99" i="1"/>
  <c r="AU99" i="1"/>
  <c r="J99" i="1"/>
  <c r="G99" i="1"/>
  <c r="H99" i="1" s="1"/>
  <c r="AY98" i="1"/>
  <c r="AX98" i="1"/>
  <c r="AW98" i="1"/>
  <c r="AV98" i="1"/>
  <c r="AU98" i="1"/>
  <c r="AS98" i="1"/>
  <c r="J98" i="1"/>
  <c r="G98" i="1"/>
  <c r="H98" i="1" s="1"/>
  <c r="AY92" i="1"/>
  <c r="AX92" i="1"/>
  <c r="AW92" i="1"/>
  <c r="AV92" i="1"/>
  <c r="AU92" i="1"/>
  <c r="J92" i="1"/>
  <c r="G92" i="1"/>
  <c r="H92" i="1" s="1"/>
  <c r="AX91" i="1"/>
  <c r="AW91" i="1"/>
  <c r="AV91" i="1"/>
  <c r="AU91" i="1"/>
  <c r="AN91" i="1"/>
  <c r="J91" i="1"/>
  <c r="G91" i="1"/>
  <c r="H91" i="1" s="1"/>
  <c r="AY89" i="1"/>
  <c r="AX89" i="1"/>
  <c r="AW89" i="1"/>
  <c r="AV89" i="1"/>
  <c r="AU89" i="1"/>
  <c r="J89" i="1"/>
  <c r="G89" i="1"/>
  <c r="H89" i="1" s="1"/>
  <c r="AY87" i="1"/>
  <c r="AX87" i="1"/>
  <c r="AW87" i="1"/>
  <c r="AV87" i="1"/>
  <c r="AU87" i="1"/>
  <c r="J87" i="1"/>
  <c r="G87" i="1"/>
  <c r="H87" i="1" s="1"/>
  <c r="AX88" i="1"/>
  <c r="AW88" i="1"/>
  <c r="AV88" i="1"/>
  <c r="AU88" i="1"/>
  <c r="AN88" i="1"/>
  <c r="J88" i="1"/>
  <c r="G88" i="1"/>
  <c r="H88" i="1" s="1"/>
  <c r="AY86" i="1"/>
  <c r="AX86" i="1"/>
  <c r="AW86" i="1"/>
  <c r="AV86" i="1"/>
  <c r="AU86" i="1"/>
  <c r="AS86" i="1"/>
  <c r="J86" i="1"/>
  <c r="G86" i="1"/>
  <c r="H86" i="1" s="1"/>
  <c r="J83" i="1"/>
  <c r="G83" i="1"/>
  <c r="H83" i="1" s="1"/>
  <c r="AY83" i="1"/>
  <c r="AX83" i="1"/>
  <c r="AW83" i="1"/>
  <c r="AV83" i="1"/>
  <c r="AU83" i="1"/>
  <c r="AX82" i="1"/>
  <c r="AW82" i="1"/>
  <c r="AV82" i="1"/>
  <c r="AU82" i="1"/>
  <c r="AN82" i="1"/>
  <c r="J82" i="1"/>
  <c r="G82" i="1"/>
  <c r="H82" i="1" s="1"/>
  <c r="J81" i="1"/>
  <c r="G81" i="1"/>
  <c r="H81" i="1" s="1"/>
  <c r="AY81" i="1"/>
  <c r="AX81" i="1"/>
  <c r="AW81" i="1"/>
  <c r="AV81" i="1"/>
  <c r="AU81" i="1"/>
  <c r="AS48" i="1"/>
  <c r="AS80" i="1"/>
  <c r="AN77" i="1"/>
  <c r="AY80" i="1"/>
  <c r="AX80" i="1"/>
  <c r="AW80" i="1"/>
  <c r="AV80" i="1"/>
  <c r="AU80" i="1"/>
  <c r="J80" i="1"/>
  <c r="G80" i="1"/>
  <c r="H80" i="1" s="1"/>
  <c r="AY78" i="1"/>
  <c r="AX78" i="1"/>
  <c r="AW78" i="1"/>
  <c r="AV78" i="1"/>
  <c r="AU78" i="1"/>
  <c r="AX77" i="1"/>
  <c r="AW77" i="1"/>
  <c r="AV77" i="1"/>
  <c r="AU77" i="1"/>
  <c r="J78" i="1"/>
  <c r="G78" i="1"/>
  <c r="H78" i="1" s="1"/>
  <c r="J77" i="1"/>
  <c r="G77" i="1"/>
  <c r="H77" i="1" s="1"/>
  <c r="AY75" i="1"/>
  <c r="AX75" i="1"/>
  <c r="AW75" i="1"/>
  <c r="AV75" i="1"/>
  <c r="AU75" i="1"/>
  <c r="AX74" i="1"/>
  <c r="AW74" i="1"/>
  <c r="AV74" i="1"/>
  <c r="AU74" i="1"/>
  <c r="AN74" i="1"/>
  <c r="J75" i="1"/>
  <c r="G75" i="1"/>
  <c r="H75" i="1" s="1"/>
  <c r="J74" i="1"/>
  <c r="G74" i="1"/>
  <c r="H74" i="1" s="1"/>
  <c r="AY73" i="1"/>
  <c r="AX73" i="1"/>
  <c r="AW73" i="1"/>
  <c r="AV73" i="1"/>
  <c r="AU73" i="1"/>
  <c r="AX72" i="1"/>
  <c r="AW72" i="1"/>
  <c r="AV72" i="1"/>
  <c r="AU72" i="1"/>
  <c r="AN72" i="1"/>
  <c r="J73" i="1"/>
  <c r="G73" i="1"/>
  <c r="H73" i="1" s="1"/>
  <c r="J72" i="1"/>
  <c r="G72" i="1"/>
  <c r="H72" i="1" s="1"/>
  <c r="AY71" i="1"/>
  <c r="AX71" i="1"/>
  <c r="AW71" i="1"/>
  <c r="AV71" i="1"/>
  <c r="AU71" i="1"/>
  <c r="G71" i="1"/>
  <c r="H71" i="1" s="1"/>
  <c r="J71" i="1"/>
  <c r="AN70" i="1"/>
  <c r="AX70" i="1"/>
  <c r="AW70" i="1"/>
  <c r="AV70" i="1"/>
  <c r="AU70" i="1"/>
  <c r="J70" i="1"/>
  <c r="G70" i="1"/>
  <c r="H70" i="1" s="1"/>
  <c r="AY58" i="1"/>
  <c r="AX58" i="1"/>
  <c r="AW58" i="1"/>
  <c r="AV58" i="1"/>
  <c r="AU58" i="1"/>
  <c r="J58" i="1"/>
  <c r="G58" i="1"/>
  <c r="H58" i="1" s="1"/>
  <c r="AY57" i="1"/>
  <c r="AX57" i="1"/>
  <c r="AW57" i="1"/>
  <c r="AV57" i="1"/>
  <c r="AU57" i="1"/>
  <c r="J57" i="1"/>
  <c r="G57" i="1"/>
  <c r="H57" i="1" s="1"/>
  <c r="AY56" i="1"/>
  <c r="AX56" i="1"/>
  <c r="AW56" i="1"/>
  <c r="AV56" i="1"/>
  <c r="AU56" i="1"/>
  <c r="J56" i="1"/>
  <c r="G56" i="1"/>
  <c r="H56" i="1" s="1"/>
  <c r="AY55" i="1"/>
  <c r="AX55" i="1"/>
  <c r="AW55" i="1"/>
  <c r="AV55" i="1"/>
  <c r="AU55" i="1"/>
  <c r="J55" i="1"/>
  <c r="G55" i="1"/>
  <c r="H55" i="1" s="1"/>
  <c r="AY52" i="1"/>
  <c r="AX52" i="1"/>
  <c r="AW52" i="1"/>
  <c r="AV52" i="1"/>
  <c r="AU52" i="1"/>
  <c r="J52" i="1"/>
  <c r="G52" i="1"/>
  <c r="H52" i="1" s="1"/>
  <c r="AY54" i="1"/>
  <c r="AX54" i="1"/>
  <c r="AW54" i="1"/>
  <c r="AV54" i="1"/>
  <c r="AU54" i="1"/>
  <c r="J54" i="1"/>
  <c r="G54" i="1"/>
  <c r="H54" i="1" s="1"/>
  <c r="AY53" i="1"/>
  <c r="AX53" i="1"/>
  <c r="AW53" i="1"/>
  <c r="AV53" i="1"/>
  <c r="AU53" i="1"/>
  <c r="J53" i="1"/>
  <c r="G53" i="1"/>
  <c r="H53" i="1" s="1"/>
  <c r="AY51" i="1"/>
  <c r="AX51" i="1"/>
  <c r="AW51" i="1"/>
  <c r="AV51" i="1"/>
  <c r="AU51" i="1"/>
  <c r="J51" i="1"/>
  <c r="G51" i="1"/>
  <c r="H51" i="1" s="1"/>
  <c r="AN47" i="1"/>
  <c r="AX47" i="1"/>
  <c r="AW47" i="1"/>
  <c r="AV47" i="1"/>
  <c r="AU47" i="1"/>
  <c r="J47" i="1"/>
  <c r="G47" i="1"/>
  <c r="H47" i="1" s="1"/>
  <c r="AY48" i="1"/>
  <c r="AX48" i="1"/>
  <c r="AW48" i="1"/>
  <c r="AV48" i="1"/>
  <c r="AU48" i="1"/>
  <c r="AX25" i="1"/>
  <c r="AW25" i="1"/>
  <c r="AV25" i="1"/>
  <c r="AU25" i="1"/>
  <c r="AY25" i="1"/>
  <c r="J48" i="1"/>
  <c r="G48" i="1"/>
  <c r="H48" i="1" s="1"/>
  <c r="J46" i="1"/>
  <c r="G46" i="1"/>
  <c r="H46" i="1" s="1"/>
  <c r="J44" i="1"/>
  <c r="G44" i="1"/>
  <c r="H44" i="1" s="1"/>
  <c r="J43" i="1"/>
  <c r="G43" i="1"/>
  <c r="H43" i="1" s="1"/>
  <c r="J39" i="1"/>
  <c r="G39" i="1"/>
  <c r="H39" i="1" s="1"/>
  <c r="J38" i="1"/>
  <c r="G38" i="1"/>
  <c r="H38" i="1" s="1"/>
  <c r="J37" i="1"/>
  <c r="G37" i="1"/>
  <c r="H37" i="1" s="1"/>
  <c r="AN46" i="1"/>
  <c r="AN44" i="1"/>
  <c r="AN43" i="1"/>
  <c r="AN39" i="1"/>
  <c r="AN38" i="1"/>
  <c r="AN37" i="1"/>
  <c r="AN31" i="1"/>
  <c r="AN23" i="1"/>
  <c r="AN21" i="1"/>
  <c r="AN7" i="1"/>
  <c r="AN5" i="1"/>
  <c r="AX46" i="1"/>
  <c r="AW46" i="1"/>
  <c r="AV46" i="1"/>
  <c r="AU46" i="1"/>
  <c r="AX44" i="1"/>
  <c r="AW44" i="1"/>
  <c r="AV44" i="1"/>
  <c r="AU44" i="1"/>
  <c r="AX43" i="1"/>
  <c r="AW43" i="1"/>
  <c r="AV43" i="1"/>
  <c r="AU43" i="1"/>
  <c r="AX39" i="1"/>
  <c r="AW39" i="1"/>
  <c r="AV39" i="1"/>
  <c r="AU39" i="1"/>
  <c r="AX38" i="1"/>
  <c r="AW38" i="1"/>
  <c r="AV38" i="1"/>
  <c r="AU38" i="1"/>
  <c r="AX37" i="1"/>
  <c r="AW37" i="1"/>
  <c r="AV37" i="1"/>
  <c r="AU37" i="1"/>
  <c r="AL5" i="1"/>
  <c r="AM5" i="1" s="1"/>
  <c r="AY33" i="1"/>
  <c r="AX33" i="1"/>
  <c r="AW33" i="1"/>
  <c r="AV33" i="1"/>
  <c r="AU33" i="1"/>
  <c r="J33" i="1"/>
  <c r="G33" i="1"/>
  <c r="H33" i="1" s="1"/>
  <c r="AY32" i="1"/>
  <c r="AX32" i="1"/>
  <c r="AW32" i="1"/>
  <c r="AV32" i="1"/>
  <c r="AU32" i="1"/>
  <c r="J32" i="1"/>
  <c r="AQ19" i="7"/>
  <c r="AQ18" i="7"/>
  <c r="AQ17" i="7"/>
  <c r="AQ16" i="7"/>
  <c r="AQ15" i="7"/>
  <c r="AQ14" i="7"/>
  <c r="AQ13" i="7"/>
  <c r="AQ12" i="7"/>
  <c r="AQ11" i="7"/>
  <c r="AQ10" i="7"/>
  <c r="AQ9" i="7"/>
  <c r="AQ8" i="7"/>
  <c r="AQ7" i="7"/>
  <c r="AQ6" i="7"/>
  <c r="AQ5" i="7"/>
  <c r="AQ4" i="7"/>
  <c r="AR12" i="7" s="1"/>
  <c r="AO4" i="7"/>
  <c r="AP18" i="7" s="1"/>
  <c r="AO19" i="7"/>
  <c r="AO18" i="7"/>
  <c r="AO17" i="7"/>
  <c r="AO16" i="7"/>
  <c r="AP16" i="7" s="1"/>
  <c r="AO15" i="7"/>
  <c r="AO14" i="7"/>
  <c r="AO13" i="7"/>
  <c r="AO12" i="7"/>
  <c r="AP12" i="7" s="1"/>
  <c r="AO11" i="7"/>
  <c r="AO10" i="7"/>
  <c r="AO9" i="7"/>
  <c r="AO8" i="7"/>
  <c r="AP8" i="7" s="1"/>
  <c r="AO6" i="7"/>
  <c r="AP6" i="7" s="1"/>
  <c r="AO7" i="7"/>
  <c r="AO5" i="7"/>
  <c r="AM5" i="7"/>
  <c r="AP14" i="7"/>
  <c r="AP10" i="7"/>
  <c r="AP19" i="7"/>
  <c r="AL19" i="7"/>
  <c r="AL18" i="7"/>
  <c r="AL17" i="7"/>
  <c r="AL16" i="7"/>
  <c r="AL15" i="7"/>
  <c r="AL14" i="7"/>
  <c r="AL13" i="7"/>
  <c r="AL12" i="7"/>
  <c r="AL11" i="7"/>
  <c r="AL10" i="7"/>
  <c r="AL9" i="7"/>
  <c r="AL8" i="7"/>
  <c r="AL6" i="7"/>
  <c r="AL5" i="7"/>
  <c r="AL4" i="7"/>
  <c r="O15" i="7"/>
  <c r="O19" i="7" s="1"/>
  <c r="L13" i="7"/>
  <c r="M13" i="7"/>
  <c r="M17" i="7" s="1"/>
  <c r="O13" i="7"/>
  <c r="O17" i="7" s="1"/>
  <c r="L14" i="7"/>
  <c r="N14" i="7"/>
  <c r="N18" i="7" s="1"/>
  <c r="O14" i="7"/>
  <c r="O18" i="7" s="1"/>
  <c r="L15" i="7"/>
  <c r="M15" i="7"/>
  <c r="M19" i="7" s="1"/>
  <c r="N15" i="7"/>
  <c r="N19" i="7" s="1"/>
  <c r="M12" i="7"/>
  <c r="N12" i="7"/>
  <c r="N16" i="7" s="1"/>
  <c r="O12" i="7"/>
  <c r="O16" i="7" s="1"/>
  <c r="Q10" i="7"/>
  <c r="AM10" i="7" s="1"/>
  <c r="Q9" i="7"/>
  <c r="AM9" i="7" s="1"/>
  <c r="Q11" i="7"/>
  <c r="AM11" i="7" s="1"/>
  <c r="Q8" i="7"/>
  <c r="AM8" i="7" s="1"/>
  <c r="Q6" i="7"/>
  <c r="AM6" i="7" s="1"/>
  <c r="AN6" i="7" s="1"/>
  <c r="Q7" i="7"/>
  <c r="AM7" i="7" s="1"/>
  <c r="Q4" i="7"/>
  <c r="AM4" i="7" s="1"/>
  <c r="AN4" i="7" s="1"/>
  <c r="AA19" i="7"/>
  <c r="Z19" i="7"/>
  <c r="Y19" i="7"/>
  <c r="X19" i="7"/>
  <c r="AA18" i="7"/>
  <c r="Z18" i="7"/>
  <c r="Y18" i="7"/>
  <c r="X18" i="7"/>
  <c r="AA17" i="7"/>
  <c r="Z17" i="7"/>
  <c r="Y17" i="7"/>
  <c r="X17" i="7"/>
  <c r="X5" i="7"/>
  <c r="Y5" i="7"/>
  <c r="Z5" i="7"/>
  <c r="AA5" i="7"/>
  <c r="X6" i="7"/>
  <c r="Y6" i="7"/>
  <c r="Z6" i="7"/>
  <c r="AA6" i="7"/>
  <c r="X7" i="7"/>
  <c r="Y7" i="7"/>
  <c r="Z7" i="7"/>
  <c r="AA7" i="7"/>
  <c r="X8" i="7"/>
  <c r="Y8" i="7"/>
  <c r="Z8" i="7"/>
  <c r="AA8" i="7"/>
  <c r="X9" i="7"/>
  <c r="Y9" i="7"/>
  <c r="Z9" i="7"/>
  <c r="AA9" i="7"/>
  <c r="X10" i="7"/>
  <c r="Y10" i="7"/>
  <c r="Z10" i="7"/>
  <c r="AA10" i="7"/>
  <c r="X11" i="7"/>
  <c r="Y11" i="7"/>
  <c r="Z11" i="7"/>
  <c r="AA11" i="7"/>
  <c r="X12" i="7"/>
  <c r="Y12" i="7"/>
  <c r="Z12" i="7"/>
  <c r="AA12" i="7"/>
  <c r="X13" i="7"/>
  <c r="Y13" i="7"/>
  <c r="Z13" i="7"/>
  <c r="AA13" i="7"/>
  <c r="X14" i="7"/>
  <c r="Y14" i="7"/>
  <c r="Z14" i="7"/>
  <c r="AA14" i="7"/>
  <c r="X15" i="7"/>
  <c r="Y15" i="7"/>
  <c r="Z15" i="7"/>
  <c r="AA15" i="7"/>
  <c r="X16" i="7"/>
  <c r="Y16" i="7"/>
  <c r="Z16" i="7"/>
  <c r="AA16" i="7"/>
  <c r="Y4" i="7"/>
  <c r="Z4" i="7"/>
  <c r="AA4" i="7"/>
  <c r="X4" i="7"/>
  <c r="AX31" i="1"/>
  <c r="AW31" i="1"/>
  <c r="AV31" i="1"/>
  <c r="AU31" i="1"/>
  <c r="J31" i="1"/>
  <c r="G31" i="1"/>
  <c r="H31" i="1" s="1"/>
  <c r="AX23" i="1"/>
  <c r="AW23" i="1"/>
  <c r="AV23" i="1"/>
  <c r="AU23" i="1"/>
  <c r="J23" i="1"/>
  <c r="G23" i="1"/>
  <c r="H23" i="1" s="1"/>
  <c r="AX21" i="1"/>
  <c r="AW21" i="1"/>
  <c r="AV21" i="1"/>
  <c r="AU21" i="1"/>
  <c r="J21" i="1"/>
  <c r="G21" i="1"/>
  <c r="H21" i="1" s="1"/>
  <c r="J30" i="1"/>
  <c r="G30" i="1"/>
  <c r="H30" i="1" s="1"/>
  <c r="G25" i="1"/>
  <c r="H25" i="1" s="1"/>
  <c r="AY24" i="1"/>
  <c r="AX24" i="1"/>
  <c r="AW24" i="1"/>
  <c r="AV24" i="1"/>
  <c r="AU24" i="1"/>
  <c r="J24" i="1"/>
  <c r="G24" i="1"/>
  <c r="H24" i="1" s="1"/>
  <c r="AY22" i="1"/>
  <c r="AX22" i="1"/>
  <c r="AW22" i="1"/>
  <c r="AV22" i="1"/>
  <c r="AU22" i="1"/>
  <c r="J22" i="1"/>
  <c r="G22" i="1"/>
  <c r="H22" i="1" s="1"/>
  <c r="AY20" i="1"/>
  <c r="AX20" i="1"/>
  <c r="AW20" i="1"/>
  <c r="AV20" i="1"/>
  <c r="AU20" i="1"/>
  <c r="J20" i="1"/>
  <c r="G20" i="1"/>
  <c r="H20" i="1" s="1"/>
  <c r="AY19" i="1"/>
  <c r="AX19" i="1"/>
  <c r="AW19" i="1"/>
  <c r="AV19" i="1"/>
  <c r="AU19" i="1"/>
  <c r="J19" i="1"/>
  <c r="G19" i="1"/>
  <c r="H19" i="1" s="1"/>
  <c r="AY18" i="1"/>
  <c r="AX18" i="1"/>
  <c r="AW18" i="1"/>
  <c r="AV18" i="1"/>
  <c r="AU18" i="1"/>
  <c r="J18" i="1"/>
  <c r="G18" i="1"/>
  <c r="H18" i="1" s="1"/>
  <c r="AY15" i="1"/>
  <c r="AX15" i="1"/>
  <c r="AW15" i="1"/>
  <c r="AV15" i="1"/>
  <c r="AU15" i="1"/>
  <c r="J15" i="1"/>
  <c r="G15" i="1"/>
  <c r="H15" i="1" s="1"/>
  <c r="AY6" i="1"/>
  <c r="AX6" i="1"/>
  <c r="AW6" i="1"/>
  <c r="AV6" i="1"/>
  <c r="AU6" i="1"/>
  <c r="J6" i="1"/>
  <c r="G6" i="1"/>
  <c r="H6" i="1" s="1"/>
  <c r="AX7" i="1"/>
  <c r="AW7" i="1"/>
  <c r="AV7" i="1"/>
  <c r="AU7" i="1"/>
  <c r="J7" i="1"/>
  <c r="G7" i="1"/>
  <c r="H7" i="1" s="1"/>
  <c r="AX5" i="1"/>
  <c r="AW5" i="1"/>
  <c r="AV5" i="1"/>
  <c r="AU5" i="1"/>
  <c r="J5" i="1"/>
  <c r="G5" i="1"/>
  <c r="H5" i="1" s="1"/>
  <c r="L19" i="7" l="1"/>
  <c r="R19" i="7" s="1"/>
  <c r="R15" i="7"/>
  <c r="L18" i="7"/>
  <c r="R18" i="7" s="1"/>
  <c r="R14" i="7"/>
  <c r="M16" i="7"/>
  <c r="R16" i="7" s="1"/>
  <c r="R12" i="7"/>
  <c r="BF6" i="4"/>
  <c r="BH6" i="4"/>
  <c r="AC15" i="7"/>
  <c r="AC13" i="7"/>
  <c r="AC11" i="7"/>
  <c r="AC9" i="7"/>
  <c r="AC7" i="7"/>
  <c r="AC5" i="7"/>
  <c r="L17" i="7"/>
  <c r="R17" i="7" s="1"/>
  <c r="R13" i="7"/>
  <c r="AF1281" i="1"/>
  <c r="AH1281" i="1" s="1"/>
  <c r="AF1219" i="1"/>
  <c r="AH1219" i="1" s="1"/>
  <c r="AI1281" i="1"/>
  <c r="AI1219" i="1"/>
  <c r="AN10" i="7"/>
  <c r="AN7" i="7"/>
  <c r="AN9" i="7"/>
  <c r="AN11" i="7"/>
  <c r="AN8" i="7"/>
  <c r="AN5" i="7"/>
  <c r="AW801" i="1"/>
  <c r="AX801" i="1"/>
  <c r="AU801" i="1"/>
  <c r="J264" i="5"/>
  <c r="AX875" i="1" s="1"/>
  <c r="AV801" i="1"/>
  <c r="G263" i="5"/>
  <c r="AX802" i="1"/>
  <c r="AW885" i="1"/>
  <c r="AW802" i="1"/>
  <c r="AW803" i="1"/>
  <c r="H264" i="5"/>
  <c r="AV875" i="1" s="1"/>
  <c r="AV885" i="1"/>
  <c r="AV802" i="1"/>
  <c r="AX885" i="1"/>
  <c r="AT1104" i="1"/>
  <c r="AJ1163" i="1"/>
  <c r="AJ1164" i="1" s="1"/>
  <c r="AJ1165" i="1" s="1"/>
  <c r="AJ1166" i="1" s="1"/>
  <c r="AJ1167" i="1" s="1"/>
  <c r="AJ1168" i="1" s="1"/>
  <c r="AJ1169" i="1" s="1"/>
  <c r="AJ1170" i="1" s="1"/>
  <c r="AJ1171" i="1" s="1"/>
  <c r="AJ1172" i="1" s="1"/>
  <c r="AJ1173" i="1" s="1"/>
  <c r="AJ1174" i="1" s="1"/>
  <c r="AJ1175" i="1" s="1"/>
  <c r="AJ1176" i="1" s="1"/>
  <c r="AJ1177" i="1" s="1"/>
  <c r="AJ1178" i="1" s="1"/>
  <c r="AJ1179" i="1" s="1"/>
  <c r="AJ1180" i="1" s="1"/>
  <c r="AJ1181" i="1" s="1"/>
  <c r="AJ1182" i="1" s="1"/>
  <c r="AJ1183" i="1" s="1"/>
  <c r="AJ1184" i="1" s="1"/>
  <c r="AJ1185" i="1" s="1"/>
  <c r="AJ1186" i="1" s="1"/>
  <c r="AJ1187" i="1" s="1"/>
  <c r="AJ1188" i="1" s="1"/>
  <c r="AJ1189" i="1" s="1"/>
  <c r="AJ1190" i="1" s="1"/>
  <c r="AJ1191" i="1" s="1"/>
  <c r="AJ1192" i="1" s="1"/>
  <c r="AJ1193" i="1" s="1"/>
  <c r="AJ1194" i="1" s="1"/>
  <c r="AJ1195" i="1" s="1"/>
  <c r="AJ1196" i="1" s="1"/>
  <c r="AJ1197" i="1" s="1"/>
  <c r="AJ1198" i="1" s="1"/>
  <c r="AJ1199" i="1" s="1"/>
  <c r="AJ1200" i="1" s="1"/>
  <c r="AJ1201" i="1" s="1"/>
  <c r="AJ1202" i="1" s="1"/>
  <c r="AJ1203" i="1" s="1"/>
  <c r="AJ1204" i="1" s="1"/>
  <c r="AJ1205" i="1" s="1"/>
  <c r="AJ1206" i="1" s="1"/>
  <c r="AJ1207" i="1" s="1"/>
  <c r="AJ1208" i="1" s="1"/>
  <c r="AJ1209" i="1" s="1"/>
  <c r="AJ1210" i="1" s="1"/>
  <c r="AJ1211" i="1" s="1"/>
  <c r="AJ1212" i="1" s="1"/>
  <c r="AJ1213" i="1" s="1"/>
  <c r="AJ1214" i="1" s="1"/>
  <c r="AJ1215" i="1" s="1"/>
  <c r="AJ1216" i="1" s="1"/>
  <c r="AJ1217" i="1" s="1"/>
  <c r="AJ1218" i="1" s="1"/>
  <c r="AO1157" i="1"/>
  <c r="AO1153" i="1"/>
  <c r="AO1152" i="1"/>
  <c r="AJ1063" i="1"/>
  <c r="AJ1064" i="1" s="1"/>
  <c r="AJ1065" i="1" s="1"/>
  <c r="AJ1066" i="1" s="1"/>
  <c r="AJ1067" i="1" s="1"/>
  <c r="AJ1068" i="1" s="1"/>
  <c r="AJ1069" i="1" s="1"/>
  <c r="AJ1070" i="1" s="1"/>
  <c r="AJ1071" i="1" s="1"/>
  <c r="AJ1072" i="1" s="1"/>
  <c r="AJ1073" i="1" s="1"/>
  <c r="AJ1074" i="1" s="1"/>
  <c r="AJ1075" i="1" s="1"/>
  <c r="AJ1076" i="1" s="1"/>
  <c r="AJ1077" i="1" s="1"/>
  <c r="AJ1078" i="1" s="1"/>
  <c r="AJ1079" i="1" s="1"/>
  <c r="AJ1080" i="1" s="1"/>
  <c r="AJ1081" i="1" s="1"/>
  <c r="AJ1082" i="1" s="1"/>
  <c r="AJ1083" i="1" s="1"/>
  <c r="AJ1084" i="1" s="1"/>
  <c r="AJ1085" i="1" s="1"/>
  <c r="AJ1086" i="1" s="1"/>
  <c r="AJ1087" i="1" s="1"/>
  <c r="AJ1088" i="1" s="1"/>
  <c r="AJ1089" i="1" s="1"/>
  <c r="AJ1090" i="1" s="1"/>
  <c r="AJ1091" i="1" s="1"/>
  <c r="AJ1092" i="1" s="1"/>
  <c r="AJ1093" i="1" s="1"/>
  <c r="AJ1094" i="1" s="1"/>
  <c r="AJ1095" i="1" s="1"/>
  <c r="AJ1096" i="1" s="1"/>
  <c r="AI1136" i="1"/>
  <c r="AF1136" i="1"/>
  <c r="AH1136" i="1" s="1"/>
  <c r="AO1045" i="1"/>
  <c r="AO1089" i="1"/>
  <c r="AF1123" i="1"/>
  <c r="AH1123" i="1" s="1"/>
  <c r="AT1028" i="1"/>
  <c r="AO1108" i="1"/>
  <c r="AT1100" i="1"/>
  <c r="AO1103" i="1"/>
  <c r="AO1112" i="1"/>
  <c r="AI1097" i="1"/>
  <c r="AO1063" i="1"/>
  <c r="AT1064" i="1"/>
  <c r="AT1080" i="1"/>
  <c r="AO1111" i="1"/>
  <c r="AT1099" i="1"/>
  <c r="AO1113" i="1"/>
  <c r="AT1127" i="1"/>
  <c r="AF1025" i="1"/>
  <c r="AH1025" i="1" s="1"/>
  <c r="AT1074" i="1"/>
  <c r="AO1084" i="1"/>
  <c r="AO1085" i="1"/>
  <c r="AT1086" i="1"/>
  <c r="AO1107" i="1"/>
  <c r="AO1126" i="1"/>
  <c r="AO1054" i="1"/>
  <c r="AO1058" i="1"/>
  <c r="AO1069" i="1"/>
  <c r="AO1073" i="1"/>
  <c r="AO1081" i="1"/>
  <c r="AT1083" i="1"/>
  <c r="AF1097" i="1"/>
  <c r="AH1097" i="1" s="1"/>
  <c r="AI1025" i="1"/>
  <c r="AI1123" i="1"/>
  <c r="AO1102" i="1"/>
  <c r="AO1051" i="1"/>
  <c r="AO996" i="1"/>
  <c r="AO1000" i="1"/>
  <c r="AO1021" i="1"/>
  <c r="AO1022" i="1"/>
  <c r="AO1027" i="1"/>
  <c r="AF984" i="1"/>
  <c r="AH984" i="1" s="1"/>
  <c r="AO971" i="1"/>
  <c r="AO998" i="1"/>
  <c r="AI984" i="1"/>
  <c r="AO1006" i="1"/>
  <c r="AT1008" i="1"/>
  <c r="AI942" i="1"/>
  <c r="AO978" i="1"/>
  <c r="AT922" i="1"/>
  <c r="AO985" i="1"/>
  <c r="AF942" i="1"/>
  <c r="AH942" i="1" s="1"/>
  <c r="AO974" i="1"/>
  <c r="AT956" i="1"/>
  <c r="AO952" i="1"/>
  <c r="AO865" i="1"/>
  <c r="AO867" i="1"/>
  <c r="AO891" i="1"/>
  <c r="AO933" i="1"/>
  <c r="AT934" i="1"/>
  <c r="AJ940" i="1"/>
  <c r="AJ941" i="1" s="1"/>
  <c r="AO923" i="1"/>
  <c r="AO920" i="1"/>
  <c r="AO916" i="1"/>
  <c r="AO911" i="1"/>
  <c r="AI889" i="1"/>
  <c r="AF889" i="1"/>
  <c r="AH889" i="1" s="1"/>
  <c r="AO874" i="1"/>
  <c r="AO875" i="1"/>
  <c r="AT878" i="1"/>
  <c r="AO832" i="1"/>
  <c r="AT842" i="1"/>
  <c r="AO854" i="1"/>
  <c r="AT855" i="1"/>
  <c r="AO885" i="1"/>
  <c r="AO869" i="1"/>
  <c r="AO861" i="1"/>
  <c r="AO862" i="1"/>
  <c r="AJ870" i="1"/>
  <c r="AJ871" i="1" s="1"/>
  <c r="AJ872" i="1" s="1"/>
  <c r="AJ873" i="1" s="1"/>
  <c r="AJ874" i="1" s="1"/>
  <c r="AJ875" i="1" s="1"/>
  <c r="AJ876" i="1" s="1"/>
  <c r="AJ877" i="1" s="1"/>
  <c r="AJ878" i="1" s="1"/>
  <c r="AJ879" i="1" s="1"/>
  <c r="AJ880" i="1" s="1"/>
  <c r="AJ881" i="1" s="1"/>
  <c r="AJ882" i="1" s="1"/>
  <c r="AJ883" i="1" s="1"/>
  <c r="AJ884" i="1" s="1"/>
  <c r="AJ885" i="1" s="1"/>
  <c r="AJ886" i="1" s="1"/>
  <c r="AJ887" i="1" s="1"/>
  <c r="AJ888" i="1" s="1"/>
  <c r="AT870" i="1"/>
  <c r="AF860" i="1"/>
  <c r="AH860" i="1" s="1"/>
  <c r="AI860" i="1"/>
  <c r="AT825" i="1"/>
  <c r="AO833" i="1"/>
  <c r="AO755" i="1"/>
  <c r="AJ824" i="1"/>
  <c r="AJ825" i="1" s="1"/>
  <c r="AJ826" i="1" s="1"/>
  <c r="AJ827" i="1" s="1"/>
  <c r="AJ828" i="1" s="1"/>
  <c r="AJ829" i="1" s="1"/>
  <c r="AJ830" i="1" s="1"/>
  <c r="AJ831" i="1" s="1"/>
  <c r="AJ832" i="1" s="1"/>
  <c r="AJ833" i="1" s="1"/>
  <c r="AJ834" i="1" s="1"/>
  <c r="AJ835" i="1" s="1"/>
  <c r="AJ836" i="1" s="1"/>
  <c r="AJ837" i="1" s="1"/>
  <c r="AJ838" i="1" s="1"/>
  <c r="AJ839" i="1" s="1"/>
  <c r="AJ840" i="1" s="1"/>
  <c r="AJ841" i="1" s="1"/>
  <c r="AJ842" i="1" s="1"/>
  <c r="AJ843" i="1" s="1"/>
  <c r="AJ844" i="1" s="1"/>
  <c r="AJ845" i="1" s="1"/>
  <c r="AJ846" i="1" s="1"/>
  <c r="AJ847" i="1" s="1"/>
  <c r="AJ848" i="1" s="1"/>
  <c r="AJ849" i="1" s="1"/>
  <c r="AJ850" i="1" s="1"/>
  <c r="AJ851" i="1" s="1"/>
  <c r="AJ852" i="1" s="1"/>
  <c r="AJ853" i="1" s="1"/>
  <c r="AJ854" i="1" s="1"/>
  <c r="AJ855" i="1" s="1"/>
  <c r="AJ856" i="1" s="1"/>
  <c r="AJ857" i="1" s="1"/>
  <c r="AJ858" i="1" s="1"/>
  <c r="AJ859" i="1" s="1"/>
  <c r="AI822" i="1"/>
  <c r="AO868" i="1"/>
  <c r="AO829" i="1"/>
  <c r="AJ793" i="1"/>
  <c r="AJ794" i="1" s="1"/>
  <c r="AJ795" i="1" s="1"/>
  <c r="AJ796" i="1" s="1"/>
  <c r="AJ797" i="1" s="1"/>
  <c r="AJ798" i="1" s="1"/>
  <c r="AJ799" i="1" s="1"/>
  <c r="AJ800" i="1" s="1"/>
  <c r="AJ801" i="1" s="1"/>
  <c r="AJ802" i="1" s="1"/>
  <c r="AJ803" i="1" s="1"/>
  <c r="AJ804" i="1" s="1"/>
  <c r="AJ805" i="1" s="1"/>
  <c r="AJ806" i="1" s="1"/>
  <c r="AJ807" i="1" s="1"/>
  <c r="AJ808" i="1" s="1"/>
  <c r="AJ809" i="1" s="1"/>
  <c r="AJ810" i="1" s="1"/>
  <c r="AJ811" i="1" s="1"/>
  <c r="AJ812" i="1" s="1"/>
  <c r="AJ813" i="1" s="1"/>
  <c r="AJ814" i="1" s="1"/>
  <c r="AJ815" i="1" s="1"/>
  <c r="AJ816" i="1" s="1"/>
  <c r="AJ817" i="1" s="1"/>
  <c r="AJ818" i="1" s="1"/>
  <c r="AJ819" i="1" s="1"/>
  <c r="AJ820" i="1" s="1"/>
  <c r="AJ821" i="1" s="1"/>
  <c r="AO866" i="1"/>
  <c r="AO849" i="1"/>
  <c r="AO848" i="1"/>
  <c r="AO845" i="1"/>
  <c r="AT793" i="1"/>
  <c r="AT807" i="1"/>
  <c r="AF822" i="1"/>
  <c r="AH822" i="1" s="1"/>
  <c r="AT795" i="1"/>
  <c r="AO808" i="1"/>
  <c r="AO801" i="1"/>
  <c r="AO827" i="1"/>
  <c r="AO804" i="1"/>
  <c r="AO805" i="1"/>
  <c r="AT806" i="1"/>
  <c r="AO802" i="1"/>
  <c r="AO803" i="1"/>
  <c r="AO824" i="1"/>
  <c r="AF262" i="1"/>
  <c r="AH262" i="1" s="1"/>
  <c r="AI139" i="1"/>
  <c r="AO796" i="1"/>
  <c r="AX7" i="4"/>
  <c r="AJ6" i="4"/>
  <c r="AT7" i="4"/>
  <c r="AX4" i="4"/>
  <c r="AO4" i="4"/>
  <c r="AT9" i="4"/>
  <c r="AT5" i="4"/>
  <c r="AO768" i="1"/>
  <c r="AI767" i="1"/>
  <c r="AF767" i="1"/>
  <c r="AH767" i="1" s="1"/>
  <c r="AT752" i="1"/>
  <c r="AJ710" i="1"/>
  <c r="AJ711" i="1" s="1"/>
  <c r="AJ712" i="1" s="1"/>
  <c r="AJ713" i="1" s="1"/>
  <c r="AT736" i="1"/>
  <c r="AO738" i="1"/>
  <c r="AO758" i="1"/>
  <c r="AO759" i="1"/>
  <c r="AT765" i="1"/>
  <c r="AT744" i="1"/>
  <c r="AT787" i="1"/>
  <c r="AO789" i="1"/>
  <c r="AO750" i="1"/>
  <c r="AI649" i="1"/>
  <c r="AO734" i="1"/>
  <c r="AI238" i="1"/>
  <c r="AF136" i="1"/>
  <c r="AH136" i="1" s="1"/>
  <c r="AO710" i="1"/>
  <c r="AO711" i="1"/>
  <c r="AO712" i="1"/>
  <c r="AO713" i="1"/>
  <c r="AO715" i="1"/>
  <c r="AO716" i="1"/>
  <c r="AO717" i="1"/>
  <c r="AO722" i="1"/>
  <c r="AO723" i="1"/>
  <c r="AO724" i="1"/>
  <c r="AO725" i="1"/>
  <c r="AF649" i="1"/>
  <c r="AH649" i="1" s="1"/>
  <c r="AF479" i="1"/>
  <c r="AH479" i="1" s="1"/>
  <c r="AI50" i="1"/>
  <c r="AI94" i="1"/>
  <c r="AI262" i="1"/>
  <c r="AI345" i="1"/>
  <c r="AI479" i="1"/>
  <c r="AI611" i="1"/>
  <c r="AI136" i="1"/>
  <c r="AI179" i="1"/>
  <c r="AI42" i="1"/>
  <c r="AI61" i="1"/>
  <c r="AI300" i="1"/>
  <c r="AI456" i="1"/>
  <c r="AI583" i="1"/>
  <c r="AF42" i="1"/>
  <c r="AH42" i="1" s="1"/>
  <c r="AF17" i="1"/>
  <c r="AH17" i="1" s="1"/>
  <c r="AF50" i="1"/>
  <c r="AH50" i="1" s="1"/>
  <c r="AF139" i="1"/>
  <c r="AH139" i="1" s="1"/>
  <c r="AF300" i="1"/>
  <c r="AH300" i="1" s="1"/>
  <c r="AF583" i="1"/>
  <c r="AH583" i="1" s="1"/>
  <c r="AF27" i="1"/>
  <c r="AH27" i="1" s="1"/>
  <c r="AF61" i="1"/>
  <c r="AH61" i="1" s="1"/>
  <c r="AF179" i="1"/>
  <c r="AH179" i="1" s="1"/>
  <c r="AF345" i="1"/>
  <c r="AH345" i="1" s="1"/>
  <c r="AF611" i="1"/>
  <c r="AH611" i="1" s="1"/>
  <c r="AF29" i="1"/>
  <c r="AH29" i="1" s="1"/>
  <c r="AF94" i="1"/>
  <c r="AH94" i="1" s="1"/>
  <c r="AF238" i="1"/>
  <c r="AH238" i="1" s="1"/>
  <c r="AF456" i="1"/>
  <c r="AH456" i="1" s="1"/>
  <c r="AJ9" i="1"/>
  <c r="AJ10" i="1" s="1"/>
  <c r="AJ11" i="1" s="1"/>
  <c r="AJ12" i="1" s="1"/>
  <c r="AJ13" i="1" s="1"/>
  <c r="AJ14" i="1" s="1"/>
  <c r="AJ15" i="1" s="1"/>
  <c r="AJ16" i="1" s="1"/>
  <c r="AO658" i="1"/>
  <c r="AO664" i="1"/>
  <c r="AO666" i="1"/>
  <c r="AO668" i="1"/>
  <c r="AO674" i="1"/>
  <c r="AO675" i="1"/>
  <c r="AO676" i="1"/>
  <c r="AO677" i="1"/>
  <c r="AO678" i="1"/>
  <c r="AO687" i="1"/>
  <c r="AO688" i="1"/>
  <c r="AO689" i="1"/>
  <c r="AO690" i="1"/>
  <c r="AO691" i="1"/>
  <c r="AO692" i="1"/>
  <c r="AO637" i="1"/>
  <c r="AO640" i="1"/>
  <c r="AO641" i="1"/>
  <c r="AO702" i="1"/>
  <c r="AO703" i="1"/>
  <c r="AO704" i="1"/>
  <c r="AO705" i="1"/>
  <c r="AO694" i="1"/>
  <c r="AO695" i="1"/>
  <c r="AO696" i="1"/>
  <c r="AO697" i="1"/>
  <c r="AO698" i="1"/>
  <c r="AO699" i="1"/>
  <c r="AO732" i="1"/>
  <c r="AO653" i="1"/>
  <c r="AO652" i="1"/>
  <c r="AT659" i="1"/>
  <c r="AO665" i="1"/>
  <c r="AO700" i="1"/>
  <c r="AO714" i="1"/>
  <c r="AT646" i="1"/>
  <c r="AT650" i="1"/>
  <c r="AO663" i="1"/>
  <c r="AO667" i="1"/>
  <c r="AO680" i="1"/>
  <c r="AO681" i="1"/>
  <c r="AO682" i="1"/>
  <c r="AO683" i="1"/>
  <c r="AO684" i="1"/>
  <c r="AO685" i="1"/>
  <c r="AO706" i="1"/>
  <c r="AO707" i="1"/>
  <c r="AO708" i="1"/>
  <c r="AO709" i="1"/>
  <c r="AO718" i="1"/>
  <c r="AO719" i="1"/>
  <c r="AO720" i="1"/>
  <c r="AO721" i="1"/>
  <c r="AO679" i="1"/>
  <c r="AO671" i="1"/>
  <c r="AO612" i="1"/>
  <c r="AJ606" i="1"/>
  <c r="AJ607" i="1" s="1"/>
  <c r="AJ609" i="1" s="1"/>
  <c r="AO613" i="1"/>
  <c r="AO630" i="1"/>
  <c r="AO643" i="1"/>
  <c r="AT644" i="1"/>
  <c r="AO524" i="1"/>
  <c r="AO525" i="1"/>
  <c r="AO526" i="1"/>
  <c r="AO527" i="1"/>
  <c r="AO528" i="1"/>
  <c r="AO557" i="1"/>
  <c r="AO585" i="1"/>
  <c r="AO589" i="1"/>
  <c r="AO588" i="1"/>
  <c r="AO622" i="1"/>
  <c r="AT623" i="1"/>
  <c r="AO625" i="1"/>
  <c r="AO651" i="1"/>
  <c r="AW10" i="4"/>
  <c r="AW9" i="4"/>
  <c r="AW8" i="4"/>
  <c r="AW6" i="4"/>
  <c r="AW5" i="4"/>
  <c r="AJ8" i="4"/>
  <c r="AJ5" i="4"/>
  <c r="AT8" i="4"/>
  <c r="AT6" i="4"/>
  <c r="AW4" i="4"/>
  <c r="AX10" i="4"/>
  <c r="AX9" i="4"/>
  <c r="AX8" i="4"/>
  <c r="AX6" i="4"/>
  <c r="AX5" i="4"/>
  <c r="AN11" i="4"/>
  <c r="AN10" i="4"/>
  <c r="AN9" i="4"/>
  <c r="AN8" i="4"/>
  <c r="AN7" i="4"/>
  <c r="AN6" i="4"/>
  <c r="AN5" i="4"/>
  <c r="AJ4" i="4"/>
  <c r="AJ9" i="4"/>
  <c r="AO11" i="4"/>
  <c r="AO10" i="4"/>
  <c r="AO9" i="4"/>
  <c r="AO8" i="4"/>
  <c r="AO7" i="4"/>
  <c r="AO6" i="4"/>
  <c r="AJ648" i="1"/>
  <c r="AJ645" i="1"/>
  <c r="AJ646" i="1" s="1"/>
  <c r="AJ647" i="1" s="1"/>
  <c r="AO642" i="1"/>
  <c r="AO638" i="1"/>
  <c r="AJ71" i="11"/>
  <c r="AJ203" i="11"/>
  <c r="AJ163" i="11"/>
  <c r="AJ230" i="11"/>
  <c r="AJ241" i="11"/>
  <c r="AJ237" i="11"/>
  <c r="AJ235" i="11"/>
  <c r="AJ233" i="11"/>
  <c r="AJ111" i="11"/>
  <c r="AJ95" i="11"/>
  <c r="AJ83" i="11"/>
  <c r="AJ81" i="11"/>
  <c r="AJ240" i="11"/>
  <c r="AJ236" i="11"/>
  <c r="AJ204" i="11"/>
  <c r="AJ86" i="11"/>
  <c r="AJ82" i="11"/>
  <c r="AI48" i="11"/>
  <c r="AJ48" i="11" s="1"/>
  <c r="AI188" i="11"/>
  <c r="AJ188" i="11" s="1"/>
  <c r="AI23" i="11"/>
  <c r="AJ23" i="11" s="1"/>
  <c r="AI25" i="11"/>
  <c r="AJ25" i="11" s="1"/>
  <c r="AI49" i="11"/>
  <c r="AJ49" i="11" s="1"/>
  <c r="AI58" i="11"/>
  <c r="AJ58" i="11" s="1"/>
  <c r="AI125" i="11"/>
  <c r="AJ125" i="11" s="1"/>
  <c r="AI126" i="11"/>
  <c r="AJ126" i="11" s="1"/>
  <c r="AI127" i="11"/>
  <c r="AJ127" i="11" s="1"/>
  <c r="AI128" i="11"/>
  <c r="AJ128" i="11" s="1"/>
  <c r="AI129" i="11"/>
  <c r="AJ129" i="11" s="1"/>
  <c r="AI130" i="11"/>
  <c r="AJ130" i="11" s="1"/>
  <c r="AI131" i="11"/>
  <c r="AJ131" i="11" s="1"/>
  <c r="AI132" i="11"/>
  <c r="AJ132" i="11" s="1"/>
  <c r="AI133" i="11"/>
  <c r="AJ133" i="11" s="1"/>
  <c r="AI155" i="11"/>
  <c r="AJ155" i="11" s="1"/>
  <c r="AI189" i="11"/>
  <c r="AJ189" i="11" s="1"/>
  <c r="AI191" i="11"/>
  <c r="AJ191" i="11" s="1"/>
  <c r="AI195" i="11"/>
  <c r="AJ195" i="11" s="1"/>
  <c r="AI4" i="11"/>
  <c r="AJ4" i="11" s="1"/>
  <c r="AI6" i="11"/>
  <c r="AJ6" i="11" s="1"/>
  <c r="AI36" i="11"/>
  <c r="AJ36" i="11" s="1"/>
  <c r="AI45" i="11"/>
  <c r="AJ45" i="11" s="1"/>
  <c r="AI60" i="11"/>
  <c r="AJ60" i="11" s="1"/>
  <c r="AI61" i="11"/>
  <c r="AJ61" i="11" s="1"/>
  <c r="AI63" i="11"/>
  <c r="AJ63" i="11" s="1"/>
  <c r="AI97" i="11"/>
  <c r="AJ97" i="11" s="1"/>
  <c r="AI98" i="11"/>
  <c r="AJ98" i="11" s="1"/>
  <c r="AI101" i="11"/>
  <c r="AJ101" i="11" s="1"/>
  <c r="AI156" i="11"/>
  <c r="AJ156" i="11" s="1"/>
  <c r="AI157" i="11"/>
  <c r="AJ157" i="11" s="1"/>
  <c r="AI158" i="11"/>
  <c r="AJ158" i="11" s="1"/>
  <c r="AI159" i="11"/>
  <c r="AJ159" i="11" s="1"/>
  <c r="AI180" i="11"/>
  <c r="AJ180" i="11" s="1"/>
  <c r="AI196" i="11"/>
  <c r="AJ196" i="11" s="1"/>
  <c r="AI197" i="11"/>
  <c r="AJ197" i="11" s="1"/>
  <c r="AI199" i="11"/>
  <c r="AJ199" i="11" s="1"/>
  <c r="AI9" i="11"/>
  <c r="AJ9" i="11" s="1"/>
  <c r="AI28" i="11"/>
  <c r="AJ28" i="11" s="1"/>
  <c r="AI30" i="11"/>
  <c r="AJ30" i="11" s="1"/>
  <c r="AI32" i="11"/>
  <c r="AJ32" i="11" s="1"/>
  <c r="AI46" i="11"/>
  <c r="AJ46" i="11" s="1"/>
  <c r="AI52" i="11"/>
  <c r="AJ52" i="11" s="1"/>
  <c r="AI67" i="11"/>
  <c r="AJ67" i="11" s="1"/>
  <c r="AI68" i="11"/>
  <c r="AJ68" i="11" s="1"/>
  <c r="AI69" i="11"/>
  <c r="AJ69" i="11" s="1"/>
  <c r="AI89" i="11"/>
  <c r="AJ89" i="11" s="1"/>
  <c r="AI90" i="11"/>
  <c r="AJ90" i="11" s="1"/>
  <c r="AI134" i="11"/>
  <c r="AJ134" i="11" s="1"/>
  <c r="AI135" i="11"/>
  <c r="AJ135" i="11" s="1"/>
  <c r="AI136" i="11"/>
  <c r="AJ136" i="11" s="1"/>
  <c r="AI137" i="11"/>
  <c r="AJ137" i="11" s="1"/>
  <c r="AI152" i="11"/>
  <c r="AJ152" i="11" s="1"/>
  <c r="AI153" i="11"/>
  <c r="AJ153" i="11" s="1"/>
  <c r="AI154" i="11"/>
  <c r="AJ154" i="11" s="1"/>
  <c r="AI160" i="11"/>
  <c r="AJ160" i="11" s="1"/>
  <c r="AI161" i="11"/>
  <c r="AJ161" i="11" s="1"/>
  <c r="AI162" i="11"/>
  <c r="AJ162" i="11" s="1"/>
  <c r="AI183" i="11"/>
  <c r="AJ183" i="11" s="1"/>
  <c r="AI184" i="11"/>
  <c r="AJ184" i="11" s="1"/>
  <c r="AI192" i="11"/>
  <c r="AJ192" i="11" s="1"/>
  <c r="AI193" i="11"/>
  <c r="AJ193" i="11" s="1"/>
  <c r="AI200" i="11"/>
  <c r="AJ200" i="11" s="1"/>
  <c r="AI201" i="11"/>
  <c r="AJ201" i="11" s="1"/>
  <c r="AI179" i="11"/>
  <c r="AJ179" i="11" s="1"/>
  <c r="AI186" i="11"/>
  <c r="AJ186" i="11" s="1"/>
  <c r="AI187" i="11"/>
  <c r="AJ187" i="11" s="1"/>
  <c r="AI190" i="11"/>
  <c r="AJ190" i="11" s="1"/>
  <c r="AI194" i="11"/>
  <c r="AJ194" i="11" s="1"/>
  <c r="AI198" i="11"/>
  <c r="AJ198" i="11" s="1"/>
  <c r="AI202" i="11"/>
  <c r="AJ202" i="11" s="1"/>
  <c r="AI224" i="11"/>
  <c r="AJ224" i="11" s="1"/>
  <c r="AI225" i="11"/>
  <c r="AJ225" i="11" s="1"/>
  <c r="AI226" i="11"/>
  <c r="AJ226" i="11" s="1"/>
  <c r="AI227" i="11"/>
  <c r="AJ227" i="11" s="1"/>
  <c r="AI228" i="11"/>
  <c r="AJ228" i="11" s="1"/>
  <c r="AI8" i="11"/>
  <c r="AJ8" i="11" s="1"/>
  <c r="AI11" i="11"/>
  <c r="AJ11" i="11" s="1"/>
  <c r="AI17" i="11"/>
  <c r="AJ17" i="11" s="1"/>
  <c r="AI20" i="11"/>
  <c r="AJ20" i="11" s="1"/>
  <c r="AI21" i="11"/>
  <c r="AJ21" i="11" s="1"/>
  <c r="AI43" i="11"/>
  <c r="AJ43" i="11" s="1"/>
  <c r="AI47" i="11"/>
  <c r="AJ47" i="11" s="1"/>
  <c r="AI56" i="11"/>
  <c r="AJ56" i="11" s="1"/>
  <c r="AI62" i="11"/>
  <c r="AJ62" i="11" s="1"/>
  <c r="AI70" i="11"/>
  <c r="AJ70" i="11" s="1"/>
  <c r="AI84" i="11"/>
  <c r="AJ84" i="11" s="1"/>
  <c r="AI92" i="11"/>
  <c r="AJ92" i="11" s="1"/>
  <c r="AI93" i="11"/>
  <c r="AJ93" i="11" s="1"/>
  <c r="AI103" i="11"/>
  <c r="AJ103" i="11" s="1"/>
  <c r="AI107" i="11"/>
  <c r="AJ107" i="11" s="1"/>
  <c r="AI109" i="11"/>
  <c r="AJ109" i="11" s="1"/>
  <c r="AI185" i="11"/>
  <c r="AJ185" i="11" s="1"/>
  <c r="AI7" i="11"/>
  <c r="AJ7" i="11" s="1"/>
  <c r="AI10" i="11"/>
  <c r="AJ10" i="11" s="1"/>
  <c r="AI12" i="11"/>
  <c r="AJ12" i="11" s="1"/>
  <c r="AI13" i="11"/>
  <c r="AJ13" i="11" s="1"/>
  <c r="AI14" i="11"/>
  <c r="AJ14" i="11" s="1"/>
  <c r="AI15" i="11"/>
  <c r="AJ15" i="11" s="1"/>
  <c r="AI16" i="11"/>
  <c r="AJ16" i="11" s="1"/>
  <c r="AI19" i="11"/>
  <c r="AJ19" i="11" s="1"/>
  <c r="AI22" i="11"/>
  <c r="AJ22" i="11" s="1"/>
  <c r="AI24" i="11"/>
  <c r="AJ24" i="11" s="1"/>
  <c r="AI26" i="11"/>
  <c r="AJ26" i="11" s="1"/>
  <c r="AI27" i="11"/>
  <c r="AJ27" i="11" s="1"/>
  <c r="AI29" i="11"/>
  <c r="AJ29" i="11" s="1"/>
  <c r="AI37" i="11"/>
  <c r="AJ37" i="11" s="1"/>
  <c r="AI44" i="11"/>
  <c r="AJ44" i="11" s="1"/>
  <c r="AI50" i="11"/>
  <c r="AJ50" i="11" s="1"/>
  <c r="AI51" i="11"/>
  <c r="AJ51" i="11" s="1"/>
  <c r="AI53" i="11"/>
  <c r="AJ53" i="11" s="1"/>
  <c r="AI54" i="11"/>
  <c r="AJ54" i="11" s="1"/>
  <c r="AI64" i="11"/>
  <c r="AJ64" i="11" s="1"/>
  <c r="AI65" i="11"/>
  <c r="AJ65" i="11" s="1"/>
  <c r="AI72" i="11"/>
  <c r="AJ72" i="11" s="1"/>
  <c r="AI73" i="11"/>
  <c r="AJ73" i="11" s="1"/>
  <c r="AI74" i="11"/>
  <c r="AJ74" i="11" s="1"/>
  <c r="AI76" i="11"/>
  <c r="AJ76" i="11" s="1"/>
  <c r="AI77" i="11"/>
  <c r="AJ77" i="11" s="1"/>
  <c r="AI80" i="11"/>
  <c r="AJ80" i="11" s="1"/>
  <c r="AI87" i="11"/>
  <c r="AJ87" i="11" s="1"/>
  <c r="AI91" i="11"/>
  <c r="AJ91" i="11" s="1"/>
  <c r="AI96" i="11"/>
  <c r="AJ96" i="11" s="1"/>
  <c r="AI99" i="11"/>
  <c r="AJ99" i="11" s="1"/>
  <c r="AI102" i="11"/>
  <c r="AJ102" i="11" s="1"/>
  <c r="AI105" i="11"/>
  <c r="AJ105" i="11" s="1"/>
  <c r="AI108" i="11"/>
  <c r="AJ108" i="11" s="1"/>
  <c r="AI112" i="11"/>
  <c r="AJ112" i="11" s="1"/>
  <c r="AI164" i="11"/>
  <c r="AJ164" i="11" s="1"/>
  <c r="AI165" i="11"/>
  <c r="AJ165" i="11" s="1"/>
  <c r="AI166" i="11"/>
  <c r="AJ166" i="11" s="1"/>
  <c r="AI167" i="11"/>
  <c r="AJ167" i="11" s="1"/>
  <c r="AI168" i="11"/>
  <c r="AJ168" i="11" s="1"/>
  <c r="AI169" i="11"/>
  <c r="AJ169" i="11" s="1"/>
  <c r="AI170" i="11"/>
  <c r="AJ170" i="11" s="1"/>
  <c r="AI171" i="11"/>
  <c r="AJ171" i="11" s="1"/>
  <c r="AI172" i="11"/>
  <c r="AJ172" i="11" s="1"/>
  <c r="AI173" i="11"/>
  <c r="AJ173" i="11" s="1"/>
  <c r="AI215" i="11"/>
  <c r="AJ215" i="11" s="1"/>
  <c r="AI216" i="11"/>
  <c r="AJ216" i="11" s="1"/>
  <c r="AI217" i="11"/>
  <c r="AJ217" i="11" s="1"/>
  <c r="AI218" i="11"/>
  <c r="AJ218" i="11" s="1"/>
  <c r="AI219" i="11"/>
  <c r="AJ219" i="11" s="1"/>
  <c r="AI220" i="11"/>
  <c r="AJ220" i="11" s="1"/>
  <c r="AI229" i="11"/>
  <c r="AJ229" i="11" s="1"/>
  <c r="AI231" i="11"/>
  <c r="AJ231" i="11" s="1"/>
  <c r="AI232" i="11"/>
  <c r="AJ232" i="11" s="1"/>
  <c r="AI234" i="11"/>
  <c r="AJ234" i="11" s="1"/>
  <c r="AI238" i="11"/>
  <c r="AJ238" i="11" s="1"/>
  <c r="AI239" i="11"/>
  <c r="AJ239" i="11" s="1"/>
  <c r="AI5" i="11"/>
  <c r="AJ5" i="11" s="1"/>
  <c r="AI18" i="11"/>
  <c r="AJ18" i="11" s="1"/>
  <c r="AI31" i="11"/>
  <c r="AJ31" i="11" s="1"/>
  <c r="AI41" i="11"/>
  <c r="AJ41" i="11" s="1"/>
  <c r="AI57" i="11"/>
  <c r="AJ57" i="11" s="1"/>
  <c r="AI59" i="11"/>
  <c r="AJ59" i="11" s="1"/>
  <c r="AI66" i="11"/>
  <c r="AJ66" i="11" s="1"/>
  <c r="AI75" i="11"/>
  <c r="AJ75" i="11" s="1"/>
  <c r="AI78" i="11"/>
  <c r="AJ78" i="11" s="1"/>
  <c r="AI79" i="11"/>
  <c r="AJ79" i="11" s="1"/>
  <c r="AI88" i="11"/>
  <c r="AJ88" i="11" s="1"/>
  <c r="AI110" i="11"/>
  <c r="AJ110" i="11" s="1"/>
  <c r="AI113" i="11"/>
  <c r="AJ113" i="11" s="1"/>
  <c r="AI114" i="11"/>
  <c r="AJ114" i="11" s="1"/>
  <c r="AI115" i="11"/>
  <c r="AJ115" i="11" s="1"/>
  <c r="AI116" i="11"/>
  <c r="AJ116" i="11" s="1"/>
  <c r="AI117" i="11"/>
  <c r="AJ117" i="11" s="1"/>
  <c r="AI118" i="11"/>
  <c r="AJ118" i="11" s="1"/>
  <c r="AI119" i="11"/>
  <c r="AJ119" i="11" s="1"/>
  <c r="AI120" i="11"/>
  <c r="AJ120" i="11" s="1"/>
  <c r="AI121" i="11"/>
  <c r="AJ121" i="11" s="1"/>
  <c r="AI122" i="11"/>
  <c r="AJ122" i="11" s="1"/>
  <c r="AI123" i="11"/>
  <c r="AJ123" i="11" s="1"/>
  <c r="AI124" i="11"/>
  <c r="AJ124" i="11" s="1"/>
  <c r="AI85" i="11"/>
  <c r="AJ85" i="11" s="1"/>
  <c r="AI94" i="11"/>
  <c r="AJ94" i="11" s="1"/>
  <c r="AI100" i="11"/>
  <c r="AJ100" i="11" s="1"/>
  <c r="AI104" i="11"/>
  <c r="AJ104" i="11" s="1"/>
  <c r="AI106" i="11"/>
  <c r="AJ106" i="11" s="1"/>
  <c r="AI138" i="11"/>
  <c r="AJ138" i="11" s="1"/>
  <c r="AI139" i="11"/>
  <c r="AJ139" i="11" s="1"/>
  <c r="AI140" i="11"/>
  <c r="AJ140" i="11" s="1"/>
  <c r="AI141" i="11"/>
  <c r="AJ141" i="11" s="1"/>
  <c r="AI142" i="11"/>
  <c r="AJ142" i="11" s="1"/>
  <c r="AI143" i="11"/>
  <c r="AJ143" i="11" s="1"/>
  <c r="AI144" i="11"/>
  <c r="AJ144" i="11" s="1"/>
  <c r="AI145" i="11"/>
  <c r="AJ145" i="11" s="1"/>
  <c r="AI146" i="11"/>
  <c r="AJ146" i="11" s="1"/>
  <c r="AI147" i="11"/>
  <c r="AJ147" i="11" s="1"/>
  <c r="AI148" i="11"/>
  <c r="AJ148" i="11" s="1"/>
  <c r="AI149" i="11"/>
  <c r="AJ149" i="11" s="1"/>
  <c r="AI150" i="11"/>
  <c r="AJ150" i="11" s="1"/>
  <c r="AI151" i="11"/>
  <c r="AJ151" i="11" s="1"/>
  <c r="AI174" i="11"/>
  <c r="AJ174" i="11" s="1"/>
  <c r="AI181" i="11"/>
  <c r="AJ181" i="11" s="1"/>
  <c r="AI182" i="11"/>
  <c r="AJ182" i="11" s="1"/>
  <c r="AI205" i="11"/>
  <c r="AJ205" i="11" s="1"/>
  <c r="AI206" i="11"/>
  <c r="AJ206" i="11" s="1"/>
  <c r="AI207" i="11"/>
  <c r="AJ207" i="11" s="1"/>
  <c r="AI208" i="11"/>
  <c r="AJ208" i="11" s="1"/>
  <c r="AI209" i="11"/>
  <c r="AJ209" i="11" s="1"/>
  <c r="AI210" i="11"/>
  <c r="AJ210" i="11" s="1"/>
  <c r="AI211" i="11"/>
  <c r="AJ211" i="11" s="1"/>
  <c r="AI212" i="11"/>
  <c r="AJ212" i="11" s="1"/>
  <c r="AI213" i="11"/>
  <c r="AJ213" i="11" s="1"/>
  <c r="AI214" i="11"/>
  <c r="AJ214" i="11" s="1"/>
  <c r="AI221" i="11"/>
  <c r="AJ221" i="11" s="1"/>
  <c r="AI222" i="11"/>
  <c r="AJ222" i="11" s="1"/>
  <c r="AI223" i="11"/>
  <c r="AJ223" i="11" s="1"/>
  <c r="AI55" i="11"/>
  <c r="AJ55" i="11" s="1"/>
  <c r="AI33" i="11"/>
  <c r="AJ33" i="11" s="1"/>
  <c r="AI34" i="11"/>
  <c r="AJ34" i="11" s="1"/>
  <c r="AI35" i="11"/>
  <c r="AJ35" i="11" s="1"/>
  <c r="AI38" i="11"/>
  <c r="AJ38" i="11" s="1"/>
  <c r="AI39" i="11"/>
  <c r="AJ39" i="11" s="1"/>
  <c r="AI40" i="11"/>
  <c r="AJ40" i="11" s="1"/>
  <c r="AI42" i="11"/>
  <c r="AJ42" i="11" s="1"/>
  <c r="AI175" i="11"/>
  <c r="AJ175" i="11" s="1"/>
  <c r="AI176" i="11"/>
  <c r="AJ176" i="11" s="1"/>
  <c r="AI177" i="11"/>
  <c r="AJ177" i="11" s="1"/>
  <c r="AI178" i="11"/>
  <c r="AJ178" i="11" s="1"/>
  <c r="AO632" i="1"/>
  <c r="AO608" i="1"/>
  <c r="AT609" i="1"/>
  <c r="AT578" i="1"/>
  <c r="AT587" i="1"/>
  <c r="AO603" i="1"/>
  <c r="AO596" i="1"/>
  <c r="AJ509" i="1"/>
  <c r="AJ510" i="1" s="1"/>
  <c r="AJ511" i="1" s="1"/>
  <c r="AJ512" i="1" s="1"/>
  <c r="AJ513" i="1" s="1"/>
  <c r="AJ514" i="1" s="1"/>
  <c r="AJ515" i="1" s="1"/>
  <c r="AJ516" i="1" s="1"/>
  <c r="AJ517" i="1" s="1"/>
  <c r="AJ518" i="1" s="1"/>
  <c r="AJ519" i="1" s="1"/>
  <c r="AJ520" i="1" s="1"/>
  <c r="AJ521" i="1" s="1"/>
  <c r="AJ522" i="1" s="1"/>
  <c r="AJ523" i="1" s="1"/>
  <c r="AJ524" i="1" s="1"/>
  <c r="AJ525" i="1" s="1"/>
  <c r="AJ526" i="1" s="1"/>
  <c r="AJ527" i="1" s="1"/>
  <c r="AJ528" i="1" s="1"/>
  <c r="AJ529" i="1" s="1"/>
  <c r="AJ530" i="1" s="1"/>
  <c r="AJ531" i="1" s="1"/>
  <c r="AJ532" i="1" s="1"/>
  <c r="AJ533" i="1" s="1"/>
  <c r="AJ534" i="1" s="1"/>
  <c r="AJ535" i="1" s="1"/>
  <c r="AJ536" i="1" s="1"/>
  <c r="AJ537" i="1" s="1"/>
  <c r="AJ538" i="1" s="1"/>
  <c r="AJ539" i="1" s="1"/>
  <c r="AJ540" i="1" s="1"/>
  <c r="AJ541" i="1" s="1"/>
  <c r="AJ542" i="1" s="1"/>
  <c r="AJ543" i="1" s="1"/>
  <c r="AJ544" i="1" s="1"/>
  <c r="AJ545" i="1" s="1"/>
  <c r="AJ546" i="1" s="1"/>
  <c r="AJ547" i="1" s="1"/>
  <c r="AJ548" i="1" s="1"/>
  <c r="AJ549" i="1" s="1"/>
  <c r="AJ550" i="1" s="1"/>
  <c r="AJ551" i="1" s="1"/>
  <c r="AJ552" i="1" s="1"/>
  <c r="AJ553" i="1" s="1"/>
  <c r="AJ554" i="1" s="1"/>
  <c r="AJ555" i="1" s="1"/>
  <c r="AJ556" i="1" s="1"/>
  <c r="AJ557" i="1" s="1"/>
  <c r="AJ558" i="1" s="1"/>
  <c r="AJ559" i="1" s="1"/>
  <c r="AJ560" i="1" s="1"/>
  <c r="AJ561" i="1" s="1"/>
  <c r="AJ562" i="1" s="1"/>
  <c r="AJ563" i="1" s="1"/>
  <c r="AJ564" i="1" s="1"/>
  <c r="AJ565" i="1" s="1"/>
  <c r="AJ566" i="1" s="1"/>
  <c r="AJ567" i="1" s="1"/>
  <c r="AJ568" i="1" s="1"/>
  <c r="AJ569" i="1" s="1"/>
  <c r="AJ570" i="1" s="1"/>
  <c r="AJ571" i="1" s="1"/>
  <c r="AJ572" i="1" s="1"/>
  <c r="AJ573" i="1" s="1"/>
  <c r="AJ574" i="1" s="1"/>
  <c r="AJ575" i="1" s="1"/>
  <c r="AJ576" i="1" s="1"/>
  <c r="AJ577" i="1" s="1"/>
  <c r="AJ578" i="1" s="1"/>
  <c r="AJ579" i="1" s="1"/>
  <c r="AJ580" i="1" s="1"/>
  <c r="AJ581" i="1" s="1"/>
  <c r="AJ582" i="1" s="1"/>
  <c r="AO579" i="1"/>
  <c r="AO545" i="1"/>
  <c r="AO546" i="1"/>
  <c r="AO580" i="1"/>
  <c r="AO574" i="1"/>
  <c r="AO549" i="1"/>
  <c r="AO550" i="1"/>
  <c r="AO547" i="1"/>
  <c r="AO460" i="1"/>
  <c r="AO462" i="1"/>
  <c r="AO472" i="1"/>
  <c r="AT477" i="1"/>
  <c r="AO487" i="1"/>
  <c r="AO491" i="1"/>
  <c r="AO506" i="1"/>
  <c r="AO507" i="1"/>
  <c r="AO508" i="1"/>
  <c r="AO509" i="1"/>
  <c r="AO510" i="1"/>
  <c r="AO511" i="1"/>
  <c r="AO512" i="1"/>
  <c r="AO513" i="1"/>
  <c r="AO514" i="1"/>
  <c r="AO515" i="1"/>
  <c r="AO516" i="1"/>
  <c r="AO517" i="1"/>
  <c r="AO518" i="1"/>
  <c r="AO519" i="1"/>
  <c r="AO520" i="1"/>
  <c r="AO522" i="1"/>
  <c r="AO529" i="1"/>
  <c r="AO530" i="1"/>
  <c r="AO531" i="1"/>
  <c r="AO532" i="1"/>
  <c r="AO533" i="1"/>
  <c r="AT536" i="1"/>
  <c r="AO538" i="1"/>
  <c r="AO539" i="1"/>
  <c r="AO540" i="1"/>
  <c r="AO541" i="1"/>
  <c r="AO542" i="1"/>
  <c r="AO543" i="1"/>
  <c r="AO551" i="1"/>
  <c r="AO501" i="1"/>
  <c r="AO498" i="1"/>
  <c r="AO494" i="1"/>
  <c r="AO471" i="1"/>
  <c r="AO459" i="1"/>
  <c r="AO463" i="1"/>
  <c r="AO380" i="1"/>
  <c r="AO382" i="1"/>
  <c r="AO386" i="1"/>
  <c r="AO387" i="1"/>
  <c r="AO388" i="1"/>
  <c r="AO391" i="1"/>
  <c r="AO392" i="1"/>
  <c r="AO393" i="1"/>
  <c r="AO394" i="1"/>
  <c r="AO395" i="1"/>
  <c r="AO396" i="1"/>
  <c r="AO397" i="1"/>
  <c r="AO398" i="1"/>
  <c r="AO399" i="1"/>
  <c r="AO400" i="1"/>
  <c r="AO401" i="1"/>
  <c r="AO402" i="1"/>
  <c r="AO415" i="1"/>
  <c r="AO416" i="1"/>
  <c r="AO417" i="1"/>
  <c r="AO418" i="1"/>
  <c r="AO419" i="1"/>
  <c r="AO461" i="1"/>
  <c r="AO476" i="1"/>
  <c r="AO469" i="1"/>
  <c r="AO467" i="1"/>
  <c r="AO420" i="1"/>
  <c r="AO421" i="1"/>
  <c r="AO422" i="1"/>
  <c r="AO423" i="1"/>
  <c r="AO424" i="1"/>
  <c r="AO425" i="1"/>
  <c r="AO428" i="1"/>
  <c r="AO427" i="1"/>
  <c r="AO436" i="1"/>
  <c r="AO437" i="1"/>
  <c r="AO438" i="1"/>
  <c r="AO439" i="1"/>
  <c r="AO440" i="1"/>
  <c r="AO441" i="1"/>
  <c r="AO442" i="1"/>
  <c r="AO443" i="1"/>
  <c r="AO444" i="1"/>
  <c r="AO445" i="1"/>
  <c r="AO448" i="1"/>
  <c r="AO426" i="1"/>
  <c r="AT434" i="1"/>
  <c r="AO403" i="1"/>
  <c r="AO404" i="1"/>
  <c r="AO405" i="1"/>
  <c r="AO406" i="1"/>
  <c r="AO407" i="1"/>
  <c r="AO408" i="1"/>
  <c r="AO409" i="1"/>
  <c r="AO410" i="1"/>
  <c r="AO411" i="1"/>
  <c r="AO412" i="1"/>
  <c r="AO413" i="1"/>
  <c r="AO414" i="1"/>
  <c r="AO429" i="1"/>
  <c r="AO383" i="1"/>
  <c r="AO384" i="1"/>
  <c r="AO385" i="1"/>
  <c r="AO347" i="1"/>
  <c r="AO366" i="1"/>
  <c r="AO374" i="1"/>
  <c r="AO379" i="1"/>
  <c r="AO355" i="1"/>
  <c r="AO370" i="1"/>
  <c r="AO381" i="1"/>
  <c r="AO352" i="1"/>
  <c r="AO368" i="1"/>
  <c r="AO377" i="1"/>
  <c r="AO378" i="1"/>
  <c r="AO372" i="1"/>
  <c r="AO363" i="1"/>
  <c r="AO360" i="1"/>
  <c r="AT389" i="1"/>
  <c r="AO340" i="1"/>
  <c r="AT349" i="1"/>
  <c r="AT318" i="1"/>
  <c r="AT320" i="1"/>
  <c r="AT298" i="1"/>
  <c r="AO338" i="1"/>
  <c r="AT181" i="1"/>
  <c r="AT278" i="1"/>
  <c r="AO334" i="1"/>
  <c r="AO328" i="1"/>
  <c r="AO322" i="1"/>
  <c r="AO311" i="1"/>
  <c r="AO287" i="1"/>
  <c r="AO313" i="1"/>
  <c r="AO316" i="1"/>
  <c r="AO31" i="1"/>
  <c r="AO43" i="1"/>
  <c r="AO70" i="1"/>
  <c r="AO82" i="1"/>
  <c r="AO103" i="1"/>
  <c r="AO114" i="1"/>
  <c r="AO121" i="1"/>
  <c r="AO128" i="1"/>
  <c r="AO133" i="1"/>
  <c r="AO157" i="1"/>
  <c r="AO165" i="1"/>
  <c r="AO175" i="1"/>
  <c r="AO190" i="1"/>
  <c r="AO199" i="1"/>
  <c r="AO206" i="1"/>
  <c r="AO217" i="1"/>
  <c r="AO229" i="1"/>
  <c r="AO246" i="1"/>
  <c r="AO266" i="1"/>
  <c r="AO275" i="1"/>
  <c r="AO309" i="1"/>
  <c r="AO23" i="1"/>
  <c r="AO39" i="1"/>
  <c r="AO47" i="1"/>
  <c r="AO77" i="1"/>
  <c r="AO100" i="1"/>
  <c r="AO113" i="1"/>
  <c r="AO119" i="1"/>
  <c r="AO125" i="1"/>
  <c r="AO132" i="1"/>
  <c r="AO154" i="1"/>
  <c r="AO164" i="1"/>
  <c r="AO174" i="1"/>
  <c r="AO188" i="1"/>
  <c r="AO197" i="1"/>
  <c r="AO204" i="1"/>
  <c r="AO214" i="1"/>
  <c r="AO227" i="1"/>
  <c r="AO243" i="1"/>
  <c r="AO258" i="1"/>
  <c r="AO274" i="1"/>
  <c r="AO283" i="1"/>
  <c r="AO285" i="1"/>
  <c r="AO292" i="1"/>
  <c r="AO294" i="1"/>
  <c r="AO5" i="1"/>
  <c r="AO21" i="1"/>
  <c r="AO38" i="1"/>
  <c r="AO46" i="1"/>
  <c r="AO74" i="1"/>
  <c r="AO91" i="1"/>
  <c r="AO109" i="1"/>
  <c r="AO117" i="1"/>
  <c r="AO124" i="1"/>
  <c r="AO131" i="1"/>
  <c r="AO150" i="1"/>
  <c r="AO163" i="1"/>
  <c r="AO172" i="1"/>
  <c r="AO185" i="1"/>
  <c r="AO194" i="1"/>
  <c r="AO201" i="1"/>
  <c r="AO212" i="1"/>
  <c r="AO223" i="1"/>
  <c r="AO241" i="1"/>
  <c r="AO252" i="1"/>
  <c r="AO272" i="1"/>
  <c r="AO7" i="1"/>
  <c r="AO37" i="1"/>
  <c r="AO44" i="1"/>
  <c r="AO72" i="1"/>
  <c r="AO88" i="1"/>
  <c r="AO107" i="1"/>
  <c r="AO115" i="1"/>
  <c r="AO123" i="1"/>
  <c r="AO129" i="1"/>
  <c r="AO144" i="1"/>
  <c r="AO160" i="1"/>
  <c r="AO170" i="1"/>
  <c r="AO176" i="1"/>
  <c r="AO192" i="1"/>
  <c r="AO200" i="1"/>
  <c r="AO210" i="1"/>
  <c r="AO221" i="1"/>
  <c r="AO233" i="1"/>
  <c r="AO247" i="1"/>
  <c r="AO268" i="1"/>
  <c r="AM304" i="1"/>
  <c r="AO304" i="1" s="1"/>
  <c r="AM295" i="1"/>
  <c r="AO295" i="1" s="1"/>
  <c r="AM296" i="1"/>
  <c r="AO296" i="1" s="1"/>
  <c r="AM289" i="1"/>
  <c r="AO289" i="1" s="1"/>
  <c r="AM290" i="1"/>
  <c r="AO290" i="1" s="1"/>
  <c r="AT260" i="1"/>
  <c r="AT255" i="1"/>
  <c r="AT236" i="1"/>
  <c r="AT105" i="1"/>
  <c r="AT146" i="1"/>
  <c r="AT48" i="1"/>
  <c r="AT80" i="1"/>
  <c r="AT98" i="1"/>
  <c r="AT137" i="1"/>
  <c r="AT86" i="1"/>
  <c r="AT111" i="1"/>
  <c r="AR5" i="7"/>
  <c r="AR7" i="7"/>
  <c r="AR8" i="7"/>
  <c r="AR11" i="7"/>
  <c r="AR17" i="7"/>
  <c r="AR19" i="7"/>
  <c r="AR4" i="7"/>
  <c r="AR6" i="7"/>
  <c r="AR13" i="7"/>
  <c r="AR14" i="7"/>
  <c r="AR15" i="7"/>
  <c r="AR18" i="7"/>
  <c r="AR9" i="7"/>
  <c r="AR10" i="7"/>
  <c r="AP4" i="7"/>
  <c r="AP5" i="7"/>
  <c r="AP7" i="7"/>
  <c r="AP9" i="7"/>
  <c r="AP11" i="7"/>
  <c r="AP13" i="7"/>
  <c r="AP15" i="7"/>
  <c r="AR16" i="7"/>
  <c r="AP17" i="7"/>
  <c r="AC4" i="7"/>
  <c r="AD11" i="7" s="1"/>
  <c r="AC17" i="7"/>
  <c r="AD17" i="7" s="1"/>
  <c r="AC18" i="7"/>
  <c r="AG18" i="7" s="1"/>
  <c r="AC19" i="7"/>
  <c r="AC16" i="7"/>
  <c r="AD16" i="7" s="1"/>
  <c r="AC14" i="7"/>
  <c r="AI14" i="7" s="1"/>
  <c r="AC12" i="7"/>
  <c r="AI12" i="7" s="1"/>
  <c r="AC10" i="7"/>
  <c r="AC8" i="7"/>
  <c r="AD8" i="7" s="1"/>
  <c r="AC6" i="7"/>
  <c r="AG6" i="7" s="1"/>
  <c r="AI17" i="7"/>
  <c r="AI15" i="7"/>
  <c r="AG15" i="7"/>
  <c r="AI13" i="7"/>
  <c r="AG13" i="7"/>
  <c r="AE11" i="7"/>
  <c r="AI11" i="7"/>
  <c r="AG11" i="7"/>
  <c r="AI9" i="7"/>
  <c r="AG9" i="7"/>
  <c r="AE9" i="7"/>
  <c r="AI7" i="7"/>
  <c r="AG7" i="7"/>
  <c r="AE7" i="7"/>
  <c r="AI5" i="7"/>
  <c r="AG5" i="7"/>
  <c r="AE5" i="7"/>
  <c r="AG4" i="7"/>
  <c r="AI18" i="7"/>
  <c r="AI19" i="7"/>
  <c r="AG19" i="7"/>
  <c r="AG14" i="7"/>
  <c r="AH14" i="7" s="1"/>
  <c r="AE10" i="7"/>
  <c r="AI10" i="7"/>
  <c r="AG10" i="7"/>
  <c r="AE8" i="7"/>
  <c r="AE6" i="7"/>
  <c r="Q16" i="7"/>
  <c r="AM16" i="7" s="1"/>
  <c r="AN16" i="7" s="1"/>
  <c r="Q18" i="7"/>
  <c r="Q14" i="7"/>
  <c r="Q13" i="7"/>
  <c r="Q19" i="7"/>
  <c r="Q17" i="7"/>
  <c r="Q15" i="7"/>
  <c r="Q12" i="7"/>
  <c r="AI6" i="7" l="1"/>
  <c r="AG17" i="7"/>
  <c r="AG12" i="7"/>
  <c r="AH12" i="7" s="1"/>
  <c r="AE15" i="7"/>
  <c r="AM15" i="7"/>
  <c r="AN15" i="7" s="1"/>
  <c r="AE14" i="7"/>
  <c r="AM14" i="7"/>
  <c r="AN14" i="7" s="1"/>
  <c r="AE12" i="7"/>
  <c r="AM12" i="7"/>
  <c r="AN12" i="7" s="1"/>
  <c r="AE13" i="7"/>
  <c r="AM13" i="7"/>
  <c r="AN13" i="7" s="1"/>
  <c r="AE19" i="7"/>
  <c r="AM19" i="7"/>
  <c r="AN19" i="7" s="1"/>
  <c r="AE17" i="7"/>
  <c r="AM17" i="7"/>
  <c r="AN17" i="7" s="1"/>
  <c r="AE18" i="7"/>
  <c r="AM18" i="7"/>
  <c r="AN18" i="7" s="1"/>
  <c r="AU803" i="1"/>
  <c r="G264" i="5"/>
  <c r="AU875" i="1" s="1"/>
  <c r="AJ714" i="1"/>
  <c r="AJ715" i="1" s="1"/>
  <c r="AJ716" i="1" s="1"/>
  <c r="AJ717" i="1" s="1"/>
  <c r="AD6" i="7"/>
  <c r="AG8" i="7"/>
  <c r="AH8" i="7" s="1"/>
  <c r="AH10" i="7"/>
  <c r="AD12" i="7"/>
  <c r="AD14" i="7"/>
  <c r="AI16" i="7"/>
  <c r="AD18" i="7"/>
  <c r="AE4" i="7"/>
  <c r="AF4" i="7" s="1"/>
  <c r="AD5" i="7"/>
  <c r="AD7" i="7"/>
  <c r="AD9" i="7"/>
  <c r="AD15" i="7"/>
  <c r="AE16" i="7"/>
  <c r="AF16" i="7" s="1"/>
  <c r="AF6" i="7"/>
  <c r="AI8" i="7"/>
  <c r="AG16" i="7"/>
  <c r="AH16" i="7" s="1"/>
  <c r="AD19" i="7"/>
  <c r="AD4" i="7"/>
  <c r="AF7" i="7"/>
  <c r="AF9" i="7"/>
  <c r="AD13" i="7"/>
  <c r="AF15" i="7"/>
  <c r="AD10" i="7"/>
  <c r="AI4" i="7"/>
  <c r="AJ13" i="7" s="1"/>
  <c r="AH11" i="7"/>
  <c r="AH15" i="7"/>
  <c r="AJ18" i="7"/>
  <c r="AH19" i="7"/>
  <c r="AH4" i="7"/>
  <c r="AH5" i="7"/>
  <c r="AH7" i="7"/>
  <c r="AH9" i="7"/>
  <c r="AH17" i="7"/>
  <c r="AH6" i="7"/>
  <c r="AH18" i="7"/>
  <c r="AH13" i="7"/>
  <c r="AF13" i="7" l="1"/>
  <c r="AF14" i="7"/>
  <c r="AF11" i="7"/>
  <c r="AF5" i="7"/>
  <c r="AF10" i="7"/>
  <c r="AF18" i="7"/>
  <c r="AJ8" i="7"/>
  <c r="AF17" i="7"/>
  <c r="AJ718" i="1"/>
  <c r="AJ719" i="1" s="1"/>
  <c r="AJ720" i="1" s="1"/>
  <c r="AJ721" i="1" s="1"/>
  <c r="AJ722" i="1" s="1"/>
  <c r="AJ723" i="1" s="1"/>
  <c r="AJ724" i="1" s="1"/>
  <c r="AJ725" i="1" s="1"/>
  <c r="AJ726" i="1" s="1"/>
  <c r="AJ727" i="1" s="1"/>
  <c r="AJ728" i="1" s="1"/>
  <c r="AJ729" i="1" s="1"/>
  <c r="AJ16" i="7"/>
  <c r="AF12" i="7"/>
  <c r="AJ4" i="7"/>
  <c r="AJ19" i="7"/>
  <c r="AJ6" i="7"/>
  <c r="AJ10" i="7"/>
  <c r="AJ15" i="7"/>
  <c r="AJ17" i="7"/>
  <c r="AJ12" i="7"/>
  <c r="AJ11" i="7"/>
  <c r="AJ9" i="7"/>
  <c r="AJ14" i="7"/>
  <c r="AJ7" i="7"/>
  <c r="AJ5" i="7"/>
  <c r="AF8" i="7"/>
  <c r="AF19" i="7"/>
  <c r="AJ608" i="1"/>
  <c r="AJ610" i="1" s="1"/>
  <c r="AJ612" i="1" s="1"/>
  <c r="AD5" i="11"/>
  <c r="AD6" i="11" s="1"/>
  <c r="AD7" i="11" s="1"/>
  <c r="AD8" i="11" s="1"/>
  <c r="AD9" i="11" s="1"/>
  <c r="AD10" i="11" s="1"/>
  <c r="AD242" i="11"/>
  <c r="AD243" i="11" s="1"/>
  <c r="AD244" i="11" s="1"/>
  <c r="AD245" i="11" s="1"/>
  <c r="AD246" i="11" s="1"/>
  <c r="AD247" i="11" s="1"/>
  <c r="AD248" i="11" s="1"/>
  <c r="AD249" i="11" s="1"/>
  <c r="AD250" i="11" s="1"/>
  <c r="AD251" i="11" s="1"/>
  <c r="AD252" i="11" s="1"/>
  <c r="AD253" i="11" s="1"/>
  <c r="AD254" i="11" s="1"/>
  <c r="AD255" i="11" s="1"/>
  <c r="AD256" i="11" s="1"/>
  <c r="AD257" i="11" s="1"/>
  <c r="AD258" i="11" s="1"/>
  <c r="AD259" i="11" s="1"/>
  <c r="AD260" i="11" s="1"/>
  <c r="AD261" i="11" s="1"/>
  <c r="AD262" i="11" s="1"/>
  <c r="AD263" i="11" s="1"/>
  <c r="AD264" i="11" s="1"/>
  <c r="AD265" i="11" s="1"/>
  <c r="AD266" i="11" s="1"/>
  <c r="AD267" i="11" s="1"/>
  <c r="AD268" i="11" s="1"/>
  <c r="AD269" i="11" s="1"/>
  <c r="AD270" i="11" s="1"/>
  <c r="AD271" i="11" s="1"/>
  <c r="AD272" i="11" s="1"/>
  <c r="AD273" i="11" s="1"/>
  <c r="AD274" i="11" s="1"/>
  <c r="AD275" i="11" s="1"/>
  <c r="AD276" i="11" s="1"/>
  <c r="AD277" i="11" s="1"/>
  <c r="AD278" i="11" s="1"/>
  <c r="AD279" i="11" s="1"/>
  <c r="AD280" i="11" s="1"/>
  <c r="AD281" i="11" s="1"/>
  <c r="AD282" i="11" s="1"/>
  <c r="AD283" i="11" s="1"/>
  <c r="AD284" i="11" s="1"/>
  <c r="AD285" i="11" s="1"/>
  <c r="AD286" i="11" s="1"/>
  <c r="AD287" i="11" s="1"/>
  <c r="AD288" i="11" s="1"/>
  <c r="AD289" i="11" s="1"/>
  <c r="AD290" i="11" s="1"/>
  <c r="AD291" i="11" s="1"/>
  <c r="AD292" i="11" s="1"/>
  <c r="AD293" i="11" s="1"/>
  <c r="AD294" i="11" s="1"/>
  <c r="AD295" i="11" s="1"/>
  <c r="AD296" i="11" s="1"/>
  <c r="AJ730" i="1" l="1"/>
  <c r="AJ731" i="1" s="1"/>
  <c r="AJ732" i="1" s="1"/>
  <c r="AJ733" i="1" s="1"/>
  <c r="AJ734" i="1" s="1"/>
  <c r="AD11" i="11"/>
  <c r="AD12" i="11" s="1"/>
  <c r="AD13" i="11" s="1"/>
  <c r="AD14" i="11" s="1"/>
  <c r="AD15" i="11" s="1"/>
  <c r="AD16" i="11" s="1"/>
  <c r="AD17" i="11" s="1"/>
  <c r="AD18" i="11" s="1"/>
  <c r="AD19" i="11" s="1"/>
  <c r="AD20" i="11" s="1"/>
  <c r="AD21" i="11" s="1"/>
  <c r="AD22" i="11" s="1"/>
  <c r="AD23" i="11" s="1"/>
  <c r="AD24" i="11" s="1"/>
  <c r="AD25" i="11" s="1"/>
  <c r="AD26" i="11" s="1"/>
  <c r="AD27" i="11" s="1"/>
  <c r="AD28" i="11" s="1"/>
  <c r="AD29" i="11" s="1"/>
  <c r="AD30" i="11" s="1"/>
  <c r="AD31" i="11" s="1"/>
  <c r="AD32" i="11" s="1"/>
  <c r="AD33" i="11" s="1"/>
  <c r="AD34" i="11" s="1"/>
  <c r="AD35" i="11" s="1"/>
  <c r="AD36" i="11" s="1"/>
  <c r="AD37" i="11" s="1"/>
  <c r="AD38" i="11" s="1"/>
  <c r="AD39" i="11" s="1"/>
  <c r="AD40" i="11" s="1"/>
  <c r="AD41" i="11" s="1"/>
  <c r="AD42" i="11" s="1"/>
  <c r="AD43" i="11" s="1"/>
  <c r="AD44" i="11" s="1"/>
  <c r="AD45" i="11" s="1"/>
  <c r="AD46" i="11" s="1"/>
  <c r="AD47" i="11" s="1"/>
  <c r="AD48" i="11" s="1"/>
  <c r="AD49" i="11" s="1"/>
  <c r="AD50" i="11" s="1"/>
  <c r="AD51" i="11" s="1"/>
  <c r="AD52" i="11" s="1"/>
  <c r="AD53" i="11" s="1"/>
  <c r="AD54" i="11" s="1"/>
  <c r="AD55" i="11" s="1"/>
  <c r="AD56" i="11" s="1"/>
  <c r="AD57" i="11" s="1"/>
  <c r="AD58" i="11" s="1"/>
  <c r="AD59" i="11" s="1"/>
  <c r="AD60" i="11" s="1"/>
  <c r="AD61" i="11" s="1"/>
  <c r="AD62" i="11" s="1"/>
  <c r="AD63" i="11" s="1"/>
  <c r="AD64" i="11" s="1"/>
  <c r="AD65" i="11" s="1"/>
  <c r="AD66" i="11" s="1"/>
  <c r="AD67" i="11" s="1"/>
  <c r="AD68" i="11" s="1"/>
  <c r="AD69" i="11" s="1"/>
  <c r="AD70" i="11" s="1"/>
  <c r="AD71" i="11" s="1"/>
  <c r="AD72" i="11" s="1"/>
  <c r="AD73" i="11" s="1"/>
  <c r="AD74" i="11" s="1"/>
  <c r="AD75" i="11" s="1"/>
  <c r="AD76" i="11" s="1"/>
  <c r="AD77" i="11" s="1"/>
  <c r="AD78" i="11" s="1"/>
  <c r="AD79" i="11" s="1"/>
  <c r="AD80" i="11" s="1"/>
  <c r="AD81" i="11" s="1"/>
  <c r="AD82" i="11" s="1"/>
  <c r="AD83" i="11" s="1"/>
  <c r="AD84" i="11" s="1"/>
  <c r="AD85" i="11" s="1"/>
  <c r="AD86" i="11" s="1"/>
  <c r="AD87" i="11" s="1"/>
  <c r="AD88" i="11" s="1"/>
  <c r="AD89" i="11" s="1"/>
  <c r="AD90" i="11" s="1"/>
  <c r="AD91" i="11" s="1"/>
  <c r="AD92" i="11" s="1"/>
  <c r="AD93" i="11" s="1"/>
  <c r="AD94" i="11" s="1"/>
  <c r="AD95" i="11" s="1"/>
  <c r="AD96" i="11" s="1"/>
  <c r="AD97" i="11" s="1"/>
  <c r="AD98" i="11" s="1"/>
  <c r="AD99" i="11" s="1"/>
  <c r="AD100" i="11" s="1"/>
  <c r="AD101" i="11" s="1"/>
  <c r="AD102" i="11" s="1"/>
  <c r="AD103" i="11" s="1"/>
  <c r="AD104" i="11" s="1"/>
  <c r="AD105" i="11" s="1"/>
  <c r="AD106" i="11" s="1"/>
  <c r="AD107" i="11" s="1"/>
  <c r="AD108" i="11" s="1"/>
  <c r="AD109" i="11" s="1"/>
  <c r="AD110" i="11" s="1"/>
  <c r="AD111" i="11" s="1"/>
  <c r="AD112" i="11" s="1"/>
  <c r="AD113" i="11" s="1"/>
  <c r="AD114" i="11" s="1"/>
  <c r="AD115" i="11" s="1"/>
  <c r="AD116" i="11" s="1"/>
  <c r="AD117" i="11" s="1"/>
  <c r="AD118" i="11" s="1"/>
  <c r="AD119" i="11" s="1"/>
  <c r="AD120" i="11" s="1"/>
  <c r="AD121" i="11" s="1"/>
  <c r="AD122" i="11" s="1"/>
  <c r="AD123" i="11" s="1"/>
  <c r="AD124" i="11" s="1"/>
  <c r="AD125" i="11" s="1"/>
  <c r="AD126" i="11" s="1"/>
  <c r="AD127" i="11" s="1"/>
  <c r="AD128" i="11" s="1"/>
  <c r="AD129" i="11" s="1"/>
  <c r="AD130" i="11" s="1"/>
  <c r="AD131" i="11" s="1"/>
  <c r="AD132" i="11" s="1"/>
  <c r="AD133" i="11" s="1"/>
  <c r="AD134" i="11" s="1"/>
  <c r="AD135" i="11" s="1"/>
  <c r="AD136" i="11" s="1"/>
  <c r="AD137" i="11" s="1"/>
  <c r="AD138" i="11" s="1"/>
  <c r="AD139" i="11" s="1"/>
  <c r="AD140" i="11" s="1"/>
  <c r="AD141" i="11" s="1"/>
  <c r="AD142" i="11" s="1"/>
  <c r="AD143" i="11" s="1"/>
  <c r="AD144" i="11" s="1"/>
  <c r="AD145" i="11" s="1"/>
  <c r="AD146" i="11" s="1"/>
  <c r="AD147" i="11" s="1"/>
  <c r="AD148" i="11" s="1"/>
  <c r="AD149" i="11" s="1"/>
  <c r="AD150" i="11" s="1"/>
  <c r="AD151" i="11" s="1"/>
  <c r="AD152" i="11" s="1"/>
  <c r="AD153" i="11" s="1"/>
  <c r="AD154" i="11" s="1"/>
  <c r="AD155" i="11" s="1"/>
  <c r="AD156" i="11" s="1"/>
  <c r="AD157" i="11" s="1"/>
  <c r="AD158" i="11" s="1"/>
  <c r="AD159" i="11" s="1"/>
  <c r="AD160" i="11" s="1"/>
  <c r="AD161" i="11" s="1"/>
  <c r="AD162" i="11" s="1"/>
  <c r="AD163" i="11" s="1"/>
  <c r="AD164" i="11" s="1"/>
  <c r="AD165" i="11" s="1"/>
  <c r="AD166" i="11" s="1"/>
  <c r="AD167" i="11" s="1"/>
  <c r="AD168" i="11" s="1"/>
  <c r="AD169" i="11" s="1"/>
  <c r="AD170" i="11" s="1"/>
  <c r="AD171" i="11" s="1"/>
  <c r="AD172" i="11" s="1"/>
  <c r="AD173" i="11" s="1"/>
  <c r="AD174" i="11" s="1"/>
  <c r="AD175" i="11" s="1"/>
  <c r="AD176" i="11" s="1"/>
  <c r="AD177" i="11" s="1"/>
  <c r="AD178" i="11" s="1"/>
  <c r="AD179" i="11" s="1"/>
  <c r="AD180" i="11" s="1"/>
  <c r="AD181" i="11" s="1"/>
  <c r="AD182" i="11" s="1"/>
  <c r="AD183" i="11" s="1"/>
  <c r="AD184" i="11" s="1"/>
  <c r="AD185" i="11" s="1"/>
  <c r="AD186" i="11" s="1"/>
  <c r="AD187" i="11" s="1"/>
  <c r="AD188" i="11" s="1"/>
  <c r="AD189" i="11" s="1"/>
  <c r="AD190" i="11" s="1"/>
  <c r="AD191" i="11" s="1"/>
  <c r="AD192" i="11" s="1"/>
  <c r="AD193" i="11" s="1"/>
  <c r="AD194" i="11" s="1"/>
  <c r="AD195" i="11" s="1"/>
  <c r="AD196" i="11" s="1"/>
  <c r="AD197" i="11" s="1"/>
  <c r="AD198" i="11" s="1"/>
  <c r="AD199" i="11" s="1"/>
  <c r="AD200" i="11" s="1"/>
  <c r="AD201" i="11" s="1"/>
  <c r="AD202" i="11" s="1"/>
  <c r="AD203" i="11" s="1"/>
  <c r="AD204" i="11" s="1"/>
  <c r="AD205" i="11" s="1"/>
  <c r="AD206" i="11" s="1"/>
  <c r="AD207" i="11" s="1"/>
  <c r="AD208" i="11" s="1"/>
  <c r="AD209" i="11" s="1"/>
  <c r="AD210" i="11" s="1"/>
  <c r="AD211" i="11" s="1"/>
  <c r="AD212" i="11" s="1"/>
  <c r="AD213" i="11" s="1"/>
  <c r="AD214" i="11" s="1"/>
  <c r="AD215" i="11" s="1"/>
  <c r="AD216" i="11" s="1"/>
  <c r="AD217" i="11" s="1"/>
  <c r="AD218" i="11" s="1"/>
  <c r="AD219" i="11" s="1"/>
  <c r="AD220" i="11" s="1"/>
  <c r="AD221" i="11" s="1"/>
  <c r="AD222" i="11" s="1"/>
  <c r="AD223" i="11" s="1"/>
  <c r="AD224" i="11" s="1"/>
  <c r="AD225" i="11" s="1"/>
  <c r="AD226" i="11" s="1"/>
  <c r="AD227" i="11" s="1"/>
  <c r="AD228" i="11" s="1"/>
  <c r="AD229" i="11" s="1"/>
  <c r="AD230" i="11" s="1"/>
  <c r="AD231" i="11" s="1"/>
  <c r="AD232" i="11" s="1"/>
  <c r="AD233" i="11" s="1"/>
  <c r="AJ735" i="1" l="1"/>
  <c r="AJ736" i="1" s="1"/>
  <c r="AJ737" i="1" s="1"/>
  <c r="AJ738" i="1" s="1"/>
  <c r="AJ739" i="1" s="1"/>
  <c r="AJ740" i="1" s="1"/>
  <c r="AJ741" i="1" s="1"/>
  <c r="AJ742" i="1" s="1"/>
  <c r="AJ743" i="1" s="1"/>
  <c r="AJ744" i="1" s="1"/>
  <c r="AJ745" i="1" s="1"/>
  <c r="AJ746" i="1" s="1"/>
  <c r="AJ747" i="1" s="1"/>
  <c r="AJ748" i="1" s="1"/>
  <c r="AJ749" i="1" s="1"/>
  <c r="AJ750" i="1" s="1"/>
  <c r="AJ751" i="1" s="1"/>
  <c r="AJ752" i="1" s="1"/>
  <c r="AJ753" i="1" s="1"/>
  <c r="AJ754" i="1" s="1"/>
  <c r="AJ755" i="1" s="1"/>
  <c r="AJ756" i="1" s="1"/>
  <c r="AJ757" i="1" s="1"/>
  <c r="AJ758" i="1" s="1"/>
  <c r="AJ759" i="1" s="1"/>
  <c r="AJ760" i="1" s="1"/>
  <c r="AJ761" i="1" s="1"/>
  <c r="AJ762" i="1" s="1"/>
  <c r="AD235" i="11"/>
  <c r="AD237" i="11" s="1"/>
  <c r="AD238" i="11" s="1"/>
  <c r="AD239" i="11" s="1"/>
  <c r="AD240" i="11" s="1"/>
  <c r="AD241" i="11" s="1"/>
  <c r="AD234" i="11"/>
  <c r="AD236" i="11" s="1"/>
  <c r="AJ763" i="1" l="1"/>
  <c r="AJ764" i="1" s="1"/>
  <c r="AJ765" i="1" s="1"/>
  <c r="AJ766" i="1"/>
</calcChain>
</file>

<file path=xl/comments1.xml><?xml version="1.0" encoding="utf-8"?>
<comments xmlns="http://schemas.openxmlformats.org/spreadsheetml/2006/main">
  <authors>
    <author>Fu Song</author>
  </authors>
  <commentList>
    <comment ref="C2" authorId="0" shapeId="0">
      <text>
        <r>
          <rPr>
            <b/>
            <sz val="9"/>
            <color indexed="81"/>
            <rFont val="宋体"/>
            <family val="3"/>
            <charset val="134"/>
          </rPr>
          <t>Fu Song:gained or consumed怎么理解？</t>
        </r>
      </text>
    </comment>
  </commentList>
</comments>
</file>

<file path=xl/comments2.xml><?xml version="1.0" encoding="utf-8"?>
<comments xmlns="http://schemas.openxmlformats.org/spreadsheetml/2006/main">
  <authors>
    <author>Fu Song</author>
  </authors>
  <commentList>
    <comment ref="C4" authorId="0" shapeId="0">
      <text>
        <r>
          <rPr>
            <b/>
            <sz val="9"/>
            <color indexed="81"/>
            <rFont val="宋体"/>
            <family val="3"/>
            <charset val="134"/>
          </rPr>
          <t>Fu Song:</t>
        </r>
        <r>
          <rPr>
            <sz val="9"/>
            <color indexed="81"/>
            <rFont val="宋体"/>
            <family val="3"/>
            <charset val="134"/>
          </rPr>
          <t xml:space="preserve">
整10级别时的经验需求有大幅度的飞跃，很不平滑，这么设计的原因和好处是什么？</t>
        </r>
      </text>
    </comment>
  </commentList>
</comments>
</file>

<file path=xl/sharedStrings.xml><?xml version="1.0" encoding="utf-8"?>
<sst xmlns="http://schemas.openxmlformats.org/spreadsheetml/2006/main" count="8285" uniqueCount="2062">
  <si>
    <t>Stone</t>
    <phoneticPr fontId="1" type="noConversion"/>
  </si>
  <si>
    <t>Wood</t>
    <phoneticPr fontId="1" type="noConversion"/>
  </si>
  <si>
    <t>Ore</t>
    <phoneticPr fontId="1" type="noConversion"/>
  </si>
  <si>
    <t>Food</t>
    <phoneticPr fontId="1" type="noConversion"/>
  </si>
  <si>
    <t>Silver</t>
    <phoneticPr fontId="1" type="noConversion"/>
  </si>
  <si>
    <t>Gold</t>
    <phoneticPr fontId="1" type="noConversion"/>
  </si>
  <si>
    <t>Starter Kit</t>
    <phoneticPr fontId="1" type="noConversion"/>
  </si>
  <si>
    <t>Cost($)</t>
    <phoneticPr fontId="1" type="noConversion"/>
  </si>
  <si>
    <t>Random Teleport</t>
    <phoneticPr fontId="1" type="noConversion"/>
  </si>
  <si>
    <t>15 Min</t>
    <phoneticPr fontId="1" type="noConversion"/>
  </si>
  <si>
    <t>60 Min</t>
    <phoneticPr fontId="1" type="noConversion"/>
  </si>
  <si>
    <t xml:space="preserve">Wood </t>
    <phoneticPr fontId="1" type="noConversion"/>
  </si>
  <si>
    <t>Instant Build Cost (Gold)</t>
    <phoneticPr fontId="1" type="noConversion"/>
  </si>
  <si>
    <t>7 days</t>
    <phoneticPr fontId="1" type="noConversion"/>
  </si>
  <si>
    <t>Rewards of the Quest to build this Construction</t>
    <phoneticPr fontId="1" type="noConversion"/>
  </si>
  <si>
    <t>Resource Capacity</t>
    <phoneticPr fontId="1" type="noConversion"/>
  </si>
  <si>
    <t>Farm 1</t>
    <phoneticPr fontId="1" type="noConversion"/>
  </si>
  <si>
    <t>Stronghold Lv.</t>
  </si>
  <si>
    <t>Stronghold 2</t>
  </si>
  <si>
    <t>Stronghold 1</t>
  </si>
  <si>
    <t>Level</t>
    <phoneticPr fontId="1" type="noConversion"/>
  </si>
  <si>
    <t>Hospital 1</t>
    <phoneticPr fontId="1" type="noConversion"/>
  </si>
  <si>
    <t>Upkeep</t>
    <phoneticPr fontId="1" type="noConversion"/>
  </si>
  <si>
    <t>Storehouse 1</t>
    <phoneticPr fontId="1" type="noConversion"/>
  </si>
  <si>
    <t>Watchtower 1</t>
    <phoneticPr fontId="1" type="noConversion"/>
  </si>
  <si>
    <t>—</t>
    <phoneticPr fontId="1" type="noConversion"/>
  </si>
  <si>
    <t>Logging Camp 1</t>
    <phoneticPr fontId="1" type="noConversion"/>
  </si>
  <si>
    <t>Power</t>
    <phoneticPr fontId="1" type="noConversion"/>
  </si>
  <si>
    <t>Hero XP</t>
    <phoneticPr fontId="1" type="noConversion"/>
  </si>
  <si>
    <t>Resource Output (Unit/Hour)</t>
    <phoneticPr fontId="1" type="noConversion"/>
  </si>
  <si>
    <t>Farm 2</t>
    <phoneticPr fontId="1" type="noConversion"/>
  </si>
  <si>
    <t>Farm 3</t>
  </si>
  <si>
    <t>Farm 4</t>
  </si>
  <si>
    <t>Farm 5</t>
  </si>
  <si>
    <t>Farm 6</t>
  </si>
  <si>
    <t>Farm 7</t>
  </si>
  <si>
    <t>Farm 8</t>
  </si>
  <si>
    <t>Farm 9</t>
  </si>
  <si>
    <t>Farm 10</t>
  </si>
  <si>
    <t>Farm 11</t>
  </si>
  <si>
    <t>Farm 12</t>
  </si>
  <si>
    <t>Farm 13</t>
  </si>
  <si>
    <t>Farm 14</t>
  </si>
  <si>
    <t>Farm 15</t>
  </si>
  <si>
    <t>Farm 16</t>
  </si>
  <si>
    <t>Farm 17</t>
  </si>
  <si>
    <t>Farm 18</t>
  </si>
  <si>
    <t>Farm 19</t>
  </si>
  <si>
    <t>Farm 20</t>
  </si>
  <si>
    <t>Farm 21</t>
  </si>
  <si>
    <t>Academy 1</t>
    <phoneticPr fontId="1" type="noConversion"/>
  </si>
  <si>
    <t>Scouting 1</t>
    <phoneticPr fontId="1" type="noConversion"/>
  </si>
  <si>
    <t>Research Time</t>
    <phoneticPr fontId="1" type="noConversion"/>
  </si>
  <si>
    <t>Prepositive Constructions</t>
    <phoneticPr fontId="1" type="noConversion"/>
  </si>
  <si>
    <t>Prepositive Researches</t>
    <phoneticPr fontId="1" type="noConversion"/>
  </si>
  <si>
    <t>Academy 1</t>
    <phoneticPr fontId="1" type="noConversion"/>
  </si>
  <si>
    <t>Research Reward</t>
    <phoneticPr fontId="1" type="noConversion"/>
  </si>
  <si>
    <t>Hero XP</t>
    <phoneticPr fontId="1" type="noConversion"/>
  </si>
  <si>
    <t>Power</t>
    <phoneticPr fontId="1" type="noConversion"/>
  </si>
  <si>
    <t>Research Effect</t>
    <phoneticPr fontId="1" type="noConversion"/>
  </si>
  <si>
    <t>Research Name and Level</t>
    <phoneticPr fontId="1" type="noConversion"/>
  </si>
  <si>
    <t>Construction Name and Level</t>
    <phoneticPr fontId="1" type="noConversion"/>
  </si>
  <si>
    <t>Construction Reward</t>
    <phoneticPr fontId="1" type="noConversion"/>
  </si>
  <si>
    <t>Barracks 1</t>
    <phoneticPr fontId="1" type="noConversion"/>
  </si>
  <si>
    <t>Swordsmen</t>
    <phoneticPr fontId="1" type="noConversion"/>
  </si>
  <si>
    <t>Tier</t>
    <phoneticPr fontId="1" type="noConversion"/>
  </si>
  <si>
    <t>Infantry</t>
    <phoneticPr fontId="1" type="noConversion"/>
  </si>
  <si>
    <t>Strong vs</t>
    <phoneticPr fontId="1" type="noConversion"/>
  </si>
  <si>
    <t>Cavalry</t>
    <phoneticPr fontId="1" type="noConversion"/>
  </si>
  <si>
    <t>Siege</t>
    <phoneticPr fontId="1" type="noConversion"/>
  </si>
  <si>
    <t>Weak vs</t>
    <phoneticPr fontId="1" type="noConversion"/>
  </si>
  <si>
    <t>Ranged</t>
    <phoneticPr fontId="1" type="noConversion"/>
  </si>
  <si>
    <t>Defenses</t>
    <phoneticPr fontId="1" type="noConversion"/>
  </si>
  <si>
    <t>Type</t>
    <phoneticPr fontId="1" type="noConversion"/>
  </si>
  <si>
    <t>Construction Time</t>
    <phoneticPr fontId="1" type="noConversion"/>
  </si>
  <si>
    <t>Instant Research Cost (Gold)</t>
    <phoneticPr fontId="1" type="noConversion"/>
  </si>
  <si>
    <t>Attack</t>
  </si>
  <si>
    <t>Defense</t>
  </si>
  <si>
    <t>Health</t>
  </si>
  <si>
    <t>Speed</t>
  </si>
  <si>
    <t>Construction Resource Cost</t>
    <phoneticPr fontId="1" type="noConversion"/>
  </si>
  <si>
    <t>Research Research Cost</t>
    <phoneticPr fontId="1" type="noConversion"/>
  </si>
  <si>
    <t>Total Resource Cost - Simulation Data</t>
    <phoneticPr fontId="1" type="noConversion"/>
  </si>
  <si>
    <t xml:space="preserve">Simulation Factor : </t>
    <phoneticPr fontId="1" type="noConversion"/>
  </si>
  <si>
    <t>Troop Name</t>
    <phoneticPr fontId="1" type="noConversion"/>
  </si>
  <si>
    <t>Training Time</t>
    <phoneticPr fontId="1" type="noConversion"/>
  </si>
  <si>
    <t>Instant Train Cost (Gold)</t>
    <phoneticPr fontId="1" type="noConversion"/>
  </si>
  <si>
    <t>Training Resource Cost</t>
    <phoneticPr fontId="1" type="noConversion"/>
  </si>
  <si>
    <t>Combat Attributes - Stars</t>
    <phoneticPr fontId="1" type="noConversion"/>
  </si>
  <si>
    <t>Combat Attributes - Simulation Data</t>
    <phoneticPr fontId="1" type="noConversion"/>
  </si>
  <si>
    <t>Load</t>
    <phoneticPr fontId="1" type="noConversion"/>
  </si>
  <si>
    <t>Slingers</t>
    <phoneticPr fontId="1" type="noConversion"/>
  </si>
  <si>
    <t>Outriders</t>
    <phoneticPr fontId="1" type="noConversion"/>
  </si>
  <si>
    <t>Battering Ram</t>
    <phoneticPr fontId="1" type="noConversion"/>
  </si>
  <si>
    <t>Defense</t>
    <phoneticPr fontId="1" type="noConversion"/>
  </si>
  <si>
    <t>Hoplites</t>
    <phoneticPr fontId="1" type="noConversion"/>
  </si>
  <si>
    <t>Skirmish Archers</t>
    <phoneticPr fontId="1" type="noConversion"/>
  </si>
  <si>
    <t>Light Cavalry</t>
    <phoneticPr fontId="1" type="noConversion"/>
  </si>
  <si>
    <t>Ballista</t>
    <phoneticPr fontId="1" type="noConversion"/>
  </si>
  <si>
    <t>Armored Pikemen</t>
    <phoneticPr fontId="1" type="noConversion"/>
  </si>
  <si>
    <t>Guardians</t>
    <phoneticPr fontId="1" type="noConversion"/>
  </si>
  <si>
    <t>Companion Cavalry</t>
    <phoneticPr fontId="1" type="noConversion"/>
  </si>
  <si>
    <t>Siege Tower</t>
    <phoneticPr fontId="1" type="noConversion"/>
  </si>
  <si>
    <t>Immortals</t>
    <phoneticPr fontId="1" type="noConversion"/>
  </si>
  <si>
    <t>Marksmen</t>
    <phoneticPr fontId="1" type="noConversion"/>
  </si>
  <si>
    <t>War Elephant</t>
    <phoneticPr fontId="1" type="noConversion"/>
  </si>
  <si>
    <t>Onager</t>
    <phoneticPr fontId="1" type="noConversion"/>
  </si>
  <si>
    <t>Tier 1</t>
    <phoneticPr fontId="1" type="noConversion"/>
  </si>
  <si>
    <t>Simulation Value</t>
    <phoneticPr fontId="1" type="noConversion"/>
  </si>
  <si>
    <t>Ratio</t>
    <phoneticPr fontId="1" type="noConversion"/>
  </si>
  <si>
    <t>Tier 2</t>
    <phoneticPr fontId="1" type="noConversion"/>
  </si>
  <si>
    <t>Tier 3</t>
    <phoneticPr fontId="1" type="noConversion"/>
  </si>
  <si>
    <t>Tier 4</t>
    <phoneticPr fontId="1" type="noConversion"/>
  </si>
  <si>
    <t>Power</t>
    <phoneticPr fontId="1" type="noConversion"/>
  </si>
  <si>
    <t>Overall Combat Capability</t>
  </si>
  <si>
    <t>Overall Combat Capability / Resource Cost</t>
  </si>
  <si>
    <t>Overall Combat Capability / Training Time</t>
  </si>
  <si>
    <t>Overall Combat Capability / Upkeep</t>
  </si>
  <si>
    <t>Power / Resource Cost</t>
  </si>
  <si>
    <t>Power / Training Time</t>
  </si>
  <si>
    <t>Power / Upkeep</t>
  </si>
  <si>
    <t>Hero Skills</t>
    <phoneticPr fontId="1" type="noConversion"/>
  </si>
  <si>
    <t>Food Production</t>
    <phoneticPr fontId="1" type="noConversion"/>
  </si>
  <si>
    <t>Stronghold Lv.</t>
    <phoneticPr fontId="1" type="noConversion"/>
  </si>
  <si>
    <t>Upper Limit of Daily Funds and Loyalty</t>
    <phoneticPr fontId="1" type="noConversion"/>
  </si>
  <si>
    <t>Storehouse 2</t>
    <phoneticPr fontId="1" type="noConversion"/>
  </si>
  <si>
    <t>Stronghold 2</t>
    <phoneticPr fontId="1" type="noConversion"/>
  </si>
  <si>
    <t>Storehouse 3</t>
    <phoneticPr fontId="1" type="noConversion"/>
  </si>
  <si>
    <t>Stronghold 3</t>
    <phoneticPr fontId="1" type="noConversion"/>
  </si>
  <si>
    <t>Storehouse 4</t>
    <phoneticPr fontId="1" type="noConversion"/>
  </si>
  <si>
    <t>Stronghold 4</t>
    <phoneticPr fontId="1" type="noConversion"/>
  </si>
  <si>
    <t>Stronghold 1</t>
    <phoneticPr fontId="1" type="noConversion"/>
  </si>
  <si>
    <t>Construction 1</t>
    <phoneticPr fontId="1" type="noConversion"/>
  </si>
  <si>
    <t>Academy 1</t>
    <phoneticPr fontId="1" type="noConversion"/>
  </si>
  <si>
    <t>Stone</t>
  </si>
  <si>
    <t>Wood</t>
  </si>
  <si>
    <t>Ore</t>
  </si>
  <si>
    <t>Food</t>
  </si>
  <si>
    <t>at Will</t>
  </si>
  <si>
    <t>Construction Recommended</t>
  </si>
  <si>
    <t>Research Recommended</t>
  </si>
  <si>
    <t>Training Recommended</t>
  </si>
  <si>
    <t>Construction at Will</t>
  </si>
  <si>
    <t>Quest</t>
  </si>
  <si>
    <t>Construction</t>
  </si>
  <si>
    <t>Gift</t>
  </si>
  <si>
    <t>Research</t>
  </si>
  <si>
    <t>Hero Level Up</t>
  </si>
  <si>
    <t>Casino</t>
  </si>
  <si>
    <t>by Quest</t>
  </si>
  <si>
    <t>Special</t>
  </si>
  <si>
    <t>Online Reward</t>
  </si>
  <si>
    <t>Stronghold upgrade Chest</t>
  </si>
  <si>
    <t>Initially Completed</t>
  </si>
  <si>
    <t>Swordsmen</t>
  </si>
  <si>
    <t>Slingers</t>
  </si>
  <si>
    <t>Outriders</t>
  </si>
  <si>
    <t>Battering Ram</t>
  </si>
  <si>
    <t>Hoplites</t>
  </si>
  <si>
    <t>Skirmish Archers</t>
  </si>
  <si>
    <t>Light Cavalry</t>
  </si>
  <si>
    <t>Ballista</t>
  </si>
  <si>
    <t>Armored Pikemen</t>
  </si>
  <si>
    <t>Guardians</t>
  </si>
  <si>
    <t>Companion Cavalry</t>
  </si>
  <si>
    <t>Siege Tower</t>
  </si>
  <si>
    <t>Immortals</t>
  </si>
  <si>
    <t>Marksmen</t>
  </si>
  <si>
    <t>War Elephant</t>
  </si>
  <si>
    <t>Onager</t>
  </si>
  <si>
    <t>Research at Will</t>
  </si>
  <si>
    <t>Level_Up</t>
  </si>
  <si>
    <t>Stronghold upgrade Event</t>
  </si>
  <si>
    <t>VIP</t>
    <phoneticPr fontId="1" type="noConversion"/>
  </si>
  <si>
    <t>Quarry 1</t>
    <phoneticPr fontId="1" type="noConversion"/>
  </si>
  <si>
    <t>Mine 1</t>
    <phoneticPr fontId="1" type="noConversion"/>
  </si>
  <si>
    <t>Villa 1</t>
    <phoneticPr fontId="1" type="noConversion"/>
  </si>
  <si>
    <t>Logging Camp 1</t>
    <phoneticPr fontId="1" type="noConversion"/>
  </si>
  <si>
    <t>Farm 1</t>
    <phoneticPr fontId="1" type="noConversion"/>
  </si>
  <si>
    <t>Food Production 1</t>
    <phoneticPr fontId="1" type="noConversion"/>
  </si>
  <si>
    <t>Construction 1</t>
    <phoneticPr fontId="1" type="noConversion"/>
  </si>
  <si>
    <t>Forge 1</t>
    <phoneticPr fontId="1" type="noConversion"/>
  </si>
  <si>
    <t>Increase Production</t>
  </si>
  <si>
    <t>Stone Production 1</t>
    <phoneticPr fontId="1" type="noConversion"/>
  </si>
  <si>
    <t>Food Production 1</t>
    <phoneticPr fontId="1" type="noConversion"/>
  </si>
  <si>
    <t>Villa 2</t>
    <phoneticPr fontId="1" type="noConversion"/>
  </si>
  <si>
    <t>Logging Camp 1</t>
    <phoneticPr fontId="1" type="noConversion"/>
  </si>
  <si>
    <t>Farm 1</t>
    <phoneticPr fontId="1" type="noConversion"/>
  </si>
  <si>
    <t>Amount</t>
    <phoneticPr fontId="1" type="noConversion"/>
  </si>
  <si>
    <t>Building Completion Improvements</t>
    <phoneticPr fontId="1" type="noConversion"/>
  </si>
  <si>
    <t>Improvement Type</t>
    <phoneticPr fontId="1" type="noConversion"/>
  </si>
  <si>
    <t>Gift Level</t>
    <phoneticPr fontId="1" type="noConversion"/>
  </si>
  <si>
    <t>Gift Points to the Next Level</t>
    <phoneticPr fontId="1" type="noConversion"/>
  </si>
  <si>
    <t>Help Time</t>
    <phoneticPr fontId="1" type="noConversion"/>
  </si>
  <si>
    <t>Free Time</t>
    <phoneticPr fontId="1" type="noConversion"/>
  </si>
  <si>
    <t>Alliance</t>
  </si>
  <si>
    <t>Alliance Gift</t>
  </si>
  <si>
    <t>Logging Camp 2</t>
    <phoneticPr fontId="1" type="noConversion"/>
  </si>
  <si>
    <t>Prepositive Skills</t>
    <phoneticPr fontId="1" type="noConversion"/>
  </si>
  <si>
    <t>Stone Production</t>
    <phoneticPr fontId="1" type="noConversion"/>
  </si>
  <si>
    <t>Food Production 3</t>
    <phoneticPr fontId="1" type="noConversion"/>
  </si>
  <si>
    <t>Troop Training</t>
    <phoneticPr fontId="1" type="noConversion"/>
  </si>
  <si>
    <t>Troop Attack</t>
    <phoneticPr fontId="1" type="noConversion"/>
  </si>
  <si>
    <t>Troop Attack 3</t>
    <phoneticPr fontId="1" type="noConversion"/>
  </si>
  <si>
    <t>Wood Production</t>
    <phoneticPr fontId="1" type="noConversion"/>
  </si>
  <si>
    <t>Stone Production 3</t>
    <phoneticPr fontId="1" type="noConversion"/>
  </si>
  <si>
    <t>Trap Building 1</t>
    <phoneticPr fontId="1" type="noConversion"/>
  </si>
  <si>
    <t>Research Category</t>
    <phoneticPr fontId="1" type="noConversion"/>
  </si>
  <si>
    <t>Combat</t>
    <phoneticPr fontId="1" type="noConversion"/>
  </si>
  <si>
    <t>Wall Traps</t>
    <phoneticPr fontId="1" type="noConversion"/>
  </si>
  <si>
    <t>Economics</t>
    <phoneticPr fontId="1" type="noConversion"/>
  </si>
  <si>
    <t>Quarry 2</t>
    <phoneticPr fontId="1" type="noConversion"/>
  </si>
  <si>
    <t>Mine 2</t>
    <phoneticPr fontId="1" type="noConversion"/>
  </si>
  <si>
    <t>Villa 3</t>
  </si>
  <si>
    <t>Villa 4</t>
  </si>
  <si>
    <t>Villa 5</t>
  </si>
  <si>
    <t>Villa 6</t>
  </si>
  <si>
    <t>Villa 7</t>
  </si>
  <si>
    <t>Villa 8</t>
  </si>
  <si>
    <t>Villa 9</t>
  </si>
  <si>
    <t>Villa 10</t>
  </si>
  <si>
    <t>Villa 11</t>
  </si>
  <si>
    <t>Villa 12</t>
  </si>
  <si>
    <t>Villa 13</t>
  </si>
  <si>
    <t>Villa 14</t>
  </si>
  <si>
    <t>Villa 15</t>
  </si>
  <si>
    <t>Villa 16</t>
  </si>
  <si>
    <t>Villa 17</t>
  </si>
  <si>
    <t>Villa 18</t>
  </si>
  <si>
    <t>Villa 19</t>
  </si>
  <si>
    <t>Villa 20</t>
  </si>
  <si>
    <t>Villa 21</t>
  </si>
  <si>
    <t>Troop Attack</t>
    <phoneticPr fontId="1" type="noConversion"/>
  </si>
  <si>
    <t>Alliance Help Max</t>
  </si>
  <si>
    <t>Training Speed</t>
  </si>
  <si>
    <t>Troop Queue</t>
  </si>
  <si>
    <t>Research Speed</t>
  </si>
  <si>
    <t>Crafting Speed</t>
  </si>
  <si>
    <t>Barracks 2</t>
  </si>
  <si>
    <t>Barracks 3</t>
  </si>
  <si>
    <t>Barracks 4</t>
  </si>
  <si>
    <t>Barracks 5</t>
  </si>
  <si>
    <t>Barracks 6</t>
  </si>
  <si>
    <t>Barracks 7</t>
  </si>
  <si>
    <t>Barracks 8</t>
  </si>
  <si>
    <t>Barracks 9</t>
  </si>
  <si>
    <t>Barracks 10</t>
  </si>
  <si>
    <t>Barracks 11</t>
  </si>
  <si>
    <t>Barracks 12</t>
  </si>
  <si>
    <t>Barracks 13</t>
  </si>
  <si>
    <t>Barracks 14</t>
  </si>
  <si>
    <t>Barracks 15</t>
  </si>
  <si>
    <t>Barracks 16</t>
  </si>
  <si>
    <t>Barracks 17</t>
  </si>
  <si>
    <t>Barracks 18</t>
  </si>
  <si>
    <t>Barracks 19</t>
  </si>
  <si>
    <t>Barracks 20</t>
  </si>
  <si>
    <t>Barracks 21</t>
  </si>
  <si>
    <t>Hospital 2</t>
  </si>
  <si>
    <t>Hospital 3</t>
  </si>
  <si>
    <t>Hospital 4</t>
  </si>
  <si>
    <t>Hospital 5</t>
  </si>
  <si>
    <t>Hospital 6</t>
  </si>
  <si>
    <t>Hospital 7</t>
  </si>
  <si>
    <t>Hospital 8</t>
  </si>
  <si>
    <t>Hospital 9</t>
  </si>
  <si>
    <t>Hospital 10</t>
  </si>
  <si>
    <t>Hospital 11</t>
  </si>
  <si>
    <t>Hospital 12</t>
  </si>
  <si>
    <t>Hospital 13</t>
  </si>
  <si>
    <t>Hospital 14</t>
  </si>
  <si>
    <t>Hospital 15</t>
  </si>
  <si>
    <t>Hospital 16</t>
  </si>
  <si>
    <t>Hospital 17</t>
  </si>
  <si>
    <t>Hospital 18</t>
  </si>
  <si>
    <t>Hospital 19</t>
  </si>
  <si>
    <t>Hospital 20</t>
  </si>
  <si>
    <t>Hospital 21</t>
  </si>
  <si>
    <t>Ore Production 1</t>
    <phoneticPr fontId="1" type="noConversion"/>
  </si>
  <si>
    <t>Effect Type</t>
    <phoneticPr fontId="1" type="noConversion"/>
  </si>
  <si>
    <t>Construction Speed</t>
    <phoneticPr fontId="1" type="noConversion"/>
  </si>
  <si>
    <t>Ore Production</t>
    <phoneticPr fontId="1" type="noConversion"/>
  </si>
  <si>
    <t>Troop Defense</t>
    <phoneticPr fontId="1" type="noConversion"/>
  </si>
  <si>
    <t>Quarry 2</t>
    <phoneticPr fontId="1" type="noConversion"/>
  </si>
  <si>
    <t>—</t>
    <phoneticPr fontId="1" type="noConversion"/>
  </si>
  <si>
    <t>Wood Production 1</t>
    <phoneticPr fontId="1" type="noConversion"/>
  </si>
  <si>
    <t>Wood Production</t>
    <phoneticPr fontId="1" type="noConversion"/>
  </si>
  <si>
    <t>Food Production 2</t>
  </si>
  <si>
    <t>Food Production 3</t>
  </si>
  <si>
    <t>Food Production 4</t>
  </si>
  <si>
    <t>Food Production 5</t>
  </si>
  <si>
    <t>Food Production 6</t>
  </si>
  <si>
    <t>Food Production 7</t>
  </si>
  <si>
    <t>Food Production 8</t>
  </si>
  <si>
    <t>Food Production 9</t>
  </si>
  <si>
    <t>Food Production 10</t>
  </si>
  <si>
    <t>Stone Production 2</t>
  </si>
  <si>
    <t>Stone Production 3</t>
  </si>
  <si>
    <t>Stone Production 4</t>
  </si>
  <si>
    <t>Stone Production 5</t>
  </si>
  <si>
    <t>Stone Production 6</t>
  </si>
  <si>
    <t>Stone Production 7</t>
  </si>
  <si>
    <t>Stone Production 8</t>
  </si>
  <si>
    <t>Stone Production 9</t>
  </si>
  <si>
    <t>Stone Production 10</t>
  </si>
  <si>
    <t>Ore Production 2</t>
  </si>
  <si>
    <t>Ore Production 3</t>
  </si>
  <si>
    <t>Ore Production 4</t>
  </si>
  <si>
    <t>Ore Production 5</t>
  </si>
  <si>
    <t>Ore Production 6</t>
  </si>
  <si>
    <t>Ore Production 7</t>
  </si>
  <si>
    <t>Ore Production 8</t>
  </si>
  <si>
    <t>Ore Production 9</t>
  </si>
  <si>
    <t>Ore Production 10</t>
  </si>
  <si>
    <t>Wood Production 2</t>
  </si>
  <si>
    <t>Wood Production 3</t>
  </si>
  <si>
    <t>Wood Production 4</t>
  </si>
  <si>
    <t>Wood Production 5</t>
  </si>
  <si>
    <t>Wood Production 6</t>
  </si>
  <si>
    <t>Wood Production 7</t>
  </si>
  <si>
    <t>Wood Production 8</t>
  </si>
  <si>
    <t>Wood Production 9</t>
  </si>
  <si>
    <t>Wood Production 10</t>
  </si>
  <si>
    <t>Watchtower 2</t>
  </si>
  <si>
    <t>Watchtower 3</t>
  </si>
  <si>
    <t>Watchtower 4</t>
  </si>
  <si>
    <t>Watchtower 5</t>
  </si>
  <si>
    <t>Watchtower 6</t>
  </si>
  <si>
    <t>Watchtower 7</t>
  </si>
  <si>
    <t>Watchtower 8</t>
  </si>
  <si>
    <t>Watchtower 9</t>
  </si>
  <si>
    <t>Watchtower 10</t>
  </si>
  <si>
    <t>Watchtower 11</t>
  </si>
  <si>
    <t>Watchtower 12</t>
  </si>
  <si>
    <t>Watchtower 13</t>
  </si>
  <si>
    <t>Watchtower 14</t>
  </si>
  <si>
    <t>Watchtower 15</t>
  </si>
  <si>
    <t>Watchtower 16</t>
  </si>
  <si>
    <t>Watchtower 17</t>
  </si>
  <si>
    <t>Watchtower 18</t>
  </si>
  <si>
    <t>Watchtower 19</t>
  </si>
  <si>
    <t>Watchtower 20</t>
  </si>
  <si>
    <t>Watchtower 21</t>
  </si>
  <si>
    <t>Barracks 2</t>
    <phoneticPr fontId="1" type="noConversion"/>
  </si>
  <si>
    <t>Scout Bonus Cost</t>
    <phoneticPr fontId="1" type="noConversion"/>
  </si>
  <si>
    <t>Academy 2</t>
  </si>
  <si>
    <t>Academy 3</t>
  </si>
  <si>
    <t>Academy 4</t>
  </si>
  <si>
    <t>Academy 5</t>
  </si>
  <si>
    <t>Academy 6</t>
  </si>
  <si>
    <t>Academy 7</t>
  </si>
  <si>
    <t>Academy 8</t>
  </si>
  <si>
    <t>Academy 9</t>
  </si>
  <si>
    <t>Academy 10</t>
  </si>
  <si>
    <t>Academy 11</t>
  </si>
  <si>
    <t>Academy 12</t>
  </si>
  <si>
    <t>Academy 13</t>
  </si>
  <si>
    <t>Academy 14</t>
  </si>
  <si>
    <t>Academy 15</t>
  </si>
  <si>
    <t>Academy 16</t>
  </si>
  <si>
    <t>Academy 17</t>
  </si>
  <si>
    <t>Academy 18</t>
  </si>
  <si>
    <t>Academy 19</t>
  </si>
  <si>
    <t>Academy 20</t>
  </si>
  <si>
    <t>Academy 21</t>
  </si>
  <si>
    <t>Stronghold 2</t>
    <phoneticPr fontId="1" type="noConversion"/>
  </si>
  <si>
    <t>Academy 2</t>
    <phoneticPr fontId="1" type="noConversion"/>
  </si>
  <si>
    <t>Stronghold 1</t>
    <phoneticPr fontId="1" type="noConversion"/>
  </si>
  <si>
    <t>Stronghold 3</t>
  </si>
  <si>
    <t>Deconstruct</t>
  </si>
  <si>
    <t>Hospital Capacity</t>
    <phoneticPr fontId="1" type="noConversion"/>
  </si>
  <si>
    <t>Troop Health</t>
    <phoneticPr fontId="1" type="noConversion"/>
  </si>
  <si>
    <t>Training Speed 1</t>
    <phoneticPr fontId="1" type="noConversion"/>
  </si>
  <si>
    <t>Scouting 1</t>
    <phoneticPr fontId="1" type="noConversion"/>
  </si>
  <si>
    <t>Scouting 2</t>
  </si>
  <si>
    <t>Scouting 3</t>
  </si>
  <si>
    <t>Scouting 4</t>
  </si>
  <si>
    <t>Scouting 5</t>
  </si>
  <si>
    <t>Scouting 6</t>
  </si>
  <si>
    <t>Scouting 7</t>
  </si>
  <si>
    <t>Scouting 8</t>
  </si>
  <si>
    <t>Scouting 9</t>
  </si>
  <si>
    <t>Scouting 10</t>
  </si>
  <si>
    <t>Scouting Level</t>
    <phoneticPr fontId="1" type="noConversion"/>
  </si>
  <si>
    <t>Troop Training Speed</t>
    <phoneticPr fontId="1" type="noConversion"/>
  </si>
  <si>
    <t>Trap Training Speed</t>
    <phoneticPr fontId="1" type="noConversion"/>
  </si>
  <si>
    <t>Forge 2</t>
  </si>
  <si>
    <t>Forge 3</t>
  </si>
  <si>
    <t>Forge 4</t>
  </si>
  <si>
    <t>Forge 5</t>
  </si>
  <si>
    <t>Forge 6</t>
  </si>
  <si>
    <t>Forge 7</t>
  </si>
  <si>
    <t>Forge 8</t>
  </si>
  <si>
    <t>Forge 9</t>
  </si>
  <si>
    <t>Forge 10</t>
  </si>
  <si>
    <t>Forge 11</t>
  </si>
  <si>
    <t>Forge 12</t>
  </si>
  <si>
    <t>Forge 13</t>
  </si>
  <si>
    <t>Forge 14</t>
  </si>
  <si>
    <t>Forge 15</t>
  </si>
  <si>
    <t>Forge 16</t>
  </si>
  <si>
    <t>Forge 17</t>
  </si>
  <si>
    <t>Forge 18</t>
  </si>
  <si>
    <t>Forge 19</t>
  </si>
  <si>
    <t>Forge 20</t>
  </si>
  <si>
    <t>Forge 21</t>
  </si>
  <si>
    <t>Mine 2</t>
  </si>
  <si>
    <t>Unlock Extra Accessory</t>
    <phoneticPr fontId="1" type="noConversion"/>
  </si>
  <si>
    <t>Quarry 3</t>
  </si>
  <si>
    <t>Quarry 3</t>
    <phoneticPr fontId="1" type="noConversion"/>
  </si>
  <si>
    <t>Logging Camp 3</t>
  </si>
  <si>
    <t>Logging Camp 4</t>
  </si>
  <si>
    <t>Logging Camp 5</t>
  </si>
  <si>
    <t>Logging Camp 6</t>
  </si>
  <si>
    <t>Logging Camp 7</t>
  </si>
  <si>
    <t>Logging Camp 8</t>
  </si>
  <si>
    <t>Logging Camp 9</t>
  </si>
  <si>
    <t>Logging Camp 10</t>
  </si>
  <si>
    <t>Logging Camp 11</t>
  </si>
  <si>
    <t>Logging Camp 12</t>
  </si>
  <si>
    <t>Logging Camp 13</t>
  </si>
  <si>
    <t>Logging Camp 14</t>
  </si>
  <si>
    <t>Logging Camp 15</t>
  </si>
  <si>
    <t>Logging Camp 16</t>
  </si>
  <si>
    <t>Logging Camp 17</t>
  </si>
  <si>
    <t>Logging Camp 18</t>
  </si>
  <si>
    <t>Logging Camp 19</t>
  </si>
  <si>
    <t>Logging Camp 20</t>
  </si>
  <si>
    <t>Logging Camp 21</t>
  </si>
  <si>
    <t>Quarry 4</t>
  </si>
  <si>
    <t>Quarry 5</t>
  </si>
  <si>
    <t>Quarry 6</t>
  </si>
  <si>
    <t>Quarry 7</t>
  </si>
  <si>
    <t>Quarry 8</t>
  </si>
  <si>
    <t>Quarry 9</t>
  </si>
  <si>
    <t>Quarry 10</t>
  </si>
  <si>
    <t>Quarry 11</t>
  </si>
  <si>
    <t>Quarry 12</t>
  </si>
  <si>
    <t>Quarry 13</t>
  </si>
  <si>
    <t>Quarry 14</t>
  </si>
  <si>
    <t>Quarry 15</t>
  </si>
  <si>
    <t>Quarry 16</t>
  </si>
  <si>
    <t>Quarry 17</t>
  </si>
  <si>
    <t>Quarry 18</t>
  </si>
  <si>
    <t>Quarry 19</t>
  </si>
  <si>
    <t>Quarry 20</t>
  </si>
  <si>
    <t>Quarry 21</t>
  </si>
  <si>
    <t>Mine 3</t>
  </si>
  <si>
    <t>Mine 4</t>
  </si>
  <si>
    <t>Mine 5</t>
  </si>
  <si>
    <t>Mine 6</t>
  </si>
  <si>
    <t>Mine 7</t>
  </si>
  <si>
    <t>Mine 8</t>
  </si>
  <si>
    <t>Mine 9</t>
  </si>
  <si>
    <t>Mine 10</t>
  </si>
  <si>
    <t>Mine 11</t>
  </si>
  <si>
    <t>Mine 12</t>
  </si>
  <si>
    <t>Mine 13</t>
  </si>
  <si>
    <t>Mine 14</t>
  </si>
  <si>
    <t>Mine 15</t>
  </si>
  <si>
    <t>Mine 16</t>
  </si>
  <si>
    <t>Mine 17</t>
  </si>
  <si>
    <t>Mine 18</t>
  </si>
  <si>
    <t>Mine 19</t>
  </si>
  <si>
    <t>Mine 20</t>
  </si>
  <si>
    <t>Mine 21</t>
  </si>
  <si>
    <t>Daily Quest</t>
  </si>
  <si>
    <t>Hero Upgrade Milestone</t>
  </si>
  <si>
    <t>Alliance Quest</t>
  </si>
  <si>
    <t>Infantry Attack 1</t>
    <phoneticPr fontId="1" type="noConversion"/>
  </si>
  <si>
    <t>Academy 2</t>
    <phoneticPr fontId="1" type="noConversion"/>
  </si>
  <si>
    <t>Training Speed 1</t>
    <phoneticPr fontId="1" type="noConversion"/>
  </si>
  <si>
    <t>Infantry Attack 2</t>
  </si>
  <si>
    <t>Infantry Attack 3</t>
  </si>
  <si>
    <t>Infantry Attack 4</t>
  </si>
  <si>
    <t>Infantry Attack 5</t>
  </si>
  <si>
    <t>Infantry Attack 6</t>
  </si>
  <si>
    <t>Infantry Attack 7</t>
  </si>
  <si>
    <t>Infantry Attack 8</t>
  </si>
  <si>
    <t>Infantry Attack 9</t>
  </si>
  <si>
    <t>Infantry Attack 10</t>
  </si>
  <si>
    <t xml:space="preserve">Infantry Attack </t>
    <phoneticPr fontId="1" type="noConversion"/>
  </si>
  <si>
    <t>Stronghold 6</t>
    <phoneticPr fontId="1" type="noConversion"/>
  </si>
  <si>
    <t>Gymnos 1</t>
    <phoneticPr fontId="1" type="noConversion"/>
  </si>
  <si>
    <t>Gymnos 2</t>
  </si>
  <si>
    <t>Gymnos 3</t>
  </si>
  <si>
    <t>Gymnos 4</t>
  </si>
  <si>
    <t>Gymnos 5</t>
  </si>
  <si>
    <t>Gymnos 6</t>
  </si>
  <si>
    <t>Gymnos 7</t>
  </si>
  <si>
    <t>Gymnos 8</t>
  </si>
  <si>
    <t>Gymnos 9</t>
  </si>
  <si>
    <t>Gymnos 10</t>
  </si>
  <si>
    <t>Gymnos 11</t>
  </si>
  <si>
    <t>Gymnos 12</t>
  </si>
  <si>
    <t>Gymnos 13</t>
  </si>
  <si>
    <t>Gymnos 14</t>
  </si>
  <si>
    <t>Gymnos 15</t>
  </si>
  <si>
    <t>Gymnos 16</t>
  </si>
  <si>
    <t>Gymnos 17</t>
  </si>
  <si>
    <t>Gymnos 18</t>
  </si>
  <si>
    <t>Gymnos 19</t>
  </si>
  <si>
    <t>Gymnos 20</t>
  </si>
  <si>
    <t>Gymnos 21</t>
  </si>
  <si>
    <t>Villa 3</t>
    <phoneticPr fontId="1" type="noConversion"/>
  </si>
  <si>
    <t>Hero XP Modifier</t>
    <phoneticPr fontId="1" type="noConversion"/>
  </si>
  <si>
    <t>Hero XP Retention</t>
    <phoneticPr fontId="1" type="noConversion"/>
  </si>
  <si>
    <t>XP Needed to the Next Level</t>
    <phoneticPr fontId="1" type="noConversion"/>
  </si>
  <si>
    <t>Troop Attack 2</t>
    <phoneticPr fontId="1" type="noConversion"/>
  </si>
  <si>
    <t>Food Production 2</t>
    <phoneticPr fontId="1" type="noConversion"/>
  </si>
  <si>
    <t>Silver Production</t>
    <phoneticPr fontId="1" type="noConversion"/>
  </si>
  <si>
    <t>Ore Production 3</t>
    <phoneticPr fontId="1" type="noConversion"/>
  </si>
  <si>
    <t>Ranged Attack</t>
    <phoneticPr fontId="1" type="noConversion"/>
  </si>
  <si>
    <t>Siege Attack</t>
    <phoneticPr fontId="1" type="noConversion"/>
  </si>
  <si>
    <t>Ranged Attack 10</t>
    <phoneticPr fontId="1" type="noConversion"/>
  </si>
  <si>
    <t>Cavalry Attack</t>
    <phoneticPr fontId="1" type="noConversion"/>
  </si>
  <si>
    <t>Gatherer</t>
    <phoneticPr fontId="1" type="noConversion"/>
  </si>
  <si>
    <t>Silver Production 5</t>
    <phoneticPr fontId="1" type="noConversion"/>
  </si>
  <si>
    <t>Infantry Attack</t>
    <phoneticPr fontId="1" type="noConversion"/>
  </si>
  <si>
    <t>Cavalry Attack 2</t>
    <phoneticPr fontId="1" type="noConversion"/>
  </si>
  <si>
    <t>Academy 4</t>
    <phoneticPr fontId="1" type="noConversion"/>
  </si>
  <si>
    <t>Stronghold 4</t>
  </si>
  <si>
    <t>Academy 4</t>
    <phoneticPr fontId="1" type="noConversion"/>
  </si>
  <si>
    <t>Stronghold 6</t>
  </si>
  <si>
    <t>Stronghold 6</t>
    <phoneticPr fontId="1" type="noConversion"/>
  </si>
  <si>
    <t>Storehouse 5</t>
  </si>
  <si>
    <t>Storehouse 6</t>
  </si>
  <si>
    <t>Storehouse 7</t>
  </si>
  <si>
    <t>Storehouse 8</t>
  </si>
  <si>
    <t>Storehouse 9</t>
  </si>
  <si>
    <t>Storehouse 10</t>
  </si>
  <si>
    <t>Storehouse 11</t>
  </si>
  <si>
    <t>Storehouse 12</t>
  </si>
  <si>
    <t>Storehouse 13</t>
  </si>
  <si>
    <t>Storehouse 14</t>
  </si>
  <si>
    <t>Storehouse 15</t>
  </si>
  <si>
    <t>Storehouse 16</t>
  </si>
  <si>
    <t>Storehouse 17</t>
  </si>
  <si>
    <t>Storehouse 18</t>
  </si>
  <si>
    <t>Storehouse 19</t>
  </si>
  <si>
    <t>Storehouse 20</t>
  </si>
  <si>
    <t>Storehouse 21</t>
  </si>
  <si>
    <t>Forge 4</t>
    <phoneticPr fontId="1" type="noConversion"/>
  </si>
  <si>
    <t>Trap Attack</t>
    <phoneticPr fontId="1" type="noConversion"/>
  </si>
  <si>
    <t>Stronghold 5</t>
  </si>
  <si>
    <t>Stronghold 7</t>
  </si>
  <si>
    <t>Stronghold 8</t>
  </si>
  <si>
    <t>Stronghold 9</t>
  </si>
  <si>
    <t>Stronghold 10</t>
  </si>
  <si>
    <t>Stronghold 11</t>
  </si>
  <si>
    <t>Stronghold 12</t>
  </si>
  <si>
    <t>Stronghold 13</t>
  </si>
  <si>
    <t>Stronghold 14</t>
  </si>
  <si>
    <t>Stronghold 15</t>
  </si>
  <si>
    <t>Stronghold 16</t>
  </si>
  <si>
    <t>Stronghold 17</t>
  </si>
  <si>
    <t>Stronghold 18</t>
  </si>
  <si>
    <t>Stronghold 19</t>
  </si>
  <si>
    <t>Stronghold 20</t>
  </si>
  <si>
    <t>Stronghold 21</t>
  </si>
  <si>
    <t>Walls 1</t>
  </si>
  <si>
    <t>Walls 2</t>
  </si>
  <si>
    <t>Walls 3</t>
  </si>
  <si>
    <t>Walls 4</t>
  </si>
  <si>
    <t>Walls 5</t>
  </si>
  <si>
    <t>Walls 6</t>
  </si>
  <si>
    <t>Walls 7</t>
  </si>
  <si>
    <t>Walls 8</t>
  </si>
  <si>
    <t>Walls 9</t>
  </si>
  <si>
    <t>Walls 10</t>
  </si>
  <si>
    <t>Walls 11</t>
  </si>
  <si>
    <t>Walls 12</t>
  </si>
  <si>
    <t>Walls 13</t>
  </si>
  <si>
    <t>Walls 14</t>
  </si>
  <si>
    <t>Walls 15</t>
  </si>
  <si>
    <t>Walls 16</t>
  </si>
  <si>
    <t>Walls 17</t>
  </si>
  <si>
    <t>Walls 18</t>
  </si>
  <si>
    <t>Walls 19</t>
  </si>
  <si>
    <t>Walls 20</t>
  </si>
  <si>
    <t>Walls 21</t>
  </si>
  <si>
    <t>Walls Lv.</t>
  </si>
  <si>
    <t>Unlock Academy</t>
    <phoneticPr fontId="1" type="noConversion"/>
  </si>
  <si>
    <t>Unlock Marketplace</t>
    <phoneticPr fontId="1" type="noConversion"/>
  </si>
  <si>
    <t>March Slots +</t>
    <phoneticPr fontId="1" type="noConversion"/>
  </si>
  <si>
    <t>Unlock Graveyard</t>
    <phoneticPr fontId="1" type="noConversion"/>
  </si>
  <si>
    <t>Villa 3</t>
    <phoneticPr fontId="1" type="noConversion"/>
  </si>
  <si>
    <t>Barracks 6</t>
    <phoneticPr fontId="1" type="noConversion"/>
  </si>
  <si>
    <t>Barracks 1</t>
    <phoneticPr fontId="1" type="noConversion"/>
  </si>
  <si>
    <t>Barracks 20</t>
    <phoneticPr fontId="1" type="noConversion"/>
  </si>
  <si>
    <t>Trap</t>
    <phoneticPr fontId="1" type="noConversion"/>
  </si>
  <si>
    <t>Trap Name</t>
    <phoneticPr fontId="1" type="noConversion"/>
  </si>
  <si>
    <t>War Bricks</t>
  </si>
  <si>
    <t>War Bricks</t>
    <phoneticPr fontId="1" type="noConversion"/>
  </si>
  <si>
    <t>Siege</t>
    <phoneticPr fontId="1" type="noConversion"/>
  </si>
  <si>
    <t>Walls 1</t>
    <phoneticPr fontId="1" type="noConversion"/>
  </si>
  <si>
    <t>Hoplites 1</t>
    <phoneticPr fontId="1" type="noConversion"/>
  </si>
  <si>
    <t>Skirmish Archers 1</t>
    <phoneticPr fontId="1" type="noConversion"/>
  </si>
  <si>
    <t>Light Cavalry 1</t>
    <phoneticPr fontId="1" type="noConversion"/>
  </si>
  <si>
    <t>Ballista 1</t>
    <phoneticPr fontId="1" type="noConversion"/>
  </si>
  <si>
    <t>Armored Pikemen 1</t>
    <phoneticPr fontId="1" type="noConversion"/>
  </si>
  <si>
    <t>Guardians 1</t>
    <phoneticPr fontId="1" type="noConversion"/>
  </si>
  <si>
    <t>Companion Cavalry 1</t>
    <phoneticPr fontId="1" type="noConversion"/>
  </si>
  <si>
    <t>Siege Tower 1</t>
    <phoneticPr fontId="1" type="noConversion"/>
  </si>
  <si>
    <t>Immortals 1</t>
    <phoneticPr fontId="1" type="noConversion"/>
  </si>
  <si>
    <t>Marksmen 1</t>
    <phoneticPr fontId="1" type="noConversion"/>
  </si>
  <si>
    <t>War Elephant 1</t>
    <phoneticPr fontId="1" type="noConversion"/>
  </si>
  <si>
    <t>Onager 1</t>
    <phoneticPr fontId="1" type="noConversion"/>
  </si>
  <si>
    <t>Trap Building 1</t>
    <phoneticPr fontId="1" type="noConversion"/>
  </si>
  <si>
    <t>Logging Camp 6</t>
    <phoneticPr fontId="1" type="noConversion"/>
  </si>
  <si>
    <t>Farm 6</t>
    <phoneticPr fontId="1" type="noConversion"/>
  </si>
  <si>
    <t>Villa 5</t>
    <phoneticPr fontId="1" type="noConversion"/>
  </si>
  <si>
    <t>Mine 5</t>
    <phoneticPr fontId="1" type="noConversion"/>
  </si>
  <si>
    <t>Storehouse 5</t>
    <phoneticPr fontId="1" type="noConversion"/>
  </si>
  <si>
    <t>Storage for Each Rss</t>
    <phoneticPr fontId="1" type="noConversion"/>
  </si>
  <si>
    <t>Silver Production</t>
    <phoneticPr fontId="1" type="noConversion"/>
  </si>
  <si>
    <t>Archer Towers 1</t>
    <phoneticPr fontId="1" type="noConversion"/>
  </si>
  <si>
    <t>Unlock Archer Towers</t>
    <phoneticPr fontId="1" type="noConversion"/>
  </si>
  <si>
    <t>Trap Building 1</t>
    <phoneticPr fontId="1" type="noConversion"/>
  </si>
  <si>
    <t>Archer Tower</t>
  </si>
  <si>
    <t>Archer Tower</t>
    <phoneticPr fontId="1" type="noConversion"/>
  </si>
  <si>
    <t>Trap</t>
    <phoneticPr fontId="1" type="noConversion"/>
  </si>
  <si>
    <t>Siege</t>
    <phoneticPr fontId="1" type="noConversion"/>
  </si>
  <si>
    <t>Field Occupy</t>
  </si>
  <si>
    <t>Battle</t>
  </si>
  <si>
    <t>Academy 4</t>
    <phoneticPr fontId="1" type="noConversion"/>
  </si>
  <si>
    <t>Event</t>
  </si>
  <si>
    <t>Academy 4</t>
    <phoneticPr fontId="1" type="noConversion"/>
  </si>
  <si>
    <t>Building Traps</t>
  </si>
  <si>
    <t>Farm 3</t>
    <phoneticPr fontId="1" type="noConversion"/>
  </si>
  <si>
    <t>Farm 4</t>
    <phoneticPr fontId="1" type="noConversion"/>
  </si>
  <si>
    <t>Farm 5</t>
    <phoneticPr fontId="1" type="noConversion"/>
  </si>
  <si>
    <t>Academy 5</t>
    <phoneticPr fontId="1" type="noConversion"/>
  </si>
  <si>
    <t>Quarry 6</t>
    <phoneticPr fontId="1" type="noConversion"/>
  </si>
  <si>
    <t>Marketplace 1</t>
    <phoneticPr fontId="1" type="noConversion"/>
  </si>
  <si>
    <t>Marketplace 2</t>
  </si>
  <si>
    <t>Marketplace 3</t>
  </si>
  <si>
    <t>Marketplace 4</t>
  </si>
  <si>
    <t>Marketplace 5</t>
  </si>
  <si>
    <t>Marketplace 6</t>
  </si>
  <si>
    <t>Marketplace 7</t>
  </si>
  <si>
    <t>Marketplace 8</t>
  </si>
  <si>
    <t>Marketplace 9</t>
  </si>
  <si>
    <t>Marketplace 10</t>
  </si>
  <si>
    <t>Marketplace 11</t>
  </si>
  <si>
    <t>Marketplace 12</t>
  </si>
  <si>
    <t>Marketplace 13</t>
  </si>
  <si>
    <t>Marketplace 14</t>
  </si>
  <si>
    <t>Marketplace 15</t>
  </si>
  <si>
    <t>Marketplace 16</t>
  </si>
  <si>
    <t>Marketplace 17</t>
  </si>
  <si>
    <t>Marketplace 18</t>
  </si>
  <si>
    <t>Marketplace 19</t>
  </si>
  <si>
    <t>Marketplace 20</t>
  </si>
  <si>
    <t>Marketplace 21</t>
  </si>
  <si>
    <t>Stronghold 5</t>
    <phoneticPr fontId="1" type="noConversion"/>
  </si>
  <si>
    <t>Resource Help Capacity</t>
    <phoneticPr fontId="1" type="noConversion"/>
  </si>
  <si>
    <t>Resource Help Tax</t>
    <phoneticPr fontId="1" type="noConversion"/>
  </si>
  <si>
    <t>Trade March Speed</t>
    <phoneticPr fontId="1" type="noConversion"/>
  </si>
  <si>
    <t>Stronghold 7</t>
    <phoneticPr fontId="1" type="noConversion"/>
  </si>
  <si>
    <t>Spikes 1</t>
    <phoneticPr fontId="1" type="noConversion"/>
  </si>
  <si>
    <t>Unlock Spikes</t>
    <phoneticPr fontId="1" type="noConversion"/>
  </si>
  <si>
    <t>Farm 2</t>
  </si>
  <si>
    <t>Quarry 2</t>
  </si>
  <si>
    <t>Villa 2</t>
  </si>
  <si>
    <t>Walls 6</t>
    <phoneticPr fontId="1" type="noConversion"/>
  </si>
  <si>
    <t>Hospital 6</t>
    <phoneticPr fontId="1" type="noConversion"/>
  </si>
  <si>
    <t>Mine 7</t>
    <phoneticPr fontId="1" type="noConversion"/>
  </si>
  <si>
    <t>Forge 7</t>
    <phoneticPr fontId="1" type="noConversion"/>
  </si>
  <si>
    <t>Scouting</t>
  </si>
  <si>
    <t>Attack Players</t>
  </si>
  <si>
    <t>Troop Training 5</t>
    <phoneticPr fontId="1" type="noConversion"/>
  </si>
  <si>
    <t>Ranged Attack 2</t>
    <phoneticPr fontId="1" type="noConversion"/>
  </si>
  <si>
    <t>CATEGORY</t>
    <phoneticPr fontId="1" type="noConversion"/>
  </si>
  <si>
    <t>CLASS</t>
    <phoneticPr fontId="1" type="noConversion"/>
  </si>
  <si>
    <t>DETAIL</t>
    <phoneticPr fontId="1" type="noConversion"/>
  </si>
  <si>
    <t>Hero</t>
    <phoneticPr fontId="1" type="noConversion"/>
  </si>
  <si>
    <t>Power Gained</t>
    <phoneticPr fontId="1" type="noConversion"/>
  </si>
  <si>
    <t>VIP</t>
    <phoneticPr fontId="1" type="noConversion"/>
  </si>
  <si>
    <t>Currency</t>
    <phoneticPr fontId="1" type="noConversion"/>
  </si>
  <si>
    <t>Free Time</t>
    <phoneticPr fontId="1" type="noConversion"/>
  </si>
  <si>
    <t>Help Time</t>
    <phoneticPr fontId="1" type="noConversion"/>
  </si>
  <si>
    <t>Speed Up Gained or Possessed</t>
    <phoneticPr fontId="1" type="noConversion"/>
  </si>
  <si>
    <t>Total Amount of Speed Up Time</t>
    <phoneticPr fontId="1" type="noConversion"/>
  </si>
  <si>
    <t>Speed Up Time Used</t>
    <phoneticPr fontId="1" type="noConversion"/>
  </si>
  <si>
    <t>Construction Time
- Free Time
- Help Time
- Speed Up Time</t>
    <phoneticPr fontId="1" type="noConversion"/>
  </si>
  <si>
    <t>Resources Gained or Consumed</t>
    <phoneticPr fontId="1" type="noConversion"/>
  </si>
  <si>
    <t>Resources Output (Unit/Hour)</t>
    <phoneticPr fontId="1" type="noConversion"/>
  </si>
  <si>
    <t>City Capacity</t>
    <phoneticPr fontId="1" type="noConversion"/>
  </si>
  <si>
    <t>Exp Modifier</t>
    <phoneticPr fontId="1" type="noConversion"/>
  </si>
  <si>
    <t>Original Exp</t>
    <phoneticPr fontId="1" type="noConversion"/>
  </si>
  <si>
    <t>Exp Actually Gained</t>
    <phoneticPr fontId="1" type="noConversion"/>
  </si>
  <si>
    <t>Skill Points</t>
    <phoneticPr fontId="1" type="noConversion"/>
  </si>
  <si>
    <t>Point</t>
    <phoneticPr fontId="1" type="noConversion"/>
  </si>
  <si>
    <t>Amount of Time</t>
    <phoneticPr fontId="1" type="noConversion"/>
  </si>
  <si>
    <t>25% Time Off</t>
    <phoneticPr fontId="1" type="noConversion"/>
  </si>
  <si>
    <t>50% Time Off</t>
    <phoneticPr fontId="1" type="noConversion"/>
  </si>
  <si>
    <t>Construction Acceleration</t>
    <phoneticPr fontId="1" type="noConversion"/>
  </si>
  <si>
    <t>Original Time</t>
    <phoneticPr fontId="1" type="noConversion"/>
  </si>
  <si>
    <t>Actual Time</t>
    <phoneticPr fontId="1" type="noConversion"/>
  </si>
  <si>
    <t>Storehouse Lv.</t>
    <phoneticPr fontId="1" type="noConversion"/>
  </si>
  <si>
    <t>at Will</t>
    <phoneticPr fontId="1" type="noConversion"/>
  </si>
  <si>
    <t>Construction</t>
    <phoneticPr fontId="1" type="noConversion"/>
  </si>
  <si>
    <t>by Quest</t>
    <phoneticPr fontId="1" type="noConversion"/>
  </si>
  <si>
    <t>Quarry 1</t>
    <phoneticPr fontId="1" type="noConversion"/>
  </si>
  <si>
    <t>Mine 1</t>
    <phoneticPr fontId="1" type="noConversion"/>
  </si>
  <si>
    <t>Villa 1</t>
    <phoneticPr fontId="1" type="noConversion"/>
  </si>
  <si>
    <t>Forge 1</t>
    <phoneticPr fontId="1" type="noConversion"/>
  </si>
  <si>
    <t>Villa 2</t>
    <phoneticPr fontId="1" type="noConversion"/>
  </si>
  <si>
    <t>Logging Camp 2</t>
    <phoneticPr fontId="1" type="noConversion"/>
  </si>
  <si>
    <t>Quarry 2</t>
    <phoneticPr fontId="1" type="noConversion"/>
  </si>
  <si>
    <t>Mine 2</t>
    <phoneticPr fontId="1" type="noConversion"/>
  </si>
  <si>
    <t>Villa 3</t>
    <phoneticPr fontId="1" type="noConversion"/>
  </si>
  <si>
    <t>Barracks 2</t>
    <phoneticPr fontId="1" type="noConversion"/>
  </si>
  <si>
    <t>Watchtower 2</t>
    <phoneticPr fontId="1" type="noConversion"/>
  </si>
  <si>
    <t>Academy 2</t>
    <phoneticPr fontId="1" type="noConversion"/>
  </si>
  <si>
    <t>Academy 3</t>
    <phoneticPr fontId="1" type="noConversion"/>
  </si>
  <si>
    <t>Hospital 2</t>
    <phoneticPr fontId="1" type="noConversion"/>
  </si>
  <si>
    <t>Forge 2</t>
    <phoneticPr fontId="1" type="noConversion"/>
  </si>
  <si>
    <t>Quarry 3</t>
    <phoneticPr fontId="1" type="noConversion"/>
  </si>
  <si>
    <t>Mine 3</t>
    <phoneticPr fontId="1" type="noConversion"/>
  </si>
  <si>
    <t>Mine 4</t>
    <phoneticPr fontId="1" type="noConversion"/>
  </si>
  <si>
    <t>Mine 5</t>
    <phoneticPr fontId="1" type="noConversion"/>
  </si>
  <si>
    <t>Gymnos 1</t>
    <phoneticPr fontId="1" type="noConversion"/>
  </si>
  <si>
    <t>Gymnos 2</t>
    <phoneticPr fontId="1" type="noConversion"/>
  </si>
  <si>
    <t>Barracks 3</t>
    <phoneticPr fontId="1" type="noConversion"/>
  </si>
  <si>
    <t>Quarry 4</t>
    <phoneticPr fontId="1" type="noConversion"/>
  </si>
  <si>
    <t>Barracks 4</t>
    <phoneticPr fontId="1" type="noConversion"/>
  </si>
  <si>
    <t>Academy 4</t>
    <phoneticPr fontId="1" type="noConversion"/>
  </si>
  <si>
    <t>Logging Camp 3</t>
    <phoneticPr fontId="1" type="noConversion"/>
  </si>
  <si>
    <t>Forge 3</t>
    <phoneticPr fontId="1" type="noConversion"/>
  </si>
  <si>
    <t>Forge 4</t>
    <phoneticPr fontId="1" type="noConversion"/>
  </si>
  <si>
    <t>Gymnos 3</t>
    <phoneticPr fontId="1" type="noConversion"/>
  </si>
  <si>
    <t>Gymnos 4</t>
    <phoneticPr fontId="1" type="noConversion"/>
  </si>
  <si>
    <t>Villa 4</t>
    <phoneticPr fontId="1" type="noConversion"/>
  </si>
  <si>
    <t>Villa 5</t>
    <phoneticPr fontId="1" type="noConversion"/>
  </si>
  <si>
    <t>Gymnos 5</t>
    <phoneticPr fontId="1" type="noConversion"/>
  </si>
  <si>
    <t>Quarry 5</t>
    <phoneticPr fontId="1" type="noConversion"/>
  </si>
  <si>
    <t>Barracks 5</t>
    <phoneticPr fontId="1" type="noConversion"/>
  </si>
  <si>
    <t>Forge 5</t>
    <phoneticPr fontId="1" type="noConversion"/>
  </si>
  <si>
    <t>Walls 5</t>
    <phoneticPr fontId="1" type="noConversion"/>
  </si>
  <si>
    <t>Storehouse 5</t>
    <phoneticPr fontId="1" type="noConversion"/>
  </si>
  <si>
    <t>Mine 6</t>
    <phoneticPr fontId="1" type="noConversion"/>
  </si>
  <si>
    <t>Forge 6</t>
    <phoneticPr fontId="1" type="noConversion"/>
  </si>
  <si>
    <t>Storehouse 6</t>
    <phoneticPr fontId="1" type="noConversion"/>
  </si>
  <si>
    <t>Hospital 3</t>
    <phoneticPr fontId="1" type="noConversion"/>
  </si>
  <si>
    <t>Watchtower 3</t>
    <phoneticPr fontId="1" type="noConversion"/>
  </si>
  <si>
    <t>Logging Camp 4</t>
    <phoneticPr fontId="1" type="noConversion"/>
  </si>
  <si>
    <t>Logging Camp 5</t>
    <phoneticPr fontId="1" type="noConversion"/>
  </si>
  <si>
    <t>Logging Camp 6</t>
    <phoneticPr fontId="1" type="noConversion"/>
  </si>
  <si>
    <t>Hospital 4</t>
    <phoneticPr fontId="1" type="noConversion"/>
  </si>
  <si>
    <t>Hospital 5</t>
    <phoneticPr fontId="1" type="noConversion"/>
  </si>
  <si>
    <t>Barracks 6</t>
    <phoneticPr fontId="1" type="noConversion"/>
  </si>
  <si>
    <t>Academy 6</t>
    <phoneticPr fontId="1" type="noConversion"/>
  </si>
  <si>
    <t>Watchtower 4</t>
    <phoneticPr fontId="1" type="noConversion"/>
  </si>
  <si>
    <t>Watchtower 5</t>
    <phoneticPr fontId="1" type="noConversion"/>
  </si>
  <si>
    <t>Watchtower 6</t>
    <phoneticPr fontId="1" type="noConversion"/>
  </si>
  <si>
    <r>
      <rPr>
        <sz val="12"/>
        <color theme="1"/>
        <rFont val="宋体"/>
        <family val="3"/>
        <charset val="134"/>
      </rPr>
      <t>用</t>
    </r>
    <r>
      <rPr>
        <sz val="12"/>
        <color theme="1"/>
        <rFont val="Times New Roman"/>
        <family val="1"/>
      </rPr>
      <t>2:00:00</t>
    </r>
    <phoneticPr fontId="1" type="noConversion"/>
  </si>
  <si>
    <t>Farm 6</t>
    <phoneticPr fontId="1" type="noConversion"/>
  </si>
  <si>
    <t>Villa 6</t>
    <phoneticPr fontId="1" type="noConversion"/>
  </si>
  <si>
    <t>Gymnos 6</t>
    <phoneticPr fontId="1" type="noConversion"/>
  </si>
  <si>
    <t>Marketplace 2</t>
    <phoneticPr fontId="1" type="noConversion"/>
  </si>
  <si>
    <t>Marketplace 3</t>
    <phoneticPr fontId="1" type="noConversion"/>
  </si>
  <si>
    <t>Marketplace 4</t>
    <phoneticPr fontId="1" type="noConversion"/>
  </si>
  <si>
    <t>Marketplace 5</t>
    <phoneticPr fontId="1" type="noConversion"/>
  </si>
  <si>
    <t>Storehouse 7</t>
    <phoneticPr fontId="1" type="noConversion"/>
  </si>
  <si>
    <t>Walls 7</t>
    <phoneticPr fontId="1" type="noConversion"/>
  </si>
  <si>
    <t>Academy 7</t>
    <phoneticPr fontId="1" type="noConversion"/>
  </si>
  <si>
    <r>
      <rPr>
        <sz val="12"/>
        <color theme="1"/>
        <rFont val="宋体"/>
        <family val="3"/>
        <charset val="134"/>
      </rPr>
      <t>用</t>
    </r>
    <r>
      <rPr>
        <sz val="12"/>
        <color theme="1"/>
        <rFont val="Times New Roman"/>
        <family val="1"/>
      </rPr>
      <t>1:00:00</t>
    </r>
    <phoneticPr fontId="1" type="noConversion"/>
  </si>
  <si>
    <t>Boiling Tar 1</t>
    <phoneticPr fontId="1" type="noConversion"/>
  </si>
  <si>
    <t>Unlock Boiling Tar</t>
    <phoneticPr fontId="1" type="noConversion"/>
  </si>
  <si>
    <t>Spikes</t>
  </si>
  <si>
    <t>Spikes</t>
    <phoneticPr fontId="1" type="noConversion"/>
  </si>
  <si>
    <t>Cavalry</t>
    <phoneticPr fontId="1" type="noConversion"/>
  </si>
  <si>
    <t>Ranged</t>
    <phoneticPr fontId="1" type="noConversion"/>
  </si>
  <si>
    <t>Resource Help</t>
  </si>
  <si>
    <t>Logging Camp 2</t>
  </si>
  <si>
    <t>Infantry Defense 1</t>
  </si>
  <si>
    <t>Infantry Defense 2</t>
  </si>
  <si>
    <t>Infantry Defense 3</t>
  </si>
  <si>
    <t>Infantry Defense 4</t>
  </si>
  <si>
    <t>Infantry Defense 5</t>
  </si>
  <si>
    <t>Infantry Defense 6</t>
  </si>
  <si>
    <t>Infantry Defense 7</t>
  </si>
  <si>
    <t>Infantry Defense 8</t>
  </si>
  <si>
    <t>Infantry Defense 9</t>
  </si>
  <si>
    <t>Infantry Defense 10</t>
  </si>
  <si>
    <t xml:space="preserve">Infantry Defense </t>
  </si>
  <si>
    <t>Academy 3</t>
    <phoneticPr fontId="1" type="noConversion"/>
  </si>
  <si>
    <t>Infantry Attack 1</t>
    <phoneticPr fontId="1" type="noConversion"/>
  </si>
  <si>
    <t>Embassy 1</t>
  </si>
  <si>
    <t>Embassy 2</t>
  </si>
  <si>
    <t>Embassy 3</t>
  </si>
  <si>
    <t>Embassy 4</t>
  </si>
  <si>
    <t>Embassy 5</t>
  </si>
  <si>
    <t>Embassy 6</t>
  </si>
  <si>
    <t>Embassy 7</t>
  </si>
  <si>
    <t>Embassy 8</t>
  </si>
  <si>
    <t>Embassy 9</t>
  </si>
  <si>
    <t>Embassy 10</t>
  </si>
  <si>
    <t>Embassy 11</t>
  </si>
  <si>
    <t>Embassy 12</t>
  </si>
  <si>
    <t>Embassy 13</t>
  </si>
  <si>
    <t>Embassy 14</t>
  </si>
  <si>
    <t>Embassy 15</t>
  </si>
  <si>
    <t>Embassy 16</t>
  </si>
  <si>
    <t>Embassy 17</t>
  </si>
  <si>
    <t>Embassy 18</t>
  </si>
  <si>
    <t>Embassy 19</t>
  </si>
  <si>
    <t>Embassy 20</t>
  </si>
  <si>
    <t>Embassy 21</t>
  </si>
  <si>
    <t>Embassy Defense Bonus</t>
    <phoneticPr fontId="1" type="noConversion"/>
  </si>
  <si>
    <t>Quarry 6</t>
    <phoneticPr fontId="1" type="noConversion"/>
  </si>
  <si>
    <t>Embassy 1</t>
    <phoneticPr fontId="1" type="noConversion"/>
  </si>
  <si>
    <t>Embassy 2</t>
    <phoneticPr fontId="1" type="noConversion"/>
  </si>
  <si>
    <t>Embassy 3</t>
    <phoneticPr fontId="1" type="noConversion"/>
  </si>
  <si>
    <t>Embassy 1</t>
    <phoneticPr fontId="1" type="noConversion"/>
  </si>
  <si>
    <t>Reinforce Troop Capacity</t>
  </si>
  <si>
    <t>Rally Troop Capacity</t>
  </si>
  <si>
    <t>Rally Attack Bonus</t>
    <phoneticPr fontId="1" type="noConversion"/>
  </si>
  <si>
    <t>Book of War * 1</t>
    <phoneticPr fontId="1" type="noConversion"/>
  </si>
  <si>
    <t>Book of War * 2</t>
  </si>
  <si>
    <t>Hall of War 1</t>
  </si>
  <si>
    <t>Hall of War 1</t>
    <phoneticPr fontId="1" type="noConversion"/>
  </si>
  <si>
    <t>Hall of War 2</t>
  </si>
  <si>
    <t>Hall of War 3</t>
  </si>
  <si>
    <t>Hall of War 4</t>
  </si>
  <si>
    <t>Hall of War 5</t>
  </si>
  <si>
    <t>Hall of War 6</t>
  </si>
  <si>
    <t>Hall of War 7</t>
  </si>
  <si>
    <t>Hall of War 8</t>
  </si>
  <si>
    <t>Hall of War 9</t>
  </si>
  <si>
    <t>Hall of War 10</t>
  </si>
  <si>
    <t>Hall of War 11</t>
  </si>
  <si>
    <t>Hall of War 12</t>
  </si>
  <si>
    <t>Hall of War 13</t>
  </si>
  <si>
    <t>Hall of War 14</t>
  </si>
  <si>
    <t>Hall of War 15</t>
  </si>
  <si>
    <t>Hall of War 16</t>
  </si>
  <si>
    <t>Hall of War 17</t>
  </si>
  <si>
    <t>Hall of War 18</t>
  </si>
  <si>
    <t>Hall of War 19</t>
  </si>
  <si>
    <t>Hall of War 20</t>
  </si>
  <si>
    <t>Hall of War 21</t>
  </si>
  <si>
    <t>Academy 7</t>
    <phoneticPr fontId="1" type="noConversion"/>
  </si>
  <si>
    <t>Boiling Tar</t>
  </si>
  <si>
    <t>Boiling Tar</t>
    <phoneticPr fontId="1" type="noConversion"/>
  </si>
  <si>
    <t>Infantry</t>
    <phoneticPr fontId="1" type="noConversion"/>
  </si>
  <si>
    <t>Siege</t>
    <phoneticPr fontId="1" type="noConversion"/>
  </si>
  <si>
    <t>Boiling Tar 1</t>
    <phoneticPr fontId="1" type="noConversion"/>
  </si>
  <si>
    <t>Store</t>
  </si>
  <si>
    <t>Buy Speed Ups</t>
  </si>
  <si>
    <t>Academy 5</t>
    <phoneticPr fontId="1" type="noConversion"/>
  </si>
  <si>
    <t>Mine 8</t>
    <phoneticPr fontId="1" type="noConversion"/>
  </si>
  <si>
    <t>Forge 8</t>
    <phoneticPr fontId="1" type="noConversion"/>
  </si>
  <si>
    <t>Trap Defense 1</t>
    <phoneticPr fontId="1" type="noConversion"/>
  </si>
  <si>
    <t>Trap Defense 2</t>
  </si>
  <si>
    <t>Trap Defense 3</t>
  </si>
  <si>
    <t>Trap Defense 4</t>
  </si>
  <si>
    <t>Trap Defense 5</t>
  </si>
  <si>
    <t>Trap Defense 6</t>
  </si>
  <si>
    <t>Trap Defense 7</t>
  </si>
  <si>
    <t>Trap Defense 8</t>
  </si>
  <si>
    <t>Trap Defense 9</t>
  </si>
  <si>
    <t>Trap Defense 10</t>
  </si>
  <si>
    <t>Trap Attack 1</t>
  </si>
  <si>
    <t>Trap Attack 2</t>
  </si>
  <si>
    <t>Trap Attack 3</t>
  </si>
  <si>
    <t>Trap Attack 4</t>
  </si>
  <si>
    <t>Trap Attack 5</t>
  </si>
  <si>
    <t>Trap Attack 6</t>
  </si>
  <si>
    <t>Trap Attack 7</t>
  </si>
  <si>
    <t>Trap Attack 8</t>
  </si>
  <si>
    <t>Trap Attack 9</t>
  </si>
  <si>
    <t>Trap Attack 10</t>
  </si>
  <si>
    <t>Trap Defense</t>
    <phoneticPr fontId="1" type="noConversion"/>
  </si>
  <si>
    <t>Academy 3</t>
    <phoneticPr fontId="1" type="noConversion"/>
  </si>
  <si>
    <t>Spikes 1</t>
    <phoneticPr fontId="1" type="noConversion"/>
  </si>
  <si>
    <t>Alliance Store</t>
  </si>
  <si>
    <t>Forge 8</t>
    <phoneticPr fontId="1" type="noConversion"/>
  </si>
  <si>
    <t>Walls 8</t>
    <phoneticPr fontId="1" type="noConversion"/>
  </si>
  <si>
    <t>Academy 8</t>
    <phoneticPr fontId="1" type="noConversion"/>
  </si>
  <si>
    <t>Farm 6</t>
    <phoneticPr fontId="1" type="noConversion"/>
  </si>
  <si>
    <t>Boiling Tar 1</t>
    <phoneticPr fontId="1" type="noConversion"/>
  </si>
  <si>
    <t>Academy 2</t>
    <phoneticPr fontId="1" type="noConversion"/>
  </si>
  <si>
    <t>Trap Attack</t>
  </si>
  <si>
    <t>Logging Camp 7</t>
    <phoneticPr fontId="1" type="noConversion"/>
  </si>
  <si>
    <t>Storehouse 8</t>
    <phoneticPr fontId="1" type="noConversion"/>
  </si>
  <si>
    <t>Stronghold 8</t>
    <phoneticPr fontId="1" type="noConversion"/>
  </si>
  <si>
    <t>Academy 5</t>
    <phoneticPr fontId="1" type="noConversion"/>
  </si>
  <si>
    <t>Farm 7</t>
    <phoneticPr fontId="1" type="noConversion"/>
  </si>
  <si>
    <t>Villa 7</t>
    <phoneticPr fontId="1" type="noConversion"/>
  </si>
  <si>
    <t>Logging Camp 7</t>
    <phoneticPr fontId="1" type="noConversion"/>
  </si>
  <si>
    <t>Farm 7</t>
    <phoneticPr fontId="1" type="noConversion"/>
  </si>
  <si>
    <t>Saved Time</t>
    <phoneticPr fontId="1" type="noConversion"/>
  </si>
  <si>
    <t>Academy 4</t>
    <phoneticPr fontId="1" type="noConversion"/>
  </si>
  <si>
    <t>Academy 4</t>
    <phoneticPr fontId="1" type="noConversion"/>
  </si>
  <si>
    <t>Speed Ups</t>
    <phoneticPr fontId="1" type="noConversion"/>
  </si>
  <si>
    <t>Gold / Dollar</t>
    <phoneticPr fontId="1" type="noConversion"/>
  </si>
  <si>
    <t>Dollar / Gold</t>
    <phoneticPr fontId="1" type="noConversion"/>
  </si>
  <si>
    <t>Mithril</t>
    <phoneticPr fontId="1" type="noConversion"/>
  </si>
  <si>
    <t>Mithril / Dollar</t>
    <phoneticPr fontId="1" type="noConversion"/>
  </si>
  <si>
    <t>Dollar / Mithril</t>
    <phoneticPr fontId="1" type="noConversion"/>
  </si>
  <si>
    <t>Discount (%)</t>
    <phoneticPr fontId="1" type="noConversion"/>
  </si>
  <si>
    <t>Construction 2</t>
  </si>
  <si>
    <t>Construction 3</t>
  </si>
  <si>
    <t>Construction 4</t>
  </si>
  <si>
    <t>Construction 5</t>
  </si>
  <si>
    <t>Construction 6</t>
  </si>
  <si>
    <t>Construction 7</t>
  </si>
  <si>
    <t>Construction 8</t>
  </si>
  <si>
    <t>Construction 9</t>
  </si>
  <si>
    <t>Construction 10</t>
  </si>
  <si>
    <t>Ranged Attack 1</t>
  </si>
  <si>
    <t>Ranged Attack 2</t>
  </si>
  <si>
    <t>Ranged Attack 3</t>
  </si>
  <si>
    <t>Ranged Attack 4</t>
  </si>
  <si>
    <t>Ranged Attack 5</t>
  </si>
  <si>
    <t>Ranged Attack 6</t>
  </si>
  <si>
    <t>Ranged Attack 7</t>
  </si>
  <si>
    <t>Ranged Attack 8</t>
  </si>
  <si>
    <t>Ranged Attack 9</t>
  </si>
  <si>
    <t>Ranged Attack 10</t>
  </si>
  <si>
    <t>Ranged Defense 1</t>
  </si>
  <si>
    <t>Ranged Defense 2</t>
  </si>
  <si>
    <t>Ranged Defense 3</t>
  </si>
  <si>
    <t>Ranged Defense 4</t>
  </si>
  <si>
    <t>Ranged Defense 5</t>
  </si>
  <si>
    <t>Ranged Defense 6</t>
  </si>
  <si>
    <t>Ranged Defense 7</t>
  </si>
  <si>
    <t>Ranged Defense 8</t>
  </si>
  <si>
    <t>Ranged Defense 9</t>
  </si>
  <si>
    <t>Ranged Defense 10</t>
  </si>
  <si>
    <t>Cavalry Attack 1</t>
  </si>
  <si>
    <t>Cavalry Attack 2</t>
  </si>
  <si>
    <t>Cavalry Attack 3</t>
  </si>
  <si>
    <t>Cavalry Attack 4</t>
  </si>
  <si>
    <t>Cavalry Attack 5</t>
  </si>
  <si>
    <t>Cavalry Attack 6</t>
  </si>
  <si>
    <t>Cavalry Attack 7</t>
  </si>
  <si>
    <t>Cavalry Attack 8</t>
  </si>
  <si>
    <t>Cavalry Attack 9</t>
  </si>
  <si>
    <t>Cavalry Attack 10</t>
  </si>
  <si>
    <t>Cavalry Defense 1</t>
  </si>
  <si>
    <t>Cavalry Defense 2</t>
  </si>
  <si>
    <t>Cavalry Defense 3</t>
  </si>
  <si>
    <t>Cavalry Defense 4</t>
  </si>
  <si>
    <t>Cavalry Defense 5</t>
  </si>
  <si>
    <t>Cavalry Defense 6</t>
  </si>
  <si>
    <t>Cavalry Defense 7</t>
  </si>
  <si>
    <t>Cavalry Defense 8</t>
  </si>
  <si>
    <t>Cavalry Defense 9</t>
  </si>
  <si>
    <t>Cavalry Defense 10</t>
  </si>
  <si>
    <t xml:space="preserve">Cavalry Attack </t>
  </si>
  <si>
    <t xml:space="preserve">Cavalry Defense </t>
  </si>
  <si>
    <t xml:space="preserve">Ranged Attack </t>
  </si>
  <si>
    <t xml:space="preserve">Ranged Defense </t>
  </si>
  <si>
    <t>Academy 4</t>
    <phoneticPr fontId="1" type="noConversion"/>
  </si>
  <si>
    <t>Craft</t>
  </si>
  <si>
    <t>Accessories</t>
  </si>
  <si>
    <t>VIP Level</t>
    <phoneticPr fontId="1" type="noConversion"/>
  </si>
  <si>
    <t>VIP Points</t>
    <phoneticPr fontId="1" type="noConversion"/>
  </si>
  <si>
    <t>Hero</t>
  </si>
  <si>
    <t>Free Time</t>
  </si>
  <si>
    <t>Help Time</t>
  </si>
  <si>
    <t>Level</t>
  </si>
  <si>
    <t>Got for Free</t>
  </si>
  <si>
    <t>Bought</t>
  </si>
  <si>
    <t>Sum</t>
  </si>
  <si>
    <t>Alliance Quest</t>
    <phoneticPr fontId="1" type="noConversion"/>
  </si>
  <si>
    <t>Time</t>
    <phoneticPr fontId="1" type="noConversion"/>
  </si>
  <si>
    <t>Common</t>
    <phoneticPr fontId="1" type="noConversion"/>
  </si>
  <si>
    <t>Hero Exp</t>
    <phoneticPr fontId="1" type="noConversion"/>
  </si>
  <si>
    <t>Loyalty</t>
    <phoneticPr fontId="1" type="noConversion"/>
  </si>
  <si>
    <t>Funds</t>
    <phoneticPr fontId="1" type="noConversion"/>
  </si>
  <si>
    <t>Stone</t>
    <phoneticPr fontId="1" type="noConversion"/>
  </si>
  <si>
    <t>Wood</t>
    <phoneticPr fontId="1" type="noConversion"/>
  </si>
  <si>
    <t>Ore</t>
    <phoneticPr fontId="1" type="noConversion"/>
  </si>
  <si>
    <t>Food</t>
    <phoneticPr fontId="1" type="noConversion"/>
  </si>
  <si>
    <t>Silver</t>
    <phoneticPr fontId="1" type="noConversion"/>
  </si>
  <si>
    <t>Daily Quest</t>
    <phoneticPr fontId="1" type="noConversion"/>
  </si>
  <si>
    <t>Hero Level</t>
  </si>
  <si>
    <t>Core Constructions</t>
    <phoneticPr fontId="1" type="noConversion"/>
  </si>
  <si>
    <t>Casino</t>
    <phoneticPr fontId="1" type="noConversion"/>
  </si>
  <si>
    <t>Chips</t>
    <phoneticPr fontId="1" type="noConversion"/>
  </si>
  <si>
    <t>Academy 5</t>
    <phoneticPr fontId="1" type="noConversion"/>
  </si>
  <si>
    <t>Academy 4</t>
    <phoneticPr fontId="1" type="noConversion"/>
  </si>
  <si>
    <t>Cavalry Attack 1</t>
    <phoneticPr fontId="1" type="noConversion"/>
  </si>
  <si>
    <t>Academy 4</t>
    <phoneticPr fontId="1" type="noConversion"/>
  </si>
  <si>
    <t>Chests</t>
    <phoneticPr fontId="1" type="noConversion"/>
  </si>
  <si>
    <t>Gems</t>
    <phoneticPr fontId="1" type="noConversion"/>
  </si>
  <si>
    <t>Lasts</t>
    <phoneticPr fontId="1" type="noConversion"/>
  </si>
  <si>
    <t>Gifts for Alliance Members</t>
    <phoneticPr fontId="1" type="noConversion"/>
  </si>
  <si>
    <t>Winged Boots</t>
    <phoneticPr fontId="1" type="noConversion"/>
  </si>
  <si>
    <t>Resources</t>
    <phoneticPr fontId="1" type="noConversion"/>
  </si>
  <si>
    <t>Special on Sale Series 1</t>
    <phoneticPr fontId="1" type="noConversion"/>
  </si>
  <si>
    <t>Special on Sale Series 2</t>
  </si>
  <si>
    <t>Special on Sale Series 3</t>
  </si>
  <si>
    <t>Special on Sale Series 4</t>
  </si>
  <si>
    <t>Special on Sale Series 5</t>
  </si>
  <si>
    <t>GoW Store for Gold</t>
    <phoneticPr fontId="1" type="noConversion"/>
  </si>
  <si>
    <t>KoM Store for Mithril</t>
    <phoneticPr fontId="1" type="noConversion"/>
  </si>
  <si>
    <t>Gift for Alliance Members</t>
    <phoneticPr fontId="1" type="noConversion"/>
  </si>
  <si>
    <t>Wood Gifts Pack</t>
    <phoneticPr fontId="1" type="noConversion"/>
  </si>
  <si>
    <t>Bronze Gifts Pack</t>
    <phoneticPr fontId="1" type="noConversion"/>
  </si>
  <si>
    <t>Stone Gifts Pack</t>
    <phoneticPr fontId="1" type="noConversion"/>
  </si>
  <si>
    <t>Silver Gifts Pack</t>
    <phoneticPr fontId="1" type="noConversion"/>
  </si>
  <si>
    <t>Gold Gifts Pack</t>
    <phoneticPr fontId="1" type="noConversion"/>
  </si>
  <si>
    <t>Gold offer in the original Gold Pack of this Price</t>
    <phoneticPr fontId="1" type="noConversion"/>
  </si>
  <si>
    <r>
      <t xml:space="preserve">Discount Rate of Gold 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Times New Roman"/>
        <family val="1"/>
      </rPr>
      <t>Percentage Off)</t>
    </r>
    <phoneticPr fontId="1" type="noConversion"/>
  </si>
  <si>
    <t>Total worth of all the following items in Gold</t>
    <phoneticPr fontId="1" type="noConversion"/>
  </si>
  <si>
    <t>Academy 5</t>
    <phoneticPr fontId="1" type="noConversion"/>
  </si>
  <si>
    <t>Total worth of the Gold and items offeted by this Chest / Total worth of the original Gold Pack</t>
    <phoneticPr fontId="1" type="noConversion"/>
  </si>
  <si>
    <t>Wood Gifts Pack * 2</t>
    <phoneticPr fontId="1" type="noConversion"/>
  </si>
  <si>
    <t>Wood Gifts Pack * 1</t>
    <phoneticPr fontId="1" type="noConversion"/>
  </si>
  <si>
    <t>Stone Gifts Pack * 1</t>
    <phoneticPr fontId="1" type="noConversion"/>
  </si>
  <si>
    <t>Bronze Gifts Pack * 1</t>
    <phoneticPr fontId="1" type="noConversion"/>
  </si>
  <si>
    <t>Gift Mode</t>
    <phoneticPr fontId="1" type="noConversion"/>
  </si>
  <si>
    <t>Silver Gifts Pack * 1</t>
    <phoneticPr fontId="1" type="noConversion"/>
  </si>
  <si>
    <t>High Roller</t>
    <phoneticPr fontId="1" type="noConversion"/>
  </si>
  <si>
    <t>Added</t>
    <phoneticPr fontId="1" type="noConversion"/>
  </si>
  <si>
    <t>In All</t>
    <phoneticPr fontId="1" type="noConversion"/>
  </si>
  <si>
    <t>Hero Level</t>
    <phoneticPr fontId="1" type="noConversion"/>
  </si>
  <si>
    <t>Marketplace 8</t>
    <phoneticPr fontId="1" type="noConversion"/>
  </si>
  <si>
    <t>1 day</t>
    <phoneticPr fontId="1" type="noConversion"/>
  </si>
  <si>
    <t>March Speed 1</t>
    <phoneticPr fontId="1" type="noConversion"/>
  </si>
  <si>
    <t>March Speed 2</t>
  </si>
  <si>
    <t>March Speed 3</t>
  </si>
  <si>
    <t>March Speed 4</t>
  </si>
  <si>
    <t>March Speed 5</t>
  </si>
  <si>
    <t>March Speed 6</t>
  </si>
  <si>
    <t>March Speed 7</t>
  </si>
  <si>
    <t>March Speed 8</t>
  </si>
  <si>
    <t>March Speed 9</t>
  </si>
  <si>
    <t>March Speed 10</t>
  </si>
  <si>
    <t>March Speed</t>
    <phoneticPr fontId="1" type="noConversion"/>
  </si>
  <si>
    <t>Academy 3</t>
    <phoneticPr fontId="1" type="noConversion"/>
  </si>
  <si>
    <t>Ore Production 1</t>
    <phoneticPr fontId="1" type="noConversion"/>
  </si>
  <si>
    <t>Gold Mine 1</t>
    <phoneticPr fontId="1" type="noConversion"/>
  </si>
  <si>
    <t>Gold Mine 2</t>
  </si>
  <si>
    <t>Gold Mine 3</t>
  </si>
  <si>
    <t>Gold Mine 4</t>
  </si>
  <si>
    <t>Gold Mine 5</t>
  </si>
  <si>
    <t>Gold Mine 6</t>
  </si>
  <si>
    <t>Gold Mine 7</t>
  </si>
  <si>
    <t>Gold Mine 8</t>
  </si>
  <si>
    <t>Gold Mine 9</t>
  </si>
  <si>
    <t>Gold Mine 10</t>
  </si>
  <si>
    <t>Gold Mine 11</t>
  </si>
  <si>
    <t>Gold Mine 12</t>
  </si>
  <si>
    <t>Gold Mine 13</t>
  </si>
  <si>
    <t>Gold Mine 14</t>
  </si>
  <si>
    <t>Gold Mine 15</t>
  </si>
  <si>
    <t>Gold Mine 16</t>
  </si>
  <si>
    <t>Gold Mine 17</t>
  </si>
  <si>
    <t>Gold Mine 18</t>
  </si>
  <si>
    <t>Gold Mine 19</t>
  </si>
  <si>
    <t>Gold Mine 20</t>
  </si>
  <si>
    <t>Gold Mine 21</t>
  </si>
  <si>
    <t>Connect with Facebook</t>
    <phoneticPr fontId="1" type="noConversion"/>
  </si>
  <si>
    <t>Gold Collections per Day</t>
    <phoneticPr fontId="1" type="noConversion"/>
  </si>
  <si>
    <t>Bonus Gold per Collection</t>
    <phoneticPr fontId="1" type="noConversion"/>
  </si>
  <si>
    <t>Golden Pickaxe * 1</t>
    <phoneticPr fontId="1" type="noConversion"/>
  </si>
  <si>
    <t>Academy 2</t>
    <phoneticPr fontId="1" type="noConversion"/>
  </si>
  <si>
    <t>Friend</t>
  </si>
  <si>
    <t>Gold from Friends</t>
  </si>
  <si>
    <t>Storehouse 9</t>
    <phoneticPr fontId="1" type="noConversion"/>
  </si>
  <si>
    <t>Academy 6</t>
    <phoneticPr fontId="1" type="noConversion"/>
  </si>
  <si>
    <t>Storehouse 4</t>
  </si>
  <si>
    <t>Total Amount of 4 Rss Protected by Storehouse</t>
    <phoneticPr fontId="1" type="noConversion"/>
  </si>
  <si>
    <t xml:space="preserve">Storehouse </t>
  </si>
  <si>
    <t>Total Amount of 4 Resources</t>
    <phoneticPr fontId="1" type="noConversion"/>
  </si>
  <si>
    <t>Academy 7</t>
    <phoneticPr fontId="1" type="noConversion"/>
  </si>
  <si>
    <t>Hoplites 1</t>
    <phoneticPr fontId="1" type="noConversion"/>
  </si>
  <si>
    <t>Infantry Defense 2</t>
    <phoneticPr fontId="1" type="noConversion"/>
  </si>
  <si>
    <t>Unlock Hoplites</t>
    <phoneticPr fontId="1" type="noConversion"/>
  </si>
  <si>
    <t>Academy 8</t>
    <phoneticPr fontId="1" type="noConversion"/>
  </si>
  <si>
    <t>Skirmish Archers 1</t>
    <phoneticPr fontId="1" type="noConversion"/>
  </si>
  <si>
    <t>Light Cavalry 1</t>
    <phoneticPr fontId="1" type="noConversion"/>
  </si>
  <si>
    <t>Weapons</t>
    <phoneticPr fontId="1" type="noConversion"/>
  </si>
  <si>
    <t>Troop Power</t>
    <phoneticPr fontId="1" type="noConversion"/>
  </si>
  <si>
    <t>Trap Power</t>
    <phoneticPr fontId="1" type="noConversion"/>
  </si>
  <si>
    <t>Building Power</t>
    <phoneticPr fontId="1" type="noConversion"/>
  </si>
  <si>
    <t>Quests Power</t>
    <phoneticPr fontId="1" type="noConversion"/>
  </si>
  <si>
    <t>Research Power</t>
    <phoneticPr fontId="1" type="noConversion"/>
  </si>
  <si>
    <t>Hero Level Up</t>
    <phoneticPr fontId="1" type="noConversion"/>
  </si>
  <si>
    <t>Skill Points Obtained</t>
    <phoneticPr fontId="1" type="noConversion"/>
  </si>
  <si>
    <t>Increased Amount</t>
    <phoneticPr fontId="1" type="noConversion"/>
  </si>
  <si>
    <t>—</t>
    <phoneticPr fontId="1" type="noConversion"/>
  </si>
  <si>
    <t>Hero Skill Level</t>
    <phoneticPr fontId="1" type="noConversion"/>
  </si>
  <si>
    <t>Research Speed</t>
    <phoneticPr fontId="1" type="noConversion"/>
  </si>
  <si>
    <t>Inferior</t>
    <phoneticPr fontId="1" type="noConversion"/>
  </si>
  <si>
    <t>Common</t>
    <phoneticPr fontId="1" type="noConversion"/>
  </si>
  <si>
    <t>Uncommon</t>
    <phoneticPr fontId="1" type="noConversion"/>
  </si>
  <si>
    <t>Rare</t>
    <phoneticPr fontId="1" type="noConversion"/>
  </si>
  <si>
    <t>Epic</t>
    <phoneticPr fontId="1" type="noConversion"/>
  </si>
  <si>
    <t>Legendary</t>
    <phoneticPr fontId="1" type="noConversion"/>
  </si>
  <si>
    <t>Equipment Quality</t>
    <phoneticPr fontId="1" type="noConversion"/>
  </si>
  <si>
    <t>Quarterstaff</t>
    <phoneticPr fontId="1" type="noConversion"/>
  </si>
  <si>
    <t>Hero Equipment Attributes</t>
    <phoneticPr fontId="1" type="noConversion"/>
  </si>
  <si>
    <t>Troop Defense Bonus</t>
    <phoneticPr fontId="1" type="noConversion"/>
  </si>
  <si>
    <t>Troop Health Bonus</t>
    <phoneticPr fontId="1" type="noConversion"/>
  </si>
  <si>
    <t>Siege Attack</t>
    <phoneticPr fontId="1" type="noConversion"/>
  </si>
  <si>
    <t>Hero Equipment Name</t>
    <phoneticPr fontId="1" type="noConversion"/>
  </si>
  <si>
    <t>Hero Equipment Category</t>
    <phoneticPr fontId="1" type="noConversion"/>
  </si>
  <si>
    <t>Instant Speed Up</t>
    <phoneticPr fontId="1" type="noConversion"/>
  </si>
  <si>
    <t>VIP Icon in Profile and Chat</t>
    <phoneticPr fontId="1" type="noConversion"/>
  </si>
  <si>
    <t>Status Indication</t>
    <phoneticPr fontId="1" type="noConversion"/>
  </si>
  <si>
    <t>Quest Number Bonus</t>
    <phoneticPr fontId="1" type="noConversion"/>
  </si>
  <si>
    <t>Daily Quest</t>
    <phoneticPr fontId="1" type="noConversion"/>
  </si>
  <si>
    <t>Alliance Quest</t>
    <phoneticPr fontId="1" type="noConversion"/>
  </si>
  <si>
    <t>March Speed</t>
    <phoneticPr fontId="1" type="noConversion"/>
  </si>
  <si>
    <t>Crafting Speed</t>
    <phoneticPr fontId="1" type="noConversion"/>
  </si>
  <si>
    <t>Autocomplete</t>
    <phoneticPr fontId="1" type="noConversion"/>
  </si>
  <si>
    <r>
      <rPr>
        <sz val="12"/>
        <color theme="1"/>
        <rFont val="宋体"/>
        <family val="3"/>
        <charset val="134"/>
      </rPr>
      <t>√</t>
    </r>
  </si>
  <si>
    <t>Gold Gifts Pack * 1</t>
    <phoneticPr fontId="1" type="noConversion"/>
  </si>
  <si>
    <t>Gift for Alliance Members</t>
    <phoneticPr fontId="1" type="noConversion"/>
  </si>
  <si>
    <t>Expired Time</t>
    <phoneticPr fontId="1" type="noConversion"/>
  </si>
  <si>
    <t>Contents
(Each row is a record of an instance of opened Alliance Gift)</t>
    <phoneticPr fontId="1" type="noConversion"/>
  </si>
  <si>
    <t>Wood Gifts Pack</t>
    <phoneticPr fontId="1" type="noConversion"/>
  </si>
  <si>
    <t>50 Gift Points</t>
    <phoneticPr fontId="1" type="noConversion"/>
  </si>
  <si>
    <t>Iron Shackle * 1</t>
    <phoneticPr fontId="1" type="noConversion"/>
  </si>
  <si>
    <t>Sacrificial Dagger * 1</t>
    <phoneticPr fontId="1" type="noConversion"/>
  </si>
  <si>
    <t>War Commision * 1</t>
    <phoneticPr fontId="1" type="noConversion"/>
  </si>
  <si>
    <t>Stone Gifts Pack</t>
    <phoneticPr fontId="1" type="noConversion"/>
  </si>
  <si>
    <t>40Gold</t>
    <phoneticPr fontId="1" type="noConversion"/>
  </si>
  <si>
    <t>100 Gift Points</t>
    <phoneticPr fontId="1" type="noConversion"/>
  </si>
  <si>
    <t>Bronze Gifts Pack</t>
    <phoneticPr fontId="1" type="noConversion"/>
  </si>
  <si>
    <t>120 Gold</t>
    <phoneticPr fontId="1" type="noConversion"/>
  </si>
  <si>
    <t>200 Gift Points</t>
    <phoneticPr fontId="1" type="noConversion"/>
  </si>
  <si>
    <t>24 Hour Ore Boost * 1</t>
    <phoneticPr fontId="1" type="noConversion"/>
  </si>
  <si>
    <t>Silver Gifts Pack</t>
    <phoneticPr fontId="1" type="noConversion"/>
  </si>
  <si>
    <t>Gold Gifts Pack</t>
    <phoneticPr fontId="1" type="noConversion"/>
  </si>
  <si>
    <t>Troop Attack Bonus</t>
    <phoneticPr fontId="1" type="noConversion"/>
  </si>
  <si>
    <t>Production</t>
    <phoneticPr fontId="1" type="noConversion"/>
  </si>
  <si>
    <t>Food</t>
    <phoneticPr fontId="1" type="noConversion"/>
  </si>
  <si>
    <t>Wood</t>
    <phoneticPr fontId="1" type="noConversion"/>
  </si>
  <si>
    <t>Stone</t>
    <phoneticPr fontId="1" type="noConversion"/>
  </si>
  <si>
    <t>Ore</t>
    <phoneticPr fontId="1" type="noConversion"/>
  </si>
  <si>
    <t>Silver</t>
    <phoneticPr fontId="1" type="noConversion"/>
  </si>
  <si>
    <t>Unlock Capturable</t>
    <phoneticPr fontId="1" type="noConversion"/>
  </si>
  <si>
    <t>Barracks 9</t>
    <phoneticPr fontId="1" type="noConversion"/>
  </si>
  <si>
    <t>Academy 6</t>
    <phoneticPr fontId="1" type="noConversion"/>
  </si>
  <si>
    <t>2,000 Loyalty and Fund</t>
    <phoneticPr fontId="1" type="noConversion"/>
  </si>
  <si>
    <t>March Recall * 1</t>
    <phoneticPr fontId="1" type="noConversion"/>
  </si>
  <si>
    <t>Book of War * 1</t>
    <phoneticPr fontId="1" type="noConversion"/>
  </si>
  <si>
    <t>Academy 9</t>
    <phoneticPr fontId="1" type="noConversion"/>
  </si>
  <si>
    <t>Attacked by Players</t>
  </si>
  <si>
    <t>Healing</t>
  </si>
  <si>
    <t>30,000 Food</t>
    <phoneticPr fontId="1" type="noConversion"/>
  </si>
  <si>
    <t>Bonus Amount</t>
    <phoneticPr fontId="1" type="noConversion"/>
  </si>
  <si>
    <t>Total Amount</t>
    <phoneticPr fontId="1" type="noConversion"/>
  </si>
  <si>
    <t>Unlock Skirmish Archers</t>
    <phoneticPr fontId="1" type="noConversion"/>
  </si>
  <si>
    <t>Ranged Defense 2</t>
    <phoneticPr fontId="1" type="noConversion"/>
  </si>
  <si>
    <t>Cavalry Defense 2</t>
    <phoneticPr fontId="1" type="noConversion"/>
  </si>
  <si>
    <t>Unlock Light Cavalry</t>
    <phoneticPr fontId="1" type="noConversion"/>
  </si>
  <si>
    <t>Streak</t>
    <phoneticPr fontId="1" type="noConversion"/>
  </si>
  <si>
    <t>Number of Days</t>
    <phoneticPr fontId="1" type="noConversion"/>
  </si>
  <si>
    <t>3 Min Speed Up * 1</t>
    <phoneticPr fontId="1" type="noConversion"/>
  </si>
  <si>
    <t>1000 Gift Points</t>
    <phoneticPr fontId="1" type="noConversion"/>
  </si>
  <si>
    <t>Winged Boots * 1</t>
    <phoneticPr fontId="1" type="noConversion"/>
  </si>
  <si>
    <t>24 Hour Attack Boost * 1</t>
    <phoneticPr fontId="1" type="noConversion"/>
  </si>
  <si>
    <t>30,000 Casino Chips</t>
    <phoneticPr fontId="1" type="noConversion"/>
  </si>
  <si>
    <t>500 Gift Points</t>
    <phoneticPr fontId="1" type="noConversion"/>
  </si>
  <si>
    <t>60 Min Speed Up * 1</t>
    <phoneticPr fontId="1" type="noConversion"/>
  </si>
  <si>
    <t>Academy 8</t>
    <phoneticPr fontId="1" type="noConversion"/>
  </si>
  <si>
    <t>Iron Shackle * 10</t>
    <phoneticPr fontId="1" type="noConversion"/>
  </si>
  <si>
    <t>1 Gift Points</t>
    <phoneticPr fontId="1" type="noConversion"/>
  </si>
  <si>
    <t>Opal Gifts Pack</t>
    <phoneticPr fontId="1" type="noConversion"/>
  </si>
  <si>
    <t>Hallows Gem Lv 1 * 1</t>
    <phoneticPr fontId="1" type="noConversion"/>
  </si>
  <si>
    <t>VIP Points Rewarded with the Next Login</t>
    <phoneticPr fontId="1" type="noConversion"/>
  </si>
  <si>
    <t>10,000 Wood / Ore</t>
    <phoneticPr fontId="1" type="noConversion"/>
  </si>
  <si>
    <t>3,000 Silver</t>
    <phoneticPr fontId="1" type="noConversion"/>
  </si>
  <si>
    <t>15 Min Speed Up * 1</t>
    <phoneticPr fontId="1" type="noConversion"/>
  </si>
  <si>
    <t>Hero In Jail</t>
  </si>
  <si>
    <t>80 Gold</t>
    <phoneticPr fontId="1" type="noConversion"/>
  </si>
  <si>
    <t>Academy 8</t>
    <phoneticPr fontId="1" type="noConversion"/>
  </si>
  <si>
    <t>Book of War * 10</t>
    <phoneticPr fontId="1" type="noConversion"/>
  </si>
  <si>
    <t>Academy 6</t>
    <phoneticPr fontId="1" type="noConversion"/>
  </si>
  <si>
    <t>Academy 6</t>
    <phoneticPr fontId="1" type="noConversion"/>
  </si>
  <si>
    <t>5,250 Ore</t>
    <phoneticPr fontId="1" type="noConversion"/>
  </si>
  <si>
    <t>Pearl Gifts Pack</t>
    <phoneticPr fontId="1" type="noConversion"/>
  </si>
  <si>
    <t>10,000 Ore</t>
    <phoneticPr fontId="1" type="noConversion"/>
  </si>
  <si>
    <t>3 Gift Points</t>
    <phoneticPr fontId="1" type="noConversion"/>
  </si>
  <si>
    <t>50,000 Hero XP</t>
    <phoneticPr fontId="1" type="noConversion"/>
  </si>
  <si>
    <t>Gymnos 10</t>
    <phoneticPr fontId="1" type="noConversion"/>
  </si>
  <si>
    <t>Academy 8</t>
    <phoneticPr fontId="1" type="noConversion"/>
  </si>
  <si>
    <t>3 Hour Speed Up * 1</t>
    <phoneticPr fontId="1" type="noConversion"/>
  </si>
  <si>
    <t>Harvest Gem Lv 1 *1</t>
    <phoneticPr fontId="1" type="noConversion"/>
  </si>
  <si>
    <t>1,500 Wood / Stone</t>
    <phoneticPr fontId="1" type="noConversion"/>
  </si>
  <si>
    <t>CATEGORY</t>
    <phoneticPr fontId="1" type="noConversion"/>
  </si>
  <si>
    <t>CLASS</t>
    <phoneticPr fontId="1" type="noConversion"/>
  </si>
  <si>
    <t>Casino</t>
    <phoneticPr fontId="1" type="noConversion"/>
  </si>
  <si>
    <t>Chips</t>
    <phoneticPr fontId="1" type="noConversion"/>
  </si>
  <si>
    <t>Quest</t>
    <phoneticPr fontId="1" type="noConversion"/>
  </si>
  <si>
    <t>Gift</t>
    <phoneticPr fontId="1" type="noConversion"/>
  </si>
  <si>
    <t>Construction</t>
    <phoneticPr fontId="1" type="noConversion"/>
  </si>
  <si>
    <t>Research</t>
    <phoneticPr fontId="1" type="noConversion"/>
  </si>
  <si>
    <t>Training</t>
    <phoneticPr fontId="1" type="noConversion"/>
  </si>
  <si>
    <t>Battle</t>
    <phoneticPr fontId="1" type="noConversion"/>
  </si>
  <si>
    <t>Craft</t>
    <phoneticPr fontId="1" type="noConversion"/>
  </si>
  <si>
    <t>Level_Up</t>
    <phoneticPr fontId="1" type="noConversion"/>
  </si>
  <si>
    <t>Alliance</t>
    <phoneticPr fontId="1" type="noConversion"/>
  </si>
  <si>
    <t>Friend</t>
    <phoneticPr fontId="1" type="noConversion"/>
  </si>
  <si>
    <t>Event</t>
    <phoneticPr fontId="1" type="noConversion"/>
  </si>
  <si>
    <t>Store</t>
    <phoneticPr fontId="1" type="noConversion"/>
  </si>
  <si>
    <t>Initial</t>
    <phoneticPr fontId="1" type="noConversion"/>
  </si>
  <si>
    <t>Hero Level 1</t>
    <phoneticPr fontId="1" type="noConversion"/>
  </si>
  <si>
    <t>—</t>
    <phoneticPr fontId="1" type="noConversion"/>
  </si>
  <si>
    <t>Field Occupy</t>
    <phoneticPr fontId="1" type="noConversion"/>
  </si>
  <si>
    <t>Weapons</t>
    <phoneticPr fontId="1" type="noConversion"/>
  </si>
  <si>
    <t>Alliance Gift</t>
    <phoneticPr fontId="1" type="noConversion"/>
  </si>
  <si>
    <t>Gold from Friends</t>
    <phoneticPr fontId="1" type="noConversion"/>
  </si>
  <si>
    <t>Building Traps</t>
    <phoneticPr fontId="1" type="noConversion"/>
  </si>
  <si>
    <t>Buy Speed Ups</t>
    <phoneticPr fontId="1" type="noConversion"/>
  </si>
  <si>
    <t>at Will</t>
    <phoneticPr fontId="1" type="noConversion"/>
  </si>
  <si>
    <t>Scouting</t>
    <phoneticPr fontId="1" type="noConversion"/>
  </si>
  <si>
    <t>Helmets</t>
    <phoneticPr fontId="1" type="noConversion"/>
  </si>
  <si>
    <t>Alliance Store</t>
    <phoneticPr fontId="1" type="noConversion"/>
  </si>
  <si>
    <t>Buy Resources</t>
    <phoneticPr fontId="1" type="noConversion"/>
  </si>
  <si>
    <t>Daily Quest</t>
    <phoneticPr fontId="1" type="noConversion"/>
  </si>
  <si>
    <t>Stronghold upgrade Event</t>
    <phoneticPr fontId="1" type="noConversion"/>
  </si>
  <si>
    <t>Deconstruct</t>
    <phoneticPr fontId="1" type="noConversion"/>
  </si>
  <si>
    <t>Attack Players</t>
    <phoneticPr fontId="1" type="noConversion"/>
  </si>
  <si>
    <t>Armors</t>
    <phoneticPr fontId="1" type="noConversion"/>
  </si>
  <si>
    <t>Resource Help</t>
    <phoneticPr fontId="1" type="noConversion"/>
  </si>
  <si>
    <t>Buy Special</t>
    <phoneticPr fontId="1" type="noConversion"/>
  </si>
  <si>
    <t>Attacked by Players</t>
    <phoneticPr fontId="1" type="noConversion"/>
  </si>
  <si>
    <t>Accessories</t>
    <phoneticPr fontId="1" type="noConversion"/>
  </si>
  <si>
    <t>Alliance Quest</t>
    <phoneticPr fontId="1" type="noConversion"/>
  </si>
  <si>
    <t>Buy War Items</t>
    <phoneticPr fontId="1" type="noConversion"/>
  </si>
  <si>
    <t>Construction at Will</t>
    <phoneticPr fontId="1" type="noConversion"/>
  </si>
  <si>
    <t>Healing</t>
    <phoneticPr fontId="1" type="noConversion"/>
  </si>
  <si>
    <t>Foot Armor</t>
    <phoneticPr fontId="1" type="noConversion"/>
  </si>
  <si>
    <t>Buy Treasures</t>
    <phoneticPr fontId="1" type="noConversion"/>
  </si>
  <si>
    <t>Hero In Jail</t>
    <phoneticPr fontId="1" type="noConversion"/>
  </si>
  <si>
    <t>Special Event Gear</t>
    <phoneticPr fontId="1" type="noConversion"/>
  </si>
  <si>
    <t>Research at Will</t>
    <phoneticPr fontId="1" type="noConversion"/>
  </si>
  <si>
    <t>Training at Will</t>
    <phoneticPr fontId="1" type="noConversion"/>
  </si>
  <si>
    <t>Increase Production</t>
    <phoneticPr fontId="1" type="noConversion"/>
  </si>
  <si>
    <t>Hero Upgrade Milestone</t>
    <phoneticPr fontId="1" type="noConversion"/>
  </si>
  <si>
    <t>Hero Level 2</t>
    <phoneticPr fontId="1" type="noConversion"/>
  </si>
  <si>
    <t>Archer Tower</t>
    <phoneticPr fontId="1" type="noConversion"/>
  </si>
  <si>
    <t>Spikes</t>
    <phoneticPr fontId="1" type="noConversion"/>
  </si>
  <si>
    <t>Boiling Tar</t>
    <phoneticPr fontId="1" type="noConversion"/>
  </si>
  <si>
    <t>Hero Level 3</t>
    <phoneticPr fontId="1" type="noConversion"/>
  </si>
  <si>
    <t>Hero Level 4</t>
    <phoneticPr fontId="1" type="noConversion"/>
  </si>
  <si>
    <t>Hero Level 5</t>
    <phoneticPr fontId="1" type="noConversion"/>
  </si>
  <si>
    <t>Hero Level 6</t>
    <phoneticPr fontId="1" type="noConversion"/>
  </si>
  <si>
    <t>Hero Level 7</t>
    <phoneticPr fontId="1" type="noConversion"/>
  </si>
  <si>
    <t>Hero Level 8</t>
    <phoneticPr fontId="1" type="noConversion"/>
  </si>
  <si>
    <t>Hero Level 9</t>
    <phoneticPr fontId="1" type="noConversion"/>
  </si>
  <si>
    <t>Hero Level 10</t>
    <phoneticPr fontId="1" type="noConversion"/>
  </si>
  <si>
    <t>Hero Level 11</t>
    <phoneticPr fontId="1" type="noConversion"/>
  </si>
  <si>
    <t>Hero Level 12</t>
    <phoneticPr fontId="1" type="noConversion"/>
  </si>
  <si>
    <t>Hero Level 13</t>
    <phoneticPr fontId="1" type="noConversion"/>
  </si>
  <si>
    <t>Hero Level 14</t>
    <phoneticPr fontId="1" type="noConversion"/>
  </si>
  <si>
    <t>Hero Level 15</t>
    <phoneticPr fontId="1" type="noConversion"/>
  </si>
  <si>
    <t>Hero Level 16</t>
    <phoneticPr fontId="1" type="noConversion"/>
  </si>
  <si>
    <t>Hero Level 17</t>
    <phoneticPr fontId="1" type="noConversion"/>
  </si>
  <si>
    <t>Hero Level 18</t>
    <phoneticPr fontId="1" type="noConversion"/>
  </si>
  <si>
    <t>Hero Level 19</t>
    <phoneticPr fontId="1" type="noConversion"/>
  </si>
  <si>
    <t>Hero Level 20</t>
    <phoneticPr fontId="1" type="noConversion"/>
  </si>
  <si>
    <t>Gymnos 7</t>
    <phoneticPr fontId="1" type="noConversion"/>
  </si>
  <si>
    <t>Quarry 7</t>
    <phoneticPr fontId="1" type="noConversion"/>
  </si>
  <si>
    <t>Farm 8</t>
    <phoneticPr fontId="1" type="noConversion"/>
  </si>
  <si>
    <t>Quarry 8</t>
    <phoneticPr fontId="1" type="noConversion"/>
  </si>
  <si>
    <t>Logging Camp 8</t>
    <phoneticPr fontId="1" type="noConversion"/>
  </si>
  <si>
    <t>Villa 8</t>
    <phoneticPr fontId="1" type="noConversion"/>
  </si>
  <si>
    <t>Hero Level 21</t>
    <phoneticPr fontId="1" type="noConversion"/>
  </si>
  <si>
    <t>Gymnos 8</t>
    <phoneticPr fontId="1" type="noConversion"/>
  </si>
  <si>
    <t>Barracks 7</t>
    <phoneticPr fontId="1" type="noConversion"/>
  </si>
  <si>
    <t>Marketplace 6</t>
    <phoneticPr fontId="1" type="noConversion"/>
  </si>
  <si>
    <t>Marketplace 7</t>
    <phoneticPr fontId="1" type="noConversion"/>
  </si>
  <si>
    <t>Hero Level 22</t>
    <phoneticPr fontId="1" type="noConversion"/>
  </si>
  <si>
    <t>Stronghold 9</t>
    <phoneticPr fontId="1" type="noConversion"/>
  </si>
  <si>
    <t>Mine 9</t>
    <phoneticPr fontId="1" type="noConversion"/>
  </si>
  <si>
    <t>Farm 9</t>
    <phoneticPr fontId="1" type="noConversion"/>
  </si>
  <si>
    <t>Hero Level 23</t>
    <phoneticPr fontId="1" type="noConversion"/>
  </si>
  <si>
    <t>Marketplace 9</t>
    <phoneticPr fontId="1" type="noConversion"/>
  </si>
  <si>
    <t>Quarry 9</t>
    <phoneticPr fontId="1" type="noConversion"/>
  </si>
  <si>
    <t>Hero Level 24</t>
    <phoneticPr fontId="1" type="noConversion"/>
  </si>
  <si>
    <t>Forge 9</t>
    <phoneticPr fontId="1" type="noConversion"/>
  </si>
  <si>
    <t>Walls 9</t>
    <phoneticPr fontId="1" type="noConversion"/>
  </si>
  <si>
    <t>Barracks 8</t>
    <phoneticPr fontId="1" type="noConversion"/>
  </si>
  <si>
    <t>Stronghold 10</t>
    <phoneticPr fontId="1" type="noConversion"/>
  </si>
  <si>
    <t>0:2:49 Basic</t>
    <phoneticPr fontId="1" type="noConversion"/>
  </si>
  <si>
    <t>Academy 10</t>
    <phoneticPr fontId="1" type="noConversion"/>
  </si>
  <si>
    <t>Hero Level 25</t>
    <phoneticPr fontId="1" type="noConversion"/>
  </si>
  <si>
    <t>Mine 10</t>
    <phoneticPr fontId="1" type="noConversion"/>
  </si>
  <si>
    <t>Logging Camp 9</t>
    <phoneticPr fontId="1" type="noConversion"/>
  </si>
  <si>
    <t>Quarry 10</t>
    <phoneticPr fontId="1" type="noConversion"/>
  </si>
  <si>
    <t>Farm 10</t>
    <phoneticPr fontId="1" type="noConversion"/>
  </si>
  <si>
    <t>Hero Level 26</t>
    <phoneticPr fontId="1" type="noConversion"/>
  </si>
  <si>
    <t>Storehouse 10</t>
    <phoneticPr fontId="1" type="noConversion"/>
  </si>
  <si>
    <t>Logging Camp 10</t>
    <phoneticPr fontId="1" type="noConversion"/>
  </si>
  <si>
    <t>Embassy 4</t>
    <phoneticPr fontId="1" type="noConversion"/>
  </si>
  <si>
    <t>Villa 9</t>
    <phoneticPr fontId="1" type="noConversion"/>
  </si>
  <si>
    <t>Marketplace 10</t>
    <phoneticPr fontId="1" type="noConversion"/>
  </si>
  <si>
    <t>Hero Level 27</t>
    <phoneticPr fontId="1" type="noConversion"/>
  </si>
  <si>
    <t>Forge 10</t>
    <phoneticPr fontId="1" type="noConversion"/>
  </si>
  <si>
    <t>Villa 10</t>
    <phoneticPr fontId="1" type="noConversion"/>
  </si>
  <si>
    <t>Walls 10</t>
    <phoneticPr fontId="1" type="noConversion"/>
  </si>
  <si>
    <t>Gymnos 9</t>
    <phoneticPr fontId="1" type="noConversion"/>
  </si>
  <si>
    <t>Hero Level 28</t>
    <phoneticPr fontId="1" type="noConversion"/>
  </si>
  <si>
    <t>Barracks 10</t>
    <phoneticPr fontId="1" type="noConversion"/>
  </si>
  <si>
    <t>Stronghold 11</t>
    <phoneticPr fontId="1" type="noConversion"/>
  </si>
  <si>
    <t>Hero Level 29</t>
    <phoneticPr fontId="1" type="noConversion"/>
  </si>
  <si>
    <t>Farm 11</t>
    <phoneticPr fontId="1" type="noConversion"/>
  </si>
  <si>
    <t>Hero Level 30</t>
    <phoneticPr fontId="1" type="noConversion"/>
  </si>
  <si>
    <t>Storehouse 11</t>
    <phoneticPr fontId="1" type="noConversion"/>
  </si>
  <si>
    <t>Academy 11</t>
    <phoneticPr fontId="1" type="noConversion"/>
  </si>
  <si>
    <t>Academy 11</t>
    <phoneticPr fontId="1" type="noConversion"/>
  </si>
  <si>
    <t>Mine 11</t>
    <phoneticPr fontId="1" type="noConversion"/>
  </si>
  <si>
    <t>0:7:49 Common</t>
    <phoneticPr fontId="1" type="noConversion"/>
  </si>
  <si>
    <t>min</t>
    <phoneticPr fontId="1" type="noConversion"/>
  </si>
  <si>
    <t>"Free" Speed Up Time</t>
    <phoneticPr fontId="1" type="noConversion"/>
  </si>
  <si>
    <t>"Help" Speed Up Time</t>
    <phoneticPr fontId="1" type="noConversion"/>
  </si>
  <si>
    <t>Original Construction Time</t>
    <phoneticPr fontId="1" type="noConversion"/>
  </si>
  <si>
    <t>Actual "Help" Speed Up Time</t>
    <phoneticPr fontId="1" type="noConversion"/>
  </si>
  <si>
    <t>Actual "Free" Speed Up Time</t>
    <phoneticPr fontId="1" type="noConversion"/>
  </si>
  <si>
    <t>Construction Waiting Time</t>
    <phoneticPr fontId="1" type="noConversion"/>
  </si>
  <si>
    <t>Alliance Help Time</t>
    <phoneticPr fontId="1" type="noConversion"/>
  </si>
  <si>
    <t>Logging Camp 11</t>
    <phoneticPr fontId="1" type="noConversion"/>
  </si>
  <si>
    <t>Quarry 11</t>
    <phoneticPr fontId="1" type="noConversion"/>
  </si>
  <si>
    <t>Player Level</t>
    <phoneticPr fontId="1" type="noConversion"/>
  </si>
  <si>
    <t>Speed Up Reward</t>
    <phoneticPr fontId="1" type="noConversion"/>
  </si>
  <si>
    <t>Speed Up Gained</t>
    <phoneticPr fontId="1" type="noConversion"/>
  </si>
  <si>
    <t>This Level</t>
    <phoneticPr fontId="1" type="noConversion"/>
  </si>
  <si>
    <t>KoM</t>
    <phoneticPr fontId="1" type="noConversion"/>
  </si>
  <si>
    <t>Cumulative Speed Up Time Got (GoW)</t>
    <phoneticPr fontId="1" type="noConversion"/>
  </si>
  <si>
    <t>Cumulative Speed Up Time Used (GoW)</t>
    <phoneticPr fontId="1" type="noConversion"/>
  </si>
  <si>
    <t>Speed Up Time Left (GoW)</t>
    <phoneticPr fontId="1" type="noConversion"/>
  </si>
  <si>
    <t>Cumulative Speed Up Time Got (KoM)</t>
    <phoneticPr fontId="1" type="noConversion"/>
  </si>
  <si>
    <t>本等级的数据不完整</t>
    <phoneticPr fontId="1" type="noConversion"/>
  </si>
  <si>
    <t>Dollar
(Lower to Upper Limit)</t>
    <phoneticPr fontId="1" type="noConversion"/>
  </si>
  <si>
    <t>Dollar</t>
    <phoneticPr fontId="1" type="noConversion"/>
  </si>
  <si>
    <t>Possessed Gold</t>
    <phoneticPr fontId="1" type="noConversion"/>
  </si>
  <si>
    <t>Cumulative Gold</t>
    <phoneticPr fontId="1" type="noConversion"/>
  </si>
  <si>
    <t>GoW</t>
    <phoneticPr fontId="1" type="noConversion"/>
  </si>
  <si>
    <t>KoM</t>
    <phoneticPr fontId="1" type="noConversion"/>
  </si>
  <si>
    <t>130 Gold / Hour</t>
    <phoneticPr fontId="1" type="noConversion"/>
  </si>
  <si>
    <t>10 Mithril / Hour</t>
    <phoneticPr fontId="1" type="noConversion"/>
  </si>
  <si>
    <t>Free Mithril</t>
    <phoneticPr fontId="1" type="noConversion"/>
  </si>
  <si>
    <t>Free Gold</t>
    <phoneticPr fontId="1" type="noConversion"/>
  </si>
  <si>
    <t>Free Gold Converted into 1 Hour Speed Up (GoW)</t>
    <phoneticPr fontId="1" type="noConversion"/>
  </si>
  <si>
    <t>Free Mithril Converted into 1 Hour Speed Up (KoM)</t>
    <phoneticPr fontId="1" type="noConversion"/>
  </si>
  <si>
    <t>Total</t>
    <phoneticPr fontId="1" type="noConversion"/>
  </si>
  <si>
    <t>Total Rss Cost / Rss Output</t>
    <phoneticPr fontId="1" type="noConversion"/>
  </si>
  <si>
    <t>Hour</t>
    <phoneticPr fontId="1" type="noConversion"/>
  </si>
  <si>
    <t>(Total Rss Cost / Rss Output) / Construction Time</t>
    <phoneticPr fontId="1" type="noConversion"/>
  </si>
  <si>
    <t>Silver Demand Increase Rate</t>
    <phoneticPr fontId="1" type="noConversion"/>
  </si>
  <si>
    <t>Silver Supply Increase Rate</t>
    <phoneticPr fontId="1" type="noConversion"/>
  </si>
  <si>
    <t>Academy 1</t>
  </si>
  <si>
    <t>Cumulative Construction Time that has to be Waited Before Each Level Up</t>
  </si>
  <si>
    <r>
      <rPr>
        <b/>
        <sz val="11"/>
        <color theme="1"/>
        <rFont val="Times New Roman"/>
        <family val="1"/>
      </rPr>
      <t>Cumulative Max Waiting Time</t>
    </r>
    <r>
      <rPr>
        <sz val="11"/>
        <color theme="1"/>
        <rFont val="Times New Roman"/>
        <family val="1"/>
      </rPr>
      <t xml:space="preserve"> = 
Construction Time
- Free Time - Speed Up Time</t>
    </r>
    <phoneticPr fontId="1" type="noConversion"/>
  </si>
  <si>
    <r>
      <rPr>
        <b/>
        <sz val="11"/>
        <color theme="1"/>
        <rFont val="Times New Roman"/>
        <family val="1"/>
      </rPr>
      <t>Max Waiting Time for Each Level</t>
    </r>
    <r>
      <rPr>
        <sz val="11"/>
        <color theme="1"/>
        <rFont val="Times New Roman"/>
        <family val="1"/>
      </rPr>
      <t xml:space="preserve"> = 
Construction Time
- Free Time - Speed Up Time</t>
    </r>
    <phoneticPr fontId="1" type="noConversion"/>
  </si>
  <si>
    <t>Construction Time that has to be Waited for Each Level Up</t>
    <phoneticPr fontId="1" type="noConversion"/>
  </si>
  <si>
    <t>Hero Skill</t>
    <phoneticPr fontId="1" type="noConversion"/>
  </si>
  <si>
    <t>Cumulative Time to be Waited Before this Level</t>
    <phoneticPr fontId="1" type="noConversion"/>
  </si>
  <si>
    <t>比较两种建筑加速的途径哪个更快：一是英雄升级学习建筑加速的英雄技能；二是研究建筑加速的科技</t>
    <phoneticPr fontId="1" type="noConversion"/>
  </si>
  <si>
    <t>Quarry 8</t>
    <phoneticPr fontId="1" type="noConversion"/>
  </si>
  <si>
    <t>Storehouse 10</t>
    <phoneticPr fontId="1" type="noConversion"/>
  </si>
  <si>
    <t>March Size</t>
  </si>
  <si>
    <t>March Size</t>
    <phoneticPr fontId="1" type="noConversion"/>
  </si>
  <si>
    <t>Trap Capacity</t>
  </si>
  <si>
    <t>Trap Capacity</t>
    <phoneticPr fontId="1" type="noConversion"/>
  </si>
  <si>
    <t>March Slots</t>
    <phoneticPr fontId="1" type="noConversion"/>
  </si>
  <si>
    <t>Total March Size</t>
    <phoneticPr fontId="1" type="noConversion"/>
  </si>
  <si>
    <t>Pull Down Menu</t>
    <phoneticPr fontId="1" type="noConversion"/>
  </si>
  <si>
    <t>CATEGORY</t>
    <phoneticPr fontId="1" type="noConversion"/>
  </si>
  <si>
    <t>CLASS</t>
    <phoneticPr fontId="1" type="noConversion"/>
  </si>
  <si>
    <t>DETAIL</t>
    <phoneticPr fontId="1" type="noConversion"/>
  </si>
  <si>
    <t>Hero</t>
    <phoneticPr fontId="1" type="noConversion"/>
  </si>
  <si>
    <t>Power Gained</t>
    <phoneticPr fontId="1" type="noConversion"/>
  </si>
  <si>
    <t>VIP</t>
    <phoneticPr fontId="1" type="noConversion"/>
  </si>
  <si>
    <t>Currency - Gold</t>
    <phoneticPr fontId="1" type="noConversion"/>
  </si>
  <si>
    <t>Free Time</t>
    <phoneticPr fontId="1" type="noConversion"/>
  </si>
  <si>
    <t>Help Time</t>
    <phoneticPr fontId="1" type="noConversion"/>
  </si>
  <si>
    <t>Speed Up Gained or Possessed</t>
    <phoneticPr fontId="1" type="noConversion"/>
  </si>
  <si>
    <t>Accumulative Speed Up Time Got</t>
    <phoneticPr fontId="1" type="noConversion"/>
  </si>
  <si>
    <t>Accumulative Speed Up Time Used</t>
    <phoneticPr fontId="1" type="noConversion"/>
  </si>
  <si>
    <t>Speed Up Time Left</t>
    <phoneticPr fontId="1" type="noConversion"/>
  </si>
  <si>
    <t>Construction Time</t>
    <phoneticPr fontId="1" type="noConversion"/>
  </si>
  <si>
    <t>Speed Up Time Used</t>
    <phoneticPr fontId="1" type="noConversion"/>
  </si>
  <si>
    <t>Construction Time
- Free Time
- Help Time
- Speed Up Time</t>
    <phoneticPr fontId="1" type="noConversion"/>
  </si>
  <si>
    <t>Research Time</t>
    <phoneticPr fontId="1" type="noConversion"/>
  </si>
  <si>
    <t>Research Time
- Help Time
- Speed Up Time</t>
    <phoneticPr fontId="1" type="noConversion"/>
  </si>
  <si>
    <t>Resources Gained or Consumed</t>
    <phoneticPr fontId="1" type="noConversion"/>
  </si>
  <si>
    <t>Upkeep</t>
    <phoneticPr fontId="1" type="noConversion"/>
  </si>
  <si>
    <t>City Capacity</t>
    <phoneticPr fontId="1" type="noConversion"/>
  </si>
  <si>
    <t>Core Constructions</t>
    <phoneticPr fontId="1" type="noConversion"/>
  </si>
  <si>
    <t>Resource Constructions</t>
    <phoneticPr fontId="1" type="noConversion"/>
  </si>
  <si>
    <t>Battle Constructions</t>
    <phoneticPr fontId="1" type="noConversion"/>
  </si>
  <si>
    <t>Technology Constructions</t>
    <phoneticPr fontId="1" type="noConversion"/>
  </si>
  <si>
    <t>Crafting Constructions</t>
    <phoneticPr fontId="1" type="noConversion"/>
  </si>
  <si>
    <t>Alliance Constructions</t>
    <phoneticPr fontId="1" type="noConversion"/>
  </si>
  <si>
    <t>Hero Constructions</t>
    <phoneticPr fontId="1" type="noConversion"/>
  </si>
  <si>
    <t>Gold Construction</t>
    <phoneticPr fontId="1" type="noConversion"/>
  </si>
  <si>
    <t>Alliance Currencies</t>
    <phoneticPr fontId="1" type="noConversion"/>
  </si>
  <si>
    <t>Level</t>
    <phoneticPr fontId="1" type="noConversion"/>
  </si>
  <si>
    <t>Exp Modifier</t>
    <phoneticPr fontId="1" type="noConversion"/>
  </si>
  <si>
    <t>Original Exp</t>
    <phoneticPr fontId="1" type="noConversion"/>
  </si>
  <si>
    <t>Exp Actually Gained</t>
    <phoneticPr fontId="1" type="noConversion"/>
  </si>
  <si>
    <t>Skill Points</t>
    <phoneticPr fontId="1" type="noConversion"/>
  </si>
  <si>
    <t>Point</t>
    <phoneticPr fontId="1" type="noConversion"/>
  </si>
  <si>
    <t>Amount of Time</t>
    <phoneticPr fontId="1" type="noConversion"/>
  </si>
  <si>
    <t>Possessing Gold</t>
    <phoneticPr fontId="1" type="noConversion"/>
  </si>
  <si>
    <t>Cumulatively Used Gold</t>
    <phoneticPr fontId="1" type="noConversion"/>
  </si>
  <si>
    <t>Cumulatively Got Gold</t>
    <phoneticPr fontId="1" type="noConversion"/>
  </si>
  <si>
    <t>25% Time Off</t>
    <phoneticPr fontId="1" type="noConversion"/>
  </si>
  <si>
    <t>50% Time Off</t>
    <phoneticPr fontId="1" type="noConversion"/>
  </si>
  <si>
    <t>Got for Free</t>
    <phoneticPr fontId="1" type="noConversion"/>
  </si>
  <si>
    <t>Bought</t>
    <phoneticPr fontId="1" type="noConversion"/>
  </si>
  <si>
    <t>Sum</t>
    <phoneticPr fontId="1" type="noConversion"/>
  </si>
  <si>
    <t>Construction Acceleration</t>
    <phoneticPr fontId="1" type="noConversion"/>
  </si>
  <si>
    <t>Original Time</t>
    <phoneticPr fontId="1" type="noConversion"/>
  </si>
  <si>
    <t>Actual Time</t>
    <phoneticPr fontId="1" type="noConversion"/>
  </si>
  <si>
    <t>Research Acceleration</t>
    <phoneticPr fontId="1" type="noConversion"/>
  </si>
  <si>
    <t>Stone</t>
    <phoneticPr fontId="1" type="noConversion"/>
  </si>
  <si>
    <t>Wood</t>
    <phoneticPr fontId="1" type="noConversion"/>
  </si>
  <si>
    <t>Ore</t>
    <phoneticPr fontId="1" type="noConversion"/>
  </si>
  <si>
    <t>Food</t>
    <phoneticPr fontId="1" type="noConversion"/>
  </si>
  <si>
    <t>Silver</t>
    <phoneticPr fontId="1" type="noConversion"/>
  </si>
  <si>
    <t>Storehouse Lv.</t>
    <phoneticPr fontId="1" type="noConversion"/>
  </si>
  <si>
    <t>Farm Max Lv.</t>
    <phoneticPr fontId="1" type="noConversion"/>
  </si>
  <si>
    <t>Farm Num</t>
    <phoneticPr fontId="1" type="noConversion"/>
  </si>
  <si>
    <t>Logging Camp Max Lv.</t>
    <phoneticPr fontId="1" type="noConversion"/>
  </si>
  <si>
    <t>Logging Camp Num</t>
    <phoneticPr fontId="1" type="noConversion"/>
  </si>
  <si>
    <t>Quarry Max Lv.</t>
    <phoneticPr fontId="1" type="noConversion"/>
  </si>
  <si>
    <t>Quarry Num</t>
    <phoneticPr fontId="1" type="noConversion"/>
  </si>
  <si>
    <t>Mine Max Lv.</t>
    <phoneticPr fontId="1" type="noConversion"/>
  </si>
  <si>
    <t>Mine Num</t>
    <phoneticPr fontId="1" type="noConversion"/>
  </si>
  <si>
    <t>Villa Max Lv.</t>
    <phoneticPr fontId="1" type="noConversion"/>
  </si>
  <si>
    <t>Villa Num</t>
    <phoneticPr fontId="1" type="noConversion"/>
  </si>
  <si>
    <t>Barracks Max Lv.</t>
    <phoneticPr fontId="1" type="noConversion"/>
  </si>
  <si>
    <t>Barracks Num</t>
    <phoneticPr fontId="1" type="noConversion"/>
  </si>
  <si>
    <t>Hospital Max Lv.</t>
    <phoneticPr fontId="1" type="noConversion"/>
  </si>
  <si>
    <t>Hospital Num</t>
    <phoneticPr fontId="1" type="noConversion"/>
  </si>
  <si>
    <t>Watchtower Lv.</t>
    <phoneticPr fontId="1" type="noConversion"/>
  </si>
  <si>
    <t>Academy</t>
    <phoneticPr fontId="1" type="noConversion"/>
  </si>
  <si>
    <t>Forge</t>
    <phoneticPr fontId="1" type="noConversion"/>
  </si>
  <si>
    <t>Marketplace</t>
    <phoneticPr fontId="1" type="noConversion"/>
  </si>
  <si>
    <t>Embassy Lv.</t>
    <phoneticPr fontId="1" type="noConversion"/>
  </si>
  <si>
    <t>Hall of War Lv.</t>
    <phoneticPr fontId="1" type="noConversion"/>
  </si>
  <si>
    <t>Gymnos Lv.</t>
    <phoneticPr fontId="1" type="noConversion"/>
  </si>
  <si>
    <t>Prison Lv.</t>
    <phoneticPr fontId="1" type="noConversion"/>
  </si>
  <si>
    <t>Altar Lv.</t>
    <phoneticPr fontId="1" type="noConversion"/>
  </si>
  <si>
    <t>Gold Mine</t>
    <phoneticPr fontId="1" type="noConversion"/>
  </si>
  <si>
    <t>Loyalty</t>
    <phoneticPr fontId="1" type="noConversion"/>
  </si>
  <si>
    <t>Funds</t>
    <phoneticPr fontId="1" type="noConversion"/>
  </si>
  <si>
    <t>Initial</t>
    <phoneticPr fontId="1" type="noConversion"/>
  </si>
  <si>
    <t>Hero Level 1</t>
    <phoneticPr fontId="1" type="noConversion"/>
  </si>
  <si>
    <t>—</t>
    <phoneticPr fontId="1" type="noConversion"/>
  </si>
  <si>
    <t>Farm 1</t>
    <phoneticPr fontId="1" type="noConversion"/>
  </si>
  <si>
    <t>Quest</t>
    <phoneticPr fontId="1" type="noConversion"/>
  </si>
  <si>
    <t>Construction</t>
    <phoneticPr fontId="1" type="noConversion"/>
  </si>
  <si>
    <t>Gift</t>
    <phoneticPr fontId="1" type="noConversion"/>
  </si>
  <si>
    <t>Stronghold 1-&gt;2 Event</t>
    <phoneticPr fontId="1" type="noConversion"/>
  </si>
  <si>
    <t>Special</t>
    <phoneticPr fontId="1" type="noConversion"/>
  </si>
  <si>
    <t>Beginner's Chest</t>
    <phoneticPr fontId="1" type="noConversion"/>
  </si>
  <si>
    <t>Online Reward</t>
    <phoneticPr fontId="1" type="noConversion"/>
  </si>
  <si>
    <t>Casino</t>
    <phoneticPr fontId="1" type="noConversion"/>
  </si>
  <si>
    <t>Stronghold upgrade Chest</t>
    <phoneticPr fontId="1" type="noConversion"/>
  </si>
  <si>
    <t>Stronghold 1 Chest</t>
    <phoneticPr fontId="1" type="noConversion"/>
  </si>
  <si>
    <t>Stronghold 2 Chest</t>
    <phoneticPr fontId="1" type="noConversion"/>
  </si>
  <si>
    <t>Hospital 1</t>
    <phoneticPr fontId="1" type="noConversion"/>
  </si>
  <si>
    <t>Hero 1-&gt;2</t>
    <phoneticPr fontId="1" type="noConversion"/>
  </si>
  <si>
    <t>Hero Level 2</t>
    <phoneticPr fontId="1" type="noConversion"/>
  </si>
  <si>
    <t>Initially Completed</t>
    <phoneticPr fontId="1" type="noConversion"/>
  </si>
  <si>
    <t>Storehouse 1</t>
    <phoneticPr fontId="1" type="noConversion"/>
  </si>
  <si>
    <t>Watchtower 1</t>
    <phoneticPr fontId="1" type="noConversion"/>
  </si>
  <si>
    <t>by Quest</t>
    <phoneticPr fontId="1" type="noConversion"/>
  </si>
  <si>
    <t>Logging Camp 1</t>
    <phoneticPr fontId="1" type="noConversion"/>
  </si>
  <si>
    <t>Academy 1</t>
    <phoneticPr fontId="1" type="noConversion"/>
  </si>
  <si>
    <t>Research</t>
    <phoneticPr fontId="1" type="noConversion"/>
  </si>
  <si>
    <t>Scouting 1</t>
    <phoneticPr fontId="1" type="noConversion"/>
  </si>
  <si>
    <t>Hero 2-&gt;3</t>
    <phoneticPr fontId="1" type="noConversion"/>
  </si>
  <si>
    <t>Hero Level 3</t>
    <phoneticPr fontId="1" type="noConversion"/>
  </si>
  <si>
    <t>Hero 3-&gt;4</t>
    <phoneticPr fontId="1" type="noConversion"/>
  </si>
  <si>
    <t>Hero Level 4</t>
    <phoneticPr fontId="1" type="noConversion"/>
  </si>
  <si>
    <t>at Will</t>
    <phoneticPr fontId="1" type="noConversion"/>
  </si>
  <si>
    <t>Barracks 1</t>
    <phoneticPr fontId="1" type="noConversion"/>
  </si>
  <si>
    <t>Training</t>
    <phoneticPr fontId="1" type="noConversion"/>
  </si>
  <si>
    <t>Swordsmen</t>
    <phoneticPr fontId="1" type="noConversion"/>
  </si>
  <si>
    <t>Swordsmen 20</t>
    <phoneticPr fontId="1" type="noConversion"/>
  </si>
  <si>
    <t>Participate an Event</t>
    <phoneticPr fontId="1" type="noConversion"/>
  </si>
  <si>
    <t>Join an Alliance</t>
    <phoneticPr fontId="1" type="noConversion"/>
  </si>
  <si>
    <t>Storehouse 2</t>
    <phoneticPr fontId="1" type="noConversion"/>
  </si>
  <si>
    <t>Stronghold 3</t>
    <phoneticPr fontId="1" type="noConversion"/>
  </si>
  <si>
    <t>Stronghold upgrade Event</t>
    <phoneticPr fontId="1" type="noConversion"/>
  </si>
  <si>
    <t>Stronghold 2-&gt;3 Event</t>
    <phoneticPr fontId="1" type="noConversion"/>
  </si>
  <si>
    <t>Hero 4-&gt;5</t>
    <phoneticPr fontId="1" type="noConversion"/>
  </si>
  <si>
    <t>Hero Level 5</t>
    <phoneticPr fontId="1" type="noConversion"/>
  </si>
  <si>
    <t>Storehouse 3</t>
    <phoneticPr fontId="1" type="noConversion"/>
  </si>
  <si>
    <t>Stronghold 4</t>
    <phoneticPr fontId="1" type="noConversion"/>
  </si>
  <si>
    <t>Stronghold 3-&gt;4 Event</t>
    <phoneticPr fontId="1" type="noConversion"/>
  </si>
  <si>
    <t>Storehouse 4</t>
    <phoneticPr fontId="1" type="noConversion"/>
  </si>
  <si>
    <t>Construction 1</t>
    <phoneticPr fontId="1" type="noConversion"/>
  </si>
  <si>
    <t>Hero 5-&gt;6</t>
    <phoneticPr fontId="1" type="noConversion"/>
  </si>
  <si>
    <t>Hero Level 6</t>
    <phoneticPr fontId="1" type="noConversion"/>
  </si>
  <si>
    <t>Join an Alliance2</t>
    <phoneticPr fontId="1" type="noConversion"/>
  </si>
  <si>
    <t>Hero 6-&gt;7</t>
    <phoneticPr fontId="1" type="noConversion"/>
  </si>
  <si>
    <t>Hero Level 7</t>
    <phoneticPr fontId="1" type="noConversion"/>
  </si>
  <si>
    <t>Stronghold 3 Chest</t>
    <phoneticPr fontId="1" type="noConversion"/>
  </si>
  <si>
    <t>Stronghold 4 Chest</t>
    <phoneticPr fontId="1" type="noConversion"/>
  </si>
  <si>
    <t>Receive Help from Alliance Members to Speed Up</t>
    <phoneticPr fontId="1" type="noConversion"/>
  </si>
  <si>
    <t>Help an Alliance Member with their Build or Research</t>
    <phoneticPr fontId="1" type="noConversion"/>
  </si>
  <si>
    <t>Quarry 1</t>
    <phoneticPr fontId="1" type="noConversion"/>
  </si>
  <si>
    <t>Mine 1</t>
    <phoneticPr fontId="1" type="noConversion"/>
  </si>
  <si>
    <t>Villa 1</t>
    <phoneticPr fontId="1" type="noConversion"/>
  </si>
  <si>
    <t>Complete 25 Quests</t>
    <phoneticPr fontId="1" type="noConversion"/>
  </si>
  <si>
    <t>Forge 1</t>
    <phoneticPr fontId="1" type="noConversion"/>
  </si>
  <si>
    <t>Food Production 1</t>
    <phoneticPr fontId="1" type="noConversion"/>
  </si>
  <si>
    <t>Farm 2</t>
    <phoneticPr fontId="1" type="noConversion"/>
  </si>
  <si>
    <t>Food Supply 100</t>
    <phoneticPr fontId="1" type="noConversion"/>
  </si>
  <si>
    <t>Stone Production 1</t>
    <phoneticPr fontId="1" type="noConversion"/>
  </si>
  <si>
    <t>Villa 2</t>
    <phoneticPr fontId="1" type="noConversion"/>
  </si>
  <si>
    <t>Logging Camp 2</t>
    <phoneticPr fontId="1" type="noConversion"/>
  </si>
  <si>
    <t>Hero 7-&gt;8</t>
    <phoneticPr fontId="1" type="noConversion"/>
  </si>
  <si>
    <t>Hero Level 8</t>
    <phoneticPr fontId="1" type="noConversion"/>
  </si>
  <si>
    <t>Wood Production 100</t>
    <phoneticPr fontId="1" type="noConversion"/>
  </si>
  <si>
    <t>Trap Building 1</t>
    <phoneticPr fontId="1" type="noConversion"/>
  </si>
  <si>
    <t>Quarry 2</t>
    <phoneticPr fontId="1" type="noConversion"/>
  </si>
  <si>
    <t>Stone Production 100</t>
    <phoneticPr fontId="1" type="noConversion"/>
  </si>
  <si>
    <t>Mine 2</t>
    <phoneticPr fontId="1" type="noConversion"/>
  </si>
  <si>
    <t>Ore Production 1</t>
    <phoneticPr fontId="1" type="noConversion"/>
  </si>
  <si>
    <t>Villa 3</t>
    <phoneticPr fontId="1" type="noConversion"/>
  </si>
  <si>
    <t>Barracks 2</t>
    <phoneticPr fontId="1" type="noConversion"/>
  </si>
  <si>
    <t>Wood Production 1</t>
    <phoneticPr fontId="1" type="noConversion"/>
  </si>
  <si>
    <t>4 Farms</t>
    <phoneticPr fontId="1" type="noConversion"/>
  </si>
  <si>
    <t>Watchtower 2</t>
    <phoneticPr fontId="1" type="noConversion"/>
  </si>
  <si>
    <t>Academy 2</t>
    <phoneticPr fontId="1" type="noConversion"/>
  </si>
  <si>
    <t>Academy 3</t>
    <phoneticPr fontId="1" type="noConversion"/>
  </si>
  <si>
    <t>Construction at Will</t>
    <phoneticPr fontId="1" type="noConversion"/>
  </si>
  <si>
    <t>Hospital 2</t>
    <phoneticPr fontId="1" type="noConversion"/>
  </si>
  <si>
    <t>4 Logging Camps</t>
    <phoneticPr fontId="1" type="noConversion"/>
  </si>
  <si>
    <t>Hero 8-&gt;9</t>
    <phoneticPr fontId="1" type="noConversion"/>
  </si>
  <si>
    <t>Hero Level 9</t>
    <phoneticPr fontId="1" type="noConversion"/>
  </si>
  <si>
    <t>Training Speed 1</t>
    <phoneticPr fontId="1" type="noConversion"/>
  </si>
  <si>
    <t>Hero 9-&gt;10</t>
    <phoneticPr fontId="1" type="noConversion"/>
  </si>
  <si>
    <t>Hero Level 10</t>
    <phoneticPr fontId="1" type="noConversion"/>
  </si>
  <si>
    <t>Forge 2</t>
    <phoneticPr fontId="1" type="noConversion"/>
  </si>
  <si>
    <t>Scouting 2</t>
    <phoneticPr fontId="1" type="noConversion"/>
  </si>
  <si>
    <t>Slingers</t>
    <phoneticPr fontId="1" type="noConversion"/>
  </si>
  <si>
    <t xml:space="preserve"> Slingers 30</t>
    <phoneticPr fontId="1" type="noConversion"/>
  </si>
  <si>
    <t>Quarry 3</t>
    <phoneticPr fontId="1" type="noConversion"/>
  </si>
  <si>
    <t>Mine 3</t>
    <phoneticPr fontId="1" type="noConversion"/>
  </si>
  <si>
    <t>Ore Production 100</t>
    <phoneticPr fontId="1" type="noConversion"/>
  </si>
  <si>
    <t>Mine 4</t>
    <phoneticPr fontId="1" type="noConversion"/>
  </si>
  <si>
    <t>Mine 5</t>
    <phoneticPr fontId="1" type="noConversion"/>
  </si>
  <si>
    <t>4 Mines</t>
    <phoneticPr fontId="1" type="noConversion"/>
  </si>
  <si>
    <t>Ore Production 500</t>
    <phoneticPr fontId="1" type="noConversion"/>
  </si>
  <si>
    <t>Gymnos 1</t>
    <phoneticPr fontId="1" type="noConversion"/>
  </si>
  <si>
    <t>Gymnos 2</t>
    <phoneticPr fontId="1" type="noConversion"/>
  </si>
  <si>
    <t>4 Villas</t>
    <phoneticPr fontId="1" type="noConversion"/>
  </si>
  <si>
    <t>Hero 10-&gt;11</t>
    <phoneticPr fontId="1" type="noConversion"/>
  </si>
  <si>
    <t>Hero Level 11</t>
    <phoneticPr fontId="1" type="noConversion"/>
  </si>
  <si>
    <t>Infantry Attack 1</t>
    <phoneticPr fontId="1" type="noConversion"/>
  </si>
  <si>
    <t>Outriders 40</t>
    <phoneticPr fontId="1" type="noConversion"/>
  </si>
  <si>
    <t>Farm 3</t>
    <phoneticPr fontId="1" type="noConversion"/>
  </si>
  <si>
    <t>Food Production 500</t>
    <phoneticPr fontId="1" type="noConversion"/>
  </si>
  <si>
    <t>Barracks 3</t>
    <phoneticPr fontId="1" type="noConversion"/>
  </si>
  <si>
    <t>Quarry 4</t>
    <phoneticPr fontId="1" type="noConversion"/>
  </si>
  <si>
    <t>Barracks 4</t>
    <phoneticPr fontId="1" type="noConversion"/>
  </si>
  <si>
    <t>Academy 4</t>
    <phoneticPr fontId="1" type="noConversion"/>
  </si>
  <si>
    <t>Logging Camp 3</t>
    <phoneticPr fontId="1" type="noConversion"/>
  </si>
  <si>
    <t>4 Quarries</t>
    <phoneticPr fontId="1" type="noConversion"/>
  </si>
  <si>
    <t>Stone Production 500</t>
    <phoneticPr fontId="1" type="noConversion"/>
  </si>
  <si>
    <t>Farm 4</t>
    <phoneticPr fontId="1" type="noConversion"/>
  </si>
  <si>
    <t>Farm 5</t>
    <phoneticPr fontId="1" type="noConversion"/>
  </si>
  <si>
    <t>Food Production 1000</t>
    <phoneticPr fontId="1" type="noConversion"/>
  </si>
  <si>
    <t>Forge 3</t>
    <phoneticPr fontId="1" type="noConversion"/>
  </si>
  <si>
    <t>Forge 4</t>
    <phoneticPr fontId="1" type="noConversion"/>
  </si>
  <si>
    <t>Stronghold 5</t>
    <phoneticPr fontId="1" type="noConversion"/>
  </si>
  <si>
    <t>Stronghold 4-&gt;5 Event</t>
    <phoneticPr fontId="1" type="noConversion"/>
  </si>
  <si>
    <t>Stronghold 5 Chest</t>
    <phoneticPr fontId="1" type="noConversion"/>
  </si>
  <si>
    <t>Gymnos 3</t>
    <phoneticPr fontId="1" type="noConversion"/>
  </si>
  <si>
    <t>Gymnos 4</t>
    <phoneticPr fontId="1" type="noConversion"/>
  </si>
  <si>
    <t>Swordsmen 100</t>
    <phoneticPr fontId="1" type="noConversion"/>
  </si>
  <si>
    <t>Villa 4</t>
    <phoneticPr fontId="1" type="noConversion"/>
  </si>
  <si>
    <t>Villa 5</t>
    <phoneticPr fontId="1" type="noConversion"/>
  </si>
  <si>
    <t>War Bricks 500</t>
    <phoneticPr fontId="1" type="noConversion"/>
  </si>
  <si>
    <t>Gymnos 5</t>
    <phoneticPr fontId="1" type="noConversion"/>
  </si>
  <si>
    <t>Complete 100 Quests</t>
    <phoneticPr fontId="1" type="noConversion"/>
  </si>
  <si>
    <t>Scouting 3</t>
    <phoneticPr fontId="1" type="noConversion"/>
  </si>
  <si>
    <t>Hero 11-&gt;12</t>
    <phoneticPr fontId="1" type="noConversion"/>
  </si>
  <si>
    <t>Hero Level 12</t>
    <phoneticPr fontId="1" type="noConversion"/>
  </si>
  <si>
    <t>Academy 5</t>
    <phoneticPr fontId="1" type="noConversion"/>
  </si>
  <si>
    <t>Quarry 5</t>
    <phoneticPr fontId="1" type="noConversion"/>
  </si>
  <si>
    <t>Barracks 5</t>
    <phoneticPr fontId="1" type="noConversion"/>
  </si>
  <si>
    <t>Slingers 100</t>
    <phoneticPr fontId="1" type="noConversion"/>
  </si>
  <si>
    <t>Forge 5</t>
    <phoneticPr fontId="1" type="noConversion"/>
  </si>
  <si>
    <t>Outriders 100</t>
    <phoneticPr fontId="1" type="noConversion"/>
  </si>
  <si>
    <t>Food Production 2</t>
    <phoneticPr fontId="1" type="noConversion"/>
  </si>
  <si>
    <t>Walls 5</t>
    <phoneticPr fontId="1" type="noConversion"/>
  </si>
  <si>
    <t>Stone Production 2</t>
    <phoneticPr fontId="1" type="noConversion"/>
  </si>
  <si>
    <t>Hero 12-&gt;13</t>
    <phoneticPr fontId="1" type="noConversion"/>
  </si>
  <si>
    <t>Hero Level 13</t>
    <phoneticPr fontId="1" type="noConversion"/>
  </si>
  <si>
    <t>Battering Rams 25</t>
    <phoneticPr fontId="1" type="noConversion"/>
  </si>
  <si>
    <t>Battering Rams 75</t>
    <phoneticPr fontId="1" type="noConversion"/>
  </si>
  <si>
    <t>Storehouse 5</t>
    <phoneticPr fontId="1" type="noConversion"/>
  </si>
  <si>
    <t>Stronghold 6</t>
    <phoneticPr fontId="1" type="noConversion"/>
  </si>
  <si>
    <t>Stronghold 5-&gt;6 Event</t>
    <phoneticPr fontId="1" type="noConversion"/>
  </si>
  <si>
    <t>Stronghold 6 Chest</t>
    <phoneticPr fontId="1" type="noConversion"/>
  </si>
  <si>
    <t>Mine 6</t>
    <phoneticPr fontId="1" type="noConversion"/>
  </si>
  <si>
    <t>Forge 6</t>
    <phoneticPr fontId="1" type="noConversion"/>
  </si>
  <si>
    <t>Walls 6</t>
    <phoneticPr fontId="1" type="noConversion"/>
  </si>
  <si>
    <t>Infantry Attack 2</t>
    <phoneticPr fontId="1" type="noConversion"/>
  </si>
  <si>
    <t>Storehouse 6</t>
    <phoneticPr fontId="1" type="noConversion"/>
  </si>
  <si>
    <t>Hospital 3</t>
    <phoneticPr fontId="1" type="noConversion"/>
  </si>
  <si>
    <t>Watchtower 3</t>
    <phoneticPr fontId="1" type="noConversion"/>
  </si>
  <si>
    <t>4 Barracks</t>
    <phoneticPr fontId="1" type="noConversion"/>
  </si>
  <si>
    <t>4 Hospitals</t>
    <phoneticPr fontId="1" type="noConversion"/>
  </si>
  <si>
    <t>Archer Towers 1</t>
    <phoneticPr fontId="1" type="noConversion"/>
  </si>
  <si>
    <t>Hero 13-&gt;14</t>
    <phoneticPr fontId="1" type="noConversion"/>
  </si>
  <si>
    <t>Hero Level 14</t>
    <phoneticPr fontId="1" type="noConversion"/>
  </si>
  <si>
    <t>Archer Tower 50</t>
    <phoneticPr fontId="1" type="noConversion"/>
  </si>
  <si>
    <t>Logging Camp 4</t>
    <phoneticPr fontId="1" type="noConversion"/>
  </si>
  <si>
    <t>Wood Production 500</t>
    <phoneticPr fontId="1" type="noConversion"/>
  </si>
  <si>
    <t>Logging Camp 5</t>
    <phoneticPr fontId="1" type="noConversion"/>
  </si>
  <si>
    <t>Logging Camp 6</t>
    <phoneticPr fontId="1" type="noConversion"/>
  </si>
  <si>
    <t>Hospital 4</t>
    <phoneticPr fontId="1" type="noConversion"/>
  </si>
  <si>
    <t>Hospital 5</t>
    <phoneticPr fontId="1" type="noConversion"/>
  </si>
  <si>
    <t>Ore Production 2</t>
    <phoneticPr fontId="1" type="noConversion"/>
  </si>
  <si>
    <t>Ore Production 3</t>
    <phoneticPr fontId="1" type="noConversion"/>
  </si>
  <si>
    <t>Quarry 6</t>
    <phoneticPr fontId="1" type="noConversion"/>
  </si>
  <si>
    <t>Ore Production 1000</t>
    <phoneticPr fontId="1" type="noConversion"/>
  </si>
  <si>
    <t>Barracks 6</t>
    <phoneticPr fontId="1" type="noConversion"/>
  </si>
  <si>
    <t>Academy 6</t>
    <phoneticPr fontId="1" type="noConversion"/>
  </si>
  <si>
    <t>Watchtower 4</t>
    <phoneticPr fontId="1" type="noConversion"/>
  </si>
  <si>
    <t>Watchtower 5</t>
    <phoneticPr fontId="1" type="noConversion"/>
  </si>
  <si>
    <t>Hero 14-&gt;15</t>
    <phoneticPr fontId="1" type="noConversion"/>
  </si>
  <si>
    <t>Hero Level 15</t>
    <phoneticPr fontId="1" type="noConversion"/>
  </si>
  <si>
    <t>Watchtower 6</t>
    <phoneticPr fontId="1" type="noConversion"/>
  </si>
  <si>
    <r>
      <rPr>
        <sz val="12"/>
        <color theme="1"/>
        <rFont val="宋体"/>
        <family val="3"/>
        <charset val="134"/>
      </rPr>
      <t>用</t>
    </r>
    <r>
      <rPr>
        <sz val="12"/>
        <color theme="1"/>
        <rFont val="Times New Roman"/>
        <family val="1"/>
      </rPr>
      <t>2:00:00</t>
    </r>
    <phoneticPr fontId="1" type="noConversion"/>
  </si>
  <si>
    <t>Wood Production 2</t>
    <phoneticPr fontId="1" type="noConversion"/>
  </si>
  <si>
    <t>Farm 6</t>
    <phoneticPr fontId="1" type="noConversion"/>
  </si>
  <si>
    <t>Villa 6</t>
    <phoneticPr fontId="1" type="noConversion"/>
  </si>
  <si>
    <t>2600 Traps</t>
    <phoneticPr fontId="1" type="noConversion"/>
  </si>
  <si>
    <t>Gymnos 6</t>
    <phoneticPr fontId="1" type="noConversion"/>
  </si>
  <si>
    <t>Hospital 6</t>
    <phoneticPr fontId="1" type="noConversion"/>
  </si>
  <si>
    <t>Marketplace 1</t>
    <phoneticPr fontId="1" type="noConversion"/>
  </si>
  <si>
    <t>Marketplace 2</t>
    <phoneticPr fontId="1" type="noConversion"/>
  </si>
  <si>
    <t>Marketplace 3</t>
    <phoneticPr fontId="1" type="noConversion"/>
  </si>
  <si>
    <t>Marketplace 4</t>
    <phoneticPr fontId="1" type="noConversion"/>
  </si>
  <si>
    <t>Marketplace 5</t>
    <phoneticPr fontId="1" type="noConversion"/>
  </si>
  <si>
    <t>Food Production 3</t>
    <phoneticPr fontId="1" type="noConversion"/>
  </si>
  <si>
    <t>Wood Production 1000</t>
    <phoneticPr fontId="1" type="noConversion"/>
  </si>
  <si>
    <t>Food Production 5000</t>
    <phoneticPr fontId="1" type="noConversion"/>
  </si>
  <si>
    <t>Spikes 1</t>
    <phoneticPr fontId="1" type="noConversion"/>
  </si>
  <si>
    <t>Stronghold 7</t>
    <phoneticPr fontId="1" type="noConversion"/>
  </si>
  <si>
    <t>Stronghold 6-&gt;7 Event</t>
    <phoneticPr fontId="1" type="noConversion"/>
  </si>
  <si>
    <t>Stronghold 7 Chest</t>
    <phoneticPr fontId="1" type="noConversion"/>
  </si>
  <si>
    <t>7000 Traps</t>
    <phoneticPr fontId="1" type="noConversion"/>
  </si>
  <si>
    <t>Hero 15-&gt;16</t>
    <phoneticPr fontId="1" type="noConversion"/>
  </si>
  <si>
    <t>Hero Level 16</t>
    <phoneticPr fontId="1" type="noConversion"/>
  </si>
  <si>
    <t>Storehouse 7</t>
    <phoneticPr fontId="1" type="noConversion"/>
  </si>
  <si>
    <t>Mine 7</t>
    <phoneticPr fontId="1" type="noConversion"/>
  </si>
  <si>
    <t>Forge 7</t>
    <phoneticPr fontId="1" type="noConversion"/>
  </si>
  <si>
    <t>Walls 7</t>
    <phoneticPr fontId="1" type="noConversion"/>
  </si>
  <si>
    <t>Academy 7</t>
    <phoneticPr fontId="1" type="noConversion"/>
  </si>
  <si>
    <t>Scouting 4</t>
    <phoneticPr fontId="1" type="noConversion"/>
  </si>
  <si>
    <t>Hero 16-&gt;17</t>
    <phoneticPr fontId="1" type="noConversion"/>
  </si>
  <si>
    <t>Hero Level 17</t>
    <phoneticPr fontId="1" type="noConversion"/>
  </si>
  <si>
    <t>0:06:43 Basic</t>
    <phoneticPr fontId="1" type="noConversion"/>
  </si>
  <si>
    <r>
      <rPr>
        <sz val="12"/>
        <color theme="1"/>
        <rFont val="宋体"/>
        <family val="3"/>
        <charset val="134"/>
      </rPr>
      <t>用</t>
    </r>
    <r>
      <rPr>
        <sz val="12"/>
        <color theme="1"/>
        <rFont val="Times New Roman"/>
        <family val="1"/>
      </rPr>
      <t>1:00:00</t>
    </r>
    <phoneticPr fontId="1" type="noConversion"/>
  </si>
  <si>
    <t>Scouting a Player</t>
    <phoneticPr fontId="1" type="noConversion"/>
  </si>
  <si>
    <t>Spikes 50</t>
    <phoneticPr fontId="1" type="noConversion"/>
  </si>
  <si>
    <t>Offer Food</t>
    <phoneticPr fontId="1" type="noConversion"/>
  </si>
  <si>
    <t>Boiling Tar 1</t>
    <phoneticPr fontId="1" type="noConversion"/>
  </si>
  <si>
    <t>Embassy 1</t>
    <phoneticPr fontId="1" type="noConversion"/>
  </si>
  <si>
    <t>Embassy 2</t>
    <phoneticPr fontId="1" type="noConversion"/>
  </si>
  <si>
    <t>Embassy 3</t>
    <phoneticPr fontId="1" type="noConversion"/>
  </si>
  <si>
    <t>Hall of War 1</t>
    <phoneticPr fontId="1" type="noConversion"/>
  </si>
  <si>
    <t>Link with Facebook</t>
    <phoneticPr fontId="1" type="noConversion"/>
  </si>
  <si>
    <t>0:03:07 Basic</t>
    <phoneticPr fontId="1" type="noConversion"/>
  </si>
  <si>
    <t>Boiling Tar 50</t>
    <phoneticPr fontId="1" type="noConversion"/>
  </si>
  <si>
    <t>3 Hour Speed Up * 1</t>
    <phoneticPr fontId="1" type="noConversion"/>
  </si>
  <si>
    <t>Stronghold 8</t>
    <phoneticPr fontId="1" type="noConversion"/>
  </si>
  <si>
    <t>Stronghold 7-&gt;8 Event</t>
    <phoneticPr fontId="1" type="noConversion"/>
  </si>
  <si>
    <t>Stronghold 8 Chest</t>
    <phoneticPr fontId="1" type="noConversion"/>
  </si>
  <si>
    <t>Infantry Defense 1</t>
    <phoneticPr fontId="1" type="noConversion"/>
  </si>
  <si>
    <t>Hero 17-&gt;18</t>
    <phoneticPr fontId="1" type="noConversion"/>
  </si>
  <si>
    <t>Hero Level 18</t>
    <phoneticPr fontId="1" type="noConversion"/>
  </si>
  <si>
    <t>Infantry Defense 2</t>
    <phoneticPr fontId="1" type="noConversion"/>
  </si>
  <si>
    <t>Mine 8</t>
    <phoneticPr fontId="1" type="noConversion"/>
  </si>
  <si>
    <t>Forge 8</t>
    <phoneticPr fontId="1" type="noConversion"/>
  </si>
  <si>
    <t>Buy Speed Ups</t>
    <phoneticPr fontId="1" type="noConversion"/>
  </si>
  <si>
    <t>Walls 8</t>
    <phoneticPr fontId="1" type="noConversion"/>
  </si>
  <si>
    <t>Academy 8</t>
    <phoneticPr fontId="1" type="noConversion"/>
  </si>
  <si>
    <t>Trap Defense 1</t>
    <phoneticPr fontId="1" type="noConversion"/>
  </si>
  <si>
    <t>Hero 18-&gt;19</t>
    <phoneticPr fontId="1" type="noConversion"/>
  </si>
  <si>
    <t>Hero Level 19</t>
    <phoneticPr fontId="1" type="noConversion"/>
  </si>
  <si>
    <t>Logging Camp 7</t>
    <phoneticPr fontId="1" type="noConversion"/>
  </si>
  <si>
    <t>Storehouse 8</t>
    <phoneticPr fontId="1" type="noConversion"/>
  </si>
  <si>
    <t>Trap Attack 1</t>
    <phoneticPr fontId="1" type="noConversion"/>
  </si>
  <si>
    <t>Wood Production 5000</t>
    <phoneticPr fontId="1" type="noConversion"/>
  </si>
  <si>
    <t>Farm 7</t>
    <phoneticPr fontId="1" type="noConversion"/>
  </si>
  <si>
    <t>Villa 7</t>
    <phoneticPr fontId="1" type="noConversion"/>
  </si>
  <si>
    <t>Trap Defense 2</t>
    <phoneticPr fontId="1" type="noConversion"/>
  </si>
  <si>
    <t>Trap Attack 2</t>
    <phoneticPr fontId="1" type="noConversion"/>
  </si>
  <si>
    <t>Hero 19-&gt;20</t>
    <phoneticPr fontId="1" type="noConversion"/>
  </si>
  <si>
    <t>Hero Level 20</t>
    <phoneticPr fontId="1" type="noConversion"/>
  </si>
  <si>
    <t>Stone Production 3</t>
    <phoneticPr fontId="1" type="noConversion"/>
  </si>
  <si>
    <t>Ore Production 5000</t>
    <phoneticPr fontId="1" type="noConversion"/>
  </si>
  <si>
    <t>Ranged Attack 1</t>
    <phoneticPr fontId="1" type="noConversion"/>
  </si>
  <si>
    <r>
      <rPr>
        <sz val="11"/>
        <color theme="1"/>
        <rFont val="宋体"/>
        <family val="2"/>
        <charset val="134"/>
      </rPr>
      <t>用</t>
    </r>
    <r>
      <rPr>
        <sz val="11"/>
        <color theme="1"/>
        <rFont val="Times New Roman"/>
        <family val="1"/>
      </rPr>
      <t>1:30:00</t>
    </r>
    <phoneticPr fontId="1" type="noConversion"/>
  </si>
  <si>
    <t>Stone Production 5000</t>
    <phoneticPr fontId="1" type="noConversion"/>
  </si>
  <si>
    <t>Gymnos 7</t>
    <phoneticPr fontId="1" type="noConversion"/>
  </si>
  <si>
    <t>Map</t>
    <phoneticPr fontId="1" type="noConversion"/>
  </si>
  <si>
    <t>1:32:16 Rare</t>
    <phoneticPr fontId="1" type="noConversion"/>
  </si>
  <si>
    <t>Craft an Item</t>
    <phoneticPr fontId="1" type="noConversion"/>
  </si>
  <si>
    <t>Circlet</t>
    <phoneticPr fontId="1" type="noConversion"/>
  </si>
  <si>
    <t>Quarry 7</t>
    <phoneticPr fontId="1" type="noConversion"/>
  </si>
  <si>
    <t>Farm 8</t>
    <phoneticPr fontId="1" type="noConversion"/>
  </si>
  <si>
    <t>Ranged Attack 2</t>
    <phoneticPr fontId="1" type="noConversion"/>
  </si>
  <si>
    <t>Quarry 8</t>
    <phoneticPr fontId="1" type="noConversion"/>
  </si>
  <si>
    <t>Ranged Defense 1</t>
    <phoneticPr fontId="1" type="noConversion"/>
  </si>
  <si>
    <t>0:12:30 Common</t>
    <phoneticPr fontId="1" type="noConversion"/>
  </si>
  <si>
    <t>0:22:38 Uncommon</t>
    <phoneticPr fontId="1" type="noConversion"/>
  </si>
  <si>
    <t>Logging Camp 8</t>
    <phoneticPr fontId="1" type="noConversion"/>
  </si>
  <si>
    <t>Ranged Defense 2</t>
    <phoneticPr fontId="1" type="noConversion"/>
  </si>
  <si>
    <t>Leader Board Reward</t>
    <phoneticPr fontId="1" type="noConversion"/>
  </si>
  <si>
    <t>Villa 8</t>
    <phoneticPr fontId="1" type="noConversion"/>
  </si>
  <si>
    <r>
      <t>0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23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Times New Roman"/>
        <family val="1"/>
      </rPr>
      <t>49 Uncommon</t>
    </r>
    <phoneticPr fontId="1" type="noConversion"/>
  </si>
  <si>
    <t>0:11:05 Common</t>
    <phoneticPr fontId="1" type="noConversion"/>
  </si>
  <si>
    <t>Cavalry Attack 1</t>
    <phoneticPr fontId="1" type="noConversion"/>
  </si>
  <si>
    <t>Hero 20-&gt;21</t>
    <phoneticPr fontId="1" type="noConversion"/>
  </si>
  <si>
    <t>Hero Level 21</t>
    <phoneticPr fontId="1" type="noConversion"/>
  </si>
  <si>
    <t>0:7:3 Common</t>
    <phoneticPr fontId="1" type="noConversion"/>
  </si>
  <si>
    <t>0:4:49 Basic</t>
    <phoneticPr fontId="1" type="noConversion"/>
  </si>
  <si>
    <t>0:04:42 Basic</t>
    <phoneticPr fontId="1" type="noConversion"/>
  </si>
  <si>
    <t>0:2:57 Basic</t>
    <phoneticPr fontId="1" type="noConversion"/>
  </si>
  <si>
    <t>0:2:28 Basic</t>
    <phoneticPr fontId="1" type="noConversion"/>
  </si>
  <si>
    <t>0:3:53 Basic</t>
    <phoneticPr fontId="1" type="noConversion"/>
  </si>
  <si>
    <t>0:4:14 Basic</t>
    <phoneticPr fontId="1" type="noConversion"/>
  </si>
  <si>
    <t>Joined a War Rally</t>
    <phoneticPr fontId="1" type="noConversion"/>
  </si>
  <si>
    <t>Cavalry Attack 2</t>
    <phoneticPr fontId="1" type="noConversion"/>
  </si>
  <si>
    <t>Gymnos 8</t>
    <phoneticPr fontId="1" type="noConversion"/>
  </si>
  <si>
    <t>Cavalry Defense 1</t>
    <phoneticPr fontId="1" type="noConversion"/>
  </si>
  <si>
    <t>Cavalry Defense 2</t>
    <phoneticPr fontId="1" type="noConversion"/>
  </si>
  <si>
    <t>Barracks 7</t>
    <phoneticPr fontId="1" type="noConversion"/>
  </si>
  <si>
    <t>0:10:13 Common</t>
    <phoneticPr fontId="1" type="noConversion"/>
  </si>
  <si>
    <t>0:14:27 Common</t>
    <phoneticPr fontId="1" type="noConversion"/>
  </si>
  <si>
    <t>Marketplace 6</t>
    <phoneticPr fontId="1" type="noConversion"/>
  </si>
  <si>
    <t>Marketplace 7</t>
    <phoneticPr fontId="1" type="noConversion"/>
  </si>
  <si>
    <t>Marketplace 8</t>
    <phoneticPr fontId="1" type="noConversion"/>
  </si>
  <si>
    <t>Wood Production 3</t>
    <phoneticPr fontId="1" type="noConversion"/>
  </si>
  <si>
    <t>Construction 2</t>
    <phoneticPr fontId="1" type="noConversion"/>
  </si>
  <si>
    <t>Alliance Gift</t>
    <phoneticPr fontId="1" type="noConversion"/>
  </si>
  <si>
    <t>Bronze Gifts Pack</t>
    <phoneticPr fontId="1" type="noConversion"/>
  </si>
  <si>
    <t>Stone Gifts Pack</t>
    <phoneticPr fontId="1" type="noConversion"/>
  </si>
  <si>
    <t>0:10:55 Common</t>
    <phoneticPr fontId="1" type="noConversion"/>
  </si>
  <si>
    <t>0:8:6 Common</t>
    <phoneticPr fontId="1" type="noConversion"/>
  </si>
  <si>
    <t>Hero 21-&gt;22</t>
    <phoneticPr fontId="1" type="noConversion"/>
  </si>
  <si>
    <t>Hero Level 22</t>
    <phoneticPr fontId="1" type="noConversion"/>
  </si>
  <si>
    <t>Wood Gifts Pack</t>
    <phoneticPr fontId="1" type="noConversion"/>
  </si>
  <si>
    <t>Construction 3</t>
    <phoneticPr fontId="1" type="noConversion"/>
  </si>
  <si>
    <t>Stronghold 9</t>
    <phoneticPr fontId="1" type="noConversion"/>
  </si>
  <si>
    <t>Stronghold 8-&gt;9 Event</t>
    <phoneticPr fontId="1" type="noConversion"/>
  </si>
  <si>
    <t>Stronghold 9 Chest</t>
    <phoneticPr fontId="1" type="noConversion"/>
  </si>
  <si>
    <t>March Speed 1</t>
    <phoneticPr fontId="1" type="noConversion"/>
  </si>
  <si>
    <t>Mine 9</t>
    <phoneticPr fontId="1" type="noConversion"/>
  </si>
  <si>
    <t>Gold Mine 1</t>
    <phoneticPr fontId="1" type="noConversion"/>
  </si>
  <si>
    <t>Farm 9</t>
    <phoneticPr fontId="1" type="noConversion"/>
  </si>
  <si>
    <t>Refer a Friend!</t>
    <phoneticPr fontId="1" type="noConversion"/>
  </si>
  <si>
    <t>Storehouse 9</t>
    <phoneticPr fontId="1" type="noConversion"/>
  </si>
  <si>
    <t>Stone Production 4</t>
    <phoneticPr fontId="1" type="noConversion"/>
  </si>
  <si>
    <t>Hero 22-&gt;23</t>
    <phoneticPr fontId="1" type="noConversion"/>
  </si>
  <si>
    <t>Hero Level 23</t>
    <phoneticPr fontId="1" type="noConversion"/>
  </si>
  <si>
    <t>0:57:5 Rare</t>
    <phoneticPr fontId="1" type="noConversion"/>
  </si>
  <si>
    <t>Food Production 4</t>
    <phoneticPr fontId="1" type="noConversion"/>
  </si>
  <si>
    <t>0:28:33 Uncommon</t>
    <phoneticPr fontId="1" type="noConversion"/>
  </si>
  <si>
    <t>Academy 9</t>
    <phoneticPr fontId="1" type="noConversion"/>
  </si>
  <si>
    <t>Marketplace 9</t>
    <phoneticPr fontId="1" type="noConversion"/>
  </si>
  <si>
    <t>Construction 4</t>
    <phoneticPr fontId="1" type="noConversion"/>
  </si>
  <si>
    <t>0:6:31 Common</t>
    <phoneticPr fontId="1" type="noConversion"/>
  </si>
  <si>
    <t>0:6:51 Common</t>
    <phoneticPr fontId="1" type="noConversion"/>
  </si>
  <si>
    <t>Quarry 9</t>
    <phoneticPr fontId="1" type="noConversion"/>
  </si>
  <si>
    <t>0:2:24 Basic</t>
    <phoneticPr fontId="1" type="noConversion"/>
  </si>
  <si>
    <t>Hero 23-&gt;24</t>
    <phoneticPr fontId="1" type="noConversion"/>
  </si>
  <si>
    <t>Hero Level 24</t>
    <phoneticPr fontId="1" type="noConversion"/>
  </si>
  <si>
    <t>Forge 9</t>
    <phoneticPr fontId="1" type="noConversion"/>
  </si>
  <si>
    <t>0:2:22 Basic</t>
    <phoneticPr fontId="1" type="noConversion"/>
  </si>
  <si>
    <t>0:13:52 Common</t>
    <phoneticPr fontId="1" type="noConversion"/>
  </si>
  <si>
    <t>0:8:48 Common</t>
    <phoneticPr fontId="1" type="noConversion"/>
  </si>
  <si>
    <t>0:4:10 Basic</t>
    <phoneticPr fontId="1" type="noConversion"/>
  </si>
  <si>
    <t>0:4:31 Basic</t>
    <phoneticPr fontId="1" type="noConversion"/>
  </si>
  <si>
    <t>Attack on my own</t>
    <phoneticPr fontId="1" type="noConversion"/>
  </si>
  <si>
    <t>Win 10 PvP Attacks</t>
    <phoneticPr fontId="1" type="noConversion"/>
  </si>
  <si>
    <t>Weapons</t>
    <phoneticPr fontId="1" type="noConversion"/>
  </si>
  <si>
    <t>Dory</t>
    <phoneticPr fontId="1" type="noConversion"/>
  </si>
  <si>
    <t>Walls 9</t>
    <phoneticPr fontId="1" type="noConversion"/>
  </si>
  <si>
    <t>0:7:6 Common</t>
    <phoneticPr fontId="1" type="noConversion"/>
  </si>
  <si>
    <t>0:3:16 Basic</t>
    <phoneticPr fontId="1" type="noConversion"/>
  </si>
  <si>
    <t>Barracks 8</t>
    <phoneticPr fontId="1" type="noConversion"/>
  </si>
  <si>
    <t>0:3:57 Basic</t>
    <phoneticPr fontId="1" type="noConversion"/>
  </si>
  <si>
    <t>Barracks 9</t>
    <phoneticPr fontId="1" type="noConversion"/>
  </si>
  <si>
    <t>Hoplites 1</t>
    <phoneticPr fontId="1" type="noConversion"/>
  </si>
  <si>
    <t>Stronghold 10</t>
    <phoneticPr fontId="1" type="noConversion"/>
  </si>
  <si>
    <t>Stronghold 9-&gt;10 Event</t>
    <phoneticPr fontId="1" type="noConversion"/>
  </si>
  <si>
    <t>Stronghold 10 Chest</t>
    <phoneticPr fontId="1" type="noConversion"/>
  </si>
  <si>
    <t>0:2:49 Basic</t>
    <phoneticPr fontId="1" type="noConversion"/>
  </si>
  <si>
    <t>0:46:11 Uncommon</t>
    <phoneticPr fontId="1" type="noConversion"/>
  </si>
  <si>
    <t>0:6:5 Common</t>
    <phoneticPr fontId="1" type="noConversion"/>
  </si>
  <si>
    <t>0:6:46 Common</t>
    <phoneticPr fontId="1" type="noConversion"/>
  </si>
  <si>
    <t>0:10:29 Common</t>
    <phoneticPr fontId="1" type="noConversion"/>
  </si>
  <si>
    <t>Academy 10</t>
    <phoneticPr fontId="1" type="noConversion"/>
  </si>
  <si>
    <t>Trap Attack 3</t>
    <phoneticPr fontId="1" type="noConversion"/>
  </si>
  <si>
    <t>Hero 24-&gt;25</t>
    <phoneticPr fontId="1" type="noConversion"/>
  </si>
  <si>
    <t>Hero Level 25</t>
    <phoneticPr fontId="1" type="noConversion"/>
  </si>
  <si>
    <t>8 Hour Speed Up * 1</t>
    <phoneticPr fontId="1" type="noConversion"/>
  </si>
  <si>
    <t>Hoplites 100</t>
    <phoneticPr fontId="1" type="noConversion"/>
  </si>
  <si>
    <t>0:6:40 Common</t>
    <phoneticPr fontId="1" type="noConversion"/>
  </si>
  <si>
    <t>0:2:7 Basic</t>
    <phoneticPr fontId="1" type="noConversion"/>
  </si>
  <si>
    <t>Mine 10</t>
    <phoneticPr fontId="1" type="noConversion"/>
  </si>
  <si>
    <t>Construction 5</t>
    <phoneticPr fontId="1" type="noConversion"/>
  </si>
  <si>
    <t>0:4:20 Basic</t>
    <phoneticPr fontId="1" type="noConversion"/>
  </si>
  <si>
    <t>0:7:0 Common</t>
    <phoneticPr fontId="1" type="noConversion"/>
  </si>
  <si>
    <t>Massive Defeat</t>
    <phoneticPr fontId="1" type="noConversion"/>
  </si>
  <si>
    <t>by crazycracker</t>
    <phoneticPr fontId="1" type="noConversion"/>
  </si>
  <si>
    <t>9006 troops</t>
    <phoneticPr fontId="1" type="noConversion"/>
  </si>
  <si>
    <t>0:10:20 Common</t>
    <phoneticPr fontId="1" type="noConversion"/>
  </si>
  <si>
    <t>1:3:54 Rare</t>
    <phoneticPr fontId="1" type="noConversion"/>
  </si>
  <si>
    <t>0:21:7 Uncommon</t>
    <phoneticPr fontId="1" type="noConversion"/>
  </si>
  <si>
    <t>0:6:20 Common</t>
    <phoneticPr fontId="1" type="noConversion"/>
  </si>
  <si>
    <t>0:8:40 Common</t>
    <phoneticPr fontId="1" type="noConversion"/>
  </si>
  <si>
    <t>Logging Camp 9</t>
    <phoneticPr fontId="1" type="noConversion"/>
  </si>
  <si>
    <t>Quarry 10</t>
    <phoneticPr fontId="1" type="noConversion"/>
  </si>
  <si>
    <t>Farm 10</t>
    <phoneticPr fontId="1" type="noConversion"/>
  </si>
  <si>
    <t>Hero 25-&gt;26</t>
    <phoneticPr fontId="1" type="noConversion"/>
  </si>
  <si>
    <t>Hero Level 26</t>
    <phoneticPr fontId="1" type="noConversion"/>
  </si>
  <si>
    <t>Storehouse 10</t>
    <phoneticPr fontId="1" type="noConversion"/>
  </si>
  <si>
    <t>0:42:46 Uncommon</t>
    <phoneticPr fontId="1" type="noConversion"/>
  </si>
  <si>
    <t>0:6:35 Common</t>
    <phoneticPr fontId="1" type="noConversion"/>
  </si>
  <si>
    <t>to brendon11</t>
    <phoneticPr fontId="1" type="noConversion"/>
  </si>
  <si>
    <t>0:13:30 Common</t>
    <phoneticPr fontId="1" type="noConversion"/>
  </si>
  <si>
    <t>0:7:34 Common</t>
    <phoneticPr fontId="1" type="noConversion"/>
  </si>
  <si>
    <t>Logging Camp 10</t>
    <phoneticPr fontId="1" type="noConversion"/>
  </si>
  <si>
    <t>Embassy 4</t>
    <phoneticPr fontId="1" type="noConversion"/>
  </si>
  <si>
    <t>0:44:58 Uncommon</t>
    <phoneticPr fontId="1" type="noConversion"/>
  </si>
  <si>
    <t>0:8:14 Common</t>
    <phoneticPr fontId="1" type="noConversion"/>
  </si>
  <si>
    <t>Villa 9</t>
    <phoneticPr fontId="1" type="noConversion"/>
  </si>
  <si>
    <t>Skirmish Archers 1</t>
    <phoneticPr fontId="1" type="noConversion"/>
  </si>
  <si>
    <t>0:9:33 Common</t>
    <phoneticPr fontId="1" type="noConversion"/>
  </si>
  <si>
    <t>0:12:11 Common</t>
    <phoneticPr fontId="1" type="noConversion"/>
  </si>
  <si>
    <t>0:10:12 Common</t>
    <phoneticPr fontId="1" type="noConversion"/>
  </si>
  <si>
    <t>Marketplace 10</t>
    <phoneticPr fontId="1" type="noConversion"/>
  </si>
  <si>
    <t>Hero 26-&gt;27</t>
    <phoneticPr fontId="1" type="noConversion"/>
  </si>
  <si>
    <t>Hero Level 27</t>
    <phoneticPr fontId="1" type="noConversion"/>
  </si>
  <si>
    <t>Light Cavalry 1</t>
    <phoneticPr fontId="1" type="noConversion"/>
  </si>
  <si>
    <t>Gold Gifts Pack</t>
    <phoneticPr fontId="1" type="noConversion"/>
  </si>
  <si>
    <t>2:9:53 Epic</t>
    <phoneticPr fontId="1" type="noConversion"/>
  </si>
  <si>
    <t>0:4:1 Basic</t>
    <phoneticPr fontId="1" type="noConversion"/>
  </si>
  <si>
    <t>Skirmish Archers</t>
    <phoneticPr fontId="1" type="noConversion"/>
  </si>
  <si>
    <t>Skirmish Archers 100</t>
    <phoneticPr fontId="1" type="noConversion"/>
  </si>
  <si>
    <t>Forge 10</t>
    <phoneticPr fontId="1" type="noConversion"/>
  </si>
  <si>
    <t>11500 Troops</t>
    <phoneticPr fontId="1" type="noConversion"/>
  </si>
  <si>
    <t>0:11:30 Common</t>
    <phoneticPr fontId="1" type="noConversion"/>
  </si>
  <si>
    <t>Silver Gifts Pack</t>
    <phoneticPr fontId="1" type="noConversion"/>
  </si>
  <si>
    <t>Defeat in the Wild</t>
    <phoneticPr fontId="1" type="noConversion"/>
  </si>
  <si>
    <t>Scouting 5</t>
    <phoneticPr fontId="1" type="noConversion"/>
  </si>
  <si>
    <t>0:50:0 Uncommon</t>
    <phoneticPr fontId="1" type="noConversion"/>
  </si>
  <si>
    <t>0:20:0 Common</t>
    <phoneticPr fontId="1" type="noConversion"/>
  </si>
  <si>
    <t>0:9:30 Common</t>
    <phoneticPr fontId="1" type="noConversion"/>
  </si>
  <si>
    <t>0:16:0 Common</t>
    <phoneticPr fontId="1" type="noConversion"/>
  </si>
  <si>
    <t>0:33:20 Uncommon</t>
    <phoneticPr fontId="1" type="noConversion"/>
  </si>
  <si>
    <t>0:35:0 Uncommon</t>
    <phoneticPr fontId="1" type="noConversion"/>
  </si>
  <si>
    <t>Ore Production 4</t>
    <phoneticPr fontId="1" type="noConversion"/>
  </si>
  <si>
    <t>0:11:0 Common</t>
    <phoneticPr fontId="1" type="noConversion"/>
  </si>
  <si>
    <t>No Exp Period</t>
    <phoneticPr fontId="1" type="noConversion"/>
  </si>
  <si>
    <t>Stone Production 5</t>
    <phoneticPr fontId="1" type="noConversion"/>
  </si>
  <si>
    <t>Villa 10</t>
    <phoneticPr fontId="1" type="noConversion"/>
  </si>
  <si>
    <t>Wood Production 4</t>
    <phoneticPr fontId="1" type="noConversion"/>
  </si>
  <si>
    <t>Walls 10</t>
    <phoneticPr fontId="1" type="noConversion"/>
  </si>
  <si>
    <t>Food Production 5</t>
    <phoneticPr fontId="1" type="noConversion"/>
  </si>
  <si>
    <t>7540 Soliders</t>
    <phoneticPr fontId="1" type="noConversion"/>
  </si>
  <si>
    <t>Gymnos 9</t>
    <phoneticPr fontId="1" type="noConversion"/>
  </si>
  <si>
    <t>0:48:43 Rare</t>
    <phoneticPr fontId="1" type="noConversion"/>
  </si>
  <si>
    <t>Hero 27-&gt;28</t>
    <phoneticPr fontId="1" type="noConversion"/>
  </si>
  <si>
    <t>Hero Level 28</t>
    <phoneticPr fontId="1" type="noConversion"/>
  </si>
  <si>
    <t>Infantry Attack 3</t>
    <phoneticPr fontId="1" type="noConversion"/>
  </si>
  <si>
    <t>Cavalry Attack 3</t>
    <phoneticPr fontId="1" type="noConversion"/>
  </si>
  <si>
    <t>Ranged Attack 3</t>
    <phoneticPr fontId="1" type="noConversion"/>
  </si>
  <si>
    <t>Ore Production 5</t>
    <phoneticPr fontId="1" type="noConversion"/>
  </si>
  <si>
    <t>0:39:32 Uncommon</t>
    <phoneticPr fontId="1" type="noConversion"/>
  </si>
  <si>
    <t>0:9:57 Common</t>
    <phoneticPr fontId="1" type="noConversion"/>
  </si>
  <si>
    <t>Gymnos 10</t>
    <phoneticPr fontId="1" type="noConversion"/>
  </si>
  <si>
    <t>Barracks 10</t>
    <phoneticPr fontId="1" type="noConversion"/>
  </si>
  <si>
    <t>0:8:1 Common</t>
    <phoneticPr fontId="1" type="noConversion"/>
  </si>
  <si>
    <t>Stronghold 11</t>
    <phoneticPr fontId="1" type="noConversion"/>
  </si>
  <si>
    <t>Stronghold 10-&gt;11 Event</t>
    <phoneticPr fontId="1" type="noConversion"/>
  </si>
  <si>
    <t>Stronghold 11 Chest</t>
    <phoneticPr fontId="1" type="noConversion"/>
  </si>
  <si>
    <t>2:14:37 Epic</t>
    <phoneticPr fontId="1" type="noConversion"/>
  </si>
  <si>
    <t>Hero 28-&gt;29</t>
    <phoneticPr fontId="1" type="noConversion"/>
  </si>
  <si>
    <r>
      <rPr>
        <sz val="12"/>
        <color theme="1"/>
        <rFont val="宋体"/>
        <family val="3"/>
        <charset val="134"/>
      </rPr>
      <t>求和为</t>
    </r>
    <r>
      <rPr>
        <sz val="12"/>
        <color theme="1"/>
        <rFont val="Times New Roman"/>
        <family val="1"/>
      </rPr>
      <t>288901</t>
    </r>
    <r>
      <rPr>
        <sz val="12"/>
        <color theme="1"/>
        <rFont val="宋体"/>
        <family val="3"/>
        <charset val="134"/>
      </rPr>
      <t>，比左下角的游戏内显示值少</t>
    </r>
    <r>
      <rPr>
        <sz val="12"/>
        <color theme="1"/>
        <rFont val="Times New Roman"/>
        <family val="1"/>
      </rPr>
      <t>285</t>
    </r>
    <phoneticPr fontId="1" type="noConversion"/>
  </si>
  <si>
    <t>Hero Level 29</t>
    <phoneticPr fontId="1" type="noConversion"/>
  </si>
  <si>
    <t>0:21:6 Uncommon</t>
    <phoneticPr fontId="1" type="noConversion"/>
  </si>
  <si>
    <t>0:11:43 Common</t>
    <phoneticPr fontId="1" type="noConversion"/>
  </si>
  <si>
    <t>Farm 11</t>
    <phoneticPr fontId="1" type="noConversion"/>
  </si>
  <si>
    <t>Infantry Attack 4</t>
    <phoneticPr fontId="1" type="noConversion"/>
  </si>
  <si>
    <t>Hero 29-&gt;30</t>
    <phoneticPr fontId="1" type="noConversion"/>
  </si>
  <si>
    <t>Hero Level 30</t>
    <phoneticPr fontId="1" type="noConversion"/>
  </si>
  <si>
    <t>Complete 500 Quests</t>
    <phoneticPr fontId="1" type="noConversion"/>
  </si>
  <si>
    <t>Storehouse 11</t>
    <phoneticPr fontId="1" type="noConversion"/>
  </si>
  <si>
    <t>Academy 11</t>
    <phoneticPr fontId="1" type="noConversion"/>
  </si>
  <si>
    <t>Construction 6</t>
    <phoneticPr fontId="1" type="noConversion"/>
  </si>
  <si>
    <t>Mine 11</t>
    <phoneticPr fontId="1" type="noConversion"/>
  </si>
  <si>
    <t>0:2:37 Basic</t>
    <phoneticPr fontId="1" type="noConversion"/>
  </si>
  <si>
    <t>0:4:4 Basic</t>
    <phoneticPr fontId="1" type="noConversion"/>
  </si>
  <si>
    <t>0:7:49 Common</t>
    <phoneticPr fontId="1" type="noConversion"/>
  </si>
  <si>
    <t>0:6:53 Common</t>
    <phoneticPr fontId="1" type="noConversion"/>
  </si>
  <si>
    <t>0:11:34 Common</t>
    <phoneticPr fontId="1" type="noConversion"/>
  </si>
  <si>
    <t>0:31:15 Uncommon</t>
    <phoneticPr fontId="1" type="noConversion"/>
  </si>
  <si>
    <t>0:10:38 Common</t>
    <phoneticPr fontId="1" type="noConversion"/>
  </si>
  <si>
    <t>0:5:38 Common</t>
    <phoneticPr fontId="1" type="noConversion"/>
  </si>
  <si>
    <t>0:34:23 Uncommon</t>
    <phoneticPr fontId="1" type="noConversion"/>
  </si>
  <si>
    <t>Logging Camp 11</t>
    <phoneticPr fontId="1" type="noConversion"/>
  </si>
  <si>
    <t>Quarry 11</t>
    <phoneticPr fontId="1" type="noConversion"/>
  </si>
  <si>
    <t>0:23:58 Uncommon</t>
    <phoneticPr fontId="1" type="noConversion"/>
  </si>
  <si>
    <t>Light Cavalry 100</t>
    <phoneticPr fontId="1" type="noConversion"/>
  </si>
  <si>
    <t>Villa 11</t>
    <phoneticPr fontId="1" type="noConversion"/>
  </si>
  <si>
    <t>Embassy 6</t>
    <phoneticPr fontId="1" type="noConversion"/>
  </si>
  <si>
    <t>0:40:38 Uncommon</t>
    <phoneticPr fontId="1" type="noConversion"/>
  </si>
  <si>
    <t>0:6:34 Common</t>
    <phoneticPr fontId="1" type="noConversion"/>
  </si>
  <si>
    <t>0:3:2 Basic</t>
    <phoneticPr fontId="1" type="noConversion"/>
  </si>
  <si>
    <t>Emerald Gifts Pack</t>
    <phoneticPr fontId="1" type="noConversion"/>
  </si>
  <si>
    <t>5 Gift Points</t>
    <phoneticPr fontId="1" type="noConversion"/>
  </si>
  <si>
    <t>Feather Gifts Pack</t>
    <phoneticPr fontId="1" type="noConversion"/>
  </si>
  <si>
    <t>10,000 Wood</t>
    <phoneticPr fontId="1" type="noConversion"/>
  </si>
  <si>
    <t>20,000 / 30,000 Loyalty and Fund</t>
    <phoneticPr fontId="1" type="noConversion"/>
  </si>
  <si>
    <t>300 VIP Points</t>
    <phoneticPr fontId="1" type="noConversion"/>
  </si>
  <si>
    <t>50,000 Ore</t>
    <phoneticPr fontId="1" type="noConversion"/>
  </si>
  <si>
    <t>Pilgrim Gifts Pack</t>
    <phoneticPr fontId="1" type="noConversion"/>
  </si>
  <si>
    <t>Hall of War 2</t>
    <phoneticPr fontId="1" type="noConversion"/>
  </si>
  <si>
    <t>Book of War * 5</t>
    <phoneticPr fontId="1" type="noConversion"/>
  </si>
  <si>
    <t>Hall of War 3</t>
    <phoneticPr fontId="1" type="noConversion"/>
  </si>
  <si>
    <t>0:12:49 Common</t>
    <phoneticPr fontId="1" type="noConversion"/>
  </si>
  <si>
    <t>Book of War * 12</t>
    <phoneticPr fontId="1" type="noConversion"/>
  </si>
  <si>
    <t>0:3:14 Basic</t>
    <phoneticPr fontId="1" type="noConversion"/>
  </si>
  <si>
    <t>0:6:15 Common</t>
    <phoneticPr fontId="1" type="noConversion"/>
  </si>
  <si>
    <t>Hero 30-&gt;31</t>
    <phoneticPr fontId="1" type="noConversion"/>
  </si>
  <si>
    <t>Hero Level 31</t>
    <phoneticPr fontId="1" type="noConversion"/>
  </si>
  <si>
    <t>Barracks 11</t>
    <phoneticPr fontId="1" type="noConversion"/>
  </si>
  <si>
    <t>0:5:52 Common</t>
    <phoneticPr fontId="1" type="noConversion"/>
  </si>
  <si>
    <t>Hunting Gifts Pack</t>
    <phoneticPr fontId="1" type="noConversion"/>
  </si>
  <si>
    <t>160 Gold</t>
    <phoneticPr fontId="1" type="noConversion"/>
  </si>
  <si>
    <t>1000 Gift Points</t>
    <phoneticPr fontId="1" type="noConversion"/>
  </si>
  <si>
    <t>150,000 Ore</t>
    <phoneticPr fontId="1" type="noConversion"/>
  </si>
  <si>
    <t>Harvest Gifts Pack</t>
    <phoneticPr fontId="1" type="noConversion"/>
  </si>
  <si>
    <t>Huningt Gifts Pack</t>
    <phoneticPr fontId="1" type="noConversion"/>
  </si>
  <si>
    <t>Academy 11</t>
    <phoneticPr fontId="1" type="noConversion"/>
  </si>
  <si>
    <t>Food Production 6</t>
    <phoneticPr fontId="1" type="noConversion"/>
  </si>
  <si>
    <t>Auto Complete Common Lv7 VIP</t>
    <phoneticPr fontId="1" type="noConversion"/>
  </si>
  <si>
    <t>Auto Complete Basic Lv7 VIP</t>
    <phoneticPr fontId="1" type="noConversion"/>
  </si>
  <si>
    <t>0:26:45 Uncommon</t>
    <phoneticPr fontId="1" type="noConversion"/>
  </si>
  <si>
    <t>0:23:40 Uncommon</t>
    <phoneticPr fontId="1" type="noConversion"/>
  </si>
  <si>
    <t>3,000 Silver</t>
    <phoneticPr fontId="1" type="noConversion"/>
  </si>
  <si>
    <t>Rss Cost / Training Time (1/sec) - T2 Infantry</t>
    <phoneticPr fontId="1" type="noConversion"/>
  </si>
  <si>
    <t>Rss Cost / Training Time (1/sec) - T1 Infantry</t>
    <phoneticPr fontId="1" type="noConversion"/>
  </si>
  <si>
    <t>Total Resource Output without Silver (1/sec)</t>
    <phoneticPr fontId="1" type="noConversion"/>
  </si>
  <si>
    <t>Training Rss Cost without Silver / Training Time (1/sec)</t>
    <phoneticPr fontId="1" type="noConversion"/>
  </si>
  <si>
    <t>The Left Figure was *3/4 because only 3 Rss was used for each Troop's training</t>
    <phoneticPr fontId="1" type="noConversion"/>
  </si>
  <si>
    <t>Rss Cost without Silver / Training Time (1/sec)</t>
    <phoneticPr fontId="1" type="noConversion"/>
  </si>
  <si>
    <t>??</t>
    <phoneticPr fontId="1" type="noConversion"/>
  </si>
  <si>
    <t>Training Speed Increased</t>
    <phoneticPr fontId="1" type="noConversion"/>
  </si>
  <si>
    <t>Athena's Gift</t>
    <phoneticPr fontId="1" type="noConversion"/>
  </si>
  <si>
    <t>24 Hour Stone Boost * 1</t>
    <phoneticPr fontId="1" type="noConversion"/>
  </si>
  <si>
    <t>5,250 Wood</t>
    <phoneticPr fontId="1" type="noConversion"/>
  </si>
  <si>
    <t>Autumn Gifts Pack</t>
    <phoneticPr fontId="1" type="noConversion"/>
  </si>
  <si>
    <t>Wood Production 5</t>
    <phoneticPr fontId="1" type="noConversion"/>
  </si>
  <si>
    <t>0:27:47 Uncommon</t>
    <phoneticPr fontId="1" type="noConversion"/>
  </si>
  <si>
    <t>0:11:26 Common</t>
    <phoneticPr fontId="1" type="noConversion"/>
  </si>
  <si>
    <t>0:6:48 Common</t>
    <phoneticPr fontId="1" type="noConversion"/>
  </si>
  <si>
    <t>Gathering 1</t>
    <phoneticPr fontId="1" type="noConversion"/>
  </si>
  <si>
    <t>Gathering 2</t>
  </si>
  <si>
    <t>Gathering 3</t>
  </si>
  <si>
    <t>Gathering 4</t>
  </si>
  <si>
    <t>Gathering 5</t>
  </si>
  <si>
    <t>Gathering 6</t>
  </si>
  <si>
    <t>Gathering 7</t>
  </si>
  <si>
    <t>Gathering 8</t>
  </si>
  <si>
    <t>Gathering 9</t>
  </si>
  <si>
    <t>Gathering 10</t>
  </si>
  <si>
    <t>Gathering Speed</t>
    <phoneticPr fontId="1" type="noConversion"/>
  </si>
  <si>
    <t>Wood Production 1</t>
    <phoneticPr fontId="1" type="noConversion"/>
  </si>
  <si>
    <t>Gathering 1</t>
    <phoneticPr fontId="1" type="noConversion"/>
  </si>
  <si>
    <t>0:6:29 Common</t>
    <phoneticPr fontId="1" type="noConversion"/>
  </si>
  <si>
    <t>Total Output of 4 Resources</t>
    <phoneticPr fontId="1" type="noConversion"/>
  </si>
  <si>
    <t>Total Protected Amount / Total Output (Hour) - GoW</t>
    <phoneticPr fontId="1" type="noConversion"/>
  </si>
  <si>
    <t>Total Protected Amount / Actual Total Output (Hour) - GoW</t>
    <phoneticPr fontId="1" type="noConversion"/>
  </si>
  <si>
    <t>Storehouse 2</t>
  </si>
  <si>
    <t>Storehouse 3</t>
  </si>
  <si>
    <t>GoW</t>
    <phoneticPr fontId="1" type="noConversion"/>
  </si>
  <si>
    <t>Rss Tile Num</t>
    <phoneticPr fontId="1" type="noConversion"/>
  </si>
  <si>
    <t>Total Rss Output (1/Hour)</t>
    <phoneticPr fontId="1" type="noConversion"/>
  </si>
  <si>
    <t>Rss Construction Lv.</t>
    <phoneticPr fontId="1" type="noConversion"/>
  </si>
  <si>
    <t>Single Rss Construction Output (1/Hour)</t>
    <phoneticPr fontId="1" type="noConversion"/>
  </si>
  <si>
    <t>KoM</t>
    <phoneticPr fontId="1" type="noConversion"/>
  </si>
  <si>
    <t>Keep Lv.</t>
  </si>
  <si>
    <t>Keep 1</t>
  </si>
  <si>
    <t>Keep 2</t>
  </si>
  <si>
    <t>Keep 3</t>
  </si>
  <si>
    <t>Keep 4</t>
  </si>
  <si>
    <t>Keep 5</t>
  </si>
  <si>
    <t>Keep 6</t>
  </si>
  <si>
    <t>Keep 7</t>
  </si>
  <si>
    <t>Keep 8</t>
  </si>
  <si>
    <t>Keep 9</t>
  </si>
  <si>
    <t>Keep 10</t>
  </si>
  <si>
    <t>Keep 11</t>
  </si>
  <si>
    <t>Keep 12</t>
  </si>
  <si>
    <t>Keep 13</t>
  </si>
  <si>
    <t>Keep 14</t>
  </si>
  <si>
    <t>Keep 15</t>
  </si>
  <si>
    <t>Keep 16</t>
  </si>
  <si>
    <t>Keep 17</t>
  </si>
  <si>
    <t>Keep 18</t>
  </si>
  <si>
    <t>Keep 19</t>
  </si>
  <si>
    <t>Keep 20</t>
  </si>
  <si>
    <t>Keep 21</t>
  </si>
  <si>
    <t>Research - Strongbox - Increase %</t>
    <phoneticPr fontId="1" type="noConversion"/>
  </si>
  <si>
    <t>Total Protected Amount / Total Output (Hour) - KoM</t>
    <phoneticPr fontId="1" type="noConversion"/>
  </si>
  <si>
    <t>Total Protected Amount with Research - KoM</t>
    <phoneticPr fontId="1" type="noConversion"/>
  </si>
  <si>
    <t>Total Amount of 4 Rss Protected by Vault</t>
    <phoneticPr fontId="1" type="noConversion"/>
  </si>
  <si>
    <t>Vault Lv.</t>
  </si>
  <si>
    <t>Vault 1</t>
  </si>
  <si>
    <t>Vault 2</t>
  </si>
  <si>
    <t>Vault 3</t>
  </si>
  <si>
    <t>Vault 4</t>
  </si>
  <si>
    <t>Vault 5</t>
  </si>
  <si>
    <t>Vault 6</t>
  </si>
  <si>
    <t>Vault 7</t>
  </si>
  <si>
    <t>Vault 8</t>
  </si>
  <si>
    <t>Vault 9</t>
  </si>
  <si>
    <t>Vault 10</t>
  </si>
  <si>
    <t>Vault 11</t>
  </si>
  <si>
    <t>Vault 12</t>
  </si>
  <si>
    <t>Vault 13</t>
  </si>
  <si>
    <t>Vault 14</t>
  </si>
  <si>
    <t>Vault 15</t>
  </si>
  <si>
    <t>Vault 16</t>
  </si>
  <si>
    <t>Vault 17</t>
  </si>
  <si>
    <t>Vault 18</t>
  </si>
  <si>
    <t>Vault 19</t>
  </si>
  <si>
    <t>Vault 20</t>
  </si>
  <si>
    <t>Vault 21</t>
  </si>
  <si>
    <t>0:3:0 Basic</t>
    <phoneticPr fontId="1" type="noConversion"/>
  </si>
  <si>
    <t>0:2:10 Basic</t>
    <phoneticPr fontId="1" type="noConversion"/>
  </si>
  <si>
    <t>Ballistas 1</t>
    <phoneticPr fontId="1" type="noConversion"/>
  </si>
  <si>
    <t>Unlock Ballistas</t>
    <phoneticPr fontId="1" type="noConversion"/>
  </si>
  <si>
    <t>0:9:35 Common</t>
    <phoneticPr fontId="1" type="noConversion"/>
  </si>
  <si>
    <t>Forge 11</t>
    <phoneticPr fontId="1" type="noConversion"/>
  </si>
  <si>
    <t>Hero 31-&gt;32</t>
    <phoneticPr fontId="1" type="noConversion"/>
  </si>
  <si>
    <t>Hero Level 32</t>
    <phoneticPr fontId="1" type="noConversion"/>
  </si>
  <si>
    <t>Food Production II</t>
    <phoneticPr fontId="1" type="noConversion"/>
  </si>
  <si>
    <t>Wood Production II</t>
    <phoneticPr fontId="1" type="noConversion"/>
  </si>
  <si>
    <t>Food Production II 5</t>
    <phoneticPr fontId="1" type="noConversion"/>
  </si>
  <si>
    <t>Resources Output (1/Hour)</t>
    <phoneticPr fontId="1" type="noConversion"/>
  </si>
  <si>
    <t>Hospital 7</t>
    <phoneticPr fontId="1" type="noConversion"/>
  </si>
  <si>
    <t>完整的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</si>
</sst>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#,##0_ ;[Red]\-#,##0\ "/>
    <numFmt numFmtId="165" formatCode="#,##0.00_ ;[Red]\-#,##0.00\ "/>
    <numFmt numFmtId="166" formatCode="h:mm:ss;@"/>
    <numFmt numFmtId="167" formatCode="#,##0.0_ ;[Red]\-#,##0.0\ "/>
    <numFmt numFmtId="168" formatCode="0.0E+00"/>
    <numFmt numFmtId="169" formatCode="0.0000_);[Red]\(0.0000\)"/>
    <numFmt numFmtId="170" formatCode="0.0%"/>
    <numFmt numFmtId="171" formatCode="0_ "/>
    <numFmt numFmtId="172" formatCode="#,##0.0000_ ;[Red]\-#,##0.0000\ "/>
  </numFmts>
  <fonts count="33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2"/>
      <color theme="1"/>
      <name val="Times New Roman"/>
      <family val="1"/>
    </font>
    <font>
      <sz val="12"/>
      <color theme="0"/>
      <name val="Times New Roman"/>
      <family val="1"/>
    </font>
    <font>
      <sz val="12"/>
      <name val="Times New Roman"/>
      <family val="1"/>
    </font>
    <font>
      <sz val="12"/>
      <color theme="1"/>
      <name val="宋体"/>
      <family val="3"/>
      <charset val="134"/>
    </font>
    <font>
      <sz val="12"/>
      <color theme="1"/>
      <name val="Calibri"/>
      <family val="2"/>
      <charset val="134"/>
      <scheme val="minor"/>
    </font>
    <font>
      <sz val="12"/>
      <color theme="0" tint="-0.34998626667073579"/>
      <name val="Times New Roman"/>
      <family val="1"/>
    </font>
    <font>
      <b/>
      <sz val="12"/>
      <color theme="0"/>
      <name val="Times New Roman"/>
      <family val="1"/>
    </font>
    <font>
      <sz val="12"/>
      <color rgb="FFFF0000"/>
      <name val="Times New Roman"/>
      <family val="1"/>
    </font>
    <font>
      <sz val="11"/>
      <name val="Times New Roman"/>
      <family val="1"/>
    </font>
    <font>
      <sz val="10"/>
      <color theme="1"/>
      <name val="Times New Roman"/>
      <family val="1"/>
    </font>
    <font>
      <sz val="10"/>
      <color theme="0"/>
      <name val="Times New Roman"/>
      <family val="1"/>
    </font>
    <font>
      <b/>
      <sz val="12"/>
      <color rgb="FFFF0000"/>
      <name val="Times New Roman"/>
      <family val="1"/>
    </font>
    <font>
      <sz val="11"/>
      <color theme="1"/>
      <name val="宋体"/>
      <family val="2"/>
      <charset val="134"/>
    </font>
    <font>
      <sz val="11"/>
      <color theme="1"/>
      <name val="Times New Roman"/>
      <family val="1"/>
    </font>
    <font>
      <sz val="10"/>
      <color theme="1"/>
      <name val="宋体"/>
      <family val="3"/>
      <charset val="134"/>
    </font>
    <font>
      <sz val="11"/>
      <color rgb="FFFF0000"/>
      <name val="Times New Roman"/>
      <family val="1"/>
    </font>
    <font>
      <sz val="10"/>
      <name val="Times New Roman"/>
      <family val="1"/>
    </font>
    <font>
      <sz val="11"/>
      <color rgb="FF008000"/>
      <name val="Times New Roman"/>
      <family val="1"/>
    </font>
    <font>
      <b/>
      <sz val="10"/>
      <color theme="0"/>
      <name val="Times New Roman"/>
      <family val="1"/>
    </font>
    <font>
      <b/>
      <sz val="12"/>
      <color theme="1"/>
      <name val="Times New Roman"/>
      <family val="1"/>
    </font>
    <font>
      <sz val="9"/>
      <color theme="1"/>
      <name val="Times New Roman"/>
      <family val="1"/>
    </font>
    <font>
      <b/>
      <sz val="14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宋体"/>
      <family val="3"/>
      <charset val="134"/>
    </font>
    <font>
      <sz val="12"/>
      <color rgb="FF333333"/>
      <name val="Times New Roman"/>
      <family val="1"/>
    </font>
    <font>
      <b/>
      <sz val="11"/>
      <color theme="1"/>
      <name val="Times New Roman"/>
      <family val="1"/>
    </font>
    <font>
      <b/>
      <sz val="10.5"/>
      <color theme="1"/>
      <name val="Times New Roman"/>
      <family val="1"/>
    </font>
    <font>
      <sz val="11"/>
      <color theme="0" tint="-0.34998626667073579"/>
      <name val="Times New Roman"/>
      <family val="1"/>
    </font>
    <font>
      <sz val="10"/>
      <color theme="0" tint="-0.34998626667073579"/>
      <name val="Times New Roman"/>
      <family val="1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31">
    <fill>
      <patternFill patternType="none"/>
    </fill>
    <fill>
      <patternFill patternType="gray125"/>
    </fill>
    <fill>
      <patternFill patternType="solid">
        <fgColor rgb="FFFF99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66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3399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99CC00"/>
        <bgColor indexed="64"/>
      </patternFill>
    </fill>
    <fill>
      <patternFill patternType="solid">
        <fgColor rgb="FF000099"/>
        <bgColor indexed="64"/>
      </patternFill>
    </fill>
    <fill>
      <patternFill patternType="solid">
        <fgColor rgb="FF0099FF"/>
        <bgColor indexed="64"/>
      </patternFill>
    </fill>
  </fills>
  <borders count="2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835">
    <xf numFmtId="0" fontId="0" fillId="0" borderId="0" xfId="0">
      <alignment vertical="center"/>
    </xf>
    <xf numFmtId="164" fontId="2" fillId="0" borderId="0" xfId="0" applyNumberFormat="1" applyFont="1" applyAlignment="1">
      <alignment horizontal="center" vertical="center" wrapText="1"/>
    </xf>
    <xf numFmtId="164" fontId="2" fillId="0" borderId="0" xfId="0" applyNumberFormat="1" applyFont="1" applyAlignment="1">
      <alignment horizontal="right" vertical="center" wrapText="1"/>
    </xf>
    <xf numFmtId="164" fontId="2" fillId="0" borderId="0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right" vertical="center" wrapText="1"/>
    </xf>
    <xf numFmtId="164" fontId="4" fillId="2" borderId="0" xfId="0" applyNumberFormat="1" applyFont="1" applyFill="1" applyAlignment="1">
      <alignment horizontal="center" vertical="center" wrapText="1"/>
    </xf>
    <xf numFmtId="164" fontId="2" fillId="0" borderId="0" xfId="0" applyNumberFormat="1" applyFont="1" applyFill="1" applyAlignment="1">
      <alignment horizontal="right" vertical="center" wrapText="1"/>
    </xf>
    <xf numFmtId="165" fontId="2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wrapText="1"/>
    </xf>
    <xf numFmtId="166" fontId="2" fillId="0" borderId="0" xfId="0" applyNumberFormat="1" applyFont="1" applyAlignment="1">
      <alignment horizontal="right" vertical="center" wrapText="1"/>
    </xf>
    <xf numFmtId="164" fontId="2" fillId="0" borderId="0" xfId="0" applyNumberFormat="1" applyFont="1" applyBorder="1" applyAlignment="1">
      <alignment horizontal="right" vertical="center" wrapText="1"/>
    </xf>
    <xf numFmtId="9" fontId="2" fillId="0" borderId="0" xfId="0" applyNumberFormat="1" applyFont="1" applyAlignment="1">
      <alignment horizontal="right" vertical="center" wrapText="1"/>
    </xf>
    <xf numFmtId="164" fontId="2" fillId="0" borderId="0" xfId="0" applyNumberFormat="1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 wrapText="1"/>
    </xf>
    <xf numFmtId="164" fontId="2" fillId="0" borderId="0" xfId="0" applyNumberFormat="1" applyFont="1" applyFill="1" applyBorder="1" applyAlignment="1">
      <alignment horizontal="center" vertical="center" wrapText="1"/>
    </xf>
    <xf numFmtId="164" fontId="2" fillId="0" borderId="1" xfId="0" applyNumberFormat="1" applyFont="1" applyFill="1" applyBorder="1" applyAlignment="1">
      <alignment horizontal="center" vertical="center" wrapText="1"/>
    </xf>
    <xf numFmtId="164" fontId="2" fillId="0" borderId="0" xfId="0" applyNumberFormat="1" applyFont="1" applyFill="1" applyAlignment="1">
      <alignment horizontal="center" vertical="center" wrapText="1"/>
    </xf>
    <xf numFmtId="164" fontId="2" fillId="0" borderId="0" xfId="0" applyNumberFormat="1" applyFont="1" applyFill="1" applyBorder="1" applyAlignment="1">
      <alignment horizontal="right" vertical="center" wrapText="1"/>
    </xf>
    <xf numFmtId="164" fontId="2" fillId="0" borderId="1" xfId="0" applyNumberFormat="1" applyFont="1" applyFill="1" applyBorder="1" applyAlignment="1">
      <alignment horizontal="right" vertical="center" wrapText="1"/>
    </xf>
    <xf numFmtId="166" fontId="2" fillId="0" borderId="0" xfId="0" applyNumberFormat="1" applyFont="1" applyBorder="1" applyAlignment="1">
      <alignment horizontal="right" vertical="center" wrapText="1"/>
    </xf>
    <xf numFmtId="9" fontId="2" fillId="0" borderId="0" xfId="0" applyNumberFormat="1" applyFont="1" applyBorder="1" applyAlignment="1">
      <alignment horizontal="right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166" fontId="2" fillId="0" borderId="2" xfId="0" applyNumberFormat="1" applyFont="1" applyBorder="1" applyAlignment="1">
      <alignment horizontal="right" vertical="center" wrapText="1"/>
    </xf>
    <xf numFmtId="164" fontId="2" fillId="0" borderId="7" xfId="0" applyNumberFormat="1" applyFont="1" applyBorder="1" applyAlignment="1">
      <alignment horizontal="right" vertical="center" wrapText="1"/>
    </xf>
    <xf numFmtId="164" fontId="2" fillId="0" borderId="2" xfId="0" applyNumberFormat="1" applyFont="1" applyFill="1" applyBorder="1" applyAlignment="1">
      <alignment horizontal="right" vertical="center" wrapText="1"/>
    </xf>
    <xf numFmtId="164" fontId="2" fillId="0" borderId="7" xfId="0" applyNumberFormat="1" applyFont="1" applyFill="1" applyBorder="1" applyAlignment="1">
      <alignment horizontal="right" vertical="center" wrapText="1"/>
    </xf>
    <xf numFmtId="164" fontId="2" fillId="0" borderId="2" xfId="0" applyNumberFormat="1" applyFont="1" applyBorder="1" applyAlignment="1">
      <alignment horizontal="right" vertical="center" wrapText="1"/>
    </xf>
    <xf numFmtId="0" fontId="6" fillId="0" borderId="0" xfId="0" applyFont="1">
      <alignment vertical="center"/>
    </xf>
    <xf numFmtId="164" fontId="2" fillId="0" borderId="0" xfId="0" applyNumberFormat="1" applyFont="1" applyAlignment="1">
      <alignment vertical="center" wrapText="1"/>
    </xf>
    <xf numFmtId="164" fontId="2" fillId="4" borderId="0" xfId="0" applyNumberFormat="1" applyFont="1" applyFill="1" applyAlignment="1">
      <alignment horizontal="right" vertical="center" wrapText="1"/>
    </xf>
    <xf numFmtId="164" fontId="2" fillId="4" borderId="1" xfId="0" applyNumberFormat="1" applyFont="1" applyFill="1" applyBorder="1" applyAlignment="1">
      <alignment horizontal="right" vertical="center" wrapText="1"/>
    </xf>
    <xf numFmtId="164" fontId="5" fillId="0" borderId="2" xfId="0" applyNumberFormat="1" applyFont="1" applyBorder="1" applyAlignment="1">
      <alignment horizontal="center" vertical="center" wrapText="1"/>
    </xf>
    <xf numFmtId="9" fontId="2" fillId="0" borderId="2" xfId="0" applyNumberFormat="1" applyFont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167" fontId="2" fillId="0" borderId="0" xfId="0" applyNumberFormat="1" applyFont="1" applyAlignment="1">
      <alignment horizontal="right" vertical="center" wrapText="1"/>
    </xf>
    <xf numFmtId="167" fontId="2" fillId="0" borderId="6" xfId="0" applyNumberFormat="1" applyFont="1" applyBorder="1" applyAlignment="1">
      <alignment horizontal="center" vertical="center" wrapText="1"/>
    </xf>
    <xf numFmtId="167" fontId="2" fillId="0" borderId="5" xfId="0" applyNumberFormat="1" applyFont="1" applyBorder="1" applyAlignment="1">
      <alignment horizontal="center" vertical="center" wrapText="1"/>
    </xf>
    <xf numFmtId="167" fontId="2" fillId="0" borderId="1" xfId="0" applyNumberFormat="1" applyFont="1" applyBorder="1" applyAlignment="1">
      <alignment horizontal="right" vertical="center" wrapText="1"/>
    </xf>
    <xf numFmtId="167" fontId="2" fillId="0" borderId="0" xfId="0" applyNumberFormat="1" applyFont="1" applyBorder="1" applyAlignment="1">
      <alignment horizontal="right" vertical="center" wrapText="1"/>
    </xf>
    <xf numFmtId="167" fontId="2" fillId="0" borderId="2" xfId="0" applyNumberFormat="1" applyFont="1" applyBorder="1" applyAlignment="1">
      <alignment horizontal="right" vertical="center" wrapText="1"/>
    </xf>
    <xf numFmtId="167" fontId="2" fillId="0" borderId="7" xfId="0" applyNumberFormat="1" applyFont="1" applyBorder="1" applyAlignment="1">
      <alignment horizontal="right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164" fontId="2" fillId="5" borderId="6" xfId="0" applyNumberFormat="1" applyFont="1" applyFill="1" applyBorder="1" applyAlignment="1">
      <alignment horizontal="center" vertical="center" wrapText="1"/>
    </xf>
    <xf numFmtId="164" fontId="2" fillId="5" borderId="5" xfId="0" applyNumberFormat="1" applyFont="1" applyFill="1" applyBorder="1" applyAlignment="1">
      <alignment horizontal="center" vertical="center" wrapText="1"/>
    </xf>
    <xf numFmtId="164" fontId="2" fillId="5" borderId="0" xfId="0" applyNumberFormat="1" applyFont="1" applyFill="1" applyAlignment="1">
      <alignment horizontal="right" vertical="center" wrapText="1"/>
    </xf>
    <xf numFmtId="164" fontId="2" fillId="5" borderId="1" xfId="0" applyNumberFormat="1" applyFont="1" applyFill="1" applyBorder="1" applyAlignment="1">
      <alignment horizontal="right" vertical="center" wrapText="1"/>
    </xf>
    <xf numFmtId="164" fontId="2" fillId="5" borderId="0" xfId="0" applyNumberFormat="1" applyFont="1" applyFill="1" applyBorder="1" applyAlignment="1">
      <alignment horizontal="right" vertical="center" wrapText="1"/>
    </xf>
    <xf numFmtId="164" fontId="2" fillId="5" borderId="2" xfId="0" applyNumberFormat="1" applyFont="1" applyFill="1" applyBorder="1" applyAlignment="1">
      <alignment horizontal="right" vertical="center" wrapText="1"/>
    </xf>
    <xf numFmtId="164" fontId="7" fillId="0" borderId="0" xfId="0" applyNumberFormat="1" applyFont="1" applyAlignment="1">
      <alignment horizontal="right" vertical="center" wrapText="1"/>
    </xf>
    <xf numFmtId="164" fontId="7" fillId="0" borderId="1" xfId="0" applyNumberFormat="1" applyFont="1" applyBorder="1" applyAlignment="1">
      <alignment horizontal="right" vertical="center" wrapText="1"/>
    </xf>
    <xf numFmtId="164" fontId="7" fillId="5" borderId="1" xfId="0" applyNumberFormat="1" applyFont="1" applyFill="1" applyBorder="1" applyAlignment="1">
      <alignment horizontal="right" vertical="center" wrapText="1"/>
    </xf>
    <xf numFmtId="164" fontId="7" fillId="0" borderId="2" xfId="0" applyNumberFormat="1" applyFont="1" applyBorder="1" applyAlignment="1">
      <alignment horizontal="right" vertical="center" wrapText="1"/>
    </xf>
    <xf numFmtId="164" fontId="7" fillId="0" borderId="7" xfId="0" applyNumberFormat="1" applyFont="1" applyBorder="1" applyAlignment="1">
      <alignment horizontal="right" vertical="center" wrapText="1"/>
    </xf>
    <xf numFmtId="166" fontId="7" fillId="0" borderId="0" xfId="0" applyNumberFormat="1" applyFont="1" applyAlignment="1">
      <alignment horizontal="right" vertical="center" wrapText="1"/>
    </xf>
    <xf numFmtId="166" fontId="7" fillId="0" borderId="2" xfId="0" applyNumberFormat="1" applyFont="1" applyBorder="1" applyAlignment="1">
      <alignment horizontal="right" vertical="center" wrapText="1"/>
    </xf>
    <xf numFmtId="164" fontId="2" fillId="0" borderId="12" xfId="0" applyNumberFormat="1" applyFont="1" applyBorder="1" applyAlignment="1">
      <alignment horizontal="right" vertical="center" wrapText="1"/>
    </xf>
    <xf numFmtId="164" fontId="2" fillId="0" borderId="11" xfId="0" applyNumberFormat="1" applyFont="1" applyBorder="1" applyAlignment="1">
      <alignment horizontal="right" vertical="center" wrapText="1"/>
    </xf>
    <xf numFmtId="164" fontId="2" fillId="5" borderId="12" xfId="0" applyNumberFormat="1" applyFont="1" applyFill="1" applyBorder="1" applyAlignment="1">
      <alignment horizontal="right" vertical="center" wrapText="1"/>
    </xf>
    <xf numFmtId="164" fontId="2" fillId="5" borderId="11" xfId="0" applyNumberFormat="1" applyFont="1" applyFill="1" applyBorder="1" applyAlignment="1">
      <alignment horizontal="right" vertical="center" wrapText="1"/>
    </xf>
    <xf numFmtId="167" fontId="3" fillId="6" borderId="1" xfId="0" applyNumberFormat="1" applyFont="1" applyFill="1" applyBorder="1" applyAlignment="1">
      <alignment horizontal="right" vertical="center"/>
    </xf>
    <xf numFmtId="164" fontId="3" fillId="6" borderId="0" xfId="0" applyNumberFormat="1" applyFont="1" applyFill="1" applyAlignment="1">
      <alignment horizontal="right" vertical="center" wrapText="1"/>
    </xf>
    <xf numFmtId="164" fontId="8" fillId="6" borderId="0" xfId="0" applyNumberFormat="1" applyFont="1" applyFill="1" applyAlignment="1">
      <alignment horizontal="right" vertical="center" wrapText="1"/>
    </xf>
    <xf numFmtId="167" fontId="3" fillId="6" borderId="0" xfId="0" applyNumberFormat="1" applyFont="1" applyFill="1" applyAlignment="1">
      <alignment horizontal="right" vertical="center" wrapText="1"/>
    </xf>
    <xf numFmtId="164" fontId="7" fillId="5" borderId="12" xfId="0" applyNumberFormat="1" applyFont="1" applyFill="1" applyBorder="1" applyAlignment="1">
      <alignment horizontal="right" vertical="center" wrapText="1"/>
    </xf>
    <xf numFmtId="164" fontId="7" fillId="5" borderId="11" xfId="0" applyNumberFormat="1" applyFont="1" applyFill="1" applyBorder="1" applyAlignment="1">
      <alignment horizontal="right" vertical="center" wrapText="1"/>
    </xf>
    <xf numFmtId="164" fontId="7" fillId="0" borderId="13" xfId="0" applyNumberFormat="1" applyFont="1" applyBorder="1" applyAlignment="1">
      <alignment horizontal="right" vertical="center" wrapText="1"/>
    </xf>
    <xf numFmtId="164" fontId="2" fillId="5" borderId="14" xfId="0" applyNumberFormat="1" applyFont="1" applyFill="1" applyBorder="1" applyAlignment="1">
      <alignment horizontal="right" vertical="center" wrapText="1"/>
    </xf>
    <xf numFmtId="164" fontId="2" fillId="5" borderId="15" xfId="0" applyNumberFormat="1" applyFont="1" applyFill="1" applyBorder="1" applyAlignment="1">
      <alignment horizontal="right" vertical="center" wrapText="1"/>
    </xf>
    <xf numFmtId="164" fontId="2" fillId="5" borderId="13" xfId="0" applyNumberFormat="1" applyFont="1" applyFill="1" applyBorder="1" applyAlignment="1">
      <alignment horizontal="right" vertical="center" wrapText="1"/>
    </xf>
    <xf numFmtId="9" fontId="2" fillId="5" borderId="5" xfId="0" applyNumberFormat="1" applyFont="1" applyFill="1" applyBorder="1" applyAlignment="1">
      <alignment horizontal="center" vertical="center" wrapText="1"/>
    </xf>
    <xf numFmtId="9" fontId="2" fillId="5" borderId="1" xfId="0" applyNumberFormat="1" applyFont="1" applyFill="1" applyBorder="1" applyAlignment="1">
      <alignment horizontal="right" vertical="center" wrapText="1"/>
    </xf>
    <xf numFmtId="9" fontId="2" fillId="5" borderId="7" xfId="0" applyNumberFormat="1" applyFont="1" applyFill="1" applyBorder="1" applyAlignment="1">
      <alignment horizontal="right" vertical="center" wrapText="1"/>
    </xf>
    <xf numFmtId="9" fontId="2" fillId="5" borderId="9" xfId="0" applyNumberFormat="1" applyFont="1" applyFill="1" applyBorder="1" applyAlignment="1">
      <alignment horizontal="right" vertical="center" wrapText="1"/>
    </xf>
    <xf numFmtId="168" fontId="2" fillId="0" borderId="0" xfId="0" applyNumberFormat="1" applyFont="1" applyAlignment="1">
      <alignment horizontal="right" vertical="center" wrapText="1"/>
    </xf>
    <xf numFmtId="168" fontId="2" fillId="5" borderId="5" xfId="0" applyNumberFormat="1" applyFont="1" applyFill="1" applyBorder="1" applyAlignment="1">
      <alignment horizontal="center" vertical="center" wrapText="1"/>
    </xf>
    <xf numFmtId="168" fontId="2" fillId="5" borderId="0" xfId="0" applyNumberFormat="1" applyFont="1" applyFill="1" applyBorder="1" applyAlignment="1">
      <alignment horizontal="right" vertical="center" wrapText="1"/>
    </xf>
    <xf numFmtId="168" fontId="2" fillId="5" borderId="13" xfId="0" applyNumberFormat="1" applyFont="1" applyFill="1" applyBorder="1" applyAlignment="1">
      <alignment horizontal="right" vertical="center" wrapText="1"/>
    </xf>
    <xf numFmtId="168" fontId="2" fillId="0" borderId="0" xfId="0" applyNumberFormat="1" applyFont="1" applyBorder="1" applyAlignment="1">
      <alignment horizontal="right" vertical="center" wrapText="1"/>
    </xf>
    <xf numFmtId="167" fontId="3" fillId="6" borderId="2" xfId="0" applyNumberFormat="1" applyFont="1" applyFill="1" applyBorder="1" applyAlignment="1">
      <alignment vertical="center"/>
    </xf>
    <xf numFmtId="167" fontId="3" fillId="6" borderId="2" xfId="0" applyNumberFormat="1" applyFont="1" applyFill="1" applyBorder="1" applyAlignment="1">
      <alignment horizontal="right" vertical="center"/>
    </xf>
    <xf numFmtId="169" fontId="2" fillId="0" borderId="0" xfId="0" applyNumberFormat="1" applyFont="1" applyAlignment="1">
      <alignment horizontal="right" vertical="center" wrapText="1"/>
    </xf>
    <xf numFmtId="169" fontId="2" fillId="5" borderId="5" xfId="0" applyNumberFormat="1" applyFont="1" applyFill="1" applyBorder="1" applyAlignment="1">
      <alignment horizontal="center" vertical="center" wrapText="1"/>
    </xf>
    <xf numFmtId="169" fontId="2" fillId="5" borderId="14" xfId="0" applyNumberFormat="1" applyFont="1" applyFill="1" applyBorder="1" applyAlignment="1">
      <alignment horizontal="right" vertical="center" wrapText="1"/>
    </xf>
    <xf numFmtId="169" fontId="2" fillId="5" borderId="15" xfId="0" applyNumberFormat="1" applyFont="1" applyFill="1" applyBorder="1" applyAlignment="1">
      <alignment horizontal="right" vertical="center" wrapText="1"/>
    </xf>
    <xf numFmtId="169" fontId="2" fillId="5" borderId="13" xfId="0" applyNumberFormat="1" applyFont="1" applyFill="1" applyBorder="1" applyAlignment="1">
      <alignment horizontal="right" vertical="center" wrapText="1"/>
    </xf>
    <xf numFmtId="169" fontId="2" fillId="0" borderId="0" xfId="0" applyNumberFormat="1" applyFont="1" applyBorder="1" applyAlignment="1">
      <alignment horizontal="right" vertical="center" wrapText="1"/>
    </xf>
    <xf numFmtId="164" fontId="4" fillId="2" borderId="1" xfId="0" applyNumberFormat="1" applyFont="1" applyFill="1" applyBorder="1" applyAlignment="1">
      <alignment horizontal="right" vertical="center" wrapText="1"/>
    </xf>
    <xf numFmtId="164" fontId="2" fillId="0" borderId="7" xfId="0" applyNumberFormat="1" applyFont="1" applyBorder="1" applyAlignment="1">
      <alignment horizontal="center" vertical="center" wrapText="1"/>
    </xf>
    <xf numFmtId="164" fontId="2" fillId="0" borderId="15" xfId="0" applyNumberFormat="1" applyFont="1" applyBorder="1" applyAlignment="1">
      <alignment horizontal="right" vertical="center" wrapText="1"/>
    </xf>
    <xf numFmtId="166" fontId="2" fillId="0" borderId="0" xfId="0" applyNumberFormat="1" applyFont="1" applyFill="1" applyBorder="1" applyAlignment="1">
      <alignment horizontal="center" vertical="center" wrapText="1"/>
    </xf>
    <xf numFmtId="166" fontId="2" fillId="0" borderId="1" xfId="0" applyNumberFormat="1" applyFont="1" applyFill="1" applyBorder="1" applyAlignment="1">
      <alignment horizontal="center" vertical="center" wrapText="1"/>
    </xf>
    <xf numFmtId="164" fontId="2" fillId="7" borderId="0" xfId="0" applyNumberFormat="1" applyFont="1" applyFill="1" applyAlignment="1">
      <alignment horizontal="center" vertical="center" wrapText="1"/>
    </xf>
    <xf numFmtId="164" fontId="2" fillId="7" borderId="0" xfId="0" applyNumberFormat="1" applyFont="1" applyFill="1" applyAlignment="1">
      <alignment horizontal="right" vertical="center" wrapText="1"/>
    </xf>
    <xf numFmtId="164" fontId="2" fillId="7" borderId="1" xfId="0" applyNumberFormat="1" applyFont="1" applyFill="1" applyBorder="1" applyAlignment="1">
      <alignment horizontal="right" vertical="center" wrapText="1"/>
    </xf>
    <xf numFmtId="164" fontId="2" fillId="7" borderId="11" xfId="0" applyNumberFormat="1" applyFont="1" applyFill="1" applyBorder="1" applyAlignment="1">
      <alignment horizontal="center" vertical="center" wrapText="1"/>
    </xf>
    <xf numFmtId="164" fontId="2" fillId="7" borderId="6" xfId="0" applyNumberFormat="1" applyFont="1" applyFill="1" applyBorder="1" applyAlignment="1">
      <alignment horizontal="center" vertical="center" wrapText="1"/>
    </xf>
    <xf numFmtId="164" fontId="2" fillId="7" borderId="5" xfId="0" applyNumberFormat="1" applyFont="1" applyFill="1" applyBorder="1" applyAlignment="1">
      <alignment horizontal="center" vertical="center" wrapText="1"/>
    </xf>
    <xf numFmtId="164" fontId="2" fillId="7" borderId="11" xfId="0" applyNumberFormat="1" applyFont="1" applyFill="1" applyBorder="1" applyAlignment="1">
      <alignment vertical="center" wrapText="1"/>
    </xf>
    <xf numFmtId="164" fontId="2" fillId="8" borderId="1" xfId="0" applyNumberFormat="1" applyFont="1" applyFill="1" applyBorder="1" applyAlignment="1">
      <alignment horizontal="right" vertical="center" wrapText="1"/>
    </xf>
    <xf numFmtId="164" fontId="2" fillId="8" borderId="0" xfId="0" applyNumberFormat="1" applyFont="1" applyFill="1" applyAlignment="1">
      <alignment horizontal="right" vertical="center" wrapText="1"/>
    </xf>
    <xf numFmtId="164" fontId="2" fillId="8" borderId="0" xfId="0" applyNumberFormat="1" applyFont="1" applyFill="1" applyAlignment="1">
      <alignment horizontal="center" vertical="center" wrapText="1"/>
    </xf>
    <xf numFmtId="164" fontId="2" fillId="8" borderId="12" xfId="0" applyNumberFormat="1" applyFont="1" applyFill="1" applyBorder="1" applyAlignment="1">
      <alignment horizontal="right" vertical="center" wrapText="1"/>
    </xf>
    <xf numFmtId="164" fontId="2" fillId="8" borderId="5" xfId="0" applyNumberFormat="1" applyFont="1" applyFill="1" applyBorder="1" applyAlignment="1">
      <alignment horizontal="center" vertical="center" wrapText="1"/>
    </xf>
    <xf numFmtId="164" fontId="2" fillId="8" borderId="6" xfId="0" applyNumberFormat="1" applyFont="1" applyFill="1" applyBorder="1" applyAlignment="1">
      <alignment horizontal="center" vertical="center" wrapText="1"/>
    </xf>
    <xf numFmtId="164" fontId="3" fillId="10" borderId="0" xfId="0" applyNumberFormat="1" applyFont="1" applyFill="1" applyAlignment="1">
      <alignment horizontal="center" vertical="center" wrapText="1"/>
    </xf>
    <xf numFmtId="164" fontId="3" fillId="10" borderId="0" xfId="0" applyNumberFormat="1" applyFont="1" applyFill="1" applyAlignment="1">
      <alignment horizontal="right" vertical="center" wrapText="1"/>
    </xf>
    <xf numFmtId="164" fontId="3" fillId="10" borderId="1" xfId="0" applyNumberFormat="1" applyFont="1" applyFill="1" applyBorder="1" applyAlignment="1">
      <alignment horizontal="right" vertical="center" wrapText="1"/>
    </xf>
    <xf numFmtId="164" fontId="3" fillId="10" borderId="0" xfId="0" applyNumberFormat="1" applyFont="1" applyFill="1" applyBorder="1" applyAlignment="1">
      <alignment horizontal="right" vertical="center" wrapText="1"/>
    </xf>
    <xf numFmtId="164" fontId="2" fillId="11" borderId="0" xfId="0" applyNumberFormat="1" applyFont="1" applyFill="1" applyAlignment="1">
      <alignment horizontal="center" vertical="center" wrapText="1"/>
    </xf>
    <xf numFmtId="164" fontId="2" fillId="11" borderId="0" xfId="0" applyNumberFormat="1" applyFont="1" applyFill="1" applyAlignment="1">
      <alignment horizontal="right" vertical="center" wrapText="1"/>
    </xf>
    <xf numFmtId="164" fontId="2" fillId="11" borderId="1" xfId="0" applyNumberFormat="1" applyFont="1" applyFill="1" applyBorder="1" applyAlignment="1">
      <alignment horizontal="right" vertical="center" wrapText="1"/>
    </xf>
    <xf numFmtId="164" fontId="2" fillId="12" borderId="0" xfId="0" applyNumberFormat="1" applyFont="1" applyFill="1" applyAlignment="1">
      <alignment horizontal="center" vertical="center" wrapText="1"/>
    </xf>
    <xf numFmtId="164" fontId="2" fillId="12" borderId="1" xfId="0" applyNumberFormat="1" applyFont="1" applyFill="1" applyBorder="1" applyAlignment="1">
      <alignment horizontal="right" vertical="center" wrapText="1"/>
    </xf>
    <xf numFmtId="164" fontId="2" fillId="11" borderId="12" xfId="0" applyNumberFormat="1" applyFont="1" applyFill="1" applyBorder="1" applyAlignment="1">
      <alignment horizontal="right" vertical="center" wrapText="1"/>
    </xf>
    <xf numFmtId="164" fontId="2" fillId="0" borderId="0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164" fontId="2" fillId="0" borderId="0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164" fontId="2" fillId="7" borderId="5" xfId="0" applyNumberFormat="1" applyFont="1" applyFill="1" applyBorder="1" applyAlignment="1">
      <alignment horizontal="center" vertical="center" wrapText="1"/>
    </xf>
    <xf numFmtId="164" fontId="2" fillId="8" borderId="6" xfId="0" applyNumberFormat="1" applyFont="1" applyFill="1" applyBorder="1" applyAlignment="1">
      <alignment horizontal="center" vertical="center" wrapText="1"/>
    </xf>
    <xf numFmtId="164" fontId="2" fillId="8" borderId="5" xfId="0" applyNumberFormat="1" applyFont="1" applyFill="1" applyBorder="1" applyAlignment="1">
      <alignment horizontal="center" vertical="center" wrapText="1"/>
    </xf>
    <xf numFmtId="164" fontId="2" fillId="7" borderId="6" xfId="0" applyNumberFormat="1" applyFont="1" applyFill="1" applyBorder="1" applyAlignment="1">
      <alignment horizontal="center" vertical="center" wrapText="1"/>
    </xf>
    <xf numFmtId="164" fontId="4" fillId="3" borderId="0" xfId="0" applyNumberFormat="1" applyFont="1" applyFill="1" applyAlignment="1">
      <alignment horizontal="center" vertical="center" wrapText="1"/>
    </xf>
    <xf numFmtId="164" fontId="11" fillId="0" borderId="0" xfId="0" applyNumberFormat="1" applyFont="1" applyAlignment="1">
      <alignment horizontal="center" vertical="center" wrapText="1"/>
    </xf>
    <xf numFmtId="164" fontId="11" fillId="0" borderId="0" xfId="0" applyNumberFormat="1" applyFont="1" applyAlignment="1">
      <alignment horizontal="right" vertical="center" wrapText="1"/>
    </xf>
    <xf numFmtId="164" fontId="11" fillId="0" borderId="2" xfId="0" applyNumberFormat="1" applyFont="1" applyBorder="1" applyAlignment="1">
      <alignment horizontal="center" vertical="center" wrapText="1"/>
    </xf>
    <xf numFmtId="164" fontId="12" fillId="10" borderId="0" xfId="0" applyNumberFormat="1" applyFont="1" applyFill="1" applyAlignment="1">
      <alignment horizontal="center" vertical="center" wrapText="1"/>
    </xf>
    <xf numFmtId="10" fontId="2" fillId="0" borderId="0" xfId="0" applyNumberFormat="1" applyFont="1" applyAlignment="1">
      <alignment horizontal="right" vertical="center" wrapText="1"/>
    </xf>
    <xf numFmtId="10" fontId="2" fillId="0" borderId="2" xfId="0" applyNumberFormat="1" applyFont="1" applyBorder="1" applyAlignment="1">
      <alignment horizontal="center" vertical="center" wrapText="1"/>
    </xf>
    <xf numFmtId="46" fontId="2" fillId="0" borderId="0" xfId="0" applyNumberFormat="1" applyFont="1" applyAlignment="1">
      <alignment horizontal="right" vertical="center" wrapText="1"/>
    </xf>
    <xf numFmtId="46" fontId="3" fillId="10" borderId="1" xfId="0" applyNumberFormat="1" applyFont="1" applyFill="1" applyBorder="1" applyAlignment="1">
      <alignment horizontal="right" vertical="center" wrapText="1"/>
    </xf>
    <xf numFmtId="46" fontId="2" fillId="0" borderId="1" xfId="0" applyNumberFormat="1" applyFont="1" applyBorder="1" applyAlignment="1">
      <alignment horizontal="right" vertical="center" wrapText="1"/>
    </xf>
    <xf numFmtId="46" fontId="3" fillId="10" borderId="0" xfId="0" applyNumberFormat="1" applyFont="1" applyFill="1" applyBorder="1" applyAlignment="1">
      <alignment horizontal="right" vertical="center" wrapText="1"/>
    </xf>
    <xf numFmtId="46" fontId="4" fillId="0" borderId="1" xfId="0" applyNumberFormat="1" applyFont="1" applyFill="1" applyBorder="1" applyAlignment="1">
      <alignment horizontal="right" vertical="center" wrapText="1"/>
    </xf>
    <xf numFmtId="46" fontId="2" fillId="7" borderId="0" xfId="0" applyNumberFormat="1" applyFont="1" applyFill="1" applyBorder="1" applyAlignment="1">
      <alignment horizontal="right" vertical="center" wrapText="1"/>
    </xf>
    <xf numFmtId="46" fontId="2" fillId="7" borderId="1" xfId="0" applyNumberFormat="1" applyFont="1" applyFill="1" applyBorder="1" applyAlignment="1">
      <alignment horizontal="right" vertical="center" wrapText="1"/>
    </xf>
    <xf numFmtId="46" fontId="2" fillId="0" borderId="0" xfId="0" applyNumberFormat="1" applyFont="1" applyBorder="1" applyAlignment="1">
      <alignment horizontal="right" vertical="center" wrapText="1"/>
    </xf>
    <xf numFmtId="46" fontId="4" fillId="0" borderId="0" xfId="0" applyNumberFormat="1" applyFont="1" applyFill="1" applyBorder="1" applyAlignment="1">
      <alignment horizontal="right" vertical="center" wrapText="1"/>
    </xf>
    <xf numFmtId="164" fontId="2" fillId="2" borderId="0" xfId="0" applyNumberFormat="1" applyFont="1" applyFill="1" applyAlignment="1">
      <alignment horizontal="right" vertical="center" wrapText="1"/>
    </xf>
    <xf numFmtId="164" fontId="2" fillId="14" borderId="0" xfId="0" applyNumberFormat="1" applyFont="1" applyFill="1" applyAlignment="1">
      <alignment horizontal="center" vertical="center" wrapText="1"/>
    </xf>
    <xf numFmtId="166" fontId="11" fillId="0" borderId="0" xfId="0" applyNumberFormat="1" applyFont="1" applyAlignment="1">
      <alignment horizontal="center" vertical="center" wrapText="1"/>
    </xf>
    <xf numFmtId="166" fontId="11" fillId="0" borderId="0" xfId="0" applyNumberFormat="1" applyFont="1" applyFill="1" applyAlignment="1">
      <alignment horizontal="center" vertical="center" wrapText="1"/>
    </xf>
    <xf numFmtId="164" fontId="11" fillId="0" borderId="0" xfId="0" applyNumberFormat="1" applyFont="1" applyFill="1" applyAlignment="1">
      <alignment horizontal="center" vertical="center" wrapText="1"/>
    </xf>
    <xf numFmtId="46" fontId="2" fillId="11" borderId="0" xfId="0" applyNumberFormat="1" applyFont="1" applyFill="1" applyBorder="1" applyAlignment="1">
      <alignment horizontal="right" vertical="center" wrapText="1"/>
    </xf>
    <xf numFmtId="46" fontId="2" fillId="11" borderId="1" xfId="0" applyNumberFormat="1" applyFont="1" applyFill="1" applyBorder="1" applyAlignment="1">
      <alignment horizontal="right" vertical="center" wrapText="1"/>
    </xf>
    <xf numFmtId="46" fontId="9" fillId="0" borderId="1" xfId="0" applyNumberFormat="1" applyFont="1" applyBorder="1" applyAlignment="1">
      <alignment horizontal="right" vertical="center" wrapText="1"/>
    </xf>
    <xf numFmtId="164" fontId="2" fillId="0" borderId="0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164" fontId="2" fillId="0" borderId="0" xfId="0" applyNumberFormat="1" applyFont="1" applyAlignment="1">
      <alignment horizontal="left" vertical="center" wrapText="1"/>
    </xf>
    <xf numFmtId="164" fontId="2" fillId="0" borderId="2" xfId="0" applyNumberFormat="1" applyFont="1" applyBorder="1" applyAlignment="1">
      <alignment horizontal="left" vertical="center" wrapText="1"/>
    </xf>
    <xf numFmtId="164" fontId="2" fillId="0" borderId="0" xfId="0" applyNumberFormat="1" applyFont="1" applyBorder="1" applyAlignment="1">
      <alignment horizontal="left" vertical="center" wrapText="1"/>
    </xf>
    <xf numFmtId="9" fontId="2" fillId="0" borderId="1" xfId="0" applyNumberFormat="1" applyFont="1" applyBorder="1" applyAlignment="1">
      <alignment horizontal="right" vertical="center" wrapText="1"/>
    </xf>
    <xf numFmtId="46" fontId="2" fillId="0" borderId="0" xfId="0" applyNumberFormat="1" applyFont="1" applyAlignment="1">
      <alignment horizontal="center" vertical="center" wrapText="1"/>
    </xf>
    <xf numFmtId="46" fontId="2" fillId="0" borderId="2" xfId="0" applyNumberFormat="1" applyFont="1" applyBorder="1" applyAlignment="1">
      <alignment horizontal="center" vertical="center" wrapText="1"/>
    </xf>
    <xf numFmtId="46" fontId="13" fillId="7" borderId="1" xfId="0" applyNumberFormat="1" applyFont="1" applyFill="1" applyBorder="1" applyAlignment="1">
      <alignment horizontal="right" vertical="center" wrapText="1"/>
    </xf>
    <xf numFmtId="164" fontId="2" fillId="15" borderId="1" xfId="0" applyNumberFormat="1" applyFont="1" applyFill="1" applyBorder="1" applyAlignment="1">
      <alignment horizontal="right" vertical="center" wrapText="1"/>
    </xf>
    <xf numFmtId="170" fontId="2" fillId="0" borderId="0" xfId="0" applyNumberFormat="1" applyFont="1" applyAlignment="1">
      <alignment horizontal="right" vertical="center" wrapText="1"/>
    </xf>
    <xf numFmtId="170" fontId="2" fillId="0" borderId="2" xfId="0" applyNumberFormat="1" applyFont="1" applyBorder="1" applyAlignment="1">
      <alignment horizontal="center" vertical="center" wrapText="1"/>
    </xf>
    <xf numFmtId="170" fontId="11" fillId="0" borderId="0" xfId="0" applyNumberFormat="1" applyFont="1" applyAlignment="1">
      <alignment horizontal="right" vertical="center" wrapText="1"/>
    </xf>
    <xf numFmtId="164" fontId="2" fillId="0" borderId="14" xfId="0" applyNumberFormat="1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164" fontId="2" fillId="0" borderId="6" xfId="0" applyNumberFormat="1" applyFont="1" applyBorder="1" applyAlignment="1">
      <alignment horizontal="center" vertical="center" wrapText="1"/>
    </xf>
    <xf numFmtId="164" fontId="2" fillId="0" borderId="0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164" fontId="2" fillId="0" borderId="15" xfId="0" applyNumberFormat="1" applyFont="1" applyBorder="1" applyAlignment="1">
      <alignment horizontal="center" vertical="center" wrapText="1"/>
    </xf>
    <xf numFmtId="164" fontId="2" fillId="0" borderId="15" xfId="0" applyNumberFormat="1" applyFont="1" applyBorder="1" applyAlignment="1">
      <alignment horizontal="left" vertical="center" wrapText="1"/>
    </xf>
    <xf numFmtId="164" fontId="2" fillId="0" borderId="13" xfId="0" applyNumberFormat="1" applyFont="1" applyBorder="1" applyAlignment="1">
      <alignment horizontal="left" vertical="center" wrapText="1"/>
    </xf>
    <xf numFmtId="9" fontId="2" fillId="0" borderId="7" xfId="0" applyNumberFormat="1" applyFont="1" applyBorder="1" applyAlignment="1">
      <alignment horizontal="right" vertical="center" wrapText="1"/>
    </xf>
    <xf numFmtId="164" fontId="2" fillId="0" borderId="16" xfId="0" applyNumberFormat="1" applyFont="1" applyBorder="1" applyAlignment="1">
      <alignment horizontal="center" vertical="center" wrapText="1"/>
    </xf>
    <xf numFmtId="164" fontId="2" fillId="0" borderId="17" xfId="0" applyNumberFormat="1" applyFont="1" applyBorder="1" applyAlignment="1">
      <alignment horizontal="right" vertical="center" wrapText="1"/>
    </xf>
    <xf numFmtId="164" fontId="2" fillId="0" borderId="16" xfId="0" applyNumberFormat="1" applyFont="1" applyBorder="1" applyAlignment="1">
      <alignment horizontal="right" vertical="center" wrapText="1"/>
    </xf>
    <xf numFmtId="164" fontId="2" fillId="0" borderId="16" xfId="0" applyNumberFormat="1" applyFont="1" applyFill="1" applyBorder="1" applyAlignment="1">
      <alignment horizontal="right" vertical="center" wrapText="1"/>
    </xf>
    <xf numFmtId="164" fontId="2" fillId="0" borderId="17" xfId="0" applyNumberFormat="1" applyFont="1" applyFill="1" applyBorder="1" applyAlignment="1">
      <alignment horizontal="right" vertical="center" wrapText="1"/>
    </xf>
    <xf numFmtId="164" fontId="2" fillId="0" borderId="17" xfId="0" applyNumberFormat="1" applyFont="1" applyBorder="1" applyAlignment="1">
      <alignment horizontal="center" vertical="center" wrapText="1"/>
    </xf>
    <xf numFmtId="164" fontId="2" fillId="0" borderId="19" xfId="0" applyNumberFormat="1" applyFont="1" applyBorder="1" applyAlignment="1">
      <alignment horizontal="right" vertical="center" wrapText="1"/>
    </xf>
    <xf numFmtId="164" fontId="2" fillId="0" borderId="18" xfId="0" applyNumberFormat="1" applyFont="1" applyBorder="1" applyAlignment="1">
      <alignment horizontal="right" vertical="center" wrapText="1"/>
    </xf>
    <xf numFmtId="164" fontId="2" fillId="0" borderId="18" xfId="0" applyNumberFormat="1" applyFont="1" applyFill="1" applyBorder="1" applyAlignment="1">
      <alignment horizontal="right" vertical="center" wrapText="1"/>
    </xf>
    <xf numFmtId="164" fontId="2" fillId="0" borderId="19" xfId="0" applyNumberFormat="1" applyFont="1" applyFill="1" applyBorder="1" applyAlignment="1">
      <alignment horizontal="right" vertical="center" wrapText="1"/>
    </xf>
    <xf numFmtId="164" fontId="2" fillId="0" borderId="19" xfId="0" applyNumberFormat="1" applyFont="1" applyBorder="1" applyAlignment="1">
      <alignment horizontal="center" vertical="center" wrapText="1"/>
    </xf>
    <xf numFmtId="164" fontId="2" fillId="0" borderId="21" xfId="0" applyNumberFormat="1" applyFont="1" applyBorder="1" applyAlignment="1">
      <alignment horizontal="center" vertical="center" wrapText="1"/>
    </xf>
    <xf numFmtId="164" fontId="2" fillId="0" borderId="20" xfId="0" applyNumberFormat="1" applyFont="1" applyBorder="1" applyAlignment="1">
      <alignment horizontal="right" vertical="center" wrapText="1"/>
    </xf>
    <xf numFmtId="164" fontId="2" fillId="0" borderId="21" xfId="0" applyNumberFormat="1" applyFont="1" applyBorder="1" applyAlignment="1">
      <alignment horizontal="right" vertical="center" wrapText="1"/>
    </xf>
    <xf numFmtId="164" fontId="2" fillId="0" borderId="21" xfId="0" applyNumberFormat="1" applyFont="1" applyFill="1" applyBorder="1" applyAlignment="1">
      <alignment horizontal="right" vertical="center" wrapText="1"/>
    </xf>
    <xf numFmtId="164" fontId="2" fillId="0" borderId="20" xfId="0" applyNumberFormat="1" applyFont="1" applyFill="1" applyBorder="1" applyAlignment="1">
      <alignment horizontal="right" vertical="center" wrapText="1"/>
    </xf>
    <xf numFmtId="164" fontId="2" fillId="0" borderId="20" xfId="0" applyNumberFormat="1" applyFont="1" applyBorder="1" applyAlignment="1">
      <alignment horizontal="center" vertical="center" wrapText="1"/>
    </xf>
    <xf numFmtId="9" fontId="2" fillId="0" borderId="0" xfId="0" applyNumberFormat="1" applyFont="1" applyAlignment="1">
      <alignment horizontal="center" vertical="center" wrapText="1"/>
    </xf>
    <xf numFmtId="9" fontId="2" fillId="0" borderId="0" xfId="0" applyNumberFormat="1" applyFont="1" applyBorder="1" applyAlignment="1">
      <alignment horizontal="center" vertical="center" wrapText="1"/>
    </xf>
    <xf numFmtId="9" fontId="2" fillId="0" borderId="0" xfId="0" applyNumberFormat="1" applyFont="1" applyAlignment="1">
      <alignment horizontal="left" vertical="center" wrapText="1"/>
    </xf>
    <xf numFmtId="9" fontId="2" fillId="0" borderId="7" xfId="0" applyNumberFormat="1" applyFont="1" applyBorder="1" applyAlignment="1">
      <alignment horizontal="center" vertical="center" wrapText="1"/>
    </xf>
    <xf numFmtId="9" fontId="2" fillId="0" borderId="2" xfId="0" applyNumberFormat="1" applyFont="1" applyBorder="1" applyAlignment="1">
      <alignment horizontal="right" vertical="center" wrapText="1"/>
    </xf>
    <xf numFmtId="164" fontId="2" fillId="0" borderId="13" xfId="0" applyNumberFormat="1" applyFont="1" applyBorder="1" applyAlignment="1">
      <alignment horizontal="center" vertical="center" wrapText="1"/>
    </xf>
    <xf numFmtId="164" fontId="2" fillId="0" borderId="14" xfId="0" applyNumberFormat="1" applyFont="1" applyBorder="1" applyAlignment="1">
      <alignment horizontal="left" vertical="center" wrapText="1"/>
    </xf>
    <xf numFmtId="164" fontId="2" fillId="8" borderId="0" xfId="0" applyNumberFormat="1" applyFont="1" applyFill="1" applyBorder="1" applyAlignment="1">
      <alignment horizontal="right" vertical="center" wrapText="1"/>
    </xf>
    <xf numFmtId="164" fontId="2" fillId="0" borderId="8" xfId="0" applyNumberFormat="1" applyFont="1" applyBorder="1" applyAlignment="1">
      <alignment horizontal="center" vertical="center" wrapText="1"/>
    </xf>
    <xf numFmtId="164" fontId="2" fillId="0" borderId="0" xfId="0" applyNumberFormat="1" applyFont="1" applyBorder="1" applyAlignment="1">
      <alignment horizontal="center" vertical="center" wrapText="1"/>
    </xf>
    <xf numFmtId="164" fontId="2" fillId="0" borderId="14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164" fontId="2" fillId="0" borderId="15" xfId="0" applyNumberFormat="1" applyFont="1" applyBorder="1" applyAlignment="1">
      <alignment horizontal="center" vertical="center" wrapText="1"/>
    </xf>
    <xf numFmtId="164" fontId="2" fillId="0" borderId="16" xfId="0" applyNumberFormat="1" applyFont="1" applyBorder="1" applyAlignment="1">
      <alignment horizontal="center" vertical="center" wrapText="1"/>
    </xf>
    <xf numFmtId="164" fontId="2" fillId="0" borderId="6" xfId="0" applyNumberFormat="1" applyFont="1" applyBorder="1" applyAlignment="1">
      <alignment horizontal="right" vertical="center" wrapText="1"/>
    </xf>
    <xf numFmtId="164" fontId="2" fillId="0" borderId="4" xfId="0" applyNumberFormat="1" applyFont="1" applyBorder="1" applyAlignment="1">
      <alignment horizontal="right" vertical="center" wrapText="1"/>
    </xf>
    <xf numFmtId="164" fontId="2" fillId="0" borderId="4" xfId="0" applyNumberFormat="1" applyFont="1" applyFill="1" applyBorder="1" applyAlignment="1">
      <alignment horizontal="right" vertical="center" wrapText="1"/>
    </xf>
    <xf numFmtId="164" fontId="2" fillId="0" borderId="6" xfId="0" applyNumberFormat="1" applyFont="1" applyFill="1" applyBorder="1" applyAlignment="1">
      <alignment horizontal="right" vertical="center" wrapText="1"/>
    </xf>
    <xf numFmtId="171" fontId="2" fillId="0" borderId="7" xfId="0" applyNumberFormat="1" applyFont="1" applyBorder="1" applyAlignment="1">
      <alignment horizontal="right" vertical="center" wrapText="1"/>
    </xf>
    <xf numFmtId="164" fontId="2" fillId="15" borderId="0" xfId="0" applyNumberFormat="1" applyFont="1" applyFill="1" applyAlignment="1">
      <alignment horizontal="right" vertical="center" wrapText="1"/>
    </xf>
    <xf numFmtId="164" fontId="2" fillId="0" borderId="8" xfId="0" applyNumberFormat="1" applyFont="1" applyBorder="1" applyAlignment="1">
      <alignment horizontal="right" vertical="center" wrapText="1"/>
    </xf>
    <xf numFmtId="164" fontId="2" fillId="15" borderId="0" xfId="0" applyNumberFormat="1" applyFont="1" applyFill="1" applyBorder="1" applyAlignment="1">
      <alignment horizontal="right" vertical="center" wrapText="1"/>
    </xf>
    <xf numFmtId="9" fontId="2" fillId="0" borderId="9" xfId="0" applyNumberFormat="1" applyFont="1" applyBorder="1" applyAlignment="1">
      <alignment horizontal="right" vertical="center" wrapText="1"/>
    </xf>
    <xf numFmtId="9" fontId="2" fillId="0" borderId="8" xfId="0" applyNumberFormat="1" applyFont="1" applyBorder="1" applyAlignment="1">
      <alignment horizontal="left" vertical="center" wrapText="1"/>
    </xf>
    <xf numFmtId="9" fontId="2" fillId="0" borderId="0" xfId="0" applyNumberFormat="1" applyFont="1" applyBorder="1" applyAlignment="1">
      <alignment horizontal="left" vertical="center" wrapText="1"/>
    </xf>
    <xf numFmtId="9" fontId="2" fillId="0" borderId="2" xfId="0" applyNumberFormat="1" applyFont="1" applyBorder="1" applyAlignment="1">
      <alignment horizontal="left" vertical="center" wrapText="1"/>
    </xf>
    <xf numFmtId="164" fontId="2" fillId="0" borderId="0" xfId="0" applyNumberFormat="1" applyFont="1" applyAlignment="1">
      <alignment horizontal="center" vertical="center" wrapText="1"/>
    </xf>
    <xf numFmtId="9" fontId="3" fillId="10" borderId="0" xfId="0" applyNumberFormat="1" applyFont="1" applyFill="1" applyAlignment="1">
      <alignment horizontal="right" vertical="center" wrapText="1"/>
    </xf>
    <xf numFmtId="164" fontId="2" fillId="16" borderId="0" xfId="0" applyNumberFormat="1" applyFont="1" applyFill="1" applyBorder="1" applyAlignment="1">
      <alignment horizontal="center" vertical="center" wrapText="1"/>
    </xf>
    <xf numFmtId="46" fontId="2" fillId="0" borderId="1" xfId="0" applyNumberFormat="1" applyFont="1" applyFill="1" applyBorder="1" applyAlignment="1">
      <alignment horizontal="right" vertical="center" wrapText="1"/>
    </xf>
    <xf numFmtId="9" fontId="13" fillId="0" borderId="0" xfId="0" applyNumberFormat="1" applyFont="1" applyAlignment="1">
      <alignment horizontal="right" vertical="center" wrapText="1"/>
    </xf>
    <xf numFmtId="166" fontId="7" fillId="0" borderId="0" xfId="0" applyNumberFormat="1" applyFont="1" applyBorder="1" applyAlignment="1">
      <alignment horizontal="right" vertical="center" wrapText="1"/>
    </xf>
    <xf numFmtId="164" fontId="7" fillId="0" borderId="0" xfId="0" applyNumberFormat="1" applyFont="1" applyBorder="1" applyAlignment="1">
      <alignment horizontal="right" vertical="center" wrapText="1"/>
    </xf>
    <xf numFmtId="166" fontId="7" fillId="0" borderId="16" xfId="0" applyNumberFormat="1" applyFont="1" applyBorder="1" applyAlignment="1">
      <alignment horizontal="right" vertical="center" wrapText="1"/>
    </xf>
    <xf numFmtId="164" fontId="7" fillId="0" borderId="17" xfId="0" applyNumberFormat="1" applyFont="1" applyBorder="1" applyAlignment="1">
      <alignment horizontal="right" vertical="center" wrapText="1"/>
    </xf>
    <xf numFmtId="164" fontId="7" fillId="0" borderId="22" xfId="0" applyNumberFormat="1" applyFont="1" applyBorder="1" applyAlignment="1">
      <alignment horizontal="right" vertical="center" wrapText="1"/>
    </xf>
    <xf numFmtId="164" fontId="7" fillId="0" borderId="16" xfId="0" applyNumberFormat="1" applyFont="1" applyBorder="1" applyAlignment="1">
      <alignment horizontal="right" vertical="center" wrapText="1"/>
    </xf>
    <xf numFmtId="164" fontId="7" fillId="5" borderId="23" xfId="0" applyNumberFormat="1" applyFont="1" applyFill="1" applyBorder="1" applyAlignment="1">
      <alignment horizontal="right" vertical="center" wrapText="1"/>
    </xf>
    <xf numFmtId="164" fontId="2" fillId="0" borderId="23" xfId="0" applyNumberFormat="1" applyFont="1" applyBorder="1" applyAlignment="1">
      <alignment horizontal="right" vertical="center" wrapText="1"/>
    </xf>
    <xf numFmtId="167" fontId="2" fillId="0" borderId="16" xfId="0" applyNumberFormat="1" applyFont="1" applyBorder="1" applyAlignment="1">
      <alignment horizontal="right" vertical="center" wrapText="1"/>
    </xf>
    <xf numFmtId="167" fontId="2" fillId="0" borderId="17" xfId="0" applyNumberFormat="1" applyFont="1" applyBorder="1" applyAlignment="1">
      <alignment horizontal="right" vertical="center" wrapText="1"/>
    </xf>
    <xf numFmtId="164" fontId="2" fillId="5" borderId="16" xfId="0" applyNumberFormat="1" applyFont="1" applyFill="1" applyBorder="1" applyAlignment="1">
      <alignment horizontal="right" vertical="center" wrapText="1"/>
    </xf>
    <xf numFmtId="164" fontId="2" fillId="5" borderId="22" xfId="0" applyNumberFormat="1" applyFont="1" applyFill="1" applyBorder="1" applyAlignment="1">
      <alignment horizontal="right" vertical="center" wrapText="1"/>
    </xf>
    <xf numFmtId="9" fontId="2" fillId="5" borderId="17" xfId="0" applyNumberFormat="1" applyFont="1" applyFill="1" applyBorder="1" applyAlignment="1">
      <alignment horizontal="right" vertical="center" wrapText="1"/>
    </xf>
    <xf numFmtId="168" fontId="2" fillId="5" borderId="22" xfId="0" applyNumberFormat="1" applyFont="1" applyFill="1" applyBorder="1" applyAlignment="1">
      <alignment horizontal="right" vertical="center" wrapText="1"/>
    </xf>
    <xf numFmtId="169" fontId="2" fillId="5" borderId="22" xfId="0" applyNumberFormat="1" applyFont="1" applyFill="1" applyBorder="1" applyAlignment="1">
      <alignment horizontal="right" vertical="center" wrapText="1"/>
    </xf>
    <xf numFmtId="164" fontId="2" fillId="0" borderId="5" xfId="0" applyNumberFormat="1" applyFont="1" applyFill="1" applyBorder="1" applyAlignment="1">
      <alignment horizontal="center" vertical="center" wrapText="1"/>
    </xf>
    <xf numFmtId="168" fontId="2" fillId="0" borderId="2" xfId="0" applyNumberFormat="1" applyFont="1" applyBorder="1" applyAlignment="1">
      <alignment horizontal="right" vertical="center" wrapText="1"/>
    </xf>
    <xf numFmtId="169" fontId="2" fillId="0" borderId="2" xfId="0" applyNumberFormat="1" applyFont="1" applyBorder="1" applyAlignment="1">
      <alignment horizontal="right" vertical="center" wrapText="1"/>
    </xf>
    <xf numFmtId="164" fontId="11" fillId="0" borderId="16" xfId="0" applyNumberFormat="1" applyFont="1" applyBorder="1" applyAlignment="1">
      <alignment horizontal="center" vertical="center" wrapText="1"/>
    </xf>
    <xf numFmtId="164" fontId="2" fillId="0" borderId="8" xfId="0" applyNumberFormat="1" applyFont="1" applyBorder="1" applyAlignment="1">
      <alignment horizontal="center" vertical="center" wrapText="1"/>
    </xf>
    <xf numFmtId="164" fontId="2" fillId="0" borderId="0" xfId="0" applyNumberFormat="1" applyFont="1" applyBorder="1" applyAlignment="1">
      <alignment horizontal="center" vertical="center" wrapText="1"/>
    </xf>
    <xf numFmtId="164" fontId="2" fillId="0" borderId="14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164" fontId="2" fillId="0" borderId="15" xfId="0" applyNumberFormat="1" applyFont="1" applyBorder="1" applyAlignment="1">
      <alignment horizontal="center" vertical="center" wrapText="1"/>
    </xf>
    <xf numFmtId="164" fontId="2" fillId="0" borderId="16" xfId="0" applyNumberFormat="1" applyFont="1" applyBorder="1" applyAlignment="1">
      <alignment horizontal="center" vertical="center" wrapText="1"/>
    </xf>
    <xf numFmtId="164" fontId="2" fillId="0" borderId="18" xfId="0" applyNumberFormat="1" applyFont="1" applyBorder="1" applyAlignment="1">
      <alignment horizontal="center" vertical="center" wrapText="1"/>
    </xf>
    <xf numFmtId="164" fontId="2" fillId="2" borderId="0" xfId="0" applyNumberFormat="1" applyFont="1" applyFill="1" applyBorder="1" applyAlignment="1">
      <alignment horizontal="right" vertical="center" wrapText="1"/>
    </xf>
    <xf numFmtId="164" fontId="2" fillId="0" borderId="0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46" fontId="4" fillId="0" borderId="0" xfId="0" applyNumberFormat="1" applyFont="1" applyFill="1" applyBorder="1" applyAlignment="1">
      <alignment vertical="center" wrapText="1"/>
    </xf>
    <xf numFmtId="9" fontId="3" fillId="10" borderId="0" xfId="0" applyNumberFormat="1" applyFont="1" applyFill="1" applyBorder="1" applyAlignment="1">
      <alignment horizontal="right" vertical="center" wrapText="1"/>
    </xf>
    <xf numFmtId="9" fontId="2" fillId="11" borderId="0" xfId="0" applyNumberFormat="1" applyFont="1" applyFill="1" applyBorder="1" applyAlignment="1">
      <alignment horizontal="right" vertical="center" wrapText="1"/>
    </xf>
    <xf numFmtId="9" fontId="4" fillId="0" borderId="0" xfId="0" applyNumberFormat="1" applyFont="1" applyFill="1" applyBorder="1" applyAlignment="1">
      <alignment horizontal="center" vertical="center" wrapText="1"/>
    </xf>
    <xf numFmtId="46" fontId="4" fillId="16" borderId="0" xfId="0" applyNumberFormat="1" applyFont="1" applyFill="1" applyBorder="1" applyAlignment="1">
      <alignment horizontal="center" vertical="center" wrapText="1"/>
    </xf>
    <xf numFmtId="9" fontId="2" fillId="7" borderId="0" xfId="0" applyNumberFormat="1" applyFont="1" applyFill="1" applyBorder="1" applyAlignment="1">
      <alignment horizontal="right" vertical="center" wrapText="1"/>
    </xf>
    <xf numFmtId="9" fontId="4" fillId="11" borderId="0" xfId="0" applyNumberFormat="1" applyFont="1" applyFill="1" applyBorder="1" applyAlignment="1">
      <alignment horizontal="right" vertical="center" wrapText="1"/>
    </xf>
    <xf numFmtId="9" fontId="13" fillId="0" borderId="0" xfId="0" applyNumberFormat="1" applyFont="1" applyBorder="1" applyAlignment="1">
      <alignment horizontal="right" vertical="center" wrapText="1"/>
    </xf>
    <xf numFmtId="9" fontId="2" fillId="16" borderId="0" xfId="0" applyNumberFormat="1" applyFont="1" applyFill="1" applyBorder="1" applyAlignment="1">
      <alignment horizontal="right" vertical="center" wrapText="1"/>
    </xf>
    <xf numFmtId="9" fontId="13" fillId="10" borderId="0" xfId="0" applyNumberFormat="1" applyFont="1" applyFill="1" applyBorder="1" applyAlignment="1">
      <alignment horizontal="right" vertical="center" wrapText="1"/>
    </xf>
    <xf numFmtId="9" fontId="2" fillId="0" borderId="0" xfId="0" applyNumberFormat="1" applyFont="1" applyFill="1" applyBorder="1" applyAlignment="1">
      <alignment horizontal="right" vertical="center" wrapText="1"/>
    </xf>
    <xf numFmtId="46" fontId="2" fillId="0" borderId="0" xfId="0" applyNumberFormat="1" applyFont="1" applyFill="1" applyBorder="1" applyAlignment="1">
      <alignment horizontal="right" vertical="center" wrapText="1"/>
    </xf>
    <xf numFmtId="164" fontId="3" fillId="15" borderId="5" xfId="0" applyNumberFormat="1" applyFont="1" applyFill="1" applyBorder="1" applyAlignment="1">
      <alignment horizontal="center" vertical="center" wrapText="1"/>
    </xf>
    <xf numFmtId="164" fontId="3" fillId="10" borderId="5" xfId="0" applyNumberFormat="1" applyFont="1" applyFill="1" applyBorder="1" applyAlignment="1">
      <alignment horizontal="center" vertical="center" wrapText="1"/>
    </xf>
    <xf numFmtId="164" fontId="2" fillId="4" borderId="5" xfId="0" applyNumberFormat="1" applyFont="1" applyFill="1" applyBorder="1" applyAlignment="1">
      <alignment horizontal="center" vertical="center" wrapText="1"/>
    </xf>
    <xf numFmtId="164" fontId="2" fillId="12" borderId="5" xfId="0" applyNumberFormat="1" applyFont="1" applyFill="1" applyBorder="1" applyAlignment="1">
      <alignment horizontal="center" vertical="center" wrapText="1"/>
    </xf>
    <xf numFmtId="164" fontId="2" fillId="2" borderId="5" xfId="0" applyNumberFormat="1" applyFont="1" applyFill="1" applyBorder="1" applyAlignment="1">
      <alignment horizontal="center" vertical="center" wrapText="1"/>
    </xf>
    <xf numFmtId="164" fontId="2" fillId="11" borderId="5" xfId="0" applyNumberFormat="1" applyFont="1" applyFill="1" applyBorder="1" applyAlignment="1">
      <alignment horizontal="center" vertical="center" wrapText="1"/>
    </xf>
    <xf numFmtId="164" fontId="2" fillId="15" borderId="15" xfId="0" applyNumberFormat="1" applyFont="1" applyFill="1" applyBorder="1" applyAlignment="1">
      <alignment horizontal="right" vertical="center" wrapText="1"/>
    </xf>
    <xf numFmtId="164" fontId="2" fillId="0" borderId="0" xfId="0" applyNumberFormat="1" applyFont="1" applyAlignment="1">
      <alignment horizontal="center" vertical="center" wrapText="1"/>
    </xf>
    <xf numFmtId="9" fontId="2" fillId="0" borderId="0" xfId="0" applyNumberFormat="1" applyFont="1" applyFill="1" applyAlignment="1">
      <alignment horizontal="right" vertical="center" wrapText="1"/>
    </xf>
    <xf numFmtId="164" fontId="3" fillId="17" borderId="0" xfId="0" applyNumberFormat="1" applyFont="1" applyFill="1" applyAlignment="1">
      <alignment horizontal="center" vertical="center" wrapText="1"/>
    </xf>
    <xf numFmtId="164" fontId="3" fillId="17" borderId="5" xfId="0" applyNumberFormat="1" applyFont="1" applyFill="1" applyBorder="1" applyAlignment="1">
      <alignment horizontal="center" vertical="center" wrapText="1"/>
    </xf>
    <xf numFmtId="164" fontId="2" fillId="0" borderId="2" xfId="0" applyNumberFormat="1" applyFont="1" applyFill="1" applyBorder="1" applyAlignment="1">
      <alignment horizontal="center" vertical="center" wrapText="1"/>
    </xf>
    <xf numFmtId="164" fontId="2" fillId="0" borderId="0" xfId="0" applyNumberFormat="1" applyFont="1" applyBorder="1" applyAlignment="1">
      <alignment horizontal="center" vertical="center" wrapText="1"/>
    </xf>
    <xf numFmtId="164" fontId="2" fillId="0" borderId="14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164" fontId="2" fillId="0" borderId="15" xfId="0" applyNumberFormat="1" applyFont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right" vertical="center" wrapText="1"/>
    </xf>
    <xf numFmtId="9" fontId="8" fillId="10" borderId="0" xfId="0" applyNumberFormat="1" applyFont="1" applyFill="1" applyBorder="1" applyAlignment="1">
      <alignment horizontal="right" vertical="center" wrapText="1"/>
    </xf>
    <xf numFmtId="164" fontId="3" fillId="18" borderId="0" xfId="0" applyNumberFormat="1" applyFont="1" applyFill="1" applyAlignment="1">
      <alignment horizontal="center" vertical="center" wrapText="1"/>
    </xf>
    <xf numFmtId="164" fontId="3" fillId="18" borderId="5" xfId="0" applyNumberFormat="1" applyFont="1" applyFill="1" applyBorder="1" applyAlignment="1">
      <alignment horizontal="center" vertical="center" wrapText="1"/>
    </xf>
    <xf numFmtId="164" fontId="2" fillId="0" borderId="0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46" fontId="4" fillId="7" borderId="1" xfId="0" applyNumberFormat="1" applyFont="1" applyFill="1" applyBorder="1" applyAlignment="1">
      <alignment horizontal="right" vertical="center" wrapText="1"/>
    </xf>
    <xf numFmtId="164" fontId="3" fillId="19" borderId="5" xfId="0" applyNumberFormat="1" applyFont="1" applyFill="1" applyBorder="1" applyAlignment="1">
      <alignment horizontal="center" vertical="center" wrapText="1"/>
    </xf>
    <xf numFmtId="164" fontId="2" fillId="0" borderId="9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164" fontId="2" fillId="0" borderId="15" xfId="0" applyNumberFormat="1" applyFont="1" applyBorder="1" applyAlignment="1">
      <alignment horizontal="center" vertical="center" wrapText="1"/>
    </xf>
    <xf numFmtId="166" fontId="2" fillId="0" borderId="0" xfId="0" applyNumberFormat="1" applyFont="1" applyAlignment="1">
      <alignment horizontal="center" vertical="center" wrapText="1"/>
    </xf>
    <xf numFmtId="164" fontId="2" fillId="12" borderId="0" xfId="0" applyNumberFormat="1" applyFont="1" applyFill="1" applyAlignment="1">
      <alignment horizontal="right" vertical="center" wrapText="1"/>
    </xf>
    <xf numFmtId="164" fontId="13" fillId="0" borderId="0" xfId="0" applyNumberFormat="1" applyFont="1" applyAlignment="1">
      <alignment horizontal="right" vertical="center" wrapText="1"/>
    </xf>
    <xf numFmtId="164" fontId="4" fillId="2" borderId="0" xfId="0" applyNumberFormat="1" applyFont="1" applyFill="1" applyBorder="1" applyAlignment="1">
      <alignment horizontal="center" vertical="center" wrapText="1"/>
    </xf>
    <xf numFmtId="164" fontId="2" fillId="12" borderId="0" xfId="0" applyNumberFormat="1" applyFont="1" applyFill="1" applyBorder="1" applyAlignment="1">
      <alignment horizontal="center" vertical="center" wrapText="1"/>
    </xf>
    <xf numFmtId="164" fontId="3" fillId="19" borderId="0" xfId="0" applyNumberFormat="1" applyFont="1" applyFill="1" applyBorder="1" applyAlignment="1">
      <alignment horizontal="center" vertical="center" wrapText="1"/>
    </xf>
    <xf numFmtId="164" fontId="3" fillId="10" borderId="0" xfId="0" applyNumberFormat="1" applyFont="1" applyFill="1" applyBorder="1" applyAlignment="1">
      <alignment horizontal="center" vertical="center" wrapText="1"/>
    </xf>
    <xf numFmtId="164" fontId="3" fillId="15" borderId="0" xfId="0" applyNumberFormat="1" applyFont="1" applyFill="1" applyBorder="1" applyAlignment="1">
      <alignment horizontal="center" vertical="center" wrapText="1"/>
    </xf>
    <xf numFmtId="164" fontId="2" fillId="4" borderId="0" xfId="0" applyNumberFormat="1" applyFont="1" applyFill="1" applyBorder="1" applyAlignment="1">
      <alignment horizontal="center" vertical="center" wrapText="1"/>
    </xf>
    <xf numFmtId="164" fontId="2" fillId="7" borderId="12" xfId="0" applyNumberFormat="1" applyFont="1" applyFill="1" applyBorder="1" applyAlignment="1">
      <alignment horizontal="right" vertical="center" wrapText="1"/>
    </xf>
    <xf numFmtId="164" fontId="2" fillId="16" borderId="2" xfId="0" applyNumberFormat="1" applyFont="1" applyFill="1" applyBorder="1" applyAlignment="1">
      <alignment horizontal="center" vertical="center" wrapText="1"/>
    </xf>
    <xf numFmtId="46" fontId="2" fillId="0" borderId="7" xfId="0" applyNumberFormat="1" applyFont="1" applyBorder="1" applyAlignment="1">
      <alignment horizontal="center" vertical="center" wrapText="1"/>
    </xf>
    <xf numFmtId="166" fontId="2" fillId="0" borderId="2" xfId="0" applyNumberFormat="1" applyFont="1" applyFill="1" applyBorder="1" applyAlignment="1">
      <alignment horizontal="center" vertical="center" wrapText="1"/>
    </xf>
    <xf numFmtId="166" fontId="2" fillId="0" borderId="7" xfId="0" applyNumberFormat="1" applyFont="1" applyFill="1" applyBorder="1" applyAlignment="1">
      <alignment horizontal="center" vertical="center" wrapText="1"/>
    </xf>
    <xf numFmtId="9" fontId="4" fillId="0" borderId="13" xfId="0" applyNumberFormat="1" applyFont="1" applyFill="1" applyBorder="1" applyAlignment="1">
      <alignment vertical="center" wrapText="1"/>
    </xf>
    <xf numFmtId="46" fontId="4" fillId="16" borderId="2" xfId="0" applyNumberFormat="1" applyFont="1" applyFill="1" applyBorder="1" applyAlignment="1">
      <alignment horizontal="center" vertical="center" wrapText="1"/>
    </xf>
    <xf numFmtId="46" fontId="4" fillId="0" borderId="2" xfId="0" applyNumberFormat="1" applyFont="1" applyFill="1" applyBorder="1" applyAlignment="1">
      <alignment horizontal="center" vertical="center" wrapText="1"/>
    </xf>
    <xf numFmtId="164" fontId="2" fillId="7" borderId="0" xfId="0" applyNumberFormat="1" applyFont="1" applyFill="1" applyBorder="1" applyAlignment="1">
      <alignment horizontal="right" vertical="center" wrapText="1"/>
    </xf>
    <xf numFmtId="164" fontId="2" fillId="0" borderId="0" xfId="0" applyNumberFormat="1" applyFont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164" fontId="2" fillId="0" borderId="15" xfId="0" applyNumberFormat="1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right" vertical="center" wrapText="1"/>
    </xf>
    <xf numFmtId="165" fontId="2" fillId="0" borderId="0" xfId="0" applyNumberFormat="1" applyFont="1" applyBorder="1" applyAlignment="1">
      <alignment horizontal="right" vertical="center" wrapText="1"/>
    </xf>
    <xf numFmtId="172" fontId="2" fillId="0" borderId="0" xfId="0" applyNumberFormat="1" applyFont="1" applyBorder="1" applyAlignment="1">
      <alignment horizontal="right" vertical="center" wrapText="1"/>
    </xf>
    <xf numFmtId="172" fontId="2" fillId="0" borderId="0" xfId="0" applyNumberFormat="1" applyFont="1" applyAlignment="1">
      <alignment horizontal="right" vertical="center" wrapText="1"/>
    </xf>
    <xf numFmtId="172" fontId="2" fillId="0" borderId="4" xfId="0" applyNumberFormat="1" applyFont="1" applyBorder="1" applyAlignment="1">
      <alignment horizontal="center" vertical="center" wrapText="1"/>
    </xf>
    <xf numFmtId="9" fontId="2" fillId="0" borderId="6" xfId="0" applyNumberFormat="1" applyFont="1" applyBorder="1" applyAlignment="1">
      <alignment horizontal="center" vertical="center" wrapText="1"/>
    </xf>
    <xf numFmtId="164" fontId="2" fillId="0" borderId="13" xfId="0" applyNumberFormat="1" applyFont="1" applyBorder="1" applyAlignment="1">
      <alignment horizontal="right" vertical="center" wrapText="1"/>
    </xf>
    <xf numFmtId="165" fontId="2" fillId="0" borderId="2" xfId="0" applyNumberFormat="1" applyFont="1" applyBorder="1" applyAlignment="1">
      <alignment horizontal="right" vertical="center" wrapText="1"/>
    </xf>
    <xf numFmtId="172" fontId="2" fillId="0" borderId="2" xfId="0" applyNumberFormat="1" applyFont="1" applyBorder="1" applyAlignment="1">
      <alignment horizontal="right" vertical="center" wrapText="1"/>
    </xf>
    <xf numFmtId="9" fontId="2" fillId="0" borderId="4" xfId="0" applyNumberFormat="1" applyFont="1" applyBorder="1" applyAlignment="1">
      <alignment horizontal="center" vertical="center" wrapText="1"/>
    </xf>
    <xf numFmtId="46" fontId="2" fillId="0" borderId="13" xfId="0" applyNumberFormat="1" applyFont="1" applyBorder="1" applyAlignment="1">
      <alignment horizontal="center" vertical="center" wrapText="1"/>
    </xf>
    <xf numFmtId="165" fontId="2" fillId="0" borderId="7" xfId="0" applyNumberFormat="1" applyFont="1" applyBorder="1" applyAlignment="1">
      <alignment horizontal="right" vertical="center" wrapText="1"/>
    </xf>
    <xf numFmtId="164" fontId="2" fillId="0" borderId="0" xfId="0" applyNumberFormat="1" applyFont="1" applyBorder="1" applyAlignment="1">
      <alignment horizontal="center" vertical="center" wrapText="1"/>
    </xf>
    <xf numFmtId="164" fontId="2" fillId="0" borderId="14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164" fontId="2" fillId="0" borderId="15" xfId="0" applyNumberFormat="1" applyFont="1" applyBorder="1" applyAlignment="1">
      <alignment horizontal="center" vertical="center" wrapText="1"/>
    </xf>
    <xf numFmtId="164" fontId="2" fillId="20" borderId="13" xfId="0" applyNumberFormat="1" applyFont="1" applyFill="1" applyBorder="1" applyAlignment="1">
      <alignment horizontal="center" vertical="center" wrapText="1"/>
    </xf>
    <xf numFmtId="164" fontId="2" fillId="20" borderId="7" xfId="0" applyNumberFormat="1" applyFont="1" applyFill="1" applyBorder="1" applyAlignment="1">
      <alignment horizontal="center" vertical="center" wrapText="1"/>
    </xf>
    <xf numFmtId="164" fontId="2" fillId="19" borderId="1" xfId="0" applyNumberFormat="1" applyFont="1" applyFill="1" applyBorder="1" applyAlignment="1">
      <alignment horizontal="right" vertical="center" wrapText="1"/>
    </xf>
    <xf numFmtId="164" fontId="2" fillId="19" borderId="0" xfId="0" applyNumberFormat="1" applyFont="1" applyFill="1" applyAlignment="1">
      <alignment horizontal="right" vertical="center" wrapText="1"/>
    </xf>
    <xf numFmtId="170" fontId="3" fillId="10" borderId="0" xfId="0" applyNumberFormat="1" applyFont="1" applyFill="1" applyBorder="1" applyAlignment="1">
      <alignment horizontal="right" vertical="center" wrapText="1"/>
    </xf>
    <xf numFmtId="170" fontId="2" fillId="7" borderId="0" xfId="0" applyNumberFormat="1" applyFont="1" applyFill="1" applyBorder="1" applyAlignment="1">
      <alignment horizontal="right" vertical="center" wrapText="1"/>
    </xf>
    <xf numFmtId="170" fontId="2" fillId="0" borderId="0" xfId="0" applyNumberFormat="1" applyFont="1" applyBorder="1" applyAlignment="1">
      <alignment horizontal="right" vertical="center" wrapText="1"/>
    </xf>
    <xf numFmtId="170" fontId="4" fillId="0" borderId="0" xfId="0" applyNumberFormat="1" applyFont="1" applyFill="1" applyBorder="1" applyAlignment="1">
      <alignment horizontal="right" vertical="center" wrapText="1"/>
    </xf>
    <xf numFmtId="170" fontId="13" fillId="0" borderId="0" xfId="0" applyNumberFormat="1" applyFont="1" applyBorder="1" applyAlignment="1">
      <alignment horizontal="right" vertical="center" wrapText="1"/>
    </xf>
    <xf numFmtId="170" fontId="13" fillId="10" borderId="0" xfId="0" applyNumberFormat="1" applyFont="1" applyFill="1" applyBorder="1" applyAlignment="1">
      <alignment horizontal="right" vertical="center" wrapText="1"/>
    </xf>
    <xf numFmtId="170" fontId="2" fillId="0" borderId="0" xfId="0" applyNumberFormat="1" applyFont="1" applyFill="1" applyBorder="1" applyAlignment="1">
      <alignment horizontal="right" vertical="center" wrapText="1"/>
    </xf>
    <xf numFmtId="170" fontId="13" fillId="19" borderId="0" xfId="0" applyNumberFormat="1" applyFont="1" applyFill="1" applyBorder="1" applyAlignment="1">
      <alignment horizontal="right" vertical="center" wrapText="1"/>
    </xf>
    <xf numFmtId="9" fontId="4" fillId="0" borderId="0" xfId="0" applyNumberFormat="1" applyFont="1" applyAlignment="1">
      <alignment horizontal="right" vertical="center" wrapText="1"/>
    </xf>
    <xf numFmtId="170" fontId="4" fillId="0" borderId="0" xfId="0" applyNumberFormat="1" applyFont="1" applyFill="1" applyBorder="1" applyAlignment="1">
      <alignment vertical="center" wrapText="1"/>
    </xf>
    <xf numFmtId="46" fontId="15" fillId="0" borderId="1" xfId="0" applyNumberFormat="1" applyFont="1" applyBorder="1" applyAlignment="1">
      <alignment horizontal="right" vertical="center" wrapText="1"/>
    </xf>
    <xf numFmtId="164" fontId="2" fillId="0" borderId="9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46" fontId="2" fillId="0" borderId="9" xfId="0" applyNumberFormat="1" applyFont="1" applyBorder="1" applyAlignment="1">
      <alignment horizontal="center" vertical="center" wrapText="1"/>
    </xf>
    <xf numFmtId="164" fontId="2" fillId="0" borderId="14" xfId="0" applyNumberFormat="1" applyFont="1" applyFill="1" applyBorder="1" applyAlignment="1">
      <alignment horizontal="center" vertical="center" wrapText="1"/>
    </xf>
    <xf numFmtId="164" fontId="2" fillId="0" borderId="9" xfId="0" applyNumberFormat="1" applyFont="1" applyFill="1" applyBorder="1" applyAlignment="1">
      <alignment horizontal="center" vertical="center" wrapText="1"/>
    </xf>
    <xf numFmtId="0" fontId="6" fillId="0" borderId="0" xfId="0" applyFont="1" applyFill="1">
      <alignment vertical="center"/>
    </xf>
    <xf numFmtId="164" fontId="2" fillId="0" borderId="0" xfId="0" applyNumberFormat="1" applyFont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46" fontId="2" fillId="0" borderId="0" xfId="0" applyNumberFormat="1" applyFont="1" applyAlignment="1">
      <alignment horizontal="left" vertical="center" wrapText="1"/>
    </xf>
    <xf numFmtId="9" fontId="15" fillId="0" borderId="0" xfId="0" applyNumberFormat="1" applyFont="1" applyAlignment="1">
      <alignment horizontal="center" vertical="center"/>
    </xf>
    <xf numFmtId="9" fontId="15" fillId="0" borderId="0" xfId="0" applyNumberFormat="1" applyFont="1" applyAlignment="1">
      <alignment horizontal="right" vertical="center"/>
    </xf>
    <xf numFmtId="172" fontId="2" fillId="0" borderId="0" xfId="0" applyNumberFormat="1" applyFont="1" applyBorder="1" applyAlignment="1">
      <alignment horizontal="center" vertical="center" wrapText="1"/>
    </xf>
    <xf numFmtId="164" fontId="10" fillId="0" borderId="0" xfId="0" applyNumberFormat="1" applyFont="1" applyAlignment="1">
      <alignment horizontal="center" vertical="center"/>
    </xf>
    <xf numFmtId="164" fontId="10" fillId="0" borderId="0" xfId="0" applyNumberFormat="1" applyFont="1" applyAlignment="1">
      <alignment horizontal="right" vertical="center"/>
    </xf>
    <xf numFmtId="9" fontId="10" fillId="0" borderId="0" xfId="0" applyNumberFormat="1" applyFont="1" applyAlignment="1">
      <alignment horizontal="center" vertical="center"/>
    </xf>
    <xf numFmtId="9" fontId="10" fillId="0" borderId="0" xfId="0" applyNumberFormat="1" applyFont="1" applyAlignment="1">
      <alignment horizontal="right" vertical="center"/>
    </xf>
    <xf numFmtId="9" fontId="17" fillId="0" borderId="7" xfId="0" applyNumberFormat="1" applyFont="1" applyFill="1" applyBorder="1" applyAlignment="1">
      <alignment horizontal="right" vertical="center"/>
    </xf>
    <xf numFmtId="9" fontId="17" fillId="0" borderId="1" xfId="0" applyNumberFormat="1" applyFont="1" applyFill="1" applyBorder="1" applyAlignment="1">
      <alignment horizontal="right" vertical="center"/>
    </xf>
    <xf numFmtId="9" fontId="19" fillId="0" borderId="7" xfId="0" applyNumberFormat="1" applyFont="1" applyFill="1" applyBorder="1" applyAlignment="1">
      <alignment horizontal="right" vertical="center"/>
    </xf>
    <xf numFmtId="9" fontId="19" fillId="0" borderId="1" xfId="0" applyNumberFormat="1" applyFont="1" applyFill="1" applyBorder="1" applyAlignment="1">
      <alignment horizontal="right" vertical="center"/>
    </xf>
    <xf numFmtId="9" fontId="11" fillId="0" borderId="0" xfId="0" applyNumberFormat="1" applyFont="1" applyAlignment="1">
      <alignment horizontal="center" vertical="center" wrapText="1"/>
    </xf>
    <xf numFmtId="170" fontId="11" fillId="0" borderId="0" xfId="0" applyNumberFormat="1" applyFont="1" applyAlignment="1">
      <alignment horizontal="center" vertical="center" wrapText="1"/>
    </xf>
    <xf numFmtId="164" fontId="2" fillId="0" borderId="14" xfId="0" applyNumberFormat="1" applyFont="1" applyBorder="1" applyAlignment="1">
      <alignment horizontal="right" vertical="center" wrapText="1"/>
    </xf>
    <xf numFmtId="164" fontId="2" fillId="0" borderId="0" xfId="0" applyNumberFormat="1" applyFont="1" applyAlignment="1">
      <alignment horizontal="center" vertical="center" wrapText="1"/>
    </xf>
    <xf numFmtId="166" fontId="2" fillId="0" borderId="0" xfId="0" applyNumberFormat="1" applyFont="1" applyAlignment="1">
      <alignment horizontal="left" vertical="center"/>
    </xf>
    <xf numFmtId="164" fontId="2" fillId="0" borderId="14" xfId="0" applyNumberFormat="1" applyFont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center" vertical="center" wrapText="1"/>
    </xf>
    <xf numFmtId="164" fontId="2" fillId="0" borderId="0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165" fontId="2" fillId="0" borderId="4" xfId="0" applyNumberFormat="1" applyFont="1" applyBorder="1" applyAlignment="1">
      <alignment horizontal="center" vertical="center" wrapText="1"/>
    </xf>
    <xf numFmtId="164" fontId="2" fillId="0" borderId="13" xfId="0" applyNumberFormat="1" applyFont="1" applyBorder="1" applyAlignment="1">
      <alignment horizontal="center" vertical="center" wrapText="1"/>
    </xf>
    <xf numFmtId="164" fontId="2" fillId="0" borderId="7" xfId="0" applyNumberFormat="1" applyFont="1" applyBorder="1" applyAlignment="1">
      <alignment horizontal="center" vertical="center" wrapText="1"/>
    </xf>
    <xf numFmtId="164" fontId="2" fillId="0" borderId="15" xfId="0" applyNumberFormat="1" applyFont="1" applyBorder="1" applyAlignment="1">
      <alignment horizontal="center" vertical="center" wrapText="1"/>
    </xf>
    <xf numFmtId="164" fontId="2" fillId="0" borderId="5" xfId="0" applyNumberFormat="1" applyFont="1" applyBorder="1" applyAlignment="1">
      <alignment horizontal="center" vertical="center" wrapText="1"/>
    </xf>
    <xf numFmtId="164" fontId="2" fillId="0" borderId="12" xfId="0" applyNumberFormat="1" applyFont="1" applyBorder="1" applyAlignment="1">
      <alignment horizontal="center" vertical="center" wrapText="1"/>
    </xf>
    <xf numFmtId="164" fontId="2" fillId="0" borderId="0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164" fontId="2" fillId="0" borderId="6" xfId="0" applyNumberFormat="1" applyFont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166" fontId="2" fillId="0" borderId="2" xfId="0" applyNumberFormat="1" applyFont="1" applyBorder="1" applyAlignment="1">
      <alignment horizontal="center" vertical="center" wrapText="1"/>
    </xf>
    <xf numFmtId="164" fontId="2" fillId="0" borderId="11" xfId="0" applyNumberFormat="1" applyFont="1" applyBorder="1" applyAlignment="1">
      <alignment horizontal="center" vertical="center" wrapText="1"/>
    </xf>
    <xf numFmtId="164" fontId="2" fillId="0" borderId="13" xfId="0" applyNumberFormat="1" applyFont="1" applyBorder="1" applyAlignment="1">
      <alignment horizontal="center" vertical="center" wrapText="1"/>
    </xf>
    <xf numFmtId="46" fontId="2" fillId="0" borderId="15" xfId="0" applyNumberFormat="1" applyFont="1" applyBorder="1" applyAlignment="1">
      <alignment horizontal="center" vertical="center" wrapText="1"/>
    </xf>
    <xf numFmtId="46" fontId="2" fillId="0" borderId="0" xfId="0" applyNumberFormat="1" applyFont="1" applyBorder="1" applyAlignment="1">
      <alignment horizontal="center" vertical="center" wrapText="1"/>
    </xf>
    <xf numFmtId="46" fontId="2" fillId="0" borderId="7" xfId="0" applyNumberFormat="1" applyFont="1" applyBorder="1" applyAlignment="1">
      <alignment horizontal="center" vertical="center" wrapText="1"/>
    </xf>
    <xf numFmtId="164" fontId="2" fillId="0" borderId="5" xfId="0" applyNumberFormat="1" applyFont="1" applyBorder="1" applyAlignment="1">
      <alignment horizontal="center" vertical="center" wrapText="1"/>
    </xf>
    <xf numFmtId="164" fontId="2" fillId="0" borderId="7" xfId="0" applyNumberFormat="1" applyFont="1" applyBorder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46" fontId="2" fillId="0" borderId="3" xfId="0" applyNumberFormat="1" applyFont="1" applyBorder="1" applyAlignment="1">
      <alignment horizontal="center" vertical="center" wrapText="1"/>
    </xf>
    <xf numFmtId="166" fontId="2" fillId="0" borderId="0" xfId="0" applyNumberFormat="1" applyFont="1" applyAlignment="1">
      <alignment horizontal="center" vertical="center" wrapText="1"/>
    </xf>
    <xf numFmtId="164" fontId="2" fillId="0" borderId="12" xfId="0" applyNumberFormat="1" applyFont="1" applyBorder="1" applyAlignment="1">
      <alignment horizontal="center" vertical="center" wrapText="1"/>
    </xf>
    <xf numFmtId="9" fontId="11" fillId="0" borderId="0" xfId="0" applyNumberFormat="1" applyFont="1" applyAlignment="1">
      <alignment horizontal="right" vertical="center" wrapText="1"/>
    </xf>
    <xf numFmtId="164" fontId="4" fillId="0" borderId="2" xfId="0" applyNumberFormat="1" applyFont="1" applyFill="1" applyBorder="1" applyAlignment="1">
      <alignment horizontal="right" vertical="center"/>
    </xf>
    <xf numFmtId="164" fontId="4" fillId="0" borderId="0" xfId="0" applyNumberFormat="1" applyFont="1" applyFill="1" applyBorder="1" applyAlignment="1">
      <alignment horizontal="right" vertical="center"/>
    </xf>
    <xf numFmtId="164" fontId="8" fillId="10" borderId="0" xfId="0" applyNumberFormat="1" applyFont="1" applyFill="1" applyAlignment="1">
      <alignment horizontal="center" vertical="center" wrapText="1"/>
    </xf>
    <xf numFmtId="164" fontId="20" fillId="10" borderId="0" xfId="0" applyNumberFormat="1" applyFont="1" applyFill="1" applyAlignment="1">
      <alignment horizontal="center" vertical="center" wrapText="1"/>
    </xf>
    <xf numFmtId="9" fontId="8" fillId="10" borderId="0" xfId="0" applyNumberFormat="1" applyFont="1" applyFill="1" applyAlignment="1">
      <alignment horizontal="right" vertical="center" wrapText="1"/>
    </xf>
    <xf numFmtId="164" fontId="8" fillId="10" borderId="0" xfId="0" applyNumberFormat="1" applyFont="1" applyFill="1" applyAlignment="1">
      <alignment horizontal="right" vertical="center" wrapText="1"/>
    </xf>
    <xf numFmtId="164" fontId="8" fillId="10" borderId="1" xfId="0" applyNumberFormat="1" applyFont="1" applyFill="1" applyBorder="1" applyAlignment="1">
      <alignment horizontal="right" vertical="center" wrapText="1"/>
    </xf>
    <xf numFmtId="46" fontId="8" fillId="10" borderId="1" xfId="0" applyNumberFormat="1" applyFont="1" applyFill="1" applyBorder="1" applyAlignment="1">
      <alignment horizontal="right" vertical="center" wrapText="1"/>
    </xf>
    <xf numFmtId="164" fontId="8" fillId="10" borderId="0" xfId="0" applyNumberFormat="1" applyFont="1" applyFill="1" applyBorder="1" applyAlignment="1">
      <alignment horizontal="right" vertical="center" wrapText="1"/>
    </xf>
    <xf numFmtId="170" fontId="8" fillId="10" borderId="0" xfId="0" applyNumberFormat="1" applyFont="1" applyFill="1" applyBorder="1" applyAlignment="1">
      <alignment horizontal="right" vertical="center" wrapText="1"/>
    </xf>
    <xf numFmtId="46" fontId="8" fillId="10" borderId="0" xfId="0" applyNumberFormat="1" applyFont="1" applyFill="1" applyBorder="1" applyAlignment="1">
      <alignment horizontal="right" vertical="center" wrapText="1"/>
    </xf>
    <xf numFmtId="164" fontId="21" fillId="0" borderId="0" xfId="0" applyNumberFormat="1" applyFont="1" applyAlignment="1">
      <alignment horizontal="right" vertical="center" wrapText="1"/>
    </xf>
    <xf numFmtId="164" fontId="21" fillId="0" borderId="0" xfId="0" applyNumberFormat="1" applyFont="1" applyAlignment="1">
      <alignment horizontal="center" vertical="center" wrapText="1"/>
    </xf>
    <xf numFmtId="164" fontId="3" fillId="21" borderId="5" xfId="0" applyNumberFormat="1" applyFont="1" applyFill="1" applyBorder="1" applyAlignment="1">
      <alignment horizontal="center" vertical="center" wrapText="1"/>
    </xf>
    <xf numFmtId="164" fontId="2" fillId="0" borderId="0" xfId="0" applyNumberFormat="1" applyFont="1" applyAlignment="1">
      <alignment horizontal="left" vertical="center"/>
    </xf>
    <xf numFmtId="46" fontId="2" fillId="9" borderId="1" xfId="0" applyNumberFormat="1" applyFont="1" applyFill="1" applyBorder="1" applyAlignment="1">
      <alignment horizontal="right" vertical="center" wrapText="1"/>
    </xf>
    <xf numFmtId="164" fontId="2" fillId="0" borderId="10" xfId="0" applyNumberFormat="1" applyFont="1" applyFill="1" applyBorder="1" applyAlignment="1">
      <alignment horizontal="center" vertical="center" wrapText="1"/>
    </xf>
    <xf numFmtId="164" fontId="2" fillId="0" borderId="12" xfId="0" applyNumberFormat="1" applyFont="1" applyFill="1" applyBorder="1" applyAlignment="1">
      <alignment horizontal="center" vertical="center" wrapText="1"/>
    </xf>
    <xf numFmtId="46" fontId="2" fillId="0" borderId="7" xfId="0" applyNumberFormat="1" applyFont="1" applyBorder="1" applyAlignment="1">
      <alignment horizontal="right" vertical="center" wrapText="1"/>
    </xf>
    <xf numFmtId="46" fontId="2" fillId="0" borderId="6" xfId="0" applyNumberFormat="1" applyFont="1" applyBorder="1" applyAlignment="1">
      <alignment horizontal="right" vertical="center" wrapText="1"/>
    </xf>
    <xf numFmtId="46" fontId="2" fillId="0" borderId="17" xfId="0" applyNumberFormat="1" applyFont="1" applyBorder="1" applyAlignment="1">
      <alignment horizontal="right" vertical="center" wrapText="1"/>
    </xf>
    <xf numFmtId="46" fontId="2" fillId="0" borderId="20" xfId="0" applyNumberFormat="1" applyFont="1" applyBorder="1" applyAlignment="1">
      <alignment horizontal="right" vertical="center" wrapText="1"/>
    </xf>
    <xf numFmtId="46" fontId="2" fillId="0" borderId="7" xfId="0" applyNumberFormat="1" applyFont="1" applyFill="1" applyBorder="1" applyAlignment="1">
      <alignment horizontal="right" vertical="center" wrapText="1"/>
    </xf>
    <xf numFmtId="46" fontId="2" fillId="0" borderId="19" xfId="0" applyNumberFormat="1" applyFont="1" applyBorder="1" applyAlignment="1">
      <alignment horizontal="right" vertical="center" wrapText="1"/>
    </xf>
    <xf numFmtId="164" fontId="2" fillId="0" borderId="15" xfId="0" applyNumberFormat="1" applyFont="1" applyFill="1" applyBorder="1" applyAlignment="1">
      <alignment horizontal="right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9" fontId="2" fillId="0" borderId="1" xfId="0" applyNumberFormat="1" applyFont="1" applyBorder="1" applyAlignment="1">
      <alignment horizontal="center" vertical="center" wrapText="1"/>
    </xf>
    <xf numFmtId="9" fontId="2" fillId="0" borderId="6" xfId="0" applyNumberFormat="1" applyFont="1" applyBorder="1" applyAlignment="1">
      <alignment horizontal="right" vertical="center" wrapText="1"/>
    </xf>
    <xf numFmtId="9" fontId="2" fillId="0" borderId="17" xfId="0" applyNumberFormat="1" applyFont="1" applyBorder="1" applyAlignment="1">
      <alignment horizontal="right" vertical="center" wrapText="1"/>
    </xf>
    <xf numFmtId="9" fontId="2" fillId="0" borderId="20" xfId="0" applyNumberFormat="1" applyFont="1" applyBorder="1" applyAlignment="1">
      <alignment horizontal="right" vertical="center" wrapText="1"/>
    </xf>
    <xf numFmtId="164" fontId="2" fillId="0" borderId="0" xfId="0" applyNumberFormat="1" applyFont="1" applyBorder="1" applyAlignment="1">
      <alignment vertical="center" wrapText="1"/>
    </xf>
    <xf numFmtId="164" fontId="2" fillId="20" borderId="2" xfId="0" applyNumberFormat="1" applyFont="1" applyFill="1" applyBorder="1" applyAlignment="1">
      <alignment horizontal="center" vertical="center" wrapText="1"/>
    </xf>
    <xf numFmtId="164" fontId="2" fillId="23" borderId="7" xfId="0" applyNumberFormat="1" applyFont="1" applyFill="1" applyBorder="1" applyAlignment="1">
      <alignment horizontal="right" vertical="center" wrapText="1"/>
    </xf>
    <xf numFmtId="164" fontId="2" fillId="16" borderId="0" xfId="0" applyNumberFormat="1" applyFont="1" applyFill="1" applyAlignment="1">
      <alignment horizontal="center" vertical="center" wrapText="1"/>
    </xf>
    <xf numFmtId="164" fontId="2" fillId="24" borderId="0" xfId="0" applyNumberFormat="1" applyFont="1" applyFill="1" applyAlignment="1">
      <alignment horizontal="center" vertical="center" wrapText="1"/>
    </xf>
    <xf numFmtId="164" fontId="3" fillId="15" borderId="0" xfId="0" applyNumberFormat="1" applyFont="1" applyFill="1" applyAlignment="1">
      <alignment horizontal="center" vertical="center" wrapText="1"/>
    </xf>
    <xf numFmtId="164" fontId="2" fillId="25" borderId="2" xfId="0" applyNumberFormat="1" applyFont="1" applyFill="1" applyBorder="1" applyAlignment="1">
      <alignment horizontal="center" vertical="center" wrapText="1"/>
    </xf>
    <xf numFmtId="10" fontId="2" fillId="0" borderId="2" xfId="0" applyNumberFormat="1" applyFont="1" applyBorder="1" applyAlignment="1">
      <alignment horizontal="right" vertical="center" wrapText="1"/>
    </xf>
    <xf numFmtId="10" fontId="11" fillId="0" borderId="0" xfId="0" applyNumberFormat="1" applyFont="1" applyAlignment="1">
      <alignment horizontal="right" vertical="center" wrapText="1"/>
    </xf>
    <xf numFmtId="172" fontId="2" fillId="0" borderId="0" xfId="0" applyNumberFormat="1" applyFont="1" applyBorder="1" applyAlignment="1">
      <alignment horizontal="left" vertical="center"/>
    </xf>
    <xf numFmtId="46" fontId="2" fillId="9" borderId="0" xfId="0" applyNumberFormat="1" applyFont="1" applyFill="1" applyBorder="1" applyAlignment="1">
      <alignment horizontal="right" vertical="center" wrapText="1"/>
    </xf>
    <xf numFmtId="164" fontId="5" fillId="9" borderId="0" xfId="0" applyNumberFormat="1" applyFont="1" applyFill="1" applyAlignment="1">
      <alignment horizontal="left" vertical="center"/>
    </xf>
    <xf numFmtId="164" fontId="2" fillId="0" borderId="4" xfId="0" applyNumberFormat="1" applyFont="1" applyFill="1" applyBorder="1" applyAlignment="1">
      <alignment horizontal="center" vertical="center" wrapText="1"/>
    </xf>
    <xf numFmtId="46" fontId="2" fillId="0" borderId="6" xfId="0" applyNumberFormat="1" applyFont="1" applyFill="1" applyBorder="1" applyAlignment="1">
      <alignment horizontal="right" vertical="center" wrapText="1"/>
    </xf>
    <xf numFmtId="164" fontId="2" fillId="0" borderId="0" xfId="0" applyNumberFormat="1" applyFont="1" applyAlignment="1">
      <alignment horizontal="center" vertical="center" wrapText="1"/>
    </xf>
    <xf numFmtId="164" fontId="2" fillId="0" borderId="6" xfId="0" applyNumberFormat="1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164" fontId="2" fillId="0" borderId="0" xfId="0" applyNumberFormat="1" applyFont="1" applyBorder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9" fontId="2" fillId="0" borderId="0" xfId="0" applyNumberFormat="1" applyFont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9" fontId="2" fillId="0" borderId="4" xfId="0" applyNumberFormat="1" applyFont="1" applyBorder="1" applyAlignment="1">
      <alignment horizontal="right" vertical="center" wrapText="1"/>
    </xf>
    <xf numFmtId="9" fontId="2" fillId="0" borderId="16" xfId="0" applyNumberFormat="1" applyFont="1" applyBorder="1" applyAlignment="1">
      <alignment horizontal="right" vertical="center" wrapText="1"/>
    </xf>
    <xf numFmtId="9" fontId="2" fillId="0" borderId="21" xfId="0" applyNumberFormat="1" applyFont="1" applyBorder="1" applyAlignment="1">
      <alignment horizontal="right" vertical="center" wrapText="1"/>
    </xf>
    <xf numFmtId="9" fontId="2" fillId="0" borderId="18" xfId="0" applyNumberFormat="1" applyFont="1" applyBorder="1" applyAlignment="1">
      <alignment horizontal="right" vertical="center" wrapText="1"/>
    </xf>
    <xf numFmtId="164" fontId="2" fillId="0" borderId="0" xfId="0" applyNumberFormat="1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164" fontId="22" fillId="0" borderId="2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164" fontId="2" fillId="7" borderId="5" xfId="0" applyNumberFormat="1" applyFont="1" applyFill="1" applyBorder="1" applyAlignment="1">
      <alignment horizontal="center" vertical="center" wrapText="1"/>
    </xf>
    <xf numFmtId="164" fontId="2" fillId="8" borderId="5" xfId="0" applyNumberFormat="1" applyFont="1" applyFill="1" applyBorder="1" applyAlignment="1">
      <alignment horizontal="center" vertical="center" wrapText="1"/>
    </xf>
    <xf numFmtId="164" fontId="2" fillId="0" borderId="8" xfId="0" applyNumberFormat="1" applyFont="1" applyBorder="1" applyAlignment="1">
      <alignment horizontal="center" vertical="center" wrapText="1"/>
    </xf>
    <xf numFmtId="164" fontId="2" fillId="0" borderId="14" xfId="0" applyNumberFormat="1" applyFont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164" fontId="2" fillId="0" borderId="15" xfId="0" applyNumberFormat="1" applyFont="1" applyBorder="1" applyAlignment="1">
      <alignment horizontal="center" vertical="center" wrapText="1"/>
    </xf>
    <xf numFmtId="164" fontId="2" fillId="0" borderId="13" xfId="0" applyNumberFormat="1" applyFont="1" applyBorder="1" applyAlignment="1">
      <alignment horizontal="center" vertical="center" wrapText="1"/>
    </xf>
    <xf numFmtId="46" fontId="2" fillId="0" borderId="2" xfId="0" applyNumberFormat="1" applyFont="1" applyBorder="1" applyAlignment="1">
      <alignment horizontal="right" vertical="center" wrapText="1"/>
    </xf>
    <xf numFmtId="164" fontId="2" fillId="0" borderId="15" xfId="0" applyNumberFormat="1" applyFont="1" applyFill="1" applyBorder="1" applyAlignment="1">
      <alignment horizontal="left" vertical="center" wrapText="1"/>
    </xf>
    <xf numFmtId="164" fontId="2" fillId="0" borderId="13" xfId="0" applyNumberFormat="1" applyFont="1" applyFill="1" applyBorder="1" applyAlignment="1">
      <alignment horizontal="left" vertical="center" wrapText="1"/>
    </xf>
    <xf numFmtId="46" fontId="9" fillId="10" borderId="12" xfId="0" applyNumberFormat="1" applyFont="1" applyFill="1" applyBorder="1" applyAlignment="1">
      <alignment horizontal="right" vertical="center" wrapText="1"/>
    </xf>
    <xf numFmtId="46" fontId="9" fillId="0" borderId="12" xfId="0" applyNumberFormat="1" applyFont="1" applyFill="1" applyBorder="1" applyAlignment="1">
      <alignment horizontal="right" vertical="center" wrapText="1"/>
    </xf>
    <xf numFmtId="46" fontId="13" fillId="10" borderId="12" xfId="0" applyNumberFormat="1" applyFont="1" applyFill="1" applyBorder="1" applyAlignment="1">
      <alignment horizontal="right" vertical="center" wrapText="1"/>
    </xf>
    <xf numFmtId="46" fontId="9" fillId="0" borderId="12" xfId="0" applyNumberFormat="1" applyFont="1" applyBorder="1" applyAlignment="1">
      <alignment horizontal="right" vertical="center" wrapText="1"/>
    </xf>
    <xf numFmtId="164" fontId="21" fillId="0" borderId="0" xfId="0" applyNumberFormat="1" applyFont="1" applyFill="1" applyAlignment="1">
      <alignment horizontal="right" vertical="center" wrapText="1"/>
    </xf>
    <xf numFmtId="164" fontId="2" fillId="0" borderId="0" xfId="0" applyNumberFormat="1" applyFont="1" applyBorder="1" applyAlignment="1">
      <alignment horizontal="center" vertical="center" wrapText="1"/>
    </xf>
    <xf numFmtId="164" fontId="2" fillId="0" borderId="14" xfId="0" applyNumberFormat="1" applyFont="1" applyBorder="1" applyAlignment="1">
      <alignment horizontal="center" vertical="center" wrapText="1"/>
    </xf>
    <xf numFmtId="164" fontId="2" fillId="0" borderId="9" xfId="0" applyNumberFormat="1" applyFont="1" applyBorder="1" applyAlignment="1">
      <alignment horizontal="center" vertical="center" wrapText="1"/>
    </xf>
    <xf numFmtId="46" fontId="4" fillId="0" borderId="0" xfId="0" applyNumberFormat="1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2" fillId="0" borderId="6" xfId="0" applyNumberFormat="1" applyFont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164" fontId="2" fillId="0" borderId="11" xfId="0" applyNumberFormat="1" applyFont="1" applyBorder="1" applyAlignment="1">
      <alignment horizontal="center" vertical="center" wrapText="1"/>
    </xf>
    <xf numFmtId="164" fontId="2" fillId="0" borderId="5" xfId="0" applyNumberFormat="1" applyFont="1" applyBorder="1" applyAlignment="1">
      <alignment horizontal="center" vertical="center" wrapText="1"/>
    </xf>
    <xf numFmtId="164" fontId="2" fillId="0" borderId="15" xfId="0" applyNumberFormat="1" applyFont="1" applyBorder="1" applyAlignment="1">
      <alignment horizontal="center" vertical="center" wrapText="1"/>
    </xf>
    <xf numFmtId="164" fontId="2" fillId="0" borderId="13" xfId="0" applyNumberFormat="1" applyFont="1" applyBorder="1" applyAlignment="1">
      <alignment horizontal="center" vertical="center" wrapText="1"/>
    </xf>
    <xf numFmtId="46" fontId="2" fillId="0" borderId="1" xfId="0" applyNumberFormat="1" applyFont="1" applyBorder="1" applyAlignment="1">
      <alignment horizontal="center" vertical="center" wrapText="1"/>
    </xf>
    <xf numFmtId="46" fontId="2" fillId="0" borderId="0" xfId="0" applyNumberFormat="1" applyFont="1" applyBorder="1" applyAlignment="1">
      <alignment horizontal="center" vertical="center" wrapText="1"/>
    </xf>
    <xf numFmtId="46" fontId="2" fillId="0" borderId="13" xfId="0" applyNumberFormat="1" applyFont="1" applyBorder="1" applyAlignment="1">
      <alignment horizontal="center" vertical="center" wrapText="1"/>
    </xf>
    <xf numFmtId="46" fontId="2" fillId="0" borderId="2" xfId="0" applyNumberFormat="1" applyFont="1" applyBorder="1" applyAlignment="1">
      <alignment horizontal="center" vertical="center" wrapText="1"/>
    </xf>
    <xf numFmtId="164" fontId="2" fillId="0" borderId="15" xfId="0" applyNumberFormat="1" applyFont="1" applyFill="1" applyBorder="1" applyAlignment="1">
      <alignment horizontal="center" vertical="center" wrapText="1"/>
    </xf>
    <xf numFmtId="164" fontId="2" fillId="0" borderId="13" xfId="0" applyNumberFormat="1" applyFont="1" applyFill="1" applyBorder="1" applyAlignment="1">
      <alignment horizontal="center" vertical="center" wrapText="1"/>
    </xf>
    <xf numFmtId="9" fontId="2" fillId="0" borderId="0" xfId="0" applyNumberFormat="1" applyFont="1" applyBorder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46" fontId="2" fillId="0" borderId="0" xfId="0" applyNumberFormat="1" applyFont="1" applyAlignment="1">
      <alignment horizontal="center" vertical="center" wrapText="1"/>
    </xf>
    <xf numFmtId="164" fontId="2" fillId="0" borderId="12" xfId="0" applyNumberFormat="1" applyFont="1" applyBorder="1" applyAlignment="1">
      <alignment horizontal="center" vertical="center" wrapText="1"/>
    </xf>
    <xf numFmtId="46" fontId="2" fillId="23" borderId="1" xfId="0" applyNumberFormat="1" applyFont="1" applyFill="1" applyBorder="1" applyAlignment="1">
      <alignment horizontal="right" vertical="center" wrapText="1"/>
    </xf>
    <xf numFmtId="46" fontId="2" fillId="23" borderId="7" xfId="0" applyNumberFormat="1" applyFont="1" applyFill="1" applyBorder="1" applyAlignment="1">
      <alignment horizontal="right" vertical="center" wrapText="1"/>
    </xf>
    <xf numFmtId="46" fontId="2" fillId="22" borderId="1" xfId="0" applyNumberFormat="1" applyFont="1" applyFill="1" applyBorder="1" applyAlignment="1">
      <alignment horizontal="right" vertical="center" wrapText="1"/>
    </xf>
    <xf numFmtId="46" fontId="2" fillId="22" borderId="11" xfId="0" applyNumberFormat="1" applyFont="1" applyFill="1" applyBorder="1" applyAlignment="1">
      <alignment horizontal="right" vertical="center" wrapText="1"/>
    </xf>
    <xf numFmtId="46" fontId="15" fillId="26" borderId="9" xfId="0" applyNumberFormat="1" applyFont="1" applyFill="1" applyBorder="1" applyAlignment="1">
      <alignment horizontal="center" vertical="center" wrapText="1"/>
    </xf>
    <xf numFmtId="46" fontId="2" fillId="26" borderId="7" xfId="0" applyNumberFormat="1" applyFont="1" applyFill="1" applyBorder="1" applyAlignment="1">
      <alignment horizontal="center" vertical="center" wrapText="1"/>
    </xf>
    <xf numFmtId="46" fontId="2" fillId="26" borderId="1" xfId="0" applyNumberFormat="1" applyFont="1" applyFill="1" applyBorder="1" applyAlignment="1">
      <alignment horizontal="right" vertical="center" wrapText="1"/>
    </xf>
    <xf numFmtId="46" fontId="2" fillId="26" borderId="7" xfId="0" applyNumberFormat="1" applyFont="1" applyFill="1" applyBorder="1" applyAlignment="1">
      <alignment horizontal="right" vertical="center" wrapText="1"/>
    </xf>
    <xf numFmtId="46" fontId="2" fillId="27" borderId="1" xfId="0" applyNumberFormat="1" applyFont="1" applyFill="1" applyBorder="1" applyAlignment="1">
      <alignment horizontal="right" vertical="center" wrapText="1"/>
    </xf>
    <xf numFmtId="46" fontId="2" fillId="27" borderId="7" xfId="0" applyNumberFormat="1" applyFont="1" applyFill="1" applyBorder="1" applyAlignment="1">
      <alignment horizontal="right" vertical="center" wrapText="1"/>
    </xf>
    <xf numFmtId="164" fontId="15" fillId="28" borderId="9" xfId="0" applyNumberFormat="1" applyFont="1" applyFill="1" applyBorder="1" applyAlignment="1">
      <alignment horizontal="center" vertical="center" wrapText="1"/>
    </xf>
    <xf numFmtId="166" fontId="2" fillId="28" borderId="7" xfId="0" applyNumberFormat="1" applyFont="1" applyFill="1" applyBorder="1" applyAlignment="1">
      <alignment horizontal="center" vertical="center" wrapText="1"/>
    </xf>
    <xf numFmtId="166" fontId="2" fillId="28" borderId="1" xfId="0" applyNumberFormat="1" applyFont="1" applyFill="1" applyBorder="1" applyAlignment="1">
      <alignment horizontal="right" vertical="center" wrapText="1"/>
    </xf>
    <xf numFmtId="166" fontId="2" fillId="28" borderId="7" xfId="0" applyNumberFormat="1" applyFont="1" applyFill="1" applyBorder="1" applyAlignment="1">
      <alignment horizontal="right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9" fontId="11" fillId="0" borderId="0" xfId="0" applyNumberFormat="1" applyFont="1" applyAlignment="1">
      <alignment horizontal="right" vertical="center" wrapText="1"/>
    </xf>
    <xf numFmtId="46" fontId="2" fillId="0" borderId="9" xfId="0" applyNumberFormat="1" applyFont="1" applyBorder="1" applyAlignment="1">
      <alignment horizontal="right" vertical="center" wrapText="1"/>
    </xf>
    <xf numFmtId="164" fontId="2" fillId="23" borderId="0" xfId="0" applyNumberFormat="1" applyFont="1" applyFill="1" applyAlignment="1">
      <alignment horizontal="right" vertical="center" wrapText="1"/>
    </xf>
    <xf numFmtId="164" fontId="5" fillId="0" borderId="0" xfId="0" applyNumberFormat="1" applyFont="1" applyFill="1" applyAlignment="1">
      <alignment horizontal="left" vertical="center"/>
    </xf>
    <xf numFmtId="46" fontId="4" fillId="0" borderId="0" xfId="0" applyNumberFormat="1" applyFont="1" applyAlignment="1">
      <alignment horizontal="center" vertical="center" wrapText="1"/>
    </xf>
    <xf numFmtId="164" fontId="2" fillId="0" borderId="10" xfId="0" applyNumberFormat="1" applyFont="1" applyBorder="1" applyAlignment="1">
      <alignment horizontal="right" vertical="center" wrapText="1"/>
    </xf>
    <xf numFmtId="164" fontId="2" fillId="0" borderId="12" xfId="0" applyNumberFormat="1" applyFont="1" applyFill="1" applyBorder="1" applyAlignment="1">
      <alignment horizontal="right" vertical="center" wrapText="1"/>
    </xf>
    <xf numFmtId="164" fontId="2" fillId="0" borderId="9" xfId="0" applyNumberFormat="1" applyFont="1" applyBorder="1" applyAlignment="1">
      <alignment horizontal="right" vertical="center" wrapText="1"/>
    </xf>
    <xf numFmtId="46" fontId="9" fillId="9" borderId="12" xfId="0" applyNumberFormat="1" applyFont="1" applyFill="1" applyBorder="1" applyAlignment="1">
      <alignment horizontal="right" vertical="center" wrapText="1"/>
    </xf>
    <xf numFmtId="164" fontId="2" fillId="29" borderId="0" xfId="0" applyNumberFormat="1" applyFont="1" applyFill="1" applyAlignment="1">
      <alignment horizontal="right" vertical="center" wrapText="1"/>
    </xf>
    <xf numFmtId="164" fontId="2" fillId="29" borderId="0" xfId="0" applyNumberFormat="1" applyFont="1" applyFill="1" applyAlignment="1">
      <alignment horizontal="center" vertical="center" wrapText="1"/>
    </xf>
    <xf numFmtId="164" fontId="4" fillId="0" borderId="0" xfId="0" applyNumberFormat="1" applyFont="1" applyFill="1" applyAlignment="1">
      <alignment horizontal="center" vertical="center" wrapText="1"/>
    </xf>
    <xf numFmtId="9" fontId="4" fillId="0" borderId="0" xfId="0" applyNumberFormat="1" applyFont="1" applyFill="1" applyAlignment="1">
      <alignment horizontal="center" vertical="center" wrapText="1"/>
    </xf>
    <xf numFmtId="164" fontId="4" fillId="0" borderId="0" xfId="0" applyNumberFormat="1" applyFont="1" applyFill="1" applyAlignment="1">
      <alignment horizontal="right" vertical="center" wrapText="1"/>
    </xf>
    <xf numFmtId="46" fontId="4" fillId="0" borderId="0" xfId="0" applyNumberFormat="1" applyFont="1" applyFill="1" applyAlignment="1">
      <alignment horizontal="right" vertical="center" wrapText="1"/>
    </xf>
    <xf numFmtId="9" fontId="4" fillId="0" borderId="0" xfId="0" applyNumberFormat="1" applyFont="1" applyFill="1" applyAlignment="1">
      <alignment horizontal="right" vertical="center" wrapText="1"/>
    </xf>
    <xf numFmtId="164" fontId="4" fillId="0" borderId="1" xfId="0" applyNumberFormat="1" applyFont="1" applyFill="1" applyBorder="1" applyAlignment="1">
      <alignment horizontal="right" vertical="center" wrapText="1"/>
    </xf>
    <xf numFmtId="164" fontId="4" fillId="0" borderId="2" xfId="0" applyNumberFormat="1" applyFont="1" applyFill="1" applyBorder="1" applyAlignment="1">
      <alignment horizontal="center" vertical="center" wrapText="1"/>
    </xf>
    <xf numFmtId="9" fontId="4" fillId="0" borderId="2" xfId="0" applyNumberFormat="1" applyFont="1" applyFill="1" applyBorder="1" applyAlignment="1">
      <alignment horizontal="center" vertical="center" wrapText="1"/>
    </xf>
    <xf numFmtId="46" fontId="4" fillId="0" borderId="7" xfId="0" applyNumberFormat="1" applyFont="1" applyFill="1" applyBorder="1" applyAlignment="1">
      <alignment horizontal="center" vertical="center" wrapText="1"/>
    </xf>
    <xf numFmtId="164" fontId="21" fillId="0" borderId="0" xfId="0" applyNumberFormat="1" applyFont="1" applyFill="1" applyAlignment="1">
      <alignment horizontal="center" vertical="center" wrapText="1"/>
    </xf>
    <xf numFmtId="164" fontId="4" fillId="0" borderId="13" xfId="0" applyNumberFormat="1" applyFont="1" applyFill="1" applyBorder="1" applyAlignment="1">
      <alignment horizontal="center" vertical="center" wrapText="1"/>
    </xf>
    <xf numFmtId="164" fontId="2" fillId="18" borderId="0" xfId="0" applyNumberFormat="1" applyFont="1" applyFill="1" applyBorder="1" applyAlignment="1">
      <alignment horizontal="right" vertical="center" wrapText="1"/>
    </xf>
    <xf numFmtId="164" fontId="3" fillId="21" borderId="0" xfId="0" applyNumberFormat="1" applyFont="1" applyFill="1" applyBorder="1" applyAlignment="1">
      <alignment horizontal="right" vertical="center" wrapText="1"/>
    </xf>
    <xf numFmtId="164" fontId="4" fillId="0" borderId="0" xfId="0" applyNumberFormat="1" applyFont="1" applyFill="1" applyBorder="1" applyAlignment="1">
      <alignment horizontal="right" vertical="center" wrapText="1"/>
    </xf>
    <xf numFmtId="164" fontId="23" fillId="0" borderId="0" xfId="0" applyNumberFormat="1" applyFont="1" applyFill="1" applyAlignment="1">
      <alignment horizontal="center" vertical="center" wrapText="1"/>
    </xf>
    <xf numFmtId="164" fontId="4" fillId="0" borderId="14" xfId="0" applyNumberFormat="1" applyFont="1" applyFill="1" applyBorder="1" applyAlignment="1">
      <alignment horizontal="center" vertical="center" wrapText="1"/>
    </xf>
    <xf numFmtId="165" fontId="11" fillId="0" borderId="0" xfId="0" applyNumberFormat="1" applyFont="1" applyAlignment="1">
      <alignment horizontal="center" vertical="center" wrapText="1"/>
    </xf>
    <xf numFmtId="0" fontId="15" fillId="0" borderId="0" xfId="0" applyFont="1" applyAlignment="1">
      <alignment horizontal="right" vertical="center" wrapText="1"/>
    </xf>
    <xf numFmtId="164" fontId="15" fillId="0" borderId="0" xfId="0" applyNumberFormat="1" applyFont="1" applyAlignment="1">
      <alignment horizontal="center" vertical="center" wrapText="1"/>
    </xf>
    <xf numFmtId="164" fontId="25" fillId="0" borderId="0" xfId="0" applyNumberFormat="1" applyFont="1" applyBorder="1" applyAlignment="1">
      <alignment horizontal="center" vertical="center" wrapText="1"/>
    </xf>
    <xf numFmtId="164" fontId="15" fillId="0" borderId="1" xfId="0" applyNumberFormat="1" applyFont="1" applyBorder="1" applyAlignment="1">
      <alignment horizontal="center" vertical="center" wrapText="1"/>
    </xf>
    <xf numFmtId="164" fontId="15" fillId="0" borderId="5" xfId="0" applyNumberFormat="1" applyFont="1" applyFill="1" applyBorder="1" applyAlignment="1">
      <alignment horizontal="center" vertical="center" wrapText="1"/>
    </xf>
    <xf numFmtId="164" fontId="15" fillId="0" borderId="11" xfId="0" applyNumberFormat="1" applyFont="1" applyFill="1" applyBorder="1" applyAlignment="1">
      <alignment horizontal="center" vertical="center" wrapText="1"/>
    </xf>
    <xf numFmtId="164" fontId="2" fillId="0" borderId="11" xfId="0" applyNumberFormat="1" applyFont="1" applyFill="1" applyBorder="1" applyAlignment="1">
      <alignment horizontal="right" vertical="center" wrapText="1"/>
    </xf>
    <xf numFmtId="164" fontId="15" fillId="0" borderId="0" xfId="0" applyNumberFormat="1" applyFont="1" applyBorder="1" applyAlignment="1">
      <alignment horizontal="center" vertical="center" wrapText="1"/>
    </xf>
    <xf numFmtId="164" fontId="2" fillId="0" borderId="10" xfId="0" applyNumberFormat="1" applyFont="1" applyFill="1" applyBorder="1" applyAlignment="1">
      <alignment horizontal="right" vertical="center" wrapText="1"/>
    </xf>
    <xf numFmtId="165" fontId="2" fillId="0" borderId="12" xfId="0" applyNumberFormat="1" applyFont="1" applyBorder="1" applyAlignment="1">
      <alignment horizontal="right" vertical="center" wrapText="1"/>
    </xf>
    <xf numFmtId="165" fontId="2" fillId="0" borderId="11" xfId="0" applyNumberFormat="1" applyFont="1" applyBorder="1" applyAlignment="1">
      <alignment horizontal="right" vertical="center" wrapText="1"/>
    </xf>
    <xf numFmtId="165" fontId="15" fillId="0" borderId="0" xfId="0" applyNumberFormat="1" applyFont="1" applyAlignment="1">
      <alignment horizontal="right" vertical="center" wrapText="1"/>
    </xf>
    <xf numFmtId="46" fontId="15" fillId="0" borderId="0" xfId="0" applyNumberFormat="1" applyFont="1" applyAlignment="1">
      <alignment horizontal="right" vertical="center" wrapText="1"/>
    </xf>
    <xf numFmtId="0" fontId="26" fillId="0" borderId="10" xfId="0" applyFont="1" applyBorder="1" applyAlignment="1">
      <alignment horizontal="right" vertical="center"/>
    </xf>
    <xf numFmtId="9" fontId="15" fillId="0" borderId="0" xfId="0" applyNumberFormat="1" applyFont="1" applyAlignment="1">
      <alignment horizontal="right" vertical="center" wrapText="1"/>
    </xf>
    <xf numFmtId="165" fontId="15" fillId="11" borderId="5" xfId="0" applyNumberFormat="1" applyFont="1" applyFill="1" applyBorder="1" applyAlignment="1">
      <alignment horizontal="center" vertical="center" wrapText="1"/>
    </xf>
    <xf numFmtId="46" fontId="15" fillId="11" borderId="5" xfId="0" applyNumberFormat="1" applyFont="1" applyFill="1" applyBorder="1" applyAlignment="1">
      <alignment horizontal="right" vertical="center" wrapText="1"/>
    </xf>
    <xf numFmtId="0" fontId="15" fillId="0" borderId="0" xfId="0" applyFont="1" applyFill="1" applyAlignment="1">
      <alignment horizontal="right" vertical="center" wrapText="1"/>
    </xf>
    <xf numFmtId="164" fontId="2" fillId="0" borderId="6" xfId="0" applyNumberFormat="1" applyFont="1" applyFill="1" applyBorder="1" applyAlignment="1">
      <alignment horizontal="center" vertical="center" wrapText="1"/>
    </xf>
    <xf numFmtId="9" fontId="15" fillId="0" borderId="15" xfId="0" applyNumberFormat="1" applyFont="1" applyBorder="1" applyAlignment="1">
      <alignment horizontal="right" vertical="center" wrapText="1"/>
    </xf>
    <xf numFmtId="9" fontId="15" fillId="0" borderId="13" xfId="0" applyNumberFormat="1" applyFont="1" applyBorder="1" applyAlignment="1">
      <alignment horizontal="right" vertical="center" wrapText="1"/>
    </xf>
    <xf numFmtId="46" fontId="2" fillId="0" borderId="0" xfId="0" applyNumberFormat="1" applyFont="1" applyFill="1" applyAlignment="1">
      <alignment horizontal="right" vertical="center" wrapText="1"/>
    </xf>
    <xf numFmtId="170" fontId="4" fillId="0" borderId="2" xfId="0" applyNumberFormat="1" applyFont="1" applyFill="1" applyBorder="1" applyAlignment="1">
      <alignment vertical="center" wrapText="1"/>
    </xf>
    <xf numFmtId="46" fontId="13" fillId="0" borderId="1" xfId="0" applyNumberFormat="1" applyFont="1" applyFill="1" applyBorder="1" applyAlignment="1">
      <alignment horizontal="right" vertical="center" wrapText="1"/>
    </xf>
    <xf numFmtId="46" fontId="21" fillId="0" borderId="0" xfId="0" applyNumberFormat="1" applyFont="1" applyFill="1" applyAlignment="1">
      <alignment horizontal="right" vertical="center" wrapText="1"/>
    </xf>
    <xf numFmtId="46" fontId="3" fillId="29" borderId="0" xfId="0" applyNumberFormat="1" applyFont="1" applyFill="1" applyAlignment="1">
      <alignment horizontal="right" vertical="center" wrapText="1"/>
    </xf>
    <xf numFmtId="164" fontId="2" fillId="0" borderId="11" xfId="0" applyNumberFormat="1" applyFont="1" applyFill="1" applyBorder="1" applyAlignment="1">
      <alignment horizontal="center" vertical="center" wrapText="1"/>
    </xf>
    <xf numFmtId="164" fontId="2" fillId="0" borderId="7" xfId="0" applyNumberFormat="1" applyFont="1" applyFill="1" applyBorder="1" applyAlignment="1">
      <alignment horizontal="center" vertical="center" wrapText="1"/>
    </xf>
    <xf numFmtId="164" fontId="3" fillId="10" borderId="1" xfId="0" applyNumberFormat="1" applyFont="1" applyFill="1" applyBorder="1" applyAlignment="1">
      <alignment horizontal="center" vertical="center" wrapText="1"/>
    </xf>
    <xf numFmtId="164" fontId="8" fillId="10" borderId="1" xfId="0" applyNumberFormat="1" applyFont="1" applyFill="1" applyBorder="1" applyAlignment="1">
      <alignment horizontal="center" vertical="center" wrapText="1"/>
    </xf>
    <xf numFmtId="164" fontId="12" fillId="10" borderId="1" xfId="0" applyNumberFormat="1" applyFont="1" applyFill="1" applyBorder="1" applyAlignment="1">
      <alignment horizontal="center" vertical="center" wrapText="1"/>
    </xf>
    <xf numFmtId="166" fontId="11" fillId="0" borderId="1" xfId="0" applyNumberFormat="1" applyFont="1" applyFill="1" applyBorder="1" applyAlignment="1">
      <alignment horizontal="center" vertical="center" wrapText="1"/>
    </xf>
    <xf numFmtId="164" fontId="20" fillId="10" borderId="1" xfId="0" applyNumberFormat="1" applyFont="1" applyFill="1" applyBorder="1" applyAlignment="1">
      <alignment horizontal="center"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164" fontId="3" fillId="10" borderId="15" xfId="0" applyNumberFormat="1" applyFont="1" applyFill="1" applyBorder="1" applyAlignment="1">
      <alignment horizontal="center" vertical="center" wrapText="1"/>
    </xf>
    <xf numFmtId="164" fontId="8" fillId="10" borderId="15" xfId="0" applyNumberFormat="1" applyFont="1" applyFill="1" applyBorder="1" applyAlignment="1">
      <alignment horizontal="center" vertical="center" wrapText="1"/>
    </xf>
    <xf numFmtId="46" fontId="3" fillId="29" borderId="1" xfId="0" applyNumberFormat="1" applyFont="1" applyFill="1" applyBorder="1" applyAlignment="1">
      <alignment horizontal="right" vertical="center" wrapText="1"/>
    </xf>
    <xf numFmtId="164" fontId="24" fillId="0" borderId="0" xfId="0" applyNumberFormat="1" applyFont="1" applyFill="1" applyAlignment="1">
      <alignment horizontal="left" vertical="center"/>
    </xf>
    <xf numFmtId="164" fontId="28" fillId="0" borderId="0" xfId="0" applyNumberFormat="1" applyFont="1" applyAlignment="1">
      <alignment horizontal="center" vertical="center" wrapText="1"/>
    </xf>
    <xf numFmtId="46" fontId="3" fillId="30" borderId="0" xfId="0" applyNumberFormat="1" applyFont="1" applyFill="1" applyAlignment="1">
      <alignment horizontal="right" vertical="center" wrapText="1"/>
    </xf>
    <xf numFmtId="164" fontId="5" fillId="0" borderId="0" xfId="0" applyNumberFormat="1" applyFont="1" applyAlignment="1">
      <alignment horizontal="left" vertical="center"/>
    </xf>
    <xf numFmtId="9" fontId="2" fillId="23" borderId="7" xfId="0" applyNumberFormat="1" applyFont="1" applyFill="1" applyBorder="1" applyAlignment="1">
      <alignment horizontal="center" vertical="center" wrapText="1"/>
    </xf>
    <xf numFmtId="9" fontId="2" fillId="23" borderId="1" xfId="0" applyNumberFormat="1" applyFont="1" applyFill="1" applyBorder="1" applyAlignment="1">
      <alignment horizontal="right" vertical="center" wrapText="1"/>
    </xf>
    <xf numFmtId="9" fontId="2" fillId="23" borderId="7" xfId="0" applyNumberFormat="1" applyFont="1" applyFill="1" applyBorder="1" applyAlignment="1">
      <alignment horizontal="right" vertical="center" wrapText="1"/>
    </xf>
    <xf numFmtId="46" fontId="2" fillId="22" borderId="7" xfId="0" applyNumberFormat="1" applyFont="1" applyFill="1" applyBorder="1" applyAlignment="1">
      <alignment horizontal="right" vertical="center" wrapText="1"/>
    </xf>
    <xf numFmtId="46" fontId="2" fillId="22" borderId="12" xfId="0" applyNumberFormat="1" applyFont="1" applyFill="1" applyBorder="1" applyAlignment="1">
      <alignment horizontal="right" vertical="center" wrapText="1"/>
    </xf>
    <xf numFmtId="164" fontId="2" fillId="17" borderId="0" xfId="0" applyNumberFormat="1" applyFont="1" applyFill="1" applyBorder="1" applyAlignment="1">
      <alignment horizontal="right" vertical="center" wrapText="1"/>
    </xf>
    <xf numFmtId="164" fontId="11" fillId="23" borderId="5" xfId="0" applyNumberFormat="1" applyFont="1" applyFill="1" applyBorder="1" applyAlignment="1">
      <alignment horizontal="center" vertical="center" wrapText="1"/>
    </xf>
    <xf numFmtId="164" fontId="2" fillId="22" borderId="1" xfId="0" applyNumberFormat="1" applyFont="1" applyFill="1" applyBorder="1" applyAlignment="1">
      <alignment horizontal="right" vertical="center" wrapText="1"/>
    </xf>
    <xf numFmtId="166" fontId="11" fillId="0" borderId="0" xfId="0" applyNumberFormat="1" applyFont="1" applyBorder="1" applyAlignment="1">
      <alignment horizontal="center" vertical="center" wrapText="1"/>
    </xf>
    <xf numFmtId="164" fontId="2" fillId="30" borderId="0" xfId="0" applyNumberFormat="1" applyFont="1" applyFill="1" applyBorder="1" applyAlignment="1">
      <alignment horizontal="right" vertical="center" wrapText="1"/>
    </xf>
    <xf numFmtId="164" fontId="2" fillId="0" borderId="0" xfId="0" applyNumberFormat="1" applyFont="1" applyAlignment="1">
      <alignment horizontal="center" vertical="center" wrapText="1"/>
    </xf>
    <xf numFmtId="170" fontId="4" fillId="0" borderId="0" xfId="0" applyNumberFormat="1" applyFont="1" applyBorder="1" applyAlignment="1">
      <alignment horizontal="right" vertical="center" wrapText="1"/>
    </xf>
    <xf numFmtId="164" fontId="2" fillId="0" borderId="11" xfId="0" applyNumberFormat="1" applyFont="1" applyBorder="1" applyAlignment="1">
      <alignment horizontal="center" vertical="center" wrapText="1"/>
    </xf>
    <xf numFmtId="164" fontId="2" fillId="0" borderId="5" xfId="0" applyNumberFormat="1" applyFont="1" applyBorder="1" applyAlignment="1">
      <alignment horizontal="center" vertical="center" wrapText="1"/>
    </xf>
    <xf numFmtId="164" fontId="2" fillId="0" borderId="12" xfId="0" applyNumberFormat="1" applyFont="1" applyBorder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164" fontId="2" fillId="0" borderId="0" xfId="0" applyNumberFormat="1" applyFont="1" applyBorder="1" applyAlignment="1">
      <alignment horizontal="center" vertical="center" wrapText="1"/>
    </xf>
    <xf numFmtId="164" fontId="2" fillId="0" borderId="14" xfId="0" applyNumberFormat="1" applyFont="1" applyBorder="1" applyAlignment="1">
      <alignment horizontal="center" vertical="center" wrapText="1"/>
    </xf>
    <xf numFmtId="164" fontId="2" fillId="0" borderId="9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164" fontId="2" fillId="0" borderId="6" xfId="0" applyNumberFormat="1" applyFont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164" fontId="2" fillId="0" borderId="13" xfId="0" applyNumberFormat="1" applyFont="1" applyBorder="1" applyAlignment="1">
      <alignment horizontal="center" vertical="center" wrapText="1"/>
    </xf>
    <xf numFmtId="164" fontId="2" fillId="0" borderId="15" xfId="0" applyNumberFormat="1" applyFont="1" applyBorder="1" applyAlignment="1">
      <alignment horizontal="center" vertical="center" wrapText="1"/>
    </xf>
    <xf numFmtId="164" fontId="4" fillId="0" borderId="7" xfId="0" applyNumberFormat="1" applyFont="1" applyFill="1" applyBorder="1" applyAlignment="1">
      <alignment horizontal="center" vertical="center" wrapText="1"/>
    </xf>
    <xf numFmtId="164" fontId="2" fillId="0" borderId="5" xfId="0" applyNumberFormat="1" applyFont="1" applyFill="1" applyBorder="1" applyAlignment="1">
      <alignment horizontal="center" vertical="center" wrapText="1"/>
    </xf>
    <xf numFmtId="164" fontId="2" fillId="0" borderId="7" xfId="0" applyNumberFormat="1" applyFont="1" applyBorder="1" applyAlignment="1">
      <alignment horizontal="center" vertical="center" wrapText="1"/>
    </xf>
    <xf numFmtId="46" fontId="4" fillId="0" borderId="7" xfId="0" applyNumberFormat="1" applyFont="1" applyFill="1" applyBorder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46" fontId="2" fillId="0" borderId="0" xfId="0" applyNumberFormat="1" applyFont="1" applyAlignment="1">
      <alignment horizontal="center" vertical="center" wrapText="1"/>
    </xf>
    <xf numFmtId="9" fontId="11" fillId="0" borderId="0" xfId="0" applyNumberFormat="1" applyFont="1" applyAlignment="1">
      <alignment horizontal="right" vertical="center" wrapText="1"/>
    </xf>
    <xf numFmtId="165" fontId="2" fillId="5" borderId="1" xfId="0" applyNumberFormat="1" applyFont="1" applyFill="1" applyBorder="1" applyAlignment="1">
      <alignment horizontal="right" vertical="center" wrapText="1"/>
    </xf>
    <xf numFmtId="165" fontId="2" fillId="5" borderId="11" xfId="0" applyNumberFormat="1" applyFont="1" applyFill="1" applyBorder="1" applyAlignment="1">
      <alignment horizontal="right" vertical="center" wrapText="1"/>
    </xf>
    <xf numFmtId="165" fontId="7" fillId="5" borderId="12" xfId="0" applyNumberFormat="1" applyFont="1" applyFill="1" applyBorder="1" applyAlignment="1">
      <alignment horizontal="right" vertical="center" wrapText="1"/>
    </xf>
    <xf numFmtId="165" fontId="7" fillId="5" borderId="11" xfId="0" applyNumberFormat="1" applyFont="1" applyFill="1" applyBorder="1" applyAlignment="1">
      <alignment horizontal="right" vertical="center" wrapText="1"/>
    </xf>
    <xf numFmtId="165" fontId="7" fillId="5" borderId="23" xfId="0" applyNumberFormat="1" applyFont="1" applyFill="1" applyBorder="1" applyAlignment="1">
      <alignment horizontal="right" vertical="center" wrapText="1"/>
    </xf>
    <xf numFmtId="0" fontId="15" fillId="29" borderId="0" xfId="0" applyFont="1" applyFill="1" applyAlignment="1">
      <alignment horizontal="right" vertical="center" wrapText="1"/>
    </xf>
    <xf numFmtId="164" fontId="15" fillId="29" borderId="0" xfId="0" applyNumberFormat="1" applyFont="1" applyFill="1" applyAlignment="1">
      <alignment horizontal="center" vertical="center" wrapText="1"/>
    </xf>
    <xf numFmtId="164" fontId="15" fillId="29" borderId="0" xfId="0" applyNumberFormat="1" applyFont="1" applyFill="1" applyBorder="1" applyAlignment="1">
      <alignment horizontal="center" vertical="center" wrapText="1"/>
    </xf>
    <xf numFmtId="165" fontId="2" fillId="0" borderId="1" xfId="0" applyNumberFormat="1" applyFont="1" applyFill="1" applyBorder="1" applyAlignment="1">
      <alignment horizontal="right" vertical="center" wrapText="1"/>
    </xf>
    <xf numFmtId="165" fontId="2" fillId="0" borderId="12" xfId="0" applyNumberFormat="1" applyFont="1" applyFill="1" applyBorder="1" applyAlignment="1">
      <alignment horizontal="right" vertical="center" wrapText="1"/>
    </xf>
    <xf numFmtId="165" fontId="2" fillId="0" borderId="11" xfId="0" applyNumberFormat="1" applyFont="1" applyFill="1" applyBorder="1" applyAlignment="1">
      <alignment horizontal="right" vertical="center" wrapText="1"/>
    </xf>
    <xf numFmtId="165" fontId="2" fillId="0" borderId="10" xfId="0" applyNumberFormat="1" applyFont="1" applyFill="1" applyBorder="1" applyAlignment="1">
      <alignment horizontal="right" vertical="center" wrapText="1"/>
    </xf>
    <xf numFmtId="165" fontId="7" fillId="0" borderId="12" xfId="0" applyNumberFormat="1" applyFont="1" applyFill="1" applyBorder="1" applyAlignment="1">
      <alignment horizontal="right" vertical="center" wrapText="1"/>
    </xf>
    <xf numFmtId="165" fontId="7" fillId="0" borderId="11" xfId="0" applyNumberFormat="1" applyFont="1" applyFill="1" applyBorder="1" applyAlignment="1">
      <alignment horizontal="right" vertical="center" wrapText="1"/>
    </xf>
    <xf numFmtId="165" fontId="7" fillId="0" borderId="23" xfId="0" applyNumberFormat="1" applyFont="1" applyFill="1" applyBorder="1" applyAlignment="1">
      <alignment horizontal="right" vertical="center" wrapText="1"/>
    </xf>
    <xf numFmtId="164" fontId="2" fillId="0" borderId="23" xfId="0" applyNumberFormat="1" applyFont="1" applyBorder="1" applyAlignment="1">
      <alignment horizontal="center" vertical="center" wrapText="1"/>
    </xf>
    <xf numFmtId="165" fontId="2" fillId="0" borderId="0" xfId="0" applyNumberFormat="1" applyFont="1" applyFill="1" applyAlignment="1">
      <alignment horizontal="right" vertical="center" wrapText="1"/>
    </xf>
    <xf numFmtId="165" fontId="29" fillId="0" borderId="0" xfId="0" applyNumberFormat="1" applyFont="1" applyAlignment="1">
      <alignment horizontal="right" vertical="center" wrapText="1"/>
    </xf>
    <xf numFmtId="165" fontId="7" fillId="0" borderId="0" xfId="0" applyNumberFormat="1" applyFont="1" applyAlignment="1">
      <alignment horizontal="right" vertical="center" wrapText="1"/>
    </xf>
    <xf numFmtId="9" fontId="15" fillId="0" borderId="0" xfId="0" applyNumberFormat="1" applyFont="1" applyAlignment="1">
      <alignment horizontal="center" vertical="center" wrapText="1"/>
    </xf>
    <xf numFmtId="9" fontId="15" fillId="0" borderId="0" xfId="0" applyNumberFormat="1" applyFont="1" applyBorder="1" applyAlignment="1">
      <alignment horizontal="center" vertical="center" wrapText="1"/>
    </xf>
    <xf numFmtId="164" fontId="2" fillId="0" borderId="0" xfId="0" applyNumberFormat="1" applyFont="1" applyBorder="1" applyAlignment="1">
      <alignment horizontal="center" vertical="center" wrapText="1"/>
    </xf>
    <xf numFmtId="164" fontId="15" fillId="0" borderId="0" xfId="0" applyNumberFormat="1" applyFont="1" applyFill="1" applyBorder="1" applyAlignment="1">
      <alignment horizontal="center" vertical="center" wrapText="1"/>
    </xf>
    <xf numFmtId="164" fontId="24" fillId="0" borderId="0" xfId="0" applyNumberFormat="1" applyFont="1" applyAlignment="1">
      <alignment horizontal="center" vertical="center" wrapText="1"/>
    </xf>
    <xf numFmtId="164" fontId="2" fillId="0" borderId="9" xfId="0" applyNumberFormat="1" applyFont="1" applyFill="1" applyBorder="1" applyAlignment="1">
      <alignment horizontal="right" vertical="center" wrapText="1"/>
    </xf>
    <xf numFmtId="164" fontId="2" fillId="0" borderId="14" xfId="0" applyNumberFormat="1" applyFont="1" applyFill="1" applyBorder="1" applyAlignment="1">
      <alignment horizontal="right" vertical="center" wrapText="1"/>
    </xf>
    <xf numFmtId="164" fontId="2" fillId="0" borderId="13" xfId="0" applyNumberFormat="1" applyFont="1" applyFill="1" applyBorder="1" applyAlignment="1">
      <alignment horizontal="right" vertical="center" wrapText="1"/>
    </xf>
    <xf numFmtId="164" fontId="22" fillId="0" borderId="6" xfId="0" applyNumberFormat="1" applyFont="1" applyFill="1" applyBorder="1" applyAlignment="1">
      <alignment horizontal="center" vertical="center" wrapText="1"/>
    </xf>
    <xf numFmtId="164" fontId="11" fillId="0" borderId="3" xfId="0" applyNumberFormat="1" applyFont="1" applyBorder="1" applyAlignment="1">
      <alignment horizontal="center" vertical="center" wrapText="1"/>
    </xf>
    <xf numFmtId="164" fontId="11" fillId="0" borderId="4" xfId="0" applyNumberFormat="1" applyFont="1" applyBorder="1" applyAlignment="1">
      <alignment horizontal="center" vertical="center" wrapText="1"/>
    </xf>
    <xf numFmtId="164" fontId="11" fillId="0" borderId="9" xfId="0" applyNumberFormat="1" applyFont="1" applyBorder="1" applyAlignment="1">
      <alignment horizontal="center" vertical="center" wrapText="1"/>
    </xf>
    <xf numFmtId="167" fontId="2" fillId="0" borderId="0" xfId="0" applyNumberFormat="1" applyFont="1" applyAlignment="1">
      <alignment horizontal="center" vertical="center" wrapText="1"/>
    </xf>
    <xf numFmtId="167" fontId="11" fillId="22" borderId="10" xfId="0" applyNumberFormat="1" applyFont="1" applyFill="1" applyBorder="1" applyAlignment="1">
      <alignment vertical="center" wrapText="1"/>
    </xf>
    <xf numFmtId="167" fontId="2" fillId="22" borderId="1" xfId="0" applyNumberFormat="1" applyFont="1" applyFill="1" applyBorder="1" applyAlignment="1">
      <alignment horizontal="right" vertical="center" wrapText="1"/>
    </xf>
    <xf numFmtId="167" fontId="2" fillId="22" borderId="11" xfId="0" applyNumberFormat="1" applyFont="1" applyFill="1" applyBorder="1" applyAlignment="1">
      <alignment horizontal="right" vertical="center" wrapText="1"/>
    </xf>
    <xf numFmtId="164" fontId="22" fillId="0" borderId="4" xfId="0" applyNumberFormat="1" applyFont="1" applyFill="1" applyBorder="1" applyAlignment="1">
      <alignment horizontal="center" vertical="center" wrapText="1"/>
    </xf>
    <xf numFmtId="164" fontId="2" fillId="0" borderId="8" xfId="0" applyNumberFormat="1" applyFont="1" applyFill="1" applyBorder="1" applyAlignment="1">
      <alignment horizontal="right" vertical="center" wrapText="1"/>
    </xf>
    <xf numFmtId="167" fontId="2" fillId="0" borderId="0" xfId="0" applyNumberFormat="1" applyFont="1" applyFill="1" applyAlignment="1">
      <alignment horizontal="right" vertical="center" wrapText="1"/>
    </xf>
    <xf numFmtId="167" fontId="2" fillId="0" borderId="0" xfId="0" applyNumberFormat="1" applyFont="1" applyFill="1" applyAlignment="1">
      <alignment horizontal="center" vertical="center" wrapText="1"/>
    </xf>
    <xf numFmtId="167" fontId="2" fillId="0" borderId="1" xfId="0" applyNumberFormat="1" applyFont="1" applyFill="1" applyBorder="1" applyAlignment="1">
      <alignment horizontal="right" vertical="center" wrapText="1"/>
    </xf>
    <xf numFmtId="167" fontId="2" fillId="0" borderId="7" xfId="0" applyNumberFormat="1" applyFont="1" applyFill="1" applyBorder="1" applyAlignment="1">
      <alignment horizontal="right" vertical="center" wrapText="1"/>
    </xf>
    <xf numFmtId="167" fontId="11" fillId="0" borderId="9" xfId="0" applyNumberFormat="1" applyFont="1" applyFill="1" applyBorder="1" applyAlignment="1">
      <alignment horizontal="center" vertical="center" wrapText="1"/>
    </xf>
    <xf numFmtId="9" fontId="15" fillId="0" borderId="8" xfId="0" applyNumberFormat="1" applyFont="1" applyBorder="1" applyAlignment="1">
      <alignment horizontal="center" vertical="center" wrapText="1"/>
    </xf>
    <xf numFmtId="164" fontId="2" fillId="17" borderId="1" xfId="0" applyNumberFormat="1" applyFont="1" applyFill="1" applyBorder="1" applyAlignment="1">
      <alignment horizontal="right" vertical="center" wrapText="1"/>
    </xf>
    <xf numFmtId="164" fontId="2" fillId="14" borderId="0" xfId="0" applyNumberFormat="1" applyFont="1" applyFill="1" applyAlignment="1">
      <alignment horizontal="right" vertical="center" wrapText="1"/>
    </xf>
    <xf numFmtId="164" fontId="4" fillId="0" borderId="0" xfId="0" applyNumberFormat="1" applyFont="1" applyFill="1" applyBorder="1" applyAlignment="1">
      <alignment horizontal="center" vertical="center" wrapText="1"/>
    </xf>
    <xf numFmtId="9" fontId="4" fillId="0" borderId="0" xfId="0" applyNumberFormat="1" applyFont="1" applyFill="1" applyBorder="1" applyAlignment="1">
      <alignment horizontal="right" vertical="center" wrapText="1"/>
    </xf>
    <xf numFmtId="164" fontId="5" fillId="9" borderId="0" xfId="0" applyNumberFormat="1" applyFont="1" applyFill="1" applyAlignment="1">
      <alignment horizontal="right" vertical="center" wrapText="1"/>
    </xf>
    <xf numFmtId="164" fontId="5" fillId="0" borderId="0" xfId="0" applyNumberFormat="1" applyFont="1" applyFill="1" applyAlignment="1">
      <alignment horizontal="right" vertical="center" wrapText="1"/>
    </xf>
    <xf numFmtId="164" fontId="2" fillId="11" borderId="0" xfId="0" applyNumberFormat="1" applyFont="1" applyFill="1" applyBorder="1" applyAlignment="1">
      <alignment horizontal="right" vertical="center" wrapText="1"/>
    </xf>
    <xf numFmtId="164" fontId="2" fillId="11" borderId="2" xfId="0" applyNumberFormat="1" applyFont="1" applyFill="1" applyBorder="1" applyAlignment="1">
      <alignment horizontal="right" vertical="center" wrapText="1"/>
    </xf>
    <xf numFmtId="164" fontId="2" fillId="0" borderId="8" xfId="0" applyNumberFormat="1" applyFont="1" applyBorder="1" applyAlignment="1">
      <alignment horizontal="center" vertical="center" wrapText="1"/>
    </xf>
    <xf numFmtId="164" fontId="2" fillId="0" borderId="9" xfId="0" applyNumberFormat="1" applyFont="1" applyBorder="1" applyAlignment="1">
      <alignment horizontal="center" vertical="center" wrapText="1"/>
    </xf>
    <xf numFmtId="164" fontId="21" fillId="0" borderId="7" xfId="0" applyNumberFormat="1" applyFont="1" applyFill="1" applyBorder="1" applyAlignment="1">
      <alignment horizontal="center" vertical="center" wrapText="1"/>
    </xf>
    <xf numFmtId="164" fontId="21" fillId="0" borderId="6" xfId="0" applyNumberFormat="1" applyFont="1" applyFill="1" applyBorder="1" applyAlignment="1">
      <alignment horizontal="center" vertical="center" wrapText="1"/>
    </xf>
    <xf numFmtId="164" fontId="2" fillId="13" borderId="5" xfId="0" applyNumberFormat="1" applyFont="1" applyFill="1" applyBorder="1" applyAlignment="1">
      <alignment horizontal="center" vertical="center" wrapText="1"/>
    </xf>
    <xf numFmtId="164" fontId="2" fillId="0" borderId="14" xfId="0" applyNumberFormat="1" applyFont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center" vertical="center" wrapText="1"/>
    </xf>
    <xf numFmtId="164" fontId="2" fillId="0" borderId="6" xfId="0" applyNumberFormat="1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46" fontId="4" fillId="0" borderId="8" xfId="0" applyNumberFormat="1" applyFont="1" applyFill="1" applyBorder="1" applyAlignment="1">
      <alignment horizontal="center" vertical="center" wrapText="1"/>
    </xf>
    <xf numFmtId="46" fontId="4" fillId="0" borderId="0" xfId="0" applyNumberFormat="1" applyFont="1" applyFill="1" applyBorder="1" applyAlignment="1">
      <alignment horizontal="center" vertical="center" wrapText="1"/>
    </xf>
    <xf numFmtId="46" fontId="10" fillId="9" borderId="9" xfId="0" applyNumberFormat="1" applyFont="1" applyFill="1" applyBorder="1" applyAlignment="1">
      <alignment horizontal="left" vertical="center" wrapText="1"/>
    </xf>
    <xf numFmtId="46" fontId="10" fillId="9" borderId="1" xfId="0" applyNumberFormat="1" applyFont="1" applyFill="1" applyBorder="1" applyAlignment="1">
      <alignment horizontal="left" vertical="center" wrapText="1"/>
    </xf>
    <xf numFmtId="9" fontId="4" fillId="0" borderId="14" xfId="0" applyNumberFormat="1" applyFont="1" applyFill="1" applyBorder="1" applyAlignment="1">
      <alignment horizontal="center" vertical="center" wrapText="1"/>
    </xf>
    <xf numFmtId="9" fontId="4" fillId="0" borderId="8" xfId="0" applyNumberFormat="1" applyFont="1" applyFill="1" applyBorder="1" applyAlignment="1">
      <alignment horizontal="center" vertical="center" wrapText="1"/>
    </xf>
    <xf numFmtId="46" fontId="2" fillId="0" borderId="10" xfId="0" applyNumberFormat="1" applyFont="1" applyBorder="1" applyAlignment="1">
      <alignment horizontal="center" vertical="center" wrapText="1"/>
    </xf>
    <xf numFmtId="46" fontId="2" fillId="0" borderId="12" xfId="0" applyNumberFormat="1" applyFont="1" applyBorder="1" applyAlignment="1">
      <alignment horizontal="center" vertical="center" wrapText="1"/>
    </xf>
    <xf numFmtId="46" fontId="2" fillId="0" borderId="14" xfId="0" applyNumberFormat="1" applyFont="1" applyBorder="1" applyAlignment="1">
      <alignment horizontal="center" vertical="center" wrapText="1"/>
    </xf>
    <xf numFmtId="46" fontId="2" fillId="0" borderId="8" xfId="0" applyNumberFormat="1" applyFont="1" applyBorder="1" applyAlignment="1">
      <alignment horizontal="center" vertical="center" wrapText="1"/>
    </xf>
    <xf numFmtId="46" fontId="2" fillId="0" borderId="9" xfId="0" applyNumberFormat="1" applyFont="1" applyBorder="1" applyAlignment="1">
      <alignment horizontal="center" vertical="center" wrapText="1"/>
    </xf>
    <xf numFmtId="46" fontId="2" fillId="0" borderId="1" xfId="0" applyNumberFormat="1" applyFont="1" applyBorder="1" applyAlignment="1">
      <alignment horizontal="center" vertical="center" wrapText="1"/>
    </xf>
    <xf numFmtId="164" fontId="2" fillId="0" borderId="0" xfId="0" applyNumberFormat="1" applyFont="1" applyBorder="1" applyAlignment="1">
      <alignment horizontal="center" vertical="center" wrapText="1"/>
    </xf>
    <xf numFmtId="166" fontId="2" fillId="0" borderId="0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46" fontId="4" fillId="9" borderId="10" xfId="0" applyNumberFormat="1" applyFont="1" applyFill="1" applyBorder="1" applyAlignment="1">
      <alignment horizontal="center" vertical="center" wrapText="1"/>
    </xf>
    <xf numFmtId="46" fontId="4" fillId="9" borderId="12" xfId="0" applyNumberFormat="1" applyFont="1" applyFill="1" applyBorder="1" applyAlignment="1">
      <alignment horizontal="center" vertical="center" wrapText="1"/>
    </xf>
    <xf numFmtId="46" fontId="10" fillId="9" borderId="10" xfId="0" applyNumberFormat="1" applyFont="1" applyFill="1" applyBorder="1" applyAlignment="1">
      <alignment horizontal="center" vertical="center" wrapText="1"/>
    </xf>
    <xf numFmtId="46" fontId="10" fillId="9" borderId="12" xfId="0" applyNumberFormat="1" applyFont="1" applyFill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166" fontId="2" fillId="0" borderId="8" xfId="0" applyNumberFormat="1" applyFont="1" applyBorder="1" applyAlignment="1">
      <alignment horizontal="center" vertical="center" wrapText="1"/>
    </xf>
    <xf numFmtId="166" fontId="2" fillId="0" borderId="2" xfId="0" applyNumberFormat="1" applyFont="1" applyBorder="1" applyAlignment="1">
      <alignment horizontal="center" vertical="center" wrapText="1"/>
    </xf>
    <xf numFmtId="164" fontId="2" fillId="0" borderId="10" xfId="0" applyNumberFormat="1" applyFont="1" applyBorder="1" applyAlignment="1">
      <alignment horizontal="center" vertical="center" wrapText="1"/>
    </xf>
    <xf numFmtId="164" fontId="2" fillId="0" borderId="11" xfId="0" applyNumberFormat="1" applyFont="1" applyBorder="1" applyAlignment="1">
      <alignment horizontal="center" vertical="center" wrapText="1"/>
    </xf>
    <xf numFmtId="46" fontId="15" fillId="22" borderId="9" xfId="0" applyNumberFormat="1" applyFont="1" applyFill="1" applyBorder="1" applyAlignment="1">
      <alignment horizontal="center" vertical="center" wrapText="1"/>
    </xf>
    <xf numFmtId="46" fontId="15" fillId="22" borderId="7" xfId="0" applyNumberFormat="1" applyFont="1" applyFill="1" applyBorder="1" applyAlignment="1">
      <alignment horizontal="center" vertical="center" wrapText="1"/>
    </xf>
    <xf numFmtId="46" fontId="2" fillId="0" borderId="11" xfId="0" applyNumberFormat="1" applyFont="1" applyBorder="1" applyAlignment="1">
      <alignment horizontal="center" vertical="center" wrapText="1"/>
    </xf>
    <xf numFmtId="46" fontId="4" fillId="0" borderId="10" xfId="0" applyNumberFormat="1" applyFont="1" applyBorder="1" applyAlignment="1">
      <alignment horizontal="center" vertical="center" wrapText="1"/>
    </xf>
    <xf numFmtId="46" fontId="4" fillId="0" borderId="11" xfId="0" applyNumberFormat="1" applyFont="1" applyBorder="1" applyAlignment="1">
      <alignment horizontal="center" vertical="center" wrapText="1"/>
    </xf>
    <xf numFmtId="164" fontId="2" fillId="0" borderId="15" xfId="0" applyNumberFormat="1" applyFont="1" applyBorder="1" applyAlignment="1">
      <alignment horizontal="center" vertical="center" wrapText="1"/>
    </xf>
    <xf numFmtId="164" fontId="2" fillId="0" borderId="13" xfId="0" applyNumberFormat="1" applyFont="1" applyBorder="1" applyAlignment="1">
      <alignment horizontal="center" vertical="center" wrapText="1"/>
    </xf>
    <xf numFmtId="46" fontId="2" fillId="0" borderId="7" xfId="0" applyNumberFormat="1" applyFont="1" applyBorder="1" applyAlignment="1">
      <alignment horizontal="center" vertical="center" wrapText="1"/>
    </xf>
    <xf numFmtId="164" fontId="4" fillId="0" borderId="14" xfId="0" applyNumberFormat="1" applyFont="1" applyFill="1" applyBorder="1" applyAlignment="1">
      <alignment horizontal="center" vertical="center" wrapText="1"/>
    </xf>
    <xf numFmtId="164" fontId="4" fillId="0" borderId="9" xfId="0" applyNumberFormat="1" applyFont="1" applyFill="1" applyBorder="1" applyAlignment="1">
      <alignment horizontal="center" vertical="center" wrapText="1"/>
    </xf>
    <xf numFmtId="165" fontId="11" fillId="0" borderId="10" xfId="0" applyNumberFormat="1" applyFont="1" applyBorder="1" applyAlignment="1">
      <alignment horizontal="center" vertical="center" wrapText="1"/>
    </xf>
    <xf numFmtId="165" fontId="11" fillId="0" borderId="11" xfId="0" applyNumberFormat="1" applyFont="1" applyBorder="1" applyAlignment="1">
      <alignment horizontal="center" vertical="center" wrapText="1"/>
    </xf>
    <xf numFmtId="164" fontId="4" fillId="0" borderId="8" xfId="0" applyNumberFormat="1" applyFont="1" applyFill="1" applyBorder="1" applyAlignment="1">
      <alignment horizontal="center" vertical="center" wrapText="1"/>
    </xf>
    <xf numFmtId="164" fontId="4" fillId="0" borderId="7" xfId="0" applyNumberFormat="1" applyFont="1" applyFill="1" applyBorder="1" applyAlignment="1">
      <alignment horizontal="center" vertical="center" wrapText="1"/>
    </xf>
    <xf numFmtId="165" fontId="30" fillId="0" borderId="0" xfId="0" applyNumberFormat="1" applyFont="1" applyAlignment="1">
      <alignment horizontal="center" vertical="center" wrapText="1"/>
    </xf>
    <xf numFmtId="164" fontId="22" fillId="0" borderId="15" xfId="0" applyNumberFormat="1" applyFont="1" applyBorder="1" applyAlignment="1">
      <alignment horizontal="center" vertical="center" wrapText="1"/>
    </xf>
    <xf numFmtId="164" fontId="2" fillId="0" borderId="5" xfId="0" applyNumberFormat="1" applyFont="1" applyBorder="1" applyAlignment="1">
      <alignment horizontal="center" vertical="center" wrapText="1"/>
    </xf>
    <xf numFmtId="165" fontId="2" fillId="11" borderId="10" xfId="0" applyNumberFormat="1" applyFont="1" applyFill="1" applyBorder="1" applyAlignment="1">
      <alignment horizontal="center" vertical="center" wrapText="1"/>
    </xf>
    <xf numFmtId="165" fontId="2" fillId="11" borderId="11" xfId="0" applyNumberFormat="1" applyFont="1" applyFill="1" applyBorder="1" applyAlignment="1">
      <alignment horizontal="center" vertical="center" wrapText="1"/>
    </xf>
    <xf numFmtId="165" fontId="15" fillId="11" borderId="10" xfId="0" applyNumberFormat="1" applyFont="1" applyFill="1" applyBorder="1" applyAlignment="1">
      <alignment horizontal="center" vertical="center" wrapText="1"/>
    </xf>
    <xf numFmtId="165" fontId="15" fillId="11" borderId="11" xfId="0" applyNumberFormat="1" applyFont="1" applyFill="1" applyBorder="1" applyAlignment="1">
      <alignment horizontal="center" vertical="center" wrapText="1"/>
    </xf>
    <xf numFmtId="165" fontId="30" fillId="0" borderId="15" xfId="0" applyNumberFormat="1" applyFont="1" applyBorder="1" applyAlignment="1">
      <alignment horizontal="center" vertical="center" wrapText="1"/>
    </xf>
    <xf numFmtId="9" fontId="15" fillId="11" borderId="5" xfId="0" applyNumberFormat="1" applyFont="1" applyFill="1" applyBorder="1" applyAlignment="1">
      <alignment horizontal="center" vertical="center" wrapText="1"/>
    </xf>
    <xf numFmtId="46" fontId="15" fillId="11" borderId="5" xfId="0" applyNumberFormat="1" applyFont="1" applyFill="1" applyBorder="1" applyAlignment="1">
      <alignment horizontal="center" vertical="center" wrapText="1"/>
    </xf>
    <xf numFmtId="46" fontId="15" fillId="0" borderId="9" xfId="0" applyNumberFormat="1" applyFont="1" applyBorder="1" applyAlignment="1">
      <alignment horizontal="center" vertical="center" wrapText="1"/>
    </xf>
    <xf numFmtId="46" fontId="15" fillId="0" borderId="7" xfId="0" applyNumberFormat="1" applyFont="1" applyBorder="1" applyAlignment="1">
      <alignment horizontal="center" vertical="center" wrapText="1"/>
    </xf>
    <xf numFmtId="164" fontId="15" fillId="0" borderId="10" xfId="0" applyNumberFormat="1" applyFont="1" applyBorder="1" applyAlignment="1">
      <alignment horizontal="center" vertical="center" wrapText="1"/>
    </xf>
    <xf numFmtId="164" fontId="15" fillId="0" borderId="11" xfId="0" applyNumberFormat="1" applyFont="1" applyBorder="1" applyAlignment="1">
      <alignment horizontal="center" vertical="center" wrapText="1"/>
    </xf>
    <xf numFmtId="164" fontId="15" fillId="0" borderId="8" xfId="0" applyNumberFormat="1" applyFont="1" applyBorder="1" applyAlignment="1">
      <alignment horizontal="center" vertical="center" wrapText="1"/>
    </xf>
    <xf numFmtId="164" fontId="15" fillId="0" borderId="2" xfId="0" applyNumberFormat="1" applyFont="1" applyBorder="1" applyAlignment="1">
      <alignment horizontal="center" vertical="center" wrapText="1"/>
    </xf>
    <xf numFmtId="164" fontId="15" fillId="0" borderId="9" xfId="0" applyNumberFormat="1" applyFont="1" applyBorder="1" applyAlignment="1">
      <alignment horizontal="center" vertical="center" wrapText="1"/>
    </xf>
    <xf numFmtId="164" fontId="15" fillId="0" borderId="7" xfId="0" applyNumberFormat="1" applyFont="1" applyBorder="1" applyAlignment="1">
      <alignment horizontal="center" vertical="center" wrapText="1"/>
    </xf>
    <xf numFmtId="164" fontId="15" fillId="0" borderId="14" xfId="0" applyNumberFormat="1" applyFont="1" applyFill="1" applyBorder="1" applyAlignment="1">
      <alignment horizontal="center" vertical="center" wrapText="1"/>
    </xf>
    <xf numFmtId="164" fontId="15" fillId="0" borderId="8" xfId="0" applyNumberFormat="1" applyFont="1" applyFill="1" applyBorder="1" applyAlignment="1">
      <alignment horizontal="center" vertical="center" wrapText="1"/>
    </xf>
    <xf numFmtId="164" fontId="15" fillId="0" borderId="9" xfId="0" applyNumberFormat="1" applyFont="1" applyFill="1" applyBorder="1" applyAlignment="1">
      <alignment horizontal="center" vertical="center" wrapText="1"/>
    </xf>
    <xf numFmtId="164" fontId="15" fillId="22" borderId="5" xfId="0" applyNumberFormat="1" applyFont="1" applyFill="1" applyBorder="1" applyAlignment="1">
      <alignment horizontal="center" vertical="center" wrapText="1"/>
    </xf>
    <xf numFmtId="164" fontId="15" fillId="22" borderId="11" xfId="0" applyNumberFormat="1" applyFont="1" applyFill="1" applyBorder="1" applyAlignment="1">
      <alignment horizontal="center" vertical="center" wrapText="1"/>
    </xf>
    <xf numFmtId="164" fontId="11" fillId="22" borderId="5" xfId="0" applyNumberFormat="1" applyFont="1" applyFill="1" applyBorder="1" applyAlignment="1">
      <alignment horizontal="center" vertical="center" wrapText="1"/>
    </xf>
    <xf numFmtId="164" fontId="11" fillId="22" borderId="11" xfId="0" applyNumberFormat="1" applyFont="1" applyFill="1" applyBorder="1" applyAlignment="1">
      <alignment horizontal="center" vertical="center" wrapText="1"/>
    </xf>
    <xf numFmtId="9" fontId="2" fillId="0" borderId="15" xfId="0" applyNumberFormat="1" applyFont="1" applyFill="1" applyBorder="1" applyAlignment="1">
      <alignment horizontal="center" vertical="center" wrapText="1"/>
    </xf>
    <xf numFmtId="9" fontId="2" fillId="0" borderId="13" xfId="0" applyNumberFormat="1" applyFont="1" applyFill="1" applyBorder="1" applyAlignment="1">
      <alignment horizontal="center" vertical="center" wrapText="1"/>
    </xf>
    <xf numFmtId="46" fontId="2" fillId="0" borderId="1" xfId="0" applyNumberFormat="1" applyFont="1" applyFill="1" applyBorder="1" applyAlignment="1">
      <alignment horizontal="center" vertical="center" wrapText="1"/>
    </xf>
    <xf numFmtId="46" fontId="2" fillId="0" borderId="7" xfId="0" applyNumberFormat="1" applyFont="1" applyFill="1" applyBorder="1" applyAlignment="1">
      <alignment horizontal="center" vertical="center" wrapText="1"/>
    </xf>
    <xf numFmtId="164" fontId="2" fillId="0" borderId="1" xfId="0" applyNumberFormat="1" applyFont="1" applyFill="1" applyBorder="1" applyAlignment="1">
      <alignment horizontal="center" vertical="center" wrapText="1"/>
    </xf>
    <xf numFmtId="164" fontId="2" fillId="0" borderId="7" xfId="0" applyNumberFormat="1" applyFont="1" applyFill="1" applyBorder="1" applyAlignment="1">
      <alignment horizontal="center" vertical="center" wrapText="1"/>
    </xf>
    <xf numFmtId="164" fontId="2" fillId="0" borderId="5" xfId="0" applyNumberFormat="1" applyFont="1" applyFill="1" applyBorder="1" applyAlignment="1">
      <alignment horizontal="center" vertical="center" wrapText="1"/>
    </xf>
    <xf numFmtId="164" fontId="2" fillId="0" borderId="3" xfId="0" applyNumberFormat="1" applyFont="1" applyFill="1" applyBorder="1" applyAlignment="1">
      <alignment horizontal="center" vertical="center" wrapText="1"/>
    </xf>
    <xf numFmtId="164" fontId="2" fillId="0" borderId="4" xfId="0" applyNumberFormat="1" applyFont="1" applyFill="1" applyBorder="1" applyAlignment="1">
      <alignment horizontal="center" vertical="center" wrapText="1"/>
    </xf>
    <xf numFmtId="164" fontId="2" fillId="0" borderId="6" xfId="0" applyNumberFormat="1" applyFont="1" applyFill="1" applyBorder="1" applyAlignment="1">
      <alignment horizontal="center" vertical="center" wrapText="1"/>
    </xf>
    <xf numFmtId="164" fontId="2" fillId="0" borderId="7" xfId="0" applyNumberFormat="1" applyFont="1" applyBorder="1" applyAlignment="1">
      <alignment horizontal="center" vertical="center" wrapText="1"/>
    </xf>
    <xf numFmtId="164" fontId="2" fillId="0" borderId="12" xfId="0" applyNumberFormat="1" applyFont="1" applyBorder="1" applyAlignment="1">
      <alignment horizontal="center" vertical="center" wrapText="1"/>
    </xf>
    <xf numFmtId="164" fontId="2" fillId="0" borderId="15" xfId="0" applyNumberFormat="1" applyFont="1" applyFill="1" applyBorder="1" applyAlignment="1">
      <alignment horizontal="center" vertical="center" wrapText="1"/>
    </xf>
    <xf numFmtId="164" fontId="2" fillId="0" borderId="13" xfId="0" applyNumberFormat="1" applyFont="1" applyFill="1" applyBorder="1" applyAlignment="1">
      <alignment horizontal="center" vertical="center" wrapText="1"/>
    </xf>
    <xf numFmtId="166" fontId="2" fillId="0" borderId="9" xfId="0" applyNumberFormat="1" applyFont="1" applyBorder="1" applyAlignment="1">
      <alignment horizontal="center" vertical="center" wrapText="1"/>
    </xf>
    <xf numFmtId="166" fontId="2" fillId="0" borderId="7" xfId="0" applyNumberFormat="1" applyFont="1" applyBorder="1" applyAlignment="1">
      <alignment horizontal="center" vertical="center" wrapText="1"/>
    </xf>
    <xf numFmtId="46" fontId="15" fillId="9" borderId="10" xfId="0" applyNumberFormat="1" applyFont="1" applyFill="1" applyBorder="1" applyAlignment="1">
      <alignment horizontal="left" vertical="center" wrapText="1"/>
    </xf>
    <xf numFmtId="46" fontId="15" fillId="9" borderId="11" xfId="0" applyNumberFormat="1" applyFont="1" applyFill="1" applyBorder="1" applyAlignment="1">
      <alignment horizontal="left" vertical="center" wrapText="1"/>
    </xf>
    <xf numFmtId="46" fontId="4" fillId="0" borderId="10" xfId="0" applyNumberFormat="1" applyFont="1" applyFill="1" applyBorder="1" applyAlignment="1">
      <alignment horizontal="center" vertical="center" wrapText="1"/>
    </xf>
    <xf numFmtId="46" fontId="4" fillId="0" borderId="11" xfId="0" applyNumberFormat="1" applyFont="1" applyFill="1" applyBorder="1" applyAlignment="1">
      <alignment horizontal="center" vertical="center" wrapText="1"/>
    </xf>
    <xf numFmtId="46" fontId="4" fillId="0" borderId="9" xfId="0" applyNumberFormat="1" applyFont="1" applyFill="1" applyBorder="1" applyAlignment="1">
      <alignment horizontal="center" vertical="center" wrapText="1"/>
    </xf>
    <xf numFmtId="46" fontId="4" fillId="0" borderId="7" xfId="0" applyNumberFormat="1" applyFont="1" applyFill="1" applyBorder="1" applyAlignment="1">
      <alignment horizontal="center" vertical="center" wrapText="1"/>
    </xf>
    <xf numFmtId="9" fontId="4" fillId="0" borderId="9" xfId="0" applyNumberFormat="1" applyFont="1" applyFill="1" applyBorder="1" applyAlignment="1">
      <alignment horizontal="center" vertical="center" wrapText="1"/>
    </xf>
    <xf numFmtId="46" fontId="4" fillId="0" borderId="2" xfId="0" applyNumberFormat="1" applyFont="1" applyFill="1" applyBorder="1" applyAlignment="1">
      <alignment horizontal="center" vertical="center" wrapText="1"/>
    </xf>
    <xf numFmtId="46" fontId="10" fillId="0" borderId="9" xfId="0" applyNumberFormat="1" applyFont="1" applyFill="1" applyBorder="1" applyAlignment="1">
      <alignment horizontal="left" vertical="center" wrapText="1"/>
    </xf>
    <xf numFmtId="46" fontId="10" fillId="0" borderId="7" xfId="0" applyNumberFormat="1" applyFont="1" applyFill="1" applyBorder="1" applyAlignment="1">
      <alignment horizontal="left" vertical="center" wrapText="1"/>
    </xf>
    <xf numFmtId="46" fontId="2" fillId="0" borderId="15" xfId="0" applyNumberFormat="1" applyFont="1" applyBorder="1" applyAlignment="1">
      <alignment horizontal="center" vertical="center" wrapText="1"/>
    </xf>
    <xf numFmtId="46" fontId="2" fillId="0" borderId="0" xfId="0" applyNumberFormat="1" applyFont="1" applyBorder="1" applyAlignment="1">
      <alignment horizontal="center" vertical="center" wrapText="1"/>
    </xf>
    <xf numFmtId="46" fontId="2" fillId="0" borderId="13" xfId="0" applyNumberFormat="1" applyFont="1" applyBorder="1" applyAlignment="1">
      <alignment horizontal="center" vertical="center" wrapText="1"/>
    </xf>
    <xf numFmtId="46" fontId="2" fillId="0" borderId="2" xfId="0" applyNumberFormat="1" applyFont="1" applyBorder="1" applyAlignment="1">
      <alignment horizontal="center" vertical="center" wrapText="1"/>
    </xf>
    <xf numFmtId="166" fontId="2" fillId="0" borderId="0" xfId="0" applyNumberFormat="1" applyFont="1" applyAlignment="1">
      <alignment horizontal="center" vertical="center" wrapText="1"/>
    </xf>
    <xf numFmtId="46" fontId="2" fillId="0" borderId="5" xfId="0" applyNumberFormat="1" applyFont="1" applyBorder="1" applyAlignment="1">
      <alignment horizontal="center" vertical="center" wrapText="1"/>
    </xf>
    <xf numFmtId="9" fontId="18" fillId="13" borderId="9" xfId="0" applyNumberFormat="1" applyFont="1" applyFill="1" applyBorder="1" applyAlignment="1">
      <alignment horizontal="center" vertical="center" wrapText="1"/>
    </xf>
    <xf numFmtId="9" fontId="18" fillId="13" borderId="7" xfId="0" applyNumberFormat="1" applyFont="1" applyFill="1" applyBorder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46" fontId="2" fillId="0" borderId="3" xfId="0" applyNumberFormat="1" applyFont="1" applyBorder="1" applyAlignment="1">
      <alignment horizontal="center" vertical="center" wrapText="1"/>
    </xf>
    <xf numFmtId="46" fontId="2" fillId="0" borderId="4" xfId="0" applyNumberFormat="1" applyFont="1" applyBorder="1" applyAlignment="1">
      <alignment horizontal="center" vertical="center" wrapText="1"/>
    </xf>
    <xf numFmtId="46" fontId="2" fillId="0" borderId="6" xfId="0" applyNumberFormat="1" applyFont="1" applyBorder="1" applyAlignment="1">
      <alignment horizontal="center" vertical="center" wrapText="1"/>
    </xf>
    <xf numFmtId="165" fontId="15" fillId="0" borderId="4" xfId="0" applyNumberFormat="1" applyFont="1" applyBorder="1" applyAlignment="1">
      <alignment horizontal="center" vertical="center" wrapText="1"/>
    </xf>
    <xf numFmtId="165" fontId="15" fillId="0" borderId="6" xfId="0" applyNumberFormat="1" applyFont="1" applyBorder="1" applyAlignment="1">
      <alignment horizontal="center" vertical="center" wrapText="1"/>
    </xf>
    <xf numFmtId="172" fontId="2" fillId="0" borderId="9" xfId="0" applyNumberFormat="1" applyFont="1" applyBorder="1" applyAlignment="1">
      <alignment horizontal="center" vertical="center" wrapText="1"/>
    </xf>
    <xf numFmtId="172" fontId="2" fillId="0" borderId="7" xfId="0" applyNumberFormat="1" applyFont="1" applyBorder="1" applyAlignment="1">
      <alignment horizontal="center" vertical="center" wrapText="1"/>
    </xf>
    <xf numFmtId="9" fontId="2" fillId="0" borderId="0" xfId="0" applyNumberFormat="1" applyFont="1" applyBorder="1" applyAlignment="1">
      <alignment horizontal="center" vertical="center" wrapText="1"/>
    </xf>
    <xf numFmtId="9" fontId="11" fillId="13" borderId="9" xfId="0" applyNumberFormat="1" applyFont="1" applyFill="1" applyBorder="1" applyAlignment="1">
      <alignment horizontal="center" vertical="center" wrapText="1"/>
    </xf>
    <xf numFmtId="9" fontId="11" fillId="13" borderId="7" xfId="0" applyNumberFormat="1" applyFont="1" applyFill="1" applyBorder="1" applyAlignment="1">
      <alignment horizontal="center" vertical="center" wrapText="1"/>
    </xf>
    <xf numFmtId="164" fontId="11" fillId="13" borderId="8" xfId="0" applyNumberFormat="1" applyFont="1" applyFill="1" applyBorder="1" applyAlignment="1">
      <alignment horizontal="center" vertical="center" wrapText="1"/>
    </xf>
    <xf numFmtId="164" fontId="11" fillId="13" borderId="2" xfId="0" applyNumberFormat="1" applyFont="1" applyFill="1" applyBorder="1" applyAlignment="1">
      <alignment horizontal="center" vertical="center" wrapText="1"/>
    </xf>
    <xf numFmtId="165" fontId="2" fillId="0" borderId="8" xfId="0" applyNumberFormat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 wrapText="1"/>
    </xf>
    <xf numFmtId="164" fontId="18" fillId="0" borderId="8" xfId="0" applyNumberFormat="1" applyFont="1" applyFill="1" applyBorder="1" applyAlignment="1">
      <alignment horizontal="center" vertical="center" wrapText="1"/>
    </xf>
    <xf numFmtId="164" fontId="18" fillId="0" borderId="2" xfId="0" applyNumberFormat="1" applyFont="1" applyFill="1" applyBorder="1" applyAlignment="1">
      <alignment horizontal="center" vertical="center" wrapText="1"/>
    </xf>
    <xf numFmtId="164" fontId="2" fillId="0" borderId="14" xfId="0" applyNumberFormat="1" applyFont="1" applyFill="1" applyBorder="1" applyAlignment="1">
      <alignment horizontal="center" vertical="center" wrapText="1"/>
    </xf>
    <xf numFmtId="46" fontId="2" fillId="0" borderId="9" xfId="0" applyNumberFormat="1" applyFont="1" applyFill="1" applyBorder="1" applyAlignment="1">
      <alignment horizontal="center" vertical="center" wrapText="1"/>
    </xf>
    <xf numFmtId="46" fontId="2" fillId="0" borderId="0" xfId="0" applyNumberFormat="1" applyFont="1" applyAlignment="1">
      <alignment horizontal="center" vertical="center" wrapText="1"/>
    </xf>
    <xf numFmtId="164" fontId="2" fillId="7" borderId="5" xfId="0" applyNumberFormat="1" applyFont="1" applyFill="1" applyBorder="1" applyAlignment="1">
      <alignment horizontal="center" vertical="center" wrapText="1"/>
    </xf>
    <xf numFmtId="164" fontId="2" fillId="8" borderId="3" xfId="0" applyNumberFormat="1" applyFont="1" applyFill="1" applyBorder="1" applyAlignment="1">
      <alignment horizontal="center" vertical="center" wrapText="1"/>
    </xf>
    <xf numFmtId="164" fontId="2" fillId="8" borderId="4" xfId="0" applyNumberFormat="1" applyFont="1" applyFill="1" applyBorder="1" applyAlignment="1">
      <alignment horizontal="center" vertical="center" wrapText="1"/>
    </xf>
    <xf numFmtId="164" fontId="2" fillId="8" borderId="6" xfId="0" applyNumberFormat="1" applyFont="1" applyFill="1" applyBorder="1" applyAlignment="1">
      <alignment horizontal="center" vertical="center" wrapText="1"/>
    </xf>
    <xf numFmtId="164" fontId="2" fillId="0" borderId="18" xfId="0" applyNumberFormat="1" applyFont="1" applyBorder="1" applyAlignment="1">
      <alignment horizontal="center" vertical="center" wrapText="1"/>
    </xf>
    <xf numFmtId="164" fontId="2" fillId="0" borderId="16" xfId="0" applyNumberFormat="1" applyFont="1" applyBorder="1" applyAlignment="1">
      <alignment horizontal="center" vertical="center" wrapText="1"/>
    </xf>
    <xf numFmtId="164" fontId="2" fillId="8" borderId="5" xfId="0" applyNumberFormat="1" applyFont="1" applyFill="1" applyBorder="1" applyAlignment="1">
      <alignment horizontal="center" vertical="center" wrapText="1"/>
    </xf>
    <xf numFmtId="164" fontId="2" fillId="7" borderId="3" xfId="0" applyNumberFormat="1" applyFont="1" applyFill="1" applyBorder="1" applyAlignment="1">
      <alignment horizontal="center" vertical="center" wrapText="1"/>
    </xf>
    <xf numFmtId="164" fontId="2" fillId="7" borderId="4" xfId="0" applyNumberFormat="1" applyFont="1" applyFill="1" applyBorder="1" applyAlignment="1">
      <alignment horizontal="center" vertical="center" wrapText="1"/>
    </xf>
    <xf numFmtId="164" fontId="2" fillId="7" borderId="6" xfId="0" applyNumberFormat="1" applyFont="1" applyFill="1" applyBorder="1" applyAlignment="1">
      <alignment horizontal="center" vertical="center" wrapText="1"/>
    </xf>
    <xf numFmtId="165" fontId="2" fillId="5" borderId="10" xfId="0" applyNumberFormat="1" applyFont="1" applyFill="1" applyBorder="1" applyAlignment="1">
      <alignment horizontal="center" vertical="center" wrapText="1"/>
    </xf>
    <xf numFmtId="165" fontId="2" fillId="5" borderId="11" xfId="0" applyNumberFormat="1" applyFont="1" applyFill="1" applyBorder="1" applyAlignment="1">
      <alignment horizontal="center" vertical="center" wrapText="1"/>
    </xf>
    <xf numFmtId="164" fontId="2" fillId="5" borderId="10" xfId="0" applyNumberFormat="1" applyFont="1" applyFill="1" applyBorder="1" applyAlignment="1">
      <alignment horizontal="center" vertical="center" wrapText="1"/>
    </xf>
    <xf numFmtId="164" fontId="2" fillId="5" borderId="11" xfId="0" applyNumberFormat="1" applyFont="1" applyFill="1" applyBorder="1" applyAlignment="1">
      <alignment horizontal="center" vertical="center" wrapText="1"/>
    </xf>
    <xf numFmtId="164" fontId="2" fillId="5" borderId="5" xfId="0" applyNumberFormat="1" applyFont="1" applyFill="1" applyBorder="1" applyAlignment="1">
      <alignment horizontal="center" vertical="center" wrapText="1"/>
    </xf>
    <xf numFmtId="167" fontId="2" fillId="0" borderId="6" xfId="0" applyNumberFormat="1" applyFont="1" applyBorder="1" applyAlignment="1">
      <alignment horizontal="center" vertical="center" wrapText="1"/>
    </xf>
    <xf numFmtId="167" fontId="2" fillId="0" borderId="5" xfId="0" applyNumberFormat="1" applyFont="1" applyBorder="1" applyAlignment="1">
      <alignment horizontal="center" vertical="center" wrapText="1"/>
    </xf>
    <xf numFmtId="164" fontId="2" fillId="7" borderId="14" xfId="0" applyNumberFormat="1" applyFont="1" applyFill="1" applyBorder="1" applyAlignment="1">
      <alignment horizontal="center" vertical="center" wrapText="1"/>
    </xf>
    <xf numFmtId="164" fontId="2" fillId="7" borderId="9" xfId="0" applyNumberFormat="1" applyFont="1" applyFill="1" applyBorder="1" applyAlignment="1">
      <alignment horizontal="center" vertical="center" wrapText="1"/>
    </xf>
    <xf numFmtId="9" fontId="11" fillId="0" borderId="0" xfId="0" applyNumberFormat="1" applyFont="1" applyAlignment="1">
      <alignment horizontal="right" vertical="center" wrapText="1"/>
    </xf>
    <xf numFmtId="10" fontId="2" fillId="0" borderId="0" xfId="0" applyNumberFormat="1" applyFont="1" applyAlignment="1">
      <alignment horizontal="center" vertical="center" wrapText="1"/>
    </xf>
    <xf numFmtId="10" fontId="2" fillId="0" borderId="14" xfId="0" applyNumberFormat="1" applyFont="1" applyBorder="1" applyAlignment="1">
      <alignment horizontal="center" vertical="center" wrapText="1"/>
    </xf>
    <xf numFmtId="10" fontId="2" fillId="0" borderId="9" xfId="0" applyNumberFormat="1" applyFont="1" applyBorder="1" applyAlignment="1">
      <alignment horizontal="center" vertical="center" wrapText="1"/>
    </xf>
    <xf numFmtId="164" fontId="15" fillId="22" borderId="9" xfId="0" applyNumberFormat="1" applyFont="1" applyFill="1" applyBorder="1" applyAlignment="1">
      <alignment horizontal="center" vertical="center" wrapText="1"/>
    </xf>
    <xf numFmtId="164" fontId="15" fillId="22" borderId="7" xfId="0" applyNumberFormat="1" applyFont="1" applyFill="1" applyBorder="1" applyAlignment="1">
      <alignment horizontal="center" vertical="center" wrapText="1"/>
    </xf>
    <xf numFmtId="164" fontId="15" fillId="0" borderId="14" xfId="0" applyNumberFormat="1" applyFont="1" applyBorder="1" applyAlignment="1">
      <alignment horizontal="center" vertical="center" wrapText="1"/>
    </xf>
    <xf numFmtId="164" fontId="15" fillId="0" borderId="13" xfId="0" applyNumberFormat="1" applyFont="1" applyBorder="1" applyAlignment="1">
      <alignment horizontal="center" vertical="center" wrapText="1"/>
    </xf>
    <xf numFmtId="46" fontId="15" fillId="22" borderId="10" xfId="0" applyNumberFormat="1" applyFont="1" applyFill="1" applyBorder="1" applyAlignment="1">
      <alignment horizontal="center" vertical="center" wrapText="1"/>
    </xf>
    <xf numFmtId="46" fontId="15" fillId="22" borderId="11" xfId="0" applyNumberFormat="1" applyFont="1" applyFill="1" applyBorder="1" applyAlignment="1">
      <alignment horizontal="center" vertical="center" wrapText="1"/>
    </xf>
    <xf numFmtId="9" fontId="2" fillId="23" borderId="9" xfId="0" applyNumberFormat="1" applyFont="1" applyFill="1" applyBorder="1" applyAlignment="1">
      <alignment horizontal="center" vertical="center" wrapText="1"/>
    </xf>
    <xf numFmtId="9" fontId="2" fillId="23" borderId="7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50">
    <dxf>
      <font>
        <color theme="0"/>
      </font>
      <fill>
        <patternFill>
          <bgColor rgb="FF9966FF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rgb="FF3399FF"/>
        </patternFill>
      </fill>
    </dxf>
    <dxf>
      <font>
        <color theme="0"/>
      </font>
      <fill>
        <patternFill>
          <bgColor rgb="FF000066"/>
        </patternFill>
      </fill>
    </dxf>
    <dxf>
      <font>
        <color theme="0"/>
      </font>
      <fill>
        <patternFill>
          <bgColor rgb="FF0000FF"/>
        </patternFill>
      </fill>
    </dxf>
    <dxf>
      <font>
        <color theme="0"/>
      </font>
      <fill>
        <patternFill>
          <bgColor rgb="FF008000"/>
        </patternFill>
      </fill>
    </dxf>
    <dxf>
      <fill>
        <patternFill>
          <bgColor rgb="FFFF9933"/>
        </patternFill>
      </fill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FFFF99"/>
        </patternFill>
      </fill>
    </dxf>
    <dxf>
      <fill>
        <patternFill>
          <bgColor rgb="FF99FF99"/>
        </patternFill>
      </fill>
    </dxf>
    <dxf>
      <fill>
        <patternFill patternType="none">
          <bgColor auto="1"/>
        </patternFill>
      </fill>
    </dxf>
    <dxf>
      <fill>
        <patternFill>
          <bgColor rgb="FF66FFFF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rgb="FF3399FF"/>
        </patternFill>
      </fill>
    </dxf>
    <dxf>
      <font>
        <color theme="0"/>
      </font>
      <fill>
        <patternFill>
          <bgColor rgb="FF000066"/>
        </patternFill>
      </fill>
    </dxf>
    <dxf>
      <font>
        <color theme="0"/>
      </font>
      <fill>
        <patternFill>
          <bgColor rgb="FF0000FF"/>
        </patternFill>
      </fill>
    </dxf>
    <dxf>
      <font>
        <color theme="0"/>
      </font>
      <fill>
        <patternFill>
          <bgColor rgb="FF008000"/>
        </patternFill>
      </fill>
    </dxf>
    <dxf>
      <fill>
        <patternFill>
          <bgColor rgb="FFFF9933"/>
        </patternFill>
      </fill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FFFF99"/>
        </patternFill>
      </fill>
    </dxf>
    <dxf>
      <fill>
        <patternFill>
          <bgColor rgb="FF99FF99"/>
        </patternFill>
      </fill>
    </dxf>
    <dxf>
      <fill>
        <patternFill patternType="none">
          <bgColor auto="1"/>
        </patternFill>
      </fill>
    </dxf>
    <dxf>
      <fill>
        <patternFill>
          <bgColor rgb="FF66FFFF"/>
        </patternFill>
      </fill>
    </dxf>
    <dxf>
      <font>
        <color theme="0"/>
      </font>
      <fill>
        <patternFill>
          <bgColor rgb="FF9966FF"/>
        </patternFill>
      </fill>
    </dxf>
    <dxf>
      <font>
        <color theme="0"/>
      </font>
      <fill>
        <patternFill>
          <bgColor rgb="FF9966FF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rgb="FF3399FF"/>
        </patternFill>
      </fill>
    </dxf>
    <dxf>
      <font>
        <color theme="0"/>
      </font>
      <fill>
        <patternFill>
          <bgColor rgb="FF000066"/>
        </patternFill>
      </fill>
    </dxf>
    <dxf>
      <fill>
        <patternFill>
          <bgColor rgb="FFFF9933"/>
        </patternFill>
      </fill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FFFF99"/>
        </patternFill>
      </fill>
    </dxf>
    <dxf>
      <fill>
        <patternFill>
          <bgColor rgb="FF99FF99"/>
        </patternFill>
      </fill>
    </dxf>
    <dxf>
      <fill>
        <patternFill patternType="none">
          <bgColor auto="1"/>
        </patternFill>
      </fill>
    </dxf>
    <dxf>
      <fill>
        <patternFill>
          <bgColor rgb="FF66FFFF"/>
        </patternFill>
      </fill>
    </dxf>
    <dxf>
      <font>
        <color theme="0"/>
      </font>
      <fill>
        <patternFill>
          <bgColor rgb="FF9966FF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rgb="FF3399FF"/>
        </patternFill>
      </fill>
    </dxf>
    <dxf>
      <font>
        <color theme="0"/>
      </font>
      <fill>
        <patternFill>
          <bgColor rgb="FF000066"/>
        </patternFill>
      </fill>
    </dxf>
    <dxf>
      <font>
        <color theme="0"/>
      </font>
      <fill>
        <patternFill>
          <bgColor rgb="FF0000FF"/>
        </patternFill>
      </fill>
    </dxf>
    <dxf>
      <font>
        <color theme="0"/>
      </font>
      <fill>
        <patternFill>
          <bgColor rgb="FF008000"/>
        </patternFill>
      </fill>
    </dxf>
    <dxf>
      <fill>
        <patternFill>
          <bgColor rgb="FFFF9933"/>
        </patternFill>
      </fill>
    </dxf>
    <dxf>
      <fill>
        <patternFill>
          <bgColor rgb="FFFFCC99"/>
        </patternFill>
      </fill>
    </dxf>
    <dxf>
      <fill>
        <patternFill>
          <bgColor rgb="FFFF99FF"/>
        </patternFill>
      </fill>
    </dxf>
    <dxf>
      <fill>
        <patternFill>
          <bgColor rgb="FFFFFF99"/>
        </patternFill>
      </fill>
    </dxf>
    <dxf>
      <fill>
        <patternFill>
          <bgColor rgb="FF99FF99"/>
        </patternFill>
      </fill>
    </dxf>
    <dxf>
      <fill>
        <patternFill patternType="none">
          <bgColor auto="1"/>
        </patternFill>
      </fill>
    </dxf>
    <dxf>
      <fill>
        <patternFill>
          <bgColor rgb="FF66FFFF"/>
        </patternFill>
      </fill>
    </dxf>
  </dxfs>
  <tableStyles count="0" defaultTableStyle="TableStyleMedium9" defaultPivotStyle="PivotStyleLight16"/>
  <colors>
    <mruColors>
      <color rgb="FFFFFF99"/>
      <color rgb="FFFF99FF"/>
      <color rgb="FF99CC00"/>
      <color rgb="FF669900"/>
      <color rgb="FF006600"/>
      <color rgb="FF008000"/>
      <color rgb="FF339933"/>
      <color rgb="FF33CC33"/>
      <color rgb="FF000099"/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361828829531015"/>
          <c:y val="3.9266216717480006E-2"/>
          <c:w val="0.88765629104299759"/>
          <c:h val="0.81321389174179259"/>
        </c:manualLayout>
      </c:layout>
      <c:barChart>
        <c:barDir val="col"/>
        <c:grouping val="stacked"/>
        <c:varyColors val="0"/>
        <c:ser>
          <c:idx val="0"/>
          <c:order val="0"/>
          <c:tx>
            <c:v>Saved Time</c:v>
          </c:tx>
          <c:invertIfNegative val="0"/>
          <c:val>
            <c:numRef>
              <c:f>'Construction Sequence'!$AJ$4:$AJ$241</c:f>
              <c:numCache>
                <c:formatCode>[h]:mm:ss</c:formatCode>
                <c:ptCount val="238"/>
                <c:pt idx="0">
                  <c:v>6.9444444444444447E-4</c:v>
                </c:pt>
                <c:pt idx="1">
                  <c:v>3.2407407407407406E-3</c:v>
                </c:pt>
                <c:pt idx="2">
                  <c:v>6.9444444444444447E-4</c:v>
                </c:pt>
                <c:pt idx="3">
                  <c:v>1.1574074074074073E-3</c:v>
                </c:pt>
                <c:pt idx="4">
                  <c:v>1.0416666666666667E-3</c:v>
                </c:pt>
                <c:pt idx="5">
                  <c:v>1.3888888888888889E-3</c:v>
                </c:pt>
                <c:pt idx="6">
                  <c:v>2.4305555555555556E-3</c:v>
                </c:pt>
                <c:pt idx="7">
                  <c:v>1.0416666666666666E-2</c:v>
                </c:pt>
                <c:pt idx="8">
                  <c:v>2.7777777777777779E-3</c:v>
                </c:pt>
                <c:pt idx="9">
                  <c:v>2.7777777777777776E-2</c:v>
                </c:pt>
                <c:pt idx="10">
                  <c:v>5.5555555555555558E-3</c:v>
                </c:pt>
                <c:pt idx="11">
                  <c:v>4.8611111111111112E-3</c:v>
                </c:pt>
                <c:pt idx="12">
                  <c:v>6.9444444444444447E-4</c:v>
                </c:pt>
                <c:pt idx="13">
                  <c:v>6.9444444444444447E-4</c:v>
                </c:pt>
                <c:pt idx="14">
                  <c:v>6.9444444444444447E-4</c:v>
                </c:pt>
                <c:pt idx="15">
                  <c:v>8.6805555555555551E-4</c:v>
                </c:pt>
                <c:pt idx="16">
                  <c:v>1.1574074074074073E-3</c:v>
                </c:pt>
                <c:pt idx="17">
                  <c:v>1.1574074074074073E-3</c:v>
                </c:pt>
                <c:pt idx="18">
                  <c:v>1.3888888888888889E-3</c:v>
                </c:pt>
                <c:pt idx="19">
                  <c:v>1.6203703703703703E-3</c:v>
                </c:pt>
                <c:pt idx="20">
                  <c:v>1.8518518518518517E-3</c:v>
                </c:pt>
                <c:pt idx="21">
                  <c:v>2.3148148148148151E-3</c:v>
                </c:pt>
                <c:pt idx="22">
                  <c:v>2.0833333333333333E-3</c:v>
                </c:pt>
                <c:pt idx="23">
                  <c:v>6.9444444444444447E-4</c:v>
                </c:pt>
                <c:pt idx="24">
                  <c:v>6.9444444444444447E-4</c:v>
                </c:pt>
                <c:pt idx="25">
                  <c:v>6.9444444444444447E-4</c:v>
                </c:pt>
                <c:pt idx="26">
                  <c:v>1.6203703703703703E-3</c:v>
                </c:pt>
                <c:pt idx="27">
                  <c:v>2.3148148148148151E-3</c:v>
                </c:pt>
                <c:pt idx="28">
                  <c:v>4.6296296296296302E-3</c:v>
                </c:pt>
                <c:pt idx="29">
                  <c:v>1.1574074074074073E-3</c:v>
                </c:pt>
                <c:pt idx="30">
                  <c:v>2.3148148148148151E-3</c:v>
                </c:pt>
                <c:pt idx="31">
                  <c:v>4.6296296296296302E-3</c:v>
                </c:pt>
                <c:pt idx="32">
                  <c:v>1.0416666666666667E-3</c:v>
                </c:pt>
                <c:pt idx="33">
                  <c:v>2.0833333333333333E-3</c:v>
                </c:pt>
                <c:pt idx="34">
                  <c:v>6.9444444444444447E-4</c:v>
                </c:pt>
                <c:pt idx="35">
                  <c:v>6.9444444444444447E-4</c:v>
                </c:pt>
                <c:pt idx="36">
                  <c:v>6.9444444444444447E-4</c:v>
                </c:pt>
                <c:pt idx="37">
                  <c:v>1.736111111111111E-3</c:v>
                </c:pt>
                <c:pt idx="38">
                  <c:v>3.2407407407407406E-3</c:v>
                </c:pt>
                <c:pt idx="39">
                  <c:v>3.7037037037037034E-3</c:v>
                </c:pt>
                <c:pt idx="40">
                  <c:v>7.4074074074074068E-3</c:v>
                </c:pt>
                <c:pt idx="41">
                  <c:v>1.0374579124579127E-2</c:v>
                </c:pt>
                <c:pt idx="42">
                  <c:v>6.9444444444444447E-4</c:v>
                </c:pt>
                <c:pt idx="43">
                  <c:v>6.9444444444444447E-4</c:v>
                </c:pt>
                <c:pt idx="44">
                  <c:v>6.9444444444444447E-4</c:v>
                </c:pt>
                <c:pt idx="45">
                  <c:v>1.1574074074074073E-3</c:v>
                </c:pt>
                <c:pt idx="46">
                  <c:v>2.3148148148148151E-3</c:v>
                </c:pt>
                <c:pt idx="47">
                  <c:v>6.9444444444444447E-4</c:v>
                </c:pt>
                <c:pt idx="48">
                  <c:v>6.9444444444444447E-4</c:v>
                </c:pt>
                <c:pt idx="49">
                  <c:v>6.9444444444444447E-4</c:v>
                </c:pt>
                <c:pt idx="50">
                  <c:v>2.3148148148148151E-3</c:v>
                </c:pt>
                <c:pt idx="51">
                  <c:v>4.1666666666666666E-3</c:v>
                </c:pt>
                <c:pt idx="52">
                  <c:v>6.4814814814814813E-3</c:v>
                </c:pt>
                <c:pt idx="53">
                  <c:v>8.3333333333333332E-3</c:v>
                </c:pt>
                <c:pt idx="54">
                  <c:v>9.2592592592592605E-3</c:v>
                </c:pt>
                <c:pt idx="55">
                  <c:v>2.7777777777777779E-3</c:v>
                </c:pt>
                <c:pt idx="56">
                  <c:v>6.9444444444444447E-4</c:v>
                </c:pt>
                <c:pt idx="57">
                  <c:v>6.9444444444444447E-4</c:v>
                </c:pt>
                <c:pt idx="58">
                  <c:v>6.9444444444444447E-4</c:v>
                </c:pt>
                <c:pt idx="59">
                  <c:v>4.6296296296296302E-3</c:v>
                </c:pt>
                <c:pt idx="60">
                  <c:v>9.2592592592592605E-3</c:v>
                </c:pt>
                <c:pt idx="61">
                  <c:v>3.472222222222222E-3</c:v>
                </c:pt>
                <c:pt idx="62">
                  <c:v>6.9444444444444441E-3</c:v>
                </c:pt>
                <c:pt idx="63">
                  <c:v>9.7222222222222224E-3</c:v>
                </c:pt>
                <c:pt idx="64">
                  <c:v>5.5555555555555552E-2</c:v>
                </c:pt>
                <c:pt idx="65">
                  <c:v>4.6296296296296302E-3</c:v>
                </c:pt>
                <c:pt idx="66">
                  <c:v>9.2592592592592605E-3</c:v>
                </c:pt>
                <c:pt idx="67">
                  <c:v>4.6296296296296302E-3</c:v>
                </c:pt>
                <c:pt idx="68">
                  <c:v>9.2592592592592605E-3</c:v>
                </c:pt>
                <c:pt idx="69">
                  <c:v>1.8518518518518521E-2</c:v>
                </c:pt>
                <c:pt idx="70">
                  <c:v>1.8518518518518521E-2</c:v>
                </c:pt>
                <c:pt idx="71">
                  <c:v>1.2962962962962963E-2</c:v>
                </c:pt>
                <c:pt idx="72">
                  <c:v>1.0416666666666667E-3</c:v>
                </c:pt>
                <c:pt idx="73">
                  <c:v>1.456855791962175E-2</c:v>
                </c:pt>
                <c:pt idx="74">
                  <c:v>1.3760835303388494E-2</c:v>
                </c:pt>
                <c:pt idx="75">
                  <c:v>1.5376280535855002E-2</c:v>
                </c:pt>
                <c:pt idx="76">
                  <c:v>1.1111111111111112E-2</c:v>
                </c:pt>
                <c:pt idx="77">
                  <c:v>2.944904123982138E-2</c:v>
                </c:pt>
                <c:pt idx="78">
                  <c:v>2.7777777777777776E-2</c:v>
                </c:pt>
                <c:pt idx="79">
                  <c:v>2.1724783293932227E-2</c:v>
                </c:pt>
                <c:pt idx="80">
                  <c:v>1.6878447596532703E-2</c:v>
                </c:pt>
                <c:pt idx="81">
                  <c:v>4.1666666666666666E-3</c:v>
                </c:pt>
                <c:pt idx="82">
                  <c:v>3.2407407407407406E-3</c:v>
                </c:pt>
                <c:pt idx="83">
                  <c:v>1.0416666666666667E-3</c:v>
                </c:pt>
                <c:pt idx="84">
                  <c:v>1.0416666666666667E-3</c:v>
                </c:pt>
                <c:pt idx="85">
                  <c:v>1.0416666666666667E-3</c:v>
                </c:pt>
                <c:pt idx="86">
                  <c:v>1.0416666666666667E-3</c:v>
                </c:pt>
                <c:pt idx="87">
                  <c:v>1.0416666666666667E-3</c:v>
                </c:pt>
                <c:pt idx="88">
                  <c:v>1.0416666666666667E-3</c:v>
                </c:pt>
                <c:pt idx="89">
                  <c:v>5.5555555555555558E-3</c:v>
                </c:pt>
                <c:pt idx="90">
                  <c:v>1.1111111111111112E-2</c:v>
                </c:pt>
                <c:pt idx="91">
                  <c:v>1.6878447596532703E-2</c:v>
                </c:pt>
                <c:pt idx="92">
                  <c:v>8.3333333333333332E-3</c:v>
                </c:pt>
                <c:pt idx="93">
                  <c:v>1.5263002364066193E-2</c:v>
                </c:pt>
                <c:pt idx="94">
                  <c:v>1.7989066193853424E-2</c:v>
                </c:pt>
                <c:pt idx="95">
                  <c:v>3.3333333333333333E-2</c:v>
                </c:pt>
                <c:pt idx="96">
                  <c:v>3.3686301549776726E-2</c:v>
                </c:pt>
                <c:pt idx="97">
                  <c:v>6.4814814814814813E-3</c:v>
                </c:pt>
                <c:pt idx="98">
                  <c:v>1.2962962962962963E-2</c:v>
                </c:pt>
                <c:pt idx="99">
                  <c:v>1.7955411084843706E-2</c:v>
                </c:pt>
                <c:pt idx="100">
                  <c:v>1.5801484108221697E-2</c:v>
                </c:pt>
                <c:pt idx="101">
                  <c:v>1.5801484108221697E-2</c:v>
                </c:pt>
                <c:pt idx="102">
                  <c:v>3.2297412660887835E-2</c:v>
                </c:pt>
                <c:pt idx="103">
                  <c:v>3.0041371158392435E-2</c:v>
                </c:pt>
                <c:pt idx="104">
                  <c:v>8.1018518518518516E-4</c:v>
                </c:pt>
                <c:pt idx="105">
                  <c:v>1.6203703703703703E-3</c:v>
                </c:pt>
                <c:pt idx="106">
                  <c:v>3.2407407407407406E-3</c:v>
                </c:pt>
                <c:pt idx="107">
                  <c:v>6.4814814814814813E-3</c:v>
                </c:pt>
                <c:pt idx="108">
                  <c:v>1.2962962962962963E-2</c:v>
                </c:pt>
                <c:pt idx="109">
                  <c:v>1.3888888888888889E-3</c:v>
                </c:pt>
                <c:pt idx="110">
                  <c:v>1.3888888888888889E-3</c:v>
                </c:pt>
                <c:pt idx="111">
                  <c:v>1.3888888888888889E-3</c:v>
                </c:pt>
                <c:pt idx="112">
                  <c:v>2.7777777777777779E-3</c:v>
                </c:pt>
                <c:pt idx="113">
                  <c:v>2.7777777777777779E-3</c:v>
                </c:pt>
                <c:pt idx="114">
                  <c:v>2.7777777777777779E-3</c:v>
                </c:pt>
                <c:pt idx="115">
                  <c:v>5.5555555555555558E-3</c:v>
                </c:pt>
                <c:pt idx="116">
                  <c:v>5.5555555555555558E-3</c:v>
                </c:pt>
                <c:pt idx="117">
                  <c:v>5.5555555555555558E-3</c:v>
                </c:pt>
                <c:pt idx="118">
                  <c:v>1.1111111111111112E-2</c:v>
                </c:pt>
                <c:pt idx="119">
                  <c:v>1.1111111111111112E-2</c:v>
                </c:pt>
                <c:pt idx="120">
                  <c:v>1.1111111111111112E-2</c:v>
                </c:pt>
                <c:pt idx="121">
                  <c:v>1.1574074074074073E-3</c:v>
                </c:pt>
                <c:pt idx="122">
                  <c:v>1.1574074074074073E-3</c:v>
                </c:pt>
                <c:pt idx="123">
                  <c:v>1.1574074074074073E-3</c:v>
                </c:pt>
                <c:pt idx="124">
                  <c:v>2.3148148148148151E-3</c:v>
                </c:pt>
                <c:pt idx="125">
                  <c:v>2.3148148148148151E-3</c:v>
                </c:pt>
                <c:pt idx="126">
                  <c:v>2.3148148148148151E-3</c:v>
                </c:pt>
                <c:pt idx="127">
                  <c:v>4.6296296296296302E-3</c:v>
                </c:pt>
                <c:pt idx="128">
                  <c:v>4.6296296296296302E-3</c:v>
                </c:pt>
                <c:pt idx="129">
                  <c:v>4.6296296296296302E-3</c:v>
                </c:pt>
                <c:pt idx="130">
                  <c:v>9.2592592592592605E-3</c:v>
                </c:pt>
                <c:pt idx="131">
                  <c:v>9.2592592592592605E-3</c:v>
                </c:pt>
                <c:pt idx="132">
                  <c:v>9.2592592592592605E-3</c:v>
                </c:pt>
                <c:pt idx="133">
                  <c:v>1.6203703703703703E-3</c:v>
                </c:pt>
                <c:pt idx="134">
                  <c:v>1.6203703703703703E-3</c:v>
                </c:pt>
                <c:pt idx="135">
                  <c:v>1.6203703703703703E-3</c:v>
                </c:pt>
                <c:pt idx="136">
                  <c:v>3.2407407407407406E-3</c:v>
                </c:pt>
                <c:pt idx="137">
                  <c:v>3.2407407407407406E-3</c:v>
                </c:pt>
                <c:pt idx="138">
                  <c:v>3.2407407407407406E-3</c:v>
                </c:pt>
                <c:pt idx="139">
                  <c:v>6.4814814814814813E-3</c:v>
                </c:pt>
                <c:pt idx="140">
                  <c:v>6.4814814814814813E-3</c:v>
                </c:pt>
                <c:pt idx="141">
                  <c:v>6.4814814814814813E-3</c:v>
                </c:pt>
                <c:pt idx="142">
                  <c:v>1.2962962962962963E-2</c:v>
                </c:pt>
                <c:pt idx="143">
                  <c:v>1.2962962962962963E-2</c:v>
                </c:pt>
                <c:pt idx="144">
                  <c:v>1.2962962962962963E-2</c:v>
                </c:pt>
                <c:pt idx="145">
                  <c:v>1.8518518518518517E-3</c:v>
                </c:pt>
                <c:pt idx="146">
                  <c:v>1.8518518518518517E-3</c:v>
                </c:pt>
                <c:pt idx="147">
                  <c:v>1.8518518518518517E-3</c:v>
                </c:pt>
                <c:pt idx="148">
                  <c:v>3.7037037037037034E-3</c:v>
                </c:pt>
                <c:pt idx="149">
                  <c:v>3.7037037037037034E-3</c:v>
                </c:pt>
                <c:pt idx="150">
                  <c:v>3.7037037037037034E-3</c:v>
                </c:pt>
                <c:pt idx="151">
                  <c:v>7.4074074074074068E-3</c:v>
                </c:pt>
                <c:pt idx="152">
                  <c:v>7.4074074074074068E-3</c:v>
                </c:pt>
                <c:pt idx="153">
                  <c:v>7.4074074074074068E-3</c:v>
                </c:pt>
                <c:pt idx="154">
                  <c:v>1.472452061991069E-2</c:v>
                </c:pt>
                <c:pt idx="155">
                  <c:v>1.472452061991069E-2</c:v>
                </c:pt>
                <c:pt idx="156">
                  <c:v>1.472452061991069E-2</c:v>
                </c:pt>
                <c:pt idx="157">
                  <c:v>1.5801484108221697E-2</c:v>
                </c:pt>
                <c:pt idx="158">
                  <c:v>1.5801484108221697E-2</c:v>
                </c:pt>
                <c:pt idx="159">
                  <c:v>1.5801484108221697E-2</c:v>
                </c:pt>
                <c:pt idx="160">
                  <c:v>1.1574074074074073E-3</c:v>
                </c:pt>
                <c:pt idx="161">
                  <c:v>1.1574074074074073E-3</c:v>
                </c:pt>
                <c:pt idx="162">
                  <c:v>1.1574074074074073E-3</c:v>
                </c:pt>
                <c:pt idx="163">
                  <c:v>2.3148148148148151E-3</c:v>
                </c:pt>
                <c:pt idx="164">
                  <c:v>2.3148148148148151E-3</c:v>
                </c:pt>
                <c:pt idx="165">
                  <c:v>2.3148148148148151E-3</c:v>
                </c:pt>
                <c:pt idx="166">
                  <c:v>4.6296296296296302E-3</c:v>
                </c:pt>
                <c:pt idx="167">
                  <c:v>4.6296296296296302E-3</c:v>
                </c:pt>
                <c:pt idx="168">
                  <c:v>4.6296296296296302E-3</c:v>
                </c:pt>
                <c:pt idx="169">
                  <c:v>9.2592592592592605E-3</c:v>
                </c:pt>
                <c:pt idx="170">
                  <c:v>9.2592592592592605E-3</c:v>
                </c:pt>
                <c:pt idx="171">
                  <c:v>9.2592592592592605E-3</c:v>
                </c:pt>
                <c:pt idx="172">
                  <c:v>1.6495928552666142E-2</c:v>
                </c:pt>
                <c:pt idx="173">
                  <c:v>1.6495928552666142E-2</c:v>
                </c:pt>
                <c:pt idx="174">
                  <c:v>1.6495928552666142E-2</c:v>
                </c:pt>
                <c:pt idx="175">
                  <c:v>4.4444444444444446E-2</c:v>
                </c:pt>
                <c:pt idx="176">
                  <c:v>5.9259259259259262E-2</c:v>
                </c:pt>
                <c:pt idx="177">
                  <c:v>5.5555555555555552E-2</c:v>
                </c:pt>
                <c:pt idx="178">
                  <c:v>7.5394011032308902E-2</c:v>
                </c:pt>
                <c:pt idx="179">
                  <c:v>3.2650380877331228E-2</c:v>
                </c:pt>
                <c:pt idx="180">
                  <c:v>1.7572892040977145E-2</c:v>
                </c:pt>
                <c:pt idx="181">
                  <c:v>1.826733648542159E-2</c:v>
                </c:pt>
                <c:pt idx="182">
                  <c:v>1.7572892040977145E-2</c:v>
                </c:pt>
                <c:pt idx="183">
                  <c:v>2.0766843971631206E-2</c:v>
                </c:pt>
                <c:pt idx="184">
                  <c:v>1.868351063829787E-2</c:v>
                </c:pt>
                <c:pt idx="185">
                  <c:v>6.9444444444444447E-4</c:v>
                </c:pt>
                <c:pt idx="186">
                  <c:v>6.9444444444444447E-4</c:v>
                </c:pt>
                <c:pt idx="187">
                  <c:v>6.9444444444444447E-4</c:v>
                </c:pt>
                <c:pt idx="188">
                  <c:v>1.1574074074074073E-3</c:v>
                </c:pt>
                <c:pt idx="189">
                  <c:v>1.1574074074074073E-3</c:v>
                </c:pt>
                <c:pt idx="190">
                  <c:v>1.1574074074074073E-3</c:v>
                </c:pt>
                <c:pt idx="191">
                  <c:v>2.3148148148148151E-3</c:v>
                </c:pt>
                <c:pt idx="192">
                  <c:v>2.3148148148148151E-3</c:v>
                </c:pt>
                <c:pt idx="193">
                  <c:v>2.3148148148148151E-3</c:v>
                </c:pt>
                <c:pt idx="194">
                  <c:v>4.6296296296296302E-3</c:v>
                </c:pt>
                <c:pt idx="195">
                  <c:v>4.6296296296296302E-3</c:v>
                </c:pt>
                <c:pt idx="196">
                  <c:v>4.6296296296296302E-3</c:v>
                </c:pt>
                <c:pt idx="197">
                  <c:v>9.2592592592592605E-3</c:v>
                </c:pt>
                <c:pt idx="198">
                  <c:v>9.2592592592592605E-3</c:v>
                </c:pt>
                <c:pt idx="199">
                  <c:v>9.2592592592592605E-3</c:v>
                </c:pt>
                <c:pt idx="200">
                  <c:v>1.6495928552666142E-2</c:v>
                </c:pt>
                <c:pt idx="201">
                  <c:v>6.9444444444444447E-4</c:v>
                </c:pt>
                <c:pt idx="202">
                  <c:v>1.6203703703703703E-3</c:v>
                </c:pt>
                <c:pt idx="203">
                  <c:v>3.2407407407407406E-3</c:v>
                </c:pt>
                <c:pt idx="204">
                  <c:v>6.4814814814814813E-3</c:v>
                </c:pt>
                <c:pt idx="205">
                  <c:v>1.2962962962962963E-2</c:v>
                </c:pt>
                <c:pt idx="206">
                  <c:v>6.9444444444444447E-4</c:v>
                </c:pt>
                <c:pt idx="207">
                  <c:v>1.3888888888888889E-3</c:v>
                </c:pt>
                <c:pt idx="208">
                  <c:v>2.7777777777777779E-3</c:v>
                </c:pt>
                <c:pt idx="209">
                  <c:v>5.5555555555555558E-3</c:v>
                </c:pt>
                <c:pt idx="210">
                  <c:v>1.1111111111111112E-2</c:v>
                </c:pt>
                <c:pt idx="211">
                  <c:v>1.7572892040977145E-2</c:v>
                </c:pt>
                <c:pt idx="212">
                  <c:v>6.9444444444444447E-4</c:v>
                </c:pt>
                <c:pt idx="213">
                  <c:v>1.8518518518518517E-3</c:v>
                </c:pt>
                <c:pt idx="214">
                  <c:v>3.7037037037037034E-3</c:v>
                </c:pt>
                <c:pt idx="215">
                  <c:v>7.4074074074074068E-3</c:v>
                </c:pt>
                <c:pt idx="216">
                  <c:v>1.4814814814814814E-2</c:v>
                </c:pt>
                <c:pt idx="217">
                  <c:v>8.6805555555555551E-4</c:v>
                </c:pt>
                <c:pt idx="218">
                  <c:v>1.736111111111111E-3</c:v>
                </c:pt>
                <c:pt idx="219">
                  <c:v>3.472222222222222E-3</c:v>
                </c:pt>
                <c:pt idx="220">
                  <c:v>8.6805555555555551E-4</c:v>
                </c:pt>
                <c:pt idx="221">
                  <c:v>1.736111111111111E-3</c:v>
                </c:pt>
                <c:pt idx="222">
                  <c:v>3.472222222222222E-3</c:v>
                </c:pt>
                <c:pt idx="223">
                  <c:v>1.3310185185185185E-3</c:v>
                </c:pt>
                <c:pt idx="224">
                  <c:v>2.0421263462043607E-2</c:v>
                </c:pt>
                <c:pt idx="225">
                  <c:v>2.0421263462043607E-2</c:v>
                </c:pt>
                <c:pt idx="226">
                  <c:v>2.0421263462043607E-2</c:v>
                </c:pt>
                <c:pt idx="227">
                  <c:v>2.0421263462043607E-2</c:v>
                </c:pt>
                <c:pt idx="228">
                  <c:v>4.6268387181507747E-2</c:v>
                </c:pt>
                <c:pt idx="229">
                  <c:v>8.6475571315996841E-2</c:v>
                </c:pt>
                <c:pt idx="230">
                  <c:v>5.9121355397951145E-2</c:v>
                </c:pt>
                <c:pt idx="231">
                  <c:v>5.4884095087995785E-2</c:v>
                </c:pt>
                <c:pt idx="232">
                  <c:v>1.7190372997110584E-2</c:v>
                </c:pt>
                <c:pt idx="233">
                  <c:v>2.4729117415287626E-2</c:v>
                </c:pt>
                <c:pt idx="234">
                  <c:v>7.9319345941686353E-2</c:v>
                </c:pt>
                <c:pt idx="235">
                  <c:v>2.4729117415287626E-2</c:v>
                </c:pt>
                <c:pt idx="236">
                  <c:v>2.2575190438665613E-2</c:v>
                </c:pt>
                <c:pt idx="237">
                  <c:v>2.4658523771998946E-2</c:v>
                </c:pt>
              </c:numCache>
            </c:numRef>
          </c:val>
        </c:ser>
        <c:ser>
          <c:idx val="1"/>
          <c:order val="1"/>
          <c:tx>
            <c:v>Waiting Time</c:v>
          </c:tx>
          <c:invertIfNegative val="0"/>
          <c:val>
            <c:numRef>
              <c:f>'Construction Sequence'!$AI$4:$AI$241</c:f>
              <c:numCache>
                <c:formatCode>[h]:mm:ss</c:formatCode>
                <c:ptCount val="2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3.4722222222222216E-3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4.4402356902356879E-3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2.0981087470449177E-3</c:v>
                </c:pt>
                <c:pt idx="74">
                  <c:v>1.2805358550039506E-4</c:v>
                </c:pt>
                <c:pt idx="75">
                  <c:v>4.068163908589442E-3</c:v>
                </c:pt>
                <c:pt idx="76">
                  <c:v>0</c:v>
                </c:pt>
                <c:pt idx="77">
                  <c:v>1.8058838980824533E-4</c:v>
                </c:pt>
                <c:pt idx="78">
                  <c:v>0</c:v>
                </c:pt>
                <c:pt idx="79">
                  <c:v>1.7164105594956663E-2</c:v>
                </c:pt>
                <c:pt idx="80">
                  <c:v>5.3437746256895218E-3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5.3437746256895218E-3</c:v>
                </c:pt>
                <c:pt idx="92">
                  <c:v>0</c:v>
                </c:pt>
                <c:pt idx="93">
                  <c:v>1.4036643026004731E-3</c:v>
                </c:pt>
                <c:pt idx="94">
                  <c:v>8.0526004728132417E-3</c:v>
                </c:pt>
                <c:pt idx="95">
                  <c:v>0</c:v>
                </c:pt>
                <c:pt idx="96">
                  <c:v>3.3507354872603177E-3</c:v>
                </c:pt>
                <c:pt idx="97">
                  <c:v>0</c:v>
                </c:pt>
                <c:pt idx="98">
                  <c:v>0</c:v>
                </c:pt>
                <c:pt idx="99">
                  <c:v>7.9705148410822175E-3</c:v>
                </c:pt>
                <c:pt idx="100">
                  <c:v>2.7170344102968244E-3</c:v>
                </c:pt>
                <c:pt idx="101">
                  <c:v>2.7170344102968244E-3</c:v>
                </c:pt>
                <c:pt idx="102">
                  <c:v>4.7396243761492068E-3</c:v>
                </c:pt>
                <c:pt idx="103">
                  <c:v>1.6252955082742358E-3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9.0294194904123534E-5</c:v>
                </c:pt>
                <c:pt idx="155">
                  <c:v>9.0294194904123534E-5</c:v>
                </c:pt>
                <c:pt idx="156">
                  <c:v>9.0294194904123534E-5</c:v>
                </c:pt>
                <c:pt idx="157">
                  <c:v>2.7170344102968244E-3</c:v>
                </c:pt>
                <c:pt idx="158">
                  <c:v>2.7170344102968244E-3</c:v>
                </c:pt>
                <c:pt idx="159">
                  <c:v>2.7170344102968244E-3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2.0225899658523798E-3</c:v>
                </c:pt>
                <c:pt idx="173">
                  <c:v>2.0225899658523798E-3</c:v>
                </c:pt>
                <c:pt idx="174">
                  <c:v>2.0225899658523798E-3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2.3837667454688766E-3</c:v>
                </c:pt>
                <c:pt idx="179">
                  <c:v>4.1423693196742842E-2</c:v>
                </c:pt>
                <c:pt idx="180">
                  <c:v>4.6493301812450772E-3</c:v>
                </c:pt>
                <c:pt idx="181">
                  <c:v>3.9548857368006327E-3</c:v>
                </c:pt>
                <c:pt idx="182">
                  <c:v>4.6493301812450772E-3</c:v>
                </c:pt>
                <c:pt idx="183">
                  <c:v>5.2748226950354634E-3</c:v>
                </c:pt>
                <c:pt idx="184">
                  <c:v>7.3581560283687971E-3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2.0225899658523798E-3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4.6493301812450772E-3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9.2083661675860223E-3</c:v>
                </c:pt>
                <c:pt idx="225">
                  <c:v>9.2083661675860223E-3</c:v>
                </c:pt>
                <c:pt idx="226">
                  <c:v>9.2083661675860223E-3</c:v>
                </c:pt>
                <c:pt idx="227">
                  <c:v>9.2083661675860223E-3</c:v>
                </c:pt>
                <c:pt idx="228">
                  <c:v>7.2250131337010776E-2</c:v>
                </c:pt>
                <c:pt idx="229">
                  <c:v>2.4635539795114271E-2</c:v>
                </c:pt>
                <c:pt idx="230">
                  <c:v>9.6434200157604413E-2</c:v>
                </c:pt>
                <c:pt idx="231">
                  <c:v>9.3264053060152355E-2</c:v>
                </c:pt>
                <c:pt idx="232">
                  <c:v>1.3281455214079353E-3</c:v>
                </c:pt>
                <c:pt idx="233">
                  <c:v>1.9715327029156821E-2</c:v>
                </c:pt>
                <c:pt idx="234">
                  <c:v>9.569542947202532E-3</c:v>
                </c:pt>
                <c:pt idx="235">
                  <c:v>1.9715327029156821E-2</c:v>
                </c:pt>
                <c:pt idx="236">
                  <c:v>1.4461846598371427E-2</c:v>
                </c:pt>
                <c:pt idx="237">
                  <c:v>1.2378513265038095E-2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100"/>
        <c:axId val="4039104"/>
        <c:axId val="4039664"/>
      </c:barChart>
      <c:catAx>
        <c:axId val="40391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CN"/>
                  <a:t>Accumulative Number</a:t>
                </a:r>
                <a:r>
                  <a:rPr lang="en-US" altLang="zh-CN" baseline="0"/>
                  <a:t> of Times that a Player Constructed or Upgraded Buildings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0.22991498699244803"/>
              <c:y val="0.94100117920042603"/>
            </c:manualLayout>
          </c:layout>
          <c:overlay val="0"/>
        </c:title>
        <c:majorTickMark val="out"/>
        <c:minorTickMark val="none"/>
        <c:tickLblPos val="nextTo"/>
        <c:crossAx val="4039664"/>
        <c:crosses val="autoZero"/>
        <c:auto val="1"/>
        <c:lblAlgn val="ctr"/>
        <c:lblOffset val="100"/>
        <c:noMultiLvlLbl val="0"/>
      </c:catAx>
      <c:valAx>
        <c:axId val="4039664"/>
        <c:scaling>
          <c:orientation val="minMax"/>
          <c:max val="0.16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zh-CN"/>
                  <a:t>Time</a:t>
                </a:r>
                <a:endParaRPr lang="zh-CN" altLang="en-US"/>
              </a:p>
            </c:rich>
          </c:tx>
          <c:overlay val="0"/>
        </c:title>
        <c:numFmt formatCode="h:mm:ss;@" sourceLinked="0"/>
        <c:majorTickMark val="out"/>
        <c:minorTickMark val="none"/>
        <c:tickLblPos val="nextTo"/>
        <c:crossAx val="4039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14376654028485972"/>
          <c:y val="7.2715077282006921E-2"/>
          <c:w val="0.12499247617269772"/>
          <c:h val="0.12790746894114174"/>
        </c:manualLayout>
      </c:layout>
      <c:overlay val="0"/>
      <c:spPr>
        <a:solidFill>
          <a:sysClr val="window" lastClr="FFFFFF"/>
        </a:solidFill>
        <a:ln>
          <a:solidFill>
            <a:sysClr val="windowText" lastClr="000000"/>
          </a:solidFill>
        </a:ln>
      </c:spPr>
    </c:legend>
    <c:plotVisOnly val="1"/>
    <c:dispBlanksAs val="gap"/>
    <c:showDLblsOverMax val="0"/>
  </c:chart>
  <c:printSettings>
    <c:headerFooter/>
    <c:pageMargins b="0.75000000000000433" l="0.70000000000000062" r="0.70000000000000062" t="0.75000000000000433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318285214348206"/>
          <c:y val="3.2984430914739959E-2"/>
          <c:w val="0.8382075678040245"/>
          <c:h val="0.8247389612276611"/>
        </c:manualLayout>
      </c:layout>
      <c:lineChart>
        <c:grouping val="standard"/>
        <c:varyColors val="0"/>
        <c:ser>
          <c:idx val="0"/>
          <c:order val="0"/>
          <c:tx>
            <c:strRef>
              <c:f>'Free Speed Ups'!$E$2:$G$2</c:f>
              <c:strCache>
                <c:ptCount val="1"/>
                <c:pt idx="0">
                  <c:v>Cumulative Speed Up Time Got (GoW)</c:v>
                </c:pt>
              </c:strCache>
            </c:strRef>
          </c:tx>
          <c:spPr>
            <a:ln>
              <a:solidFill>
                <a:srgbClr val="CC3300"/>
              </a:solidFill>
            </a:ln>
          </c:spPr>
          <c:marker>
            <c:symbol val="none"/>
          </c:marker>
          <c:cat>
            <c:numRef>
              <c:f>'Free Speed Ups'!$B$4:$B$9999</c:f>
              <c:numCache>
                <c:formatCode>#,##0_ ;[Red]\-#,##0\ </c:formatCode>
                <c:ptCount val="99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cat>
          <c:val>
            <c:numRef>
              <c:f>'Free Speed Ups'!$E$4:$E$34</c:f>
              <c:numCache>
                <c:formatCode>[h]:mm:ss</c:formatCode>
                <c:ptCount val="31"/>
                <c:pt idx="0">
                  <c:v>0</c:v>
                </c:pt>
                <c:pt idx="1">
                  <c:v>4.7222222222222221E-2</c:v>
                </c:pt>
                <c:pt idx="2">
                  <c:v>5.7638888888888885E-2</c:v>
                </c:pt>
                <c:pt idx="3">
                  <c:v>5.7638888888888885E-2</c:v>
                </c:pt>
                <c:pt idx="4">
                  <c:v>7.8472222222222221E-2</c:v>
                </c:pt>
                <c:pt idx="5">
                  <c:v>0.10972222222222222</c:v>
                </c:pt>
                <c:pt idx="6">
                  <c:v>0.10972222222222222</c:v>
                </c:pt>
                <c:pt idx="7">
                  <c:v>0.15138888888888891</c:v>
                </c:pt>
                <c:pt idx="8">
                  <c:v>0.15138888888888891</c:v>
                </c:pt>
                <c:pt idx="9">
                  <c:v>0.15138888888888891</c:v>
                </c:pt>
                <c:pt idx="10">
                  <c:v>0.15138888888888891</c:v>
                </c:pt>
                <c:pt idx="11">
                  <c:v>0.21388888888888888</c:v>
                </c:pt>
                <c:pt idx="12">
                  <c:v>0.21388888888888888</c:v>
                </c:pt>
                <c:pt idx="13">
                  <c:v>0.28680555555555559</c:v>
                </c:pt>
                <c:pt idx="14">
                  <c:v>0.29583333333333334</c:v>
                </c:pt>
                <c:pt idx="15">
                  <c:v>0.37291666666666667</c:v>
                </c:pt>
                <c:pt idx="16">
                  <c:v>0.37291666666666667</c:v>
                </c:pt>
                <c:pt idx="17">
                  <c:v>0.64652777777777781</c:v>
                </c:pt>
                <c:pt idx="18">
                  <c:v>0.77430555555555558</c:v>
                </c:pt>
                <c:pt idx="19">
                  <c:v>0.77638888888888891</c:v>
                </c:pt>
                <c:pt idx="20">
                  <c:v>0.86527777777777781</c:v>
                </c:pt>
                <c:pt idx="21">
                  <c:v>0.88958333333333339</c:v>
                </c:pt>
                <c:pt idx="22">
                  <c:v>1.0451388888888891</c:v>
                </c:pt>
                <c:pt idx="23">
                  <c:v>1.0868055555555558</c:v>
                </c:pt>
                <c:pt idx="24">
                  <c:v>1.2951388888888893</c:v>
                </c:pt>
                <c:pt idx="25">
                  <c:v>1.6284722222222225</c:v>
                </c:pt>
                <c:pt idx="26">
                  <c:v>1.630555555555556</c:v>
                </c:pt>
                <c:pt idx="27">
                  <c:v>1.7451388888888895</c:v>
                </c:pt>
                <c:pt idx="28">
                  <c:v>1.8909722222222229</c:v>
                </c:pt>
                <c:pt idx="29">
                  <c:v>1.8909722222222229</c:v>
                </c:pt>
                <c:pt idx="30">
                  <c:v>2.1479166666666667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'Free Speed Ups'!$H$2:$H$3</c:f>
              <c:strCache>
                <c:ptCount val="2"/>
                <c:pt idx="0">
                  <c:v>Cumulative Speed Up Time Used (GoW)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'Free Speed Ups'!$B$4:$B$9999</c:f>
              <c:numCache>
                <c:formatCode>#,##0_ ;[Red]\-#,##0\ </c:formatCode>
                <c:ptCount val="99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cat>
          <c:val>
            <c:numRef>
              <c:f>'Free Speed Ups'!$H$4:$H$34</c:f>
              <c:numCache>
                <c:formatCode>[h]:mm:ss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2.0833333333333333E-3</c:v>
                </c:pt>
                <c:pt idx="5">
                  <c:v>2.6388888888888885E-2</c:v>
                </c:pt>
                <c:pt idx="6">
                  <c:v>2.6388888888888885E-2</c:v>
                </c:pt>
                <c:pt idx="7">
                  <c:v>2.6388888888888885E-2</c:v>
                </c:pt>
                <c:pt idx="8">
                  <c:v>4.7222222222222221E-2</c:v>
                </c:pt>
                <c:pt idx="9">
                  <c:v>4.7222222222222221E-2</c:v>
                </c:pt>
                <c:pt idx="10">
                  <c:v>5.7638888888888885E-2</c:v>
                </c:pt>
                <c:pt idx="11">
                  <c:v>0.10972222222222222</c:v>
                </c:pt>
                <c:pt idx="12">
                  <c:v>0.12013888888888889</c:v>
                </c:pt>
                <c:pt idx="13">
                  <c:v>0.14097222222222222</c:v>
                </c:pt>
                <c:pt idx="14">
                  <c:v>0.17083333333333334</c:v>
                </c:pt>
                <c:pt idx="15">
                  <c:v>0.1958333333333333</c:v>
                </c:pt>
                <c:pt idx="16">
                  <c:v>0.34166666666666667</c:v>
                </c:pt>
                <c:pt idx="17">
                  <c:v>0.46944444444444444</c:v>
                </c:pt>
                <c:pt idx="18">
                  <c:v>0.51388888888888884</c:v>
                </c:pt>
                <c:pt idx="19">
                  <c:v>0.57847222222222217</c:v>
                </c:pt>
                <c:pt idx="20">
                  <c:v>0.6777777777777777</c:v>
                </c:pt>
                <c:pt idx="21">
                  <c:v>0.68124999999999991</c:v>
                </c:pt>
                <c:pt idx="22">
                  <c:v>0.78124999999999989</c:v>
                </c:pt>
                <c:pt idx="23">
                  <c:v>0.86805555555555547</c:v>
                </c:pt>
                <c:pt idx="24">
                  <c:v>1.2118055555555556</c:v>
                </c:pt>
                <c:pt idx="25">
                  <c:v>1.2951388888888888</c:v>
                </c:pt>
                <c:pt idx="26">
                  <c:v>1.2972222222222223</c:v>
                </c:pt>
                <c:pt idx="27">
                  <c:v>1.3180555555555555</c:v>
                </c:pt>
                <c:pt idx="28">
                  <c:v>1.4118055555555555</c:v>
                </c:pt>
                <c:pt idx="29">
                  <c:v>1.4118055555555555</c:v>
                </c:pt>
                <c:pt idx="30">
                  <c:v>2.1305555555555555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'Free Speed Ups'!$I$2:$I$3</c:f>
              <c:strCache>
                <c:ptCount val="2"/>
                <c:pt idx="0">
                  <c:v>Speed Up Time Left (GoW)</c:v>
                </c:pt>
              </c:strCache>
            </c:strRef>
          </c:tx>
          <c:marker>
            <c:symbol val="none"/>
          </c:marker>
          <c:cat>
            <c:numRef>
              <c:f>'Free Speed Ups'!$B$4:$B$9999</c:f>
              <c:numCache>
                <c:formatCode>#,##0_ ;[Red]\-#,##0\ </c:formatCode>
                <c:ptCount val="99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cat>
          <c:val>
            <c:numRef>
              <c:f>'Free Speed Ups'!$I$4:$I$34</c:f>
              <c:numCache>
                <c:formatCode>[h]:mm:ss</c:formatCode>
                <c:ptCount val="31"/>
                <c:pt idx="0">
                  <c:v>0</c:v>
                </c:pt>
                <c:pt idx="1">
                  <c:v>4.7222222222222221E-2</c:v>
                </c:pt>
                <c:pt idx="2">
                  <c:v>5.7638888888888885E-2</c:v>
                </c:pt>
                <c:pt idx="3">
                  <c:v>5.7638888888888885E-2</c:v>
                </c:pt>
                <c:pt idx="4">
                  <c:v>7.6388888888888895E-2</c:v>
                </c:pt>
                <c:pt idx="5">
                  <c:v>8.3333333333333329E-2</c:v>
                </c:pt>
                <c:pt idx="6">
                  <c:v>8.3333333333333329E-2</c:v>
                </c:pt>
                <c:pt idx="7">
                  <c:v>0.12499999999999999</c:v>
                </c:pt>
                <c:pt idx="8">
                  <c:v>0.10416666666666666</c:v>
                </c:pt>
                <c:pt idx="9">
                  <c:v>0.10416666666666666</c:v>
                </c:pt>
                <c:pt idx="10">
                  <c:v>9.375E-2</c:v>
                </c:pt>
                <c:pt idx="11">
                  <c:v>0.10416666666666666</c:v>
                </c:pt>
                <c:pt idx="12">
                  <c:v>9.375E-2</c:v>
                </c:pt>
                <c:pt idx="13">
                  <c:v>0.14583333333333331</c:v>
                </c:pt>
                <c:pt idx="14">
                  <c:v>0.125</c:v>
                </c:pt>
                <c:pt idx="15">
                  <c:v>0.17708333333333331</c:v>
                </c:pt>
                <c:pt idx="16">
                  <c:v>3.125E-2</c:v>
                </c:pt>
                <c:pt idx="17">
                  <c:v>0.17708333333333331</c:v>
                </c:pt>
                <c:pt idx="18">
                  <c:v>0.26041666666666663</c:v>
                </c:pt>
                <c:pt idx="19">
                  <c:v>0.19791666666666666</c:v>
                </c:pt>
                <c:pt idx="20">
                  <c:v>0.1875</c:v>
                </c:pt>
                <c:pt idx="21">
                  <c:v>0.20833333333333331</c:v>
                </c:pt>
                <c:pt idx="22">
                  <c:v>0.2638888888888889</c:v>
                </c:pt>
                <c:pt idx="23">
                  <c:v>0.21875</c:v>
                </c:pt>
                <c:pt idx="24">
                  <c:v>8.3333333333333329E-2</c:v>
                </c:pt>
                <c:pt idx="25">
                  <c:v>0.33333333333333331</c:v>
                </c:pt>
                <c:pt idx="26">
                  <c:v>0.33333333333333331</c:v>
                </c:pt>
                <c:pt idx="27">
                  <c:v>0.42708333333333331</c:v>
                </c:pt>
                <c:pt idx="28">
                  <c:v>0.47916666666666663</c:v>
                </c:pt>
                <c:pt idx="29">
                  <c:v>0.47916666666666663</c:v>
                </c:pt>
                <c:pt idx="30">
                  <c:v>1.7361111111111112E-2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'Free Speed Ups'!$R$27</c:f>
              <c:strCache>
                <c:ptCount val="1"/>
                <c:pt idx="0">
                  <c:v>Cumulative Speed Up Time Got (KoM)</c:v>
                </c:pt>
              </c:strCache>
            </c:strRef>
          </c:tx>
          <c:spPr>
            <a:ln>
              <a:solidFill>
                <a:srgbClr val="0000FF"/>
              </a:solidFill>
            </a:ln>
          </c:spPr>
          <c:marker>
            <c:symbol val="none"/>
          </c:marker>
          <c:val>
            <c:numRef>
              <c:f>'Free Speed Ups'!$R$28:$R$58</c:f>
              <c:numCache>
                <c:formatCode>[h]:mm:ss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2.7777777777777779E-3</c:v>
                </c:pt>
                <c:pt idx="3">
                  <c:v>2.7777777777777779E-3</c:v>
                </c:pt>
                <c:pt idx="4">
                  <c:v>9.7222222222222224E-3</c:v>
                </c:pt>
                <c:pt idx="5">
                  <c:v>9.7222222222222224E-3</c:v>
                </c:pt>
                <c:pt idx="6">
                  <c:v>9.7222222222222224E-3</c:v>
                </c:pt>
                <c:pt idx="7">
                  <c:v>3.6111111111111108E-2</c:v>
                </c:pt>
                <c:pt idx="8">
                  <c:v>3.6111111111111108E-2</c:v>
                </c:pt>
                <c:pt idx="9">
                  <c:v>3.6111111111111108E-2</c:v>
                </c:pt>
                <c:pt idx="10">
                  <c:v>3.6111111111111108E-2</c:v>
                </c:pt>
                <c:pt idx="11">
                  <c:v>6.7361111111111108E-2</c:v>
                </c:pt>
                <c:pt idx="12">
                  <c:v>6.7361111111111108E-2</c:v>
                </c:pt>
                <c:pt idx="13">
                  <c:v>6.7361111111111108E-2</c:v>
                </c:pt>
                <c:pt idx="14">
                  <c:v>6.7361111111111108E-2</c:v>
                </c:pt>
                <c:pt idx="15">
                  <c:v>9.8611111111111108E-2</c:v>
                </c:pt>
                <c:pt idx="16">
                  <c:v>9.8611111111111108E-2</c:v>
                </c:pt>
                <c:pt idx="17">
                  <c:v>9.8611111111111108E-2</c:v>
                </c:pt>
                <c:pt idx="18">
                  <c:v>9.8611111111111108E-2</c:v>
                </c:pt>
                <c:pt idx="19">
                  <c:v>9.8611111111111108E-2</c:v>
                </c:pt>
                <c:pt idx="20">
                  <c:v>9.8611111111111108E-2</c:v>
                </c:pt>
                <c:pt idx="21">
                  <c:v>0.12986111111111109</c:v>
                </c:pt>
                <c:pt idx="22">
                  <c:v>0.12986111111111109</c:v>
                </c:pt>
                <c:pt idx="23">
                  <c:v>0.12986111111111109</c:v>
                </c:pt>
                <c:pt idx="24">
                  <c:v>0.12986111111111109</c:v>
                </c:pt>
                <c:pt idx="25">
                  <c:v>0.12986111111111109</c:v>
                </c:pt>
                <c:pt idx="26">
                  <c:v>0.12986111111111109</c:v>
                </c:pt>
                <c:pt idx="27">
                  <c:v>0.17152777777777775</c:v>
                </c:pt>
                <c:pt idx="28">
                  <c:v>0.17152777777777775</c:v>
                </c:pt>
                <c:pt idx="29">
                  <c:v>0.17152777777777775</c:v>
                </c:pt>
                <c:pt idx="30">
                  <c:v>0.17152777777777775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5622640"/>
        <c:axId val="265623200"/>
      </c:lineChart>
      <c:catAx>
        <c:axId val="2656226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CN"/>
                  <a:t>Hero Level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0.48832119598646223"/>
              <c:y val="0.94031294780732011"/>
            </c:manualLayout>
          </c:layout>
          <c:overlay val="0"/>
        </c:title>
        <c:numFmt formatCode="#,##0_ ;[Red]\-#,##0\ " sourceLinked="1"/>
        <c:majorTickMark val="out"/>
        <c:minorTickMark val="none"/>
        <c:tickLblPos val="nextTo"/>
        <c:crossAx val="265623200"/>
        <c:crosses val="autoZero"/>
        <c:auto val="1"/>
        <c:lblAlgn val="ctr"/>
        <c:lblOffset val="100"/>
        <c:noMultiLvlLbl val="0"/>
      </c:catAx>
      <c:valAx>
        <c:axId val="26562320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zh-CN"/>
                  <a:t>Accumulative Time</a:t>
                </a:r>
                <a:endParaRPr lang="zh-CN" altLang="en-US"/>
              </a:p>
            </c:rich>
          </c:tx>
          <c:overlay val="0"/>
        </c:title>
        <c:numFmt formatCode="[h]:mm:ss" sourceLinked="1"/>
        <c:majorTickMark val="out"/>
        <c:minorTickMark val="none"/>
        <c:tickLblPos val="nextTo"/>
        <c:crossAx val="265622640"/>
        <c:crosses val="autoZero"/>
        <c:crossBetween val="between"/>
        <c:majorUnit val="0.25"/>
        <c:minorUnit val="0.05"/>
      </c:valAx>
    </c:plotArea>
    <c:legend>
      <c:legendPos val="r"/>
      <c:layout>
        <c:manualLayout>
          <c:xMode val="edge"/>
          <c:yMode val="edge"/>
          <c:x val="0.18081847822815988"/>
          <c:y val="9.9575093291834282E-2"/>
          <c:w val="0.43500806251739232"/>
          <c:h val="0.21546027016421818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</c:spPr>
    </c:legend>
    <c:plotVisOnly val="1"/>
    <c:dispBlanksAs val="gap"/>
    <c:showDLblsOverMax val="0"/>
  </c:chart>
  <c:printSettings>
    <c:headerFooter/>
    <c:pageMargins b="0.750000000000004" l="0.70000000000000062" r="0.70000000000000062" t="0.75000000000000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578524329071344"/>
          <c:y val="3.2709302858339756E-2"/>
          <c:w val="0.8256050885888806"/>
          <c:h val="0.84216283438385664"/>
        </c:manualLayout>
      </c:layout>
      <c:lineChart>
        <c:grouping val="standard"/>
        <c:varyColors val="0"/>
        <c:ser>
          <c:idx val="3"/>
          <c:order val="0"/>
          <c:tx>
            <c:strRef>
              <c:f>'Free Speed Ups'!$AE$2:$AE$3</c:f>
              <c:strCache>
                <c:ptCount val="2"/>
                <c:pt idx="0">
                  <c:v>Original Construction Time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'Free Speed Ups'!$AE$4:$AE$11</c:f>
              <c:numCache>
                <c:formatCode>[h]:mm:ss</c:formatCode>
                <c:ptCount val="8"/>
                <c:pt idx="0">
                  <c:v>6.9444444444444447E-4</c:v>
                </c:pt>
                <c:pt idx="1">
                  <c:v>1.1574074074074073E-3</c:v>
                </c:pt>
                <c:pt idx="2">
                  <c:v>2.3148148148148151E-3</c:v>
                </c:pt>
                <c:pt idx="3">
                  <c:v>4.6296296296296302E-3</c:v>
                </c:pt>
                <c:pt idx="4">
                  <c:v>9.2592592592592605E-3</c:v>
                </c:pt>
                <c:pt idx="5">
                  <c:v>1.8518518518518521E-2</c:v>
                </c:pt>
                <c:pt idx="6">
                  <c:v>3.7037037037037042E-2</c:v>
                </c:pt>
                <c:pt idx="7">
                  <c:v>7.407407407407407E-2</c:v>
                </c:pt>
              </c:numCache>
            </c:numRef>
          </c:val>
          <c:smooth val="0"/>
        </c:ser>
        <c:ser>
          <c:idx val="2"/>
          <c:order val="1"/>
          <c:tx>
            <c:strRef>
              <c:f>'Free Speed Ups'!$X$2</c:f>
              <c:strCache>
                <c:ptCount val="1"/>
                <c:pt idx="0">
                  <c:v>"Free" Speed Up Time</c:v>
                </c:pt>
              </c:strCache>
            </c:strRef>
          </c:tx>
          <c:marker>
            <c:symbol val="none"/>
          </c:marker>
          <c:val>
            <c:numRef>
              <c:f>'Free Speed Ups'!$X$4:$X$11</c:f>
              <c:numCache>
                <c:formatCode>h:mm:ss;@</c:formatCode>
                <c:ptCount val="8"/>
                <c:pt idx="0">
                  <c:v>4.1666666666666666E-3</c:v>
                </c:pt>
                <c:pt idx="1">
                  <c:v>4.8611111111111112E-3</c:v>
                </c:pt>
                <c:pt idx="2">
                  <c:v>6.2499999999999995E-3</c:v>
                </c:pt>
                <c:pt idx="3">
                  <c:v>7.6388888888888886E-3</c:v>
                </c:pt>
                <c:pt idx="4">
                  <c:v>9.0277777777777787E-3</c:v>
                </c:pt>
                <c:pt idx="5">
                  <c:v>1.0416666666666666E-2</c:v>
                </c:pt>
                <c:pt idx="6">
                  <c:v>1.18055555555556E-2</c:v>
                </c:pt>
                <c:pt idx="7">
                  <c:v>1.3888888888888888E-2</c:v>
                </c:pt>
              </c:numCache>
            </c:numRef>
          </c:val>
          <c:smooth val="0"/>
        </c:ser>
        <c:ser>
          <c:idx val="1"/>
          <c:order val="2"/>
          <c:tx>
            <c:strRef>
              <c:f>'Free Speed Ups'!$AB$2</c:f>
              <c:strCache>
                <c:ptCount val="1"/>
                <c:pt idx="0">
                  <c:v>"Help" Speed Up Time</c:v>
                </c:pt>
              </c:strCache>
            </c:strRef>
          </c:tx>
          <c:spPr>
            <a:ln>
              <a:solidFill>
                <a:srgbClr val="0033CC"/>
              </a:solidFill>
            </a:ln>
          </c:spPr>
          <c:marker>
            <c:symbol val="none"/>
          </c:marker>
          <c:val>
            <c:numRef>
              <c:f>'Free Speed Ups'!$AB$4:$AB$11</c:f>
              <c:numCache>
                <c:formatCode>[h]:mm:ss</c:formatCode>
                <c:ptCount val="8"/>
                <c:pt idx="0">
                  <c:v>3.472222222222222E-3</c:v>
                </c:pt>
                <c:pt idx="1">
                  <c:v>4.1666666666666666E-3</c:v>
                </c:pt>
                <c:pt idx="2">
                  <c:v>4.8611111111111103E-3</c:v>
                </c:pt>
                <c:pt idx="3">
                  <c:v>5.5555555555555497E-3</c:v>
                </c:pt>
                <c:pt idx="4">
                  <c:v>6.2500000000000003E-3</c:v>
                </c:pt>
                <c:pt idx="5">
                  <c:v>6.9444444444444397E-3</c:v>
                </c:pt>
                <c:pt idx="6">
                  <c:v>7.6388888888888904E-3</c:v>
                </c:pt>
                <c:pt idx="7">
                  <c:v>8.3333333333333297E-3</c:v>
                </c:pt>
              </c:numCache>
            </c:numRef>
          </c:val>
          <c:smooth val="0"/>
        </c:ser>
        <c:ser>
          <c:idx val="0"/>
          <c:order val="3"/>
          <c:tx>
            <c:strRef>
              <c:f>'Free Speed Ups'!$AH$2:$AH$3</c:f>
              <c:strCache>
                <c:ptCount val="2"/>
                <c:pt idx="0">
                  <c:v>Construction Waiting Time</c:v>
                </c:pt>
              </c:strCache>
            </c:strRef>
          </c:tx>
          <c:spPr>
            <a:ln>
              <a:solidFill>
                <a:srgbClr val="CC3300"/>
              </a:solidFill>
            </a:ln>
          </c:spPr>
          <c:marker>
            <c:symbol val="none"/>
          </c:marker>
          <c:val>
            <c:numRef>
              <c:f>'Free Speed Ups'!$AH$4:$AH$11</c:f>
              <c:numCache>
                <c:formatCode>[h]:mm:ss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2.5462962962963017E-3</c:v>
                </c:pt>
                <c:pt idx="6">
                  <c:v>2.0370370370370372E-2</c:v>
                </c:pt>
                <c:pt idx="7">
                  <c:v>5.6712962962962958E-2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5950480"/>
        <c:axId val="366327120"/>
      </c:lineChart>
      <c:catAx>
        <c:axId val="3659504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CN"/>
                  <a:t>Construction</a:t>
                </a:r>
                <a:r>
                  <a:rPr lang="en-US" altLang="zh-CN" baseline="0"/>
                  <a:t> Level or Speed Up Level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0.37882043572530794"/>
              <c:y val="0.93959641578468522"/>
            </c:manualLayout>
          </c:layout>
          <c:overlay val="0"/>
        </c:title>
        <c:numFmt formatCode="#,##0_ ;[Red]\-#,##0\ " sourceLinked="1"/>
        <c:majorTickMark val="out"/>
        <c:minorTickMark val="none"/>
        <c:tickLblPos val="nextTo"/>
        <c:crossAx val="366327120"/>
        <c:crosses val="autoZero"/>
        <c:auto val="1"/>
        <c:lblAlgn val="ctr"/>
        <c:lblOffset val="100"/>
        <c:noMultiLvlLbl val="0"/>
      </c:catAx>
      <c:valAx>
        <c:axId val="366327120"/>
        <c:scaling>
          <c:orientation val="minMax"/>
          <c:max val="8.0000000000000043E-2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zh-CN"/>
                  <a:t> Time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9.3727398662322287E-4"/>
              <c:y val="0.39519340056165081"/>
            </c:manualLayout>
          </c:layout>
          <c:overlay val="0"/>
        </c:title>
        <c:numFmt formatCode="[h]:mm:ss" sourceLinked="1"/>
        <c:majorTickMark val="out"/>
        <c:minorTickMark val="none"/>
        <c:tickLblPos val="nextTo"/>
        <c:crossAx val="365950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18333903914184663"/>
          <c:y val="0.18331598824461159"/>
          <c:w val="0.4011489017559009"/>
          <c:h val="0.29280831403015817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</c:spPr>
    </c:legend>
    <c:plotVisOnly val="1"/>
    <c:dispBlanksAs val="gap"/>
    <c:showDLblsOverMax val="0"/>
  </c:chart>
  <c:printSettings>
    <c:headerFooter/>
    <c:pageMargins b="0.75000000000000422" l="0.70000000000000062" r="0.70000000000000062" t="0.75000000000000422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5947169124869586E-2"/>
          <c:y val="3.2984430914739959E-2"/>
          <c:w val="0.88544327615804264"/>
          <c:h val="0.82473896122766088"/>
        </c:manualLayout>
      </c:layout>
      <c:lineChart>
        <c:grouping val="standard"/>
        <c:varyColors val="0"/>
        <c:ser>
          <c:idx val="0"/>
          <c:order val="0"/>
          <c:tx>
            <c:strRef>
              <c:f>'Free Gold'!$K$3:$K$4</c:f>
              <c:strCache>
                <c:ptCount val="2"/>
                <c:pt idx="0">
                  <c:v>Free Gold Converted into 1 Hour Speed Up (GoW)</c:v>
                </c:pt>
              </c:strCache>
            </c:strRef>
          </c:tx>
          <c:spPr>
            <a:ln>
              <a:solidFill>
                <a:srgbClr val="CC3300"/>
              </a:solidFill>
            </a:ln>
          </c:spPr>
          <c:marker>
            <c:symbol val="none"/>
          </c:marker>
          <c:val>
            <c:numRef>
              <c:f>'Free Gold'!$K$5:$K$36</c:f>
              <c:numCache>
                <c:formatCode>#,##0.00_ ;[Red]\-#,##0.00\ </c:formatCode>
                <c:ptCount val="32"/>
                <c:pt idx="0">
                  <c:v>0.76923076923076927</c:v>
                </c:pt>
                <c:pt idx="1">
                  <c:v>0.76923076923076927</c:v>
                </c:pt>
                <c:pt idx="2">
                  <c:v>0.76923076923076927</c:v>
                </c:pt>
                <c:pt idx="3">
                  <c:v>0.76923076923076927</c:v>
                </c:pt>
                <c:pt idx="4">
                  <c:v>1.5384615384615385</c:v>
                </c:pt>
                <c:pt idx="5">
                  <c:v>1.5384615384615385</c:v>
                </c:pt>
                <c:pt idx="6">
                  <c:v>1.5384615384615385</c:v>
                </c:pt>
                <c:pt idx="7">
                  <c:v>1.5384615384615385</c:v>
                </c:pt>
                <c:pt idx="8">
                  <c:v>1.5384615384615385</c:v>
                </c:pt>
                <c:pt idx="9">
                  <c:v>1.5384615384615385</c:v>
                </c:pt>
                <c:pt idx="10">
                  <c:v>1.5384615384615385</c:v>
                </c:pt>
                <c:pt idx="11">
                  <c:v>1.5384615384615385</c:v>
                </c:pt>
                <c:pt idx="12">
                  <c:v>1.5384615384615385</c:v>
                </c:pt>
                <c:pt idx="13">
                  <c:v>1.5384615384615385</c:v>
                </c:pt>
                <c:pt idx="14">
                  <c:v>1.5384615384615385</c:v>
                </c:pt>
                <c:pt idx="15">
                  <c:v>2</c:v>
                </c:pt>
                <c:pt idx="16">
                  <c:v>2</c:v>
                </c:pt>
                <c:pt idx="17">
                  <c:v>3.6923076923076925</c:v>
                </c:pt>
                <c:pt idx="18">
                  <c:v>3.6923076923076925</c:v>
                </c:pt>
                <c:pt idx="19">
                  <c:v>4.3076923076923075</c:v>
                </c:pt>
                <c:pt idx="20">
                  <c:v>4.3076923076923075</c:v>
                </c:pt>
                <c:pt idx="21">
                  <c:v>5.5384615384615383</c:v>
                </c:pt>
                <c:pt idx="22">
                  <c:v>5.9230769230769234</c:v>
                </c:pt>
                <c:pt idx="23">
                  <c:v>7.1538461538461542</c:v>
                </c:pt>
                <c:pt idx="24">
                  <c:v>7.1538461538461542</c:v>
                </c:pt>
                <c:pt idx="25">
                  <c:v>7.4615384615384617</c:v>
                </c:pt>
                <c:pt idx="26">
                  <c:v>7.4615384615384617</c:v>
                </c:pt>
                <c:pt idx="27">
                  <c:v>9.3076923076923084</c:v>
                </c:pt>
                <c:pt idx="28">
                  <c:v>10.538461538461538</c:v>
                </c:pt>
                <c:pt idx="29">
                  <c:v>10.538461538461538</c:v>
                </c:pt>
                <c:pt idx="30">
                  <c:v>10.538461538461538</c:v>
                </c:pt>
                <c:pt idx="31">
                  <c:v>12.384615384615385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'Free Gold'!$Q$3:$Q$4</c:f>
              <c:strCache>
                <c:ptCount val="2"/>
                <c:pt idx="0">
                  <c:v>Free Mithril Converted into 1 Hour Speed Up (KoM)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'Free Gold'!$Q$5:$Q$36</c:f>
              <c:numCache>
                <c:formatCode>#,##0.00_ ;[Red]\-#,##0.00\ </c:formatCode>
                <c:ptCount val="3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8.5</c:v>
                </c:pt>
                <c:pt idx="5">
                  <c:v>8.5</c:v>
                </c:pt>
                <c:pt idx="6">
                  <c:v>8.5</c:v>
                </c:pt>
                <c:pt idx="7">
                  <c:v>8.5</c:v>
                </c:pt>
                <c:pt idx="8">
                  <c:v>8.5</c:v>
                </c:pt>
                <c:pt idx="9">
                  <c:v>9.5</c:v>
                </c:pt>
                <c:pt idx="10">
                  <c:v>9.5</c:v>
                </c:pt>
                <c:pt idx="11">
                  <c:v>9.5</c:v>
                </c:pt>
                <c:pt idx="12">
                  <c:v>9.5</c:v>
                </c:pt>
                <c:pt idx="13">
                  <c:v>9.5</c:v>
                </c:pt>
                <c:pt idx="14">
                  <c:v>9.5</c:v>
                </c:pt>
                <c:pt idx="15">
                  <c:v>9.5</c:v>
                </c:pt>
                <c:pt idx="16">
                  <c:v>9.5</c:v>
                </c:pt>
                <c:pt idx="17">
                  <c:v>9.5</c:v>
                </c:pt>
                <c:pt idx="18">
                  <c:v>9.5</c:v>
                </c:pt>
                <c:pt idx="19">
                  <c:v>9.5</c:v>
                </c:pt>
                <c:pt idx="20">
                  <c:v>9.5</c:v>
                </c:pt>
                <c:pt idx="21">
                  <c:v>9.5</c:v>
                </c:pt>
                <c:pt idx="22">
                  <c:v>9.5</c:v>
                </c:pt>
                <c:pt idx="23">
                  <c:v>9.5</c:v>
                </c:pt>
                <c:pt idx="24">
                  <c:v>9.5</c:v>
                </c:pt>
                <c:pt idx="25">
                  <c:v>9.5</c:v>
                </c:pt>
                <c:pt idx="26">
                  <c:v>9.5</c:v>
                </c:pt>
                <c:pt idx="27">
                  <c:v>9.5</c:v>
                </c:pt>
                <c:pt idx="28">
                  <c:v>9.5</c:v>
                </c:pt>
                <c:pt idx="29">
                  <c:v>9.5</c:v>
                </c:pt>
                <c:pt idx="30">
                  <c:v>9.5</c:v>
                </c:pt>
                <c:pt idx="31">
                  <c:v>9.5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6064992"/>
        <c:axId val="366065552"/>
      </c:lineChart>
      <c:catAx>
        <c:axId val="3660649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CN"/>
                  <a:t>Hero Level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0.48832119598646251"/>
              <c:y val="0.94031294780731967"/>
            </c:manualLayout>
          </c:layout>
          <c:overlay val="0"/>
        </c:title>
        <c:numFmt formatCode="#,##0_ ;[Red]\-#,##0\ " sourceLinked="1"/>
        <c:majorTickMark val="out"/>
        <c:minorTickMark val="none"/>
        <c:tickLblPos val="nextTo"/>
        <c:crossAx val="366065552"/>
        <c:crosses val="autoZero"/>
        <c:auto val="1"/>
        <c:lblAlgn val="ctr"/>
        <c:lblOffset val="100"/>
        <c:noMultiLvlLbl val="0"/>
      </c:catAx>
      <c:valAx>
        <c:axId val="36606555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zh-CN"/>
                  <a:t>Currency</a:t>
                </a:r>
                <a:r>
                  <a:rPr lang="en-US" altLang="zh-CN" baseline="0"/>
                  <a:t> Converted into 1 Hour Speed Up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4.5979510487358785E-3"/>
              <c:y val="0.12637603098098019"/>
            </c:manualLayout>
          </c:layout>
          <c:overlay val="0"/>
        </c:title>
        <c:numFmt formatCode="#,##0_ ;[Red]\-#,##0\ " sourceLinked="0"/>
        <c:majorTickMark val="out"/>
        <c:minorTickMark val="none"/>
        <c:tickLblPos val="nextTo"/>
        <c:crossAx val="366064992"/>
        <c:crosses val="autoZero"/>
        <c:crossBetween val="between"/>
        <c:majorUnit val="1"/>
      </c:valAx>
    </c:plotArea>
    <c:legend>
      <c:legendPos val="r"/>
      <c:layout>
        <c:manualLayout>
          <c:xMode val="edge"/>
          <c:yMode val="edge"/>
          <c:x val="0.12714162203175425"/>
          <c:y val="2.2227049425893111E-2"/>
          <c:w val="0.5144498096880733"/>
          <c:h val="0.12337926556190738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</c:spPr>
    </c:legend>
    <c:plotVisOnly val="1"/>
    <c:dispBlanksAs val="gap"/>
    <c:showDLblsOverMax val="0"/>
  </c:chart>
  <c:printSettings>
    <c:headerFooter/>
    <c:pageMargins b="0.75000000000000422" l="0.70000000000000062" r="0.70000000000000062" t="0.75000000000000422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318285214348206"/>
          <c:y val="3.2984430914739959E-2"/>
          <c:w val="0.8382075678040245"/>
          <c:h val="0.82473896122766088"/>
        </c:manualLayout>
      </c:layout>
      <c:lineChart>
        <c:grouping val="standard"/>
        <c:varyColors val="0"/>
        <c:ser>
          <c:idx val="3"/>
          <c:order val="0"/>
          <c:tx>
            <c:strRef>
              <c:f>'Rss-Time Scarcity'!$M$2:$M$3</c:f>
              <c:strCache>
                <c:ptCount val="2"/>
                <c:pt idx="0">
                  <c:v>(Total Rss Cost / Rss Output) / Construction Time</c:v>
                </c:pt>
              </c:strCache>
            </c:strRef>
          </c:tx>
          <c:spPr>
            <a:ln>
              <a:solidFill>
                <a:srgbClr val="0000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'Rss-Time Scarcity'!$M$4:$M$14</c:f>
              <c:numCache>
                <c:formatCode>0%</c:formatCode>
                <c:ptCount val="11"/>
                <c:pt idx="0">
                  <c:v>450</c:v>
                </c:pt>
                <c:pt idx="1">
                  <c:v>109.28571428571429</c:v>
                </c:pt>
                <c:pt idx="2">
                  <c:v>46.446428571428569</c:v>
                </c:pt>
                <c:pt idx="3">
                  <c:v>23.721428571428572</c:v>
                </c:pt>
                <c:pt idx="4">
                  <c:v>13.451785714285712</c:v>
                </c:pt>
                <c:pt idx="5">
                  <c:v>9.5657777777777788</c:v>
                </c:pt>
                <c:pt idx="6">
                  <c:v>7.2062500000000007</c:v>
                </c:pt>
                <c:pt idx="7">
                  <c:v>5.6049107142857135</c:v>
                </c:pt>
                <c:pt idx="8">
                  <c:v>4.4839285714285717</c:v>
                </c:pt>
                <c:pt idx="9">
                  <c:v>2.7515066964285713</c:v>
                </c:pt>
                <c:pt idx="10">
                  <c:v>2.866141183035714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6067792"/>
        <c:axId val="366068352"/>
      </c:lineChart>
      <c:catAx>
        <c:axId val="3660677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CN"/>
                  <a:t>Construction Level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0.48832119598646251"/>
              <c:y val="0.94031294780731967"/>
            </c:manualLayout>
          </c:layout>
          <c:overlay val="0"/>
        </c:title>
        <c:numFmt formatCode="#,##0_ ;[Red]\-#,##0\ " sourceLinked="1"/>
        <c:majorTickMark val="out"/>
        <c:minorTickMark val="none"/>
        <c:tickLblPos val="nextTo"/>
        <c:crossAx val="366068352"/>
        <c:crosses val="autoZero"/>
        <c:auto val="1"/>
        <c:lblAlgn val="ctr"/>
        <c:lblOffset val="100"/>
        <c:noMultiLvlLbl val="0"/>
      </c:catAx>
      <c:valAx>
        <c:axId val="366068352"/>
        <c:scaling>
          <c:orientation val="minMax"/>
          <c:max val="45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zh-CN"/>
                  <a:t>Construction "Resource</a:t>
                </a:r>
                <a:r>
                  <a:rPr lang="en-US" altLang="zh-CN" baseline="0"/>
                  <a:t> - Time" Scarcity</a:t>
                </a:r>
                <a:endParaRPr lang="zh-CN" altLang="en-US"/>
              </a:p>
            </c:rich>
          </c:tx>
          <c:overlay val="0"/>
        </c:title>
        <c:numFmt formatCode="0%" sourceLinked="1"/>
        <c:majorTickMark val="out"/>
        <c:minorTickMark val="none"/>
        <c:tickLblPos val="nextTo"/>
        <c:crossAx val="3660677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7373306558584869"/>
          <c:y val="8.8525372739556629E-2"/>
          <c:w val="0.34483094410743081"/>
          <c:h val="0.14179546648236965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</c:spPr>
    </c:legend>
    <c:plotVisOnly val="1"/>
    <c:dispBlanksAs val="gap"/>
    <c:showDLblsOverMax val="0"/>
  </c:chart>
  <c:printSettings>
    <c:headerFooter/>
    <c:pageMargins b="0.75000000000000422" l="0.70000000000000062" r="0.70000000000000062" t="0.75000000000000422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815348259403518"/>
          <c:y val="3.2984430914739959E-2"/>
          <c:w val="0.8732371264979778"/>
          <c:h val="0.82473896122766066"/>
        </c:manualLayout>
      </c:layout>
      <c:lineChart>
        <c:grouping val="standard"/>
        <c:varyColors val="0"/>
        <c:ser>
          <c:idx val="3"/>
          <c:order val="0"/>
          <c:tx>
            <c:strRef>
              <c:f>'Rss-Time Scarcity'!$AH$2:$AH$3</c:f>
              <c:strCache>
                <c:ptCount val="2"/>
                <c:pt idx="0">
                  <c:v>Total Resource Output without Silver (1/sec)</c:v>
                </c:pt>
              </c:strCache>
            </c:strRef>
          </c:tx>
          <c:spPr>
            <a:ln>
              <a:solidFill>
                <a:srgbClr val="0000FF"/>
              </a:solidFill>
            </a:ln>
          </c:spPr>
          <c:marker>
            <c:symbol val="none"/>
          </c:marker>
          <c:val>
            <c:numRef>
              <c:f>'Rss-Time Scarcity'!$AH$4:$AH$33</c:f>
              <c:numCache>
                <c:formatCode>#,##0.00_ ;[Red]\-#,##0.00\ </c:formatCode>
                <c:ptCount val="30"/>
                <c:pt idx="0">
                  <c:v>0</c:v>
                </c:pt>
                <c:pt idx="1">
                  <c:v>1.0833333333333334E-2</c:v>
                </c:pt>
                <c:pt idx="2">
                  <c:v>1.9583333333333335E-2</c:v>
                </c:pt>
                <c:pt idx="3">
                  <c:v>1.9583333333333335E-2</c:v>
                </c:pt>
                <c:pt idx="4">
                  <c:v>1.9583333333333335E-2</c:v>
                </c:pt>
                <c:pt idx="5">
                  <c:v>2.0625000000000001E-2</c:v>
                </c:pt>
                <c:pt idx="6">
                  <c:v>2.0625000000000001E-2</c:v>
                </c:pt>
                <c:pt idx="7">
                  <c:v>7.6874999999999999E-2</c:v>
                </c:pt>
                <c:pt idx="8">
                  <c:v>0.16916666666666666</c:v>
                </c:pt>
                <c:pt idx="9">
                  <c:v>0.16916666666666666</c:v>
                </c:pt>
                <c:pt idx="10">
                  <c:v>0.30916666666666665</c:v>
                </c:pt>
                <c:pt idx="11">
                  <c:v>0.55770833333333336</c:v>
                </c:pt>
                <c:pt idx="12">
                  <c:v>0.5814583333333333</c:v>
                </c:pt>
                <c:pt idx="13">
                  <c:v>0.61145833333333333</c:v>
                </c:pt>
                <c:pt idx="14">
                  <c:v>0.79770833333333335</c:v>
                </c:pt>
                <c:pt idx="15">
                  <c:v>2.6660416666666666</c:v>
                </c:pt>
                <c:pt idx="16">
                  <c:v>2.7124999999999999</c:v>
                </c:pt>
                <c:pt idx="17">
                  <c:v>4.1608333333333336</c:v>
                </c:pt>
                <c:pt idx="18">
                  <c:v>4.5581250000000004</c:v>
                </c:pt>
                <c:pt idx="19">
                  <c:v>4.7712500000000002</c:v>
                </c:pt>
                <c:pt idx="20">
                  <c:v>6.3679166666666669</c:v>
                </c:pt>
                <c:pt idx="21">
                  <c:v>6.744791666666667</c:v>
                </c:pt>
                <c:pt idx="22">
                  <c:v>6.8966666666666665</c:v>
                </c:pt>
                <c:pt idx="23">
                  <c:v>7.3462500000000004</c:v>
                </c:pt>
                <c:pt idx="24">
                  <c:v>7.4702083333333329</c:v>
                </c:pt>
                <c:pt idx="25">
                  <c:v>7.7770833333333336</c:v>
                </c:pt>
                <c:pt idx="26">
                  <c:v>8.6368749999999999</c:v>
                </c:pt>
                <c:pt idx="27">
                  <c:v>9.8937500000000007</c:v>
                </c:pt>
                <c:pt idx="28">
                  <c:v>10.369166666666667</c:v>
                </c:pt>
                <c:pt idx="29">
                  <c:v>10.753541666666667</c:v>
                </c:pt>
              </c:numCache>
            </c:numRef>
          </c:val>
          <c:smooth val="0"/>
        </c:ser>
        <c:ser>
          <c:idx val="0"/>
          <c:order val="1"/>
          <c:tx>
            <c:strRef>
              <c:f>'Rss-Time Scarcity'!$AM$2:$AM$3</c:f>
              <c:strCache>
                <c:ptCount val="2"/>
                <c:pt idx="0">
                  <c:v>Rss Cost / Training Time (1/sec) - T1 Infantry</c:v>
                </c:pt>
              </c:strCache>
            </c:strRef>
          </c:tx>
          <c:spPr>
            <a:ln>
              <a:solidFill>
                <a:srgbClr val="99CC00"/>
              </a:solidFill>
            </a:ln>
          </c:spPr>
          <c:marker>
            <c:symbol val="none"/>
          </c:marker>
          <c:val>
            <c:numRef>
              <c:f>'Rss-Time Scarcity'!$AM$4:$AM$33</c:f>
              <c:numCache>
                <c:formatCode>#,##0.00_ ;[Red]\-#,##0.00\ </c:formatCode>
                <c:ptCount val="30"/>
                <c:pt idx="0">
                  <c:v>9.2919999999999998</c:v>
                </c:pt>
                <c:pt idx="1">
                  <c:v>9.3839999999999986</c:v>
                </c:pt>
                <c:pt idx="2">
                  <c:v>9.4759999999999991</c:v>
                </c:pt>
                <c:pt idx="3">
                  <c:v>9.5679999999999996</c:v>
                </c:pt>
                <c:pt idx="4">
                  <c:v>9.66</c:v>
                </c:pt>
                <c:pt idx="5">
                  <c:v>9.7519999999999989</c:v>
                </c:pt>
                <c:pt idx="6">
                  <c:v>9.8439999999999994</c:v>
                </c:pt>
                <c:pt idx="7">
                  <c:v>9.9359999999999999</c:v>
                </c:pt>
                <c:pt idx="8">
                  <c:v>10.028</c:v>
                </c:pt>
                <c:pt idx="9">
                  <c:v>10.119999999999999</c:v>
                </c:pt>
                <c:pt idx="10">
                  <c:v>10.212</c:v>
                </c:pt>
                <c:pt idx="11">
                  <c:v>10.304</c:v>
                </c:pt>
                <c:pt idx="12">
                  <c:v>10.395999999999999</c:v>
                </c:pt>
                <c:pt idx="13">
                  <c:v>10.488</c:v>
                </c:pt>
                <c:pt idx="14">
                  <c:v>10.579999999999998</c:v>
                </c:pt>
                <c:pt idx="15">
                  <c:v>10.671999999999999</c:v>
                </c:pt>
                <c:pt idx="16">
                  <c:v>10.763999999999999</c:v>
                </c:pt>
                <c:pt idx="17">
                  <c:v>10.855999999999998</c:v>
                </c:pt>
                <c:pt idx="18">
                  <c:v>10.947999999999999</c:v>
                </c:pt>
                <c:pt idx="19">
                  <c:v>11.04</c:v>
                </c:pt>
                <c:pt idx="20">
                  <c:v>11.132</c:v>
                </c:pt>
                <c:pt idx="21">
                  <c:v>11.223999999999998</c:v>
                </c:pt>
                <c:pt idx="22">
                  <c:v>11.315999999999999</c:v>
                </c:pt>
                <c:pt idx="23">
                  <c:v>11.407999999999999</c:v>
                </c:pt>
                <c:pt idx="24">
                  <c:v>11.5</c:v>
                </c:pt>
                <c:pt idx="25">
                  <c:v>11.591999999999999</c:v>
                </c:pt>
                <c:pt idx="26">
                  <c:v>11.683999999999999</c:v>
                </c:pt>
                <c:pt idx="27">
                  <c:v>11.776</c:v>
                </c:pt>
                <c:pt idx="28">
                  <c:v>11.867999999999999</c:v>
                </c:pt>
                <c:pt idx="29">
                  <c:v>11.959999999999999</c:v>
                </c:pt>
              </c:numCache>
            </c:numRef>
          </c:val>
          <c:smooth val="0"/>
        </c:ser>
        <c:ser>
          <c:idx val="1"/>
          <c:order val="2"/>
          <c:tx>
            <c:strRef>
              <c:f>'Rss-Time Scarcity'!$AN$2:$AN$3</c:f>
              <c:strCache>
                <c:ptCount val="2"/>
                <c:pt idx="0">
                  <c:v>Rss Cost / Training Time (1/sec) - T2 Infantry</c:v>
                </c:pt>
              </c:strCache>
            </c:strRef>
          </c:tx>
          <c:spPr>
            <a:ln>
              <a:solidFill>
                <a:srgbClr val="008000"/>
              </a:solidFill>
            </a:ln>
          </c:spPr>
          <c:marker>
            <c:symbol val="none"/>
          </c:marker>
          <c:val>
            <c:numRef>
              <c:f>'Rss-Time Scarcity'!$AN$4:$AN$33</c:f>
              <c:numCache>
                <c:formatCode>#,##0.00_ ;[Red]\-#,##0.00\ </c:formatCode>
                <c:ptCount val="30"/>
                <c:pt idx="0">
                  <c:v>9.2583333333333329</c:v>
                </c:pt>
                <c:pt idx="1">
                  <c:v>9.35</c:v>
                </c:pt>
                <c:pt idx="2">
                  <c:v>9.4416666666666664</c:v>
                </c:pt>
                <c:pt idx="3">
                  <c:v>9.5333333333333332</c:v>
                </c:pt>
                <c:pt idx="4">
                  <c:v>9.625</c:v>
                </c:pt>
                <c:pt idx="5">
                  <c:v>9.7166666666666668</c:v>
                </c:pt>
                <c:pt idx="6">
                  <c:v>9.8083333333333336</c:v>
                </c:pt>
                <c:pt idx="7">
                  <c:v>9.9</c:v>
                </c:pt>
                <c:pt idx="8">
                  <c:v>9.9916666666666671</c:v>
                </c:pt>
                <c:pt idx="9">
                  <c:v>10.083333333333334</c:v>
                </c:pt>
                <c:pt idx="10">
                  <c:v>10.175000000000001</c:v>
                </c:pt>
                <c:pt idx="11">
                  <c:v>10.266666666666667</c:v>
                </c:pt>
                <c:pt idx="12">
                  <c:v>10.358333333333333</c:v>
                </c:pt>
                <c:pt idx="13">
                  <c:v>10.450000000000001</c:v>
                </c:pt>
                <c:pt idx="14">
                  <c:v>10.541666666666664</c:v>
                </c:pt>
                <c:pt idx="15">
                  <c:v>10.633333333333331</c:v>
                </c:pt>
                <c:pt idx="16">
                  <c:v>10.724999999999998</c:v>
                </c:pt>
                <c:pt idx="17">
                  <c:v>10.816666666666665</c:v>
                </c:pt>
                <c:pt idx="18">
                  <c:v>10.908333333333331</c:v>
                </c:pt>
                <c:pt idx="19">
                  <c:v>10.999999999999998</c:v>
                </c:pt>
                <c:pt idx="20">
                  <c:v>11.091666666666665</c:v>
                </c:pt>
                <c:pt idx="21">
                  <c:v>11.183333333333332</c:v>
                </c:pt>
                <c:pt idx="22">
                  <c:v>11.274999999999999</c:v>
                </c:pt>
                <c:pt idx="23">
                  <c:v>11.366666666666665</c:v>
                </c:pt>
                <c:pt idx="24">
                  <c:v>11.458333333333332</c:v>
                </c:pt>
                <c:pt idx="25">
                  <c:v>11.549999999999999</c:v>
                </c:pt>
                <c:pt idx="26">
                  <c:v>11.641666666666666</c:v>
                </c:pt>
                <c:pt idx="27">
                  <c:v>11.733333333333333</c:v>
                </c:pt>
                <c:pt idx="28">
                  <c:v>11.824999999999999</c:v>
                </c:pt>
                <c:pt idx="29">
                  <c:v>11.916666666666666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6135392"/>
        <c:axId val="366135952"/>
      </c:lineChart>
      <c:catAx>
        <c:axId val="3661353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CN"/>
                  <a:t>Hero Level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0.48832119598646273"/>
              <c:y val="0.94031294780731922"/>
            </c:manualLayout>
          </c:layout>
          <c:overlay val="0"/>
        </c:title>
        <c:numFmt formatCode="#,##0_ ;[Red]\-#,##0\ " sourceLinked="1"/>
        <c:majorTickMark val="out"/>
        <c:minorTickMark val="none"/>
        <c:tickLblPos val="nextTo"/>
        <c:crossAx val="366135952"/>
        <c:crosses val="autoZero"/>
        <c:auto val="1"/>
        <c:lblAlgn val="ctr"/>
        <c:lblOffset val="100"/>
        <c:noMultiLvlLbl val="0"/>
      </c:catAx>
      <c:valAx>
        <c:axId val="36613595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zh-CN"/>
                  <a:t>Resource Output and Training</a:t>
                </a:r>
                <a:r>
                  <a:rPr lang="en-US" altLang="zh-CN" baseline="0"/>
                  <a:t> Demand </a:t>
                </a:r>
                <a:r>
                  <a:rPr lang="en-US" altLang="zh-CN" b="0" baseline="0"/>
                  <a:t>(1/sec)</a:t>
                </a:r>
                <a:endParaRPr lang="zh-CN" altLang="en-US" b="0"/>
              </a:p>
            </c:rich>
          </c:tx>
          <c:layout>
            <c:manualLayout>
              <c:xMode val="edge"/>
              <c:yMode val="edge"/>
              <c:x val="9.643847899795447E-3"/>
              <c:y val="8.0731404494887166E-2"/>
            </c:manualLayout>
          </c:layout>
          <c:overlay val="0"/>
        </c:title>
        <c:numFmt formatCode="#,##0_ ;[Red]\-#,##0\ " sourceLinked="0"/>
        <c:majorTickMark val="out"/>
        <c:minorTickMark val="none"/>
        <c:tickLblPos val="nextTo"/>
        <c:crossAx val="3661353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13336882711725093"/>
          <c:y val="0.36845162673057907"/>
          <c:w val="0.38705466976770286"/>
          <c:h val="0.31490775513471242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</c:spPr>
    </c:legend>
    <c:plotVisOnly val="1"/>
    <c:dispBlanksAs val="gap"/>
    <c:showDLblsOverMax val="0"/>
  </c:chart>
  <c:printSettings>
    <c:headerFooter/>
    <c:pageMargins b="0.75000000000000444" l="0.70000000000000062" r="0.70000000000000062" t="0.75000000000000444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994513397689831"/>
          <c:y val="5.1400554097404488E-2"/>
          <c:w val="0.83677704128791808"/>
          <c:h val="0.79974285406105061"/>
        </c:manualLayout>
      </c:layout>
      <c:lineChart>
        <c:grouping val="standard"/>
        <c:varyColors val="0"/>
        <c:ser>
          <c:idx val="0"/>
          <c:order val="0"/>
          <c:tx>
            <c:strRef>
              <c:f>'Rss Output, Overload'!$G$3</c:f>
              <c:strCache>
                <c:ptCount val="1"/>
                <c:pt idx="0">
                  <c:v>Total Amount of 4 Resources</c:v>
                </c:pt>
              </c:strCache>
            </c:strRef>
          </c:tx>
          <c:marker>
            <c:symbol val="none"/>
          </c:marker>
          <c:val>
            <c:numRef>
              <c:f>'Rss Output, Overload'!$G$4:$G$33</c:f>
              <c:numCache>
                <c:formatCode>#,##0_ ;[Red]\-#,##0\ </c:formatCode>
                <c:ptCount val="30"/>
                <c:pt idx="0">
                  <c:v>80000</c:v>
                </c:pt>
                <c:pt idx="1">
                  <c:v>114580</c:v>
                </c:pt>
                <c:pt idx="2">
                  <c:v>155980</c:v>
                </c:pt>
                <c:pt idx="3">
                  <c:v>155980</c:v>
                </c:pt>
                <c:pt idx="4">
                  <c:v>175140</c:v>
                </c:pt>
                <c:pt idx="5">
                  <c:v>81280</c:v>
                </c:pt>
                <c:pt idx="6">
                  <c:v>265180</c:v>
                </c:pt>
                <c:pt idx="7">
                  <c:v>387810</c:v>
                </c:pt>
                <c:pt idx="8">
                  <c:v>431750</c:v>
                </c:pt>
                <c:pt idx="9">
                  <c:v>427750</c:v>
                </c:pt>
                <c:pt idx="10">
                  <c:v>569500</c:v>
                </c:pt>
                <c:pt idx="11">
                  <c:v>757700</c:v>
                </c:pt>
                <c:pt idx="12">
                  <c:v>755000</c:v>
                </c:pt>
                <c:pt idx="13">
                  <c:v>774900</c:v>
                </c:pt>
                <c:pt idx="14">
                  <c:v>1044400</c:v>
                </c:pt>
                <c:pt idx="15">
                  <c:v>984400</c:v>
                </c:pt>
                <c:pt idx="16">
                  <c:v>893400</c:v>
                </c:pt>
                <c:pt idx="17">
                  <c:v>1060000</c:v>
                </c:pt>
                <c:pt idx="18">
                  <c:v>1063400</c:v>
                </c:pt>
                <c:pt idx="19">
                  <c:v>1898100</c:v>
                </c:pt>
                <c:pt idx="20">
                  <c:v>1339700</c:v>
                </c:pt>
                <c:pt idx="21">
                  <c:v>1475100</c:v>
                </c:pt>
                <c:pt idx="22">
                  <c:v>1892600</c:v>
                </c:pt>
                <c:pt idx="23">
                  <c:v>1796100</c:v>
                </c:pt>
                <c:pt idx="24">
                  <c:v>1478900</c:v>
                </c:pt>
                <c:pt idx="25">
                  <c:v>1568000</c:v>
                </c:pt>
                <c:pt idx="26">
                  <c:v>2407100</c:v>
                </c:pt>
                <c:pt idx="27">
                  <c:v>1460900</c:v>
                </c:pt>
                <c:pt idx="28">
                  <c:v>2533800</c:v>
                </c:pt>
                <c:pt idx="29">
                  <c:v>3871100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'Rss Output, Overload'!$V$2</c:f>
              <c:strCache>
                <c:ptCount val="1"/>
                <c:pt idx="0">
                  <c:v>Total Amount of 4 Rss Protected by Storehouse</c:v>
                </c:pt>
              </c:strCache>
            </c:strRef>
          </c:tx>
          <c:marker>
            <c:symbol val="none"/>
          </c:marker>
          <c:val>
            <c:numRef>
              <c:f>'Rss Output, Overload'!$V$4:$V$33</c:f>
              <c:numCache>
                <c:formatCode>#,##0_ ;[Red]\-#,##0\ </c:formatCode>
                <c:ptCount val="30"/>
                <c:pt idx="0">
                  <c:v>400000</c:v>
                </c:pt>
                <c:pt idx="1">
                  <c:v>400000</c:v>
                </c:pt>
                <c:pt idx="2">
                  <c:v>400000</c:v>
                </c:pt>
                <c:pt idx="3">
                  <c:v>400000</c:v>
                </c:pt>
                <c:pt idx="4">
                  <c:v>600000</c:v>
                </c:pt>
                <c:pt idx="5">
                  <c:v>600000</c:v>
                </c:pt>
                <c:pt idx="6">
                  <c:v>800000</c:v>
                </c:pt>
                <c:pt idx="7">
                  <c:v>800000</c:v>
                </c:pt>
                <c:pt idx="8">
                  <c:v>800000</c:v>
                </c:pt>
                <c:pt idx="9">
                  <c:v>1000000</c:v>
                </c:pt>
                <c:pt idx="10">
                  <c:v>1000000</c:v>
                </c:pt>
                <c:pt idx="11">
                  <c:v>1000000</c:v>
                </c:pt>
                <c:pt idx="12">
                  <c:v>1000000</c:v>
                </c:pt>
                <c:pt idx="13">
                  <c:v>1200000</c:v>
                </c:pt>
                <c:pt idx="14">
                  <c:v>1200000</c:v>
                </c:pt>
                <c:pt idx="15">
                  <c:v>1400000</c:v>
                </c:pt>
                <c:pt idx="16">
                  <c:v>1400000</c:v>
                </c:pt>
                <c:pt idx="17">
                  <c:v>1600000</c:v>
                </c:pt>
                <c:pt idx="18">
                  <c:v>1600000</c:v>
                </c:pt>
                <c:pt idx="19">
                  <c:v>1800000</c:v>
                </c:pt>
                <c:pt idx="20">
                  <c:v>1800000</c:v>
                </c:pt>
                <c:pt idx="21">
                  <c:v>1800000</c:v>
                </c:pt>
                <c:pt idx="22">
                  <c:v>2000000</c:v>
                </c:pt>
                <c:pt idx="23">
                  <c:v>2000000</c:v>
                </c:pt>
                <c:pt idx="24">
                  <c:v>2000000</c:v>
                </c:pt>
                <c:pt idx="25">
                  <c:v>2000000</c:v>
                </c:pt>
                <c:pt idx="26">
                  <c:v>2200000</c:v>
                </c:pt>
                <c:pt idx="27">
                  <c:v>2200000</c:v>
                </c:pt>
                <c:pt idx="28">
                  <c:v>2200000</c:v>
                </c:pt>
                <c:pt idx="29">
                  <c:v>2200000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6279088"/>
        <c:axId val="366279648"/>
      </c:lineChart>
      <c:catAx>
        <c:axId val="3662790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CN"/>
                  <a:t>Hero Level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0.48046799234841592"/>
              <c:y val="0.93349757307733749"/>
            </c:manualLayout>
          </c:layout>
          <c:overlay val="0"/>
        </c:title>
        <c:numFmt formatCode="#,##0_ ;[Red]\-#,##0\ " sourceLinked="1"/>
        <c:majorTickMark val="out"/>
        <c:minorTickMark val="none"/>
        <c:tickLblPos val="nextTo"/>
        <c:crossAx val="366279648"/>
        <c:crosses val="autoZero"/>
        <c:auto val="1"/>
        <c:lblAlgn val="ctr"/>
        <c:lblOffset val="100"/>
        <c:noMultiLvlLbl val="0"/>
      </c:catAx>
      <c:valAx>
        <c:axId val="366279648"/>
        <c:scaling>
          <c:orientation val="minMax"/>
          <c:max val="400000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zh-CN"/>
                  <a:t>Total</a:t>
                </a:r>
                <a:r>
                  <a:rPr lang="en-US" altLang="zh-CN" baseline="0"/>
                  <a:t> Amount of 4 Resources (k)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5.5676656237179404E-3"/>
              <c:y val="0.19730830906410671"/>
            </c:manualLayout>
          </c:layout>
          <c:overlay val="0"/>
        </c:title>
        <c:numFmt formatCode="#,##0_ ;[Red]\-#,##0\ " sourceLinked="1"/>
        <c:majorTickMark val="out"/>
        <c:minorTickMark val="none"/>
        <c:tickLblPos val="nextTo"/>
        <c:crossAx val="366279088"/>
        <c:crosses val="autoZero"/>
        <c:crossBetween val="between"/>
        <c:dispUnits>
          <c:builtInUnit val="thousands"/>
        </c:dispUnits>
      </c:valAx>
    </c:plotArea>
    <c:legend>
      <c:legendPos val="r"/>
      <c:layout>
        <c:manualLayout>
          <c:xMode val="edge"/>
          <c:yMode val="edge"/>
          <c:x val="0.15870239383918927"/>
          <c:y val="0.10839017725524092"/>
          <c:w val="0.37935871010474309"/>
          <c:h val="0.18050005393161472"/>
        </c:manualLayout>
      </c:layout>
      <c:overlay val="0"/>
      <c:spPr>
        <a:solidFill>
          <a:sysClr val="window" lastClr="FFFFFF"/>
        </a:solidFill>
        <a:ln>
          <a:solidFill>
            <a:sysClr val="windowText" lastClr="000000"/>
          </a:solidFill>
        </a:ln>
      </c:spPr>
    </c:legend>
    <c:plotVisOnly val="1"/>
    <c:dispBlanksAs val="gap"/>
    <c:showDLblsOverMax val="0"/>
  </c:chart>
  <c:printSettings>
    <c:headerFooter/>
    <c:pageMargins b="0.750000000000004" l="0.70000000000000062" r="0.70000000000000062" t="0.750000000000004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994513397689845"/>
          <c:y val="5.1400554097404488E-2"/>
          <c:w val="0.83677704128791808"/>
          <c:h val="0.79974285406105061"/>
        </c:manualLayout>
      </c:layout>
      <c:lineChart>
        <c:grouping val="standard"/>
        <c:varyColors val="0"/>
        <c:ser>
          <c:idx val="1"/>
          <c:order val="0"/>
          <c:tx>
            <c:strRef>
              <c:f>'Rss Output, Overload'!$W$2:$W$3</c:f>
              <c:strCache>
                <c:ptCount val="2"/>
                <c:pt idx="0">
                  <c:v>Total Protected Amount / Actual Total Output (Hour) - GoW</c:v>
                </c:pt>
              </c:strCache>
            </c:strRef>
          </c:tx>
          <c:marker>
            <c:symbol val="none"/>
          </c:marker>
          <c:cat>
            <c:numRef>
              <c:f>'Rss Output, Overload'!$B$8:$B$33</c:f>
              <c:numCache>
                <c:formatCode>#,##0_ ;[Red]\-#,##0\ </c:formatCode>
                <c:ptCount val="2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</c:numCache>
            </c:numRef>
          </c:cat>
          <c:val>
            <c:numRef>
              <c:f>'Rss Output, Overload'!$W$8:$W$33</c:f>
              <c:numCache>
                <c:formatCode>#,##0_ ;[Red]\-#,##0\ </c:formatCode>
                <c:ptCount val="26"/>
                <c:pt idx="0">
                  <c:v>6382.9787234042551</c:v>
                </c:pt>
                <c:pt idx="1">
                  <c:v>6060.606060606061</c:v>
                </c:pt>
                <c:pt idx="2">
                  <c:v>8080.8080808080804</c:v>
                </c:pt>
                <c:pt idx="3">
                  <c:v>2168.021680216802</c:v>
                </c:pt>
                <c:pt idx="4">
                  <c:v>985.22167487684726</c:v>
                </c:pt>
                <c:pt idx="5">
                  <c:v>1231.5270935960591</c:v>
                </c:pt>
                <c:pt idx="6">
                  <c:v>673.85444743935307</c:v>
                </c:pt>
                <c:pt idx="7">
                  <c:v>373.55248412401943</c:v>
                </c:pt>
                <c:pt idx="8">
                  <c:v>358.29451809387314</c:v>
                </c:pt>
                <c:pt idx="9">
                  <c:v>408.85860306643951</c:v>
                </c:pt>
                <c:pt idx="10">
                  <c:v>313.39775398276311</c:v>
                </c:pt>
                <c:pt idx="11">
                  <c:v>109.40064077518169</c:v>
                </c:pt>
                <c:pt idx="12">
                  <c:v>107.52688172043011</c:v>
                </c:pt>
                <c:pt idx="13">
                  <c:v>80.112157019827762</c:v>
                </c:pt>
                <c:pt idx="14">
                  <c:v>73.129484894190782</c:v>
                </c:pt>
                <c:pt idx="15">
                  <c:v>78.595755829185222</c:v>
                </c:pt>
                <c:pt idx="16">
                  <c:v>58.888961591310604</c:v>
                </c:pt>
                <c:pt idx="17">
                  <c:v>55.598455598455601</c:v>
                </c:pt>
                <c:pt idx="18">
                  <c:v>60.415659739004347</c:v>
                </c:pt>
                <c:pt idx="19">
                  <c:v>56.718280301741252</c:v>
                </c:pt>
                <c:pt idx="20">
                  <c:v>55.777114649859165</c:v>
                </c:pt>
                <c:pt idx="21">
                  <c:v>53.576212161800157</c:v>
                </c:pt>
                <c:pt idx="22">
                  <c:v>53.067033311624094</c:v>
                </c:pt>
                <c:pt idx="23">
                  <c:v>46.325542219414615</c:v>
                </c:pt>
                <c:pt idx="24">
                  <c:v>44.201559109539502</c:v>
                </c:pt>
                <c:pt idx="25">
                  <c:v>42.621616909157837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6769456"/>
        <c:axId val="366770016"/>
      </c:lineChart>
      <c:catAx>
        <c:axId val="3667694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CN"/>
                  <a:t>Hero Level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0.48046799234841603"/>
              <c:y val="0.93349757307733749"/>
            </c:manualLayout>
          </c:layout>
          <c:overlay val="0"/>
        </c:title>
        <c:numFmt formatCode="#,##0_ ;[Red]\-#,##0\ " sourceLinked="1"/>
        <c:majorTickMark val="out"/>
        <c:minorTickMark val="none"/>
        <c:tickLblPos val="nextTo"/>
        <c:crossAx val="366770016"/>
        <c:crosses val="autoZero"/>
        <c:auto val="1"/>
        <c:lblAlgn val="ctr"/>
        <c:lblOffset val="100"/>
        <c:noMultiLvlLbl val="0"/>
      </c:catAx>
      <c:valAx>
        <c:axId val="36677001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zh-CN"/>
                  <a:t>Actual Overflow Time</a:t>
                </a:r>
                <a:r>
                  <a:rPr lang="en-US" altLang="zh-CN" baseline="0"/>
                  <a:t> </a:t>
                </a:r>
                <a:r>
                  <a:rPr lang="en-US" altLang="zh-CN" b="0" baseline="0"/>
                  <a:t>(Hour)</a:t>
                </a:r>
                <a:endParaRPr lang="zh-CN" altLang="en-US" b="0"/>
              </a:p>
            </c:rich>
          </c:tx>
          <c:layout>
            <c:manualLayout>
              <c:xMode val="edge"/>
              <c:yMode val="edge"/>
              <c:x val="5.5676790401199853E-3"/>
              <c:y val="0.23749095746593324"/>
            </c:manualLayout>
          </c:layout>
          <c:overlay val="0"/>
        </c:title>
        <c:numFmt formatCode="#,##0_ ;[Red]\-#,##0\ " sourceLinked="1"/>
        <c:majorTickMark val="out"/>
        <c:minorTickMark val="none"/>
        <c:tickLblPos val="nextTo"/>
        <c:crossAx val="3667694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6346437945256833"/>
          <c:y val="7.9166432963002922E-2"/>
          <c:w val="0.37935871010474342"/>
          <c:h val="0.18050005393161472"/>
        </c:manualLayout>
      </c:layout>
      <c:overlay val="0"/>
      <c:spPr>
        <a:solidFill>
          <a:sysClr val="window" lastClr="FFFFFF"/>
        </a:solidFill>
        <a:ln>
          <a:solidFill>
            <a:sysClr val="windowText" lastClr="000000"/>
          </a:solidFill>
        </a:ln>
      </c:spPr>
    </c:legend>
    <c:plotVisOnly val="1"/>
    <c:dispBlanksAs val="gap"/>
    <c:showDLblsOverMax val="0"/>
  </c:chart>
  <c:printSettings>
    <c:headerFooter/>
    <c:pageMargins b="0.75000000000000422" l="0.70000000000000062" r="0.70000000000000062" t="0.75000000000000422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994513397689856"/>
          <c:y val="5.1400554097404488E-2"/>
          <c:w val="0.83677704128791808"/>
          <c:h val="0.79974285406105061"/>
        </c:manualLayout>
      </c:layout>
      <c:lineChart>
        <c:grouping val="standard"/>
        <c:varyColors val="0"/>
        <c:ser>
          <c:idx val="0"/>
          <c:order val="0"/>
          <c:tx>
            <c:strRef>
              <c:f>'Rss Output, Overload'!$BH$3</c:f>
              <c:strCache>
                <c:ptCount val="1"/>
                <c:pt idx="0">
                  <c:v>Total Protected Amount / Total Output (Hour) - KoM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'Rss Output, Overload'!$BH$4:$BH$13</c:f>
              <c:numCache>
                <c:formatCode>#,##0.0_ ;[Red]\-#,##0.0\ </c:formatCode>
                <c:ptCount val="10"/>
                <c:pt idx="0">
                  <c:v>338.46153846153851</c:v>
                </c:pt>
                <c:pt idx="1">
                  <c:v>200</c:v>
                </c:pt>
                <c:pt idx="2">
                  <c:v>136.84210526315789</c:v>
                </c:pt>
                <c:pt idx="3">
                  <c:v>101.81818181818181</c:v>
                </c:pt>
                <c:pt idx="4">
                  <c:v>80</c:v>
                </c:pt>
                <c:pt idx="5">
                  <c:v>65.306122448979593</c:v>
                </c:pt>
                <c:pt idx="6">
                  <c:v>54.838709677419352</c:v>
                </c:pt>
                <c:pt idx="7">
                  <c:v>47.058823529411768</c:v>
                </c:pt>
                <c:pt idx="8">
                  <c:v>41.081081081081081</c:v>
                </c:pt>
                <c:pt idx="9">
                  <c:v>36.363636363636367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'Rss Output, Overload'!$AW$3</c:f>
              <c:strCache>
                <c:ptCount val="1"/>
                <c:pt idx="0">
                  <c:v>Total Protected Amount / Total Output (Hour) - GoW</c:v>
                </c:pt>
              </c:strCache>
            </c:strRef>
          </c:tx>
          <c:marker>
            <c:symbol val="none"/>
          </c:marker>
          <c:cat>
            <c:numRef>
              <c:f>'Rss Output, Overload'!$AT$4:$AT$13</c:f>
              <c:numCache>
                <c:formatCode>#,##0_ ;[Red]\-#,##0\ 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'Rss Output, Overload'!$AW$4:$AW$13</c:f>
              <c:numCache>
                <c:formatCode>#,##0.0_ ;[Red]\-#,##0.0\ </c:formatCode>
                <c:ptCount val="10"/>
                <c:pt idx="0">
                  <c:v>400</c:v>
                </c:pt>
                <c:pt idx="1">
                  <c:v>200</c:v>
                </c:pt>
                <c:pt idx="2">
                  <c:v>133.33333333333334</c:v>
                </c:pt>
                <c:pt idx="3">
                  <c:v>100</c:v>
                </c:pt>
                <c:pt idx="4">
                  <c:v>80</c:v>
                </c:pt>
                <c:pt idx="5">
                  <c:v>66.666666666666671</c:v>
                </c:pt>
                <c:pt idx="6">
                  <c:v>57.142857142857146</c:v>
                </c:pt>
                <c:pt idx="7">
                  <c:v>50</c:v>
                </c:pt>
                <c:pt idx="8">
                  <c:v>44.444444444444443</c:v>
                </c:pt>
                <c:pt idx="9">
                  <c:v>40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6557632"/>
        <c:axId val="366558192"/>
      </c:lineChart>
      <c:catAx>
        <c:axId val="3665576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CN"/>
                  <a:t>Storehouse</a:t>
                </a:r>
                <a:r>
                  <a:rPr lang="en-US" altLang="zh-CN" baseline="0"/>
                  <a:t> and Resource Construction Level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0.32332508436445462"/>
              <c:y val="0.93349757307733783"/>
            </c:manualLayout>
          </c:layout>
          <c:overlay val="0"/>
        </c:title>
        <c:numFmt formatCode="#,##0_ ;[Red]\-#,##0\ " sourceLinked="1"/>
        <c:majorTickMark val="out"/>
        <c:minorTickMark val="none"/>
        <c:tickLblPos val="nextTo"/>
        <c:crossAx val="366558192"/>
        <c:crosses val="autoZero"/>
        <c:auto val="1"/>
        <c:lblAlgn val="ctr"/>
        <c:lblOffset val="100"/>
        <c:noMultiLvlLbl val="0"/>
      </c:catAx>
      <c:valAx>
        <c:axId val="36655819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zh-CN"/>
                  <a:t>Theoretical Overflow Time</a:t>
                </a:r>
                <a:r>
                  <a:rPr lang="en-US" altLang="zh-CN" baseline="0"/>
                  <a:t> </a:t>
                </a:r>
                <a:r>
                  <a:rPr lang="en-US" altLang="zh-CN" b="0" baseline="0"/>
                  <a:t>(Hour)</a:t>
                </a:r>
                <a:endParaRPr lang="zh-CN" altLang="en-US" b="0"/>
              </a:p>
            </c:rich>
          </c:tx>
          <c:layout>
            <c:manualLayout>
              <c:xMode val="edge"/>
              <c:yMode val="edge"/>
              <c:x val="5.5676790401199853E-3"/>
              <c:y val="0.23749095746593332"/>
            </c:manualLayout>
          </c:layout>
          <c:overlay val="0"/>
        </c:title>
        <c:numFmt formatCode="#,##0.0_ ;[Red]\-#,##0.0\ " sourceLinked="1"/>
        <c:majorTickMark val="out"/>
        <c:minorTickMark val="none"/>
        <c:tickLblPos val="nextTo"/>
        <c:crossAx val="3665576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8489295088113982"/>
          <c:y val="7.916643296300295E-2"/>
          <c:w val="0.45793007124109486"/>
          <c:h val="0.18050005393161472"/>
        </c:manualLayout>
      </c:layout>
      <c:overlay val="0"/>
      <c:spPr>
        <a:solidFill>
          <a:sysClr val="window" lastClr="FFFFFF"/>
        </a:solidFill>
        <a:ln>
          <a:solidFill>
            <a:sysClr val="windowText" lastClr="000000"/>
          </a:solidFill>
        </a:ln>
      </c:spPr>
    </c:legend>
    <c:plotVisOnly val="1"/>
    <c:dispBlanksAs val="gap"/>
    <c:showDLblsOverMax val="0"/>
  </c:chart>
  <c:printSettings>
    <c:headerFooter/>
    <c:pageMargins b="0.75000000000000444" l="0.70000000000000062" r="0.70000000000000062" t="0.75000000000000444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815328284271291"/>
          <c:y val="3.2984430914739959E-2"/>
          <c:w val="0.85323716244019943"/>
          <c:h val="0.82473896122766066"/>
        </c:manualLayout>
      </c:layout>
      <c:lineChart>
        <c:grouping val="standard"/>
        <c:varyColors val="0"/>
        <c:ser>
          <c:idx val="0"/>
          <c:order val="0"/>
          <c:tx>
            <c:strRef>
              <c:f>'Silver Supply'!$K$2:$K$3</c:f>
              <c:strCache>
                <c:ptCount val="2"/>
                <c:pt idx="0">
                  <c:v>Silver Demand Increase Rate</c:v>
                </c:pt>
              </c:strCache>
            </c:strRef>
          </c:tx>
          <c:spPr>
            <a:ln>
              <a:solidFill>
                <a:srgbClr val="CC3300"/>
              </a:solidFill>
            </a:ln>
          </c:spPr>
          <c:marker>
            <c:symbol val="none"/>
          </c:marker>
          <c:dLbls>
            <c:spPr>
              <a:noFill/>
            </c:spPr>
            <c:txPr>
              <a:bodyPr/>
              <a:lstStyle/>
              <a:p>
                <a:pPr>
                  <a:defRPr>
                    <a:solidFill>
                      <a:srgbClr val="FF0000"/>
                    </a:solidFill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'Silver Supply'!$K$4:$K$9</c:f>
              <c:numCache>
                <c:formatCode>0%</c:formatCode>
                <c:ptCount val="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'Silver Supply'!$O$2:$O$3</c:f>
              <c:strCache>
                <c:ptCount val="2"/>
                <c:pt idx="0">
                  <c:v>Silver Supply Increase Rate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'Silver Supply'!$O$4:$O$9</c:f>
              <c:numCache>
                <c:formatCode>0%</c:formatCode>
                <c:ptCount val="6"/>
                <c:pt idx="0">
                  <c:v>1</c:v>
                </c:pt>
                <c:pt idx="1">
                  <c:v>3</c:v>
                </c:pt>
                <c:pt idx="2">
                  <c:v>6</c:v>
                </c:pt>
                <c:pt idx="3">
                  <c:v>10</c:v>
                </c:pt>
                <c:pt idx="4">
                  <c:v>15</c:v>
                </c:pt>
                <c:pt idx="5">
                  <c:v>21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6996704"/>
        <c:axId val="366997264"/>
      </c:lineChart>
      <c:catAx>
        <c:axId val="3669967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CN"/>
                  <a:t>Silver-Supply-Construction Level and Research</a:t>
                </a:r>
                <a:r>
                  <a:rPr lang="en-US" altLang="zh-CN" baseline="0"/>
                  <a:t> Level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0.34090642135079691"/>
              <c:y val="0.94031294780732544"/>
            </c:manualLayout>
          </c:layout>
          <c:overlay val="0"/>
        </c:title>
        <c:numFmt formatCode="#,##0_ ;[Red]\-#,##0\ " sourceLinked="1"/>
        <c:majorTickMark val="out"/>
        <c:minorTickMark val="none"/>
        <c:tickLblPos val="nextTo"/>
        <c:crossAx val="366997264"/>
        <c:crosses val="autoZero"/>
        <c:auto val="1"/>
        <c:lblAlgn val="ctr"/>
        <c:lblOffset val="100"/>
        <c:noMultiLvlLbl val="0"/>
      </c:catAx>
      <c:valAx>
        <c:axId val="36699726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zh-CN"/>
                  <a:t>Increase Rate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4.5979401089715315E-3"/>
              <c:y val="0.32158776073787843"/>
            </c:manualLayout>
          </c:layout>
          <c:overlay val="0"/>
        </c:title>
        <c:numFmt formatCode="0%" sourceLinked="0"/>
        <c:majorTickMark val="out"/>
        <c:minorTickMark val="none"/>
        <c:tickLblPos val="nextTo"/>
        <c:crossAx val="3669967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16149480999745391"/>
          <c:y val="8.8525372739556629E-2"/>
          <c:w val="0.36630168658599332"/>
          <c:h val="0.12337926556190741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</c:spPr>
    </c:legend>
    <c:plotVisOnly val="1"/>
    <c:dispBlanksAs val="gap"/>
    <c:showDLblsOverMax val="0"/>
  </c:chart>
  <c:printSettings>
    <c:headerFooter/>
    <c:pageMargins b="0.75000000000000444" l="0.70000000000000062" r="0.70000000000000062" t="0.75000000000000444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471991162845268"/>
          <c:y val="3.2984430914739959E-2"/>
          <c:w val="0.88286983015797393"/>
          <c:h val="0.82473896122766066"/>
        </c:manualLayout>
      </c:layout>
      <c:lineChart>
        <c:grouping val="standard"/>
        <c:varyColors val="0"/>
        <c:ser>
          <c:idx val="1"/>
          <c:order val="0"/>
          <c:tx>
            <c:strRef>
              <c:f>'Level Up Time'!$R$2</c:f>
              <c:strCache>
                <c:ptCount val="1"/>
                <c:pt idx="0">
                  <c:v>Construction Time that has to be Waited for Each Level Up</c:v>
                </c:pt>
              </c:strCache>
            </c:strRef>
          </c:tx>
          <c:spPr>
            <a:ln>
              <a:solidFill>
                <a:srgbClr val="0099FF"/>
              </a:solidFill>
            </a:ln>
          </c:spPr>
          <c:marker>
            <c:symbol val="none"/>
          </c:marker>
          <c:val>
            <c:numRef>
              <c:f>'Level Up Time'!$R$5:$R$33</c:f>
              <c:numCache>
                <c:formatCode>[h]:mm:ss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8.3333333333333332E-3</c:v>
                </c:pt>
                <c:pt idx="5">
                  <c:v>3.4722222222222238E-3</c:v>
                </c:pt>
                <c:pt idx="6">
                  <c:v>0</c:v>
                </c:pt>
                <c:pt idx="7">
                  <c:v>0</c:v>
                </c:pt>
                <c:pt idx="8">
                  <c:v>2.2231389805647244E-3</c:v>
                </c:pt>
                <c:pt idx="9">
                  <c:v>0</c:v>
                </c:pt>
                <c:pt idx="10">
                  <c:v>1.3257575757575753E-2</c:v>
                </c:pt>
                <c:pt idx="11">
                  <c:v>2.865740740740743E-2</c:v>
                </c:pt>
                <c:pt idx="12">
                  <c:v>3.076569477278697E-2</c:v>
                </c:pt>
                <c:pt idx="13">
                  <c:v>0.12907144733385867</c:v>
                </c:pt>
                <c:pt idx="14">
                  <c:v>6.289565274494352E-2</c:v>
                </c:pt>
                <c:pt idx="15">
                  <c:v>0.31844628316259532</c:v>
                </c:pt>
                <c:pt idx="16">
                  <c:v>0.10147425794588905</c:v>
                </c:pt>
                <c:pt idx="17">
                  <c:v>0.33767237982663545</c:v>
                </c:pt>
                <c:pt idx="18">
                  <c:v>0.35500065668505387</c:v>
                </c:pt>
                <c:pt idx="19">
                  <c:v>0.33241561597058045</c:v>
                </c:pt>
                <c:pt idx="20">
                  <c:v>0.63306461089682387</c:v>
                </c:pt>
                <c:pt idx="21">
                  <c:v>0.43355548417050516</c:v>
                </c:pt>
                <c:pt idx="22">
                  <c:v>1.0184827869333177</c:v>
                </c:pt>
                <c:pt idx="23">
                  <c:v>0.508234186177563</c:v>
                </c:pt>
                <c:pt idx="24">
                  <c:v>1.8160791773621803</c:v>
                </c:pt>
                <c:pt idx="25">
                  <c:v>0.78367807938053335</c:v>
                </c:pt>
                <c:pt idx="26">
                  <c:v>0.82469382321618845</c:v>
                </c:pt>
                <c:pt idx="27">
                  <c:v>1.8219404508342194</c:v>
                </c:pt>
                <c:pt idx="28">
                  <c:v>2.5540098804875146</c:v>
                </c:pt>
              </c:numCache>
            </c:numRef>
          </c:val>
          <c:smooth val="0"/>
        </c:ser>
        <c:ser>
          <c:idx val="0"/>
          <c:order val="1"/>
          <c:tx>
            <c:strRef>
              <c:f>'Level Up Time'!$S$2</c:f>
              <c:strCache>
                <c:ptCount val="1"/>
                <c:pt idx="0">
                  <c:v>Cumulative Construction Time that has to be Waited Before Each Level Up</c:v>
                </c:pt>
              </c:strCache>
            </c:strRef>
          </c:tx>
          <c:spPr>
            <a:ln>
              <a:solidFill>
                <a:srgbClr val="0033CC"/>
              </a:solidFill>
            </a:ln>
          </c:spPr>
          <c:marker>
            <c:symbol val="none"/>
          </c:marker>
          <c:val>
            <c:numRef>
              <c:f>'Level Up Time'!$S$5:$S$33</c:f>
              <c:numCache>
                <c:formatCode>[h]:mm:ss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8.3333333333333332E-3</c:v>
                </c:pt>
                <c:pt idx="5">
                  <c:v>1.1805555555555557E-2</c:v>
                </c:pt>
                <c:pt idx="6">
                  <c:v>1.1805555555555557E-2</c:v>
                </c:pt>
                <c:pt idx="7">
                  <c:v>1.1805555555555557E-2</c:v>
                </c:pt>
                <c:pt idx="8">
                  <c:v>1.4028694536120281E-2</c:v>
                </c:pt>
                <c:pt idx="9">
                  <c:v>1.4028694536120281E-2</c:v>
                </c:pt>
                <c:pt idx="10">
                  <c:v>2.7286270293696034E-2</c:v>
                </c:pt>
                <c:pt idx="11">
                  <c:v>5.5943677701103464E-2</c:v>
                </c:pt>
                <c:pt idx="12">
                  <c:v>8.6709372473890434E-2</c:v>
                </c:pt>
                <c:pt idx="13">
                  <c:v>0.2157808198077491</c:v>
                </c:pt>
                <c:pt idx="14">
                  <c:v>0.27867647255269262</c:v>
                </c:pt>
                <c:pt idx="15">
                  <c:v>0.59712275571528795</c:v>
                </c:pt>
                <c:pt idx="16">
                  <c:v>0.69859701366117699</c:v>
                </c:pt>
                <c:pt idx="17">
                  <c:v>1.0362693934878124</c:v>
                </c:pt>
                <c:pt idx="18">
                  <c:v>1.3912700501728663</c:v>
                </c:pt>
                <c:pt idx="19">
                  <c:v>1.7236856661434468</c:v>
                </c:pt>
                <c:pt idx="20">
                  <c:v>2.3567502770402706</c:v>
                </c:pt>
                <c:pt idx="21">
                  <c:v>2.7903057612107758</c:v>
                </c:pt>
                <c:pt idx="22">
                  <c:v>3.8087885481440935</c:v>
                </c:pt>
                <c:pt idx="23">
                  <c:v>4.3170227343216565</c:v>
                </c:pt>
                <c:pt idx="24">
                  <c:v>6.1331019116838368</c:v>
                </c:pt>
                <c:pt idx="25">
                  <c:v>6.9167799910643701</c:v>
                </c:pt>
                <c:pt idx="26">
                  <c:v>7.7414738142805586</c:v>
                </c:pt>
                <c:pt idx="27">
                  <c:v>9.563414265114778</c:v>
                </c:pt>
                <c:pt idx="28">
                  <c:v>12.117424145602293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7380768"/>
        <c:axId val="367381328"/>
      </c:lineChart>
      <c:catAx>
        <c:axId val="3673807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CN"/>
                  <a:t>Hero Level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0.48832119598646273"/>
              <c:y val="0.94031294780731922"/>
            </c:manualLayout>
          </c:layout>
          <c:overlay val="0"/>
        </c:title>
        <c:numFmt formatCode="#,##0_ ;[Red]\-#,##0\ " sourceLinked="1"/>
        <c:majorTickMark val="out"/>
        <c:minorTickMark val="none"/>
        <c:tickLblPos val="nextTo"/>
        <c:crossAx val="367381328"/>
        <c:crosses val="autoZero"/>
        <c:auto val="1"/>
        <c:lblAlgn val="ctr"/>
        <c:lblOffset val="100"/>
        <c:noMultiLvlLbl val="0"/>
      </c:catAx>
      <c:valAx>
        <c:axId val="367381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zh-CN"/>
                  <a:t>Max</a:t>
                </a:r>
                <a:r>
                  <a:rPr lang="en-US" altLang="zh-CN" baseline="0"/>
                  <a:t> Waiting Time For Each Level Up </a:t>
                </a:r>
                <a:r>
                  <a:rPr lang="en-US" altLang="zh-CN" b="0" baseline="0"/>
                  <a:t>(Hour)</a:t>
                </a:r>
                <a:endParaRPr lang="zh-CN" altLang="en-US" b="0"/>
              </a:p>
            </c:rich>
          </c:tx>
          <c:layout>
            <c:manualLayout>
              <c:xMode val="edge"/>
              <c:yMode val="edge"/>
              <c:x val="4.5979510487358785E-3"/>
              <c:y val="0.12637603098098019"/>
            </c:manualLayout>
          </c:layout>
          <c:overlay val="0"/>
        </c:title>
        <c:numFmt formatCode="[h]" sourceLinked="0"/>
        <c:majorTickMark val="out"/>
        <c:minorTickMark val="none"/>
        <c:tickLblPos val="nextTo"/>
        <c:crossAx val="367380768"/>
        <c:crosses val="autoZero"/>
        <c:crossBetween val="between"/>
        <c:majorUnit val="1"/>
      </c:valAx>
    </c:plotArea>
    <c:legend>
      <c:legendPos val="r"/>
      <c:layout>
        <c:manualLayout>
          <c:xMode val="edge"/>
          <c:yMode val="edge"/>
          <c:x val="0.12714162203175425"/>
          <c:y val="8.4842132555464064E-2"/>
          <c:w val="0.4307139140216798"/>
          <c:h val="0.23387647108467938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</c:spPr>
    </c:legend>
    <c:plotVisOnly val="1"/>
    <c:dispBlanksAs val="gap"/>
    <c:showDLblsOverMax val="0"/>
  </c:chart>
  <c:printSettings>
    <c:headerFooter/>
    <c:pageMargins b="0.75000000000000444" l="0.70000000000000062" r="0.70000000000000062" t="0.75000000000000444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99FFCC"/>
              </a:solidFill>
            </c:spPr>
          </c:dPt>
          <c:dPt>
            <c:idx val="1"/>
            <c:bubble3D val="0"/>
            <c:spPr>
              <a:solidFill>
                <a:srgbClr val="66CCFF"/>
              </a:solidFill>
            </c:spPr>
          </c:dPt>
          <c:dPt>
            <c:idx val="2"/>
            <c:bubble3D val="0"/>
            <c:spPr>
              <a:solidFill>
                <a:srgbClr val="33CC33"/>
              </a:solidFill>
            </c:spPr>
          </c:dPt>
          <c:dPt>
            <c:idx val="3"/>
            <c:bubble3D val="0"/>
            <c:spPr>
              <a:solidFill>
                <a:srgbClr val="339966"/>
              </a:solidFill>
            </c:spPr>
          </c:dPt>
          <c:dPt>
            <c:idx val="4"/>
            <c:bubble3D val="0"/>
            <c:spPr>
              <a:solidFill>
                <a:srgbClr val="33CCCC"/>
              </a:solidFill>
            </c:spPr>
          </c:dPt>
          <c:dPt>
            <c:idx val="5"/>
            <c:bubble3D val="0"/>
            <c:spPr>
              <a:solidFill>
                <a:srgbClr val="3399FF"/>
              </a:solidFill>
            </c:spPr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 altLang="en-US"/>
                      <a:t>Troop Power
</a:t>
                    </a:r>
                    <a:r>
                      <a:rPr lang="en-US" altLang="en-US" sz="1400" b="1"/>
                      <a:t>13%</a:t>
                    </a:r>
                    <a:endParaRPr lang="en-US" altLang="zh-CN" b="1"/>
                  </a:p>
                </c:rich>
              </c:tx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 altLang="en-US"/>
                      <a:t>Trap Power
</a:t>
                    </a:r>
                    <a:r>
                      <a:rPr lang="en-US" altLang="en-US" sz="1400" b="1"/>
                      <a:t>8%</a:t>
                    </a:r>
                    <a:endParaRPr lang="en-US" altLang="zh-CN" b="1"/>
                  </a:p>
                </c:rich>
              </c:tx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 altLang="en-US"/>
                      <a:t>Building Power
</a:t>
                    </a:r>
                    <a:r>
                      <a:rPr lang="en-US" altLang="en-US" sz="1400" b="1"/>
                      <a:t>22%</a:t>
                    </a:r>
                    <a:endParaRPr lang="en-US" altLang="zh-CN" sz="1400" b="1"/>
                  </a:p>
                </c:rich>
              </c:tx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 altLang="en-US"/>
                      <a:t>Quests Power
</a:t>
                    </a:r>
                    <a:r>
                      <a:rPr lang="en-US" altLang="en-US" sz="1400" b="1"/>
                      <a:t>17%</a:t>
                    </a:r>
                    <a:endParaRPr lang="en-US" altLang="zh-CN" sz="1400" b="1"/>
                  </a:p>
                </c:rich>
              </c:tx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 altLang="en-US"/>
                      <a:t>Research Power
</a:t>
                    </a:r>
                    <a:r>
                      <a:rPr lang="en-US" altLang="en-US" sz="1400" b="1"/>
                      <a:t>31%</a:t>
                    </a:r>
                    <a:endParaRPr lang="en-US" altLang="zh-CN" sz="1400" b="1"/>
                  </a:p>
                </c:rich>
              </c:tx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 altLang="en-US"/>
                      <a:t>Hero Level Up
</a:t>
                    </a:r>
                    <a:r>
                      <a:rPr lang="en-US" altLang="en-US" sz="1400" b="1"/>
                      <a:t>9%</a:t>
                    </a:r>
                    <a:endParaRPr lang="en-US" altLang="zh-CN" b="1"/>
                  </a:p>
                </c:rich>
              </c:tx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'Leader Board'!$C$3:$H$3</c:f>
              <c:strCache>
                <c:ptCount val="6"/>
                <c:pt idx="0">
                  <c:v>Troop Power</c:v>
                </c:pt>
                <c:pt idx="1">
                  <c:v>Trap Power</c:v>
                </c:pt>
                <c:pt idx="2">
                  <c:v>Building Power</c:v>
                </c:pt>
                <c:pt idx="3">
                  <c:v>Quests Power</c:v>
                </c:pt>
                <c:pt idx="4">
                  <c:v>Research Power</c:v>
                </c:pt>
                <c:pt idx="5">
                  <c:v>Hero Level Up</c:v>
                </c:pt>
              </c:strCache>
            </c:strRef>
          </c:cat>
          <c:val>
            <c:numRef>
              <c:f>'Leader Board'!$C$27:$H$27</c:f>
              <c:numCache>
                <c:formatCode>#,##0_ ;[Red]\-#,##0\ </c:formatCode>
                <c:ptCount val="6"/>
                <c:pt idx="0">
                  <c:v>17374</c:v>
                </c:pt>
                <c:pt idx="1">
                  <c:v>10800</c:v>
                </c:pt>
                <c:pt idx="2">
                  <c:v>30045</c:v>
                </c:pt>
                <c:pt idx="3">
                  <c:v>23067</c:v>
                </c:pt>
                <c:pt idx="4">
                  <c:v>41420</c:v>
                </c:pt>
                <c:pt idx="5">
                  <c:v>12273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en-US"/>
              <a:t>Overall Combat Capability (Infantry)</a:t>
            </a:r>
          </a:p>
        </c:rich>
      </c:tx>
      <c:layout>
        <c:manualLayout>
          <c:xMode val="edge"/>
          <c:yMode val="edge"/>
          <c:x val="0.20735256295192908"/>
          <c:y val="1.381692573402418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32702820546481698"/>
          <c:y val="0.11138672432785282"/>
          <c:w val="0.6453269294140026"/>
          <c:h val="0.46808725334203732"/>
        </c:manualLayout>
      </c:layout>
      <c:lineChart>
        <c:grouping val="standard"/>
        <c:varyColors val="0"/>
        <c:ser>
          <c:idx val="0"/>
          <c:order val="0"/>
          <c:tx>
            <c:strRef>
              <c:f>Troop!$AC$2</c:f>
              <c:strCache>
                <c:ptCount val="1"/>
                <c:pt idx="0">
                  <c:v>Overall Combat Capability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(Troop!$C$4,Troop!$C$8,Troop!$C$12,Troop!$C$16)</c:f>
              <c:strCache>
                <c:ptCount val="4"/>
                <c:pt idx="0">
                  <c:v>Tier 1</c:v>
                </c:pt>
                <c:pt idx="1">
                  <c:v>Tier 2</c:v>
                </c:pt>
                <c:pt idx="2">
                  <c:v>Tier 3</c:v>
                </c:pt>
                <c:pt idx="3">
                  <c:v>Tier 4</c:v>
                </c:pt>
              </c:strCache>
            </c:strRef>
          </c:cat>
          <c:val>
            <c:numRef>
              <c:f>(Troop!$AD$4,Troop!$AD$8,Troop!$AD$12,Troop!$AD$16)</c:f>
              <c:numCache>
                <c:formatCode>0%</c:formatCode>
                <c:ptCount val="4"/>
                <c:pt idx="0">
                  <c:v>1</c:v>
                </c:pt>
                <c:pt idx="1">
                  <c:v>4</c:v>
                </c:pt>
                <c:pt idx="2">
                  <c:v>9</c:v>
                </c:pt>
                <c:pt idx="3">
                  <c:v>16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Troop!$AE$2</c:f>
              <c:strCache>
                <c:ptCount val="1"/>
                <c:pt idx="0">
                  <c:v>Overall Combat Capability / Resource Cost</c:v>
                </c:pt>
              </c:strCache>
            </c:strRef>
          </c:tx>
          <c:val>
            <c:numRef>
              <c:f>(Troop!$AF$4,Troop!$AF$8,Troop!$AF$12,Troop!$AF$16)</c:f>
              <c:numCache>
                <c:formatCode>0%</c:formatCode>
                <c:ptCount val="4"/>
                <c:pt idx="0">
                  <c:v>1</c:v>
                </c:pt>
                <c:pt idx="1">
                  <c:v>1.8399999999999999</c:v>
                </c:pt>
                <c:pt idx="2">
                  <c:v>2.0699999999999998</c:v>
                </c:pt>
                <c:pt idx="3">
                  <c:v>1.8399999999999999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Troop!$AG$2</c:f>
              <c:strCache>
                <c:ptCount val="1"/>
                <c:pt idx="0">
                  <c:v>Overall Combat Capability / Training Time</c:v>
                </c:pt>
              </c:strCache>
            </c:strRef>
          </c:tx>
          <c:val>
            <c:numRef>
              <c:f>(Troop!$AH$4,Troop!$AH$8,Troop!$AH$12,Troop!$AH$16)</c:f>
              <c:numCache>
                <c:formatCode>0%</c:formatCode>
                <c:ptCount val="4"/>
                <c:pt idx="0">
                  <c:v>1</c:v>
                </c:pt>
                <c:pt idx="1">
                  <c:v>2</c:v>
                </c:pt>
                <c:pt idx="2">
                  <c:v>2.25</c:v>
                </c:pt>
                <c:pt idx="3">
                  <c:v>2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Troop!$AI$2</c:f>
              <c:strCache>
                <c:ptCount val="1"/>
                <c:pt idx="0">
                  <c:v>Overall Combat Capability / Upkeep</c:v>
                </c:pt>
              </c:strCache>
            </c:strRef>
          </c:tx>
          <c:val>
            <c:numRef>
              <c:f>(Troop!$AJ$4,Troop!$AJ$8,Troop!$AJ$12,Troop!$AJ$16)</c:f>
              <c:numCache>
                <c:formatCode>0%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7414944"/>
        <c:axId val="377943584"/>
      </c:lineChart>
      <c:catAx>
        <c:axId val="36741494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377943584"/>
        <c:crosses val="autoZero"/>
        <c:auto val="1"/>
        <c:lblAlgn val="ctr"/>
        <c:lblOffset val="100"/>
        <c:noMultiLvlLbl val="0"/>
      </c:catAx>
      <c:valAx>
        <c:axId val="377943584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367414944"/>
        <c:crosses val="autoZero"/>
        <c:crossBetween val="between"/>
      </c:valAx>
      <c:dTable>
        <c:showHorzBorder val="1"/>
        <c:showVertBorder val="1"/>
        <c:showOutline val="1"/>
        <c:showKeys val="1"/>
      </c:dTable>
    </c:plotArea>
    <c:plotVisOnly val="1"/>
    <c:dispBlanksAs val="gap"/>
    <c:showDLblsOverMax val="0"/>
  </c:chart>
  <c:printSettings>
    <c:headerFooter/>
    <c:pageMargins b="0.75000000000000577" l="0.70000000000000062" r="0.70000000000000062" t="0.75000000000000577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en-US"/>
              <a:t>Power (Infantry)</a:t>
            </a:r>
          </a:p>
        </c:rich>
      </c:tx>
      <c:layout>
        <c:manualLayout>
          <c:xMode val="edge"/>
          <c:yMode val="edge"/>
          <c:x val="0.36547698047178345"/>
          <c:y val="1.38528138528138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8445616467752882"/>
          <c:y val="0.11583815659406113"/>
          <c:w val="0.69248303867676919"/>
          <c:h val="0.58934833145856769"/>
        </c:manualLayout>
      </c:layout>
      <c:lineChart>
        <c:grouping val="standard"/>
        <c:varyColors val="0"/>
        <c:ser>
          <c:idx val="0"/>
          <c:order val="0"/>
          <c:tx>
            <c:strRef>
              <c:f>Troop!$AK$2</c:f>
              <c:strCache>
                <c:ptCount val="1"/>
                <c:pt idx="0">
                  <c:v>Power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(Troop!$C$4,Troop!$C$8,Troop!$C$12,Troop!$C$16)</c:f>
              <c:strCache>
                <c:ptCount val="4"/>
                <c:pt idx="0">
                  <c:v>Tier 1</c:v>
                </c:pt>
                <c:pt idx="1">
                  <c:v>Tier 2</c:v>
                </c:pt>
                <c:pt idx="2">
                  <c:v>Tier 3</c:v>
                </c:pt>
                <c:pt idx="3">
                  <c:v>Tier 4</c:v>
                </c:pt>
              </c:strCache>
            </c:strRef>
          </c:cat>
          <c:val>
            <c:numRef>
              <c:f>(Troop!$AL$4,Troop!$AL$8,Troop!$AL$12,Troop!$AL$16)</c:f>
              <c:numCache>
                <c:formatCode>0%</c:formatCode>
                <c:ptCount val="4"/>
                <c:pt idx="0">
                  <c:v>1</c:v>
                </c:pt>
                <c:pt idx="1">
                  <c:v>4</c:v>
                </c:pt>
                <c:pt idx="2">
                  <c:v>12</c:v>
                </c:pt>
                <c:pt idx="3">
                  <c:v>18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Troop!$AM$2</c:f>
              <c:strCache>
                <c:ptCount val="1"/>
                <c:pt idx="0">
                  <c:v>Power / Resource Cost</c:v>
                </c:pt>
              </c:strCache>
            </c:strRef>
          </c:tx>
          <c:cat>
            <c:strRef>
              <c:f>(Troop!$C$4,Troop!$C$8,Troop!$C$12,Troop!$C$16)</c:f>
              <c:strCache>
                <c:ptCount val="4"/>
                <c:pt idx="0">
                  <c:v>Tier 1</c:v>
                </c:pt>
                <c:pt idx="1">
                  <c:v>Tier 2</c:v>
                </c:pt>
                <c:pt idx="2">
                  <c:v>Tier 3</c:v>
                </c:pt>
                <c:pt idx="3">
                  <c:v>Tier 4</c:v>
                </c:pt>
              </c:strCache>
            </c:strRef>
          </c:cat>
          <c:val>
            <c:numRef>
              <c:f>(Troop!$AN$4,Troop!$AN$8,Troop!$AN$12,Troop!$AN$16)</c:f>
              <c:numCache>
                <c:formatCode>0%</c:formatCode>
                <c:ptCount val="4"/>
                <c:pt idx="0">
                  <c:v>1</c:v>
                </c:pt>
                <c:pt idx="1">
                  <c:v>1.84</c:v>
                </c:pt>
                <c:pt idx="2">
                  <c:v>2.7600000000000002</c:v>
                </c:pt>
                <c:pt idx="3">
                  <c:v>2.0699999999999998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Troop!$AO$2</c:f>
              <c:strCache>
                <c:ptCount val="1"/>
                <c:pt idx="0">
                  <c:v>Power / Training Time</c:v>
                </c:pt>
              </c:strCache>
            </c:strRef>
          </c:tx>
          <c:cat>
            <c:strRef>
              <c:f>(Troop!$C$4,Troop!$C$8,Troop!$C$12,Troop!$C$16)</c:f>
              <c:strCache>
                <c:ptCount val="4"/>
                <c:pt idx="0">
                  <c:v>Tier 1</c:v>
                </c:pt>
                <c:pt idx="1">
                  <c:v>Tier 2</c:v>
                </c:pt>
                <c:pt idx="2">
                  <c:v>Tier 3</c:v>
                </c:pt>
                <c:pt idx="3">
                  <c:v>Tier 4</c:v>
                </c:pt>
              </c:strCache>
            </c:strRef>
          </c:cat>
          <c:val>
            <c:numRef>
              <c:f>(Troop!$AP$4,Troop!$AP$8,Troop!$AP$12,Troop!$AP$16)</c:f>
              <c:numCache>
                <c:formatCode>0%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2.25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Troop!$AQ$2</c:f>
              <c:strCache>
                <c:ptCount val="1"/>
                <c:pt idx="0">
                  <c:v>Power / Upkeep</c:v>
                </c:pt>
              </c:strCache>
            </c:strRef>
          </c:tx>
          <c:cat>
            <c:strRef>
              <c:f>(Troop!$C$4,Troop!$C$8,Troop!$C$12,Troop!$C$16)</c:f>
              <c:strCache>
                <c:ptCount val="4"/>
                <c:pt idx="0">
                  <c:v>Tier 1</c:v>
                </c:pt>
                <c:pt idx="1">
                  <c:v>Tier 2</c:v>
                </c:pt>
                <c:pt idx="2">
                  <c:v>Tier 3</c:v>
                </c:pt>
                <c:pt idx="3">
                  <c:v>Tier 4</c:v>
                </c:pt>
              </c:strCache>
            </c:strRef>
          </c:cat>
          <c:val>
            <c:numRef>
              <c:f>(Troop!$AR$4,Troop!$AR$8,Troop!$AR$12,Troop!$AR$16)</c:f>
              <c:numCache>
                <c:formatCode>0%</c:formatCode>
                <c:ptCount val="4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4.5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7961088"/>
        <c:axId val="377961648"/>
      </c:lineChart>
      <c:catAx>
        <c:axId val="37796108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377961648"/>
        <c:crosses val="autoZero"/>
        <c:auto val="1"/>
        <c:lblAlgn val="ctr"/>
        <c:lblOffset val="100"/>
        <c:noMultiLvlLbl val="0"/>
      </c:catAx>
      <c:valAx>
        <c:axId val="377961648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377961088"/>
        <c:crosses val="autoZero"/>
        <c:crossBetween val="between"/>
      </c:valAx>
      <c:dTable>
        <c:showHorzBorder val="1"/>
        <c:showVertBorder val="1"/>
        <c:showOutline val="1"/>
        <c:showKeys val="1"/>
      </c:dTable>
    </c:plotArea>
    <c:plotVisOnly val="1"/>
    <c:dispBlanksAs val="gap"/>
    <c:showDLblsOverMax val="0"/>
  </c:chart>
  <c:printSettings>
    <c:headerFooter/>
    <c:pageMargins b="0.750000000000006" l="0.70000000000000062" r="0.70000000000000062" t="0.750000000000006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yVal>
            <c:numRef>
              <c:f>Hero!$M$4:$M$18</c:f>
              <c:numCache>
                <c:formatCode>0%</c:formatCode>
                <c:ptCount val="15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0.06</c:v>
                </c:pt>
                <c:pt idx="5">
                  <c:v>0.08</c:v>
                </c:pt>
                <c:pt idx="6">
                  <c:v>0.1</c:v>
                </c:pt>
                <c:pt idx="7">
                  <c:v>0.12</c:v>
                </c:pt>
                <c:pt idx="8">
                  <c:v>0.15</c:v>
                </c:pt>
                <c:pt idx="9">
                  <c:v>0.18</c:v>
                </c:pt>
                <c:pt idx="10">
                  <c:v>0.21</c:v>
                </c:pt>
                <c:pt idx="11">
                  <c:v>0.24</c:v>
                </c:pt>
                <c:pt idx="12">
                  <c:v>0.28000000000000003</c:v>
                </c:pt>
                <c:pt idx="13">
                  <c:v>0.32</c:v>
                </c:pt>
                <c:pt idx="14">
                  <c:v>0.42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7706336"/>
        <c:axId val="377706896"/>
      </c:scatterChart>
      <c:valAx>
        <c:axId val="377706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706896"/>
        <c:crosses val="autoZero"/>
        <c:crossBetween val="midCat"/>
      </c:valAx>
      <c:valAx>
        <c:axId val="37770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7063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42</xdr:col>
      <xdr:colOff>76200</xdr:colOff>
      <xdr:row>4</xdr:row>
      <xdr:rowOff>57150</xdr:rowOff>
    </xdr:from>
    <xdr:to>
      <xdr:col>52</xdr:col>
      <xdr:colOff>428626</xdr:colOff>
      <xdr:row>24</xdr:row>
      <xdr:rowOff>0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66674</xdr:colOff>
      <xdr:row>4</xdr:row>
      <xdr:rowOff>38099</xdr:rowOff>
    </xdr:from>
    <xdr:to>
      <xdr:col>18</xdr:col>
      <xdr:colOff>495300</xdr:colOff>
      <xdr:row>22</xdr:row>
      <xdr:rowOff>57150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66675</xdr:colOff>
      <xdr:row>25</xdr:row>
      <xdr:rowOff>28575</xdr:rowOff>
    </xdr:from>
    <xdr:to>
      <xdr:col>27</xdr:col>
      <xdr:colOff>962025</xdr:colOff>
      <xdr:row>45</xdr:row>
      <xdr:rowOff>38100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76200</xdr:colOff>
      <xdr:row>4</xdr:row>
      <xdr:rowOff>47625</xdr:rowOff>
    </xdr:from>
    <xdr:to>
      <xdr:col>26</xdr:col>
      <xdr:colOff>504826</xdr:colOff>
      <xdr:row>22</xdr:row>
      <xdr:rowOff>66676</xdr:rowOff>
    </xdr:to>
    <xdr:graphicFrame macro="">
      <xdr:nvGraphicFramePr>
        <xdr:cNvPr id="4" name="图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76200</xdr:colOff>
      <xdr:row>3</xdr:row>
      <xdr:rowOff>57150</xdr:rowOff>
    </xdr:from>
    <xdr:to>
      <xdr:col>22</xdr:col>
      <xdr:colOff>504826</xdr:colOff>
      <xdr:row>21</xdr:row>
      <xdr:rowOff>76201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42</xdr:col>
      <xdr:colOff>85725</xdr:colOff>
      <xdr:row>3</xdr:row>
      <xdr:rowOff>57150</xdr:rowOff>
    </xdr:from>
    <xdr:to>
      <xdr:col>49</xdr:col>
      <xdr:colOff>638175</xdr:colOff>
      <xdr:row>21</xdr:row>
      <xdr:rowOff>76201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95250</xdr:colOff>
      <xdr:row>3</xdr:row>
      <xdr:rowOff>66675</xdr:rowOff>
    </xdr:from>
    <xdr:to>
      <xdr:col>31</xdr:col>
      <xdr:colOff>352425</xdr:colOff>
      <xdr:row>21</xdr:row>
      <xdr:rowOff>114300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32</xdr:col>
      <xdr:colOff>95250</xdr:colOff>
      <xdr:row>3</xdr:row>
      <xdr:rowOff>85725</xdr:rowOff>
    </xdr:from>
    <xdr:to>
      <xdr:col>39</xdr:col>
      <xdr:colOff>628650</xdr:colOff>
      <xdr:row>21</xdr:row>
      <xdr:rowOff>133350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61</xdr:col>
      <xdr:colOff>104775</xdr:colOff>
      <xdr:row>3</xdr:row>
      <xdr:rowOff>38100</xdr:rowOff>
    </xdr:from>
    <xdr:to>
      <xdr:col>68</xdr:col>
      <xdr:colOff>638175</xdr:colOff>
      <xdr:row>21</xdr:row>
      <xdr:rowOff>85725</xdr:rowOff>
    </xdr:to>
    <xdr:graphicFrame macro="">
      <xdr:nvGraphicFramePr>
        <xdr:cNvPr id="4" name="图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66675</xdr:colOff>
      <xdr:row>3</xdr:row>
      <xdr:rowOff>57150</xdr:rowOff>
    </xdr:from>
    <xdr:to>
      <xdr:col>24</xdr:col>
      <xdr:colOff>352425</xdr:colOff>
      <xdr:row>20</xdr:row>
      <xdr:rowOff>104776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85725</xdr:colOff>
      <xdr:row>6</xdr:row>
      <xdr:rowOff>95250</xdr:rowOff>
    </xdr:from>
    <xdr:to>
      <xdr:col>28</xdr:col>
      <xdr:colOff>514351</xdr:colOff>
      <xdr:row>23</xdr:row>
      <xdr:rowOff>142876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495300</xdr:colOff>
      <xdr:row>14</xdr:row>
      <xdr:rowOff>38098</xdr:rowOff>
    </xdr:from>
    <xdr:to>
      <xdr:col>14</xdr:col>
      <xdr:colOff>76200</xdr:colOff>
      <xdr:row>28</xdr:row>
      <xdr:rowOff>152399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47</xdr:col>
      <xdr:colOff>123824</xdr:colOff>
      <xdr:row>3</xdr:row>
      <xdr:rowOff>76200</xdr:rowOff>
    </xdr:from>
    <xdr:to>
      <xdr:col>55</xdr:col>
      <xdr:colOff>609600</xdr:colOff>
      <xdr:row>22</xdr:row>
      <xdr:rowOff>133350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56</xdr:col>
      <xdr:colOff>47625</xdr:colOff>
      <xdr:row>3</xdr:row>
      <xdr:rowOff>85725</xdr:rowOff>
    </xdr:from>
    <xdr:to>
      <xdr:col>64</xdr:col>
      <xdr:colOff>619125</xdr:colOff>
      <xdr:row>22</xdr:row>
      <xdr:rowOff>133350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600075</xdr:colOff>
      <xdr:row>34</xdr:row>
      <xdr:rowOff>166687</xdr:rowOff>
    </xdr:from>
    <xdr:to>
      <xdr:col>11</xdr:col>
      <xdr:colOff>904875</xdr:colOff>
      <xdr:row>49</xdr:row>
      <xdr:rowOff>52387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FFFF00"/>
  </sheetPr>
  <dimension ref="A1:DF1284"/>
  <sheetViews>
    <sheetView workbookViewId="0">
      <pane xSplit="4" ySplit="3" topLeftCell="E1265" activePane="bottomRight" state="frozen"/>
      <selection pane="topRight" activeCell="E1" sqref="E1"/>
      <selection pane="bottomLeft" activeCell="A4" sqref="A4"/>
      <selection pane="bottomRight" activeCell="M1289" sqref="M1289"/>
    </sheetView>
  </sheetViews>
  <sheetFormatPr defaultColWidth="9" defaultRowHeight="15" customHeight="1"/>
  <cols>
    <col min="1" max="1" width="3.5703125" style="7" customWidth="1"/>
    <col min="2" max="2" width="12.5703125" style="472" customWidth="1"/>
    <col min="3" max="3" width="21.28515625" style="127" customWidth="1"/>
    <col min="4" max="4" width="20.42578125" style="144" customWidth="1"/>
    <col min="5" max="5" width="7.5703125" style="472" customWidth="1"/>
    <col min="6" max="6" width="7.85546875" style="12" customWidth="1"/>
    <col min="7" max="7" width="10.85546875" style="2" customWidth="1"/>
    <col min="8" max="8" width="11.5703125" style="2" customWidth="1"/>
    <col min="9" max="10" width="9" style="5"/>
    <col min="11" max="11" width="9" style="2"/>
    <col min="12" max="12" width="10" style="2" bestFit="1" customWidth="1"/>
    <col min="13" max="13" width="11.42578125" style="135" customWidth="1"/>
    <col min="14" max="14" width="9" style="11"/>
    <col min="15" max="15" width="10.42578125" style="11" customWidth="1"/>
    <col min="16" max="16" width="10.42578125" style="5" customWidth="1"/>
    <col min="17" max="18" width="10.28515625" style="135" customWidth="1"/>
    <col min="19" max="22" width="7.5703125" style="2" customWidth="1"/>
    <col min="23" max="30" width="7.5703125" style="11" customWidth="1"/>
    <col min="31" max="31" width="7.5703125" style="5" customWidth="1"/>
    <col min="32" max="33" width="9.5703125" style="140" customWidth="1"/>
    <col min="34" max="34" width="9.5703125" style="135" customWidth="1"/>
    <col min="35" max="35" width="9.5703125" style="486" customWidth="1"/>
    <col min="36" max="36" width="9.5703125" style="135" customWidth="1"/>
    <col min="37" max="37" width="10.85546875" style="340" customWidth="1"/>
    <col min="38" max="38" width="9.42578125" style="140" bestFit="1" customWidth="1"/>
    <col min="39" max="39" width="9.42578125" style="140" customWidth="1"/>
    <col min="40" max="40" width="9" style="140"/>
    <col min="41" max="41" width="15.28515625" style="135" customWidth="1"/>
    <col min="42" max="42" width="11.28515625" style="21" customWidth="1"/>
    <col min="43" max="45" width="10" style="140" customWidth="1"/>
    <col min="46" max="46" width="15.42578125" style="135" customWidth="1"/>
    <col min="47" max="49" width="10" style="2" bestFit="1" customWidth="1"/>
    <col min="50" max="50" width="9.28515625" style="2" bestFit="1" customWidth="1"/>
    <col min="51" max="51" width="9.28515625" style="5" bestFit="1" customWidth="1"/>
    <col min="52" max="55" width="9" style="2"/>
    <col min="56" max="57" width="9" style="5"/>
    <col min="58" max="60" width="9" style="2"/>
    <col min="61" max="61" width="10" style="2" bestFit="1" customWidth="1"/>
    <col min="62" max="62" width="9" style="5"/>
    <col min="63" max="63" width="11.140625" style="2" customWidth="1"/>
    <col min="64" max="64" width="10.28515625" style="5" customWidth="1"/>
    <col min="65" max="65" width="9" style="5"/>
    <col min="66" max="66" width="11.5703125" style="2" customWidth="1"/>
    <col min="67" max="67" width="9" style="5"/>
    <col min="68" max="68" width="12.42578125" style="2" customWidth="1"/>
    <col min="69" max="69" width="11.42578125" style="5" customWidth="1"/>
    <col min="70" max="70" width="9" style="2"/>
    <col min="71" max="71" width="9" style="5"/>
    <col min="72" max="72" width="9" style="2"/>
    <col min="73" max="73" width="9" style="5"/>
    <col min="74" max="74" width="9" style="2"/>
    <col min="75" max="75" width="9" style="5"/>
    <col min="76" max="76" width="9" style="2"/>
    <col min="77" max="77" width="9" style="5"/>
    <col min="78" max="78" width="9" style="2"/>
    <col min="79" max="82" width="9" style="5"/>
    <col min="83" max="84" width="9" style="2"/>
    <col min="85" max="85" width="9" style="5"/>
    <col min="86" max="87" width="9" style="2"/>
    <col min="88" max="88" width="9" style="5"/>
    <col min="89" max="89" width="10.85546875" style="5" customWidth="1"/>
    <col min="90" max="90" width="9.28515625" style="2" bestFit="1" customWidth="1"/>
    <col min="91" max="92" width="9" style="5"/>
    <col min="93" max="96" width="9" style="2"/>
    <col min="97" max="97" width="16.42578125" style="472" customWidth="1"/>
    <col min="98" max="99" width="20.5703125" style="2" customWidth="1"/>
    <col min="100" max="104" width="12.140625" style="2" customWidth="1"/>
    <col min="105" max="105" width="13.5703125" style="2" customWidth="1"/>
    <col min="106" max="107" width="12.140625" style="2" customWidth="1"/>
    <col min="108" max="108" width="13.5703125" style="2" customWidth="1"/>
    <col min="109" max="109" width="12.140625" style="2" customWidth="1"/>
    <col min="110" max="110" width="12.42578125" style="2" customWidth="1"/>
    <col min="111" max="16384" width="9" style="2"/>
  </cols>
  <sheetData>
    <row r="1" spans="1:110" ht="15" customHeight="1">
      <c r="B1" s="488"/>
      <c r="C1" s="488"/>
      <c r="D1" s="602">
        <v>1.9212962962962963E-2</v>
      </c>
      <c r="E1" s="506"/>
      <c r="F1" s="191"/>
      <c r="G1" s="506"/>
      <c r="H1" s="506"/>
      <c r="I1" s="506"/>
      <c r="J1" s="2"/>
      <c r="M1" s="133"/>
      <c r="P1" s="2"/>
      <c r="Q1" s="133"/>
      <c r="R1" s="133"/>
      <c r="AE1" s="11"/>
      <c r="AH1" s="140"/>
      <c r="AI1" s="140"/>
      <c r="AJ1" s="140"/>
      <c r="AK1" s="161"/>
      <c r="AL1" s="133"/>
      <c r="AM1" s="133"/>
      <c r="AN1" s="133"/>
      <c r="AO1" s="133"/>
      <c r="AP1" s="12"/>
      <c r="AQ1" s="133"/>
      <c r="AR1" s="133"/>
      <c r="AS1" s="133"/>
      <c r="AT1" s="2"/>
      <c r="AY1" s="2"/>
      <c r="BD1" s="2"/>
      <c r="BE1" s="2"/>
      <c r="BJ1" s="2"/>
      <c r="BL1" s="2"/>
      <c r="BM1" s="2"/>
      <c r="BO1" s="2"/>
      <c r="BQ1" s="2"/>
      <c r="BS1" s="2"/>
      <c r="BU1" s="2"/>
      <c r="BW1" s="2"/>
      <c r="BY1" s="2"/>
      <c r="CA1" s="2"/>
      <c r="CB1" s="2"/>
      <c r="CC1" s="2"/>
      <c r="CD1" s="2"/>
      <c r="CG1" s="2"/>
      <c r="CJ1" s="2"/>
      <c r="CK1" s="2"/>
      <c r="CM1" s="2"/>
      <c r="CN1" s="2"/>
    </row>
    <row r="2" spans="1:110" s="472" customFormat="1" ht="30" customHeight="1">
      <c r="A2" s="17"/>
      <c r="B2" s="699" t="s">
        <v>1370</v>
      </c>
      <c r="C2" s="648" t="s">
        <v>1371</v>
      </c>
      <c r="D2" s="700" t="s">
        <v>1372</v>
      </c>
      <c r="E2" s="678" t="s">
        <v>1373</v>
      </c>
      <c r="F2" s="678"/>
      <c r="G2" s="678"/>
      <c r="H2" s="678"/>
      <c r="I2" s="679"/>
      <c r="J2" s="679" t="s">
        <v>1374</v>
      </c>
      <c r="K2" s="683" t="s">
        <v>1375</v>
      </c>
      <c r="L2" s="678"/>
      <c r="M2" s="679"/>
      <c r="N2" s="683" t="s">
        <v>1376</v>
      </c>
      <c r="O2" s="678"/>
      <c r="P2" s="679"/>
      <c r="Q2" s="702" t="s">
        <v>1377</v>
      </c>
      <c r="R2" s="702" t="s">
        <v>1378</v>
      </c>
      <c r="S2" s="684" t="s">
        <v>1379</v>
      </c>
      <c r="T2" s="686"/>
      <c r="U2" s="686"/>
      <c r="V2" s="686"/>
      <c r="W2" s="686"/>
      <c r="X2" s="686"/>
      <c r="Y2" s="686"/>
      <c r="Z2" s="686"/>
      <c r="AA2" s="686"/>
      <c r="AB2" s="686"/>
      <c r="AC2" s="686"/>
      <c r="AD2" s="686"/>
      <c r="AE2" s="685"/>
      <c r="AF2" s="695" t="s">
        <v>1380</v>
      </c>
      <c r="AG2" s="696"/>
      <c r="AH2" s="697"/>
      <c r="AI2" s="693" t="s">
        <v>1381</v>
      </c>
      <c r="AJ2" s="697" t="s">
        <v>1382</v>
      </c>
      <c r="AK2" s="691" t="s">
        <v>1383</v>
      </c>
      <c r="AL2" s="692"/>
      <c r="AM2" s="692"/>
      <c r="AN2" s="687" t="s">
        <v>1384</v>
      </c>
      <c r="AO2" s="689" t="s">
        <v>1385</v>
      </c>
      <c r="AP2" s="691" t="s">
        <v>1386</v>
      </c>
      <c r="AQ2" s="692"/>
      <c r="AR2" s="692"/>
      <c r="AS2" s="687" t="s">
        <v>1384</v>
      </c>
      <c r="AT2" s="689" t="s">
        <v>1387</v>
      </c>
      <c r="AU2" s="683" t="s">
        <v>1388</v>
      </c>
      <c r="AV2" s="678"/>
      <c r="AW2" s="678"/>
      <c r="AX2" s="678"/>
      <c r="AY2" s="679"/>
      <c r="AZ2" s="678" t="s">
        <v>2059</v>
      </c>
      <c r="BA2" s="678"/>
      <c r="BB2" s="678"/>
      <c r="BC2" s="678"/>
      <c r="BD2" s="679"/>
      <c r="BE2" s="490" t="s">
        <v>1389</v>
      </c>
      <c r="BF2" s="678" t="s">
        <v>1390</v>
      </c>
      <c r="BG2" s="678"/>
      <c r="BH2" s="678"/>
      <c r="BI2" s="678"/>
      <c r="BJ2" s="679"/>
      <c r="BK2" s="684" t="s">
        <v>1391</v>
      </c>
      <c r="BL2" s="685"/>
      <c r="BM2" s="684" t="s">
        <v>1392</v>
      </c>
      <c r="BN2" s="686"/>
      <c r="BO2" s="686"/>
      <c r="BP2" s="686"/>
      <c r="BQ2" s="686"/>
      <c r="BR2" s="686"/>
      <c r="BS2" s="686"/>
      <c r="BT2" s="686"/>
      <c r="BU2" s="686"/>
      <c r="BV2" s="686"/>
      <c r="BW2" s="685"/>
      <c r="BX2" s="684" t="s">
        <v>1393</v>
      </c>
      <c r="BY2" s="686"/>
      <c r="BZ2" s="686"/>
      <c r="CA2" s="686"/>
      <c r="CB2" s="685"/>
      <c r="CC2" s="496" t="s">
        <v>1394</v>
      </c>
      <c r="CD2" s="493" t="s">
        <v>1395</v>
      </c>
      <c r="CE2" s="684" t="s">
        <v>1396</v>
      </c>
      <c r="CF2" s="686"/>
      <c r="CG2" s="685"/>
      <c r="CH2" s="684" t="s">
        <v>1397</v>
      </c>
      <c r="CI2" s="686"/>
      <c r="CJ2" s="685"/>
      <c r="CK2" s="496" t="s">
        <v>1398</v>
      </c>
      <c r="CL2" s="683" t="s">
        <v>1399</v>
      </c>
      <c r="CM2" s="679"/>
      <c r="CN2" s="612" t="s">
        <v>1192</v>
      </c>
      <c r="CR2" s="680" t="s">
        <v>1369</v>
      </c>
      <c r="CS2" s="682" t="s">
        <v>1190</v>
      </c>
      <c r="CT2" s="682" t="s">
        <v>1191</v>
      </c>
      <c r="CU2" s="682"/>
      <c r="CV2" s="682"/>
      <c r="CW2" s="682"/>
      <c r="CX2" s="682"/>
      <c r="CY2" s="682"/>
      <c r="CZ2" s="682"/>
      <c r="DA2" s="682"/>
      <c r="DB2" s="682"/>
      <c r="DC2" s="682"/>
      <c r="DD2" s="682"/>
      <c r="DE2" s="682"/>
      <c r="DF2" s="682"/>
    </row>
    <row r="3" spans="1:110" s="472" customFormat="1" ht="30" customHeight="1">
      <c r="A3" s="17"/>
      <c r="B3" s="699"/>
      <c r="C3" s="439"/>
      <c r="D3" s="700"/>
      <c r="E3" s="488" t="s">
        <v>1400</v>
      </c>
      <c r="F3" s="505" t="s">
        <v>1401</v>
      </c>
      <c r="G3" s="220" t="s">
        <v>1402</v>
      </c>
      <c r="H3" s="488" t="s">
        <v>1403</v>
      </c>
      <c r="I3" s="492" t="s">
        <v>1404</v>
      </c>
      <c r="J3" s="701"/>
      <c r="K3" s="488" t="s">
        <v>1400</v>
      </c>
      <c r="L3" s="488" t="s">
        <v>1405</v>
      </c>
      <c r="M3" s="499" t="s">
        <v>1406</v>
      </c>
      <c r="N3" s="497" t="s">
        <v>1407</v>
      </c>
      <c r="O3" s="560" t="s">
        <v>1408</v>
      </c>
      <c r="P3" s="556" t="s">
        <v>1409</v>
      </c>
      <c r="Q3" s="703"/>
      <c r="R3" s="703"/>
      <c r="S3" s="500">
        <v>6.9444444444444447E-4</v>
      </c>
      <c r="T3" s="500">
        <v>2.0833333333333333E-3</v>
      </c>
      <c r="U3" s="500">
        <v>3.472222222222222E-3</v>
      </c>
      <c r="V3" s="500">
        <v>6.9444444444444441E-3</v>
      </c>
      <c r="W3" s="500">
        <v>1.0416666666666666E-2</v>
      </c>
      <c r="X3" s="500">
        <v>4.1666666666666664E-2</v>
      </c>
      <c r="Y3" s="500">
        <v>0.125</v>
      </c>
      <c r="Z3" s="500">
        <v>0.33333333333333331</v>
      </c>
      <c r="AA3" s="500">
        <v>0.625</v>
      </c>
      <c r="AB3" s="500">
        <v>1</v>
      </c>
      <c r="AC3" s="499">
        <v>3</v>
      </c>
      <c r="AD3" s="91" t="s">
        <v>1410</v>
      </c>
      <c r="AE3" s="92" t="s">
        <v>1411</v>
      </c>
      <c r="AF3" s="500" t="s">
        <v>1412</v>
      </c>
      <c r="AG3" s="500" t="s">
        <v>1413</v>
      </c>
      <c r="AH3" s="499" t="s">
        <v>1414</v>
      </c>
      <c r="AI3" s="694"/>
      <c r="AJ3" s="698"/>
      <c r="AK3" s="347" t="s">
        <v>1415</v>
      </c>
      <c r="AL3" s="258" t="s">
        <v>1416</v>
      </c>
      <c r="AM3" s="491" t="s">
        <v>1417</v>
      </c>
      <c r="AN3" s="688"/>
      <c r="AO3" s="690"/>
      <c r="AP3" s="257" t="s">
        <v>1418</v>
      </c>
      <c r="AQ3" s="258" t="s">
        <v>1416</v>
      </c>
      <c r="AR3" s="491" t="s">
        <v>1417</v>
      </c>
      <c r="AS3" s="688"/>
      <c r="AT3" s="690"/>
      <c r="AU3" s="488" t="s">
        <v>1419</v>
      </c>
      <c r="AV3" s="488" t="s">
        <v>1420</v>
      </c>
      <c r="AW3" s="488" t="s">
        <v>1421</v>
      </c>
      <c r="AX3" s="488" t="s">
        <v>1422</v>
      </c>
      <c r="AY3" s="492" t="s">
        <v>1423</v>
      </c>
      <c r="AZ3" s="488" t="s">
        <v>1419</v>
      </c>
      <c r="BA3" s="488" t="s">
        <v>1420</v>
      </c>
      <c r="BB3" s="488" t="s">
        <v>1421</v>
      </c>
      <c r="BC3" s="488" t="s">
        <v>1422</v>
      </c>
      <c r="BD3" s="492" t="s">
        <v>1423</v>
      </c>
      <c r="BE3" s="492" t="s">
        <v>1422</v>
      </c>
      <c r="BF3" s="488" t="s">
        <v>1419</v>
      </c>
      <c r="BG3" s="488" t="s">
        <v>1420</v>
      </c>
      <c r="BH3" s="488" t="s">
        <v>1421</v>
      </c>
      <c r="BI3" s="488" t="s">
        <v>1422</v>
      </c>
      <c r="BJ3" s="492" t="s">
        <v>1423</v>
      </c>
      <c r="BK3" s="488" t="s">
        <v>17</v>
      </c>
      <c r="BL3" s="492" t="s">
        <v>581</v>
      </c>
      <c r="BM3" s="492" t="s">
        <v>1424</v>
      </c>
      <c r="BN3" s="334" t="s">
        <v>1425</v>
      </c>
      <c r="BO3" s="335" t="s">
        <v>1426</v>
      </c>
      <c r="BP3" s="440" t="s">
        <v>1427</v>
      </c>
      <c r="BQ3" s="335" t="s">
        <v>1428</v>
      </c>
      <c r="BR3" s="440" t="s">
        <v>1429</v>
      </c>
      <c r="BS3" s="335" t="s">
        <v>1430</v>
      </c>
      <c r="BT3" s="440" t="s">
        <v>1431</v>
      </c>
      <c r="BU3" s="335" t="s">
        <v>1432</v>
      </c>
      <c r="BV3" s="488" t="s">
        <v>1433</v>
      </c>
      <c r="BW3" s="492" t="s">
        <v>1434</v>
      </c>
      <c r="BX3" s="488" t="s">
        <v>1435</v>
      </c>
      <c r="BY3" s="492" t="s">
        <v>1436</v>
      </c>
      <c r="BZ3" s="488" t="s">
        <v>1437</v>
      </c>
      <c r="CA3" s="492" t="s">
        <v>1438</v>
      </c>
      <c r="CB3" s="492" t="s">
        <v>1439</v>
      </c>
      <c r="CC3" s="492" t="s">
        <v>1440</v>
      </c>
      <c r="CD3" s="492" t="s">
        <v>1441</v>
      </c>
      <c r="CE3" s="488" t="s">
        <v>1442</v>
      </c>
      <c r="CF3" s="488" t="s">
        <v>1443</v>
      </c>
      <c r="CG3" s="492" t="s">
        <v>1444</v>
      </c>
      <c r="CH3" s="488" t="s">
        <v>1445</v>
      </c>
      <c r="CI3" s="488" t="s">
        <v>1446</v>
      </c>
      <c r="CJ3" s="492" t="s">
        <v>1447</v>
      </c>
      <c r="CK3" s="492" t="s">
        <v>1448</v>
      </c>
      <c r="CL3" s="488" t="s">
        <v>1449</v>
      </c>
      <c r="CM3" s="613" t="s">
        <v>1450</v>
      </c>
      <c r="CN3" s="613" t="s">
        <v>1193</v>
      </c>
      <c r="CR3" s="681"/>
      <c r="CS3" s="682"/>
      <c r="CT3" s="474" t="s">
        <v>1194</v>
      </c>
      <c r="CU3" s="238" t="s">
        <v>1195</v>
      </c>
      <c r="CV3" s="473" t="s">
        <v>1196</v>
      </c>
      <c r="CW3" s="271" t="s">
        <v>1197</v>
      </c>
      <c r="CX3" s="270" t="s">
        <v>1192</v>
      </c>
      <c r="CY3" s="269" t="s">
        <v>1198</v>
      </c>
      <c r="CZ3" s="268" t="s">
        <v>1199</v>
      </c>
      <c r="DA3" s="290" t="s">
        <v>1200</v>
      </c>
      <c r="DB3" s="267" t="s">
        <v>1201</v>
      </c>
      <c r="DC3" s="266" t="s">
        <v>1202</v>
      </c>
      <c r="DD3" s="422" t="s">
        <v>1203</v>
      </c>
      <c r="DE3" s="276" t="s">
        <v>1204</v>
      </c>
      <c r="DF3" s="286" t="s">
        <v>1205</v>
      </c>
    </row>
    <row r="4" spans="1:110" ht="15" customHeight="1">
      <c r="B4" s="106" t="s">
        <v>1451</v>
      </c>
      <c r="C4" s="130"/>
      <c r="D4" s="130" t="s">
        <v>1452</v>
      </c>
      <c r="E4" s="106">
        <v>1</v>
      </c>
      <c r="F4" s="219">
        <v>0</v>
      </c>
      <c r="G4" s="107" t="s">
        <v>1453</v>
      </c>
      <c r="H4" s="107">
        <v>0</v>
      </c>
      <c r="I4" s="108">
        <v>1</v>
      </c>
      <c r="J4" s="108">
        <v>30</v>
      </c>
      <c r="K4" s="107">
        <v>1</v>
      </c>
      <c r="L4" s="107"/>
      <c r="M4" s="134">
        <v>0</v>
      </c>
      <c r="N4" s="109">
        <v>100</v>
      </c>
      <c r="O4" s="109">
        <v>0</v>
      </c>
      <c r="P4" s="108">
        <v>100</v>
      </c>
      <c r="Q4" s="134">
        <v>3.472222222222222E-3</v>
      </c>
      <c r="R4" s="134">
        <v>3.472222222222222E-3</v>
      </c>
      <c r="S4" s="107">
        <v>0</v>
      </c>
      <c r="T4" s="107">
        <v>0</v>
      </c>
      <c r="U4" s="107">
        <v>0</v>
      </c>
      <c r="V4" s="107">
        <v>0</v>
      </c>
      <c r="W4" s="109">
        <v>0</v>
      </c>
      <c r="X4" s="109">
        <v>0</v>
      </c>
      <c r="Y4" s="109">
        <v>0</v>
      </c>
      <c r="Z4" s="109">
        <v>0</v>
      </c>
      <c r="AA4" s="109">
        <v>0</v>
      </c>
      <c r="AB4" s="109">
        <v>0</v>
      </c>
      <c r="AC4" s="109">
        <v>0</v>
      </c>
      <c r="AD4" s="109">
        <v>0</v>
      </c>
      <c r="AE4" s="108">
        <v>0</v>
      </c>
      <c r="AF4" s="136">
        <v>0</v>
      </c>
      <c r="AG4" s="136">
        <v>0</v>
      </c>
      <c r="AH4" s="134">
        <f>AF4+AG4</f>
        <v>0</v>
      </c>
      <c r="AI4" s="483">
        <v>0</v>
      </c>
      <c r="AJ4" s="134">
        <f>S$3*S4+T$3*T4+U$3*U4+V$3*V4+W$3*W4+X$3*X4+Y$3*Y4+Z$3*Z4+AA$3*AA4+AB$3*AB4+AC$3*AC4</f>
        <v>0</v>
      </c>
      <c r="AK4" s="338">
        <v>0</v>
      </c>
      <c r="AL4" s="136" t="s">
        <v>1453</v>
      </c>
      <c r="AM4" s="136" t="s">
        <v>1453</v>
      </c>
      <c r="AN4" s="136" t="s">
        <v>1453</v>
      </c>
      <c r="AO4" s="134" t="s">
        <v>1453</v>
      </c>
      <c r="AP4" s="255">
        <v>0</v>
      </c>
      <c r="AQ4" s="136" t="s">
        <v>1453</v>
      </c>
      <c r="AR4" s="136" t="s">
        <v>1453</v>
      </c>
      <c r="AS4" s="136" t="s">
        <v>1453</v>
      </c>
      <c r="AT4" s="134" t="s">
        <v>1453</v>
      </c>
      <c r="AU4" s="107">
        <v>20000</v>
      </c>
      <c r="AV4" s="107">
        <v>20000</v>
      </c>
      <c r="AW4" s="107">
        <v>20000</v>
      </c>
      <c r="AX4" s="107">
        <v>20000</v>
      </c>
      <c r="AY4" s="108">
        <v>20000</v>
      </c>
      <c r="AZ4" s="107">
        <v>0</v>
      </c>
      <c r="BA4" s="107">
        <v>0</v>
      </c>
      <c r="BB4" s="107">
        <v>0</v>
      </c>
      <c r="BC4" s="107">
        <v>0</v>
      </c>
      <c r="BD4" s="108">
        <v>0</v>
      </c>
      <c r="BE4" s="108">
        <v>0</v>
      </c>
      <c r="BF4" s="107">
        <v>0</v>
      </c>
      <c r="BG4" s="107">
        <v>0</v>
      </c>
      <c r="BH4" s="107">
        <v>0</v>
      </c>
      <c r="BI4" s="107">
        <v>0</v>
      </c>
      <c r="BJ4" s="108">
        <v>0</v>
      </c>
      <c r="BK4" s="107">
        <v>1</v>
      </c>
      <c r="BL4" s="108">
        <v>1</v>
      </c>
      <c r="BM4" s="108">
        <v>1</v>
      </c>
      <c r="BN4" s="107">
        <v>0</v>
      </c>
      <c r="BO4" s="108">
        <v>0</v>
      </c>
      <c r="BP4" s="107">
        <v>0</v>
      </c>
      <c r="BQ4" s="108">
        <v>0</v>
      </c>
      <c r="BR4" s="107">
        <v>0</v>
      </c>
      <c r="BS4" s="108">
        <v>0</v>
      </c>
      <c r="BT4" s="107">
        <v>0</v>
      </c>
      <c r="BU4" s="108">
        <v>0</v>
      </c>
      <c r="BV4" s="107">
        <v>0</v>
      </c>
      <c r="BW4" s="108">
        <v>0</v>
      </c>
      <c r="BX4" s="107">
        <v>0</v>
      </c>
      <c r="BY4" s="108">
        <v>0</v>
      </c>
      <c r="BZ4" s="107">
        <v>1</v>
      </c>
      <c r="CA4" s="108">
        <v>1</v>
      </c>
      <c r="CB4" s="108">
        <v>1</v>
      </c>
      <c r="CC4" s="108">
        <v>0</v>
      </c>
      <c r="CD4" s="108">
        <v>0</v>
      </c>
      <c r="CE4" s="107"/>
      <c r="CF4" s="107"/>
      <c r="CG4" s="108"/>
      <c r="CH4" s="107"/>
      <c r="CI4" s="107"/>
      <c r="CJ4" s="108"/>
      <c r="CK4" s="108"/>
      <c r="CL4" s="107">
        <v>0</v>
      </c>
      <c r="CM4" s="108"/>
      <c r="CN4" s="108" t="s">
        <v>1208</v>
      </c>
      <c r="CS4" s="102" t="s">
        <v>1194</v>
      </c>
      <c r="CT4" s="127" t="s">
        <v>153</v>
      </c>
      <c r="CU4" s="127" t="s">
        <v>150</v>
      </c>
      <c r="CV4" s="127" t="s">
        <v>149</v>
      </c>
      <c r="CW4" s="127" t="s">
        <v>149</v>
      </c>
      <c r="CX4" s="127"/>
      <c r="CY4" s="127" t="s">
        <v>154</v>
      </c>
      <c r="CZ4" s="127" t="s">
        <v>1209</v>
      </c>
      <c r="DA4" s="127" t="s">
        <v>1210</v>
      </c>
      <c r="DB4" s="127"/>
      <c r="DC4" s="127" t="s">
        <v>1211</v>
      </c>
      <c r="DD4" s="127" t="s">
        <v>1212</v>
      </c>
      <c r="DE4" s="127" t="s">
        <v>1213</v>
      </c>
      <c r="DF4" s="127" t="s">
        <v>1214</v>
      </c>
    </row>
    <row r="5" spans="1:110" ht="15" customHeight="1">
      <c r="B5" s="93" t="s">
        <v>144</v>
      </c>
      <c r="C5" s="127" t="s">
        <v>149</v>
      </c>
      <c r="D5" s="144" t="s">
        <v>1454</v>
      </c>
      <c r="E5" s="506">
        <v>1</v>
      </c>
      <c r="F5" s="12">
        <v>0</v>
      </c>
      <c r="G5" s="94">
        <f>VLOOKUP($D5,Construction!$B:$E,(COLUMN(Construction_BuildingReward_HeroXP)-COLUMN(Construction_Name_and_Level)+1),FALSE)</f>
        <v>10</v>
      </c>
      <c r="H5" s="94">
        <f>G5*(1+F5)</f>
        <v>10</v>
      </c>
      <c r="J5" s="95">
        <f>VLOOKUP($D5,Construction!$B:$F,(COLUMN(Construction_BuildingReward_Power)-COLUMN(Construction_Name_and_Level)+1),FALSE)</f>
        <v>5</v>
      </c>
      <c r="Q5" s="139">
        <v>3.472222222222222E-3</v>
      </c>
      <c r="R5" s="139">
        <v>3.472222222222222E-3</v>
      </c>
      <c r="AF5" s="141"/>
      <c r="AG5" s="141"/>
      <c r="AH5" s="137"/>
      <c r="AI5" s="484"/>
      <c r="AJ5" s="137">
        <f t="shared" ref="AJ5:AJ16" si="0">AJ4+(S$3*S5+T$3*T5+U$3*U5+V$3*V5+W$3*W5+X$3*X5+Y$3*Y5+Z$3*Z5+AA$3*AA5+AB$3*AB5+AC$3*AC5)</f>
        <v>0</v>
      </c>
      <c r="AK5" s="339">
        <v>0</v>
      </c>
      <c r="AL5" s="138">
        <f>VLOOKUP($D5,Construction!$B:$C,(COLUMN(Construction_Time)-COLUMN(Construction_Name_and_Level)+1),FALSE)</f>
        <v>6.9444444444444447E-4</v>
      </c>
      <c r="AM5" s="138">
        <f>AL5/(1+AK5)</f>
        <v>6.9444444444444447E-4</v>
      </c>
      <c r="AN5" s="138">
        <f>(S$3*S5+T$3*T5+V$3*V5+W$3*W5+X$3*X5+Y$3*Y5+Z$3*Z5+AA$3*AA5+AB$3*AB5+AC$3*AC5)*(-1)</f>
        <v>0</v>
      </c>
      <c r="AO5" s="139">
        <f>IF((AM5-Q5-R5-AN5)&gt;=0,AM5-Q5-R5-AN5,0)</f>
        <v>0</v>
      </c>
      <c r="AU5" s="94">
        <f>VLOOKUP($D5,Construction!$B:$J,(COLUMN(Construction_BuildingCost_Stone)-COLUMN(Construction_Name_and_Level)+1),FALSE)*(-1)</f>
        <v>-100</v>
      </c>
      <c r="AV5" s="94">
        <f>VLOOKUP($D5,Construction!$B:$J,(COLUMN(Construction_BuildingCost_Wood)-COLUMN(Construction_Name_and_Level)+1),FALSE)*(-1)</f>
        <v>-100</v>
      </c>
      <c r="AW5" s="94">
        <f>VLOOKUP($D5,Construction!$B:$J,(COLUMN(Construction_BuildingCost_Ore)-COLUMN(Construction_Name_and_Level)+1),FALSE)*(-1)</f>
        <v>-100</v>
      </c>
      <c r="AX5" s="94">
        <f>VLOOKUP($D5,Construction!$B:$J,(COLUMN(Construction_BuildingCost_Food)-COLUMN(Construction_Name_and_Level)+1),FALSE)*(-1)</f>
        <v>0</v>
      </c>
      <c r="CR5" s="472"/>
      <c r="CS5" s="472" t="s">
        <v>1195</v>
      </c>
      <c r="CT5" s="127" t="s">
        <v>150</v>
      </c>
      <c r="CU5" s="127" t="s">
        <v>151</v>
      </c>
      <c r="CV5" s="127" t="s">
        <v>1215</v>
      </c>
      <c r="CW5" s="127" t="s">
        <v>138</v>
      </c>
      <c r="CX5" s="127"/>
      <c r="CY5" s="127" t="s">
        <v>155</v>
      </c>
      <c r="CZ5" s="127" t="s">
        <v>1216</v>
      </c>
      <c r="DA5" s="127" t="s">
        <v>1217</v>
      </c>
      <c r="DB5" s="127"/>
      <c r="DC5" s="127" t="s">
        <v>1218</v>
      </c>
      <c r="DD5" s="127"/>
      <c r="DE5" s="127"/>
      <c r="DF5" s="127" t="s">
        <v>1219</v>
      </c>
    </row>
    <row r="6" spans="1:110" ht="15" customHeight="1">
      <c r="B6" s="102" t="s">
        <v>1455</v>
      </c>
      <c r="C6" s="127" t="s">
        <v>139</v>
      </c>
      <c r="D6" s="144" t="s">
        <v>1454</v>
      </c>
      <c r="E6" s="506">
        <v>1</v>
      </c>
      <c r="F6" s="12">
        <v>0</v>
      </c>
      <c r="G6" s="101">
        <f>VLOOKUP($D6,Construction!$B:$L,(COLUMN(Construction_QuestReward_HeroXP)-COLUMN(Construction_Name_and_Level)+1),FALSE)</f>
        <v>2525</v>
      </c>
      <c r="H6" s="101">
        <f t="shared" ref="H6:H69" si="1">G6*(1+F6)</f>
        <v>2525</v>
      </c>
      <c r="J6" s="100">
        <f>VLOOKUP($D6,Construction!$B:$L,(COLUMN(Construction_QuestReward_Power)-COLUMN(Construction_Name_and_Level)+1),FALSE)</f>
        <v>2</v>
      </c>
      <c r="AF6" s="141"/>
      <c r="AG6" s="141"/>
      <c r="AH6" s="137"/>
      <c r="AI6" s="484"/>
      <c r="AJ6" s="137">
        <f t="shared" si="0"/>
        <v>0</v>
      </c>
      <c r="AU6" s="101">
        <f>VLOOKUP($D6,Construction!$B:$Q,(COLUMN(Construction_QuestReward_Stone)-COLUMN(Construction_Name_and_Level)+1),FALSE)</f>
        <v>0</v>
      </c>
      <c r="AV6" s="101">
        <f>VLOOKUP($D6,Construction!$B:$Q,(COLUMN(Construction_QuestReward_Wood)-COLUMN(Construction_Name_and_Level)+1),FALSE)</f>
        <v>0</v>
      </c>
      <c r="AW6" s="101">
        <f>VLOOKUP($D6,Construction!$B:$Q,(COLUMN(Construction_QuestReward_Ore)-COLUMN(Construction_Name_and_Level)+1),FALSE)</f>
        <v>0</v>
      </c>
      <c r="AX6" s="101">
        <f>VLOOKUP($D6,Construction!$B:$Q,(COLUMN(Construction_QuestReward_Food)-COLUMN(Construction_Name_and_Level)+1),FALSE)</f>
        <v>3000</v>
      </c>
      <c r="AY6" s="100">
        <f>VLOOKUP($D6,Construction!$B:$Q,(COLUMN(Construction_QuestReward_Silver)-COLUMN(Construction_Name_and_Level)+1),FALSE)</f>
        <v>0</v>
      </c>
      <c r="CS6" s="93" t="s">
        <v>1196</v>
      </c>
      <c r="CT6" s="127" t="s">
        <v>1220</v>
      </c>
      <c r="CU6" s="127" t="s">
        <v>1221</v>
      </c>
      <c r="CV6" s="127" t="s">
        <v>1222</v>
      </c>
      <c r="CW6" s="127"/>
      <c r="CX6" s="127"/>
      <c r="CY6" s="127" t="s">
        <v>156</v>
      </c>
      <c r="CZ6" s="127" t="s">
        <v>1223</v>
      </c>
      <c r="DA6" s="127" t="s">
        <v>1224</v>
      </c>
      <c r="DB6" s="127"/>
      <c r="DC6" s="127" t="s">
        <v>1225</v>
      </c>
      <c r="DD6" s="127"/>
      <c r="DE6" s="127"/>
      <c r="DF6" s="127" t="s">
        <v>1226</v>
      </c>
    </row>
    <row r="7" spans="1:110" ht="15" customHeight="1">
      <c r="B7" s="93" t="s">
        <v>1456</v>
      </c>
      <c r="C7" s="127" t="s">
        <v>149</v>
      </c>
      <c r="D7" s="144" t="s">
        <v>18</v>
      </c>
      <c r="E7" s="506">
        <v>1</v>
      </c>
      <c r="F7" s="12">
        <v>0</v>
      </c>
      <c r="G7" s="94">
        <f>VLOOKUP($D7,Construction!$B:$E,(COLUMN(Construction_BuildingReward_HeroXP)-COLUMN(Construction_Name_and_Level)+1),FALSE)</f>
        <v>5000</v>
      </c>
      <c r="H7" s="94">
        <f t="shared" si="1"/>
        <v>5000</v>
      </c>
      <c r="J7" s="95">
        <f>VLOOKUP($D7,Construction!$B:$F,(COLUMN(Construction_BuildingReward_Power)-COLUMN(Construction_Name_and_Level)+1),FALSE)</f>
        <v>150</v>
      </c>
      <c r="Q7" s="139">
        <v>3.472222222222222E-3</v>
      </c>
      <c r="R7" s="159">
        <v>4.1666666666666666E-3</v>
      </c>
      <c r="AF7" s="141"/>
      <c r="AG7" s="141"/>
      <c r="AH7" s="137"/>
      <c r="AI7" s="484"/>
      <c r="AJ7" s="137">
        <f t="shared" si="0"/>
        <v>0</v>
      </c>
      <c r="AK7" s="339">
        <v>0</v>
      </c>
      <c r="AL7" s="138">
        <f>VLOOKUP($D7,Construction!$B:$C,(COLUMN(Construction_Time)-COLUMN(Construction_Name_and_Level)+1),FALSE)</f>
        <v>3.2407407407407406E-3</v>
      </c>
      <c r="AM7" s="138">
        <f>AL7/(1+AK7)</f>
        <v>3.2407407407407406E-3</v>
      </c>
      <c r="AN7" s="138">
        <f>(S$3*S7+T$3*T7+V$3*V7+W$3*W7+X$3*X7+Y$3*Y7+Z$3*Z7+AA$3*AA7+AB$3*AB7+AC$3*AC7)*(-1)</f>
        <v>0</v>
      </c>
      <c r="AO7" s="139">
        <f>IF((AM7-Q7-R7-AN7)&gt;=0,AM7-Q7-R7-AN7,0)</f>
        <v>0</v>
      </c>
      <c r="AU7" s="94">
        <f>VLOOKUP($D7,Construction!$B:$J,(COLUMN(Construction_BuildingCost_Stone)-COLUMN(Construction_Name_and_Level)+1),FALSE)*(-1)</f>
        <v>-1800</v>
      </c>
      <c r="AV7" s="94">
        <f>VLOOKUP($D7,Construction!$B:$J,(COLUMN(Construction_BuildingCost_Wood)-COLUMN(Construction_Name_and_Level)+1),FALSE)*(-1)</f>
        <v>-1800</v>
      </c>
      <c r="AW7" s="94">
        <f>VLOOKUP($D7,Construction!$B:$J,(COLUMN(Construction_BuildingCost_Ore)-COLUMN(Construction_Name_and_Level)+1),FALSE)*(-1)</f>
        <v>-720</v>
      </c>
      <c r="AX7" s="94">
        <f>VLOOKUP($D7,Construction!$B:$J,(COLUMN(Construction_BuildingCost_Food)-COLUMN(Construction_Name_and_Level)+1),FALSE)*(-1)</f>
        <v>-900</v>
      </c>
      <c r="CS7" s="110" t="s">
        <v>1197</v>
      </c>
      <c r="CT7" s="127" t="s">
        <v>139</v>
      </c>
      <c r="CU7" s="127" t="s">
        <v>152</v>
      </c>
      <c r="CV7" s="127"/>
      <c r="CW7" s="127"/>
      <c r="CX7" s="127"/>
      <c r="CY7" s="129" t="s">
        <v>157</v>
      </c>
      <c r="CZ7" s="127" t="s">
        <v>1227</v>
      </c>
      <c r="DA7" s="127" t="s">
        <v>1228</v>
      </c>
      <c r="DB7" s="127"/>
      <c r="DC7" s="127" t="s">
        <v>1229</v>
      </c>
      <c r="DD7" s="127"/>
      <c r="DE7" s="127"/>
      <c r="DF7" s="127" t="s">
        <v>1230</v>
      </c>
    </row>
    <row r="8" spans="1:110" ht="15" customHeight="1">
      <c r="B8" s="506" t="s">
        <v>1457</v>
      </c>
      <c r="C8" s="127" t="s">
        <v>172</v>
      </c>
      <c r="D8" s="145" t="s">
        <v>1458</v>
      </c>
      <c r="E8" s="506">
        <v>1</v>
      </c>
      <c r="J8" s="19"/>
      <c r="AF8" s="141"/>
      <c r="AG8" s="141"/>
      <c r="AH8" s="137"/>
      <c r="AI8" s="484"/>
      <c r="AJ8" s="137">
        <f t="shared" si="0"/>
        <v>0</v>
      </c>
      <c r="AQ8" s="254"/>
      <c r="AU8" s="7">
        <v>1900</v>
      </c>
      <c r="AV8" s="7">
        <v>1900</v>
      </c>
      <c r="AW8" s="7">
        <v>1900</v>
      </c>
      <c r="AX8" s="7">
        <v>1500</v>
      </c>
      <c r="AY8" s="19">
        <v>1600</v>
      </c>
      <c r="CS8" s="298" t="s">
        <v>1192</v>
      </c>
      <c r="CT8" s="127" t="s">
        <v>1231</v>
      </c>
      <c r="CU8" s="127" t="s">
        <v>147</v>
      </c>
      <c r="CV8" s="127"/>
      <c r="CW8" s="127"/>
      <c r="CX8" s="127"/>
      <c r="CY8" s="127" t="s">
        <v>158</v>
      </c>
      <c r="CZ8" s="127" t="s">
        <v>1232</v>
      </c>
      <c r="DA8" s="127" t="s">
        <v>1233</v>
      </c>
      <c r="DB8" s="127"/>
      <c r="DC8" s="127"/>
      <c r="DD8" s="127"/>
      <c r="DE8" s="127"/>
      <c r="DF8" s="127" t="s">
        <v>1234</v>
      </c>
    </row>
    <row r="9" spans="1:110" ht="15" customHeight="1">
      <c r="B9" s="506" t="s">
        <v>1457</v>
      </c>
      <c r="C9" s="127" t="s">
        <v>1459</v>
      </c>
      <c r="D9" s="144" t="s">
        <v>1460</v>
      </c>
      <c r="E9" s="506">
        <v>1</v>
      </c>
      <c r="V9" s="2">
        <v>1</v>
      </c>
      <c r="W9" s="11">
        <v>1</v>
      </c>
      <c r="AF9" s="141">
        <f>$S$3*$S9+$T$3*$T9+$U$3*$U9+$V$3*$V9+$W$3*$W9+$X$3*$X9+$Y$3*$Y9+$Z$3*$Z9+$AA$3*$AA9+$AB$3*$AB9+$AC$3*$AC9</f>
        <v>1.7361111111111112E-2</v>
      </c>
      <c r="AG9" s="141"/>
      <c r="AH9" s="137"/>
      <c r="AI9" s="484"/>
      <c r="AJ9" s="137">
        <f t="shared" si="0"/>
        <v>1.7361111111111112E-2</v>
      </c>
      <c r="AQ9" s="254"/>
      <c r="AX9" s="2">
        <v>5000</v>
      </c>
      <c r="CS9" s="299" t="s">
        <v>1198</v>
      </c>
      <c r="CT9" s="127" t="s">
        <v>140</v>
      </c>
      <c r="CU9" s="127"/>
      <c r="CV9" s="127"/>
      <c r="CW9" s="127"/>
      <c r="CX9" s="127"/>
      <c r="CY9" s="127" t="s">
        <v>159</v>
      </c>
      <c r="CZ9" s="127" t="s">
        <v>1235</v>
      </c>
      <c r="DA9" s="127" t="s">
        <v>1236</v>
      </c>
      <c r="DB9" s="127"/>
      <c r="DC9" s="127"/>
      <c r="DD9" s="127"/>
      <c r="DE9" s="127"/>
      <c r="DF9" s="127"/>
    </row>
    <row r="10" spans="1:110" ht="15" customHeight="1">
      <c r="B10" s="506" t="s">
        <v>1457</v>
      </c>
      <c r="C10" s="127" t="s">
        <v>1461</v>
      </c>
      <c r="D10" s="144">
        <v>6.9444444444444447E-4</v>
      </c>
      <c r="E10" s="506">
        <v>1</v>
      </c>
      <c r="T10" s="2">
        <v>1</v>
      </c>
      <c r="AF10" s="141">
        <f>$S$3*$S10+$T$3*$T10+$U$3*$U10+$V$3*$V10+$W$3*$W10+$X$3*$X10+$Y$3*$Y10+$Z$3*$Z10+$AA$3*$AA10+$AB$3*$AB10+$AC$3*$AC10</f>
        <v>2.0833333333333333E-3</v>
      </c>
      <c r="AG10" s="141"/>
      <c r="AH10" s="137"/>
      <c r="AI10" s="484"/>
      <c r="AJ10" s="137">
        <f t="shared" si="0"/>
        <v>1.9444444444444445E-2</v>
      </c>
      <c r="CS10" s="303" t="s">
        <v>1199</v>
      </c>
      <c r="CT10" s="127" t="s">
        <v>1237</v>
      </c>
      <c r="CU10" s="127"/>
      <c r="CV10" s="127"/>
      <c r="CW10" s="127"/>
      <c r="CX10" s="127"/>
      <c r="CY10" s="127" t="s">
        <v>160</v>
      </c>
      <c r="CZ10" s="127"/>
      <c r="DA10" s="127"/>
      <c r="DB10" s="127"/>
      <c r="DC10" s="127"/>
      <c r="DD10" s="127"/>
      <c r="DE10" s="127"/>
      <c r="DF10" s="127"/>
    </row>
    <row r="11" spans="1:110" ht="15" customHeight="1">
      <c r="B11" s="506" t="s">
        <v>1457</v>
      </c>
      <c r="C11" s="127" t="s">
        <v>1461</v>
      </c>
      <c r="D11" s="144">
        <v>2.7777777777777779E-3</v>
      </c>
      <c r="E11" s="506">
        <v>1</v>
      </c>
      <c r="L11" s="2">
        <v>100</v>
      </c>
      <c r="AF11" s="141"/>
      <c r="AG11" s="141"/>
      <c r="AH11" s="137"/>
      <c r="AI11" s="484"/>
      <c r="AJ11" s="137">
        <f t="shared" si="0"/>
        <v>1.9444444444444445E-2</v>
      </c>
      <c r="CS11" s="300" t="s">
        <v>1200</v>
      </c>
      <c r="CT11" s="127" t="s">
        <v>141</v>
      </c>
      <c r="CU11" s="127"/>
      <c r="CV11" s="127"/>
      <c r="CW11" s="127"/>
      <c r="CX11" s="127"/>
      <c r="CY11" s="129" t="s">
        <v>161</v>
      </c>
      <c r="CZ11" s="127"/>
      <c r="DA11" s="127"/>
      <c r="DB11" s="127"/>
      <c r="DC11" s="127"/>
      <c r="DD11" s="127"/>
      <c r="DE11" s="127"/>
      <c r="DF11" s="127"/>
    </row>
    <row r="12" spans="1:110" ht="15" customHeight="1">
      <c r="B12" s="6" t="s">
        <v>1462</v>
      </c>
      <c r="E12" s="506">
        <v>1</v>
      </c>
      <c r="AF12" s="141"/>
      <c r="AG12" s="141"/>
      <c r="AH12" s="137"/>
      <c r="AI12" s="484"/>
      <c r="AJ12" s="137">
        <f t="shared" si="0"/>
        <v>1.9444444444444445E-2</v>
      </c>
      <c r="AY12" s="88">
        <v>750</v>
      </c>
      <c r="CS12" s="422" t="s">
        <v>1203</v>
      </c>
      <c r="CT12" s="127" t="s">
        <v>1238</v>
      </c>
      <c r="CU12" s="127"/>
      <c r="CV12" s="127"/>
      <c r="CW12" s="127"/>
      <c r="CX12" s="127"/>
      <c r="CY12" s="127" t="s">
        <v>162</v>
      </c>
      <c r="CZ12" s="127"/>
      <c r="DA12" s="127"/>
      <c r="DB12" s="127"/>
      <c r="DC12" s="127"/>
      <c r="DD12" s="127"/>
      <c r="DE12" s="127"/>
      <c r="DF12" s="127"/>
    </row>
    <row r="13" spans="1:110" ht="15" customHeight="1">
      <c r="B13" s="506" t="s">
        <v>1457</v>
      </c>
      <c r="C13" s="127" t="s">
        <v>1463</v>
      </c>
      <c r="D13" s="144" t="s">
        <v>1464</v>
      </c>
      <c r="E13" s="506">
        <v>1</v>
      </c>
      <c r="V13" s="2">
        <v>1</v>
      </c>
      <c r="W13" s="11">
        <v>1</v>
      </c>
      <c r="AF13" s="141">
        <f>$S$3*$S13+$T$3*$T13+$U$3*$U13+$V$3*$V13+$W$3*$W13+$X$3*$X13+$Y$3*$Y13+$Z$3*$Z13+$AA$3*$AA13+$AB$3*$AB13+$AC$3*$AC13</f>
        <v>1.7361111111111112E-2</v>
      </c>
      <c r="AG13" s="141"/>
      <c r="AH13" s="137"/>
      <c r="AI13" s="484"/>
      <c r="AJ13" s="137">
        <f t="shared" si="0"/>
        <v>3.6805555555555557E-2</v>
      </c>
      <c r="AX13" s="2">
        <v>5000</v>
      </c>
      <c r="CS13" s="301" t="s">
        <v>1201</v>
      </c>
      <c r="CT13" s="127" t="s">
        <v>1239</v>
      </c>
      <c r="CU13" s="127"/>
      <c r="CV13" s="127"/>
      <c r="CW13" s="127"/>
      <c r="CX13" s="127"/>
      <c r="CY13" s="127" t="s">
        <v>163</v>
      </c>
      <c r="CZ13" s="127"/>
      <c r="DA13" s="127"/>
      <c r="DB13" s="127"/>
      <c r="DC13" s="127"/>
      <c r="DD13" s="127"/>
      <c r="DE13" s="127"/>
      <c r="DF13" s="127"/>
    </row>
    <row r="14" spans="1:110" ht="15" customHeight="1">
      <c r="B14" s="506" t="s">
        <v>1457</v>
      </c>
      <c r="C14" s="127" t="s">
        <v>1463</v>
      </c>
      <c r="D14" s="144" t="s">
        <v>1465</v>
      </c>
      <c r="E14" s="506">
        <v>1</v>
      </c>
      <c r="M14" s="135">
        <v>2.0833333333333332E-2</v>
      </c>
      <c r="W14" s="11">
        <v>1</v>
      </c>
      <c r="AF14" s="141">
        <f>$S$3*$S14+$T$3*$T14+$U$3*$U14+$V$3*$V14+$W$3*$W14+$X$3*$X14+$Y$3*$Y14+$Z$3*$Z14+$AA$3*$AA14+$AB$3*$AB14+$AC$3*$AC14</f>
        <v>1.0416666666666666E-2</v>
      </c>
      <c r="AG14" s="141"/>
      <c r="AH14" s="137"/>
      <c r="AI14" s="484"/>
      <c r="AJ14" s="137">
        <f t="shared" si="0"/>
        <v>4.7222222222222221E-2</v>
      </c>
      <c r="AU14" s="2">
        <v>1000</v>
      </c>
      <c r="AV14" s="2">
        <v>1000</v>
      </c>
      <c r="AW14" s="2">
        <v>1000</v>
      </c>
      <c r="CS14" s="302" t="s">
        <v>1202</v>
      </c>
      <c r="CT14" s="127" t="s">
        <v>1240</v>
      </c>
      <c r="CU14" s="127"/>
      <c r="CV14" s="127"/>
      <c r="CW14" s="127"/>
      <c r="CX14" s="127"/>
      <c r="CY14" s="127" t="s">
        <v>164</v>
      </c>
      <c r="CZ14" s="127"/>
      <c r="DA14" s="127"/>
      <c r="DB14" s="127"/>
      <c r="DC14" s="127"/>
      <c r="DD14" s="127"/>
      <c r="DE14" s="127"/>
      <c r="DF14" s="127"/>
    </row>
    <row r="15" spans="1:110" ht="15" customHeight="1">
      <c r="B15" s="102" t="s">
        <v>1455</v>
      </c>
      <c r="C15" s="127" t="s">
        <v>139</v>
      </c>
      <c r="D15" s="144" t="s">
        <v>1466</v>
      </c>
      <c r="E15" s="506">
        <v>1</v>
      </c>
      <c r="F15" s="12">
        <v>0</v>
      </c>
      <c r="G15" s="101">
        <f>VLOOKUP($D15,Construction!$B:$L,(COLUMN(Construction_QuestReward_HeroXP)-COLUMN(Construction_Name_and_Level)+1),FALSE)</f>
        <v>2525</v>
      </c>
      <c r="H15" s="101">
        <f t="shared" si="1"/>
        <v>2525</v>
      </c>
      <c r="J15" s="100">
        <f>VLOOKUP($D15,Construction!$B:$L,(COLUMN(Construction_QuestReward_Power)-COLUMN(Construction_Name_and_Level)+1),FALSE)</f>
        <v>2</v>
      </c>
      <c r="AF15" s="141"/>
      <c r="AG15" s="141"/>
      <c r="AH15" s="137"/>
      <c r="AI15" s="484"/>
      <c r="AJ15" s="137">
        <f t="shared" si="0"/>
        <v>4.7222222222222221E-2</v>
      </c>
      <c r="AU15" s="101">
        <f>VLOOKUP($D15,Construction!$B:$Q,(COLUMN(Construction_QuestReward_Stone)-COLUMN(Construction_Name_and_Level)+1),FALSE)</f>
        <v>5400</v>
      </c>
      <c r="AV15" s="101">
        <f>VLOOKUP($D15,Construction!$B:$Q,(COLUMN(Construction_QuestReward_Wood)-COLUMN(Construction_Name_and_Level)+1),FALSE)</f>
        <v>4300</v>
      </c>
      <c r="AW15" s="101">
        <f>VLOOKUP($D15,Construction!$B:$Q,(COLUMN(Construction_QuestReward_Ore)-COLUMN(Construction_Name_and_Level)+1),FALSE)</f>
        <v>3300</v>
      </c>
      <c r="AX15" s="101">
        <f>VLOOKUP($D15,Construction!$B:$Q,(COLUMN(Construction_QuestReward_Food)-COLUMN(Construction_Name_and_Level)+1),FALSE)</f>
        <v>2700</v>
      </c>
      <c r="AY15" s="100">
        <f>VLOOKUP($D15,Construction!$B:$Q,(COLUMN(Construction_QuestReward_Silver)-COLUMN(Construction_Name_and_Level)+1),FALSE)</f>
        <v>50</v>
      </c>
      <c r="CS15" s="275" t="s">
        <v>1204</v>
      </c>
      <c r="CT15" s="127"/>
      <c r="CU15" s="127"/>
      <c r="CV15" s="127"/>
      <c r="CW15" s="127"/>
      <c r="CX15" s="127"/>
      <c r="CY15" s="129" t="s">
        <v>165</v>
      </c>
      <c r="CZ15" s="127"/>
      <c r="DA15" s="127"/>
      <c r="DB15" s="127"/>
      <c r="DC15" s="127"/>
      <c r="DD15" s="127"/>
      <c r="DE15" s="127"/>
      <c r="DF15" s="127"/>
    </row>
    <row r="16" spans="1:110" ht="15" customHeight="1">
      <c r="B16" s="126" t="s">
        <v>1457</v>
      </c>
      <c r="C16" s="127" t="s">
        <v>147</v>
      </c>
      <c r="D16" s="144" t="s">
        <v>1467</v>
      </c>
      <c r="E16" s="506">
        <v>2</v>
      </c>
      <c r="I16" s="5">
        <v>1</v>
      </c>
      <c r="J16" s="5">
        <v>57</v>
      </c>
      <c r="AF16" s="141"/>
      <c r="AG16" s="141"/>
      <c r="AH16" s="137"/>
      <c r="AI16" s="484"/>
      <c r="AJ16" s="137">
        <f t="shared" si="0"/>
        <v>4.7222222222222221E-2</v>
      </c>
      <c r="CS16" s="285" t="s">
        <v>1205</v>
      </c>
      <c r="CT16" s="127"/>
      <c r="CU16" s="127"/>
      <c r="CV16" s="127"/>
      <c r="CW16" s="127"/>
      <c r="CX16" s="127"/>
      <c r="CY16" s="127" t="s">
        <v>166</v>
      </c>
      <c r="CZ16" s="127"/>
      <c r="DA16" s="127"/>
      <c r="DB16" s="127"/>
      <c r="DC16" s="127"/>
      <c r="DD16" s="127"/>
      <c r="DE16" s="127"/>
      <c r="DF16" s="127"/>
    </row>
    <row r="17" spans="2:110" ht="15" customHeight="1">
      <c r="B17" s="106" t="s">
        <v>171</v>
      </c>
      <c r="C17" s="130"/>
      <c r="D17" s="130" t="s">
        <v>1468</v>
      </c>
      <c r="E17" s="106">
        <v>2</v>
      </c>
      <c r="F17" s="219">
        <v>0</v>
      </c>
      <c r="G17" s="107" t="s">
        <v>1453</v>
      </c>
      <c r="H17" s="107">
        <v>10060</v>
      </c>
      <c r="I17" s="108">
        <v>2</v>
      </c>
      <c r="J17" s="108">
        <v>246</v>
      </c>
      <c r="K17" s="107">
        <v>2</v>
      </c>
      <c r="L17" s="107"/>
      <c r="M17" s="134">
        <v>2.0833333333333332E-2</v>
      </c>
      <c r="N17" s="109">
        <v>100</v>
      </c>
      <c r="O17" s="109">
        <f>SUMIF($B$4:$B16,"&lt;&gt;"&amp;$CS$13,O$4:O16)</f>
        <v>0</v>
      </c>
      <c r="P17" s="108">
        <f>SUMIF($B$4:$B16,"&lt;&gt;"&amp;$CS$13,N$4:N16)</f>
        <v>100</v>
      </c>
      <c r="Q17" s="134">
        <v>3.472222222222222E-3</v>
      </c>
      <c r="R17" s="134">
        <v>4.1666666666666666E-3</v>
      </c>
      <c r="S17" s="107">
        <v>0</v>
      </c>
      <c r="T17" s="107">
        <v>1</v>
      </c>
      <c r="U17" s="107">
        <v>0</v>
      </c>
      <c r="V17" s="107">
        <v>2</v>
      </c>
      <c r="W17" s="109">
        <v>3</v>
      </c>
      <c r="X17" s="109">
        <v>0</v>
      </c>
      <c r="Y17" s="109">
        <v>0</v>
      </c>
      <c r="Z17" s="109">
        <v>0</v>
      </c>
      <c r="AA17" s="109">
        <v>0</v>
      </c>
      <c r="AB17" s="109">
        <v>0</v>
      </c>
      <c r="AC17" s="109">
        <v>0</v>
      </c>
      <c r="AD17" s="109">
        <v>0</v>
      </c>
      <c r="AE17" s="108">
        <v>0</v>
      </c>
      <c r="AF17" s="136">
        <f>SUMIF($B$4:$B16,"&lt;&gt;"&amp;$CS$13,AF$4:AF16)</f>
        <v>4.7222222222222221E-2</v>
      </c>
      <c r="AG17" s="136">
        <f>SUMIF($B$4:$B16,"&lt;&gt;"&amp;$CS$13,AG$4:AG16)</f>
        <v>0</v>
      </c>
      <c r="AH17" s="134">
        <f>AF17+AG17</f>
        <v>4.7222222222222221E-2</v>
      </c>
      <c r="AI17" s="483">
        <f>SUMIF($B$4:$B16,"&lt;&gt;"&amp;$CS$13,AI$4:AI16)</f>
        <v>0</v>
      </c>
      <c r="AJ17" s="134">
        <f>S$3*S17+T$3*T17+U$3*U17+V$3*V17+W$3*W17+X$3*X17+Y$3*Y17+Z$3*Z17+AA$3*AA17+AB$3*AB17+AC$3*AC17</f>
        <v>4.7222222222222221E-2</v>
      </c>
      <c r="AK17" s="338">
        <v>0</v>
      </c>
      <c r="AL17" s="136" t="s">
        <v>1453</v>
      </c>
      <c r="AM17" s="136" t="s">
        <v>1453</v>
      </c>
      <c r="AN17" s="136" t="s">
        <v>1453</v>
      </c>
      <c r="AO17" s="136" t="s">
        <v>1453</v>
      </c>
      <c r="AP17" s="255">
        <v>0</v>
      </c>
      <c r="AQ17" s="136" t="s">
        <v>1453</v>
      </c>
      <c r="AR17" s="136" t="s">
        <v>1453</v>
      </c>
      <c r="AS17" s="136" t="s">
        <v>1453</v>
      </c>
      <c r="AT17" s="134" t="s">
        <v>1453</v>
      </c>
      <c r="AU17" s="107">
        <v>26500</v>
      </c>
      <c r="AV17" s="107">
        <v>25400</v>
      </c>
      <c r="AW17" s="107">
        <v>25480</v>
      </c>
      <c r="AX17" s="107">
        <v>37200</v>
      </c>
      <c r="AY17" s="108">
        <v>22400</v>
      </c>
      <c r="AZ17" s="107">
        <v>0</v>
      </c>
      <c r="BA17" s="107">
        <v>0</v>
      </c>
      <c r="BB17" s="107">
        <v>0</v>
      </c>
      <c r="BC17" s="107">
        <v>52</v>
      </c>
      <c r="BD17" s="108">
        <v>0</v>
      </c>
      <c r="BE17" s="108">
        <v>0</v>
      </c>
      <c r="BF17" s="107">
        <v>15000</v>
      </c>
      <c r="BG17" s="107">
        <v>15000</v>
      </c>
      <c r="BH17" s="107">
        <v>15000</v>
      </c>
      <c r="BI17" s="107">
        <v>17500</v>
      </c>
      <c r="BJ17" s="108">
        <v>15000</v>
      </c>
      <c r="BK17" s="107">
        <v>2</v>
      </c>
      <c r="BL17" s="108">
        <v>1</v>
      </c>
      <c r="BM17" s="108">
        <v>1</v>
      </c>
      <c r="BN17" s="107">
        <v>1</v>
      </c>
      <c r="BO17" s="108">
        <v>1</v>
      </c>
      <c r="BP17" s="107">
        <v>0</v>
      </c>
      <c r="BQ17" s="108">
        <v>0</v>
      </c>
      <c r="BR17" s="107">
        <v>0</v>
      </c>
      <c r="BS17" s="108">
        <v>0</v>
      </c>
      <c r="BT17" s="107">
        <v>0</v>
      </c>
      <c r="BU17" s="108">
        <v>0</v>
      </c>
      <c r="BV17" s="107">
        <v>0</v>
      </c>
      <c r="BW17" s="108">
        <v>0</v>
      </c>
      <c r="BX17" s="107">
        <v>0</v>
      </c>
      <c r="BY17" s="108">
        <v>0</v>
      </c>
      <c r="BZ17" s="107">
        <v>1</v>
      </c>
      <c r="CA17" s="108">
        <v>1</v>
      </c>
      <c r="CB17" s="108">
        <v>1</v>
      </c>
      <c r="CC17" s="108">
        <v>0</v>
      </c>
      <c r="CD17" s="108">
        <v>0</v>
      </c>
      <c r="CE17" s="107"/>
      <c r="CF17" s="107"/>
      <c r="CG17" s="108"/>
      <c r="CH17" s="107"/>
      <c r="CI17" s="107"/>
      <c r="CJ17" s="108"/>
      <c r="CK17" s="108"/>
      <c r="CL17" s="107">
        <v>0</v>
      </c>
      <c r="CM17" s="108"/>
      <c r="CN17" s="108" t="s">
        <v>1208</v>
      </c>
      <c r="CS17" s="127"/>
      <c r="CT17" s="127"/>
      <c r="CU17" s="127"/>
      <c r="CV17" s="127"/>
      <c r="CW17" s="127"/>
      <c r="CX17" s="127"/>
      <c r="CY17" s="127" t="s">
        <v>167</v>
      </c>
      <c r="CZ17" s="127"/>
      <c r="DA17" s="127"/>
      <c r="DB17" s="127"/>
      <c r="DC17" s="127"/>
      <c r="DD17" s="127"/>
      <c r="DE17" s="127"/>
      <c r="DF17" s="127"/>
    </row>
    <row r="18" spans="2:110" ht="15" customHeight="1">
      <c r="B18" s="102" t="s">
        <v>1455</v>
      </c>
      <c r="C18" s="127" t="s">
        <v>1469</v>
      </c>
      <c r="D18" s="144" t="s">
        <v>1470</v>
      </c>
      <c r="E18" s="506">
        <v>2</v>
      </c>
      <c r="F18" s="12">
        <v>0</v>
      </c>
      <c r="G18" s="101">
        <f>VLOOKUP($D18,Construction!$B:$L,(COLUMN(Construction_QuestReward_HeroXP)-COLUMN(Construction_Name_and_Level)+1),FALSE)</f>
        <v>2525</v>
      </c>
      <c r="H18" s="101">
        <f t="shared" si="1"/>
        <v>2525</v>
      </c>
      <c r="J18" s="100">
        <f>VLOOKUP($D18,Construction!$B:$L,(COLUMN(Construction_QuestReward_Power)-COLUMN(Construction_Name_and_Level)+1),FALSE)</f>
        <v>2</v>
      </c>
      <c r="AF18" s="141"/>
      <c r="AG18" s="141"/>
      <c r="AH18" s="137"/>
      <c r="AI18" s="484"/>
      <c r="AJ18" s="137">
        <f t="shared" ref="AJ18:AJ26" si="2">AJ17+(S$3*S18+T$3*T18+U$3*U18+V$3*V18+W$3*W18+X$3*X18+Y$3*Y18+Z$3*Z18+AA$3*AA18+AB$3*AB18+AC$3*AC18)</f>
        <v>4.7222222222222221E-2</v>
      </c>
      <c r="AU18" s="101">
        <f>VLOOKUP($D18,Construction!$B:$Q,(COLUMN(Construction_QuestReward_Stone)-COLUMN(Construction_Name_and_Level)+1),FALSE)</f>
        <v>4000</v>
      </c>
      <c r="AV18" s="101">
        <f>VLOOKUP($D18,Construction!$B:$Q,(COLUMN(Construction_QuestReward_Wood)-COLUMN(Construction_Name_and_Level)+1),FALSE)</f>
        <v>4000</v>
      </c>
      <c r="AW18" s="101">
        <f>VLOOKUP($D18,Construction!$B:$Q,(COLUMN(Construction_QuestReward_Ore)-COLUMN(Construction_Name_and_Level)+1),FALSE)</f>
        <v>3000</v>
      </c>
      <c r="AX18" s="101">
        <f>VLOOKUP($D18,Construction!$B:$Q,(COLUMN(Construction_QuestReward_Food)-COLUMN(Construction_Name_and_Level)+1),FALSE)</f>
        <v>2100</v>
      </c>
      <c r="AY18" s="100">
        <f>VLOOKUP($D18,Construction!$B:$Q,(COLUMN(Construction_QuestReward_Silver)-COLUMN(Construction_Name_and_Level)+1),FALSE)</f>
        <v>100</v>
      </c>
      <c r="CS18" s="127"/>
      <c r="CT18" s="127"/>
      <c r="CU18" s="127"/>
      <c r="CV18" s="127"/>
      <c r="CW18" s="127"/>
      <c r="CX18" s="127"/>
      <c r="CY18" s="127" t="s">
        <v>168</v>
      </c>
      <c r="CZ18" s="127"/>
      <c r="DA18" s="127"/>
      <c r="DB18" s="127"/>
      <c r="DC18" s="127"/>
      <c r="DD18" s="127"/>
      <c r="DE18" s="127"/>
      <c r="DF18" s="127"/>
    </row>
    <row r="19" spans="2:110" ht="15" customHeight="1" thickBot="1">
      <c r="B19" s="102" t="s">
        <v>1455</v>
      </c>
      <c r="C19" s="127" t="s">
        <v>1469</v>
      </c>
      <c r="D19" s="144" t="s">
        <v>1471</v>
      </c>
      <c r="E19" s="506">
        <v>2</v>
      </c>
      <c r="F19" s="12">
        <v>0</v>
      </c>
      <c r="G19" s="101">
        <f>VLOOKUP($D19,Construction!$B:$L,(COLUMN(Construction_QuestReward_HeroXP)-COLUMN(Construction_Name_and_Level)+1),FALSE)</f>
        <v>2525</v>
      </c>
      <c r="H19" s="101">
        <f t="shared" si="1"/>
        <v>2525</v>
      </c>
      <c r="J19" s="100">
        <f>VLOOKUP($D19,Construction!$B:$L,(COLUMN(Construction_QuestReward_Power)-COLUMN(Construction_Name_and_Level)+1),FALSE)</f>
        <v>2</v>
      </c>
      <c r="AF19" s="141"/>
      <c r="AG19" s="141"/>
      <c r="AH19" s="137"/>
      <c r="AI19" s="484"/>
      <c r="AJ19" s="137">
        <f t="shared" si="2"/>
        <v>4.7222222222222221E-2</v>
      </c>
      <c r="AU19" s="101">
        <f>VLOOKUP($D19,Construction!$B:$Q,(COLUMN(Construction_QuestReward_Stone)-COLUMN(Construction_Name_and_Level)+1),FALSE)</f>
        <v>2500</v>
      </c>
      <c r="AV19" s="101">
        <f>VLOOKUP($D19,Construction!$B:$Q,(COLUMN(Construction_QuestReward_Wood)-COLUMN(Construction_Name_and_Level)+1),FALSE)</f>
        <v>2100</v>
      </c>
      <c r="AW19" s="101">
        <f>VLOOKUP($D19,Construction!$B:$Q,(COLUMN(Construction_QuestReward_Ore)-COLUMN(Construction_Name_and_Level)+1),FALSE)</f>
        <v>500</v>
      </c>
      <c r="AX19" s="101">
        <f>VLOOKUP($D19,Construction!$B:$Q,(COLUMN(Construction_QuestReward_Food)-COLUMN(Construction_Name_and_Level)+1),FALSE)</f>
        <v>1100</v>
      </c>
      <c r="AY19" s="100">
        <f>VLOOKUP($D19,Construction!$B:$Q,(COLUMN(Construction_QuestReward_Silver)-COLUMN(Construction_Name_and_Level)+1),FALSE)</f>
        <v>50</v>
      </c>
      <c r="CS19" s="127"/>
      <c r="CT19" s="127"/>
      <c r="CU19" s="127"/>
      <c r="CV19" s="127"/>
      <c r="CW19" s="127"/>
      <c r="CX19" s="127"/>
      <c r="CY19" s="241" t="s">
        <v>169</v>
      </c>
      <c r="CZ19" s="127"/>
      <c r="DA19" s="127"/>
      <c r="DB19" s="127"/>
      <c r="DC19" s="127"/>
      <c r="DD19" s="127"/>
      <c r="DE19" s="127"/>
      <c r="DF19" s="127"/>
    </row>
    <row r="20" spans="2:110" ht="15" customHeight="1" thickTop="1">
      <c r="B20" s="102" t="s">
        <v>1455</v>
      </c>
      <c r="C20" s="127" t="s">
        <v>139</v>
      </c>
      <c r="D20" s="144" t="s">
        <v>18</v>
      </c>
      <c r="E20" s="506">
        <v>2</v>
      </c>
      <c r="F20" s="12">
        <v>0</v>
      </c>
      <c r="G20" s="101">
        <f>VLOOKUP($D20,Construction!$B:$L,(COLUMN(Construction_QuestReward_HeroXP)-COLUMN(Construction_Name_and_Level)+1),FALSE)</f>
        <v>2575</v>
      </c>
      <c r="H20" s="101">
        <f t="shared" si="1"/>
        <v>2575</v>
      </c>
      <c r="J20" s="100">
        <f>VLOOKUP($D20,Construction!$B:$L,(COLUMN(Construction_QuestReward_Power)-COLUMN(Construction_Name_and_Level)+1),FALSE)</f>
        <v>30</v>
      </c>
      <c r="W20" s="11">
        <v>1</v>
      </c>
      <c r="AF20" s="141">
        <f>$S$3*$S20+$T$3*$T20+$U$3*$U20+$V$3*$V20+$W$3*$W20+$X$3*$X20+$Y$3*$Y20+$Z$3*$Z20+$AA$3*$AA20+$AB$3*$AB20+$AC$3*$AC20</f>
        <v>1.0416666666666666E-2</v>
      </c>
      <c r="AG20" s="141"/>
      <c r="AH20" s="137"/>
      <c r="AI20" s="484"/>
      <c r="AJ20" s="137">
        <f t="shared" si="2"/>
        <v>5.7638888888888885E-2</v>
      </c>
      <c r="AU20" s="101">
        <f>VLOOKUP($D20,Construction!$B:$Q,(COLUMN(Construction_QuestReward_Stone)-COLUMN(Construction_Name_and_Level)+1),FALSE)</f>
        <v>4600</v>
      </c>
      <c r="AV20" s="101">
        <f>VLOOKUP($D20,Construction!$B:$Q,(COLUMN(Construction_QuestReward_Wood)-COLUMN(Construction_Name_and_Level)+1),FALSE)</f>
        <v>4600</v>
      </c>
      <c r="AW20" s="101">
        <f>VLOOKUP($D20,Construction!$B:$Q,(COLUMN(Construction_QuestReward_Ore)-COLUMN(Construction_Name_and_Level)+1),FALSE)</f>
        <v>1800</v>
      </c>
      <c r="AX20" s="101">
        <f>VLOOKUP($D20,Construction!$B:$Q,(COLUMN(Construction_QuestReward_Food)-COLUMN(Construction_Name_and_Level)+1),FALSE)</f>
        <v>2300</v>
      </c>
      <c r="AY20" s="100">
        <f>VLOOKUP($D20,Construction!$B:$Q,(COLUMN(Construction_QuestReward_Silver)-COLUMN(Construction_Name_and_Level)+1),FALSE)</f>
        <v>400</v>
      </c>
      <c r="CT20" s="127"/>
      <c r="CU20" s="127"/>
      <c r="CV20" s="127"/>
      <c r="CW20" s="127"/>
      <c r="CX20" s="127"/>
      <c r="CY20" s="127" t="s">
        <v>592</v>
      </c>
      <c r="CZ20" s="127"/>
      <c r="DA20" s="127"/>
      <c r="DB20" s="127"/>
      <c r="DC20" s="127"/>
      <c r="DD20" s="127"/>
      <c r="DE20" s="127"/>
      <c r="DF20" s="127"/>
    </row>
    <row r="21" spans="2:110" ht="15" customHeight="1">
      <c r="B21" s="93" t="s">
        <v>1456</v>
      </c>
      <c r="C21" s="127" t="s">
        <v>1472</v>
      </c>
      <c r="D21" s="144" t="s">
        <v>1473</v>
      </c>
      <c r="E21" s="506">
        <v>2</v>
      </c>
      <c r="F21" s="12">
        <v>0</v>
      </c>
      <c r="G21" s="94">
        <f>VLOOKUP($D21,Construction!$B:$E,(COLUMN(Construction_BuildingReward_HeroXP)-COLUMN(Construction_Name_and_Level)+1),FALSE)</f>
        <v>10</v>
      </c>
      <c r="H21" s="94">
        <f t="shared" si="1"/>
        <v>10</v>
      </c>
      <c r="J21" s="95">
        <f>VLOOKUP($D21,Construction!$B:$F,(COLUMN(Construction_BuildingReward_Power)-COLUMN(Construction_Name_and_Level)+1),FALSE)</f>
        <v>5</v>
      </c>
      <c r="Q21" s="139">
        <v>3.472222222222222E-3</v>
      </c>
      <c r="R21" s="139">
        <v>4.1666666666666666E-3</v>
      </c>
      <c r="AF21" s="141"/>
      <c r="AG21" s="141"/>
      <c r="AH21" s="137"/>
      <c r="AI21" s="484"/>
      <c r="AJ21" s="137">
        <f t="shared" si="2"/>
        <v>5.7638888888888885E-2</v>
      </c>
      <c r="AK21" s="339">
        <v>0</v>
      </c>
      <c r="AL21" s="138">
        <f>VLOOKUP($D21,Construction!$B:$C,(COLUMN(Construction_Time)-COLUMN(Construction_Name_and_Level)+1),FALSE)</f>
        <v>6.9444444444444447E-4</v>
      </c>
      <c r="AM21" s="138">
        <f>AL21/(1+AK21)</f>
        <v>6.9444444444444447E-4</v>
      </c>
      <c r="AN21" s="138">
        <f>(S$3*S21+T$3*T21+V$3*V21+W$3*W21+X$3*X21+Y$3*Y21+Z$3*Z21+AA$3*AA21+AB$3*AB21+AC$3*AC21)*(-1)</f>
        <v>0</v>
      </c>
      <c r="AO21" s="139">
        <f>IF((AM21-Q21-R21-AN21)&gt;=0,AM21-Q21-R21-AN21,0)</f>
        <v>0</v>
      </c>
      <c r="AU21" s="94">
        <f>VLOOKUP($D21,Construction!$B:$J,(COLUMN(Construction_BuildingCost_Stone)-COLUMN(Construction_Name_and_Level)+1),FALSE)*(-1)</f>
        <v>-100</v>
      </c>
      <c r="AV21" s="94">
        <f>VLOOKUP($D21,Construction!$B:$J,(COLUMN(Construction_BuildingCost_Wood)-COLUMN(Construction_Name_and_Level)+1),FALSE)*(-1)</f>
        <v>0</v>
      </c>
      <c r="AW21" s="94">
        <f>VLOOKUP($D21,Construction!$B:$J,(COLUMN(Construction_BuildingCost_Ore)-COLUMN(Construction_Name_and_Level)+1),FALSE)*(-1)</f>
        <v>-100</v>
      </c>
      <c r="AX21" s="94">
        <f>VLOOKUP($D21,Construction!$B:$J,(COLUMN(Construction_BuildingCost_Food)-COLUMN(Construction_Name_and_Level)+1),FALSE)*(-1)</f>
        <v>-100</v>
      </c>
      <c r="CT21" s="127"/>
      <c r="CU21" s="127"/>
      <c r="CV21" s="127"/>
      <c r="CW21" s="127"/>
      <c r="CX21" s="127"/>
      <c r="CY21" s="127" t="s">
        <v>1242</v>
      </c>
      <c r="CZ21" s="127"/>
      <c r="DA21" s="127"/>
      <c r="DB21" s="127"/>
      <c r="DC21" s="127"/>
      <c r="DD21" s="127"/>
    </row>
    <row r="22" spans="2:110" ht="15" customHeight="1">
      <c r="B22" s="102" t="s">
        <v>1455</v>
      </c>
      <c r="C22" s="127" t="s">
        <v>139</v>
      </c>
      <c r="D22" s="144" t="s">
        <v>1473</v>
      </c>
      <c r="E22" s="506">
        <v>2</v>
      </c>
      <c r="F22" s="12">
        <v>0</v>
      </c>
      <c r="G22" s="101">
        <f>VLOOKUP($D22,Construction!$B:$L,(COLUMN(Construction_QuestReward_HeroXP)-COLUMN(Construction_Name_and_Level)+1),FALSE)</f>
        <v>2525</v>
      </c>
      <c r="H22" s="101">
        <f t="shared" si="1"/>
        <v>2525</v>
      </c>
      <c r="J22" s="100">
        <f>VLOOKUP($D22,Construction!$B:$L,(COLUMN(Construction_QuestReward_Power)-COLUMN(Construction_Name_and_Level)+1),FALSE)</f>
        <v>2</v>
      </c>
      <c r="AF22" s="141"/>
      <c r="AG22" s="141"/>
      <c r="AH22" s="137"/>
      <c r="AI22" s="484"/>
      <c r="AJ22" s="137">
        <f t="shared" si="2"/>
        <v>5.7638888888888885E-2</v>
      </c>
      <c r="AU22" s="101">
        <f>VLOOKUP($D22,Construction!$B:$Q,(COLUMN(Construction_QuestReward_Stone)-COLUMN(Construction_Name_and_Level)+1),FALSE)</f>
        <v>0</v>
      </c>
      <c r="AV22" s="101">
        <f>VLOOKUP($D22,Construction!$B:$Q,(COLUMN(Construction_QuestReward_Wood)-COLUMN(Construction_Name_and_Level)+1),FALSE)</f>
        <v>3000</v>
      </c>
      <c r="AW22" s="101">
        <f>VLOOKUP($D22,Construction!$B:$Q,(COLUMN(Construction_QuestReward_Ore)-COLUMN(Construction_Name_and_Level)+1),FALSE)</f>
        <v>0</v>
      </c>
      <c r="AX22" s="101">
        <f>VLOOKUP($D22,Construction!$B:$Q,(COLUMN(Construction_QuestReward_Food)-COLUMN(Construction_Name_and_Level)+1),FALSE)</f>
        <v>0</v>
      </c>
      <c r="AY22" s="100">
        <f>VLOOKUP($D22,Construction!$B:$Q,(COLUMN(Construction_QuestReward_Silver)-COLUMN(Construction_Name_and_Level)+1),FALSE)</f>
        <v>0</v>
      </c>
      <c r="CT22" s="127"/>
      <c r="CU22" s="127"/>
      <c r="CV22" s="127"/>
      <c r="CW22" s="127"/>
      <c r="CX22" s="127"/>
      <c r="CY22" s="127" t="s">
        <v>1243</v>
      </c>
      <c r="CZ22" s="127"/>
      <c r="DA22" s="127"/>
      <c r="DB22" s="127"/>
      <c r="DC22" s="127"/>
      <c r="DD22" s="127"/>
    </row>
    <row r="23" spans="2:110" ht="15" customHeight="1">
      <c r="B23" s="93" t="s">
        <v>1456</v>
      </c>
      <c r="C23" s="127" t="s">
        <v>1472</v>
      </c>
      <c r="D23" s="144" t="s">
        <v>1474</v>
      </c>
      <c r="E23" s="506">
        <v>2</v>
      </c>
      <c r="F23" s="12">
        <v>0</v>
      </c>
      <c r="G23" s="94">
        <f>VLOOKUP($D23,Construction!$B:$E,(COLUMN(Construction_BuildingReward_HeroXP)-COLUMN(Construction_Name_and_Level)+1),FALSE)</f>
        <v>10</v>
      </c>
      <c r="H23" s="94">
        <f t="shared" si="1"/>
        <v>10</v>
      </c>
      <c r="J23" s="95">
        <f>VLOOKUP($D23,Construction!$B:$F,(COLUMN(Construction_BuildingReward_Power)-COLUMN(Construction_Name_and_Level)+1),FALSE)</f>
        <v>35</v>
      </c>
      <c r="Q23" s="139">
        <v>3.472222222222222E-3</v>
      </c>
      <c r="R23" s="139">
        <v>4.1666666666666666E-3</v>
      </c>
      <c r="AF23" s="141"/>
      <c r="AG23" s="141"/>
      <c r="AH23" s="137"/>
      <c r="AI23" s="484"/>
      <c r="AJ23" s="137">
        <f t="shared" si="2"/>
        <v>5.7638888888888885E-2</v>
      </c>
      <c r="AK23" s="339">
        <v>0</v>
      </c>
      <c r="AL23" s="138">
        <f>VLOOKUP($D23,Construction!$B:$C,(COLUMN(Construction_Time)-COLUMN(Construction_Name_and_Level)+1),FALSE)</f>
        <v>1.1574074074074073E-3</v>
      </c>
      <c r="AM23" s="138">
        <f>AL23/(1+AK23)</f>
        <v>1.1574074074074073E-3</v>
      </c>
      <c r="AN23" s="138">
        <f>(S$3*S23+T$3*T23+V$3*V23+W$3*W23+X$3*X23+Y$3*Y23+Z$3*Z23+AA$3*AA23+AB$3*AB23+AC$3*AC23)*(-1)</f>
        <v>0</v>
      </c>
      <c r="AO23" s="139">
        <f>IF((AM23-Q23-R23-AN23)&gt;=0,AM23-Q23-R23-AN23,0)</f>
        <v>0</v>
      </c>
      <c r="AP23" s="261">
        <v>0.01</v>
      </c>
      <c r="AU23" s="94">
        <f>VLOOKUP($D23,Construction!$B:$J,(COLUMN(Construction_BuildingCost_Stone)-COLUMN(Construction_Name_and_Level)+1),FALSE)*(-1)</f>
        <v>-500</v>
      </c>
      <c r="AV23" s="94">
        <f>VLOOKUP($D23,Construction!$B:$J,(COLUMN(Construction_BuildingCost_Wood)-COLUMN(Construction_Name_and_Level)+1),FALSE)*(-1)</f>
        <v>-500</v>
      </c>
      <c r="AW23" s="94">
        <f>VLOOKUP($D23,Construction!$B:$J,(COLUMN(Construction_BuildingCost_Ore)-COLUMN(Construction_Name_and_Level)+1),FALSE)*(-1)</f>
        <v>-200</v>
      </c>
      <c r="AX23" s="94">
        <f>VLOOKUP($D23,Construction!$B:$J,(COLUMN(Construction_BuildingCost_Food)-COLUMN(Construction_Name_and_Level)+1),FALSE)*(-1)</f>
        <v>-300</v>
      </c>
      <c r="CT23" s="127"/>
      <c r="CU23" s="127"/>
      <c r="CV23" s="127"/>
      <c r="CW23" s="127"/>
      <c r="CX23" s="127"/>
      <c r="CY23" s="127" t="s">
        <v>1244</v>
      </c>
      <c r="CZ23" s="127"/>
      <c r="DA23" s="127"/>
      <c r="DB23" s="127"/>
      <c r="DC23" s="127"/>
      <c r="DD23" s="127"/>
    </row>
    <row r="24" spans="2:110" ht="15" customHeight="1">
      <c r="B24" s="102" t="s">
        <v>1455</v>
      </c>
      <c r="C24" s="127" t="s">
        <v>139</v>
      </c>
      <c r="D24" s="144" t="s">
        <v>1474</v>
      </c>
      <c r="E24" s="506">
        <v>2</v>
      </c>
      <c r="F24" s="12">
        <v>0</v>
      </c>
      <c r="G24" s="101">
        <f>VLOOKUP($D24,Construction!$B:$L,(COLUMN(Construction_QuestReward_HeroXP)-COLUMN(Construction_Name_and_Level)+1),FALSE)</f>
        <v>2525</v>
      </c>
      <c r="H24" s="101">
        <f t="shared" si="1"/>
        <v>2525</v>
      </c>
      <c r="J24" s="100">
        <f>VLOOKUP($D24,Construction!$B:$L,(COLUMN(Construction_QuestReward_Power)-COLUMN(Construction_Name_and_Level)+1),FALSE)</f>
        <v>5</v>
      </c>
      <c r="AF24" s="141"/>
      <c r="AG24" s="141"/>
      <c r="AH24" s="137"/>
      <c r="AI24" s="484"/>
      <c r="AJ24" s="137">
        <f t="shared" si="2"/>
        <v>5.7638888888888885E-2</v>
      </c>
      <c r="AU24" s="101">
        <f>VLOOKUP($D24,Construction!$B:$Q,(COLUMN(Construction_QuestReward_Stone)-COLUMN(Construction_Name_and_Level)+1),FALSE)</f>
        <v>2500</v>
      </c>
      <c r="AV24" s="101">
        <f>VLOOKUP($D24,Construction!$B:$Q,(COLUMN(Construction_QuestReward_Wood)-COLUMN(Construction_Name_and_Level)+1),FALSE)</f>
        <v>2500</v>
      </c>
      <c r="AW24" s="101">
        <f>VLOOKUP($D24,Construction!$B:$Q,(COLUMN(Construction_QuestReward_Ore)-COLUMN(Construction_Name_and_Level)+1),FALSE)</f>
        <v>1100</v>
      </c>
      <c r="AX24" s="101">
        <f>VLOOKUP($D24,Construction!$B:$Q,(COLUMN(Construction_QuestReward_Food)-COLUMN(Construction_Name_and_Level)+1),FALSE)</f>
        <v>1500</v>
      </c>
      <c r="AY24" s="100">
        <f>VLOOKUP($D24,Construction!$B:$Q,(COLUMN(Construction_QuestReward_Silver)-COLUMN(Construction_Name_and_Level)+1),FALSE)</f>
        <v>100</v>
      </c>
      <c r="CT24" s="127"/>
      <c r="CU24" s="127"/>
      <c r="CV24" s="127"/>
      <c r="CW24" s="127"/>
      <c r="CX24" s="127"/>
      <c r="CY24" s="127"/>
      <c r="CZ24" s="127"/>
      <c r="DA24" s="127"/>
      <c r="DB24" s="127"/>
      <c r="DC24" s="127"/>
      <c r="DD24" s="127"/>
    </row>
    <row r="25" spans="2:110" ht="15" customHeight="1">
      <c r="B25" s="110" t="s">
        <v>1475</v>
      </c>
      <c r="C25" s="127" t="s">
        <v>1472</v>
      </c>
      <c r="D25" s="144" t="s">
        <v>1476</v>
      </c>
      <c r="E25" s="506">
        <v>2</v>
      </c>
      <c r="F25" s="12">
        <v>0</v>
      </c>
      <c r="G25" s="111">
        <f>VLOOKUP($D25,Research!$C:$F,(COLUMN(Research_ResearchReward_HeroXP)-COLUMN(Research_Name_and_Level)+1),FALSE)</f>
        <v>48000</v>
      </c>
      <c r="H25" s="111">
        <f t="shared" si="1"/>
        <v>48000</v>
      </c>
      <c r="J25" s="112">
        <v>31</v>
      </c>
      <c r="AF25" s="141"/>
      <c r="AG25" s="141"/>
      <c r="AH25" s="137"/>
      <c r="AI25" s="484"/>
      <c r="AJ25" s="137">
        <f t="shared" si="2"/>
        <v>5.7638888888888885E-2</v>
      </c>
      <c r="AU25" s="111">
        <f>VLOOKUP($D25,Research!$C:$L,(COLUMN(Research_ResearchCost_Stone)-COLUMN(Research_Name_and_Level)+1),FALSE)*(-1)</f>
        <v>0</v>
      </c>
      <c r="AV25" s="111">
        <f>VLOOKUP($D25,Research!$C:$L,(COLUMN(Research_ResearchCost_Wood)-COLUMN(Research_Name_and_Level)+1),FALSE)*(-1)</f>
        <v>0</v>
      </c>
      <c r="AW25" s="111">
        <f>VLOOKUP($D25,Research!$C:$L,(COLUMN(Research_ResearchCost_Ore)-COLUMN(Research_Name_and_Level)+1),FALSE)*(-1)</f>
        <v>0</v>
      </c>
      <c r="AX25" s="111">
        <f>VLOOKUP($D25,Research!$C:$L,(COLUMN(Research_ResearchCost_Food)-COLUMN(Research_Name_and_Level)+1),FALSE)*(-1)</f>
        <v>0</v>
      </c>
      <c r="AY25" s="112">
        <f>VLOOKUP($D25,Research!$C:$L,(COLUMN(Research_ResearchCost_Silver)-COLUMN(Research_Name_and_Level)+1),FALSE)*(-1)</f>
        <v>-225</v>
      </c>
      <c r="CT25" s="127"/>
      <c r="CU25" s="127"/>
      <c r="CV25" s="127"/>
      <c r="CW25" s="127"/>
      <c r="CX25" s="127"/>
      <c r="CY25" s="127"/>
      <c r="CZ25" s="127"/>
      <c r="DA25" s="127"/>
      <c r="DB25" s="127"/>
      <c r="DC25" s="127"/>
      <c r="DD25" s="127"/>
    </row>
    <row r="26" spans="2:110" ht="15" customHeight="1">
      <c r="B26" s="126" t="s">
        <v>1457</v>
      </c>
      <c r="C26" s="127" t="s">
        <v>147</v>
      </c>
      <c r="D26" s="144" t="s">
        <v>1477</v>
      </c>
      <c r="E26" s="506">
        <v>3</v>
      </c>
      <c r="I26" s="5">
        <v>1</v>
      </c>
      <c r="J26" s="5">
        <v>29</v>
      </c>
      <c r="AF26" s="141"/>
      <c r="AG26" s="141"/>
      <c r="AH26" s="137"/>
      <c r="AI26" s="484"/>
      <c r="AJ26" s="137">
        <f t="shared" si="2"/>
        <v>5.7638888888888885E-2</v>
      </c>
      <c r="CT26" s="127"/>
      <c r="CU26" s="127"/>
      <c r="CV26" s="127"/>
      <c r="CW26" s="127"/>
      <c r="CX26" s="127"/>
      <c r="CY26" s="127"/>
      <c r="CZ26" s="127"/>
      <c r="DA26" s="127"/>
      <c r="DB26" s="127"/>
      <c r="DC26" s="127"/>
      <c r="DD26" s="127"/>
    </row>
    <row r="27" spans="2:110" ht="15" customHeight="1">
      <c r="B27" s="106" t="s">
        <v>171</v>
      </c>
      <c r="C27" s="130"/>
      <c r="D27" s="130" t="s">
        <v>1478</v>
      </c>
      <c r="E27" s="106">
        <v>3</v>
      </c>
      <c r="F27" s="219">
        <v>0</v>
      </c>
      <c r="G27" s="107" t="s">
        <v>1453</v>
      </c>
      <c r="H27" s="107">
        <v>60000</v>
      </c>
      <c r="I27" s="108">
        <v>3</v>
      </c>
      <c r="J27" s="108">
        <v>338</v>
      </c>
      <c r="K27" s="107">
        <v>2</v>
      </c>
      <c r="L27" s="107"/>
      <c r="M27" s="134">
        <v>2.0833333333333332E-2</v>
      </c>
      <c r="N27" s="109">
        <v>100</v>
      </c>
      <c r="O27" s="109">
        <f>SUMIF($B$4:$B26,"&lt;&gt;"&amp;$CS$13,O$4:O26)</f>
        <v>0</v>
      </c>
      <c r="P27" s="108">
        <f>SUMIF($B$4:$B26,"&lt;&gt;"&amp;$CS$13,N$4:N26)</f>
        <v>100</v>
      </c>
      <c r="Q27" s="134">
        <v>3.472222222222222E-3</v>
      </c>
      <c r="R27" s="134">
        <v>4.1666666666666666E-3</v>
      </c>
      <c r="S27" s="107">
        <v>0</v>
      </c>
      <c r="T27" s="107">
        <v>1</v>
      </c>
      <c r="U27" s="107">
        <v>0</v>
      </c>
      <c r="V27" s="107">
        <v>2</v>
      </c>
      <c r="W27" s="109">
        <v>4</v>
      </c>
      <c r="X27" s="109">
        <v>0</v>
      </c>
      <c r="Y27" s="109">
        <v>0</v>
      </c>
      <c r="Z27" s="109">
        <v>0</v>
      </c>
      <c r="AA27" s="109">
        <v>0</v>
      </c>
      <c r="AB27" s="109">
        <v>0</v>
      </c>
      <c r="AC27" s="109">
        <v>0</v>
      </c>
      <c r="AD27" s="109">
        <v>0</v>
      </c>
      <c r="AE27" s="108">
        <v>0</v>
      </c>
      <c r="AF27" s="136">
        <f>SUMIF($B$4:$B26,"&lt;&gt;"&amp;$CS$13,AF$4:AF26)</f>
        <v>5.7638888888888885E-2</v>
      </c>
      <c r="AG27" s="136">
        <f>SUMIF($B$4:$B26,"&lt;&gt;"&amp;$CS$13,AG$4:AG26)</f>
        <v>0</v>
      </c>
      <c r="AH27" s="134">
        <f>AF27+AG27</f>
        <v>5.7638888888888885E-2</v>
      </c>
      <c r="AI27" s="483">
        <f>SUMIF($B$4:$B26,"&lt;&gt;"&amp;$CS$13,AI$4:AI26)</f>
        <v>0</v>
      </c>
      <c r="AJ27" s="134">
        <f>S$3*S27+T$3*T27+U$3*U27+V$3*V27+W$3*W27+X$3*X27+Y$3*Y27+Z$3*Z27+AA$3*AA27+AB$3*AB27+AC$3*AC27</f>
        <v>5.7638888888888885E-2</v>
      </c>
      <c r="AK27" s="338">
        <v>0</v>
      </c>
      <c r="AL27" s="136" t="s">
        <v>1453</v>
      </c>
      <c r="AM27" s="136" t="s">
        <v>1453</v>
      </c>
      <c r="AN27" s="136" t="s">
        <v>1453</v>
      </c>
      <c r="AO27" s="134" t="s">
        <v>1453</v>
      </c>
      <c r="AP27" s="255">
        <v>0.01</v>
      </c>
      <c r="AQ27" s="136" t="s">
        <v>1453</v>
      </c>
      <c r="AR27" s="136" t="s">
        <v>1453</v>
      </c>
      <c r="AS27" s="136" t="s">
        <v>1453</v>
      </c>
      <c r="AT27" s="134" t="s">
        <v>1453</v>
      </c>
      <c r="AU27" s="107">
        <v>39500</v>
      </c>
      <c r="AV27" s="107">
        <v>41100</v>
      </c>
      <c r="AW27" s="107">
        <v>31580</v>
      </c>
      <c r="AX27" s="107">
        <v>43800</v>
      </c>
      <c r="AY27" s="108">
        <v>23820</v>
      </c>
      <c r="AZ27" s="107">
        <v>0</v>
      </c>
      <c r="BA27" s="107">
        <v>42</v>
      </c>
      <c r="BB27" s="107">
        <v>0</v>
      </c>
      <c r="BC27" s="107">
        <v>52</v>
      </c>
      <c r="BD27" s="108">
        <v>0</v>
      </c>
      <c r="BE27" s="108">
        <v>0</v>
      </c>
      <c r="BF27" s="107">
        <v>15000</v>
      </c>
      <c r="BG27" s="107">
        <v>17000</v>
      </c>
      <c r="BH27" s="107">
        <v>15000</v>
      </c>
      <c r="BI27" s="107">
        <v>17500</v>
      </c>
      <c r="BJ27" s="108">
        <v>15000</v>
      </c>
      <c r="BK27" s="107">
        <v>2</v>
      </c>
      <c r="BL27" s="108">
        <v>1</v>
      </c>
      <c r="BM27" s="108">
        <v>1</v>
      </c>
      <c r="BN27" s="107">
        <v>1</v>
      </c>
      <c r="BO27" s="108">
        <v>1</v>
      </c>
      <c r="BP27" s="107">
        <v>1</v>
      </c>
      <c r="BQ27" s="108">
        <v>1</v>
      </c>
      <c r="BR27" s="107">
        <v>0</v>
      </c>
      <c r="BS27" s="108">
        <v>0</v>
      </c>
      <c r="BT27" s="107">
        <v>0</v>
      </c>
      <c r="BU27" s="108">
        <v>0</v>
      </c>
      <c r="BV27" s="107">
        <v>0</v>
      </c>
      <c r="BW27" s="108">
        <v>0</v>
      </c>
      <c r="BX27" s="107">
        <v>0</v>
      </c>
      <c r="BY27" s="108">
        <v>0</v>
      </c>
      <c r="BZ27" s="107">
        <v>1</v>
      </c>
      <c r="CA27" s="108">
        <v>1</v>
      </c>
      <c r="CB27" s="108">
        <v>1</v>
      </c>
      <c r="CC27" s="108">
        <v>1</v>
      </c>
      <c r="CD27" s="108">
        <v>0</v>
      </c>
      <c r="CE27" s="107"/>
      <c r="CF27" s="107"/>
      <c r="CG27" s="108"/>
      <c r="CH27" s="107"/>
      <c r="CI27" s="107"/>
      <c r="CJ27" s="108"/>
      <c r="CK27" s="108"/>
      <c r="CL27" s="107">
        <v>0</v>
      </c>
      <c r="CM27" s="108"/>
      <c r="CN27" s="108" t="s">
        <v>1208</v>
      </c>
      <c r="CT27" s="127"/>
      <c r="CU27" s="127"/>
      <c r="CV27" s="127"/>
      <c r="CW27" s="127"/>
      <c r="CX27" s="127"/>
      <c r="CY27" s="127"/>
      <c r="CZ27" s="127"/>
      <c r="DA27" s="127"/>
      <c r="DB27" s="127"/>
      <c r="DC27" s="127"/>
      <c r="DD27" s="127"/>
    </row>
    <row r="28" spans="2:110" ht="15" customHeight="1">
      <c r="B28" s="126" t="s">
        <v>1457</v>
      </c>
      <c r="C28" s="127" t="s">
        <v>147</v>
      </c>
      <c r="D28" s="144" t="s">
        <v>1479</v>
      </c>
      <c r="E28" s="506">
        <v>4</v>
      </c>
      <c r="I28" s="5">
        <v>1</v>
      </c>
      <c r="J28" s="5">
        <v>29</v>
      </c>
      <c r="AF28" s="141"/>
      <c r="AG28" s="141"/>
      <c r="AH28" s="137"/>
      <c r="AI28" s="484"/>
      <c r="AJ28" s="137">
        <f>AJ27+(S$3*S28+T$3*T28+U$3*U28+V$3*V28+W$3*W28+X$3*X28+Y$3*Y28+Z$3*Z28+AA$3*AA28+AB$3*AB28+AC$3*AC28)</f>
        <v>5.7638888888888885E-2</v>
      </c>
      <c r="CT28" s="127"/>
      <c r="CU28" s="127"/>
      <c r="CV28" s="127"/>
      <c r="CW28" s="127"/>
      <c r="CX28" s="127"/>
      <c r="CY28" s="127"/>
      <c r="CZ28" s="127"/>
      <c r="DA28" s="127"/>
      <c r="DB28" s="127"/>
      <c r="DC28" s="127"/>
      <c r="DD28" s="127"/>
    </row>
    <row r="29" spans="2:110" ht="15" customHeight="1">
      <c r="B29" s="106" t="s">
        <v>171</v>
      </c>
      <c r="C29" s="130"/>
      <c r="D29" s="130" t="s">
        <v>1480</v>
      </c>
      <c r="E29" s="106">
        <v>4</v>
      </c>
      <c r="F29" s="219">
        <v>0</v>
      </c>
      <c r="G29" s="107" t="s">
        <v>1453</v>
      </c>
      <c r="H29" s="107">
        <v>70755</v>
      </c>
      <c r="I29" s="108">
        <v>4</v>
      </c>
      <c r="J29" s="108">
        <v>396</v>
      </c>
      <c r="K29" s="107">
        <v>2</v>
      </c>
      <c r="L29" s="107"/>
      <c r="M29" s="134">
        <v>2.0833333333333332E-2</v>
      </c>
      <c r="N29" s="109">
        <v>100</v>
      </c>
      <c r="O29" s="109">
        <f>SUMIF($B$4:$B28,"&lt;&gt;"&amp;$CS$13,O$4:O28)</f>
        <v>0</v>
      </c>
      <c r="P29" s="108">
        <f>SUMIF($B$4:$B28,"&lt;&gt;"&amp;$CS$13,N$4:N28)</f>
        <v>100</v>
      </c>
      <c r="Q29" s="134">
        <v>3.472222222222222E-3</v>
      </c>
      <c r="R29" s="134">
        <v>4.1666666666666666E-3</v>
      </c>
      <c r="S29" s="107">
        <v>0</v>
      </c>
      <c r="T29" s="107">
        <v>1</v>
      </c>
      <c r="U29" s="107">
        <v>0</v>
      </c>
      <c r="V29" s="107">
        <v>2</v>
      </c>
      <c r="W29" s="109">
        <v>4</v>
      </c>
      <c r="X29" s="109">
        <v>0</v>
      </c>
      <c r="Y29" s="109">
        <v>0</v>
      </c>
      <c r="Z29" s="109">
        <v>0</v>
      </c>
      <c r="AA29" s="109">
        <v>0</v>
      </c>
      <c r="AB29" s="109">
        <v>0</v>
      </c>
      <c r="AC29" s="109">
        <v>0</v>
      </c>
      <c r="AD29" s="109">
        <v>0</v>
      </c>
      <c r="AE29" s="108">
        <v>0</v>
      </c>
      <c r="AF29" s="136">
        <f>SUMIF($B$4:$B28,"&lt;&gt;"&amp;$CS$13,AF$4:AF28)</f>
        <v>5.7638888888888885E-2</v>
      </c>
      <c r="AG29" s="136">
        <f>SUMIF($B$4:$B28,"&lt;&gt;"&amp;$CS$13,AG$4:AG28)</f>
        <v>0</v>
      </c>
      <c r="AH29" s="134">
        <f>AF29+AG29</f>
        <v>5.7638888888888885E-2</v>
      </c>
      <c r="AI29" s="483">
        <f>SUMIF($B$4:$B28,"&lt;&gt;"&amp;$CS$13,AI$4:AI28)</f>
        <v>0</v>
      </c>
      <c r="AJ29" s="134">
        <f>S$3*S29+T$3*T29+U$3*U29+V$3*V29+W$3*W29+X$3*X29+Y$3*Y29+Z$3*Z29+AA$3*AA29+AB$3*AB29+AC$3*AC29</f>
        <v>5.7638888888888885E-2</v>
      </c>
      <c r="AK29" s="338">
        <v>0</v>
      </c>
      <c r="AL29" s="136" t="s">
        <v>1453</v>
      </c>
      <c r="AM29" s="136" t="s">
        <v>1453</v>
      </c>
      <c r="AN29" s="136" t="s">
        <v>1453</v>
      </c>
      <c r="AO29" s="134" t="s">
        <v>1453</v>
      </c>
      <c r="AP29" s="255">
        <v>0.01</v>
      </c>
      <c r="AQ29" s="136" t="s">
        <v>1453</v>
      </c>
      <c r="AR29" s="136" t="s">
        <v>1453</v>
      </c>
      <c r="AS29" s="136" t="s">
        <v>1453</v>
      </c>
      <c r="AT29" s="134" t="s">
        <v>1453</v>
      </c>
      <c r="AU29" s="107">
        <v>39500</v>
      </c>
      <c r="AV29" s="107">
        <v>41100</v>
      </c>
      <c r="AW29" s="107">
        <v>31580</v>
      </c>
      <c r="AX29" s="107">
        <v>43800</v>
      </c>
      <c r="AY29" s="108">
        <v>23820</v>
      </c>
      <c r="AZ29" s="107">
        <v>0</v>
      </c>
      <c r="BA29" s="107">
        <v>42</v>
      </c>
      <c r="BB29" s="107">
        <v>0</v>
      </c>
      <c r="BC29" s="107">
        <v>52</v>
      </c>
      <c r="BD29" s="108">
        <v>0</v>
      </c>
      <c r="BE29" s="108">
        <v>0</v>
      </c>
      <c r="BF29" s="107">
        <v>15000</v>
      </c>
      <c r="BG29" s="107">
        <v>17000</v>
      </c>
      <c r="BH29" s="107">
        <v>15000</v>
      </c>
      <c r="BI29" s="107">
        <v>17500</v>
      </c>
      <c r="BJ29" s="108">
        <v>15000</v>
      </c>
      <c r="BK29" s="107">
        <v>2</v>
      </c>
      <c r="BL29" s="108">
        <v>1</v>
      </c>
      <c r="BM29" s="108">
        <v>1</v>
      </c>
      <c r="BN29" s="107">
        <v>1</v>
      </c>
      <c r="BO29" s="108">
        <v>1</v>
      </c>
      <c r="BP29" s="107">
        <v>1</v>
      </c>
      <c r="BQ29" s="108">
        <v>1</v>
      </c>
      <c r="BR29" s="107">
        <v>0</v>
      </c>
      <c r="BS29" s="108">
        <v>0</v>
      </c>
      <c r="BT29" s="107">
        <v>0</v>
      </c>
      <c r="BU29" s="108">
        <v>0</v>
      </c>
      <c r="BV29" s="107">
        <v>0</v>
      </c>
      <c r="BW29" s="108">
        <v>0</v>
      </c>
      <c r="BX29" s="107">
        <v>0</v>
      </c>
      <c r="BY29" s="108">
        <v>0</v>
      </c>
      <c r="BZ29" s="107">
        <v>1</v>
      </c>
      <c r="CA29" s="108">
        <v>1</v>
      </c>
      <c r="CB29" s="108">
        <v>1</v>
      </c>
      <c r="CC29" s="108">
        <v>1</v>
      </c>
      <c r="CD29" s="108">
        <v>0</v>
      </c>
      <c r="CE29" s="107"/>
      <c r="CF29" s="107"/>
      <c r="CG29" s="108"/>
      <c r="CH29" s="107"/>
      <c r="CI29" s="107"/>
      <c r="CJ29" s="108"/>
      <c r="CK29" s="108"/>
      <c r="CL29" s="107">
        <v>0</v>
      </c>
      <c r="CM29" s="108"/>
      <c r="CN29" s="108" t="s">
        <v>1208</v>
      </c>
      <c r="CT29" s="127"/>
      <c r="CU29" s="127"/>
      <c r="CV29" s="127"/>
      <c r="CW29" s="127"/>
      <c r="CX29" s="127"/>
      <c r="CY29" s="127"/>
      <c r="CZ29" s="127"/>
      <c r="DA29" s="127"/>
      <c r="DB29" s="127"/>
      <c r="DC29" s="127"/>
      <c r="DD29" s="127"/>
    </row>
    <row r="30" spans="2:110" ht="15" customHeight="1">
      <c r="B30" s="102" t="s">
        <v>1455</v>
      </c>
      <c r="C30" s="127" t="s">
        <v>140</v>
      </c>
      <c r="D30" s="144" t="s">
        <v>1476</v>
      </c>
      <c r="E30" s="506">
        <v>4</v>
      </c>
      <c r="F30" s="12">
        <v>0</v>
      </c>
      <c r="G30" s="101">
        <f>VLOOKUP($D30,Research!$C:$M,(COLUMN(Research_QuestReward_HeroXP)-COLUMN(Research_Name_and_Level)+1),FALSE)</f>
        <v>1000</v>
      </c>
      <c r="H30" s="101">
        <f t="shared" si="1"/>
        <v>1000</v>
      </c>
      <c r="J30" s="103">
        <f>VLOOKUP($D30,Research!$C:$N,(COLUMN(Research_QuestReward_Power)-COLUMN(Research_Name_and_Level)+1),FALSE)</f>
        <v>75</v>
      </c>
      <c r="AF30" s="141"/>
      <c r="AG30" s="141"/>
      <c r="AH30" s="137"/>
      <c r="AI30" s="484"/>
      <c r="AJ30" s="137">
        <f t="shared" ref="AJ30:AJ41" si="3">AJ29+(S$3*S30+T$3*T30+U$3*U30+V$3*V30+W$3*W30+X$3*X30+Y$3*Y30+Z$3*Z30+AA$3*AA30+AB$3*AB30+AC$3*AC30)</f>
        <v>5.7638888888888885E-2</v>
      </c>
      <c r="AU30" s="101">
        <f>VLOOKUP($D30,Research!$C:$S,(COLUMN(Research_QuestReward_Stone)-COLUMN(Research_Name_and_Level)+1),FALSE)</f>
        <v>0</v>
      </c>
      <c r="AV30" s="101">
        <f>VLOOKUP($D30,Research!$C:$S,(COLUMN(Research_QuestReward_Wood)-COLUMN(Research_Name_and_Level)+1),FALSE)</f>
        <v>0</v>
      </c>
      <c r="AW30" s="101">
        <f>VLOOKUP($D30,Research!$C:$S,(COLUMN(Research_QuestReward_Ore)-COLUMN(Research_Name_and_Level)+1),FALSE)</f>
        <v>0</v>
      </c>
      <c r="AX30" s="101">
        <f>VLOOKUP($D30,Research!$C:$S,(COLUMN(Research_QuestReward_Food)-COLUMN(Research_Name_and_Level)+1),FALSE)</f>
        <v>0</v>
      </c>
      <c r="AY30" s="100">
        <f>VLOOKUP($D30,Research!$C:$S,(COLUMN(Research_QuestReward_Silver)-COLUMN(Research_Name_and_Level)+1),FALSE)</f>
        <v>387</v>
      </c>
      <c r="CT30" s="127"/>
      <c r="CU30" s="127"/>
      <c r="CV30" s="127"/>
      <c r="CW30" s="127"/>
      <c r="CX30" s="127"/>
      <c r="CY30" s="127"/>
      <c r="CZ30" s="127"/>
      <c r="DA30" s="127"/>
      <c r="DB30" s="127"/>
      <c r="DC30" s="127"/>
      <c r="DD30" s="127"/>
    </row>
    <row r="31" spans="2:110" ht="15" customHeight="1">
      <c r="B31" s="93" t="s">
        <v>1456</v>
      </c>
      <c r="C31" s="127" t="s">
        <v>1481</v>
      </c>
      <c r="D31" s="144" t="s">
        <v>1482</v>
      </c>
      <c r="E31" s="506">
        <v>4</v>
      </c>
      <c r="F31" s="12">
        <v>0</v>
      </c>
      <c r="G31" s="94">
        <f>VLOOKUP($D31,Construction!$B:$E,(COLUMN(Construction_BuildingReward_HeroXP)-COLUMN(Construction_Name_and_Level)+1),FALSE)</f>
        <v>10</v>
      </c>
      <c r="H31" s="94">
        <f t="shared" si="1"/>
        <v>10</v>
      </c>
      <c r="J31" s="95">
        <f>VLOOKUP($D31,Construction!$B:$F,(COLUMN(Construction_BuildingReward_Power)-COLUMN(Construction_Name_and_Level)+1),FALSE)</f>
        <v>20</v>
      </c>
      <c r="Q31" s="139">
        <v>3.472222222222222E-3</v>
      </c>
      <c r="R31" s="139">
        <v>4.1666666666666666E-3</v>
      </c>
      <c r="AF31" s="141"/>
      <c r="AG31" s="141"/>
      <c r="AH31" s="137"/>
      <c r="AI31" s="484"/>
      <c r="AJ31" s="137">
        <f t="shared" si="3"/>
        <v>5.7638888888888885E-2</v>
      </c>
      <c r="AK31" s="339">
        <v>0</v>
      </c>
      <c r="AL31" s="138">
        <f>VLOOKUP($D31,Construction!$B:$C,(COLUMN(Construction_Time)-COLUMN(Construction_Name_and_Level)+1),FALSE)</f>
        <v>1.0416666666666667E-3</v>
      </c>
      <c r="AM31" s="138">
        <f>AL31/(1+AK31)</f>
        <v>1.0416666666666667E-3</v>
      </c>
      <c r="AN31" s="138">
        <f>(S$3*S31+T$3*T31+V$3*V31+W$3*W31+X$3*X31+Y$3*Y31+Z$3*Z31+AA$3*AA31+AB$3*AB31+AC$3*AC31)*(-1)</f>
        <v>0</v>
      </c>
      <c r="AO31" s="139">
        <f>IF((AM31-Q31-R31-AN31)&gt;=0,AM31-Q31-R31-AN31,0)</f>
        <v>0</v>
      </c>
      <c r="AU31" s="94">
        <f>VLOOKUP($D31,Construction!$B:$J,(COLUMN(Construction_BuildingCost_Stone)-COLUMN(Construction_Name_and_Level)+1),FALSE)*(-1)</f>
        <v>-500</v>
      </c>
      <c r="AV31" s="94">
        <f>VLOOKUP($D31,Construction!$B:$J,(COLUMN(Construction_BuildingCost_Wood)-COLUMN(Construction_Name_and_Level)+1),FALSE)*(-1)</f>
        <v>-400</v>
      </c>
      <c r="AW31" s="94">
        <f>VLOOKUP($D31,Construction!$B:$J,(COLUMN(Construction_BuildingCost_Ore)-COLUMN(Construction_Name_and_Level)+1),FALSE)*(-1)</f>
        <v>-300</v>
      </c>
      <c r="AX31" s="94">
        <f>VLOOKUP($D31,Construction!$B:$J,(COLUMN(Construction_BuildingCost_Food)-COLUMN(Construction_Name_and_Level)+1),FALSE)*(-1)</f>
        <v>-250</v>
      </c>
      <c r="CT31" s="128"/>
      <c r="CU31" s="128"/>
      <c r="CV31" s="128"/>
      <c r="CW31" s="128"/>
      <c r="CX31" s="128"/>
      <c r="CY31" s="128"/>
      <c r="CZ31" s="128"/>
      <c r="DA31" s="128"/>
      <c r="DB31" s="128"/>
      <c r="DC31" s="128"/>
      <c r="DD31" s="128"/>
    </row>
    <row r="32" spans="2:110" ht="15" customHeight="1">
      <c r="B32" s="113" t="s">
        <v>1483</v>
      </c>
      <c r="C32" s="127" t="s">
        <v>1484</v>
      </c>
      <c r="D32" s="127">
        <v>20</v>
      </c>
      <c r="E32" s="506">
        <v>4</v>
      </c>
      <c r="G32" s="7"/>
      <c r="H32" s="7"/>
      <c r="J32" s="114">
        <f>VLOOKUP($C32,Troop!$B:$AK,(COLUMN(Troop_TrainingReward_Power)-COLUMN(Troop_Name)+1),FALSE)*$D32</f>
        <v>40</v>
      </c>
      <c r="AF32" s="141"/>
      <c r="AG32" s="141"/>
      <c r="AH32" s="137"/>
      <c r="AI32" s="484"/>
      <c r="AJ32" s="137">
        <f t="shared" si="3"/>
        <v>5.7638888888888885E-2</v>
      </c>
      <c r="AU32" s="296">
        <f>VLOOKUP($C32,Troop!$B:$P,(COLUMN(Troop_TrainingCost_Stone)-COLUMN(Troop_Name)+1),FALSE)*$D32*(-1)</f>
        <v>0</v>
      </c>
      <c r="AV32" s="296">
        <f>VLOOKUP($C32,Troop!$B:$P,(COLUMN(Troop_TrainingCost_Wood)-COLUMN(Troop_Name)+1),FALSE)*$D32*(-1)</f>
        <v>-1000</v>
      </c>
      <c r="AW32" s="296">
        <f>VLOOKUP($C32,Troop!$B:$P,(COLUMN(Troop_TrainingCost_Ore)-COLUMN(Troop_Name)+1),FALSE)*$D32*(-1)</f>
        <v>-760</v>
      </c>
      <c r="AX32" s="296">
        <f>VLOOKUP($C32,Troop!$B:$P,(COLUMN(Troop_TrainingCost_Food)-COLUMN(Troop_Name)+1),FALSE)*$D32*(-1)</f>
        <v>-1000</v>
      </c>
      <c r="AY32" s="114">
        <f>VLOOKUP($C32,Troop!$B:$P,(COLUMN(Troop_TrainingCost_Silver)-COLUMN(Troop_Name)+1),FALSE)*$D32*(-1)</f>
        <v>0</v>
      </c>
      <c r="CT32" s="128"/>
      <c r="CU32" s="128"/>
      <c r="CV32" s="128"/>
      <c r="CW32" s="128"/>
      <c r="CX32" s="128"/>
      <c r="CY32" s="128"/>
      <c r="CZ32" s="128"/>
      <c r="DA32" s="128"/>
      <c r="DB32" s="128"/>
      <c r="DC32" s="128"/>
      <c r="DD32" s="128"/>
    </row>
    <row r="33" spans="2:108" ht="15" customHeight="1">
      <c r="B33" s="102" t="s">
        <v>1455</v>
      </c>
      <c r="C33" s="127" t="s">
        <v>139</v>
      </c>
      <c r="D33" s="144" t="s">
        <v>1482</v>
      </c>
      <c r="E33" s="506">
        <v>4</v>
      </c>
      <c r="F33" s="12">
        <v>0</v>
      </c>
      <c r="G33" s="101">
        <f>VLOOKUP($D33,Construction!$B:$L,(COLUMN(Construction_QuestReward_HeroXP)-COLUMN(Construction_Name_and_Level)+1),FALSE)</f>
        <v>2525</v>
      </c>
      <c r="H33" s="101">
        <f t="shared" si="1"/>
        <v>2525</v>
      </c>
      <c r="J33" s="100">
        <f>VLOOKUP($D33,Construction!$B:$L,(COLUMN(Construction_QuestReward_Power)-COLUMN(Construction_Name_and_Level)+1),FALSE)</f>
        <v>2</v>
      </c>
      <c r="AF33" s="141"/>
      <c r="AG33" s="141"/>
      <c r="AH33" s="137"/>
      <c r="AI33" s="484"/>
      <c r="AJ33" s="137">
        <f t="shared" si="3"/>
        <v>5.7638888888888885E-2</v>
      </c>
      <c r="AU33" s="101">
        <f>VLOOKUP($D33,Construction!$B:$Q,(COLUMN(Construction_QuestReward_Stone)-COLUMN(Construction_Name_and_Level)+1),FALSE)</f>
        <v>5000</v>
      </c>
      <c r="AV33" s="101">
        <f>VLOOKUP($D33,Construction!$B:$Q,(COLUMN(Construction_QuestReward_Wood)-COLUMN(Construction_Name_and_Level)+1),FALSE)</f>
        <v>4000</v>
      </c>
      <c r="AW33" s="101">
        <f>VLOOKUP($D33,Construction!$B:$Q,(COLUMN(Construction_QuestReward_Ore)-COLUMN(Construction_Name_and_Level)+1),FALSE)</f>
        <v>3000</v>
      </c>
      <c r="AX33" s="101">
        <f>VLOOKUP($D33,Construction!$B:$Q,(COLUMN(Construction_QuestReward_Food)-COLUMN(Construction_Name_and_Level)+1),FALSE)</f>
        <v>2500</v>
      </c>
      <c r="AY33" s="100">
        <f>VLOOKUP($D33,Construction!$B:$Q,(COLUMN(Construction_QuestReward_Silver)-COLUMN(Construction_Name_and_Level)+1),FALSE)</f>
        <v>100</v>
      </c>
      <c r="CT33" s="128"/>
      <c r="CU33" s="128"/>
      <c r="CV33" s="128"/>
      <c r="CW33" s="128"/>
      <c r="CX33" s="128"/>
      <c r="CY33" s="128"/>
      <c r="CZ33" s="128"/>
      <c r="DA33" s="128"/>
      <c r="DB33" s="128"/>
      <c r="DC33" s="128"/>
      <c r="DD33" s="128"/>
    </row>
    <row r="34" spans="2:108" ht="15" customHeight="1">
      <c r="B34" s="102" t="s">
        <v>1455</v>
      </c>
      <c r="C34" s="127" t="s">
        <v>141</v>
      </c>
      <c r="D34" s="144" t="s">
        <v>1485</v>
      </c>
      <c r="E34" s="506">
        <v>4</v>
      </c>
      <c r="F34" s="12">
        <v>0</v>
      </c>
      <c r="G34" s="101">
        <v>2500</v>
      </c>
      <c r="H34" s="101">
        <f t="shared" si="1"/>
        <v>2500</v>
      </c>
      <c r="J34" s="100">
        <v>25</v>
      </c>
      <c r="AF34" s="141"/>
      <c r="AG34" s="141"/>
      <c r="AH34" s="137"/>
      <c r="AI34" s="484"/>
      <c r="AJ34" s="137">
        <f t="shared" si="3"/>
        <v>5.7638888888888885E-2</v>
      </c>
      <c r="AU34" s="101">
        <v>0</v>
      </c>
      <c r="AV34" s="101">
        <v>2100</v>
      </c>
      <c r="AW34" s="101">
        <v>1500</v>
      </c>
      <c r="AX34" s="101">
        <v>2100</v>
      </c>
      <c r="AY34" s="100">
        <v>0</v>
      </c>
      <c r="CT34" s="128"/>
      <c r="CU34" s="128"/>
      <c r="CV34" s="128"/>
      <c r="CW34" s="128"/>
      <c r="CX34" s="128"/>
      <c r="CY34" s="128"/>
      <c r="CZ34" s="128"/>
      <c r="DA34" s="128"/>
      <c r="DB34" s="128"/>
      <c r="DC34" s="128"/>
      <c r="DD34" s="128"/>
    </row>
    <row r="35" spans="2:108" ht="15" customHeight="1">
      <c r="B35" s="102" t="s">
        <v>1455</v>
      </c>
      <c r="C35" s="127" t="s">
        <v>1459</v>
      </c>
      <c r="D35" s="144" t="s">
        <v>1486</v>
      </c>
      <c r="E35" s="506">
        <v>4</v>
      </c>
      <c r="F35" s="12">
        <v>0</v>
      </c>
      <c r="G35" s="101">
        <v>10000</v>
      </c>
      <c r="H35" s="101">
        <f t="shared" si="1"/>
        <v>10000</v>
      </c>
      <c r="J35" s="100">
        <v>25</v>
      </c>
      <c r="M35" s="135">
        <v>4.1666666666666664E-2</v>
      </c>
      <c r="AF35" s="141"/>
      <c r="AG35" s="141"/>
      <c r="AH35" s="137"/>
      <c r="AI35" s="484"/>
      <c r="AJ35" s="137">
        <f t="shared" si="3"/>
        <v>5.7638888888888885E-2</v>
      </c>
    </row>
    <row r="36" spans="2:108" ht="15" customHeight="1">
      <c r="B36" s="102" t="s">
        <v>1455</v>
      </c>
      <c r="C36" s="127" t="s">
        <v>1459</v>
      </c>
      <c r="D36" s="144" t="s">
        <v>1487</v>
      </c>
      <c r="E36" s="506">
        <v>4</v>
      </c>
      <c r="N36" s="198">
        <v>100</v>
      </c>
      <c r="AF36" s="141"/>
      <c r="AG36" s="141"/>
      <c r="AH36" s="137"/>
      <c r="AI36" s="484"/>
      <c r="AJ36" s="137">
        <f t="shared" si="3"/>
        <v>5.7638888888888885E-2</v>
      </c>
    </row>
    <row r="37" spans="2:108" ht="15" customHeight="1">
      <c r="B37" s="93" t="s">
        <v>1456</v>
      </c>
      <c r="C37" s="127" t="s">
        <v>1481</v>
      </c>
      <c r="D37" s="144" t="s">
        <v>1488</v>
      </c>
      <c r="E37" s="506">
        <v>4</v>
      </c>
      <c r="F37" s="12">
        <v>0</v>
      </c>
      <c r="G37" s="94">
        <f>VLOOKUP($D37,Construction!$B:$E,(COLUMN(Construction_BuildingReward_HeroXP)-COLUMN(Construction_Name_and_Level)+1),FALSE)</f>
        <v>25</v>
      </c>
      <c r="H37" s="94">
        <f t="shared" si="1"/>
        <v>25</v>
      </c>
      <c r="J37" s="95">
        <f>VLOOKUP($D37,Construction!$B:$F,(COLUMN(Construction_BuildingReward_Power)-COLUMN(Construction_Name_and_Level)+1),FALSE)</f>
        <v>20</v>
      </c>
      <c r="Q37" s="139">
        <v>3.472222222222222E-3</v>
      </c>
      <c r="R37" s="139">
        <v>4.1666666666666666E-3</v>
      </c>
      <c r="AF37" s="141"/>
      <c r="AG37" s="141"/>
      <c r="AH37" s="137"/>
      <c r="AI37" s="484"/>
      <c r="AJ37" s="137">
        <f t="shared" si="3"/>
        <v>5.7638888888888885E-2</v>
      </c>
      <c r="AK37" s="339">
        <v>0</v>
      </c>
      <c r="AL37" s="138">
        <f>VLOOKUP($D37,Construction!$B:$C,(COLUMN(Construction_Time)-COLUMN(Construction_Name_and_Level)+1),FALSE)</f>
        <v>1.3888888888888889E-3</v>
      </c>
      <c r="AM37" s="138">
        <f>AL37/(1+AK37)</f>
        <v>1.3888888888888889E-3</v>
      </c>
      <c r="AN37" s="138">
        <f>(S$3*S37+T$3*T37+V$3*V37+W$3*W37+X$3*X37+Y$3*Y37+Z$3*Z37+AA$3*AA37+AB$3*AB37+AC$3*AC37)*(-1)</f>
        <v>0</v>
      </c>
      <c r="AO37" s="139">
        <f>IF((AM37-Q37-R37-AN37)&gt;=0,AM37-Q37-R37-AN37,0)</f>
        <v>0</v>
      </c>
      <c r="AU37" s="94">
        <f>VLOOKUP($D37,Construction!$B:$J,(COLUMN(Construction_BuildingCost_Stone)-COLUMN(Construction_Name_and_Level)+1),FALSE)*(-1)</f>
        <v>-680</v>
      </c>
      <c r="AV37" s="94">
        <f>VLOOKUP($D37,Construction!$B:$J,(COLUMN(Construction_BuildingCost_Wood)-COLUMN(Construction_Name_and_Level)+1),FALSE)*(-1)</f>
        <v>-680</v>
      </c>
      <c r="AW37" s="94">
        <f>VLOOKUP($D37,Construction!$B:$J,(COLUMN(Construction_BuildingCost_Ore)-COLUMN(Construction_Name_and_Level)+1),FALSE)*(-1)</f>
        <v>-510</v>
      </c>
      <c r="AX37" s="94">
        <f>VLOOKUP($D37,Construction!$B:$J,(COLUMN(Construction_BuildingCost_Food)-COLUMN(Construction_Name_and_Level)+1),FALSE)*(-1)</f>
        <v>-340</v>
      </c>
    </row>
    <row r="38" spans="2:108" ht="15" customHeight="1">
      <c r="B38" s="93" t="s">
        <v>1456</v>
      </c>
      <c r="C38" s="127" t="s">
        <v>1481</v>
      </c>
      <c r="D38" s="144" t="s">
        <v>561</v>
      </c>
      <c r="E38" s="506">
        <v>4</v>
      </c>
      <c r="F38" s="12">
        <v>0</v>
      </c>
      <c r="G38" s="94">
        <f>VLOOKUP($D38,Construction!$B:$E,(COLUMN(Construction_BuildingReward_HeroXP)-COLUMN(Construction_Name_and_Level)+1),FALSE)</f>
        <v>5000</v>
      </c>
      <c r="H38" s="94">
        <f t="shared" si="1"/>
        <v>5000</v>
      </c>
      <c r="J38" s="95">
        <f>VLOOKUP($D38,Construction!$B:$F,(COLUMN(Construction_BuildingReward_Power)-COLUMN(Construction_Name_and_Level)+1),FALSE)</f>
        <v>90</v>
      </c>
      <c r="Q38" s="139">
        <v>3.472222222222222E-3</v>
      </c>
      <c r="R38" s="139">
        <v>4.1666666666666666E-3</v>
      </c>
      <c r="AF38" s="141"/>
      <c r="AG38" s="141"/>
      <c r="AH38" s="137"/>
      <c r="AI38" s="484"/>
      <c r="AJ38" s="137">
        <f t="shared" si="3"/>
        <v>5.7638888888888885E-2</v>
      </c>
      <c r="AK38" s="339">
        <v>0</v>
      </c>
      <c r="AL38" s="138">
        <f>VLOOKUP($D38,Construction!$B:$C,(COLUMN(Construction_Time)-COLUMN(Construction_Name_and_Level)+1),FALSE)</f>
        <v>2.4305555555555556E-3</v>
      </c>
      <c r="AM38" s="138">
        <f>AL38/(1+AK38)</f>
        <v>2.4305555555555556E-3</v>
      </c>
      <c r="AN38" s="138">
        <f>(S$3*S38+T$3*T38+V$3*V38+W$3*W38+X$3*X38+Y$3*Y38+Z$3*Z38+AA$3*AA38+AB$3*AB38+AC$3*AC38)*(-1)</f>
        <v>0</v>
      </c>
      <c r="AO38" s="139">
        <f>IF((AM38-Q38-R38-AN38)&gt;=0,AM38-Q38-R38-AN38,0)</f>
        <v>0</v>
      </c>
      <c r="AU38" s="94">
        <f>VLOOKUP($D38,Construction!$B:$J,(COLUMN(Construction_BuildingCost_Stone)-COLUMN(Construction_Name_and_Level)+1),FALSE)*(-1)</f>
        <v>-1800</v>
      </c>
      <c r="AV38" s="94">
        <f>VLOOKUP($D38,Construction!$B:$J,(COLUMN(Construction_BuildingCost_Wood)-COLUMN(Construction_Name_and_Level)+1),FALSE)*(-1)</f>
        <v>-1440</v>
      </c>
      <c r="AW38" s="94">
        <f>VLOOKUP($D38,Construction!$B:$J,(COLUMN(Construction_BuildingCost_Ore)-COLUMN(Construction_Name_and_Level)+1),FALSE)*(-1)</f>
        <v>-540</v>
      </c>
      <c r="AX38" s="94">
        <f>VLOOKUP($D38,Construction!$B:$J,(COLUMN(Construction_BuildingCost_Food)-COLUMN(Construction_Name_and_Level)+1),FALSE)*(-1)</f>
        <v>-900</v>
      </c>
    </row>
    <row r="39" spans="2:108" ht="15" customHeight="1">
      <c r="B39" s="93" t="s">
        <v>1456</v>
      </c>
      <c r="C39" s="127" t="s">
        <v>1481</v>
      </c>
      <c r="D39" s="144" t="s">
        <v>1489</v>
      </c>
      <c r="E39" s="506">
        <v>4</v>
      </c>
      <c r="F39" s="12">
        <v>0</v>
      </c>
      <c r="G39" s="94">
        <f>VLOOKUP($D39,Construction!$B:$E,(COLUMN(Construction_BuildingReward_HeroXP)-COLUMN(Construction_Name_and_Level)+1),FALSE)</f>
        <v>10000</v>
      </c>
      <c r="H39" s="94">
        <f t="shared" si="1"/>
        <v>10000</v>
      </c>
      <c r="J39" s="95">
        <f>VLOOKUP($D39,Construction!$B:$F,(COLUMN(Construction_BuildingReward_Power)-COLUMN(Construction_Name_and_Level)+1),FALSE)</f>
        <v>150</v>
      </c>
      <c r="Q39" s="139">
        <v>3.472222222222222E-3</v>
      </c>
      <c r="R39" s="139">
        <v>4.8611111111111112E-3</v>
      </c>
      <c r="T39" s="2">
        <v>-1</v>
      </c>
      <c r="AF39" s="141"/>
      <c r="AG39" s="141"/>
      <c r="AH39" s="137"/>
      <c r="AI39" s="484">
        <f>(-1)*($S$3*$S39+$T$3*$T39+$U$3*$U39+$V$3*$V39+$W$3*$W39+$X$3*$X39+$Y$3*$Y39+$Z$3*$Z39+$AA$3*$AA39+$AB$3*$AB39+$AC$3*$AC39)</f>
        <v>2.0833333333333333E-3</v>
      </c>
      <c r="AJ39" s="137">
        <f t="shared" si="3"/>
        <v>5.5555555555555552E-2</v>
      </c>
      <c r="AK39" s="339">
        <v>0</v>
      </c>
      <c r="AL39" s="138">
        <f>VLOOKUP($D39,Construction!$B:$C,(COLUMN(Construction_Time)-COLUMN(Construction_Name_and_Level)+1),FALSE)</f>
        <v>1.3888888888888888E-2</v>
      </c>
      <c r="AM39" s="138">
        <f>AL39/(1+AK39)</f>
        <v>1.3888888888888888E-2</v>
      </c>
      <c r="AN39" s="138">
        <f>(S$3*S39+T$3*T39+V$3*V39+W$3*W39+X$3*X39+Y$3*Y39+Z$3*Z39+AA$3*AA39+AB$3*AB39+AC$3*AC39)*(-1)</f>
        <v>2.0833333333333333E-3</v>
      </c>
      <c r="AO39" s="139">
        <f>IF((AM39-Q39-R39-AN39)&gt;=0,AM39-Q39-R39-AN39,0)</f>
        <v>3.4722222222222216E-3</v>
      </c>
      <c r="AU39" s="94">
        <f>VLOOKUP($D39,Construction!$B:$J,(COLUMN(Construction_BuildingCost_Stone)-COLUMN(Construction_Name_and_Level)+1),FALSE)*(-1)</f>
        <v>-3240</v>
      </c>
      <c r="AV39" s="94">
        <f>VLOOKUP($D39,Construction!$B:$J,(COLUMN(Construction_BuildingCost_Wood)-COLUMN(Construction_Name_and_Level)+1),FALSE)*(-1)</f>
        <v>-3240</v>
      </c>
      <c r="AW39" s="94">
        <f>VLOOKUP($D39,Construction!$B:$J,(COLUMN(Construction_BuildingCost_Ore)-COLUMN(Construction_Name_and_Level)+1),FALSE)*(-1)</f>
        <v>-1296</v>
      </c>
      <c r="AX39" s="94">
        <f>VLOOKUP($D39,Construction!$B:$J,(COLUMN(Construction_BuildingCost_Food)-COLUMN(Construction_Name_and_Level)+1),FALSE)*(-1)</f>
        <v>-1620</v>
      </c>
    </row>
    <row r="40" spans="2:108" ht="15" customHeight="1">
      <c r="B40" s="506" t="s">
        <v>1457</v>
      </c>
      <c r="C40" s="127" t="s">
        <v>1490</v>
      </c>
      <c r="D40" s="145" t="s">
        <v>1491</v>
      </c>
      <c r="E40" s="506">
        <v>4</v>
      </c>
      <c r="W40" s="11">
        <v>2</v>
      </c>
      <c r="AF40" s="141">
        <f>$S$3*$S40+$T$3*$T40+$U$3*$U40+$V$3*$V40+$W$3*$W40+$X$3*$X40+$Y$3*$Y40+$Z$3*$Z40+$AA$3*$AA40+$AB$3*$AB40+$AC$3*$AC40</f>
        <v>2.0833333333333332E-2</v>
      </c>
      <c r="AG40" s="141"/>
      <c r="AH40" s="137"/>
      <c r="AI40" s="484"/>
      <c r="AJ40" s="137">
        <f t="shared" si="3"/>
        <v>7.6388888888888881E-2</v>
      </c>
      <c r="AU40" s="2">
        <v>2800</v>
      </c>
      <c r="AV40" s="2">
        <v>3600</v>
      </c>
      <c r="AW40" s="2">
        <v>3600</v>
      </c>
      <c r="AX40" s="11">
        <v>4200</v>
      </c>
      <c r="AY40" s="5">
        <v>2800</v>
      </c>
    </row>
    <row r="41" spans="2:108" ht="15" customHeight="1">
      <c r="B41" s="126" t="s">
        <v>1457</v>
      </c>
      <c r="C41" s="127" t="s">
        <v>147</v>
      </c>
      <c r="D41" s="144" t="s">
        <v>1492</v>
      </c>
      <c r="E41" s="506">
        <v>5</v>
      </c>
      <c r="I41" s="5">
        <v>2</v>
      </c>
      <c r="J41" s="5">
        <v>29</v>
      </c>
      <c r="AF41" s="141"/>
      <c r="AG41" s="141"/>
      <c r="AH41" s="137"/>
      <c r="AI41" s="484"/>
      <c r="AJ41" s="137">
        <f t="shared" si="3"/>
        <v>7.6388888888888881E-2</v>
      </c>
      <c r="AK41" s="341"/>
      <c r="AL41" s="141"/>
      <c r="AM41" s="141"/>
      <c r="AX41" s="11"/>
    </row>
    <row r="42" spans="2:108" ht="15" customHeight="1">
      <c r="B42" s="106" t="s">
        <v>171</v>
      </c>
      <c r="C42" s="130"/>
      <c r="D42" s="130" t="s">
        <v>1493</v>
      </c>
      <c r="E42" s="106">
        <v>5</v>
      </c>
      <c r="F42" s="219">
        <v>0</v>
      </c>
      <c r="G42" s="107" t="s">
        <v>1453</v>
      </c>
      <c r="H42" s="107">
        <v>101815</v>
      </c>
      <c r="I42" s="108">
        <v>6</v>
      </c>
      <c r="J42" s="108">
        <v>872</v>
      </c>
      <c r="K42" s="107">
        <v>2</v>
      </c>
      <c r="L42" s="107"/>
      <c r="M42" s="134">
        <v>6.25E-2</v>
      </c>
      <c r="N42" s="109">
        <v>200</v>
      </c>
      <c r="O42" s="109">
        <f>SUMIF($B$4:$B41,"&lt;&gt;"&amp;$CS$13,O$4:O41)</f>
        <v>0</v>
      </c>
      <c r="P42" s="108">
        <f>SUMIF($B$4:$B41,"&lt;&gt;"&amp;$CS$13,N$4:N41)</f>
        <v>200</v>
      </c>
      <c r="Q42" s="134">
        <v>3.472222222222222E-3</v>
      </c>
      <c r="R42" s="134">
        <v>4.8611111111111112E-3</v>
      </c>
      <c r="S42" s="107">
        <v>0</v>
      </c>
      <c r="T42" s="107">
        <v>0</v>
      </c>
      <c r="U42" s="107">
        <v>0</v>
      </c>
      <c r="V42" s="107">
        <v>2</v>
      </c>
      <c r="W42" s="109">
        <v>6</v>
      </c>
      <c r="X42" s="109">
        <v>0</v>
      </c>
      <c r="Y42" s="109">
        <v>0</v>
      </c>
      <c r="Z42" s="109">
        <v>0</v>
      </c>
      <c r="AA42" s="109">
        <v>0</v>
      </c>
      <c r="AB42" s="109">
        <v>0</v>
      </c>
      <c r="AC42" s="109">
        <v>0</v>
      </c>
      <c r="AD42" s="109">
        <v>0</v>
      </c>
      <c r="AE42" s="108">
        <v>0</v>
      </c>
      <c r="AF42" s="136">
        <f>SUMIF($B$4:$B41,"&lt;&gt;"&amp;$CS$13,AF$4:AF41)</f>
        <v>7.8472222222222221E-2</v>
      </c>
      <c r="AG42" s="136">
        <f>SUMIF($B$4:$B41,"&lt;&gt;"&amp;$CS$13,AG$4:AG41)</f>
        <v>0</v>
      </c>
      <c r="AH42" s="134">
        <f>AF42+AG42</f>
        <v>7.8472222222222221E-2</v>
      </c>
      <c r="AI42" s="483">
        <f>SUMIF($B$4:$B41,"&lt;&gt;"&amp;$CS$13,AI$4:AI41)</f>
        <v>2.0833333333333333E-3</v>
      </c>
      <c r="AJ42" s="134">
        <f>S$3*S42+T$3*T42+U$3*U42+V$3*V42+W$3*W42+X$3*X42+Y$3*Y42+Z$3*Z42+AA$3*AA42+AB$3*AB42+AC$3*AC42</f>
        <v>7.6388888888888895E-2</v>
      </c>
      <c r="AK42" s="338">
        <v>0</v>
      </c>
      <c r="AL42" s="136" t="s">
        <v>1453</v>
      </c>
      <c r="AM42" s="136" t="s">
        <v>1453</v>
      </c>
      <c r="AN42" s="136" t="s">
        <v>1453</v>
      </c>
      <c r="AO42" s="134" t="s">
        <v>1453</v>
      </c>
      <c r="AP42" s="255">
        <v>0.01</v>
      </c>
      <c r="AQ42" s="136" t="s">
        <v>1453</v>
      </c>
      <c r="AR42" s="136" t="s">
        <v>1453</v>
      </c>
      <c r="AS42" s="136" t="s">
        <v>1453</v>
      </c>
      <c r="AT42" s="134" t="s">
        <v>1453</v>
      </c>
      <c r="AU42" s="107">
        <v>41880</v>
      </c>
      <c r="AV42" s="107">
        <v>45500</v>
      </c>
      <c r="AW42" s="107">
        <v>37770</v>
      </c>
      <c r="AX42" s="109">
        <v>49990</v>
      </c>
      <c r="AY42" s="108">
        <v>27110</v>
      </c>
      <c r="AZ42" s="107">
        <v>0</v>
      </c>
      <c r="BA42" s="107">
        <v>40</v>
      </c>
      <c r="BB42" s="107">
        <v>0</v>
      </c>
      <c r="BC42" s="107">
        <v>54</v>
      </c>
      <c r="BD42" s="108">
        <v>0</v>
      </c>
      <c r="BE42" s="108">
        <v>-20</v>
      </c>
      <c r="BF42" s="107">
        <v>15000</v>
      </c>
      <c r="BG42" s="107">
        <v>17000</v>
      </c>
      <c r="BH42" s="107">
        <v>15000</v>
      </c>
      <c r="BI42" s="107">
        <v>17500</v>
      </c>
      <c r="BJ42" s="108">
        <v>15000</v>
      </c>
      <c r="BK42" s="107">
        <v>3</v>
      </c>
      <c r="BL42" s="108">
        <v>2</v>
      </c>
      <c r="BM42" s="108">
        <v>2</v>
      </c>
      <c r="BN42" s="107">
        <v>1</v>
      </c>
      <c r="BO42" s="108">
        <v>1</v>
      </c>
      <c r="BP42" s="107">
        <v>1</v>
      </c>
      <c r="BQ42" s="108">
        <v>1</v>
      </c>
      <c r="BR42" s="107">
        <v>0</v>
      </c>
      <c r="BS42" s="108">
        <v>0</v>
      </c>
      <c r="BT42" s="107">
        <v>0</v>
      </c>
      <c r="BU42" s="108">
        <v>0</v>
      </c>
      <c r="BV42" s="107">
        <v>0</v>
      </c>
      <c r="BW42" s="108">
        <v>0</v>
      </c>
      <c r="BX42" s="107">
        <v>1</v>
      </c>
      <c r="BY42" s="108">
        <v>1</v>
      </c>
      <c r="BZ42" s="107">
        <v>1</v>
      </c>
      <c r="CA42" s="108">
        <v>1</v>
      </c>
      <c r="CB42" s="108">
        <v>1</v>
      </c>
      <c r="CC42" s="108">
        <v>1</v>
      </c>
      <c r="CD42" s="108">
        <v>0</v>
      </c>
      <c r="CE42" s="107"/>
      <c r="CF42" s="107"/>
      <c r="CG42" s="108"/>
      <c r="CH42" s="107"/>
      <c r="CI42" s="107"/>
      <c r="CJ42" s="108"/>
      <c r="CK42" s="108"/>
      <c r="CL42" s="107">
        <v>1000</v>
      </c>
      <c r="CM42" s="108"/>
      <c r="CN42" s="108" t="s">
        <v>1208</v>
      </c>
    </row>
    <row r="43" spans="2:108" ht="15" customHeight="1">
      <c r="B43" s="93" t="s">
        <v>1456</v>
      </c>
      <c r="C43" s="127" t="s">
        <v>1481</v>
      </c>
      <c r="D43" s="144" t="s">
        <v>1494</v>
      </c>
      <c r="E43" s="506">
        <v>5</v>
      </c>
      <c r="F43" s="12">
        <v>0</v>
      </c>
      <c r="G43" s="94">
        <f>VLOOKUP($D43,Construction!$B:$E,(COLUMN(Construction_BuildingReward_HeroXP)-COLUMN(Construction_Name_and_Level)+1),FALSE)</f>
        <v>50</v>
      </c>
      <c r="H43" s="94">
        <f t="shared" si="1"/>
        <v>50</v>
      </c>
      <c r="J43" s="95">
        <f>VLOOKUP($D43,Construction!$B:$F,(COLUMN(Construction_BuildingReward_Power)-COLUMN(Construction_Name_and_Level)+1),FALSE)</f>
        <v>30</v>
      </c>
      <c r="Q43" s="139">
        <v>3.472222222222222E-3</v>
      </c>
      <c r="R43" s="139">
        <v>4.8611111111111112E-3</v>
      </c>
      <c r="AF43" s="141"/>
      <c r="AG43" s="141"/>
      <c r="AH43" s="137"/>
      <c r="AI43" s="484"/>
      <c r="AJ43" s="137">
        <f t="shared" ref="AJ43:AJ49" si="4">AJ42+(S$3*S43+T$3*T43+U$3*U43+V$3*V43+W$3*W43+X$3*X43+Y$3*Y43+Z$3*Z43+AA$3*AA43+AB$3*AB43+AC$3*AC43)</f>
        <v>7.6388888888888895E-2</v>
      </c>
      <c r="AK43" s="339">
        <v>0</v>
      </c>
      <c r="AL43" s="138">
        <f>VLOOKUP($D43,Construction!$B:$C,(COLUMN(Construction_Time)-COLUMN(Construction_Name_and_Level)+1),FALSE)</f>
        <v>2.7777777777777779E-3</v>
      </c>
      <c r="AM43" s="138">
        <f>AL43/(1+AK43)</f>
        <v>2.7777777777777779E-3</v>
      </c>
      <c r="AN43" s="138">
        <f>(S$3*S43+T$3*T43+V$3*V43+W$3*W43+X$3*X43+Y$3*Y43+Z$3*Z43+AA$3*AA43+AB$3*AB43+AC$3*AC43)*(-1)</f>
        <v>0</v>
      </c>
      <c r="AO43" s="139">
        <f>IF((AM43-Q43-R43-AN43)&gt;=0,AM43-Q43-R43-AN43,0)</f>
        <v>0</v>
      </c>
      <c r="AU43" s="94">
        <f>VLOOKUP($D43,Construction!$B:$J,(COLUMN(Construction_BuildingCost_Stone)-COLUMN(Construction_Name_and_Level)+1),FALSE)*(-1)</f>
        <v>-1156</v>
      </c>
      <c r="AV43" s="94">
        <f>VLOOKUP($D43,Construction!$B:$J,(COLUMN(Construction_BuildingCost_Wood)-COLUMN(Construction_Name_and_Level)+1),FALSE)*(-1)</f>
        <v>-1156</v>
      </c>
      <c r="AW43" s="94">
        <f>VLOOKUP($D43,Construction!$B:$J,(COLUMN(Construction_BuildingCost_Ore)-COLUMN(Construction_Name_and_Level)+1),FALSE)*(-1)</f>
        <v>-867</v>
      </c>
      <c r="AX43" s="94">
        <f>VLOOKUP($D43,Construction!$B:$J,(COLUMN(Construction_BuildingCost_Food)-COLUMN(Construction_Name_and_Level)+1),FALSE)*(-1)</f>
        <v>-578</v>
      </c>
    </row>
    <row r="44" spans="2:108" ht="15" customHeight="1">
      <c r="B44" s="93" t="s">
        <v>1456</v>
      </c>
      <c r="C44" s="127" t="s">
        <v>1481</v>
      </c>
      <c r="D44" s="144" t="s">
        <v>1495</v>
      </c>
      <c r="E44" s="506">
        <v>5</v>
      </c>
      <c r="F44" s="12">
        <v>0</v>
      </c>
      <c r="G44" s="94">
        <f>VLOOKUP($D44,Construction!$B:$E,(COLUMN(Construction_BuildingReward_HeroXP)-COLUMN(Construction_Name_and_Level)+1),FALSE)</f>
        <v>10000</v>
      </c>
      <c r="H44" s="94">
        <f t="shared" si="1"/>
        <v>10000</v>
      </c>
      <c r="J44" s="95">
        <f>VLOOKUP($D44,Construction!$B:$F,(COLUMN(Construction_BuildingReward_Power)-COLUMN(Construction_Name_and_Level)+1),FALSE)</f>
        <v>250</v>
      </c>
      <c r="Q44" s="139">
        <v>3.472222222222222E-3</v>
      </c>
      <c r="R44" s="159">
        <v>5.5555555555555558E-3</v>
      </c>
      <c r="V44" s="2">
        <v>-2</v>
      </c>
      <c r="W44" s="11">
        <v>-1</v>
      </c>
      <c r="AF44" s="141"/>
      <c r="AG44" s="141"/>
      <c r="AH44" s="137"/>
      <c r="AI44" s="484">
        <f>(-1)*($S$3*$S44+$T$3*$T44+$U$3*$U44+$V$3*$V44+$W$3*$W44+$X$3*$X44+$Y$3*$Y44+$Z$3*$Z44+$AA$3*$AA44+$AB$3*$AB44+$AC$3*$AC44)</f>
        <v>2.4305555555555552E-2</v>
      </c>
      <c r="AJ44" s="137">
        <f t="shared" si="4"/>
        <v>5.2083333333333343E-2</v>
      </c>
      <c r="AK44" s="339">
        <v>0</v>
      </c>
      <c r="AL44" s="138">
        <f>VLOOKUP($D44,Construction!$B:$C,(COLUMN(Construction_Time)-COLUMN(Construction_Name_and_Level)+1),FALSE)</f>
        <v>2.7777777777777776E-2</v>
      </c>
      <c r="AM44" s="138">
        <f>AL44/(1+AK44)</f>
        <v>2.7777777777777776E-2</v>
      </c>
      <c r="AN44" s="138">
        <f>(S$3*S44+T$3*T44+V$3*V44+W$3*W44+X$3*X44+Y$3*Y44+Z$3*Z44+AA$3*AA44+AB$3*AB44+AC$3*AC44)*(-1)</f>
        <v>2.4305555555555552E-2</v>
      </c>
      <c r="AO44" s="139">
        <f>IF((AM44-Q44-R44-AN44)&gt;=0,AM44-Q44-R44-AN44,0)</f>
        <v>0</v>
      </c>
      <c r="AU44" s="94">
        <f>VLOOKUP($D44,Construction!$B:$J,(COLUMN(Construction_BuildingCost_Stone)-COLUMN(Construction_Name_and_Level)+1),FALSE)*(-1)</f>
        <v>-5832</v>
      </c>
      <c r="AV44" s="94">
        <f>VLOOKUP($D44,Construction!$B:$J,(COLUMN(Construction_BuildingCost_Wood)-COLUMN(Construction_Name_and_Level)+1),FALSE)*(-1)</f>
        <v>-5832</v>
      </c>
      <c r="AW44" s="94">
        <f>VLOOKUP($D44,Construction!$B:$J,(COLUMN(Construction_BuildingCost_Ore)-COLUMN(Construction_Name_and_Level)+1),FALSE)*(-1)</f>
        <v>-2333</v>
      </c>
      <c r="AX44" s="94">
        <f>VLOOKUP($D44,Construction!$B:$J,(COLUMN(Construction_BuildingCost_Food)-COLUMN(Construction_Name_and_Level)+1),FALSE)*(-1)</f>
        <v>-2916</v>
      </c>
    </row>
    <row r="45" spans="2:108" ht="15" customHeight="1">
      <c r="B45" s="506" t="s">
        <v>1457</v>
      </c>
      <c r="C45" s="127" t="s">
        <v>1490</v>
      </c>
      <c r="D45" s="145" t="s">
        <v>1496</v>
      </c>
      <c r="E45" s="506">
        <v>5</v>
      </c>
      <c r="W45" s="11">
        <v>3</v>
      </c>
      <c r="AF45" s="141">
        <f>$S$3*$S45+$T$3*$T45+$U$3*$U45+$V$3*$V45+$W$3*$W45+$X$3*$X45+$Y$3*$Y45+$Z$3*$Z45+$AA$3*$AA45+$AB$3*$AB45+$AC$3*$AC45</f>
        <v>3.125E-2</v>
      </c>
      <c r="AG45" s="141"/>
      <c r="AH45" s="137"/>
      <c r="AI45" s="484"/>
      <c r="AJ45" s="137">
        <f t="shared" si="4"/>
        <v>8.3333333333333343E-2</v>
      </c>
      <c r="AU45" s="2">
        <v>5200</v>
      </c>
      <c r="AV45" s="2">
        <v>5200</v>
      </c>
      <c r="AW45" s="2">
        <v>5200</v>
      </c>
      <c r="AX45" s="11">
        <v>6000</v>
      </c>
      <c r="AY45" s="5">
        <v>4000</v>
      </c>
    </row>
    <row r="46" spans="2:108" ht="15" customHeight="1">
      <c r="B46" s="93" t="s">
        <v>1456</v>
      </c>
      <c r="C46" s="127" t="s">
        <v>1481</v>
      </c>
      <c r="D46" s="144" t="s">
        <v>1497</v>
      </c>
      <c r="E46" s="506">
        <v>5</v>
      </c>
      <c r="F46" s="12">
        <v>0</v>
      </c>
      <c r="G46" s="94">
        <f>VLOOKUP($D46,Construction!$B:$E,(COLUMN(Construction_BuildingReward_HeroXP)-COLUMN(Construction_Name_and_Level)+1),FALSE)</f>
        <v>200</v>
      </c>
      <c r="H46" s="94">
        <f t="shared" si="1"/>
        <v>200</v>
      </c>
      <c r="J46" s="95">
        <f>VLOOKUP($D46,Construction!$B:$F,(COLUMN(Construction_BuildingReward_Power)-COLUMN(Construction_Name_and_Level)+1),FALSE)</f>
        <v>50</v>
      </c>
      <c r="Q46" s="139">
        <v>3.472222222222222E-3</v>
      </c>
      <c r="R46" s="139">
        <v>5.5555555555555558E-3</v>
      </c>
      <c r="AF46" s="141"/>
      <c r="AG46" s="141"/>
      <c r="AH46" s="137"/>
      <c r="AI46" s="484"/>
      <c r="AJ46" s="137">
        <f t="shared" si="4"/>
        <v>8.3333333333333343E-2</v>
      </c>
      <c r="AK46" s="339">
        <v>0</v>
      </c>
      <c r="AL46" s="138">
        <f>VLOOKUP($D46,Construction!$B:$C,(COLUMN(Construction_Time)-COLUMN(Construction_Name_and_Level)+1),FALSE)</f>
        <v>5.5555555555555558E-3</v>
      </c>
      <c r="AM46" s="138">
        <f>AL46/(1+AK46)</f>
        <v>5.5555555555555558E-3</v>
      </c>
      <c r="AN46" s="138">
        <f>(S$3*S46+T$3*T46+V$3*V46+W$3*W46+X$3*X46+Y$3*Y46+Z$3*Z46+AA$3*AA46+AB$3*AB46+AC$3*AC46)*(-1)</f>
        <v>0</v>
      </c>
      <c r="AO46" s="139">
        <f>IF((AM46-Q46-R46-AN46)&gt;=0,AM46-Q46-R46-AN46,0)</f>
        <v>0</v>
      </c>
      <c r="AU46" s="94">
        <f>VLOOKUP($D46,Construction!$B:$J,(COLUMN(Construction_BuildingCost_Stone)-COLUMN(Construction_Name_and_Level)+1),FALSE)*(-1)</f>
        <v>-1966</v>
      </c>
      <c r="AV46" s="94">
        <f>VLOOKUP($D46,Construction!$B:$J,(COLUMN(Construction_BuildingCost_Wood)-COLUMN(Construction_Name_and_Level)+1),FALSE)*(-1)</f>
        <v>-1966</v>
      </c>
      <c r="AW46" s="94">
        <f>VLOOKUP($D46,Construction!$B:$J,(COLUMN(Construction_BuildingCost_Ore)-COLUMN(Construction_Name_and_Level)+1),FALSE)*(-1)</f>
        <v>-1474</v>
      </c>
      <c r="AX46" s="94">
        <f>VLOOKUP($D46,Construction!$B:$J,(COLUMN(Construction_BuildingCost_Food)-COLUMN(Construction_Name_and_Level)+1),FALSE)*(-1)</f>
        <v>-983</v>
      </c>
    </row>
    <row r="47" spans="2:108" ht="15" customHeight="1">
      <c r="B47" s="93" t="s">
        <v>1456</v>
      </c>
      <c r="C47" s="127" t="s">
        <v>138</v>
      </c>
      <c r="D47" s="144" t="s">
        <v>562</v>
      </c>
      <c r="E47" s="506">
        <v>5</v>
      </c>
      <c r="F47" s="12">
        <v>0</v>
      </c>
      <c r="G47" s="94">
        <f>VLOOKUP($D47,Construction!$B:$E,(COLUMN(Construction_BuildingReward_HeroXP)-COLUMN(Construction_Name_and_Level)+1),FALSE)</f>
        <v>5000</v>
      </c>
      <c r="H47" s="94">
        <f t="shared" si="1"/>
        <v>5000</v>
      </c>
      <c r="J47" s="95">
        <f>VLOOKUP($D47,Construction!$B:$F,(COLUMN(Construction_BuildingReward_Power)-COLUMN(Construction_Name_and_Level)+1),FALSE)</f>
        <v>100</v>
      </c>
      <c r="Q47" s="139">
        <v>3.472222222222222E-3</v>
      </c>
      <c r="R47" s="139">
        <v>5.5555555555555558E-3</v>
      </c>
      <c r="AF47" s="141"/>
      <c r="AG47" s="141"/>
      <c r="AH47" s="137"/>
      <c r="AI47" s="484"/>
      <c r="AJ47" s="137">
        <f t="shared" si="4"/>
        <v>8.3333333333333343E-2</v>
      </c>
      <c r="AK47" s="339">
        <v>0</v>
      </c>
      <c r="AL47" s="138">
        <f>VLOOKUP($D47,Construction!$B:$C,(COLUMN(Construction_Time)-COLUMN(Construction_Name_and_Level)+1),FALSE)</f>
        <v>4.8611111111111112E-3</v>
      </c>
      <c r="AM47" s="138">
        <f>AL47/(1+AK47)</f>
        <v>4.8611111111111112E-3</v>
      </c>
      <c r="AN47" s="138">
        <f>(S$3*S47+T$3*T47+V$3*V47+W$3*W47+X$3*X47+Y$3*Y47+Z$3*Z47+AA$3*AA47+AB$3*AB47+AC$3*AC47)*(-1)</f>
        <v>0</v>
      </c>
      <c r="AO47" s="139">
        <f>IF((AM47-Q47-R47-AN47)&gt;=0,AM47-Q47-R47-AN47,0)</f>
        <v>0</v>
      </c>
      <c r="AU47" s="94">
        <f>VLOOKUP($D47,Construction!$B:$J,(COLUMN(Construction_BuildingCost_Stone)-COLUMN(Construction_Name_and_Level)+1),FALSE)*(-1)</f>
        <v>-3240</v>
      </c>
      <c r="AV47" s="94">
        <f>VLOOKUP($D47,Construction!$B:$J,(COLUMN(Construction_BuildingCost_Wood)-COLUMN(Construction_Name_and_Level)+1),FALSE)*(-1)</f>
        <v>-2592</v>
      </c>
      <c r="AW47" s="94">
        <f>VLOOKUP($D47,Construction!$B:$J,(COLUMN(Construction_BuildingCost_Ore)-COLUMN(Construction_Name_and_Level)+1),FALSE)*(-1)</f>
        <v>-972</v>
      </c>
      <c r="AX47" s="94">
        <f>VLOOKUP($D47,Construction!$B:$J,(COLUMN(Construction_BuildingCost_Food)-COLUMN(Construction_Name_and_Level)+1),FALSE)*(-1)</f>
        <v>-1620</v>
      </c>
    </row>
    <row r="48" spans="2:108" ht="15" customHeight="1">
      <c r="B48" s="110" t="s">
        <v>1475</v>
      </c>
      <c r="C48" s="127" t="s">
        <v>1481</v>
      </c>
      <c r="D48" s="144" t="s">
        <v>1498</v>
      </c>
      <c r="E48" s="506">
        <v>5</v>
      </c>
      <c r="F48" s="12">
        <v>0</v>
      </c>
      <c r="G48" s="111">
        <f>VLOOKUP($D48,Research!$C:$F,(COLUMN(Research_ResearchReward_HeroXP)-COLUMN(Research_Name_and_Level)+1),FALSE)</f>
        <v>50000</v>
      </c>
      <c r="H48" s="111">
        <f t="shared" si="1"/>
        <v>50000</v>
      </c>
      <c r="J48" s="115">
        <f>VLOOKUP($D48,Research!$C:$G,(COLUMN(Research_ResearchReward_Power)-COLUMN(Research_Name_and_Level)+1),FALSE)</f>
        <v>1000</v>
      </c>
      <c r="R48" s="148">
        <v>5.5555555555555558E-3</v>
      </c>
      <c r="AF48" s="141"/>
      <c r="AG48" s="141"/>
      <c r="AH48" s="137"/>
      <c r="AI48" s="484"/>
      <c r="AJ48" s="137">
        <f t="shared" si="4"/>
        <v>8.3333333333333343E-2</v>
      </c>
      <c r="AK48" s="342">
        <v>0.01</v>
      </c>
      <c r="AP48" s="260">
        <v>0.01</v>
      </c>
      <c r="AQ48" s="147">
        <f>VLOOKUP($D48,Research!$C:$D,(COLUMN(Research_Time)-COLUMN(Research_Name_and_Level)+1),FALSE)</f>
        <v>0.125</v>
      </c>
      <c r="AR48" s="147">
        <f>AQ48/(1+AP48)</f>
        <v>0.12376237623762376</v>
      </c>
      <c r="AS48" s="147">
        <f>(S$3*S48+T$3*T48+V$3*V48+W$3*W48+X$3*X48+Y$3*Y48+Z$3*Z48+AA$3*AA48+AB$3*AB48+AC$3*AC48)*(-1)</f>
        <v>0</v>
      </c>
      <c r="AT48" s="148">
        <f>IF(AR48-R48-AS48&gt;=0,AR48-R48-AS48,0)</f>
        <v>0.11820682068206821</v>
      </c>
      <c r="AU48" s="111">
        <f>VLOOKUP($D48,Research!$C:$L,(COLUMN(Research_ResearchCost_Stone)-COLUMN(Research_Name_and_Level)+1),FALSE)*(-1)</f>
        <v>-20000</v>
      </c>
      <c r="AV48" s="111">
        <f>VLOOKUP($D48,Research!$C:$L,(COLUMN(Research_ResearchCost_Wood)-COLUMN(Research_Name_and_Level)+1),FALSE)*(-1)</f>
        <v>-20000</v>
      </c>
      <c r="AW48" s="111">
        <f>VLOOKUP($D48,Research!$C:$L,(COLUMN(Research_ResearchCost_Ore)-COLUMN(Research_Name_and_Level)+1),FALSE)*(-1)</f>
        <v>-20000</v>
      </c>
      <c r="AX48" s="111">
        <f>VLOOKUP($D48,Research!$C:$L,(COLUMN(Research_ResearchCost_Food)-COLUMN(Research_Name_and_Level)+1),FALSE)*(-1)</f>
        <v>-20000</v>
      </c>
      <c r="AY48" s="112">
        <f>VLOOKUP($D48,Research!$C:$L,(COLUMN(Research_ResearchCost_Silver)-COLUMN(Research_Name_and_Level)+1),FALSE)*(-1)</f>
        <v>-20000</v>
      </c>
    </row>
    <row r="49" spans="2:92" ht="15" customHeight="1">
      <c r="B49" s="126" t="s">
        <v>1457</v>
      </c>
      <c r="C49" s="127" t="s">
        <v>147</v>
      </c>
      <c r="D49" s="144" t="s">
        <v>1499</v>
      </c>
      <c r="E49" s="506">
        <v>6</v>
      </c>
      <c r="I49" s="5">
        <v>2</v>
      </c>
      <c r="J49" s="5">
        <v>29</v>
      </c>
      <c r="Q49" s="149"/>
      <c r="AF49" s="141"/>
      <c r="AG49" s="141"/>
      <c r="AH49" s="137"/>
      <c r="AI49" s="484"/>
      <c r="AJ49" s="137">
        <f t="shared" si="4"/>
        <v>8.3333333333333343E-2</v>
      </c>
      <c r="AX49" s="11"/>
    </row>
    <row r="50" spans="2:92" ht="15" customHeight="1">
      <c r="B50" s="106" t="s">
        <v>171</v>
      </c>
      <c r="C50" s="130"/>
      <c r="D50" s="130" t="s">
        <v>1500</v>
      </c>
      <c r="E50" s="106">
        <v>6</v>
      </c>
      <c r="F50" s="219">
        <v>0</v>
      </c>
      <c r="G50" s="107" t="s">
        <v>1453</v>
      </c>
      <c r="H50" s="107">
        <v>167065</v>
      </c>
      <c r="I50" s="108">
        <v>8</v>
      </c>
      <c r="J50" s="108">
        <v>2331</v>
      </c>
      <c r="K50" s="107">
        <v>3</v>
      </c>
      <c r="L50" s="107"/>
      <c r="M50" s="134">
        <v>6.25E-2</v>
      </c>
      <c r="N50" s="109">
        <v>200</v>
      </c>
      <c r="O50" s="109">
        <f>SUMIF($B$4:$B49,"&lt;&gt;"&amp;$CS$13,O$4:O49)</f>
        <v>0</v>
      </c>
      <c r="P50" s="108">
        <f>SUMIF($B$4:$B49,"&lt;&gt;"&amp;$CS$13,N$4:N49)</f>
        <v>200</v>
      </c>
      <c r="Q50" s="134">
        <v>3.472222222222222E-3</v>
      </c>
      <c r="R50" s="134">
        <v>5.5555555555555558E-3</v>
      </c>
      <c r="S50" s="107">
        <v>0</v>
      </c>
      <c r="T50" s="107">
        <v>0</v>
      </c>
      <c r="U50" s="107">
        <v>0</v>
      </c>
      <c r="V50" s="107">
        <v>0</v>
      </c>
      <c r="W50" s="109">
        <v>8</v>
      </c>
      <c r="X50" s="109">
        <v>0</v>
      </c>
      <c r="Y50" s="109">
        <v>0</v>
      </c>
      <c r="Z50" s="109">
        <v>0</v>
      </c>
      <c r="AA50" s="109">
        <v>0</v>
      </c>
      <c r="AB50" s="109">
        <v>0</v>
      </c>
      <c r="AC50" s="109">
        <v>0</v>
      </c>
      <c r="AD50" s="109">
        <v>0</v>
      </c>
      <c r="AE50" s="108">
        <v>0</v>
      </c>
      <c r="AF50" s="136">
        <f>SUMIF($B$4:$B49,"&lt;&gt;"&amp;$CS$13,AF$4:AF49)</f>
        <v>0.10972222222222222</v>
      </c>
      <c r="AG50" s="136">
        <f>SUMIF($B$4:$B49,"&lt;&gt;"&amp;$CS$13,AG$4:AG49)</f>
        <v>0</v>
      </c>
      <c r="AH50" s="134">
        <f>AF50+AG50</f>
        <v>0.10972222222222222</v>
      </c>
      <c r="AI50" s="483">
        <f>SUMIF($B$4:$B49,"&lt;&gt;"&amp;$CS$13,AI$4:AI49)</f>
        <v>2.6388888888888885E-2</v>
      </c>
      <c r="AJ50" s="134">
        <f>S$3*S50+T$3*T50+U$3*U50+V$3*V50+W$3*W50+X$3*X50+Y$3*Y50+Z$3*Z50+AA$3*AA50+AB$3*AB50+AC$3*AC50</f>
        <v>8.3333333333333329E-2</v>
      </c>
      <c r="AK50" s="338">
        <v>0.01</v>
      </c>
      <c r="AL50" s="136" t="s">
        <v>1453</v>
      </c>
      <c r="AM50" s="136" t="s">
        <v>1453</v>
      </c>
      <c r="AN50" s="136" t="s">
        <v>1453</v>
      </c>
      <c r="AO50" s="134" t="s">
        <v>1453</v>
      </c>
      <c r="AP50" s="255">
        <v>0.01</v>
      </c>
      <c r="AQ50" s="136" t="s">
        <v>1453</v>
      </c>
      <c r="AR50" s="136" t="s">
        <v>1453</v>
      </c>
      <c r="AS50" s="136" t="s">
        <v>1453</v>
      </c>
      <c r="AT50" s="134" t="s">
        <v>1453</v>
      </c>
      <c r="AU50" s="107">
        <v>14880</v>
      </c>
      <c r="AV50" s="107">
        <v>19190</v>
      </c>
      <c r="AW50" s="107">
        <v>17320</v>
      </c>
      <c r="AX50" s="109">
        <v>29890</v>
      </c>
      <c r="AY50" s="108">
        <v>11110</v>
      </c>
      <c r="AZ50" s="107">
        <v>0</v>
      </c>
      <c r="BA50" s="107">
        <v>42</v>
      </c>
      <c r="BB50" s="107">
        <v>0</v>
      </c>
      <c r="BC50" s="107">
        <v>57</v>
      </c>
      <c r="BD50" s="108">
        <v>0</v>
      </c>
      <c r="BE50" s="108">
        <v>-20</v>
      </c>
      <c r="BF50" s="107">
        <v>15000</v>
      </c>
      <c r="BG50" s="107">
        <v>17000</v>
      </c>
      <c r="BH50" s="107">
        <v>15000</v>
      </c>
      <c r="BI50" s="107">
        <v>17500</v>
      </c>
      <c r="BJ50" s="108">
        <v>15000</v>
      </c>
      <c r="BK50" s="107">
        <v>4</v>
      </c>
      <c r="BL50" s="108">
        <v>3</v>
      </c>
      <c r="BM50" s="108">
        <v>4</v>
      </c>
      <c r="BN50" s="107">
        <v>1</v>
      </c>
      <c r="BO50" s="108">
        <v>1</v>
      </c>
      <c r="BP50" s="107">
        <v>1</v>
      </c>
      <c r="BQ50" s="108">
        <v>1</v>
      </c>
      <c r="BR50" s="107">
        <v>0</v>
      </c>
      <c r="BS50" s="108">
        <v>0</v>
      </c>
      <c r="BT50" s="107">
        <v>0</v>
      </c>
      <c r="BU50" s="108">
        <v>0</v>
      </c>
      <c r="BV50" s="107">
        <v>0</v>
      </c>
      <c r="BW50" s="108">
        <v>0</v>
      </c>
      <c r="BX50" s="107">
        <v>1</v>
      </c>
      <c r="BY50" s="108">
        <v>1</v>
      </c>
      <c r="BZ50" s="107">
        <v>1</v>
      </c>
      <c r="CA50" s="108">
        <v>1</v>
      </c>
      <c r="CB50" s="108">
        <v>1</v>
      </c>
      <c r="CC50" s="108">
        <v>1</v>
      </c>
      <c r="CD50" s="108">
        <v>0</v>
      </c>
      <c r="CE50" s="107"/>
      <c r="CF50" s="107"/>
      <c r="CG50" s="108"/>
      <c r="CH50" s="107"/>
      <c r="CI50" s="107"/>
      <c r="CJ50" s="108"/>
      <c r="CK50" s="108"/>
      <c r="CL50" s="107">
        <v>3000</v>
      </c>
      <c r="CM50" s="108"/>
      <c r="CN50" s="108" t="s">
        <v>1208</v>
      </c>
    </row>
    <row r="51" spans="2:92" ht="15" customHeight="1">
      <c r="B51" s="102" t="s">
        <v>143</v>
      </c>
      <c r="C51" s="127" t="s">
        <v>142</v>
      </c>
      <c r="D51" s="144" t="s">
        <v>1489</v>
      </c>
      <c r="E51" s="506">
        <v>6</v>
      </c>
      <c r="F51" s="12">
        <v>0</v>
      </c>
      <c r="G51" s="101">
        <f>VLOOKUP($D51,Construction!$B:$L,(COLUMN(Construction_QuestReward_HeroXP)-COLUMN(Construction_Name_and_Level)+1),FALSE)</f>
        <v>2600</v>
      </c>
      <c r="H51" s="101">
        <f t="shared" si="1"/>
        <v>2600</v>
      </c>
      <c r="J51" s="100">
        <f>VLOOKUP($D51,Construction!$B:$L,(COLUMN(Construction_QuestReward_Power)-COLUMN(Construction_Name_and_Level)+1),FALSE)</f>
        <v>60</v>
      </c>
      <c r="M51" s="135">
        <v>2.0833333333333332E-2</v>
      </c>
      <c r="AF51" s="141"/>
      <c r="AG51" s="141"/>
      <c r="AH51" s="137"/>
      <c r="AI51" s="484"/>
      <c r="AJ51" s="137">
        <f t="shared" ref="AJ51:AJ60" si="5">AJ50+(S$3*S51+T$3*T51+U$3*U51+V$3*V51+W$3*W51+X$3*X51+Y$3*Y51+Z$3*Z51+AA$3*AA51+AB$3*AB51+AC$3*AC51)</f>
        <v>8.3333333333333329E-2</v>
      </c>
      <c r="AU51" s="101">
        <f>VLOOKUP($D51,Construction!$B:$Q,(COLUMN(Construction_QuestReward_Stone)-COLUMN(Construction_Name_and_Level)+1),FALSE)</f>
        <v>5400</v>
      </c>
      <c r="AV51" s="101">
        <f>VLOOKUP($D51,Construction!$B:$Q,(COLUMN(Construction_QuestReward_Wood)-COLUMN(Construction_Name_and_Level)+1),FALSE)</f>
        <v>5400</v>
      </c>
      <c r="AW51" s="101">
        <f>VLOOKUP($D51,Construction!$B:$Q,(COLUMN(Construction_QuestReward_Ore)-COLUMN(Construction_Name_and_Level)+1),FALSE)</f>
        <v>2200</v>
      </c>
      <c r="AX51" s="101">
        <f>VLOOKUP($D51,Construction!$B:$Q,(COLUMN(Construction_QuestReward_Food)-COLUMN(Construction_Name_and_Level)+1),FALSE)</f>
        <v>2800</v>
      </c>
      <c r="AY51" s="100">
        <f>VLOOKUP($D51,Construction!$B:$Q,(COLUMN(Construction_QuestReward_Silver)-COLUMN(Construction_Name_and_Level)+1),FALSE)</f>
        <v>550</v>
      </c>
    </row>
    <row r="52" spans="2:92" ht="15" customHeight="1">
      <c r="B52" s="102" t="s">
        <v>143</v>
      </c>
      <c r="C52" s="127" t="s">
        <v>142</v>
      </c>
      <c r="D52" s="144" t="s">
        <v>1495</v>
      </c>
      <c r="E52" s="506">
        <v>6</v>
      </c>
      <c r="F52" s="12">
        <v>0</v>
      </c>
      <c r="G52" s="101">
        <f>VLOOKUP($D52,Construction!$B:$L,(COLUMN(Construction_QuestReward_HeroXP)-COLUMN(Construction_Name_and_Level)+1),FALSE)</f>
        <v>2650</v>
      </c>
      <c r="H52" s="101">
        <f t="shared" si="1"/>
        <v>2650</v>
      </c>
      <c r="J52" s="100">
        <f>VLOOKUP($D52,Construction!$B:$L,(COLUMN(Construction_QuestReward_Power)-COLUMN(Construction_Name_and_Level)+1),FALSE)</f>
        <v>110</v>
      </c>
      <c r="AF52" s="141"/>
      <c r="AG52" s="141"/>
      <c r="AH52" s="137"/>
      <c r="AI52" s="484"/>
      <c r="AJ52" s="137">
        <f t="shared" si="5"/>
        <v>8.3333333333333329E-2</v>
      </c>
      <c r="AU52" s="101">
        <f>VLOOKUP($D52,Construction!$B:$Q,(COLUMN(Construction_QuestReward_Stone)-COLUMN(Construction_Name_and_Level)+1),FALSE)</f>
        <v>7400</v>
      </c>
      <c r="AV52" s="101">
        <f>VLOOKUP($D52,Construction!$B:$Q,(COLUMN(Construction_QuestReward_Wood)-COLUMN(Construction_Name_and_Level)+1),FALSE)</f>
        <v>7400</v>
      </c>
      <c r="AW52" s="101">
        <f>VLOOKUP($D52,Construction!$B:$Q,(COLUMN(Construction_QuestReward_Ore)-COLUMN(Construction_Name_and_Level)+1),FALSE)</f>
        <v>2900</v>
      </c>
      <c r="AX52" s="101">
        <f>VLOOKUP($D52,Construction!$B:$Q,(COLUMN(Construction_QuestReward_Food)-COLUMN(Construction_Name_and_Level)+1),FALSE)</f>
        <v>3700</v>
      </c>
      <c r="AY52" s="100">
        <f>VLOOKUP($D52,Construction!$B:$Q,(COLUMN(Construction_QuestReward_Silver)-COLUMN(Construction_Name_and_Level)+1),FALSE)</f>
        <v>700</v>
      </c>
    </row>
    <row r="53" spans="2:92" ht="15" customHeight="1">
      <c r="B53" s="506" t="s">
        <v>143</v>
      </c>
      <c r="C53" s="127" t="s">
        <v>142</v>
      </c>
      <c r="D53" s="144" t="s">
        <v>1488</v>
      </c>
      <c r="E53" s="506">
        <v>6</v>
      </c>
      <c r="F53" s="12">
        <v>0</v>
      </c>
      <c r="G53" s="101">
        <f>VLOOKUP($D53,Construction!$B:$L,(COLUMN(Construction_QuestReward_HeroXP)-COLUMN(Construction_Name_and_Level)+1),FALSE)</f>
        <v>2575</v>
      </c>
      <c r="H53" s="101">
        <f t="shared" si="1"/>
        <v>2575</v>
      </c>
      <c r="J53" s="100">
        <f>VLOOKUP($D53,Construction!$B:$L,(COLUMN(Construction_QuestReward_Power)-COLUMN(Construction_Name_and_Level)+1),FALSE)</f>
        <v>5</v>
      </c>
      <c r="AF53" s="141"/>
      <c r="AG53" s="141"/>
      <c r="AH53" s="137"/>
      <c r="AI53" s="484"/>
      <c r="AJ53" s="137">
        <f t="shared" si="5"/>
        <v>8.3333333333333329E-2</v>
      </c>
      <c r="AU53" s="101">
        <f>VLOOKUP($D53,Construction!$B:$Q,(COLUMN(Construction_QuestReward_Stone)-COLUMN(Construction_Name_and_Level)+1),FALSE)</f>
        <v>1800</v>
      </c>
      <c r="AV53" s="101">
        <f>VLOOKUP($D53,Construction!$B:$Q,(COLUMN(Construction_QuestReward_Wood)-COLUMN(Construction_Name_and_Level)+1),FALSE)</f>
        <v>1800</v>
      </c>
      <c r="AW53" s="101">
        <f>VLOOKUP($D53,Construction!$B:$Q,(COLUMN(Construction_QuestReward_Ore)-COLUMN(Construction_Name_and_Level)+1),FALSE)</f>
        <v>1400</v>
      </c>
      <c r="AX53" s="101">
        <f>VLOOKUP($D53,Construction!$B:$Q,(COLUMN(Construction_QuestReward_Food)-COLUMN(Construction_Name_and_Level)+1),FALSE)</f>
        <v>900</v>
      </c>
      <c r="AY53" s="100">
        <f>VLOOKUP($D53,Construction!$B:$Q,(COLUMN(Construction_QuestReward_Silver)-COLUMN(Construction_Name_and_Level)+1),FALSE)</f>
        <v>200</v>
      </c>
    </row>
    <row r="54" spans="2:92" ht="15" customHeight="1">
      <c r="B54" s="506" t="s">
        <v>143</v>
      </c>
      <c r="C54" s="127" t="s">
        <v>142</v>
      </c>
      <c r="D54" s="144" t="s">
        <v>1494</v>
      </c>
      <c r="E54" s="506">
        <v>6</v>
      </c>
      <c r="F54" s="12">
        <v>0</v>
      </c>
      <c r="G54" s="101">
        <f>VLOOKUP($D54,Construction!$B:$L,(COLUMN(Construction_QuestReward_HeroXP)-COLUMN(Construction_Name_and_Level)+1),FALSE)</f>
        <v>2600</v>
      </c>
      <c r="H54" s="101">
        <f t="shared" si="1"/>
        <v>2600</v>
      </c>
      <c r="J54" s="100">
        <f>VLOOKUP($D54,Construction!$B:$L,(COLUMN(Construction_QuestReward_Power)-COLUMN(Construction_Name_and_Level)+1),FALSE)</f>
        <v>10</v>
      </c>
      <c r="AF54" s="141"/>
      <c r="AG54" s="141"/>
      <c r="AH54" s="137"/>
      <c r="AI54" s="484"/>
      <c r="AJ54" s="137">
        <f t="shared" si="5"/>
        <v>8.3333333333333329E-2</v>
      </c>
      <c r="AU54" s="101">
        <f>VLOOKUP($D54,Construction!$B:$Q,(COLUMN(Construction_QuestReward_Stone)-COLUMN(Construction_Name_and_Level)+1),FALSE)</f>
        <v>1900</v>
      </c>
      <c r="AV54" s="101">
        <f>VLOOKUP($D54,Construction!$B:$Q,(COLUMN(Construction_QuestReward_Wood)-COLUMN(Construction_Name_and_Level)+1),FALSE)</f>
        <v>1900</v>
      </c>
      <c r="AW54" s="101">
        <f>VLOOKUP($D54,Construction!$B:$Q,(COLUMN(Construction_QuestReward_Ore)-COLUMN(Construction_Name_and_Level)+1),FALSE)</f>
        <v>1500</v>
      </c>
      <c r="AX54" s="101">
        <f>VLOOKUP($D54,Construction!$B:$Q,(COLUMN(Construction_QuestReward_Food)-COLUMN(Construction_Name_and_Level)+1),FALSE)</f>
        <v>900</v>
      </c>
      <c r="AY54" s="100">
        <f>VLOOKUP($D54,Construction!$B:$Q,(COLUMN(Construction_QuestReward_Silver)-COLUMN(Construction_Name_and_Level)+1),FALSE)</f>
        <v>200</v>
      </c>
    </row>
    <row r="55" spans="2:92" ht="15" customHeight="1">
      <c r="B55" s="506" t="s">
        <v>143</v>
      </c>
      <c r="C55" s="127" t="s">
        <v>142</v>
      </c>
      <c r="D55" s="144" t="s">
        <v>1497</v>
      </c>
      <c r="E55" s="506">
        <v>6</v>
      </c>
      <c r="F55" s="12">
        <v>0</v>
      </c>
      <c r="G55" s="101">
        <f>VLOOKUP($D55,Construction!$B:$L,(COLUMN(Construction_QuestReward_HeroXP)-COLUMN(Construction_Name_and_Level)+1),FALSE)</f>
        <v>2650</v>
      </c>
      <c r="H55" s="101">
        <f t="shared" si="1"/>
        <v>2650</v>
      </c>
      <c r="J55" s="100">
        <f>VLOOKUP($D55,Construction!$B:$L,(COLUMN(Construction_QuestReward_Power)-COLUMN(Construction_Name_and_Level)+1),FALSE)</f>
        <v>20</v>
      </c>
      <c r="AF55" s="141"/>
      <c r="AG55" s="141"/>
      <c r="AH55" s="137"/>
      <c r="AI55" s="484"/>
      <c r="AJ55" s="137">
        <f t="shared" si="5"/>
        <v>8.3333333333333329E-2</v>
      </c>
      <c r="AU55" s="101">
        <f>VLOOKUP($D55,Construction!$B:$Q,(COLUMN(Construction_QuestReward_Stone)-COLUMN(Construction_Name_and_Level)+1),FALSE)</f>
        <v>6900</v>
      </c>
      <c r="AV55" s="101">
        <f>VLOOKUP($D55,Construction!$B:$Q,(COLUMN(Construction_QuestReward_Wood)-COLUMN(Construction_Name_and_Level)+1),FALSE)</f>
        <v>2500</v>
      </c>
      <c r="AW55" s="101">
        <f>VLOOKUP($D55,Construction!$B:$Q,(COLUMN(Construction_QuestReward_Ore)-COLUMN(Construction_Name_and_Level)+1),FALSE)</f>
        <v>1900</v>
      </c>
      <c r="AX55" s="101">
        <f>VLOOKUP($D55,Construction!$B:$Q,(COLUMN(Construction_QuestReward_Food)-COLUMN(Construction_Name_and_Level)+1),FALSE)</f>
        <v>1200</v>
      </c>
      <c r="AY55" s="100">
        <f>VLOOKUP($D55,Construction!$B:$Q,(COLUMN(Construction_QuestReward_Silver)-COLUMN(Construction_Name_and_Level)+1),FALSE)</f>
        <v>1900</v>
      </c>
    </row>
    <row r="56" spans="2:92" ht="15" customHeight="1">
      <c r="B56" s="506" t="s">
        <v>143</v>
      </c>
      <c r="C56" s="127" t="s">
        <v>142</v>
      </c>
      <c r="D56" s="144" t="s">
        <v>561</v>
      </c>
      <c r="E56" s="506">
        <v>6</v>
      </c>
      <c r="F56" s="12">
        <v>0</v>
      </c>
      <c r="G56" s="101">
        <f>VLOOKUP($D56,Construction!$B:$L,(COLUMN(Construction_QuestReward_HeroXP)-COLUMN(Construction_Name_and_Level)+1),FALSE)</f>
        <v>2575</v>
      </c>
      <c r="H56" s="101">
        <f t="shared" si="1"/>
        <v>2575</v>
      </c>
      <c r="J56" s="100">
        <f>VLOOKUP($D56,Construction!$B:$L,(COLUMN(Construction_QuestReward_Power)-COLUMN(Construction_Name_and_Level)+1),FALSE)</f>
        <v>17</v>
      </c>
      <c r="AF56" s="141"/>
      <c r="AG56" s="141"/>
      <c r="AH56" s="137"/>
      <c r="AI56" s="484"/>
      <c r="AJ56" s="137">
        <f t="shared" si="5"/>
        <v>8.3333333333333329E-2</v>
      </c>
      <c r="AU56" s="101">
        <f>VLOOKUP($D56,Construction!$B:$Q,(COLUMN(Construction_QuestReward_Stone)-COLUMN(Construction_Name_and_Level)+1),FALSE)</f>
        <v>4600</v>
      </c>
      <c r="AV56" s="101">
        <f>VLOOKUP($D56,Construction!$B:$Q,(COLUMN(Construction_QuestReward_Wood)-COLUMN(Construction_Name_and_Level)+1),FALSE)</f>
        <v>3600</v>
      </c>
      <c r="AW56" s="101">
        <f>VLOOKUP($D56,Construction!$B:$Q,(COLUMN(Construction_QuestReward_Ore)-COLUMN(Construction_Name_and_Level)+1),FALSE)</f>
        <v>1400</v>
      </c>
      <c r="AX56" s="101">
        <f>VLOOKUP($D56,Construction!$B:$Q,(COLUMN(Construction_QuestReward_Food)-COLUMN(Construction_Name_and_Level)+1),FALSE)</f>
        <v>2300</v>
      </c>
      <c r="AY56" s="100">
        <f>VLOOKUP($D56,Construction!$B:$Q,(COLUMN(Construction_QuestReward_Silver)-COLUMN(Construction_Name_and_Level)+1),FALSE)</f>
        <v>350</v>
      </c>
    </row>
    <row r="57" spans="2:92" ht="15" customHeight="1">
      <c r="B57" s="506" t="s">
        <v>143</v>
      </c>
      <c r="C57" s="127" t="s">
        <v>142</v>
      </c>
      <c r="D57" s="144" t="s">
        <v>562</v>
      </c>
      <c r="E57" s="506">
        <v>6</v>
      </c>
      <c r="F57" s="12">
        <v>0</v>
      </c>
      <c r="G57" s="101">
        <f>VLOOKUP($D57,Construction!$B:$L,(COLUMN(Construction_QuestReward_HeroXP)-COLUMN(Construction_Name_and_Level)+1),FALSE)</f>
        <v>2600</v>
      </c>
      <c r="H57" s="101">
        <f t="shared" si="1"/>
        <v>2600</v>
      </c>
      <c r="J57" s="100">
        <f>VLOOKUP($D57,Construction!$B:$L,(COLUMN(Construction_QuestReward_Power)-COLUMN(Construction_Name_and_Level)+1),FALSE)</f>
        <v>35</v>
      </c>
      <c r="AF57" s="141"/>
      <c r="AG57" s="141"/>
      <c r="AH57" s="137"/>
      <c r="AI57" s="484"/>
      <c r="AJ57" s="137">
        <f t="shared" si="5"/>
        <v>8.3333333333333329E-2</v>
      </c>
      <c r="AU57" s="101">
        <f>VLOOKUP($D57,Construction!$B:$Q,(COLUMN(Construction_QuestReward_Stone)-COLUMN(Construction_Name_and_Level)+1),FALSE)</f>
        <v>5400</v>
      </c>
      <c r="AV57" s="101">
        <f>VLOOKUP($D57,Construction!$B:$Q,(COLUMN(Construction_QuestReward_Wood)-COLUMN(Construction_Name_and_Level)+1),FALSE)</f>
        <v>4400</v>
      </c>
      <c r="AW57" s="101">
        <f>VLOOKUP($D57,Construction!$B:$Q,(COLUMN(Construction_QuestReward_Ore)-COLUMN(Construction_Name_and_Level)+1),FALSE)</f>
        <v>1600</v>
      </c>
      <c r="AX57" s="101">
        <f>VLOOKUP($D57,Construction!$B:$Q,(COLUMN(Construction_QuestReward_Food)-COLUMN(Construction_Name_and_Level)+1),FALSE)</f>
        <v>2800</v>
      </c>
      <c r="AY57" s="100">
        <f>VLOOKUP($D57,Construction!$B:$Q,(COLUMN(Construction_QuestReward_Silver)-COLUMN(Construction_Name_and_Level)+1),FALSE)</f>
        <v>450</v>
      </c>
    </row>
    <row r="58" spans="2:92" ht="15" customHeight="1">
      <c r="B58" s="506" t="s">
        <v>143</v>
      </c>
      <c r="C58" s="127" t="s">
        <v>170</v>
      </c>
      <c r="D58" s="144" t="s">
        <v>1498</v>
      </c>
      <c r="E58" s="506">
        <v>6</v>
      </c>
      <c r="F58" s="12">
        <v>0</v>
      </c>
      <c r="G58" s="101">
        <f>VLOOKUP($D58,Research!$C:$S,(COLUMN(Research_QuestReward_HeroXP)-COLUMN(Research_Name_and_Level)+1),FALSE)</f>
        <v>20000</v>
      </c>
      <c r="H58" s="101">
        <f t="shared" si="1"/>
        <v>20000</v>
      </c>
      <c r="J58" s="100">
        <f>VLOOKUP($D58,Research!$C:$S,(COLUMN(Research_QuestReward_Power)-COLUMN(Research_Name_and_Level)+1),FALSE)</f>
        <v>25</v>
      </c>
      <c r="AF58" s="141"/>
      <c r="AG58" s="141"/>
      <c r="AH58" s="137"/>
      <c r="AI58" s="484"/>
      <c r="AJ58" s="137">
        <f t="shared" si="5"/>
        <v>8.3333333333333329E-2</v>
      </c>
      <c r="AU58" s="101">
        <f>VLOOKUP($D58,Research!$C:$S,(COLUMN(Research_QuestReward_Stone)-COLUMN(Research_Name_and_Level)+1),FALSE)</f>
        <v>24000</v>
      </c>
      <c r="AV58" s="101">
        <f>VLOOKUP($D58,Research!$C:$S,(COLUMN(Research_QuestReward_Wood)-COLUMN(Research_Name_and_Level)+1),FALSE)</f>
        <v>24000</v>
      </c>
      <c r="AW58" s="101">
        <f>VLOOKUP($D58,Research!$C:$S,(COLUMN(Research_QuestReward_Ore)-COLUMN(Research_Name_and_Level)+1),FALSE)</f>
        <v>24000</v>
      </c>
      <c r="AX58" s="101">
        <f>VLOOKUP($D58,Research!$C:$S,(COLUMN(Research_QuestReward_Food)-COLUMN(Research_Name_and_Level)+1),FALSE)</f>
        <v>24000</v>
      </c>
      <c r="AY58" s="100">
        <f>VLOOKUP($D58,Research!$C:$S,(COLUMN(Research_QuestReward_Silver)-COLUMN(Research_Name_and_Level)+1),FALSE)</f>
        <v>12000</v>
      </c>
    </row>
    <row r="59" spans="2:92" ht="15" customHeight="1">
      <c r="B59" s="506" t="s">
        <v>143</v>
      </c>
      <c r="C59" s="127" t="s">
        <v>150</v>
      </c>
      <c r="D59" s="144" t="s">
        <v>1501</v>
      </c>
      <c r="E59" s="506">
        <v>6</v>
      </c>
      <c r="F59" s="12">
        <v>0</v>
      </c>
      <c r="G59" s="101">
        <v>10000</v>
      </c>
      <c r="H59" s="101">
        <f t="shared" si="1"/>
        <v>10000</v>
      </c>
      <c r="J59" s="100">
        <v>25</v>
      </c>
      <c r="AF59" s="141"/>
      <c r="AG59" s="141"/>
      <c r="AH59" s="137"/>
      <c r="AI59" s="484"/>
      <c r="AJ59" s="137">
        <f t="shared" si="5"/>
        <v>8.3333333333333329E-2</v>
      </c>
      <c r="CL59" s="2">
        <v>10000</v>
      </c>
    </row>
    <row r="60" spans="2:92" ht="15" customHeight="1">
      <c r="B60" s="126" t="s">
        <v>1457</v>
      </c>
      <c r="C60" s="127" t="s">
        <v>147</v>
      </c>
      <c r="D60" s="144" t="s">
        <v>1502</v>
      </c>
      <c r="E60" s="506">
        <v>7</v>
      </c>
      <c r="I60" s="5">
        <v>2</v>
      </c>
      <c r="J60" s="5">
        <v>49</v>
      </c>
      <c r="Q60" s="149"/>
      <c r="AF60" s="141"/>
      <c r="AG60" s="141"/>
      <c r="AH60" s="137"/>
      <c r="AI60" s="484"/>
      <c r="AJ60" s="137">
        <f t="shared" si="5"/>
        <v>8.3333333333333329E-2</v>
      </c>
      <c r="AX60" s="11"/>
    </row>
    <row r="61" spans="2:92" ht="15" customHeight="1">
      <c r="B61" s="106" t="s">
        <v>171</v>
      </c>
      <c r="C61" s="130"/>
      <c r="D61" s="130" t="s">
        <v>1503</v>
      </c>
      <c r="E61" s="106">
        <v>7</v>
      </c>
      <c r="F61" s="219">
        <v>0</v>
      </c>
      <c r="G61" s="107" t="s">
        <v>1453</v>
      </c>
      <c r="H61" s="107">
        <v>215315</v>
      </c>
      <c r="I61" s="108">
        <v>10</v>
      </c>
      <c r="J61" s="108">
        <v>2687</v>
      </c>
      <c r="K61" s="107">
        <v>3</v>
      </c>
      <c r="L61" s="107">
        <v>460</v>
      </c>
      <c r="M61" s="134">
        <v>8.3333333333333329E-2</v>
      </c>
      <c r="N61" s="109">
        <v>200</v>
      </c>
      <c r="O61" s="109">
        <f>SUMIF($B$4:$B60,"&lt;&gt;"&amp;$CS$13,O$4:O60)</f>
        <v>0</v>
      </c>
      <c r="P61" s="108">
        <f>SUMIF($B$4:$B60,"&lt;&gt;"&amp;$CS$13,N$4:N60)</f>
        <v>200</v>
      </c>
      <c r="Q61" s="134">
        <v>3.472222222222222E-3</v>
      </c>
      <c r="R61" s="134">
        <v>5.5555555555555558E-3</v>
      </c>
      <c r="S61" s="107">
        <v>0</v>
      </c>
      <c r="T61" s="107">
        <v>0</v>
      </c>
      <c r="U61" s="107">
        <v>0</v>
      </c>
      <c r="V61" s="107">
        <v>0</v>
      </c>
      <c r="W61" s="109">
        <v>8</v>
      </c>
      <c r="X61" s="109">
        <v>0</v>
      </c>
      <c r="Y61" s="109">
        <v>0</v>
      </c>
      <c r="Z61" s="109">
        <v>0</v>
      </c>
      <c r="AA61" s="109">
        <v>0</v>
      </c>
      <c r="AB61" s="109">
        <v>0</v>
      </c>
      <c r="AC61" s="109">
        <v>0</v>
      </c>
      <c r="AD61" s="109">
        <v>0</v>
      </c>
      <c r="AE61" s="108">
        <v>0</v>
      </c>
      <c r="AF61" s="136">
        <f>SUMIF($B$4:$B60,"&lt;&gt;"&amp;$CS$13,AF$4:AF60)</f>
        <v>0.10972222222222222</v>
      </c>
      <c r="AG61" s="136">
        <f>SUMIF($B$4:$B60,"&lt;&gt;"&amp;$CS$13,AG$4:AG60)</f>
        <v>0</v>
      </c>
      <c r="AH61" s="134">
        <f>AF61+AG61</f>
        <v>0.10972222222222222</v>
      </c>
      <c r="AI61" s="483">
        <f>SUMIF($B$4:$B60,"&lt;&gt;"&amp;$CS$13,AI$4:AI60)</f>
        <v>2.6388888888888885E-2</v>
      </c>
      <c r="AJ61" s="134">
        <f>S$3*S61+T$3*T61+U$3*U61+V$3*V61+W$3*W61+X$3*X61+Y$3*Y61+Z$3*Z61+AA$3*AA61+AB$3*AB61+AC$3*AC61</f>
        <v>8.3333333333333329E-2</v>
      </c>
      <c r="AK61" s="338">
        <v>0.01</v>
      </c>
      <c r="AL61" s="136" t="s">
        <v>1453</v>
      </c>
      <c r="AM61" s="136" t="s">
        <v>1453</v>
      </c>
      <c r="AN61" s="136" t="s">
        <v>1453</v>
      </c>
      <c r="AO61" s="134" t="s">
        <v>1453</v>
      </c>
      <c r="AP61" s="255">
        <v>0.01</v>
      </c>
      <c r="AQ61" s="136" t="s">
        <v>1453</v>
      </c>
      <c r="AR61" s="136" t="s">
        <v>1453</v>
      </c>
      <c r="AS61" s="136" t="s">
        <v>1453</v>
      </c>
      <c r="AT61" s="134" t="s">
        <v>1453</v>
      </c>
      <c r="AU61" s="107">
        <v>72280</v>
      </c>
      <c r="AV61" s="107">
        <v>70190</v>
      </c>
      <c r="AW61" s="107">
        <v>54220</v>
      </c>
      <c r="AX61" s="109">
        <v>68490</v>
      </c>
      <c r="AY61" s="108">
        <v>27460</v>
      </c>
      <c r="AZ61" s="107">
        <v>0</v>
      </c>
      <c r="BA61" s="107">
        <v>40</v>
      </c>
      <c r="BB61" s="107">
        <v>0</v>
      </c>
      <c r="BC61" s="107">
        <v>59</v>
      </c>
      <c r="BD61" s="108">
        <v>0</v>
      </c>
      <c r="BE61" s="108">
        <v>-20</v>
      </c>
      <c r="BF61" s="107">
        <v>15000</v>
      </c>
      <c r="BG61" s="107">
        <v>17000</v>
      </c>
      <c r="BH61" s="107">
        <v>15000</v>
      </c>
      <c r="BI61" s="107">
        <v>17500</v>
      </c>
      <c r="BJ61" s="108">
        <v>15000</v>
      </c>
      <c r="BK61" s="107">
        <v>4</v>
      </c>
      <c r="BL61" s="108">
        <v>3</v>
      </c>
      <c r="BM61" s="108">
        <v>4</v>
      </c>
      <c r="BN61" s="107">
        <v>1</v>
      </c>
      <c r="BO61" s="108">
        <v>1</v>
      </c>
      <c r="BP61" s="107">
        <v>1</v>
      </c>
      <c r="BQ61" s="108">
        <v>1</v>
      </c>
      <c r="BR61" s="107">
        <v>0</v>
      </c>
      <c r="BS61" s="108">
        <v>0</v>
      </c>
      <c r="BT61" s="107">
        <v>0</v>
      </c>
      <c r="BU61" s="108">
        <v>0</v>
      </c>
      <c r="BV61" s="107">
        <v>0</v>
      </c>
      <c r="BW61" s="108">
        <v>0</v>
      </c>
      <c r="BX61" s="107">
        <v>1</v>
      </c>
      <c r="BY61" s="108">
        <v>1</v>
      </c>
      <c r="BZ61" s="107">
        <v>1</v>
      </c>
      <c r="CA61" s="108">
        <v>1</v>
      </c>
      <c r="CB61" s="108">
        <v>1</v>
      </c>
      <c r="CC61" s="108">
        <v>1</v>
      </c>
      <c r="CD61" s="108">
        <v>0</v>
      </c>
      <c r="CE61" s="107"/>
      <c r="CF61" s="107"/>
      <c r="CG61" s="108"/>
      <c r="CH61" s="107"/>
      <c r="CI61" s="107"/>
      <c r="CJ61" s="108"/>
      <c r="CK61" s="108"/>
      <c r="CL61" s="107">
        <v>15300</v>
      </c>
      <c r="CM61" s="108"/>
      <c r="CN61" s="108" t="s">
        <v>1208</v>
      </c>
    </row>
    <row r="62" spans="2:92" ht="15" customHeight="1">
      <c r="B62" s="506" t="s">
        <v>145</v>
      </c>
      <c r="C62" s="127" t="s">
        <v>151</v>
      </c>
      <c r="D62" s="144">
        <v>4.1666666666666666E-3</v>
      </c>
      <c r="E62" s="506">
        <v>7</v>
      </c>
      <c r="AF62" s="141"/>
      <c r="AG62" s="141"/>
      <c r="AH62" s="137"/>
      <c r="AI62" s="484"/>
      <c r="AJ62" s="137">
        <f t="shared" ref="AJ62:AJ93" si="6">AJ61+(S$3*S62+T$3*T62+U$3*U62+V$3*V62+W$3*W62+X$3*X62+Y$3*Y62+Z$3*Z62+AA$3*AA62+AB$3*AB62+AC$3*AC62)</f>
        <v>8.3333333333333329E-2</v>
      </c>
      <c r="AU62" s="2">
        <v>10000</v>
      </c>
      <c r="AV62" s="2">
        <v>10000</v>
      </c>
      <c r="AW62" s="2">
        <v>10000</v>
      </c>
      <c r="AX62" s="2">
        <v>30000</v>
      </c>
      <c r="AY62" s="5">
        <v>3000</v>
      </c>
    </row>
    <row r="63" spans="2:92" ht="15" customHeight="1">
      <c r="B63" s="17" t="s">
        <v>148</v>
      </c>
      <c r="E63" s="506">
        <v>7</v>
      </c>
      <c r="AF63" s="141"/>
      <c r="AG63" s="141"/>
      <c r="AH63" s="137"/>
      <c r="AI63" s="484"/>
      <c r="AJ63" s="137">
        <f t="shared" si="6"/>
        <v>8.3333333333333329E-2</v>
      </c>
      <c r="AW63" s="142">
        <v>3750</v>
      </c>
    </row>
    <row r="64" spans="2:92" ht="15" customHeight="1">
      <c r="B64" s="506" t="s">
        <v>145</v>
      </c>
      <c r="C64" s="127" t="s">
        <v>152</v>
      </c>
      <c r="D64" s="144" t="s">
        <v>1504</v>
      </c>
      <c r="E64" s="506">
        <v>7</v>
      </c>
      <c r="M64" s="135">
        <v>2.0833333333333332E-2</v>
      </c>
      <c r="W64" s="11">
        <v>1</v>
      </c>
      <c r="AF64" s="141">
        <f>$S$3*$S64+$T$3*$T64+$U$3*$U64+$V$3*$V64+$W$3*$W64+$X$3*$X64+$Y$3*$Y64+$Z$3*$Z64+$AA$3*$AA64+$AB$3*$AB64+$AC$3*$AC64</f>
        <v>1.0416666666666666E-2</v>
      </c>
      <c r="AG64" s="141"/>
      <c r="AH64" s="137"/>
      <c r="AI64" s="484"/>
      <c r="AJ64" s="137">
        <f t="shared" si="6"/>
        <v>9.375E-2</v>
      </c>
      <c r="AY64" s="5">
        <v>500</v>
      </c>
      <c r="CN64" s="5">
        <v>7000</v>
      </c>
    </row>
    <row r="65" spans="2:92" ht="15" customHeight="1">
      <c r="B65" s="506" t="s">
        <v>145</v>
      </c>
      <c r="C65" s="127" t="s">
        <v>152</v>
      </c>
      <c r="D65" s="144" t="s">
        <v>1505</v>
      </c>
      <c r="E65" s="506">
        <v>7</v>
      </c>
      <c r="V65" s="2">
        <v>1</v>
      </c>
      <c r="W65" s="11">
        <v>1</v>
      </c>
      <c r="AF65" s="141">
        <f>$S$3*$S65+$T$3*$T65+$U$3*$U65+$V$3*$V65+$W$3*$W65+$X$3*$X65+$Y$3*$Y65+$Z$3*$Z65+$AA$3*$AA65+$AB$3*$AB65+$AC$3*$AC65</f>
        <v>1.7361111111111112E-2</v>
      </c>
      <c r="AG65" s="141"/>
      <c r="AH65" s="137"/>
      <c r="AI65" s="484"/>
      <c r="AJ65" s="137">
        <f t="shared" si="6"/>
        <v>0.1111111111111111</v>
      </c>
      <c r="AU65" s="2">
        <v>3000</v>
      </c>
      <c r="AX65" s="2">
        <v>5000</v>
      </c>
    </row>
    <row r="66" spans="2:92" ht="15" customHeight="1">
      <c r="B66" s="17" t="s">
        <v>148</v>
      </c>
      <c r="E66" s="506">
        <v>7</v>
      </c>
      <c r="AF66" s="141"/>
      <c r="AG66" s="141"/>
      <c r="AH66" s="137"/>
      <c r="AI66" s="484"/>
      <c r="AJ66" s="137">
        <f t="shared" si="6"/>
        <v>0.1111111111111111</v>
      </c>
      <c r="AV66" s="142">
        <v>3750</v>
      </c>
    </row>
    <row r="67" spans="2:92" ht="15" customHeight="1">
      <c r="B67" s="143" t="s">
        <v>145</v>
      </c>
      <c r="C67" s="146" t="s">
        <v>151</v>
      </c>
      <c r="D67" s="145">
        <v>2.7777777777777779E-3</v>
      </c>
      <c r="E67" s="506">
        <v>7</v>
      </c>
      <c r="V67" s="2">
        <v>1</v>
      </c>
      <c r="AF67" s="141">
        <f>$S$3*$S67+$T$3*$T67+$U$3*$U67+$V$3*$V67+$W$3*$W67+$X$3*$X67+$Y$3*$Y67+$Z$3*$Z67+$AA$3*$AA67+$AB$3*$AB67+$AC$3*$AC67</f>
        <v>6.9444444444444441E-3</v>
      </c>
      <c r="AG67" s="141"/>
      <c r="AH67" s="137"/>
      <c r="AI67" s="484"/>
      <c r="AJ67" s="137">
        <f t="shared" si="6"/>
        <v>0.11805555555555555</v>
      </c>
    </row>
    <row r="68" spans="2:92" ht="15" customHeight="1">
      <c r="B68" s="506" t="s">
        <v>143</v>
      </c>
      <c r="C68" s="127" t="s">
        <v>150</v>
      </c>
      <c r="D68" s="144" t="s">
        <v>1506</v>
      </c>
      <c r="E68" s="506">
        <v>7</v>
      </c>
      <c r="F68" s="12">
        <v>0</v>
      </c>
      <c r="G68" s="101">
        <v>10000</v>
      </c>
      <c r="H68" s="101">
        <f t="shared" si="1"/>
        <v>10000</v>
      </c>
      <c r="J68" s="100">
        <v>250</v>
      </c>
      <c r="V68" s="2">
        <v>1</v>
      </c>
      <c r="AF68" s="141">
        <f>$S$3*$S68+$T$3*$T68+$U$3*$U68+$V$3*$V68+$W$3*$W68+$X$3*$X68+$Y$3*$Y68+$Z$3*$Z68+$AA$3*$AA68+$AB$3*$AB68+$AC$3*$AC68</f>
        <v>6.9444444444444441E-3</v>
      </c>
      <c r="AG68" s="141"/>
      <c r="AH68" s="137"/>
      <c r="AI68" s="484"/>
      <c r="AJ68" s="137">
        <f t="shared" si="6"/>
        <v>0.125</v>
      </c>
      <c r="AU68" s="101">
        <v>2000</v>
      </c>
      <c r="AV68" s="101">
        <v>2000</v>
      </c>
    </row>
    <row r="69" spans="2:92" ht="15" customHeight="1">
      <c r="B69" s="506" t="s">
        <v>143</v>
      </c>
      <c r="C69" s="127" t="s">
        <v>150</v>
      </c>
      <c r="D69" s="144" t="s">
        <v>1507</v>
      </c>
      <c r="E69" s="506">
        <v>7</v>
      </c>
      <c r="F69" s="12">
        <v>0</v>
      </c>
      <c r="G69" s="101">
        <v>10000</v>
      </c>
      <c r="H69" s="101">
        <f t="shared" si="1"/>
        <v>10000</v>
      </c>
      <c r="J69" s="100">
        <v>250</v>
      </c>
      <c r="AF69" s="141"/>
      <c r="AG69" s="141"/>
      <c r="AH69" s="137"/>
      <c r="AI69" s="484"/>
      <c r="AJ69" s="137">
        <f t="shared" si="6"/>
        <v>0.125</v>
      </c>
      <c r="AU69" s="101">
        <v>1200</v>
      </c>
      <c r="AV69" s="101">
        <v>1200</v>
      </c>
      <c r="AW69" s="101">
        <v>1200</v>
      </c>
      <c r="AX69" s="101">
        <v>1200</v>
      </c>
      <c r="AY69" s="100">
        <v>100</v>
      </c>
    </row>
    <row r="70" spans="2:92" ht="15" customHeight="1">
      <c r="B70" s="506" t="s">
        <v>144</v>
      </c>
      <c r="C70" s="127" t="s">
        <v>149</v>
      </c>
      <c r="D70" s="144" t="s">
        <v>1508</v>
      </c>
      <c r="E70" s="506">
        <v>7</v>
      </c>
      <c r="F70" s="12">
        <v>0</v>
      </c>
      <c r="G70" s="94">
        <f>VLOOKUP($D70,Construction!$B:$E,(COLUMN(Construction_BuildingReward_HeroXP)-COLUMN(Construction_Name_and_Level)+1),FALSE)</f>
        <v>10</v>
      </c>
      <c r="H70" s="94">
        <f t="shared" ref="H70:H133" si="7">G70*(1+F70)</f>
        <v>10</v>
      </c>
      <c r="J70" s="95">
        <f>VLOOKUP($D70,Construction!$B:$F,(COLUMN(Construction_BuildingReward_Power)-COLUMN(Construction_Name_and_Level)+1),FALSE)</f>
        <v>5</v>
      </c>
      <c r="Q70" s="139">
        <v>3.472222222222222E-3</v>
      </c>
      <c r="R70" s="139">
        <v>5.5555555555555558E-3</v>
      </c>
      <c r="AF70" s="141"/>
      <c r="AG70" s="141"/>
      <c r="AH70" s="137"/>
      <c r="AI70" s="484"/>
      <c r="AJ70" s="137">
        <f t="shared" si="6"/>
        <v>0.125</v>
      </c>
      <c r="AK70" s="339">
        <v>0.01</v>
      </c>
      <c r="AL70" s="138">
        <f>VLOOKUP($D70,Construction!$B:$C,(COLUMN(Construction_Time)-COLUMN(Construction_Name_and_Level)+1),FALSE)</f>
        <v>6.9444444444444447E-4</v>
      </c>
      <c r="AM70" s="138">
        <f>AL70/(1+AK70)</f>
        <v>6.8756875687568761E-4</v>
      </c>
      <c r="AN70" s="138">
        <f>(S$3*S70+T$3*T70+V$3*V70+W$3*W70+X$3*X70+Y$3*Y70+Z$3*Z70+AA$3*AA70+AB$3*AB70+AC$3*AC70)*(-1)</f>
        <v>0</v>
      </c>
      <c r="AO70" s="139">
        <f>IF((AM70-Q70-R70-AN70)&gt;=0,AM70-Q70-R70-AN70,0)</f>
        <v>0</v>
      </c>
      <c r="AU70" s="94">
        <f>VLOOKUP($D70,Construction!$B:$J,(COLUMN(Construction_BuildingCost_Stone)-COLUMN(Construction_Name_and_Level)+1),FALSE)*(-1)</f>
        <v>0</v>
      </c>
      <c r="AV70" s="94">
        <f>VLOOKUP($D70,Construction!$B:$J,(COLUMN(Construction_BuildingCost_Wood)-COLUMN(Construction_Name_and_Level)+1),FALSE)*(-1)</f>
        <v>-100</v>
      </c>
      <c r="AW70" s="94">
        <f>VLOOKUP($D70,Construction!$B:$J,(COLUMN(Construction_BuildingCost_Ore)-COLUMN(Construction_Name_and_Level)+1),FALSE)*(-1)</f>
        <v>-100</v>
      </c>
      <c r="AX70" s="94">
        <f>VLOOKUP($D70,Construction!$B:$J,(COLUMN(Construction_BuildingCost_Food)-COLUMN(Construction_Name_and_Level)+1),FALSE)*(-1)</f>
        <v>-100</v>
      </c>
    </row>
    <row r="71" spans="2:92" ht="15" customHeight="1">
      <c r="B71" s="506" t="s">
        <v>143</v>
      </c>
      <c r="C71" s="127" t="s">
        <v>139</v>
      </c>
      <c r="D71" s="144" t="s">
        <v>1508</v>
      </c>
      <c r="E71" s="506">
        <v>7</v>
      </c>
      <c r="F71" s="12">
        <v>0</v>
      </c>
      <c r="G71" s="101">
        <f>VLOOKUP($D71,Construction!$B:$L,(COLUMN(Construction_QuestReward_HeroXP)-COLUMN(Construction_Name_and_Level)+1),FALSE)</f>
        <v>2525</v>
      </c>
      <c r="H71" s="101">
        <f t="shared" si="7"/>
        <v>2525</v>
      </c>
      <c r="J71" s="100">
        <f>VLOOKUP($D71,Construction!$B:$L,(COLUMN(Construction_QuestReward_Power)-COLUMN(Construction_Name_and_Level)+1),FALSE)</f>
        <v>2</v>
      </c>
      <c r="AF71" s="141"/>
      <c r="AG71" s="141"/>
      <c r="AH71" s="137"/>
      <c r="AI71" s="484"/>
      <c r="AJ71" s="137">
        <f t="shared" si="6"/>
        <v>0.125</v>
      </c>
      <c r="AU71" s="101">
        <f>VLOOKUP($D71,Construction!$B:$Q,(COLUMN(Construction_QuestReward_Stone)-COLUMN(Construction_Name_and_Level)+1),FALSE)</f>
        <v>3000</v>
      </c>
      <c r="AV71" s="101">
        <f>VLOOKUP($D71,Construction!$B:$Q,(COLUMN(Construction_QuestReward_Wood)-COLUMN(Construction_Name_and_Level)+1),FALSE)</f>
        <v>0</v>
      </c>
      <c r="AW71" s="101">
        <f>VLOOKUP($D71,Construction!$B:$Q,(COLUMN(Construction_QuestReward_Ore)-COLUMN(Construction_Name_and_Level)+1),FALSE)</f>
        <v>0</v>
      </c>
      <c r="AX71" s="101">
        <f>VLOOKUP($D71,Construction!$B:$Q,(COLUMN(Construction_QuestReward_Food)-COLUMN(Construction_Name_and_Level)+1),FALSE)</f>
        <v>0</v>
      </c>
      <c r="AY71" s="100">
        <f>VLOOKUP($D71,Construction!$B:$Q,(COLUMN(Construction_QuestReward_Silver)-COLUMN(Construction_Name_and_Level)+1),FALSE)</f>
        <v>0</v>
      </c>
    </row>
    <row r="72" spans="2:92" ht="15" customHeight="1">
      <c r="B72" s="506" t="s">
        <v>144</v>
      </c>
      <c r="C72" s="127" t="s">
        <v>149</v>
      </c>
      <c r="D72" s="144" t="s">
        <v>1509</v>
      </c>
      <c r="E72" s="506">
        <v>7</v>
      </c>
      <c r="F72" s="12">
        <v>0</v>
      </c>
      <c r="G72" s="94">
        <f>VLOOKUP($D72,Construction!$B:$E,(COLUMN(Construction_BuildingReward_HeroXP)-COLUMN(Construction_Name_and_Level)+1),FALSE)</f>
        <v>10</v>
      </c>
      <c r="H72" s="94">
        <f t="shared" si="7"/>
        <v>10</v>
      </c>
      <c r="J72" s="95">
        <f>VLOOKUP($D72,Construction!$B:$F,(COLUMN(Construction_BuildingReward_Power)-COLUMN(Construction_Name_and_Level)+1),FALSE)</f>
        <v>5</v>
      </c>
      <c r="Q72" s="139">
        <v>3.472222222222222E-3</v>
      </c>
      <c r="R72" s="139">
        <v>5.5555555555555558E-3</v>
      </c>
      <c r="AF72" s="141"/>
      <c r="AG72" s="141"/>
      <c r="AH72" s="137"/>
      <c r="AI72" s="484"/>
      <c r="AJ72" s="137">
        <f t="shared" si="6"/>
        <v>0.125</v>
      </c>
      <c r="AK72" s="339">
        <v>0.01</v>
      </c>
      <c r="AL72" s="138">
        <f>VLOOKUP($D72,Construction!$B:$C,(COLUMN(Construction_Time)-COLUMN(Construction_Name_and_Level)+1),FALSE)</f>
        <v>6.9444444444444447E-4</v>
      </c>
      <c r="AM72" s="138">
        <f>AL72/(1+AK72)</f>
        <v>6.8756875687568761E-4</v>
      </c>
      <c r="AN72" s="138">
        <f>(S$3*S72+T$3*T72+V$3*V72+W$3*W72+X$3*X72+Y$3*Y72+Z$3*Z72+AA$3*AA72+AB$3*AB72+AC$3*AC72)*(-1)</f>
        <v>0</v>
      </c>
      <c r="AO72" s="139">
        <f>IF((AM72-Q72-R72-AN72)&gt;=0,AM72-Q72-R72-AN72,0)</f>
        <v>0</v>
      </c>
      <c r="AU72" s="94">
        <f>VLOOKUP($D72,Construction!$B:$J,(COLUMN(Construction_BuildingCost_Stone)-COLUMN(Construction_Name_and_Level)+1),FALSE)*(-1)</f>
        <v>-100</v>
      </c>
      <c r="AV72" s="94">
        <f>VLOOKUP($D72,Construction!$B:$J,(COLUMN(Construction_BuildingCost_Wood)-COLUMN(Construction_Name_and_Level)+1),FALSE)*(-1)</f>
        <v>-100</v>
      </c>
      <c r="AW72" s="94">
        <f>VLOOKUP($D72,Construction!$B:$J,(COLUMN(Construction_BuildingCost_Ore)-COLUMN(Construction_Name_and_Level)+1),FALSE)*(-1)</f>
        <v>0</v>
      </c>
      <c r="AX72" s="94">
        <f>VLOOKUP($D72,Construction!$B:$J,(COLUMN(Construction_BuildingCost_Food)-COLUMN(Construction_Name_and_Level)+1),FALSE)*(-1)</f>
        <v>-100</v>
      </c>
    </row>
    <row r="73" spans="2:92" ht="15" customHeight="1">
      <c r="B73" s="506" t="s">
        <v>143</v>
      </c>
      <c r="C73" s="127" t="s">
        <v>139</v>
      </c>
      <c r="D73" s="144" t="s">
        <v>1509</v>
      </c>
      <c r="E73" s="506">
        <v>7</v>
      </c>
      <c r="F73" s="12">
        <v>0</v>
      </c>
      <c r="G73" s="101">
        <f>VLOOKUP($D73,Construction!$B:$L,(COLUMN(Construction_QuestReward_HeroXP)-COLUMN(Construction_Name_and_Level)+1),FALSE)</f>
        <v>2525</v>
      </c>
      <c r="H73" s="101">
        <f t="shared" si="7"/>
        <v>2525</v>
      </c>
      <c r="J73" s="100">
        <f>VLOOKUP($D73,Construction!$B:$L,(COLUMN(Construction_QuestReward_Power)-COLUMN(Construction_Name_and_Level)+1),FALSE)</f>
        <v>2</v>
      </c>
      <c r="AF73" s="141"/>
      <c r="AG73" s="141"/>
      <c r="AH73" s="137"/>
      <c r="AI73" s="484"/>
      <c r="AJ73" s="137">
        <f t="shared" si="6"/>
        <v>0.125</v>
      </c>
      <c r="AU73" s="101">
        <f>VLOOKUP($D73,Construction!$B:$Q,(COLUMN(Construction_QuestReward_Stone)-COLUMN(Construction_Name_and_Level)+1),FALSE)</f>
        <v>0</v>
      </c>
      <c r="AV73" s="101">
        <f>VLOOKUP($D73,Construction!$B:$Q,(COLUMN(Construction_QuestReward_Wood)-COLUMN(Construction_Name_and_Level)+1),FALSE)</f>
        <v>0</v>
      </c>
      <c r="AW73" s="101">
        <f>VLOOKUP($D73,Construction!$B:$Q,(COLUMN(Construction_QuestReward_Ore)-COLUMN(Construction_Name_and_Level)+1),FALSE)</f>
        <v>3000</v>
      </c>
      <c r="AX73" s="101">
        <f>VLOOKUP($D73,Construction!$B:$Q,(COLUMN(Construction_QuestReward_Food)-COLUMN(Construction_Name_and_Level)+1),FALSE)</f>
        <v>0</v>
      </c>
      <c r="AY73" s="100">
        <f>VLOOKUP($D73,Construction!$B:$Q,(COLUMN(Construction_QuestReward_Silver)-COLUMN(Construction_Name_and_Level)+1),FALSE)</f>
        <v>0</v>
      </c>
    </row>
    <row r="74" spans="2:92" ht="15" customHeight="1">
      <c r="B74" s="506" t="s">
        <v>144</v>
      </c>
      <c r="C74" s="127" t="s">
        <v>149</v>
      </c>
      <c r="D74" s="144" t="s">
        <v>1510</v>
      </c>
      <c r="E74" s="506">
        <v>7</v>
      </c>
      <c r="F74" s="12">
        <v>0</v>
      </c>
      <c r="G74" s="94">
        <f>VLOOKUP($D74,Construction!$B:$E,(COLUMN(Construction_BuildingReward_HeroXP)-COLUMN(Construction_Name_and_Level)+1),FALSE)</f>
        <v>10</v>
      </c>
      <c r="H74" s="94">
        <f t="shared" si="7"/>
        <v>10</v>
      </c>
      <c r="J74" s="95">
        <f>VLOOKUP($D74,Construction!$B:$F,(COLUMN(Construction_BuildingReward_Power)-COLUMN(Construction_Name_and_Level)+1),FALSE)</f>
        <v>10</v>
      </c>
      <c r="Q74" s="139">
        <v>3.472222222222222E-3</v>
      </c>
      <c r="R74" s="139">
        <v>5.5555555555555558E-3</v>
      </c>
      <c r="AF74" s="141"/>
      <c r="AG74" s="141"/>
      <c r="AH74" s="137"/>
      <c r="AI74" s="484"/>
      <c r="AJ74" s="137">
        <f t="shared" si="6"/>
        <v>0.125</v>
      </c>
      <c r="AK74" s="339">
        <v>0.01</v>
      </c>
      <c r="AL74" s="138">
        <f>VLOOKUP($D74,Construction!$B:$C,(COLUMN(Construction_Time)-COLUMN(Construction_Name_and_Level)+1),FALSE)</f>
        <v>6.9444444444444447E-4</v>
      </c>
      <c r="AM74" s="138">
        <f>AL74/(1+AK74)</f>
        <v>6.8756875687568761E-4</v>
      </c>
      <c r="AN74" s="138">
        <f>(S$3*S74+T$3*T74+V$3*V74+W$3*W74+X$3*X74+Y$3*Y74+Z$3*Z74+AA$3*AA74+AB$3*AB74+AC$3*AC74)*(-1)</f>
        <v>0</v>
      </c>
      <c r="AO74" s="139">
        <f>IF((AM74-Q74-R74-AN74)&gt;=0,AM74-Q74-R74-AN74,0)</f>
        <v>0</v>
      </c>
      <c r="AU74" s="94">
        <f>VLOOKUP($D74,Construction!$B:$J,(COLUMN(Construction_BuildingCost_Stone)-COLUMN(Construction_Name_and_Level)+1),FALSE)*(-1)</f>
        <v>-200</v>
      </c>
      <c r="AV74" s="94">
        <f>VLOOKUP($D74,Construction!$B:$J,(COLUMN(Construction_BuildingCost_Wood)-COLUMN(Construction_Name_and_Level)+1),FALSE)*(-1)</f>
        <v>-200</v>
      </c>
      <c r="AW74" s="94">
        <f>VLOOKUP($D74,Construction!$B:$J,(COLUMN(Construction_BuildingCost_Ore)-COLUMN(Construction_Name_and_Level)+1),FALSE)*(-1)</f>
        <v>-50</v>
      </c>
      <c r="AX74" s="94">
        <f>VLOOKUP($D74,Construction!$B:$J,(COLUMN(Construction_BuildingCost_Food)-COLUMN(Construction_Name_and_Level)+1),FALSE)*(-1)</f>
        <v>-500</v>
      </c>
    </row>
    <row r="75" spans="2:92" ht="15" customHeight="1">
      <c r="B75" s="506" t="s">
        <v>143</v>
      </c>
      <c r="C75" s="127" t="s">
        <v>139</v>
      </c>
      <c r="D75" s="144" t="s">
        <v>1510</v>
      </c>
      <c r="E75" s="506">
        <v>7</v>
      </c>
      <c r="F75" s="12">
        <v>0</v>
      </c>
      <c r="G75" s="101">
        <f>VLOOKUP($D75,Construction!$B:$L,(COLUMN(Construction_QuestReward_HeroXP)-COLUMN(Construction_Name_and_Level)+1),FALSE)</f>
        <v>2525</v>
      </c>
      <c r="H75" s="101">
        <f t="shared" si="7"/>
        <v>2525</v>
      </c>
      <c r="J75" s="100">
        <f>VLOOKUP($D75,Construction!$B:$L,(COLUMN(Construction_QuestReward_Power)-COLUMN(Construction_Name_and_Level)+1),FALSE)</f>
        <v>2</v>
      </c>
      <c r="AF75" s="141"/>
      <c r="AG75" s="141"/>
      <c r="AH75" s="137"/>
      <c r="AI75" s="484"/>
      <c r="AJ75" s="137">
        <f t="shared" si="6"/>
        <v>0.125</v>
      </c>
      <c r="AU75" s="101">
        <f>VLOOKUP($D75,Construction!$B:$Q,(COLUMN(Construction_QuestReward_Stone)-COLUMN(Construction_Name_and_Level)+1),FALSE)</f>
        <v>0</v>
      </c>
      <c r="AV75" s="101">
        <f>VLOOKUP($D75,Construction!$B:$Q,(COLUMN(Construction_QuestReward_Wood)-COLUMN(Construction_Name_and_Level)+1),FALSE)</f>
        <v>0</v>
      </c>
      <c r="AW75" s="101">
        <f>VLOOKUP($D75,Construction!$B:$Q,(COLUMN(Construction_QuestReward_Ore)-COLUMN(Construction_Name_and_Level)+1),FALSE)</f>
        <v>0</v>
      </c>
      <c r="AX75" s="101">
        <f>VLOOKUP($D75,Construction!$B:$Q,(COLUMN(Construction_QuestReward_Food)-COLUMN(Construction_Name_and_Level)+1),FALSE)</f>
        <v>0</v>
      </c>
      <c r="AY75" s="100">
        <f>VLOOKUP($D75,Construction!$B:$Q,(COLUMN(Construction_QuestReward_Silver)-COLUMN(Construction_Name_and_Level)+1),FALSE)</f>
        <v>550</v>
      </c>
    </row>
    <row r="76" spans="2:92" ht="15" customHeight="1">
      <c r="B76" s="506" t="s">
        <v>143</v>
      </c>
      <c r="C76" s="127" t="s">
        <v>150</v>
      </c>
      <c r="D76" s="144" t="s">
        <v>1511</v>
      </c>
      <c r="E76" s="506">
        <v>7</v>
      </c>
      <c r="J76" s="100">
        <v>25</v>
      </c>
      <c r="L76" s="2">
        <v>100</v>
      </c>
      <c r="AF76" s="141"/>
      <c r="AG76" s="141"/>
      <c r="AH76" s="137"/>
      <c r="AI76" s="484"/>
      <c r="AJ76" s="137">
        <f t="shared" si="6"/>
        <v>0.125</v>
      </c>
      <c r="AU76" s="101">
        <v>2500</v>
      </c>
      <c r="AV76" s="101">
        <v>2500</v>
      </c>
      <c r="AW76" s="101">
        <v>2500</v>
      </c>
      <c r="AX76" s="101">
        <v>5000</v>
      </c>
      <c r="AY76" s="100">
        <v>200</v>
      </c>
    </row>
    <row r="77" spans="2:92" ht="15" customHeight="1">
      <c r="B77" s="506" t="s">
        <v>144</v>
      </c>
      <c r="C77" s="127" t="s">
        <v>149</v>
      </c>
      <c r="D77" s="144" t="s">
        <v>1512</v>
      </c>
      <c r="E77" s="506">
        <v>7</v>
      </c>
      <c r="F77" s="12">
        <v>0</v>
      </c>
      <c r="G77" s="94">
        <f>VLOOKUP($D77,Construction!$B:$E,(COLUMN(Construction_BuildingReward_HeroXP)-COLUMN(Construction_Name_and_Level)+1),FALSE)</f>
        <v>10</v>
      </c>
      <c r="H77" s="94">
        <f t="shared" si="7"/>
        <v>10</v>
      </c>
      <c r="J77" s="95">
        <f>VLOOKUP($D77,Construction!$B:$F,(COLUMN(Construction_BuildingReward_Power)-COLUMN(Construction_Name_and_Level)+1),FALSE)</f>
        <v>10</v>
      </c>
      <c r="Q77" s="139">
        <v>3.472222222222222E-3</v>
      </c>
      <c r="R77" s="139">
        <v>5.5555555555555558E-3</v>
      </c>
      <c r="AF77" s="141"/>
      <c r="AG77" s="141"/>
      <c r="AH77" s="137"/>
      <c r="AI77" s="484"/>
      <c r="AJ77" s="137">
        <f t="shared" si="6"/>
        <v>0.125</v>
      </c>
      <c r="AK77" s="339">
        <v>0.01</v>
      </c>
      <c r="AL77" s="138">
        <f>VLOOKUP($D77,Construction!$B:$C,(COLUMN(Construction_Time)-COLUMN(Construction_Name_and_Level)+1),FALSE)</f>
        <v>8.6805555555555551E-4</v>
      </c>
      <c r="AM77" s="138">
        <f>AL77/(1+AK77)</f>
        <v>8.5946094609460938E-4</v>
      </c>
      <c r="AN77" s="138">
        <f>(S$3*S77+T$3*T77+V$3*V77+W$3*W77+X$3*X77+Y$3*Y77+Z$3*Z77+AA$3*AA77+AB$3*AB77+AC$3*AC77)*(-1)</f>
        <v>0</v>
      </c>
      <c r="AO77" s="139">
        <f>IF((AM77-Q77-R77-AN77)&gt;=0,AM77-Q77-R77-AN77,0)</f>
        <v>0</v>
      </c>
      <c r="AU77" s="94">
        <f>VLOOKUP($D77,Construction!$B:$J,(COLUMN(Construction_BuildingCost_Stone)-COLUMN(Construction_Name_and_Level)+1),FALSE)*(-1)</f>
        <v>-300</v>
      </c>
      <c r="AV77" s="94">
        <f>VLOOKUP($D77,Construction!$B:$J,(COLUMN(Construction_BuildingCost_Wood)-COLUMN(Construction_Name_and_Level)+1),FALSE)*(-1)</f>
        <v>-400</v>
      </c>
      <c r="AW77" s="94">
        <f>VLOOKUP($D77,Construction!$B:$J,(COLUMN(Construction_BuildingCost_Ore)-COLUMN(Construction_Name_and_Level)+1),FALSE)*(-1)</f>
        <v>-800</v>
      </c>
      <c r="AX77" s="94">
        <f>VLOOKUP($D77,Construction!$B:$J,(COLUMN(Construction_BuildingCost_Food)-COLUMN(Construction_Name_and_Level)+1),FALSE)*(-1)</f>
        <v>-300</v>
      </c>
    </row>
    <row r="78" spans="2:92" ht="15" customHeight="1">
      <c r="B78" s="506" t="s">
        <v>143</v>
      </c>
      <c r="C78" s="127" t="s">
        <v>139</v>
      </c>
      <c r="D78" s="144" t="s">
        <v>1512</v>
      </c>
      <c r="E78" s="506">
        <v>7</v>
      </c>
      <c r="F78" s="12">
        <v>0</v>
      </c>
      <c r="G78" s="101">
        <f>VLOOKUP($D78,Construction!$B:$L,(COLUMN(Construction_QuestReward_HeroXP)-COLUMN(Construction_Name_and_Level)+1),FALSE)</f>
        <v>2525</v>
      </c>
      <c r="H78" s="101">
        <f t="shared" si="7"/>
        <v>2525</v>
      </c>
      <c r="J78" s="100">
        <f>VLOOKUP($D78,Construction!$B:$L,(COLUMN(Construction_QuestReward_Power)-COLUMN(Construction_Name_and_Level)+1),FALSE)</f>
        <v>2</v>
      </c>
      <c r="AF78" s="141"/>
      <c r="AG78" s="141"/>
      <c r="AH78" s="137"/>
      <c r="AI78" s="484"/>
      <c r="AJ78" s="137">
        <f t="shared" si="6"/>
        <v>0.125</v>
      </c>
      <c r="AU78" s="101">
        <f>VLOOKUP($D78,Construction!$B:$Q,(COLUMN(Construction_QuestReward_Stone)-COLUMN(Construction_Name_and_Level)+1),FALSE)</f>
        <v>500</v>
      </c>
      <c r="AV78" s="101">
        <f>VLOOKUP($D78,Construction!$B:$Q,(COLUMN(Construction_QuestReward_Wood)-COLUMN(Construction_Name_and_Level)+1),FALSE)</f>
        <v>800</v>
      </c>
      <c r="AW78" s="101">
        <f>VLOOKUP($D78,Construction!$B:$Q,(COLUMN(Construction_QuestReward_Ore)-COLUMN(Construction_Name_and_Level)+1),FALSE)</f>
        <v>1500</v>
      </c>
      <c r="AX78" s="101">
        <f>VLOOKUP($D78,Construction!$B:$Q,(COLUMN(Construction_QuestReward_Food)-COLUMN(Construction_Name_and_Level)+1),FALSE)</f>
        <v>500</v>
      </c>
      <c r="AY78" s="100">
        <f>VLOOKUP($D78,Construction!$B:$Q,(COLUMN(Construction_QuestReward_Silver)-COLUMN(Construction_Name_and_Level)+1),FALSE)</f>
        <v>600</v>
      </c>
    </row>
    <row r="79" spans="2:92" ht="15" customHeight="1">
      <c r="B79" s="506" t="s">
        <v>145</v>
      </c>
      <c r="C79" s="146" t="s">
        <v>151</v>
      </c>
      <c r="D79" s="145">
        <v>2.0833333333333333E-3</v>
      </c>
      <c r="E79" s="506">
        <v>7</v>
      </c>
      <c r="AF79" s="141"/>
      <c r="AG79" s="141"/>
      <c r="AH79" s="137"/>
      <c r="AI79" s="484"/>
      <c r="AJ79" s="137">
        <f t="shared" si="6"/>
        <v>0.125</v>
      </c>
      <c r="CN79" s="5">
        <v>7000</v>
      </c>
    </row>
    <row r="80" spans="2:92" ht="15" customHeight="1">
      <c r="B80" s="506" t="s">
        <v>146</v>
      </c>
      <c r="C80" s="127" t="s">
        <v>138</v>
      </c>
      <c r="D80" s="144" t="s">
        <v>1513</v>
      </c>
      <c r="E80" s="506">
        <v>7</v>
      </c>
      <c r="F80" s="12">
        <v>0</v>
      </c>
      <c r="G80" s="111">
        <f>VLOOKUP($D80,Research!$C:$F,(COLUMN(Research_ResearchReward_HeroXP)-COLUMN(Research_Name_and_Level)+1),FALSE)</f>
        <v>12000</v>
      </c>
      <c r="H80" s="111">
        <f t="shared" si="7"/>
        <v>12000</v>
      </c>
      <c r="J80" s="115">
        <f>VLOOKUP($D80,Research!$C:$G,(COLUMN(Research_ResearchReward_Power)-COLUMN(Research_Name_and_Level)+1),FALSE)</f>
        <v>125</v>
      </c>
      <c r="R80" s="148">
        <v>5.5555555555555558E-3</v>
      </c>
      <c r="AF80" s="141"/>
      <c r="AG80" s="141"/>
      <c r="AH80" s="137"/>
      <c r="AI80" s="484"/>
      <c r="AJ80" s="137">
        <f t="shared" si="6"/>
        <v>0.125</v>
      </c>
      <c r="AP80" s="256">
        <v>0.01</v>
      </c>
      <c r="AQ80" s="147">
        <f>VLOOKUP($D80,Research!$C:$D,(COLUMN(Research_Time)-COLUMN(Research_Name_and_Level)+1),FALSE)</f>
        <v>1.0416666666666666E-2</v>
      </c>
      <c r="AR80" s="147">
        <f>AQ80/(1+AP80)</f>
        <v>1.0313531353135313E-2</v>
      </c>
      <c r="AS80" s="147">
        <f>(S$3*S80+T$3*T80+V$3*V80+W$3*W80+X$3*X80+Y$3*Y80+Z$3*Z80+AA$3*AA80+AB$3*AB80+AC$3*AC80)*(-1)</f>
        <v>0</v>
      </c>
      <c r="AT80" s="148">
        <f>IF(AR80-R80-AS80&gt;=0,AR80-R80-AS80,0)</f>
        <v>4.7579757975797577E-3</v>
      </c>
      <c r="AU80" s="111">
        <f>VLOOKUP($D80,Research!$C:$L,(COLUMN(Research_ResearchCost_Stone)-COLUMN(Research_Name_and_Level)+1),FALSE)*(-1)</f>
        <v>-300</v>
      </c>
      <c r="AV80" s="111">
        <f>VLOOKUP($D80,Research!$C:$L,(COLUMN(Research_ResearchCost_Wood)-COLUMN(Research_Name_and_Level)+1),FALSE)*(-1)</f>
        <v>-500</v>
      </c>
      <c r="AW80" s="111">
        <f>VLOOKUP($D80,Research!$C:$L,(COLUMN(Research_ResearchCost_Ore)-COLUMN(Research_Name_and_Level)+1),FALSE)*(-1)</f>
        <v>-400</v>
      </c>
      <c r="AX80" s="111">
        <f>VLOOKUP($D80,Research!$C:$L,(COLUMN(Research_ResearchCost_Food)-COLUMN(Research_Name_and_Level)+1),FALSE)*(-1)</f>
        <v>-25</v>
      </c>
      <c r="AY80" s="112">
        <f>VLOOKUP($D80,Research!$C:$L,(COLUMN(Research_ResearchCost_Silver)-COLUMN(Research_Name_and_Level)+1),FALSE)*(-1)</f>
        <v>-2500</v>
      </c>
    </row>
    <row r="81" spans="2:92" ht="15" customHeight="1">
      <c r="B81" s="506" t="s">
        <v>143</v>
      </c>
      <c r="C81" s="127" t="s">
        <v>170</v>
      </c>
      <c r="D81" s="144" t="s">
        <v>1513</v>
      </c>
      <c r="E81" s="506">
        <v>7</v>
      </c>
      <c r="F81" s="12">
        <v>0</v>
      </c>
      <c r="G81" s="101">
        <f>VLOOKUP($D81,Research!$C:$S,(COLUMN(Research_QuestReward_HeroXP)-COLUMN(Research_Name_and_Level)+1),FALSE)</f>
        <v>2000</v>
      </c>
      <c r="H81" s="101">
        <f t="shared" si="7"/>
        <v>2000</v>
      </c>
      <c r="J81" s="100">
        <f>VLOOKUP($D81,Research!$C:$S,(COLUMN(Research_QuestReward_Power)-COLUMN(Research_Name_and_Level)+1),FALSE)</f>
        <v>25</v>
      </c>
      <c r="AF81" s="141"/>
      <c r="AG81" s="141"/>
      <c r="AH81" s="137"/>
      <c r="AI81" s="484"/>
      <c r="AJ81" s="137">
        <f t="shared" si="6"/>
        <v>0.125</v>
      </c>
      <c r="AU81" s="101">
        <f>VLOOKUP($D81,Research!$C:$S,(COLUMN(Research_QuestReward_Stone)-COLUMN(Research_Name_and_Level)+1),FALSE)</f>
        <v>0</v>
      </c>
      <c r="AV81" s="101">
        <f>VLOOKUP($D81,Research!$C:$S,(COLUMN(Research_QuestReward_Wood)-COLUMN(Research_Name_and_Level)+1),FALSE)</f>
        <v>0</v>
      </c>
      <c r="AW81" s="101">
        <f>VLOOKUP($D81,Research!$C:$S,(COLUMN(Research_QuestReward_Ore)-COLUMN(Research_Name_and_Level)+1),FALSE)</f>
        <v>0</v>
      </c>
      <c r="AX81" s="101">
        <f>VLOOKUP($D81,Research!$C:$S,(COLUMN(Research_QuestReward_Food)-COLUMN(Research_Name_and_Level)+1),FALSE)</f>
        <v>0</v>
      </c>
      <c r="AY81" s="100">
        <f>VLOOKUP($D81,Research!$C:$S,(COLUMN(Research_QuestReward_Silver)-COLUMN(Research_Name_and_Level)+1),FALSE)</f>
        <v>1500</v>
      </c>
    </row>
    <row r="82" spans="2:92" ht="15" customHeight="1">
      <c r="B82" s="506" t="s">
        <v>144</v>
      </c>
      <c r="C82" s="127" t="s">
        <v>149</v>
      </c>
      <c r="D82" s="144" t="s">
        <v>1514</v>
      </c>
      <c r="E82" s="506">
        <v>7</v>
      </c>
      <c r="F82" s="12">
        <v>0</v>
      </c>
      <c r="G82" s="94">
        <f>VLOOKUP($D82,Construction!$B:$E,(COLUMN(Construction_BuildingReward_HeroXP)-COLUMN(Construction_Name_and_Level)+1),FALSE)</f>
        <v>25</v>
      </c>
      <c r="H82" s="94">
        <f t="shared" si="7"/>
        <v>25</v>
      </c>
      <c r="J82" s="95">
        <f>VLOOKUP($D82,Construction!$B:$F,(COLUMN(Construction_BuildingReward_Power)-COLUMN(Construction_Name_and_Level)+1),FALSE)</f>
        <v>10</v>
      </c>
      <c r="Q82" s="139">
        <v>3.472222222222222E-3</v>
      </c>
      <c r="R82" s="139">
        <v>5.5555555555555558E-3</v>
      </c>
      <c r="AF82" s="141"/>
      <c r="AG82" s="141"/>
      <c r="AH82" s="137"/>
      <c r="AI82" s="484"/>
      <c r="AJ82" s="137">
        <f t="shared" si="6"/>
        <v>0.125</v>
      </c>
      <c r="AK82" s="339">
        <v>0.01</v>
      </c>
      <c r="AL82" s="138">
        <f>VLOOKUP($D82,Construction!$B:$C,(COLUMN(Construction_Time)-COLUMN(Construction_Name_and_Level)+1),FALSE)</f>
        <v>1.1574074074074073E-3</v>
      </c>
      <c r="AM82" s="138">
        <f>AL82/(1+AK82)</f>
        <v>1.1459479281261458E-3</v>
      </c>
      <c r="AN82" s="138">
        <f>(S$3*S82+T$3*T82+V$3*V82+W$3*W82+X$3*X82+Y$3*Y82+Z$3*Z82+AA$3*AA82+AB$3*AB82+AC$3*AC82)*(-1)</f>
        <v>0</v>
      </c>
      <c r="AO82" s="139">
        <f>IF((AM82-Q82-R82-AN82)&gt;=0,AM82-Q82-R82-AN82,0)</f>
        <v>0</v>
      </c>
      <c r="AU82" s="94">
        <f>VLOOKUP($D82,Construction!$B:$J,(COLUMN(Construction_BuildingCost_Stone)-COLUMN(Construction_Name_and_Level)+1),FALSE)*(-1)</f>
        <v>-170</v>
      </c>
      <c r="AV82" s="94">
        <f>VLOOKUP($D82,Construction!$B:$J,(COLUMN(Construction_BuildingCost_Wood)-COLUMN(Construction_Name_and_Level)+1),FALSE)*(-1)</f>
        <v>-170</v>
      </c>
      <c r="AW82" s="94">
        <f>VLOOKUP($D82,Construction!$B:$J,(COLUMN(Construction_BuildingCost_Ore)-COLUMN(Construction_Name_and_Level)+1),FALSE)*(-1)</f>
        <v>-170</v>
      </c>
      <c r="AX82" s="94">
        <f>VLOOKUP($D82,Construction!$B:$J,(COLUMN(Construction_BuildingCost_Food)-COLUMN(Construction_Name_and_Level)+1),FALSE)*(-1)</f>
        <v>0</v>
      </c>
    </row>
    <row r="83" spans="2:92" ht="15" customHeight="1">
      <c r="B83" s="506" t="s">
        <v>143</v>
      </c>
      <c r="C83" s="127" t="s">
        <v>139</v>
      </c>
      <c r="D83" s="144" t="s">
        <v>1514</v>
      </c>
      <c r="E83" s="506">
        <v>7</v>
      </c>
      <c r="F83" s="12">
        <v>0</v>
      </c>
      <c r="G83" s="101">
        <f>VLOOKUP($D83,Construction!$B:$L,(COLUMN(Construction_QuestReward_HeroXP)-COLUMN(Construction_Name_and_Level)+1),FALSE)</f>
        <v>2575</v>
      </c>
      <c r="H83" s="101">
        <f t="shared" si="7"/>
        <v>2575</v>
      </c>
      <c r="J83" s="100">
        <f>VLOOKUP($D83,Construction!$B:$L,(COLUMN(Construction_QuestReward_Power)-COLUMN(Construction_Name_and_Level)+1),FALSE)</f>
        <v>2</v>
      </c>
      <c r="AF83" s="141"/>
      <c r="AG83" s="141"/>
      <c r="AH83" s="137"/>
      <c r="AI83" s="484"/>
      <c r="AJ83" s="137">
        <f t="shared" si="6"/>
        <v>0.125</v>
      </c>
      <c r="AU83" s="101">
        <f>VLOOKUP($D83,Construction!$B:$Q,(COLUMN(Construction_QuestReward_Stone)-COLUMN(Construction_Name_and_Level)+1),FALSE)</f>
        <v>0</v>
      </c>
      <c r="AV83" s="101">
        <f>VLOOKUP($D83,Construction!$B:$Q,(COLUMN(Construction_QuestReward_Wood)-COLUMN(Construction_Name_and_Level)+1),FALSE)</f>
        <v>0</v>
      </c>
      <c r="AW83" s="101">
        <f>VLOOKUP($D83,Construction!$B:$Q,(COLUMN(Construction_QuestReward_Ore)-COLUMN(Construction_Name_and_Level)+1),FALSE)</f>
        <v>0</v>
      </c>
      <c r="AX83" s="101">
        <f>VLOOKUP($D83,Construction!$B:$Q,(COLUMN(Construction_QuestReward_Food)-COLUMN(Construction_Name_and_Level)+1),FALSE)</f>
        <v>5000</v>
      </c>
      <c r="AY83" s="100">
        <f>VLOOKUP($D83,Construction!$B:$Q,(COLUMN(Construction_QuestReward_Silver)-COLUMN(Construction_Name_and_Level)+1),FALSE)</f>
        <v>0</v>
      </c>
    </row>
    <row r="84" spans="2:92" ht="15" customHeight="1">
      <c r="B84" s="506" t="s">
        <v>143</v>
      </c>
      <c r="C84" s="127" t="s">
        <v>182</v>
      </c>
      <c r="D84" s="144" t="s">
        <v>1515</v>
      </c>
      <c r="E84" s="506">
        <v>7</v>
      </c>
      <c r="F84" s="12">
        <v>0</v>
      </c>
      <c r="G84" s="101">
        <v>0</v>
      </c>
      <c r="H84" s="101">
        <f t="shared" si="7"/>
        <v>0</v>
      </c>
      <c r="J84" s="100">
        <v>25</v>
      </c>
      <c r="AF84" s="141"/>
      <c r="AG84" s="141"/>
      <c r="AH84" s="137"/>
      <c r="AI84" s="484"/>
      <c r="AJ84" s="137">
        <f t="shared" si="6"/>
        <v>0.125</v>
      </c>
      <c r="AX84" s="101">
        <v>2500</v>
      </c>
    </row>
    <row r="85" spans="2:92" ht="15" customHeight="1">
      <c r="B85" s="17" t="s">
        <v>148</v>
      </c>
      <c r="E85" s="506">
        <v>7</v>
      </c>
      <c r="AF85" s="141"/>
      <c r="AG85" s="141"/>
      <c r="AH85" s="137"/>
      <c r="AI85" s="484"/>
      <c r="AJ85" s="137">
        <f t="shared" si="6"/>
        <v>0.125</v>
      </c>
      <c r="AX85" s="142">
        <v>12500</v>
      </c>
    </row>
    <row r="86" spans="2:92" ht="15" customHeight="1">
      <c r="B86" s="506" t="s">
        <v>146</v>
      </c>
      <c r="C86" s="127" t="s">
        <v>138</v>
      </c>
      <c r="D86" s="144" t="s">
        <v>1516</v>
      </c>
      <c r="E86" s="506">
        <v>7</v>
      </c>
      <c r="F86" s="12">
        <v>0</v>
      </c>
      <c r="G86" s="111">
        <f>VLOOKUP($D86,Research!$C:$F,(COLUMN(Research_ResearchReward_HeroXP)-COLUMN(Research_Name_and_Level)+1),FALSE)</f>
        <v>12000</v>
      </c>
      <c r="H86" s="111">
        <f t="shared" si="7"/>
        <v>12000</v>
      </c>
      <c r="J86" s="115">
        <f>VLOOKUP($D86,Research!$C:$G,(COLUMN(Research_ResearchReward_Power)-COLUMN(Research_Name_and_Level)+1),FALSE)</f>
        <v>150</v>
      </c>
      <c r="R86" s="148">
        <v>5.5555555555555558E-3</v>
      </c>
      <c r="AF86" s="141"/>
      <c r="AG86" s="141"/>
      <c r="AH86" s="137"/>
      <c r="AI86" s="484"/>
      <c r="AJ86" s="137">
        <f t="shared" si="6"/>
        <v>0.125</v>
      </c>
      <c r="AP86" s="256">
        <v>0.01</v>
      </c>
      <c r="AQ86" s="147">
        <f>VLOOKUP($D86,Research!$C:$D,(COLUMN(Research_Time)-COLUMN(Research_Name_and_Level)+1),FALSE)</f>
        <v>1.7361111111111112E-2</v>
      </c>
      <c r="AR86" s="147">
        <f>AQ86/(1+AP86)</f>
        <v>1.718921892189219E-2</v>
      </c>
      <c r="AS86" s="147">
        <f>(S$3*S86+T$3*T86+V$3*V86+W$3*W86+X$3*X86+Y$3*Y86+Z$3*Z86+AA$3*AA86+AB$3*AB86+AC$3*AC86)*(-1)</f>
        <v>0</v>
      </c>
      <c r="AT86" s="148">
        <f>IF(AR86-R86-AS86&gt;=0,AR86-R86-AS86,0)</f>
        <v>1.1633663366336634E-2</v>
      </c>
      <c r="AU86" s="111">
        <f>VLOOKUP($D86,Research!$C:$L,(COLUMN(Research_ResearchCost_Stone)-COLUMN(Research_Name_and_Level)+1),FALSE)*(-1)</f>
        <v>-25</v>
      </c>
      <c r="AV86" s="111">
        <f>VLOOKUP($D86,Research!$C:$L,(COLUMN(Research_ResearchCost_Wood)-COLUMN(Research_Name_and_Level)+1),FALSE)*(-1)</f>
        <v>-400</v>
      </c>
      <c r="AW86" s="111">
        <f>VLOOKUP($D86,Research!$C:$L,(COLUMN(Research_ResearchCost_Ore)-COLUMN(Research_Name_and_Level)+1),FALSE)*(-1)</f>
        <v>-500</v>
      </c>
      <c r="AX86" s="111">
        <f>VLOOKUP($D86,Research!$C:$L,(COLUMN(Research_ResearchCost_Food)-COLUMN(Research_Name_and_Level)+1),FALSE)*(-1)</f>
        <v>-300</v>
      </c>
      <c r="AY86" s="112">
        <f>VLOOKUP($D86,Research!$C:$L,(COLUMN(Research_ResearchCost_Silver)-COLUMN(Research_Name_and_Level)+1),FALSE)*(-1)</f>
        <v>-3000</v>
      </c>
    </row>
    <row r="87" spans="2:92" ht="15" customHeight="1">
      <c r="B87" s="506" t="s">
        <v>143</v>
      </c>
      <c r="C87" s="127" t="s">
        <v>170</v>
      </c>
      <c r="D87" s="144" t="s">
        <v>1516</v>
      </c>
      <c r="E87" s="506">
        <v>7</v>
      </c>
      <c r="F87" s="12">
        <v>0</v>
      </c>
      <c r="G87" s="101">
        <f>VLOOKUP($D87,Research!$C:$S,(COLUMN(Research_QuestReward_HeroXP)-COLUMN(Research_Name_and_Level)+1),FALSE)</f>
        <v>3000</v>
      </c>
      <c r="H87" s="101">
        <f t="shared" si="7"/>
        <v>3000</v>
      </c>
      <c r="J87" s="100">
        <f>VLOOKUP($D87,Research!$C:$S,(COLUMN(Research_QuestReward_Power)-COLUMN(Research_Name_and_Level)+1),FALSE)</f>
        <v>25</v>
      </c>
      <c r="AF87" s="141"/>
      <c r="AG87" s="141"/>
      <c r="AH87" s="137"/>
      <c r="AI87" s="484"/>
      <c r="AJ87" s="137">
        <f t="shared" si="6"/>
        <v>0.125</v>
      </c>
      <c r="AU87" s="101">
        <f>VLOOKUP($D87,Research!$C:$S,(COLUMN(Research_QuestReward_Stone)-COLUMN(Research_Name_and_Level)+1),FALSE)</f>
        <v>0</v>
      </c>
      <c r="AV87" s="101">
        <f>VLOOKUP($D87,Research!$C:$S,(COLUMN(Research_QuestReward_Wood)-COLUMN(Research_Name_and_Level)+1),FALSE)</f>
        <v>0</v>
      </c>
      <c r="AW87" s="101">
        <f>VLOOKUP($D87,Research!$C:$S,(COLUMN(Research_QuestReward_Ore)-COLUMN(Research_Name_and_Level)+1),FALSE)</f>
        <v>0</v>
      </c>
      <c r="AX87" s="101">
        <f>VLOOKUP($D87,Research!$C:$S,(COLUMN(Research_QuestReward_Food)-COLUMN(Research_Name_and_Level)+1),FALSE)</f>
        <v>0</v>
      </c>
      <c r="AY87" s="100">
        <f>VLOOKUP($D87,Research!$C:$S,(COLUMN(Research_QuestReward_Silver)-COLUMN(Research_Name_and_Level)+1),FALSE)</f>
        <v>1500</v>
      </c>
    </row>
    <row r="88" spans="2:92" ht="15" customHeight="1">
      <c r="B88" s="506" t="s">
        <v>144</v>
      </c>
      <c r="C88" s="127" t="s">
        <v>149</v>
      </c>
      <c r="D88" s="144" t="s">
        <v>1517</v>
      </c>
      <c r="E88" s="506">
        <v>7</v>
      </c>
      <c r="F88" s="12">
        <v>0</v>
      </c>
      <c r="G88" s="94">
        <f>VLOOKUP($D88,Construction!$B:$E,(COLUMN(Construction_BuildingReward_HeroXP)-COLUMN(Construction_Name_and_Level)+1),FALSE)</f>
        <v>25</v>
      </c>
      <c r="H88" s="94">
        <f t="shared" si="7"/>
        <v>25</v>
      </c>
      <c r="J88" s="95">
        <f>VLOOKUP($D88,Construction!$B:$F,(COLUMN(Construction_BuildingReward_Power)-COLUMN(Construction_Name_and_Level)+1),FALSE)</f>
        <v>25</v>
      </c>
      <c r="Q88" s="139">
        <v>3.472222222222222E-3</v>
      </c>
      <c r="R88" s="139">
        <v>5.5555555555555558E-3</v>
      </c>
      <c r="AF88" s="141"/>
      <c r="AG88" s="141"/>
      <c r="AH88" s="137"/>
      <c r="AI88" s="484"/>
      <c r="AJ88" s="137">
        <f t="shared" si="6"/>
        <v>0.125</v>
      </c>
      <c r="AK88" s="339">
        <v>0.01</v>
      </c>
      <c r="AL88" s="138">
        <f>VLOOKUP($D88,Construction!$B:$C,(COLUMN(Construction_Time)-COLUMN(Construction_Name_and_Level)+1),FALSE)</f>
        <v>1.1574074074074073E-3</v>
      </c>
      <c r="AM88" s="138">
        <f>AL88/(1+AK88)</f>
        <v>1.1459479281261458E-3</v>
      </c>
      <c r="AN88" s="138">
        <f>(S$3*S88+T$3*T88+V$3*V88+W$3*W88+X$3*X88+Y$3*Y88+Z$3*Z88+AA$3*AA88+AB$3*AB88+AC$3*AC88)*(-1)</f>
        <v>0</v>
      </c>
      <c r="AO88" s="139">
        <f>IF((AM88-Q88-R88-AN88)&gt;=0,AM88-Q88-R88-AN88,0)</f>
        <v>0</v>
      </c>
      <c r="AU88" s="94">
        <f>VLOOKUP($D88,Construction!$B:$J,(COLUMN(Construction_BuildingCost_Stone)-COLUMN(Construction_Name_and_Level)+1),FALSE)*(-1)</f>
        <v>-340</v>
      </c>
      <c r="AV88" s="94">
        <f>VLOOKUP($D88,Construction!$B:$J,(COLUMN(Construction_BuildingCost_Wood)-COLUMN(Construction_Name_and_Level)+1),FALSE)*(-1)</f>
        <v>-340</v>
      </c>
      <c r="AW88" s="94">
        <f>VLOOKUP($D88,Construction!$B:$J,(COLUMN(Construction_BuildingCost_Ore)-COLUMN(Construction_Name_and_Level)+1),FALSE)*(-1)</f>
        <v>-85</v>
      </c>
      <c r="AX88" s="94">
        <f>VLOOKUP($D88,Construction!$B:$J,(COLUMN(Construction_BuildingCost_Food)-COLUMN(Construction_Name_and_Level)+1),FALSE)*(-1)</f>
        <v>-850</v>
      </c>
    </row>
    <row r="89" spans="2:92" ht="15" customHeight="1">
      <c r="B89" s="506" t="s">
        <v>143</v>
      </c>
      <c r="C89" s="127" t="s">
        <v>139</v>
      </c>
      <c r="D89" s="144" t="s">
        <v>1517</v>
      </c>
      <c r="E89" s="506">
        <v>7</v>
      </c>
      <c r="F89" s="12">
        <v>0</v>
      </c>
      <c r="G89" s="101">
        <f>VLOOKUP($D89,Construction!$B:$L,(COLUMN(Construction_QuestReward_HeroXP)-COLUMN(Construction_Name_and_Level)+1),FALSE)</f>
        <v>2575</v>
      </c>
      <c r="H89" s="101">
        <f t="shared" si="7"/>
        <v>2575</v>
      </c>
      <c r="J89" s="100">
        <f>VLOOKUP($D89,Construction!$B:$L,(COLUMN(Construction_QuestReward_Power)-COLUMN(Construction_Name_and_Level)+1),FALSE)</f>
        <v>5</v>
      </c>
      <c r="AF89" s="141"/>
      <c r="AG89" s="141"/>
      <c r="AH89" s="137"/>
      <c r="AI89" s="484"/>
      <c r="AJ89" s="137">
        <f t="shared" si="6"/>
        <v>0.125</v>
      </c>
      <c r="AU89" s="101">
        <f>VLOOKUP($D89,Construction!$B:$Q,(COLUMN(Construction_QuestReward_Stone)-COLUMN(Construction_Name_and_Level)+1),FALSE)</f>
        <v>0</v>
      </c>
      <c r="AV89" s="101">
        <f>VLOOKUP($D89,Construction!$B:$Q,(COLUMN(Construction_QuestReward_Wood)-COLUMN(Construction_Name_and_Level)+1),FALSE)</f>
        <v>0</v>
      </c>
      <c r="AW89" s="101">
        <f>VLOOKUP($D89,Construction!$B:$Q,(COLUMN(Construction_QuestReward_Ore)-COLUMN(Construction_Name_and_Level)+1),FALSE)</f>
        <v>0</v>
      </c>
      <c r="AX89" s="101">
        <f>VLOOKUP($D89,Construction!$B:$Q,(COLUMN(Construction_QuestReward_Food)-COLUMN(Construction_Name_and_Level)+1),FALSE)</f>
        <v>0</v>
      </c>
      <c r="AY89" s="100">
        <f>VLOOKUP($D89,Construction!$B:$Q,(COLUMN(Construction_QuestReward_Silver)-COLUMN(Construction_Name_and_Level)+1),FALSE)</f>
        <v>750</v>
      </c>
    </row>
    <row r="90" spans="2:92" ht="15" customHeight="1">
      <c r="B90" s="506" t="s">
        <v>195</v>
      </c>
      <c r="C90" s="127" t="s">
        <v>196</v>
      </c>
      <c r="E90" s="506">
        <v>7</v>
      </c>
      <c r="AF90" s="141"/>
      <c r="AG90" s="141"/>
      <c r="AH90" s="137"/>
      <c r="AI90" s="484"/>
      <c r="AJ90" s="137">
        <f t="shared" si="6"/>
        <v>0.125</v>
      </c>
      <c r="AY90" s="160">
        <v>3000</v>
      </c>
    </row>
    <row r="91" spans="2:92" ht="15" customHeight="1">
      <c r="B91" s="506" t="s">
        <v>144</v>
      </c>
      <c r="C91" s="127" t="s">
        <v>149</v>
      </c>
      <c r="D91" s="144" t="s">
        <v>1518</v>
      </c>
      <c r="E91" s="506">
        <v>7</v>
      </c>
      <c r="F91" s="12">
        <v>0</v>
      </c>
      <c r="G91" s="94">
        <f>VLOOKUP($D91,Construction!$B:$E,(COLUMN(Construction_BuildingReward_HeroXP)-COLUMN(Construction_Name_and_Level)+1),FALSE)</f>
        <v>25</v>
      </c>
      <c r="H91" s="94">
        <f t="shared" si="7"/>
        <v>25</v>
      </c>
      <c r="J91" s="95">
        <f>VLOOKUP($D91,Construction!$B:$F,(COLUMN(Construction_BuildingReward_Power)-COLUMN(Construction_Name_and_Level)+1),FALSE)</f>
        <v>10</v>
      </c>
      <c r="Q91" s="139">
        <v>3.472222222222222E-3</v>
      </c>
      <c r="R91" s="139">
        <v>5.5555555555555558E-3</v>
      </c>
      <c r="AF91" s="141"/>
      <c r="AG91" s="141"/>
      <c r="AH91" s="137"/>
      <c r="AI91" s="484"/>
      <c r="AJ91" s="137">
        <f t="shared" si="6"/>
        <v>0.125</v>
      </c>
      <c r="AK91" s="339">
        <v>0.01</v>
      </c>
      <c r="AL91" s="138">
        <f>VLOOKUP($D91,Construction!$B:$C,(COLUMN(Construction_Time)-COLUMN(Construction_Name_and_Level)+1),FALSE)</f>
        <v>1.3888888888888889E-3</v>
      </c>
      <c r="AM91" s="138">
        <f>AL91/(1+AK91)</f>
        <v>1.3751375137513752E-3</v>
      </c>
      <c r="AN91" s="138">
        <f>(S$3*S91+T$3*T91+V$3*V91+W$3*W91+X$3*X91+Y$3*Y91+Z$3*Z91+AA$3*AA91+AB$3*AB91+AC$3*AC91)*(-1)</f>
        <v>0</v>
      </c>
      <c r="AO91" s="139">
        <f>IF((AM91-Q91-R91-AN91)&gt;=0,AM91-Q91-R91-AN91,0)</f>
        <v>0</v>
      </c>
      <c r="AU91" s="94">
        <f>VLOOKUP($D91,Construction!$B:$J,(COLUMN(Construction_BuildingCost_Stone)-COLUMN(Construction_Name_and_Level)+1),FALSE)*(-1)</f>
        <v>-170</v>
      </c>
      <c r="AV91" s="94">
        <f>VLOOKUP($D91,Construction!$B:$J,(COLUMN(Construction_BuildingCost_Wood)-COLUMN(Construction_Name_and_Level)+1),FALSE)*(-1)</f>
        <v>0</v>
      </c>
      <c r="AW91" s="94">
        <f>VLOOKUP($D91,Construction!$B:$J,(COLUMN(Construction_BuildingCost_Ore)-COLUMN(Construction_Name_and_Level)+1),FALSE)*(-1)</f>
        <v>-170</v>
      </c>
      <c r="AX91" s="94">
        <f>VLOOKUP($D91,Construction!$B:$J,(COLUMN(Construction_BuildingCost_Food)-COLUMN(Construction_Name_and_Level)+1),FALSE)*(-1)</f>
        <v>-170</v>
      </c>
    </row>
    <row r="92" spans="2:92" ht="15" customHeight="1">
      <c r="B92" s="506" t="s">
        <v>143</v>
      </c>
      <c r="C92" s="127" t="s">
        <v>139</v>
      </c>
      <c r="D92" s="144" t="s">
        <v>1518</v>
      </c>
      <c r="E92" s="506">
        <v>7</v>
      </c>
      <c r="F92" s="12">
        <v>0</v>
      </c>
      <c r="G92" s="101">
        <f>VLOOKUP($D92,Construction!$B:$L,(COLUMN(Construction_QuestReward_HeroXP)-COLUMN(Construction_Name_and_Level)+1),FALSE)</f>
        <v>2575</v>
      </c>
      <c r="H92" s="101">
        <f t="shared" si="7"/>
        <v>2575</v>
      </c>
      <c r="J92" s="100">
        <f>VLOOKUP($D92,Construction!$B:$L,(COLUMN(Construction_QuestReward_Power)-COLUMN(Construction_Name_and_Level)+1),FALSE)</f>
        <v>2</v>
      </c>
      <c r="AF92" s="141"/>
      <c r="AG92" s="141"/>
      <c r="AH92" s="137"/>
      <c r="AI92" s="484"/>
      <c r="AJ92" s="137">
        <f t="shared" si="6"/>
        <v>0.125</v>
      </c>
      <c r="AU92" s="101">
        <f>VLOOKUP($D92,Construction!$B:$Q,(COLUMN(Construction_QuestReward_Stone)-COLUMN(Construction_Name_and_Level)+1),FALSE)</f>
        <v>0</v>
      </c>
      <c r="AV92" s="101">
        <f>VLOOKUP($D92,Construction!$B:$Q,(COLUMN(Construction_QuestReward_Wood)-COLUMN(Construction_Name_and_Level)+1),FALSE)</f>
        <v>5000</v>
      </c>
      <c r="AW92" s="101">
        <f>VLOOKUP($D92,Construction!$B:$Q,(COLUMN(Construction_QuestReward_Ore)-COLUMN(Construction_Name_and_Level)+1),FALSE)</f>
        <v>0</v>
      </c>
      <c r="AX92" s="101">
        <f>VLOOKUP($D92,Construction!$B:$Q,(COLUMN(Construction_QuestReward_Food)-COLUMN(Construction_Name_and_Level)+1),FALSE)</f>
        <v>0</v>
      </c>
      <c r="AY92" s="100">
        <f>VLOOKUP($D92,Construction!$B:$Q,(COLUMN(Construction_QuestReward_Silver)-COLUMN(Construction_Name_and_Level)+1),FALSE)</f>
        <v>0</v>
      </c>
    </row>
    <row r="93" spans="2:92" ht="15" customHeight="1">
      <c r="B93" s="126" t="s">
        <v>1457</v>
      </c>
      <c r="C93" s="127" t="s">
        <v>147</v>
      </c>
      <c r="D93" s="144" t="s">
        <v>1519</v>
      </c>
      <c r="E93" s="506">
        <v>8</v>
      </c>
      <c r="I93" s="5">
        <v>2</v>
      </c>
      <c r="J93" s="5">
        <v>62</v>
      </c>
      <c r="Q93" s="149"/>
      <c r="AF93" s="141"/>
      <c r="AG93" s="141"/>
      <c r="AH93" s="137"/>
      <c r="AI93" s="484"/>
      <c r="AJ93" s="137">
        <f t="shared" si="6"/>
        <v>0.125</v>
      </c>
      <c r="AX93" s="11"/>
    </row>
    <row r="94" spans="2:92" ht="15" customHeight="1">
      <c r="B94" s="106" t="s">
        <v>171</v>
      </c>
      <c r="C94" s="130"/>
      <c r="D94" s="130" t="s">
        <v>1520</v>
      </c>
      <c r="E94" s="106">
        <v>8</v>
      </c>
      <c r="F94" s="219">
        <v>0</v>
      </c>
      <c r="G94" s="107" t="s">
        <v>1453</v>
      </c>
      <c r="H94" s="107">
        <v>282255</v>
      </c>
      <c r="I94" s="108">
        <v>12</v>
      </c>
      <c r="J94" s="108">
        <v>3716</v>
      </c>
      <c r="K94" s="107">
        <v>3</v>
      </c>
      <c r="L94" s="107">
        <v>770</v>
      </c>
      <c r="M94" s="134">
        <v>0.10416666666666667</v>
      </c>
      <c r="N94" s="109">
        <v>200</v>
      </c>
      <c r="O94" s="109">
        <f>SUMIF($B$4:$B93,"&lt;&gt;"&amp;$CS$13,O$4:O93)</f>
        <v>0</v>
      </c>
      <c r="P94" s="108">
        <f>SUMIF($B$4:$B93,"&lt;&gt;"&amp;$CS$13,N$4:N93)</f>
        <v>200</v>
      </c>
      <c r="Q94" s="134">
        <v>3.472222222222222E-3</v>
      </c>
      <c r="R94" s="134">
        <v>5.5555555555555558E-3</v>
      </c>
      <c r="S94" s="107">
        <v>0</v>
      </c>
      <c r="T94" s="107">
        <v>0</v>
      </c>
      <c r="U94" s="107">
        <v>0</v>
      </c>
      <c r="V94" s="107">
        <v>3</v>
      </c>
      <c r="W94" s="109">
        <v>10</v>
      </c>
      <c r="X94" s="109">
        <v>0</v>
      </c>
      <c r="Y94" s="109">
        <v>0</v>
      </c>
      <c r="Z94" s="109">
        <v>0</v>
      </c>
      <c r="AA94" s="109">
        <v>0</v>
      </c>
      <c r="AB94" s="109">
        <v>0</v>
      </c>
      <c r="AC94" s="109">
        <v>0</v>
      </c>
      <c r="AD94" s="109">
        <v>0</v>
      </c>
      <c r="AE94" s="108">
        <v>0</v>
      </c>
      <c r="AF94" s="136">
        <f>SUMIF($B$4:$B93,"&lt;&gt;"&amp;$CS$13,AF$4:AF93)</f>
        <v>0.15138888888888891</v>
      </c>
      <c r="AG94" s="136">
        <f>SUMIF($B$4:$B93,"&lt;&gt;"&amp;$CS$13,AG$4:AG93)</f>
        <v>0</v>
      </c>
      <c r="AH94" s="134">
        <f>AF94+AG94</f>
        <v>0.15138888888888891</v>
      </c>
      <c r="AI94" s="483">
        <f>SUMIF($B$4:$B93,"&lt;&gt;"&amp;$CS$13,AI$4:AI93)</f>
        <v>2.6388888888888885E-2</v>
      </c>
      <c r="AJ94" s="134">
        <f>S$3*S94+T$3*T94+U$3*U94+V$3*V94+W$3*W94+X$3*X94+Y$3*Y94+Z$3*Z94+AA$3*AA94+AB$3*AB94+AC$3*AC94</f>
        <v>0.12499999999999999</v>
      </c>
      <c r="AK94" s="338">
        <v>0.01</v>
      </c>
      <c r="AL94" s="136" t="s">
        <v>1453</v>
      </c>
      <c r="AM94" s="136" t="s">
        <v>1453</v>
      </c>
      <c r="AN94" s="136" t="s">
        <v>1453</v>
      </c>
      <c r="AO94" s="134" t="s">
        <v>1453</v>
      </c>
      <c r="AP94" s="255">
        <v>0.01</v>
      </c>
      <c r="AQ94" s="136" t="s">
        <v>1453</v>
      </c>
      <c r="AR94" s="136" t="s">
        <v>1453</v>
      </c>
      <c r="AS94" s="136" t="s">
        <v>1453</v>
      </c>
      <c r="AT94" s="134" t="s">
        <v>1453</v>
      </c>
      <c r="AU94" s="107">
        <v>92880</v>
      </c>
      <c r="AV94" s="107">
        <v>93230</v>
      </c>
      <c r="AW94" s="107">
        <v>73900</v>
      </c>
      <c r="AX94" s="109">
        <v>127800</v>
      </c>
      <c r="AY94" s="108">
        <v>33660</v>
      </c>
      <c r="AZ94" s="107">
        <v>41</v>
      </c>
      <c r="BA94" s="107">
        <v>120</v>
      </c>
      <c r="BB94" s="107">
        <v>30</v>
      </c>
      <c r="BC94" s="107">
        <v>178</v>
      </c>
      <c r="BD94" s="108">
        <v>60</v>
      </c>
      <c r="BE94" s="108">
        <v>-20</v>
      </c>
      <c r="BF94" s="107">
        <v>17000</v>
      </c>
      <c r="BG94" s="107">
        <v>21000</v>
      </c>
      <c r="BH94" s="107">
        <v>16500</v>
      </c>
      <c r="BI94" s="107">
        <v>22500</v>
      </c>
      <c r="BJ94" s="108">
        <v>18000</v>
      </c>
      <c r="BK94" s="107">
        <v>4</v>
      </c>
      <c r="BL94" s="108">
        <v>3</v>
      </c>
      <c r="BM94" s="108">
        <v>4</v>
      </c>
      <c r="BN94" s="107">
        <v>2</v>
      </c>
      <c r="BO94" s="108">
        <v>1</v>
      </c>
      <c r="BP94" s="107">
        <v>2</v>
      </c>
      <c r="BQ94" s="108">
        <v>1</v>
      </c>
      <c r="BR94" s="107">
        <v>1</v>
      </c>
      <c r="BS94" s="108">
        <v>1</v>
      </c>
      <c r="BT94" s="107">
        <v>1</v>
      </c>
      <c r="BU94" s="108">
        <v>1</v>
      </c>
      <c r="BV94" s="107">
        <v>2</v>
      </c>
      <c r="BW94" s="108">
        <v>1</v>
      </c>
      <c r="BX94" s="107">
        <v>1</v>
      </c>
      <c r="BY94" s="108">
        <v>1</v>
      </c>
      <c r="BZ94" s="107">
        <v>1</v>
      </c>
      <c r="CA94" s="108">
        <v>1</v>
      </c>
      <c r="CB94" s="108">
        <v>1</v>
      </c>
      <c r="CC94" s="108">
        <v>1</v>
      </c>
      <c r="CD94" s="108">
        <v>1</v>
      </c>
      <c r="CE94" s="107"/>
      <c r="CF94" s="107"/>
      <c r="CG94" s="108"/>
      <c r="CH94" s="107"/>
      <c r="CI94" s="107"/>
      <c r="CJ94" s="108"/>
      <c r="CK94" s="108"/>
      <c r="CL94" s="107">
        <v>25100</v>
      </c>
      <c r="CM94" s="108"/>
      <c r="CN94" s="108" t="s">
        <v>1208</v>
      </c>
    </row>
    <row r="95" spans="2:92" ht="15" customHeight="1">
      <c r="B95" s="506" t="s">
        <v>143</v>
      </c>
      <c r="C95" s="127" t="s">
        <v>182</v>
      </c>
      <c r="D95" s="144" t="s">
        <v>1521</v>
      </c>
      <c r="E95" s="506">
        <v>8</v>
      </c>
      <c r="F95" s="12">
        <v>0</v>
      </c>
      <c r="G95" s="101">
        <v>0</v>
      </c>
      <c r="H95" s="101">
        <f t="shared" si="7"/>
        <v>0</v>
      </c>
      <c r="J95" s="100">
        <v>25</v>
      </c>
      <c r="AF95" s="141"/>
      <c r="AG95" s="141"/>
      <c r="AH95" s="137"/>
      <c r="AI95" s="484"/>
      <c r="AJ95" s="137">
        <f t="shared" ref="AJ95:AJ135" si="8">AJ94+(S$3*S95+T$3*T95+U$3*U95+V$3*V95+W$3*W95+X$3*X95+Y$3*Y95+Z$3*Z95+AA$3*AA95+AB$3*AB95+AC$3*AC95)</f>
        <v>0.12499999999999999</v>
      </c>
      <c r="AV95" s="101">
        <v>2500</v>
      </c>
    </row>
    <row r="96" spans="2:92" ht="15" customHeight="1">
      <c r="B96" s="506" t="s">
        <v>145</v>
      </c>
      <c r="C96" s="146" t="s">
        <v>151</v>
      </c>
      <c r="D96" s="145">
        <v>5.5555555555555558E-3</v>
      </c>
      <c r="E96" s="506">
        <v>8</v>
      </c>
      <c r="AF96" s="141"/>
      <c r="AG96" s="141"/>
      <c r="AH96" s="137"/>
      <c r="AI96" s="484"/>
      <c r="AJ96" s="137">
        <f t="shared" si="8"/>
        <v>0.12499999999999999</v>
      </c>
      <c r="AY96" s="5">
        <v>500</v>
      </c>
    </row>
    <row r="97" spans="2:51" ht="15" customHeight="1">
      <c r="B97" s="17" t="s">
        <v>148</v>
      </c>
      <c r="E97" s="506">
        <v>8</v>
      </c>
      <c r="AF97" s="141"/>
      <c r="AG97" s="141"/>
      <c r="AH97" s="137"/>
      <c r="AI97" s="484"/>
      <c r="AJ97" s="137">
        <f t="shared" si="8"/>
        <v>0.12499999999999999</v>
      </c>
      <c r="AX97" s="142">
        <v>12500</v>
      </c>
    </row>
    <row r="98" spans="2:51" ht="15" customHeight="1">
      <c r="B98" s="506" t="s">
        <v>146</v>
      </c>
      <c r="C98" s="127" t="s">
        <v>138</v>
      </c>
      <c r="D98" s="144" t="s">
        <v>1522</v>
      </c>
      <c r="E98" s="506">
        <v>8</v>
      </c>
      <c r="F98" s="12">
        <v>0</v>
      </c>
      <c r="G98" s="111">
        <f>VLOOKUP($D98,Research!$C:$F,(COLUMN(Research_ResearchReward_HeroXP)-COLUMN(Research_Name_and_Level)+1),FALSE)</f>
        <v>10000</v>
      </c>
      <c r="H98" s="111">
        <f t="shared" si="7"/>
        <v>10000</v>
      </c>
      <c r="J98" s="115">
        <f>VLOOKUP($D98,Research!$C:$G,(COLUMN(Research_ResearchReward_Power)-COLUMN(Research_Name_and_Level)+1),FALSE)</f>
        <v>250</v>
      </c>
      <c r="R98" s="148">
        <v>5.5555555555555558E-3</v>
      </c>
      <c r="AF98" s="141"/>
      <c r="AG98" s="141"/>
      <c r="AH98" s="137"/>
      <c r="AI98" s="484"/>
      <c r="AJ98" s="137">
        <f t="shared" si="8"/>
        <v>0.12499999999999999</v>
      </c>
      <c r="AP98" s="256">
        <v>0.01</v>
      </c>
      <c r="AQ98" s="147">
        <f>VLOOKUP($D98,Research!$C:$D,(COLUMN(Research_Time)-COLUMN(Research_Name_and_Level)+1),FALSE)</f>
        <v>6.9444444444444441E-3</v>
      </c>
      <c r="AR98" s="147">
        <f>AQ98/(1+AP98)</f>
        <v>6.875687568756875E-3</v>
      </c>
      <c r="AS98" s="147">
        <f>(S$3*S98+T$3*T98+V$3*V98+W$3*W98+X$3*X98+Y$3*Y98+Z$3*Z98+AA$3*AA98+AB$3*AB98+AC$3*AC98)*(-1)</f>
        <v>0</v>
      </c>
      <c r="AT98" s="148">
        <f>IF(AR98-R98-AS98&gt;=0,AR98-R98-AS98,0)</f>
        <v>1.3201320132013193E-3</v>
      </c>
      <c r="AU98" s="111">
        <f>VLOOKUP($D98,Research!$C:$L,(COLUMN(Research_ResearchCost_Stone)-COLUMN(Research_Name_and_Level)+1),FALSE)*(-1)</f>
        <v>-5000</v>
      </c>
      <c r="AV98" s="111">
        <f>VLOOKUP($D98,Research!$C:$L,(COLUMN(Research_ResearchCost_Wood)-COLUMN(Research_Name_and_Level)+1),FALSE)*(-1)</f>
        <v>-5000</v>
      </c>
      <c r="AW98" s="111">
        <f>VLOOKUP($D98,Research!$C:$L,(COLUMN(Research_ResearchCost_Ore)-COLUMN(Research_Name_and_Level)+1),FALSE)*(-1)</f>
        <v>-5000</v>
      </c>
      <c r="AX98" s="111">
        <f>VLOOKUP($D98,Research!$C:$L,(COLUMN(Research_ResearchCost_Food)-COLUMN(Research_Name_and_Level)+1),FALSE)*(-1)</f>
        <v>-5000</v>
      </c>
      <c r="AY98" s="112">
        <f>VLOOKUP($D98,Research!$C:$L,(COLUMN(Research_ResearchCost_Silver)-COLUMN(Research_Name_and_Level)+1),FALSE)*(-1)</f>
        <v>-5000</v>
      </c>
    </row>
    <row r="99" spans="2:51" ht="15" customHeight="1">
      <c r="B99" s="506" t="s">
        <v>143</v>
      </c>
      <c r="C99" s="127" t="s">
        <v>170</v>
      </c>
      <c r="D99" s="144" t="s">
        <v>1522</v>
      </c>
      <c r="E99" s="506">
        <v>8</v>
      </c>
      <c r="F99" s="12">
        <v>0</v>
      </c>
      <c r="G99" s="101">
        <f>VLOOKUP($D99,Research!$C:$S,(COLUMN(Research_QuestReward_HeroXP)-COLUMN(Research_Name_and_Level)+1),FALSE)</f>
        <v>5000</v>
      </c>
      <c r="H99" s="101">
        <f t="shared" si="7"/>
        <v>5000</v>
      </c>
      <c r="J99" s="100">
        <f>VLOOKUP($D99,Research!$C:$S,(COLUMN(Research_QuestReward_Power)-COLUMN(Research_Name_and_Level)+1),FALSE)</f>
        <v>25</v>
      </c>
      <c r="AF99" s="141"/>
      <c r="AG99" s="141"/>
      <c r="AH99" s="137"/>
      <c r="AI99" s="484"/>
      <c r="AJ99" s="137">
        <f t="shared" si="8"/>
        <v>0.12499999999999999</v>
      </c>
      <c r="AU99" s="101">
        <f>VLOOKUP($D99,Research!$C:$S,(COLUMN(Research_QuestReward_Stone)-COLUMN(Research_Name_and_Level)+1),FALSE)</f>
        <v>6000</v>
      </c>
      <c r="AV99" s="101">
        <f>VLOOKUP($D99,Research!$C:$S,(COLUMN(Research_QuestReward_Wood)-COLUMN(Research_Name_and_Level)+1),FALSE)</f>
        <v>6000</v>
      </c>
      <c r="AW99" s="101">
        <f>VLOOKUP($D99,Research!$C:$S,(COLUMN(Research_QuestReward_Ore)-COLUMN(Research_Name_and_Level)+1),FALSE)</f>
        <v>6000</v>
      </c>
      <c r="AX99" s="101">
        <f>VLOOKUP($D99,Research!$C:$S,(COLUMN(Research_QuestReward_Food)-COLUMN(Research_Name_and_Level)+1),FALSE)</f>
        <v>6000</v>
      </c>
      <c r="AY99" s="100">
        <f>VLOOKUP($D99,Research!$C:$S,(COLUMN(Research_QuestReward_Silver)-COLUMN(Research_Name_and_Level)+1),FALSE)</f>
        <v>3000</v>
      </c>
    </row>
    <row r="100" spans="2:51" ht="15" customHeight="1">
      <c r="B100" s="506" t="s">
        <v>144</v>
      </c>
      <c r="C100" s="127" t="s">
        <v>149</v>
      </c>
      <c r="D100" s="144" t="s">
        <v>1523</v>
      </c>
      <c r="E100" s="506">
        <v>8</v>
      </c>
      <c r="F100" s="12">
        <v>0</v>
      </c>
      <c r="G100" s="94">
        <f>VLOOKUP($D100,Construction!$B:$E,(COLUMN(Construction_BuildingReward_HeroXP)-COLUMN(Construction_Name_and_Level)+1),FALSE)</f>
        <v>25</v>
      </c>
      <c r="H100" s="94">
        <f t="shared" si="7"/>
        <v>25</v>
      </c>
      <c r="J100" s="95">
        <f>VLOOKUP($D100,Construction!$B:$F,(COLUMN(Construction_BuildingReward_Power)-COLUMN(Construction_Name_and_Level)+1),FALSE)</f>
        <v>10</v>
      </c>
      <c r="Q100" s="139">
        <v>3.472222222222222E-3</v>
      </c>
      <c r="R100" s="139">
        <v>5.5555555555555558E-3</v>
      </c>
      <c r="AF100" s="141"/>
      <c r="AG100" s="141"/>
      <c r="AH100" s="137"/>
      <c r="AI100" s="484"/>
      <c r="AJ100" s="137">
        <f t="shared" si="8"/>
        <v>0.12499999999999999</v>
      </c>
      <c r="AK100" s="339">
        <v>0.01</v>
      </c>
      <c r="AL100" s="138">
        <f>VLOOKUP($D100,Construction!$B:$C,(COLUMN(Construction_Time)-COLUMN(Construction_Name_and_Level)+1),FALSE)</f>
        <v>1.6203703703703703E-3</v>
      </c>
      <c r="AM100" s="138">
        <f>AL100/(1+AK100)</f>
        <v>1.6043270993766042E-3</v>
      </c>
      <c r="AN100" s="138">
        <f>(S$3*S100+T$3*T100+V$3*V100+W$3*W100+X$3*X100+Y$3*Y100+Z$3*Z100+AA$3*AA100+AB$3*AB100+AC$3*AC100)*(-1)</f>
        <v>0</v>
      </c>
      <c r="AO100" s="139">
        <f>IF((AM100-Q100-R100-AN100)&gt;=0,AM100-Q100-R100-AN100,0)</f>
        <v>0</v>
      </c>
      <c r="AU100" s="94">
        <f>VLOOKUP($D100,Construction!$B:$J,(COLUMN(Construction_BuildingCost_Stone)-COLUMN(Construction_Name_and_Level)+1),FALSE)*(-1)</f>
        <v>0</v>
      </c>
      <c r="AV100" s="94">
        <f>VLOOKUP($D100,Construction!$B:$J,(COLUMN(Construction_BuildingCost_Wood)-COLUMN(Construction_Name_and_Level)+1),FALSE)*(-1)</f>
        <v>-170</v>
      </c>
      <c r="AW100" s="94">
        <f>VLOOKUP($D100,Construction!$B:$J,(COLUMN(Construction_BuildingCost_Ore)-COLUMN(Construction_Name_and_Level)+1),FALSE)*(-1)</f>
        <v>-170</v>
      </c>
      <c r="AX100" s="94">
        <f>VLOOKUP($D100,Construction!$B:$J,(COLUMN(Construction_BuildingCost_Food)-COLUMN(Construction_Name_and_Level)+1),FALSE)*(-1)</f>
        <v>-170</v>
      </c>
    </row>
    <row r="101" spans="2:51" ht="15" customHeight="1">
      <c r="B101" s="506" t="s">
        <v>143</v>
      </c>
      <c r="C101" s="127" t="s">
        <v>139</v>
      </c>
      <c r="D101" s="144" t="s">
        <v>1523</v>
      </c>
      <c r="E101" s="506">
        <v>8</v>
      </c>
      <c r="F101" s="12">
        <v>0</v>
      </c>
      <c r="G101" s="101">
        <f>VLOOKUP($D101,Construction!$B:$L,(COLUMN(Construction_QuestReward_HeroXP)-COLUMN(Construction_Name_and_Level)+1),FALSE)</f>
        <v>2575</v>
      </c>
      <c r="H101" s="101">
        <f t="shared" si="7"/>
        <v>2575</v>
      </c>
      <c r="J101" s="100">
        <f>VLOOKUP($D101,Construction!$B:$L,(COLUMN(Construction_QuestReward_Power)-COLUMN(Construction_Name_and_Level)+1),FALSE)</f>
        <v>2</v>
      </c>
      <c r="AF101" s="141"/>
      <c r="AG101" s="141"/>
      <c r="AH101" s="137"/>
      <c r="AI101" s="484"/>
      <c r="AJ101" s="137">
        <f t="shared" si="8"/>
        <v>0.12499999999999999</v>
      </c>
      <c r="AU101" s="101">
        <f>VLOOKUP($D101,Construction!$B:$Q,(COLUMN(Construction_QuestReward_Stone)-COLUMN(Construction_Name_and_Level)+1),FALSE)</f>
        <v>5000</v>
      </c>
      <c r="AV101" s="101">
        <f>VLOOKUP($D101,Construction!$B:$Q,(COLUMN(Construction_QuestReward_Wood)-COLUMN(Construction_Name_and_Level)+1),FALSE)</f>
        <v>0</v>
      </c>
      <c r="AW101" s="101">
        <f>VLOOKUP($D101,Construction!$B:$Q,(COLUMN(Construction_QuestReward_Ore)-COLUMN(Construction_Name_and_Level)+1),FALSE)</f>
        <v>0</v>
      </c>
      <c r="AX101" s="101">
        <f>VLOOKUP($D101,Construction!$B:$Q,(COLUMN(Construction_QuestReward_Food)-COLUMN(Construction_Name_and_Level)+1),FALSE)</f>
        <v>0</v>
      </c>
      <c r="AY101" s="100">
        <f>VLOOKUP($D101,Construction!$B:$Q,(COLUMN(Construction_QuestReward_Silver)-COLUMN(Construction_Name_and_Level)+1),FALSE)</f>
        <v>0</v>
      </c>
    </row>
    <row r="102" spans="2:51" ht="15" customHeight="1">
      <c r="B102" s="506" t="s">
        <v>143</v>
      </c>
      <c r="C102" s="127" t="s">
        <v>182</v>
      </c>
      <c r="D102" s="144" t="s">
        <v>1524</v>
      </c>
      <c r="E102" s="506">
        <v>8</v>
      </c>
      <c r="F102" s="12">
        <v>0</v>
      </c>
      <c r="G102" s="101">
        <v>0</v>
      </c>
      <c r="H102" s="101">
        <f t="shared" si="7"/>
        <v>0</v>
      </c>
      <c r="J102" s="100">
        <v>25</v>
      </c>
      <c r="AF102" s="141"/>
      <c r="AG102" s="141"/>
      <c r="AH102" s="137"/>
      <c r="AI102" s="484"/>
      <c r="AJ102" s="137">
        <f t="shared" si="8"/>
        <v>0.12499999999999999</v>
      </c>
      <c r="AU102" s="101">
        <v>2500</v>
      </c>
    </row>
    <row r="103" spans="2:51" ht="15" customHeight="1">
      <c r="B103" s="506" t="s">
        <v>144</v>
      </c>
      <c r="C103" s="127" t="s">
        <v>149</v>
      </c>
      <c r="D103" s="144" t="s">
        <v>1525</v>
      </c>
      <c r="E103" s="506">
        <v>8</v>
      </c>
      <c r="F103" s="12">
        <v>0</v>
      </c>
      <c r="G103" s="94">
        <f>VLOOKUP($D103,Construction!$B:$E,(COLUMN(Construction_BuildingReward_HeroXP)-COLUMN(Construction_Name_and_Level)+1),FALSE)</f>
        <v>25</v>
      </c>
      <c r="H103" s="94">
        <f t="shared" si="7"/>
        <v>25</v>
      </c>
      <c r="J103" s="95">
        <f>VLOOKUP($D103,Construction!$B:$F,(COLUMN(Construction_BuildingReward_Power)-COLUMN(Construction_Name_and_Level)+1),FALSE)</f>
        <v>10</v>
      </c>
      <c r="Q103" s="139">
        <v>3.472222222222222E-3</v>
      </c>
      <c r="R103" s="139">
        <v>5.5555555555555558E-3</v>
      </c>
      <c r="AF103" s="141"/>
      <c r="AG103" s="141"/>
      <c r="AH103" s="137"/>
      <c r="AI103" s="484"/>
      <c r="AJ103" s="137">
        <f t="shared" si="8"/>
        <v>0.12499999999999999</v>
      </c>
      <c r="AK103" s="339">
        <v>0.01</v>
      </c>
      <c r="AL103" s="138">
        <f>VLOOKUP($D103,Construction!$B:$C,(COLUMN(Construction_Time)-COLUMN(Construction_Name_and_Level)+1),FALSE)</f>
        <v>1.8518518518518517E-3</v>
      </c>
      <c r="AM103" s="138">
        <f>AL103/(1+AK103)</f>
        <v>1.8335166850018333E-3</v>
      </c>
      <c r="AN103" s="138">
        <f>(S$3*S103+T$3*T103+V$3*V103+W$3*W103+X$3*X103+Y$3*Y103+Z$3*Z103+AA$3*AA103+AB$3*AB103+AC$3*AC103)*(-1)</f>
        <v>0</v>
      </c>
      <c r="AO103" s="139">
        <f>IF((AM103-Q103-R103-AN103)&gt;=0,AM103-Q103-R103-AN103,0)</f>
        <v>0</v>
      </c>
      <c r="AU103" s="94">
        <f>VLOOKUP($D103,Construction!$B:$J,(COLUMN(Construction_BuildingCost_Stone)-COLUMN(Construction_Name_and_Level)+1),FALSE)*(-1)</f>
        <v>-170</v>
      </c>
      <c r="AV103" s="94">
        <f>VLOOKUP($D103,Construction!$B:$J,(COLUMN(Construction_BuildingCost_Wood)-COLUMN(Construction_Name_and_Level)+1),FALSE)*(-1)</f>
        <v>-170</v>
      </c>
      <c r="AW103" s="94">
        <f>VLOOKUP($D103,Construction!$B:$J,(COLUMN(Construction_BuildingCost_Ore)-COLUMN(Construction_Name_and_Level)+1),FALSE)*(-1)</f>
        <v>0</v>
      </c>
      <c r="AX103" s="94">
        <f>VLOOKUP($D103,Construction!$B:$J,(COLUMN(Construction_BuildingCost_Food)-COLUMN(Construction_Name_and_Level)+1),FALSE)*(-1)</f>
        <v>-170</v>
      </c>
    </row>
    <row r="104" spans="2:51" ht="15" customHeight="1">
      <c r="B104" s="506" t="s">
        <v>143</v>
      </c>
      <c r="C104" s="127" t="s">
        <v>139</v>
      </c>
      <c r="D104" s="144" t="s">
        <v>1525</v>
      </c>
      <c r="E104" s="506">
        <v>8</v>
      </c>
      <c r="F104" s="12">
        <v>0</v>
      </c>
      <c r="G104" s="101">
        <f>VLOOKUP($D104,Construction!$B:$L,(COLUMN(Construction_QuestReward_HeroXP)-COLUMN(Construction_Name_and_Level)+1),FALSE)</f>
        <v>2575</v>
      </c>
      <c r="H104" s="101">
        <f t="shared" si="7"/>
        <v>2575</v>
      </c>
      <c r="J104" s="100">
        <f>VLOOKUP($D104,Construction!$B:$L,(COLUMN(Construction_QuestReward_Power)-COLUMN(Construction_Name_and_Level)+1),FALSE)</f>
        <v>2</v>
      </c>
      <c r="AF104" s="141"/>
      <c r="AG104" s="141"/>
      <c r="AH104" s="137"/>
      <c r="AI104" s="484"/>
      <c r="AJ104" s="137">
        <f t="shared" si="8"/>
        <v>0.12499999999999999</v>
      </c>
      <c r="AU104" s="101">
        <f>VLOOKUP($D104,Construction!$B:$Q,(COLUMN(Construction_QuestReward_Stone)-COLUMN(Construction_Name_and_Level)+1),FALSE)</f>
        <v>0</v>
      </c>
      <c r="AV104" s="101">
        <f>VLOOKUP($D104,Construction!$B:$Q,(COLUMN(Construction_QuestReward_Wood)-COLUMN(Construction_Name_and_Level)+1),FALSE)</f>
        <v>0</v>
      </c>
      <c r="AW104" s="101">
        <f>VLOOKUP($D104,Construction!$B:$Q,(COLUMN(Construction_QuestReward_Ore)-COLUMN(Construction_Name_and_Level)+1),FALSE)</f>
        <v>5000</v>
      </c>
      <c r="AX104" s="101">
        <f>VLOOKUP($D104,Construction!$B:$Q,(COLUMN(Construction_QuestReward_Food)-COLUMN(Construction_Name_and_Level)+1),FALSE)</f>
        <v>0</v>
      </c>
      <c r="AY104" s="100">
        <f>VLOOKUP($D104,Construction!$B:$Q,(COLUMN(Construction_QuestReward_Silver)-COLUMN(Construction_Name_and_Level)+1),FALSE)</f>
        <v>0</v>
      </c>
    </row>
    <row r="105" spans="2:51" ht="15" customHeight="1">
      <c r="B105" s="506" t="s">
        <v>146</v>
      </c>
      <c r="C105" s="127" t="s">
        <v>138</v>
      </c>
      <c r="D105" s="144" t="s">
        <v>1526</v>
      </c>
      <c r="E105" s="506">
        <v>8</v>
      </c>
      <c r="F105" s="12">
        <v>0</v>
      </c>
      <c r="G105" s="111">
        <f>VLOOKUP($D105,Research!$C:$F,(COLUMN(Research_ResearchReward_HeroXP)-COLUMN(Research_Name_and_Level)+1),FALSE)</f>
        <v>12000</v>
      </c>
      <c r="H105" s="111">
        <f t="shared" si="7"/>
        <v>12000</v>
      </c>
      <c r="J105" s="115">
        <f>VLOOKUP($D105,Research!$C:$G,(COLUMN(Research_ResearchReward_Power)-COLUMN(Research_Name_and_Level)+1),FALSE)</f>
        <v>160</v>
      </c>
      <c r="R105" s="148">
        <v>5.5555555555555558E-3</v>
      </c>
      <c r="V105" s="2">
        <v>-2</v>
      </c>
      <c r="AF105" s="141"/>
      <c r="AG105" s="141"/>
      <c r="AH105" s="137"/>
      <c r="AI105" s="484">
        <f>(-1)*($S$3*$S105+$T$3*$T105+$U$3*$U105+$V$3*$V105+$W$3*$W105+$X$3*$X105+$Y$3*$Y105+$Z$3*$Z105+$AA$3*$AA105+$AB$3*$AB105+$AC$3*$AC105)</f>
        <v>1.3888888888888888E-2</v>
      </c>
      <c r="AJ105" s="137">
        <f t="shared" si="8"/>
        <v>0.1111111111111111</v>
      </c>
      <c r="AP105" s="256">
        <v>0.01</v>
      </c>
      <c r="AQ105" s="147">
        <f>VLOOKUP($D105,Research!$C:$D,(COLUMN(Research_Time)-COLUMN(Research_Name_and_Level)+1),FALSE)</f>
        <v>2.0833333333333332E-2</v>
      </c>
      <c r="AR105" s="147">
        <f>AQ105/(1+AP105)</f>
        <v>2.0627062706270627E-2</v>
      </c>
      <c r="AS105" s="147">
        <f>(S$3*S105+T$3*T105+V$3*V105+W$3*W105+X$3*X105+Y$3*Y105+Z$3*Z105+AA$3*AA105+AB$3*AB105+AC$3*AC105)*(-1)</f>
        <v>1.3888888888888888E-2</v>
      </c>
      <c r="AT105" s="148">
        <f>IF(AR105-R105-AS105&gt;=0,AR105-R105-AS105,0)</f>
        <v>1.1826182618261821E-3</v>
      </c>
      <c r="AU105" s="111">
        <f>VLOOKUP($D105,Research!$C:$L,(COLUMN(Research_ResearchCost_Stone)-COLUMN(Research_Name_and_Level)+1),FALSE)*(-1)</f>
        <v>-300</v>
      </c>
      <c r="AV105" s="111">
        <f>VLOOKUP($D105,Research!$C:$L,(COLUMN(Research_ResearchCost_Wood)-COLUMN(Research_Name_and_Level)+1),FALSE)*(-1)</f>
        <v>-500</v>
      </c>
      <c r="AW105" s="111">
        <f>VLOOKUP($D105,Research!$C:$L,(COLUMN(Research_ResearchCost_Ore)-COLUMN(Research_Name_and_Level)+1),FALSE)*(-1)</f>
        <v>-25</v>
      </c>
      <c r="AX105" s="111">
        <f>VLOOKUP($D105,Research!$C:$L,(COLUMN(Research_ResearchCost_Food)-COLUMN(Research_Name_and_Level)+1),FALSE)*(-1)</f>
        <v>-400</v>
      </c>
      <c r="AY105" s="112">
        <f>VLOOKUP($D105,Research!$C:$L,(COLUMN(Research_ResearchCost_Silver)-COLUMN(Research_Name_and_Level)+1),FALSE)*(-1)</f>
        <v>-3200</v>
      </c>
    </row>
    <row r="106" spans="2:51" ht="15" customHeight="1">
      <c r="B106" s="506" t="s">
        <v>143</v>
      </c>
      <c r="C106" s="127" t="s">
        <v>170</v>
      </c>
      <c r="D106" s="144" t="s">
        <v>1526</v>
      </c>
      <c r="E106" s="506">
        <v>8</v>
      </c>
      <c r="F106" s="12">
        <v>0</v>
      </c>
      <c r="G106" s="101">
        <f>VLOOKUP($D106,Research!$C:$S,(COLUMN(Research_QuestReward_HeroXP)-COLUMN(Research_Name_and_Level)+1),FALSE)</f>
        <v>3000</v>
      </c>
      <c r="H106" s="101">
        <f t="shared" si="7"/>
        <v>3000</v>
      </c>
      <c r="J106" s="100">
        <f>VLOOKUP($D106,Research!$C:$S,(COLUMN(Research_QuestReward_Power)-COLUMN(Research_Name_and_Level)+1),FALSE)</f>
        <v>25</v>
      </c>
      <c r="AF106" s="141"/>
      <c r="AG106" s="141"/>
      <c r="AH106" s="137"/>
      <c r="AI106" s="484"/>
      <c r="AJ106" s="137">
        <f t="shared" si="8"/>
        <v>0.1111111111111111</v>
      </c>
      <c r="AU106" s="101">
        <f>VLOOKUP($D106,Research!$C:$S,(COLUMN(Research_QuestReward_Stone)-COLUMN(Research_Name_and_Level)+1),FALSE)</f>
        <v>0</v>
      </c>
      <c r="AV106" s="101">
        <f>VLOOKUP($D106,Research!$C:$S,(COLUMN(Research_QuestReward_Wood)-COLUMN(Research_Name_and_Level)+1),FALSE)</f>
        <v>0</v>
      </c>
      <c r="AW106" s="101">
        <f>VLOOKUP($D106,Research!$C:$S,(COLUMN(Research_QuestReward_Ore)-COLUMN(Research_Name_and_Level)+1),FALSE)</f>
        <v>0</v>
      </c>
      <c r="AX106" s="101">
        <f>VLOOKUP($D106,Research!$C:$S,(COLUMN(Research_QuestReward_Food)-COLUMN(Research_Name_and_Level)+1),FALSE)</f>
        <v>0</v>
      </c>
      <c r="AY106" s="100">
        <f>VLOOKUP($D106,Research!$C:$S,(COLUMN(Research_QuestReward_Silver)-COLUMN(Research_Name_and_Level)+1),FALSE)</f>
        <v>1500</v>
      </c>
    </row>
    <row r="107" spans="2:51" ht="15" customHeight="1">
      <c r="B107" s="506" t="s">
        <v>144</v>
      </c>
      <c r="C107" s="127" t="s">
        <v>149</v>
      </c>
      <c r="D107" s="144" t="s">
        <v>1527</v>
      </c>
      <c r="E107" s="506">
        <v>8</v>
      </c>
      <c r="F107" s="12">
        <v>0</v>
      </c>
      <c r="G107" s="94">
        <f>VLOOKUP($D107,Construction!$B:$E,(COLUMN(Construction_BuildingReward_HeroXP)-COLUMN(Construction_Name_and_Level)+1),FALSE)</f>
        <v>50</v>
      </c>
      <c r="H107" s="94">
        <f t="shared" si="7"/>
        <v>50</v>
      </c>
      <c r="J107" s="95">
        <f>VLOOKUP($D107,Construction!$B:$F,(COLUMN(Construction_BuildingReward_Power)-COLUMN(Construction_Name_and_Level)+1),FALSE)</f>
        <v>40</v>
      </c>
      <c r="Q107" s="139">
        <v>3.472222222222222E-3</v>
      </c>
      <c r="R107" s="139">
        <v>5.5555555555555558E-3</v>
      </c>
      <c r="AF107" s="141"/>
      <c r="AG107" s="141"/>
      <c r="AH107" s="137"/>
      <c r="AI107" s="484"/>
      <c r="AJ107" s="137">
        <f t="shared" si="8"/>
        <v>0.1111111111111111</v>
      </c>
      <c r="AK107" s="339">
        <v>0.01</v>
      </c>
      <c r="AL107" s="138">
        <f>VLOOKUP($D107,Construction!$B:$C,(COLUMN(Construction_Time)-COLUMN(Construction_Name_and_Level)+1),FALSE)</f>
        <v>2.3148148148148151E-3</v>
      </c>
      <c r="AM107" s="138">
        <f>AL107/(1+AK107)</f>
        <v>2.2918958562522921E-3</v>
      </c>
      <c r="AN107" s="138">
        <f>(S$3*S107+T$3*T107+V$3*V107+W$3*W107+X$3*X107+Y$3*Y107+Z$3*Z107+AA$3*AA107+AB$3*AB107+AC$3*AC107)*(-1)</f>
        <v>0</v>
      </c>
      <c r="AO107" s="139">
        <f>IF((AM107-Q107-R107-AN107)&gt;=0,AM107-Q107-R107-AN107,0)</f>
        <v>0</v>
      </c>
      <c r="AU107" s="94">
        <f>VLOOKUP($D107,Construction!$B:$J,(COLUMN(Construction_BuildingCost_Stone)-COLUMN(Construction_Name_and_Level)+1),FALSE)*(-1)</f>
        <v>-578</v>
      </c>
      <c r="AV107" s="94">
        <f>VLOOKUP($D107,Construction!$B:$J,(COLUMN(Construction_BuildingCost_Wood)-COLUMN(Construction_Name_and_Level)+1),FALSE)*(-1)</f>
        <v>-578</v>
      </c>
      <c r="AW107" s="94">
        <f>VLOOKUP($D107,Construction!$B:$J,(COLUMN(Construction_BuildingCost_Ore)-COLUMN(Construction_Name_and_Level)+1),FALSE)*(-1)</f>
        <v>-145</v>
      </c>
      <c r="AX107" s="94">
        <f>VLOOKUP($D107,Construction!$B:$J,(COLUMN(Construction_BuildingCost_Food)-COLUMN(Construction_Name_and_Level)+1),FALSE)*(-1)</f>
        <v>-1445</v>
      </c>
    </row>
    <row r="108" spans="2:51" ht="15" customHeight="1">
      <c r="B108" s="506" t="s">
        <v>143</v>
      </c>
      <c r="C108" s="127" t="s">
        <v>139</v>
      </c>
      <c r="D108" s="144" t="s">
        <v>1527</v>
      </c>
      <c r="E108" s="506">
        <v>8</v>
      </c>
      <c r="F108" s="12">
        <v>0</v>
      </c>
      <c r="G108" s="101">
        <f>VLOOKUP($D108,Construction!$B:$L,(COLUMN(Construction_QuestReward_HeroXP)-COLUMN(Construction_Name_and_Level)+1),FALSE)</f>
        <v>2600</v>
      </c>
      <c r="H108" s="101">
        <f t="shared" si="7"/>
        <v>2600</v>
      </c>
      <c r="J108" s="100">
        <f>VLOOKUP($D108,Construction!$B:$L,(COLUMN(Construction_QuestReward_Power)-COLUMN(Construction_Name_and_Level)+1),FALSE)</f>
        <v>15</v>
      </c>
      <c r="AF108" s="141"/>
      <c r="AG108" s="141"/>
      <c r="AH108" s="137"/>
      <c r="AI108" s="484"/>
      <c r="AJ108" s="137">
        <f t="shared" si="8"/>
        <v>0.1111111111111111</v>
      </c>
      <c r="AU108" s="101">
        <f>VLOOKUP($D108,Construction!$B:$Q,(COLUMN(Construction_QuestReward_Stone)-COLUMN(Construction_Name_and_Level)+1),FALSE)</f>
        <v>0</v>
      </c>
      <c r="AV108" s="101">
        <f>VLOOKUP($D108,Construction!$B:$Q,(COLUMN(Construction_QuestReward_Wood)-COLUMN(Construction_Name_and_Level)+1),FALSE)</f>
        <v>0</v>
      </c>
      <c r="AW108" s="101">
        <f>VLOOKUP($D108,Construction!$B:$Q,(COLUMN(Construction_QuestReward_Ore)-COLUMN(Construction_Name_and_Level)+1),FALSE)</f>
        <v>0</v>
      </c>
      <c r="AX108" s="101">
        <f>VLOOKUP($D108,Construction!$B:$Q,(COLUMN(Construction_QuestReward_Food)-COLUMN(Construction_Name_and_Level)+1),FALSE)</f>
        <v>0</v>
      </c>
      <c r="AY108" s="100">
        <f>VLOOKUP($D108,Construction!$B:$Q,(COLUMN(Construction_QuestReward_Silver)-COLUMN(Construction_Name_and_Level)+1),FALSE)</f>
        <v>1050</v>
      </c>
    </row>
    <row r="109" spans="2:51" ht="15" customHeight="1">
      <c r="B109" s="506" t="s">
        <v>144</v>
      </c>
      <c r="C109" s="127" t="s">
        <v>149</v>
      </c>
      <c r="D109" s="144" t="s">
        <v>1528</v>
      </c>
      <c r="E109" s="506">
        <v>8</v>
      </c>
      <c r="F109" s="12">
        <v>0</v>
      </c>
      <c r="G109" s="94">
        <f>VLOOKUP($D109,Construction!$B:$E,(COLUMN(Construction_BuildingReward_HeroXP)-COLUMN(Construction_Name_and_Level)+1),FALSE)</f>
        <v>25</v>
      </c>
      <c r="H109" s="94">
        <f t="shared" si="7"/>
        <v>25</v>
      </c>
      <c r="J109" s="95">
        <f>VLOOKUP($D109,Construction!$B:$F,(COLUMN(Construction_BuildingReward_Power)-COLUMN(Construction_Name_and_Level)+1),FALSE)</f>
        <v>40</v>
      </c>
      <c r="Q109" s="139">
        <v>3.472222222222222E-3</v>
      </c>
      <c r="R109" s="139">
        <v>5.5555555555555558E-3</v>
      </c>
      <c r="AF109" s="141"/>
      <c r="AG109" s="141"/>
      <c r="AH109" s="137"/>
      <c r="AI109" s="484"/>
      <c r="AJ109" s="137">
        <f t="shared" si="8"/>
        <v>0.1111111111111111</v>
      </c>
      <c r="AK109" s="339">
        <v>0.01</v>
      </c>
      <c r="AL109" s="138">
        <f>VLOOKUP($D109,Construction!$B:$C,(COLUMN(Construction_Time)-COLUMN(Construction_Name_and_Level)+1),FALSE)</f>
        <v>2.0833333333333333E-3</v>
      </c>
      <c r="AM109" s="138">
        <f>AL109/(1+AK109)</f>
        <v>2.0627062706270625E-3</v>
      </c>
      <c r="AN109" s="138">
        <f>(S$3*S109+T$3*T109+V$3*V109+W$3*W109+X$3*X109+Y$3*Y109+Z$3*Z109+AA$3*AA109+AB$3*AB109+AC$3*AC109)*(-1)</f>
        <v>0</v>
      </c>
      <c r="AO109" s="139">
        <f>IF((AM109-Q109-R109-AN109)&gt;=0,AM109-Q109-R109-AN109,0)</f>
        <v>0</v>
      </c>
      <c r="AU109" s="94">
        <f>VLOOKUP($D109,Construction!$B:$J,(COLUMN(Construction_BuildingCost_Stone)-COLUMN(Construction_Name_and_Level)+1),FALSE)*(-1)</f>
        <v>-850</v>
      </c>
      <c r="AV109" s="94">
        <f>VLOOKUP($D109,Construction!$B:$J,(COLUMN(Construction_BuildingCost_Wood)-COLUMN(Construction_Name_and_Level)+1),FALSE)*(-1)</f>
        <v>-680</v>
      </c>
      <c r="AW109" s="94">
        <f>VLOOKUP($D109,Construction!$B:$J,(COLUMN(Construction_BuildingCost_Ore)-COLUMN(Construction_Name_and_Level)+1),FALSE)*(-1)</f>
        <v>-425</v>
      </c>
      <c r="AX109" s="94">
        <f>VLOOKUP($D109,Construction!$B:$J,(COLUMN(Construction_BuildingCost_Food)-COLUMN(Construction_Name_and_Level)+1),FALSE)*(-1)</f>
        <v>-510</v>
      </c>
    </row>
    <row r="110" spans="2:51" ht="15" customHeight="1">
      <c r="B110" s="506" t="s">
        <v>143</v>
      </c>
      <c r="C110" s="127" t="s">
        <v>139</v>
      </c>
      <c r="D110" s="144" t="s">
        <v>1528</v>
      </c>
      <c r="E110" s="506">
        <v>8</v>
      </c>
      <c r="F110" s="12">
        <v>0</v>
      </c>
      <c r="G110" s="101">
        <f>VLOOKUP($D110,Construction!$B:$L,(COLUMN(Construction_QuestReward_HeroXP)-COLUMN(Construction_Name_and_Level)+1),FALSE)</f>
        <v>2575</v>
      </c>
      <c r="H110" s="101">
        <f t="shared" si="7"/>
        <v>2575</v>
      </c>
      <c r="J110" s="100">
        <f>VLOOKUP($D110,Construction!$B:$L,(COLUMN(Construction_QuestReward_Power)-COLUMN(Construction_Name_and_Level)+1),FALSE)</f>
        <v>10</v>
      </c>
      <c r="AF110" s="141"/>
      <c r="AG110" s="141"/>
      <c r="AH110" s="137"/>
      <c r="AI110" s="484"/>
      <c r="AJ110" s="137">
        <f t="shared" si="8"/>
        <v>0.1111111111111111</v>
      </c>
      <c r="AU110" s="101">
        <f>VLOOKUP($D110,Construction!$B:$Q,(COLUMN(Construction_QuestReward_Stone)-COLUMN(Construction_Name_and_Level)+1),FALSE)</f>
        <v>2200</v>
      </c>
      <c r="AV110" s="101">
        <f>VLOOKUP($D110,Construction!$B:$Q,(COLUMN(Construction_QuestReward_Wood)-COLUMN(Construction_Name_and_Level)+1),FALSE)</f>
        <v>1800</v>
      </c>
      <c r="AW110" s="101">
        <f>VLOOKUP($D110,Construction!$B:$Q,(COLUMN(Construction_QuestReward_Ore)-COLUMN(Construction_Name_and_Level)+1),FALSE)</f>
        <v>1400</v>
      </c>
      <c r="AX110" s="101">
        <f>VLOOKUP($D110,Construction!$B:$Q,(COLUMN(Construction_QuestReward_Food)-COLUMN(Construction_Name_and_Level)+1),FALSE)</f>
        <v>1100</v>
      </c>
      <c r="AY110" s="100">
        <f>VLOOKUP($D110,Construction!$B:$Q,(COLUMN(Construction_QuestReward_Silver)-COLUMN(Construction_Name_and_Level)+1),FALSE)</f>
        <v>200</v>
      </c>
    </row>
    <row r="111" spans="2:51" ht="15" customHeight="1">
      <c r="B111" s="506" t="s">
        <v>146</v>
      </c>
      <c r="C111" s="127" t="s">
        <v>138</v>
      </c>
      <c r="D111" s="144" t="s">
        <v>1529</v>
      </c>
      <c r="E111" s="506">
        <v>8</v>
      </c>
      <c r="F111" s="12">
        <v>0</v>
      </c>
      <c r="G111" s="111">
        <f>VLOOKUP($D111,Research!$C:$F,(COLUMN(Research_ResearchReward_HeroXP)-COLUMN(Research_Name_and_Level)+1),FALSE)</f>
        <v>12000</v>
      </c>
      <c r="H111" s="111">
        <f t="shared" si="7"/>
        <v>12000</v>
      </c>
      <c r="J111" s="115">
        <f>VLOOKUP($D111,Research!$C:$G,(COLUMN(Research_ResearchReward_Power)-COLUMN(Research_Name_and_Level)+1),FALSE)</f>
        <v>137</v>
      </c>
      <c r="R111" s="148">
        <v>5.5555555555555558E-3</v>
      </c>
      <c r="V111" s="2">
        <v>-1</v>
      </c>
      <c r="AF111" s="141"/>
      <c r="AG111" s="141"/>
      <c r="AH111" s="137"/>
      <c r="AI111" s="484">
        <f>(-1)*($S$3*$S111+$T$3*$T111+$U$3*$U111+$V$3*$V111+$W$3*$W111+$X$3*$X111+$Y$3*$Y111+$Z$3*$Z111+$AA$3*$AA111+$AB$3*$AB111+$AC$3*$AC111)</f>
        <v>6.9444444444444441E-3</v>
      </c>
      <c r="AJ111" s="137">
        <f t="shared" si="8"/>
        <v>0.10416666666666666</v>
      </c>
      <c r="AP111" s="256">
        <v>0.01</v>
      </c>
      <c r="AQ111" s="147">
        <f>VLOOKUP($D111,Research!$C:$D,(COLUMN(Research_Time)-COLUMN(Research_Name_and_Level)+1),FALSE)</f>
        <v>1.3888888888888888E-2</v>
      </c>
      <c r="AR111" s="147">
        <f>AQ111/(1+AP111)</f>
        <v>1.375137513751375E-2</v>
      </c>
      <c r="AS111" s="147">
        <f>(S$3*S111+T$3*T111+V$3*V111+W$3*W111+X$3*X111+Y$3*Y111+Z$3*Z111+AA$3*AA111+AB$3*AB111+AC$3*AC111)*(-1)</f>
        <v>6.9444444444444441E-3</v>
      </c>
      <c r="AT111" s="148">
        <f>IF(AR111-R111-AS111&gt;=0,AR111-R111-AS111,0)</f>
        <v>1.2513751375137494E-3</v>
      </c>
      <c r="AU111" s="111">
        <f>VLOOKUP($D111,Research!$C:$L,(COLUMN(Research_ResearchCost_Stone)-COLUMN(Research_Name_and_Level)+1),FALSE)*(-1)</f>
        <v>-300</v>
      </c>
      <c r="AV111" s="111">
        <f>VLOOKUP($D111,Research!$C:$L,(COLUMN(Research_ResearchCost_Wood)-COLUMN(Research_Name_and_Level)+1),FALSE)*(-1)</f>
        <v>-25</v>
      </c>
      <c r="AW111" s="111">
        <f>VLOOKUP($D111,Research!$C:$L,(COLUMN(Research_ResearchCost_Ore)-COLUMN(Research_Name_and_Level)+1),FALSE)*(-1)</f>
        <v>-400</v>
      </c>
      <c r="AX111" s="111">
        <f>VLOOKUP($D111,Research!$C:$L,(COLUMN(Research_ResearchCost_Food)-COLUMN(Research_Name_and_Level)+1),FALSE)*(-1)</f>
        <v>-500</v>
      </c>
      <c r="AY111" s="112">
        <f>VLOOKUP($D111,Research!$C:$L,(COLUMN(Research_ResearchCost_Silver)-COLUMN(Research_Name_and_Level)+1),FALSE)*(-1)</f>
        <v>-2750</v>
      </c>
    </row>
    <row r="112" spans="2:51" ht="15" customHeight="1">
      <c r="B112" s="506" t="s">
        <v>143</v>
      </c>
      <c r="C112" s="127" t="s">
        <v>170</v>
      </c>
      <c r="D112" s="144" t="s">
        <v>1529</v>
      </c>
      <c r="E112" s="506">
        <v>8</v>
      </c>
      <c r="F112" s="12">
        <v>0</v>
      </c>
      <c r="G112" s="101">
        <f>VLOOKUP($D112,Research!$C:$S,(COLUMN(Research_QuestReward_HeroXP)-COLUMN(Research_Name_and_Level)+1),FALSE)</f>
        <v>2000</v>
      </c>
      <c r="H112" s="101">
        <f t="shared" si="7"/>
        <v>2000</v>
      </c>
      <c r="J112" s="100">
        <f>VLOOKUP($D112,Research!$C:$S,(COLUMN(Research_QuestReward_Power)-COLUMN(Research_Name_and_Level)+1),FALSE)</f>
        <v>25</v>
      </c>
      <c r="AF112" s="141"/>
      <c r="AG112" s="141"/>
      <c r="AH112" s="137"/>
      <c r="AI112" s="484"/>
      <c r="AJ112" s="137">
        <f t="shared" si="8"/>
        <v>0.10416666666666666</v>
      </c>
      <c r="AU112" s="101">
        <f>VLOOKUP($D112,Research!$C:$S,(COLUMN(Research_QuestReward_Stone)-COLUMN(Research_Name_and_Level)+1),FALSE)</f>
        <v>0</v>
      </c>
      <c r="AV112" s="101">
        <f>VLOOKUP($D112,Research!$C:$S,(COLUMN(Research_QuestReward_Wood)-COLUMN(Research_Name_and_Level)+1),FALSE)</f>
        <v>0</v>
      </c>
      <c r="AW112" s="101">
        <f>VLOOKUP($D112,Research!$C:$S,(COLUMN(Research_QuestReward_Ore)-COLUMN(Research_Name_and_Level)+1),FALSE)</f>
        <v>0</v>
      </c>
      <c r="AX112" s="101">
        <f>VLOOKUP($D112,Research!$C:$S,(COLUMN(Research_QuestReward_Food)-COLUMN(Research_Name_and_Level)+1),FALSE)</f>
        <v>0</v>
      </c>
      <c r="AY112" s="100">
        <f>VLOOKUP($D112,Research!$C:$S,(COLUMN(Research_QuestReward_Silver)-COLUMN(Research_Name_and_Level)+1),FALSE)</f>
        <v>1500</v>
      </c>
    </row>
    <row r="113" spans="2:51" ht="15" customHeight="1">
      <c r="B113" s="506" t="s">
        <v>144</v>
      </c>
      <c r="C113" s="127" t="s">
        <v>149</v>
      </c>
      <c r="D113" s="144" t="s">
        <v>1454</v>
      </c>
      <c r="E113" s="506">
        <v>8</v>
      </c>
      <c r="F113" s="12">
        <v>0</v>
      </c>
      <c r="G113" s="94">
        <f>VLOOKUP($D113,Construction!$B:$E,(COLUMN(Construction_BuildingReward_HeroXP)-COLUMN(Construction_Name_and_Level)+1),FALSE)</f>
        <v>10</v>
      </c>
      <c r="H113" s="94">
        <f t="shared" si="7"/>
        <v>10</v>
      </c>
      <c r="J113" s="95">
        <f>VLOOKUP($D113,Construction!$B:$F,(COLUMN(Construction_BuildingReward_Power)-COLUMN(Construction_Name_and_Level)+1),FALSE)</f>
        <v>5</v>
      </c>
      <c r="Q113" s="139">
        <v>3.472222222222222E-3</v>
      </c>
      <c r="R113" s="139">
        <v>5.5555555555555558E-3</v>
      </c>
      <c r="AF113" s="141"/>
      <c r="AG113" s="141"/>
      <c r="AH113" s="137"/>
      <c r="AI113" s="484"/>
      <c r="AJ113" s="137">
        <f t="shared" si="8"/>
        <v>0.10416666666666666</v>
      </c>
      <c r="AK113" s="339">
        <v>0.01</v>
      </c>
      <c r="AL113" s="138">
        <f>VLOOKUP($D113,Construction!$B:$C,(COLUMN(Construction_Time)-COLUMN(Construction_Name_and_Level)+1),FALSE)</f>
        <v>6.9444444444444447E-4</v>
      </c>
      <c r="AM113" s="138">
        <f>AL113/(1+AK113)</f>
        <v>6.8756875687568761E-4</v>
      </c>
      <c r="AN113" s="138">
        <f>(S$3*S113+T$3*T113+V$3*V113+W$3*W113+X$3*X113+Y$3*Y113+Z$3*Z113+AA$3*AA113+AB$3*AB113+AC$3*AC113)*(-1)</f>
        <v>0</v>
      </c>
      <c r="AO113" s="139">
        <f>IF((AM113-Q113-R113-AN113)&gt;=0,AM113-Q113-R113-AN113,0)</f>
        <v>0</v>
      </c>
      <c r="AU113" s="94">
        <f>VLOOKUP($D113,Construction!$B:$J,(COLUMN(Construction_BuildingCost_Stone)-COLUMN(Construction_Name_and_Level)+1),FALSE)*(-1)</f>
        <v>-100</v>
      </c>
      <c r="AV113" s="94">
        <f>VLOOKUP($D113,Construction!$B:$J,(COLUMN(Construction_BuildingCost_Wood)-COLUMN(Construction_Name_and_Level)+1),FALSE)*(-1)</f>
        <v>-100</v>
      </c>
      <c r="AW113" s="94">
        <f>VLOOKUP($D113,Construction!$B:$J,(COLUMN(Construction_BuildingCost_Ore)-COLUMN(Construction_Name_and_Level)+1),FALSE)*(-1)</f>
        <v>-100</v>
      </c>
      <c r="AX113" s="94">
        <f>VLOOKUP($D113,Construction!$B:$J,(COLUMN(Construction_BuildingCost_Food)-COLUMN(Construction_Name_and_Level)+1),FALSE)*(-1)</f>
        <v>0</v>
      </c>
    </row>
    <row r="114" spans="2:51" ht="15" customHeight="1">
      <c r="B114" s="506" t="s">
        <v>144</v>
      </c>
      <c r="C114" s="127" t="s">
        <v>149</v>
      </c>
      <c r="D114" s="144" t="s">
        <v>1454</v>
      </c>
      <c r="E114" s="506">
        <v>8</v>
      </c>
      <c r="F114" s="12">
        <v>0</v>
      </c>
      <c r="G114" s="94">
        <f>VLOOKUP($D114,Construction!$B:$E,(COLUMN(Construction_BuildingReward_HeroXP)-COLUMN(Construction_Name_and_Level)+1),FALSE)</f>
        <v>10</v>
      </c>
      <c r="H114" s="94">
        <f t="shared" si="7"/>
        <v>10</v>
      </c>
      <c r="J114" s="95">
        <f>VLOOKUP($D114,Construction!$B:$F,(COLUMN(Construction_BuildingReward_Power)-COLUMN(Construction_Name_and_Level)+1),FALSE)</f>
        <v>5</v>
      </c>
      <c r="Q114" s="139">
        <v>3.472222222222222E-3</v>
      </c>
      <c r="R114" s="139">
        <v>5.5555555555555558E-3</v>
      </c>
      <c r="AF114" s="141"/>
      <c r="AG114" s="141"/>
      <c r="AH114" s="137"/>
      <c r="AI114" s="484"/>
      <c r="AJ114" s="137">
        <f t="shared" si="8"/>
        <v>0.10416666666666666</v>
      </c>
      <c r="AK114" s="339">
        <v>0.01</v>
      </c>
      <c r="AL114" s="138">
        <f>VLOOKUP($D114,Construction!$B:$C,(COLUMN(Construction_Time)-COLUMN(Construction_Name_and_Level)+1),FALSE)</f>
        <v>6.9444444444444447E-4</v>
      </c>
      <c r="AM114" s="138">
        <f>AL114/(1+AK114)</f>
        <v>6.8756875687568761E-4</v>
      </c>
      <c r="AN114" s="138">
        <f>(S$3*S114+T$3*T114+V$3*V114+W$3*W114+X$3*X114+Y$3*Y114+Z$3*Z114+AA$3*AA114+AB$3*AB114+AC$3*AC114)*(-1)</f>
        <v>0</v>
      </c>
      <c r="AO114" s="139">
        <f>IF((AM114-Q114-R114-AN114)&gt;=0,AM114-Q114-R114-AN114,0)</f>
        <v>0</v>
      </c>
      <c r="AU114" s="94">
        <f>VLOOKUP($D114,Construction!$B:$J,(COLUMN(Construction_BuildingCost_Stone)-COLUMN(Construction_Name_and_Level)+1),FALSE)*(-1)</f>
        <v>-100</v>
      </c>
      <c r="AV114" s="94">
        <f>VLOOKUP($D114,Construction!$B:$J,(COLUMN(Construction_BuildingCost_Wood)-COLUMN(Construction_Name_and_Level)+1),FALSE)*(-1)</f>
        <v>-100</v>
      </c>
      <c r="AW114" s="94">
        <f>VLOOKUP($D114,Construction!$B:$J,(COLUMN(Construction_BuildingCost_Ore)-COLUMN(Construction_Name_and_Level)+1),FALSE)*(-1)</f>
        <v>-100</v>
      </c>
      <c r="AX114" s="94">
        <f>VLOOKUP($D114,Construction!$B:$J,(COLUMN(Construction_BuildingCost_Food)-COLUMN(Construction_Name_and_Level)+1),FALSE)*(-1)</f>
        <v>0</v>
      </c>
    </row>
    <row r="115" spans="2:51" ht="15" customHeight="1">
      <c r="B115" s="506" t="s">
        <v>144</v>
      </c>
      <c r="C115" s="127" t="s">
        <v>149</v>
      </c>
      <c r="D115" s="144" t="s">
        <v>1454</v>
      </c>
      <c r="E115" s="506">
        <v>8</v>
      </c>
      <c r="F115" s="12">
        <v>0</v>
      </c>
      <c r="G115" s="94">
        <f>VLOOKUP($D115,Construction!$B:$E,(COLUMN(Construction_BuildingReward_HeroXP)-COLUMN(Construction_Name_and_Level)+1),FALSE)</f>
        <v>10</v>
      </c>
      <c r="H115" s="94">
        <f t="shared" si="7"/>
        <v>10</v>
      </c>
      <c r="J115" s="95">
        <f>VLOOKUP($D115,Construction!$B:$F,(COLUMN(Construction_BuildingReward_Power)-COLUMN(Construction_Name_and_Level)+1),FALSE)</f>
        <v>5</v>
      </c>
      <c r="Q115" s="139">
        <v>3.472222222222222E-3</v>
      </c>
      <c r="R115" s="139">
        <v>5.5555555555555558E-3</v>
      </c>
      <c r="AF115" s="141"/>
      <c r="AG115" s="141"/>
      <c r="AH115" s="137"/>
      <c r="AI115" s="484"/>
      <c r="AJ115" s="137">
        <f t="shared" si="8"/>
        <v>0.10416666666666666</v>
      </c>
      <c r="AK115" s="339">
        <v>0.01</v>
      </c>
      <c r="AL115" s="138">
        <f>VLOOKUP($D115,Construction!$B:$C,(COLUMN(Construction_Time)-COLUMN(Construction_Name_and_Level)+1),FALSE)</f>
        <v>6.9444444444444447E-4</v>
      </c>
      <c r="AM115" s="138">
        <f>AL115/(1+AK115)</f>
        <v>6.8756875687568761E-4</v>
      </c>
      <c r="AN115" s="138">
        <f>(S$3*S115+T$3*T115+V$3*V115+W$3*W115+X$3*X115+Y$3*Y115+Z$3*Z115+AA$3*AA115+AB$3*AB115+AC$3*AC115)*(-1)</f>
        <v>0</v>
      </c>
      <c r="AO115" s="139">
        <f>IF((AM115-Q115-R115-AN115)&gt;=0,AM115-Q115-R115-AN115,0)</f>
        <v>0</v>
      </c>
      <c r="AU115" s="94">
        <f>VLOOKUP($D115,Construction!$B:$J,(COLUMN(Construction_BuildingCost_Stone)-COLUMN(Construction_Name_and_Level)+1),FALSE)*(-1)</f>
        <v>-100</v>
      </c>
      <c r="AV115" s="94">
        <f>VLOOKUP($D115,Construction!$B:$J,(COLUMN(Construction_BuildingCost_Wood)-COLUMN(Construction_Name_and_Level)+1),FALSE)*(-1)</f>
        <v>-100</v>
      </c>
      <c r="AW115" s="94">
        <f>VLOOKUP($D115,Construction!$B:$J,(COLUMN(Construction_BuildingCost_Ore)-COLUMN(Construction_Name_and_Level)+1),FALSE)*(-1)</f>
        <v>-100</v>
      </c>
      <c r="AX115" s="94">
        <f>VLOOKUP($D115,Construction!$B:$J,(COLUMN(Construction_BuildingCost_Food)-COLUMN(Construction_Name_and_Level)+1),FALSE)*(-1)</f>
        <v>0</v>
      </c>
    </row>
    <row r="116" spans="2:51" ht="15" customHeight="1">
      <c r="B116" s="506" t="s">
        <v>143</v>
      </c>
      <c r="C116" s="127" t="s">
        <v>139</v>
      </c>
      <c r="D116" s="144" t="s">
        <v>1530</v>
      </c>
      <c r="E116" s="506">
        <v>8</v>
      </c>
      <c r="F116" s="12">
        <v>0</v>
      </c>
      <c r="G116" s="101">
        <v>10150</v>
      </c>
      <c r="H116" s="101">
        <f t="shared" si="7"/>
        <v>10150</v>
      </c>
      <c r="J116" s="100">
        <v>500</v>
      </c>
      <c r="AF116" s="141"/>
      <c r="AG116" s="141"/>
      <c r="AH116" s="137"/>
      <c r="AI116" s="484"/>
      <c r="AJ116" s="137">
        <f t="shared" si="8"/>
        <v>0.10416666666666666</v>
      </c>
      <c r="AY116" s="100">
        <v>1200</v>
      </c>
    </row>
    <row r="117" spans="2:51" ht="15" customHeight="1">
      <c r="B117" s="506" t="s">
        <v>144</v>
      </c>
      <c r="C117" s="127" t="s">
        <v>149</v>
      </c>
      <c r="D117" s="144" t="s">
        <v>1531</v>
      </c>
      <c r="E117" s="506">
        <v>8</v>
      </c>
      <c r="F117" s="12">
        <v>0</v>
      </c>
      <c r="G117" s="94">
        <f>VLOOKUP($D117,Construction!$B:$E,(COLUMN(Construction_BuildingReward_HeroXP)-COLUMN(Construction_Name_and_Level)+1),FALSE)</f>
        <v>25</v>
      </c>
      <c r="H117" s="94">
        <f t="shared" si="7"/>
        <v>25</v>
      </c>
      <c r="J117" s="95">
        <f>VLOOKUP($D117,Construction!$B:$F,(COLUMN(Construction_BuildingReward_Power)-COLUMN(Construction_Name_and_Level)+1),FALSE)</f>
        <v>25</v>
      </c>
      <c r="Q117" s="139">
        <v>3.472222222222222E-3</v>
      </c>
      <c r="R117" s="139">
        <v>5.5555555555555558E-3</v>
      </c>
      <c r="AF117" s="141"/>
      <c r="AG117" s="141"/>
      <c r="AH117" s="137"/>
      <c r="AI117" s="484"/>
      <c r="AJ117" s="137">
        <f t="shared" si="8"/>
        <v>0.10416666666666666</v>
      </c>
      <c r="AK117" s="339">
        <v>0.01</v>
      </c>
      <c r="AL117" s="138">
        <f>VLOOKUP($D117,Construction!$B:$C,(COLUMN(Construction_Time)-COLUMN(Construction_Name_and_Level)+1),FALSE)</f>
        <v>1.6203703703703703E-3</v>
      </c>
      <c r="AM117" s="138">
        <f>AL117/(1+AK117)</f>
        <v>1.6043270993766042E-3</v>
      </c>
      <c r="AN117" s="138">
        <f>(S$3*S117+T$3*T117+V$3*V117+W$3*W117+X$3*X117+Y$3*Y117+Z$3*Z117+AA$3*AA117+AB$3*AB117+AC$3*AC117)*(-1)</f>
        <v>0</v>
      </c>
      <c r="AO117" s="139">
        <f>IF((AM117-Q117-R117-AN117)&gt;=0,AM117-Q117-R117-AN117,0)</f>
        <v>0</v>
      </c>
      <c r="AU117" s="94">
        <f>VLOOKUP($D117,Construction!$B:$J,(COLUMN(Construction_BuildingCost_Stone)-COLUMN(Construction_Name_and_Level)+1),FALSE)*(-1)</f>
        <v>-850</v>
      </c>
      <c r="AV117" s="94">
        <f>VLOOKUP($D117,Construction!$B:$J,(COLUMN(Construction_BuildingCost_Wood)-COLUMN(Construction_Name_and_Level)+1),FALSE)*(-1)</f>
        <v>-680</v>
      </c>
      <c r="AW117" s="94">
        <f>VLOOKUP($D117,Construction!$B:$J,(COLUMN(Construction_BuildingCost_Ore)-COLUMN(Construction_Name_and_Level)+1),FALSE)*(-1)</f>
        <v>-170</v>
      </c>
      <c r="AX117" s="94">
        <f>VLOOKUP($D117,Construction!$B:$J,(COLUMN(Construction_BuildingCost_Food)-COLUMN(Construction_Name_and_Level)+1),FALSE)*(-1)</f>
        <v>-340</v>
      </c>
    </row>
    <row r="118" spans="2:51" ht="15" customHeight="1">
      <c r="B118" s="506" t="s">
        <v>143</v>
      </c>
      <c r="C118" s="127" t="s">
        <v>139</v>
      </c>
      <c r="D118" s="144" t="s">
        <v>1531</v>
      </c>
      <c r="E118" s="506">
        <v>8</v>
      </c>
      <c r="F118" s="12">
        <v>0</v>
      </c>
      <c r="G118" s="101">
        <f>VLOOKUP($D118,Construction!$B:$L,(COLUMN(Construction_QuestReward_HeroXP)-COLUMN(Construction_Name_and_Level)+1),FALSE)</f>
        <v>2575</v>
      </c>
      <c r="H118" s="101">
        <f t="shared" si="7"/>
        <v>2575</v>
      </c>
      <c r="J118" s="100">
        <f>VLOOKUP($D118,Construction!$B:$L,(COLUMN(Construction_QuestReward_Power)-COLUMN(Construction_Name_and_Level)+1),FALSE)</f>
        <v>5</v>
      </c>
      <c r="AF118" s="141"/>
      <c r="AG118" s="141"/>
      <c r="AH118" s="137"/>
      <c r="AI118" s="484"/>
      <c r="AJ118" s="137">
        <f t="shared" si="8"/>
        <v>0.10416666666666666</v>
      </c>
      <c r="AU118" s="101">
        <f>VLOOKUP($D118,Construction!$B:$Q,(COLUMN(Construction_QuestReward_Stone)-COLUMN(Construction_Name_and_Level)+1),FALSE)</f>
        <v>2200</v>
      </c>
      <c r="AV118" s="101">
        <f>VLOOKUP($D118,Construction!$B:$Q,(COLUMN(Construction_QuestReward_Wood)-COLUMN(Construction_Name_and_Level)+1),FALSE)</f>
        <v>1800</v>
      </c>
      <c r="AW118" s="101">
        <f>VLOOKUP($D118,Construction!$B:$Q,(COLUMN(Construction_QuestReward_Ore)-COLUMN(Construction_Name_and_Level)+1),FALSE)</f>
        <v>500</v>
      </c>
      <c r="AX118" s="101">
        <f>VLOOKUP($D118,Construction!$B:$Q,(COLUMN(Construction_QuestReward_Food)-COLUMN(Construction_Name_and_Level)+1),FALSE)</f>
        <v>900</v>
      </c>
      <c r="AY118" s="100">
        <f>VLOOKUP($D118,Construction!$B:$Q,(COLUMN(Construction_QuestReward_Silver)-COLUMN(Construction_Name_and_Level)+1),FALSE)</f>
        <v>100</v>
      </c>
    </row>
    <row r="119" spans="2:51" ht="15" customHeight="1">
      <c r="B119" s="506" t="s">
        <v>144</v>
      </c>
      <c r="C119" s="127" t="s">
        <v>149</v>
      </c>
      <c r="D119" s="144" t="s">
        <v>1532</v>
      </c>
      <c r="E119" s="506">
        <v>8</v>
      </c>
      <c r="F119" s="12">
        <v>0</v>
      </c>
      <c r="G119" s="94">
        <f>VLOOKUP($D119,Construction!$B:$E,(COLUMN(Construction_BuildingReward_HeroXP)-COLUMN(Construction_Name_and_Level)+1),FALSE)</f>
        <v>25</v>
      </c>
      <c r="H119" s="94">
        <f t="shared" si="7"/>
        <v>25</v>
      </c>
      <c r="J119" s="95">
        <f>VLOOKUP($D119,Construction!$B:$F,(COLUMN(Construction_BuildingReward_Power)-COLUMN(Construction_Name_and_Level)+1),FALSE)</f>
        <v>70</v>
      </c>
      <c r="Q119" s="139">
        <v>3.472222222222222E-3</v>
      </c>
      <c r="R119" s="139">
        <v>5.5555555555555558E-3</v>
      </c>
      <c r="AF119" s="141"/>
      <c r="AG119" s="141"/>
      <c r="AH119" s="137"/>
      <c r="AI119" s="484"/>
      <c r="AJ119" s="137">
        <f t="shared" si="8"/>
        <v>0.10416666666666666</v>
      </c>
      <c r="AK119" s="339">
        <v>0.01</v>
      </c>
      <c r="AL119" s="138">
        <f>VLOOKUP($D119,Construction!$B:$C,(COLUMN(Construction_Time)-COLUMN(Construction_Name_and_Level)+1),FALSE)</f>
        <v>2.3148148148148151E-3</v>
      </c>
      <c r="AM119" s="138">
        <f>AL119/(1+AK119)</f>
        <v>2.2918958562522921E-3</v>
      </c>
      <c r="AN119" s="138">
        <f>(S$3*S119+T$3*T119+V$3*V119+W$3*W119+X$3*X119+Y$3*Y119+Z$3*Z119+AA$3*AA119+AB$3*AB119+AC$3*AC119)*(-1)</f>
        <v>0</v>
      </c>
      <c r="AO119" s="139">
        <f>IF((AM119-Q119-R119-AN119)&gt;=0,AM119-Q119-R119-AN119,0)</f>
        <v>0</v>
      </c>
      <c r="AP119" s="261">
        <v>0.02</v>
      </c>
      <c r="AU119" s="94">
        <f>VLOOKUP($D119,Construction!$B:$J,(COLUMN(Construction_BuildingCost_Stone)-COLUMN(Construction_Name_and_Level)+1),FALSE)*(-1)</f>
        <v>-900</v>
      </c>
      <c r="AV119" s="94">
        <f>VLOOKUP($D119,Construction!$B:$J,(COLUMN(Construction_BuildingCost_Wood)-COLUMN(Construction_Name_and_Level)+1),FALSE)*(-1)</f>
        <v>-900</v>
      </c>
      <c r="AW119" s="94">
        <f>VLOOKUP($D119,Construction!$B:$J,(COLUMN(Construction_BuildingCost_Ore)-COLUMN(Construction_Name_and_Level)+1),FALSE)*(-1)</f>
        <v>-360</v>
      </c>
      <c r="AX119" s="94">
        <f>VLOOKUP($D119,Construction!$B:$J,(COLUMN(Construction_BuildingCost_Food)-COLUMN(Construction_Name_and_Level)+1),FALSE)*(-1)</f>
        <v>-540</v>
      </c>
    </row>
    <row r="120" spans="2:51" ht="15" customHeight="1">
      <c r="B120" s="506" t="s">
        <v>143</v>
      </c>
      <c r="C120" s="127" t="s">
        <v>139</v>
      </c>
      <c r="D120" s="144" t="s">
        <v>1532</v>
      </c>
      <c r="E120" s="506">
        <v>8</v>
      </c>
      <c r="F120" s="12">
        <v>0</v>
      </c>
      <c r="G120" s="101">
        <f>VLOOKUP($D120,Construction!$B:$L,(COLUMN(Construction_QuestReward_HeroXP)-COLUMN(Construction_Name_and_Level)+1),FALSE)</f>
        <v>2575</v>
      </c>
      <c r="H120" s="101">
        <f t="shared" si="7"/>
        <v>2575</v>
      </c>
      <c r="J120" s="100">
        <f>VLOOKUP($D120,Construction!$B:$L,(COLUMN(Construction_QuestReward_Power)-COLUMN(Construction_Name_and_Level)+1),FALSE)</f>
        <v>20</v>
      </c>
      <c r="AF120" s="141"/>
      <c r="AG120" s="141"/>
      <c r="AH120" s="137"/>
      <c r="AI120" s="484"/>
      <c r="AJ120" s="137">
        <f t="shared" si="8"/>
        <v>0.10416666666666666</v>
      </c>
      <c r="AU120" s="101">
        <f>VLOOKUP($D120,Construction!$B:$Q,(COLUMN(Construction_QuestReward_Stone)-COLUMN(Construction_Name_and_Level)+1),FALSE)</f>
        <v>2300</v>
      </c>
      <c r="AV120" s="101">
        <f>VLOOKUP($D120,Construction!$B:$Q,(COLUMN(Construction_QuestReward_Wood)-COLUMN(Construction_Name_and_Level)+1),FALSE)</f>
        <v>2300</v>
      </c>
      <c r="AW120" s="101">
        <f>VLOOKUP($D120,Construction!$B:$Q,(COLUMN(Construction_QuestReward_Ore)-COLUMN(Construction_Name_and_Level)+1),FALSE)</f>
        <v>900</v>
      </c>
      <c r="AX120" s="101">
        <f>VLOOKUP($D120,Construction!$B:$Q,(COLUMN(Construction_QuestReward_Food)-COLUMN(Construction_Name_and_Level)+1),FALSE)</f>
        <v>1400</v>
      </c>
      <c r="AY120" s="100">
        <f>VLOOKUP($D120,Construction!$B:$Q,(COLUMN(Construction_QuestReward_Silver)-COLUMN(Construction_Name_and_Level)+1),FALSE)</f>
        <v>250</v>
      </c>
    </row>
    <row r="121" spans="2:51" ht="15" customHeight="1">
      <c r="B121" s="506" t="s">
        <v>144</v>
      </c>
      <c r="C121" s="127" t="s">
        <v>138</v>
      </c>
      <c r="D121" s="144" t="s">
        <v>1533</v>
      </c>
      <c r="E121" s="506">
        <v>8</v>
      </c>
      <c r="F121" s="12">
        <v>0</v>
      </c>
      <c r="G121" s="94">
        <f>VLOOKUP($D121,Construction!$B:$E,(COLUMN(Construction_BuildingReward_HeroXP)-COLUMN(Construction_Name_and_Level)+1),FALSE)</f>
        <v>50</v>
      </c>
      <c r="H121" s="94">
        <f t="shared" si="7"/>
        <v>50</v>
      </c>
      <c r="J121" s="95">
        <f>VLOOKUP($D121,Construction!$B:$F,(COLUMN(Construction_BuildingReward_Power)-COLUMN(Construction_Name_and_Level)+1),FALSE)</f>
        <v>105</v>
      </c>
      <c r="Q121" s="139">
        <v>3.472222222222222E-3</v>
      </c>
      <c r="R121" s="139">
        <v>5.5555555555555558E-3</v>
      </c>
      <c r="AF121" s="141"/>
      <c r="AG121" s="141"/>
      <c r="AH121" s="137"/>
      <c r="AI121" s="484"/>
      <c r="AJ121" s="137">
        <f t="shared" si="8"/>
        <v>0.10416666666666666</v>
      </c>
      <c r="AK121" s="339">
        <v>0.01</v>
      </c>
      <c r="AL121" s="138">
        <f>VLOOKUP($D121,Construction!$B:$C,(COLUMN(Construction_Time)-COLUMN(Construction_Name_and_Level)+1),FALSE)</f>
        <v>4.6296296296296302E-3</v>
      </c>
      <c r="AM121" s="138">
        <f>AL121/(1+AK121)</f>
        <v>4.5837917125045842E-3</v>
      </c>
      <c r="AN121" s="138">
        <f>(S$3*S121+T$3*T121+V$3*V121+W$3*W121+X$3*X121+Y$3*Y121+Z$3*Z121+AA$3*AA121+AB$3*AB121+AC$3*AC121)*(-1)</f>
        <v>0</v>
      </c>
      <c r="AO121" s="139">
        <f>IF((AM121-Q121-R121-AN121)&gt;=0,AM121-Q121-R121-AN121,0)</f>
        <v>0</v>
      </c>
      <c r="AP121" s="261">
        <v>0.03</v>
      </c>
      <c r="AU121" s="94">
        <f>VLOOKUP($D121,Construction!$B:$J,(COLUMN(Construction_BuildingCost_Stone)-COLUMN(Construction_Name_and_Level)+1),FALSE)*(-1)</f>
        <v>-1620</v>
      </c>
      <c r="AV121" s="94">
        <f>VLOOKUP($D121,Construction!$B:$J,(COLUMN(Construction_BuildingCost_Wood)-COLUMN(Construction_Name_and_Level)+1),FALSE)*(-1)</f>
        <v>-1620</v>
      </c>
      <c r="AW121" s="94">
        <f>VLOOKUP($D121,Construction!$B:$J,(COLUMN(Construction_BuildingCost_Ore)-COLUMN(Construction_Name_and_Level)+1),FALSE)*(-1)</f>
        <v>-648</v>
      </c>
      <c r="AX121" s="94">
        <f>VLOOKUP($D121,Construction!$B:$J,(COLUMN(Construction_BuildingCost_Food)-COLUMN(Construction_Name_and_Level)+1),FALSE)*(-1)</f>
        <v>-972</v>
      </c>
    </row>
    <row r="122" spans="2:51" ht="15" customHeight="1">
      <c r="B122" s="506" t="s">
        <v>144</v>
      </c>
      <c r="C122" s="127" t="s">
        <v>369</v>
      </c>
      <c r="D122" s="144" t="s">
        <v>1533</v>
      </c>
      <c r="E122" s="506">
        <v>8</v>
      </c>
      <c r="F122" s="12">
        <v>0</v>
      </c>
      <c r="G122" s="94">
        <v>0</v>
      </c>
      <c r="H122" s="94">
        <f t="shared" si="7"/>
        <v>0</v>
      </c>
      <c r="J122" s="95">
        <v>-210</v>
      </c>
      <c r="AF122" s="141"/>
      <c r="AG122" s="141"/>
      <c r="AH122" s="137"/>
      <c r="AI122" s="484"/>
      <c r="AJ122" s="137">
        <f t="shared" si="8"/>
        <v>0.10416666666666666</v>
      </c>
      <c r="AP122" s="262">
        <v>-0.03</v>
      </c>
    </row>
    <row r="123" spans="2:51" ht="15" customHeight="1">
      <c r="B123" s="506" t="s">
        <v>144</v>
      </c>
      <c r="C123" s="127" t="s">
        <v>138</v>
      </c>
      <c r="D123" s="144" t="s">
        <v>1474</v>
      </c>
      <c r="E123" s="506">
        <v>8</v>
      </c>
      <c r="F123" s="12">
        <v>0</v>
      </c>
      <c r="G123" s="94">
        <f>VLOOKUP($D123,Construction!$B:$E,(COLUMN(Construction_BuildingReward_HeroXP)-COLUMN(Construction_Name_and_Level)+1),FALSE)</f>
        <v>10</v>
      </c>
      <c r="H123" s="94">
        <f t="shared" si="7"/>
        <v>10</v>
      </c>
      <c r="J123" s="95">
        <f>VLOOKUP($D123,Construction!$B:$F,(COLUMN(Construction_BuildingReward_Power)-COLUMN(Construction_Name_and_Level)+1),FALSE)</f>
        <v>35</v>
      </c>
      <c r="Q123" s="139">
        <v>3.472222222222222E-3</v>
      </c>
      <c r="R123" s="139">
        <v>5.5555555555555558E-3</v>
      </c>
      <c r="AF123" s="141"/>
      <c r="AG123" s="141"/>
      <c r="AH123" s="137"/>
      <c r="AI123" s="484"/>
      <c r="AJ123" s="137">
        <f t="shared" si="8"/>
        <v>0.10416666666666666</v>
      </c>
      <c r="AK123" s="339">
        <v>0.01</v>
      </c>
      <c r="AL123" s="138">
        <f>VLOOKUP($D123,Construction!$B:$C,(COLUMN(Construction_Time)-COLUMN(Construction_Name_and_Level)+1),FALSE)</f>
        <v>1.1574074074074073E-3</v>
      </c>
      <c r="AM123" s="138">
        <f>AL123/(1+AK123)</f>
        <v>1.1459479281261458E-3</v>
      </c>
      <c r="AN123" s="138">
        <f>(S$3*S123+T$3*T123+V$3*V123+W$3*W123+X$3*X123+Y$3*Y123+Z$3*Z123+AA$3*AA123+AB$3*AB123+AC$3*AC123)*(-1)</f>
        <v>0</v>
      </c>
      <c r="AO123" s="139">
        <f>IF((AM123-Q123-R123-AN123)&gt;=0,AM123-Q123-R123-AN123,0)</f>
        <v>0</v>
      </c>
      <c r="AP123" s="262">
        <v>0.01</v>
      </c>
      <c r="AU123" s="94">
        <f>VLOOKUP($D123,Construction!$B:$J,(COLUMN(Construction_BuildingCost_Stone)-COLUMN(Construction_Name_and_Level)+1),FALSE)*(-1)</f>
        <v>-500</v>
      </c>
      <c r="AV123" s="94">
        <f>VLOOKUP($D123,Construction!$B:$J,(COLUMN(Construction_BuildingCost_Wood)-COLUMN(Construction_Name_and_Level)+1),FALSE)*(-1)</f>
        <v>-500</v>
      </c>
      <c r="AW123" s="94">
        <f>VLOOKUP($D123,Construction!$B:$J,(COLUMN(Construction_BuildingCost_Ore)-COLUMN(Construction_Name_and_Level)+1),FALSE)*(-1)</f>
        <v>-200</v>
      </c>
      <c r="AX123" s="94">
        <f>VLOOKUP($D123,Construction!$B:$J,(COLUMN(Construction_BuildingCost_Food)-COLUMN(Construction_Name_and_Level)+1),FALSE)*(-1)</f>
        <v>-300</v>
      </c>
    </row>
    <row r="124" spans="2:51" ht="15" customHeight="1">
      <c r="B124" s="506" t="s">
        <v>144</v>
      </c>
      <c r="C124" s="127" t="s">
        <v>138</v>
      </c>
      <c r="D124" s="144" t="s">
        <v>1532</v>
      </c>
      <c r="E124" s="506">
        <v>8</v>
      </c>
      <c r="F124" s="12">
        <v>0</v>
      </c>
      <c r="G124" s="94">
        <f>VLOOKUP($D124,Construction!$B:$E,(COLUMN(Construction_BuildingReward_HeroXP)-COLUMN(Construction_Name_and_Level)+1),FALSE)</f>
        <v>25</v>
      </c>
      <c r="H124" s="94">
        <f t="shared" si="7"/>
        <v>25</v>
      </c>
      <c r="J124" s="95">
        <f>VLOOKUP($D124,Construction!$B:$F,(COLUMN(Construction_BuildingReward_Power)-COLUMN(Construction_Name_and_Level)+1),FALSE)</f>
        <v>70</v>
      </c>
      <c r="Q124" s="139">
        <v>3.472222222222222E-3</v>
      </c>
      <c r="R124" s="139">
        <v>5.5555555555555558E-3</v>
      </c>
      <c r="AF124" s="141"/>
      <c r="AG124" s="141"/>
      <c r="AH124" s="137"/>
      <c r="AI124" s="484"/>
      <c r="AJ124" s="137">
        <f t="shared" si="8"/>
        <v>0.10416666666666666</v>
      </c>
      <c r="AK124" s="339">
        <v>0.01</v>
      </c>
      <c r="AL124" s="138">
        <f>VLOOKUP($D124,Construction!$B:$C,(COLUMN(Construction_Time)-COLUMN(Construction_Name_and_Level)+1),FALSE)</f>
        <v>2.3148148148148151E-3</v>
      </c>
      <c r="AM124" s="138">
        <f>AL124/(1+AK124)</f>
        <v>2.2918958562522921E-3</v>
      </c>
      <c r="AN124" s="138">
        <f>(S$3*S124+T$3*T124+V$3*V124+W$3*W124+X$3*X124+Y$3*Y124+Z$3*Z124+AA$3*AA124+AB$3*AB124+AC$3*AC124)*(-1)</f>
        <v>0</v>
      </c>
      <c r="AO124" s="139">
        <f>IF((AM124-Q124-R124-AN124)&gt;=0,AM124-Q124-R124-AN124,0)</f>
        <v>0</v>
      </c>
      <c r="AP124" s="262">
        <v>0.02</v>
      </c>
      <c r="AU124" s="94">
        <f>VLOOKUP($D124,Construction!$B:$J,(COLUMN(Construction_BuildingCost_Stone)-COLUMN(Construction_Name_and_Level)+1),FALSE)*(-1)</f>
        <v>-900</v>
      </c>
      <c r="AV124" s="94">
        <f>VLOOKUP($D124,Construction!$B:$J,(COLUMN(Construction_BuildingCost_Wood)-COLUMN(Construction_Name_and_Level)+1),FALSE)*(-1)</f>
        <v>-900</v>
      </c>
      <c r="AW124" s="94">
        <f>VLOOKUP($D124,Construction!$B:$J,(COLUMN(Construction_BuildingCost_Ore)-COLUMN(Construction_Name_and_Level)+1),FALSE)*(-1)</f>
        <v>-360</v>
      </c>
      <c r="AX124" s="94">
        <f>VLOOKUP($D124,Construction!$B:$J,(COLUMN(Construction_BuildingCost_Food)-COLUMN(Construction_Name_and_Level)+1),FALSE)*(-1)</f>
        <v>-540</v>
      </c>
    </row>
    <row r="125" spans="2:51" ht="15" customHeight="1">
      <c r="B125" s="506" t="s">
        <v>144</v>
      </c>
      <c r="C125" s="127" t="s">
        <v>138</v>
      </c>
      <c r="D125" s="144" t="s">
        <v>1533</v>
      </c>
      <c r="E125" s="506">
        <v>8</v>
      </c>
      <c r="F125" s="12">
        <v>0</v>
      </c>
      <c r="G125" s="94">
        <f>VLOOKUP($D125,Construction!$B:$E,(COLUMN(Construction_BuildingReward_HeroXP)-COLUMN(Construction_Name_and_Level)+1),FALSE)</f>
        <v>50</v>
      </c>
      <c r="H125" s="94">
        <f t="shared" si="7"/>
        <v>50</v>
      </c>
      <c r="J125" s="95">
        <f>VLOOKUP($D125,Construction!$B:$F,(COLUMN(Construction_BuildingReward_Power)-COLUMN(Construction_Name_and_Level)+1),FALSE)</f>
        <v>105</v>
      </c>
      <c r="Q125" s="139">
        <v>3.472222222222222E-3</v>
      </c>
      <c r="R125" s="139">
        <v>5.5555555555555558E-3</v>
      </c>
      <c r="AF125" s="141"/>
      <c r="AG125" s="141"/>
      <c r="AH125" s="137"/>
      <c r="AI125" s="484"/>
      <c r="AJ125" s="137">
        <f t="shared" si="8"/>
        <v>0.10416666666666666</v>
      </c>
      <c r="AK125" s="339">
        <v>0.01</v>
      </c>
      <c r="AL125" s="138">
        <f>VLOOKUP($D125,Construction!$B:$C,(COLUMN(Construction_Time)-COLUMN(Construction_Name_and_Level)+1),FALSE)</f>
        <v>4.6296296296296302E-3</v>
      </c>
      <c r="AM125" s="138">
        <f>AL125/(1+AK125)</f>
        <v>4.5837917125045842E-3</v>
      </c>
      <c r="AN125" s="138">
        <f>(S$3*S125+T$3*T125+V$3*V125+W$3*W125+X$3*X125+Y$3*Y125+Z$3*Z125+AA$3*AA125+AB$3*AB125+AC$3*AC125)*(-1)</f>
        <v>0</v>
      </c>
      <c r="AO125" s="139">
        <f>IF((AM125-Q125-R125-AN125)&gt;=0,AM125-Q125-R125-AN125,0)</f>
        <v>0</v>
      </c>
      <c r="AP125" s="262">
        <v>0.03</v>
      </c>
      <c r="AU125" s="94">
        <f>VLOOKUP($D125,Construction!$B:$J,(COLUMN(Construction_BuildingCost_Stone)-COLUMN(Construction_Name_and_Level)+1),FALSE)*(-1)</f>
        <v>-1620</v>
      </c>
      <c r="AV125" s="94">
        <f>VLOOKUP($D125,Construction!$B:$J,(COLUMN(Construction_BuildingCost_Wood)-COLUMN(Construction_Name_and_Level)+1),FALSE)*(-1)</f>
        <v>-1620</v>
      </c>
      <c r="AW125" s="94">
        <f>VLOOKUP($D125,Construction!$B:$J,(COLUMN(Construction_BuildingCost_Ore)-COLUMN(Construction_Name_and_Level)+1),FALSE)*(-1)</f>
        <v>-648</v>
      </c>
      <c r="AX125" s="94">
        <f>VLOOKUP($D125,Construction!$B:$J,(COLUMN(Construction_BuildingCost_Food)-COLUMN(Construction_Name_and_Level)+1),FALSE)*(-1)</f>
        <v>-972</v>
      </c>
    </row>
    <row r="126" spans="2:51" ht="15" customHeight="1">
      <c r="B126" s="506" t="s">
        <v>143</v>
      </c>
      <c r="C126" s="127" t="s">
        <v>1534</v>
      </c>
      <c r="D126" s="144" t="s">
        <v>1533</v>
      </c>
      <c r="E126" s="506">
        <v>8</v>
      </c>
      <c r="F126" s="12">
        <v>0</v>
      </c>
      <c r="G126" s="101">
        <f>VLOOKUP($D126,Construction!$B:$L,(COLUMN(Construction_QuestReward_HeroXP)-COLUMN(Construction_Name_and_Level)+1),FALSE)</f>
        <v>2600</v>
      </c>
      <c r="H126" s="101">
        <f t="shared" si="7"/>
        <v>2600</v>
      </c>
      <c r="J126" s="100">
        <f>VLOOKUP($D126,Construction!$B:$L,(COLUMN(Construction_QuestReward_Power)-COLUMN(Construction_Name_and_Level)+1),FALSE)</f>
        <v>40</v>
      </c>
      <c r="AF126" s="141"/>
      <c r="AG126" s="141"/>
      <c r="AH126" s="137"/>
      <c r="AI126" s="484"/>
      <c r="AJ126" s="137">
        <f t="shared" si="8"/>
        <v>0.10416666666666666</v>
      </c>
      <c r="AU126" s="101">
        <f>VLOOKUP($D126,Construction!$B:$Q,(COLUMN(Construction_QuestReward_Stone)-COLUMN(Construction_Name_and_Level)+1),FALSE)</f>
        <v>2800</v>
      </c>
      <c r="AV126" s="101">
        <f>VLOOKUP($D126,Construction!$B:$Q,(COLUMN(Construction_QuestReward_Wood)-COLUMN(Construction_Name_and_Level)+1),FALSE)</f>
        <v>2800</v>
      </c>
      <c r="AW126" s="101">
        <f>VLOOKUP($D126,Construction!$B:$Q,(COLUMN(Construction_QuestReward_Ore)-COLUMN(Construction_Name_and_Level)+1),FALSE)</f>
        <v>1100</v>
      </c>
      <c r="AX126" s="101">
        <f>VLOOKUP($D126,Construction!$B:$Q,(COLUMN(Construction_QuestReward_Food)-COLUMN(Construction_Name_and_Level)+1),FALSE)</f>
        <v>1600</v>
      </c>
      <c r="AY126" s="100">
        <f>VLOOKUP($D126,Construction!$B:$Q,(COLUMN(Construction_QuestReward_Silver)-COLUMN(Construction_Name_and_Level)+1),FALSE)</f>
        <v>400</v>
      </c>
    </row>
    <row r="127" spans="2:51" ht="15" customHeight="1">
      <c r="B127" s="506" t="s">
        <v>144</v>
      </c>
      <c r="C127" s="127" t="s">
        <v>369</v>
      </c>
      <c r="D127" s="144" t="s">
        <v>1466</v>
      </c>
      <c r="E127" s="506">
        <v>8</v>
      </c>
      <c r="F127" s="12">
        <v>0</v>
      </c>
      <c r="G127" s="94">
        <v>0</v>
      </c>
      <c r="H127" s="94">
        <f t="shared" si="7"/>
        <v>0</v>
      </c>
      <c r="J127" s="95">
        <v>-10</v>
      </c>
      <c r="AF127" s="141"/>
      <c r="AG127" s="141"/>
      <c r="AH127" s="137"/>
      <c r="AI127" s="484"/>
      <c r="AJ127" s="137">
        <f t="shared" si="8"/>
        <v>0.10416666666666666</v>
      </c>
    </row>
    <row r="128" spans="2:51" ht="15" customHeight="1">
      <c r="B128" s="506" t="s">
        <v>144</v>
      </c>
      <c r="C128" s="127" t="s">
        <v>138</v>
      </c>
      <c r="D128" s="144" t="s">
        <v>1466</v>
      </c>
      <c r="E128" s="506">
        <v>8</v>
      </c>
      <c r="F128" s="12">
        <v>0</v>
      </c>
      <c r="G128" s="94">
        <f>VLOOKUP($D128,Construction!$B:$E,(COLUMN(Construction_BuildingReward_HeroXP)-COLUMN(Construction_Name_and_Level)+1),FALSE)</f>
        <v>10</v>
      </c>
      <c r="H128" s="94">
        <f t="shared" si="7"/>
        <v>10</v>
      </c>
      <c r="J128" s="95">
        <f>VLOOKUP($D128,Construction!$B:$F,(COLUMN(Construction_BuildingReward_Power)-COLUMN(Construction_Name_and_Level)+1),FALSE)</f>
        <v>10</v>
      </c>
      <c r="Q128" s="139">
        <v>3.472222222222222E-3</v>
      </c>
      <c r="R128" s="139">
        <v>5.5555555555555558E-3</v>
      </c>
      <c r="AF128" s="141"/>
      <c r="AG128" s="141"/>
      <c r="AH128" s="137"/>
      <c r="AI128" s="484"/>
      <c r="AJ128" s="137">
        <f t="shared" si="8"/>
        <v>0.10416666666666666</v>
      </c>
      <c r="AK128" s="339">
        <v>0.01</v>
      </c>
      <c r="AL128" s="138">
        <f>VLOOKUP($D128,Construction!$B:$C,(COLUMN(Construction_Time)-COLUMN(Construction_Name_and_Level)+1),FALSE)</f>
        <v>1.0416666666666667E-3</v>
      </c>
      <c r="AM128" s="138">
        <f>AL128/(1+AK128)</f>
        <v>1.0313531353135313E-3</v>
      </c>
      <c r="AN128" s="138">
        <f>(S$3*S128+T$3*T128+V$3*V128+W$3*W128+X$3*X128+Y$3*Y128+Z$3*Z128+AA$3*AA128+AB$3*AB128+AC$3*AC128)*(-1)</f>
        <v>0</v>
      </c>
      <c r="AO128" s="139">
        <f>IF((AM128-Q128-R128-AN128)&gt;=0,AM128-Q128-R128-AN128,0)</f>
        <v>0</v>
      </c>
      <c r="AU128" s="94">
        <f>VLOOKUP($D128,Construction!$B:$J,(COLUMN(Construction_BuildingCost_Stone)-COLUMN(Construction_Name_and_Level)+1),FALSE)*(-1)</f>
        <v>-500</v>
      </c>
      <c r="AV128" s="94">
        <f>VLOOKUP($D128,Construction!$B:$J,(COLUMN(Construction_BuildingCost_Wood)-COLUMN(Construction_Name_and_Level)+1),FALSE)*(-1)</f>
        <v>-400</v>
      </c>
      <c r="AW128" s="94">
        <f>VLOOKUP($D128,Construction!$B:$J,(COLUMN(Construction_BuildingCost_Ore)-COLUMN(Construction_Name_and_Level)+1),FALSE)*(-1)</f>
        <v>-300</v>
      </c>
      <c r="AX128" s="94">
        <f>VLOOKUP($D128,Construction!$B:$J,(COLUMN(Construction_BuildingCost_Food)-COLUMN(Construction_Name_and_Level)+1),FALSE)*(-1)</f>
        <v>-250</v>
      </c>
    </row>
    <row r="129" spans="2:108" ht="15" customHeight="1">
      <c r="B129" s="506" t="s">
        <v>144</v>
      </c>
      <c r="C129" s="127" t="s">
        <v>138</v>
      </c>
      <c r="D129" s="144" t="s">
        <v>1535</v>
      </c>
      <c r="E129" s="506">
        <v>8</v>
      </c>
      <c r="F129" s="12">
        <v>0</v>
      </c>
      <c r="G129" s="94">
        <f>VLOOKUP($D129,Construction!$B:$E,(COLUMN(Construction_BuildingReward_HeroXP)-COLUMN(Construction_Name_and_Level)+1),FALSE)</f>
        <v>25</v>
      </c>
      <c r="H129" s="94">
        <f t="shared" si="7"/>
        <v>25</v>
      </c>
      <c r="J129" s="95">
        <f>VLOOKUP($D129,Construction!$B:$F,(COLUMN(Construction_BuildingReward_Power)-COLUMN(Construction_Name_and_Level)+1),FALSE)</f>
        <v>20</v>
      </c>
      <c r="Q129" s="139">
        <v>3.472222222222222E-3</v>
      </c>
      <c r="R129" s="139">
        <v>5.5555555555555558E-3</v>
      </c>
      <c r="AF129" s="141"/>
      <c r="AG129" s="141"/>
      <c r="AH129" s="137"/>
      <c r="AI129" s="484"/>
      <c r="AJ129" s="137">
        <f t="shared" si="8"/>
        <v>0.10416666666666666</v>
      </c>
      <c r="AK129" s="339">
        <v>0.01</v>
      </c>
      <c r="AL129" s="138">
        <f>VLOOKUP($D129,Construction!$B:$C,(COLUMN(Construction_Time)-COLUMN(Construction_Name_and_Level)+1),FALSE)</f>
        <v>2.0833333333333333E-3</v>
      </c>
      <c r="AM129" s="138">
        <f>AL129/(1+AK129)</f>
        <v>2.0627062706270625E-3</v>
      </c>
      <c r="AN129" s="138">
        <f>(S$3*S129+T$3*T129+V$3*V129+W$3*W129+X$3*X129+Y$3*Y129+Z$3*Z129+AA$3*AA129+AB$3*AB129+AC$3*AC129)*(-1)</f>
        <v>0</v>
      </c>
      <c r="AO129" s="139">
        <f>IF((AM129-Q129-R129-AN129)&gt;=0,AM129-Q129-R129-AN129,0)</f>
        <v>0</v>
      </c>
      <c r="AU129" s="94">
        <f>VLOOKUP($D129,Construction!$B:$J,(COLUMN(Construction_BuildingCost_Stone)-COLUMN(Construction_Name_and_Level)+1),FALSE)*(-1)</f>
        <v>-850</v>
      </c>
      <c r="AV129" s="94">
        <f>VLOOKUP($D129,Construction!$B:$J,(COLUMN(Construction_BuildingCost_Wood)-COLUMN(Construction_Name_and_Level)+1),FALSE)*(-1)</f>
        <v>-680</v>
      </c>
      <c r="AW129" s="94">
        <f>VLOOKUP($D129,Construction!$B:$J,(COLUMN(Construction_BuildingCost_Ore)-COLUMN(Construction_Name_and_Level)+1),FALSE)*(-1)</f>
        <v>-510</v>
      </c>
      <c r="AX129" s="94">
        <f>VLOOKUP($D129,Construction!$B:$J,(COLUMN(Construction_BuildingCost_Food)-COLUMN(Construction_Name_and_Level)+1),FALSE)*(-1)</f>
        <v>-425</v>
      </c>
    </row>
    <row r="130" spans="2:108" ht="15" customHeight="1">
      <c r="B130" s="506" t="s">
        <v>143</v>
      </c>
      <c r="C130" s="127" t="s">
        <v>139</v>
      </c>
      <c r="D130" s="144" t="s">
        <v>1535</v>
      </c>
      <c r="E130" s="506">
        <v>8</v>
      </c>
      <c r="F130" s="12">
        <v>0</v>
      </c>
      <c r="G130" s="101">
        <f>VLOOKUP($D130,Construction!$B:$L,(COLUMN(Construction_QuestReward_HeroXP)-COLUMN(Construction_Name_and_Level)+1),FALSE)</f>
        <v>2575</v>
      </c>
      <c r="H130" s="101">
        <f t="shared" si="7"/>
        <v>2575</v>
      </c>
      <c r="J130" s="100">
        <f>VLOOKUP($D130,Construction!$B:$L,(COLUMN(Construction_QuestReward_Power)-COLUMN(Construction_Name_and_Level)+1),FALSE)</f>
        <v>10</v>
      </c>
      <c r="AF130" s="141"/>
      <c r="AG130" s="141"/>
      <c r="AH130" s="137"/>
      <c r="AI130" s="484"/>
      <c r="AJ130" s="137">
        <f t="shared" si="8"/>
        <v>0.10416666666666666</v>
      </c>
      <c r="AU130" s="101">
        <f>VLOOKUP($D130,Construction!$B:$Q,(COLUMN(Construction_QuestReward_Stone)-COLUMN(Construction_Name_and_Level)+1),FALSE)</f>
        <v>2400</v>
      </c>
      <c r="AV130" s="101">
        <f>VLOOKUP($D130,Construction!$B:$Q,(COLUMN(Construction_QuestReward_Wood)-COLUMN(Construction_Name_and_Level)+1),FALSE)</f>
        <v>1900</v>
      </c>
      <c r="AW130" s="101">
        <f>VLOOKUP($D130,Construction!$B:$Q,(COLUMN(Construction_QuestReward_Ore)-COLUMN(Construction_Name_and_Level)+1),FALSE)</f>
        <v>1500</v>
      </c>
      <c r="AX130" s="101">
        <f>VLOOKUP($D130,Construction!$B:$Q,(COLUMN(Construction_QuestReward_Food)-COLUMN(Construction_Name_and_Level)+1),FALSE)</f>
        <v>1200</v>
      </c>
      <c r="AY130" s="100">
        <f>VLOOKUP($D130,Construction!$B:$Q,(COLUMN(Construction_QuestReward_Silver)-COLUMN(Construction_Name_and_Level)+1),FALSE)</f>
        <v>150</v>
      </c>
    </row>
    <row r="131" spans="2:108" ht="15" customHeight="1">
      <c r="B131" s="506" t="s">
        <v>144</v>
      </c>
      <c r="C131" s="127" t="s">
        <v>149</v>
      </c>
      <c r="D131" s="144" t="s">
        <v>1473</v>
      </c>
      <c r="E131" s="506">
        <v>8</v>
      </c>
      <c r="F131" s="12">
        <v>0</v>
      </c>
      <c r="G131" s="94">
        <f>VLOOKUP($D131,Construction!$B:$E,(COLUMN(Construction_BuildingReward_HeroXP)-COLUMN(Construction_Name_and_Level)+1),FALSE)</f>
        <v>10</v>
      </c>
      <c r="H131" s="94">
        <f t="shared" si="7"/>
        <v>10</v>
      </c>
      <c r="J131" s="95">
        <f>VLOOKUP($D131,Construction!$B:$F,(COLUMN(Construction_BuildingReward_Power)-COLUMN(Construction_Name_and_Level)+1),FALSE)</f>
        <v>5</v>
      </c>
      <c r="Q131" s="139">
        <v>3.472222222222222E-3</v>
      </c>
      <c r="R131" s="139">
        <v>5.5555555555555558E-3</v>
      </c>
      <c r="AF131" s="141"/>
      <c r="AG131" s="141"/>
      <c r="AH131" s="137"/>
      <c r="AI131" s="484"/>
      <c r="AJ131" s="137">
        <f t="shared" si="8"/>
        <v>0.10416666666666666</v>
      </c>
      <c r="AK131" s="339">
        <v>0.01</v>
      </c>
      <c r="AL131" s="138">
        <f>VLOOKUP($D131,Construction!$B:$C,(COLUMN(Construction_Time)-COLUMN(Construction_Name_and_Level)+1),FALSE)</f>
        <v>6.9444444444444447E-4</v>
      </c>
      <c r="AM131" s="138">
        <f>AL131/(1+AK131)</f>
        <v>6.8756875687568761E-4</v>
      </c>
      <c r="AN131" s="138">
        <f>(S$3*S131+T$3*T131+V$3*V131+W$3*W131+X$3*X131+Y$3*Y131+Z$3*Z131+AA$3*AA131+AB$3*AB131+AC$3*AC131)*(-1)</f>
        <v>0</v>
      </c>
      <c r="AO131" s="139">
        <f>IF((AM131-Q131-R131-AN131)&gt;=0,AM131-Q131-R131-AN131,0)</f>
        <v>0</v>
      </c>
      <c r="AU131" s="94">
        <f>VLOOKUP($D131,Construction!$B:$J,(COLUMN(Construction_BuildingCost_Stone)-COLUMN(Construction_Name_and_Level)+1),FALSE)*(-1)</f>
        <v>-100</v>
      </c>
      <c r="AV131" s="94">
        <f>VLOOKUP($D131,Construction!$B:$J,(COLUMN(Construction_BuildingCost_Wood)-COLUMN(Construction_Name_and_Level)+1),FALSE)*(-1)</f>
        <v>0</v>
      </c>
      <c r="AW131" s="94">
        <f>VLOOKUP($D131,Construction!$B:$J,(COLUMN(Construction_BuildingCost_Ore)-COLUMN(Construction_Name_and_Level)+1),FALSE)*(-1)</f>
        <v>-100</v>
      </c>
      <c r="AX131" s="94">
        <f>VLOOKUP($D131,Construction!$B:$J,(COLUMN(Construction_BuildingCost_Food)-COLUMN(Construction_Name_and_Level)+1),FALSE)*(-1)</f>
        <v>-100</v>
      </c>
    </row>
    <row r="132" spans="2:108" ht="15" customHeight="1">
      <c r="B132" s="506" t="s">
        <v>144</v>
      </c>
      <c r="C132" s="127" t="s">
        <v>149</v>
      </c>
      <c r="D132" s="144" t="s">
        <v>1473</v>
      </c>
      <c r="E132" s="506">
        <v>8</v>
      </c>
      <c r="F132" s="12">
        <v>0</v>
      </c>
      <c r="G132" s="94">
        <f>VLOOKUP($D132,Construction!$B:$E,(COLUMN(Construction_BuildingReward_HeroXP)-COLUMN(Construction_Name_and_Level)+1),FALSE)</f>
        <v>10</v>
      </c>
      <c r="H132" s="94">
        <f t="shared" si="7"/>
        <v>10</v>
      </c>
      <c r="J132" s="95">
        <f>VLOOKUP($D132,Construction!$B:$F,(COLUMN(Construction_BuildingReward_Power)-COLUMN(Construction_Name_and_Level)+1),FALSE)</f>
        <v>5</v>
      </c>
      <c r="Q132" s="139">
        <v>3.472222222222222E-3</v>
      </c>
      <c r="R132" s="139">
        <v>5.5555555555555558E-3</v>
      </c>
      <c r="AF132" s="141"/>
      <c r="AG132" s="141"/>
      <c r="AH132" s="137"/>
      <c r="AI132" s="484"/>
      <c r="AJ132" s="137">
        <f t="shared" si="8"/>
        <v>0.10416666666666666</v>
      </c>
      <c r="AK132" s="339">
        <v>0.01</v>
      </c>
      <c r="AL132" s="138">
        <f>VLOOKUP($D132,Construction!$B:$C,(COLUMN(Construction_Time)-COLUMN(Construction_Name_and_Level)+1),FALSE)</f>
        <v>6.9444444444444447E-4</v>
      </c>
      <c r="AM132" s="138">
        <f>AL132/(1+AK132)</f>
        <v>6.8756875687568761E-4</v>
      </c>
      <c r="AN132" s="138">
        <f>(S$3*S132+T$3*T132+V$3*V132+W$3*W132+X$3*X132+Y$3*Y132+Z$3*Z132+AA$3*AA132+AB$3*AB132+AC$3*AC132)*(-1)</f>
        <v>0</v>
      </c>
      <c r="AO132" s="139">
        <f>IF((AM132-Q132-R132-AN132)&gt;=0,AM132-Q132-R132-AN132,0)</f>
        <v>0</v>
      </c>
      <c r="AU132" s="94">
        <f>VLOOKUP($D132,Construction!$B:$J,(COLUMN(Construction_BuildingCost_Stone)-COLUMN(Construction_Name_and_Level)+1),FALSE)*(-1)</f>
        <v>-100</v>
      </c>
      <c r="AV132" s="94">
        <f>VLOOKUP($D132,Construction!$B:$J,(COLUMN(Construction_BuildingCost_Wood)-COLUMN(Construction_Name_and_Level)+1),FALSE)*(-1)</f>
        <v>0</v>
      </c>
      <c r="AW132" s="94">
        <f>VLOOKUP($D132,Construction!$B:$J,(COLUMN(Construction_BuildingCost_Ore)-COLUMN(Construction_Name_and_Level)+1),FALSE)*(-1)</f>
        <v>-100</v>
      </c>
      <c r="AX132" s="94">
        <f>VLOOKUP($D132,Construction!$B:$J,(COLUMN(Construction_BuildingCost_Food)-COLUMN(Construction_Name_and_Level)+1),FALSE)*(-1)</f>
        <v>-100</v>
      </c>
    </row>
    <row r="133" spans="2:108" ht="15" customHeight="1">
      <c r="B133" s="506" t="s">
        <v>144</v>
      </c>
      <c r="C133" s="127" t="s">
        <v>149</v>
      </c>
      <c r="D133" s="144" t="s">
        <v>1473</v>
      </c>
      <c r="E133" s="506">
        <v>8</v>
      </c>
      <c r="F133" s="12">
        <v>0</v>
      </c>
      <c r="G133" s="94">
        <f>VLOOKUP($D133,Construction!$B:$E,(COLUMN(Construction_BuildingReward_HeroXP)-COLUMN(Construction_Name_and_Level)+1),FALSE)</f>
        <v>10</v>
      </c>
      <c r="H133" s="94">
        <f t="shared" si="7"/>
        <v>10</v>
      </c>
      <c r="J133" s="95">
        <f>VLOOKUP($D133,Construction!$B:$F,(COLUMN(Construction_BuildingReward_Power)-COLUMN(Construction_Name_and_Level)+1),FALSE)</f>
        <v>5</v>
      </c>
      <c r="Q133" s="139">
        <v>3.472222222222222E-3</v>
      </c>
      <c r="R133" s="139">
        <v>5.5555555555555558E-3</v>
      </c>
      <c r="AF133" s="141"/>
      <c r="AG133" s="141"/>
      <c r="AH133" s="137"/>
      <c r="AI133" s="484"/>
      <c r="AJ133" s="137">
        <f t="shared" si="8"/>
        <v>0.10416666666666666</v>
      </c>
      <c r="AK133" s="339">
        <v>0.01</v>
      </c>
      <c r="AL133" s="138">
        <f>VLOOKUP($D133,Construction!$B:$C,(COLUMN(Construction_Time)-COLUMN(Construction_Name_and_Level)+1),FALSE)</f>
        <v>6.9444444444444447E-4</v>
      </c>
      <c r="AM133" s="138">
        <f>AL133/(1+AK133)</f>
        <v>6.8756875687568761E-4</v>
      </c>
      <c r="AN133" s="138">
        <f>(S$3*S133+T$3*T133+V$3*V133+W$3*W133+X$3*X133+Y$3*Y133+Z$3*Z133+AA$3*AA133+AB$3*AB133+AC$3*AC133)*(-1)</f>
        <v>0</v>
      </c>
      <c r="AO133" s="139">
        <f>IF((AM133-Q133-R133-AN133)&gt;=0,AM133-Q133-R133-AN133,0)</f>
        <v>0</v>
      </c>
      <c r="AU133" s="94">
        <f>VLOOKUP($D133,Construction!$B:$J,(COLUMN(Construction_BuildingCost_Stone)-COLUMN(Construction_Name_and_Level)+1),FALSE)*(-1)</f>
        <v>-100</v>
      </c>
      <c r="AV133" s="94">
        <f>VLOOKUP($D133,Construction!$B:$J,(COLUMN(Construction_BuildingCost_Wood)-COLUMN(Construction_Name_and_Level)+1),FALSE)*(-1)</f>
        <v>0</v>
      </c>
      <c r="AW133" s="94">
        <f>VLOOKUP($D133,Construction!$B:$J,(COLUMN(Construction_BuildingCost_Ore)-COLUMN(Construction_Name_and_Level)+1),FALSE)*(-1)</f>
        <v>-100</v>
      </c>
      <c r="AX133" s="94">
        <f>VLOOKUP($D133,Construction!$B:$J,(COLUMN(Construction_BuildingCost_Food)-COLUMN(Construction_Name_and_Level)+1),FALSE)*(-1)</f>
        <v>-100</v>
      </c>
    </row>
    <row r="134" spans="2:108" ht="15" customHeight="1">
      <c r="B134" s="506" t="s">
        <v>143</v>
      </c>
      <c r="C134" s="127" t="s">
        <v>139</v>
      </c>
      <c r="D134" s="144" t="s">
        <v>1536</v>
      </c>
      <c r="E134" s="506">
        <v>8</v>
      </c>
      <c r="F134" s="12">
        <v>0</v>
      </c>
      <c r="G134" s="101">
        <v>10150</v>
      </c>
      <c r="H134" s="101">
        <f t="shared" ref="H134:H181" si="9">G134*(1+F134)</f>
        <v>10150</v>
      </c>
      <c r="J134" s="100">
        <v>500</v>
      </c>
      <c r="AF134" s="141"/>
      <c r="AG134" s="141"/>
      <c r="AH134" s="137"/>
      <c r="AI134" s="484"/>
      <c r="AJ134" s="137">
        <f t="shared" si="8"/>
        <v>0.10416666666666666</v>
      </c>
      <c r="AV134" s="198">
        <v>1200</v>
      </c>
    </row>
    <row r="135" spans="2:108" ht="15" customHeight="1">
      <c r="B135" s="126" t="s">
        <v>1457</v>
      </c>
      <c r="C135" s="127" t="s">
        <v>147</v>
      </c>
      <c r="D135" s="144" t="s">
        <v>1537</v>
      </c>
      <c r="E135" s="506">
        <v>9</v>
      </c>
      <c r="I135" s="5">
        <v>2</v>
      </c>
      <c r="J135" s="5">
        <v>76</v>
      </c>
      <c r="Q135" s="149"/>
      <c r="AF135" s="141"/>
      <c r="AG135" s="141"/>
      <c r="AH135" s="137"/>
      <c r="AI135" s="484"/>
      <c r="AJ135" s="137">
        <f t="shared" si="8"/>
        <v>0.10416666666666666</v>
      </c>
      <c r="AX135" s="11"/>
    </row>
    <row r="136" spans="2:108" ht="15" customHeight="1">
      <c r="B136" s="106" t="s">
        <v>171</v>
      </c>
      <c r="C136" s="130"/>
      <c r="D136" s="130" t="s">
        <v>1538</v>
      </c>
      <c r="E136" s="106">
        <v>9</v>
      </c>
      <c r="F136" s="219">
        <v>0</v>
      </c>
      <c r="G136" s="107" t="s">
        <v>1453</v>
      </c>
      <c r="H136" s="107">
        <v>367610</v>
      </c>
      <c r="I136" s="108">
        <v>14</v>
      </c>
      <c r="J136" s="108">
        <v>5918</v>
      </c>
      <c r="K136" s="107">
        <v>3</v>
      </c>
      <c r="L136" s="107">
        <v>770</v>
      </c>
      <c r="M136" s="134">
        <v>0.10416666666666667</v>
      </c>
      <c r="N136" s="109">
        <v>200</v>
      </c>
      <c r="O136" s="109">
        <f>SUMIF($B$4:$B135,"&lt;&gt;"&amp;$CS$13,O$4:O135)</f>
        <v>0</v>
      </c>
      <c r="P136" s="108">
        <f>SUMIF($B$4:$B135,"&lt;&gt;"&amp;$CS$13,N$4:N135)</f>
        <v>200</v>
      </c>
      <c r="Q136" s="134">
        <v>3.472222222222222E-3</v>
      </c>
      <c r="R136" s="134">
        <v>5.5555555555555558E-3</v>
      </c>
      <c r="S136" s="107">
        <v>0</v>
      </c>
      <c r="T136" s="107">
        <v>0</v>
      </c>
      <c r="U136" s="107">
        <v>0</v>
      </c>
      <c r="V136" s="107">
        <v>0</v>
      </c>
      <c r="W136" s="109">
        <v>10</v>
      </c>
      <c r="X136" s="109">
        <v>0</v>
      </c>
      <c r="Y136" s="109">
        <v>0</v>
      </c>
      <c r="Z136" s="109">
        <v>0</v>
      </c>
      <c r="AA136" s="109">
        <v>0</v>
      </c>
      <c r="AB136" s="109">
        <v>0</v>
      </c>
      <c r="AC136" s="109">
        <v>0</v>
      </c>
      <c r="AD136" s="109">
        <v>0</v>
      </c>
      <c r="AE136" s="108">
        <v>0</v>
      </c>
      <c r="AF136" s="136">
        <f>SUMIF($B$4:$B135,"&lt;&gt;"&amp;$CS$13,AF$4:AF135)</f>
        <v>0.15138888888888891</v>
      </c>
      <c r="AG136" s="136">
        <f>SUMIF($B$4:$B135,"&lt;&gt;"&amp;$CS$13,AG$4:AG135)</f>
        <v>0</v>
      </c>
      <c r="AH136" s="134">
        <f>AF136+AG136</f>
        <v>0.15138888888888891</v>
      </c>
      <c r="AI136" s="483">
        <f>SUMIF($B$4:$B135,"&lt;&gt;"&amp;$CS$13,AI$4:AI135)</f>
        <v>4.7222222222222221E-2</v>
      </c>
      <c r="AJ136" s="134">
        <f>S$3*S136+T$3*T136+U$3*U136+V$3*V136+W$3*W136+X$3*X136+Y$3*Y136+Z$3*Z136+AA$3*AA136+AB$3*AB136+AC$3*AC136</f>
        <v>0.10416666666666666</v>
      </c>
      <c r="AK136" s="343">
        <v>0.03</v>
      </c>
      <c r="AL136" s="136" t="s">
        <v>1453</v>
      </c>
      <c r="AM136" s="136" t="s">
        <v>1453</v>
      </c>
      <c r="AN136" s="136" t="s">
        <v>1453</v>
      </c>
      <c r="AO136" s="134" t="s">
        <v>1453</v>
      </c>
      <c r="AP136" s="255">
        <v>0.03</v>
      </c>
      <c r="AQ136" s="136" t="s">
        <v>1453</v>
      </c>
      <c r="AR136" s="136" t="s">
        <v>1453</v>
      </c>
      <c r="AS136" s="136" t="s">
        <v>1453</v>
      </c>
      <c r="AT136" s="134" t="s">
        <v>1453</v>
      </c>
      <c r="AU136" s="107">
        <v>102700</v>
      </c>
      <c r="AV136" s="107">
        <v>109600</v>
      </c>
      <c r="AW136" s="107">
        <v>80250</v>
      </c>
      <c r="AX136" s="109">
        <v>139200</v>
      </c>
      <c r="AY136" s="108">
        <v>30860</v>
      </c>
      <c r="AZ136" s="107">
        <v>123</v>
      </c>
      <c r="BA136" s="107">
        <v>242</v>
      </c>
      <c r="BB136" s="107">
        <v>90</v>
      </c>
      <c r="BC136" s="107">
        <v>357</v>
      </c>
      <c r="BD136" s="108">
        <v>120</v>
      </c>
      <c r="BE136" s="108">
        <v>-20</v>
      </c>
      <c r="BF136" s="107">
        <v>21000</v>
      </c>
      <c r="BG136" s="107">
        <v>27000</v>
      </c>
      <c r="BH136" s="107">
        <v>19500</v>
      </c>
      <c r="BI136" s="107">
        <v>30000</v>
      </c>
      <c r="BJ136" s="108">
        <v>21000</v>
      </c>
      <c r="BK136" s="107">
        <v>4</v>
      </c>
      <c r="BL136" s="108">
        <v>3</v>
      </c>
      <c r="BM136" s="108">
        <v>4</v>
      </c>
      <c r="BN136" s="107">
        <v>2</v>
      </c>
      <c r="BO136" s="108">
        <v>4</v>
      </c>
      <c r="BP136" s="107">
        <v>2</v>
      </c>
      <c r="BQ136" s="108">
        <v>4</v>
      </c>
      <c r="BR136" s="107">
        <v>2</v>
      </c>
      <c r="BS136" s="108">
        <v>1</v>
      </c>
      <c r="BT136" s="107">
        <v>2</v>
      </c>
      <c r="BU136" s="108">
        <v>1</v>
      </c>
      <c r="BV136" s="107">
        <v>3</v>
      </c>
      <c r="BW136" s="108">
        <v>1</v>
      </c>
      <c r="BX136" s="107">
        <v>2</v>
      </c>
      <c r="BY136" s="108">
        <v>1</v>
      </c>
      <c r="BZ136" s="107">
        <v>2</v>
      </c>
      <c r="CA136" s="108">
        <v>1</v>
      </c>
      <c r="CB136" s="108">
        <v>2</v>
      </c>
      <c r="CC136" s="108">
        <v>3</v>
      </c>
      <c r="CD136" s="108">
        <v>1</v>
      </c>
      <c r="CE136" s="107"/>
      <c r="CF136" s="107"/>
      <c r="CG136" s="108"/>
      <c r="CH136" s="107"/>
      <c r="CI136" s="107"/>
      <c r="CJ136" s="108"/>
      <c r="CK136" s="108"/>
      <c r="CL136" s="107">
        <v>27900</v>
      </c>
      <c r="CM136" s="108"/>
      <c r="CN136" s="108" t="s">
        <v>1208</v>
      </c>
    </row>
    <row r="137" spans="2:108" ht="15" customHeight="1">
      <c r="B137" s="506" t="s">
        <v>146</v>
      </c>
      <c r="C137" s="127" t="s">
        <v>138</v>
      </c>
      <c r="D137" s="144" t="s">
        <v>1539</v>
      </c>
      <c r="E137" s="506">
        <v>9</v>
      </c>
      <c r="F137" s="12">
        <v>0</v>
      </c>
      <c r="G137" s="111">
        <f>VLOOKUP($D137,Research!$C:$F,(COLUMN(Research_ResearchReward_HeroXP)-COLUMN(Research_Name_and_Level)+1),FALSE)</f>
        <v>120000</v>
      </c>
      <c r="H137" s="111">
        <f t="shared" si="9"/>
        <v>120000</v>
      </c>
      <c r="J137" s="115">
        <f>VLOOKUP($D137,Research!$C:$G,(COLUMN(Research_ResearchReward_Power)-COLUMN(Research_Name_and_Level)+1),FALSE)</f>
        <v>750</v>
      </c>
      <c r="R137" s="148">
        <v>5.5555555555555558E-3</v>
      </c>
      <c r="AF137" s="141"/>
      <c r="AG137" s="141"/>
      <c r="AH137" s="137"/>
      <c r="AI137" s="484"/>
      <c r="AJ137" s="137">
        <f>AJ136+(S$3*S137+T$3*T137+U$3*U137+V$3*V137+W$3*W137+X$3*X137+Y$3*Y137+Z$3*Z137+AA$3*AA137+AB$3*AB137+AC$3*AC137)</f>
        <v>0.10416666666666666</v>
      </c>
      <c r="AP137" s="256">
        <v>0.03</v>
      </c>
      <c r="AQ137" s="147">
        <f>VLOOKUP($D137,Research!$C:$D,(COLUMN(Research_Time)-COLUMN(Research_Name_and_Level)+1),FALSE)</f>
        <v>6.25E-2</v>
      </c>
      <c r="AR137" s="147">
        <f>AQ137/(1+AP137)</f>
        <v>6.0679611650485438E-2</v>
      </c>
      <c r="AS137" s="147">
        <f>(S$3*S137+T$3*T137+V$3*V137+W$3*W137+X$3*X137+Y$3*Y137+Z$3*Z137+AA$3*AA137+AB$3*AB137+AC$3*AC137)*(-1)</f>
        <v>0</v>
      </c>
      <c r="AT137" s="148">
        <f>IF(AR137-R137-AS137&gt;=0,AR137-R137-AS137,0)</f>
        <v>5.5124056094929881E-2</v>
      </c>
      <c r="AU137" s="111">
        <f>VLOOKUP($D137,Research!$C:$L,(COLUMN(Research_ResearchCost_Stone)-COLUMN(Research_Name_and_Level)+1),FALSE)*(-1)</f>
        <v>-1000</v>
      </c>
      <c r="AV137" s="111">
        <f>VLOOKUP($D137,Research!$C:$L,(COLUMN(Research_ResearchCost_Wood)-COLUMN(Research_Name_and_Level)+1),FALSE)*(-1)</f>
        <v>-1000</v>
      </c>
      <c r="AW137" s="111">
        <f>VLOOKUP($D137,Research!$C:$L,(COLUMN(Research_ResearchCost_Ore)-COLUMN(Research_Name_and_Level)+1),FALSE)*(-1)</f>
        <v>-1000</v>
      </c>
      <c r="AX137" s="111">
        <f>VLOOKUP($D137,Research!$C:$L,(COLUMN(Research_ResearchCost_Food)-COLUMN(Research_Name_and_Level)+1),FALSE)*(-1)</f>
        <v>-1000</v>
      </c>
      <c r="AY137" s="112">
        <f>VLOOKUP($D137,Research!$C:$L,(COLUMN(Research_ResearchCost_Silver)-COLUMN(Research_Name_and_Level)+1),FALSE)*(-1)</f>
        <v>-15000</v>
      </c>
    </row>
    <row r="138" spans="2:108" ht="15" customHeight="1">
      <c r="B138" s="126" t="s">
        <v>1457</v>
      </c>
      <c r="C138" s="127" t="s">
        <v>147</v>
      </c>
      <c r="D138" s="144" t="s">
        <v>1540</v>
      </c>
      <c r="E138" s="506">
        <v>10</v>
      </c>
      <c r="I138" s="5">
        <v>3</v>
      </c>
      <c r="J138" s="5">
        <v>98</v>
      </c>
      <c r="Q138" s="149"/>
      <c r="AF138" s="141"/>
      <c r="AG138" s="141"/>
      <c r="AH138" s="137"/>
      <c r="AI138" s="484"/>
      <c r="AJ138" s="137">
        <f>AJ137+(S$3*S138+T$3*T138+U$3*U138+V$3*V138+W$3*W138+X$3*X138+Y$3*Y138+Z$3*Z138+AA$3*AA138+AB$3*AB138+AC$3*AC138)</f>
        <v>0.10416666666666666</v>
      </c>
      <c r="AX138" s="11"/>
    </row>
    <row r="139" spans="2:108" ht="15" customHeight="1">
      <c r="B139" s="106" t="s">
        <v>171</v>
      </c>
      <c r="C139" s="130"/>
      <c r="D139" s="130" t="s">
        <v>1541</v>
      </c>
      <c r="E139" s="106">
        <v>10</v>
      </c>
      <c r="F139" s="219">
        <v>0</v>
      </c>
      <c r="G139" s="107" t="s">
        <v>1453</v>
      </c>
      <c r="H139" s="107">
        <v>487610</v>
      </c>
      <c r="I139" s="108">
        <v>17</v>
      </c>
      <c r="J139" s="108">
        <v>6766</v>
      </c>
      <c r="K139" s="107">
        <v>4</v>
      </c>
      <c r="L139" s="107">
        <v>890</v>
      </c>
      <c r="M139" s="134">
        <v>0.10416666666666667</v>
      </c>
      <c r="N139" s="109">
        <v>200</v>
      </c>
      <c r="O139" s="109">
        <f>SUMIF($B$4:$B138,"&lt;&gt;"&amp;$CS$13,O$4:O138)</f>
        <v>0</v>
      </c>
      <c r="P139" s="108">
        <f>SUMIF($B$4:$B138,"&lt;&gt;"&amp;$CS$13,N$4:N138)</f>
        <v>200</v>
      </c>
      <c r="Q139" s="134">
        <v>3.472222222222222E-3</v>
      </c>
      <c r="R139" s="134">
        <v>5.5555555555555558E-3</v>
      </c>
      <c r="S139" s="107">
        <v>0</v>
      </c>
      <c r="T139" s="107">
        <v>0</v>
      </c>
      <c r="U139" s="107">
        <v>0</v>
      </c>
      <c r="V139" s="107">
        <v>0</v>
      </c>
      <c r="W139" s="109">
        <v>10</v>
      </c>
      <c r="X139" s="109">
        <v>0</v>
      </c>
      <c r="Y139" s="109">
        <v>0</v>
      </c>
      <c r="Z139" s="109">
        <v>0</v>
      </c>
      <c r="AA139" s="109">
        <v>0</v>
      </c>
      <c r="AB139" s="109">
        <v>0</v>
      </c>
      <c r="AC139" s="109">
        <v>0</v>
      </c>
      <c r="AD139" s="109">
        <v>0</v>
      </c>
      <c r="AE139" s="108">
        <v>0</v>
      </c>
      <c r="AF139" s="136">
        <f>SUMIF($B$4:$B138,"&lt;&gt;"&amp;$CS$13,AF$4:AF138)</f>
        <v>0.15138888888888891</v>
      </c>
      <c r="AG139" s="136">
        <f>SUMIF($B$4:$B138,"&lt;&gt;"&amp;$CS$13,AG$4:AG138)</f>
        <v>0</v>
      </c>
      <c r="AH139" s="134">
        <f>AF139+AG139</f>
        <v>0.15138888888888891</v>
      </c>
      <c r="AI139" s="483">
        <f>SUMIF($B$4:$B138,"&lt;&gt;"&amp;$CS$13,AI$4:AI138)</f>
        <v>4.7222222222222221E-2</v>
      </c>
      <c r="AJ139" s="134">
        <f>S$3*S139+T$3*T139+U$3*U139+V$3*V139+W$3*W139+X$3*X139+Y$3*Y139+Z$3*Z139+AA$3*AA139+AB$3*AB139+AC$3*AC139</f>
        <v>0.10416666666666666</v>
      </c>
      <c r="AK139" s="343">
        <v>0.1</v>
      </c>
      <c r="AL139" s="136" t="s">
        <v>1453</v>
      </c>
      <c r="AM139" s="136" t="s">
        <v>1453</v>
      </c>
      <c r="AN139" s="136" t="s">
        <v>1453</v>
      </c>
      <c r="AO139" s="134" t="s">
        <v>1453</v>
      </c>
      <c r="AP139" s="255">
        <v>0.03</v>
      </c>
      <c r="AQ139" s="136" t="s">
        <v>1453</v>
      </c>
      <c r="AR139" s="136" t="s">
        <v>1453</v>
      </c>
      <c r="AS139" s="136" t="s">
        <v>1453</v>
      </c>
      <c r="AT139" s="134" t="s">
        <v>1453</v>
      </c>
      <c r="AU139" s="107">
        <v>101700</v>
      </c>
      <c r="AV139" s="107">
        <v>108600</v>
      </c>
      <c r="AW139" s="107">
        <v>79250</v>
      </c>
      <c r="AX139" s="109">
        <v>138200</v>
      </c>
      <c r="AY139" s="108">
        <v>17600</v>
      </c>
      <c r="AZ139" s="107">
        <v>123</v>
      </c>
      <c r="BA139" s="107">
        <v>242</v>
      </c>
      <c r="BB139" s="107">
        <v>90</v>
      </c>
      <c r="BC139" s="107">
        <v>357</v>
      </c>
      <c r="BD139" s="108">
        <v>120</v>
      </c>
      <c r="BE139" s="108">
        <v>-20</v>
      </c>
      <c r="BF139" s="107">
        <v>21000</v>
      </c>
      <c r="BG139" s="107">
        <v>27000</v>
      </c>
      <c r="BH139" s="107">
        <v>19500</v>
      </c>
      <c r="BI139" s="107">
        <v>30000</v>
      </c>
      <c r="BJ139" s="108">
        <v>21000</v>
      </c>
      <c r="BK139" s="107">
        <v>4</v>
      </c>
      <c r="BL139" s="108">
        <v>3</v>
      </c>
      <c r="BM139" s="108">
        <v>4</v>
      </c>
      <c r="BN139" s="107">
        <v>2</v>
      </c>
      <c r="BO139" s="108">
        <v>4</v>
      </c>
      <c r="BP139" s="107">
        <v>2</v>
      </c>
      <c r="BQ139" s="108">
        <v>4</v>
      </c>
      <c r="BR139" s="107">
        <v>2</v>
      </c>
      <c r="BS139" s="108">
        <v>1</v>
      </c>
      <c r="BT139" s="107">
        <v>2</v>
      </c>
      <c r="BU139" s="108">
        <v>1</v>
      </c>
      <c r="BV139" s="107">
        <v>3</v>
      </c>
      <c r="BW139" s="108">
        <v>1</v>
      </c>
      <c r="BX139" s="107">
        <v>2</v>
      </c>
      <c r="BY139" s="108">
        <v>1</v>
      </c>
      <c r="BZ139" s="107">
        <v>2</v>
      </c>
      <c r="CA139" s="108">
        <v>1</v>
      </c>
      <c r="CB139" s="108">
        <v>2</v>
      </c>
      <c r="CC139" s="108">
        <v>3</v>
      </c>
      <c r="CD139" s="108">
        <v>1</v>
      </c>
      <c r="CE139" s="107"/>
      <c r="CF139" s="107"/>
      <c r="CG139" s="108"/>
      <c r="CH139" s="107"/>
      <c r="CI139" s="107"/>
      <c r="CJ139" s="108"/>
      <c r="CK139" s="108"/>
      <c r="CL139" s="107">
        <v>28800</v>
      </c>
      <c r="CM139" s="108"/>
      <c r="CN139" s="108" t="s">
        <v>1208</v>
      </c>
    </row>
    <row r="140" spans="2:108" ht="15" customHeight="1">
      <c r="B140" s="506" t="s">
        <v>148</v>
      </c>
      <c r="E140" s="506">
        <v>10</v>
      </c>
      <c r="AF140" s="141"/>
      <c r="AG140" s="141"/>
      <c r="AH140" s="137"/>
      <c r="AI140" s="484"/>
      <c r="AJ140" s="137">
        <f t="shared" ref="AJ140:AJ178" si="10">AJ139+(S$3*S140+T$3*T140+U$3*U140+V$3*V140+W$3*W140+X$3*X140+Y$3*Y140+Z$3*Z140+AA$3*AA140+AB$3*AB140+AC$3*AC140)</f>
        <v>0.10416666666666666</v>
      </c>
      <c r="AX140" s="142">
        <v>12500</v>
      </c>
    </row>
    <row r="141" spans="2:108" ht="15" customHeight="1">
      <c r="B141" s="102" t="s">
        <v>1455</v>
      </c>
      <c r="C141" s="127" t="s">
        <v>170</v>
      </c>
      <c r="D141" s="144" t="s">
        <v>1539</v>
      </c>
      <c r="E141" s="506">
        <v>10</v>
      </c>
      <c r="F141" s="12">
        <v>0</v>
      </c>
      <c r="G141" s="101">
        <f>VLOOKUP($D141,Research!$C:$M,(COLUMN(Research_QuestReward_HeroXP)-COLUMN(Research_Name_and_Level)+1),FALSE)</f>
        <v>15000</v>
      </c>
      <c r="H141" s="101">
        <f t="shared" si="9"/>
        <v>15000</v>
      </c>
      <c r="J141" s="103">
        <f>VLOOKUP($D141,Research!$C:$N,(COLUMN(Research_QuestReward_Power)-COLUMN(Research_Name_and_Level)+1),FALSE)</f>
        <v>25</v>
      </c>
      <c r="AF141" s="141"/>
      <c r="AG141" s="141"/>
      <c r="AH141" s="137"/>
      <c r="AI141" s="484"/>
      <c r="AJ141" s="137">
        <f t="shared" si="10"/>
        <v>0.10416666666666666</v>
      </c>
      <c r="AU141" s="101">
        <f>VLOOKUP($D141,Research!$C:$S,(COLUMN(Research_QuestReward_Stone)-COLUMN(Research_Name_and_Level)+1),FALSE)</f>
        <v>1000</v>
      </c>
      <c r="AV141" s="101">
        <f>VLOOKUP($D141,Research!$C:$S,(COLUMN(Research_QuestReward_Wood)-COLUMN(Research_Name_and_Level)+1),FALSE)</f>
        <v>1000</v>
      </c>
      <c r="AW141" s="101">
        <f>VLOOKUP($D141,Research!$C:$S,(COLUMN(Research_QuestReward_Ore)-COLUMN(Research_Name_and_Level)+1),FALSE)</f>
        <v>1000</v>
      </c>
      <c r="AX141" s="101">
        <f>VLOOKUP($D141,Research!$C:$S,(COLUMN(Research_QuestReward_Food)-COLUMN(Research_Name_and_Level)+1),FALSE)</f>
        <v>1000</v>
      </c>
      <c r="AY141" s="100">
        <f>VLOOKUP($D141,Research!$C:$S,(COLUMN(Research_QuestReward_Silver)-COLUMN(Research_Name_and_Level)+1),FALSE)</f>
        <v>9000</v>
      </c>
      <c r="CT141" s="127"/>
      <c r="CU141" s="127"/>
      <c r="CV141" s="127"/>
      <c r="CW141" s="127"/>
      <c r="CX141" s="127"/>
      <c r="CY141" s="127"/>
      <c r="CZ141" s="127"/>
      <c r="DA141" s="127"/>
      <c r="DB141" s="127"/>
      <c r="DC141" s="127"/>
      <c r="DD141" s="127"/>
    </row>
    <row r="142" spans="2:108" ht="15" customHeight="1">
      <c r="B142" s="506" t="s">
        <v>145</v>
      </c>
      <c r="C142" s="146" t="s">
        <v>151</v>
      </c>
      <c r="D142" s="145">
        <v>3.472222222222222E-3</v>
      </c>
      <c r="E142" s="506">
        <v>10</v>
      </c>
      <c r="AF142" s="141"/>
      <c r="AG142" s="141"/>
      <c r="AH142" s="137"/>
      <c r="AI142" s="484"/>
      <c r="AJ142" s="137">
        <f t="shared" si="10"/>
        <v>0.10416666666666666</v>
      </c>
      <c r="AW142" s="2">
        <v>1000</v>
      </c>
    </row>
    <row r="143" spans="2:108" ht="15" customHeight="1">
      <c r="B143" s="506" t="s">
        <v>143</v>
      </c>
      <c r="C143" s="127" t="s">
        <v>467</v>
      </c>
      <c r="D143" s="144" t="s">
        <v>1541</v>
      </c>
      <c r="E143" s="506">
        <v>10</v>
      </c>
      <c r="F143" s="12">
        <v>0</v>
      </c>
      <c r="G143" s="101">
        <v>2500</v>
      </c>
      <c r="H143" s="101">
        <f t="shared" si="9"/>
        <v>2500</v>
      </c>
      <c r="J143" s="100">
        <v>25</v>
      </c>
      <c r="AF143" s="141"/>
      <c r="AG143" s="141"/>
      <c r="AH143" s="137"/>
      <c r="AI143" s="484"/>
      <c r="AJ143" s="137">
        <f t="shared" si="10"/>
        <v>0.10416666666666666</v>
      </c>
      <c r="AU143" s="101">
        <v>12600</v>
      </c>
      <c r="AV143" s="101">
        <v>12600</v>
      </c>
      <c r="AW143" s="101">
        <v>12600</v>
      </c>
      <c r="AX143" s="101">
        <v>18900</v>
      </c>
      <c r="AY143" s="100">
        <v>1050</v>
      </c>
    </row>
    <row r="144" spans="2:108" ht="15" customHeight="1">
      <c r="B144" s="506" t="s">
        <v>144</v>
      </c>
      <c r="C144" s="127" t="s">
        <v>149</v>
      </c>
      <c r="D144" s="144" t="s">
        <v>1542</v>
      </c>
      <c r="E144" s="506">
        <v>10</v>
      </c>
      <c r="F144" s="12">
        <v>0</v>
      </c>
      <c r="G144" s="94">
        <f>VLOOKUP($D144,Construction!$B:$E,(COLUMN(Construction_BuildingReward_HeroXP)-COLUMN(Construction_Name_and_Level)+1),FALSE)</f>
        <v>25</v>
      </c>
      <c r="H144" s="94">
        <f t="shared" si="9"/>
        <v>25</v>
      </c>
      <c r="J144" s="95">
        <f>VLOOKUP($D144,Construction!$B:$F,(COLUMN(Construction_BuildingReward_Power)-COLUMN(Construction_Name_and_Level)+1),FALSE)</f>
        <v>25</v>
      </c>
      <c r="Q144" s="139">
        <v>3.472222222222222E-3</v>
      </c>
      <c r="R144" s="139">
        <v>5.5555555555555558E-3</v>
      </c>
      <c r="AF144" s="141"/>
      <c r="AG144" s="141"/>
      <c r="AH144" s="137"/>
      <c r="AI144" s="484"/>
      <c r="AJ144" s="137">
        <f t="shared" si="10"/>
        <v>0.10416666666666666</v>
      </c>
      <c r="AK144" s="339">
        <v>0.1</v>
      </c>
      <c r="AL144" s="138">
        <f>VLOOKUP($D144,Construction!$B:$C,(COLUMN(Construction_Time)-COLUMN(Construction_Name_and_Level)+1),FALSE)</f>
        <v>1.736111111111111E-3</v>
      </c>
      <c r="AM144" s="138">
        <f>AL144/(1+AK144)</f>
        <v>1.578282828282828E-3</v>
      </c>
      <c r="AN144" s="138">
        <f>(S$3*S144+T$3*T144+V$3*V144+W$3*W144+X$3*X144+Y$3*Y144+Z$3*Z144+AA$3*AA144+AB$3*AB144+AC$3*AC144)*(-1)</f>
        <v>0</v>
      </c>
      <c r="AO144" s="139">
        <f>IF((AM144-Q144-R144-AN144)&gt;=0,AM144-Q144-R144-AN144,0)</f>
        <v>0</v>
      </c>
      <c r="AU144" s="94">
        <f>VLOOKUP($D144,Construction!$B:$J,(COLUMN(Construction_BuildingCost_Stone)-COLUMN(Construction_Name_and_Level)+1),FALSE)*(-1)</f>
        <v>-510</v>
      </c>
      <c r="AV144" s="94">
        <f>VLOOKUP($D144,Construction!$B:$J,(COLUMN(Construction_BuildingCost_Wood)-COLUMN(Construction_Name_and_Level)+1),FALSE)*(-1)</f>
        <v>-680</v>
      </c>
      <c r="AW144" s="94">
        <f>VLOOKUP($D144,Construction!$B:$J,(COLUMN(Construction_BuildingCost_Ore)-COLUMN(Construction_Name_and_Level)+1),FALSE)*(-1)</f>
        <v>-1360</v>
      </c>
      <c r="AX144" s="94">
        <f>VLOOKUP($D144,Construction!$B:$J,(COLUMN(Construction_BuildingCost_Food)-COLUMN(Construction_Name_and_Level)+1),FALSE)*(-1)</f>
        <v>-510</v>
      </c>
    </row>
    <row r="145" spans="2:108" ht="15" customHeight="1">
      <c r="B145" s="506" t="s">
        <v>143</v>
      </c>
      <c r="C145" s="127" t="s">
        <v>139</v>
      </c>
      <c r="D145" s="144" t="s">
        <v>1542</v>
      </c>
      <c r="E145" s="506">
        <v>10</v>
      </c>
      <c r="F145" s="12">
        <v>0</v>
      </c>
      <c r="G145" s="101">
        <f>VLOOKUP($D145,Construction!$B:$L,(COLUMN(Construction_QuestReward_HeroXP)-COLUMN(Construction_Name_and_Level)+1),FALSE)</f>
        <v>2575</v>
      </c>
      <c r="H145" s="101">
        <f t="shared" si="9"/>
        <v>2575</v>
      </c>
      <c r="J145" s="100">
        <f>VLOOKUP($D145,Construction!$B:$L,(COLUMN(Construction_QuestReward_Power)-COLUMN(Construction_Name_and_Level)+1),FALSE)</f>
        <v>5</v>
      </c>
      <c r="AF145" s="141"/>
      <c r="AG145" s="141"/>
      <c r="AH145" s="137"/>
      <c r="AI145" s="484"/>
      <c r="AJ145" s="137">
        <f t="shared" si="10"/>
        <v>0.10416666666666666</v>
      </c>
      <c r="AU145" s="101">
        <f>VLOOKUP($D145,Construction!$B:$Q,(COLUMN(Construction_QuestReward_Stone)-COLUMN(Construction_Name_and_Level)+1),FALSE)</f>
        <v>1400</v>
      </c>
      <c r="AV145" s="101">
        <f>VLOOKUP($D145,Construction!$B:$Q,(COLUMN(Construction_QuestReward_Wood)-COLUMN(Construction_Name_and_Level)+1),FALSE)</f>
        <v>1800</v>
      </c>
      <c r="AW145" s="101">
        <f>VLOOKUP($D145,Construction!$B:$Q,(COLUMN(Construction_QuestReward_Ore)-COLUMN(Construction_Name_and_Level)+1),FALSE)</f>
        <v>3500</v>
      </c>
      <c r="AX145" s="101">
        <f>VLOOKUP($D145,Construction!$B:$Q,(COLUMN(Construction_QuestReward_Food)-COLUMN(Construction_Name_and_Level)+1),FALSE)</f>
        <v>1400</v>
      </c>
      <c r="AY145" s="100">
        <f>VLOOKUP($D145,Construction!$B:$Q,(COLUMN(Construction_QuestReward_Silver)-COLUMN(Construction_Name_and_Level)+1),FALSE)</f>
        <v>250</v>
      </c>
    </row>
    <row r="146" spans="2:108" ht="15" customHeight="1">
      <c r="B146" s="506" t="s">
        <v>146</v>
      </c>
      <c r="C146" s="127" t="s">
        <v>138</v>
      </c>
      <c r="D146" s="144" t="s">
        <v>1543</v>
      </c>
      <c r="E146" s="506">
        <v>10</v>
      </c>
      <c r="F146" s="12">
        <v>0</v>
      </c>
      <c r="G146" s="111">
        <f>VLOOKUP($D146,Research!$C:$F,(COLUMN(Research_ResearchReward_HeroXP)-COLUMN(Research_Name_and_Level)+1),FALSE)</f>
        <v>96000</v>
      </c>
      <c r="H146" s="111">
        <f t="shared" si="9"/>
        <v>96000</v>
      </c>
      <c r="J146" s="115">
        <f>VLOOKUP($D146,Research!$C:$G,(COLUMN(Research_ResearchReward_Power)-COLUMN(Research_Name_and_Level)+1),FALSE)</f>
        <v>33</v>
      </c>
      <c r="R146" s="148">
        <v>5.5555555555555558E-3</v>
      </c>
      <c r="W146" s="11">
        <v>-1</v>
      </c>
      <c r="AF146" s="141"/>
      <c r="AG146" s="141"/>
      <c r="AH146" s="137"/>
      <c r="AI146" s="484">
        <f>(-1)*($S$3*$S146+$T$3*$T146+$U$3*$U146+$V$3*$V146+$W$3*$W146+$X$3*$X146+$Y$3*$Y146+$Z$3*$Z146+$AA$3*$AA146+$AB$3*$AB146+$AC$3*$AC146)</f>
        <v>1.0416666666666666E-2</v>
      </c>
      <c r="AJ146" s="137">
        <f t="shared" si="10"/>
        <v>9.3749999999999986E-2</v>
      </c>
      <c r="AP146" s="256">
        <v>0.03</v>
      </c>
      <c r="AQ146" s="147">
        <f>VLOOKUP($D146,Research!$C:$D,(COLUMN(Research_Time)-COLUMN(Research_Name_and_Level)+1),FALSE)</f>
        <v>3.125E-2</v>
      </c>
      <c r="AR146" s="147">
        <f>AQ146/(1+AP146)</f>
        <v>3.0339805825242719E-2</v>
      </c>
      <c r="AS146" s="147">
        <f>(S$3*S146+T$3*T146+V$3*V146+W$3*W146+X$3*X146+Y$3*Y146+Z$3*Z146+AA$3*AA146+AB$3*AB146+AC$3*AC146)*(-1)</f>
        <v>1.0416666666666666E-2</v>
      </c>
      <c r="AT146" s="148">
        <f>IF(AR146-R146-AS146&gt;=0,AR146-R146-AS146,0)</f>
        <v>1.4367583603020496E-2</v>
      </c>
      <c r="AU146" s="111">
        <f>VLOOKUP($D146,Research!$C:$L,(COLUMN(Research_ResearchCost_Stone)-COLUMN(Research_Name_and_Level)+1),FALSE)*(-1)</f>
        <v>0</v>
      </c>
      <c r="AV146" s="111">
        <f>VLOOKUP($D146,Research!$C:$L,(COLUMN(Research_ResearchCost_Wood)-COLUMN(Research_Name_and_Level)+1),FALSE)*(-1)</f>
        <v>0</v>
      </c>
      <c r="AW146" s="111">
        <f>VLOOKUP($D146,Research!$C:$L,(COLUMN(Research_ResearchCost_Ore)-COLUMN(Research_Name_and_Level)+1),FALSE)*(-1)</f>
        <v>0</v>
      </c>
      <c r="AX146" s="111">
        <f>VLOOKUP($D146,Research!$C:$L,(COLUMN(Research_ResearchCost_Food)-COLUMN(Research_Name_and_Level)+1),FALSE)*(-1)</f>
        <v>0</v>
      </c>
      <c r="AY146" s="112">
        <f>VLOOKUP($D146,Research!$C:$L,(COLUMN(Research_ResearchCost_Silver)-COLUMN(Research_Name_and_Level)+1),FALSE)*(-1)</f>
        <v>-675</v>
      </c>
    </row>
    <row r="147" spans="2:108" ht="15" customHeight="1">
      <c r="B147" s="102" t="s">
        <v>1455</v>
      </c>
      <c r="C147" s="127" t="s">
        <v>170</v>
      </c>
      <c r="D147" s="144" t="s">
        <v>1543</v>
      </c>
      <c r="E147" s="506">
        <v>10</v>
      </c>
      <c r="F147" s="12">
        <v>0</v>
      </c>
      <c r="G147" s="101">
        <f>VLOOKUP($D147,Research!$C:$M,(COLUMN(Research_QuestReward_HeroXP)-COLUMN(Research_Name_and_Level)+1),FALSE)</f>
        <v>1000</v>
      </c>
      <c r="H147" s="101">
        <f t="shared" si="9"/>
        <v>1000</v>
      </c>
      <c r="J147" s="103">
        <f>VLOOKUP($D147,Research!$C:$N,(COLUMN(Research_QuestReward_Power)-COLUMN(Research_Name_and_Level)+1),FALSE)</f>
        <v>30</v>
      </c>
      <c r="AF147" s="141"/>
      <c r="AG147" s="141"/>
      <c r="AH147" s="137"/>
      <c r="AI147" s="484"/>
      <c r="AJ147" s="137">
        <f t="shared" si="10"/>
        <v>9.3749999999999986E-2</v>
      </c>
      <c r="AU147" s="101">
        <f>VLOOKUP($D147,Research!$C:$S,(COLUMN(Research_QuestReward_Stone)-COLUMN(Research_Name_and_Level)+1),FALSE)</f>
        <v>0</v>
      </c>
      <c r="AV147" s="101">
        <f>VLOOKUP($D147,Research!$C:$S,(COLUMN(Research_QuestReward_Wood)-COLUMN(Research_Name_and_Level)+1),FALSE)</f>
        <v>0</v>
      </c>
      <c r="AW147" s="101">
        <f>VLOOKUP($D147,Research!$C:$S,(COLUMN(Research_QuestReward_Ore)-COLUMN(Research_Name_and_Level)+1),FALSE)</f>
        <v>0</v>
      </c>
      <c r="AX147" s="101">
        <f>VLOOKUP($D147,Research!$C:$S,(COLUMN(Research_QuestReward_Food)-COLUMN(Research_Name_and_Level)+1),FALSE)</f>
        <v>0</v>
      </c>
      <c r="AY147" s="100">
        <f>VLOOKUP($D147,Research!$C:$S,(COLUMN(Research_QuestReward_Silver)-COLUMN(Research_Name_and_Level)+1),FALSE)</f>
        <v>750</v>
      </c>
      <c r="CT147" s="127"/>
      <c r="CU147" s="127"/>
      <c r="CV147" s="127"/>
      <c r="CW147" s="127"/>
      <c r="CX147" s="127"/>
      <c r="CY147" s="127"/>
      <c r="CZ147" s="127"/>
      <c r="DA147" s="127"/>
      <c r="DB147" s="127"/>
      <c r="DC147" s="127"/>
      <c r="DD147" s="127"/>
    </row>
    <row r="148" spans="2:108" ht="15" customHeight="1">
      <c r="B148" s="113" t="s">
        <v>1483</v>
      </c>
      <c r="C148" s="127" t="s">
        <v>1544</v>
      </c>
      <c r="D148" s="127">
        <v>50</v>
      </c>
      <c r="E148" s="506">
        <v>10</v>
      </c>
      <c r="G148" s="7"/>
      <c r="H148" s="7"/>
      <c r="J148" s="114">
        <f>VLOOKUP($C148,Troop!$B:$AK,(COLUMN(Troop_TrainingReward_Power)-COLUMN(Troop_Name)+1),FALSE)*$D148</f>
        <v>100</v>
      </c>
      <c r="AF148" s="141"/>
      <c r="AG148" s="141"/>
      <c r="AH148" s="137"/>
      <c r="AI148" s="484"/>
      <c r="AJ148" s="137">
        <f t="shared" si="10"/>
        <v>9.3749999999999986E-2</v>
      </c>
      <c r="AU148" s="296">
        <f>VLOOKUP($C148,Troop!$B:$P,(COLUMN(Troop_TrainingCost_Stone)-COLUMN(Troop_Name)+1),FALSE)*$D148*(-1)</f>
        <v>-2500</v>
      </c>
      <c r="AV148" s="296">
        <f>VLOOKUP($C148,Troop!$B:$P,(COLUMN(Troop_TrainingCost_Wood)-COLUMN(Troop_Name)+1),FALSE)*$D148*(-1)</f>
        <v>-2500</v>
      </c>
      <c r="AW148" s="296">
        <f>VLOOKUP($C148,Troop!$B:$P,(COLUMN(Troop_TrainingCost_Ore)-COLUMN(Troop_Name)+1),FALSE)*$D148*(-1)</f>
        <v>0</v>
      </c>
      <c r="AX148" s="296">
        <f>VLOOKUP($C148,Troop!$B:$P,(COLUMN(Troop_TrainingCost_Food)-COLUMN(Troop_Name)+1),FALSE)*$D148*(-1)</f>
        <v>-2500</v>
      </c>
      <c r="AY148" s="114">
        <f>VLOOKUP($C148,Troop!$B:$P,(COLUMN(Troop_TrainingCost_Silver)-COLUMN(Troop_Name)+1),FALSE)*$D148*(-1)</f>
        <v>0</v>
      </c>
      <c r="CT148" s="128"/>
      <c r="CU148" s="128"/>
      <c r="CV148" s="128"/>
      <c r="CW148" s="128"/>
      <c r="CX148" s="128"/>
      <c r="CY148" s="128"/>
      <c r="CZ148" s="128"/>
      <c r="DA148" s="128"/>
      <c r="DB148" s="128"/>
      <c r="DC148" s="128"/>
      <c r="DD148" s="128"/>
    </row>
    <row r="149" spans="2:108" ht="15" customHeight="1">
      <c r="B149" s="102" t="s">
        <v>1455</v>
      </c>
      <c r="C149" s="127" t="s">
        <v>141</v>
      </c>
      <c r="D149" s="144" t="s">
        <v>1545</v>
      </c>
      <c r="E149" s="506">
        <v>10</v>
      </c>
      <c r="F149" s="12">
        <v>0</v>
      </c>
      <c r="G149" s="101">
        <v>2500</v>
      </c>
      <c r="H149" s="101">
        <f t="shared" si="9"/>
        <v>2500</v>
      </c>
      <c r="J149" s="100">
        <v>25</v>
      </c>
      <c r="AF149" s="141"/>
      <c r="AG149" s="141"/>
      <c r="AH149" s="137"/>
      <c r="AI149" s="484"/>
      <c r="AJ149" s="137">
        <f t="shared" si="10"/>
        <v>9.3749999999999986E-2</v>
      </c>
      <c r="AU149" s="101">
        <v>2100</v>
      </c>
      <c r="AV149" s="101">
        <v>2100</v>
      </c>
      <c r="AW149" s="101">
        <v>0</v>
      </c>
      <c r="AX149" s="101">
        <v>2100</v>
      </c>
      <c r="AY149" s="100">
        <v>0</v>
      </c>
      <c r="CT149" s="128"/>
      <c r="CU149" s="128"/>
      <c r="CV149" s="128"/>
      <c r="CW149" s="128"/>
      <c r="CX149" s="128"/>
      <c r="CY149" s="128"/>
      <c r="CZ149" s="128"/>
      <c r="DA149" s="128"/>
      <c r="DB149" s="128"/>
      <c r="DC149" s="128"/>
      <c r="DD149" s="128"/>
    </row>
    <row r="150" spans="2:108" ht="15" customHeight="1">
      <c r="B150" s="506" t="s">
        <v>144</v>
      </c>
      <c r="C150" s="127" t="s">
        <v>138</v>
      </c>
      <c r="D150" s="144" t="s">
        <v>1546</v>
      </c>
      <c r="E150" s="506">
        <v>10</v>
      </c>
      <c r="F150" s="12">
        <v>0</v>
      </c>
      <c r="G150" s="94">
        <f>VLOOKUP($D150,Construction!$B:$E,(COLUMN(Construction_BuildingReward_HeroXP)-COLUMN(Construction_Name_and_Level)+1),FALSE)</f>
        <v>50</v>
      </c>
      <c r="H150" s="94">
        <f t="shared" si="9"/>
        <v>50</v>
      </c>
      <c r="J150" s="95">
        <f>VLOOKUP($D150,Construction!$B:$F,(COLUMN(Construction_BuildingReward_Power)-COLUMN(Construction_Name_and_Level)+1),FALSE)</f>
        <v>15</v>
      </c>
      <c r="Q150" s="139">
        <v>3.472222222222222E-3</v>
      </c>
      <c r="R150" s="139">
        <v>5.5555555555555558E-3</v>
      </c>
      <c r="AF150" s="141"/>
      <c r="AG150" s="141"/>
      <c r="AH150" s="137"/>
      <c r="AI150" s="484"/>
      <c r="AJ150" s="137">
        <f t="shared" si="10"/>
        <v>9.3749999999999986E-2</v>
      </c>
      <c r="AK150" s="339">
        <v>0.1</v>
      </c>
      <c r="AL150" s="138">
        <f>VLOOKUP($D150,Construction!$B:$C,(COLUMN(Construction_Time)-COLUMN(Construction_Name_and_Level)+1),FALSE)</f>
        <v>3.2407407407407406E-3</v>
      </c>
      <c r="AM150" s="138">
        <f>AL150/(1+AK150)</f>
        <v>2.9461279461279457E-3</v>
      </c>
      <c r="AN150" s="138">
        <f>(S$3*S150+T$3*T150+V$3*V150+W$3*W150+X$3*X150+Y$3*Y150+Z$3*Z150+AA$3*AA150+AB$3*AB150+AC$3*AC150)*(-1)</f>
        <v>0</v>
      </c>
      <c r="AO150" s="139">
        <f>IF((AM150-Q150-R150-AN150)&gt;=0,AM150-Q150-R150-AN150,0)</f>
        <v>0</v>
      </c>
      <c r="AU150" s="94">
        <f>VLOOKUP($D150,Construction!$B:$J,(COLUMN(Construction_BuildingCost_Stone)-COLUMN(Construction_Name_and_Level)+1),FALSE)*(-1)</f>
        <v>0</v>
      </c>
      <c r="AV150" s="94">
        <f>VLOOKUP($D150,Construction!$B:$J,(COLUMN(Construction_BuildingCost_Wood)-COLUMN(Construction_Name_and_Level)+1),FALSE)*(-1)</f>
        <v>-289</v>
      </c>
      <c r="AW150" s="94">
        <f>VLOOKUP($D150,Construction!$B:$J,(COLUMN(Construction_BuildingCost_Ore)-COLUMN(Construction_Name_and_Level)+1),FALSE)*(-1)</f>
        <v>-289</v>
      </c>
      <c r="AX150" s="94">
        <f>VLOOKUP($D150,Construction!$B:$J,(COLUMN(Construction_BuildingCost_Food)-COLUMN(Construction_Name_and_Level)+1),FALSE)*(-1)</f>
        <v>-289</v>
      </c>
    </row>
    <row r="151" spans="2:108" ht="15" customHeight="1">
      <c r="B151" s="506" t="s">
        <v>143</v>
      </c>
      <c r="C151" s="127" t="s">
        <v>142</v>
      </c>
      <c r="D151" s="144" t="s">
        <v>1546</v>
      </c>
      <c r="E151" s="506">
        <v>10</v>
      </c>
      <c r="F151" s="12">
        <v>0</v>
      </c>
      <c r="G151" s="101">
        <f>VLOOKUP($D151,Construction!$B:$L,(COLUMN(Construction_QuestReward_HeroXP)-COLUMN(Construction_Name_and_Level)+1),FALSE)</f>
        <v>2600</v>
      </c>
      <c r="H151" s="101">
        <f t="shared" si="9"/>
        <v>2600</v>
      </c>
      <c r="J151" s="100">
        <f>VLOOKUP($D151,Construction!$B:$L,(COLUMN(Construction_QuestReward_Power)-COLUMN(Construction_Name_and_Level)+1),FALSE)</f>
        <v>5</v>
      </c>
      <c r="AF151" s="141"/>
      <c r="AG151" s="141"/>
      <c r="AH151" s="137"/>
      <c r="AI151" s="484"/>
      <c r="AJ151" s="137">
        <f t="shared" si="10"/>
        <v>9.3749999999999986E-2</v>
      </c>
      <c r="AU151" s="101">
        <f>VLOOKUP($D151,Construction!$B:$Q,(COLUMN(Construction_QuestReward_Stone)-COLUMN(Construction_Name_and_Level)+1),FALSE)</f>
        <v>6300</v>
      </c>
      <c r="AV151" s="101">
        <f>VLOOKUP($D151,Construction!$B:$Q,(COLUMN(Construction_QuestReward_Wood)-COLUMN(Construction_Name_and_Level)+1),FALSE)</f>
        <v>0</v>
      </c>
      <c r="AW151" s="101">
        <f>VLOOKUP($D151,Construction!$B:$Q,(COLUMN(Construction_QuestReward_Ore)-COLUMN(Construction_Name_and_Level)+1),FALSE)</f>
        <v>0</v>
      </c>
      <c r="AX151" s="101">
        <f>VLOOKUP($D151,Construction!$B:$Q,(COLUMN(Construction_QuestReward_Food)-COLUMN(Construction_Name_and_Level)+1),FALSE)</f>
        <v>0</v>
      </c>
      <c r="AY151" s="100">
        <f>VLOOKUP($D151,Construction!$B:$Q,(COLUMN(Construction_QuestReward_Silver)-COLUMN(Construction_Name_and_Level)+1),FALSE)</f>
        <v>0</v>
      </c>
    </row>
    <row r="152" spans="2:108" ht="15" customHeight="1">
      <c r="B152" s="506" t="s">
        <v>143</v>
      </c>
      <c r="C152" s="127" t="s">
        <v>466</v>
      </c>
      <c r="D152" s="144">
        <v>5.7870370370370376E-3</v>
      </c>
      <c r="E152" s="506">
        <v>10</v>
      </c>
      <c r="F152" s="12">
        <v>0</v>
      </c>
      <c r="G152" s="101">
        <v>1600</v>
      </c>
      <c r="H152" s="101">
        <f t="shared" si="9"/>
        <v>1600</v>
      </c>
      <c r="AF152" s="141"/>
      <c r="AG152" s="141"/>
      <c r="AH152" s="137"/>
      <c r="AI152" s="484"/>
      <c r="AJ152" s="137">
        <f t="shared" si="10"/>
        <v>9.3749999999999986E-2</v>
      </c>
      <c r="AU152" s="101">
        <v>800</v>
      </c>
      <c r="AV152" s="101">
        <v>800</v>
      </c>
      <c r="AW152" s="101">
        <v>800</v>
      </c>
      <c r="AX152" s="101">
        <v>800</v>
      </c>
      <c r="AY152" s="100">
        <v>0</v>
      </c>
    </row>
    <row r="153" spans="2:108" ht="15" customHeight="1">
      <c r="B153" s="506" t="s">
        <v>195</v>
      </c>
      <c r="C153" s="127" t="s">
        <v>468</v>
      </c>
      <c r="D153" s="144">
        <v>1.1574074074074075E-2</v>
      </c>
      <c r="E153" s="506">
        <v>10</v>
      </c>
      <c r="F153" s="12">
        <v>0</v>
      </c>
      <c r="G153" s="211">
        <v>1600</v>
      </c>
      <c r="H153" s="211">
        <f t="shared" si="9"/>
        <v>1600</v>
      </c>
      <c r="AF153" s="141"/>
      <c r="AG153" s="141"/>
      <c r="AH153" s="137"/>
      <c r="AI153" s="484"/>
      <c r="AJ153" s="137">
        <f t="shared" si="10"/>
        <v>9.3749999999999986E-2</v>
      </c>
      <c r="AU153" s="211"/>
      <c r="AV153" s="211"/>
      <c r="AW153" s="211"/>
      <c r="AX153" s="211"/>
      <c r="AY153" s="160">
        <v>800</v>
      </c>
      <c r="CL153" s="211">
        <v>2000</v>
      </c>
      <c r="CM153" s="160">
        <f>CL153</f>
        <v>2000</v>
      </c>
    </row>
    <row r="154" spans="2:108" ht="15" customHeight="1">
      <c r="B154" s="506" t="s">
        <v>144</v>
      </c>
      <c r="C154" s="127" t="s">
        <v>138</v>
      </c>
      <c r="D154" s="144" t="s">
        <v>1547</v>
      </c>
      <c r="E154" s="506">
        <v>10</v>
      </c>
      <c r="F154" s="12">
        <v>0</v>
      </c>
      <c r="G154" s="94">
        <f>VLOOKUP($D154,Construction!$B:$E,(COLUMN(Construction_BuildingReward_HeroXP)-COLUMN(Construction_Name_and_Level)+1),FALSE)</f>
        <v>50</v>
      </c>
      <c r="H154" s="94">
        <f t="shared" si="9"/>
        <v>50</v>
      </c>
      <c r="J154" s="95">
        <f>VLOOKUP($D154,Construction!$B:$F,(COLUMN(Construction_BuildingReward_Power)-COLUMN(Construction_Name_and_Level)+1),FALSE)</f>
        <v>15</v>
      </c>
      <c r="Q154" s="139">
        <v>3.472222222222222E-3</v>
      </c>
      <c r="R154" s="139">
        <v>5.5555555555555558E-3</v>
      </c>
      <c r="AF154" s="141"/>
      <c r="AG154" s="141"/>
      <c r="AH154" s="137"/>
      <c r="AI154" s="484"/>
      <c r="AJ154" s="137">
        <f t="shared" si="10"/>
        <v>9.3749999999999986E-2</v>
      </c>
      <c r="AK154" s="339">
        <v>0.1</v>
      </c>
      <c r="AL154" s="138">
        <f>VLOOKUP($D154,Construction!$B:$C,(COLUMN(Construction_Time)-COLUMN(Construction_Name_and_Level)+1),FALSE)</f>
        <v>3.7037037037037034E-3</v>
      </c>
      <c r="AM154" s="138">
        <f>AL154/(1+AK154)</f>
        <v>3.3670033670033664E-3</v>
      </c>
      <c r="AN154" s="138">
        <f>(S$3*S154+T$3*T154+V$3*V154+W$3*W154+X$3*X154+Y$3*Y154+Z$3*Z154+AA$3*AA154+AB$3*AB154+AC$3*AC154)*(-1)</f>
        <v>0</v>
      </c>
      <c r="AO154" s="139">
        <f>IF((AM154-Q154-R154-AN154)&gt;=0,AM154-Q154-R154-AN154,0)</f>
        <v>0</v>
      </c>
      <c r="AU154" s="94">
        <f>VLOOKUP($D154,Construction!$B:$J,(COLUMN(Construction_BuildingCost_Stone)-COLUMN(Construction_Name_and_Level)+1),FALSE)*(-1)</f>
        <v>-289</v>
      </c>
      <c r="AV154" s="94">
        <f>VLOOKUP($D154,Construction!$B:$J,(COLUMN(Construction_BuildingCost_Wood)-COLUMN(Construction_Name_and_Level)+1),FALSE)*(-1)</f>
        <v>-289</v>
      </c>
      <c r="AW154" s="94">
        <f>VLOOKUP($D154,Construction!$B:$J,(COLUMN(Construction_BuildingCost_Ore)-COLUMN(Construction_Name_and_Level)+1),FALSE)*(-1)</f>
        <v>0</v>
      </c>
      <c r="AX154" s="94">
        <f>VLOOKUP($D154,Construction!$B:$J,(COLUMN(Construction_BuildingCost_Food)-COLUMN(Construction_Name_and_Level)+1),FALSE)*(-1)</f>
        <v>-289</v>
      </c>
    </row>
    <row r="155" spans="2:108" ht="15" customHeight="1">
      <c r="B155" s="506" t="s">
        <v>143</v>
      </c>
      <c r="C155" s="127" t="s">
        <v>142</v>
      </c>
      <c r="D155" s="144" t="s">
        <v>1547</v>
      </c>
      <c r="E155" s="506">
        <v>10</v>
      </c>
      <c r="F155" s="12">
        <v>0</v>
      </c>
      <c r="G155" s="101">
        <f>VLOOKUP($D155,Construction!$B:$L,(COLUMN(Construction_QuestReward_HeroXP)-COLUMN(Construction_Name_and_Level)+1),FALSE)</f>
        <v>2600</v>
      </c>
      <c r="H155" s="101">
        <f t="shared" si="9"/>
        <v>2600</v>
      </c>
      <c r="J155" s="100">
        <f>VLOOKUP($D155,Construction!$B:$L,(COLUMN(Construction_QuestReward_Power)-COLUMN(Construction_Name_and_Level)+1),FALSE)</f>
        <v>5</v>
      </c>
      <c r="AF155" s="141"/>
      <c r="AG155" s="141"/>
      <c r="AH155" s="137"/>
      <c r="AI155" s="484"/>
      <c r="AJ155" s="137">
        <f t="shared" si="10"/>
        <v>9.3749999999999986E-2</v>
      </c>
      <c r="AU155" s="101">
        <f>VLOOKUP($D155,Construction!$B:$Q,(COLUMN(Construction_QuestReward_Stone)-COLUMN(Construction_Name_and_Level)+1),FALSE)</f>
        <v>0</v>
      </c>
      <c r="AV155" s="101">
        <f>VLOOKUP($D155,Construction!$B:$Q,(COLUMN(Construction_QuestReward_Wood)-COLUMN(Construction_Name_and_Level)+1),FALSE)</f>
        <v>0</v>
      </c>
      <c r="AW155" s="101">
        <f>VLOOKUP($D155,Construction!$B:$Q,(COLUMN(Construction_QuestReward_Ore)-COLUMN(Construction_Name_and_Level)+1),FALSE)</f>
        <v>6300</v>
      </c>
      <c r="AX155" s="101">
        <f>VLOOKUP($D155,Construction!$B:$Q,(COLUMN(Construction_QuestReward_Food)-COLUMN(Construction_Name_and_Level)+1),FALSE)</f>
        <v>0</v>
      </c>
      <c r="AY155" s="100">
        <f>VLOOKUP($D155,Construction!$B:$Q,(COLUMN(Construction_QuestReward_Silver)-COLUMN(Construction_Name_and_Level)+1),FALSE)</f>
        <v>0</v>
      </c>
    </row>
    <row r="156" spans="2:108" ht="15" customHeight="1">
      <c r="B156" s="506" t="s">
        <v>143</v>
      </c>
      <c r="C156" s="127" t="s">
        <v>182</v>
      </c>
      <c r="D156" s="144" t="s">
        <v>1548</v>
      </c>
      <c r="E156" s="506">
        <v>10</v>
      </c>
      <c r="F156" s="12">
        <v>0</v>
      </c>
      <c r="G156" s="101">
        <v>0</v>
      </c>
      <c r="H156" s="101">
        <f t="shared" si="9"/>
        <v>0</v>
      </c>
      <c r="J156" s="100">
        <v>25</v>
      </c>
      <c r="AF156" s="141"/>
      <c r="AG156" s="141"/>
      <c r="AH156" s="137"/>
      <c r="AI156" s="484"/>
      <c r="AJ156" s="137">
        <f t="shared" si="10"/>
        <v>9.3749999999999986E-2</v>
      </c>
      <c r="AW156" s="101">
        <v>2500</v>
      </c>
    </row>
    <row r="157" spans="2:108" ht="15" customHeight="1">
      <c r="B157" s="506" t="s">
        <v>144</v>
      </c>
      <c r="C157" s="127" t="s">
        <v>138</v>
      </c>
      <c r="D157" s="144" t="s">
        <v>1549</v>
      </c>
      <c r="E157" s="506">
        <v>10</v>
      </c>
      <c r="F157" s="12">
        <v>0</v>
      </c>
      <c r="G157" s="94">
        <f>VLOOKUP($D157,Construction!$B:$E,(COLUMN(Construction_BuildingReward_HeroXP)-COLUMN(Construction_Name_and_Level)+1),FALSE)</f>
        <v>200</v>
      </c>
      <c r="H157" s="94">
        <f t="shared" si="9"/>
        <v>200</v>
      </c>
      <c r="J157" s="95">
        <f>VLOOKUP($D157,Construction!$B:$F,(COLUMN(Construction_BuildingReward_Power)-COLUMN(Construction_Name_and_Level)+1),FALSE)</f>
        <v>25</v>
      </c>
      <c r="Q157" s="139">
        <v>3.472222222222222E-3</v>
      </c>
      <c r="R157" s="139">
        <v>5.5555555555555558E-3</v>
      </c>
      <c r="AF157" s="141"/>
      <c r="AG157" s="141"/>
      <c r="AH157" s="137"/>
      <c r="AI157" s="484"/>
      <c r="AJ157" s="137">
        <f t="shared" si="10"/>
        <v>9.3749999999999986E-2</v>
      </c>
      <c r="AK157" s="339">
        <v>0.1</v>
      </c>
      <c r="AL157" s="138">
        <f>VLOOKUP($D157,Construction!$B:$C,(COLUMN(Construction_Time)-COLUMN(Construction_Name_and_Level)+1),FALSE)</f>
        <v>7.4074074074074068E-3</v>
      </c>
      <c r="AM157" s="138">
        <f>AL157/(1+AK157)</f>
        <v>6.7340067340067328E-3</v>
      </c>
      <c r="AN157" s="138">
        <f>(S$3*S157+T$3*T157+V$3*V157+W$3*W157+X$3*X157+Y$3*Y157+Z$3*Z157+AA$3*AA157+AB$3*AB157+AC$3*AC157)*(-1)</f>
        <v>0</v>
      </c>
      <c r="AO157" s="139">
        <f>IF((AM157-Q157-R157-AN157)&gt;=0,AM157-Q157-R157-AN157,0)</f>
        <v>0</v>
      </c>
      <c r="AU157" s="94">
        <f>VLOOKUP($D157,Construction!$B:$J,(COLUMN(Construction_BuildingCost_Stone)-COLUMN(Construction_Name_and_Level)+1),FALSE)*(-1)</f>
        <v>-492</v>
      </c>
      <c r="AV157" s="94">
        <f>VLOOKUP($D157,Construction!$B:$J,(COLUMN(Construction_BuildingCost_Wood)-COLUMN(Construction_Name_and_Level)+1),FALSE)*(-1)</f>
        <v>-492</v>
      </c>
      <c r="AW157" s="94">
        <f>VLOOKUP($D157,Construction!$B:$J,(COLUMN(Construction_BuildingCost_Ore)-COLUMN(Construction_Name_and_Level)+1),FALSE)*(-1)</f>
        <v>0</v>
      </c>
      <c r="AX157" s="94">
        <f>VLOOKUP($D157,Construction!$B:$J,(COLUMN(Construction_BuildingCost_Food)-COLUMN(Construction_Name_and_Level)+1),FALSE)*(-1)</f>
        <v>-492</v>
      </c>
    </row>
    <row r="158" spans="2:108" ht="15" customHeight="1">
      <c r="B158" s="506" t="s">
        <v>143</v>
      </c>
      <c r="C158" s="127" t="s">
        <v>142</v>
      </c>
      <c r="D158" s="144" t="s">
        <v>1549</v>
      </c>
      <c r="E158" s="506">
        <v>10</v>
      </c>
      <c r="F158" s="12">
        <v>0</v>
      </c>
      <c r="G158" s="101">
        <f>VLOOKUP($D158,Construction!$B:$L,(COLUMN(Construction_QuestReward_HeroXP)-COLUMN(Construction_Name_and_Level)+1),FALSE)</f>
        <v>2650</v>
      </c>
      <c r="H158" s="101">
        <f t="shared" si="9"/>
        <v>2650</v>
      </c>
      <c r="J158" s="100">
        <f>VLOOKUP($D158,Construction!$B:$L,(COLUMN(Construction_QuestReward_Power)-COLUMN(Construction_Name_and_Level)+1),FALSE)</f>
        <v>10</v>
      </c>
      <c r="AF158" s="141"/>
      <c r="AG158" s="141"/>
      <c r="AH158" s="137"/>
      <c r="AI158" s="484"/>
      <c r="AJ158" s="137">
        <f t="shared" si="10"/>
        <v>9.3749999999999986E-2</v>
      </c>
      <c r="AU158" s="101">
        <f>VLOOKUP($D158,Construction!$B:$Q,(COLUMN(Construction_QuestReward_Stone)-COLUMN(Construction_Name_and_Level)+1),FALSE)</f>
        <v>1200</v>
      </c>
      <c r="AV158" s="101">
        <f>VLOOKUP($D158,Construction!$B:$Q,(COLUMN(Construction_QuestReward_Wood)-COLUMN(Construction_Name_and_Level)+1),FALSE)</f>
        <v>1200</v>
      </c>
      <c r="AW158" s="101">
        <f>VLOOKUP($D158,Construction!$B:$Q,(COLUMN(Construction_QuestReward_Ore)-COLUMN(Construction_Name_and_Level)+1),FALSE)</f>
        <v>6400</v>
      </c>
      <c r="AX158" s="101">
        <f>VLOOKUP($D158,Construction!$B:$Q,(COLUMN(Construction_QuestReward_Food)-COLUMN(Construction_Name_and_Level)+1),FALSE)</f>
        <v>1200</v>
      </c>
      <c r="AY158" s="100">
        <f>VLOOKUP($D158,Construction!$B:$Q,(COLUMN(Construction_QuestReward_Silver)-COLUMN(Construction_Name_and_Level)+1),FALSE)</f>
        <v>50</v>
      </c>
    </row>
    <row r="159" spans="2:108" ht="15" customHeight="1">
      <c r="B159" s="506" t="s">
        <v>143</v>
      </c>
      <c r="C159" s="127" t="s">
        <v>466</v>
      </c>
      <c r="D159" s="144">
        <v>8.564814814814815E-3</v>
      </c>
      <c r="E159" s="506">
        <v>10</v>
      </c>
      <c r="F159" s="12">
        <v>0</v>
      </c>
      <c r="G159" s="101">
        <v>1600</v>
      </c>
      <c r="H159" s="101">
        <f t="shared" si="9"/>
        <v>1600</v>
      </c>
      <c r="AF159" s="141"/>
      <c r="AG159" s="141"/>
      <c r="AH159" s="137"/>
      <c r="AI159" s="484"/>
      <c r="AJ159" s="137">
        <f t="shared" si="10"/>
        <v>9.3749999999999986E-2</v>
      </c>
      <c r="AU159" s="101">
        <v>0</v>
      </c>
      <c r="AV159" s="101">
        <v>0</v>
      </c>
      <c r="AW159" s="101">
        <v>1200</v>
      </c>
      <c r="AX159" s="101">
        <v>1200</v>
      </c>
      <c r="AY159" s="100">
        <v>240</v>
      </c>
    </row>
    <row r="160" spans="2:108" ht="15" customHeight="1">
      <c r="B160" s="506" t="s">
        <v>144</v>
      </c>
      <c r="C160" s="127" t="s">
        <v>138</v>
      </c>
      <c r="D160" s="144" t="s">
        <v>1550</v>
      </c>
      <c r="E160" s="506">
        <v>10</v>
      </c>
      <c r="F160" s="12">
        <v>0</v>
      </c>
      <c r="G160" s="94">
        <f>VLOOKUP($D160,Construction!$B:$E,(COLUMN(Construction_BuildingReward_HeroXP)-COLUMN(Construction_Name_and_Level)+1),FALSE)</f>
        <v>400</v>
      </c>
      <c r="H160" s="94">
        <f t="shared" si="9"/>
        <v>400</v>
      </c>
      <c r="J160" s="95">
        <f>VLOOKUP($D160,Construction!$B:$F,(COLUMN(Construction_BuildingReward_Power)-COLUMN(Construction_Name_and_Level)+1),FALSE)</f>
        <v>35</v>
      </c>
      <c r="Q160" s="139">
        <v>3.472222222222222E-3</v>
      </c>
      <c r="R160" s="139">
        <v>5.5555555555555558E-3</v>
      </c>
      <c r="AF160" s="141"/>
      <c r="AG160" s="141"/>
      <c r="AH160" s="137"/>
      <c r="AI160" s="484"/>
      <c r="AJ160" s="137">
        <f t="shared" si="10"/>
        <v>9.3749999999999986E-2</v>
      </c>
      <c r="AK160" s="339">
        <v>0.1</v>
      </c>
      <c r="AL160" s="138">
        <f>VLOOKUP($D160,Construction!$B:$C,(COLUMN(Construction_Time)-COLUMN(Construction_Name_and_Level)+1),FALSE)</f>
        <v>1.4814814814814814E-2</v>
      </c>
      <c r="AM160" s="138">
        <f>AL160/(1+AK160)</f>
        <v>1.3468013468013466E-2</v>
      </c>
      <c r="AN160" s="138">
        <f>(S$3*S160+T$3*T160+V$3*V160+W$3*W160+X$3*X160+Y$3*Y160+Z$3*Z160+AA$3*AA160+AB$3*AB160+AC$3*AC160)*(-1)</f>
        <v>0</v>
      </c>
      <c r="AO160" s="139">
        <f>IF((AM160-Q160-R160-AN160)&gt;=0,AM160-Q160-R160-AN160,0)</f>
        <v>4.4402356902356879E-3</v>
      </c>
      <c r="AU160" s="94">
        <f>VLOOKUP($D160,Construction!$B:$J,(COLUMN(Construction_BuildingCost_Stone)-COLUMN(Construction_Name_and_Level)+1),FALSE)*(-1)</f>
        <v>-837</v>
      </c>
      <c r="AV160" s="94">
        <f>VLOOKUP($D160,Construction!$B:$J,(COLUMN(Construction_BuildingCost_Wood)-COLUMN(Construction_Name_and_Level)+1),FALSE)*(-1)</f>
        <v>-837</v>
      </c>
      <c r="AW160" s="94">
        <f>VLOOKUP($D160,Construction!$B:$J,(COLUMN(Construction_BuildingCost_Ore)-COLUMN(Construction_Name_and_Level)+1),FALSE)*(-1)</f>
        <v>0</v>
      </c>
      <c r="AX160" s="94">
        <f>VLOOKUP($D160,Construction!$B:$J,(COLUMN(Construction_BuildingCost_Food)-COLUMN(Construction_Name_and_Level)+1),FALSE)*(-1)</f>
        <v>-837</v>
      </c>
    </row>
    <row r="161" spans="2:91" ht="15" customHeight="1">
      <c r="B161" s="506" t="s">
        <v>143</v>
      </c>
      <c r="C161" s="127" t="s">
        <v>142</v>
      </c>
      <c r="D161" s="144" t="s">
        <v>1550</v>
      </c>
      <c r="E161" s="506">
        <v>10</v>
      </c>
      <c r="F161" s="12">
        <v>0</v>
      </c>
      <c r="G161" s="101">
        <f>VLOOKUP($D161,Construction!$B:$L,(COLUMN(Construction_QuestReward_HeroXP)-COLUMN(Construction_Name_and_Level)+1),FALSE)</f>
        <v>2675</v>
      </c>
      <c r="H161" s="101">
        <f t="shared" si="9"/>
        <v>2675</v>
      </c>
      <c r="J161" s="100">
        <f>VLOOKUP($D161,Construction!$B:$L,(COLUMN(Construction_QuestReward_Power)-COLUMN(Construction_Name_and_Level)+1),FALSE)</f>
        <v>17</v>
      </c>
      <c r="AF161" s="141"/>
      <c r="AG161" s="141"/>
      <c r="AH161" s="137"/>
      <c r="AI161" s="484"/>
      <c r="AJ161" s="137">
        <f t="shared" si="10"/>
        <v>9.3749999999999986E-2</v>
      </c>
      <c r="AU161" s="101">
        <f>VLOOKUP($D161,Construction!$B:$Q,(COLUMN(Construction_QuestReward_Stone)-COLUMN(Construction_Name_and_Level)+1),FALSE)</f>
        <v>1800</v>
      </c>
      <c r="AV161" s="101">
        <f>VLOOKUP($D161,Construction!$B:$Q,(COLUMN(Construction_QuestReward_Wood)-COLUMN(Construction_Name_and_Level)+1),FALSE)</f>
        <v>1800</v>
      </c>
      <c r="AW161" s="101">
        <f>VLOOKUP($D161,Construction!$B:$Q,(COLUMN(Construction_QuestReward_Ore)-COLUMN(Construction_Name_and_Level)+1),FALSE)</f>
        <v>0</v>
      </c>
      <c r="AX161" s="101">
        <f>VLOOKUP($D161,Construction!$B:$Q,(COLUMN(Construction_QuestReward_Food)-COLUMN(Construction_Name_and_Level)+1),FALSE)</f>
        <v>1800</v>
      </c>
      <c r="AY161" s="100">
        <f>VLOOKUP($D161,Construction!$B:$Q,(COLUMN(Construction_QuestReward_Silver)-COLUMN(Construction_Name_and_Level)+1),FALSE)</f>
        <v>50</v>
      </c>
    </row>
    <row r="162" spans="2:91" ht="15" customHeight="1">
      <c r="B162" s="506" t="s">
        <v>145</v>
      </c>
      <c r="C162" s="146" t="s">
        <v>151</v>
      </c>
      <c r="D162" s="145">
        <v>2.0833333333333333E-3</v>
      </c>
      <c r="E162" s="506">
        <v>10</v>
      </c>
      <c r="AF162" s="141"/>
      <c r="AG162" s="141"/>
      <c r="AH162" s="137"/>
      <c r="AI162" s="484"/>
      <c r="AJ162" s="137">
        <f t="shared" si="10"/>
        <v>9.3749999999999986E-2</v>
      </c>
      <c r="AW162" s="2">
        <v>1000</v>
      </c>
    </row>
    <row r="163" spans="2:91" ht="15" customHeight="1">
      <c r="B163" s="506" t="s">
        <v>144</v>
      </c>
      <c r="C163" s="127" t="s">
        <v>149</v>
      </c>
      <c r="D163" s="144" t="s">
        <v>1509</v>
      </c>
      <c r="E163" s="506">
        <v>10</v>
      </c>
      <c r="F163" s="12">
        <v>0</v>
      </c>
      <c r="G163" s="94">
        <f>VLOOKUP($D163,Construction!$B:$E,(COLUMN(Construction_BuildingReward_HeroXP)-COLUMN(Construction_Name_and_Level)+1),FALSE)</f>
        <v>10</v>
      </c>
      <c r="H163" s="94">
        <f t="shared" si="9"/>
        <v>10</v>
      </c>
      <c r="J163" s="95">
        <f>VLOOKUP($D163,Construction!$B:$F,(COLUMN(Construction_BuildingReward_Power)-COLUMN(Construction_Name_and_Level)+1),FALSE)</f>
        <v>5</v>
      </c>
      <c r="Q163" s="139">
        <v>3.472222222222222E-3</v>
      </c>
      <c r="R163" s="139">
        <v>5.5555555555555558E-3</v>
      </c>
      <c r="AF163" s="141"/>
      <c r="AG163" s="141"/>
      <c r="AH163" s="137"/>
      <c r="AI163" s="484"/>
      <c r="AJ163" s="137">
        <f t="shared" si="10"/>
        <v>9.3749999999999986E-2</v>
      </c>
      <c r="AK163" s="339">
        <v>0.1</v>
      </c>
      <c r="AL163" s="138">
        <f>VLOOKUP($D163,Construction!$B:$C,(COLUMN(Construction_Time)-COLUMN(Construction_Name_and_Level)+1),FALSE)</f>
        <v>6.9444444444444447E-4</v>
      </c>
      <c r="AM163" s="138">
        <f>AL163/(1+AK163)</f>
        <v>6.3131313131313126E-4</v>
      </c>
      <c r="AN163" s="138">
        <f>(S$3*S163+T$3*T163+V$3*V163+W$3*W163+X$3*X163+Y$3*Y163+Z$3*Z163+AA$3*AA163+AB$3*AB163+AC$3*AC163)*(-1)</f>
        <v>0</v>
      </c>
      <c r="AO163" s="139">
        <f>IF((AM163-Q163-R163-AN163)&gt;=0,AM163-Q163-R163-AN163,0)</f>
        <v>0</v>
      </c>
      <c r="AU163" s="94">
        <f>VLOOKUP($D163,Construction!$B:$J,(COLUMN(Construction_BuildingCost_Stone)-COLUMN(Construction_Name_and_Level)+1),FALSE)*(-1)</f>
        <v>-100</v>
      </c>
      <c r="AV163" s="94">
        <f>VLOOKUP($D163,Construction!$B:$J,(COLUMN(Construction_BuildingCost_Wood)-COLUMN(Construction_Name_and_Level)+1),FALSE)*(-1)</f>
        <v>-100</v>
      </c>
      <c r="AW163" s="94">
        <f>VLOOKUP($D163,Construction!$B:$J,(COLUMN(Construction_BuildingCost_Ore)-COLUMN(Construction_Name_and_Level)+1),FALSE)*(-1)</f>
        <v>0</v>
      </c>
      <c r="AX163" s="94">
        <f>VLOOKUP($D163,Construction!$B:$J,(COLUMN(Construction_BuildingCost_Food)-COLUMN(Construction_Name_and_Level)+1),FALSE)*(-1)</f>
        <v>-100</v>
      </c>
    </row>
    <row r="164" spans="2:91" ht="15" customHeight="1">
      <c r="B164" s="506" t="s">
        <v>144</v>
      </c>
      <c r="C164" s="127" t="s">
        <v>149</v>
      </c>
      <c r="D164" s="144" t="s">
        <v>1509</v>
      </c>
      <c r="E164" s="506">
        <v>10</v>
      </c>
      <c r="F164" s="12">
        <v>0</v>
      </c>
      <c r="G164" s="94">
        <f>VLOOKUP($D164,Construction!$B:$E,(COLUMN(Construction_BuildingReward_HeroXP)-COLUMN(Construction_Name_and_Level)+1),FALSE)</f>
        <v>10</v>
      </c>
      <c r="H164" s="94">
        <f t="shared" si="9"/>
        <v>10</v>
      </c>
      <c r="J164" s="95">
        <f>VLOOKUP($D164,Construction!$B:$F,(COLUMN(Construction_BuildingReward_Power)-COLUMN(Construction_Name_and_Level)+1),FALSE)</f>
        <v>5</v>
      </c>
      <c r="Q164" s="139">
        <v>3.472222222222222E-3</v>
      </c>
      <c r="R164" s="139">
        <v>5.5555555555555558E-3</v>
      </c>
      <c r="AF164" s="141"/>
      <c r="AG164" s="141"/>
      <c r="AH164" s="137"/>
      <c r="AI164" s="484"/>
      <c r="AJ164" s="137">
        <f t="shared" si="10"/>
        <v>9.3749999999999986E-2</v>
      </c>
      <c r="AK164" s="339">
        <v>0.1</v>
      </c>
      <c r="AL164" s="138">
        <f>VLOOKUP($D164,Construction!$B:$C,(COLUMN(Construction_Time)-COLUMN(Construction_Name_and_Level)+1),FALSE)</f>
        <v>6.9444444444444447E-4</v>
      </c>
      <c r="AM164" s="138">
        <f>AL164/(1+AK164)</f>
        <v>6.3131313131313126E-4</v>
      </c>
      <c r="AN164" s="138">
        <f>(S$3*S164+T$3*T164+V$3*V164+W$3*W164+X$3*X164+Y$3*Y164+Z$3*Z164+AA$3*AA164+AB$3*AB164+AC$3*AC164)*(-1)</f>
        <v>0</v>
      </c>
      <c r="AO164" s="139">
        <f>IF((AM164-Q164-R164-AN164)&gt;=0,AM164-Q164-R164-AN164,0)</f>
        <v>0</v>
      </c>
      <c r="AU164" s="94">
        <f>VLOOKUP($D164,Construction!$B:$J,(COLUMN(Construction_BuildingCost_Stone)-COLUMN(Construction_Name_and_Level)+1),FALSE)*(-1)</f>
        <v>-100</v>
      </c>
      <c r="AV164" s="94">
        <f>VLOOKUP($D164,Construction!$B:$J,(COLUMN(Construction_BuildingCost_Wood)-COLUMN(Construction_Name_and_Level)+1),FALSE)*(-1)</f>
        <v>-100</v>
      </c>
      <c r="AW164" s="94">
        <f>VLOOKUP($D164,Construction!$B:$J,(COLUMN(Construction_BuildingCost_Ore)-COLUMN(Construction_Name_and_Level)+1),FALSE)*(-1)</f>
        <v>0</v>
      </c>
      <c r="AX164" s="94">
        <f>VLOOKUP($D164,Construction!$B:$J,(COLUMN(Construction_BuildingCost_Food)-COLUMN(Construction_Name_and_Level)+1),FALSE)*(-1)</f>
        <v>-100</v>
      </c>
    </row>
    <row r="165" spans="2:91" ht="15" customHeight="1">
      <c r="B165" s="506" t="s">
        <v>144</v>
      </c>
      <c r="C165" s="127" t="s">
        <v>149</v>
      </c>
      <c r="D165" s="144" t="s">
        <v>1509</v>
      </c>
      <c r="E165" s="506">
        <v>10</v>
      </c>
      <c r="F165" s="12">
        <v>0</v>
      </c>
      <c r="G165" s="94">
        <f>VLOOKUP($D165,Construction!$B:$E,(COLUMN(Construction_BuildingReward_HeroXP)-COLUMN(Construction_Name_and_Level)+1),FALSE)</f>
        <v>10</v>
      </c>
      <c r="H165" s="94">
        <f t="shared" si="9"/>
        <v>10</v>
      </c>
      <c r="J165" s="95">
        <f>VLOOKUP($D165,Construction!$B:$F,(COLUMN(Construction_BuildingReward_Power)-COLUMN(Construction_Name_and_Level)+1),FALSE)</f>
        <v>5</v>
      </c>
      <c r="Q165" s="139">
        <v>3.472222222222222E-3</v>
      </c>
      <c r="R165" s="139">
        <v>5.5555555555555558E-3</v>
      </c>
      <c r="AF165" s="141"/>
      <c r="AG165" s="141"/>
      <c r="AH165" s="137"/>
      <c r="AI165" s="484"/>
      <c r="AJ165" s="137">
        <f t="shared" si="10"/>
        <v>9.3749999999999986E-2</v>
      </c>
      <c r="AK165" s="339">
        <v>0.1</v>
      </c>
      <c r="AL165" s="138">
        <f>VLOOKUP($D165,Construction!$B:$C,(COLUMN(Construction_Time)-COLUMN(Construction_Name_and_Level)+1),FALSE)</f>
        <v>6.9444444444444447E-4</v>
      </c>
      <c r="AM165" s="138">
        <f>AL165/(1+AK165)</f>
        <v>6.3131313131313126E-4</v>
      </c>
      <c r="AN165" s="138">
        <f>(S$3*S165+T$3*T165+V$3*V165+W$3*W165+X$3*X165+Y$3*Y165+Z$3*Z165+AA$3*AA165+AB$3*AB165+AC$3*AC165)*(-1)</f>
        <v>0</v>
      </c>
      <c r="AO165" s="139">
        <f>IF((AM165-Q165-R165-AN165)&gt;=0,AM165-Q165-R165-AN165,0)</f>
        <v>0</v>
      </c>
      <c r="AU165" s="94">
        <f>VLOOKUP($D165,Construction!$B:$J,(COLUMN(Construction_BuildingCost_Stone)-COLUMN(Construction_Name_and_Level)+1),FALSE)*(-1)</f>
        <v>-100</v>
      </c>
      <c r="AV165" s="94">
        <f>VLOOKUP($D165,Construction!$B:$J,(COLUMN(Construction_BuildingCost_Wood)-COLUMN(Construction_Name_and_Level)+1),FALSE)*(-1)</f>
        <v>-100</v>
      </c>
      <c r="AW165" s="94">
        <f>VLOOKUP($D165,Construction!$B:$J,(COLUMN(Construction_BuildingCost_Ore)-COLUMN(Construction_Name_and_Level)+1),FALSE)*(-1)</f>
        <v>0</v>
      </c>
      <c r="AX165" s="94">
        <f>VLOOKUP($D165,Construction!$B:$J,(COLUMN(Construction_BuildingCost_Food)-COLUMN(Construction_Name_and_Level)+1),FALSE)*(-1)</f>
        <v>-100</v>
      </c>
    </row>
    <row r="166" spans="2:91" ht="15" customHeight="1">
      <c r="B166" s="506" t="s">
        <v>143</v>
      </c>
      <c r="C166" s="127" t="s">
        <v>139</v>
      </c>
      <c r="D166" s="144" t="s">
        <v>1551</v>
      </c>
      <c r="E166" s="506">
        <v>10</v>
      </c>
      <c r="F166" s="12">
        <v>0</v>
      </c>
      <c r="G166" s="101">
        <v>10150</v>
      </c>
      <c r="H166" s="101">
        <f t="shared" si="9"/>
        <v>10150</v>
      </c>
      <c r="J166" s="100">
        <v>500</v>
      </c>
      <c r="AF166" s="141"/>
      <c r="AG166" s="141"/>
      <c r="AH166" s="137"/>
      <c r="AI166" s="484"/>
      <c r="AJ166" s="137">
        <f t="shared" si="10"/>
        <v>9.3749999999999986E-2</v>
      </c>
      <c r="AW166" s="101">
        <v>12000</v>
      </c>
    </row>
    <row r="167" spans="2:91" ht="15" customHeight="1">
      <c r="B167" s="506" t="s">
        <v>143</v>
      </c>
      <c r="C167" s="127" t="s">
        <v>182</v>
      </c>
      <c r="D167" s="144" t="s">
        <v>1552</v>
      </c>
      <c r="E167" s="506">
        <v>10</v>
      </c>
      <c r="F167" s="12">
        <v>0</v>
      </c>
      <c r="G167" s="101">
        <v>0</v>
      </c>
      <c r="H167" s="101">
        <f t="shared" si="9"/>
        <v>0</v>
      </c>
      <c r="J167" s="100">
        <v>25</v>
      </c>
      <c r="AF167" s="141"/>
      <c r="AG167" s="141"/>
      <c r="AH167" s="137"/>
      <c r="AI167" s="484"/>
      <c r="AJ167" s="137">
        <f t="shared" si="10"/>
        <v>9.3749999999999986E-2</v>
      </c>
      <c r="AX167" s="101">
        <v>15000</v>
      </c>
    </row>
    <row r="168" spans="2:91" ht="15" customHeight="1">
      <c r="B168" s="506" t="s">
        <v>143</v>
      </c>
      <c r="C168" s="127" t="s">
        <v>466</v>
      </c>
      <c r="D168" s="144">
        <v>3.5763888888888894E-3</v>
      </c>
      <c r="E168" s="506">
        <v>10</v>
      </c>
      <c r="F168" s="12">
        <v>0</v>
      </c>
      <c r="G168" s="101">
        <v>400</v>
      </c>
      <c r="H168" s="101">
        <f t="shared" si="9"/>
        <v>400</v>
      </c>
      <c r="AF168" s="141"/>
      <c r="AG168" s="141"/>
      <c r="AH168" s="137"/>
      <c r="AI168" s="484"/>
      <c r="AJ168" s="137">
        <f t="shared" si="10"/>
        <v>9.3749999999999986E-2</v>
      </c>
      <c r="AU168" s="101">
        <v>0</v>
      </c>
      <c r="AV168" s="101">
        <v>0</v>
      </c>
      <c r="AW168" s="101">
        <v>500</v>
      </c>
      <c r="AX168" s="101">
        <v>0</v>
      </c>
      <c r="AY168" s="100">
        <v>100</v>
      </c>
    </row>
    <row r="169" spans="2:91" ht="15" customHeight="1">
      <c r="B169" s="506" t="s">
        <v>195</v>
      </c>
      <c r="C169" s="127" t="s">
        <v>468</v>
      </c>
      <c r="D169" s="144">
        <v>5.208333333333333E-3</v>
      </c>
      <c r="E169" s="506">
        <v>10</v>
      </c>
      <c r="F169" s="12">
        <v>0</v>
      </c>
      <c r="G169" s="211">
        <v>1600</v>
      </c>
      <c r="H169" s="211">
        <f t="shared" si="9"/>
        <v>1600</v>
      </c>
      <c r="AF169" s="141"/>
      <c r="AG169" s="141"/>
      <c r="AH169" s="137"/>
      <c r="AI169" s="484"/>
      <c r="AJ169" s="137">
        <f t="shared" si="10"/>
        <v>9.3749999999999986E-2</v>
      </c>
      <c r="AU169" s="213">
        <v>800</v>
      </c>
      <c r="AV169" s="213">
        <v>800</v>
      </c>
      <c r="AW169" s="213">
        <v>800</v>
      </c>
      <c r="AX169" s="213">
        <v>800</v>
      </c>
      <c r="AY169" s="160">
        <v>0</v>
      </c>
      <c r="CL169" s="211">
        <v>2000</v>
      </c>
      <c r="CM169" s="160">
        <f>CL169</f>
        <v>2000</v>
      </c>
    </row>
    <row r="170" spans="2:91" ht="15" customHeight="1">
      <c r="B170" s="506" t="s">
        <v>144</v>
      </c>
      <c r="C170" s="127" t="s">
        <v>149</v>
      </c>
      <c r="D170" s="144" t="s">
        <v>1553</v>
      </c>
      <c r="E170" s="506">
        <v>10</v>
      </c>
      <c r="F170" s="222">
        <v>0.05</v>
      </c>
      <c r="G170" s="94">
        <f>VLOOKUP($D170,Construction!$B:$E,(COLUMN(Construction_BuildingReward_HeroXP)-COLUMN(Construction_Name_and_Level)+1),FALSE)</f>
        <v>10</v>
      </c>
      <c r="H170" s="94">
        <f t="shared" si="9"/>
        <v>10.5</v>
      </c>
      <c r="J170" s="95">
        <f>VLOOKUP($D170,Construction!$B:$F,(COLUMN(Construction_BuildingReward_Power)-COLUMN(Construction_Name_and_Level)+1),FALSE)</f>
        <v>10</v>
      </c>
      <c r="Q170" s="139">
        <v>3.472222222222222E-3</v>
      </c>
      <c r="R170" s="139">
        <v>5.5555555555555558E-3</v>
      </c>
      <c r="AF170" s="141"/>
      <c r="AG170" s="141"/>
      <c r="AH170" s="137"/>
      <c r="AI170" s="484"/>
      <c r="AJ170" s="137">
        <f t="shared" si="10"/>
        <v>9.3749999999999986E-2</v>
      </c>
      <c r="AK170" s="339">
        <v>0.1</v>
      </c>
      <c r="AL170" s="138">
        <f>VLOOKUP($D170,Construction!$B:$C,(COLUMN(Construction_Time)-COLUMN(Construction_Name_and_Level)+1),FALSE)</f>
        <v>1.1574074074074073E-3</v>
      </c>
      <c r="AM170" s="138">
        <f>AL170/(1+AK170)</f>
        <v>1.052188552188552E-3</v>
      </c>
      <c r="AN170" s="138">
        <f>(S$3*S170+T$3*T170+V$3*V170+W$3*W170+X$3*X170+Y$3*Y170+Z$3*Z170+AA$3*AA170+AB$3*AB170+AC$3*AC170)*(-1)</f>
        <v>0</v>
      </c>
      <c r="AO170" s="139">
        <f>IF((AM170-Q170-R170-AN170)&gt;=0,AM170-Q170-R170-AN170,0)</f>
        <v>0</v>
      </c>
      <c r="AU170" s="94">
        <f>VLOOKUP($D170,Construction!$B:$J,(COLUMN(Construction_BuildingCost_Stone)-COLUMN(Construction_Name_and_Level)+1),FALSE)*(-1)</f>
        <v>-200</v>
      </c>
      <c r="AV170" s="94">
        <f>VLOOKUP($D170,Construction!$B:$J,(COLUMN(Construction_BuildingCost_Wood)-COLUMN(Construction_Name_and_Level)+1),FALSE)*(-1)</f>
        <v>-100</v>
      </c>
      <c r="AW170" s="94">
        <f>VLOOKUP($D170,Construction!$B:$J,(COLUMN(Construction_BuildingCost_Ore)-COLUMN(Construction_Name_and_Level)+1),FALSE)*(-1)</f>
        <v>-100</v>
      </c>
      <c r="AX170" s="94">
        <f>VLOOKUP($D170,Construction!$B:$J,(COLUMN(Construction_BuildingCost_Food)-COLUMN(Construction_Name_and_Level)+1),FALSE)*(-1)</f>
        <v>-300</v>
      </c>
    </row>
    <row r="171" spans="2:91" ht="15" customHeight="1">
      <c r="B171" s="506" t="s">
        <v>143</v>
      </c>
      <c r="C171" s="127" t="s">
        <v>139</v>
      </c>
      <c r="D171" s="144" t="s">
        <v>1553</v>
      </c>
      <c r="E171" s="506">
        <v>10</v>
      </c>
      <c r="F171" s="12">
        <v>0.05</v>
      </c>
      <c r="G171" s="101">
        <f>VLOOKUP($D171,Construction!$B:$L,(COLUMN(Construction_QuestReward_HeroXP)-COLUMN(Construction_Name_and_Level)+1),FALSE)</f>
        <v>2525</v>
      </c>
      <c r="H171" s="101">
        <f t="shared" si="9"/>
        <v>2651.25</v>
      </c>
      <c r="J171" s="100">
        <f>VLOOKUP($D171,Construction!$B:$L,(COLUMN(Construction_QuestReward_Power)-COLUMN(Construction_Name_and_Level)+1),FALSE)</f>
        <v>2</v>
      </c>
      <c r="AF171" s="141"/>
      <c r="AG171" s="141"/>
      <c r="AH171" s="137"/>
      <c r="AI171" s="484"/>
      <c r="AJ171" s="137">
        <f t="shared" si="10"/>
        <v>9.3749999999999986E-2</v>
      </c>
      <c r="AU171" s="101">
        <f>VLOOKUP($D171,Construction!$B:$Q,(COLUMN(Construction_QuestReward_Stone)-COLUMN(Construction_Name_and_Level)+1),FALSE)</f>
        <v>2100</v>
      </c>
      <c r="AV171" s="101">
        <f>VLOOKUP($D171,Construction!$B:$Q,(COLUMN(Construction_QuestReward_Wood)-COLUMN(Construction_Name_and_Level)+1),FALSE)</f>
        <v>1100</v>
      </c>
      <c r="AW171" s="101">
        <f>VLOOKUP($D171,Construction!$B:$Q,(COLUMN(Construction_QuestReward_Ore)-COLUMN(Construction_Name_and_Level)+1),FALSE)</f>
        <v>1100</v>
      </c>
      <c r="AX171" s="101">
        <f>VLOOKUP($D171,Construction!$B:$Q,(COLUMN(Construction_QuestReward_Food)-COLUMN(Construction_Name_and_Level)+1),FALSE)</f>
        <v>3000</v>
      </c>
      <c r="AY171" s="100">
        <f>VLOOKUP($D171,Construction!$B:$Q,(COLUMN(Construction_QuestReward_Silver)-COLUMN(Construction_Name_and_Level)+1),FALSE)</f>
        <v>100</v>
      </c>
    </row>
    <row r="172" spans="2:91" ht="15" customHeight="1">
      <c r="B172" s="506" t="s">
        <v>144</v>
      </c>
      <c r="C172" s="127" t="s">
        <v>149</v>
      </c>
      <c r="D172" s="144" t="s">
        <v>1554</v>
      </c>
      <c r="E172" s="506">
        <v>10</v>
      </c>
      <c r="F172" s="222">
        <v>0.1</v>
      </c>
      <c r="G172" s="94">
        <f>VLOOKUP($D172,Construction!$B:$E,(COLUMN(Construction_BuildingReward_HeroXP)-COLUMN(Construction_Name_and_Level)+1),FALSE)</f>
        <v>25</v>
      </c>
      <c r="H172" s="94">
        <f t="shared" si="9"/>
        <v>27.500000000000004</v>
      </c>
      <c r="J172" s="95">
        <f>VLOOKUP($D172,Construction!$B:$F,(COLUMN(Construction_BuildingReward_Power)-COLUMN(Construction_Name_and_Level)+1),FALSE)</f>
        <v>25</v>
      </c>
      <c r="Q172" s="139">
        <v>3.472222222222222E-3</v>
      </c>
      <c r="R172" s="139">
        <v>5.5555555555555558E-3</v>
      </c>
      <c r="AF172" s="141"/>
      <c r="AG172" s="141"/>
      <c r="AH172" s="137"/>
      <c r="AI172" s="484"/>
      <c r="AJ172" s="137">
        <f t="shared" si="10"/>
        <v>9.3749999999999986E-2</v>
      </c>
      <c r="AK172" s="339">
        <v>0.1</v>
      </c>
      <c r="AL172" s="138">
        <f>VLOOKUP($D172,Construction!$B:$C,(COLUMN(Construction_Time)-COLUMN(Construction_Name_and_Level)+1),FALSE)</f>
        <v>2.3148148148148151E-3</v>
      </c>
      <c r="AM172" s="138">
        <f>AL172/(1+AK172)</f>
        <v>2.1043771043771043E-3</v>
      </c>
      <c r="AN172" s="138">
        <f>(S$3*S172+T$3*T172+V$3*V172+W$3*W172+X$3*X172+Y$3*Y172+Z$3*Z172+AA$3*AA172+AB$3*AB172+AC$3*AC172)*(-1)</f>
        <v>0</v>
      </c>
      <c r="AO172" s="139">
        <f>IF((AM172-Q172-R172-AN172)&gt;=0,AM172-Q172-R172-AN172,0)</f>
        <v>0</v>
      </c>
      <c r="AU172" s="94">
        <f>VLOOKUP($D172,Construction!$B:$J,(COLUMN(Construction_BuildingCost_Stone)-COLUMN(Construction_Name_and_Level)+1),FALSE)*(-1)</f>
        <v>-360</v>
      </c>
      <c r="AV172" s="94">
        <f>VLOOKUP($D172,Construction!$B:$J,(COLUMN(Construction_BuildingCost_Wood)-COLUMN(Construction_Name_and_Level)+1),FALSE)*(-1)</f>
        <v>-180</v>
      </c>
      <c r="AW172" s="94">
        <f>VLOOKUP($D172,Construction!$B:$J,(COLUMN(Construction_BuildingCost_Ore)-COLUMN(Construction_Name_and_Level)+1),FALSE)*(-1)</f>
        <v>-180</v>
      </c>
      <c r="AX172" s="94">
        <f>VLOOKUP($D172,Construction!$B:$J,(COLUMN(Construction_BuildingCost_Food)-COLUMN(Construction_Name_and_Level)+1),FALSE)*(-1)</f>
        <v>-540</v>
      </c>
    </row>
    <row r="173" spans="2:91" ht="15" customHeight="1">
      <c r="B173" s="506" t="s">
        <v>143</v>
      </c>
      <c r="C173" s="127" t="s">
        <v>139</v>
      </c>
      <c r="D173" s="144" t="s">
        <v>1554</v>
      </c>
      <c r="E173" s="506">
        <v>10</v>
      </c>
      <c r="F173" s="12">
        <v>0.1</v>
      </c>
      <c r="G173" s="101">
        <f>VLOOKUP($D173,Construction!$B:$L,(COLUMN(Construction_QuestReward_HeroXP)-COLUMN(Construction_Name_and_Level)+1),FALSE)</f>
        <v>2575</v>
      </c>
      <c r="H173" s="101">
        <f t="shared" si="9"/>
        <v>2832.5000000000005</v>
      </c>
      <c r="J173" s="100">
        <f>VLOOKUP($D173,Construction!$B:$L,(COLUMN(Construction_QuestReward_Power)-COLUMN(Construction_Name_and_Level)+1),FALSE)</f>
        <v>5</v>
      </c>
      <c r="AF173" s="141"/>
      <c r="AG173" s="141"/>
      <c r="AH173" s="137"/>
      <c r="AI173" s="484"/>
      <c r="AJ173" s="137">
        <f t="shared" si="10"/>
        <v>9.3749999999999986E-2</v>
      </c>
      <c r="AU173" s="101">
        <f>VLOOKUP($D173,Construction!$B:$Q,(COLUMN(Construction_QuestReward_Stone)-COLUMN(Construction_Name_and_Level)+1),FALSE)</f>
        <v>900</v>
      </c>
      <c r="AV173" s="101">
        <f>VLOOKUP($D173,Construction!$B:$Q,(COLUMN(Construction_QuestReward_Wood)-COLUMN(Construction_Name_and_Level)+1),FALSE)</f>
        <v>500</v>
      </c>
      <c r="AW173" s="101">
        <f>VLOOKUP($D173,Construction!$B:$Q,(COLUMN(Construction_QuestReward_Ore)-COLUMN(Construction_Name_and_Level)+1),FALSE)</f>
        <v>500</v>
      </c>
      <c r="AX173" s="101">
        <f>VLOOKUP($D173,Construction!$B:$Q,(COLUMN(Construction_QuestReward_Food)-COLUMN(Construction_Name_and_Level)+1),FALSE)</f>
        <v>1400</v>
      </c>
      <c r="AY173" s="100">
        <f>VLOOKUP($D173,Construction!$B:$Q,(COLUMN(Construction_QuestReward_Silver)-COLUMN(Construction_Name_and_Level)+1),FALSE)</f>
        <v>200</v>
      </c>
    </row>
    <row r="174" spans="2:91" ht="15" customHeight="1">
      <c r="B174" s="506" t="s">
        <v>144</v>
      </c>
      <c r="C174" s="127" t="s">
        <v>149</v>
      </c>
      <c r="D174" s="144" t="s">
        <v>1510</v>
      </c>
      <c r="E174" s="506">
        <v>10</v>
      </c>
      <c r="F174" s="12">
        <v>0.1</v>
      </c>
      <c r="G174" s="94">
        <f>VLOOKUP($D174,Construction!$B:$E,(COLUMN(Construction_BuildingReward_HeroXP)-COLUMN(Construction_Name_and_Level)+1),FALSE)</f>
        <v>10</v>
      </c>
      <c r="H174" s="94">
        <f t="shared" si="9"/>
        <v>11</v>
      </c>
      <c r="J174" s="95">
        <f>VLOOKUP($D174,Construction!$B:$F,(COLUMN(Construction_BuildingReward_Power)-COLUMN(Construction_Name_and_Level)+1),FALSE)</f>
        <v>10</v>
      </c>
      <c r="Q174" s="139">
        <v>3.472222222222222E-3</v>
      </c>
      <c r="R174" s="139">
        <v>5.5555555555555558E-3</v>
      </c>
      <c r="AF174" s="141"/>
      <c r="AG174" s="141"/>
      <c r="AH174" s="137"/>
      <c r="AI174" s="484"/>
      <c r="AJ174" s="137">
        <f t="shared" si="10"/>
        <v>9.3749999999999986E-2</v>
      </c>
      <c r="AK174" s="339">
        <v>0.1</v>
      </c>
      <c r="AL174" s="138">
        <f>VLOOKUP($D174,Construction!$B:$C,(COLUMN(Construction_Time)-COLUMN(Construction_Name_and_Level)+1),FALSE)</f>
        <v>6.9444444444444447E-4</v>
      </c>
      <c r="AM174" s="138">
        <f>AL174/(1+AK174)</f>
        <v>6.3131313131313126E-4</v>
      </c>
      <c r="AN174" s="138">
        <f>(S$3*S174+T$3*T174+V$3*V174+W$3*W174+X$3*X174+Y$3*Y174+Z$3*Z174+AA$3*AA174+AB$3*AB174+AC$3*AC174)*(-1)</f>
        <v>0</v>
      </c>
      <c r="AO174" s="139">
        <f>IF((AM174-Q174-R174-AN174)&gt;=0,AM174-Q174-R174-AN174,0)</f>
        <v>0</v>
      </c>
      <c r="AU174" s="94">
        <f>VLOOKUP($D174,Construction!$B:$J,(COLUMN(Construction_BuildingCost_Stone)-COLUMN(Construction_Name_and_Level)+1),FALSE)*(-1)</f>
        <v>-200</v>
      </c>
      <c r="AV174" s="94">
        <f>VLOOKUP($D174,Construction!$B:$J,(COLUMN(Construction_BuildingCost_Wood)-COLUMN(Construction_Name_and_Level)+1),FALSE)*(-1)</f>
        <v>-200</v>
      </c>
      <c r="AW174" s="94">
        <f>VLOOKUP($D174,Construction!$B:$J,(COLUMN(Construction_BuildingCost_Ore)-COLUMN(Construction_Name_and_Level)+1),FALSE)*(-1)</f>
        <v>-50</v>
      </c>
      <c r="AX174" s="94">
        <f>VLOOKUP($D174,Construction!$B:$J,(COLUMN(Construction_BuildingCost_Food)-COLUMN(Construction_Name_and_Level)+1),FALSE)*(-1)</f>
        <v>-500</v>
      </c>
    </row>
    <row r="175" spans="2:91" ht="15" customHeight="1">
      <c r="B175" s="506" t="s">
        <v>144</v>
      </c>
      <c r="C175" s="127" t="s">
        <v>149</v>
      </c>
      <c r="D175" s="144" t="s">
        <v>1510</v>
      </c>
      <c r="E175" s="506">
        <v>10</v>
      </c>
      <c r="F175" s="12">
        <v>0.1</v>
      </c>
      <c r="G175" s="94">
        <f>VLOOKUP($D175,Construction!$B:$E,(COLUMN(Construction_BuildingReward_HeroXP)-COLUMN(Construction_Name_and_Level)+1),FALSE)</f>
        <v>10</v>
      </c>
      <c r="H175" s="94">
        <f t="shared" si="9"/>
        <v>11</v>
      </c>
      <c r="J175" s="95">
        <f>VLOOKUP($D175,Construction!$B:$F,(COLUMN(Construction_BuildingReward_Power)-COLUMN(Construction_Name_and_Level)+1),FALSE)</f>
        <v>10</v>
      </c>
      <c r="Q175" s="139">
        <v>3.472222222222222E-3</v>
      </c>
      <c r="R175" s="139">
        <v>5.5555555555555558E-3</v>
      </c>
      <c r="AF175" s="141"/>
      <c r="AG175" s="141"/>
      <c r="AH175" s="137"/>
      <c r="AI175" s="484"/>
      <c r="AJ175" s="137">
        <f t="shared" si="10"/>
        <v>9.3749999999999986E-2</v>
      </c>
      <c r="AK175" s="339">
        <v>0.1</v>
      </c>
      <c r="AL175" s="138">
        <f>VLOOKUP($D175,Construction!$B:$C,(COLUMN(Construction_Time)-COLUMN(Construction_Name_and_Level)+1),FALSE)</f>
        <v>6.9444444444444447E-4</v>
      </c>
      <c r="AM175" s="138">
        <f>AL175/(1+AK175)</f>
        <v>6.3131313131313126E-4</v>
      </c>
      <c r="AN175" s="138">
        <f>(S$3*S175+T$3*T175+V$3*V175+W$3*W175+X$3*X175+Y$3*Y175+Z$3*Z175+AA$3*AA175+AB$3*AB175+AC$3*AC175)*(-1)</f>
        <v>0</v>
      </c>
      <c r="AO175" s="139">
        <f>IF((AM175-Q175-R175-AN175)&gt;=0,AM175-Q175-R175-AN175,0)</f>
        <v>0</v>
      </c>
      <c r="AU175" s="94">
        <f>VLOOKUP($D175,Construction!$B:$J,(COLUMN(Construction_BuildingCost_Stone)-COLUMN(Construction_Name_and_Level)+1),FALSE)*(-1)</f>
        <v>-200</v>
      </c>
      <c r="AV175" s="94">
        <f>VLOOKUP($D175,Construction!$B:$J,(COLUMN(Construction_BuildingCost_Wood)-COLUMN(Construction_Name_and_Level)+1),FALSE)*(-1)</f>
        <v>-200</v>
      </c>
      <c r="AW175" s="94">
        <f>VLOOKUP($D175,Construction!$B:$J,(COLUMN(Construction_BuildingCost_Ore)-COLUMN(Construction_Name_and_Level)+1),FALSE)*(-1)</f>
        <v>-50</v>
      </c>
      <c r="AX175" s="94">
        <f>VLOOKUP($D175,Construction!$B:$J,(COLUMN(Construction_BuildingCost_Food)-COLUMN(Construction_Name_and_Level)+1),FALSE)*(-1)</f>
        <v>-500</v>
      </c>
    </row>
    <row r="176" spans="2:91" ht="15" customHeight="1">
      <c r="B176" s="506" t="s">
        <v>144</v>
      </c>
      <c r="C176" s="127" t="s">
        <v>149</v>
      </c>
      <c r="D176" s="144" t="s">
        <v>1510</v>
      </c>
      <c r="E176" s="506">
        <v>10</v>
      </c>
      <c r="F176" s="12">
        <v>0.1</v>
      </c>
      <c r="G176" s="94">
        <f>VLOOKUP($D176,Construction!$B:$E,(COLUMN(Construction_BuildingReward_HeroXP)-COLUMN(Construction_Name_and_Level)+1),FALSE)</f>
        <v>10</v>
      </c>
      <c r="H176" s="94">
        <f t="shared" si="9"/>
        <v>11</v>
      </c>
      <c r="J176" s="95">
        <f>VLOOKUP($D176,Construction!$B:$F,(COLUMN(Construction_BuildingReward_Power)-COLUMN(Construction_Name_and_Level)+1),FALSE)</f>
        <v>10</v>
      </c>
      <c r="Q176" s="139">
        <v>3.472222222222222E-3</v>
      </c>
      <c r="R176" s="139">
        <v>5.5555555555555558E-3</v>
      </c>
      <c r="AF176" s="141"/>
      <c r="AG176" s="141"/>
      <c r="AH176" s="137"/>
      <c r="AI176" s="484"/>
      <c r="AJ176" s="137">
        <f t="shared" si="10"/>
        <v>9.3749999999999986E-2</v>
      </c>
      <c r="AK176" s="339">
        <v>0.1</v>
      </c>
      <c r="AL176" s="138">
        <f>VLOOKUP($D176,Construction!$B:$C,(COLUMN(Construction_Time)-COLUMN(Construction_Name_and_Level)+1),FALSE)</f>
        <v>6.9444444444444447E-4</v>
      </c>
      <c r="AM176" s="138">
        <f>AL176/(1+AK176)</f>
        <v>6.3131313131313126E-4</v>
      </c>
      <c r="AN176" s="138">
        <f>(S$3*S176+T$3*T176+V$3*V176+W$3*W176+X$3*X176+Y$3*Y176+Z$3*Z176+AA$3*AA176+AB$3*AB176+AC$3*AC176)*(-1)</f>
        <v>0</v>
      </c>
      <c r="AO176" s="139">
        <f>IF((AM176-Q176-R176-AN176)&gt;=0,AM176-Q176-R176-AN176,0)</f>
        <v>0</v>
      </c>
      <c r="AU176" s="94">
        <f>VLOOKUP($D176,Construction!$B:$J,(COLUMN(Construction_BuildingCost_Stone)-COLUMN(Construction_Name_and_Level)+1),FALSE)*(-1)</f>
        <v>-200</v>
      </c>
      <c r="AV176" s="94">
        <f>VLOOKUP($D176,Construction!$B:$J,(COLUMN(Construction_BuildingCost_Wood)-COLUMN(Construction_Name_and_Level)+1),FALSE)*(-1)</f>
        <v>-200</v>
      </c>
      <c r="AW176" s="94">
        <f>VLOOKUP($D176,Construction!$B:$J,(COLUMN(Construction_BuildingCost_Ore)-COLUMN(Construction_Name_and_Level)+1),FALSE)*(-1)</f>
        <v>-50</v>
      </c>
      <c r="AX176" s="94">
        <f>VLOOKUP($D176,Construction!$B:$J,(COLUMN(Construction_BuildingCost_Food)-COLUMN(Construction_Name_and_Level)+1),FALSE)*(-1)</f>
        <v>-500</v>
      </c>
    </row>
    <row r="177" spans="2:108" ht="15" customHeight="1">
      <c r="B177" s="506" t="s">
        <v>143</v>
      </c>
      <c r="C177" s="127" t="s">
        <v>139</v>
      </c>
      <c r="D177" s="144" t="s">
        <v>1555</v>
      </c>
      <c r="E177" s="506">
        <v>10</v>
      </c>
      <c r="F177" s="12">
        <v>0.1</v>
      </c>
      <c r="G177" s="101">
        <v>10150</v>
      </c>
      <c r="H177" s="101">
        <f t="shared" si="9"/>
        <v>11165</v>
      </c>
      <c r="J177" s="100">
        <v>500</v>
      </c>
      <c r="AF177" s="141"/>
      <c r="AG177" s="141"/>
      <c r="AH177" s="137"/>
      <c r="AI177" s="484"/>
      <c r="AJ177" s="137">
        <f t="shared" si="10"/>
        <v>9.3749999999999986E-2</v>
      </c>
    </row>
    <row r="178" spans="2:108" ht="15" customHeight="1">
      <c r="B178" s="126" t="s">
        <v>1457</v>
      </c>
      <c r="C178" s="127" t="s">
        <v>147</v>
      </c>
      <c r="D178" s="144" t="s">
        <v>1556</v>
      </c>
      <c r="E178" s="506">
        <v>11</v>
      </c>
      <c r="I178" s="5">
        <v>3</v>
      </c>
      <c r="J178" s="5">
        <v>123</v>
      </c>
      <c r="Q178" s="149"/>
      <c r="AF178" s="141"/>
      <c r="AG178" s="141"/>
      <c r="AH178" s="137"/>
      <c r="AI178" s="484"/>
      <c r="AJ178" s="137">
        <f t="shared" si="10"/>
        <v>9.3749999999999986E-2</v>
      </c>
      <c r="AX178" s="11"/>
    </row>
    <row r="179" spans="2:108" ht="15" customHeight="1">
      <c r="B179" s="106" t="s">
        <v>171</v>
      </c>
      <c r="C179" s="130"/>
      <c r="D179" s="130" t="s">
        <v>1557</v>
      </c>
      <c r="E179" s="106">
        <v>11</v>
      </c>
      <c r="F179" s="219">
        <v>0.1</v>
      </c>
      <c r="G179" s="107" t="s">
        <v>1453</v>
      </c>
      <c r="H179" s="107">
        <v>652233</v>
      </c>
      <c r="I179" s="108">
        <v>20</v>
      </c>
      <c r="J179" s="108">
        <v>8421</v>
      </c>
      <c r="K179" s="107">
        <v>4</v>
      </c>
      <c r="L179" s="107">
        <v>890</v>
      </c>
      <c r="M179" s="134">
        <v>0.10416666666666667</v>
      </c>
      <c r="N179" s="109">
        <v>200</v>
      </c>
      <c r="O179" s="109">
        <f>SUMIF($B$4:$B178,"&lt;&gt;"&amp;$CS$13,O$4:O178)</f>
        <v>0</v>
      </c>
      <c r="P179" s="108">
        <f>SUMIF($B$4:$B178,"&lt;&gt;"&amp;$CS$13,N$4:N178)</f>
        <v>200</v>
      </c>
      <c r="Q179" s="134">
        <v>3.472222222222222E-3</v>
      </c>
      <c r="R179" s="134">
        <v>5.5555555555555558E-3</v>
      </c>
      <c r="S179" s="107">
        <v>0</v>
      </c>
      <c r="T179" s="107">
        <v>0</v>
      </c>
      <c r="U179" s="107">
        <v>0</v>
      </c>
      <c r="V179" s="107">
        <v>0</v>
      </c>
      <c r="W179" s="109">
        <v>9</v>
      </c>
      <c r="X179" s="109">
        <v>0</v>
      </c>
      <c r="Y179" s="109">
        <v>0</v>
      </c>
      <c r="Z179" s="109">
        <v>0</v>
      </c>
      <c r="AA179" s="109">
        <v>0</v>
      </c>
      <c r="AB179" s="109">
        <v>0</v>
      </c>
      <c r="AC179" s="109">
        <v>0</v>
      </c>
      <c r="AD179" s="109">
        <v>0</v>
      </c>
      <c r="AE179" s="108">
        <v>0</v>
      </c>
      <c r="AF179" s="136">
        <f>SUMIF($B$4:$B178,"&lt;&gt;"&amp;$CS$13,AF$4:AF178)</f>
        <v>0.15138888888888891</v>
      </c>
      <c r="AG179" s="136">
        <f>SUMIF($B$4:$B178,"&lt;&gt;"&amp;$CS$13,AG$4:AG178)</f>
        <v>0</v>
      </c>
      <c r="AH179" s="134">
        <f>AF179+AG179</f>
        <v>0.15138888888888891</v>
      </c>
      <c r="AI179" s="483">
        <f>SUMIF($B$4:$B178,"&lt;&gt;"&amp;$CS$13,AI$4:AI178)</f>
        <v>5.7638888888888885E-2</v>
      </c>
      <c r="AJ179" s="134">
        <f>S$3*S179+T$3*T179+U$3*U179+V$3*V179+W$3*W179+X$3*X179+Y$3*Y179+Z$3*Z179+AA$3*AA179+AB$3*AB179+AC$3*AC179</f>
        <v>9.375E-2</v>
      </c>
      <c r="AK179" s="343">
        <v>0.25</v>
      </c>
      <c r="AL179" s="136" t="s">
        <v>1453</v>
      </c>
      <c r="AM179" s="136" t="s">
        <v>1453</v>
      </c>
      <c r="AN179" s="136" t="s">
        <v>1453</v>
      </c>
      <c r="AO179" s="134" t="s">
        <v>1453</v>
      </c>
      <c r="AP179" s="255">
        <v>0.03</v>
      </c>
      <c r="AQ179" s="136" t="s">
        <v>1453</v>
      </c>
      <c r="AR179" s="136" t="s">
        <v>1453</v>
      </c>
      <c r="AS179" s="136" t="s">
        <v>1453</v>
      </c>
      <c r="AT179" s="134" t="s">
        <v>1453</v>
      </c>
      <c r="AU179" s="107">
        <v>126600</v>
      </c>
      <c r="AV179" s="107">
        <v>121000</v>
      </c>
      <c r="AW179" s="107">
        <v>122600</v>
      </c>
      <c r="AX179" s="109">
        <v>199300</v>
      </c>
      <c r="AY179" s="108">
        <v>24050</v>
      </c>
      <c r="AZ179" s="107">
        <v>264</v>
      </c>
      <c r="BA179" s="107">
        <v>259</v>
      </c>
      <c r="BB179" s="107">
        <v>583</v>
      </c>
      <c r="BC179" s="107">
        <v>378</v>
      </c>
      <c r="BD179" s="108">
        <v>192</v>
      </c>
      <c r="BE179" s="108">
        <v>-70</v>
      </c>
      <c r="BF179" s="107">
        <v>27000</v>
      </c>
      <c r="BG179" s="107">
        <v>27000</v>
      </c>
      <c r="BH179" s="107">
        <v>42000</v>
      </c>
      <c r="BI179" s="107">
        <v>30000</v>
      </c>
      <c r="BJ179" s="108">
        <v>24000</v>
      </c>
      <c r="BK179" s="107">
        <v>4</v>
      </c>
      <c r="BL179" s="108">
        <v>3</v>
      </c>
      <c r="BM179" s="108">
        <v>4</v>
      </c>
      <c r="BN179" s="107">
        <v>2</v>
      </c>
      <c r="BO179" s="108">
        <v>4</v>
      </c>
      <c r="BP179" s="107">
        <v>2</v>
      </c>
      <c r="BQ179" s="108">
        <v>4</v>
      </c>
      <c r="BR179" s="107">
        <v>3</v>
      </c>
      <c r="BS179" s="108">
        <v>1</v>
      </c>
      <c r="BT179" s="107">
        <v>5</v>
      </c>
      <c r="BU179" s="108">
        <v>4</v>
      </c>
      <c r="BV179" s="107">
        <v>3</v>
      </c>
      <c r="BW179" s="108">
        <v>4</v>
      </c>
      <c r="BX179" s="107">
        <v>2</v>
      </c>
      <c r="BY179" s="108">
        <v>1</v>
      </c>
      <c r="BZ179" s="107">
        <v>2</v>
      </c>
      <c r="CA179" s="108">
        <v>1</v>
      </c>
      <c r="CB179" s="108">
        <v>2</v>
      </c>
      <c r="CC179" s="108">
        <v>3</v>
      </c>
      <c r="CD179" s="108">
        <v>2</v>
      </c>
      <c r="CE179" s="107"/>
      <c r="CF179" s="107"/>
      <c r="CG179" s="108"/>
      <c r="CH179" s="107">
        <v>2</v>
      </c>
      <c r="CI179" s="107"/>
      <c r="CJ179" s="108"/>
      <c r="CK179" s="108"/>
      <c r="CL179" s="107">
        <v>35800</v>
      </c>
      <c r="CM179" s="108"/>
      <c r="CN179" s="108" t="s">
        <v>1208</v>
      </c>
    </row>
    <row r="180" spans="2:108" ht="15" customHeight="1">
      <c r="B180" s="506" t="s">
        <v>145</v>
      </c>
      <c r="C180" s="146" t="s">
        <v>151</v>
      </c>
      <c r="D180" s="145">
        <v>3.7037037037037034E-3</v>
      </c>
      <c r="E180" s="506">
        <v>11</v>
      </c>
      <c r="AF180" s="141"/>
      <c r="AG180" s="141"/>
      <c r="AH180" s="137"/>
      <c r="AI180" s="484"/>
      <c r="AJ180" s="137">
        <f t="shared" ref="AJ180:AJ211" si="11">AJ179+(S$3*S180+T$3*T180+U$3*U180+V$3*V180+W$3*W180+X$3*X180+Y$3*Y180+Z$3*Z180+AA$3*AA180+AB$3*AB180+AC$3*AC180)</f>
        <v>9.375E-2</v>
      </c>
      <c r="AW180" s="2">
        <v>1000</v>
      </c>
    </row>
    <row r="181" spans="2:108" ht="15" customHeight="1">
      <c r="B181" s="506" t="s">
        <v>146</v>
      </c>
      <c r="C181" s="127" t="s">
        <v>138</v>
      </c>
      <c r="D181" s="144" t="s">
        <v>1558</v>
      </c>
      <c r="E181" s="506">
        <v>11</v>
      </c>
      <c r="F181" s="12">
        <v>0.1</v>
      </c>
      <c r="G181" s="111">
        <f>VLOOKUP($D181,Research!$C:$F,(COLUMN(Research_ResearchReward_HeroXP)-COLUMN(Research_Name_and_Level)+1),FALSE)</f>
        <v>30000</v>
      </c>
      <c r="H181" s="111">
        <f t="shared" si="9"/>
        <v>33000</v>
      </c>
      <c r="J181" s="115">
        <f>VLOOKUP($D181,Research!$C:$G,(COLUMN(Research_ResearchReward_Power)-COLUMN(Research_Name_and_Level)+1),FALSE)</f>
        <v>300</v>
      </c>
      <c r="R181" s="148">
        <v>5.5555555555555558E-3</v>
      </c>
      <c r="AF181" s="141"/>
      <c r="AG181" s="141"/>
      <c r="AH181" s="137"/>
      <c r="AI181" s="484"/>
      <c r="AJ181" s="137">
        <f t="shared" si="11"/>
        <v>9.375E-2</v>
      </c>
      <c r="AP181" s="256">
        <v>0.03</v>
      </c>
      <c r="AQ181" s="147">
        <f>VLOOKUP($D181,Research!$C:$D,(COLUMN(Research_Time)-COLUMN(Research_Name_and_Level)+1),FALSE)</f>
        <v>0.125</v>
      </c>
      <c r="AR181" s="147">
        <f>AQ181/(1+AP181)</f>
        <v>0.12135922330097088</v>
      </c>
      <c r="AS181" s="147">
        <f>(S$3*S181+T$3*T181+V$3*V181+W$3*W181+X$3*X181+Y$3*Y181+Z$3*Z181+AA$3*AA181+AB$3*AB181+AC$3*AC181)*(-1)</f>
        <v>0</v>
      </c>
      <c r="AT181" s="148">
        <f>IF(AR181-R181-AS181&gt;=0,AR181-R181-AS181,0)</f>
        <v>0.11580366774541533</v>
      </c>
      <c r="AU181" s="111">
        <f>VLOOKUP($D181,Research!$C:$L,(COLUMN(Research_ResearchCost_Stone)-COLUMN(Research_Name_and_Level)+1),FALSE)*(-1)</f>
        <v>0</v>
      </c>
      <c r="AV181" s="111">
        <f>VLOOKUP($D181,Research!$C:$L,(COLUMN(Research_ResearchCost_Wood)-COLUMN(Research_Name_and_Level)+1),FALSE)*(-1)</f>
        <v>-5000</v>
      </c>
      <c r="AW181" s="111">
        <f>VLOOKUP($D181,Research!$C:$L,(COLUMN(Research_ResearchCost_Ore)-COLUMN(Research_Name_and_Level)+1),FALSE)*(-1)</f>
        <v>-3750</v>
      </c>
      <c r="AX181" s="111">
        <f>VLOOKUP($D181,Research!$C:$L,(COLUMN(Research_ResearchCost_Food)-COLUMN(Research_Name_and_Level)+1),FALSE)*(-1)</f>
        <v>-5000</v>
      </c>
      <c r="AY181" s="112">
        <f>VLOOKUP($D181,Research!$C:$L,(COLUMN(Research_ResearchCost_Silver)-COLUMN(Research_Name_and_Level)+1),FALSE)*(-1)</f>
        <v>-6000</v>
      </c>
    </row>
    <row r="182" spans="2:108" ht="15" customHeight="1">
      <c r="B182" s="102" t="s">
        <v>1455</v>
      </c>
      <c r="C182" s="127" t="s">
        <v>170</v>
      </c>
      <c r="D182" s="144" t="s">
        <v>1558</v>
      </c>
      <c r="E182" s="506">
        <v>11</v>
      </c>
      <c r="F182" s="12">
        <v>0.1</v>
      </c>
      <c r="G182" s="101">
        <f>VLOOKUP($D182,Research!$C:$M,(COLUMN(Research_QuestReward_HeroXP)-COLUMN(Research_Name_and_Level)+1),FALSE)</f>
        <v>6000</v>
      </c>
      <c r="H182" s="101">
        <f>G182*(1+F182)</f>
        <v>6600.0000000000009</v>
      </c>
      <c r="J182" s="103">
        <f>VLOOKUP($D182,Research!$C:$N,(COLUMN(Research_QuestReward_Power)-COLUMN(Research_Name_and_Level)+1),FALSE)</f>
        <v>50</v>
      </c>
      <c r="AF182" s="141"/>
      <c r="AG182" s="141"/>
      <c r="AH182" s="137"/>
      <c r="AI182" s="484"/>
      <c r="AJ182" s="137">
        <f t="shared" si="11"/>
        <v>9.375E-2</v>
      </c>
      <c r="AU182" s="101">
        <f>VLOOKUP($D182,Research!$C:$S,(COLUMN(Research_QuestReward_Stone)-COLUMN(Research_Name_and_Level)+1),FALSE)</f>
        <v>0</v>
      </c>
      <c r="AV182" s="101">
        <f>VLOOKUP($D182,Research!$C:$S,(COLUMN(Research_QuestReward_Wood)-COLUMN(Research_Name_and_Level)+1),FALSE)</f>
        <v>7000</v>
      </c>
      <c r="AW182" s="101">
        <f>VLOOKUP($D182,Research!$C:$S,(COLUMN(Research_QuestReward_Ore)-COLUMN(Research_Name_and_Level)+1),FALSE)</f>
        <v>5000</v>
      </c>
      <c r="AX182" s="101">
        <f>VLOOKUP($D182,Research!$C:$S,(COLUMN(Research_QuestReward_Food)-COLUMN(Research_Name_and_Level)+1),FALSE)</f>
        <v>7000</v>
      </c>
      <c r="AY182" s="100">
        <f>VLOOKUP($D182,Research!$C:$S,(COLUMN(Research_QuestReward_Silver)-COLUMN(Research_Name_and_Level)+1),FALSE)</f>
        <v>4000</v>
      </c>
      <c r="CT182" s="127"/>
      <c r="CU182" s="127"/>
      <c r="CV182" s="127"/>
      <c r="CW182" s="127"/>
      <c r="CX182" s="127"/>
      <c r="CY182" s="127"/>
      <c r="CZ182" s="127"/>
      <c r="DA182" s="127"/>
      <c r="DB182" s="127"/>
      <c r="DC182" s="127"/>
      <c r="DD182" s="127"/>
    </row>
    <row r="183" spans="2:108" ht="15" customHeight="1">
      <c r="B183" s="113" t="s">
        <v>1483</v>
      </c>
      <c r="C183" s="127" t="s">
        <v>156</v>
      </c>
      <c r="D183" s="127">
        <v>50</v>
      </c>
      <c r="E183" s="506">
        <v>11</v>
      </c>
      <c r="G183" s="7"/>
      <c r="H183" s="7"/>
      <c r="J183" s="114">
        <f>VLOOKUP($C183,Troop!$B:$AK,(COLUMN(Troop_TrainingReward_Power)-COLUMN(Troop_Name)+1),FALSE)*$D183</f>
        <v>100</v>
      </c>
      <c r="AF183" s="141"/>
      <c r="AG183" s="141"/>
      <c r="AH183" s="137"/>
      <c r="AI183" s="484"/>
      <c r="AJ183" s="137">
        <f t="shared" si="11"/>
        <v>9.375E-2</v>
      </c>
      <c r="AU183" s="296">
        <f>VLOOKUP($C183,Troop!$B:$P,(COLUMN(Troop_TrainingCost_Stone)-COLUMN(Troop_Name)+1),FALSE)*$D183*(-1)</f>
        <v>-2500</v>
      </c>
      <c r="AV183" s="296">
        <f>VLOOKUP($C183,Troop!$B:$P,(COLUMN(Troop_TrainingCost_Wood)-COLUMN(Troop_Name)+1),FALSE)*$D183*(-1)</f>
        <v>0</v>
      </c>
      <c r="AW183" s="296">
        <f>VLOOKUP($C183,Troop!$B:$P,(COLUMN(Troop_TrainingCost_Ore)-COLUMN(Troop_Name)+1),FALSE)*$D183*(-1)</f>
        <v>-1900</v>
      </c>
      <c r="AX183" s="296">
        <f>VLOOKUP($C183,Troop!$B:$P,(COLUMN(Troop_TrainingCost_Food)-COLUMN(Troop_Name)+1),FALSE)*$D183*(-1)</f>
        <v>-2500</v>
      </c>
      <c r="AY183" s="114">
        <f>VLOOKUP($C183,Troop!$B:$P,(COLUMN(Troop_TrainingCost_Silver)-COLUMN(Troop_Name)+1),FALSE)*$D183*(-1)</f>
        <v>0</v>
      </c>
      <c r="CT183" s="128"/>
      <c r="CU183" s="128"/>
      <c r="CV183" s="128"/>
      <c r="CW183" s="128"/>
      <c r="CX183" s="128"/>
      <c r="CY183" s="128"/>
      <c r="CZ183" s="128"/>
      <c r="DA183" s="128"/>
      <c r="DB183" s="128"/>
      <c r="DC183" s="128"/>
      <c r="DD183" s="128"/>
    </row>
    <row r="184" spans="2:108" ht="15" customHeight="1">
      <c r="B184" s="102" t="s">
        <v>1455</v>
      </c>
      <c r="C184" s="127" t="s">
        <v>141</v>
      </c>
      <c r="D184" s="144" t="s">
        <v>1559</v>
      </c>
      <c r="E184" s="506">
        <v>11</v>
      </c>
      <c r="F184" s="12">
        <v>0.1</v>
      </c>
      <c r="G184" s="101">
        <v>2500</v>
      </c>
      <c r="H184" s="101">
        <f t="shared" ref="H184" si="12">G184*(1+F184)</f>
        <v>2750</v>
      </c>
      <c r="J184" s="100">
        <v>25</v>
      </c>
      <c r="AF184" s="141"/>
      <c r="AG184" s="141"/>
      <c r="AH184" s="137"/>
      <c r="AI184" s="484"/>
      <c r="AJ184" s="137">
        <f t="shared" si="11"/>
        <v>9.375E-2</v>
      </c>
      <c r="AU184" s="101">
        <v>2100</v>
      </c>
      <c r="AV184" s="101">
        <v>0</v>
      </c>
      <c r="AW184" s="101">
        <v>1500</v>
      </c>
      <c r="AX184" s="101">
        <v>2100</v>
      </c>
      <c r="AY184" s="100">
        <v>0</v>
      </c>
      <c r="CT184" s="128"/>
      <c r="CU184" s="128"/>
      <c r="CV184" s="128"/>
      <c r="CW184" s="128"/>
      <c r="CX184" s="128"/>
      <c r="CY184" s="128"/>
      <c r="CZ184" s="128"/>
      <c r="DA184" s="128"/>
      <c r="DB184" s="128"/>
      <c r="DC184" s="128"/>
      <c r="DD184" s="128"/>
    </row>
    <row r="185" spans="2:108" ht="15" customHeight="1">
      <c r="B185" s="506" t="s">
        <v>144</v>
      </c>
      <c r="C185" s="127" t="s">
        <v>149</v>
      </c>
      <c r="D185" s="144" t="s">
        <v>1560</v>
      </c>
      <c r="E185" s="506">
        <v>11</v>
      </c>
      <c r="F185" s="12">
        <v>0.1</v>
      </c>
      <c r="G185" s="94">
        <f>VLOOKUP($D185,Construction!$B:$E,(COLUMN(Construction_BuildingReward_HeroXP)-COLUMN(Construction_Name_and_Level)+1),FALSE)</f>
        <v>50</v>
      </c>
      <c r="H185" s="94">
        <f t="shared" ref="H185:H187" si="13">G185*(1+F185)</f>
        <v>55.000000000000007</v>
      </c>
      <c r="J185" s="95">
        <f>VLOOKUP($D185,Construction!$B:$F,(COLUMN(Construction_BuildingReward_Power)-COLUMN(Construction_Name_and_Level)+1),FALSE)</f>
        <v>15</v>
      </c>
      <c r="Q185" s="139">
        <v>3.472222222222222E-3</v>
      </c>
      <c r="R185" s="139">
        <v>5.5555555555555558E-3</v>
      </c>
      <c r="AF185" s="141"/>
      <c r="AG185" s="141"/>
      <c r="AH185" s="137"/>
      <c r="AI185" s="484"/>
      <c r="AJ185" s="137">
        <f t="shared" si="11"/>
        <v>9.375E-2</v>
      </c>
      <c r="AK185" s="339">
        <v>0.25</v>
      </c>
      <c r="AL185" s="138">
        <f>VLOOKUP($D185,Construction!$B:$C,(COLUMN(Construction_Time)-COLUMN(Construction_Name_and_Level)+1),FALSE)</f>
        <v>2.3148148148148151E-3</v>
      </c>
      <c r="AM185" s="138">
        <f>AL185/(1+AK185)</f>
        <v>1.8518518518518521E-3</v>
      </c>
      <c r="AN185" s="138">
        <f>(S$3*S185+T$3*T185+V$3*V185+W$3*W185+X$3*X185+Y$3*Y185+Z$3*Z185+AA$3*AA185+AB$3*AB185+AC$3*AC185)*(-1)</f>
        <v>0</v>
      </c>
      <c r="AO185" s="139">
        <f>IF((AM185-Q185-R185-AN185)&gt;=0,AM185-Q185-R185-AN185,0)</f>
        <v>0</v>
      </c>
      <c r="AU185" s="94">
        <f>VLOOKUP($D185,Construction!$B:$J,(COLUMN(Construction_BuildingCost_Stone)-COLUMN(Construction_Name_and_Level)+1),FALSE)*(-1)</f>
        <v>-289</v>
      </c>
      <c r="AV185" s="94">
        <f>VLOOKUP($D185,Construction!$B:$J,(COLUMN(Construction_BuildingCost_Wood)-COLUMN(Construction_Name_and_Level)+1),FALSE)*(-1)</f>
        <v>-289</v>
      </c>
      <c r="AW185" s="94">
        <f>VLOOKUP($D185,Construction!$B:$J,(COLUMN(Construction_BuildingCost_Ore)-COLUMN(Construction_Name_and_Level)+1),FALSE)*(-1)</f>
        <v>-289</v>
      </c>
      <c r="AX185" s="94">
        <f>VLOOKUP($D185,Construction!$B:$J,(COLUMN(Construction_BuildingCost_Food)-COLUMN(Construction_Name_and_Level)+1),FALSE)*(-1)</f>
        <v>0</v>
      </c>
    </row>
    <row r="186" spans="2:108" ht="15" customHeight="1">
      <c r="B186" s="506" t="s">
        <v>143</v>
      </c>
      <c r="C186" s="127" t="s">
        <v>139</v>
      </c>
      <c r="D186" s="144" t="s">
        <v>1560</v>
      </c>
      <c r="E186" s="506">
        <v>11</v>
      </c>
      <c r="F186" s="12">
        <v>0.1</v>
      </c>
      <c r="G186" s="101">
        <f>VLOOKUP($D186,Construction!$B:$L,(COLUMN(Construction_QuestReward_HeroXP)-COLUMN(Construction_Name_and_Level)+1),FALSE)</f>
        <v>2600</v>
      </c>
      <c r="H186" s="101">
        <f t="shared" si="13"/>
        <v>2860.0000000000005</v>
      </c>
      <c r="J186" s="100">
        <f>VLOOKUP($D186,Construction!$B:$L,(COLUMN(Construction_QuestReward_Power)-COLUMN(Construction_Name_and_Level)+1),FALSE)</f>
        <v>5</v>
      </c>
      <c r="AF186" s="141"/>
      <c r="AG186" s="141"/>
      <c r="AH186" s="137"/>
      <c r="AI186" s="484"/>
      <c r="AJ186" s="137">
        <f t="shared" si="11"/>
        <v>9.375E-2</v>
      </c>
      <c r="AU186" s="101">
        <f>VLOOKUP($D186,Construction!$B:$Q,(COLUMN(Construction_QuestReward_Stone)-COLUMN(Construction_Name_and_Level)+1),FALSE)</f>
        <v>0</v>
      </c>
      <c r="AV186" s="101">
        <f>VLOOKUP($D186,Construction!$B:$Q,(COLUMN(Construction_QuestReward_Wood)-COLUMN(Construction_Name_and_Level)+1),FALSE)</f>
        <v>0</v>
      </c>
      <c r="AW186" s="101">
        <f>VLOOKUP($D186,Construction!$B:$Q,(COLUMN(Construction_QuestReward_Ore)-COLUMN(Construction_Name_and_Level)+1),FALSE)</f>
        <v>0</v>
      </c>
      <c r="AX186" s="101">
        <f>VLOOKUP($D186,Construction!$B:$Q,(COLUMN(Construction_QuestReward_Food)-COLUMN(Construction_Name_and_Level)+1),FALSE)</f>
        <v>6300</v>
      </c>
      <c r="AY186" s="100">
        <f>VLOOKUP($D186,Construction!$B:$Q,(COLUMN(Construction_QuestReward_Silver)-COLUMN(Construction_Name_and_Level)+1),FALSE)</f>
        <v>0</v>
      </c>
    </row>
    <row r="187" spans="2:108" ht="15" customHeight="1">
      <c r="B187" s="506" t="s">
        <v>143</v>
      </c>
      <c r="C187" s="127" t="s">
        <v>182</v>
      </c>
      <c r="D187" s="144" t="s">
        <v>1561</v>
      </c>
      <c r="E187" s="506">
        <v>11</v>
      </c>
      <c r="F187" s="12">
        <v>0.1</v>
      </c>
      <c r="G187" s="101">
        <v>0</v>
      </c>
      <c r="H187" s="101">
        <f t="shared" si="13"/>
        <v>0</v>
      </c>
      <c r="J187" s="100">
        <v>25</v>
      </c>
      <c r="AF187" s="141"/>
      <c r="AG187" s="141"/>
      <c r="AH187" s="137"/>
      <c r="AI187" s="484"/>
      <c r="AJ187" s="137">
        <f t="shared" si="11"/>
        <v>9.375E-2</v>
      </c>
      <c r="AX187" s="101">
        <v>12600</v>
      </c>
    </row>
    <row r="188" spans="2:108" ht="15" customHeight="1">
      <c r="B188" s="506" t="s">
        <v>144</v>
      </c>
      <c r="C188" s="127" t="s">
        <v>138</v>
      </c>
      <c r="D188" s="144" t="s">
        <v>1562</v>
      </c>
      <c r="E188" s="506">
        <v>11</v>
      </c>
      <c r="F188" s="12">
        <v>0.1</v>
      </c>
      <c r="G188" s="94">
        <f>VLOOKUP($D188,Construction!$B:$E,(COLUMN(Construction_BuildingReward_HeroXP)-COLUMN(Construction_Name_and_Level)+1),FALSE)</f>
        <v>50</v>
      </c>
      <c r="H188" s="94">
        <f t="shared" ref="H188:H189" si="14">G188*(1+F188)</f>
        <v>55.000000000000007</v>
      </c>
      <c r="J188" s="95">
        <f>VLOOKUP($D188,Construction!$B:$F,(COLUMN(Construction_BuildingReward_Power)-COLUMN(Construction_Name_and_Level)+1),FALSE)</f>
        <v>60</v>
      </c>
      <c r="Q188" s="139">
        <v>3.472222222222222E-3</v>
      </c>
      <c r="R188" s="139">
        <v>5.5555555555555558E-3</v>
      </c>
      <c r="AF188" s="141"/>
      <c r="AG188" s="141"/>
      <c r="AH188" s="137"/>
      <c r="AI188" s="484"/>
      <c r="AJ188" s="137">
        <f t="shared" si="11"/>
        <v>9.375E-2</v>
      </c>
      <c r="AK188" s="339">
        <v>0.25</v>
      </c>
      <c r="AL188" s="138">
        <f>VLOOKUP($D188,Construction!$B:$C,(COLUMN(Construction_Time)-COLUMN(Construction_Name_and_Level)+1),FALSE)</f>
        <v>4.1666666666666666E-3</v>
      </c>
      <c r="AM188" s="138">
        <f>AL188/(1+AK188)</f>
        <v>3.3333333333333331E-3</v>
      </c>
      <c r="AN188" s="138">
        <f>(S$3*S188+T$3*T188+V$3*V188+W$3*W188+X$3*X188+Y$3*Y188+Z$3*Z188+AA$3*AA188+AB$3*AB188+AC$3*AC188)*(-1)</f>
        <v>0</v>
      </c>
      <c r="AO188" s="139">
        <f>IF((AM188-Q188-R188-AN188)&gt;=0,AM188-Q188-R188-AN188,0)</f>
        <v>0</v>
      </c>
      <c r="AU188" s="94">
        <f>VLOOKUP($D188,Construction!$B:$J,(COLUMN(Construction_BuildingCost_Stone)-COLUMN(Construction_Name_and_Level)+1),FALSE)*(-1)</f>
        <v>-1445</v>
      </c>
      <c r="AV188" s="94">
        <f>VLOOKUP($D188,Construction!$B:$J,(COLUMN(Construction_BuildingCost_Wood)-COLUMN(Construction_Name_and_Level)+1),FALSE)*(-1)</f>
        <v>-1156</v>
      </c>
      <c r="AW188" s="94">
        <f>VLOOKUP($D188,Construction!$B:$J,(COLUMN(Construction_BuildingCost_Ore)-COLUMN(Construction_Name_and_Level)+1),FALSE)*(-1)</f>
        <v>-867</v>
      </c>
      <c r="AX188" s="94">
        <f>VLOOKUP($D188,Construction!$B:$J,(COLUMN(Construction_BuildingCost_Food)-COLUMN(Construction_Name_and_Level)+1),FALSE)*(-1)</f>
        <v>-723</v>
      </c>
    </row>
    <row r="189" spans="2:108" ht="15" customHeight="1">
      <c r="B189" s="506" t="s">
        <v>143</v>
      </c>
      <c r="C189" s="127" t="s">
        <v>142</v>
      </c>
      <c r="D189" s="144" t="s">
        <v>1562</v>
      </c>
      <c r="E189" s="506">
        <v>11</v>
      </c>
      <c r="F189" s="12">
        <v>0.1</v>
      </c>
      <c r="G189" s="101">
        <f>VLOOKUP($D189,Construction!$B:$L,(COLUMN(Construction_QuestReward_HeroXP)-COLUMN(Construction_Name_and_Level)+1),FALSE)</f>
        <v>2600</v>
      </c>
      <c r="H189" s="101">
        <f t="shared" si="14"/>
        <v>2860.0000000000005</v>
      </c>
      <c r="J189" s="100">
        <f>VLOOKUP($D189,Construction!$B:$L,(COLUMN(Construction_QuestReward_Power)-COLUMN(Construction_Name_and_Level)+1),FALSE)</f>
        <v>22</v>
      </c>
      <c r="AF189" s="141"/>
      <c r="AG189" s="141"/>
      <c r="AH189" s="137"/>
      <c r="AI189" s="484"/>
      <c r="AJ189" s="137">
        <f t="shared" si="11"/>
        <v>9.375E-2</v>
      </c>
      <c r="AU189" s="101">
        <f>VLOOKUP($D189,Construction!$B:$Q,(COLUMN(Construction_QuestReward_Stone)-COLUMN(Construction_Name_and_Level)+1),FALSE)</f>
        <v>2500</v>
      </c>
      <c r="AV189" s="101">
        <f>VLOOKUP($D189,Construction!$B:$Q,(COLUMN(Construction_QuestReward_Wood)-COLUMN(Construction_Name_and_Level)+1),FALSE)</f>
        <v>1900</v>
      </c>
      <c r="AW189" s="101">
        <f>VLOOKUP($D189,Construction!$B:$Q,(COLUMN(Construction_QuestReward_Ore)-COLUMN(Construction_Name_and_Level)+1),FALSE)</f>
        <v>1500</v>
      </c>
      <c r="AX189" s="101">
        <f>VLOOKUP($D189,Construction!$B:$Q,(COLUMN(Construction_QuestReward_Food)-COLUMN(Construction_Name_and_Level)+1),FALSE)</f>
        <v>1200</v>
      </c>
      <c r="AY189" s="100">
        <f>VLOOKUP($D189,Construction!$B:$Q,(COLUMN(Construction_QuestReward_Silver)-COLUMN(Construction_Name_and_Level)+1),FALSE)</f>
        <v>200</v>
      </c>
    </row>
    <row r="190" spans="2:108" ht="15" customHeight="1">
      <c r="B190" s="506" t="s">
        <v>144</v>
      </c>
      <c r="C190" s="127" t="s">
        <v>138</v>
      </c>
      <c r="D190" s="144" t="s">
        <v>1563</v>
      </c>
      <c r="E190" s="506">
        <v>11</v>
      </c>
      <c r="F190" s="12">
        <v>0.1</v>
      </c>
      <c r="G190" s="94">
        <f>VLOOKUP($D190,Construction!$B:$E,(COLUMN(Construction_BuildingReward_HeroXP)-COLUMN(Construction_Name_and_Level)+1),FALSE)</f>
        <v>200</v>
      </c>
      <c r="H190" s="94">
        <f t="shared" ref="H190:H193" si="15">G190*(1+F190)</f>
        <v>220.00000000000003</v>
      </c>
      <c r="J190" s="95">
        <f>VLOOKUP($D190,Construction!$B:$F,(COLUMN(Construction_BuildingReward_Power)-COLUMN(Construction_Name_and_Level)+1),FALSE)</f>
        <v>25</v>
      </c>
      <c r="Q190" s="139">
        <v>3.472222222222222E-3</v>
      </c>
      <c r="R190" s="139">
        <v>5.5555555555555558E-3</v>
      </c>
      <c r="AF190" s="141"/>
      <c r="AG190" s="141"/>
      <c r="AH190" s="137"/>
      <c r="AI190" s="484"/>
      <c r="AJ190" s="137">
        <f t="shared" si="11"/>
        <v>9.375E-2</v>
      </c>
      <c r="AK190" s="339">
        <v>0.25</v>
      </c>
      <c r="AL190" s="138">
        <f>VLOOKUP($D190,Construction!$B:$C,(COLUMN(Construction_Time)-COLUMN(Construction_Name_and_Level)+1),FALSE)</f>
        <v>6.4814814814814813E-3</v>
      </c>
      <c r="AM190" s="138">
        <f>AL190/(1+AK190)</f>
        <v>5.185185185185185E-3</v>
      </c>
      <c r="AN190" s="138">
        <f>(S$3*S190+T$3*T190+V$3*V190+W$3*W190+X$3*X190+Y$3*Y190+Z$3*Z190+AA$3*AA190+AB$3*AB190+AC$3*AC190)*(-1)</f>
        <v>0</v>
      </c>
      <c r="AO190" s="139">
        <f>IF((AM190-Q190-R190-AN190)&gt;=0,AM190-Q190-R190-AN190,0)</f>
        <v>0</v>
      </c>
      <c r="AU190" s="94">
        <f>VLOOKUP($D190,Construction!$B:$J,(COLUMN(Construction_BuildingCost_Stone)-COLUMN(Construction_Name_and_Level)+1),FALSE)*(-1)</f>
        <v>0</v>
      </c>
      <c r="AV190" s="94">
        <f>VLOOKUP($D190,Construction!$B:$J,(COLUMN(Construction_BuildingCost_Wood)-COLUMN(Construction_Name_and_Level)+1),FALSE)*(-1)</f>
        <v>-492</v>
      </c>
      <c r="AW190" s="94">
        <f>VLOOKUP($D190,Construction!$B:$J,(COLUMN(Construction_BuildingCost_Ore)-COLUMN(Construction_Name_and_Level)+1),FALSE)*(-1)</f>
        <v>-492</v>
      </c>
      <c r="AX190" s="94">
        <f>VLOOKUP($D190,Construction!$B:$J,(COLUMN(Construction_BuildingCost_Food)-COLUMN(Construction_Name_and_Level)+1),FALSE)*(-1)</f>
        <v>-492</v>
      </c>
    </row>
    <row r="191" spans="2:108" ht="15" customHeight="1">
      <c r="B191" s="506" t="s">
        <v>143</v>
      </c>
      <c r="C191" s="127" t="s">
        <v>142</v>
      </c>
      <c r="D191" s="144" t="s">
        <v>1563</v>
      </c>
      <c r="E191" s="506">
        <v>11</v>
      </c>
      <c r="F191" s="12">
        <v>0.1</v>
      </c>
      <c r="G191" s="101">
        <f>VLOOKUP($D191,Construction!$B:$L,(COLUMN(Construction_QuestReward_HeroXP)-COLUMN(Construction_Name_and_Level)+1),FALSE)</f>
        <v>2650</v>
      </c>
      <c r="H191" s="101">
        <f t="shared" si="15"/>
        <v>2915.0000000000005</v>
      </c>
      <c r="J191" s="100">
        <f>VLOOKUP($D191,Construction!$B:$L,(COLUMN(Construction_QuestReward_Power)-COLUMN(Construction_Name_and_Level)+1),FALSE)</f>
        <v>10</v>
      </c>
      <c r="AF191" s="141"/>
      <c r="AG191" s="141"/>
      <c r="AH191" s="137"/>
      <c r="AI191" s="484"/>
      <c r="AJ191" s="137">
        <f t="shared" si="11"/>
        <v>9.375E-2</v>
      </c>
      <c r="AU191" s="101">
        <f>VLOOKUP($D191,Construction!$B:$Q,(COLUMN(Construction_QuestReward_Stone)-COLUMN(Construction_Name_and_Level)+1),FALSE)</f>
        <v>6400</v>
      </c>
      <c r="AV191" s="101">
        <f>VLOOKUP($D191,Construction!$B:$Q,(COLUMN(Construction_QuestReward_Wood)-COLUMN(Construction_Name_and_Level)+1),FALSE)</f>
        <v>1200</v>
      </c>
      <c r="AW191" s="101">
        <f>VLOOKUP($D191,Construction!$B:$Q,(COLUMN(Construction_QuestReward_Ore)-COLUMN(Construction_Name_and_Level)+1),FALSE)</f>
        <v>1200</v>
      </c>
      <c r="AX191" s="101">
        <f>VLOOKUP($D191,Construction!$B:$Q,(COLUMN(Construction_QuestReward_Food)-COLUMN(Construction_Name_and_Level)+1),FALSE)</f>
        <v>1200</v>
      </c>
      <c r="AY191" s="100">
        <f>VLOOKUP($D191,Construction!$B:$Q,(COLUMN(Construction_QuestReward_Silver)-COLUMN(Construction_Name_and_Level)+1),FALSE)</f>
        <v>50</v>
      </c>
    </row>
    <row r="192" spans="2:108" ht="15" customHeight="1">
      <c r="B192" s="506" t="s">
        <v>144</v>
      </c>
      <c r="C192" s="127" t="s">
        <v>138</v>
      </c>
      <c r="D192" s="144" t="s">
        <v>1564</v>
      </c>
      <c r="E192" s="506">
        <v>11</v>
      </c>
      <c r="F192" s="12">
        <v>0.1</v>
      </c>
      <c r="G192" s="94">
        <f>VLOOKUP($D192,Construction!$B:$E,(COLUMN(Construction_BuildingReward_HeroXP)-COLUMN(Construction_Name_and_Level)+1),FALSE)</f>
        <v>200</v>
      </c>
      <c r="H192" s="94">
        <f t="shared" si="15"/>
        <v>220.00000000000003</v>
      </c>
      <c r="J192" s="95">
        <f>VLOOKUP($D192,Construction!$B:$F,(COLUMN(Construction_BuildingReward_Power)-COLUMN(Construction_Name_and_Level)+1),FALSE)</f>
        <v>100</v>
      </c>
      <c r="Q192" s="139">
        <v>3.472222222222222E-3</v>
      </c>
      <c r="R192" s="139">
        <v>5.5555555555555558E-3</v>
      </c>
      <c r="AF192" s="141"/>
      <c r="AG192" s="141"/>
      <c r="AH192" s="137"/>
      <c r="AI192" s="484"/>
      <c r="AJ192" s="137">
        <f t="shared" si="11"/>
        <v>9.375E-2</v>
      </c>
      <c r="AK192" s="339">
        <v>0.25</v>
      </c>
      <c r="AL192" s="138">
        <f>VLOOKUP($D192,Construction!$B:$C,(COLUMN(Construction_Time)-COLUMN(Construction_Name_and_Level)+1),FALSE)</f>
        <v>8.3333333333333332E-3</v>
      </c>
      <c r="AM192" s="138">
        <f>AL192/(1+AK192)</f>
        <v>6.6666666666666662E-3</v>
      </c>
      <c r="AN192" s="138">
        <f>(S$3*S192+T$3*T192+V$3*V192+W$3*W192+X$3*X192+Y$3*Y192+Z$3*Z192+AA$3*AA192+AB$3*AB192+AC$3*AC192)*(-1)</f>
        <v>0</v>
      </c>
      <c r="AO192" s="139">
        <f>IF((AM192-Q192-R192-AN192)&gt;=0,AM192-Q192-R192-AN192,0)</f>
        <v>0</v>
      </c>
      <c r="AU192" s="94">
        <f>VLOOKUP($D192,Construction!$B:$J,(COLUMN(Construction_BuildingCost_Stone)-COLUMN(Construction_Name_and_Level)+1),FALSE)*(-1)</f>
        <v>-2547</v>
      </c>
      <c r="AV192" s="94">
        <f>VLOOKUP($D192,Construction!$B:$J,(COLUMN(Construction_BuildingCost_Wood)-COLUMN(Construction_Name_and_Level)+1),FALSE)*(-1)</f>
        <v>-1966</v>
      </c>
      <c r="AW192" s="94">
        <f>VLOOKUP($D192,Construction!$B:$J,(COLUMN(Construction_BuildingCost_Ore)-COLUMN(Construction_Name_and_Level)+1),FALSE)*(-1)</f>
        <v>-1474</v>
      </c>
      <c r="AX192" s="94">
        <f>VLOOKUP($D192,Construction!$B:$J,(COLUMN(Construction_BuildingCost_Food)-COLUMN(Construction_Name_and_Level)+1),FALSE)*(-1)</f>
        <v>-1230</v>
      </c>
    </row>
    <row r="193" spans="2:91" ht="15" customHeight="1">
      <c r="B193" s="506" t="s">
        <v>143</v>
      </c>
      <c r="C193" s="127" t="s">
        <v>142</v>
      </c>
      <c r="D193" s="144" t="s">
        <v>1564</v>
      </c>
      <c r="E193" s="506">
        <v>11</v>
      </c>
      <c r="F193" s="12">
        <v>0.1</v>
      </c>
      <c r="G193" s="101">
        <f>VLOOKUP($D193,Construction!$B:$L,(COLUMN(Construction_QuestReward_HeroXP)-COLUMN(Construction_Name_and_Level)+1),FALSE)</f>
        <v>2650</v>
      </c>
      <c r="H193" s="101">
        <f t="shared" si="15"/>
        <v>2915.0000000000005</v>
      </c>
      <c r="J193" s="100">
        <f>VLOOKUP($D193,Construction!$B:$L,(COLUMN(Construction_QuestReward_Power)-COLUMN(Construction_Name_and_Level)+1),FALSE)</f>
        <v>42</v>
      </c>
      <c r="AF193" s="141"/>
      <c r="AG193" s="141"/>
      <c r="AH193" s="137"/>
      <c r="AI193" s="484"/>
      <c r="AJ193" s="137">
        <f t="shared" si="11"/>
        <v>9.375E-2</v>
      </c>
      <c r="AU193" s="101">
        <f>VLOOKUP($D193,Construction!$B:$Q,(COLUMN(Construction_QuestReward_Stone)-COLUMN(Construction_Name_and_Level)+1),FALSE)</f>
        <v>3200</v>
      </c>
      <c r="AV193" s="101">
        <f>VLOOKUP($D193,Construction!$B:$Q,(COLUMN(Construction_QuestReward_Wood)-COLUMN(Construction_Name_and_Level)+1),FALSE)</f>
        <v>2500</v>
      </c>
      <c r="AW193" s="101">
        <f>VLOOKUP($D193,Construction!$B:$Q,(COLUMN(Construction_QuestReward_Ore)-COLUMN(Construction_Name_and_Level)+1),FALSE)</f>
        <v>1900</v>
      </c>
      <c r="AX193" s="101">
        <f>VLOOKUP($D193,Construction!$B:$Q,(COLUMN(Construction_QuestReward_Food)-COLUMN(Construction_Name_and_Level)+1),FALSE)</f>
        <v>1600</v>
      </c>
      <c r="AY193" s="100">
        <f>VLOOKUP($D193,Construction!$B:$Q,(COLUMN(Construction_QuestReward_Silver)-COLUMN(Construction_Name_and_Level)+1),FALSE)</f>
        <v>250</v>
      </c>
    </row>
    <row r="194" spans="2:91" ht="15" customHeight="1">
      <c r="B194" s="506" t="s">
        <v>144</v>
      </c>
      <c r="C194" s="127" t="s">
        <v>138</v>
      </c>
      <c r="D194" s="144" t="s">
        <v>1565</v>
      </c>
      <c r="E194" s="506">
        <v>11</v>
      </c>
      <c r="F194" s="12">
        <v>0.1</v>
      </c>
      <c r="G194" s="94">
        <f>VLOOKUP($D194,Construction!$B:$E,(COLUMN(Construction_BuildingReward_HeroXP)-COLUMN(Construction_Name_and_Level)+1),FALSE)</f>
        <v>200</v>
      </c>
      <c r="H194" s="94">
        <f t="shared" ref="H194:H205" si="16">G194*(1+F194)</f>
        <v>220.00000000000003</v>
      </c>
      <c r="J194" s="95">
        <f>VLOOKUP($D194,Construction!$B:$F,(COLUMN(Construction_BuildingReward_Power)-COLUMN(Construction_Name_and_Level)+1),FALSE)</f>
        <v>175</v>
      </c>
      <c r="Q194" s="139">
        <v>3.472222222222222E-3</v>
      </c>
      <c r="R194" s="139">
        <v>5.5555555555555558E-3</v>
      </c>
      <c r="AF194" s="141"/>
      <c r="AG194" s="141"/>
      <c r="AH194" s="137"/>
      <c r="AI194" s="484"/>
      <c r="AJ194" s="137">
        <f t="shared" si="11"/>
        <v>9.375E-2</v>
      </c>
      <c r="AK194" s="339">
        <v>0.25</v>
      </c>
      <c r="AL194" s="138">
        <f>VLOOKUP($D194,Construction!$B:$C,(COLUMN(Construction_Time)-COLUMN(Construction_Name_and_Level)+1),FALSE)</f>
        <v>9.2592592592592605E-3</v>
      </c>
      <c r="AM194" s="138">
        <f>AL194/(1+AK194)</f>
        <v>7.4074074074074086E-3</v>
      </c>
      <c r="AN194" s="138">
        <f>(S$3*S194+T$3*T194+V$3*V194+W$3*W194+X$3*X194+Y$3*Y194+Z$3*Z194+AA$3*AA194+AB$3*AB194+AC$3*AC194)*(-1)</f>
        <v>0</v>
      </c>
      <c r="AO194" s="139">
        <f>IF((AM194-Q194-R194-AN194)&gt;=0,AM194-Q194-R194-AN194,0)</f>
        <v>0</v>
      </c>
      <c r="AP194" s="261">
        <v>0.04</v>
      </c>
      <c r="AU194" s="94">
        <f>VLOOKUP($D194,Construction!$B:$J,(COLUMN(Construction_BuildingCost_Stone)-COLUMN(Construction_Name_and_Level)+1),FALSE)*(-1)</f>
        <v>-2916</v>
      </c>
      <c r="AV194" s="94">
        <f>VLOOKUP($D194,Construction!$B:$J,(COLUMN(Construction_BuildingCost_Wood)-COLUMN(Construction_Name_and_Level)+1),FALSE)*(-1)</f>
        <v>-2916</v>
      </c>
      <c r="AW194" s="94">
        <f>VLOOKUP($D194,Construction!$B:$J,(COLUMN(Construction_BuildingCost_Ore)-COLUMN(Construction_Name_and_Level)+1),FALSE)*(-1)</f>
        <v>-1167</v>
      </c>
      <c r="AX194" s="94">
        <f>VLOOKUP($D194,Construction!$B:$J,(COLUMN(Construction_BuildingCost_Food)-COLUMN(Construction_Name_and_Level)+1),FALSE)*(-1)</f>
        <v>-1750</v>
      </c>
    </row>
    <row r="195" spans="2:91" ht="15" customHeight="1">
      <c r="B195" s="506" t="s">
        <v>143</v>
      </c>
      <c r="C195" s="127" t="s">
        <v>142</v>
      </c>
      <c r="D195" s="144" t="s">
        <v>1565</v>
      </c>
      <c r="E195" s="506">
        <v>11</v>
      </c>
      <c r="F195" s="12">
        <v>0.1</v>
      </c>
      <c r="G195" s="101">
        <f>VLOOKUP($D195,Construction!$B:$L,(COLUMN(Construction_QuestReward_HeroXP)-COLUMN(Construction_Name_and_Level)+1),FALSE)</f>
        <v>2650</v>
      </c>
      <c r="H195" s="101">
        <f t="shared" si="16"/>
        <v>2915.0000000000005</v>
      </c>
      <c r="J195" s="100">
        <f>VLOOKUP($D195,Construction!$B:$L,(COLUMN(Construction_QuestReward_Power)-COLUMN(Construction_Name_and_Level)+1),FALSE)</f>
        <v>75</v>
      </c>
      <c r="AF195" s="141"/>
      <c r="AG195" s="141"/>
      <c r="AH195" s="137"/>
      <c r="AI195" s="484"/>
      <c r="AJ195" s="137">
        <f t="shared" si="11"/>
        <v>9.375E-2</v>
      </c>
      <c r="AU195" s="101">
        <f>VLOOKUP($D195,Construction!$B:$Q,(COLUMN(Construction_QuestReward_Stone)-COLUMN(Construction_Name_and_Level)+1),FALSE)</f>
        <v>3700</v>
      </c>
      <c r="AV195" s="101">
        <f>VLOOKUP($D195,Construction!$B:$Q,(COLUMN(Construction_QuestReward_Wood)-COLUMN(Construction_Name_and_Level)+1),FALSE)</f>
        <v>3700</v>
      </c>
      <c r="AW195" s="101">
        <f>VLOOKUP($D195,Construction!$B:$Q,(COLUMN(Construction_QuestReward_Ore)-COLUMN(Construction_Name_and_Level)+1),FALSE)</f>
        <v>1500</v>
      </c>
      <c r="AX195" s="101">
        <f>VLOOKUP($D195,Construction!$B:$Q,(COLUMN(Construction_QuestReward_Food)-COLUMN(Construction_Name_and_Level)+1),FALSE)</f>
        <v>2200</v>
      </c>
      <c r="AY195" s="100">
        <f>VLOOKUP($D195,Construction!$B:$Q,(COLUMN(Construction_QuestReward_Silver)-COLUMN(Construction_Name_and_Level)+1),FALSE)</f>
        <v>450</v>
      </c>
    </row>
    <row r="196" spans="2:91" ht="15" customHeight="1">
      <c r="B196" s="506" t="s">
        <v>195</v>
      </c>
      <c r="C196" s="127" t="s">
        <v>468</v>
      </c>
      <c r="D196" s="144">
        <v>1.1388888888888888E-2</v>
      </c>
      <c r="E196" s="506">
        <v>11</v>
      </c>
      <c r="F196" s="12">
        <v>0.1</v>
      </c>
      <c r="G196" s="211">
        <v>1600</v>
      </c>
      <c r="H196" s="211">
        <f t="shared" si="16"/>
        <v>1760.0000000000002</v>
      </c>
      <c r="AF196" s="141"/>
      <c r="AG196" s="141"/>
      <c r="AH196" s="137"/>
      <c r="AI196" s="484"/>
      <c r="AJ196" s="137">
        <f t="shared" si="11"/>
        <v>9.375E-2</v>
      </c>
      <c r="AU196" s="213">
        <v>0</v>
      </c>
      <c r="AV196" s="213">
        <v>0</v>
      </c>
      <c r="AW196" s="213">
        <v>1200</v>
      </c>
      <c r="AX196" s="213">
        <v>1200</v>
      </c>
      <c r="AY196" s="160">
        <v>240</v>
      </c>
      <c r="CL196" s="211">
        <v>2000</v>
      </c>
      <c r="CM196" s="160">
        <f>CL196</f>
        <v>2000</v>
      </c>
    </row>
    <row r="197" spans="2:91" ht="15" customHeight="1">
      <c r="B197" s="506" t="s">
        <v>144</v>
      </c>
      <c r="C197" s="127" t="s">
        <v>149</v>
      </c>
      <c r="D197" s="144" t="s">
        <v>1566</v>
      </c>
      <c r="E197" s="506">
        <v>11</v>
      </c>
      <c r="F197" s="12">
        <v>0.1</v>
      </c>
      <c r="G197" s="94">
        <f>VLOOKUP($D197,Construction!$B:$E,(COLUMN(Construction_BuildingReward_HeroXP)-COLUMN(Construction_Name_and_Level)+1),FALSE)</f>
        <v>50</v>
      </c>
      <c r="H197" s="94">
        <f t="shared" si="16"/>
        <v>55.000000000000007</v>
      </c>
      <c r="J197" s="95">
        <f>VLOOKUP($D197,Construction!$B:$F,(COLUMN(Construction_BuildingReward_Power)-COLUMN(Construction_Name_and_Level)+1),FALSE)</f>
        <v>15</v>
      </c>
      <c r="Q197" s="139">
        <v>3.472222222222222E-3</v>
      </c>
      <c r="R197" s="139">
        <v>5.5555555555555558E-3</v>
      </c>
      <c r="AF197" s="141"/>
      <c r="AG197" s="141"/>
      <c r="AH197" s="137"/>
      <c r="AI197" s="484"/>
      <c r="AJ197" s="137">
        <f t="shared" si="11"/>
        <v>9.375E-2</v>
      </c>
      <c r="AK197" s="339">
        <v>0.25</v>
      </c>
      <c r="AL197" s="138">
        <f>VLOOKUP($D197,Construction!$B:$C,(COLUMN(Construction_Time)-COLUMN(Construction_Name_and_Level)+1),FALSE)</f>
        <v>2.7777777777777779E-3</v>
      </c>
      <c r="AM197" s="138">
        <f>AL197/(1+AK197)</f>
        <v>2.2222222222222222E-3</v>
      </c>
      <c r="AN197" s="138">
        <f>(S$3*S197+T$3*T197+V$3*V197+W$3*W197+X$3*X197+Y$3*Y197+Z$3*Z197+AA$3*AA197+AB$3*AB197+AC$3*AC197)*(-1)</f>
        <v>0</v>
      </c>
      <c r="AO197" s="139">
        <f>IF((AM197-Q197-R197-AN197)&gt;=0,AM197-Q197-R197-AN197,0)</f>
        <v>0</v>
      </c>
      <c r="AU197" s="94">
        <f>VLOOKUP($D197,Construction!$B:$J,(COLUMN(Construction_BuildingCost_Stone)-COLUMN(Construction_Name_and_Level)+1),FALSE)*(-1)</f>
        <v>-289</v>
      </c>
      <c r="AV197" s="94">
        <f>VLOOKUP($D197,Construction!$B:$J,(COLUMN(Construction_BuildingCost_Wood)-COLUMN(Construction_Name_and_Level)+1),FALSE)*(-1)</f>
        <v>0</v>
      </c>
      <c r="AW197" s="94">
        <f>VLOOKUP($D197,Construction!$B:$J,(COLUMN(Construction_BuildingCost_Ore)-COLUMN(Construction_Name_and_Level)+1),FALSE)*(-1)</f>
        <v>-289</v>
      </c>
      <c r="AX197" s="94">
        <f>VLOOKUP($D197,Construction!$B:$J,(COLUMN(Construction_BuildingCost_Food)-COLUMN(Construction_Name_and_Level)+1),FALSE)*(-1)</f>
        <v>-289</v>
      </c>
    </row>
    <row r="198" spans="2:91" ht="15" customHeight="1">
      <c r="B198" s="506" t="s">
        <v>143</v>
      </c>
      <c r="C198" s="127" t="s">
        <v>139</v>
      </c>
      <c r="D198" s="144" t="s">
        <v>1566</v>
      </c>
      <c r="E198" s="506">
        <v>11</v>
      </c>
      <c r="F198" s="12">
        <v>0.1</v>
      </c>
      <c r="G198" s="101">
        <f>VLOOKUP($D198,Construction!$B:$L,(COLUMN(Construction_QuestReward_HeroXP)-COLUMN(Construction_Name_and_Level)+1),FALSE)</f>
        <v>2600</v>
      </c>
      <c r="H198" s="101">
        <f t="shared" si="16"/>
        <v>2860.0000000000005</v>
      </c>
      <c r="J198" s="100">
        <f>VLOOKUP($D198,Construction!$B:$L,(COLUMN(Construction_QuestReward_Power)-COLUMN(Construction_Name_and_Level)+1),FALSE)</f>
        <v>5</v>
      </c>
      <c r="AF198" s="141"/>
      <c r="AG198" s="141"/>
      <c r="AH198" s="137"/>
      <c r="AI198" s="484"/>
      <c r="AJ198" s="137">
        <f t="shared" si="11"/>
        <v>9.375E-2</v>
      </c>
      <c r="AU198" s="101">
        <f>VLOOKUP($D198,Construction!$B:$Q,(COLUMN(Construction_QuestReward_Stone)-COLUMN(Construction_Name_and_Level)+1),FALSE)</f>
        <v>0</v>
      </c>
      <c r="AV198" s="101">
        <f>VLOOKUP($D198,Construction!$B:$Q,(COLUMN(Construction_QuestReward_Wood)-COLUMN(Construction_Name_and_Level)+1),FALSE)</f>
        <v>6300</v>
      </c>
      <c r="AW198" s="101">
        <f>VLOOKUP($D198,Construction!$B:$Q,(COLUMN(Construction_QuestReward_Ore)-COLUMN(Construction_Name_and_Level)+1),FALSE)</f>
        <v>0</v>
      </c>
      <c r="AX198" s="101">
        <f>VLOOKUP($D198,Construction!$B:$Q,(COLUMN(Construction_QuestReward_Food)-COLUMN(Construction_Name_and_Level)+1),FALSE)</f>
        <v>0</v>
      </c>
      <c r="AY198" s="100">
        <f>VLOOKUP($D198,Construction!$B:$Q,(COLUMN(Construction_QuestReward_Silver)-COLUMN(Construction_Name_and_Level)+1),FALSE)</f>
        <v>0</v>
      </c>
    </row>
    <row r="199" spans="2:91" ht="15" customHeight="1">
      <c r="B199" s="506" t="s">
        <v>144</v>
      </c>
      <c r="C199" s="127" t="s">
        <v>149</v>
      </c>
      <c r="D199" s="144" t="s">
        <v>1508</v>
      </c>
      <c r="E199" s="506">
        <v>11</v>
      </c>
      <c r="F199" s="12">
        <v>0.1</v>
      </c>
      <c r="G199" s="94">
        <f>VLOOKUP($D199,Construction!$B:$E,(COLUMN(Construction_BuildingReward_HeroXP)-COLUMN(Construction_Name_and_Level)+1),FALSE)</f>
        <v>10</v>
      </c>
      <c r="H199" s="94">
        <f t="shared" si="16"/>
        <v>11</v>
      </c>
      <c r="J199" s="95">
        <f>VLOOKUP($D199,Construction!$B:$F,(COLUMN(Construction_BuildingReward_Power)-COLUMN(Construction_Name_and_Level)+1),FALSE)</f>
        <v>5</v>
      </c>
      <c r="Q199" s="139">
        <v>3.472222222222222E-3</v>
      </c>
      <c r="R199" s="139">
        <v>5.5555555555555558E-3</v>
      </c>
      <c r="AF199" s="141"/>
      <c r="AG199" s="141"/>
      <c r="AH199" s="137"/>
      <c r="AI199" s="484"/>
      <c r="AJ199" s="137">
        <f t="shared" si="11"/>
        <v>9.375E-2</v>
      </c>
      <c r="AK199" s="339">
        <v>0.25</v>
      </c>
      <c r="AL199" s="138">
        <f>VLOOKUP($D199,Construction!$B:$C,(COLUMN(Construction_Time)-COLUMN(Construction_Name_and_Level)+1),FALSE)</f>
        <v>6.9444444444444447E-4</v>
      </c>
      <c r="AM199" s="138">
        <f>AL199/(1+AK199)</f>
        <v>5.5555555555555556E-4</v>
      </c>
      <c r="AN199" s="138">
        <f>(S$3*S199+T$3*T199+V$3*V199+W$3*W199+X$3*X199+Y$3*Y199+Z$3*Z199+AA$3*AA199+AB$3*AB199+AC$3*AC199)*(-1)</f>
        <v>0</v>
      </c>
      <c r="AO199" s="139">
        <f>IF((AM199-Q199-R199-AN199)&gt;=0,AM199-Q199-R199-AN199,0)</f>
        <v>0</v>
      </c>
      <c r="AU199" s="94">
        <f>VLOOKUP($D199,Construction!$B:$J,(COLUMN(Construction_BuildingCost_Stone)-COLUMN(Construction_Name_and_Level)+1),FALSE)*(-1)</f>
        <v>0</v>
      </c>
      <c r="AV199" s="94">
        <f>VLOOKUP($D199,Construction!$B:$J,(COLUMN(Construction_BuildingCost_Wood)-COLUMN(Construction_Name_and_Level)+1),FALSE)*(-1)</f>
        <v>-100</v>
      </c>
      <c r="AW199" s="94">
        <f>VLOOKUP($D199,Construction!$B:$J,(COLUMN(Construction_BuildingCost_Ore)-COLUMN(Construction_Name_and_Level)+1),FALSE)*(-1)</f>
        <v>-100</v>
      </c>
      <c r="AX199" s="94">
        <f>VLOOKUP($D199,Construction!$B:$J,(COLUMN(Construction_BuildingCost_Food)-COLUMN(Construction_Name_and_Level)+1),FALSE)*(-1)</f>
        <v>-100</v>
      </c>
    </row>
    <row r="200" spans="2:91" ht="15" customHeight="1">
      <c r="B200" s="506" t="s">
        <v>144</v>
      </c>
      <c r="C200" s="127" t="s">
        <v>149</v>
      </c>
      <c r="D200" s="144" t="s">
        <v>1508</v>
      </c>
      <c r="E200" s="506">
        <v>11</v>
      </c>
      <c r="F200" s="12">
        <v>0.1</v>
      </c>
      <c r="G200" s="94">
        <f>VLOOKUP($D200,Construction!$B:$E,(COLUMN(Construction_BuildingReward_HeroXP)-COLUMN(Construction_Name_and_Level)+1),FALSE)</f>
        <v>10</v>
      </c>
      <c r="H200" s="94">
        <f t="shared" si="16"/>
        <v>11</v>
      </c>
      <c r="J200" s="95">
        <f>VLOOKUP($D200,Construction!$B:$F,(COLUMN(Construction_BuildingReward_Power)-COLUMN(Construction_Name_and_Level)+1),FALSE)</f>
        <v>5</v>
      </c>
      <c r="Q200" s="139">
        <v>3.472222222222222E-3</v>
      </c>
      <c r="R200" s="139">
        <v>5.5555555555555558E-3</v>
      </c>
      <c r="AF200" s="141"/>
      <c r="AG200" s="141"/>
      <c r="AH200" s="137"/>
      <c r="AI200" s="484"/>
      <c r="AJ200" s="137">
        <f t="shared" si="11"/>
        <v>9.375E-2</v>
      </c>
      <c r="AK200" s="339">
        <v>0.25</v>
      </c>
      <c r="AL200" s="138">
        <f>VLOOKUP($D200,Construction!$B:$C,(COLUMN(Construction_Time)-COLUMN(Construction_Name_and_Level)+1),FALSE)</f>
        <v>6.9444444444444447E-4</v>
      </c>
      <c r="AM200" s="138">
        <f>AL200/(1+AK200)</f>
        <v>5.5555555555555556E-4</v>
      </c>
      <c r="AN200" s="138">
        <f>(S$3*S200+T$3*T200+V$3*V200+W$3*W200+X$3*X200+Y$3*Y200+Z$3*Z200+AA$3*AA200+AB$3*AB200+AC$3*AC200)*(-1)</f>
        <v>0</v>
      </c>
      <c r="AO200" s="139">
        <f>IF((AM200-Q200-R200-AN200)&gt;=0,AM200-Q200-R200-AN200,0)</f>
        <v>0</v>
      </c>
      <c r="AU200" s="94">
        <f>VLOOKUP($D200,Construction!$B:$J,(COLUMN(Construction_BuildingCost_Stone)-COLUMN(Construction_Name_and_Level)+1),FALSE)*(-1)</f>
        <v>0</v>
      </c>
      <c r="AV200" s="94">
        <f>VLOOKUP($D200,Construction!$B:$J,(COLUMN(Construction_BuildingCost_Wood)-COLUMN(Construction_Name_and_Level)+1),FALSE)*(-1)</f>
        <v>-100</v>
      </c>
      <c r="AW200" s="94">
        <f>VLOOKUP($D200,Construction!$B:$J,(COLUMN(Construction_BuildingCost_Ore)-COLUMN(Construction_Name_and_Level)+1),FALSE)*(-1)</f>
        <v>-100</v>
      </c>
      <c r="AX200" s="94">
        <f>VLOOKUP($D200,Construction!$B:$J,(COLUMN(Construction_BuildingCost_Food)-COLUMN(Construction_Name_and_Level)+1),FALSE)*(-1)</f>
        <v>-100</v>
      </c>
    </row>
    <row r="201" spans="2:91" ht="15" customHeight="1">
      <c r="B201" s="506" t="s">
        <v>144</v>
      </c>
      <c r="C201" s="127" t="s">
        <v>149</v>
      </c>
      <c r="D201" s="144" t="s">
        <v>1508</v>
      </c>
      <c r="E201" s="506">
        <v>11</v>
      </c>
      <c r="F201" s="12">
        <v>0.1</v>
      </c>
      <c r="G201" s="94">
        <f>VLOOKUP($D201,Construction!$B:$E,(COLUMN(Construction_BuildingReward_HeroXP)-COLUMN(Construction_Name_and_Level)+1),FALSE)</f>
        <v>10</v>
      </c>
      <c r="H201" s="94">
        <f t="shared" si="16"/>
        <v>11</v>
      </c>
      <c r="J201" s="95">
        <f>VLOOKUP($D201,Construction!$B:$F,(COLUMN(Construction_BuildingReward_Power)-COLUMN(Construction_Name_and_Level)+1),FALSE)</f>
        <v>5</v>
      </c>
      <c r="Q201" s="139">
        <v>3.472222222222222E-3</v>
      </c>
      <c r="R201" s="139">
        <v>5.5555555555555558E-3</v>
      </c>
      <c r="AF201" s="141"/>
      <c r="AG201" s="141"/>
      <c r="AH201" s="137"/>
      <c r="AI201" s="484"/>
      <c r="AJ201" s="137">
        <f t="shared" si="11"/>
        <v>9.375E-2</v>
      </c>
      <c r="AK201" s="339">
        <v>0.25</v>
      </c>
      <c r="AL201" s="138">
        <f>VLOOKUP($D201,Construction!$B:$C,(COLUMN(Construction_Time)-COLUMN(Construction_Name_and_Level)+1),FALSE)</f>
        <v>6.9444444444444447E-4</v>
      </c>
      <c r="AM201" s="138">
        <f>AL201/(1+AK201)</f>
        <v>5.5555555555555556E-4</v>
      </c>
      <c r="AN201" s="138">
        <f>(S$3*S201+T$3*T201+V$3*V201+W$3*W201+X$3*X201+Y$3*Y201+Z$3*Z201+AA$3*AA201+AB$3*AB201+AC$3*AC201)*(-1)</f>
        <v>0</v>
      </c>
      <c r="AO201" s="139">
        <f>IF((AM201-Q201-R201-AN201)&gt;=0,AM201-Q201-R201-AN201,0)</f>
        <v>0</v>
      </c>
      <c r="AU201" s="94">
        <f>VLOOKUP($D201,Construction!$B:$J,(COLUMN(Construction_BuildingCost_Stone)-COLUMN(Construction_Name_and_Level)+1),FALSE)*(-1)</f>
        <v>0</v>
      </c>
      <c r="AV201" s="94">
        <f>VLOOKUP($D201,Construction!$B:$J,(COLUMN(Construction_BuildingCost_Wood)-COLUMN(Construction_Name_and_Level)+1),FALSE)*(-1)</f>
        <v>-100</v>
      </c>
      <c r="AW201" s="94">
        <f>VLOOKUP($D201,Construction!$B:$J,(COLUMN(Construction_BuildingCost_Ore)-COLUMN(Construction_Name_and_Level)+1),FALSE)*(-1)</f>
        <v>-100</v>
      </c>
      <c r="AX201" s="94">
        <f>VLOOKUP($D201,Construction!$B:$J,(COLUMN(Construction_BuildingCost_Food)-COLUMN(Construction_Name_and_Level)+1),FALSE)*(-1)</f>
        <v>-100</v>
      </c>
    </row>
    <row r="202" spans="2:91" ht="15" customHeight="1">
      <c r="B202" s="506" t="s">
        <v>143</v>
      </c>
      <c r="C202" s="127" t="s">
        <v>139</v>
      </c>
      <c r="D202" s="144" t="s">
        <v>1567</v>
      </c>
      <c r="E202" s="506">
        <v>11</v>
      </c>
      <c r="F202" s="12">
        <v>0.1</v>
      </c>
      <c r="G202" s="101">
        <v>10150</v>
      </c>
      <c r="H202" s="101">
        <f t="shared" si="16"/>
        <v>11165</v>
      </c>
      <c r="J202" s="100">
        <v>500</v>
      </c>
      <c r="AF202" s="141"/>
      <c r="AG202" s="141"/>
      <c r="AH202" s="137"/>
      <c r="AI202" s="484"/>
      <c r="AJ202" s="137">
        <f t="shared" si="11"/>
        <v>9.375E-2</v>
      </c>
      <c r="AU202" s="101">
        <v>12000</v>
      </c>
    </row>
    <row r="203" spans="2:91" ht="15" customHeight="1">
      <c r="B203" s="506" t="s">
        <v>143</v>
      </c>
      <c r="C203" s="127" t="s">
        <v>182</v>
      </c>
      <c r="D203" s="144" t="s">
        <v>1568</v>
      </c>
      <c r="E203" s="506">
        <v>11</v>
      </c>
      <c r="F203" s="12">
        <v>0.1</v>
      </c>
      <c r="G203" s="101">
        <v>0</v>
      </c>
      <c r="H203" s="101">
        <f t="shared" si="16"/>
        <v>0</v>
      </c>
      <c r="J203" s="100">
        <v>25</v>
      </c>
      <c r="AF203" s="141"/>
      <c r="AG203" s="141"/>
      <c r="AH203" s="137"/>
      <c r="AI203" s="484"/>
      <c r="AJ203" s="137">
        <f t="shared" si="11"/>
        <v>9.375E-2</v>
      </c>
      <c r="AU203" s="101">
        <v>12600</v>
      </c>
    </row>
    <row r="204" spans="2:91" ht="15" customHeight="1">
      <c r="B204" s="506" t="s">
        <v>144</v>
      </c>
      <c r="C204" s="127" t="s">
        <v>138</v>
      </c>
      <c r="D204" s="144" t="s">
        <v>1569</v>
      </c>
      <c r="E204" s="506">
        <v>11</v>
      </c>
      <c r="F204" s="12">
        <v>0.1</v>
      </c>
      <c r="G204" s="94">
        <f>VLOOKUP($D204,Construction!$B:$E,(COLUMN(Construction_BuildingReward_HeroXP)-COLUMN(Construction_Name_and_Level)+1),FALSE)</f>
        <v>200</v>
      </c>
      <c r="H204" s="94">
        <f t="shared" si="16"/>
        <v>220.00000000000003</v>
      </c>
      <c r="J204" s="95">
        <f>VLOOKUP($D204,Construction!$B:$F,(COLUMN(Construction_BuildingReward_Power)-COLUMN(Construction_Name_and_Level)+1),FALSE)</f>
        <v>25</v>
      </c>
      <c r="Q204" s="139">
        <v>3.472222222222222E-3</v>
      </c>
      <c r="R204" s="139">
        <v>5.5555555555555558E-3</v>
      </c>
      <c r="AF204" s="141"/>
      <c r="AG204" s="141"/>
      <c r="AH204" s="137"/>
      <c r="AI204" s="484"/>
      <c r="AJ204" s="137">
        <f t="shared" si="11"/>
        <v>9.375E-2</v>
      </c>
      <c r="AK204" s="339">
        <v>0.25</v>
      </c>
      <c r="AL204" s="138">
        <f>VLOOKUP($D204,Construction!$B:$C,(COLUMN(Construction_Time)-COLUMN(Construction_Name_and_Level)+1),FALSE)</f>
        <v>4.6296296296296302E-3</v>
      </c>
      <c r="AM204" s="138">
        <f>AL204/(1+AK204)</f>
        <v>3.7037037037037043E-3</v>
      </c>
      <c r="AN204" s="138">
        <f>(S$3*S204+T$3*T204+V$3*V204+W$3*W204+X$3*X204+Y$3*Y204+Z$3*Z204+AA$3*AA204+AB$3*AB204+AC$3*AC204)*(-1)</f>
        <v>0</v>
      </c>
      <c r="AO204" s="139">
        <f>IF((AM204-Q204-R204-AN204)&gt;=0,AM204-Q204-R204-AN204,0)</f>
        <v>0</v>
      </c>
      <c r="AU204" s="94">
        <f>VLOOKUP($D204,Construction!$B:$J,(COLUMN(Construction_BuildingCost_Stone)-COLUMN(Construction_Name_and_Level)+1),FALSE)*(-1)</f>
        <v>-492</v>
      </c>
      <c r="AV204" s="94">
        <f>VLOOKUP($D204,Construction!$B:$J,(COLUMN(Construction_BuildingCost_Wood)-COLUMN(Construction_Name_and_Level)+1),FALSE)*(-1)</f>
        <v>-492</v>
      </c>
      <c r="AW204" s="94">
        <f>VLOOKUP($D204,Construction!$B:$J,(COLUMN(Construction_BuildingCost_Ore)-COLUMN(Construction_Name_and_Level)+1),FALSE)*(-1)</f>
        <v>-492</v>
      </c>
      <c r="AX204" s="94">
        <f>VLOOKUP($D204,Construction!$B:$J,(COLUMN(Construction_BuildingCost_Food)-COLUMN(Construction_Name_and_Level)+1),FALSE)*(-1)</f>
        <v>0</v>
      </c>
    </row>
    <row r="205" spans="2:91" ht="15" customHeight="1">
      <c r="B205" s="506" t="s">
        <v>143</v>
      </c>
      <c r="C205" s="127" t="s">
        <v>142</v>
      </c>
      <c r="D205" s="144" t="s">
        <v>1569</v>
      </c>
      <c r="E205" s="506">
        <v>11</v>
      </c>
      <c r="F205" s="12">
        <v>0.1</v>
      </c>
      <c r="G205" s="101">
        <f>VLOOKUP($D205,Construction!$B:$L,(COLUMN(Construction_QuestReward_HeroXP)-COLUMN(Construction_Name_and_Level)+1),FALSE)</f>
        <v>2650</v>
      </c>
      <c r="H205" s="101">
        <f t="shared" si="16"/>
        <v>2915.0000000000005</v>
      </c>
      <c r="J205" s="100">
        <f>VLOOKUP($D205,Construction!$B:$L,(COLUMN(Construction_QuestReward_Power)-COLUMN(Construction_Name_and_Level)+1),FALSE)</f>
        <v>10</v>
      </c>
      <c r="AF205" s="141"/>
      <c r="AG205" s="141"/>
      <c r="AH205" s="137"/>
      <c r="AI205" s="484"/>
      <c r="AJ205" s="137">
        <f t="shared" si="11"/>
        <v>9.375E-2</v>
      </c>
      <c r="AU205" s="101">
        <f>VLOOKUP($D205,Construction!$B:$Q,(COLUMN(Construction_QuestReward_Stone)-COLUMN(Construction_Name_and_Level)+1),FALSE)</f>
        <v>1200</v>
      </c>
      <c r="AV205" s="101">
        <f>VLOOKUP($D205,Construction!$B:$Q,(COLUMN(Construction_QuestReward_Wood)-COLUMN(Construction_Name_and_Level)+1),FALSE)</f>
        <v>1200</v>
      </c>
      <c r="AW205" s="101">
        <f>VLOOKUP($D205,Construction!$B:$Q,(COLUMN(Construction_QuestReward_Ore)-COLUMN(Construction_Name_and_Level)+1),FALSE)</f>
        <v>1200</v>
      </c>
      <c r="AX205" s="101">
        <f>VLOOKUP($D205,Construction!$B:$Q,(COLUMN(Construction_QuestReward_Food)-COLUMN(Construction_Name_and_Level)+1),FALSE)</f>
        <v>6400</v>
      </c>
      <c r="AY205" s="100">
        <f>VLOOKUP($D205,Construction!$B:$Q,(COLUMN(Construction_QuestReward_Silver)-COLUMN(Construction_Name_and_Level)+1),FALSE)</f>
        <v>50</v>
      </c>
    </row>
    <row r="206" spans="2:91" ht="15" customHeight="1">
      <c r="B206" s="506" t="s">
        <v>144</v>
      </c>
      <c r="C206" s="127" t="s">
        <v>138</v>
      </c>
      <c r="D206" s="144" t="s">
        <v>1570</v>
      </c>
      <c r="E206" s="506">
        <v>11</v>
      </c>
      <c r="F206" s="12">
        <v>0.1</v>
      </c>
      <c r="G206" s="94">
        <f>VLOOKUP($D206,Construction!$B:$E,(COLUMN(Construction_BuildingReward_HeroXP)-COLUMN(Construction_Name_and_Level)+1),FALSE)</f>
        <v>400</v>
      </c>
      <c r="H206" s="94">
        <f t="shared" ref="H206:H209" si="17">G206*(1+F206)</f>
        <v>440.00000000000006</v>
      </c>
      <c r="J206" s="95">
        <f>VLOOKUP($D206,Construction!$B:$F,(COLUMN(Construction_BuildingReward_Power)-COLUMN(Construction_Name_and_Level)+1),FALSE)</f>
        <v>35</v>
      </c>
      <c r="Q206" s="139">
        <v>3.472222222222222E-3</v>
      </c>
      <c r="R206" s="139">
        <v>5.5555555555555558E-3</v>
      </c>
      <c r="AF206" s="141"/>
      <c r="AG206" s="141"/>
      <c r="AH206" s="137"/>
      <c r="AI206" s="484"/>
      <c r="AJ206" s="137">
        <f t="shared" si="11"/>
        <v>9.375E-2</v>
      </c>
      <c r="AK206" s="339">
        <v>0.25</v>
      </c>
      <c r="AL206" s="138">
        <f>VLOOKUP($D206,Construction!$B:$C,(COLUMN(Construction_Time)-COLUMN(Construction_Name_and_Level)+1),FALSE)</f>
        <v>9.2592592592592605E-3</v>
      </c>
      <c r="AM206" s="138">
        <f>AL206/(1+AK206)</f>
        <v>7.4074074074074086E-3</v>
      </c>
      <c r="AN206" s="138">
        <f>(S$3*S206+T$3*T206+V$3*V206+W$3*W206+X$3*X206+Y$3*Y206+Z$3*Z206+AA$3*AA206+AB$3*AB206+AC$3*AC206)*(-1)</f>
        <v>0</v>
      </c>
      <c r="AO206" s="139">
        <f>IF((AM206-Q206-R206-AN206)&gt;=0,AM206-Q206-R206-AN206,0)</f>
        <v>0</v>
      </c>
      <c r="AU206" s="94">
        <f>VLOOKUP($D206,Construction!$B:$J,(COLUMN(Construction_BuildingCost_Stone)-COLUMN(Construction_Name_and_Level)+1),FALSE)*(-1)</f>
        <v>-837</v>
      </c>
      <c r="AV206" s="94">
        <f>VLOOKUP($D206,Construction!$B:$J,(COLUMN(Construction_BuildingCost_Wood)-COLUMN(Construction_Name_and_Level)+1),FALSE)*(-1)</f>
        <v>-837</v>
      </c>
      <c r="AW206" s="94">
        <f>VLOOKUP($D206,Construction!$B:$J,(COLUMN(Construction_BuildingCost_Ore)-COLUMN(Construction_Name_and_Level)+1),FALSE)*(-1)</f>
        <v>-837</v>
      </c>
      <c r="AX206" s="94">
        <f>VLOOKUP($D206,Construction!$B:$J,(COLUMN(Construction_BuildingCost_Food)-COLUMN(Construction_Name_and_Level)+1),FALSE)*(-1)</f>
        <v>0</v>
      </c>
    </row>
    <row r="207" spans="2:91" ht="15" customHeight="1">
      <c r="B207" s="506" t="s">
        <v>143</v>
      </c>
      <c r="C207" s="127" t="s">
        <v>142</v>
      </c>
      <c r="D207" s="144" t="s">
        <v>1570</v>
      </c>
      <c r="E207" s="506">
        <v>11</v>
      </c>
      <c r="F207" s="12">
        <v>0.1</v>
      </c>
      <c r="G207" s="101">
        <f>VLOOKUP($D207,Construction!$B:$L,(COLUMN(Construction_QuestReward_HeroXP)-COLUMN(Construction_Name_and_Level)+1),FALSE)</f>
        <v>2675</v>
      </c>
      <c r="H207" s="101">
        <f t="shared" si="17"/>
        <v>2942.5000000000005</v>
      </c>
      <c r="J207" s="100">
        <f>VLOOKUP($D207,Construction!$B:$L,(COLUMN(Construction_QuestReward_Power)-COLUMN(Construction_Name_and_Level)+1),FALSE)</f>
        <v>17</v>
      </c>
      <c r="AF207" s="141"/>
      <c r="AG207" s="141"/>
      <c r="AH207" s="137"/>
      <c r="AI207" s="484"/>
      <c r="AJ207" s="137">
        <f t="shared" si="11"/>
        <v>9.375E-2</v>
      </c>
      <c r="AU207" s="101">
        <f>VLOOKUP($D207,Construction!$B:$Q,(COLUMN(Construction_QuestReward_Stone)-COLUMN(Construction_Name_and_Level)+1),FALSE)</f>
        <v>1800</v>
      </c>
      <c r="AV207" s="101">
        <f>VLOOKUP($D207,Construction!$B:$Q,(COLUMN(Construction_QuestReward_Wood)-COLUMN(Construction_Name_and_Level)+1),FALSE)</f>
        <v>1800</v>
      </c>
      <c r="AW207" s="101">
        <f>VLOOKUP($D207,Construction!$B:$Q,(COLUMN(Construction_QuestReward_Ore)-COLUMN(Construction_Name_and_Level)+1),FALSE)</f>
        <v>1800</v>
      </c>
      <c r="AX207" s="101">
        <f>VLOOKUP($D207,Construction!$B:$Q,(COLUMN(Construction_QuestReward_Food)-COLUMN(Construction_Name_and_Level)+1),FALSE)</f>
        <v>0</v>
      </c>
      <c r="AY207" s="100">
        <f>VLOOKUP($D207,Construction!$B:$Q,(COLUMN(Construction_QuestReward_Silver)-COLUMN(Construction_Name_and_Level)+1),FALSE)</f>
        <v>50</v>
      </c>
    </row>
    <row r="208" spans="2:91" ht="15" customHeight="1">
      <c r="B208" s="506" t="s">
        <v>143</v>
      </c>
      <c r="C208" s="127" t="s">
        <v>466</v>
      </c>
      <c r="D208" s="144">
        <v>3.425925925925926E-3</v>
      </c>
      <c r="E208" s="506">
        <v>11</v>
      </c>
      <c r="F208" s="12">
        <v>0.1</v>
      </c>
      <c r="G208" s="101">
        <v>400</v>
      </c>
      <c r="H208" s="101">
        <f t="shared" si="17"/>
        <v>440.00000000000006</v>
      </c>
      <c r="AF208" s="141"/>
      <c r="AG208" s="141"/>
      <c r="AH208" s="137"/>
      <c r="AI208" s="484"/>
      <c r="AJ208" s="137">
        <f t="shared" si="11"/>
        <v>9.375E-2</v>
      </c>
      <c r="AT208" s="221"/>
      <c r="AU208" s="198">
        <v>300</v>
      </c>
      <c r="AV208" s="198">
        <v>300</v>
      </c>
      <c r="AW208" s="198"/>
      <c r="AX208" s="198"/>
      <c r="AY208" s="100">
        <v>60</v>
      </c>
      <c r="AZ208" s="7"/>
      <c r="BA208" s="7"/>
    </row>
    <row r="209" spans="2:108" ht="15" customHeight="1">
      <c r="B209" s="506" t="s">
        <v>143</v>
      </c>
      <c r="C209" s="127" t="s">
        <v>182</v>
      </c>
      <c r="D209" s="144" t="s">
        <v>1571</v>
      </c>
      <c r="E209" s="506">
        <v>11</v>
      </c>
      <c r="F209" s="12">
        <v>0.1</v>
      </c>
      <c r="G209" s="101">
        <v>0</v>
      </c>
      <c r="H209" s="101">
        <f t="shared" si="17"/>
        <v>0</v>
      </c>
      <c r="J209" s="100">
        <v>75</v>
      </c>
      <c r="AF209" s="141"/>
      <c r="AG209" s="141"/>
      <c r="AH209" s="137"/>
      <c r="AI209" s="484"/>
      <c r="AJ209" s="137">
        <f t="shared" si="11"/>
        <v>9.375E-2</v>
      </c>
      <c r="AW209" s="101">
        <v>6200</v>
      </c>
    </row>
    <row r="210" spans="2:108" ht="15" customHeight="1">
      <c r="B210" s="506" t="s">
        <v>144</v>
      </c>
      <c r="C210" s="127" t="s">
        <v>138</v>
      </c>
      <c r="D210" s="144" t="s">
        <v>1572</v>
      </c>
      <c r="E210" s="506">
        <v>11</v>
      </c>
      <c r="F210" s="12">
        <v>0.1</v>
      </c>
      <c r="G210" s="94">
        <f>VLOOKUP($D210,Construction!$B:$E,(COLUMN(Construction_BuildingReward_HeroXP)-COLUMN(Construction_Name_and_Level)+1),FALSE)</f>
        <v>50</v>
      </c>
      <c r="H210" s="94">
        <f t="shared" ref="H210:H211" si="18">G210*(1+F210)</f>
        <v>55.000000000000007</v>
      </c>
      <c r="J210" s="95">
        <f>VLOOKUP($D210,Construction!$B:$F,(COLUMN(Construction_BuildingReward_Power)-COLUMN(Construction_Name_and_Level)+1),FALSE)</f>
        <v>40</v>
      </c>
      <c r="Q210" s="139">
        <v>3.472222222222222E-3</v>
      </c>
      <c r="R210" s="139">
        <v>5.5555555555555558E-3</v>
      </c>
      <c r="AF210" s="141"/>
      <c r="AG210" s="141"/>
      <c r="AH210" s="137"/>
      <c r="AI210" s="484"/>
      <c r="AJ210" s="137">
        <f t="shared" si="11"/>
        <v>9.375E-2</v>
      </c>
      <c r="AK210" s="339">
        <v>0.25</v>
      </c>
      <c r="AL210" s="138">
        <f>VLOOKUP($D210,Construction!$B:$C,(COLUMN(Construction_Time)-COLUMN(Construction_Name_and_Level)+1),FALSE)</f>
        <v>3.472222222222222E-3</v>
      </c>
      <c r="AM210" s="138">
        <f>AL210/(1+AK210)</f>
        <v>2.7777777777777775E-3</v>
      </c>
      <c r="AN210" s="138">
        <f>(S$3*S210+T$3*T210+V$3*V210+W$3*W210+X$3*X210+Y$3*Y210+Z$3*Z210+AA$3*AA210+AB$3*AB210+AC$3*AC210)*(-1)</f>
        <v>0</v>
      </c>
      <c r="AO210" s="139">
        <f>IF((AM210-Q210-R210-AN210)&gt;=0,AM210-Q210-R210-AN210,0)</f>
        <v>0</v>
      </c>
      <c r="AU210" s="94">
        <f>VLOOKUP($D210,Construction!$B:$J,(COLUMN(Construction_BuildingCost_Stone)-COLUMN(Construction_Name_and_Level)+1),FALSE)*(-1)</f>
        <v>-867</v>
      </c>
      <c r="AV210" s="94">
        <f>VLOOKUP($D210,Construction!$B:$J,(COLUMN(Construction_BuildingCost_Wood)-COLUMN(Construction_Name_and_Level)+1),FALSE)*(-1)</f>
        <v>-1156</v>
      </c>
      <c r="AW210" s="94">
        <f>VLOOKUP($D210,Construction!$B:$J,(COLUMN(Construction_BuildingCost_Ore)-COLUMN(Construction_Name_and_Level)+1),FALSE)*(-1)</f>
        <v>-2312</v>
      </c>
      <c r="AX210" s="94">
        <f>VLOOKUP($D210,Construction!$B:$J,(COLUMN(Construction_BuildingCost_Food)-COLUMN(Construction_Name_and_Level)+1),FALSE)*(-1)</f>
        <v>-867</v>
      </c>
    </row>
    <row r="211" spans="2:108" ht="15" customHeight="1">
      <c r="B211" s="506" t="s">
        <v>143</v>
      </c>
      <c r="C211" s="127" t="s">
        <v>142</v>
      </c>
      <c r="D211" s="144" t="s">
        <v>1572</v>
      </c>
      <c r="E211" s="506">
        <v>11</v>
      </c>
      <c r="F211" s="12">
        <v>0.1</v>
      </c>
      <c r="G211" s="101">
        <f>VLOOKUP($D211,Construction!$B:$L,(COLUMN(Construction_QuestReward_HeroXP)-COLUMN(Construction_Name_and_Level)+1),FALSE)</f>
        <v>2600</v>
      </c>
      <c r="H211" s="101">
        <f t="shared" si="18"/>
        <v>2860.0000000000005</v>
      </c>
      <c r="J211" s="100">
        <f>VLOOKUP($D211,Construction!$B:$L,(COLUMN(Construction_QuestReward_Power)-COLUMN(Construction_Name_and_Level)+1),FALSE)</f>
        <v>15</v>
      </c>
      <c r="AF211" s="141"/>
      <c r="AG211" s="141"/>
      <c r="AH211" s="137"/>
      <c r="AI211" s="484"/>
      <c r="AJ211" s="137">
        <f t="shared" si="11"/>
        <v>9.375E-2</v>
      </c>
      <c r="AU211" s="101">
        <f>VLOOKUP($D211,Construction!$B:$Q,(COLUMN(Construction_QuestReward_Stone)-COLUMN(Construction_Name_and_Level)+1),FALSE)</f>
        <v>1500</v>
      </c>
      <c r="AV211" s="101">
        <f>VLOOKUP($D211,Construction!$B:$Q,(COLUMN(Construction_QuestReward_Wood)-COLUMN(Construction_Name_and_Level)+1),FALSE)</f>
        <v>1900</v>
      </c>
      <c r="AW211" s="101">
        <f>VLOOKUP($D211,Construction!$B:$Q,(COLUMN(Construction_QuestReward_Ore)-COLUMN(Construction_Name_and_Level)+1),FALSE)</f>
        <v>3900</v>
      </c>
      <c r="AX211" s="101">
        <f>VLOOKUP($D211,Construction!$B:$Q,(COLUMN(Construction_QuestReward_Food)-COLUMN(Construction_Name_and_Level)+1),FALSE)</f>
        <v>1500</v>
      </c>
      <c r="AY211" s="100">
        <f>VLOOKUP($D211,Construction!$B:$Q,(COLUMN(Construction_QuestReward_Silver)-COLUMN(Construction_Name_and_Level)+1),FALSE)</f>
        <v>550</v>
      </c>
    </row>
    <row r="212" spans="2:108" ht="15" customHeight="1">
      <c r="B212" s="506" t="s">
        <v>144</v>
      </c>
      <c r="C212" s="127" t="s">
        <v>138</v>
      </c>
      <c r="D212" s="144" t="s">
        <v>1573</v>
      </c>
      <c r="E212" s="506">
        <v>11</v>
      </c>
      <c r="F212" s="12">
        <v>0.1</v>
      </c>
      <c r="G212" s="94">
        <f>VLOOKUP($D212,Construction!$B:$E,(COLUMN(Construction_BuildingReward_HeroXP)-COLUMN(Construction_Name_and_Level)+1),FALSE)</f>
        <v>200</v>
      </c>
      <c r="H212" s="94">
        <f t="shared" ref="H212:H213" si="19">G212*(1+F212)</f>
        <v>220.00000000000003</v>
      </c>
      <c r="J212" s="95">
        <f>VLOOKUP($D212,Construction!$B:$F,(COLUMN(Construction_BuildingReward_Power)-COLUMN(Construction_Name_and_Level)+1),FALSE)</f>
        <v>60</v>
      </c>
      <c r="Q212" s="139">
        <v>3.472222222222222E-3</v>
      </c>
      <c r="R212" s="139">
        <v>5.5555555555555558E-3</v>
      </c>
      <c r="AF212" s="141"/>
      <c r="AG212" s="141"/>
      <c r="AH212" s="137"/>
      <c r="AI212" s="484"/>
      <c r="AJ212" s="137">
        <f t="shared" ref="AJ212:AJ237" si="20">AJ211+(S$3*S212+T$3*T212+U$3*U212+V$3*V212+W$3*W212+X$3*X212+Y$3*Y212+Z$3*Z212+AA$3*AA212+AB$3*AB212+AC$3*AC212)</f>
        <v>9.375E-2</v>
      </c>
      <c r="AK212" s="339">
        <v>0.25</v>
      </c>
      <c r="AL212" s="138">
        <f>VLOOKUP($D212,Construction!$B:$C,(COLUMN(Construction_Time)-COLUMN(Construction_Name_and_Level)+1),FALSE)</f>
        <v>6.9444444444444441E-3</v>
      </c>
      <c r="AM212" s="138">
        <f>AL212/(1+AK212)</f>
        <v>5.5555555555555549E-3</v>
      </c>
      <c r="AN212" s="138">
        <f>(S$3*S212+T$3*T212+V$3*V212+W$3*W212+X$3*X212+Y$3*Y212+Z$3*Z212+AA$3*AA212+AB$3*AB212+AC$3*AC212)*(-1)</f>
        <v>0</v>
      </c>
      <c r="AO212" s="139">
        <f>IF((AM212-Q212-R212-AN212)&gt;=0,AM212-Q212-R212-AN212,0)</f>
        <v>0</v>
      </c>
      <c r="AU212" s="94">
        <f>VLOOKUP($D212,Construction!$B:$J,(COLUMN(Construction_BuildingCost_Stone)-COLUMN(Construction_Name_and_Level)+1),FALSE)*(-1)</f>
        <v>-1474</v>
      </c>
      <c r="AV212" s="94">
        <f>VLOOKUP($D212,Construction!$B:$J,(COLUMN(Construction_BuildingCost_Wood)-COLUMN(Construction_Name_and_Level)+1),FALSE)*(-1)</f>
        <v>-1966</v>
      </c>
      <c r="AW212" s="94">
        <f>VLOOKUP($D212,Construction!$B:$J,(COLUMN(Construction_BuildingCost_Ore)-COLUMN(Construction_Name_and_Level)+1),FALSE)*(-1)</f>
        <v>-3931</v>
      </c>
      <c r="AX212" s="94">
        <f>VLOOKUP($D212,Construction!$B:$J,(COLUMN(Construction_BuildingCost_Food)-COLUMN(Construction_Name_and_Level)+1),FALSE)*(-1)</f>
        <v>-1474</v>
      </c>
    </row>
    <row r="213" spans="2:108" ht="15" customHeight="1">
      <c r="B213" s="506" t="s">
        <v>143</v>
      </c>
      <c r="C213" s="127" t="s">
        <v>142</v>
      </c>
      <c r="D213" s="144" t="s">
        <v>1573</v>
      </c>
      <c r="E213" s="506">
        <v>11</v>
      </c>
      <c r="F213" s="12">
        <v>0.1</v>
      </c>
      <c r="G213" s="101">
        <f>VLOOKUP($D213,Construction!$B:$L,(COLUMN(Construction_QuestReward_HeroXP)-COLUMN(Construction_Name_and_Level)+1),FALSE)</f>
        <v>2650</v>
      </c>
      <c r="H213" s="101">
        <f t="shared" si="19"/>
        <v>2915.0000000000005</v>
      </c>
      <c r="J213" s="100">
        <f>VLOOKUP($D213,Construction!$B:$L,(COLUMN(Construction_QuestReward_Power)-COLUMN(Construction_Name_and_Level)+1),FALSE)</f>
        <v>25</v>
      </c>
      <c r="AF213" s="141"/>
      <c r="AG213" s="141"/>
      <c r="AH213" s="137"/>
      <c r="AI213" s="484"/>
      <c r="AJ213" s="137">
        <f t="shared" si="20"/>
        <v>9.375E-2</v>
      </c>
      <c r="AU213" s="101">
        <f>VLOOKUP($D213,Construction!$B:$Q,(COLUMN(Construction_QuestReward_Stone)-COLUMN(Construction_Name_and_Level)+1),FALSE)</f>
        <v>1900</v>
      </c>
      <c r="AV213" s="101">
        <f>VLOOKUP($D213,Construction!$B:$Q,(COLUMN(Construction_QuestReward_Wood)-COLUMN(Construction_Name_and_Level)+1),FALSE)</f>
        <v>2500</v>
      </c>
      <c r="AW213" s="101">
        <f>VLOOKUP($D213,Construction!$B:$Q,(COLUMN(Construction_QuestReward_Ore)-COLUMN(Construction_Name_and_Level)+1),FALSE)</f>
        <v>5000</v>
      </c>
      <c r="AX213" s="101">
        <f>VLOOKUP($D213,Construction!$B:$Q,(COLUMN(Construction_QuestReward_Food)-COLUMN(Construction_Name_and_Level)+1),FALSE)</f>
        <v>1900</v>
      </c>
      <c r="AY213" s="100">
        <f>VLOOKUP($D213,Construction!$B:$Q,(COLUMN(Construction_QuestReward_Silver)-COLUMN(Construction_Name_and_Level)+1),FALSE)</f>
        <v>950</v>
      </c>
    </row>
    <row r="214" spans="2:108" ht="15" customHeight="1">
      <c r="B214" s="506" t="s">
        <v>144</v>
      </c>
      <c r="C214" s="127" t="s">
        <v>138</v>
      </c>
      <c r="D214" s="144" t="s">
        <v>563</v>
      </c>
      <c r="E214" s="506">
        <v>11</v>
      </c>
      <c r="F214" s="12">
        <v>0.1</v>
      </c>
      <c r="G214" s="94">
        <f>VLOOKUP($D214,Construction!$B:$E,(COLUMN(Construction_BuildingReward_HeroXP)-COLUMN(Construction_Name_and_Level)+1),FALSE)</f>
        <v>5000</v>
      </c>
      <c r="H214" s="94">
        <f t="shared" ref="H214:H215" si="21">G214*(1+F214)</f>
        <v>5500</v>
      </c>
      <c r="J214" s="95">
        <f>VLOOKUP($D214,Construction!$B:$F,(COLUMN(Construction_BuildingReward_Power)-COLUMN(Construction_Name_and_Level)+1),FALSE)</f>
        <v>150</v>
      </c>
      <c r="Q214" s="139">
        <v>3.472222222222222E-3</v>
      </c>
      <c r="R214" s="139">
        <v>5.5555555555555558E-3</v>
      </c>
      <c r="AF214" s="141"/>
      <c r="AG214" s="141"/>
      <c r="AH214" s="137"/>
      <c r="AI214" s="484"/>
      <c r="AJ214" s="137">
        <f t="shared" si="20"/>
        <v>9.375E-2</v>
      </c>
      <c r="AK214" s="339">
        <v>0.25</v>
      </c>
      <c r="AL214" s="138">
        <f>VLOOKUP($D214,Construction!$B:$C,(COLUMN(Construction_Time)-COLUMN(Construction_Name_and_Level)+1),FALSE)</f>
        <v>9.7222222222222224E-3</v>
      </c>
      <c r="AM214" s="138">
        <f>AL214/(1+AK214)</f>
        <v>7.7777777777777776E-3</v>
      </c>
      <c r="AN214" s="138">
        <f>(S$3*S214+T$3*T214+V$3*V214+W$3*W214+X$3*X214+Y$3*Y214+Z$3*Z214+AA$3*AA214+AB$3*AB214+AC$3*AC214)*(-1)</f>
        <v>0</v>
      </c>
      <c r="AO214" s="139">
        <f>IF((AM214-Q214-R214-AN214)&gt;=0,AM214-Q214-R214-AN214,0)</f>
        <v>0</v>
      </c>
      <c r="AU214" s="94">
        <f>VLOOKUP($D214,Construction!$B:$J,(COLUMN(Construction_BuildingCost_Stone)-COLUMN(Construction_Name_and_Level)+1),FALSE)*(-1)</f>
        <v>-5832</v>
      </c>
      <c r="AV214" s="94">
        <f>VLOOKUP($D214,Construction!$B:$J,(COLUMN(Construction_BuildingCost_Wood)-COLUMN(Construction_Name_and_Level)+1),FALSE)*(-1)</f>
        <v>-4666</v>
      </c>
      <c r="AW214" s="94">
        <f>VLOOKUP($D214,Construction!$B:$J,(COLUMN(Construction_BuildingCost_Ore)-COLUMN(Construction_Name_and_Level)+1),FALSE)*(-1)</f>
        <v>-1750</v>
      </c>
      <c r="AX214" s="94">
        <f>VLOOKUP($D214,Construction!$B:$J,(COLUMN(Construction_BuildingCost_Food)-COLUMN(Construction_Name_and_Level)+1),FALSE)*(-1)</f>
        <v>-2916</v>
      </c>
    </row>
    <row r="215" spans="2:108" ht="15" customHeight="1">
      <c r="B215" s="506" t="s">
        <v>143</v>
      </c>
      <c r="C215" s="127" t="s">
        <v>142</v>
      </c>
      <c r="D215" s="144" t="s">
        <v>563</v>
      </c>
      <c r="E215" s="506">
        <v>11</v>
      </c>
      <c r="F215" s="12">
        <v>0.1</v>
      </c>
      <c r="G215" s="101">
        <f>VLOOKUP($D215,Construction!$B:$L,(COLUMN(Construction_QuestReward_HeroXP)-COLUMN(Construction_Name_and_Level)+1),FALSE)</f>
        <v>2650</v>
      </c>
      <c r="H215" s="101">
        <f t="shared" si="21"/>
        <v>2915.0000000000005</v>
      </c>
      <c r="J215" s="100">
        <f>VLOOKUP($D215,Construction!$B:$L,(COLUMN(Construction_QuestReward_Power)-COLUMN(Construction_Name_and_Level)+1),FALSE)</f>
        <v>65</v>
      </c>
      <c r="AF215" s="141"/>
      <c r="AG215" s="141"/>
      <c r="AH215" s="137"/>
      <c r="AI215" s="484"/>
      <c r="AJ215" s="137">
        <f t="shared" si="20"/>
        <v>9.375E-2</v>
      </c>
      <c r="AU215" s="101">
        <f>VLOOKUP($D215,Construction!$B:$Q,(COLUMN(Construction_QuestReward_Stone)-COLUMN(Construction_Name_and_Level)+1),FALSE)</f>
        <v>7400</v>
      </c>
      <c r="AV215" s="101">
        <f>VLOOKUP($D215,Construction!$B:$Q,(COLUMN(Construction_QuestReward_Wood)-COLUMN(Construction_Name_and_Level)+1),FALSE)</f>
        <v>5800</v>
      </c>
      <c r="AW215" s="101">
        <f>VLOOKUP($D215,Construction!$B:$Q,(COLUMN(Construction_QuestReward_Ore)-COLUMN(Construction_Name_and_Level)+1),FALSE)</f>
        <v>2200</v>
      </c>
      <c r="AX215" s="101">
        <f>VLOOKUP($D215,Construction!$B:$Q,(COLUMN(Construction_QuestReward_Food)-COLUMN(Construction_Name_and_Level)+1),FALSE)</f>
        <v>3700</v>
      </c>
      <c r="AY215" s="100">
        <f>VLOOKUP($D215,Construction!$B:$Q,(COLUMN(Construction_QuestReward_Silver)-COLUMN(Construction_Name_and_Level)+1),FALSE)</f>
        <v>550</v>
      </c>
    </row>
    <row r="216" spans="2:108" ht="15" customHeight="1">
      <c r="B216" s="506" t="s">
        <v>145</v>
      </c>
      <c r="C216" s="146" t="s">
        <v>151</v>
      </c>
      <c r="D216" s="145">
        <v>4.6064814814814814E-3</v>
      </c>
      <c r="E216" s="506">
        <v>11</v>
      </c>
      <c r="AF216" s="141"/>
      <c r="AG216" s="141"/>
      <c r="AH216" s="137"/>
      <c r="AI216" s="484"/>
      <c r="AJ216" s="137">
        <f t="shared" si="20"/>
        <v>9.375E-2</v>
      </c>
      <c r="AV216" s="2">
        <v>1000</v>
      </c>
    </row>
    <row r="217" spans="2:108" ht="15" customHeight="1">
      <c r="B217" s="506" t="s">
        <v>144</v>
      </c>
      <c r="C217" s="127" t="s">
        <v>138</v>
      </c>
      <c r="D217" s="144" t="s">
        <v>1574</v>
      </c>
      <c r="E217" s="506">
        <v>11</v>
      </c>
      <c r="F217" s="12">
        <v>0.1</v>
      </c>
      <c r="G217" s="94">
        <f>VLOOKUP($D217,Construction!$B:$E,(COLUMN(Construction_BuildingReward_HeroXP)-COLUMN(Construction_Name_and_Level)+1),FALSE)</f>
        <v>10000</v>
      </c>
      <c r="H217" s="94">
        <f t="shared" ref="H217:H222" si="22">G217*(1+F217)</f>
        <v>11000</v>
      </c>
      <c r="J217" s="95">
        <f>VLOOKUP($D217,Construction!$B:$F,(COLUMN(Construction_BuildingReward_Power)-COLUMN(Construction_Name_and_Level)+1),FALSE)</f>
        <v>350</v>
      </c>
      <c r="Q217" s="139">
        <v>3.472222222222222E-3</v>
      </c>
      <c r="R217" s="159">
        <v>6.2499999999999995E-3</v>
      </c>
      <c r="W217" s="11">
        <v>-4</v>
      </c>
      <c r="AF217" s="141"/>
      <c r="AG217" s="141"/>
      <c r="AH217" s="137"/>
      <c r="AI217" s="484">
        <f>(-1)*($S$3*$S217+$T$3*$T217+$U$3*$U217+$V$3*$V217+$W$3*$W217+$X$3*$X217+$Y$3*$Y217+$Z$3*$Z217+$AA$3*$AA217+$AB$3*$AB217+$AC$3*$AC217)</f>
        <v>4.1666666666666664E-2</v>
      </c>
      <c r="AJ217" s="137">
        <f t="shared" si="20"/>
        <v>5.2083333333333336E-2</v>
      </c>
      <c r="AK217" s="339">
        <v>0.25</v>
      </c>
      <c r="AL217" s="138">
        <f>VLOOKUP($D217,Construction!$B:$C,(COLUMN(Construction_Time)-COLUMN(Construction_Name_and_Level)+1),FALSE)</f>
        <v>5.5555555555555552E-2</v>
      </c>
      <c r="AM217" s="138">
        <f>AL217/(1+AK217)</f>
        <v>4.4444444444444439E-2</v>
      </c>
      <c r="AN217" s="138">
        <f>(S$3*S217+T$3*T217+V$3*V217+W$3*W217+X$3*X217+Y$3*Y217+Z$3*Z217+AA$3*AA217+AB$3*AB217+AC$3*AC217)*(-1)</f>
        <v>4.1666666666666664E-2</v>
      </c>
      <c r="AO217" s="139">
        <f>IF((AM217-Q217-R217-AN217)&gt;=0,AM217-Q217-R217-AN217,0)</f>
        <v>0</v>
      </c>
      <c r="AU217" s="94">
        <f>VLOOKUP($D217,Construction!$B:$J,(COLUMN(Construction_BuildingCost_Stone)-COLUMN(Construction_Name_and_Level)+1),FALSE)*(-1)</f>
        <v>-10498</v>
      </c>
      <c r="AV217" s="94">
        <f>VLOOKUP($D217,Construction!$B:$J,(COLUMN(Construction_BuildingCost_Wood)-COLUMN(Construction_Name_and_Level)+1),FALSE)*(-1)</f>
        <v>-10498</v>
      </c>
      <c r="AW217" s="94">
        <f>VLOOKUP($D217,Construction!$B:$J,(COLUMN(Construction_BuildingCost_Ore)-COLUMN(Construction_Name_and_Level)+1),FALSE)*(-1)</f>
        <v>-4200</v>
      </c>
      <c r="AX217" s="94">
        <f>VLOOKUP($D217,Construction!$B:$J,(COLUMN(Construction_BuildingCost_Food)-COLUMN(Construction_Name_and_Level)+1),FALSE)*(-1)</f>
        <v>-5249</v>
      </c>
    </row>
    <row r="218" spans="2:108" ht="15" customHeight="1">
      <c r="B218" s="506" t="s">
        <v>1457</v>
      </c>
      <c r="C218" s="127" t="s">
        <v>172</v>
      </c>
      <c r="D218" s="145" t="s">
        <v>1575</v>
      </c>
      <c r="E218" s="506">
        <v>11</v>
      </c>
      <c r="J218" s="19"/>
      <c r="W218" s="11">
        <v>1</v>
      </c>
      <c r="X218" s="11">
        <v>1</v>
      </c>
      <c r="AF218" s="141">
        <f>$S$3*$S218+$T$3*$T218+$U$3*$U218+$V$3*$V218+$W$3*$W218+$X$3*$X218+$Y$3*$Y218+$Z$3*$Z218+$AA$3*$AA218+$AB$3*$AB218+$AC$3*$AC218</f>
        <v>5.2083333333333329E-2</v>
      </c>
      <c r="AG218" s="141"/>
      <c r="AH218" s="137"/>
      <c r="AI218" s="484"/>
      <c r="AJ218" s="137">
        <f t="shared" si="20"/>
        <v>0.10416666666666666</v>
      </c>
      <c r="AU218" s="7">
        <v>6800</v>
      </c>
      <c r="AV218" s="7">
        <v>6800</v>
      </c>
      <c r="AW218" s="7">
        <v>6800</v>
      </c>
      <c r="AX218" s="7">
        <v>7800</v>
      </c>
      <c r="AY218" s="19">
        <v>5200</v>
      </c>
      <c r="CZ218" s="127"/>
      <c r="DA218" s="127"/>
      <c r="DB218" s="127"/>
      <c r="DC218" s="127"/>
      <c r="DD218" s="127"/>
    </row>
    <row r="219" spans="2:108" ht="15" customHeight="1">
      <c r="B219" s="506" t="s">
        <v>145</v>
      </c>
      <c r="C219" s="127" t="s">
        <v>152</v>
      </c>
      <c r="D219" s="145" t="s">
        <v>1576</v>
      </c>
      <c r="E219" s="506">
        <v>11</v>
      </c>
      <c r="J219" s="19"/>
      <c r="M219" s="135">
        <v>4.1666666666666664E-2</v>
      </c>
      <c r="W219" s="11">
        <v>1</v>
      </c>
      <c r="AF219" s="141">
        <f>$S$3*$S219+$T$3*$T219+$U$3*$U219+$V$3*$V219+$W$3*$W219+$X$3*$X219+$Y$3*$Y219+$Z$3*$Z219+$AA$3*$AA219+$AB$3*$AB219+$AC$3*$AC219</f>
        <v>1.0416666666666666E-2</v>
      </c>
      <c r="AG219" s="141"/>
      <c r="AH219" s="137"/>
      <c r="AI219" s="484"/>
      <c r="AJ219" s="137">
        <f t="shared" si="20"/>
        <v>0.11458333333333333</v>
      </c>
      <c r="AU219" s="7"/>
      <c r="AV219" s="7">
        <v>1000</v>
      </c>
      <c r="AW219" s="7"/>
      <c r="AX219" s="7"/>
      <c r="AY219" s="19"/>
      <c r="CN219" s="5">
        <v>7000</v>
      </c>
      <c r="CZ219" s="127"/>
      <c r="DA219" s="127"/>
      <c r="DB219" s="127"/>
      <c r="DC219" s="127"/>
      <c r="DD219" s="127"/>
    </row>
    <row r="220" spans="2:108" ht="15" customHeight="1">
      <c r="B220" s="506" t="s">
        <v>143</v>
      </c>
      <c r="C220" s="127" t="s">
        <v>142</v>
      </c>
      <c r="D220" s="144" t="s">
        <v>1574</v>
      </c>
      <c r="E220" s="506">
        <v>11</v>
      </c>
      <c r="F220" s="12">
        <v>0.1</v>
      </c>
      <c r="G220" s="101">
        <f>VLOOKUP($D220,Construction!$B:$L,(COLUMN(Construction_QuestReward_HeroXP)-COLUMN(Construction_Name_and_Level)+1),FALSE)</f>
        <v>10175</v>
      </c>
      <c r="H220" s="101">
        <f t="shared" si="22"/>
        <v>11192.5</v>
      </c>
      <c r="J220" s="100">
        <f>VLOOKUP($D220,Construction!$B:$L,(COLUMN(Construction_QuestReward_Power)-COLUMN(Construction_Name_and_Level)+1),FALSE)</f>
        <v>180</v>
      </c>
      <c r="AF220" s="141"/>
      <c r="AG220" s="141"/>
      <c r="AH220" s="137"/>
      <c r="AI220" s="484"/>
      <c r="AJ220" s="137">
        <f t="shared" si="20"/>
        <v>0.11458333333333333</v>
      </c>
      <c r="AU220" s="101">
        <f>VLOOKUP($D220,Construction!$B:$Q,(COLUMN(Construction_QuestReward_Stone)-COLUMN(Construction_Name_and_Level)+1),FALSE)</f>
        <v>10600</v>
      </c>
      <c r="AV220" s="101">
        <f>VLOOKUP($D220,Construction!$B:$Q,(COLUMN(Construction_QuestReward_Wood)-COLUMN(Construction_Name_and_Level)+1),FALSE)</f>
        <v>10600</v>
      </c>
      <c r="AW220" s="101">
        <f>VLOOKUP($D220,Construction!$B:$Q,(COLUMN(Construction_QuestReward_Ore)-COLUMN(Construction_Name_and_Level)+1),FALSE)</f>
        <v>4300</v>
      </c>
      <c r="AX220" s="101">
        <f>VLOOKUP($D220,Construction!$B:$Q,(COLUMN(Construction_QuestReward_Food)-COLUMN(Construction_Name_and_Level)+1),FALSE)</f>
        <v>5300</v>
      </c>
      <c r="AY220" s="100">
        <f>VLOOKUP($D220,Construction!$B:$Q,(COLUMN(Construction_QuestReward_Silver)-COLUMN(Construction_Name_and_Level)+1),FALSE)</f>
        <v>1050</v>
      </c>
    </row>
    <row r="221" spans="2:108" ht="15" customHeight="1">
      <c r="B221" s="506" t="s">
        <v>144</v>
      </c>
      <c r="C221" s="127" t="s">
        <v>138</v>
      </c>
      <c r="D221" s="144" t="s">
        <v>1577</v>
      </c>
      <c r="E221" s="506">
        <v>11</v>
      </c>
      <c r="F221" s="12">
        <v>0.1</v>
      </c>
      <c r="G221" s="94">
        <f>VLOOKUP($D221,Construction!$B:$E,(COLUMN(Construction_BuildingReward_HeroXP)-COLUMN(Construction_Name_and_Level)+1),FALSE)</f>
        <v>50</v>
      </c>
      <c r="H221" s="94">
        <f t="shared" si="22"/>
        <v>55.000000000000007</v>
      </c>
      <c r="J221" s="95">
        <f>VLOOKUP($D221,Construction!$B:$F,(COLUMN(Construction_BuildingReward_Power)-COLUMN(Construction_Name_and_Level)+1),FALSE)</f>
        <v>40</v>
      </c>
      <c r="Q221" s="139">
        <v>3.472222222222222E-3</v>
      </c>
      <c r="R221" s="139">
        <v>6.2499999999999995E-3</v>
      </c>
      <c r="AF221" s="141"/>
      <c r="AG221" s="141"/>
      <c r="AH221" s="137"/>
      <c r="AI221" s="484"/>
      <c r="AJ221" s="137">
        <f t="shared" si="20"/>
        <v>0.11458333333333333</v>
      </c>
      <c r="AK221" s="339">
        <v>0.25</v>
      </c>
      <c r="AL221" s="138">
        <f>VLOOKUP($D221,Construction!$B:$C,(COLUMN(Construction_Time)-COLUMN(Construction_Name_and_Level)+1),FALSE)</f>
        <v>4.6296296296296302E-3</v>
      </c>
      <c r="AM221" s="138">
        <f>AL221/(1+AK221)</f>
        <v>3.7037037037037043E-3</v>
      </c>
      <c r="AN221" s="138">
        <f>(S$3*S221+T$3*T221+V$3*V221+W$3*W221+X$3*X221+Y$3*Y221+Z$3*Z221+AA$3*AA221+AB$3*AB221+AC$3*AC221)*(-1)</f>
        <v>0</v>
      </c>
      <c r="AO221" s="139">
        <f>IF((AM221-Q221-R221-AN221)&gt;=0,AM221-Q221-R221-AN221,0)</f>
        <v>0</v>
      </c>
      <c r="AU221" s="94">
        <f>VLOOKUP($D221,Construction!$B:$J,(COLUMN(Construction_BuildingCost_Stone)-COLUMN(Construction_Name_and_Level)+1),FALSE)*(-1)</f>
        <v>-648</v>
      </c>
      <c r="AV221" s="94">
        <f>VLOOKUP($D221,Construction!$B:$J,(COLUMN(Construction_BuildingCost_Wood)-COLUMN(Construction_Name_and_Level)+1),FALSE)*(-1)</f>
        <v>-324</v>
      </c>
      <c r="AW221" s="94">
        <f>VLOOKUP($D221,Construction!$B:$J,(COLUMN(Construction_BuildingCost_Ore)-COLUMN(Construction_Name_and_Level)+1),FALSE)*(-1)</f>
        <v>-324</v>
      </c>
      <c r="AX221" s="94">
        <f>VLOOKUP($D221,Construction!$B:$J,(COLUMN(Construction_BuildingCost_Food)-COLUMN(Construction_Name_and_Level)+1),FALSE)*(-1)</f>
        <v>-972</v>
      </c>
    </row>
    <row r="222" spans="2:108" ht="15" customHeight="1">
      <c r="B222" s="506" t="s">
        <v>143</v>
      </c>
      <c r="C222" s="127" t="s">
        <v>142</v>
      </c>
      <c r="D222" s="144" t="s">
        <v>1577</v>
      </c>
      <c r="E222" s="506">
        <v>11</v>
      </c>
      <c r="F222" s="12">
        <v>0.15</v>
      </c>
      <c r="G222" s="101">
        <f>VLOOKUP($D222,Construction!$B:$L,(COLUMN(Construction_QuestReward_HeroXP)-COLUMN(Construction_Name_and_Level)+1),FALSE)</f>
        <v>2600</v>
      </c>
      <c r="H222" s="101">
        <f t="shared" si="22"/>
        <v>2989.9999999999995</v>
      </c>
      <c r="J222" s="100">
        <f>VLOOKUP($D222,Construction!$B:$L,(COLUMN(Construction_QuestReward_Power)-COLUMN(Construction_Name_and_Level)+1),FALSE)</f>
        <v>15</v>
      </c>
      <c r="AF222" s="141"/>
      <c r="AG222" s="141"/>
      <c r="AH222" s="137"/>
      <c r="AI222" s="484"/>
      <c r="AJ222" s="137">
        <f t="shared" si="20"/>
        <v>0.11458333333333333</v>
      </c>
      <c r="AU222" s="101">
        <f>VLOOKUP($D222,Construction!$B:$Q,(COLUMN(Construction_QuestReward_Stone)-COLUMN(Construction_Name_and_Level)+1),FALSE)</f>
        <v>1100</v>
      </c>
      <c r="AV222" s="101">
        <f>VLOOKUP($D222,Construction!$B:$Q,(COLUMN(Construction_QuestReward_Wood)-COLUMN(Construction_Name_and_Level)+1),FALSE)</f>
        <v>500</v>
      </c>
      <c r="AW222" s="101">
        <f>VLOOKUP($D222,Construction!$B:$Q,(COLUMN(Construction_QuestReward_Ore)-COLUMN(Construction_Name_and_Level)+1),FALSE)</f>
        <v>500</v>
      </c>
      <c r="AX222" s="101">
        <f>VLOOKUP($D222,Construction!$B:$Q,(COLUMN(Construction_QuestReward_Food)-COLUMN(Construction_Name_and_Level)+1),FALSE)</f>
        <v>1600</v>
      </c>
      <c r="AY222" s="100">
        <f>VLOOKUP($D222,Construction!$B:$Q,(COLUMN(Construction_QuestReward_Silver)-COLUMN(Construction_Name_and_Level)+1),FALSE)</f>
        <v>200</v>
      </c>
    </row>
    <row r="223" spans="2:108" ht="15" customHeight="1">
      <c r="B223" s="506" t="s">
        <v>144</v>
      </c>
      <c r="C223" s="127" t="s">
        <v>138</v>
      </c>
      <c r="D223" s="144" t="s">
        <v>1578</v>
      </c>
      <c r="E223" s="506">
        <v>11</v>
      </c>
      <c r="F223" s="12">
        <v>0.15</v>
      </c>
      <c r="G223" s="94">
        <f>VLOOKUP($D223,Construction!$B:$E,(COLUMN(Construction_BuildingReward_HeroXP)-COLUMN(Construction_Name_and_Level)+1),FALSE)</f>
        <v>200</v>
      </c>
      <c r="H223" s="94">
        <f t="shared" ref="H223:H224" si="23">G223*(1+F223)</f>
        <v>229.99999999999997</v>
      </c>
      <c r="J223" s="95">
        <f>VLOOKUP($D223,Construction!$B:$F,(COLUMN(Construction_BuildingReward_Power)-COLUMN(Construction_Name_and_Level)+1),FALSE)</f>
        <v>60</v>
      </c>
      <c r="Q223" s="139">
        <v>3.472222222222222E-3</v>
      </c>
      <c r="R223" s="139">
        <v>6.2499999999999995E-3</v>
      </c>
      <c r="AF223" s="141"/>
      <c r="AG223" s="141"/>
      <c r="AH223" s="137"/>
      <c r="AI223" s="484"/>
      <c r="AJ223" s="137">
        <f t="shared" si="20"/>
        <v>0.11458333333333333</v>
      </c>
      <c r="AK223" s="339">
        <v>0.25</v>
      </c>
      <c r="AL223" s="138">
        <f>VLOOKUP($D223,Construction!$B:$C,(COLUMN(Construction_Time)-COLUMN(Construction_Name_and_Level)+1),FALSE)</f>
        <v>9.2592592592592605E-3</v>
      </c>
      <c r="AM223" s="138">
        <f>AL223/(1+AK223)</f>
        <v>7.4074074074074086E-3</v>
      </c>
      <c r="AN223" s="138">
        <f>(S$3*S223+T$3*T223+V$3*V223+W$3*W223+X$3*X223+Y$3*Y223+Z$3*Z223+AA$3*AA223+AB$3*AB223+AC$3*AC223)*(-1)</f>
        <v>0</v>
      </c>
      <c r="AO223" s="139">
        <f>IF((AM223-Q223-R223-AN223)&gt;=0,AM223-Q223-R223-AN223,0)</f>
        <v>0</v>
      </c>
      <c r="AU223" s="94">
        <f>VLOOKUP($D223,Construction!$B:$J,(COLUMN(Construction_BuildingCost_Stone)-COLUMN(Construction_Name_and_Level)+1),FALSE)*(-1)</f>
        <v>-1167</v>
      </c>
      <c r="AV223" s="94">
        <f>VLOOKUP($D223,Construction!$B:$J,(COLUMN(Construction_BuildingCost_Wood)-COLUMN(Construction_Name_and_Level)+1),FALSE)*(-1)</f>
        <v>-584</v>
      </c>
      <c r="AW223" s="94">
        <f>VLOOKUP($D223,Construction!$B:$J,(COLUMN(Construction_BuildingCost_Ore)-COLUMN(Construction_Name_and_Level)+1),FALSE)*(-1)</f>
        <v>-584</v>
      </c>
      <c r="AX223" s="94">
        <f>VLOOKUP($D223,Construction!$B:$J,(COLUMN(Construction_BuildingCost_Food)-COLUMN(Construction_Name_and_Level)+1),FALSE)*(-1)</f>
        <v>-1750</v>
      </c>
    </row>
    <row r="224" spans="2:108" ht="15" customHeight="1">
      <c r="B224" s="506" t="s">
        <v>143</v>
      </c>
      <c r="C224" s="127" t="s">
        <v>142</v>
      </c>
      <c r="D224" s="144" t="s">
        <v>1578</v>
      </c>
      <c r="E224" s="506">
        <v>11</v>
      </c>
      <c r="F224" s="12">
        <v>0.2</v>
      </c>
      <c r="G224" s="101">
        <f>VLOOKUP($D224,Construction!$B:$L,(COLUMN(Construction_QuestReward_HeroXP)-COLUMN(Construction_Name_and_Level)+1),FALSE)</f>
        <v>2650</v>
      </c>
      <c r="H224" s="101">
        <f t="shared" si="23"/>
        <v>3180</v>
      </c>
      <c r="J224" s="100">
        <f>VLOOKUP($D224,Construction!$B:$L,(COLUMN(Construction_QuestReward_Power)-COLUMN(Construction_Name_and_Level)+1),FALSE)</f>
        <v>25</v>
      </c>
      <c r="AF224" s="141"/>
      <c r="AG224" s="141"/>
      <c r="AH224" s="137"/>
      <c r="AI224" s="484"/>
      <c r="AJ224" s="137">
        <f t="shared" si="20"/>
        <v>0.11458333333333333</v>
      </c>
      <c r="AU224" s="101">
        <f>VLOOKUP($D224,Construction!$B:$Q,(COLUMN(Construction_QuestReward_Stone)-COLUMN(Construction_Name_and_Level)+1),FALSE)</f>
        <v>1500</v>
      </c>
      <c r="AV224" s="101">
        <f>VLOOKUP($D224,Construction!$B:$Q,(COLUMN(Construction_QuestReward_Wood)-COLUMN(Construction_Name_and_Level)+1),FALSE)</f>
        <v>800</v>
      </c>
      <c r="AW224" s="101">
        <f>VLOOKUP($D224,Construction!$B:$Q,(COLUMN(Construction_QuestReward_Ore)-COLUMN(Construction_Name_and_Level)+1),FALSE)</f>
        <v>800</v>
      </c>
      <c r="AX224" s="101">
        <f>VLOOKUP($D224,Construction!$B:$Q,(COLUMN(Construction_QuestReward_Food)-COLUMN(Construction_Name_and_Level)+1),FALSE)</f>
        <v>2200</v>
      </c>
      <c r="AY224" s="100">
        <f>VLOOKUP($D224,Construction!$B:$Q,(COLUMN(Construction_QuestReward_Silver)-COLUMN(Construction_Name_and_Level)+1),FALSE)</f>
        <v>250</v>
      </c>
    </row>
    <row r="225" spans="2:108" ht="15" customHeight="1">
      <c r="B225" s="113" t="s">
        <v>1483</v>
      </c>
      <c r="C225" s="127" t="s">
        <v>154</v>
      </c>
      <c r="D225" s="127">
        <v>80</v>
      </c>
      <c r="E225" s="506">
        <v>11</v>
      </c>
      <c r="G225" s="7"/>
      <c r="H225" s="7"/>
      <c r="J225" s="114">
        <f>VLOOKUP($C225,Troop!$B:$AK,(COLUMN(Troop_TrainingReward_Power)-COLUMN(Troop_Name)+1),FALSE)*$D225</f>
        <v>160</v>
      </c>
      <c r="AF225" s="141"/>
      <c r="AG225" s="141"/>
      <c r="AH225" s="137"/>
      <c r="AI225" s="484"/>
      <c r="AJ225" s="137">
        <f t="shared" si="20"/>
        <v>0.11458333333333333</v>
      </c>
      <c r="AU225" s="296">
        <f>VLOOKUP($C225,Troop!$B:$P,(COLUMN(Troop_TrainingCost_Stone)-COLUMN(Troop_Name)+1),FALSE)*$D225*(-1)</f>
        <v>0</v>
      </c>
      <c r="AV225" s="296">
        <f>VLOOKUP($C225,Troop!$B:$P,(COLUMN(Troop_TrainingCost_Wood)-COLUMN(Troop_Name)+1),FALSE)*$D225*(-1)</f>
        <v>-4000</v>
      </c>
      <c r="AW225" s="296">
        <f>VLOOKUP($C225,Troop!$B:$P,(COLUMN(Troop_TrainingCost_Ore)-COLUMN(Troop_Name)+1),FALSE)*$D225*(-1)</f>
        <v>-3040</v>
      </c>
      <c r="AX225" s="296">
        <f>VLOOKUP($C225,Troop!$B:$P,(COLUMN(Troop_TrainingCost_Food)-COLUMN(Troop_Name)+1),FALSE)*$D225*(-1)</f>
        <v>-4000</v>
      </c>
      <c r="AY225" s="114">
        <f>VLOOKUP($C225,Troop!$B:$P,(COLUMN(Troop_TrainingCost_Silver)-COLUMN(Troop_Name)+1),FALSE)*$D225*(-1)</f>
        <v>0</v>
      </c>
      <c r="CT225" s="128"/>
      <c r="CU225" s="128"/>
      <c r="CV225" s="128"/>
      <c r="CW225" s="128"/>
      <c r="CX225" s="128"/>
      <c r="CY225" s="128"/>
      <c r="CZ225" s="128"/>
      <c r="DA225" s="128"/>
      <c r="DB225" s="128"/>
      <c r="DC225" s="128"/>
      <c r="DD225" s="128"/>
    </row>
    <row r="226" spans="2:108" ht="15" customHeight="1">
      <c r="B226" s="102" t="s">
        <v>1455</v>
      </c>
      <c r="C226" s="127" t="s">
        <v>141</v>
      </c>
      <c r="D226" s="144" t="s">
        <v>1579</v>
      </c>
      <c r="E226" s="506">
        <v>11</v>
      </c>
      <c r="F226" s="12">
        <v>0.2</v>
      </c>
      <c r="G226" s="101">
        <v>2500</v>
      </c>
      <c r="H226" s="101">
        <f t="shared" ref="H226:H228" si="24">G226*(1+F226)</f>
        <v>3000</v>
      </c>
      <c r="J226" s="100">
        <v>25</v>
      </c>
      <c r="AF226" s="141"/>
      <c r="AG226" s="141"/>
      <c r="AH226" s="137"/>
      <c r="AI226" s="484"/>
      <c r="AJ226" s="137">
        <f t="shared" si="20"/>
        <v>0.11458333333333333</v>
      </c>
      <c r="AU226" s="101">
        <v>0</v>
      </c>
      <c r="AV226" s="101">
        <v>3400</v>
      </c>
      <c r="AW226" s="101">
        <v>3800</v>
      </c>
      <c r="AX226" s="101">
        <v>4000</v>
      </c>
      <c r="AY226" s="100">
        <v>0</v>
      </c>
      <c r="CT226" s="128"/>
      <c r="CU226" s="128"/>
      <c r="CV226" s="128"/>
      <c r="CW226" s="128"/>
      <c r="CX226" s="128"/>
      <c r="CY226" s="128"/>
      <c r="CZ226" s="128"/>
      <c r="DA226" s="128"/>
      <c r="DB226" s="128"/>
      <c r="DC226" s="128"/>
      <c r="DD226" s="128"/>
    </row>
    <row r="227" spans="2:108" ht="15" customHeight="1">
      <c r="B227" s="506" t="s">
        <v>144</v>
      </c>
      <c r="C227" s="127" t="s">
        <v>138</v>
      </c>
      <c r="D227" s="144" t="s">
        <v>1580</v>
      </c>
      <c r="E227" s="506">
        <v>11</v>
      </c>
      <c r="F227" s="12">
        <v>0.2</v>
      </c>
      <c r="G227" s="94">
        <f>VLOOKUP($D227,Construction!$B:$E,(COLUMN(Construction_BuildingReward_HeroXP)-COLUMN(Construction_Name_and_Level)+1),FALSE)</f>
        <v>200</v>
      </c>
      <c r="H227" s="94">
        <f t="shared" si="24"/>
        <v>240</v>
      </c>
      <c r="J227" s="95">
        <f>VLOOKUP($D227,Construction!$B:$F,(COLUMN(Construction_BuildingReward_Power)-COLUMN(Construction_Name_and_Level)+1),FALSE)</f>
        <v>60</v>
      </c>
      <c r="Q227" s="139">
        <v>3.472222222222222E-3</v>
      </c>
      <c r="R227" s="139">
        <v>6.2499999999999995E-3</v>
      </c>
      <c r="AF227" s="141"/>
      <c r="AG227" s="141"/>
      <c r="AH227" s="137"/>
      <c r="AI227" s="484"/>
      <c r="AJ227" s="137">
        <f t="shared" si="20"/>
        <v>0.11458333333333333</v>
      </c>
      <c r="AK227" s="339">
        <v>0.25</v>
      </c>
      <c r="AL227" s="138">
        <f>VLOOKUP($D227,Construction!$B:$C,(COLUMN(Construction_Time)-COLUMN(Construction_Name_and_Level)+1),FALSE)</f>
        <v>4.6296296296296302E-3</v>
      </c>
      <c r="AM227" s="138">
        <f>AL227/(1+AK227)</f>
        <v>3.7037037037037043E-3</v>
      </c>
      <c r="AN227" s="138">
        <f>(S$3*S227+T$3*T227+V$3*V227+W$3*W227+X$3*X227+Y$3*Y227+Z$3*Z227+AA$3*AA227+AB$3*AB227+AC$3*AC227)*(-1)</f>
        <v>0</v>
      </c>
      <c r="AO227" s="139">
        <f>IF((AM227-Q227-R227-AN227)&gt;=0,AM227-Q227-R227-AN227,0)</f>
        <v>0</v>
      </c>
      <c r="AU227" s="94">
        <f>VLOOKUP($D227,Construction!$B:$J,(COLUMN(Construction_BuildingCost_Stone)-COLUMN(Construction_Name_and_Level)+1),FALSE)*(-1)</f>
        <v>-983</v>
      </c>
      <c r="AV227" s="94">
        <f>VLOOKUP($D227,Construction!$B:$J,(COLUMN(Construction_BuildingCost_Wood)-COLUMN(Construction_Name_and_Level)+1),FALSE)*(-1)</f>
        <v>-983</v>
      </c>
      <c r="AW227" s="94">
        <f>VLOOKUP($D227,Construction!$B:$J,(COLUMN(Construction_BuildingCost_Ore)-COLUMN(Construction_Name_and_Level)+1),FALSE)*(-1)</f>
        <v>-247</v>
      </c>
      <c r="AX227" s="94">
        <f>VLOOKUP($D227,Construction!$B:$J,(COLUMN(Construction_BuildingCost_Food)-COLUMN(Construction_Name_and_Level)+1),FALSE)*(-1)</f>
        <v>-2457</v>
      </c>
    </row>
    <row r="228" spans="2:108" ht="15" customHeight="1">
      <c r="B228" s="506" t="s">
        <v>143</v>
      </c>
      <c r="C228" s="127" t="s">
        <v>142</v>
      </c>
      <c r="D228" s="144" t="s">
        <v>1580</v>
      </c>
      <c r="E228" s="506">
        <v>11</v>
      </c>
      <c r="F228" s="12">
        <v>0.2</v>
      </c>
      <c r="G228" s="101">
        <f>VLOOKUP($D228,Construction!$B:$L,(COLUMN(Construction_QuestReward_HeroXP)-COLUMN(Construction_Name_and_Level)+1),FALSE)</f>
        <v>2650</v>
      </c>
      <c r="H228" s="101">
        <f t="shared" si="24"/>
        <v>3180</v>
      </c>
      <c r="J228" s="100">
        <f>VLOOKUP($D228,Construction!$B:$L,(COLUMN(Construction_QuestReward_Power)-COLUMN(Construction_Name_and_Level)+1),FALSE)</f>
        <v>25</v>
      </c>
      <c r="AF228" s="141"/>
      <c r="AG228" s="141"/>
      <c r="AH228" s="137"/>
      <c r="AI228" s="484"/>
      <c r="AJ228" s="137">
        <f t="shared" si="20"/>
        <v>0.11458333333333333</v>
      </c>
      <c r="AU228" s="101">
        <f>VLOOKUP($D228,Construction!$B:$Q,(COLUMN(Construction_QuestReward_Stone)-COLUMN(Construction_Name_and_Level)+1),FALSE)</f>
        <v>2500</v>
      </c>
      <c r="AV228" s="101">
        <f>VLOOKUP($D228,Construction!$B:$Q,(COLUMN(Construction_QuestReward_Wood)-COLUMN(Construction_Name_and_Level)+1),FALSE)</f>
        <v>2500</v>
      </c>
      <c r="AW228" s="101">
        <f>VLOOKUP($D228,Construction!$B:$Q,(COLUMN(Construction_QuestReward_Ore)-COLUMN(Construction_Name_and_Level)+1),FALSE)</f>
        <v>700</v>
      </c>
      <c r="AX228" s="101">
        <f>VLOOKUP($D228,Construction!$B:$Q,(COLUMN(Construction_QuestReward_Food)-COLUMN(Construction_Name_and_Level)+1),FALSE)</f>
        <v>6300</v>
      </c>
      <c r="AY228" s="100">
        <f>VLOOKUP($D228,Construction!$B:$Q,(COLUMN(Construction_QuestReward_Silver)-COLUMN(Construction_Name_and_Level)+1),FALSE)</f>
        <v>50</v>
      </c>
    </row>
    <row r="229" spans="2:108" ht="15" customHeight="1">
      <c r="B229" s="506" t="s">
        <v>144</v>
      </c>
      <c r="C229" s="127" t="s">
        <v>138</v>
      </c>
      <c r="D229" s="144" t="s">
        <v>1581</v>
      </c>
      <c r="E229" s="506">
        <v>11</v>
      </c>
      <c r="F229" s="12">
        <v>0.2</v>
      </c>
      <c r="G229" s="94">
        <f>VLOOKUP($D229,Construction!$B:$E,(COLUMN(Construction_BuildingReward_HeroXP)-COLUMN(Construction_Name_and_Level)+1),FALSE)</f>
        <v>400</v>
      </c>
      <c r="H229" s="94">
        <f t="shared" ref="H229:H230" si="25">G229*(1+F229)</f>
        <v>480</v>
      </c>
      <c r="J229" s="95">
        <f>VLOOKUP($D229,Construction!$B:$F,(COLUMN(Construction_BuildingReward_Power)-COLUMN(Construction_Name_and_Level)+1),FALSE)</f>
        <v>90</v>
      </c>
      <c r="Q229" s="139">
        <v>3.472222222222222E-3</v>
      </c>
      <c r="R229" s="139">
        <v>6.2499999999999995E-3</v>
      </c>
      <c r="AF229" s="141"/>
      <c r="AG229" s="141"/>
      <c r="AH229" s="137"/>
      <c r="AI229" s="484"/>
      <c r="AJ229" s="137">
        <f t="shared" si="20"/>
        <v>0.11458333333333333</v>
      </c>
      <c r="AK229" s="339">
        <v>0.25</v>
      </c>
      <c r="AL229" s="138">
        <f>VLOOKUP($D229,Construction!$B:$C,(COLUMN(Construction_Time)-COLUMN(Construction_Name_and_Level)+1),FALSE)</f>
        <v>9.2592592592592605E-3</v>
      </c>
      <c r="AM229" s="138">
        <f>AL229/(1+AK229)</f>
        <v>7.4074074074074086E-3</v>
      </c>
      <c r="AN229" s="138">
        <f>(S$3*S229+T$3*T229+V$3*V229+W$3*W229+X$3*X229+Y$3*Y229+Z$3*Z229+AA$3*AA229+AB$3*AB229+AC$3*AC229)*(-1)</f>
        <v>0</v>
      </c>
      <c r="AO229" s="139">
        <f>IF((AM229-Q229-R229-AN229)&gt;=0,AM229-Q229-R229-AN229,0)</f>
        <v>0</v>
      </c>
      <c r="AU229" s="94">
        <f>VLOOKUP($D229,Construction!$B:$J,(COLUMN(Construction_BuildingCost_Stone)-COLUMN(Construction_Name_and_Level)+1),FALSE)*(-1)</f>
        <v>-1672</v>
      </c>
      <c r="AV229" s="94">
        <f>VLOOKUP($D229,Construction!$B:$J,(COLUMN(Construction_BuildingCost_Wood)-COLUMN(Construction_Name_and_Level)+1),FALSE)*(-1)</f>
        <v>-1672</v>
      </c>
      <c r="AW229" s="94">
        <f>VLOOKUP($D229,Construction!$B:$J,(COLUMN(Construction_BuildingCost_Ore)-COLUMN(Construction_Name_and_Level)+1),FALSE)*(-1)</f>
        <v>-420</v>
      </c>
      <c r="AX229" s="94">
        <f>VLOOKUP($D229,Construction!$B:$J,(COLUMN(Construction_BuildingCost_Food)-COLUMN(Construction_Name_and_Level)+1),FALSE)*(-1)</f>
        <v>-4177</v>
      </c>
    </row>
    <row r="230" spans="2:108" ht="15" customHeight="1">
      <c r="B230" s="506" t="s">
        <v>143</v>
      </c>
      <c r="C230" s="127" t="s">
        <v>142</v>
      </c>
      <c r="D230" s="144" t="s">
        <v>1581</v>
      </c>
      <c r="E230" s="506">
        <v>11</v>
      </c>
      <c r="F230" s="12">
        <v>0.2</v>
      </c>
      <c r="G230" s="101">
        <f>VLOOKUP($D230,Construction!$B:$L,(COLUMN(Construction_QuestReward_HeroXP)-COLUMN(Construction_Name_and_Level)+1),FALSE)</f>
        <v>2675</v>
      </c>
      <c r="H230" s="101">
        <f t="shared" si="25"/>
        <v>3210</v>
      </c>
      <c r="J230" s="100">
        <f>VLOOKUP($D230,Construction!$B:$L,(COLUMN(Construction_QuestReward_Power)-COLUMN(Construction_Name_and_Level)+1),FALSE)</f>
        <v>45</v>
      </c>
      <c r="AF230" s="141"/>
      <c r="AG230" s="141"/>
      <c r="AH230" s="137"/>
      <c r="AI230" s="484"/>
      <c r="AJ230" s="137">
        <f t="shared" si="20"/>
        <v>0.11458333333333333</v>
      </c>
      <c r="AU230" s="101">
        <f>VLOOKUP($D230,Construction!$B:$Q,(COLUMN(Construction_QuestReward_Stone)-COLUMN(Construction_Name_and_Level)+1),FALSE)</f>
        <v>3500</v>
      </c>
      <c r="AV230" s="101">
        <f>VLOOKUP($D230,Construction!$B:$Q,(COLUMN(Construction_QuestReward_Wood)-COLUMN(Construction_Name_and_Level)+1),FALSE)</f>
        <v>7800</v>
      </c>
      <c r="AW230" s="101">
        <f>VLOOKUP($D230,Construction!$B:$Q,(COLUMN(Construction_QuestReward_Ore)-COLUMN(Construction_Name_and_Level)+1),FALSE)</f>
        <v>900</v>
      </c>
      <c r="AX230" s="101">
        <f>VLOOKUP($D230,Construction!$B:$Q,(COLUMN(Construction_QuestReward_Food)-COLUMN(Construction_Name_and_Level)+1),FALSE)</f>
        <v>2000</v>
      </c>
      <c r="AY230" s="100">
        <f>VLOOKUP($D230,Construction!$B:$Q,(COLUMN(Construction_QuestReward_Silver)-COLUMN(Construction_Name_and_Level)+1),FALSE)</f>
        <v>950</v>
      </c>
    </row>
    <row r="231" spans="2:108" ht="15" customHeight="1">
      <c r="B231" s="113" t="s">
        <v>1483</v>
      </c>
      <c r="C231" s="127" t="s">
        <v>592</v>
      </c>
      <c r="D231" s="127">
        <v>500</v>
      </c>
      <c r="E231" s="506">
        <v>11</v>
      </c>
      <c r="G231" s="7"/>
      <c r="H231" s="7"/>
      <c r="J231" s="114">
        <f>VLOOKUP($C231,Troop!$B:$AK,(COLUMN(Troop_TrainingReward_Power)-COLUMN(Troop_Name)+1),FALSE)*$D231</f>
        <v>500</v>
      </c>
      <c r="AF231" s="141"/>
      <c r="AG231" s="141"/>
      <c r="AH231" s="137"/>
      <c r="AI231" s="484"/>
      <c r="AJ231" s="137">
        <f t="shared" si="20"/>
        <v>0.11458333333333333</v>
      </c>
      <c r="AU231" s="296">
        <f>VLOOKUP($C231,Troop!$B:$P,(COLUMN(Troop_TrainingCost_Stone)-COLUMN(Troop_Name)+1),FALSE)*$D231*(-1)</f>
        <v>-5000</v>
      </c>
      <c r="AV231" s="296">
        <f>VLOOKUP($C231,Troop!$B:$P,(COLUMN(Troop_TrainingCost_Wood)-COLUMN(Troop_Name)+1),FALSE)*$D231*(-1)</f>
        <v>0</v>
      </c>
      <c r="AW231" s="296">
        <f>VLOOKUP($C231,Troop!$B:$P,(COLUMN(Troop_TrainingCost_Ore)-COLUMN(Troop_Name)+1),FALSE)*$D231*(-1)</f>
        <v>0</v>
      </c>
      <c r="AX231" s="296">
        <f>VLOOKUP($C231,Troop!$B:$P,(COLUMN(Troop_TrainingCost_Food)-COLUMN(Troop_Name)+1),FALSE)*$D231*(-1)</f>
        <v>-5000</v>
      </c>
      <c r="AY231" s="114">
        <f>VLOOKUP($C231,Troop!$B:$P,(COLUMN(Troop_TrainingCost_Silver)-COLUMN(Troop_Name)+1),FALSE)*$D231*(-1)</f>
        <v>0</v>
      </c>
      <c r="CT231" s="128"/>
      <c r="CU231" s="128"/>
      <c r="CV231" s="128"/>
      <c r="CW231" s="128"/>
      <c r="CX231" s="128"/>
      <c r="CY231" s="128"/>
      <c r="CZ231" s="128"/>
      <c r="DA231" s="128"/>
      <c r="DB231" s="128"/>
      <c r="DC231" s="128"/>
      <c r="DD231" s="128"/>
    </row>
    <row r="232" spans="2:108" ht="15" customHeight="1">
      <c r="B232" s="102" t="s">
        <v>1455</v>
      </c>
      <c r="C232" s="127" t="s">
        <v>141</v>
      </c>
      <c r="D232" s="144" t="s">
        <v>1582</v>
      </c>
      <c r="E232" s="506">
        <v>11</v>
      </c>
      <c r="F232" s="12">
        <v>0.2</v>
      </c>
      <c r="G232" s="101">
        <v>5000</v>
      </c>
      <c r="H232" s="101">
        <f t="shared" ref="H232" si="26">G232*(1+F232)</f>
        <v>6000</v>
      </c>
      <c r="J232" s="100">
        <v>25</v>
      </c>
      <c r="AF232" s="141"/>
      <c r="AG232" s="141"/>
      <c r="AH232" s="137"/>
      <c r="AI232" s="484"/>
      <c r="AJ232" s="137">
        <f t="shared" si="20"/>
        <v>0.11458333333333333</v>
      </c>
      <c r="AU232" s="101">
        <v>6000</v>
      </c>
      <c r="AV232" s="101">
        <v>7500</v>
      </c>
      <c r="AW232" s="101">
        <v>0</v>
      </c>
      <c r="AX232" s="101">
        <v>3000</v>
      </c>
      <c r="AY232" s="100">
        <v>125</v>
      </c>
      <c r="CT232" s="128"/>
      <c r="CU232" s="128"/>
      <c r="CV232" s="128"/>
      <c r="CW232" s="128"/>
      <c r="CX232" s="128"/>
      <c r="CY232" s="128"/>
      <c r="CZ232" s="128"/>
      <c r="DA232" s="128"/>
      <c r="DB232" s="128"/>
      <c r="DC232" s="128"/>
      <c r="DD232" s="128"/>
    </row>
    <row r="233" spans="2:108" ht="15" customHeight="1">
      <c r="B233" s="506" t="s">
        <v>144</v>
      </c>
      <c r="C233" s="127" t="s">
        <v>138</v>
      </c>
      <c r="D233" s="144" t="s">
        <v>1583</v>
      </c>
      <c r="E233" s="506">
        <v>11</v>
      </c>
      <c r="F233" s="12">
        <v>0.2</v>
      </c>
      <c r="G233" s="94">
        <f>VLOOKUP($D233,Construction!$B:$E,(COLUMN(Construction_BuildingReward_HeroXP)-COLUMN(Construction_Name_and_Level)+1),FALSE)</f>
        <v>400</v>
      </c>
      <c r="H233" s="94">
        <f t="shared" ref="H233:H234" si="27">G233*(1+F233)</f>
        <v>480</v>
      </c>
      <c r="J233" s="95">
        <f>VLOOKUP($D233,Construction!$B:$F,(COLUMN(Construction_BuildingReward_Power)-COLUMN(Construction_Name_and_Level)+1),FALSE)</f>
        <v>90</v>
      </c>
      <c r="Q233" s="139">
        <v>3.472222222222222E-3</v>
      </c>
      <c r="R233" s="139">
        <v>6.2499999999999995E-3</v>
      </c>
      <c r="W233" s="11">
        <v>-1</v>
      </c>
      <c r="AF233" s="141"/>
      <c r="AG233" s="141"/>
      <c r="AH233" s="137"/>
      <c r="AI233" s="484">
        <f>(-1)*($S$3*$S233+$T$3*$T233+$U$3*$U233+$V$3*$V233+$W$3*$W233+$X$3*$X233+$Y$3*$Y233+$Z$3*$Z233+$AA$3*$AA233+$AB$3*$AB233+$AC$3*$AC233)</f>
        <v>1.0416666666666666E-2</v>
      </c>
      <c r="AJ233" s="137">
        <f t="shared" si="20"/>
        <v>0.10416666666666666</v>
      </c>
      <c r="AK233" s="339">
        <v>0.25</v>
      </c>
      <c r="AL233" s="138">
        <f>VLOOKUP($D233,Construction!$B:$C,(COLUMN(Construction_Time)-COLUMN(Construction_Name_and_Level)+1),FALSE)</f>
        <v>1.8518518518518521E-2</v>
      </c>
      <c r="AM233" s="138">
        <f>AL233/(1+AK233)</f>
        <v>1.4814814814814817E-2</v>
      </c>
      <c r="AN233" s="138">
        <f>(S$3*S233+T$3*T233+V$3*V233+W$3*W233+X$3*X233+Y$3*Y233+Z$3*Z233+AA$3*AA233+AB$3*AB233+AC$3*AC233)*(-1)</f>
        <v>1.0416666666666666E-2</v>
      </c>
      <c r="AO233" s="139">
        <f>IF((AM233-Q233-R233-AN233)&gt;=0,AM233-Q233-R233-AN233,0)</f>
        <v>0</v>
      </c>
      <c r="AU233" s="94">
        <f>VLOOKUP($D233,Construction!$B:$J,(COLUMN(Construction_BuildingCost_Stone)-COLUMN(Construction_Name_and_Level)+1),FALSE)*(-1)</f>
        <v>-2101</v>
      </c>
      <c r="AV233" s="94">
        <f>VLOOKUP($D233,Construction!$B:$J,(COLUMN(Construction_BuildingCost_Wood)-COLUMN(Construction_Name_and_Level)+1),FALSE)*(-1)</f>
        <v>-1052</v>
      </c>
      <c r="AW233" s="94">
        <f>VLOOKUP($D233,Construction!$B:$J,(COLUMN(Construction_BuildingCost_Ore)-COLUMN(Construction_Name_and_Level)+1),FALSE)*(-1)</f>
        <v>-1052</v>
      </c>
      <c r="AX233" s="94">
        <f>VLOOKUP($D233,Construction!$B:$J,(COLUMN(Construction_BuildingCost_Food)-COLUMN(Construction_Name_and_Level)+1),FALSE)*(-1)</f>
        <v>-3150</v>
      </c>
    </row>
    <row r="234" spans="2:108" ht="15" customHeight="1">
      <c r="B234" s="506" t="s">
        <v>143</v>
      </c>
      <c r="C234" s="127" t="s">
        <v>142</v>
      </c>
      <c r="D234" s="144" t="s">
        <v>1583</v>
      </c>
      <c r="E234" s="506">
        <v>11</v>
      </c>
      <c r="F234" s="12">
        <v>0.25</v>
      </c>
      <c r="G234" s="101">
        <f>VLOOKUP($D234,Construction!$B:$L,(COLUMN(Construction_QuestReward_HeroXP)-COLUMN(Construction_Name_and_Level)+1),FALSE)</f>
        <v>2675</v>
      </c>
      <c r="H234" s="101">
        <f t="shared" si="27"/>
        <v>3343.75</v>
      </c>
      <c r="J234" s="100">
        <f>VLOOKUP($D234,Construction!$B:$L,(COLUMN(Construction_QuestReward_Power)-COLUMN(Construction_Name_and_Level)+1),FALSE)</f>
        <v>45</v>
      </c>
      <c r="AF234" s="141"/>
      <c r="AG234" s="141"/>
      <c r="AH234" s="137"/>
      <c r="AI234" s="484"/>
      <c r="AJ234" s="137">
        <f t="shared" si="20"/>
        <v>0.10416666666666666</v>
      </c>
      <c r="AU234" s="101">
        <f>VLOOKUP($D234,Construction!$B:$Q,(COLUMN(Construction_QuestReward_Stone)-COLUMN(Construction_Name_and_Level)+1),FALSE)</f>
        <v>2200</v>
      </c>
      <c r="AV234" s="101">
        <f>VLOOKUP($D234,Construction!$B:$Q,(COLUMN(Construction_QuestReward_Wood)-COLUMN(Construction_Name_and_Level)+1),FALSE)</f>
        <v>1100</v>
      </c>
      <c r="AW234" s="101">
        <f>VLOOKUP($D234,Construction!$B:$Q,(COLUMN(Construction_QuestReward_Ore)-COLUMN(Construction_Name_and_Level)+1),FALSE)</f>
        <v>1100</v>
      </c>
      <c r="AX234" s="101">
        <f>VLOOKUP($D234,Construction!$B:$Q,(COLUMN(Construction_QuestReward_Food)-COLUMN(Construction_Name_and_Level)+1),FALSE)</f>
        <v>3200</v>
      </c>
      <c r="AY234" s="100">
        <f>VLOOKUP($D234,Construction!$B:$Q,(COLUMN(Construction_QuestReward_Silver)-COLUMN(Construction_Name_and_Level)+1),FALSE)</f>
        <v>450</v>
      </c>
    </row>
    <row r="235" spans="2:108" ht="15" customHeight="1">
      <c r="B235" s="506" t="s">
        <v>143</v>
      </c>
      <c r="C235" s="127" t="s">
        <v>150</v>
      </c>
      <c r="D235" s="144" t="s">
        <v>1584</v>
      </c>
      <c r="E235" s="506">
        <v>11</v>
      </c>
      <c r="G235" s="7"/>
      <c r="H235" s="7"/>
      <c r="J235" s="100">
        <v>25</v>
      </c>
      <c r="AF235" s="141"/>
      <c r="AG235" s="141"/>
      <c r="AH235" s="137"/>
      <c r="AI235" s="484"/>
      <c r="AJ235" s="137">
        <f t="shared" si="20"/>
        <v>0.10416666666666666</v>
      </c>
      <c r="AT235" s="221"/>
      <c r="AU235" s="101">
        <v>6300</v>
      </c>
      <c r="AV235" s="101">
        <v>6300</v>
      </c>
      <c r="AW235" s="101">
        <v>6300</v>
      </c>
      <c r="AX235" s="101">
        <v>6300</v>
      </c>
      <c r="AY235" s="100">
        <v>1250</v>
      </c>
      <c r="AZ235" s="7"/>
      <c r="BA235" s="7"/>
    </row>
    <row r="236" spans="2:108" ht="15" customHeight="1">
      <c r="B236" s="506" t="s">
        <v>146</v>
      </c>
      <c r="C236" s="127" t="s">
        <v>138</v>
      </c>
      <c r="D236" s="144" t="s">
        <v>1585</v>
      </c>
      <c r="E236" s="506">
        <v>11</v>
      </c>
      <c r="F236" s="12">
        <v>0.25</v>
      </c>
      <c r="G236" s="111">
        <f>VLOOKUP($D236,Research!$C:$F,(COLUMN(Research_ResearchReward_HeroXP)-COLUMN(Research_Name_and_Level)+1),FALSE)</f>
        <v>144000</v>
      </c>
      <c r="H236" s="111">
        <f t="shared" ref="H236" si="28">G236*(1+F236)</f>
        <v>180000</v>
      </c>
      <c r="J236" s="115">
        <f>VLOOKUP($D236,Research!$C:$G,(COLUMN(Research_ResearchReward_Power)-COLUMN(Research_Name_and_Level)+1),FALSE)</f>
        <v>101</v>
      </c>
      <c r="R236" s="148">
        <v>6.2499999999999995E-3</v>
      </c>
      <c r="AF236" s="141"/>
      <c r="AG236" s="141"/>
      <c r="AH236" s="137"/>
      <c r="AI236" s="484"/>
      <c r="AJ236" s="137">
        <f t="shared" si="20"/>
        <v>0.10416666666666666</v>
      </c>
      <c r="AP236" s="256">
        <v>0.04</v>
      </c>
      <c r="AQ236" s="147">
        <f>VLOOKUP($D236,Research!$C:$D,(COLUMN(Research_Time)-COLUMN(Research_Name_and_Level)+1),FALSE)</f>
        <v>9.375E-2</v>
      </c>
      <c r="AR236" s="147">
        <f>AQ236/(1+AP236)</f>
        <v>9.0144230769230768E-2</v>
      </c>
      <c r="AS236" s="147">
        <f>(S$3*S236+T$3*T236+V$3*V236+W$3*W236+X$3*X236+Y$3*Y236+Z$3*Z236+AA$3*AA236+AB$3*AB236+AC$3*AC236)*(-1)</f>
        <v>0</v>
      </c>
      <c r="AT236" s="148">
        <f>IF(AR236-R236-AS236&gt;=0,AR236-R236-AS236,0)</f>
        <v>8.3894230769230763E-2</v>
      </c>
      <c r="AU236" s="111">
        <f>VLOOKUP($D236,Research!$C:$L,(COLUMN(Research_ResearchCost_Stone)-COLUMN(Research_Name_and_Level)+1),FALSE)*(-1)</f>
        <v>0</v>
      </c>
      <c r="AV236" s="111">
        <f>VLOOKUP($D236,Research!$C:$L,(COLUMN(Research_ResearchCost_Wood)-COLUMN(Research_Name_and_Level)+1),FALSE)*(-1)</f>
        <v>0</v>
      </c>
      <c r="AW236" s="111">
        <f>VLOOKUP($D236,Research!$C:$L,(COLUMN(Research_ResearchCost_Ore)-COLUMN(Research_Name_and_Level)+1),FALSE)*(-1)</f>
        <v>0</v>
      </c>
      <c r="AX236" s="111">
        <f>VLOOKUP($D236,Research!$C:$L,(COLUMN(Research_ResearchCost_Food)-COLUMN(Research_Name_and_Level)+1),FALSE)*(-1)</f>
        <v>0</v>
      </c>
      <c r="AY236" s="112">
        <f>VLOOKUP($D236,Research!$C:$L,(COLUMN(Research_ResearchCost_Silver)-COLUMN(Research_Name_and_Level)+1),FALSE)*(-1)</f>
        <v>-2025</v>
      </c>
    </row>
    <row r="237" spans="2:108" ht="15" customHeight="1">
      <c r="B237" s="126" t="s">
        <v>1457</v>
      </c>
      <c r="C237" s="127" t="s">
        <v>147</v>
      </c>
      <c r="D237" s="144" t="s">
        <v>1586</v>
      </c>
      <c r="E237" s="506">
        <v>12</v>
      </c>
      <c r="I237" s="5">
        <v>3</v>
      </c>
      <c r="J237" s="5">
        <v>156</v>
      </c>
      <c r="Q237" s="149"/>
      <c r="AF237" s="141"/>
      <c r="AG237" s="141"/>
      <c r="AH237" s="137"/>
      <c r="AI237" s="484"/>
      <c r="AJ237" s="137">
        <f t="shared" si="20"/>
        <v>0.10416666666666666</v>
      </c>
      <c r="AX237" s="11"/>
    </row>
    <row r="238" spans="2:108" ht="15" customHeight="1">
      <c r="B238" s="106" t="s">
        <v>171</v>
      </c>
      <c r="C238" s="130"/>
      <c r="D238" s="130" t="s">
        <v>1587</v>
      </c>
      <c r="E238" s="106">
        <v>12</v>
      </c>
      <c r="F238" s="219">
        <v>0.25</v>
      </c>
      <c r="G238" s="107" t="s">
        <v>1453</v>
      </c>
      <c r="H238" s="107">
        <v>975696</v>
      </c>
      <c r="I238" s="108">
        <v>23</v>
      </c>
      <c r="J238" s="108">
        <v>12544</v>
      </c>
      <c r="K238" s="107">
        <v>4</v>
      </c>
      <c r="L238" s="107">
        <v>890</v>
      </c>
      <c r="M238" s="134">
        <v>0.14583333333333334</v>
      </c>
      <c r="N238" s="109">
        <v>200</v>
      </c>
      <c r="O238" s="109">
        <f>SUMIF($B$4:$B237,"&lt;&gt;"&amp;$CS$13,O$4:O237)</f>
        <v>0</v>
      </c>
      <c r="P238" s="108">
        <f>SUMIF($B$4:$B237,"&lt;&gt;"&amp;$CS$13,N$4:N237)</f>
        <v>200</v>
      </c>
      <c r="Q238" s="134">
        <v>3.472222222222222E-3</v>
      </c>
      <c r="R238" s="134">
        <v>6.2499999999999995E-3</v>
      </c>
      <c r="S238" s="107">
        <v>0</v>
      </c>
      <c r="T238" s="107">
        <v>0</v>
      </c>
      <c r="U238" s="107">
        <v>0</v>
      </c>
      <c r="V238" s="107">
        <v>0</v>
      </c>
      <c r="W238" s="109">
        <v>6</v>
      </c>
      <c r="X238" s="109">
        <v>1</v>
      </c>
      <c r="Y238" s="109">
        <v>0</v>
      </c>
      <c r="Z238" s="109">
        <v>0</v>
      </c>
      <c r="AA238" s="109">
        <v>0</v>
      </c>
      <c r="AB238" s="109">
        <v>0</v>
      </c>
      <c r="AC238" s="109">
        <v>0</v>
      </c>
      <c r="AD238" s="109">
        <v>0</v>
      </c>
      <c r="AE238" s="108">
        <v>0</v>
      </c>
      <c r="AF238" s="136">
        <f>SUMIF($B$4:$B237,"&lt;&gt;"&amp;$CS$13,AF$4:AF237)</f>
        <v>0.21388888888888888</v>
      </c>
      <c r="AG238" s="136">
        <f>SUMIF($B$4:$B237,"&lt;&gt;"&amp;$CS$13,AG$4:AG237)</f>
        <v>0</v>
      </c>
      <c r="AH238" s="134">
        <f>AF238+AG238</f>
        <v>0.21388888888888888</v>
      </c>
      <c r="AI238" s="483">
        <f>SUMIF($B$4:$B237,"&lt;&gt;"&amp;$CS$13,AI$4:AI237)</f>
        <v>0.10972222222222222</v>
      </c>
      <c r="AJ238" s="134">
        <f>S$3*S238+T$3*T238+U$3*U238+V$3*V238+W$3*W238+X$3*X238+Y$3*Y238+Z$3*Z238+AA$3*AA238+AB$3*AB238+AC$3*AC238</f>
        <v>0.10416666666666666</v>
      </c>
      <c r="AK238" s="343">
        <v>0.41</v>
      </c>
      <c r="AL238" s="136" t="s">
        <v>1453</v>
      </c>
      <c r="AM238" s="136" t="s">
        <v>1453</v>
      </c>
      <c r="AN238" s="136" t="s">
        <v>1453</v>
      </c>
      <c r="AO238" s="134" t="s">
        <v>1453</v>
      </c>
      <c r="AP238" s="255">
        <v>0.04</v>
      </c>
      <c r="AQ238" s="136" t="s">
        <v>1453</v>
      </c>
      <c r="AR238" s="136" t="s">
        <v>1453</v>
      </c>
      <c r="AS238" s="136" t="s">
        <v>1453</v>
      </c>
      <c r="AT238" s="134" t="s">
        <v>1453</v>
      </c>
      <c r="AU238" s="107">
        <v>182200</v>
      </c>
      <c r="AV238" s="107">
        <v>169000</v>
      </c>
      <c r="AW238" s="107">
        <v>155900</v>
      </c>
      <c r="AX238" s="109">
        <v>250600</v>
      </c>
      <c r="AY238" s="108">
        <v>38950</v>
      </c>
      <c r="AZ238" s="107">
        <v>572</v>
      </c>
      <c r="BA238" s="107">
        <v>388</v>
      </c>
      <c r="BB238" s="107">
        <v>583</v>
      </c>
      <c r="BC238" s="107">
        <v>1134</v>
      </c>
      <c r="BD238" s="108">
        <v>385</v>
      </c>
      <c r="BE238" s="108">
        <v>-200</v>
      </c>
      <c r="BF238" s="107">
        <v>41000</v>
      </c>
      <c r="BG238" s="107">
        <v>33000</v>
      </c>
      <c r="BH238" s="107">
        <v>42000</v>
      </c>
      <c r="BI238" s="107">
        <v>60000</v>
      </c>
      <c r="BJ238" s="108">
        <v>33000</v>
      </c>
      <c r="BK238" s="107">
        <v>5</v>
      </c>
      <c r="BL238" s="108">
        <v>4</v>
      </c>
      <c r="BM238" s="108">
        <v>4</v>
      </c>
      <c r="BN238" s="107">
        <v>5</v>
      </c>
      <c r="BO238" s="108">
        <v>4</v>
      </c>
      <c r="BP238" s="107">
        <v>3</v>
      </c>
      <c r="BQ238" s="108">
        <v>4</v>
      </c>
      <c r="BR238" s="107">
        <v>4</v>
      </c>
      <c r="BS238" s="108">
        <v>4</v>
      </c>
      <c r="BT238" s="107">
        <v>5</v>
      </c>
      <c r="BU238" s="108">
        <v>4</v>
      </c>
      <c r="BV238" s="107">
        <v>5</v>
      </c>
      <c r="BW238" s="108">
        <v>4</v>
      </c>
      <c r="BX238" s="107">
        <v>4</v>
      </c>
      <c r="BY238" s="108">
        <v>1</v>
      </c>
      <c r="BZ238" s="107">
        <v>2</v>
      </c>
      <c r="CA238" s="108">
        <v>1</v>
      </c>
      <c r="CB238" s="108">
        <v>2</v>
      </c>
      <c r="CC238" s="108">
        <v>4</v>
      </c>
      <c r="CD238" s="108">
        <v>4</v>
      </c>
      <c r="CE238" s="107"/>
      <c r="CF238" s="107"/>
      <c r="CG238" s="108"/>
      <c r="CH238" s="107">
        <v>5</v>
      </c>
      <c r="CI238" s="107"/>
      <c r="CJ238" s="108"/>
      <c r="CK238" s="108"/>
      <c r="CL238" s="107">
        <v>35200</v>
      </c>
      <c r="CM238" s="108"/>
      <c r="CN238" s="108" t="s">
        <v>1208</v>
      </c>
    </row>
    <row r="239" spans="2:108" ht="15" customHeight="1">
      <c r="B239" s="102" t="s">
        <v>1455</v>
      </c>
      <c r="C239" s="127" t="s">
        <v>170</v>
      </c>
      <c r="D239" s="144" t="s">
        <v>1585</v>
      </c>
      <c r="E239" s="506">
        <v>12</v>
      </c>
      <c r="F239" s="12">
        <v>0.25</v>
      </c>
      <c r="G239" s="101">
        <f>VLOOKUP($D239,Research!$C:$M,(COLUMN(Research_QuestReward_HeroXP)-COLUMN(Research_Name_and_Level)+1),FALSE)</f>
        <v>1000</v>
      </c>
      <c r="H239" s="101">
        <f>G239*(1+F239)</f>
        <v>1250</v>
      </c>
      <c r="J239" s="103">
        <f>VLOOKUP($D239,Research!$C:$N,(COLUMN(Research_QuestReward_Power)-COLUMN(Research_Name_and_Level)+1),FALSE)</f>
        <v>110</v>
      </c>
      <c r="AF239" s="141"/>
      <c r="AG239" s="141"/>
      <c r="AH239" s="137"/>
      <c r="AI239" s="484"/>
      <c r="AJ239" s="137">
        <f t="shared" ref="AJ239:AJ261" si="29">AJ238+(S$3*S239+T$3*T239+U$3*U239+V$3*V239+W$3*W239+X$3*X239+Y$3*Y239+Z$3*Z239+AA$3*AA239+AB$3*AB239+AC$3*AC239)</f>
        <v>0.10416666666666666</v>
      </c>
      <c r="AU239" s="101">
        <f>VLOOKUP($D239,Research!$C:$S,(COLUMN(Research_QuestReward_Stone)-COLUMN(Research_Name_and_Level)+1),FALSE)</f>
        <v>0</v>
      </c>
      <c r="AV239" s="101">
        <f>VLOOKUP($D239,Research!$C:$S,(COLUMN(Research_QuestReward_Wood)-COLUMN(Research_Name_and_Level)+1),FALSE)</f>
        <v>0</v>
      </c>
      <c r="AW239" s="101">
        <f>VLOOKUP($D239,Research!$C:$S,(COLUMN(Research_QuestReward_Ore)-COLUMN(Research_Name_and_Level)+1),FALSE)</f>
        <v>0</v>
      </c>
      <c r="AX239" s="101">
        <f>VLOOKUP($D239,Research!$C:$S,(COLUMN(Research_QuestReward_Food)-COLUMN(Research_Name_and_Level)+1),FALSE)</f>
        <v>0</v>
      </c>
      <c r="AY239" s="100">
        <f>VLOOKUP($D239,Research!$C:$S,(COLUMN(Research_QuestReward_Silver)-COLUMN(Research_Name_and_Level)+1),FALSE)</f>
        <v>1500</v>
      </c>
      <c r="CT239" s="127"/>
      <c r="CU239" s="127"/>
      <c r="CV239" s="127"/>
      <c r="CW239" s="127"/>
      <c r="CX239" s="127"/>
      <c r="CY239" s="127"/>
      <c r="CZ239" s="127"/>
      <c r="DA239" s="127"/>
      <c r="DB239" s="127"/>
      <c r="DC239" s="127"/>
      <c r="DD239" s="127"/>
    </row>
    <row r="240" spans="2:108" ht="15" customHeight="1">
      <c r="B240" s="506" t="s">
        <v>145</v>
      </c>
      <c r="C240" s="146" t="s">
        <v>151</v>
      </c>
      <c r="D240" s="145">
        <v>1.9444444444444442E-3</v>
      </c>
      <c r="E240" s="506">
        <v>12</v>
      </c>
      <c r="AF240" s="141"/>
      <c r="AG240" s="141"/>
      <c r="AH240" s="137"/>
      <c r="AI240" s="484"/>
      <c r="AJ240" s="137">
        <f t="shared" si="29"/>
        <v>0.10416666666666666</v>
      </c>
      <c r="AW240" s="2">
        <v>1000</v>
      </c>
    </row>
    <row r="241" spans="2:108" ht="15" customHeight="1">
      <c r="B241" s="506" t="s">
        <v>144</v>
      </c>
      <c r="C241" s="127" t="s">
        <v>138</v>
      </c>
      <c r="D241" s="144" t="s">
        <v>1588</v>
      </c>
      <c r="E241" s="506">
        <v>12</v>
      </c>
      <c r="F241" s="12">
        <v>0.25</v>
      </c>
      <c r="G241" s="94">
        <f>VLOOKUP($D241,Construction!$B:$E,(COLUMN(Construction_BuildingReward_HeroXP)-COLUMN(Construction_Name_and_Level)+1),FALSE)</f>
        <v>400</v>
      </c>
      <c r="H241" s="94">
        <f t="shared" ref="H241:H242" si="30">G241*(1+F241)</f>
        <v>500</v>
      </c>
      <c r="J241" s="95">
        <f>VLOOKUP($D241,Construction!$B:$F,(COLUMN(Construction_BuildingReward_Power)-COLUMN(Construction_Name_and_Level)+1),FALSE)</f>
        <v>245</v>
      </c>
      <c r="Q241" s="139">
        <v>3.472222222222222E-3</v>
      </c>
      <c r="R241" s="139">
        <v>6.2499999999999995E-3</v>
      </c>
      <c r="W241" s="11">
        <v>-1</v>
      </c>
      <c r="AF241" s="141"/>
      <c r="AG241" s="141"/>
      <c r="AH241" s="137"/>
      <c r="AI241" s="484">
        <f>(-1)*($S$3*$S241+$T$3*$T241+$U$3*$U241+$V$3*$V241+$W$3*$W241+$X$3*$X241+$Y$3*$Y241+$Z$3*$Z241+$AA$3*$AA241+$AB$3*$AB241+$AC$3*$AC241)</f>
        <v>1.0416666666666666E-2</v>
      </c>
      <c r="AJ241" s="137">
        <f t="shared" si="29"/>
        <v>9.3749999999999986E-2</v>
      </c>
      <c r="AK241" s="339">
        <v>0.41</v>
      </c>
      <c r="AL241" s="138">
        <f>VLOOKUP($D241,Construction!$B:$C,(COLUMN(Construction_Time)-COLUMN(Construction_Name_and_Level)+1),FALSE)</f>
        <v>1.8518518518518521E-2</v>
      </c>
      <c r="AM241" s="138">
        <f>AL241/(1+AK241)</f>
        <v>1.313370107696349E-2</v>
      </c>
      <c r="AN241" s="138">
        <f>(S$3*S241+T$3*T241+V$3*V241+W$3*W241+X$3*X241+Y$3*Y241+Z$3*Z241+AA$3*AA241+AB$3*AB241+AC$3*AC241)*(-1)</f>
        <v>1.0416666666666666E-2</v>
      </c>
      <c r="AO241" s="139">
        <f>IF((AM241-Q241-R241-AN241)&gt;=0,AM241-Q241-R241-AN241,0)</f>
        <v>0</v>
      </c>
      <c r="AP241" s="261">
        <v>0.05</v>
      </c>
      <c r="AU241" s="94">
        <f>VLOOKUP($D241,Construction!$B:$J,(COLUMN(Construction_BuildingCost_Stone)-COLUMN(Construction_Name_and_Level)+1),FALSE)*(-1)</f>
        <v>-5249</v>
      </c>
      <c r="AV241" s="94">
        <f>VLOOKUP($D241,Construction!$B:$J,(COLUMN(Construction_BuildingCost_Wood)-COLUMN(Construction_Name_and_Level)+1),FALSE)*(-1)</f>
        <v>-5249</v>
      </c>
      <c r="AW241" s="94">
        <f>VLOOKUP($D241,Construction!$B:$J,(COLUMN(Construction_BuildingCost_Ore)-COLUMN(Construction_Name_and_Level)+1),FALSE)*(-1)</f>
        <v>-2101</v>
      </c>
      <c r="AX241" s="94">
        <f>VLOOKUP($D241,Construction!$B:$J,(COLUMN(Construction_BuildingCost_Food)-COLUMN(Construction_Name_and_Level)+1),FALSE)*(-1)</f>
        <v>-3150</v>
      </c>
    </row>
    <row r="242" spans="2:108" ht="15" customHeight="1">
      <c r="B242" s="506" t="s">
        <v>143</v>
      </c>
      <c r="C242" s="127" t="s">
        <v>142</v>
      </c>
      <c r="D242" s="144" t="s">
        <v>1588</v>
      </c>
      <c r="E242" s="506">
        <v>12</v>
      </c>
      <c r="F242" s="12">
        <v>0.25</v>
      </c>
      <c r="G242" s="101">
        <f>VLOOKUP($D242,Construction!$B:$L,(COLUMN(Construction_QuestReward_HeroXP)-COLUMN(Construction_Name_and_Level)+1),FALSE)</f>
        <v>10175</v>
      </c>
      <c r="H242" s="101">
        <f t="shared" si="30"/>
        <v>12718.75</v>
      </c>
      <c r="J242" s="100">
        <f>VLOOKUP($D242,Construction!$B:$L,(COLUMN(Construction_QuestReward_Power)-COLUMN(Construction_Name_and_Level)+1),FALSE)</f>
        <v>125</v>
      </c>
      <c r="AF242" s="141"/>
      <c r="AG242" s="141"/>
      <c r="AH242" s="137"/>
      <c r="AI242" s="484"/>
      <c r="AJ242" s="137">
        <f t="shared" si="29"/>
        <v>9.3749999999999986E-2</v>
      </c>
      <c r="AU242" s="101">
        <f>VLOOKUP($D242,Construction!$B:$Q,(COLUMN(Construction_QuestReward_Stone)-COLUMN(Construction_Name_and_Level)+1),FALSE)</f>
        <v>5300</v>
      </c>
      <c r="AV242" s="101">
        <f>VLOOKUP($D242,Construction!$B:$Q,(COLUMN(Construction_QuestReward_Wood)-COLUMN(Construction_Name_and_Level)+1),FALSE)</f>
        <v>5300</v>
      </c>
      <c r="AW242" s="101">
        <f>VLOOKUP($D242,Construction!$B:$Q,(COLUMN(Construction_QuestReward_Ore)-COLUMN(Construction_Name_and_Level)+1),FALSE)</f>
        <v>2200</v>
      </c>
      <c r="AX242" s="101">
        <f>VLOOKUP($D242,Construction!$B:$Q,(COLUMN(Construction_QuestReward_Food)-COLUMN(Construction_Name_and_Level)+1),FALSE)</f>
        <v>3200</v>
      </c>
      <c r="AY242" s="100">
        <f>VLOOKUP($D242,Construction!$B:$Q,(COLUMN(Construction_QuestReward_Silver)-COLUMN(Construction_Name_and_Level)+1),FALSE)</f>
        <v>750</v>
      </c>
    </row>
    <row r="243" spans="2:108" ht="15" customHeight="1">
      <c r="B243" s="506" t="s">
        <v>144</v>
      </c>
      <c r="C243" s="127" t="s">
        <v>138</v>
      </c>
      <c r="D243" s="144" t="s">
        <v>1589</v>
      </c>
      <c r="E243" s="506">
        <v>12</v>
      </c>
      <c r="F243" s="12">
        <v>0.25</v>
      </c>
      <c r="G243" s="94">
        <f>VLOOKUP($D243,Construction!$B:$E,(COLUMN(Construction_BuildingReward_HeroXP)-COLUMN(Construction_Name_and_Level)+1),FALSE)</f>
        <v>400</v>
      </c>
      <c r="H243" s="94">
        <f t="shared" ref="H243:H244" si="31">G243*(1+F243)</f>
        <v>500</v>
      </c>
      <c r="J243" s="95">
        <f>VLOOKUP($D243,Construction!$B:$F,(COLUMN(Construction_BuildingReward_Power)-COLUMN(Construction_Name_and_Level)+1),FALSE)</f>
        <v>35</v>
      </c>
      <c r="Q243" s="139">
        <v>3.472222222222222E-3</v>
      </c>
      <c r="R243" s="139">
        <v>6.2499999999999995E-3</v>
      </c>
      <c r="AF243" s="141"/>
      <c r="AG243" s="141"/>
      <c r="AH243" s="137"/>
      <c r="AI243" s="484"/>
      <c r="AJ243" s="137">
        <f t="shared" si="29"/>
        <v>9.3749999999999986E-2</v>
      </c>
      <c r="AK243" s="339">
        <v>0.41</v>
      </c>
      <c r="AL243" s="138">
        <f>VLOOKUP($D243,Construction!$B:$C,(COLUMN(Construction_Time)-COLUMN(Construction_Name_and_Level)+1),FALSE)</f>
        <v>1.2962962962962963E-2</v>
      </c>
      <c r="AM243" s="138">
        <f>AL243/(1+AK243)</f>
        <v>9.1935907538744418E-3</v>
      </c>
      <c r="AN243" s="138">
        <f>(S$3*S243+T$3*T243+V$3*V243+W$3*W243+X$3*X243+Y$3*Y243+Z$3*Z243+AA$3*AA243+AB$3*AB243+AC$3*AC243)*(-1)</f>
        <v>0</v>
      </c>
      <c r="AO243" s="139">
        <f>IF((AM243-Q243-R243-AN243)&gt;=0,AM243-Q243-R243-AN243,0)</f>
        <v>0</v>
      </c>
      <c r="AU243" s="94">
        <f>VLOOKUP($D243,Construction!$B:$J,(COLUMN(Construction_BuildingCost_Stone)-COLUMN(Construction_Name_and_Level)+1),FALSE)*(-1)</f>
        <v>0</v>
      </c>
      <c r="AV243" s="94">
        <f>VLOOKUP($D243,Construction!$B:$J,(COLUMN(Construction_BuildingCost_Wood)-COLUMN(Construction_Name_and_Level)+1),FALSE)*(-1)</f>
        <v>-837</v>
      </c>
      <c r="AW243" s="94">
        <f>VLOOKUP($D243,Construction!$B:$J,(COLUMN(Construction_BuildingCost_Ore)-COLUMN(Construction_Name_and_Level)+1),FALSE)*(-1)</f>
        <v>-837</v>
      </c>
      <c r="AX243" s="94">
        <f>VLOOKUP($D243,Construction!$B:$J,(COLUMN(Construction_BuildingCost_Food)-COLUMN(Construction_Name_and_Level)+1),FALSE)*(-1)</f>
        <v>-837</v>
      </c>
    </row>
    <row r="244" spans="2:108" ht="15" customHeight="1">
      <c r="B244" s="506" t="s">
        <v>143</v>
      </c>
      <c r="C244" s="127" t="s">
        <v>142</v>
      </c>
      <c r="D244" s="144" t="s">
        <v>1589</v>
      </c>
      <c r="E244" s="506">
        <v>12</v>
      </c>
      <c r="F244" s="12">
        <v>0.25</v>
      </c>
      <c r="G244" s="101">
        <f>VLOOKUP($D244,Construction!$B:$L,(COLUMN(Construction_QuestReward_HeroXP)-COLUMN(Construction_Name_and_Level)+1),FALSE)</f>
        <v>2675</v>
      </c>
      <c r="H244" s="101">
        <f t="shared" si="31"/>
        <v>3343.75</v>
      </c>
      <c r="J244" s="100">
        <f>VLOOKUP($D244,Construction!$B:$L,(COLUMN(Construction_QuestReward_Power)-COLUMN(Construction_Name_and_Level)+1),FALSE)</f>
        <v>17</v>
      </c>
      <c r="AF244" s="141"/>
      <c r="AG244" s="141"/>
      <c r="AH244" s="137"/>
      <c r="AI244" s="484"/>
      <c r="AJ244" s="137">
        <f t="shared" si="29"/>
        <v>9.3749999999999986E-2</v>
      </c>
      <c r="AU244" s="101">
        <f>VLOOKUP($D244,Construction!$B:$Q,(COLUMN(Construction_QuestReward_Stone)-COLUMN(Construction_Name_and_Level)+1),FALSE)</f>
        <v>0</v>
      </c>
      <c r="AV244" s="101">
        <f>VLOOKUP($D244,Construction!$B:$Q,(COLUMN(Construction_QuestReward_Wood)-COLUMN(Construction_Name_and_Level)+1),FALSE)</f>
        <v>1800</v>
      </c>
      <c r="AW244" s="101">
        <f>VLOOKUP($D244,Construction!$B:$Q,(COLUMN(Construction_QuestReward_Ore)-COLUMN(Construction_Name_and_Level)+1),FALSE)</f>
        <v>1800</v>
      </c>
      <c r="AX244" s="101">
        <f>VLOOKUP($D244,Construction!$B:$Q,(COLUMN(Construction_QuestReward_Food)-COLUMN(Construction_Name_and_Level)+1),FALSE)</f>
        <v>1800</v>
      </c>
      <c r="AY244" s="100">
        <f>VLOOKUP($D244,Construction!$B:$Q,(COLUMN(Construction_QuestReward_Silver)-COLUMN(Construction_Name_and_Level)+1),FALSE)</f>
        <v>50</v>
      </c>
    </row>
    <row r="245" spans="2:108" ht="15" customHeight="1">
      <c r="B245" s="113" t="s">
        <v>1483</v>
      </c>
      <c r="C245" s="127" t="s">
        <v>155</v>
      </c>
      <c r="D245" s="127">
        <v>50</v>
      </c>
      <c r="E245" s="506">
        <v>12</v>
      </c>
      <c r="G245" s="7"/>
      <c r="H245" s="7"/>
      <c r="J245" s="114">
        <f>VLOOKUP($C245,Troop!$B:$AK,(COLUMN(Troop_TrainingReward_Power)-COLUMN(Troop_Name)+1),FALSE)*$D245</f>
        <v>100</v>
      </c>
      <c r="AF245" s="141"/>
      <c r="AG245" s="141"/>
      <c r="AH245" s="137"/>
      <c r="AI245" s="484"/>
      <c r="AJ245" s="137">
        <f t="shared" si="29"/>
        <v>9.3749999999999986E-2</v>
      </c>
      <c r="AU245" s="296">
        <f>VLOOKUP($C245,Troop!$B:$P,(COLUMN(Troop_TrainingCost_Stone)-COLUMN(Troop_Name)+1),FALSE)*$D245*(-1)</f>
        <v>-2500</v>
      </c>
      <c r="AV245" s="296">
        <f>VLOOKUP($C245,Troop!$B:$P,(COLUMN(Troop_TrainingCost_Wood)-COLUMN(Troop_Name)+1),FALSE)*$D245*(-1)</f>
        <v>-2500</v>
      </c>
      <c r="AW245" s="296">
        <f>VLOOKUP($C245,Troop!$B:$P,(COLUMN(Troop_TrainingCost_Ore)-COLUMN(Troop_Name)+1),FALSE)*$D245*(-1)</f>
        <v>0</v>
      </c>
      <c r="AX245" s="296">
        <f>VLOOKUP($C245,Troop!$B:$P,(COLUMN(Troop_TrainingCost_Food)-COLUMN(Troop_Name)+1),FALSE)*$D245*(-1)</f>
        <v>-2500</v>
      </c>
      <c r="AY245" s="114">
        <f>VLOOKUP($C245,Troop!$B:$P,(COLUMN(Troop_TrainingCost_Silver)-COLUMN(Troop_Name)+1),FALSE)*$D245*(-1)</f>
        <v>0</v>
      </c>
      <c r="CT245" s="128"/>
      <c r="CU245" s="128"/>
      <c r="CV245" s="128"/>
      <c r="CW245" s="128"/>
      <c r="CX245" s="128"/>
      <c r="CY245" s="128"/>
      <c r="CZ245" s="128"/>
      <c r="DA245" s="128"/>
      <c r="DB245" s="128"/>
      <c r="DC245" s="128"/>
      <c r="DD245" s="128"/>
    </row>
    <row r="246" spans="2:108" ht="15" customHeight="1">
      <c r="B246" s="506" t="s">
        <v>144</v>
      </c>
      <c r="C246" s="127" t="s">
        <v>138</v>
      </c>
      <c r="D246" s="144" t="s">
        <v>1482</v>
      </c>
      <c r="E246" s="506">
        <v>12</v>
      </c>
      <c r="F246" s="12">
        <v>0.25</v>
      </c>
      <c r="G246" s="94">
        <f>VLOOKUP($D246,Construction!$B:$E,(COLUMN(Construction_BuildingReward_HeroXP)-COLUMN(Construction_Name_and_Level)+1),FALSE)</f>
        <v>10</v>
      </c>
      <c r="H246" s="94">
        <f t="shared" ref="H246" si="32">G246*(1+F246)</f>
        <v>12.5</v>
      </c>
      <c r="J246" s="95">
        <f>VLOOKUP($D246,Construction!$B:$F,(COLUMN(Construction_BuildingReward_Power)-COLUMN(Construction_Name_and_Level)+1),FALSE)</f>
        <v>20</v>
      </c>
      <c r="Q246" s="139">
        <v>3.472222222222222E-3</v>
      </c>
      <c r="R246" s="139">
        <v>6.2499999999999995E-3</v>
      </c>
      <c r="AF246" s="141"/>
      <c r="AG246" s="141"/>
      <c r="AH246" s="137"/>
      <c r="AI246" s="484"/>
      <c r="AJ246" s="137">
        <f t="shared" si="29"/>
        <v>9.3749999999999986E-2</v>
      </c>
      <c r="AK246" s="339">
        <v>0.41</v>
      </c>
      <c r="AL246" s="138">
        <f>VLOOKUP($D246,Construction!$B:$C,(COLUMN(Construction_Time)-COLUMN(Construction_Name_and_Level)+1),FALSE)</f>
        <v>1.0416666666666667E-3</v>
      </c>
      <c r="AM246" s="138">
        <f>AL246/(1+AK246)</f>
        <v>7.387706855791962E-4</v>
      </c>
      <c r="AN246" s="138">
        <f>(S$3*S246+T$3*T246+V$3*V246+W$3*W246+X$3*X246+Y$3*Y246+Z$3*Z246+AA$3*AA246+AB$3*AB246+AC$3*AC246)*(-1)</f>
        <v>0</v>
      </c>
      <c r="AO246" s="139">
        <f>IF((AM246-Q246-R246-AN246)&gt;=0,AM246-Q246-R246-AN246,0)</f>
        <v>0</v>
      </c>
      <c r="AU246" s="94">
        <f>VLOOKUP($D246,Construction!$B:$J,(COLUMN(Construction_BuildingCost_Stone)-COLUMN(Construction_Name_and_Level)+1),FALSE)*(-1)</f>
        <v>-500</v>
      </c>
      <c r="AV246" s="94">
        <f>VLOOKUP($D246,Construction!$B:$J,(COLUMN(Construction_BuildingCost_Wood)-COLUMN(Construction_Name_and_Level)+1),FALSE)*(-1)</f>
        <v>-400</v>
      </c>
      <c r="AW246" s="94">
        <f>VLOOKUP($D246,Construction!$B:$J,(COLUMN(Construction_BuildingCost_Ore)-COLUMN(Construction_Name_and_Level)+1),FALSE)*(-1)</f>
        <v>-300</v>
      </c>
      <c r="AX246" s="94">
        <f>VLOOKUP($D246,Construction!$B:$J,(COLUMN(Construction_BuildingCost_Food)-COLUMN(Construction_Name_and_Level)+1),FALSE)*(-1)</f>
        <v>-250</v>
      </c>
    </row>
    <row r="247" spans="2:108" ht="15" customHeight="1">
      <c r="B247" s="506" t="s">
        <v>144</v>
      </c>
      <c r="C247" s="127" t="s">
        <v>138</v>
      </c>
      <c r="D247" s="144" t="s">
        <v>1590</v>
      </c>
      <c r="E247" s="506">
        <v>12</v>
      </c>
      <c r="F247" s="12">
        <v>0.25</v>
      </c>
      <c r="G247" s="94">
        <f>VLOOKUP($D247,Construction!$B:$E,(COLUMN(Construction_BuildingReward_HeroXP)-COLUMN(Construction_Name_and_Level)+1),FALSE)</f>
        <v>400</v>
      </c>
      <c r="H247" s="94">
        <f t="shared" ref="H247:H249" si="33">G247*(1+F247)</f>
        <v>500</v>
      </c>
      <c r="J247" s="95">
        <f>VLOOKUP($D247,Construction!$B:$F,(COLUMN(Construction_BuildingReward_Power)-COLUMN(Construction_Name_and_Level)+1),FALSE)</f>
        <v>140</v>
      </c>
      <c r="Q247" s="139">
        <v>3.472222222222222E-3</v>
      </c>
      <c r="R247" s="139">
        <v>6.2499999999999995E-3</v>
      </c>
      <c r="AF247" s="141"/>
      <c r="AG247" s="141"/>
      <c r="AH247" s="137"/>
      <c r="AI247" s="484"/>
      <c r="AJ247" s="137">
        <f t="shared" si="29"/>
        <v>9.3749999999999986E-2</v>
      </c>
      <c r="AK247" s="339">
        <v>0.41</v>
      </c>
      <c r="AL247" s="138">
        <f>VLOOKUP($D247,Construction!$B:$C,(COLUMN(Construction_Time)-COLUMN(Construction_Name_and_Level)+1),FALSE)</f>
        <v>1.6666666666666666E-2</v>
      </c>
      <c r="AM247" s="138">
        <f>AL247/(1+AK247)</f>
        <v>1.1820330969267139E-2</v>
      </c>
      <c r="AN247" s="138">
        <f>(S$3*S247+T$3*T247+V$3*V247+W$3*W247+X$3*X247+Y$3*Y247+Z$3*Z247+AA$3*AA247+AB$3*AB247+AC$3*AC247)*(-1)</f>
        <v>0</v>
      </c>
      <c r="AO247" s="139">
        <f>IF((AM247-Q247-R247-AN247)&gt;=0,AM247-Q247-R247-AN247,0)</f>
        <v>2.0981087470449177E-3</v>
      </c>
      <c r="AU247" s="94">
        <f>VLOOKUP($D247,Construction!$B:$J,(COLUMN(Construction_BuildingCost_Stone)-COLUMN(Construction_Name_and_Level)+1),FALSE)*(-1)</f>
        <v>-4177</v>
      </c>
      <c r="AV247" s="94">
        <f>VLOOKUP($D247,Construction!$B:$J,(COLUMN(Construction_BuildingCost_Wood)-COLUMN(Construction_Name_and_Level)+1),FALSE)*(-1)</f>
        <v>-3343</v>
      </c>
      <c r="AW247" s="94">
        <f>VLOOKUP($D247,Construction!$B:$J,(COLUMN(Construction_BuildingCost_Ore)-COLUMN(Construction_Name_and_Level)+1),FALSE)*(-1)</f>
        <v>-2506</v>
      </c>
      <c r="AX247" s="94">
        <f>VLOOKUP($D247,Construction!$B:$J,(COLUMN(Construction_BuildingCost_Food)-COLUMN(Construction_Name_and_Level)+1),FALSE)*(-1)</f>
        <v>-2091</v>
      </c>
    </row>
    <row r="248" spans="2:108" ht="15" customHeight="1">
      <c r="B248" s="506" t="s">
        <v>143</v>
      </c>
      <c r="C248" s="127" t="s">
        <v>142</v>
      </c>
      <c r="D248" s="144" t="s">
        <v>1590</v>
      </c>
      <c r="E248" s="506">
        <v>12</v>
      </c>
      <c r="F248" s="12">
        <v>0.25</v>
      </c>
      <c r="G248" s="101">
        <f>VLOOKUP($D248,Construction!$B:$L,(COLUMN(Construction_QuestReward_HeroXP)-COLUMN(Construction_Name_and_Level)+1),FALSE)</f>
        <v>2675</v>
      </c>
      <c r="H248" s="101">
        <f t="shared" si="33"/>
        <v>3343.75</v>
      </c>
      <c r="J248" s="100">
        <f>VLOOKUP($D248,Construction!$B:$L,(COLUMN(Construction_QuestReward_Power)-COLUMN(Construction_Name_and_Level)+1),FALSE)</f>
        <v>70</v>
      </c>
      <c r="AF248" s="141"/>
      <c r="AG248" s="141"/>
      <c r="AH248" s="137"/>
      <c r="AI248" s="484"/>
      <c r="AJ248" s="137">
        <f t="shared" si="29"/>
        <v>9.3749999999999986E-2</v>
      </c>
      <c r="AU248" s="101">
        <f>VLOOKUP($D248,Construction!$B:$Q,(COLUMN(Construction_QuestReward_Stone)-COLUMN(Construction_Name_and_Level)+1),FALSE)</f>
        <v>4300</v>
      </c>
      <c r="AV248" s="101">
        <f>VLOOKUP($D248,Construction!$B:$Q,(COLUMN(Construction_QuestReward_Wood)-COLUMN(Construction_Name_and_Level)+1),FALSE)</f>
        <v>3500</v>
      </c>
      <c r="AW248" s="101">
        <f>VLOOKUP($D248,Construction!$B:$Q,(COLUMN(Construction_QuestReward_Ore)-COLUMN(Construction_Name_and_Level)+1),FALSE)</f>
        <v>2600</v>
      </c>
      <c r="AX248" s="101">
        <f>VLOOKUP($D248,Construction!$B:$Q,(COLUMN(Construction_QuestReward_Food)-COLUMN(Construction_Name_and_Level)+1),FALSE)</f>
        <v>2200</v>
      </c>
      <c r="AY248" s="100">
        <f>VLOOKUP($D248,Construction!$B:$Q,(COLUMN(Construction_QuestReward_Silver)-COLUMN(Construction_Name_and_Level)+1),FALSE)</f>
        <v>450</v>
      </c>
    </row>
    <row r="249" spans="2:108" ht="15" customHeight="1">
      <c r="B249" s="102" t="s">
        <v>1455</v>
      </c>
      <c r="C249" s="127" t="s">
        <v>141</v>
      </c>
      <c r="D249" s="144" t="s">
        <v>1591</v>
      </c>
      <c r="E249" s="506">
        <v>12</v>
      </c>
      <c r="F249" s="12">
        <v>0.25</v>
      </c>
      <c r="G249" s="101">
        <v>2500</v>
      </c>
      <c r="H249" s="101">
        <f t="shared" si="33"/>
        <v>3125</v>
      </c>
      <c r="J249" s="100">
        <v>25</v>
      </c>
      <c r="AF249" s="141"/>
      <c r="AG249" s="141"/>
      <c r="AH249" s="137"/>
      <c r="AI249" s="484"/>
      <c r="AJ249" s="137">
        <f t="shared" si="29"/>
        <v>9.3749999999999986E-2</v>
      </c>
      <c r="AU249" s="101">
        <v>3800</v>
      </c>
      <c r="AV249" s="101">
        <v>4000</v>
      </c>
      <c r="AW249" s="101">
        <v>0</v>
      </c>
      <c r="AX249" s="101">
        <v>3000</v>
      </c>
      <c r="AY249" s="100">
        <v>0</v>
      </c>
      <c r="CT249" s="128"/>
      <c r="CU249" s="128"/>
      <c r="CV249" s="128"/>
      <c r="CW249" s="128"/>
      <c r="CX249" s="128"/>
      <c r="CY249" s="128"/>
      <c r="CZ249" s="128"/>
      <c r="DA249" s="128"/>
      <c r="DB249" s="128"/>
      <c r="DC249" s="128"/>
      <c r="DD249" s="128"/>
    </row>
    <row r="250" spans="2:108" ht="15" customHeight="1">
      <c r="B250" s="113" t="s">
        <v>1483</v>
      </c>
      <c r="C250" s="127" t="s">
        <v>156</v>
      </c>
      <c r="D250" s="127">
        <v>50</v>
      </c>
      <c r="E250" s="506">
        <v>12</v>
      </c>
      <c r="G250" s="7"/>
      <c r="H250" s="7"/>
      <c r="J250" s="114">
        <f>VLOOKUP($C250,Troop!$B:$AK,(COLUMN(Troop_TrainingReward_Power)-COLUMN(Troop_Name)+1),FALSE)*$D250</f>
        <v>100</v>
      </c>
      <c r="AF250" s="141"/>
      <c r="AG250" s="141"/>
      <c r="AH250" s="137"/>
      <c r="AI250" s="484"/>
      <c r="AJ250" s="137">
        <f t="shared" si="29"/>
        <v>9.3749999999999986E-2</v>
      </c>
      <c r="AU250" s="296">
        <f>VLOOKUP($C250,Troop!$B:$P,(COLUMN(Troop_TrainingCost_Stone)-COLUMN(Troop_Name)+1),FALSE)*$D250*(-1)</f>
        <v>-2500</v>
      </c>
      <c r="AV250" s="296">
        <f>VLOOKUP($C250,Troop!$B:$P,(COLUMN(Troop_TrainingCost_Wood)-COLUMN(Troop_Name)+1),FALSE)*$D250*(-1)</f>
        <v>0</v>
      </c>
      <c r="AW250" s="296">
        <f>VLOOKUP($C250,Troop!$B:$P,(COLUMN(Troop_TrainingCost_Ore)-COLUMN(Troop_Name)+1),FALSE)*$D250*(-1)</f>
        <v>-1900</v>
      </c>
      <c r="AX250" s="296">
        <f>VLOOKUP($C250,Troop!$B:$P,(COLUMN(Troop_TrainingCost_Food)-COLUMN(Troop_Name)+1),FALSE)*$D250*(-1)</f>
        <v>-2500</v>
      </c>
      <c r="AY250" s="114">
        <f>VLOOKUP($C250,Troop!$B:$P,(COLUMN(Troop_TrainingCost_Silver)-COLUMN(Troop_Name)+1),FALSE)*$D250*(-1)</f>
        <v>0</v>
      </c>
      <c r="CT250" s="128"/>
      <c r="CU250" s="128"/>
      <c r="CV250" s="128"/>
      <c r="CW250" s="128"/>
      <c r="CX250" s="128"/>
      <c r="CY250" s="128"/>
      <c r="CZ250" s="128"/>
      <c r="DA250" s="128"/>
      <c r="DB250" s="128"/>
      <c r="DC250" s="128"/>
      <c r="DD250" s="128"/>
    </row>
    <row r="251" spans="2:108" ht="15" customHeight="1">
      <c r="B251" s="506" t="s">
        <v>143</v>
      </c>
      <c r="C251" s="127" t="s">
        <v>466</v>
      </c>
      <c r="D251" s="144">
        <v>1.8668981481481481E-2</v>
      </c>
      <c r="E251" s="506">
        <v>12</v>
      </c>
      <c r="F251" s="12">
        <v>0.25</v>
      </c>
      <c r="G251" s="101">
        <v>7500</v>
      </c>
      <c r="H251" s="101">
        <f>G251*(1+F251)</f>
        <v>9375</v>
      </c>
      <c r="J251" s="100">
        <v>0</v>
      </c>
      <c r="AF251" s="141"/>
      <c r="AG251" s="141"/>
      <c r="AH251" s="137"/>
      <c r="AI251" s="484"/>
      <c r="AJ251" s="137">
        <f t="shared" si="29"/>
        <v>9.3749999999999986E-2</v>
      </c>
      <c r="AU251" s="101">
        <v>3750</v>
      </c>
      <c r="AV251" s="101">
        <v>3750</v>
      </c>
      <c r="AW251" s="101">
        <v>3750</v>
      </c>
      <c r="AX251" s="101">
        <v>3750</v>
      </c>
      <c r="AY251" s="100">
        <v>0</v>
      </c>
    </row>
    <row r="252" spans="2:108" ht="15" customHeight="1">
      <c r="B252" s="506" t="s">
        <v>144</v>
      </c>
      <c r="C252" s="127" t="s">
        <v>138</v>
      </c>
      <c r="D252" s="144" t="s">
        <v>1592</v>
      </c>
      <c r="E252" s="506">
        <v>12</v>
      </c>
      <c r="F252" s="12">
        <v>0.25</v>
      </c>
      <c r="G252" s="94">
        <f>VLOOKUP($D252,Construction!$B:$E,(COLUMN(Construction_BuildingReward_HeroXP)-COLUMN(Construction_Name_and_Level)+1),FALSE)</f>
        <v>400</v>
      </c>
      <c r="H252" s="94">
        <f t="shared" ref="H252:H255" si="34">G252*(1+F252)</f>
        <v>500</v>
      </c>
      <c r="J252" s="95">
        <f>VLOOKUP($D252,Construction!$B:$F,(COLUMN(Construction_BuildingReward_Power)-COLUMN(Construction_Name_and_Level)+1),FALSE)</f>
        <v>90</v>
      </c>
      <c r="Q252" s="139">
        <v>3.472222222222222E-3</v>
      </c>
      <c r="R252" s="139">
        <v>6.2499999999999995E-3</v>
      </c>
      <c r="AF252" s="141"/>
      <c r="AG252" s="141"/>
      <c r="AH252" s="137"/>
      <c r="AI252" s="484"/>
      <c r="AJ252" s="137">
        <f t="shared" si="29"/>
        <v>9.3749999999999986E-2</v>
      </c>
      <c r="AK252" s="339">
        <v>0.41</v>
      </c>
      <c r="AL252" s="138">
        <f>VLOOKUP($D252,Construction!$B:$C,(COLUMN(Construction_Time)-COLUMN(Construction_Name_and_Level)+1),FALSE)</f>
        <v>1.3888888888888888E-2</v>
      </c>
      <c r="AM252" s="138">
        <f>AL252/(1+AK252)</f>
        <v>9.8502758077226166E-3</v>
      </c>
      <c r="AN252" s="138">
        <f>(S$3*S252+T$3*T252+V$3*V252+W$3*W252+X$3*X252+Y$3*Y252+Z$3*Z252+AA$3*AA252+AB$3*AB252+AC$3*AC252)*(-1)</f>
        <v>0</v>
      </c>
      <c r="AO252" s="139">
        <f>IF((AM252-Q252-R252-AN252)&gt;=0,AM252-Q252-R252-AN252,0)</f>
        <v>1.2805358550039506E-4</v>
      </c>
      <c r="AU252" s="94">
        <f>VLOOKUP($D252,Construction!$B:$J,(COLUMN(Construction_BuildingCost_Stone)-COLUMN(Construction_Name_and_Level)+1),FALSE)*(-1)</f>
        <v>-2506</v>
      </c>
      <c r="AV252" s="94">
        <f>VLOOKUP($D252,Construction!$B:$J,(COLUMN(Construction_BuildingCost_Wood)-COLUMN(Construction_Name_and_Level)+1),FALSE)*(-1)</f>
        <v>-3343</v>
      </c>
      <c r="AW252" s="94">
        <f>VLOOKUP($D252,Construction!$B:$J,(COLUMN(Construction_BuildingCost_Ore)-COLUMN(Construction_Name_and_Level)+1),FALSE)*(-1)</f>
        <v>-6683</v>
      </c>
      <c r="AX252" s="94">
        <f>VLOOKUP($D252,Construction!$B:$J,(COLUMN(Construction_BuildingCost_Food)-COLUMN(Construction_Name_and_Level)+1),FALSE)*(-1)</f>
        <v>-2506</v>
      </c>
    </row>
    <row r="253" spans="2:108" ht="15" customHeight="1">
      <c r="B253" s="506" t="s">
        <v>143</v>
      </c>
      <c r="C253" s="127" t="s">
        <v>142</v>
      </c>
      <c r="D253" s="144" t="s">
        <v>1592</v>
      </c>
      <c r="E253" s="506">
        <v>12</v>
      </c>
      <c r="F253" s="12">
        <v>0.25</v>
      </c>
      <c r="G253" s="101">
        <f>VLOOKUP($D253,Construction!$B:$L,(COLUMN(Construction_QuestReward_HeroXP)-COLUMN(Construction_Name_and_Level)+1),FALSE)</f>
        <v>10175</v>
      </c>
      <c r="H253" s="101">
        <f t="shared" si="34"/>
        <v>12718.75</v>
      </c>
      <c r="J253" s="100">
        <f>VLOOKUP($D253,Construction!$B:$L,(COLUMN(Construction_QuestReward_Power)-COLUMN(Construction_Name_and_Level)+1),FALSE)</f>
        <v>45</v>
      </c>
      <c r="AF253" s="141"/>
      <c r="AG253" s="141"/>
      <c r="AH253" s="137"/>
      <c r="AI253" s="484"/>
      <c r="AJ253" s="137">
        <f t="shared" si="29"/>
        <v>9.3749999999999986E-2</v>
      </c>
      <c r="AU253" s="101">
        <f>VLOOKUP($D253,Construction!$B:$Q,(COLUMN(Construction_QuestReward_Stone)-COLUMN(Construction_Name_and_Level)+1),FALSE)</f>
        <v>2600</v>
      </c>
      <c r="AV253" s="101">
        <f>VLOOKUP($D253,Construction!$B:$Q,(COLUMN(Construction_QuestReward_Wood)-COLUMN(Construction_Name_and_Level)+1),FALSE)</f>
        <v>3500</v>
      </c>
      <c r="AW253" s="101">
        <f>VLOOKUP($D253,Construction!$B:$Q,(COLUMN(Construction_QuestReward_Ore)-COLUMN(Construction_Name_and_Level)+1),FALSE)</f>
        <v>6800</v>
      </c>
      <c r="AX253" s="101">
        <f>VLOOKUP($D253,Construction!$B:$Q,(COLUMN(Construction_QuestReward_Food)-COLUMN(Construction_Name_and_Level)+1),FALSE)</f>
        <v>2600</v>
      </c>
      <c r="AY253" s="100">
        <f>VLOOKUP($D253,Construction!$B:$Q,(COLUMN(Construction_QuestReward_Silver)-COLUMN(Construction_Name_and_Level)+1),FALSE)</f>
        <v>750</v>
      </c>
    </row>
    <row r="254" spans="2:108" ht="15" customHeight="1">
      <c r="B254" s="102" t="s">
        <v>1455</v>
      </c>
      <c r="C254" s="127" t="s">
        <v>141</v>
      </c>
      <c r="D254" s="144" t="s">
        <v>1593</v>
      </c>
      <c r="E254" s="506">
        <v>12</v>
      </c>
      <c r="F254" s="12">
        <v>0.25</v>
      </c>
      <c r="G254" s="101">
        <v>2500</v>
      </c>
      <c r="H254" s="101">
        <f t="shared" si="34"/>
        <v>3125</v>
      </c>
      <c r="J254" s="100">
        <v>25</v>
      </c>
      <c r="AF254" s="141"/>
      <c r="AG254" s="141"/>
      <c r="AH254" s="137"/>
      <c r="AI254" s="484"/>
      <c r="AJ254" s="137">
        <f t="shared" si="29"/>
        <v>9.3749999999999986E-2</v>
      </c>
      <c r="AU254" s="101">
        <v>3600</v>
      </c>
      <c r="AV254" s="101">
        <v>0</v>
      </c>
      <c r="AW254" s="101">
        <v>2800</v>
      </c>
      <c r="AX254" s="101">
        <v>3200</v>
      </c>
      <c r="AY254" s="100">
        <v>0</v>
      </c>
      <c r="CT254" s="128"/>
      <c r="CU254" s="128"/>
      <c r="CV254" s="128"/>
      <c r="CW254" s="128"/>
      <c r="CX254" s="128"/>
      <c r="CY254" s="128"/>
      <c r="CZ254" s="128"/>
      <c r="DA254" s="128"/>
      <c r="DB254" s="128"/>
      <c r="DC254" s="128"/>
      <c r="DD254" s="128"/>
    </row>
    <row r="255" spans="2:108" ht="15" customHeight="1">
      <c r="B255" s="506" t="s">
        <v>146</v>
      </c>
      <c r="C255" s="127" t="s">
        <v>138</v>
      </c>
      <c r="D255" s="144" t="s">
        <v>1594</v>
      </c>
      <c r="E255" s="506">
        <v>12</v>
      </c>
      <c r="F255" s="12">
        <v>0.25</v>
      </c>
      <c r="G255" s="111">
        <f>VLOOKUP($D255,Research!$C:$F,(COLUMN(Research_ResearchReward_HeroXP)-COLUMN(Research_Name_and_Level)+1),FALSE)</f>
        <v>24000</v>
      </c>
      <c r="H255" s="111">
        <f t="shared" si="34"/>
        <v>30000</v>
      </c>
      <c r="J255" s="115">
        <f>VLOOKUP($D255,Research!$C:$G,(COLUMN(Research_ResearchReward_Power)-COLUMN(Research_Name_and_Level)+1),FALSE)</f>
        <v>300</v>
      </c>
      <c r="R255" s="148">
        <v>6.2499999999999995E-3</v>
      </c>
      <c r="AF255" s="141"/>
      <c r="AG255" s="141"/>
      <c r="AH255" s="137"/>
      <c r="AI255" s="484"/>
      <c r="AJ255" s="137">
        <f t="shared" si="29"/>
        <v>9.3749999999999986E-2</v>
      </c>
      <c r="AP255" s="256">
        <v>0.05</v>
      </c>
      <c r="AQ255" s="147">
        <f>VLOOKUP($D255,Research!$C:$D,(COLUMN(Research_Time)-COLUMN(Research_Name_and_Level)+1),FALSE)</f>
        <v>3.125E-2</v>
      </c>
      <c r="AR255" s="147">
        <f>AQ255/(1+AP255)</f>
        <v>2.976190476190476E-2</v>
      </c>
      <c r="AS255" s="147">
        <f>(S$3*S255+T$3*T255+V$3*V255+W$3*W255+X$3*X255+Y$3*Y255+Z$3*Z255+AA$3*AA255+AB$3*AB255+AC$3*AC255)*(-1)</f>
        <v>0</v>
      </c>
      <c r="AT255" s="148">
        <f>IF(AR255-R255-AS255&gt;=0,AR255-R255-AS255,0)</f>
        <v>2.3511904761904762E-2</v>
      </c>
      <c r="AU255" s="111">
        <f>VLOOKUP($D255,Research!$C:$L,(COLUMN(Research_ResearchCost_Stone)-COLUMN(Research_Name_and_Level)+1),FALSE)*(-1)</f>
        <v>-600</v>
      </c>
      <c r="AV255" s="111">
        <f>VLOOKUP($D255,Research!$C:$L,(COLUMN(Research_ResearchCost_Wood)-COLUMN(Research_Name_and_Level)+1),FALSE)*(-1)</f>
        <v>-1000</v>
      </c>
      <c r="AW255" s="111">
        <f>VLOOKUP($D255,Research!$C:$L,(COLUMN(Research_ResearchCost_Ore)-COLUMN(Research_Name_and_Level)+1),FALSE)*(-1)</f>
        <v>-800</v>
      </c>
      <c r="AX255" s="111">
        <f>VLOOKUP($D255,Research!$C:$L,(COLUMN(Research_ResearchCost_Food)-COLUMN(Research_Name_and_Level)+1),FALSE)*(-1)</f>
        <v>-50</v>
      </c>
      <c r="AY255" s="112">
        <f>VLOOKUP($D255,Research!$C:$L,(COLUMN(Research_ResearchCost_Silver)-COLUMN(Research_Name_and_Level)+1),FALSE)*(-1)</f>
        <v>-6000</v>
      </c>
    </row>
    <row r="256" spans="2:108" ht="15" customHeight="1">
      <c r="B256" s="102" t="s">
        <v>1455</v>
      </c>
      <c r="C256" s="127" t="s">
        <v>170</v>
      </c>
      <c r="D256" s="144" t="s">
        <v>1594</v>
      </c>
      <c r="E256" s="506">
        <v>12</v>
      </c>
      <c r="F256" s="12">
        <v>0.25</v>
      </c>
      <c r="G256" s="101">
        <f>VLOOKUP($D256,Research!$C:$M,(COLUMN(Research_QuestReward_HeroXP)-COLUMN(Research_Name_and_Level)+1),FALSE)</f>
        <v>6000</v>
      </c>
      <c r="H256" s="101">
        <f>G256*(1+F256)</f>
        <v>7500</v>
      </c>
      <c r="J256" s="103">
        <f>VLOOKUP($D256,Research!$C:$N,(COLUMN(Research_QuestReward_Power)-COLUMN(Research_Name_and_Level)+1),FALSE)</f>
        <v>30</v>
      </c>
      <c r="AF256" s="141"/>
      <c r="AG256" s="141"/>
      <c r="AH256" s="137"/>
      <c r="AI256" s="484"/>
      <c r="AJ256" s="137">
        <f t="shared" si="29"/>
        <v>9.3749999999999986E-2</v>
      </c>
      <c r="AU256" s="101">
        <f>VLOOKUP($D256,Research!$C:$S,(COLUMN(Research_QuestReward_Stone)-COLUMN(Research_Name_and_Level)+1),FALSE)</f>
        <v>0</v>
      </c>
      <c r="AV256" s="101">
        <f>VLOOKUP($D256,Research!$C:$S,(COLUMN(Research_QuestReward_Wood)-COLUMN(Research_Name_and_Level)+1),FALSE)</f>
        <v>1000</v>
      </c>
      <c r="AW256" s="101">
        <f>VLOOKUP($D256,Research!$C:$S,(COLUMN(Research_QuestReward_Ore)-COLUMN(Research_Name_and_Level)+1),FALSE)</f>
        <v>1000</v>
      </c>
      <c r="AX256" s="101">
        <f>VLOOKUP($D256,Research!$C:$S,(COLUMN(Research_QuestReward_Food)-COLUMN(Research_Name_and_Level)+1),FALSE)</f>
        <v>0</v>
      </c>
      <c r="AY256" s="100">
        <f>VLOOKUP($D256,Research!$C:$S,(COLUMN(Research_QuestReward_Silver)-COLUMN(Research_Name_and_Level)+1),FALSE)</f>
        <v>4000</v>
      </c>
      <c r="CT256" s="127"/>
      <c r="CU256" s="127"/>
      <c r="CV256" s="127"/>
      <c r="CW256" s="127"/>
      <c r="CX256" s="127"/>
      <c r="CY256" s="127"/>
      <c r="CZ256" s="127"/>
      <c r="DA256" s="127"/>
      <c r="DB256" s="127"/>
      <c r="DC256" s="127"/>
      <c r="DD256" s="127"/>
    </row>
    <row r="257" spans="2:108" ht="15" customHeight="1">
      <c r="B257" s="113" t="s">
        <v>1483</v>
      </c>
      <c r="C257" s="127" t="s">
        <v>157</v>
      </c>
      <c r="D257" s="127">
        <v>100</v>
      </c>
      <c r="E257" s="506">
        <v>12</v>
      </c>
      <c r="G257" s="7"/>
      <c r="H257" s="7"/>
      <c r="J257" s="114">
        <f>VLOOKUP($C257,Troop!$B:$AK,(COLUMN(Troop_TrainingReward_Power)-COLUMN(Troop_Name)+1),FALSE)*$D257</f>
        <v>400</v>
      </c>
      <c r="AF257" s="141"/>
      <c r="AG257" s="141"/>
      <c r="AH257" s="137"/>
      <c r="AI257" s="484"/>
      <c r="AJ257" s="137">
        <f t="shared" si="29"/>
        <v>9.3749999999999986E-2</v>
      </c>
      <c r="AU257" s="296">
        <f>VLOOKUP($C257,Troop!$B:$P,(COLUMN(Troop_TrainingCost_Stone)-COLUMN(Troop_Name)+1),FALSE)*$D257*(-1)</f>
        <v>-5000</v>
      </c>
      <c r="AV257" s="296">
        <f>VLOOKUP($C257,Troop!$B:$P,(COLUMN(Troop_TrainingCost_Wood)-COLUMN(Troop_Name)+1),FALSE)*$D257*(-1)</f>
        <v>-5000</v>
      </c>
      <c r="AW257" s="296">
        <f>VLOOKUP($C257,Troop!$B:$P,(COLUMN(Troop_TrainingCost_Ore)-COLUMN(Troop_Name)+1),FALSE)*$D257*(-1)</f>
        <v>-3800</v>
      </c>
      <c r="AX257" s="296">
        <f>VLOOKUP($C257,Troop!$B:$P,(COLUMN(Troop_TrainingCost_Food)-COLUMN(Troop_Name)+1),FALSE)*$D257*(-1)</f>
        <v>-10000</v>
      </c>
      <c r="AY257" s="114">
        <f>VLOOKUP($C257,Troop!$B:$P,(COLUMN(Troop_TrainingCost_Silver)-COLUMN(Troop_Name)+1),FALSE)*$D257*(-1)</f>
        <v>0</v>
      </c>
      <c r="CT257" s="128"/>
      <c r="CU257" s="128"/>
      <c r="CV257" s="128"/>
      <c r="CW257" s="128"/>
      <c r="CX257" s="128"/>
      <c r="CY257" s="128"/>
      <c r="CZ257" s="128"/>
      <c r="DA257" s="128"/>
      <c r="DB257" s="128"/>
      <c r="DC257" s="128"/>
      <c r="DD257" s="128"/>
    </row>
    <row r="258" spans="2:108" ht="15" customHeight="1">
      <c r="B258" s="506" t="s">
        <v>144</v>
      </c>
      <c r="C258" s="127" t="s">
        <v>138</v>
      </c>
      <c r="D258" s="144" t="s">
        <v>1595</v>
      </c>
      <c r="E258" s="506">
        <v>12</v>
      </c>
      <c r="F258" s="12">
        <v>0.25</v>
      </c>
      <c r="G258" s="94">
        <f>VLOOKUP($D258,Construction!$B:$E,(COLUMN(Construction_BuildingReward_HeroXP)-COLUMN(Construction_Name_and_Level)+1),FALSE)</f>
        <v>5000</v>
      </c>
      <c r="H258" s="94">
        <f t="shared" ref="H258:H260" si="35">G258*(1+F258)</f>
        <v>6250</v>
      </c>
      <c r="J258" s="95">
        <f>VLOOKUP($D258,Construction!$B:$F,(COLUMN(Construction_BuildingReward_Power)-COLUMN(Construction_Name_and_Level)+1),FALSE)</f>
        <v>210</v>
      </c>
      <c r="Q258" s="139">
        <v>3.472222222222222E-3</v>
      </c>
      <c r="R258" s="139">
        <v>6.2499999999999995E-3</v>
      </c>
      <c r="AF258" s="141"/>
      <c r="AG258" s="141"/>
      <c r="AH258" s="137"/>
      <c r="AI258" s="484"/>
      <c r="AJ258" s="137">
        <f t="shared" si="29"/>
        <v>9.3749999999999986E-2</v>
      </c>
      <c r="AK258" s="339">
        <v>0.41</v>
      </c>
      <c r="AL258" s="138">
        <f>VLOOKUP($D258,Construction!$B:$C,(COLUMN(Construction_Time)-COLUMN(Construction_Name_and_Level)+1),FALSE)</f>
        <v>1.9444444444444445E-2</v>
      </c>
      <c r="AM258" s="138">
        <f>AL258/(1+AK258)</f>
        <v>1.3790386130811664E-2</v>
      </c>
      <c r="AN258" s="138">
        <f>(S$3*S258+T$3*T258+V$3*V258+W$3*W258+X$3*X258+Y$3*Y258+Z$3*Z258+AA$3*AA258+AB$3*AB258+AC$3*AC258)*(-1)</f>
        <v>0</v>
      </c>
      <c r="AO258" s="139">
        <f>IF((AM258-Q258-R258-AN258)&gt;=0,AM258-Q258-R258-AN258,0)</f>
        <v>4.068163908589442E-3</v>
      </c>
      <c r="AU258" s="94">
        <f>VLOOKUP($D258,Construction!$B:$J,(COLUMN(Construction_BuildingCost_Stone)-COLUMN(Construction_Name_and_Level)+1),FALSE)*(-1)</f>
        <v>-10498</v>
      </c>
      <c r="AV258" s="94">
        <f>VLOOKUP($D258,Construction!$B:$J,(COLUMN(Construction_BuildingCost_Wood)-COLUMN(Construction_Name_and_Level)+1),FALSE)*(-1)</f>
        <v>-8399</v>
      </c>
      <c r="AW258" s="94">
        <f>VLOOKUP($D258,Construction!$B:$J,(COLUMN(Construction_BuildingCost_Ore)-COLUMN(Construction_Name_and_Level)+1),FALSE)*(-1)</f>
        <v>-3150</v>
      </c>
      <c r="AX258" s="94">
        <f>VLOOKUP($D258,Construction!$B:$J,(COLUMN(Construction_BuildingCost_Food)-COLUMN(Construction_Name_and_Level)+1),FALSE)*(-1)</f>
        <v>-5249</v>
      </c>
    </row>
    <row r="259" spans="2:108" ht="15" customHeight="1">
      <c r="B259" s="506" t="s">
        <v>143</v>
      </c>
      <c r="C259" s="127" t="s">
        <v>142</v>
      </c>
      <c r="D259" s="144" t="s">
        <v>1595</v>
      </c>
      <c r="E259" s="506">
        <v>12</v>
      </c>
      <c r="F259" s="12">
        <v>0.25</v>
      </c>
      <c r="G259" s="101">
        <f>VLOOKUP($D259,Construction!$B:$L,(COLUMN(Construction_QuestReward_HeroXP)-COLUMN(Construction_Name_and_Level)+1),FALSE)</f>
        <v>10175</v>
      </c>
      <c r="H259" s="101">
        <f t="shared" si="35"/>
        <v>12718.75</v>
      </c>
      <c r="J259" s="100">
        <f>VLOOKUP($D259,Construction!$B:$L,(COLUMN(Construction_QuestReward_Power)-COLUMN(Construction_Name_and_Level)+1),FALSE)</f>
        <v>107</v>
      </c>
      <c r="AF259" s="141"/>
      <c r="AG259" s="141"/>
      <c r="AH259" s="137"/>
      <c r="AI259" s="484"/>
      <c r="AJ259" s="137">
        <f t="shared" si="29"/>
        <v>9.3749999999999986E-2</v>
      </c>
      <c r="AU259" s="101">
        <f>VLOOKUP($D259,Construction!$B:$Q,(COLUMN(Construction_QuestReward_Stone)-COLUMN(Construction_Name_and_Level)+1),FALSE)</f>
        <v>10600</v>
      </c>
      <c r="AV259" s="101">
        <f>VLOOKUP($D259,Construction!$B:$Q,(COLUMN(Construction_QuestReward_Wood)-COLUMN(Construction_Name_and_Level)+1),FALSE)</f>
        <v>8500</v>
      </c>
      <c r="AW259" s="101">
        <f>VLOOKUP($D259,Construction!$B:$Q,(COLUMN(Construction_QuestReward_Ore)-COLUMN(Construction_Name_and_Level)+1),FALSE)</f>
        <v>3200</v>
      </c>
      <c r="AX259" s="101">
        <f>VLOOKUP($D259,Construction!$B:$Q,(COLUMN(Construction_QuestReward_Food)-COLUMN(Construction_Name_and_Level)+1),FALSE)</f>
        <v>5300</v>
      </c>
      <c r="AY259" s="100">
        <f>VLOOKUP($D259,Construction!$B:$Q,(COLUMN(Construction_QuestReward_Silver)-COLUMN(Construction_Name_and_Level)+1),FALSE)</f>
        <v>900</v>
      </c>
    </row>
    <row r="260" spans="2:108" ht="15" customHeight="1">
      <c r="B260" s="506" t="s">
        <v>146</v>
      </c>
      <c r="C260" s="127" t="s">
        <v>138</v>
      </c>
      <c r="D260" s="144" t="s">
        <v>1596</v>
      </c>
      <c r="E260" s="506">
        <v>12</v>
      </c>
      <c r="F260" s="12">
        <v>0.25</v>
      </c>
      <c r="G260" s="111">
        <f>VLOOKUP($D260,Research!$C:$F,(COLUMN(Research_ResearchReward_HeroXP)-COLUMN(Research_Name_and_Level)+1),FALSE)</f>
        <v>24000</v>
      </c>
      <c r="H260" s="111">
        <f t="shared" si="35"/>
        <v>30000</v>
      </c>
      <c r="J260" s="115">
        <f>VLOOKUP($D260,Research!$C:$G,(COLUMN(Research_ResearchReward_Power)-COLUMN(Research_Name_and_Level)+1),FALSE)</f>
        <v>350</v>
      </c>
      <c r="R260" s="148">
        <v>6.2499999999999995E-3</v>
      </c>
      <c r="AF260" s="141"/>
      <c r="AG260" s="141"/>
      <c r="AH260" s="137"/>
      <c r="AI260" s="484"/>
      <c r="AJ260" s="137">
        <f t="shared" si="29"/>
        <v>9.3749999999999986E-2</v>
      </c>
      <c r="AP260" s="256">
        <v>0.05</v>
      </c>
      <c r="AQ260" s="147">
        <f>VLOOKUP($D260,Research!$C:$D,(COLUMN(Research_Time)-COLUMN(Research_Name_and_Level)+1),FALSE)</f>
        <v>5.2083333333333336E-2</v>
      </c>
      <c r="AR260" s="147">
        <f>AQ260/(1+AP260)</f>
        <v>4.96031746031746E-2</v>
      </c>
      <c r="AS260" s="147">
        <f>(S$3*S260+T$3*T260+V$3*V260+W$3*W260+X$3*X260+Y$3*Y260+Z$3*Z260+AA$3*AA260+AB$3*AB260+AC$3*AC260)*(-1)</f>
        <v>0</v>
      </c>
      <c r="AT260" s="148">
        <f>IF(AR260-R260-AS260&gt;=0,AR260-R260-AS260,0)</f>
        <v>4.3353174603174602E-2</v>
      </c>
      <c r="AU260" s="111">
        <f>VLOOKUP($D260,Research!$C:$L,(COLUMN(Research_ResearchCost_Stone)-COLUMN(Research_Name_and_Level)+1),FALSE)*(-1)</f>
        <v>-50</v>
      </c>
      <c r="AV260" s="111">
        <f>VLOOKUP($D260,Research!$C:$L,(COLUMN(Research_ResearchCost_Wood)-COLUMN(Research_Name_and_Level)+1),FALSE)*(-1)</f>
        <v>-800</v>
      </c>
      <c r="AW260" s="111">
        <f>VLOOKUP($D260,Research!$C:$L,(COLUMN(Research_ResearchCost_Ore)-COLUMN(Research_Name_and_Level)+1),FALSE)*(-1)</f>
        <v>-1000</v>
      </c>
      <c r="AX260" s="111">
        <f>VLOOKUP($D260,Research!$C:$L,(COLUMN(Research_ResearchCost_Food)-COLUMN(Research_Name_and_Level)+1),FALSE)*(-1)</f>
        <v>-600</v>
      </c>
      <c r="AY260" s="112">
        <f>VLOOKUP($D260,Research!$C:$L,(COLUMN(Research_ResearchCost_Silver)-COLUMN(Research_Name_and_Level)+1),FALSE)*(-1)</f>
        <v>-7000</v>
      </c>
    </row>
    <row r="261" spans="2:108" ht="15" customHeight="1">
      <c r="B261" s="126" t="s">
        <v>1457</v>
      </c>
      <c r="C261" s="127" t="s">
        <v>147</v>
      </c>
      <c r="D261" s="144" t="s">
        <v>1597</v>
      </c>
      <c r="E261" s="506">
        <v>13</v>
      </c>
      <c r="I261" s="5">
        <v>3</v>
      </c>
      <c r="J261" s="5">
        <v>196</v>
      </c>
      <c r="Q261" s="149"/>
      <c r="AF261" s="141"/>
      <c r="AG261" s="141"/>
      <c r="AH261" s="137"/>
      <c r="AI261" s="484"/>
      <c r="AJ261" s="137">
        <f t="shared" si="29"/>
        <v>9.3749999999999986E-2</v>
      </c>
      <c r="AX261" s="11"/>
    </row>
    <row r="262" spans="2:108" ht="15" customHeight="1">
      <c r="B262" s="106" t="s">
        <v>171</v>
      </c>
      <c r="C262" s="130"/>
      <c r="D262" s="130" t="s">
        <v>1598</v>
      </c>
      <c r="E262" s="106">
        <v>13</v>
      </c>
      <c r="F262" s="219">
        <v>0.25</v>
      </c>
      <c r="G262" s="107" t="s">
        <v>1453</v>
      </c>
      <c r="H262" s="107">
        <v>1113179</v>
      </c>
      <c r="I262" s="108">
        <v>26</v>
      </c>
      <c r="J262" s="108">
        <v>15284</v>
      </c>
      <c r="K262" s="107">
        <v>4</v>
      </c>
      <c r="L262" s="107">
        <v>890</v>
      </c>
      <c r="M262" s="134">
        <v>0.14583333333333334</v>
      </c>
      <c r="N262" s="109">
        <v>200</v>
      </c>
      <c r="O262" s="109">
        <f>SUMIF($B$4:$B261,"&lt;&gt;"&amp;$CS$13,O$4:O261)</f>
        <v>0</v>
      </c>
      <c r="P262" s="108">
        <f>SUMIF($B$4:$B261,"&lt;&gt;"&amp;$CS$13,N$4:N261)</f>
        <v>200</v>
      </c>
      <c r="Q262" s="134">
        <v>3.472222222222222E-3</v>
      </c>
      <c r="R262" s="134">
        <v>6.2499999999999995E-3</v>
      </c>
      <c r="S262" s="107">
        <v>0</v>
      </c>
      <c r="T262" s="107">
        <v>0</v>
      </c>
      <c r="U262" s="107">
        <v>0</v>
      </c>
      <c r="V262" s="107">
        <v>0</v>
      </c>
      <c r="W262" s="109">
        <v>5</v>
      </c>
      <c r="X262" s="109">
        <v>1</v>
      </c>
      <c r="Y262" s="109">
        <v>0</v>
      </c>
      <c r="Z262" s="109">
        <v>0</v>
      </c>
      <c r="AA262" s="109">
        <v>0</v>
      </c>
      <c r="AB262" s="109">
        <v>0</v>
      </c>
      <c r="AC262" s="109">
        <v>0</v>
      </c>
      <c r="AD262" s="109">
        <v>0</v>
      </c>
      <c r="AE262" s="108">
        <v>0</v>
      </c>
      <c r="AF262" s="136">
        <f>SUMIF($B$4:$B261,"&lt;&gt;"&amp;$CS$13,AF$4:AF261)</f>
        <v>0.21388888888888888</v>
      </c>
      <c r="AG262" s="136">
        <f>SUMIF($B$4:$B261,"&lt;&gt;"&amp;$CS$13,AG$4:AG261)</f>
        <v>0</v>
      </c>
      <c r="AH262" s="134">
        <f>AF262+AG262</f>
        <v>0.21388888888888888</v>
      </c>
      <c r="AI262" s="483">
        <f>SUMIF($B$4:$B261,"&lt;&gt;"&amp;$CS$13,AI$4:AI261)</f>
        <v>0.12013888888888889</v>
      </c>
      <c r="AJ262" s="134">
        <f>S$3*S262+T$3*T262+U$3*U262+V$3*V262+W$3*W262+X$3*X262+Y$3*Y262+Z$3*Z262+AA$3*AA262+AB$3*AB262+AC$3*AC262</f>
        <v>9.375E-2</v>
      </c>
      <c r="AK262" s="338">
        <v>0.41</v>
      </c>
      <c r="AL262" s="136" t="s">
        <v>1453</v>
      </c>
      <c r="AM262" s="136" t="s">
        <v>1453</v>
      </c>
      <c r="AN262" s="136" t="s">
        <v>1453</v>
      </c>
      <c r="AO262" s="134" t="s">
        <v>1453</v>
      </c>
      <c r="AP262" s="263">
        <v>0.06</v>
      </c>
      <c r="AQ262" s="136" t="s">
        <v>1453</v>
      </c>
      <c r="AR262" s="136" t="s">
        <v>1453</v>
      </c>
      <c r="AS262" s="136" t="s">
        <v>1453</v>
      </c>
      <c r="AT262" s="134" t="s">
        <v>1453</v>
      </c>
      <c r="AU262" s="107">
        <v>182600</v>
      </c>
      <c r="AV262" s="107">
        <v>169500</v>
      </c>
      <c r="AW262" s="107">
        <v>157000</v>
      </c>
      <c r="AX262" s="109">
        <v>245900</v>
      </c>
      <c r="AY262" s="108">
        <v>34350</v>
      </c>
      <c r="AZ262" s="107">
        <v>756</v>
      </c>
      <c r="BA262" s="107">
        <v>363</v>
      </c>
      <c r="BB262" s="107">
        <v>583</v>
      </c>
      <c r="BC262" s="107">
        <v>1089</v>
      </c>
      <c r="BD262" s="108">
        <v>360</v>
      </c>
      <c r="BE262" s="108">
        <v>-200</v>
      </c>
      <c r="BF262" s="107">
        <v>51000</v>
      </c>
      <c r="BG262" s="107">
        <v>33000</v>
      </c>
      <c r="BH262" s="107">
        <v>42000</v>
      </c>
      <c r="BI262" s="107">
        <v>60000</v>
      </c>
      <c r="BJ262" s="108">
        <v>33000</v>
      </c>
      <c r="BK262" s="107">
        <v>5</v>
      </c>
      <c r="BL262" s="108">
        <v>5</v>
      </c>
      <c r="BM262" s="108">
        <v>4</v>
      </c>
      <c r="BN262" s="107">
        <v>5</v>
      </c>
      <c r="BO262" s="108">
        <v>4</v>
      </c>
      <c r="BP262" s="107">
        <v>3</v>
      </c>
      <c r="BQ262" s="108">
        <v>4</v>
      </c>
      <c r="BR262" s="107">
        <v>5</v>
      </c>
      <c r="BS262" s="108">
        <v>4</v>
      </c>
      <c r="BT262" s="107">
        <v>5</v>
      </c>
      <c r="BU262" s="108">
        <v>4</v>
      </c>
      <c r="BV262" s="107">
        <v>5</v>
      </c>
      <c r="BW262" s="108">
        <v>4</v>
      </c>
      <c r="BX262" s="107">
        <v>5</v>
      </c>
      <c r="BY262" s="108">
        <v>2</v>
      </c>
      <c r="BZ262" s="107">
        <v>2</v>
      </c>
      <c r="CA262" s="108">
        <v>1</v>
      </c>
      <c r="CB262" s="108">
        <v>2</v>
      </c>
      <c r="CC262" s="108">
        <v>5</v>
      </c>
      <c r="CD262" s="108">
        <v>5</v>
      </c>
      <c r="CE262" s="107"/>
      <c r="CF262" s="107"/>
      <c r="CG262" s="108"/>
      <c r="CH262" s="107">
        <v>5</v>
      </c>
      <c r="CI262" s="107"/>
      <c r="CJ262" s="108"/>
      <c r="CK262" s="108"/>
      <c r="CL262" s="107">
        <v>37500</v>
      </c>
      <c r="CM262" s="108"/>
      <c r="CN262" s="108" t="s">
        <v>1208</v>
      </c>
    </row>
    <row r="263" spans="2:108" ht="15" customHeight="1">
      <c r="B263" s="102" t="s">
        <v>1455</v>
      </c>
      <c r="C263" s="127" t="s">
        <v>170</v>
      </c>
      <c r="D263" s="144" t="s">
        <v>1596</v>
      </c>
      <c r="E263" s="506">
        <v>13</v>
      </c>
      <c r="F263" s="12">
        <v>0.25</v>
      </c>
      <c r="G263" s="101">
        <f>VLOOKUP($D263,Research!$C:$M,(COLUMN(Research_QuestReward_HeroXP)-COLUMN(Research_Name_and_Level)+1),FALSE)</f>
        <v>7000</v>
      </c>
      <c r="H263" s="101">
        <f>G263*(1+F263)</f>
        <v>8750</v>
      </c>
      <c r="J263" s="103">
        <f>VLOOKUP($D263,Research!$C:$N,(COLUMN(Research_QuestReward_Power)-COLUMN(Research_Name_and_Level)+1),FALSE)</f>
        <v>30</v>
      </c>
      <c r="AF263" s="141"/>
      <c r="AG263" s="141"/>
      <c r="AH263" s="137"/>
      <c r="AI263" s="484"/>
      <c r="AJ263" s="137">
        <f t="shared" ref="AJ263:AJ299" si="36">AJ262+(S$3*S263+T$3*T263+U$3*U263+V$3*V263+W$3*W263+X$3*X263+Y$3*Y263+Z$3*Z263+AA$3*AA263+AB$3*AB263+AC$3*AC263)</f>
        <v>9.375E-2</v>
      </c>
      <c r="AU263" s="101">
        <f>VLOOKUP($D263,Research!$C:$S,(COLUMN(Research_QuestReward_Stone)-COLUMN(Research_Name_and_Level)+1),FALSE)</f>
        <v>0</v>
      </c>
      <c r="AV263" s="101">
        <f>VLOOKUP($D263,Research!$C:$S,(COLUMN(Research_QuestReward_Wood)-COLUMN(Research_Name_and_Level)+1),FALSE)</f>
        <v>1000</v>
      </c>
      <c r="AW263" s="101">
        <f>VLOOKUP($D263,Research!$C:$S,(COLUMN(Research_QuestReward_Ore)-COLUMN(Research_Name_and_Level)+1),FALSE)</f>
        <v>1000</v>
      </c>
      <c r="AX263" s="101">
        <f>VLOOKUP($D263,Research!$C:$S,(COLUMN(Research_QuestReward_Food)-COLUMN(Research_Name_and_Level)+1),FALSE)</f>
        <v>0</v>
      </c>
      <c r="AY263" s="100">
        <f>VLOOKUP($D263,Research!$C:$S,(COLUMN(Research_QuestReward_Silver)-COLUMN(Research_Name_and_Level)+1),FALSE)</f>
        <v>4500</v>
      </c>
      <c r="CT263" s="127"/>
      <c r="CU263" s="127"/>
      <c r="CV263" s="127"/>
      <c r="CW263" s="127"/>
      <c r="CX263" s="127"/>
      <c r="CY263" s="127"/>
      <c r="CZ263" s="127"/>
      <c r="DA263" s="127"/>
      <c r="DB263" s="127"/>
      <c r="DC263" s="127"/>
      <c r="DD263" s="127"/>
    </row>
    <row r="264" spans="2:108" ht="15" customHeight="1">
      <c r="B264" s="102" t="s">
        <v>1455</v>
      </c>
      <c r="C264" s="127" t="s">
        <v>141</v>
      </c>
      <c r="D264" s="144" t="s">
        <v>1599</v>
      </c>
      <c r="E264" s="506">
        <v>13</v>
      </c>
      <c r="F264" s="12">
        <v>0.25</v>
      </c>
      <c r="G264" s="101">
        <v>2500</v>
      </c>
      <c r="H264" s="101">
        <f t="shared" ref="H264:H265" si="37">G264*(1+F264)</f>
        <v>3125</v>
      </c>
      <c r="J264" s="100">
        <v>25</v>
      </c>
      <c r="AF264" s="141"/>
      <c r="AG264" s="141"/>
      <c r="AH264" s="137"/>
      <c r="AI264" s="484"/>
      <c r="AJ264" s="137">
        <f t="shared" si="36"/>
        <v>9.375E-2</v>
      </c>
      <c r="AU264" s="101">
        <v>2100</v>
      </c>
      <c r="AV264" s="101">
        <v>2100</v>
      </c>
      <c r="AW264" s="101">
        <v>1500</v>
      </c>
      <c r="AX264" s="101">
        <v>4200</v>
      </c>
      <c r="AY264" s="100">
        <v>0</v>
      </c>
      <c r="CT264" s="128"/>
      <c r="CU264" s="128"/>
      <c r="CV264" s="128"/>
      <c r="CW264" s="128"/>
      <c r="CX264" s="128"/>
      <c r="CY264" s="128"/>
      <c r="CZ264" s="128"/>
      <c r="DA264" s="128"/>
      <c r="DB264" s="128"/>
      <c r="DC264" s="128"/>
      <c r="DD264" s="128"/>
    </row>
    <row r="265" spans="2:108" ht="15" customHeight="1">
      <c r="B265" s="102" t="s">
        <v>1455</v>
      </c>
      <c r="C265" s="127" t="s">
        <v>141</v>
      </c>
      <c r="D265" s="144" t="s">
        <v>1600</v>
      </c>
      <c r="E265" s="506">
        <v>13</v>
      </c>
      <c r="F265" s="12">
        <v>0.25</v>
      </c>
      <c r="G265" s="101">
        <v>2500</v>
      </c>
      <c r="H265" s="101">
        <f t="shared" si="37"/>
        <v>3125</v>
      </c>
      <c r="J265" s="100">
        <v>25</v>
      </c>
      <c r="AF265" s="141"/>
      <c r="AG265" s="141"/>
      <c r="AH265" s="137"/>
      <c r="AI265" s="484"/>
      <c r="AJ265" s="137">
        <f t="shared" si="36"/>
        <v>9.375E-2</v>
      </c>
      <c r="AU265" s="101">
        <v>5000</v>
      </c>
      <c r="AV265" s="101">
        <v>3400</v>
      </c>
      <c r="AW265" s="101">
        <v>2400</v>
      </c>
      <c r="AX265" s="101">
        <v>5000</v>
      </c>
      <c r="AY265" s="100">
        <v>0</v>
      </c>
      <c r="CT265" s="128"/>
      <c r="CU265" s="128"/>
      <c r="CV265" s="128"/>
      <c r="CW265" s="128"/>
      <c r="CX265" s="128"/>
      <c r="CY265" s="128"/>
      <c r="CZ265" s="128"/>
      <c r="DA265" s="128"/>
      <c r="DB265" s="128"/>
      <c r="DC265" s="128"/>
      <c r="DD265" s="128"/>
    </row>
    <row r="266" spans="2:108" ht="15" customHeight="1">
      <c r="B266" s="506" t="s">
        <v>144</v>
      </c>
      <c r="C266" s="127" t="s">
        <v>138</v>
      </c>
      <c r="D266" s="144" t="s">
        <v>1601</v>
      </c>
      <c r="E266" s="506">
        <v>13</v>
      </c>
      <c r="F266" s="12">
        <v>0.25</v>
      </c>
      <c r="G266" s="94">
        <f>VLOOKUP($D266,Construction!$B:$E,(COLUMN(Construction_BuildingReward_HeroXP)-COLUMN(Construction_Name_and_Level)+1),FALSE)</f>
        <v>400</v>
      </c>
      <c r="H266" s="94">
        <f t="shared" ref="H266:H267" si="38">G266*(1+F266)</f>
        <v>500</v>
      </c>
      <c r="J266" s="95">
        <f>VLOOKUP($D266,Construction!$B:$F,(COLUMN(Construction_BuildingReward_Power)-COLUMN(Construction_Name_and_Level)+1),FALSE)</f>
        <v>70</v>
      </c>
      <c r="Q266" s="139">
        <v>3.472222222222222E-3</v>
      </c>
      <c r="R266" s="139">
        <v>6.2499999999999995E-3</v>
      </c>
      <c r="AF266" s="141"/>
      <c r="AG266" s="141"/>
      <c r="AH266" s="137"/>
      <c r="AI266" s="484"/>
      <c r="AJ266" s="137">
        <f t="shared" si="36"/>
        <v>9.375E-2</v>
      </c>
      <c r="AK266" s="339">
        <v>0.41</v>
      </c>
      <c r="AL266" s="138">
        <f>VLOOKUP($D266,Construction!$B:$C,(COLUMN(Construction_Time)-COLUMN(Construction_Name_and_Level)+1),FALSE)</f>
        <v>1.1111111111111112E-2</v>
      </c>
      <c r="AM266" s="138">
        <f>AL266/(1+AK266)</f>
        <v>7.880220646178094E-3</v>
      </c>
      <c r="AN266" s="138">
        <f>(S$3*S266+T$3*T266+V$3*V266+W$3*W266+X$3*X266+Y$3*Y266+Z$3*Z266+AA$3*AA266+AB$3*AB266+AC$3*AC266)*(-1)</f>
        <v>0</v>
      </c>
      <c r="AO266" s="139">
        <f>IF((AM266-Q266-R266-AN266)&gt;=0,AM266-Q266-R266-AN266,0)</f>
        <v>0</v>
      </c>
      <c r="AU266" s="94">
        <f>VLOOKUP($D266,Construction!$B:$J,(COLUMN(Construction_BuildingCost_Stone)-COLUMN(Construction_Name_and_Level)+1),FALSE)*(-1)</f>
        <v>-3343</v>
      </c>
      <c r="AV266" s="94">
        <f>VLOOKUP($D266,Construction!$B:$J,(COLUMN(Construction_BuildingCost_Wood)-COLUMN(Construction_Name_and_Level)+1),FALSE)*(-1)</f>
        <v>-3343</v>
      </c>
      <c r="AW266" s="94">
        <f>VLOOKUP($D266,Construction!$B:$J,(COLUMN(Construction_BuildingCost_Ore)-COLUMN(Construction_Name_and_Level)+1),FALSE)*(-1)</f>
        <v>-2506</v>
      </c>
      <c r="AX266" s="94">
        <f>VLOOKUP($D266,Construction!$B:$J,(COLUMN(Construction_BuildingCost_Food)-COLUMN(Construction_Name_and_Level)+1),FALSE)*(-1)</f>
        <v>-1672</v>
      </c>
    </row>
    <row r="267" spans="2:108" ht="15" customHeight="1">
      <c r="B267" s="506" t="s">
        <v>143</v>
      </c>
      <c r="C267" s="127" t="s">
        <v>142</v>
      </c>
      <c r="D267" s="144" t="s">
        <v>1601</v>
      </c>
      <c r="E267" s="506">
        <v>13</v>
      </c>
      <c r="F267" s="12">
        <v>0.25</v>
      </c>
      <c r="G267" s="101">
        <f>VLOOKUP($D267,Construction!$B:$L,(COLUMN(Construction_QuestReward_HeroXP)-COLUMN(Construction_Name_and_Level)+1),FALSE)</f>
        <v>2675</v>
      </c>
      <c r="H267" s="101">
        <f t="shared" si="38"/>
        <v>3343.75</v>
      </c>
      <c r="J267" s="100">
        <f>VLOOKUP($D267,Construction!$B:$L,(COLUMN(Construction_QuestReward_Power)-COLUMN(Construction_Name_and_Level)+1),FALSE)</f>
        <v>35</v>
      </c>
      <c r="AF267" s="141"/>
      <c r="AG267" s="141"/>
      <c r="AH267" s="137"/>
      <c r="AI267" s="484"/>
      <c r="AJ267" s="137">
        <f t="shared" si="36"/>
        <v>9.375E-2</v>
      </c>
      <c r="AU267" s="101">
        <f>VLOOKUP($D267,Construction!$B:$Q,(COLUMN(Construction_QuestReward_Stone)-COLUMN(Construction_Name_and_Level)+1),FALSE)</f>
        <v>3500</v>
      </c>
      <c r="AV267" s="101">
        <f>VLOOKUP($D267,Construction!$B:$Q,(COLUMN(Construction_QuestReward_Wood)-COLUMN(Construction_Name_and_Level)+1),FALSE)</f>
        <v>3500</v>
      </c>
      <c r="AW267" s="101">
        <f>VLOOKUP($D267,Construction!$B:$Q,(COLUMN(Construction_QuestReward_Ore)-COLUMN(Construction_Name_and_Level)+1),FALSE)</f>
        <v>2600</v>
      </c>
      <c r="AX267" s="101">
        <f>VLOOKUP($D267,Construction!$B:$Q,(COLUMN(Construction_QuestReward_Food)-COLUMN(Construction_Name_and_Level)+1),FALSE)</f>
        <v>1800</v>
      </c>
      <c r="AY267" s="100">
        <f>VLOOKUP($D267,Construction!$B:$Q,(COLUMN(Construction_QuestReward_Silver)-COLUMN(Construction_Name_and_Level)+1),FALSE)</f>
        <v>450</v>
      </c>
    </row>
    <row r="268" spans="2:108" ht="15" customHeight="1">
      <c r="B268" s="506" t="s">
        <v>144</v>
      </c>
      <c r="C268" s="127" t="s">
        <v>138</v>
      </c>
      <c r="D268" s="144" t="s">
        <v>1602</v>
      </c>
      <c r="E268" s="506">
        <v>13</v>
      </c>
      <c r="F268" s="12">
        <v>0.25</v>
      </c>
      <c r="G268" s="94">
        <f>VLOOKUP($D268,Construction!$B:$E,(COLUMN(Construction_BuildingReward_HeroXP)-COLUMN(Construction_Name_and_Level)+1),FALSE)</f>
        <v>10000</v>
      </c>
      <c r="H268" s="94">
        <f t="shared" ref="H268:H271" si="39">G268*(1+F268)</f>
        <v>12500</v>
      </c>
      <c r="J268" s="95">
        <f>VLOOKUP($D268,Construction!$B:$F,(COLUMN(Construction_BuildingReward_Power)-COLUMN(Construction_Name_and_Level)+1),FALSE)</f>
        <v>550</v>
      </c>
      <c r="Q268" s="139">
        <v>3.472222222222222E-3</v>
      </c>
      <c r="R268" s="159">
        <v>6.9444444444444441E-3</v>
      </c>
      <c r="AF268" s="141"/>
      <c r="AG268" s="141"/>
      <c r="AH268" s="137"/>
      <c r="AI268" s="484"/>
      <c r="AJ268" s="137">
        <f t="shared" si="36"/>
        <v>9.375E-2</v>
      </c>
      <c r="AK268" s="339">
        <v>0.41</v>
      </c>
      <c r="AL268" s="138">
        <f>VLOOKUP($D268,Construction!$B:$C,(COLUMN(Construction_Time)-COLUMN(Construction_Name_and_Level)+1),FALSE)</f>
        <v>0.1111111111111111</v>
      </c>
      <c r="AM268" s="138">
        <f>AL268/(1+AK268)</f>
        <v>7.8802206461780933E-2</v>
      </c>
      <c r="AN268" s="138">
        <f>(S$3*S268+T$3*T268+V$3*V268+W$3*W268+X$3*X268+Y$3*Y268+Z$3*Z268+AA$3*AA268+AB$3*AB268+AC$3*AC268)*(-1)</f>
        <v>0</v>
      </c>
      <c r="AO268" s="139">
        <f>IF((AM268-Q268-R268-AN268)&gt;=0,AM268-Q268-R268-AN268,0)</f>
        <v>6.8385539795114261E-2</v>
      </c>
      <c r="AU268" s="94">
        <f>VLOOKUP($D268,Construction!$B:$J,(COLUMN(Construction_BuildingCost_Stone)-COLUMN(Construction_Name_and_Level)+1),FALSE)*(-1)</f>
        <v>-20996</v>
      </c>
      <c r="AV268" s="94">
        <f>VLOOKUP($D268,Construction!$B:$J,(COLUMN(Construction_BuildingCost_Wood)-COLUMN(Construction_Name_and_Level)+1),FALSE)*(-1)</f>
        <v>-20996</v>
      </c>
      <c r="AW268" s="94">
        <f>VLOOKUP($D268,Construction!$B:$J,(COLUMN(Construction_BuildingCost_Ore)-COLUMN(Construction_Name_and_Level)+1),FALSE)*(-1)</f>
        <v>-8400</v>
      </c>
      <c r="AX268" s="94">
        <f>VLOOKUP($D268,Construction!$B:$J,(COLUMN(Construction_BuildingCost_Food)-COLUMN(Construction_Name_and_Level)+1),FALSE)*(-1)</f>
        <v>-10498</v>
      </c>
    </row>
    <row r="269" spans="2:108" ht="15" customHeight="1">
      <c r="B269" s="506" t="s">
        <v>1457</v>
      </c>
      <c r="C269" s="127" t="s">
        <v>172</v>
      </c>
      <c r="D269" s="145" t="s">
        <v>1603</v>
      </c>
      <c r="E269" s="506">
        <v>13</v>
      </c>
      <c r="J269" s="19"/>
      <c r="W269" s="11">
        <v>1</v>
      </c>
      <c r="X269" s="11">
        <v>1</v>
      </c>
      <c r="AF269" s="141">
        <f>$S$3*$S269+$T$3*$T269+$U$3*$U269+$V$3*$V269+$W$3*$W269+$X$3*$X269+$Y$3*$Y269+$Z$3*$Z269+$AA$3*$AA269+$AB$3*$AB269+$AC$3*$AC269</f>
        <v>5.2083333333333329E-2</v>
      </c>
      <c r="AG269" s="141"/>
      <c r="AH269" s="137"/>
      <c r="AI269" s="484"/>
      <c r="AJ269" s="137">
        <f t="shared" si="36"/>
        <v>0.14583333333333331</v>
      </c>
      <c r="AU269" s="7">
        <v>8400</v>
      </c>
      <c r="AV269" s="7">
        <v>8400</v>
      </c>
      <c r="AW269" s="7">
        <v>8400</v>
      </c>
      <c r="AX269" s="7">
        <v>9600</v>
      </c>
      <c r="AY269" s="19">
        <v>6400</v>
      </c>
      <c r="CN269" s="5">
        <v>7000</v>
      </c>
      <c r="CZ269" s="127"/>
      <c r="DA269" s="127"/>
      <c r="DB269" s="127"/>
      <c r="DC269" s="127"/>
      <c r="DD269" s="127"/>
    </row>
    <row r="270" spans="2:108" ht="15" customHeight="1">
      <c r="B270" s="506" t="s">
        <v>145</v>
      </c>
      <c r="C270" s="127" t="s">
        <v>152</v>
      </c>
      <c r="D270" s="145" t="s">
        <v>1604</v>
      </c>
      <c r="E270" s="506">
        <v>13</v>
      </c>
      <c r="J270" s="19"/>
      <c r="W270" s="11">
        <v>1</v>
      </c>
      <c r="AF270" s="141">
        <f>$S$3*$S270+$T$3*$T270+$U$3*$U270+$V$3*$V270+$W$3*$W270+$X$3*$X270+$Y$3*$Y270+$Z$3*$Z270+$AA$3*$AA270+$AB$3*$AB270+$AC$3*$AC270</f>
        <v>1.0416666666666666E-2</v>
      </c>
      <c r="AG270" s="141"/>
      <c r="AH270" s="137"/>
      <c r="AI270" s="484"/>
      <c r="AJ270" s="137">
        <f t="shared" si="36"/>
        <v>0.15624999999999997</v>
      </c>
      <c r="AU270" s="7"/>
      <c r="AV270" s="7"/>
      <c r="AW270" s="7"/>
      <c r="AX270" s="7"/>
      <c r="AY270" s="19"/>
      <c r="CZ270" s="127"/>
      <c r="DA270" s="127"/>
      <c r="DB270" s="127"/>
      <c r="DC270" s="127"/>
      <c r="DD270" s="127"/>
    </row>
    <row r="271" spans="2:108" ht="15" customHeight="1">
      <c r="B271" s="506" t="s">
        <v>143</v>
      </c>
      <c r="C271" s="127" t="s">
        <v>142</v>
      </c>
      <c r="D271" s="144" t="s">
        <v>1602</v>
      </c>
      <c r="E271" s="506">
        <v>13</v>
      </c>
      <c r="F271" s="12">
        <v>0.25</v>
      </c>
      <c r="G271" s="101">
        <f>VLOOKUP($D271,Construction!$B:$L,(COLUMN(Construction_QuestReward_HeroXP)-COLUMN(Construction_Name_and_Level)+1),FALSE)</f>
        <v>20000</v>
      </c>
      <c r="H271" s="101">
        <f t="shared" si="39"/>
        <v>25000</v>
      </c>
      <c r="J271" s="100">
        <f>VLOOKUP($D271,Construction!$B:$L,(COLUMN(Construction_QuestReward_Power)-COLUMN(Construction_Name_and_Level)+1),FALSE)</f>
        <v>275</v>
      </c>
      <c r="AF271" s="141"/>
      <c r="AG271" s="141"/>
      <c r="AH271" s="137"/>
      <c r="AI271" s="484"/>
      <c r="AJ271" s="137">
        <f t="shared" si="36"/>
        <v>0.15624999999999997</v>
      </c>
      <c r="AU271" s="101">
        <f>VLOOKUP($D271,Construction!$B:$Q,(COLUMN(Construction_QuestReward_Stone)-COLUMN(Construction_Name_and_Level)+1),FALSE)</f>
        <v>6998</v>
      </c>
      <c r="AV271" s="101">
        <f>VLOOKUP($D271,Construction!$B:$Q,(COLUMN(Construction_QuestReward_Wood)-COLUMN(Construction_Name_and_Level)+1),FALSE)</f>
        <v>6998</v>
      </c>
      <c r="AW271" s="101">
        <f>VLOOKUP($D271,Construction!$B:$Q,(COLUMN(Construction_QuestReward_Ore)-COLUMN(Construction_Name_and_Level)+1),FALSE)</f>
        <v>2800</v>
      </c>
      <c r="AX271" s="101">
        <f>VLOOKUP($D271,Construction!$B:$Q,(COLUMN(Construction_QuestReward_Food)-COLUMN(Construction_Name_and_Level)+1),FALSE)</f>
        <v>3499</v>
      </c>
      <c r="AY271" s="100">
        <f>VLOOKUP($D271,Construction!$B:$Q,(COLUMN(Construction_QuestReward_Silver)-COLUMN(Construction_Name_and_Level)+1),FALSE)</f>
        <v>430</v>
      </c>
    </row>
    <row r="272" spans="2:108" ht="15" customHeight="1">
      <c r="B272" s="506" t="s">
        <v>144</v>
      </c>
      <c r="C272" s="127" t="s">
        <v>138</v>
      </c>
      <c r="D272" s="144" t="s">
        <v>1605</v>
      </c>
      <c r="E272" s="506">
        <v>13</v>
      </c>
      <c r="F272" s="12">
        <v>0.25</v>
      </c>
      <c r="G272" s="94">
        <f>VLOOKUP($D272,Construction!$B:$E,(COLUMN(Construction_BuildingReward_HeroXP)-COLUMN(Construction_Name_and_Level)+1),FALSE)</f>
        <v>500</v>
      </c>
      <c r="H272" s="94">
        <f t="shared" ref="H272:H273" si="40">G272*(1+F272)</f>
        <v>625</v>
      </c>
      <c r="J272" s="95">
        <f>VLOOKUP($D272,Construction!$B:$F,(COLUMN(Construction_BuildingReward_Power)-COLUMN(Construction_Name_and_Level)+1),FALSE)</f>
        <v>55</v>
      </c>
      <c r="Q272" s="139">
        <v>3.472222222222222E-3</v>
      </c>
      <c r="R272" s="139">
        <v>6.9444444444444441E-3</v>
      </c>
      <c r="W272" s="11">
        <v>-1</v>
      </c>
      <c r="AF272" s="141"/>
      <c r="AG272" s="141"/>
      <c r="AH272" s="137"/>
      <c r="AI272" s="484">
        <f>(-1)*($S$3*$S272+$T$3*$T272+$U$3*$U272+$V$3*$V272+$W$3*$W272+$X$3*$X272+$Y$3*$Y272+$Z$3*$Z272+$AA$3*$AA272+$AB$3*$AB272+$AC$3*$AC272)</f>
        <v>1.0416666666666666E-2</v>
      </c>
      <c r="AJ272" s="137">
        <f t="shared" si="36"/>
        <v>0.14583333333333331</v>
      </c>
      <c r="AK272" s="339">
        <v>0.41</v>
      </c>
      <c r="AL272" s="138">
        <f>VLOOKUP($D272,Construction!$B:$C,(COLUMN(Construction_Time)-COLUMN(Construction_Name_and_Level)+1),FALSE)</f>
        <v>2.9629629629629627E-2</v>
      </c>
      <c r="AM272" s="138">
        <f>AL272/(1+AK272)</f>
        <v>2.1013921723141579E-2</v>
      </c>
      <c r="AN272" s="138">
        <f>(S$3*S272+T$3*T272+V$3*V272+W$3*W272+X$3*X272+Y$3*Y272+Z$3*Z272+AA$3*AA272+AB$3*AB272+AC$3*AC272)*(-1)</f>
        <v>1.0416666666666666E-2</v>
      </c>
      <c r="AO272" s="139">
        <f>IF((AM272-Q272-R272-AN272)&gt;=0,AM272-Q272-R272-AN272,0)</f>
        <v>1.8058838980824533E-4</v>
      </c>
      <c r="AU272" s="94">
        <f>VLOOKUP($D272,Construction!$B:$J,(COLUMN(Construction_BuildingCost_Stone)-COLUMN(Construction_Name_and_Level)+1),FALSE)*(-1)</f>
        <v>-1674</v>
      </c>
      <c r="AV272" s="94">
        <f>VLOOKUP($D272,Construction!$B:$J,(COLUMN(Construction_BuildingCost_Wood)-COLUMN(Construction_Name_and_Level)+1),FALSE)*(-1)</f>
        <v>-1674</v>
      </c>
      <c r="AW272" s="94">
        <f>VLOOKUP($D272,Construction!$B:$J,(COLUMN(Construction_BuildingCost_Ore)-COLUMN(Construction_Name_and_Level)+1),FALSE)*(-1)</f>
        <v>0</v>
      </c>
      <c r="AX272" s="94">
        <f>VLOOKUP($D272,Construction!$B:$J,(COLUMN(Construction_BuildingCost_Food)-COLUMN(Construction_Name_and_Level)+1),FALSE)*(-1)</f>
        <v>-1674</v>
      </c>
    </row>
    <row r="273" spans="2:108" ht="15" customHeight="1">
      <c r="B273" s="506" t="s">
        <v>143</v>
      </c>
      <c r="C273" s="127" t="s">
        <v>142</v>
      </c>
      <c r="D273" s="144" t="s">
        <v>1605</v>
      </c>
      <c r="E273" s="506">
        <v>13</v>
      </c>
      <c r="F273" s="12">
        <v>0.25</v>
      </c>
      <c r="G273" s="101">
        <f>VLOOKUP($D273,Construction!$B:$L,(COLUMN(Construction_QuestReward_HeroXP)-COLUMN(Construction_Name_and_Level)+1),FALSE)</f>
        <v>2500</v>
      </c>
      <c r="H273" s="101">
        <f t="shared" si="40"/>
        <v>3125</v>
      </c>
      <c r="J273" s="100">
        <f>VLOOKUP($D273,Construction!$B:$L,(COLUMN(Construction_QuestReward_Power)-COLUMN(Construction_Name_and_Level)+1),FALSE)</f>
        <v>27</v>
      </c>
      <c r="AF273" s="141"/>
      <c r="AG273" s="141"/>
      <c r="AH273" s="137"/>
      <c r="AI273" s="484"/>
      <c r="AJ273" s="137">
        <f t="shared" si="36"/>
        <v>0.14583333333333331</v>
      </c>
      <c r="AU273" s="101">
        <f>VLOOKUP($D273,Construction!$B:$Q,(COLUMN(Construction_QuestReward_Stone)-COLUMN(Construction_Name_and_Level)+1),FALSE)</f>
        <v>1300</v>
      </c>
      <c r="AV273" s="101">
        <f>VLOOKUP($D273,Construction!$B:$Q,(COLUMN(Construction_QuestReward_Wood)-COLUMN(Construction_Name_and_Level)+1),FALSE)</f>
        <v>1300</v>
      </c>
      <c r="AW273" s="101">
        <f>VLOOKUP($D273,Construction!$B:$Q,(COLUMN(Construction_QuestReward_Ore)-COLUMN(Construction_Name_and_Level)+1),FALSE)</f>
        <v>0</v>
      </c>
      <c r="AX273" s="101">
        <f>VLOOKUP($D273,Construction!$B:$Q,(COLUMN(Construction_QuestReward_Food)-COLUMN(Construction_Name_and_Level)+1),FALSE)</f>
        <v>1300</v>
      </c>
      <c r="AY273" s="100">
        <f>VLOOKUP($D273,Construction!$B:$Q,(COLUMN(Construction_QuestReward_Silver)-COLUMN(Construction_Name_and_Level)+1),FALSE)</f>
        <v>100</v>
      </c>
    </row>
    <row r="274" spans="2:108" ht="15" customHeight="1">
      <c r="B274" s="506" t="s">
        <v>144</v>
      </c>
      <c r="C274" s="127" t="s">
        <v>138</v>
      </c>
      <c r="D274" s="144" t="s">
        <v>1606</v>
      </c>
      <c r="E274" s="506">
        <v>13</v>
      </c>
      <c r="F274" s="12">
        <v>0.25</v>
      </c>
      <c r="G274" s="94">
        <f>VLOOKUP($D274,Construction!$B:$E,(COLUMN(Construction_BuildingReward_HeroXP)-COLUMN(Construction_Name_and_Level)+1),FALSE)</f>
        <v>500</v>
      </c>
      <c r="H274" s="94">
        <f t="shared" ref="H274" si="41">G274*(1+F274)</f>
        <v>625</v>
      </c>
      <c r="J274" s="95">
        <f>VLOOKUP($D274,Construction!$B:$F,(COLUMN(Construction_BuildingReward_Power)-COLUMN(Construction_Name_and_Level)+1),FALSE)</f>
        <v>135</v>
      </c>
      <c r="Q274" s="139">
        <v>3.472222222222222E-3</v>
      </c>
      <c r="R274" s="139">
        <v>6.9444444444444441E-3</v>
      </c>
      <c r="W274" s="11">
        <v>-1</v>
      </c>
      <c r="AF274" s="141"/>
      <c r="AG274" s="141"/>
      <c r="AH274" s="137"/>
      <c r="AI274" s="484">
        <f>(-1)*($S$3*$S274+$T$3*$T274+$U$3*$U274+$V$3*$V274+$W$3*$W274+$X$3*$X274+$Y$3*$Y274+$Z$3*$Z274+$AA$3*$AA274+$AB$3*$AB274+$AC$3*$AC274)</f>
        <v>1.0416666666666666E-2</v>
      </c>
      <c r="AJ274" s="137">
        <f t="shared" si="36"/>
        <v>0.13541666666666666</v>
      </c>
      <c r="AK274" s="339">
        <v>0.41</v>
      </c>
      <c r="AL274" s="138">
        <f>VLOOKUP($D274,Construction!$B:$C,(COLUMN(Construction_Time)-COLUMN(Construction_Name_and_Level)+1),FALSE)</f>
        <v>2.7777777777777776E-2</v>
      </c>
      <c r="AM274" s="138">
        <f>AL274/(1+AK274)</f>
        <v>1.9700551615445233E-2</v>
      </c>
      <c r="AN274" s="138">
        <f>(S$3*S274+T$3*T274+V$3*V274+W$3*W274+X$3*X274+Y$3*Y274+Z$3*Z274+AA$3*AA274+AB$3*AB274+AC$3*AC274)*(-1)</f>
        <v>1.0416666666666666E-2</v>
      </c>
      <c r="AO274" s="139">
        <f>IF((AM274-Q274-R274-AN274)&gt;=0,AM274-Q274-R274-AN274,0)</f>
        <v>0</v>
      </c>
      <c r="AU274" s="94">
        <f>VLOOKUP($D274,Construction!$B:$J,(COLUMN(Construction_BuildingCost_Stone)-COLUMN(Construction_Name_and_Level)+1),FALSE)*(-1)</f>
        <v>-5012</v>
      </c>
      <c r="AV274" s="94">
        <f>VLOOKUP($D274,Construction!$B:$J,(COLUMN(Construction_BuildingCost_Wood)-COLUMN(Construction_Name_and_Level)+1),FALSE)*(-1)</f>
        <v>-6686</v>
      </c>
      <c r="AW274" s="94">
        <f>VLOOKUP($D274,Construction!$B:$J,(COLUMN(Construction_BuildingCost_Ore)-COLUMN(Construction_Name_and_Level)+1),FALSE)*(-1)</f>
        <v>-13366</v>
      </c>
      <c r="AX274" s="94">
        <f>VLOOKUP($D274,Construction!$B:$J,(COLUMN(Construction_BuildingCost_Food)-COLUMN(Construction_Name_and_Level)+1),FALSE)*(-1)</f>
        <v>-5012</v>
      </c>
    </row>
    <row r="275" spans="2:108" ht="15" customHeight="1">
      <c r="B275" s="506" t="s">
        <v>144</v>
      </c>
      <c r="C275" s="127" t="s">
        <v>138</v>
      </c>
      <c r="D275" s="144" t="s">
        <v>1607</v>
      </c>
      <c r="E275" s="506">
        <v>13</v>
      </c>
      <c r="F275" s="12">
        <v>0.25</v>
      </c>
      <c r="G275" s="94">
        <f>VLOOKUP($D275,Construction!$B:$E,(COLUMN(Construction_BuildingReward_HeroXP)-COLUMN(Construction_Name_and_Level)+1),FALSE)</f>
        <v>5000</v>
      </c>
      <c r="H275" s="94">
        <f t="shared" ref="H275:H277" si="42">G275*(1+F275)</f>
        <v>6250</v>
      </c>
      <c r="J275" s="95">
        <f>VLOOKUP($D275,Construction!$B:$F,(COLUMN(Construction_BuildingReward_Power)-COLUMN(Construction_Name_and_Level)+1),FALSE)</f>
        <v>330</v>
      </c>
      <c r="Q275" s="139">
        <v>3.472222222222222E-3</v>
      </c>
      <c r="R275" s="139">
        <v>6.9444444444444441E-3</v>
      </c>
      <c r="AF275" s="141"/>
      <c r="AG275" s="141"/>
      <c r="AH275" s="137"/>
      <c r="AI275" s="484"/>
      <c r="AJ275" s="137">
        <f t="shared" si="36"/>
        <v>0.13541666666666666</v>
      </c>
      <c r="AK275" s="339">
        <v>0.41</v>
      </c>
      <c r="AL275" s="138">
        <f>VLOOKUP($D275,Construction!$B:$C,(COLUMN(Construction_Time)-COLUMN(Construction_Name_and_Level)+1),FALSE)</f>
        <v>3.888888888888889E-2</v>
      </c>
      <c r="AM275" s="138">
        <f>AL275/(1+AK275)</f>
        <v>2.7580772261623327E-2</v>
      </c>
      <c r="AN275" s="138">
        <f>(S$3*S275+T$3*T275+V$3*V275+W$3*W275+X$3*X275+Y$3*Y275+Z$3*Z275+AA$3*AA275+AB$3*AB275+AC$3*AC275)*(-1)</f>
        <v>0</v>
      </c>
      <c r="AO275" s="139">
        <f>IF((AM275-Q275-R275-AN275)&gt;=0,AM275-Q275-R275-AN275,0)</f>
        <v>1.7164105594956663E-2</v>
      </c>
      <c r="AU275" s="94">
        <f>VLOOKUP($D275,Construction!$B:$J,(COLUMN(Construction_BuildingCost_Stone)-COLUMN(Construction_Name_and_Level)+1),FALSE)*(-1)</f>
        <v>-20996</v>
      </c>
      <c r="AV275" s="94">
        <f>VLOOKUP($D275,Construction!$B:$J,(COLUMN(Construction_BuildingCost_Wood)-COLUMN(Construction_Name_and_Level)+1),FALSE)*(-1)</f>
        <v>-16798</v>
      </c>
      <c r="AW275" s="94">
        <f>VLOOKUP($D275,Construction!$B:$J,(COLUMN(Construction_BuildingCost_Ore)-COLUMN(Construction_Name_and_Level)+1),FALSE)*(-1)</f>
        <v>-6300</v>
      </c>
      <c r="AX275" s="94">
        <f>VLOOKUP($D275,Construction!$B:$J,(COLUMN(Construction_BuildingCost_Food)-COLUMN(Construction_Name_and_Level)+1),FALSE)*(-1)</f>
        <v>-10498</v>
      </c>
    </row>
    <row r="276" spans="2:108" ht="15" customHeight="1">
      <c r="B276" s="506" t="s">
        <v>143</v>
      </c>
      <c r="C276" s="127" t="s">
        <v>142</v>
      </c>
      <c r="D276" s="144" t="s">
        <v>1606</v>
      </c>
      <c r="E276" s="506">
        <v>13</v>
      </c>
      <c r="F276" s="12">
        <v>0.25</v>
      </c>
      <c r="G276" s="101">
        <f>VLOOKUP($D276,Construction!$B:$L,(COLUMN(Construction_QuestReward_HeroXP)-COLUMN(Construction_Name_and_Level)+1),FALSE)</f>
        <v>10000</v>
      </c>
      <c r="H276" s="101">
        <f t="shared" si="42"/>
        <v>12500</v>
      </c>
      <c r="J276" s="100">
        <f>VLOOKUP($D276,Construction!$B:$L,(COLUMN(Construction_QuestReward_Power)-COLUMN(Construction_Name_and_Level)+1),FALSE)</f>
        <v>70</v>
      </c>
      <c r="AF276" s="141"/>
      <c r="AG276" s="141"/>
      <c r="AH276" s="137"/>
      <c r="AI276" s="484"/>
      <c r="AJ276" s="137">
        <f t="shared" si="36"/>
        <v>0.13541666666666666</v>
      </c>
      <c r="AU276" s="101">
        <f>VLOOKUP($D276,Construction!$B:$Q,(COLUMN(Construction_QuestReward_Stone)-COLUMN(Construction_Name_and_Level)+1),FALSE)</f>
        <v>4100</v>
      </c>
      <c r="AV276" s="101">
        <f>VLOOKUP($D276,Construction!$B:$Q,(COLUMN(Construction_QuestReward_Wood)-COLUMN(Construction_Name_and_Level)+1),FALSE)</f>
        <v>5500</v>
      </c>
      <c r="AW276" s="101">
        <f>VLOOKUP($D276,Construction!$B:$Q,(COLUMN(Construction_QuestReward_Ore)-COLUMN(Construction_Name_and_Level)+1),FALSE)</f>
        <v>11100</v>
      </c>
      <c r="AX276" s="101">
        <f>VLOOKUP($D276,Construction!$B:$Q,(COLUMN(Construction_QuestReward_Food)-COLUMN(Construction_Name_and_Level)+1),FALSE)</f>
        <v>4100</v>
      </c>
      <c r="AY276" s="100">
        <f>VLOOKUP($D276,Construction!$B:$Q,(COLUMN(Construction_QuestReward_Silver)-COLUMN(Construction_Name_and_Level)+1),FALSE)</f>
        <v>650</v>
      </c>
    </row>
    <row r="277" spans="2:108" ht="15" customHeight="1">
      <c r="B277" s="506" t="s">
        <v>143</v>
      </c>
      <c r="C277" s="127" t="s">
        <v>142</v>
      </c>
      <c r="D277" s="144" t="s">
        <v>1607</v>
      </c>
      <c r="E277" s="506">
        <v>13</v>
      </c>
      <c r="F277" s="12">
        <v>0.25</v>
      </c>
      <c r="G277" s="101">
        <f>VLOOKUP($D277,Construction!$B:$L,(COLUMN(Construction_QuestReward_HeroXP)-COLUMN(Construction_Name_and_Level)+1),FALSE)</f>
        <v>20000</v>
      </c>
      <c r="H277" s="101">
        <f t="shared" si="42"/>
        <v>25000</v>
      </c>
      <c r="J277" s="100">
        <f>VLOOKUP($D277,Construction!$B:$L,(COLUMN(Construction_QuestReward_Power)-COLUMN(Construction_Name_and_Level)+1),FALSE)</f>
        <v>172</v>
      </c>
      <c r="AF277" s="141"/>
      <c r="AG277" s="141"/>
      <c r="AH277" s="137"/>
      <c r="AI277" s="484"/>
      <c r="AJ277" s="137">
        <f t="shared" si="36"/>
        <v>0.13541666666666666</v>
      </c>
      <c r="AU277" s="101">
        <f>VLOOKUP($D277,Construction!$B:$Q,(COLUMN(Construction_QuestReward_Stone)-COLUMN(Construction_Name_and_Level)+1),FALSE)</f>
        <v>17400</v>
      </c>
      <c r="AV277" s="101">
        <f>VLOOKUP($D277,Construction!$B:$Q,(COLUMN(Construction_QuestReward_Wood)-COLUMN(Construction_Name_and_Level)+1),FALSE)</f>
        <v>13900</v>
      </c>
      <c r="AW277" s="101">
        <f>VLOOKUP($D277,Construction!$B:$Q,(COLUMN(Construction_QuestReward_Ore)-COLUMN(Construction_Name_and_Level)+1),FALSE)</f>
        <v>5200</v>
      </c>
      <c r="AX277" s="101">
        <f>VLOOKUP($D277,Construction!$B:$Q,(COLUMN(Construction_QuestReward_Food)-COLUMN(Construction_Name_and_Level)+1),FALSE)</f>
        <v>8700</v>
      </c>
      <c r="AY277" s="100">
        <f>VLOOKUP($D277,Construction!$B:$Q,(COLUMN(Construction_QuestReward_Silver)-COLUMN(Construction_Name_and_Level)+1),FALSE)</f>
        <v>750</v>
      </c>
    </row>
    <row r="278" spans="2:108" ht="15" customHeight="1">
      <c r="B278" s="506" t="s">
        <v>146</v>
      </c>
      <c r="C278" s="127" t="s">
        <v>138</v>
      </c>
      <c r="D278" s="144" t="s">
        <v>1608</v>
      </c>
      <c r="E278" s="506">
        <v>13</v>
      </c>
      <c r="F278" s="12">
        <v>0.25</v>
      </c>
      <c r="G278" s="111">
        <f>VLOOKUP($D278,Research!$C:$F,(COLUMN(Research_ResearchReward_HeroXP)-COLUMN(Research_Name_and_Level)+1),FALSE)</f>
        <v>60000</v>
      </c>
      <c r="H278" s="111">
        <f>G278*(1+F278)</f>
        <v>75000</v>
      </c>
      <c r="J278" s="115">
        <f>VLOOKUP($D278,Research!$C:$G,(COLUMN(Research_ResearchReward_Power)-COLUMN(Research_Name_and_Level)+1),FALSE)</f>
        <v>750</v>
      </c>
      <c r="R278" s="148">
        <v>6.9444444444444441E-3</v>
      </c>
      <c r="AF278" s="141"/>
      <c r="AG278" s="141"/>
      <c r="AH278" s="137"/>
      <c r="AI278" s="484"/>
      <c r="AJ278" s="137">
        <f t="shared" si="36"/>
        <v>0.13541666666666666</v>
      </c>
      <c r="AP278" s="256">
        <v>0.06</v>
      </c>
      <c r="AQ278" s="147">
        <f>VLOOKUP($D278,Research!$C:$D,(COLUMN(Research_Time)-COLUMN(Research_Name_and_Level)+1),FALSE)</f>
        <v>0.27430555555555552</v>
      </c>
      <c r="AR278" s="147">
        <f>AQ278/(1+AP278)</f>
        <v>0.25877882599580709</v>
      </c>
      <c r="AS278" s="147">
        <f>(S$3*S278+T$3*T278+V$3*V278+W$3*W278+X$3*X278+Y$3*Y278+Z$3*Z278+AA$3*AA278+AB$3*AB278+AC$3*AC278)*(-1)</f>
        <v>0</v>
      </c>
      <c r="AT278" s="148">
        <f>IF(AR278-R278-AS278&gt;=0,AR278-R278-AS278,0)</f>
        <v>0.25183438155136267</v>
      </c>
      <c r="AU278" s="111">
        <f>VLOOKUP($D278,Research!$C:$L,(COLUMN(Research_ResearchCost_Stone)-COLUMN(Research_Name_and_Level)+1),FALSE)*(-1)</f>
        <v>0</v>
      </c>
      <c r="AV278" s="111">
        <f>VLOOKUP($D278,Research!$C:$L,(COLUMN(Research_ResearchCost_Wood)-COLUMN(Research_Name_and_Level)+1),FALSE)*(-1)</f>
        <v>-10000</v>
      </c>
      <c r="AW278" s="111">
        <f>VLOOKUP($D278,Research!$C:$L,(COLUMN(Research_ResearchCost_Ore)-COLUMN(Research_Name_and_Level)+1),FALSE)*(-1)</f>
        <v>-7500</v>
      </c>
      <c r="AX278" s="111">
        <f>VLOOKUP($D278,Research!$C:$L,(COLUMN(Research_ResearchCost_Food)-COLUMN(Research_Name_and_Level)+1),FALSE)*(-1)</f>
        <v>-10000</v>
      </c>
      <c r="AY278" s="112">
        <f>VLOOKUP($D278,Research!$C:$L,(COLUMN(Research_ResearchCost_Silver)-COLUMN(Research_Name_and_Level)+1),FALSE)*(-1)</f>
        <v>-15000</v>
      </c>
    </row>
    <row r="279" spans="2:108" ht="15" customHeight="1">
      <c r="B279" s="102" t="s">
        <v>1455</v>
      </c>
      <c r="C279" s="127" t="s">
        <v>170</v>
      </c>
      <c r="D279" s="144" t="s">
        <v>1608</v>
      </c>
      <c r="E279" s="506">
        <v>13</v>
      </c>
      <c r="F279" s="12">
        <v>0.25</v>
      </c>
      <c r="G279" s="101">
        <f>VLOOKUP($D279,Research!$C:$M,(COLUMN(Research_QuestReward_HeroXP)-COLUMN(Research_Name_and_Level)+1),FALSE)</f>
        <v>11000</v>
      </c>
      <c r="H279" s="101">
        <f>G279*(1+F279)</f>
        <v>13750</v>
      </c>
      <c r="J279" s="103">
        <f>VLOOKUP($D279,Research!$C:$N,(COLUMN(Research_QuestReward_Power)-COLUMN(Research_Name_and_Level)+1),FALSE)</f>
        <v>50</v>
      </c>
      <c r="AF279" s="141"/>
      <c r="AG279" s="141"/>
      <c r="AH279" s="137"/>
      <c r="AI279" s="484"/>
      <c r="AJ279" s="137">
        <f t="shared" si="36"/>
        <v>0.13541666666666666</v>
      </c>
      <c r="AU279" s="101">
        <f>VLOOKUP($D279,Research!$C:$S,(COLUMN(Research_QuestReward_Stone)-COLUMN(Research_Name_and_Level)+1),FALSE)</f>
        <v>0</v>
      </c>
      <c r="AV279" s="101">
        <f>VLOOKUP($D279,Research!$C:$S,(COLUMN(Research_QuestReward_Wood)-COLUMN(Research_Name_and_Level)+1),FALSE)</f>
        <v>18000</v>
      </c>
      <c r="AW279" s="101">
        <f>VLOOKUP($D279,Research!$C:$S,(COLUMN(Research_QuestReward_Ore)-COLUMN(Research_Name_and_Level)+1),FALSE)</f>
        <v>13000</v>
      </c>
      <c r="AX279" s="101">
        <f>VLOOKUP($D279,Research!$C:$S,(COLUMN(Research_QuestReward_Food)-COLUMN(Research_Name_and_Level)+1),FALSE)</f>
        <v>18000</v>
      </c>
      <c r="AY279" s="100">
        <f>VLOOKUP($D279,Research!$C:$S,(COLUMN(Research_QuestReward_Silver)-COLUMN(Research_Name_and_Level)+1),FALSE)</f>
        <v>13500</v>
      </c>
      <c r="CT279" s="127"/>
      <c r="CU279" s="127"/>
      <c r="CV279" s="127"/>
      <c r="CW279" s="127"/>
      <c r="CX279" s="127"/>
      <c r="CY279" s="127"/>
      <c r="CZ279" s="127"/>
      <c r="DA279" s="127"/>
      <c r="DB279" s="127"/>
      <c r="DC279" s="127"/>
      <c r="DD279" s="127"/>
    </row>
    <row r="280" spans="2:108" ht="15" customHeight="1">
      <c r="B280" s="506" t="s">
        <v>148</v>
      </c>
      <c r="E280" s="506">
        <v>13</v>
      </c>
      <c r="W280" s="250">
        <v>1</v>
      </c>
      <c r="AF280" s="141">
        <f>$S$3*$S280+$T$3*$T280+$U$3*$U280+$V$3*$V280+$W$3*$W280+$X$3*$X280+$Y$3*$Y280+$Z$3*$Z280+$AA$3*$AA280+$AB$3*$AB280+$AC$3*$AC280</f>
        <v>1.0416666666666666E-2</v>
      </c>
      <c r="AG280" s="141"/>
      <c r="AH280" s="137"/>
      <c r="AI280" s="484"/>
      <c r="AJ280" s="137">
        <f t="shared" si="36"/>
        <v>0.14583333333333331</v>
      </c>
    </row>
    <row r="281" spans="2:108" ht="15" customHeight="1">
      <c r="B281" s="506" t="s">
        <v>148</v>
      </c>
      <c r="E281" s="506">
        <v>13</v>
      </c>
      <c r="AF281" s="141"/>
      <c r="AG281" s="141"/>
      <c r="AH281" s="137"/>
      <c r="AI281" s="484"/>
      <c r="AJ281" s="137">
        <f t="shared" si="36"/>
        <v>0.14583333333333331</v>
      </c>
      <c r="AU281" s="142">
        <v>5250</v>
      </c>
    </row>
    <row r="282" spans="2:108" ht="15" customHeight="1">
      <c r="B282" s="506" t="s">
        <v>148</v>
      </c>
      <c r="E282" s="506">
        <v>13</v>
      </c>
      <c r="AF282" s="141"/>
      <c r="AG282" s="141"/>
      <c r="AH282" s="137"/>
      <c r="AI282" s="484"/>
      <c r="AJ282" s="137">
        <f t="shared" si="36"/>
        <v>0.14583333333333331</v>
      </c>
      <c r="AV282" s="142">
        <v>5250</v>
      </c>
    </row>
    <row r="283" spans="2:108" ht="15" customHeight="1">
      <c r="B283" s="506" t="s">
        <v>144</v>
      </c>
      <c r="C283" s="127" t="s">
        <v>138</v>
      </c>
      <c r="D283" s="144" t="s">
        <v>1609</v>
      </c>
      <c r="E283" s="506">
        <v>13</v>
      </c>
      <c r="F283" s="12">
        <v>0.25</v>
      </c>
      <c r="G283" s="94">
        <f>VLOOKUP($D283,Construction!$B:$E,(COLUMN(Construction_BuildingReward_HeroXP)-COLUMN(Construction_Name_and_Level)+1),FALSE)</f>
        <v>500</v>
      </c>
      <c r="H283" s="94">
        <f t="shared" ref="H283" si="43">G283*(1+F283)</f>
        <v>625</v>
      </c>
      <c r="J283" s="95">
        <f>VLOOKUP($D283,Construction!$B:$F,(COLUMN(Construction_BuildingReward_Power)-COLUMN(Construction_Name_and_Level)+1),FALSE)</f>
        <v>110</v>
      </c>
      <c r="Q283" s="139">
        <v>3.472222222222222E-3</v>
      </c>
      <c r="R283" s="139">
        <v>6.9444444444444441E-3</v>
      </c>
      <c r="AF283" s="141"/>
      <c r="AG283" s="141"/>
      <c r="AH283" s="137"/>
      <c r="AI283" s="484"/>
      <c r="AJ283" s="137">
        <f t="shared" si="36"/>
        <v>0.14583333333333331</v>
      </c>
      <c r="AK283" s="339">
        <v>0.41</v>
      </c>
      <c r="AL283" s="138">
        <f>VLOOKUP($D283,Construction!$B:$C,(COLUMN(Construction_Time)-COLUMN(Construction_Name_and_Level)+1),FALSE)</f>
        <v>2.2222222222222223E-2</v>
      </c>
      <c r="AM283" s="138">
        <f>AL283/(1+AK283)</f>
        <v>1.5760441292356188E-2</v>
      </c>
      <c r="AN283" s="138">
        <f>(S$3*S283+T$3*T283+V$3*V283+W$3*W283+X$3*X283+Y$3*Y283+Z$3*Z283+AA$3*AA283+AB$3*AB283+AC$3*AC283)*(-1)</f>
        <v>0</v>
      </c>
      <c r="AO283" s="139">
        <f>IF((AM283-Q283-R283-AN283)&gt;=0,AM283-Q283-R283-AN283,0)</f>
        <v>5.3437746256895218E-3</v>
      </c>
      <c r="AU283" s="94">
        <f>VLOOKUP($D283,Construction!$B:$J,(COLUMN(Construction_BuildingCost_Stone)-COLUMN(Construction_Name_and_Level)+1),FALSE)*(-1)</f>
        <v>-6686</v>
      </c>
      <c r="AV283" s="94">
        <f>VLOOKUP($D283,Construction!$B:$J,(COLUMN(Construction_BuildingCost_Wood)-COLUMN(Construction_Name_and_Level)+1),FALSE)*(-1)</f>
        <v>-6686</v>
      </c>
      <c r="AW283" s="94">
        <f>VLOOKUP($D283,Construction!$B:$J,(COLUMN(Construction_BuildingCost_Ore)-COLUMN(Construction_Name_and_Level)+1),FALSE)*(-1)</f>
        <v>-5012</v>
      </c>
      <c r="AX283" s="94">
        <f>VLOOKUP($D283,Construction!$B:$J,(COLUMN(Construction_BuildingCost_Food)-COLUMN(Construction_Name_and_Level)+1),FALSE)*(-1)</f>
        <v>-3344</v>
      </c>
    </row>
    <row r="284" spans="2:108" ht="15" customHeight="1">
      <c r="B284" s="506" t="s">
        <v>143</v>
      </c>
      <c r="C284" s="127" t="s">
        <v>142</v>
      </c>
      <c r="D284" s="144" t="s">
        <v>1609</v>
      </c>
      <c r="E284" s="506">
        <v>13</v>
      </c>
      <c r="F284" s="12">
        <v>0.25</v>
      </c>
      <c r="G284" s="101">
        <f>VLOOKUP($D284,Construction!$B:$L,(COLUMN(Construction_QuestReward_HeroXP)-COLUMN(Construction_Name_and_Level)+1),FALSE)</f>
        <v>10000</v>
      </c>
      <c r="H284" s="101">
        <f t="shared" ref="H284:H286" si="44">G284*(1+F284)</f>
        <v>12500</v>
      </c>
      <c r="J284" s="100">
        <f>VLOOKUP($D284,Construction!$B:$L,(COLUMN(Construction_QuestReward_Power)-COLUMN(Construction_Name_and_Level)+1),FALSE)</f>
        <v>57</v>
      </c>
      <c r="AF284" s="141"/>
      <c r="AG284" s="141"/>
      <c r="AH284" s="137"/>
      <c r="AI284" s="484"/>
      <c r="AJ284" s="137">
        <f t="shared" si="36"/>
        <v>0.14583333333333331</v>
      </c>
      <c r="AU284" s="101">
        <f>VLOOKUP($D284,Construction!$B:$Q,(COLUMN(Construction_QuestReward_Stone)-COLUMN(Construction_Name_and_Level)+1),FALSE)</f>
        <v>5500</v>
      </c>
      <c r="AV284" s="101">
        <f>VLOOKUP($D284,Construction!$B:$Q,(COLUMN(Construction_QuestReward_Wood)-COLUMN(Construction_Name_and_Level)+1),FALSE)</f>
        <v>5500</v>
      </c>
      <c r="AW284" s="101">
        <f>VLOOKUP($D284,Construction!$B:$Q,(COLUMN(Construction_QuestReward_Ore)-COLUMN(Construction_Name_and_Level)+1),FALSE)</f>
        <v>4100</v>
      </c>
      <c r="AX284" s="101">
        <f>VLOOKUP($D284,Construction!$B:$Q,(COLUMN(Construction_QuestReward_Food)-COLUMN(Construction_Name_and_Level)+1),FALSE)</f>
        <v>2700</v>
      </c>
      <c r="AY284" s="100">
        <f>VLOOKUP($D284,Construction!$B:$Q,(COLUMN(Construction_QuestReward_Silver)-COLUMN(Construction_Name_and_Level)+1),FALSE)</f>
        <v>350</v>
      </c>
    </row>
    <row r="285" spans="2:108" ht="15" customHeight="1">
      <c r="B285" s="506" t="s">
        <v>144</v>
      </c>
      <c r="C285" s="127" t="s">
        <v>149</v>
      </c>
      <c r="D285" s="144" t="s">
        <v>1610</v>
      </c>
      <c r="E285" s="506">
        <v>13</v>
      </c>
      <c r="F285" s="12">
        <v>0.25</v>
      </c>
      <c r="G285" s="94">
        <f>VLOOKUP($D285,Construction!$B:$E,(COLUMN(Construction_BuildingReward_HeroXP)-COLUMN(Construction_Name_and_Level)+1),FALSE)</f>
        <v>50</v>
      </c>
      <c r="H285" s="94">
        <f t="shared" si="44"/>
        <v>62.5</v>
      </c>
      <c r="J285" s="95">
        <f>VLOOKUP($D285,Construction!$B:$F,(COLUMN(Construction_BuildingReward_Power)-COLUMN(Construction_Name_and_Level)+1),FALSE)</f>
        <v>30</v>
      </c>
      <c r="Q285" s="139">
        <v>3.472222222222222E-3</v>
      </c>
      <c r="R285" s="139">
        <v>6.9444444444444441E-3</v>
      </c>
      <c r="AF285" s="141"/>
      <c r="AG285" s="141"/>
      <c r="AH285" s="137"/>
      <c r="AI285" s="484"/>
      <c r="AJ285" s="137">
        <f t="shared" si="36"/>
        <v>0.14583333333333331</v>
      </c>
      <c r="AK285" s="339">
        <v>0.41</v>
      </c>
      <c r="AL285" s="138">
        <f>VLOOKUP($D285,Construction!$B:$C,(COLUMN(Construction_Time)-COLUMN(Construction_Name_and_Level)+1),FALSE)</f>
        <v>4.1666666666666666E-3</v>
      </c>
      <c r="AM285" s="138">
        <f>AL285/(1+AK285)</f>
        <v>2.9550827423167848E-3</v>
      </c>
      <c r="AN285" s="138">
        <f>(S$3*S285+T$3*T285+V$3*V285+W$3*W285+X$3*X285+Y$3*Y285+Z$3*Z285+AA$3*AA285+AB$3*AB285+AC$3*AC285)*(-1)</f>
        <v>0</v>
      </c>
      <c r="AO285" s="139">
        <f>IF((AM285-Q285-R285-AN285)&gt;=0,AM285-Q285-R285-AN285,0)</f>
        <v>0</v>
      </c>
      <c r="AU285" s="94">
        <f>VLOOKUP($D285,Construction!$B:$J,(COLUMN(Construction_BuildingCost_Stone)-COLUMN(Construction_Name_and_Level)+1),FALSE)*(-1)</f>
        <v>-1445</v>
      </c>
      <c r="AV285" s="94">
        <f>VLOOKUP($D285,Construction!$B:$J,(COLUMN(Construction_BuildingCost_Wood)-COLUMN(Construction_Name_and_Level)+1),FALSE)*(-1)</f>
        <v>-1156</v>
      </c>
      <c r="AW285" s="94">
        <f>VLOOKUP($D285,Construction!$B:$J,(COLUMN(Construction_BuildingCost_Ore)-COLUMN(Construction_Name_and_Level)+1),FALSE)*(-1)</f>
        <v>-867</v>
      </c>
      <c r="AX285" s="94">
        <f>VLOOKUP($D285,Construction!$B:$J,(COLUMN(Construction_BuildingCost_Food)-COLUMN(Construction_Name_and_Level)+1),FALSE)*(-1)</f>
        <v>-723</v>
      </c>
    </row>
    <row r="286" spans="2:108" ht="15" customHeight="1">
      <c r="B286" s="506" t="s">
        <v>143</v>
      </c>
      <c r="C286" s="127" t="s">
        <v>139</v>
      </c>
      <c r="D286" s="144" t="s">
        <v>1610</v>
      </c>
      <c r="E286" s="506">
        <v>13</v>
      </c>
      <c r="F286" s="12">
        <v>0.25</v>
      </c>
      <c r="G286" s="101">
        <f>VLOOKUP($D286,Construction!$B:$L,(COLUMN(Construction_QuestReward_HeroXP)-COLUMN(Construction_Name_and_Level)+1),FALSE)</f>
        <v>2600</v>
      </c>
      <c r="H286" s="101">
        <f t="shared" si="44"/>
        <v>3250</v>
      </c>
      <c r="J286" s="100">
        <f>VLOOKUP($D286,Construction!$B:$L,(COLUMN(Construction_QuestReward_Power)-COLUMN(Construction_Name_and_Level)+1),FALSE)</f>
        <v>22</v>
      </c>
      <c r="AF286" s="141"/>
      <c r="AG286" s="141"/>
      <c r="AH286" s="137"/>
      <c r="AI286" s="484"/>
      <c r="AJ286" s="137">
        <f t="shared" si="36"/>
        <v>0.14583333333333331</v>
      </c>
      <c r="AU286" s="101">
        <f>VLOOKUP($D286,Construction!$B:$Q,(COLUMN(Construction_QuestReward_Stone)-COLUMN(Construction_Name_and_Level)+1),FALSE)</f>
        <v>2700</v>
      </c>
      <c r="AV286" s="101">
        <f>VLOOKUP($D286,Construction!$B:$Q,(COLUMN(Construction_QuestReward_Wood)-COLUMN(Construction_Name_and_Level)+1),FALSE)</f>
        <v>2100</v>
      </c>
      <c r="AW286" s="101">
        <f>VLOOKUP($D286,Construction!$B:$Q,(COLUMN(Construction_QuestReward_Ore)-COLUMN(Construction_Name_and_Level)+1),FALSE)</f>
        <v>1600</v>
      </c>
      <c r="AX286" s="101">
        <f>VLOOKUP($D286,Construction!$B:$Q,(COLUMN(Construction_QuestReward_Food)-COLUMN(Construction_Name_and_Level)+1),FALSE)</f>
        <v>1300</v>
      </c>
      <c r="AY286" s="100">
        <f>VLOOKUP($D286,Construction!$B:$Q,(COLUMN(Construction_QuestReward_Silver)-COLUMN(Construction_Name_and_Level)+1),FALSE)</f>
        <v>150</v>
      </c>
    </row>
    <row r="287" spans="2:108" ht="15" customHeight="1">
      <c r="B287" s="506" t="s">
        <v>144</v>
      </c>
      <c r="C287" s="127" t="s">
        <v>149</v>
      </c>
      <c r="D287" s="144" t="s">
        <v>1611</v>
      </c>
      <c r="E287" s="506">
        <v>13</v>
      </c>
      <c r="F287" s="12">
        <v>0.25</v>
      </c>
      <c r="G287" s="94">
        <f>VLOOKUP($D287,Construction!$B:$E,(COLUMN(Construction_BuildingReward_HeroXP)-COLUMN(Construction_Name_and_Level)+1),FALSE)</f>
        <v>50</v>
      </c>
      <c r="H287" s="94">
        <f t="shared" ref="H287:H291" si="45">G287*(1+F287)</f>
        <v>62.5</v>
      </c>
      <c r="J287" s="95">
        <f>VLOOKUP($D287,Construction!$B:$F,(COLUMN(Construction_BuildingReward_Power)-COLUMN(Construction_Name_and_Level)+1),FALSE)</f>
        <v>35</v>
      </c>
      <c r="Q287" s="139">
        <v>3.472222222222222E-3</v>
      </c>
      <c r="R287" s="139">
        <v>6.9444444444444441E-3</v>
      </c>
      <c r="AF287" s="141"/>
      <c r="AG287" s="141"/>
      <c r="AH287" s="137"/>
      <c r="AI287" s="484"/>
      <c r="AJ287" s="137">
        <f t="shared" si="36"/>
        <v>0.14583333333333331</v>
      </c>
      <c r="AK287" s="339">
        <v>0.41</v>
      </c>
      <c r="AL287" s="138">
        <f>VLOOKUP($D287,Construction!$B:$C,(COLUMN(Construction_Time)-COLUMN(Construction_Name_and_Level)+1),FALSE)</f>
        <v>3.2407407407407406E-3</v>
      </c>
      <c r="AM287" s="138">
        <f>AL287/(1+AK287)</f>
        <v>2.2983976884686104E-3</v>
      </c>
      <c r="AN287" s="138">
        <f>(S$3*S287+T$3*T287+V$3*V287+W$3*W287+X$3*X287+Y$3*Y287+Z$3*Z287+AA$3*AA287+AB$3*AB287+AC$3*AC287)*(-1)</f>
        <v>0</v>
      </c>
      <c r="AO287" s="139">
        <f>IF((AM287-Q287-R287-AN287)&gt;=0,AM287-Q287-R287-AN287,0)</f>
        <v>0</v>
      </c>
      <c r="AU287" s="94">
        <f>VLOOKUP($D287,Construction!$B:$J,(COLUMN(Construction_BuildingCost_Stone)-COLUMN(Construction_Name_and_Level)+1),FALSE)*(-1)</f>
        <v>-1445</v>
      </c>
      <c r="AV287" s="94">
        <f>VLOOKUP($D287,Construction!$B:$J,(COLUMN(Construction_BuildingCost_Wood)-COLUMN(Construction_Name_and_Level)+1),FALSE)*(-1)</f>
        <v>-1156</v>
      </c>
      <c r="AW287" s="94">
        <f>VLOOKUP($D287,Construction!$B:$J,(COLUMN(Construction_BuildingCost_Ore)-COLUMN(Construction_Name_and_Level)+1),FALSE)*(-1)</f>
        <v>-289</v>
      </c>
      <c r="AX287" s="94">
        <f>VLOOKUP($D287,Construction!$B:$J,(COLUMN(Construction_BuildingCost_Food)-COLUMN(Construction_Name_and_Level)+1),FALSE)*(-1)</f>
        <v>-578</v>
      </c>
    </row>
    <row r="288" spans="2:108" ht="15" customHeight="1">
      <c r="B288" s="506" t="s">
        <v>143</v>
      </c>
      <c r="C288" s="127" t="s">
        <v>139</v>
      </c>
      <c r="D288" s="144" t="s">
        <v>1611</v>
      </c>
      <c r="E288" s="506">
        <v>13</v>
      </c>
      <c r="F288" s="12">
        <v>0.25</v>
      </c>
      <c r="G288" s="101">
        <f>VLOOKUP($D288,Construction!$B:$L,(COLUMN(Construction_QuestReward_HeroXP)-COLUMN(Construction_Name_and_Level)+1),FALSE)</f>
        <v>2600</v>
      </c>
      <c r="H288" s="101">
        <f t="shared" si="45"/>
        <v>3250</v>
      </c>
      <c r="J288" s="100">
        <f>VLOOKUP($D288,Construction!$B:$L,(COLUMN(Construction_QuestReward_Power)-COLUMN(Construction_Name_and_Level)+1),FALSE)</f>
        <v>12</v>
      </c>
      <c r="AF288" s="141"/>
      <c r="AG288" s="141"/>
      <c r="AH288" s="137"/>
      <c r="AI288" s="484"/>
      <c r="AJ288" s="137">
        <f t="shared" si="36"/>
        <v>0.14583333333333331</v>
      </c>
      <c r="AU288" s="101">
        <f>VLOOKUP($D288,Construction!$B:$Q,(COLUMN(Construction_QuestReward_Stone)-COLUMN(Construction_Name_and_Level)+1),FALSE)</f>
        <v>2500</v>
      </c>
      <c r="AV288" s="101">
        <f>VLOOKUP($D288,Construction!$B:$Q,(COLUMN(Construction_QuestReward_Wood)-COLUMN(Construction_Name_and_Level)+1),FALSE)</f>
        <v>1900</v>
      </c>
      <c r="AW288" s="101">
        <f>VLOOKUP($D288,Construction!$B:$Q,(COLUMN(Construction_QuestReward_Ore)-COLUMN(Construction_Name_and_Level)+1),FALSE)</f>
        <v>500</v>
      </c>
      <c r="AX288" s="101">
        <f>VLOOKUP($D288,Construction!$B:$Q,(COLUMN(Construction_QuestReward_Food)-COLUMN(Construction_Name_and_Level)+1),FALSE)</f>
        <v>900</v>
      </c>
      <c r="AY288" s="100">
        <f>VLOOKUP($D288,Construction!$B:$Q,(COLUMN(Construction_QuestReward_Silver)-COLUMN(Construction_Name_and_Level)+1),FALSE)</f>
        <v>250</v>
      </c>
    </row>
    <row r="289" spans="2:108" ht="15" customHeight="1">
      <c r="B289" s="506" t="s">
        <v>144</v>
      </c>
      <c r="C289" s="127" t="s">
        <v>149</v>
      </c>
      <c r="D289" s="144" t="s">
        <v>1482</v>
      </c>
      <c r="E289" s="506">
        <v>13</v>
      </c>
      <c r="F289" s="12">
        <v>0.25</v>
      </c>
      <c r="G289" s="94">
        <f>VLOOKUP($D289,Construction!$B:$E,(COLUMN(Construction_BuildingReward_HeroXP)-COLUMN(Construction_Name_and_Level)+1),FALSE)</f>
        <v>10</v>
      </c>
      <c r="H289" s="94">
        <f t="shared" si="45"/>
        <v>12.5</v>
      </c>
      <c r="J289" s="95">
        <f>VLOOKUP($D289,Construction!$B:$F,(COLUMN(Construction_BuildingReward_Power)-COLUMN(Construction_Name_and_Level)+1),FALSE)</f>
        <v>20</v>
      </c>
      <c r="Q289" s="139">
        <v>3.472222222222222E-3</v>
      </c>
      <c r="R289" s="139">
        <v>6.9444444444444441E-3</v>
      </c>
      <c r="AF289" s="141"/>
      <c r="AG289" s="141"/>
      <c r="AH289" s="137"/>
      <c r="AI289" s="484"/>
      <c r="AJ289" s="137">
        <f t="shared" si="36"/>
        <v>0.14583333333333331</v>
      </c>
      <c r="AK289" s="339">
        <v>0.41</v>
      </c>
      <c r="AL289" s="138">
        <f>VLOOKUP($D289,Construction!$B:$C,(COLUMN(Construction_Time)-COLUMN(Construction_Name_and_Level)+1),FALSE)</f>
        <v>1.0416666666666667E-3</v>
      </c>
      <c r="AM289" s="138">
        <f>AL289/(1+AK289)</f>
        <v>7.387706855791962E-4</v>
      </c>
      <c r="AN289" s="138">
        <f>(S$3*S289+T$3*T289+V$3*V289+W$3*W289+X$3*X289+Y$3*Y289+Z$3*Z289+AA$3*AA289+AB$3*AB289+AC$3*AC289)*(-1)</f>
        <v>0</v>
      </c>
      <c r="AO289" s="139">
        <f>IF((AM289-Q289-R289-AN289)&gt;=0,AM289-Q289-R289-AN289,0)</f>
        <v>0</v>
      </c>
      <c r="AU289" s="94">
        <f>VLOOKUP($D289,Construction!$B:$J,(COLUMN(Construction_BuildingCost_Stone)-COLUMN(Construction_Name_and_Level)+1),FALSE)*(-1)</f>
        <v>-500</v>
      </c>
      <c r="AV289" s="94">
        <f>VLOOKUP($D289,Construction!$B:$J,(COLUMN(Construction_BuildingCost_Wood)-COLUMN(Construction_Name_and_Level)+1),FALSE)*(-1)</f>
        <v>-400</v>
      </c>
      <c r="AW289" s="94">
        <f>VLOOKUP($D289,Construction!$B:$J,(COLUMN(Construction_BuildingCost_Ore)-COLUMN(Construction_Name_and_Level)+1),FALSE)*(-1)</f>
        <v>-300</v>
      </c>
      <c r="AX289" s="94">
        <f>VLOOKUP($D289,Construction!$B:$J,(COLUMN(Construction_BuildingCost_Food)-COLUMN(Construction_Name_and_Level)+1),FALSE)*(-1)</f>
        <v>-250</v>
      </c>
    </row>
    <row r="290" spans="2:108" ht="15" customHeight="1">
      <c r="B290" s="506" t="s">
        <v>144</v>
      </c>
      <c r="C290" s="127" t="s">
        <v>149</v>
      </c>
      <c r="D290" s="144" t="s">
        <v>1482</v>
      </c>
      <c r="E290" s="506">
        <v>13</v>
      </c>
      <c r="F290" s="12">
        <v>0.25</v>
      </c>
      <c r="G290" s="94">
        <f>VLOOKUP($D290,Construction!$B:$E,(COLUMN(Construction_BuildingReward_HeroXP)-COLUMN(Construction_Name_and_Level)+1),FALSE)</f>
        <v>10</v>
      </c>
      <c r="H290" s="94">
        <f t="shared" si="45"/>
        <v>12.5</v>
      </c>
      <c r="J290" s="95">
        <f>VLOOKUP($D290,Construction!$B:$F,(COLUMN(Construction_BuildingReward_Power)-COLUMN(Construction_Name_and_Level)+1),FALSE)</f>
        <v>20</v>
      </c>
      <c r="Q290" s="139">
        <v>3.472222222222222E-3</v>
      </c>
      <c r="R290" s="139">
        <v>6.9444444444444441E-3</v>
      </c>
      <c r="AF290" s="141"/>
      <c r="AG290" s="141"/>
      <c r="AH290" s="137"/>
      <c r="AI290" s="484"/>
      <c r="AJ290" s="137">
        <f t="shared" si="36"/>
        <v>0.14583333333333331</v>
      </c>
      <c r="AK290" s="339">
        <v>0.41</v>
      </c>
      <c r="AL290" s="138">
        <f>VLOOKUP($D290,Construction!$B:$C,(COLUMN(Construction_Time)-COLUMN(Construction_Name_and_Level)+1),FALSE)</f>
        <v>1.0416666666666667E-3</v>
      </c>
      <c r="AM290" s="138">
        <f>AL290/(1+AK290)</f>
        <v>7.387706855791962E-4</v>
      </c>
      <c r="AN290" s="138">
        <f>(S$3*S290+T$3*T290+V$3*V290+W$3*W290+X$3*X290+Y$3*Y290+Z$3*Z290+AA$3*AA290+AB$3*AB290+AC$3*AC290)*(-1)</f>
        <v>0</v>
      </c>
      <c r="AO290" s="139">
        <f>IF((AM290-Q290-R290-AN290)&gt;=0,AM290-Q290-R290-AN290,0)</f>
        <v>0</v>
      </c>
      <c r="AU290" s="94">
        <f>VLOOKUP($D290,Construction!$B:$J,(COLUMN(Construction_BuildingCost_Stone)-COLUMN(Construction_Name_and_Level)+1),FALSE)*(-1)</f>
        <v>-500</v>
      </c>
      <c r="AV290" s="94">
        <f>VLOOKUP($D290,Construction!$B:$J,(COLUMN(Construction_BuildingCost_Wood)-COLUMN(Construction_Name_and_Level)+1),FALSE)*(-1)</f>
        <v>-400</v>
      </c>
      <c r="AW290" s="94">
        <f>VLOOKUP($D290,Construction!$B:$J,(COLUMN(Construction_BuildingCost_Ore)-COLUMN(Construction_Name_and_Level)+1),FALSE)*(-1)</f>
        <v>-300</v>
      </c>
      <c r="AX290" s="94">
        <f>VLOOKUP($D290,Construction!$B:$J,(COLUMN(Construction_BuildingCost_Food)-COLUMN(Construction_Name_and_Level)+1),FALSE)*(-1)</f>
        <v>-250</v>
      </c>
    </row>
    <row r="291" spans="2:108" ht="15" customHeight="1">
      <c r="B291" s="506" t="s">
        <v>143</v>
      </c>
      <c r="C291" s="127" t="s">
        <v>139</v>
      </c>
      <c r="D291" s="144" t="s">
        <v>1612</v>
      </c>
      <c r="E291" s="506">
        <v>13</v>
      </c>
      <c r="F291" s="12">
        <v>0.25</v>
      </c>
      <c r="G291" s="101">
        <v>10150</v>
      </c>
      <c r="H291" s="101">
        <f t="shared" si="45"/>
        <v>12687.5</v>
      </c>
      <c r="J291" s="100">
        <v>500</v>
      </c>
      <c r="AF291" s="141"/>
      <c r="AG291" s="141"/>
      <c r="AH291" s="137"/>
      <c r="AI291" s="484"/>
      <c r="AJ291" s="137">
        <f t="shared" si="36"/>
        <v>0.14583333333333331</v>
      </c>
      <c r="AU291" s="101">
        <v>2000</v>
      </c>
      <c r="AV291" s="101">
        <v>2000</v>
      </c>
      <c r="AW291" s="101">
        <v>2000</v>
      </c>
      <c r="AX291" s="101">
        <v>5000</v>
      </c>
      <c r="AY291" s="100">
        <v>0</v>
      </c>
    </row>
    <row r="292" spans="2:108" ht="15" customHeight="1">
      <c r="B292" s="506" t="s">
        <v>144</v>
      </c>
      <c r="C292" s="127" t="s">
        <v>149</v>
      </c>
      <c r="D292" s="144" t="s">
        <v>1466</v>
      </c>
      <c r="E292" s="506">
        <v>13</v>
      </c>
      <c r="F292" s="12">
        <v>0.25</v>
      </c>
      <c r="G292" s="94">
        <f>VLOOKUP($D292,Construction!$B:$E,(COLUMN(Construction_BuildingReward_HeroXP)-COLUMN(Construction_Name_and_Level)+1),FALSE)</f>
        <v>10</v>
      </c>
      <c r="H292" s="94">
        <f t="shared" ref="H292" si="46">G292*(1+F292)</f>
        <v>12.5</v>
      </c>
      <c r="J292" s="95">
        <f>VLOOKUP($D292,Construction!$B:$F,(COLUMN(Construction_BuildingReward_Power)-COLUMN(Construction_Name_and_Level)+1),FALSE)</f>
        <v>10</v>
      </c>
      <c r="Q292" s="139">
        <v>3.472222222222222E-3</v>
      </c>
      <c r="R292" s="139">
        <v>6.9444444444444441E-3</v>
      </c>
      <c r="AF292" s="141"/>
      <c r="AG292" s="141"/>
      <c r="AH292" s="137"/>
      <c r="AI292" s="484"/>
      <c r="AJ292" s="137">
        <f t="shared" si="36"/>
        <v>0.14583333333333331</v>
      </c>
      <c r="AK292" s="339">
        <v>0.41</v>
      </c>
      <c r="AL292" s="138">
        <f>VLOOKUP($D292,Construction!$B:$C,(COLUMN(Construction_Time)-COLUMN(Construction_Name_and_Level)+1),FALSE)</f>
        <v>1.0416666666666667E-3</v>
      </c>
      <c r="AM292" s="138">
        <f>AL292/(1+AK292)</f>
        <v>7.387706855791962E-4</v>
      </c>
      <c r="AN292" s="138">
        <f>(S$3*S292+T$3*T292+V$3*V292+W$3*W292+X$3*X292+Y$3*Y292+Z$3*Z292+AA$3*AA292+AB$3*AB292+AC$3*AC292)*(-1)</f>
        <v>0</v>
      </c>
      <c r="AO292" s="139">
        <f>IF((AM292-Q292-R292-AN292)&gt;=0,AM292-Q292-R292-AN292,0)</f>
        <v>0</v>
      </c>
      <c r="AU292" s="94">
        <f>VLOOKUP($D292,Construction!$B:$J,(COLUMN(Construction_BuildingCost_Stone)-COLUMN(Construction_Name_and_Level)+1),FALSE)*(-1)</f>
        <v>-500</v>
      </c>
      <c r="AV292" s="94">
        <f>VLOOKUP($D292,Construction!$B:$J,(COLUMN(Construction_BuildingCost_Wood)-COLUMN(Construction_Name_and_Level)+1),FALSE)*(-1)</f>
        <v>-400</v>
      </c>
      <c r="AW292" s="94">
        <f>VLOOKUP($D292,Construction!$B:$J,(COLUMN(Construction_BuildingCost_Ore)-COLUMN(Construction_Name_and_Level)+1),FALSE)*(-1)</f>
        <v>-300</v>
      </c>
      <c r="AX292" s="94">
        <f>VLOOKUP($D292,Construction!$B:$J,(COLUMN(Construction_BuildingCost_Food)-COLUMN(Construction_Name_and_Level)+1),FALSE)*(-1)</f>
        <v>-250</v>
      </c>
    </row>
    <row r="293" spans="2:108" ht="15" customHeight="1">
      <c r="B293" s="506" t="s">
        <v>144</v>
      </c>
      <c r="C293" s="127" t="s">
        <v>369</v>
      </c>
      <c r="D293" s="144" t="s">
        <v>1466</v>
      </c>
      <c r="E293" s="506">
        <v>13</v>
      </c>
      <c r="F293" s="12">
        <v>0.25</v>
      </c>
      <c r="G293" s="94">
        <v>0</v>
      </c>
      <c r="H293" s="94">
        <v>0</v>
      </c>
      <c r="J293" s="95">
        <v>-10</v>
      </c>
      <c r="AF293" s="141"/>
      <c r="AG293" s="141"/>
      <c r="AH293" s="137"/>
      <c r="AI293" s="484"/>
      <c r="AJ293" s="137">
        <f t="shared" si="36"/>
        <v>0.14583333333333331</v>
      </c>
      <c r="AK293" s="344"/>
      <c r="AL293" s="265"/>
      <c r="AM293" s="265"/>
      <c r="AN293" s="265"/>
      <c r="AO293" s="221"/>
      <c r="AU293" s="7"/>
      <c r="AV293" s="7"/>
      <c r="AW293" s="7"/>
      <c r="AX293" s="7"/>
      <c r="AY293" s="19"/>
    </row>
    <row r="294" spans="2:108" ht="15" customHeight="1">
      <c r="B294" s="506" t="s">
        <v>144</v>
      </c>
      <c r="C294" s="127" t="s">
        <v>149</v>
      </c>
      <c r="D294" s="144" t="s">
        <v>1466</v>
      </c>
      <c r="E294" s="506">
        <v>13</v>
      </c>
      <c r="F294" s="12">
        <v>0.25</v>
      </c>
      <c r="G294" s="94">
        <f>VLOOKUP($D294,Construction!$B:$E,(COLUMN(Construction_BuildingReward_HeroXP)-COLUMN(Construction_Name_and_Level)+1),FALSE)</f>
        <v>10</v>
      </c>
      <c r="H294" s="94">
        <f t="shared" ref="H294" si="47">G294*(1+F294)</f>
        <v>12.5</v>
      </c>
      <c r="J294" s="95">
        <f>VLOOKUP($D294,Construction!$B:$F,(COLUMN(Construction_BuildingReward_Power)-COLUMN(Construction_Name_and_Level)+1),FALSE)</f>
        <v>10</v>
      </c>
      <c r="Q294" s="139">
        <v>3.472222222222222E-3</v>
      </c>
      <c r="R294" s="139">
        <v>6.9444444444444441E-3</v>
      </c>
      <c r="AF294" s="141"/>
      <c r="AG294" s="141"/>
      <c r="AH294" s="137"/>
      <c r="AI294" s="484"/>
      <c r="AJ294" s="137">
        <f t="shared" si="36"/>
        <v>0.14583333333333331</v>
      </c>
      <c r="AK294" s="339">
        <v>0.41</v>
      </c>
      <c r="AL294" s="138">
        <f>VLOOKUP($D294,Construction!$B:$C,(COLUMN(Construction_Time)-COLUMN(Construction_Name_and_Level)+1),FALSE)</f>
        <v>1.0416666666666667E-3</v>
      </c>
      <c r="AM294" s="138">
        <f>AL294/(1+AK294)</f>
        <v>7.387706855791962E-4</v>
      </c>
      <c r="AN294" s="138">
        <f>(S$3*S294+T$3*T294+V$3*V294+W$3*W294+X$3*X294+Y$3*Y294+Z$3*Z294+AA$3*AA294+AB$3*AB294+AC$3*AC294)*(-1)</f>
        <v>0</v>
      </c>
      <c r="AO294" s="139">
        <f>IF((AM294-Q294-R294-AN294)&gt;=0,AM294-Q294-R294-AN294,0)</f>
        <v>0</v>
      </c>
      <c r="AU294" s="94">
        <f>VLOOKUP($D294,Construction!$B:$J,(COLUMN(Construction_BuildingCost_Stone)-COLUMN(Construction_Name_and_Level)+1),FALSE)*(-1)</f>
        <v>-500</v>
      </c>
      <c r="AV294" s="94">
        <f>VLOOKUP($D294,Construction!$B:$J,(COLUMN(Construction_BuildingCost_Wood)-COLUMN(Construction_Name_and_Level)+1),FALSE)*(-1)</f>
        <v>-400</v>
      </c>
      <c r="AW294" s="94">
        <f>VLOOKUP($D294,Construction!$B:$J,(COLUMN(Construction_BuildingCost_Ore)-COLUMN(Construction_Name_and_Level)+1),FALSE)*(-1)</f>
        <v>-300</v>
      </c>
      <c r="AX294" s="94">
        <f>VLOOKUP($D294,Construction!$B:$J,(COLUMN(Construction_BuildingCost_Food)-COLUMN(Construction_Name_and_Level)+1),FALSE)*(-1)</f>
        <v>-250</v>
      </c>
    </row>
    <row r="295" spans="2:108" ht="15" customHeight="1">
      <c r="B295" s="506" t="s">
        <v>144</v>
      </c>
      <c r="C295" s="127" t="s">
        <v>149</v>
      </c>
      <c r="D295" s="144" t="s">
        <v>1466</v>
      </c>
      <c r="E295" s="506">
        <v>13</v>
      </c>
      <c r="F295" s="12">
        <v>0.25</v>
      </c>
      <c r="G295" s="94">
        <f>VLOOKUP($D295,Construction!$B:$E,(COLUMN(Construction_BuildingReward_HeroXP)-COLUMN(Construction_Name_and_Level)+1),FALSE)</f>
        <v>10</v>
      </c>
      <c r="H295" s="94">
        <f t="shared" ref="H295:H297" si="48">G295*(1+F295)</f>
        <v>12.5</v>
      </c>
      <c r="J295" s="95">
        <f>VLOOKUP($D295,Construction!$B:$F,(COLUMN(Construction_BuildingReward_Power)-COLUMN(Construction_Name_and_Level)+1),FALSE)</f>
        <v>10</v>
      </c>
      <c r="Q295" s="139">
        <v>3.472222222222222E-3</v>
      </c>
      <c r="R295" s="139">
        <v>6.9444444444444441E-3</v>
      </c>
      <c r="AF295" s="141"/>
      <c r="AG295" s="141"/>
      <c r="AH295" s="137"/>
      <c r="AI295" s="484"/>
      <c r="AJ295" s="137">
        <f t="shared" si="36"/>
        <v>0.14583333333333331</v>
      </c>
      <c r="AK295" s="339">
        <v>0.41</v>
      </c>
      <c r="AL295" s="138">
        <f>VLOOKUP($D295,Construction!$B:$C,(COLUMN(Construction_Time)-COLUMN(Construction_Name_and_Level)+1),FALSE)</f>
        <v>1.0416666666666667E-3</v>
      </c>
      <c r="AM295" s="138">
        <f>AL295/(1+AK295)</f>
        <v>7.387706855791962E-4</v>
      </c>
      <c r="AN295" s="138">
        <f>(S$3*S295+T$3*T295+V$3*V295+W$3*W295+X$3*X295+Y$3*Y295+Z$3*Z295+AA$3*AA295+AB$3*AB295+AC$3*AC295)*(-1)</f>
        <v>0</v>
      </c>
      <c r="AO295" s="139">
        <f>IF((AM295-Q295-R295-AN295)&gt;=0,AM295-Q295-R295-AN295,0)</f>
        <v>0</v>
      </c>
      <c r="AU295" s="94">
        <f>VLOOKUP($D295,Construction!$B:$J,(COLUMN(Construction_BuildingCost_Stone)-COLUMN(Construction_Name_and_Level)+1),FALSE)*(-1)</f>
        <v>-500</v>
      </c>
      <c r="AV295" s="94">
        <f>VLOOKUP($D295,Construction!$B:$J,(COLUMN(Construction_BuildingCost_Wood)-COLUMN(Construction_Name_and_Level)+1),FALSE)*(-1)</f>
        <v>-400</v>
      </c>
      <c r="AW295" s="94">
        <f>VLOOKUP($D295,Construction!$B:$J,(COLUMN(Construction_BuildingCost_Ore)-COLUMN(Construction_Name_and_Level)+1),FALSE)*(-1)</f>
        <v>-300</v>
      </c>
      <c r="AX295" s="94">
        <f>VLOOKUP($D295,Construction!$B:$J,(COLUMN(Construction_BuildingCost_Food)-COLUMN(Construction_Name_and_Level)+1),FALSE)*(-1)</f>
        <v>-250</v>
      </c>
    </row>
    <row r="296" spans="2:108" ht="15" customHeight="1">
      <c r="B296" s="506" t="s">
        <v>144</v>
      </c>
      <c r="C296" s="127" t="s">
        <v>149</v>
      </c>
      <c r="D296" s="144" t="s">
        <v>1466</v>
      </c>
      <c r="E296" s="506">
        <v>13</v>
      </c>
      <c r="F296" s="12">
        <v>0.25</v>
      </c>
      <c r="G296" s="94">
        <f>VLOOKUP($D296,Construction!$B:$E,(COLUMN(Construction_BuildingReward_HeroXP)-COLUMN(Construction_Name_and_Level)+1),FALSE)</f>
        <v>10</v>
      </c>
      <c r="H296" s="94">
        <f t="shared" si="48"/>
        <v>12.5</v>
      </c>
      <c r="J296" s="95">
        <f>VLOOKUP($D296,Construction!$B:$F,(COLUMN(Construction_BuildingReward_Power)-COLUMN(Construction_Name_and_Level)+1),FALSE)</f>
        <v>10</v>
      </c>
      <c r="Q296" s="139">
        <v>3.472222222222222E-3</v>
      </c>
      <c r="R296" s="139">
        <v>6.9444444444444441E-3</v>
      </c>
      <c r="AF296" s="141"/>
      <c r="AG296" s="141"/>
      <c r="AH296" s="137"/>
      <c r="AI296" s="484"/>
      <c r="AJ296" s="137">
        <f t="shared" si="36"/>
        <v>0.14583333333333331</v>
      </c>
      <c r="AK296" s="339">
        <v>0.41</v>
      </c>
      <c r="AL296" s="138">
        <f>VLOOKUP($D296,Construction!$B:$C,(COLUMN(Construction_Time)-COLUMN(Construction_Name_and_Level)+1),FALSE)</f>
        <v>1.0416666666666667E-3</v>
      </c>
      <c r="AM296" s="138">
        <f>AL296/(1+AK296)</f>
        <v>7.387706855791962E-4</v>
      </c>
      <c r="AN296" s="138">
        <f>(S$3*S296+T$3*T296+V$3*V296+W$3*W296+X$3*X296+Y$3*Y296+Z$3*Z296+AA$3*AA296+AB$3*AB296+AC$3*AC296)*(-1)</f>
        <v>0</v>
      </c>
      <c r="AO296" s="139">
        <f>IF((AM296-Q296-R296-AN296)&gt;=0,AM296-Q296-R296-AN296,0)</f>
        <v>0</v>
      </c>
      <c r="AU296" s="94">
        <f>VLOOKUP($D296,Construction!$B:$J,(COLUMN(Construction_BuildingCost_Stone)-COLUMN(Construction_Name_and_Level)+1),FALSE)*(-1)</f>
        <v>-500</v>
      </c>
      <c r="AV296" s="94">
        <f>VLOOKUP($D296,Construction!$B:$J,(COLUMN(Construction_BuildingCost_Wood)-COLUMN(Construction_Name_and_Level)+1),FALSE)*(-1)</f>
        <v>-400</v>
      </c>
      <c r="AW296" s="94">
        <f>VLOOKUP($D296,Construction!$B:$J,(COLUMN(Construction_BuildingCost_Ore)-COLUMN(Construction_Name_and_Level)+1),FALSE)*(-1)</f>
        <v>-300</v>
      </c>
      <c r="AX296" s="94">
        <f>VLOOKUP($D296,Construction!$B:$J,(COLUMN(Construction_BuildingCost_Food)-COLUMN(Construction_Name_and_Level)+1),FALSE)*(-1)</f>
        <v>-250</v>
      </c>
    </row>
    <row r="297" spans="2:108" ht="15" customHeight="1">
      <c r="B297" s="506" t="s">
        <v>143</v>
      </c>
      <c r="C297" s="127" t="s">
        <v>139</v>
      </c>
      <c r="D297" s="144" t="s">
        <v>1613</v>
      </c>
      <c r="E297" s="506">
        <v>13</v>
      </c>
      <c r="F297" s="12">
        <v>0.25</v>
      </c>
      <c r="G297" s="101">
        <v>10150</v>
      </c>
      <c r="H297" s="101">
        <f t="shared" si="48"/>
        <v>12687.5</v>
      </c>
      <c r="J297" s="100">
        <v>500</v>
      </c>
      <c r="AF297" s="141"/>
      <c r="AG297" s="141"/>
      <c r="AH297" s="137"/>
      <c r="AI297" s="484"/>
      <c r="AJ297" s="137">
        <f t="shared" si="36"/>
        <v>0.14583333333333331</v>
      </c>
      <c r="AU297" s="101">
        <v>2000</v>
      </c>
      <c r="AV297" s="101">
        <v>2000</v>
      </c>
      <c r="AW297" s="101">
        <v>2000</v>
      </c>
      <c r="AX297" s="101">
        <v>5000</v>
      </c>
      <c r="AY297" s="100">
        <v>0</v>
      </c>
    </row>
    <row r="298" spans="2:108" ht="15" customHeight="1">
      <c r="B298" s="506" t="s">
        <v>146</v>
      </c>
      <c r="C298" s="127" t="s">
        <v>138</v>
      </c>
      <c r="D298" s="144" t="s">
        <v>1614</v>
      </c>
      <c r="E298" s="506">
        <v>13</v>
      </c>
      <c r="F298" s="12">
        <v>0.25</v>
      </c>
      <c r="G298" s="111">
        <f>VLOOKUP($D298,Research!$C:$F,(COLUMN(Research_ResearchReward_HeroXP)-COLUMN(Research_Name_and_Level)+1),FALSE)</f>
        <v>30000</v>
      </c>
      <c r="H298" s="111">
        <f>G298*(1+F298)</f>
        <v>37500</v>
      </c>
      <c r="J298" s="115">
        <f>VLOOKUP($D298,Research!$C:$G,(COLUMN(Research_ResearchReward_Power)-COLUMN(Research_Name_and_Level)+1),FALSE)</f>
        <v>1000</v>
      </c>
      <c r="R298" s="148">
        <v>6.9444444444444441E-3</v>
      </c>
      <c r="AF298" s="141"/>
      <c r="AG298" s="141"/>
      <c r="AH298" s="137"/>
      <c r="AI298" s="484"/>
      <c r="AJ298" s="137">
        <f t="shared" si="36"/>
        <v>0.14583333333333331</v>
      </c>
      <c r="AP298" s="256">
        <v>0.06</v>
      </c>
      <c r="AQ298" s="147">
        <f>VLOOKUP($D298,Research!$C:$D,(COLUMN(Research_Time)-COLUMN(Research_Name_and_Level)+1),FALSE)</f>
        <v>4.1666666666666664E-2</v>
      </c>
      <c r="AR298" s="147">
        <f>AQ298/(1+AP298)</f>
        <v>3.9308176100628929E-2</v>
      </c>
      <c r="AS298" s="147">
        <f>(S$3*S298+T$3*T298+V$3*V298+W$3*W298+X$3*X298+Y$3*Y298+Z$3*Z298+AA$3*AA298+AB$3*AB298+AC$3*AC298)*(-1)</f>
        <v>0</v>
      </c>
      <c r="AT298" s="148">
        <f>IF(AR298-R298-AS298&gt;=0,AR298-R298-AS298,0)</f>
        <v>3.2363731656184488E-2</v>
      </c>
      <c r="AU298" s="111">
        <f>VLOOKUP($D298,Research!$C:$L,(COLUMN(Research_ResearchCost_Stone)-COLUMN(Research_Name_and_Level)+1),FALSE)*(-1)</f>
        <v>-20000</v>
      </c>
      <c r="AV298" s="111">
        <f>VLOOKUP($D298,Research!$C:$L,(COLUMN(Research_ResearchCost_Wood)-COLUMN(Research_Name_and_Level)+1),FALSE)*(-1)</f>
        <v>-20000</v>
      </c>
      <c r="AW298" s="111">
        <f>VLOOKUP($D298,Research!$C:$L,(COLUMN(Research_ResearchCost_Ore)-COLUMN(Research_Name_and_Level)+1),FALSE)*(-1)</f>
        <v>0</v>
      </c>
      <c r="AX298" s="111">
        <f>VLOOKUP($D298,Research!$C:$L,(COLUMN(Research_ResearchCost_Food)-COLUMN(Research_Name_and_Level)+1),FALSE)*(-1)</f>
        <v>0</v>
      </c>
      <c r="AY298" s="112">
        <f>VLOOKUP($D298,Research!$C:$L,(COLUMN(Research_ResearchCost_Silver)-COLUMN(Research_Name_and_Level)+1),FALSE)*(-1)</f>
        <v>-20000</v>
      </c>
    </row>
    <row r="299" spans="2:108" ht="15" customHeight="1">
      <c r="B299" s="126" t="s">
        <v>1457</v>
      </c>
      <c r="C299" s="127" t="s">
        <v>147</v>
      </c>
      <c r="D299" s="144" t="s">
        <v>1615</v>
      </c>
      <c r="E299" s="506">
        <v>14</v>
      </c>
      <c r="I299" s="5">
        <v>3</v>
      </c>
      <c r="J299" s="5">
        <v>248</v>
      </c>
      <c r="Q299" s="149"/>
      <c r="AF299" s="141"/>
      <c r="AG299" s="141"/>
      <c r="AH299" s="137"/>
      <c r="AI299" s="484"/>
      <c r="AJ299" s="137">
        <f t="shared" si="36"/>
        <v>0.14583333333333331</v>
      </c>
      <c r="AX299" s="11"/>
    </row>
    <row r="300" spans="2:108" ht="15" customHeight="1">
      <c r="B300" s="106" t="s">
        <v>171</v>
      </c>
      <c r="C300" s="130"/>
      <c r="D300" s="130" t="s">
        <v>1616</v>
      </c>
      <c r="E300" s="106">
        <v>14</v>
      </c>
      <c r="F300" s="219">
        <v>0.25</v>
      </c>
      <c r="G300" s="107" t="s">
        <v>1453</v>
      </c>
      <c r="H300" s="107">
        <v>1389103</v>
      </c>
      <c r="I300" s="108">
        <v>29</v>
      </c>
      <c r="J300" s="108">
        <v>20467</v>
      </c>
      <c r="K300" s="107">
        <v>4</v>
      </c>
      <c r="L300" s="107">
        <v>1070</v>
      </c>
      <c r="M300" s="134">
        <v>0.14583333333333334</v>
      </c>
      <c r="N300" s="109">
        <v>200</v>
      </c>
      <c r="O300" s="109">
        <f>SUMIF($B$4:$B299,"&lt;&gt;"&amp;$CS$13,O$4:O299)</f>
        <v>0</v>
      </c>
      <c r="P300" s="108">
        <f>SUMIF($B$4:$B299,"&lt;&gt;"&amp;$CS$13,N$4:N299)</f>
        <v>200</v>
      </c>
      <c r="Q300" s="134">
        <v>3.472222222222222E-3</v>
      </c>
      <c r="R300" s="134">
        <v>6.9444444444444441E-3</v>
      </c>
      <c r="S300" s="107">
        <v>0</v>
      </c>
      <c r="T300" s="107">
        <v>0</v>
      </c>
      <c r="U300" s="107">
        <v>0</v>
      </c>
      <c r="V300" s="107">
        <v>0</v>
      </c>
      <c r="W300" s="109">
        <v>6</v>
      </c>
      <c r="X300" s="109">
        <v>2</v>
      </c>
      <c r="Y300" s="109">
        <v>0</v>
      </c>
      <c r="Z300" s="109">
        <v>0</v>
      </c>
      <c r="AA300" s="109">
        <v>0</v>
      </c>
      <c r="AB300" s="109">
        <v>0</v>
      </c>
      <c r="AC300" s="109">
        <v>0</v>
      </c>
      <c r="AD300" s="109">
        <v>0</v>
      </c>
      <c r="AE300" s="108">
        <v>0</v>
      </c>
      <c r="AF300" s="136">
        <f>SUMIF($B$4:$B299,"&lt;&gt;"&amp;$CS$13,AF$4:AF299)</f>
        <v>0.28680555555555559</v>
      </c>
      <c r="AG300" s="136">
        <f>SUMIF($B$4:$B299,"&lt;&gt;"&amp;$CS$13,AG$4:AG299)</f>
        <v>0</v>
      </c>
      <c r="AH300" s="134">
        <f>AF300+AG300</f>
        <v>0.28680555555555559</v>
      </c>
      <c r="AI300" s="483">
        <f>SUMIF($B$4:$B299,"&lt;&gt;"&amp;$CS$13,AI$4:AI299)</f>
        <v>0.14097222222222222</v>
      </c>
      <c r="AJ300" s="134">
        <f>S$3*S300+T$3*T300+U$3*U300+V$3*V300+W$3*W300+X$3*X300+Y$3*Y300+Z$3*Z300+AA$3*AA300+AB$3*AB300+AC$3*AC300</f>
        <v>0.14583333333333331</v>
      </c>
      <c r="AK300" s="338">
        <v>0.41</v>
      </c>
      <c r="AL300" s="136" t="s">
        <v>1453</v>
      </c>
      <c r="AM300" s="136" t="s">
        <v>1453</v>
      </c>
      <c r="AN300" s="136" t="s">
        <v>1453</v>
      </c>
      <c r="AO300" s="134" t="s">
        <v>1453</v>
      </c>
      <c r="AP300" s="263">
        <v>0.11</v>
      </c>
      <c r="AQ300" s="136" t="s">
        <v>1453</v>
      </c>
      <c r="AR300" s="136" t="s">
        <v>1453</v>
      </c>
      <c r="AS300" s="136" t="s">
        <v>1453</v>
      </c>
      <c r="AT300" s="134" t="s">
        <v>1453</v>
      </c>
      <c r="AU300" s="107">
        <v>166800</v>
      </c>
      <c r="AV300" s="107">
        <v>163500</v>
      </c>
      <c r="AW300" s="107">
        <v>173100</v>
      </c>
      <c r="AX300" s="109">
        <v>271500</v>
      </c>
      <c r="AY300" s="108">
        <v>28950</v>
      </c>
      <c r="AZ300" s="107">
        <v>756</v>
      </c>
      <c r="BA300" s="107">
        <v>363</v>
      </c>
      <c r="BB300" s="107">
        <v>727</v>
      </c>
      <c r="BC300" s="107">
        <v>1089</v>
      </c>
      <c r="BD300" s="108">
        <v>360</v>
      </c>
      <c r="BE300" s="108">
        <v>-200</v>
      </c>
      <c r="BF300" s="107">
        <v>51000</v>
      </c>
      <c r="BG300" s="107">
        <v>33000</v>
      </c>
      <c r="BH300" s="107">
        <v>51000</v>
      </c>
      <c r="BI300" s="107">
        <v>60000</v>
      </c>
      <c r="BJ300" s="108">
        <v>33000</v>
      </c>
      <c r="BK300" s="107">
        <v>6</v>
      </c>
      <c r="BL300" s="108">
        <v>6</v>
      </c>
      <c r="BM300" s="108">
        <v>6</v>
      </c>
      <c r="BN300" s="107">
        <v>5</v>
      </c>
      <c r="BO300" s="108">
        <v>4</v>
      </c>
      <c r="BP300" s="107">
        <v>3</v>
      </c>
      <c r="BQ300" s="108">
        <v>4</v>
      </c>
      <c r="BR300" s="107">
        <v>5</v>
      </c>
      <c r="BS300" s="108">
        <v>4</v>
      </c>
      <c r="BT300" s="107">
        <v>6</v>
      </c>
      <c r="BU300" s="108">
        <v>4</v>
      </c>
      <c r="BV300" s="107">
        <v>5</v>
      </c>
      <c r="BW300" s="108">
        <v>4</v>
      </c>
      <c r="BX300" s="107">
        <v>5</v>
      </c>
      <c r="BY300" s="108">
        <v>4</v>
      </c>
      <c r="BZ300" s="107">
        <v>3</v>
      </c>
      <c r="CA300" s="108">
        <v>4</v>
      </c>
      <c r="CB300" s="108">
        <v>3</v>
      </c>
      <c r="CC300" s="108">
        <v>5</v>
      </c>
      <c r="CD300" s="108">
        <v>6</v>
      </c>
      <c r="CE300" s="107"/>
      <c r="CF300" s="107"/>
      <c r="CG300" s="108"/>
      <c r="CH300" s="107">
        <v>5</v>
      </c>
      <c r="CI300" s="107"/>
      <c r="CJ300" s="108"/>
      <c r="CK300" s="108"/>
      <c r="CL300" s="107">
        <v>43100</v>
      </c>
      <c r="CM300" s="108"/>
      <c r="CN300" s="108" t="s">
        <v>1208</v>
      </c>
    </row>
    <row r="301" spans="2:108" ht="15" customHeight="1">
      <c r="B301" s="102" t="s">
        <v>1455</v>
      </c>
      <c r="C301" s="127" t="s">
        <v>170</v>
      </c>
      <c r="D301" s="144" t="s">
        <v>1614</v>
      </c>
      <c r="E301" s="506">
        <v>14</v>
      </c>
      <c r="F301" s="12">
        <v>0.25</v>
      </c>
      <c r="G301" s="101">
        <f>VLOOKUP($D301,Research!$C:$M,(COLUMN(Research_QuestReward_HeroXP)-COLUMN(Research_Name_and_Level)+1),FALSE)</f>
        <v>20000</v>
      </c>
      <c r="H301" s="101">
        <f>G301*(1+F301)</f>
        <v>25000</v>
      </c>
      <c r="J301" s="103">
        <f>VLOOKUP($D301,Research!$C:$N,(COLUMN(Research_QuestReward_Power)-COLUMN(Research_Name_and_Level)+1),FALSE)</f>
        <v>200</v>
      </c>
      <c r="AF301" s="141"/>
      <c r="AG301" s="141"/>
      <c r="AH301" s="137"/>
      <c r="AI301" s="484"/>
      <c r="AJ301" s="137">
        <f t="shared" ref="AJ301:AJ344" si="49">AJ300+(S$3*S301+T$3*T301+U$3*U301+V$3*V301+W$3*W301+X$3*X301+Y$3*Y301+Z$3*Z301+AA$3*AA301+AB$3*AB301+AC$3*AC301)</f>
        <v>0.14583333333333331</v>
      </c>
      <c r="AU301" s="101">
        <f>VLOOKUP($D301,Research!$C:$S,(COLUMN(Research_QuestReward_Stone)-COLUMN(Research_Name_and_Level)+1),FALSE)</f>
        <v>32000</v>
      </c>
      <c r="AV301" s="101">
        <f>VLOOKUP($D301,Research!$C:$S,(COLUMN(Research_QuestReward_Wood)-COLUMN(Research_Name_and_Level)+1),FALSE)</f>
        <v>32000</v>
      </c>
      <c r="AW301" s="101">
        <f>VLOOKUP($D301,Research!$C:$S,(COLUMN(Research_QuestReward_Ore)-COLUMN(Research_Name_and_Level)+1),FALSE)</f>
        <v>0</v>
      </c>
      <c r="AX301" s="101">
        <f>VLOOKUP($D301,Research!$C:$S,(COLUMN(Research_QuestReward_Food)-COLUMN(Research_Name_and_Level)+1),FALSE)</f>
        <v>0</v>
      </c>
      <c r="AY301" s="100">
        <f>VLOOKUP($D301,Research!$C:$S,(COLUMN(Research_QuestReward_Silver)-COLUMN(Research_Name_and_Level)+1),FALSE)</f>
        <v>16000</v>
      </c>
      <c r="CT301" s="127"/>
      <c r="CU301" s="127"/>
      <c r="CV301" s="127"/>
      <c r="CW301" s="127"/>
      <c r="CX301" s="127"/>
      <c r="CY301" s="127"/>
      <c r="CZ301" s="127"/>
      <c r="DA301" s="127"/>
      <c r="DB301" s="127"/>
      <c r="DC301" s="127"/>
      <c r="DD301" s="127"/>
    </row>
    <row r="302" spans="2:108" ht="15" customHeight="1">
      <c r="B302" s="113" t="s">
        <v>1483</v>
      </c>
      <c r="C302" s="127" t="s">
        <v>619</v>
      </c>
      <c r="D302" s="127">
        <v>50</v>
      </c>
      <c r="E302" s="506">
        <v>14</v>
      </c>
      <c r="G302" s="7"/>
      <c r="H302" s="7"/>
      <c r="J302" s="114">
        <f>VLOOKUP($C302,Troop!$B:$AK,(COLUMN(Troop_TrainingReward_Power)-COLUMN(Troop_Name)+1),FALSE)*$D302</f>
        <v>100</v>
      </c>
      <c r="AF302" s="141"/>
      <c r="AG302" s="141"/>
      <c r="AH302" s="137"/>
      <c r="AI302" s="484"/>
      <c r="AJ302" s="137">
        <f t="shared" si="49"/>
        <v>0.14583333333333331</v>
      </c>
      <c r="AU302" s="296">
        <f>VLOOKUP($C302,Troop!$B:$P,(COLUMN(Troop_TrainingCost_Stone)-COLUMN(Troop_Name)+1),FALSE)*$D302*(-1)</f>
        <v>-5000</v>
      </c>
      <c r="AV302" s="296">
        <f>VLOOKUP($C302,Troop!$B:$P,(COLUMN(Troop_TrainingCost_Wood)-COLUMN(Troop_Name)+1),FALSE)*$D302*(-1)</f>
        <v>-5000</v>
      </c>
      <c r="AW302" s="296">
        <f>VLOOKUP($C302,Troop!$B:$P,(COLUMN(Troop_TrainingCost_Ore)-COLUMN(Troop_Name)+1),FALSE)*$D302*(-1)</f>
        <v>0</v>
      </c>
      <c r="AX302" s="296">
        <f>VLOOKUP($C302,Troop!$B:$P,(COLUMN(Troop_TrainingCost_Food)-COLUMN(Troop_Name)+1),FALSE)*$D302*(-1)</f>
        <v>-5000</v>
      </c>
      <c r="AY302" s="114">
        <f>VLOOKUP($C302,Troop!$B:$P,(COLUMN(Troop_TrainingCost_Silver)-COLUMN(Troop_Name)+1),FALSE)*$D302*(-1)</f>
        <v>0</v>
      </c>
      <c r="CT302" s="128"/>
      <c r="CU302" s="128"/>
      <c r="CV302" s="128"/>
      <c r="CW302" s="128"/>
      <c r="CX302" s="128"/>
      <c r="CY302" s="128"/>
      <c r="CZ302" s="128"/>
      <c r="DA302" s="128"/>
      <c r="DB302" s="128"/>
      <c r="DC302" s="128"/>
      <c r="DD302" s="128"/>
    </row>
    <row r="303" spans="2:108" ht="15" customHeight="1">
      <c r="B303" s="113" t="s">
        <v>143</v>
      </c>
      <c r="C303" s="127" t="s">
        <v>141</v>
      </c>
      <c r="D303" s="127" t="s">
        <v>1617</v>
      </c>
      <c r="E303" s="506">
        <v>14</v>
      </c>
      <c r="F303" s="12">
        <v>0.25</v>
      </c>
      <c r="G303" s="101">
        <v>7500</v>
      </c>
      <c r="H303" s="101">
        <f t="shared" ref="H303" si="50">G303*(1+F303)</f>
        <v>9375</v>
      </c>
      <c r="J303" s="100">
        <v>500</v>
      </c>
      <c r="AF303" s="141"/>
      <c r="AG303" s="141"/>
      <c r="AH303" s="137"/>
      <c r="AI303" s="484"/>
      <c r="AJ303" s="137">
        <f t="shared" si="49"/>
        <v>0.14583333333333331</v>
      </c>
      <c r="AU303" s="101">
        <v>22500</v>
      </c>
      <c r="AV303" s="101">
        <v>22500</v>
      </c>
      <c r="AW303" s="101">
        <v>0</v>
      </c>
      <c r="AX303" s="101">
        <v>22500</v>
      </c>
      <c r="AY303" s="100">
        <v>0</v>
      </c>
      <c r="CT303" s="128"/>
      <c r="CU303" s="128"/>
      <c r="CV303" s="128"/>
      <c r="CW303" s="128"/>
      <c r="CX303" s="128"/>
      <c r="CY303" s="128"/>
      <c r="CZ303" s="128"/>
      <c r="DA303" s="128"/>
      <c r="DB303" s="128"/>
      <c r="DC303" s="128"/>
      <c r="DD303" s="128"/>
    </row>
    <row r="304" spans="2:108" ht="15" customHeight="1">
      <c r="B304" s="506" t="s">
        <v>144</v>
      </c>
      <c r="C304" s="127" t="s">
        <v>149</v>
      </c>
      <c r="D304" s="144" t="s">
        <v>1618</v>
      </c>
      <c r="E304" s="506">
        <v>14</v>
      </c>
      <c r="F304" s="12">
        <v>0.25</v>
      </c>
      <c r="G304" s="94">
        <f>VLOOKUP($D304,Construction!$B:$E,(COLUMN(Construction_BuildingReward_HeroXP)-COLUMN(Construction_Name_and_Level)+1),FALSE)</f>
        <v>200</v>
      </c>
      <c r="H304" s="94">
        <f t="shared" ref="H304:H306" si="51">G304*(1+F304)</f>
        <v>250</v>
      </c>
      <c r="J304" s="95">
        <f>VLOOKUP($D304,Construction!$B:$F,(COLUMN(Construction_BuildingReward_Power)-COLUMN(Construction_Name_and_Level)+1),FALSE)</f>
        <v>25</v>
      </c>
      <c r="Q304" s="139">
        <v>3.472222222222222E-3</v>
      </c>
      <c r="R304" s="139">
        <v>6.9444444444444441E-3</v>
      </c>
      <c r="AF304" s="141"/>
      <c r="AG304" s="141"/>
      <c r="AH304" s="137"/>
      <c r="AI304" s="484"/>
      <c r="AJ304" s="137">
        <f t="shared" si="49"/>
        <v>0.14583333333333331</v>
      </c>
      <c r="AK304" s="339">
        <v>0.41</v>
      </c>
      <c r="AL304" s="138">
        <f>VLOOKUP($D304,Construction!$B:$C,(COLUMN(Construction_Time)-COLUMN(Construction_Name_and_Level)+1),FALSE)</f>
        <v>5.5555555555555558E-3</v>
      </c>
      <c r="AM304" s="138">
        <f>AL304/(1+AK304)</f>
        <v>3.940110323089047E-3</v>
      </c>
      <c r="AN304" s="138">
        <f>(S$3*S304+T$3*T304+V$3*V304+W$3*W304+X$3*X304+Y$3*Y304+Z$3*Z304+AA$3*AA304+AB$3*AB304+AC$3*AC304)*(-1)</f>
        <v>0</v>
      </c>
      <c r="AO304" s="139">
        <f>IF((AM304-Q304-R304-AN304)&gt;=0,AM304-Q304-R304-AN304,0)</f>
        <v>0</v>
      </c>
      <c r="AU304" s="94">
        <f>VLOOKUP($D304,Construction!$B:$J,(COLUMN(Construction_BuildingCost_Stone)-COLUMN(Construction_Name_and_Level)+1),FALSE)*(-1)</f>
        <v>-492</v>
      </c>
      <c r="AV304" s="94">
        <f>VLOOKUP($D304,Construction!$B:$J,(COLUMN(Construction_BuildingCost_Wood)-COLUMN(Construction_Name_and_Level)+1),FALSE)*(-1)</f>
        <v>0</v>
      </c>
      <c r="AW304" s="94">
        <f>VLOOKUP($D304,Construction!$B:$J,(COLUMN(Construction_BuildingCost_Ore)-COLUMN(Construction_Name_and_Level)+1),FALSE)*(-1)</f>
        <v>-492</v>
      </c>
      <c r="AX304" s="94">
        <f>VLOOKUP($D304,Construction!$B:$J,(COLUMN(Construction_BuildingCost_Food)-COLUMN(Construction_Name_and_Level)+1),FALSE)*(-1)</f>
        <v>-492</v>
      </c>
    </row>
    <row r="305" spans="2:108" ht="15" customHeight="1">
      <c r="B305" s="506" t="s">
        <v>143</v>
      </c>
      <c r="C305" s="127" t="s">
        <v>142</v>
      </c>
      <c r="D305" s="144" t="s">
        <v>1618</v>
      </c>
      <c r="E305" s="506">
        <v>14</v>
      </c>
      <c r="F305" s="12">
        <v>0.25</v>
      </c>
      <c r="G305" s="101">
        <f>VLOOKUP($D305,Construction!$B:$L,(COLUMN(Construction_QuestReward_HeroXP)-COLUMN(Construction_Name_and_Level)+1),FALSE)</f>
        <v>2650</v>
      </c>
      <c r="H305" s="101">
        <f t="shared" si="51"/>
        <v>3312.5</v>
      </c>
      <c r="J305" s="100">
        <f>VLOOKUP($D305,Construction!$B:$L,(COLUMN(Construction_QuestReward_Power)-COLUMN(Construction_Name_and_Level)+1),FALSE)</f>
        <v>10</v>
      </c>
      <c r="AF305" s="141"/>
      <c r="AG305" s="141"/>
      <c r="AH305" s="137"/>
      <c r="AI305" s="484"/>
      <c r="AJ305" s="137">
        <f t="shared" si="49"/>
        <v>0.14583333333333331</v>
      </c>
      <c r="AU305" s="101">
        <f>VLOOKUP($D305,Construction!$B:$Q,(COLUMN(Construction_QuestReward_Stone)-COLUMN(Construction_Name_and_Level)+1),FALSE)</f>
        <v>1200</v>
      </c>
      <c r="AV305" s="101">
        <f>VLOOKUP($D305,Construction!$B:$Q,(COLUMN(Construction_QuestReward_Wood)-COLUMN(Construction_Name_and_Level)+1),FALSE)</f>
        <v>6400</v>
      </c>
      <c r="AW305" s="101">
        <f>VLOOKUP($D305,Construction!$B:$Q,(COLUMN(Construction_QuestReward_Ore)-COLUMN(Construction_Name_and_Level)+1),FALSE)</f>
        <v>1200</v>
      </c>
      <c r="AX305" s="101">
        <f>VLOOKUP($D305,Construction!$B:$Q,(COLUMN(Construction_QuestReward_Food)-COLUMN(Construction_Name_and_Level)+1),FALSE)</f>
        <v>1200</v>
      </c>
      <c r="AY305" s="100">
        <f>VLOOKUP($D305,Construction!$B:$Q,(COLUMN(Construction_QuestReward_Silver)-COLUMN(Construction_Name_and_Level)+1),FALSE)</f>
        <v>50</v>
      </c>
    </row>
    <row r="306" spans="2:108" ht="15" customHeight="1">
      <c r="B306" s="506" t="s">
        <v>143</v>
      </c>
      <c r="C306" s="127" t="s">
        <v>182</v>
      </c>
      <c r="D306" s="144" t="s">
        <v>1619</v>
      </c>
      <c r="E306" s="506">
        <v>14</v>
      </c>
      <c r="F306" s="12">
        <v>0.25</v>
      </c>
      <c r="G306" s="101">
        <v>0</v>
      </c>
      <c r="H306" s="101">
        <f t="shared" si="51"/>
        <v>0</v>
      </c>
      <c r="J306" s="100">
        <v>25</v>
      </c>
      <c r="AF306" s="141"/>
      <c r="AG306" s="141"/>
      <c r="AH306" s="137"/>
      <c r="AI306" s="484"/>
      <c r="AJ306" s="137">
        <f t="shared" si="49"/>
        <v>0.14583333333333331</v>
      </c>
      <c r="AV306" s="101">
        <v>12600</v>
      </c>
    </row>
    <row r="307" spans="2:108" ht="15" customHeight="1">
      <c r="B307" s="506" t="s">
        <v>145</v>
      </c>
      <c r="C307" s="146" t="s">
        <v>151</v>
      </c>
      <c r="D307" s="145">
        <v>6.4236111111111117E-3</v>
      </c>
      <c r="E307" s="506">
        <v>14</v>
      </c>
      <c r="AF307" s="141"/>
      <c r="AG307" s="141"/>
      <c r="AH307" s="137"/>
      <c r="AI307" s="484"/>
      <c r="AJ307" s="137">
        <f t="shared" si="49"/>
        <v>0.14583333333333331</v>
      </c>
      <c r="AX307" s="2">
        <v>5000</v>
      </c>
    </row>
    <row r="308" spans="2:108" ht="15" customHeight="1">
      <c r="B308" s="506" t="s">
        <v>195</v>
      </c>
      <c r="C308" s="127" t="s">
        <v>468</v>
      </c>
      <c r="D308" s="144">
        <v>9.042824074074074E-2</v>
      </c>
      <c r="E308" s="506">
        <v>14</v>
      </c>
      <c r="F308" s="12">
        <v>0.25</v>
      </c>
      <c r="G308" s="211">
        <v>30000</v>
      </c>
      <c r="H308" s="211">
        <f t="shared" ref="H308:H310" si="52">G308*(1+F308)</f>
        <v>37500</v>
      </c>
      <c r="AF308" s="141"/>
      <c r="AG308" s="141"/>
      <c r="AH308" s="137"/>
      <c r="AI308" s="484"/>
      <c r="AJ308" s="137">
        <f t="shared" si="49"/>
        <v>0.14583333333333331</v>
      </c>
      <c r="AU308" s="272">
        <v>0</v>
      </c>
      <c r="AV308" s="213">
        <v>0</v>
      </c>
      <c r="AW308" s="213">
        <v>22500</v>
      </c>
      <c r="AX308" s="213">
        <v>22500</v>
      </c>
      <c r="AY308" s="160">
        <v>4500</v>
      </c>
      <c r="CL308" s="211">
        <v>25000</v>
      </c>
      <c r="CM308" s="160">
        <f>CL308</f>
        <v>25000</v>
      </c>
    </row>
    <row r="309" spans="2:108" ht="15" customHeight="1">
      <c r="B309" s="506" t="s">
        <v>144</v>
      </c>
      <c r="C309" s="127" t="s">
        <v>138</v>
      </c>
      <c r="D309" s="144" t="s">
        <v>1620</v>
      </c>
      <c r="E309" s="506">
        <v>14</v>
      </c>
      <c r="F309" s="12">
        <v>0.25</v>
      </c>
      <c r="G309" s="94">
        <f>VLOOKUP($D309,Construction!$B:$E,(COLUMN(Construction_BuildingReward_HeroXP)-COLUMN(Construction_Name_and_Level)+1),FALSE)</f>
        <v>400</v>
      </c>
      <c r="H309" s="94">
        <f t="shared" si="52"/>
        <v>500</v>
      </c>
      <c r="J309" s="95">
        <f>VLOOKUP($D309,Construction!$B:$F,(COLUMN(Construction_BuildingReward_Power)-COLUMN(Construction_Name_and_Level)+1),FALSE)</f>
        <v>35</v>
      </c>
      <c r="Q309" s="139">
        <v>3.472222222222222E-3</v>
      </c>
      <c r="R309" s="139">
        <v>6.9444444444444441E-3</v>
      </c>
      <c r="AF309" s="141"/>
      <c r="AG309" s="141"/>
      <c r="AH309" s="137"/>
      <c r="AI309" s="484"/>
      <c r="AJ309" s="137">
        <f t="shared" si="49"/>
        <v>0.14583333333333331</v>
      </c>
      <c r="AK309" s="339">
        <v>0.41</v>
      </c>
      <c r="AL309" s="138">
        <f>VLOOKUP($D309,Construction!$B:$C,(COLUMN(Construction_Time)-COLUMN(Construction_Name_and_Level)+1),FALSE)</f>
        <v>1.1111111111111112E-2</v>
      </c>
      <c r="AM309" s="138">
        <f>AL309/(1+AK309)</f>
        <v>7.880220646178094E-3</v>
      </c>
      <c r="AN309" s="138">
        <f>(S$3*S309+T$3*T309+V$3*V309+W$3*W309+X$3*X309+Y$3*Y309+Z$3*Z309+AA$3*AA309+AB$3*AB309+AC$3*AC309)*(-1)</f>
        <v>0</v>
      </c>
      <c r="AO309" s="139">
        <f>IF((AM309-Q309-R309-AN309)&gt;=0,AM309-Q309-R309-AN309,0)</f>
        <v>0</v>
      </c>
      <c r="AU309" s="94">
        <f>VLOOKUP($D309,Construction!$B:$J,(COLUMN(Construction_BuildingCost_Stone)-COLUMN(Construction_Name_and_Level)+1),FALSE)*(-1)</f>
        <v>-837</v>
      </c>
      <c r="AV309" s="94">
        <f>VLOOKUP($D309,Construction!$B:$J,(COLUMN(Construction_BuildingCost_Wood)-COLUMN(Construction_Name_and_Level)+1),FALSE)*(-1)</f>
        <v>0</v>
      </c>
      <c r="AW309" s="94">
        <f>VLOOKUP($D309,Construction!$B:$J,(COLUMN(Construction_BuildingCost_Ore)-COLUMN(Construction_Name_and_Level)+1),FALSE)*(-1)</f>
        <v>-837</v>
      </c>
      <c r="AX309" s="94">
        <f>VLOOKUP($D309,Construction!$B:$J,(COLUMN(Construction_BuildingCost_Food)-COLUMN(Construction_Name_and_Level)+1),FALSE)*(-1)</f>
        <v>-837</v>
      </c>
    </row>
    <row r="310" spans="2:108" ht="15" customHeight="1">
      <c r="B310" s="506" t="s">
        <v>143</v>
      </c>
      <c r="C310" s="127" t="s">
        <v>142</v>
      </c>
      <c r="D310" s="144" t="s">
        <v>1620</v>
      </c>
      <c r="E310" s="506">
        <v>14</v>
      </c>
      <c r="F310" s="12">
        <v>0.25</v>
      </c>
      <c r="G310" s="101">
        <f>VLOOKUP($D310,Construction!$B:$L,(COLUMN(Construction_QuestReward_HeroXP)-COLUMN(Construction_Name_and_Level)+1),FALSE)</f>
        <v>2675</v>
      </c>
      <c r="H310" s="101">
        <f t="shared" si="52"/>
        <v>3343.75</v>
      </c>
      <c r="J310" s="100">
        <f>VLOOKUP($D310,Construction!$B:$L,(COLUMN(Construction_QuestReward_Power)-COLUMN(Construction_Name_and_Level)+1),FALSE)</f>
        <v>17</v>
      </c>
      <c r="AF310" s="141"/>
      <c r="AG310" s="141"/>
      <c r="AH310" s="137"/>
      <c r="AI310" s="484"/>
      <c r="AJ310" s="137">
        <f t="shared" si="49"/>
        <v>0.14583333333333331</v>
      </c>
      <c r="AU310" s="101">
        <f>VLOOKUP($D310,Construction!$B:$Q,(COLUMN(Construction_QuestReward_Stone)-COLUMN(Construction_Name_and_Level)+1),FALSE)</f>
        <v>1800</v>
      </c>
      <c r="AV310" s="101">
        <f>VLOOKUP($D310,Construction!$B:$Q,(COLUMN(Construction_QuestReward_Wood)-COLUMN(Construction_Name_and_Level)+1),FALSE)</f>
        <v>0</v>
      </c>
      <c r="AW310" s="101">
        <f>VLOOKUP($D310,Construction!$B:$Q,(COLUMN(Construction_QuestReward_Ore)-COLUMN(Construction_Name_and_Level)+1),FALSE)</f>
        <v>1800</v>
      </c>
      <c r="AX310" s="101">
        <f>VLOOKUP($D310,Construction!$B:$Q,(COLUMN(Construction_QuestReward_Food)-COLUMN(Construction_Name_and_Level)+1),FALSE)</f>
        <v>1800</v>
      </c>
      <c r="AY310" s="100">
        <f>VLOOKUP($D310,Construction!$B:$Q,(COLUMN(Construction_QuestReward_Silver)-COLUMN(Construction_Name_and_Level)+1),FALSE)</f>
        <v>50</v>
      </c>
    </row>
    <row r="311" spans="2:108" ht="15" customHeight="1">
      <c r="B311" s="506" t="s">
        <v>144</v>
      </c>
      <c r="C311" s="127" t="s">
        <v>138</v>
      </c>
      <c r="D311" s="144" t="s">
        <v>1621</v>
      </c>
      <c r="E311" s="506">
        <v>14</v>
      </c>
      <c r="F311" s="12">
        <v>0.25</v>
      </c>
      <c r="G311" s="94">
        <f>VLOOKUP($D311,Construction!$B:$E,(COLUMN(Construction_BuildingReward_HeroXP)-COLUMN(Construction_Name_and_Level)+1),FALSE)</f>
        <v>500</v>
      </c>
      <c r="H311" s="94">
        <f t="shared" ref="H311:H312" si="53">G311*(1+F311)</f>
        <v>625</v>
      </c>
      <c r="J311" s="95">
        <f>VLOOKUP($D311,Construction!$B:$F,(COLUMN(Construction_BuildingReward_Power)-COLUMN(Construction_Name_and_Level)+1),FALSE)</f>
        <v>55</v>
      </c>
      <c r="Q311" s="139">
        <v>3.472222222222222E-3</v>
      </c>
      <c r="R311" s="139">
        <v>6.9444444444444441E-3</v>
      </c>
      <c r="AF311" s="141"/>
      <c r="AG311" s="141"/>
      <c r="AH311" s="137"/>
      <c r="AI311" s="484"/>
      <c r="AJ311" s="137">
        <f t="shared" si="49"/>
        <v>0.14583333333333331</v>
      </c>
      <c r="AK311" s="339">
        <v>0.41</v>
      </c>
      <c r="AL311" s="138">
        <f>VLOOKUP($D311,Construction!$B:$C,(COLUMN(Construction_Time)-COLUMN(Construction_Name_and_Level)+1),FALSE)</f>
        <v>2.2222222222222223E-2</v>
      </c>
      <c r="AM311" s="138">
        <f>AL311/(1+AK311)</f>
        <v>1.5760441292356188E-2</v>
      </c>
      <c r="AN311" s="138">
        <f>(S$3*S311+T$3*T311+V$3*V311+W$3*W311+X$3*X311+Y$3*Y311+Z$3*Z311+AA$3*AA311+AB$3*AB311+AC$3*AC311)*(-1)</f>
        <v>0</v>
      </c>
      <c r="AO311" s="139">
        <f>IF((AM311-Q311-R311-AN311)&gt;=0,AM311-Q311-R311-AN311,0)</f>
        <v>5.3437746256895218E-3</v>
      </c>
      <c r="AU311" s="94">
        <f>VLOOKUP($D311,Construction!$B:$J,(COLUMN(Construction_BuildingCost_Stone)-COLUMN(Construction_Name_and_Level)+1),FALSE)*(-1)</f>
        <v>-1674</v>
      </c>
      <c r="AV311" s="94">
        <f>VLOOKUP($D311,Construction!$B:$J,(COLUMN(Construction_BuildingCost_Wood)-COLUMN(Construction_Name_and_Level)+1),FALSE)*(-1)</f>
        <v>0</v>
      </c>
      <c r="AW311" s="94">
        <f>VLOOKUP($D311,Construction!$B:$J,(COLUMN(Construction_BuildingCost_Ore)-COLUMN(Construction_Name_and_Level)+1),FALSE)*(-1)</f>
        <v>-1674</v>
      </c>
      <c r="AX311" s="94">
        <f>VLOOKUP($D311,Construction!$B:$J,(COLUMN(Construction_BuildingCost_Food)-COLUMN(Construction_Name_and_Level)+1),FALSE)*(-1)</f>
        <v>-1674</v>
      </c>
    </row>
    <row r="312" spans="2:108" ht="15" customHeight="1">
      <c r="B312" s="506" t="s">
        <v>143</v>
      </c>
      <c r="C312" s="127" t="s">
        <v>142</v>
      </c>
      <c r="D312" s="144" t="s">
        <v>1621</v>
      </c>
      <c r="E312" s="506">
        <v>14</v>
      </c>
      <c r="F312" s="12">
        <v>0.25</v>
      </c>
      <c r="G312" s="101">
        <f>VLOOKUP($D312,Construction!$B:$L,(COLUMN(Construction_QuestReward_HeroXP)-COLUMN(Construction_Name_and_Level)+1),FALSE)</f>
        <v>2500</v>
      </c>
      <c r="H312" s="101">
        <f t="shared" si="53"/>
        <v>3125</v>
      </c>
      <c r="J312" s="100">
        <f>VLOOKUP($D312,Construction!$B:$L,(COLUMN(Construction_QuestReward_Power)-COLUMN(Construction_Name_and_Level)+1),FALSE)</f>
        <v>27</v>
      </c>
      <c r="AF312" s="141"/>
      <c r="AG312" s="141"/>
      <c r="AH312" s="137"/>
      <c r="AI312" s="484"/>
      <c r="AJ312" s="137">
        <f t="shared" si="49"/>
        <v>0.14583333333333331</v>
      </c>
      <c r="AU312" s="101">
        <f>VLOOKUP($D312,Construction!$B:$Q,(COLUMN(Construction_QuestReward_Stone)-COLUMN(Construction_Name_and_Level)+1),FALSE)</f>
        <v>1300</v>
      </c>
      <c r="AV312" s="101">
        <f>VLOOKUP($D312,Construction!$B:$Q,(COLUMN(Construction_QuestReward_Wood)-COLUMN(Construction_Name_and_Level)+1),FALSE)</f>
        <v>0</v>
      </c>
      <c r="AW312" s="101">
        <f>VLOOKUP($D312,Construction!$B:$Q,(COLUMN(Construction_QuestReward_Ore)-COLUMN(Construction_Name_and_Level)+1),FALSE)</f>
        <v>1300</v>
      </c>
      <c r="AX312" s="101">
        <f>VLOOKUP($D312,Construction!$B:$Q,(COLUMN(Construction_QuestReward_Food)-COLUMN(Construction_Name_and_Level)+1),FALSE)</f>
        <v>1300</v>
      </c>
      <c r="AY312" s="100">
        <f>VLOOKUP($D312,Construction!$B:$Q,(COLUMN(Construction_QuestReward_Silver)-COLUMN(Construction_Name_and_Level)+1),FALSE)</f>
        <v>100</v>
      </c>
    </row>
    <row r="313" spans="2:108" ht="15" customHeight="1">
      <c r="B313" s="506" t="s">
        <v>144</v>
      </c>
      <c r="C313" s="127" t="s">
        <v>149</v>
      </c>
      <c r="D313" s="144" t="s">
        <v>1622</v>
      </c>
      <c r="E313" s="506">
        <v>14</v>
      </c>
      <c r="F313" s="12">
        <v>0.25</v>
      </c>
      <c r="G313" s="94">
        <f>VLOOKUP($D313,Construction!$B:$E,(COLUMN(Construction_BuildingReward_HeroXP)-COLUMN(Construction_Name_and_Level)+1),FALSE)</f>
        <v>200</v>
      </c>
      <c r="H313" s="94">
        <f t="shared" ref="H313:H314" si="54">G313*(1+F313)</f>
        <v>250</v>
      </c>
      <c r="J313" s="95">
        <f>VLOOKUP($D313,Construction!$B:$F,(COLUMN(Construction_BuildingReward_Power)-COLUMN(Construction_Name_and_Level)+1),FALSE)</f>
        <v>50</v>
      </c>
      <c r="Q313" s="139">
        <v>3.472222222222222E-3</v>
      </c>
      <c r="R313" s="139">
        <v>6.9444444444444441E-3</v>
      </c>
      <c r="AF313" s="141"/>
      <c r="AG313" s="141"/>
      <c r="AH313" s="137"/>
      <c r="AI313" s="484"/>
      <c r="AJ313" s="137">
        <f t="shared" si="49"/>
        <v>0.14583333333333331</v>
      </c>
      <c r="AK313" s="339">
        <v>0.41</v>
      </c>
      <c r="AL313" s="138">
        <f>VLOOKUP($D313,Construction!$B:$C,(COLUMN(Construction_Time)-COLUMN(Construction_Name_and_Level)+1),FALSE)</f>
        <v>8.3333333333333332E-3</v>
      </c>
      <c r="AM313" s="138">
        <f>AL313/(1+AK313)</f>
        <v>5.9101654846335696E-3</v>
      </c>
      <c r="AN313" s="138">
        <f>(S$3*S313+T$3*T313+V$3*V313+W$3*W313+X$3*X313+Y$3*Y313+Z$3*Z313+AA$3*AA313+AB$3*AB313+AC$3*AC313)*(-1)</f>
        <v>0</v>
      </c>
      <c r="AO313" s="139">
        <f>IF((AM313-Q313-R313-AN313)&gt;=0,AM313-Q313-R313-AN313,0)</f>
        <v>0</v>
      </c>
      <c r="AU313" s="94">
        <f>VLOOKUP($D313,Construction!$B:$J,(COLUMN(Construction_BuildingCost_Stone)-COLUMN(Construction_Name_and_Level)+1),FALSE)*(-1)</f>
        <v>-2457</v>
      </c>
      <c r="AV313" s="94">
        <f>VLOOKUP($D313,Construction!$B:$J,(COLUMN(Construction_BuildingCost_Wood)-COLUMN(Construction_Name_and_Level)+1),FALSE)*(-1)</f>
        <v>-1966</v>
      </c>
      <c r="AW313" s="94">
        <f>VLOOKUP($D313,Construction!$B:$J,(COLUMN(Construction_BuildingCost_Ore)-COLUMN(Construction_Name_and_Level)+1),FALSE)*(-1)</f>
        <v>-1474</v>
      </c>
      <c r="AX313" s="94">
        <f>VLOOKUP($D313,Construction!$B:$J,(COLUMN(Construction_BuildingCost_Food)-COLUMN(Construction_Name_and_Level)+1),FALSE)*(-1)</f>
        <v>-1230</v>
      </c>
    </row>
    <row r="314" spans="2:108" ht="15" customHeight="1">
      <c r="B314" s="506" t="s">
        <v>143</v>
      </c>
      <c r="C314" s="127" t="s">
        <v>139</v>
      </c>
      <c r="D314" s="144" t="s">
        <v>1622</v>
      </c>
      <c r="E314" s="506">
        <v>14</v>
      </c>
      <c r="F314" s="12">
        <v>0.25</v>
      </c>
      <c r="G314" s="101">
        <f>VLOOKUP($D314,Construction!$B:$L,(COLUMN(Construction_QuestReward_HeroXP)-COLUMN(Construction_Name_and_Level)+1),FALSE)</f>
        <v>2650</v>
      </c>
      <c r="H314" s="101">
        <f t="shared" si="54"/>
        <v>3312.5</v>
      </c>
      <c r="J314" s="100">
        <f>VLOOKUP($D314,Construction!$B:$L,(COLUMN(Construction_QuestReward_Power)-COLUMN(Construction_Name_and_Level)+1),FALSE)</f>
        <v>42</v>
      </c>
      <c r="AF314" s="141"/>
      <c r="AG314" s="141"/>
      <c r="AH314" s="137"/>
      <c r="AI314" s="484"/>
      <c r="AJ314" s="137">
        <f t="shared" si="49"/>
        <v>0.14583333333333331</v>
      </c>
      <c r="AU314" s="101">
        <f>VLOOKUP($D314,Construction!$B:$Q,(COLUMN(Construction_QuestReward_Stone)-COLUMN(Construction_Name_and_Level)+1),FALSE)</f>
        <v>3400</v>
      </c>
      <c r="AV314" s="101">
        <f>VLOOKUP($D314,Construction!$B:$Q,(COLUMN(Construction_QuestReward_Wood)-COLUMN(Construction_Name_and_Level)+1),FALSE)</f>
        <v>2700</v>
      </c>
      <c r="AW314" s="101">
        <f>VLOOKUP($D314,Construction!$B:$Q,(COLUMN(Construction_QuestReward_Ore)-COLUMN(Construction_Name_and_Level)+1),FALSE)</f>
        <v>2100</v>
      </c>
      <c r="AX314" s="101">
        <f>VLOOKUP($D314,Construction!$B:$Q,(COLUMN(Construction_QuestReward_Food)-COLUMN(Construction_Name_and_Level)+1),FALSE)</f>
        <v>1800</v>
      </c>
      <c r="AY314" s="100">
        <f>VLOOKUP($D314,Construction!$B:$Q,(COLUMN(Construction_QuestReward_Silver)-COLUMN(Construction_Name_and_Level)+1),FALSE)</f>
        <v>150</v>
      </c>
    </row>
    <row r="315" spans="2:108" ht="15" customHeight="1">
      <c r="B315" s="506" t="s">
        <v>624</v>
      </c>
      <c r="C315" s="127" t="s">
        <v>623</v>
      </c>
      <c r="D315" s="144" t="s">
        <v>1423</v>
      </c>
      <c r="E315" s="506">
        <v>14</v>
      </c>
      <c r="AF315" s="141"/>
      <c r="AG315" s="141"/>
      <c r="AH315" s="137"/>
      <c r="AI315" s="484"/>
      <c r="AJ315" s="137">
        <f t="shared" si="49"/>
        <v>0.14583333333333331</v>
      </c>
      <c r="AY315" s="31">
        <v>2600</v>
      </c>
    </row>
    <row r="316" spans="2:108" ht="15" customHeight="1">
      <c r="B316" s="506" t="s">
        <v>144</v>
      </c>
      <c r="C316" s="127" t="s">
        <v>149</v>
      </c>
      <c r="D316" s="144" t="s">
        <v>1623</v>
      </c>
      <c r="E316" s="506">
        <v>14</v>
      </c>
      <c r="F316" s="12">
        <v>0.25</v>
      </c>
      <c r="G316" s="94">
        <f>VLOOKUP($D316,Construction!$B:$E,(COLUMN(Construction_BuildingReward_HeroXP)-COLUMN(Construction_Name_and_Level)+1),FALSE)</f>
        <v>400</v>
      </c>
      <c r="H316" s="94">
        <f t="shared" ref="H316:H317" si="55">G316*(1+F316)</f>
        <v>500</v>
      </c>
      <c r="J316" s="95">
        <f>VLOOKUP($D316,Construction!$B:$F,(COLUMN(Construction_BuildingReward_Power)-COLUMN(Construction_Name_and_Level)+1),FALSE)</f>
        <v>70</v>
      </c>
      <c r="Q316" s="139">
        <v>3.472222222222222E-3</v>
      </c>
      <c r="R316" s="139">
        <v>6.9444444444444441E-3</v>
      </c>
      <c r="AF316" s="141"/>
      <c r="AG316" s="141"/>
      <c r="AH316" s="137"/>
      <c r="AI316" s="484"/>
      <c r="AJ316" s="137">
        <f t="shared" si="49"/>
        <v>0.14583333333333331</v>
      </c>
      <c r="AK316" s="339">
        <v>0.41</v>
      </c>
      <c r="AL316" s="138">
        <f>VLOOKUP($D316,Construction!$B:$C,(COLUMN(Construction_Time)-COLUMN(Construction_Name_and_Level)+1),FALSE)</f>
        <v>1.6666666666666666E-2</v>
      </c>
      <c r="AM316" s="138">
        <f>AL316/(1+AK316)</f>
        <v>1.1820330969267139E-2</v>
      </c>
      <c r="AN316" s="138">
        <f>(S$3*S316+T$3*T316+V$3*V316+W$3*W316+X$3*X316+Y$3*Y316+Z$3*Z316+AA$3*AA316+AB$3*AB316+AC$3*AC316)*(-1)</f>
        <v>0</v>
      </c>
      <c r="AO316" s="139">
        <f>IF((AM316-Q316-R316-AN316)&gt;=0,AM316-Q316-R316-AN316,0)</f>
        <v>1.4036643026004731E-3</v>
      </c>
      <c r="AU316" s="94">
        <f>VLOOKUP($D316,Construction!$B:$J,(COLUMN(Construction_BuildingCost_Stone)-COLUMN(Construction_Name_and_Level)+1),FALSE)*(-1)</f>
        <v>-4177</v>
      </c>
      <c r="AV316" s="94">
        <f>VLOOKUP($D316,Construction!$B:$J,(COLUMN(Construction_BuildingCost_Wood)-COLUMN(Construction_Name_and_Level)+1),FALSE)*(-1)</f>
        <v>-3343</v>
      </c>
      <c r="AW316" s="94">
        <f>VLOOKUP($D316,Construction!$B:$J,(COLUMN(Construction_BuildingCost_Ore)-COLUMN(Construction_Name_and_Level)+1),FALSE)*(-1)</f>
        <v>-2506</v>
      </c>
      <c r="AX316" s="94">
        <f>VLOOKUP($D316,Construction!$B:$J,(COLUMN(Construction_BuildingCost_Food)-COLUMN(Construction_Name_and_Level)+1),FALSE)*(-1)</f>
        <v>-2091</v>
      </c>
    </row>
    <row r="317" spans="2:108" ht="15" customHeight="1">
      <c r="B317" s="506" t="s">
        <v>143</v>
      </c>
      <c r="C317" s="127" t="s">
        <v>139</v>
      </c>
      <c r="D317" s="144" t="s">
        <v>1623</v>
      </c>
      <c r="E317" s="506">
        <v>14</v>
      </c>
      <c r="F317" s="12">
        <v>0.25</v>
      </c>
      <c r="G317" s="101">
        <f>VLOOKUP($D317,Construction!$B:$L,(COLUMN(Construction_QuestReward_HeroXP)-COLUMN(Construction_Name_and_Level)+1),FALSE)</f>
        <v>2675</v>
      </c>
      <c r="H317" s="101">
        <f t="shared" si="55"/>
        <v>3343.75</v>
      </c>
      <c r="J317" s="100">
        <f>VLOOKUP($D317,Construction!$B:$L,(COLUMN(Construction_QuestReward_Power)-COLUMN(Construction_Name_and_Level)+1),FALSE)</f>
        <v>70</v>
      </c>
      <c r="AF317" s="141"/>
      <c r="AG317" s="141"/>
      <c r="AH317" s="137"/>
      <c r="AI317" s="484"/>
      <c r="AJ317" s="137">
        <f t="shared" si="49"/>
        <v>0.14583333333333331</v>
      </c>
      <c r="AU317" s="101">
        <f>VLOOKUP($D317,Construction!$B:$Q,(COLUMN(Construction_QuestReward_Stone)-COLUMN(Construction_Name_and_Level)+1),FALSE)</f>
        <v>4600</v>
      </c>
      <c r="AV317" s="101">
        <f>VLOOKUP($D317,Construction!$B:$Q,(COLUMN(Construction_QuestReward_Wood)-COLUMN(Construction_Name_and_Level)+1),FALSE)</f>
        <v>3700</v>
      </c>
      <c r="AW317" s="101">
        <f>VLOOKUP($D317,Construction!$B:$Q,(COLUMN(Construction_QuestReward_Ore)-COLUMN(Construction_Name_and_Level)+1),FALSE)</f>
        <v>2800</v>
      </c>
      <c r="AX317" s="101">
        <f>VLOOKUP($D317,Construction!$B:$Q,(COLUMN(Construction_QuestReward_Food)-COLUMN(Construction_Name_and_Level)+1),FALSE)</f>
        <v>2400</v>
      </c>
      <c r="AY317" s="100">
        <f>VLOOKUP($D317,Construction!$B:$Q,(COLUMN(Construction_QuestReward_Silver)-COLUMN(Construction_Name_and_Level)+1),FALSE)</f>
        <v>250</v>
      </c>
    </row>
    <row r="318" spans="2:108" ht="15" customHeight="1">
      <c r="B318" s="506" t="s">
        <v>146</v>
      </c>
      <c r="C318" s="127" t="s">
        <v>138</v>
      </c>
      <c r="D318" s="144" t="s">
        <v>1624</v>
      </c>
      <c r="E318" s="506">
        <v>14</v>
      </c>
      <c r="F318" s="12">
        <v>0.25</v>
      </c>
      <c r="G318" s="111">
        <f>VLOOKUP($D318,Research!$C:$F,(COLUMN(Research_ResearchReward_HeroXP)-COLUMN(Research_Name_and_Level)+1),FALSE)</f>
        <v>24000</v>
      </c>
      <c r="H318" s="111">
        <f>G318*(1+F318)</f>
        <v>30000</v>
      </c>
      <c r="J318" s="115">
        <f>VLOOKUP($D318,Research!$C:$G,(COLUMN(Research_ResearchReward_Power)-COLUMN(Research_Name_and_Level)+1),FALSE)</f>
        <v>400</v>
      </c>
      <c r="R318" s="148">
        <v>6.9444444444444441E-3</v>
      </c>
      <c r="AF318" s="141"/>
      <c r="AG318" s="141"/>
      <c r="AH318" s="137"/>
      <c r="AI318" s="484"/>
      <c r="AJ318" s="137">
        <f t="shared" si="49"/>
        <v>0.14583333333333331</v>
      </c>
      <c r="AP318" s="256">
        <v>0.11</v>
      </c>
      <c r="AQ318" s="147">
        <f>VLOOKUP($D318,Research!$C:$D,(COLUMN(Research_Time)-COLUMN(Research_Name_and_Level)+1),FALSE)</f>
        <v>6.25E-2</v>
      </c>
      <c r="AR318" s="147">
        <f>AQ318/(1+AP318)</f>
        <v>5.63063063063063E-2</v>
      </c>
      <c r="AS318" s="147">
        <f>(S$3*S318+T$3*T318+V$3*V318+W$3*W318+X$3*X318+Y$3*Y318+Z$3*Z318+AA$3*AA318+AB$3*AB318+AC$3*AC318)*(-1)</f>
        <v>0</v>
      </c>
      <c r="AT318" s="148">
        <f>IF(AR318-R318-AS318&gt;=0,AR318-R318-AS318,0)</f>
        <v>4.9361861861861853E-2</v>
      </c>
      <c r="AU318" s="111">
        <f>VLOOKUP($D318,Research!$C:$L,(COLUMN(Research_ResearchCost_Stone)-COLUMN(Research_Name_and_Level)+1),FALSE)*(-1)</f>
        <v>-600</v>
      </c>
      <c r="AV318" s="111">
        <f>VLOOKUP($D318,Research!$C:$L,(COLUMN(Research_ResearchCost_Wood)-COLUMN(Research_Name_and_Level)+1),FALSE)*(-1)</f>
        <v>-1000</v>
      </c>
      <c r="AW318" s="111">
        <f>VLOOKUP($D318,Research!$C:$L,(COLUMN(Research_ResearchCost_Ore)-COLUMN(Research_Name_and_Level)+1),FALSE)*(-1)</f>
        <v>-50</v>
      </c>
      <c r="AX318" s="111">
        <f>VLOOKUP($D318,Research!$C:$L,(COLUMN(Research_ResearchCost_Food)-COLUMN(Research_Name_and_Level)+1),FALSE)*(-1)</f>
        <v>-800</v>
      </c>
      <c r="AY318" s="112">
        <f>VLOOKUP($D318,Research!$C:$L,(COLUMN(Research_ResearchCost_Silver)-COLUMN(Research_Name_and_Level)+1),FALSE)*(-1)</f>
        <v>-8000</v>
      </c>
    </row>
    <row r="319" spans="2:108" ht="15" customHeight="1">
      <c r="B319" s="102" t="s">
        <v>1455</v>
      </c>
      <c r="C319" s="127" t="s">
        <v>170</v>
      </c>
      <c r="D319" s="144" t="s">
        <v>1624</v>
      </c>
      <c r="E319" s="506">
        <v>14</v>
      </c>
      <c r="F319" s="12">
        <v>0.25</v>
      </c>
      <c r="G319" s="101">
        <f>VLOOKUP($D319,Research!$C:$M,(COLUMN(Research_QuestReward_HeroXP)-COLUMN(Research_Name_and_Level)+1),FALSE)</f>
        <v>8000</v>
      </c>
      <c r="H319" s="101">
        <f>G319*(1+F319)</f>
        <v>10000</v>
      </c>
      <c r="J319" s="103">
        <f>VLOOKUP($D319,Research!$C:$N,(COLUMN(Research_QuestReward_Power)-COLUMN(Research_Name_and_Level)+1),FALSE)</f>
        <v>30</v>
      </c>
      <c r="AF319" s="141"/>
      <c r="AG319" s="141"/>
      <c r="AH319" s="137"/>
      <c r="AI319" s="484"/>
      <c r="AJ319" s="137">
        <f t="shared" si="49"/>
        <v>0.14583333333333331</v>
      </c>
      <c r="AU319" s="101">
        <f>VLOOKUP($D319,Research!$C:$S,(COLUMN(Research_QuestReward_Stone)-COLUMN(Research_Name_and_Level)+1),FALSE)</f>
        <v>0</v>
      </c>
      <c r="AV319" s="101">
        <f>VLOOKUP($D319,Research!$C:$S,(COLUMN(Research_QuestReward_Wood)-COLUMN(Research_Name_and_Level)+1),FALSE)</f>
        <v>1000</v>
      </c>
      <c r="AW319" s="101">
        <f>VLOOKUP($D319,Research!$C:$S,(COLUMN(Research_QuestReward_Ore)-COLUMN(Research_Name_and_Level)+1),FALSE)</f>
        <v>0</v>
      </c>
      <c r="AX319" s="101">
        <f>VLOOKUP($D319,Research!$C:$S,(COLUMN(Research_QuestReward_Food)-COLUMN(Research_Name_and_Level)+1),FALSE)</f>
        <v>1000</v>
      </c>
      <c r="AY319" s="100">
        <f>VLOOKUP($D319,Research!$C:$S,(COLUMN(Research_QuestReward_Silver)-COLUMN(Research_Name_and_Level)+1),FALSE)</f>
        <v>5500</v>
      </c>
      <c r="CT319" s="127"/>
      <c r="CU319" s="127"/>
      <c r="CV319" s="127"/>
      <c r="CW319" s="127"/>
      <c r="CX319" s="127"/>
      <c r="CY319" s="127"/>
      <c r="CZ319" s="127"/>
      <c r="DA319" s="127"/>
      <c r="DB319" s="127"/>
      <c r="DC319" s="127"/>
      <c r="DD319" s="127"/>
    </row>
    <row r="320" spans="2:108" ht="15" customHeight="1">
      <c r="B320" s="506" t="s">
        <v>146</v>
      </c>
      <c r="C320" s="127" t="s">
        <v>138</v>
      </c>
      <c r="D320" s="144" t="s">
        <v>1625</v>
      </c>
      <c r="E320" s="506">
        <v>14</v>
      </c>
      <c r="F320" s="12">
        <v>0.25</v>
      </c>
      <c r="G320" s="111">
        <f>VLOOKUP($D320,Research!$C:$F,(COLUMN(Research_ResearchReward_HeroXP)-COLUMN(Research_Name_and_Level)+1),FALSE)</f>
        <v>36000</v>
      </c>
      <c r="H320" s="111">
        <f>G320*(1+F320)</f>
        <v>45000</v>
      </c>
      <c r="J320" s="115">
        <f>VLOOKUP($D320,Research!$C:$G,(COLUMN(Research_ResearchReward_Power)-COLUMN(Research_Name_and_Level)+1),FALSE)</f>
        <v>1000</v>
      </c>
      <c r="R320" s="148">
        <v>6.9444444444444441E-3</v>
      </c>
      <c r="AF320" s="141"/>
      <c r="AG320" s="141"/>
      <c r="AH320" s="137"/>
      <c r="AI320" s="484"/>
      <c r="AJ320" s="137">
        <f t="shared" si="49"/>
        <v>0.14583333333333331</v>
      </c>
      <c r="AP320" s="256">
        <v>0.11</v>
      </c>
      <c r="AQ320" s="147">
        <f>VLOOKUP($D320,Research!$C:$D,(COLUMN(Research_Time)-COLUMN(Research_Name_and_Level)+1),FALSE)</f>
        <v>0.1875</v>
      </c>
      <c r="AR320" s="147">
        <f>AQ320/(1+AP320)</f>
        <v>0.16891891891891891</v>
      </c>
      <c r="AS320" s="147">
        <f>(S$3*S320+T$3*T320+V$3*V320+W$3*W320+X$3*X320+Y$3*Y320+Z$3*Z320+AA$3*AA320+AB$3*AB320+AC$3*AC320)*(-1)</f>
        <v>0</v>
      </c>
      <c r="AT320" s="148">
        <f>IF(AR320-R320-AS320&gt;=0,AR320-R320-AS320,0)</f>
        <v>0.16197447447447447</v>
      </c>
      <c r="AU320" s="111">
        <f>VLOOKUP($D320,Research!$C:$L,(COLUMN(Research_ResearchCost_Stone)-COLUMN(Research_Name_and_Level)+1),FALSE)*(-1)</f>
        <v>-1200</v>
      </c>
      <c r="AV320" s="111">
        <f>VLOOKUP($D320,Research!$C:$L,(COLUMN(Research_ResearchCost_Wood)-COLUMN(Research_Name_and_Level)+1),FALSE)*(-1)</f>
        <v>-2000</v>
      </c>
      <c r="AW320" s="111">
        <f>VLOOKUP($D320,Research!$C:$L,(COLUMN(Research_ResearchCost_Ore)-COLUMN(Research_Name_and_Level)+1),FALSE)*(-1)</f>
        <v>-100</v>
      </c>
      <c r="AX320" s="111">
        <f>VLOOKUP($D320,Research!$C:$L,(COLUMN(Research_ResearchCost_Food)-COLUMN(Research_Name_and_Level)+1),FALSE)*(-1)</f>
        <v>-1600</v>
      </c>
      <c r="AY320" s="112">
        <f>VLOOKUP($D320,Research!$C:$L,(COLUMN(Research_ResearchCost_Silver)-COLUMN(Research_Name_and_Level)+1),FALSE)*(-1)</f>
        <v>-20000</v>
      </c>
    </row>
    <row r="321" spans="2:108" ht="15" customHeight="1">
      <c r="B321" s="102" t="s">
        <v>1455</v>
      </c>
      <c r="C321" s="127" t="s">
        <v>170</v>
      </c>
      <c r="D321" s="144" t="s">
        <v>1625</v>
      </c>
      <c r="E321" s="506">
        <v>14</v>
      </c>
      <c r="F321" s="12">
        <v>0.25</v>
      </c>
      <c r="G321" s="101">
        <f>VLOOKUP($D321,Research!$C:$M,(COLUMN(Research_QuestReward_HeroXP)-COLUMN(Research_Name_and_Level)+1),FALSE)</f>
        <v>15000</v>
      </c>
      <c r="H321" s="101">
        <f>G321*(1+F321)</f>
        <v>18750</v>
      </c>
      <c r="J321" s="103">
        <f>VLOOKUP($D321,Research!$C:$N,(COLUMN(Research_QuestReward_Power)-COLUMN(Research_Name_and_Level)+1),FALSE)</f>
        <v>110</v>
      </c>
      <c r="AF321" s="141"/>
      <c r="AG321" s="141"/>
      <c r="AH321" s="137"/>
      <c r="AI321" s="484"/>
      <c r="AJ321" s="137">
        <f t="shared" si="49"/>
        <v>0.14583333333333331</v>
      </c>
      <c r="AU321" s="101">
        <f>VLOOKUP($D321,Research!$C:$S,(COLUMN(Research_QuestReward_Stone)-COLUMN(Research_Name_and_Level)+1),FALSE)</f>
        <v>2000</v>
      </c>
      <c r="AV321" s="101">
        <f>VLOOKUP($D321,Research!$C:$S,(COLUMN(Research_QuestReward_Wood)-COLUMN(Research_Name_and_Level)+1),FALSE)</f>
        <v>3000</v>
      </c>
      <c r="AW321" s="101">
        <f>VLOOKUP($D321,Research!$C:$S,(COLUMN(Research_QuestReward_Ore)-COLUMN(Research_Name_and_Level)+1),FALSE)</f>
        <v>0</v>
      </c>
      <c r="AX321" s="101">
        <f>VLOOKUP($D321,Research!$C:$S,(COLUMN(Research_QuestReward_Food)-COLUMN(Research_Name_and_Level)+1),FALSE)</f>
        <v>2000</v>
      </c>
      <c r="AY321" s="100">
        <f>VLOOKUP($D321,Research!$C:$S,(COLUMN(Research_QuestReward_Silver)-COLUMN(Research_Name_and_Level)+1),FALSE)</f>
        <v>18000</v>
      </c>
      <c r="CT321" s="127"/>
      <c r="CU321" s="127"/>
      <c r="CV321" s="127"/>
      <c r="CW321" s="127"/>
      <c r="CX321" s="127"/>
      <c r="CY321" s="127"/>
      <c r="CZ321" s="127"/>
      <c r="DA321" s="127"/>
      <c r="DB321" s="127"/>
      <c r="DC321" s="127"/>
      <c r="DD321" s="127"/>
    </row>
    <row r="322" spans="2:108" ht="15" customHeight="1">
      <c r="B322" s="506" t="s">
        <v>144</v>
      </c>
      <c r="C322" s="127" t="s">
        <v>138</v>
      </c>
      <c r="D322" s="144" t="s">
        <v>1626</v>
      </c>
      <c r="E322" s="506">
        <v>14</v>
      </c>
      <c r="F322" s="12">
        <v>0.25</v>
      </c>
      <c r="G322" s="94">
        <f>VLOOKUP($D322,Construction!$B:$E,(COLUMN(Construction_BuildingReward_HeroXP)-COLUMN(Construction_Name_and_Level)+1),FALSE)</f>
        <v>500</v>
      </c>
      <c r="H322" s="94">
        <f t="shared" ref="H322:H323" si="56">G322*(1+F322)</f>
        <v>625</v>
      </c>
      <c r="J322" s="95">
        <f>VLOOKUP($D322,Construction!$B:$F,(COLUMN(Construction_BuildingReward_Power)-COLUMN(Construction_Name_and_Level)+1),FALSE)</f>
        <v>55</v>
      </c>
      <c r="Q322" s="139">
        <v>3.472222222222222E-3</v>
      </c>
      <c r="R322" s="139">
        <v>6.9444444444444441E-3</v>
      </c>
      <c r="AF322" s="141"/>
      <c r="AG322" s="141"/>
      <c r="AH322" s="137"/>
      <c r="AI322" s="484"/>
      <c r="AJ322" s="137">
        <f t="shared" si="49"/>
        <v>0.14583333333333331</v>
      </c>
      <c r="AK322" s="339">
        <v>0.41</v>
      </c>
      <c r="AL322" s="138">
        <f>VLOOKUP($D322,Construction!$B:$C,(COLUMN(Construction_Time)-COLUMN(Construction_Name_and_Level)+1),FALSE)</f>
        <v>2.6041666666666668E-2</v>
      </c>
      <c r="AM322" s="138">
        <f>AL322/(1+AK322)</f>
        <v>1.8469267139479908E-2</v>
      </c>
      <c r="AN322" s="138">
        <f>(S$3*S322+T$3*T322+V$3*V322+W$3*W322+X$3*X322+Y$3*Y322+Z$3*Z322+AA$3*AA322+AB$3*AB322+AC$3*AC322)*(-1)</f>
        <v>0</v>
      </c>
      <c r="AO322" s="139">
        <f>IF((AM322-Q322-R322-AN322)&gt;=0,AM322-Q322-R322-AN322,0)</f>
        <v>8.0526004728132417E-3</v>
      </c>
      <c r="AU322" s="94">
        <f>VLOOKUP($D322,Construction!$B:$J,(COLUMN(Construction_BuildingCost_Stone)-COLUMN(Construction_Name_and_Level)+1),FALSE)*(-1)</f>
        <v>0</v>
      </c>
      <c r="AV322" s="94">
        <f>VLOOKUP($D322,Construction!$B:$J,(COLUMN(Construction_BuildingCost_Wood)-COLUMN(Construction_Name_and_Level)+1),FALSE)*(-1)</f>
        <v>-1674</v>
      </c>
      <c r="AW322" s="94">
        <f>VLOOKUP($D322,Construction!$B:$J,(COLUMN(Construction_BuildingCost_Ore)-COLUMN(Construction_Name_and_Level)+1),FALSE)*(-1)</f>
        <v>-1674</v>
      </c>
      <c r="AX322" s="94">
        <f>VLOOKUP($D322,Construction!$B:$J,(COLUMN(Construction_BuildingCost_Food)-COLUMN(Construction_Name_and_Level)+1),FALSE)*(-1)</f>
        <v>-1674</v>
      </c>
    </row>
    <row r="323" spans="2:108" ht="15" customHeight="1">
      <c r="B323" s="506" t="s">
        <v>143</v>
      </c>
      <c r="C323" s="127" t="s">
        <v>142</v>
      </c>
      <c r="D323" s="144" t="s">
        <v>1626</v>
      </c>
      <c r="E323" s="506">
        <v>14</v>
      </c>
      <c r="F323" s="12">
        <v>0.25</v>
      </c>
      <c r="G323" s="101">
        <f>VLOOKUP($D323,Construction!$B:$L,(COLUMN(Construction_QuestReward_HeroXP)-COLUMN(Construction_Name_and_Level)+1),FALSE)</f>
        <v>2500</v>
      </c>
      <c r="H323" s="101">
        <f t="shared" si="56"/>
        <v>3125</v>
      </c>
      <c r="J323" s="100">
        <f>VLOOKUP($D323,Construction!$B:$L,(COLUMN(Construction_QuestReward_Power)-COLUMN(Construction_Name_and_Level)+1),FALSE)</f>
        <v>27</v>
      </c>
      <c r="AF323" s="141"/>
      <c r="AG323" s="141"/>
      <c r="AH323" s="137"/>
      <c r="AI323" s="484"/>
      <c r="AJ323" s="137">
        <f t="shared" si="49"/>
        <v>0.14583333333333331</v>
      </c>
      <c r="AU323" s="101">
        <f>VLOOKUP($D323,Construction!$B:$Q,(COLUMN(Construction_QuestReward_Stone)-COLUMN(Construction_Name_and_Level)+1),FALSE)</f>
        <v>0</v>
      </c>
      <c r="AV323" s="101">
        <f>VLOOKUP($D323,Construction!$B:$Q,(COLUMN(Construction_QuestReward_Wood)-COLUMN(Construction_Name_and_Level)+1),FALSE)</f>
        <v>1300</v>
      </c>
      <c r="AW323" s="101">
        <f>VLOOKUP($D323,Construction!$B:$Q,(COLUMN(Construction_QuestReward_Ore)-COLUMN(Construction_Name_and_Level)+1),FALSE)</f>
        <v>1300</v>
      </c>
      <c r="AX323" s="101">
        <f>VLOOKUP($D323,Construction!$B:$Q,(COLUMN(Construction_QuestReward_Food)-COLUMN(Construction_Name_and_Level)+1),FALSE)</f>
        <v>1300</v>
      </c>
      <c r="AY323" s="100">
        <f>VLOOKUP($D323,Construction!$B:$Q,(COLUMN(Construction_QuestReward_Silver)-COLUMN(Construction_Name_and_Level)+1),FALSE)</f>
        <v>100</v>
      </c>
    </row>
    <row r="324" spans="2:108" ht="15" customHeight="1">
      <c r="B324" s="506" t="s">
        <v>148</v>
      </c>
      <c r="E324" s="506">
        <v>14</v>
      </c>
      <c r="AF324" s="141"/>
      <c r="AG324" s="141"/>
      <c r="AH324" s="137"/>
      <c r="AI324" s="484"/>
      <c r="AJ324" s="137">
        <f t="shared" si="49"/>
        <v>0.14583333333333331</v>
      </c>
      <c r="CN324" s="5">
        <v>10000</v>
      </c>
    </row>
    <row r="325" spans="2:108" ht="15" customHeight="1">
      <c r="B325" s="506" t="s">
        <v>148</v>
      </c>
      <c r="E325" s="506">
        <v>14</v>
      </c>
      <c r="AF325" s="141"/>
      <c r="AG325" s="141"/>
      <c r="AH325" s="137"/>
      <c r="AI325" s="484"/>
      <c r="AJ325" s="137">
        <f t="shared" si="49"/>
        <v>0.14583333333333331</v>
      </c>
      <c r="AV325" s="142">
        <v>5250</v>
      </c>
    </row>
    <row r="326" spans="2:108" ht="15" customHeight="1">
      <c r="B326" s="506" t="s">
        <v>145</v>
      </c>
      <c r="C326" s="146" t="s">
        <v>151</v>
      </c>
      <c r="D326" s="145">
        <v>7.1527777777777787E-3</v>
      </c>
      <c r="E326" s="506">
        <v>14</v>
      </c>
      <c r="V326" s="2">
        <v>1</v>
      </c>
      <c r="AF326" s="141">
        <f>$S$3*$S326+$T$3*$T326+$U$3*$U326+$V$3*$V326+$W$3*$W326+$X$3*$X326+$Y$3*$Y326+$Z$3*$Z326+$AA$3*$AA326+$AB$3*$AB326+$AC$3*$AC326</f>
        <v>6.9444444444444441E-3</v>
      </c>
      <c r="AG326" s="141"/>
      <c r="AH326" s="137"/>
      <c r="AI326" s="484"/>
      <c r="AJ326" s="137">
        <f t="shared" si="49"/>
        <v>0.15277777777777776</v>
      </c>
    </row>
    <row r="327" spans="2:108" ht="15" customHeight="1">
      <c r="B327" s="506" t="s">
        <v>143</v>
      </c>
      <c r="C327" s="127" t="s">
        <v>182</v>
      </c>
      <c r="D327" s="144" t="s">
        <v>1627</v>
      </c>
      <c r="E327" s="506">
        <v>14</v>
      </c>
      <c r="F327" s="12">
        <v>0.25</v>
      </c>
      <c r="G327" s="101">
        <v>0</v>
      </c>
      <c r="H327" s="101">
        <f t="shared" ref="H327:H329" si="57">G327*(1+F327)</f>
        <v>0</v>
      </c>
      <c r="J327" s="100">
        <v>125</v>
      </c>
      <c r="AF327" s="141"/>
      <c r="AG327" s="141"/>
      <c r="AH327" s="137"/>
      <c r="AI327" s="484"/>
      <c r="AJ327" s="137">
        <f t="shared" si="49"/>
        <v>0.15277777777777776</v>
      </c>
      <c r="AW327" s="101">
        <v>15000</v>
      </c>
    </row>
    <row r="328" spans="2:108" ht="15" customHeight="1">
      <c r="B328" s="506" t="s">
        <v>144</v>
      </c>
      <c r="C328" s="127" t="s">
        <v>138</v>
      </c>
      <c r="D328" s="144" t="s">
        <v>1628</v>
      </c>
      <c r="E328" s="506">
        <v>14</v>
      </c>
      <c r="F328" s="12">
        <v>0.25</v>
      </c>
      <c r="G328" s="94">
        <f>VLOOKUP($D328,Construction!$B:$E,(COLUMN(Construction_BuildingReward_HeroXP)-COLUMN(Construction_Name_and_Level)+1),FALSE)</f>
        <v>500</v>
      </c>
      <c r="H328" s="94">
        <f t="shared" si="57"/>
        <v>625</v>
      </c>
      <c r="J328" s="95">
        <f>VLOOKUP($D328,Construction!$B:$F,(COLUMN(Construction_BuildingReward_Power)-COLUMN(Construction_Name_and_Level)+1),FALSE)</f>
        <v>220</v>
      </c>
      <c r="Q328" s="139">
        <v>3.472222222222222E-3</v>
      </c>
      <c r="R328" s="139">
        <v>6.9444444444444441E-3</v>
      </c>
      <c r="V328" s="2">
        <v>-1</v>
      </c>
      <c r="W328" s="11">
        <v>-1</v>
      </c>
      <c r="AF328" s="141"/>
      <c r="AG328" s="141"/>
      <c r="AH328" s="137"/>
      <c r="AI328" s="484">
        <f>(-1)*($S$3*$S328+$T$3*$T328+$U$3*$U328+$V$3*$V328+$W$3*$W328+$X$3*$X328+$Y$3*$Y328+$Z$3*$Z328+$AA$3*$AA328+$AB$3*$AB328+$AC$3*$AC328)</f>
        <v>1.7361111111111112E-2</v>
      </c>
      <c r="AJ328" s="137">
        <f t="shared" si="49"/>
        <v>0.13541666666666666</v>
      </c>
      <c r="AK328" s="339">
        <v>0.41</v>
      </c>
      <c r="AL328" s="138">
        <f>VLOOKUP($D328,Construction!$B:$C,(COLUMN(Construction_Time)-COLUMN(Construction_Name_and_Level)+1),FALSE)</f>
        <v>3.3333333333333333E-2</v>
      </c>
      <c r="AM328" s="138">
        <f>AL328/(1+AK328)</f>
        <v>2.3640661938534278E-2</v>
      </c>
      <c r="AN328" s="138">
        <f>(S$3*S328+T$3*T328+V$3*V328+W$3*W328+X$3*X328+Y$3*Y328+Z$3*Z328+AA$3*AA328+AB$3*AB328+AC$3*AC328)*(-1)</f>
        <v>1.7361111111111112E-2</v>
      </c>
      <c r="AO328" s="139">
        <f>IF((AM328-Q328-R328-AN328)&gt;=0,AM328-Q328-R328-AN328,0)</f>
        <v>0</v>
      </c>
      <c r="AU328" s="94">
        <f>VLOOKUP($D328,Construction!$B:$J,(COLUMN(Construction_BuildingCost_Stone)-COLUMN(Construction_Name_and_Level)+1),FALSE)*(-1)</f>
        <v>-8354</v>
      </c>
      <c r="AV328" s="94">
        <f>VLOOKUP($D328,Construction!$B:$J,(COLUMN(Construction_BuildingCost_Wood)-COLUMN(Construction_Name_and_Level)+1),FALSE)*(-1)</f>
        <v>-6686</v>
      </c>
      <c r="AW328" s="94">
        <f>VLOOKUP($D328,Construction!$B:$J,(COLUMN(Construction_BuildingCost_Ore)-COLUMN(Construction_Name_and_Level)+1),FALSE)*(-1)</f>
        <v>-5012</v>
      </c>
      <c r="AX328" s="94">
        <f>VLOOKUP($D328,Construction!$B:$J,(COLUMN(Construction_BuildingCost_Food)-COLUMN(Construction_Name_and_Level)+1),FALSE)*(-1)</f>
        <v>-4182</v>
      </c>
    </row>
    <row r="329" spans="2:108" ht="15" customHeight="1">
      <c r="B329" s="506" t="s">
        <v>143</v>
      </c>
      <c r="C329" s="127" t="s">
        <v>142</v>
      </c>
      <c r="D329" s="144" t="s">
        <v>1628</v>
      </c>
      <c r="E329" s="506">
        <v>14</v>
      </c>
      <c r="F329" s="12">
        <v>0.25</v>
      </c>
      <c r="G329" s="101">
        <f>VLOOKUP($D329,Construction!$B:$L,(COLUMN(Construction_QuestReward_HeroXP)-COLUMN(Construction_Name_and_Level)+1),FALSE)</f>
        <v>10000</v>
      </c>
      <c r="H329" s="101">
        <f t="shared" si="57"/>
        <v>12500</v>
      </c>
      <c r="J329" s="100">
        <f>VLOOKUP($D329,Construction!$B:$L,(COLUMN(Construction_QuestReward_Power)-COLUMN(Construction_Name_and_Level)+1),FALSE)</f>
        <v>115</v>
      </c>
      <c r="AF329" s="141"/>
      <c r="AG329" s="141"/>
      <c r="AH329" s="137"/>
      <c r="AI329" s="484"/>
      <c r="AJ329" s="137">
        <f t="shared" si="49"/>
        <v>0.13541666666666666</v>
      </c>
      <c r="AU329" s="101">
        <f>VLOOKUP($D329,Construction!$B:$Q,(COLUMN(Construction_QuestReward_Stone)-COLUMN(Construction_Name_and_Level)+1),FALSE)</f>
        <v>6900</v>
      </c>
      <c r="AV329" s="101">
        <f>VLOOKUP($D329,Construction!$B:$Q,(COLUMN(Construction_QuestReward_Wood)-COLUMN(Construction_Name_and_Level)+1),FALSE)</f>
        <v>5500</v>
      </c>
      <c r="AW329" s="101">
        <f>VLOOKUP($D329,Construction!$B:$Q,(COLUMN(Construction_QuestReward_Ore)-COLUMN(Construction_Name_and_Level)+1),FALSE)</f>
        <v>4100</v>
      </c>
      <c r="AX329" s="101">
        <f>VLOOKUP($D329,Construction!$B:$Q,(COLUMN(Construction_QuestReward_Food)-COLUMN(Construction_Name_and_Level)+1),FALSE)</f>
        <v>3400</v>
      </c>
      <c r="AY329" s="100">
        <f>VLOOKUP($D329,Construction!$B:$Q,(COLUMN(Construction_QuestReward_Silver)-COLUMN(Construction_Name_and_Level)+1),FALSE)</f>
        <v>350</v>
      </c>
    </row>
    <row r="330" spans="2:108" s="7" customFormat="1" ht="15" customHeight="1">
      <c r="B330" s="17" t="s">
        <v>195</v>
      </c>
      <c r="C330" s="146" t="s">
        <v>196</v>
      </c>
      <c r="D330" s="145"/>
      <c r="E330" s="506">
        <v>14</v>
      </c>
      <c r="F330" s="274"/>
      <c r="I330" s="19"/>
      <c r="J330" s="19"/>
      <c r="M330" s="221"/>
      <c r="N330" s="18"/>
      <c r="O330" s="18"/>
      <c r="P330" s="19"/>
      <c r="Q330" s="221"/>
      <c r="R330" s="221"/>
      <c r="T330" s="211">
        <v>1</v>
      </c>
      <c r="W330" s="18"/>
      <c r="X330" s="18"/>
      <c r="Y330" s="18"/>
      <c r="Z330" s="18"/>
      <c r="AA330" s="18"/>
      <c r="AB330" s="18"/>
      <c r="AC330" s="18"/>
      <c r="AD330" s="18"/>
      <c r="AE330" s="19"/>
      <c r="AF330" s="141">
        <f>$S$3*$S330+$T$3*$T330+$U$3*$U330+$V$3*$V330+$W$3*$W330+$X$3*$X330+$Y$3*$Y330+$Z$3*$Z330+$AA$3*$AA330+$AB$3*$AB330+$AC$3*$AC330</f>
        <v>2.0833333333333333E-3</v>
      </c>
      <c r="AG330" s="141"/>
      <c r="AH330" s="137"/>
      <c r="AI330" s="484"/>
      <c r="AJ330" s="137">
        <f t="shared" si="49"/>
        <v>0.13749999999999998</v>
      </c>
      <c r="AK330" s="344"/>
      <c r="AL330" s="265"/>
      <c r="AM330" s="265"/>
      <c r="AN330" s="265"/>
      <c r="AO330" s="221"/>
      <c r="AP330" s="264"/>
      <c r="AQ330" s="265"/>
      <c r="AR330" s="265"/>
      <c r="AS330" s="265"/>
      <c r="AT330" s="221"/>
      <c r="AY330" s="19"/>
      <c r="BD330" s="19"/>
      <c r="BE330" s="19"/>
      <c r="BJ330" s="19"/>
      <c r="BL330" s="19"/>
      <c r="BM330" s="19"/>
      <c r="BO330" s="19"/>
      <c r="BQ330" s="19"/>
      <c r="BS330" s="19"/>
      <c r="BU330" s="19"/>
      <c r="BW330" s="19"/>
      <c r="BY330" s="19"/>
      <c r="CA330" s="19"/>
      <c r="CB330" s="19"/>
      <c r="CC330" s="19"/>
      <c r="CD330" s="19"/>
      <c r="CG330" s="19"/>
      <c r="CJ330" s="19"/>
      <c r="CK330" s="19"/>
      <c r="CM330" s="19"/>
      <c r="CN330" s="19"/>
      <c r="CS330" s="17"/>
    </row>
    <row r="331" spans="2:108" s="7" customFormat="1" ht="15" customHeight="1">
      <c r="B331" s="17" t="s">
        <v>195</v>
      </c>
      <c r="C331" s="146" t="s">
        <v>196</v>
      </c>
      <c r="D331" s="145"/>
      <c r="E331" s="506">
        <v>14</v>
      </c>
      <c r="F331" s="274"/>
      <c r="I331" s="19"/>
      <c r="J331" s="19"/>
      <c r="M331" s="221"/>
      <c r="N331" s="18"/>
      <c r="O331" s="18"/>
      <c r="P331" s="19"/>
      <c r="Q331" s="221"/>
      <c r="R331" s="221"/>
      <c r="W331" s="18"/>
      <c r="X331" s="18"/>
      <c r="Y331" s="18"/>
      <c r="Z331" s="18"/>
      <c r="AA331" s="18"/>
      <c r="AB331" s="18"/>
      <c r="AC331" s="18"/>
      <c r="AD331" s="18"/>
      <c r="AE331" s="19"/>
      <c r="AF331" s="141"/>
      <c r="AG331" s="141"/>
      <c r="AH331" s="137"/>
      <c r="AI331" s="484"/>
      <c r="AJ331" s="137">
        <f t="shared" si="49"/>
        <v>0.13749999999999998</v>
      </c>
      <c r="AK331" s="344"/>
      <c r="AL331" s="265"/>
      <c r="AM331" s="265"/>
      <c r="AN331" s="265"/>
      <c r="AO331" s="221"/>
      <c r="AP331" s="264"/>
      <c r="AQ331" s="265"/>
      <c r="AR331" s="265"/>
      <c r="AS331" s="265"/>
      <c r="AT331" s="221"/>
      <c r="AV331" s="211">
        <v>10000</v>
      </c>
      <c r="AY331" s="19"/>
      <c r="BD331" s="19"/>
      <c r="BE331" s="19"/>
      <c r="BJ331" s="19"/>
      <c r="BL331" s="19"/>
      <c r="BM331" s="19"/>
      <c r="BO331" s="19"/>
      <c r="BQ331" s="19"/>
      <c r="BS331" s="19"/>
      <c r="BU331" s="19"/>
      <c r="BW331" s="19"/>
      <c r="BY331" s="19"/>
      <c r="CA331" s="19"/>
      <c r="CB331" s="19"/>
      <c r="CC331" s="19"/>
      <c r="CD331" s="19"/>
      <c r="CG331" s="19"/>
      <c r="CJ331" s="19"/>
      <c r="CK331" s="19"/>
      <c r="CM331" s="19"/>
      <c r="CN331" s="19"/>
      <c r="CS331" s="17"/>
    </row>
    <row r="332" spans="2:108" s="7" customFormat="1" ht="15" customHeight="1">
      <c r="B332" s="17" t="s">
        <v>195</v>
      </c>
      <c r="C332" s="146" t="s">
        <v>196</v>
      </c>
      <c r="D332" s="145"/>
      <c r="E332" s="506">
        <v>14</v>
      </c>
      <c r="F332" s="274"/>
      <c r="I332" s="19"/>
      <c r="J332" s="19"/>
      <c r="M332" s="221"/>
      <c r="N332" s="18"/>
      <c r="O332" s="18"/>
      <c r="P332" s="19"/>
      <c r="Q332" s="221"/>
      <c r="R332" s="221"/>
      <c r="W332" s="18"/>
      <c r="X332" s="18"/>
      <c r="Y332" s="18"/>
      <c r="Z332" s="18"/>
      <c r="AA332" s="18"/>
      <c r="AB332" s="18"/>
      <c r="AC332" s="18"/>
      <c r="AD332" s="18"/>
      <c r="AE332" s="19"/>
      <c r="AF332" s="141"/>
      <c r="AG332" s="141"/>
      <c r="AH332" s="137"/>
      <c r="AI332" s="484"/>
      <c r="AJ332" s="137">
        <f t="shared" si="49"/>
        <v>0.13749999999999998</v>
      </c>
      <c r="AK332" s="344"/>
      <c r="AL332" s="265"/>
      <c r="AM332" s="265"/>
      <c r="AN332" s="265"/>
      <c r="AO332" s="221"/>
      <c r="AP332" s="264"/>
      <c r="AQ332" s="265"/>
      <c r="AR332" s="265"/>
      <c r="AS332" s="265"/>
      <c r="AT332" s="221"/>
      <c r="AW332" s="211">
        <v>50000</v>
      </c>
      <c r="AY332" s="19"/>
      <c r="BD332" s="19"/>
      <c r="BE332" s="19"/>
      <c r="BJ332" s="19"/>
      <c r="BL332" s="19"/>
      <c r="BM332" s="19"/>
      <c r="BO332" s="19"/>
      <c r="BQ332" s="19"/>
      <c r="BS332" s="19"/>
      <c r="BU332" s="19"/>
      <c r="BW332" s="19"/>
      <c r="BY332" s="19"/>
      <c r="CA332" s="19"/>
      <c r="CB332" s="19"/>
      <c r="CC332" s="19"/>
      <c r="CD332" s="19"/>
      <c r="CG332" s="19"/>
      <c r="CJ332" s="19"/>
      <c r="CK332" s="19"/>
      <c r="CM332" s="19"/>
      <c r="CN332" s="19"/>
      <c r="CS332" s="17"/>
    </row>
    <row r="333" spans="2:108" s="7" customFormat="1" ht="15" customHeight="1">
      <c r="B333" s="17" t="s">
        <v>195</v>
      </c>
      <c r="C333" s="146" t="s">
        <v>196</v>
      </c>
      <c r="D333" s="145"/>
      <c r="E333" s="506">
        <v>14</v>
      </c>
      <c r="F333" s="274"/>
      <c r="I333" s="19"/>
      <c r="J333" s="19"/>
      <c r="M333" s="221"/>
      <c r="N333" s="18"/>
      <c r="O333" s="18"/>
      <c r="P333" s="19"/>
      <c r="Q333" s="221"/>
      <c r="R333" s="221"/>
      <c r="W333" s="18"/>
      <c r="X333" s="18"/>
      <c r="Y333" s="18"/>
      <c r="Z333" s="18"/>
      <c r="AA333" s="18"/>
      <c r="AB333" s="18"/>
      <c r="AC333" s="18"/>
      <c r="AD333" s="18"/>
      <c r="AE333" s="19"/>
      <c r="AF333" s="141"/>
      <c r="AG333" s="141"/>
      <c r="AH333" s="137"/>
      <c r="AI333" s="484"/>
      <c r="AJ333" s="137">
        <f t="shared" si="49"/>
        <v>0.13749999999999998</v>
      </c>
      <c r="AK333" s="344"/>
      <c r="AL333" s="265"/>
      <c r="AM333" s="265"/>
      <c r="AN333" s="265"/>
      <c r="AO333" s="221"/>
      <c r="AP333" s="264"/>
      <c r="AQ333" s="265"/>
      <c r="AR333" s="265"/>
      <c r="AS333" s="265"/>
      <c r="AT333" s="221"/>
      <c r="AX333" s="211">
        <v>30000</v>
      </c>
      <c r="AY333" s="19"/>
      <c r="BD333" s="19"/>
      <c r="BE333" s="19"/>
      <c r="BJ333" s="19"/>
      <c r="BL333" s="19"/>
      <c r="BM333" s="19"/>
      <c r="BO333" s="19"/>
      <c r="BQ333" s="19"/>
      <c r="BS333" s="19"/>
      <c r="BU333" s="19"/>
      <c r="BW333" s="19"/>
      <c r="BY333" s="19"/>
      <c r="CA333" s="19"/>
      <c r="CB333" s="19"/>
      <c r="CC333" s="19"/>
      <c r="CD333" s="19"/>
      <c r="CG333" s="19"/>
      <c r="CJ333" s="19"/>
      <c r="CK333" s="19"/>
      <c r="CM333" s="19"/>
      <c r="CN333" s="19"/>
      <c r="CS333" s="17"/>
    </row>
    <row r="334" spans="2:108" ht="15" customHeight="1">
      <c r="B334" s="506" t="s">
        <v>144</v>
      </c>
      <c r="C334" s="127" t="s">
        <v>138</v>
      </c>
      <c r="D334" s="144" t="s">
        <v>1629</v>
      </c>
      <c r="E334" s="506">
        <v>14</v>
      </c>
      <c r="F334" s="12">
        <v>0.25</v>
      </c>
      <c r="G334" s="94">
        <f>VLOOKUP($D334,Construction!$B:$E,(COLUMN(Construction_BuildingReward_HeroXP)-COLUMN(Construction_Name_and_Level)+1),FALSE)</f>
        <v>500</v>
      </c>
      <c r="H334" s="94">
        <f t="shared" ref="H334:H335" si="58">G334*(1+F334)</f>
        <v>625</v>
      </c>
      <c r="J334" s="95">
        <f>VLOOKUP($D334,Construction!$B:$F,(COLUMN(Construction_BuildingReward_Power)-COLUMN(Construction_Name_and_Level)+1),FALSE)</f>
        <v>385</v>
      </c>
      <c r="Q334" s="139">
        <v>3.472222222222222E-3</v>
      </c>
      <c r="R334" s="139">
        <v>6.9444444444444441E-3</v>
      </c>
      <c r="T334" s="2">
        <v>-1</v>
      </c>
      <c r="W334" s="11">
        <v>-1</v>
      </c>
      <c r="AF334" s="141"/>
      <c r="AG334" s="141"/>
      <c r="AH334" s="137"/>
      <c r="AI334" s="484">
        <f>(-1)*($S$3*$S334+$T$3*$T334+$U$3*$U334+$V$3*$V334+$W$3*$W334+$X$3*$X334+$Y$3*$Y334+$Z$3*$Z334+$AA$3*$AA334+$AB$3*$AB334+$AC$3*$AC334)</f>
        <v>1.2499999999999999E-2</v>
      </c>
      <c r="AJ334" s="137">
        <f t="shared" si="49"/>
        <v>0.12499999999999999</v>
      </c>
      <c r="AK334" s="339">
        <v>0.41</v>
      </c>
      <c r="AL334" s="138">
        <f>VLOOKUP($D334,Construction!$B:$C,(COLUMN(Construction_Time)-COLUMN(Construction_Name_and_Level)+1),FALSE)</f>
        <v>3.7037037037037042E-2</v>
      </c>
      <c r="AM334" s="138">
        <f>AL334/(1+AK334)</f>
        <v>2.6267402153926981E-2</v>
      </c>
      <c r="AN334" s="138">
        <f>(S$3*S334+T$3*T334+V$3*V334+W$3*W334+X$3*X334+Y$3*Y334+Z$3*Z334+AA$3*AA334+AB$3*AB334+AC$3*AC334)*(-1)</f>
        <v>1.2499999999999999E-2</v>
      </c>
      <c r="AO334" s="139">
        <f>IF((AM334-Q334-R334-AN334)&gt;=0,AM334-Q334-R334-AN334,0)</f>
        <v>3.3507354872603177E-3</v>
      </c>
      <c r="AP334" s="261">
        <v>0.12</v>
      </c>
      <c r="AU334" s="94">
        <f>VLOOKUP($D334,Construction!$B:$J,(COLUMN(Construction_BuildingCost_Stone)-COLUMN(Construction_Name_and_Level)+1),FALSE)*(-1)</f>
        <v>-10498</v>
      </c>
      <c r="AV334" s="94">
        <f>VLOOKUP($D334,Construction!$B:$J,(COLUMN(Construction_BuildingCost_Wood)-COLUMN(Construction_Name_and_Level)+1),FALSE)*(-1)</f>
        <v>-10498</v>
      </c>
      <c r="AW334" s="94">
        <f>VLOOKUP($D334,Construction!$B:$J,(COLUMN(Construction_BuildingCost_Ore)-COLUMN(Construction_Name_and_Level)+1),FALSE)*(-1)</f>
        <v>-4202</v>
      </c>
      <c r="AX334" s="94">
        <f>VLOOKUP($D334,Construction!$B:$J,(COLUMN(Construction_BuildingCost_Food)-COLUMN(Construction_Name_and_Level)+1),FALSE)*(-1)</f>
        <v>-6300</v>
      </c>
    </row>
    <row r="335" spans="2:108" ht="15" customHeight="1">
      <c r="B335" s="506" t="s">
        <v>143</v>
      </c>
      <c r="C335" s="127" t="s">
        <v>142</v>
      </c>
      <c r="D335" s="144" t="s">
        <v>1629</v>
      </c>
      <c r="E335" s="506">
        <v>14</v>
      </c>
      <c r="F335" s="12">
        <v>0.25</v>
      </c>
      <c r="G335" s="101">
        <f>VLOOKUP($D335,Construction!$B:$L,(COLUMN(Construction_QuestReward_HeroXP)-COLUMN(Construction_Name_and_Level)+1),FALSE)</f>
        <v>10000</v>
      </c>
      <c r="H335" s="101">
        <f t="shared" si="58"/>
        <v>12500</v>
      </c>
      <c r="J335" s="100">
        <f>VLOOKUP($D335,Construction!$B:$L,(COLUMN(Construction_QuestReward_Power)-COLUMN(Construction_Name_and_Level)+1),FALSE)</f>
        <v>202</v>
      </c>
      <c r="AF335" s="141"/>
      <c r="AG335" s="141"/>
      <c r="AH335" s="137"/>
      <c r="AI335" s="484"/>
      <c r="AJ335" s="137">
        <f t="shared" si="49"/>
        <v>0.12499999999999999</v>
      </c>
      <c r="AU335" s="101">
        <f>VLOOKUP($D335,Construction!$B:$Q,(COLUMN(Construction_QuestReward_Stone)-COLUMN(Construction_Name_and_Level)+1),FALSE)</f>
        <v>8700</v>
      </c>
      <c r="AV335" s="101">
        <f>VLOOKUP($D335,Construction!$B:$Q,(COLUMN(Construction_QuestReward_Wood)-COLUMN(Construction_Name_and_Level)+1),FALSE)</f>
        <v>8700</v>
      </c>
      <c r="AW335" s="101">
        <f>VLOOKUP($D335,Construction!$B:$Q,(COLUMN(Construction_QuestReward_Ore)-COLUMN(Construction_Name_and_Level)+1),FALSE)</f>
        <v>3500</v>
      </c>
      <c r="AX335" s="101">
        <f>VLOOKUP($D335,Construction!$B:$Q,(COLUMN(Construction_QuestReward_Food)-COLUMN(Construction_Name_and_Level)+1),FALSE)</f>
        <v>5200</v>
      </c>
      <c r="AY335" s="100">
        <f>VLOOKUP($D335,Construction!$B:$Q,(COLUMN(Construction_QuestReward_Silver)-COLUMN(Construction_Name_and_Level)+1),FALSE)</f>
        <v>650</v>
      </c>
    </row>
    <row r="336" spans="2:108" ht="15" customHeight="1">
      <c r="B336" s="506" t="s">
        <v>145</v>
      </c>
      <c r="C336" s="146" t="s">
        <v>151</v>
      </c>
      <c r="D336" s="144">
        <v>4.4444444444444444E-3</v>
      </c>
      <c r="E336" s="506">
        <v>14</v>
      </c>
      <c r="AF336" s="141"/>
      <c r="AG336" s="141"/>
      <c r="AH336" s="137"/>
      <c r="AI336" s="484"/>
      <c r="AJ336" s="137">
        <f t="shared" si="49"/>
        <v>0.12499999999999999</v>
      </c>
      <c r="AX336" s="2">
        <v>10000</v>
      </c>
    </row>
    <row r="337" spans="2:108" ht="15" customHeight="1">
      <c r="B337" s="506" t="s">
        <v>145</v>
      </c>
      <c r="C337" s="146" t="s">
        <v>151</v>
      </c>
      <c r="D337" s="144">
        <v>3.9351851851851857E-3</v>
      </c>
      <c r="E337" s="506">
        <v>14</v>
      </c>
      <c r="AF337" s="141"/>
      <c r="AG337" s="141"/>
      <c r="AH337" s="137"/>
      <c r="AI337" s="484"/>
      <c r="AJ337" s="137">
        <f t="shared" si="49"/>
        <v>0.12499999999999999</v>
      </c>
      <c r="AY337" s="5">
        <v>500</v>
      </c>
    </row>
    <row r="338" spans="2:108" ht="15" customHeight="1">
      <c r="B338" s="506" t="s">
        <v>144</v>
      </c>
      <c r="C338" s="127" t="s">
        <v>149</v>
      </c>
      <c r="D338" s="144" t="s">
        <v>1630</v>
      </c>
      <c r="E338" s="506">
        <v>14</v>
      </c>
      <c r="F338" s="12">
        <v>0.25</v>
      </c>
      <c r="G338" s="94">
        <f>VLOOKUP($D338,Construction!$B:$E,(COLUMN(Construction_BuildingReward_HeroXP)-COLUMN(Construction_Name_and_Level)+1),FALSE)</f>
        <v>200</v>
      </c>
      <c r="H338" s="94">
        <f t="shared" ref="H338:H343" si="59">G338*(1+F338)</f>
        <v>250</v>
      </c>
      <c r="J338" s="95">
        <f>VLOOKUP($D338,Construction!$B:$F,(COLUMN(Construction_BuildingReward_Power)-COLUMN(Construction_Name_and_Level)+1),FALSE)</f>
        <v>60</v>
      </c>
      <c r="Q338" s="139">
        <v>3.472222222222222E-3</v>
      </c>
      <c r="R338" s="139">
        <v>6.9444444444444441E-3</v>
      </c>
      <c r="AF338" s="141"/>
      <c r="AG338" s="141"/>
      <c r="AH338" s="137"/>
      <c r="AI338" s="484"/>
      <c r="AJ338" s="137">
        <f t="shared" si="49"/>
        <v>0.12499999999999999</v>
      </c>
      <c r="AK338" s="339">
        <v>0.41</v>
      </c>
      <c r="AL338" s="138">
        <f>VLOOKUP($D338,Construction!$B:$C,(COLUMN(Construction_Time)-COLUMN(Construction_Name_and_Level)+1),FALSE)</f>
        <v>6.4814814814814813E-3</v>
      </c>
      <c r="AM338" s="138">
        <f>AL338/(1+AK338)</f>
        <v>4.5967953769372209E-3</v>
      </c>
      <c r="AN338" s="138">
        <f>(S$3*S338+T$3*T338+V$3*V338+W$3*W338+X$3*X338+Y$3*Y338+Z$3*Z338+AA$3*AA338+AB$3*AB338+AC$3*AC338)*(-1)</f>
        <v>0</v>
      </c>
      <c r="AO338" s="139">
        <f>IF((AM338-Q338-R338-AN338)&gt;=0,AM338-Q338-R338-AN338,0)</f>
        <v>0</v>
      </c>
      <c r="AU338" s="94">
        <f>VLOOKUP($D338,Construction!$B:$J,(COLUMN(Construction_BuildingCost_Stone)-COLUMN(Construction_Name_and_Level)+1),FALSE)*(-1)</f>
        <v>-2457</v>
      </c>
      <c r="AV338" s="94">
        <f>VLOOKUP($D338,Construction!$B:$J,(COLUMN(Construction_BuildingCost_Wood)-COLUMN(Construction_Name_and_Level)+1),FALSE)*(-1)</f>
        <v>-1966</v>
      </c>
      <c r="AW338" s="94">
        <f>VLOOKUP($D338,Construction!$B:$J,(COLUMN(Construction_BuildingCost_Ore)-COLUMN(Construction_Name_and_Level)+1),FALSE)*(-1)</f>
        <v>-492</v>
      </c>
      <c r="AX338" s="94">
        <f>VLOOKUP($D338,Construction!$B:$J,(COLUMN(Construction_BuildingCost_Food)-COLUMN(Construction_Name_and_Level)+1),FALSE)*(-1)</f>
        <v>-983</v>
      </c>
    </row>
    <row r="339" spans="2:108" ht="15" customHeight="1">
      <c r="B339" s="506" t="s">
        <v>143</v>
      </c>
      <c r="C339" s="127" t="s">
        <v>140</v>
      </c>
      <c r="D339" s="144" t="s">
        <v>1630</v>
      </c>
      <c r="E339" s="506">
        <v>14</v>
      </c>
      <c r="F339" s="12">
        <v>0.25</v>
      </c>
      <c r="G339" s="101">
        <f>VLOOKUP($D339,Construction!$B:$L,(COLUMN(Construction_QuestReward_HeroXP)-COLUMN(Construction_Name_and_Level)+1),FALSE)</f>
        <v>2650</v>
      </c>
      <c r="H339" s="101">
        <f t="shared" si="59"/>
        <v>3312.5</v>
      </c>
      <c r="J339" s="100">
        <f>VLOOKUP($D339,Construction!$B:$L,(COLUMN(Construction_QuestReward_Power)-COLUMN(Construction_Name_and_Level)+1),FALSE)</f>
        <v>25</v>
      </c>
      <c r="AF339" s="141"/>
      <c r="AG339" s="141"/>
      <c r="AH339" s="137"/>
      <c r="AI339" s="484"/>
      <c r="AJ339" s="137">
        <f t="shared" si="49"/>
        <v>0.12499999999999999</v>
      </c>
      <c r="AU339" s="101">
        <f>VLOOKUP($D339,Construction!$B:$Q,(COLUMN(Construction_QuestReward_Stone)-COLUMN(Construction_Name_and_Level)+1),FALSE)</f>
        <v>3200</v>
      </c>
      <c r="AV339" s="101">
        <f>VLOOKUP($D339,Construction!$B:$Q,(COLUMN(Construction_QuestReward_Wood)-COLUMN(Construction_Name_and_Level)+1),FALSE)</f>
        <v>2500</v>
      </c>
      <c r="AW339" s="101">
        <f>VLOOKUP($D339,Construction!$B:$Q,(COLUMN(Construction_QuestReward_Ore)-COLUMN(Construction_Name_and_Level)+1),FALSE)</f>
        <v>4200</v>
      </c>
      <c r="AX339" s="101">
        <f>VLOOKUP($D339,Construction!$B:$Q,(COLUMN(Construction_QuestReward_Food)-COLUMN(Construction_Name_and_Level)+1),FALSE)</f>
        <v>1200</v>
      </c>
      <c r="AY339" s="100">
        <f>VLOOKUP($D339,Construction!$B:$Q,(COLUMN(Construction_QuestReward_Silver)-COLUMN(Construction_Name_and_Level)+1),FALSE)</f>
        <v>450</v>
      </c>
    </row>
    <row r="340" spans="2:108" ht="15" customHeight="1">
      <c r="B340" s="506" t="s">
        <v>144</v>
      </c>
      <c r="C340" s="127" t="s">
        <v>149</v>
      </c>
      <c r="D340" s="144" t="s">
        <v>1631</v>
      </c>
      <c r="E340" s="506">
        <v>14</v>
      </c>
      <c r="F340" s="12">
        <v>0.25</v>
      </c>
      <c r="G340" s="94">
        <f>VLOOKUP($D340,Construction!$B:$E,(COLUMN(Construction_BuildingReward_HeroXP)-COLUMN(Construction_Name_and_Level)+1),FALSE)</f>
        <v>400</v>
      </c>
      <c r="H340" s="94">
        <f t="shared" ref="H340:H341" si="60">G340*(1+F340)</f>
        <v>500</v>
      </c>
      <c r="J340" s="95">
        <f>VLOOKUP($D340,Construction!$B:$F,(COLUMN(Construction_BuildingReward_Power)-COLUMN(Construction_Name_and_Level)+1),FALSE)</f>
        <v>85</v>
      </c>
      <c r="Q340" s="139">
        <v>3.472222222222222E-3</v>
      </c>
      <c r="R340" s="139">
        <v>6.9444444444444441E-3</v>
      </c>
      <c r="AF340" s="141"/>
      <c r="AG340" s="141"/>
      <c r="AH340" s="137"/>
      <c r="AI340" s="484"/>
      <c r="AJ340" s="137">
        <f t="shared" si="49"/>
        <v>0.12499999999999999</v>
      </c>
      <c r="AK340" s="339">
        <v>0.41</v>
      </c>
      <c r="AL340" s="138">
        <f>VLOOKUP($D340,Construction!$B:$C,(COLUMN(Construction_Time)-COLUMN(Construction_Name_and_Level)+1),FALSE)</f>
        <v>1.2962962962962963E-2</v>
      </c>
      <c r="AM340" s="138">
        <f>AL340/(1+AK340)</f>
        <v>9.1935907538744418E-3</v>
      </c>
      <c r="AN340" s="138">
        <f>(S$3*S340+T$3*T340+V$3*V340+W$3*W340+X$3*X340+Y$3*Y340+Z$3*Z340+AA$3*AA340+AB$3*AB340+AC$3*AC340)*(-1)</f>
        <v>0</v>
      </c>
      <c r="AO340" s="139">
        <f>IF((AM340-Q340-R340-AN340)&gt;=0,AM340-Q340-R340-AN340,0)</f>
        <v>0</v>
      </c>
      <c r="AU340" s="94">
        <f>VLOOKUP($D340,Construction!$B:$J,(COLUMN(Construction_BuildingCost_Stone)-COLUMN(Construction_Name_and_Level)+1),FALSE)*(-1)</f>
        <v>-4177</v>
      </c>
      <c r="AV340" s="94">
        <f>VLOOKUP($D340,Construction!$B:$J,(COLUMN(Construction_BuildingCost_Wood)-COLUMN(Construction_Name_and_Level)+1),FALSE)*(-1)</f>
        <v>-3343</v>
      </c>
      <c r="AW340" s="94">
        <f>VLOOKUP($D340,Construction!$B:$J,(COLUMN(Construction_BuildingCost_Ore)-COLUMN(Construction_Name_and_Level)+1),FALSE)*(-1)</f>
        <v>-837</v>
      </c>
      <c r="AX340" s="94">
        <f>VLOOKUP($D340,Construction!$B:$J,(COLUMN(Construction_BuildingCost_Food)-COLUMN(Construction_Name_and_Level)+1),FALSE)*(-1)</f>
        <v>-1672</v>
      </c>
    </row>
    <row r="341" spans="2:108" ht="15" customHeight="1">
      <c r="B341" s="506" t="s">
        <v>143</v>
      </c>
      <c r="C341" s="127" t="s">
        <v>140</v>
      </c>
      <c r="D341" s="144" t="s">
        <v>1631</v>
      </c>
      <c r="E341" s="506">
        <v>14</v>
      </c>
      <c r="F341" s="12">
        <v>0.25</v>
      </c>
      <c r="G341" s="101">
        <f>VLOOKUP($D341,Construction!$B:$L,(COLUMN(Construction_QuestReward_HeroXP)-COLUMN(Construction_Name_and_Level)+1),FALSE)</f>
        <v>10175</v>
      </c>
      <c r="H341" s="101">
        <f t="shared" si="60"/>
        <v>12718.75</v>
      </c>
      <c r="J341" s="100">
        <f>VLOOKUP($D341,Construction!$B:$L,(COLUMN(Construction_QuestReward_Power)-COLUMN(Construction_Name_and_Level)+1),FALSE)</f>
        <v>42</v>
      </c>
      <c r="AF341" s="141"/>
      <c r="AG341" s="141"/>
      <c r="AH341" s="137"/>
      <c r="AI341" s="484"/>
      <c r="AJ341" s="137">
        <f t="shared" si="49"/>
        <v>0.12499999999999999</v>
      </c>
      <c r="AU341" s="101">
        <f>VLOOKUP($D341,Construction!$B:$Q,(COLUMN(Construction_QuestReward_Stone)-COLUMN(Construction_Name_and_Level)+1),FALSE)</f>
        <v>4300</v>
      </c>
      <c r="AV341" s="101">
        <f>VLOOKUP($D341,Construction!$B:$Q,(COLUMN(Construction_QuestReward_Wood)-COLUMN(Construction_Name_and_Level)+1),FALSE)</f>
        <v>3500</v>
      </c>
      <c r="AW341" s="101">
        <f>VLOOKUP($D341,Construction!$B:$Q,(COLUMN(Construction_QuestReward_Ore)-COLUMN(Construction_Name_and_Level)+1),FALSE)</f>
        <v>900</v>
      </c>
      <c r="AX341" s="101">
        <f>VLOOKUP($D341,Construction!$B:$Q,(COLUMN(Construction_QuestReward_Food)-COLUMN(Construction_Name_and_Level)+1),FALSE)</f>
        <v>1800</v>
      </c>
      <c r="AY341" s="100">
        <f>VLOOKUP($D341,Construction!$B:$Q,(COLUMN(Construction_QuestReward_Silver)-COLUMN(Construction_Name_and_Level)+1),FALSE)</f>
        <v>750</v>
      </c>
    </row>
    <row r="342" spans="2:108" ht="15" customHeight="1">
      <c r="B342" s="506" t="s">
        <v>143</v>
      </c>
      <c r="C342" s="127" t="s">
        <v>466</v>
      </c>
      <c r="D342" s="144">
        <v>1.7187499999999998E-2</v>
      </c>
      <c r="E342" s="506">
        <v>14</v>
      </c>
      <c r="F342" s="12">
        <v>0.25</v>
      </c>
      <c r="G342" s="101">
        <v>9000</v>
      </c>
      <c r="H342" s="101">
        <f t="shared" si="59"/>
        <v>11250</v>
      </c>
      <c r="AF342" s="141"/>
      <c r="AG342" s="141"/>
      <c r="AH342" s="137"/>
      <c r="AI342" s="484"/>
      <c r="AJ342" s="137">
        <f t="shared" si="49"/>
        <v>0.12499999999999999</v>
      </c>
      <c r="AU342" s="101">
        <v>11250</v>
      </c>
      <c r="AV342" s="101">
        <v>0</v>
      </c>
      <c r="AW342" s="101">
        <v>0</v>
      </c>
      <c r="AX342" s="101">
        <v>0</v>
      </c>
      <c r="AY342" s="100">
        <v>2250</v>
      </c>
    </row>
    <row r="343" spans="2:108" ht="15" customHeight="1">
      <c r="B343" s="506" t="s">
        <v>195</v>
      </c>
      <c r="C343" s="127" t="s">
        <v>468</v>
      </c>
      <c r="D343" s="144">
        <v>1.7187499999999998E-2</v>
      </c>
      <c r="E343" s="506">
        <v>14</v>
      </c>
      <c r="F343" s="12">
        <v>0.25</v>
      </c>
      <c r="G343" s="211">
        <v>9000</v>
      </c>
      <c r="H343" s="211">
        <f t="shared" si="59"/>
        <v>11250</v>
      </c>
      <c r="AF343" s="141"/>
      <c r="AG343" s="141"/>
      <c r="AH343" s="137"/>
      <c r="AI343" s="484"/>
      <c r="AJ343" s="137">
        <f t="shared" si="49"/>
        <v>0.12499999999999999</v>
      </c>
      <c r="AU343" s="272">
        <v>0</v>
      </c>
      <c r="AV343" s="213">
        <v>0</v>
      </c>
      <c r="AW343" s="213">
        <v>22500</v>
      </c>
      <c r="AX343" s="213">
        <v>0</v>
      </c>
      <c r="AY343" s="160">
        <v>4500</v>
      </c>
      <c r="CL343" s="211">
        <v>7500</v>
      </c>
      <c r="CM343" s="160">
        <f>CL343</f>
        <v>7500</v>
      </c>
    </row>
    <row r="344" spans="2:108" ht="15" customHeight="1">
      <c r="B344" s="126" t="s">
        <v>1457</v>
      </c>
      <c r="C344" s="127" t="s">
        <v>147</v>
      </c>
      <c r="D344" s="144" t="s">
        <v>1632</v>
      </c>
      <c r="E344" s="506">
        <v>15</v>
      </c>
      <c r="I344" s="5">
        <v>3</v>
      </c>
      <c r="J344" s="5">
        <v>313</v>
      </c>
      <c r="Q344" s="149"/>
      <c r="AF344" s="141"/>
      <c r="AG344" s="141"/>
      <c r="AH344" s="137"/>
      <c r="AI344" s="484"/>
      <c r="AJ344" s="137">
        <f t="shared" si="49"/>
        <v>0.12499999999999999</v>
      </c>
      <c r="AX344" s="11"/>
    </row>
    <row r="345" spans="2:108" ht="15" customHeight="1">
      <c r="B345" s="106" t="s">
        <v>171</v>
      </c>
      <c r="C345" s="130"/>
      <c r="D345" s="130" t="s">
        <v>1633</v>
      </c>
      <c r="E345" s="106">
        <v>15</v>
      </c>
      <c r="F345" s="219">
        <v>0.25</v>
      </c>
      <c r="G345" s="107" t="s">
        <v>1453</v>
      </c>
      <c r="H345" s="107">
        <v>1652574</v>
      </c>
      <c r="I345" s="108">
        <v>32</v>
      </c>
      <c r="J345" s="108">
        <v>24887</v>
      </c>
      <c r="K345" s="107">
        <v>4</v>
      </c>
      <c r="L345" s="107">
        <v>1260</v>
      </c>
      <c r="M345" s="134">
        <v>0.14583333333333334</v>
      </c>
      <c r="N345" s="109">
        <v>200</v>
      </c>
      <c r="O345" s="109">
        <f>SUMIF($B$4:$B344,"&lt;&gt;"&amp;$CS$13,O$4:O344)</f>
        <v>0</v>
      </c>
      <c r="P345" s="108">
        <f>SUMIF($B$4:$B344,"&lt;&gt;"&amp;$CS$13,N$4:N344)</f>
        <v>200</v>
      </c>
      <c r="Q345" s="134">
        <v>3.472222222222222E-3</v>
      </c>
      <c r="R345" s="134">
        <v>6.9444444444444441E-3</v>
      </c>
      <c r="S345" s="107">
        <v>0</v>
      </c>
      <c r="T345" s="107">
        <v>0</v>
      </c>
      <c r="U345" s="107">
        <v>0</v>
      </c>
      <c r="V345" s="107">
        <v>0</v>
      </c>
      <c r="W345" s="109">
        <v>4</v>
      </c>
      <c r="X345" s="109">
        <v>2</v>
      </c>
      <c r="Y345" s="109">
        <v>0</v>
      </c>
      <c r="Z345" s="109">
        <v>0</v>
      </c>
      <c r="AA345" s="109">
        <v>0</v>
      </c>
      <c r="AB345" s="109">
        <v>0</v>
      </c>
      <c r="AC345" s="109">
        <v>0</v>
      </c>
      <c r="AD345" s="109">
        <v>0</v>
      </c>
      <c r="AE345" s="108">
        <v>0</v>
      </c>
      <c r="AF345" s="136">
        <f>SUMIF($B$4:$B344,"&lt;&gt;"&amp;$CS$13,AF$4:AF344)</f>
        <v>0.29583333333333334</v>
      </c>
      <c r="AG345" s="136">
        <f>SUMIF($B$4:$B344,"&lt;&gt;"&amp;$CS$13,AG$4:AG344)</f>
        <v>0</v>
      </c>
      <c r="AH345" s="134">
        <f>AF345+AG345</f>
        <v>0.29583333333333334</v>
      </c>
      <c r="AI345" s="483">
        <f>SUMIF($B$4:$B344,"&lt;&gt;"&amp;$CS$13,AI$4:AI344)</f>
        <v>0.17083333333333334</v>
      </c>
      <c r="AJ345" s="134">
        <f>S$3*S345+T$3*T345+U$3*U345+V$3*V345+W$3*W345+X$3*X345+Y$3*Y345+Z$3*Z345+AA$3*AA345+AB$3*AB345+AC$3*AC345</f>
        <v>0.125</v>
      </c>
      <c r="AK345" s="338">
        <v>0.41</v>
      </c>
      <c r="AL345" s="136" t="s">
        <v>1453</v>
      </c>
      <c r="AM345" s="136" t="s">
        <v>1453</v>
      </c>
      <c r="AN345" s="136" t="s">
        <v>1453</v>
      </c>
      <c r="AO345" s="134" t="s">
        <v>1453</v>
      </c>
      <c r="AP345" s="263">
        <v>0.24</v>
      </c>
      <c r="AQ345" s="136" t="s">
        <v>1453</v>
      </c>
      <c r="AR345" s="136" t="s">
        <v>1453</v>
      </c>
      <c r="AS345" s="136" t="s">
        <v>1453</v>
      </c>
      <c r="AT345" s="134" t="s">
        <v>1453</v>
      </c>
      <c r="AU345" s="107">
        <v>208000</v>
      </c>
      <c r="AV345" s="107">
        <v>239900</v>
      </c>
      <c r="AW345" s="107">
        <v>269500</v>
      </c>
      <c r="AX345" s="109">
        <v>327000</v>
      </c>
      <c r="AY345" s="108">
        <v>58550</v>
      </c>
      <c r="AZ345" s="107">
        <v>1008</v>
      </c>
      <c r="BA345" s="107">
        <v>969</v>
      </c>
      <c r="BB345" s="107">
        <v>763</v>
      </c>
      <c r="BC345" s="107">
        <v>1089</v>
      </c>
      <c r="BD345" s="108">
        <v>360</v>
      </c>
      <c r="BE345" s="108">
        <v>-400</v>
      </c>
      <c r="BF345" s="107">
        <v>63000</v>
      </c>
      <c r="BG345" s="107">
        <v>63000</v>
      </c>
      <c r="BH345" s="107">
        <v>51000</v>
      </c>
      <c r="BI345" s="107">
        <v>60000</v>
      </c>
      <c r="BJ345" s="108">
        <v>33000</v>
      </c>
      <c r="BK345" s="107">
        <v>6</v>
      </c>
      <c r="BL345" s="108">
        <v>6</v>
      </c>
      <c r="BM345" s="108">
        <v>6</v>
      </c>
      <c r="BN345" s="107">
        <v>5</v>
      </c>
      <c r="BO345" s="108">
        <v>4</v>
      </c>
      <c r="BP345" s="107">
        <v>6</v>
      </c>
      <c r="BQ345" s="108">
        <v>4</v>
      </c>
      <c r="BR345" s="107">
        <v>6</v>
      </c>
      <c r="BS345" s="108">
        <v>4</v>
      </c>
      <c r="BT345" s="107">
        <v>6</v>
      </c>
      <c r="BU345" s="108">
        <v>4</v>
      </c>
      <c r="BV345" s="107">
        <v>5</v>
      </c>
      <c r="BW345" s="108">
        <v>4</v>
      </c>
      <c r="BX345" s="107">
        <v>6</v>
      </c>
      <c r="BY345" s="108">
        <v>4</v>
      </c>
      <c r="BZ345" s="107">
        <v>5</v>
      </c>
      <c r="CA345" s="108">
        <v>4</v>
      </c>
      <c r="CB345" s="108">
        <v>5</v>
      </c>
      <c r="CC345" s="108">
        <v>6</v>
      </c>
      <c r="CD345" s="108">
        <v>6</v>
      </c>
      <c r="CE345" s="107"/>
      <c r="CF345" s="107"/>
      <c r="CG345" s="108"/>
      <c r="CH345" s="107">
        <v>5</v>
      </c>
      <c r="CI345" s="107"/>
      <c r="CJ345" s="108"/>
      <c r="CK345" s="108"/>
      <c r="CL345" s="107">
        <v>43100</v>
      </c>
      <c r="CM345" s="108"/>
      <c r="CN345" s="108" t="s">
        <v>1208</v>
      </c>
    </row>
    <row r="346" spans="2:108" ht="15" customHeight="1">
      <c r="B346" s="113" t="s">
        <v>1483</v>
      </c>
      <c r="C346" s="127" t="s">
        <v>592</v>
      </c>
      <c r="D346" s="127">
        <v>2600</v>
      </c>
      <c r="E346" s="506">
        <v>15</v>
      </c>
      <c r="G346" s="7"/>
      <c r="H346" s="7"/>
      <c r="J346" s="114">
        <f>VLOOKUP($C346,Troop!$B:$AK,(COLUMN(Troop_TrainingReward_Power)-COLUMN(Troop_Name)+1),FALSE)*$D346</f>
        <v>2600</v>
      </c>
      <c r="AF346" s="141"/>
      <c r="AG346" s="141"/>
      <c r="AH346" s="137"/>
      <c r="AI346" s="484"/>
      <c r="AJ346" s="137">
        <f t="shared" ref="AJ346:AJ377" si="61">AJ345+(S$3*S346+T$3*T346+U$3*U346+V$3*V346+W$3*W346+X$3*X346+Y$3*Y346+Z$3*Z346+AA$3*AA346+AB$3*AB346+AC$3*AC346)</f>
        <v>0.125</v>
      </c>
      <c r="AU346" s="296">
        <f>VLOOKUP($C346,Troop!$B:$P,(COLUMN(Troop_TrainingCost_Stone)-COLUMN(Troop_Name)+1),FALSE)*$D346*(-1)</f>
        <v>-26000</v>
      </c>
      <c r="AV346" s="296">
        <f>VLOOKUP($C346,Troop!$B:$P,(COLUMN(Troop_TrainingCost_Wood)-COLUMN(Troop_Name)+1),FALSE)*$D346*(-1)</f>
        <v>0</v>
      </c>
      <c r="AW346" s="296">
        <f>VLOOKUP($C346,Troop!$B:$P,(COLUMN(Troop_TrainingCost_Ore)-COLUMN(Troop_Name)+1),FALSE)*$D346*(-1)</f>
        <v>0</v>
      </c>
      <c r="AX346" s="296">
        <f>VLOOKUP($C346,Troop!$B:$P,(COLUMN(Troop_TrainingCost_Food)-COLUMN(Troop_Name)+1),FALSE)*$D346*(-1)</f>
        <v>-26000</v>
      </c>
      <c r="AY346" s="114">
        <f>VLOOKUP($C346,Troop!$B:$P,(COLUMN(Troop_TrainingCost_Silver)-COLUMN(Troop_Name)+1),FALSE)*$D346*(-1)</f>
        <v>0</v>
      </c>
      <c r="CT346" s="128"/>
      <c r="CU346" s="128"/>
      <c r="CV346" s="128"/>
      <c r="CW346" s="128"/>
      <c r="CX346" s="128"/>
      <c r="CY346" s="128"/>
      <c r="CZ346" s="128"/>
      <c r="DA346" s="128"/>
      <c r="DB346" s="128"/>
      <c r="DC346" s="128"/>
      <c r="DD346" s="128"/>
    </row>
    <row r="347" spans="2:108" ht="15" customHeight="1">
      <c r="B347" s="506" t="s">
        <v>144</v>
      </c>
      <c r="C347" s="127" t="s">
        <v>138</v>
      </c>
      <c r="D347" s="144" t="s">
        <v>1634</v>
      </c>
      <c r="E347" s="506">
        <v>15</v>
      </c>
      <c r="F347" s="12">
        <v>0.25</v>
      </c>
      <c r="G347" s="94">
        <f>VLOOKUP($D347,Construction!$B:$E,(COLUMN(Construction_BuildingReward_HeroXP)-COLUMN(Construction_Name_and_Level)+1),FALSE)</f>
        <v>500</v>
      </c>
      <c r="H347" s="94">
        <f t="shared" ref="H347:H348" si="62">G347*(1+F347)</f>
        <v>625</v>
      </c>
      <c r="J347" s="95">
        <f>VLOOKUP($D347,Construction!$B:$F,(COLUMN(Construction_BuildingReward_Power)-COLUMN(Construction_Name_and_Level)+1),FALSE)</f>
        <v>130</v>
      </c>
      <c r="M347" s="135" t="s">
        <v>1635</v>
      </c>
      <c r="Q347" s="139">
        <v>3.472222222222222E-3</v>
      </c>
      <c r="R347" s="139">
        <v>6.9444444444444441E-3</v>
      </c>
      <c r="AF347" s="141"/>
      <c r="AG347" s="141"/>
      <c r="AH347" s="137"/>
      <c r="AI347" s="484"/>
      <c r="AJ347" s="137">
        <f t="shared" si="61"/>
        <v>0.125</v>
      </c>
      <c r="AK347" s="339">
        <v>0.41</v>
      </c>
      <c r="AL347" s="138">
        <f>VLOOKUP($D347,Construction!$B:$C,(COLUMN(Construction_Time)-COLUMN(Construction_Name_and_Level)+1),FALSE)</f>
        <v>2.5925925925925925E-2</v>
      </c>
      <c r="AM347" s="138">
        <f>AL347/(1+AK347)</f>
        <v>1.8387181507748884E-2</v>
      </c>
      <c r="AN347" s="138">
        <f>(S$3*S347+T$3*T347+V$3*V347+W$3*W347+X$3*X347+Y$3*Y347+Z$3*Z347+AA$3*AA347+AB$3*AB347+AC$3*AC347)*(-1)</f>
        <v>0</v>
      </c>
      <c r="AO347" s="139">
        <f>IF((AM347-Q347-R347-AN347)&gt;=0,AM347-Q347-R347-AN347,0)</f>
        <v>7.9705148410822175E-3</v>
      </c>
      <c r="AU347" s="94">
        <f>VLOOKUP($D347,Construction!$B:$J,(COLUMN(Construction_BuildingCost_Stone)-COLUMN(Construction_Name_and_Level)+1),FALSE)*(-1)</f>
        <v>-8354</v>
      </c>
      <c r="AV347" s="94">
        <f>VLOOKUP($D347,Construction!$B:$J,(COLUMN(Construction_BuildingCost_Wood)-COLUMN(Construction_Name_and_Level)+1),FALSE)*(-1)</f>
        <v>-6686</v>
      </c>
      <c r="AW347" s="94">
        <f>VLOOKUP($D347,Construction!$B:$J,(COLUMN(Construction_BuildingCost_Ore)-COLUMN(Construction_Name_and_Level)+1),FALSE)*(-1)</f>
        <v>-1674</v>
      </c>
      <c r="AX347" s="94">
        <f>VLOOKUP($D347,Construction!$B:$J,(COLUMN(Construction_BuildingCost_Food)-COLUMN(Construction_Name_and_Level)+1),FALSE)*(-1)</f>
        <v>-3344</v>
      </c>
    </row>
    <row r="348" spans="2:108" ht="15" customHeight="1">
      <c r="B348" s="506" t="s">
        <v>143</v>
      </c>
      <c r="C348" s="127" t="s">
        <v>142</v>
      </c>
      <c r="D348" s="144" t="s">
        <v>1634</v>
      </c>
      <c r="E348" s="506">
        <v>15</v>
      </c>
      <c r="F348" s="12">
        <v>0.25</v>
      </c>
      <c r="G348" s="101">
        <f>VLOOKUP($D348,Construction!$B:$L,(COLUMN(Construction_QuestReward_HeroXP)-COLUMN(Construction_Name_and_Level)+1),FALSE)</f>
        <v>10000</v>
      </c>
      <c r="H348" s="101">
        <f t="shared" si="62"/>
        <v>12500</v>
      </c>
      <c r="J348" s="100">
        <f>VLOOKUP($D348,Construction!$B:$L,(COLUMN(Construction_QuestReward_Power)-COLUMN(Construction_Name_and_Level)+1),FALSE)</f>
        <v>67</v>
      </c>
      <c r="AF348" s="141"/>
      <c r="AG348" s="141"/>
      <c r="AH348" s="137"/>
      <c r="AI348" s="484"/>
      <c r="AJ348" s="137">
        <f t="shared" si="61"/>
        <v>0.125</v>
      </c>
      <c r="AU348" s="101">
        <f>VLOOKUP($D348,Construction!$B:$Q,(COLUMN(Construction_QuestReward_Stone)-COLUMN(Construction_Name_and_Level)+1),FALSE)</f>
        <v>6900</v>
      </c>
      <c r="AV348" s="101">
        <f>VLOOKUP($D348,Construction!$B:$Q,(COLUMN(Construction_QuestReward_Wood)-COLUMN(Construction_Name_and_Level)+1),FALSE)</f>
        <v>5500</v>
      </c>
      <c r="AW348" s="101">
        <f>VLOOKUP($D348,Construction!$B:$Q,(COLUMN(Construction_QuestReward_Ore)-COLUMN(Construction_Name_and_Level)+1),FALSE)</f>
        <v>1300</v>
      </c>
      <c r="AX348" s="101">
        <f>VLOOKUP($D348,Construction!$B:$Q,(COLUMN(Construction_QuestReward_Food)-COLUMN(Construction_Name_and_Level)+1),FALSE)</f>
        <v>2700</v>
      </c>
      <c r="AY348" s="100">
        <f>VLOOKUP($D348,Construction!$B:$Q,(COLUMN(Construction_QuestReward_Silver)-COLUMN(Construction_Name_and_Level)+1),FALSE)</f>
        <v>650</v>
      </c>
    </row>
    <row r="349" spans="2:108" ht="15" customHeight="1">
      <c r="B349" s="506" t="s">
        <v>146</v>
      </c>
      <c r="C349" s="127" t="s">
        <v>138</v>
      </c>
      <c r="D349" s="144" t="s">
        <v>1636</v>
      </c>
      <c r="E349" s="506">
        <v>15</v>
      </c>
      <c r="F349" s="12">
        <v>0.25</v>
      </c>
      <c r="G349" s="111">
        <f>VLOOKUP($D349,Research!$C:$F,(COLUMN(Research_ResearchReward_HeroXP)-COLUMN(Research_Name_and_Level)+1),FALSE)</f>
        <v>24000</v>
      </c>
      <c r="H349" s="111">
        <f>G349*(1+F349)</f>
        <v>30000</v>
      </c>
      <c r="J349" s="115">
        <f>VLOOKUP($D349,Research!$C:$G,(COLUMN(Research_ResearchReward_Power)-COLUMN(Research_Name_and_Level)+1),FALSE)</f>
        <v>300</v>
      </c>
      <c r="R349" s="148">
        <v>6.9444444444444441E-3</v>
      </c>
      <c r="AF349" s="141"/>
      <c r="AG349" s="141"/>
      <c r="AH349" s="137"/>
      <c r="AI349" s="484"/>
      <c r="AJ349" s="137">
        <f t="shared" si="61"/>
        <v>0.125</v>
      </c>
      <c r="AP349" s="256">
        <v>0.24</v>
      </c>
      <c r="AQ349" s="147">
        <f>VLOOKUP($D349,Research!$C:$D,(COLUMN(Research_Time)-COLUMN(Research_Name_and_Level)+1),FALSE)</f>
        <v>4.1666666666666664E-2</v>
      </c>
      <c r="AR349" s="147">
        <f>AQ349/(1+AP349)</f>
        <v>3.3602150537634407E-2</v>
      </c>
      <c r="AS349" s="147">
        <f>(S$3*S349+T$3*T349+V$3*V349+W$3*W349+X$3*X349+Y$3*Y349+Z$3*Z349+AA$3*AA349+AB$3*AB349+AC$3*AC349)*(-1)</f>
        <v>0</v>
      </c>
      <c r="AT349" s="148">
        <f>IF(AR349-R349-AS349&gt;=0,AR349-R349-AS349,0)</f>
        <v>2.6657706093189962E-2</v>
      </c>
      <c r="AU349" s="111">
        <f>VLOOKUP($D349,Research!$C:$L,(COLUMN(Research_ResearchCost_Stone)-COLUMN(Research_Name_and_Level)+1),FALSE)*(-1)</f>
        <v>-600</v>
      </c>
      <c r="AV349" s="111">
        <f>VLOOKUP($D349,Research!$C:$L,(COLUMN(Research_ResearchCost_Wood)-COLUMN(Research_Name_and_Level)+1),FALSE)*(-1)</f>
        <v>-50</v>
      </c>
      <c r="AW349" s="111">
        <f>VLOOKUP($D349,Research!$C:$L,(COLUMN(Research_ResearchCost_Ore)-COLUMN(Research_Name_and_Level)+1),FALSE)*(-1)</f>
        <v>-800</v>
      </c>
      <c r="AX349" s="111">
        <f>VLOOKUP($D349,Research!$C:$L,(COLUMN(Research_ResearchCost_Food)-COLUMN(Research_Name_and_Level)+1),FALSE)*(-1)</f>
        <v>-1000</v>
      </c>
      <c r="AY349" s="112">
        <f>VLOOKUP($D349,Research!$C:$L,(COLUMN(Research_ResearchCost_Silver)-COLUMN(Research_Name_and_Level)+1),FALSE)*(-1)</f>
        <v>-6000</v>
      </c>
    </row>
    <row r="350" spans="2:108" ht="15" customHeight="1">
      <c r="B350" s="102" t="s">
        <v>1455</v>
      </c>
      <c r="C350" s="127" t="s">
        <v>170</v>
      </c>
      <c r="D350" s="144" t="s">
        <v>1636</v>
      </c>
      <c r="E350" s="506">
        <v>15</v>
      </c>
      <c r="F350" s="12">
        <v>0.25</v>
      </c>
      <c r="G350" s="101">
        <f>VLOOKUP($D350,Research!$C:$M,(COLUMN(Research_QuestReward_HeroXP)-COLUMN(Research_Name_and_Level)+1),FALSE)</f>
        <v>6000</v>
      </c>
      <c r="H350" s="101">
        <f>G350*(1+F350)</f>
        <v>7500</v>
      </c>
      <c r="J350" s="103">
        <f>VLOOKUP($D350,Research!$C:$N,(COLUMN(Research_QuestReward_Power)-COLUMN(Research_Name_and_Level)+1),FALSE)</f>
        <v>30</v>
      </c>
      <c r="AF350" s="141"/>
      <c r="AG350" s="141"/>
      <c r="AH350" s="137"/>
      <c r="AI350" s="484"/>
      <c r="AJ350" s="137">
        <f t="shared" si="61"/>
        <v>0.125</v>
      </c>
      <c r="AU350" s="101">
        <f>VLOOKUP($D350,Research!$C:$S,(COLUMN(Research_QuestReward_Stone)-COLUMN(Research_Name_and_Level)+1),FALSE)</f>
        <v>0</v>
      </c>
      <c r="AV350" s="101">
        <f>VLOOKUP($D350,Research!$C:$S,(COLUMN(Research_QuestReward_Wood)-COLUMN(Research_Name_and_Level)+1),FALSE)</f>
        <v>0</v>
      </c>
      <c r="AW350" s="101">
        <f>VLOOKUP($D350,Research!$C:$S,(COLUMN(Research_QuestReward_Ore)-COLUMN(Research_Name_and_Level)+1),FALSE)</f>
        <v>1000</v>
      </c>
      <c r="AX350" s="101">
        <f>VLOOKUP($D350,Research!$C:$S,(COLUMN(Research_QuestReward_Food)-COLUMN(Research_Name_and_Level)+1),FALSE)</f>
        <v>1000</v>
      </c>
      <c r="AY350" s="100">
        <f>VLOOKUP($D350,Research!$C:$S,(COLUMN(Research_QuestReward_Silver)-COLUMN(Research_Name_and_Level)+1),FALSE)</f>
        <v>4000</v>
      </c>
      <c r="CT350" s="127"/>
      <c r="CU350" s="127"/>
      <c r="CV350" s="127"/>
      <c r="CW350" s="127"/>
      <c r="CX350" s="127"/>
      <c r="CY350" s="127"/>
      <c r="CZ350" s="127"/>
      <c r="DA350" s="127"/>
      <c r="DB350" s="127"/>
      <c r="DC350" s="127"/>
      <c r="DD350" s="127"/>
    </row>
    <row r="351" spans="2:108" ht="15" customHeight="1">
      <c r="B351" s="506" t="s">
        <v>145</v>
      </c>
      <c r="C351" s="146" t="s">
        <v>151</v>
      </c>
      <c r="D351" s="144">
        <v>7.2106481481481475E-3</v>
      </c>
      <c r="E351" s="506">
        <v>15</v>
      </c>
      <c r="U351" s="2">
        <v>1</v>
      </c>
      <c r="AF351" s="141">
        <f>$S$3*$S351+$T$3*$T351+$U$3*$U351+$V$3*$V351+$W$3*$W351+$X$3*$X351+$Y$3*$Y351+$Z$3*$Z351+$AA$3*$AA351+$AB$3*$AB351+$AC$3*$AC351</f>
        <v>3.472222222222222E-3</v>
      </c>
      <c r="AG351" s="141"/>
      <c r="AH351" s="137"/>
      <c r="AI351" s="484"/>
      <c r="AJ351" s="137">
        <f t="shared" si="61"/>
        <v>0.12847222222222221</v>
      </c>
    </row>
    <row r="352" spans="2:108" ht="15" customHeight="1">
      <c r="B352" s="506" t="s">
        <v>144</v>
      </c>
      <c r="C352" s="127" t="s">
        <v>138</v>
      </c>
      <c r="D352" s="144" t="s">
        <v>1637</v>
      </c>
      <c r="E352" s="506">
        <v>15</v>
      </c>
      <c r="F352" s="12">
        <v>0.25</v>
      </c>
      <c r="G352" s="94">
        <f>VLOOKUP($D352,Construction!$B:$E,(COLUMN(Construction_BuildingReward_HeroXP)-COLUMN(Construction_Name_and_Level)+1),FALSE)</f>
        <v>500</v>
      </c>
      <c r="H352" s="94">
        <f t="shared" ref="H352:H353" si="63">G352*(1+F352)</f>
        <v>625</v>
      </c>
      <c r="J352" s="95">
        <f>VLOOKUP($D352,Construction!$B:$F,(COLUMN(Construction_BuildingReward_Power)-COLUMN(Construction_Name_and_Level)+1),FALSE)</f>
        <v>55</v>
      </c>
      <c r="Q352" s="139">
        <v>3.472222222222222E-3</v>
      </c>
      <c r="R352" s="139">
        <v>6.9444444444444441E-3</v>
      </c>
      <c r="U352" s="2">
        <v>-1</v>
      </c>
      <c r="AF352" s="141"/>
      <c r="AG352" s="141"/>
      <c r="AH352" s="137"/>
      <c r="AI352" s="484">
        <f>(-1)*($S$3*$S352+$T$3*$T352+$U$3*$U352+$V$3*$V352+$W$3*$W352+$X$3*$X352+$Y$3*$Y352+$Z$3*$Z352+$AA$3*$AA352+$AB$3*$AB352+$AC$3*$AC352)</f>
        <v>3.472222222222222E-3</v>
      </c>
      <c r="AJ352" s="137">
        <f t="shared" si="61"/>
        <v>0.12499999999999999</v>
      </c>
      <c r="AK352" s="339">
        <v>0.41</v>
      </c>
      <c r="AL352" s="138">
        <f>VLOOKUP($D352,Construction!$B:$C,(COLUMN(Construction_Time)-COLUMN(Construction_Name_and_Level)+1),FALSE)</f>
        <v>1.8518518518518521E-2</v>
      </c>
      <c r="AM352" s="138">
        <f>AL352/(1+AK352)</f>
        <v>1.313370107696349E-2</v>
      </c>
      <c r="AN352" s="138">
        <f>(S$3*S352+T$3*T352+V$3*V352+W$3*W352+X$3*X352+Y$3*Y352+Z$3*Z352+AA$3*AA352+AB$3*AB352+AC$3*AC352)*(-1)</f>
        <v>0</v>
      </c>
      <c r="AO352" s="139">
        <f>IF((AM352-Q352-R352-AN352)&gt;=0,AM352-Q352-R352-AN352,0)</f>
        <v>2.7170344102968244E-3</v>
      </c>
      <c r="AU352" s="94">
        <f>VLOOKUP($D352,Construction!$B:$J,(COLUMN(Construction_BuildingCost_Stone)-COLUMN(Construction_Name_and_Level)+1),FALSE)*(-1)</f>
        <v>-1674</v>
      </c>
      <c r="AV352" s="94">
        <f>VLOOKUP($D352,Construction!$B:$J,(COLUMN(Construction_BuildingCost_Wood)-COLUMN(Construction_Name_and_Level)+1),FALSE)*(-1)</f>
        <v>-1674</v>
      </c>
      <c r="AW352" s="94">
        <f>VLOOKUP($D352,Construction!$B:$J,(COLUMN(Construction_BuildingCost_Ore)-COLUMN(Construction_Name_and_Level)+1),FALSE)*(-1)</f>
        <v>-1674</v>
      </c>
      <c r="AX352" s="94">
        <f>VLOOKUP($D352,Construction!$B:$J,(COLUMN(Construction_BuildingCost_Food)-COLUMN(Construction_Name_and_Level)+1),FALSE)*(-1)</f>
        <v>0</v>
      </c>
    </row>
    <row r="353" spans="2:108" ht="15" customHeight="1">
      <c r="B353" s="506" t="s">
        <v>143</v>
      </c>
      <c r="C353" s="127" t="s">
        <v>142</v>
      </c>
      <c r="D353" s="144" t="s">
        <v>1637</v>
      </c>
      <c r="E353" s="506">
        <v>15</v>
      </c>
      <c r="F353" s="12">
        <v>0.25</v>
      </c>
      <c r="G353" s="101">
        <f>VLOOKUP($D353,Construction!$B:$L,(COLUMN(Construction_QuestReward_HeroXP)-COLUMN(Construction_Name_and_Level)+1),FALSE)</f>
        <v>2500</v>
      </c>
      <c r="H353" s="101">
        <f t="shared" si="63"/>
        <v>3125</v>
      </c>
      <c r="J353" s="100">
        <f>VLOOKUP($D353,Construction!$B:$L,(COLUMN(Construction_QuestReward_Power)-COLUMN(Construction_Name_and_Level)+1),FALSE)</f>
        <v>27</v>
      </c>
      <c r="AF353" s="141"/>
      <c r="AG353" s="141"/>
      <c r="AH353" s="137"/>
      <c r="AI353" s="484"/>
      <c r="AJ353" s="137">
        <f t="shared" si="61"/>
        <v>0.12499999999999999</v>
      </c>
      <c r="AU353" s="101">
        <f>VLOOKUP($D353,Construction!$B:$Q,(COLUMN(Construction_QuestReward_Stone)-COLUMN(Construction_Name_and_Level)+1),FALSE)</f>
        <v>1300</v>
      </c>
      <c r="AV353" s="101">
        <f>VLOOKUP($D353,Construction!$B:$Q,(COLUMN(Construction_QuestReward_Wood)-COLUMN(Construction_Name_and_Level)+1),FALSE)</f>
        <v>1300</v>
      </c>
      <c r="AW353" s="101">
        <f>VLOOKUP($D353,Construction!$B:$Q,(COLUMN(Construction_QuestReward_Ore)-COLUMN(Construction_Name_and_Level)+1),FALSE)</f>
        <v>1300</v>
      </c>
      <c r="AX353" s="101">
        <f>VLOOKUP($D353,Construction!$B:$Q,(COLUMN(Construction_QuestReward_Food)-COLUMN(Construction_Name_and_Level)+1),FALSE)</f>
        <v>0</v>
      </c>
      <c r="AY353" s="100">
        <f>VLOOKUP($D353,Construction!$B:$Q,(COLUMN(Construction_QuestReward_Silver)-COLUMN(Construction_Name_and_Level)+1),FALSE)</f>
        <v>100</v>
      </c>
    </row>
    <row r="354" spans="2:108" ht="15" customHeight="1">
      <c r="B354" s="506" t="s">
        <v>145</v>
      </c>
      <c r="C354" s="146" t="s">
        <v>151</v>
      </c>
      <c r="D354" s="145">
        <v>5.347222222222222E-3</v>
      </c>
      <c r="E354" s="506">
        <v>15</v>
      </c>
      <c r="S354" s="2">
        <v>1</v>
      </c>
      <c r="AF354" s="141">
        <f>$S$3*$S354+$T$3*$T354+$U$3*$U354+$V$3*$V354+$W$3*$W354+$X$3*$X354+$Y$3*$Y354+$Z$3*$Z354+$AA$3*$AA354+$AB$3*$AB354+$AC$3*$AC354</f>
        <v>6.9444444444444447E-4</v>
      </c>
      <c r="AG354" s="141"/>
      <c r="AH354" s="137"/>
      <c r="AI354" s="484"/>
      <c r="AJ354" s="137">
        <f t="shared" si="61"/>
        <v>0.12569444444444444</v>
      </c>
    </row>
    <row r="355" spans="2:108" ht="15" customHeight="1">
      <c r="B355" s="506" t="s">
        <v>144</v>
      </c>
      <c r="C355" s="127" t="s">
        <v>138</v>
      </c>
      <c r="D355" s="144" t="s">
        <v>1638</v>
      </c>
      <c r="E355" s="506">
        <v>15</v>
      </c>
      <c r="F355" s="12">
        <v>0.25</v>
      </c>
      <c r="G355" s="94">
        <f>VLOOKUP($D355,Construction!$B:$E,(COLUMN(Construction_BuildingReward_HeroXP)-COLUMN(Construction_Name_and_Level)+1),FALSE)</f>
        <v>500</v>
      </c>
      <c r="H355" s="94">
        <f t="shared" ref="H355:H356" si="64">G355*(1+F355)</f>
        <v>625</v>
      </c>
      <c r="J355" s="95">
        <f>VLOOKUP($D355,Construction!$B:$F,(COLUMN(Construction_BuildingReward_Power)-COLUMN(Construction_Name_and_Level)+1),FALSE)</f>
        <v>135</v>
      </c>
      <c r="Q355" s="139">
        <v>3.472222222222222E-3</v>
      </c>
      <c r="R355" s="139">
        <v>6.9444444444444441E-3</v>
      </c>
      <c r="AF355" s="141"/>
      <c r="AG355" s="141"/>
      <c r="AH355" s="137"/>
      <c r="AI355" s="484"/>
      <c r="AJ355" s="137">
        <f t="shared" si="61"/>
        <v>0.12569444444444444</v>
      </c>
      <c r="AK355" s="339">
        <v>0.41</v>
      </c>
      <c r="AL355" s="138">
        <f>VLOOKUP($D355,Construction!$B:$C,(COLUMN(Construction_Time)-COLUMN(Construction_Name_and_Level)+1),FALSE)</f>
        <v>1.8518518518518521E-2</v>
      </c>
      <c r="AM355" s="138">
        <f>AL355/(1+AK355)</f>
        <v>1.313370107696349E-2</v>
      </c>
      <c r="AN355" s="138">
        <f>(S$3*S355+T$3*T355+V$3*V355+W$3*W355+X$3*X355+Y$3*Y355+Z$3*Z355+AA$3*AA355+AB$3*AB355+AC$3*AC355)*(-1)</f>
        <v>0</v>
      </c>
      <c r="AO355" s="139">
        <f>IF((AM355-Q355-R355-AN355)&gt;=0,AM355-Q355-R355-AN355,0)</f>
        <v>2.7170344102968244E-3</v>
      </c>
      <c r="AU355" s="94">
        <f>VLOOKUP($D355,Construction!$B:$J,(COLUMN(Construction_BuildingCost_Stone)-COLUMN(Construction_Name_and_Level)+1),FALSE)*(-1)</f>
        <v>-3344</v>
      </c>
      <c r="AV355" s="94">
        <f>VLOOKUP($D355,Construction!$B:$J,(COLUMN(Construction_BuildingCost_Wood)-COLUMN(Construction_Name_and_Level)+1),FALSE)*(-1)</f>
        <v>-3344</v>
      </c>
      <c r="AW355" s="94">
        <f>VLOOKUP($D355,Construction!$B:$J,(COLUMN(Construction_BuildingCost_Ore)-COLUMN(Construction_Name_and_Level)+1),FALSE)*(-1)</f>
        <v>-840</v>
      </c>
      <c r="AX355" s="94">
        <f>VLOOKUP($D355,Construction!$B:$J,(COLUMN(Construction_BuildingCost_Food)-COLUMN(Construction_Name_and_Level)+1),FALSE)*(-1)</f>
        <v>-8354</v>
      </c>
    </row>
    <row r="356" spans="2:108" ht="15" customHeight="1">
      <c r="B356" s="506" t="s">
        <v>143</v>
      </c>
      <c r="C356" s="127" t="s">
        <v>142</v>
      </c>
      <c r="D356" s="144" t="s">
        <v>1638</v>
      </c>
      <c r="E356" s="506">
        <v>15</v>
      </c>
      <c r="F356" s="12">
        <v>0.25</v>
      </c>
      <c r="G356" s="101">
        <f>VLOOKUP($D356,Construction!$B:$L,(COLUMN(Construction_QuestReward_HeroXP)-COLUMN(Construction_Name_and_Level)+1),FALSE)</f>
        <v>2500</v>
      </c>
      <c r="H356" s="101">
        <f t="shared" si="64"/>
        <v>3125</v>
      </c>
      <c r="J356" s="100">
        <f>VLOOKUP($D356,Construction!$B:$L,(COLUMN(Construction_QuestReward_Power)-COLUMN(Construction_Name_and_Level)+1),FALSE)</f>
        <v>70</v>
      </c>
      <c r="AF356" s="141"/>
      <c r="AG356" s="141"/>
      <c r="AH356" s="137"/>
      <c r="AI356" s="484"/>
      <c r="AJ356" s="137">
        <f t="shared" si="61"/>
        <v>0.12569444444444444</v>
      </c>
      <c r="AU356" s="101">
        <f>VLOOKUP($D356,Construction!$B:$Q,(COLUMN(Construction_QuestReward_Stone)-COLUMN(Construction_Name_and_Level)+1),FALSE)</f>
        <v>2700</v>
      </c>
      <c r="AV356" s="101">
        <f>VLOOKUP($D356,Construction!$B:$Q,(COLUMN(Construction_QuestReward_Wood)-COLUMN(Construction_Name_and_Level)+1),FALSE)</f>
        <v>2700</v>
      </c>
      <c r="AW356" s="101">
        <f>VLOOKUP($D356,Construction!$B:$Q,(COLUMN(Construction_QuestReward_Ore)-COLUMN(Construction_Name_and_Level)+1),FALSE)</f>
        <v>700</v>
      </c>
      <c r="AX356" s="101">
        <f>VLOOKUP($D356,Construction!$B:$Q,(COLUMN(Construction_QuestReward_Food)-COLUMN(Construction_Name_and_Level)+1),FALSE)</f>
        <v>6900</v>
      </c>
      <c r="AY356" s="100">
        <f>VLOOKUP($D356,Construction!$B:$Q,(COLUMN(Construction_QuestReward_Silver)-COLUMN(Construction_Name_and_Level)+1),FALSE)</f>
        <v>100</v>
      </c>
    </row>
    <row r="357" spans="2:108" ht="15" customHeight="1">
      <c r="B357" s="506" t="s">
        <v>195</v>
      </c>
      <c r="C357" s="127" t="s">
        <v>468</v>
      </c>
      <c r="D357" s="144">
        <v>3.6168981481481483E-2</v>
      </c>
      <c r="E357" s="506">
        <v>15</v>
      </c>
      <c r="F357" s="12">
        <v>0.25</v>
      </c>
      <c r="G357" s="211">
        <v>9000</v>
      </c>
      <c r="H357" s="211">
        <f>G357*(1+F357)</f>
        <v>11250</v>
      </c>
      <c r="AF357" s="141"/>
      <c r="AG357" s="141"/>
      <c r="AH357" s="137"/>
      <c r="AI357" s="484"/>
      <c r="AJ357" s="137">
        <f t="shared" si="61"/>
        <v>0.12569444444444444</v>
      </c>
      <c r="AU357" s="272">
        <v>22500</v>
      </c>
      <c r="AV357" s="213">
        <v>0</v>
      </c>
      <c r="AW357" s="213">
        <v>0</v>
      </c>
      <c r="AX357" s="213">
        <v>0</v>
      </c>
      <c r="AY357" s="160">
        <v>4500</v>
      </c>
      <c r="CL357" s="211">
        <v>7500</v>
      </c>
      <c r="CM357" s="160">
        <f>CL357</f>
        <v>7500</v>
      </c>
    </row>
    <row r="358" spans="2:108" ht="15" customHeight="1">
      <c r="B358" s="506" t="s">
        <v>143</v>
      </c>
      <c r="C358" s="127" t="s">
        <v>466</v>
      </c>
      <c r="D358" s="144">
        <v>1.7013888888888892E-3</v>
      </c>
      <c r="E358" s="506">
        <v>15</v>
      </c>
      <c r="F358" s="12">
        <v>0.25</v>
      </c>
      <c r="G358" s="101">
        <v>600</v>
      </c>
      <c r="H358" s="101">
        <f t="shared" ref="H358" si="65">G358*(1+F358)</f>
        <v>750</v>
      </c>
      <c r="AF358" s="141"/>
      <c r="AG358" s="141"/>
      <c r="AH358" s="137"/>
      <c r="AI358" s="484"/>
      <c r="AJ358" s="137">
        <f t="shared" si="61"/>
        <v>0.12569444444444444</v>
      </c>
      <c r="AU358" s="101">
        <v>750</v>
      </c>
      <c r="AV358" s="101">
        <v>0</v>
      </c>
      <c r="AW358" s="101">
        <v>0</v>
      </c>
      <c r="AX358" s="101">
        <v>0</v>
      </c>
      <c r="AY358" s="100">
        <v>150</v>
      </c>
    </row>
    <row r="359" spans="2:108" ht="15" customHeight="1">
      <c r="B359" s="506" t="s">
        <v>626</v>
      </c>
      <c r="C359" s="127" t="s">
        <v>628</v>
      </c>
      <c r="D359" s="144" t="s">
        <v>1639</v>
      </c>
      <c r="E359" s="506">
        <v>15</v>
      </c>
      <c r="W359" s="11">
        <v>1</v>
      </c>
      <c r="AF359" s="141">
        <f>$S$3*$S359+$T$3*$T359+$U$3*$U359+$V$3*$V359+$W$3*$W359+$X$3*$X359+$Y$3*$Y359+$Z$3*$Z359+$AA$3*$AA359+$AB$3*$AB359+$AC$3*$AC359</f>
        <v>1.0416666666666666E-2</v>
      </c>
      <c r="AG359" s="141"/>
      <c r="AH359" s="137"/>
      <c r="AI359" s="484"/>
      <c r="AJ359" s="137">
        <f t="shared" si="61"/>
        <v>0.1361111111111111</v>
      </c>
    </row>
    <row r="360" spans="2:108" ht="15" customHeight="1">
      <c r="B360" s="506" t="s">
        <v>144</v>
      </c>
      <c r="C360" s="127" t="s">
        <v>138</v>
      </c>
      <c r="D360" s="144" t="s">
        <v>1640</v>
      </c>
      <c r="E360" s="506">
        <v>15</v>
      </c>
      <c r="F360" s="12">
        <v>0.25</v>
      </c>
      <c r="G360" s="94">
        <f>VLOOKUP($D360,Construction!$B:$E,(COLUMN(Construction_BuildingReward_HeroXP)-COLUMN(Construction_Name_and_Level)+1),FALSE)</f>
        <v>500</v>
      </c>
      <c r="H360" s="94">
        <f t="shared" ref="H360:H361" si="66">G360*(1+F360)</f>
        <v>625</v>
      </c>
      <c r="J360" s="95">
        <f>VLOOKUP($D360,Construction!$B:$F,(COLUMN(Construction_BuildingReward_Power)-COLUMN(Construction_Name_and_Level)+1),FALSE)</f>
        <v>135</v>
      </c>
      <c r="Q360" s="139">
        <v>3.472222222222222E-3</v>
      </c>
      <c r="R360" s="139">
        <v>6.9444444444444441E-3</v>
      </c>
      <c r="S360" s="2">
        <v>-1</v>
      </c>
      <c r="W360" s="11">
        <v>-1</v>
      </c>
      <c r="AF360" s="141"/>
      <c r="AG360" s="141"/>
      <c r="AH360" s="137"/>
      <c r="AI360" s="484">
        <f>(-1)*($S$3*$S360+$T$3*$T360+$U$3*$U360+$V$3*$V360+$W$3*$W360+$X$3*$X360+$Y$3*$Y360+$Z$3*$Z360+$AA$3*$AA360+$AB$3*$AB360+$AC$3*$AC360)</f>
        <v>1.111111111111111E-2</v>
      </c>
      <c r="AJ360" s="137">
        <f t="shared" si="61"/>
        <v>0.12499999999999999</v>
      </c>
      <c r="AK360" s="339">
        <v>0.41</v>
      </c>
      <c r="AL360" s="138">
        <f>VLOOKUP($D360,Construction!$B:$C,(COLUMN(Construction_Time)-COLUMN(Construction_Name_and_Level)+1),FALSE)</f>
        <v>3.7037037037037042E-2</v>
      </c>
      <c r="AM360" s="138">
        <f>AL360/(1+AK360)</f>
        <v>2.6267402153926981E-2</v>
      </c>
      <c r="AN360" s="138">
        <f>(S$3*S360+T$3*T360+V$3*V360+W$3*W360+X$3*X360+Y$3*Y360+Z$3*Z360+AA$3*AA360+AB$3*AB360+AC$3*AC360)*(-1)</f>
        <v>1.111111111111111E-2</v>
      </c>
      <c r="AO360" s="139">
        <f>IF((AM360-Q360-R360-AN360)&gt;=0,AM360-Q360-R360-AN360,0)</f>
        <v>4.7396243761492068E-3</v>
      </c>
      <c r="AU360" s="94">
        <f>VLOOKUP($D360,Construction!$B:$J,(COLUMN(Construction_BuildingCost_Stone)-COLUMN(Construction_Name_and_Level)+1),FALSE)*(-1)</f>
        <v>-4202</v>
      </c>
      <c r="AV360" s="94">
        <f>VLOOKUP($D360,Construction!$B:$J,(COLUMN(Construction_BuildingCost_Wood)-COLUMN(Construction_Name_and_Level)+1),FALSE)*(-1)</f>
        <v>-2104</v>
      </c>
      <c r="AW360" s="94">
        <f>VLOOKUP($D360,Construction!$B:$J,(COLUMN(Construction_BuildingCost_Ore)-COLUMN(Construction_Name_and_Level)+1),FALSE)*(-1)</f>
        <v>-2104</v>
      </c>
      <c r="AX360" s="94">
        <f>VLOOKUP($D360,Construction!$B:$J,(COLUMN(Construction_BuildingCost_Food)-COLUMN(Construction_Name_and_Level)+1),FALSE)*(-1)</f>
        <v>-6300</v>
      </c>
    </row>
    <row r="361" spans="2:108" ht="15" customHeight="1">
      <c r="B361" s="506" t="s">
        <v>143</v>
      </c>
      <c r="C361" s="127" t="s">
        <v>142</v>
      </c>
      <c r="D361" s="144" t="s">
        <v>1640</v>
      </c>
      <c r="E361" s="506">
        <v>15</v>
      </c>
      <c r="F361" s="222">
        <v>0.3</v>
      </c>
      <c r="G361" s="101">
        <f>VLOOKUP($D361,Construction!$B:$L,(COLUMN(Construction_QuestReward_HeroXP)-COLUMN(Construction_Name_and_Level)+1),FALSE)</f>
        <v>10000</v>
      </c>
      <c r="H361" s="101">
        <f t="shared" si="66"/>
        <v>13000</v>
      </c>
      <c r="J361" s="100">
        <f>VLOOKUP($D361,Construction!$B:$L,(COLUMN(Construction_QuestReward_Power)-COLUMN(Construction_Name_and_Level)+1),FALSE)</f>
        <v>70</v>
      </c>
      <c r="AF361" s="141"/>
      <c r="AG361" s="141"/>
      <c r="AH361" s="137"/>
      <c r="AI361" s="484"/>
      <c r="AJ361" s="137">
        <f t="shared" si="61"/>
        <v>0.12499999999999999</v>
      </c>
      <c r="AU361" s="101">
        <f>VLOOKUP($D361,Construction!$B:$Q,(COLUMN(Construction_QuestReward_Stone)-COLUMN(Construction_Name_and_Level)+1),FALSE)</f>
        <v>3500</v>
      </c>
      <c r="AV361" s="101">
        <f>VLOOKUP($D361,Construction!$B:$Q,(COLUMN(Construction_QuestReward_Wood)-COLUMN(Construction_Name_and_Level)+1),FALSE)</f>
        <v>1700</v>
      </c>
      <c r="AW361" s="101">
        <f>VLOOKUP($D361,Construction!$B:$Q,(COLUMN(Construction_QuestReward_Ore)-COLUMN(Construction_Name_and_Level)+1),FALSE)</f>
        <v>1700</v>
      </c>
      <c r="AX361" s="101">
        <f>VLOOKUP($D361,Construction!$B:$Q,(COLUMN(Construction_QuestReward_Food)-COLUMN(Construction_Name_and_Level)+1),FALSE)</f>
        <v>5200</v>
      </c>
      <c r="AY361" s="100">
        <f>VLOOKUP($D361,Construction!$B:$Q,(COLUMN(Construction_QuestReward_Silver)-COLUMN(Construction_Name_and_Level)+1),FALSE)</f>
        <v>350</v>
      </c>
    </row>
    <row r="362" spans="2:108" ht="15" customHeight="1">
      <c r="B362" s="113" t="s">
        <v>1483</v>
      </c>
      <c r="C362" s="127" t="s">
        <v>154</v>
      </c>
      <c r="D362" s="127">
        <v>100</v>
      </c>
      <c r="E362" s="506">
        <v>15</v>
      </c>
      <c r="G362" s="7"/>
      <c r="H362" s="7"/>
      <c r="J362" s="114">
        <f>VLOOKUP($C362,Troop!$B:$AK,(COLUMN(Troop_TrainingReward_Power)-COLUMN(Troop_Name)+1),FALSE)*$D362</f>
        <v>200</v>
      </c>
      <c r="AF362" s="141"/>
      <c r="AG362" s="141"/>
      <c r="AH362" s="137"/>
      <c r="AI362" s="484"/>
      <c r="AJ362" s="137">
        <f t="shared" si="61"/>
        <v>0.12499999999999999</v>
      </c>
      <c r="AU362" s="296">
        <f>VLOOKUP($C362,Troop!$B:$P,(COLUMN(Troop_TrainingCost_Stone)-COLUMN(Troop_Name)+1),FALSE)*$D362*(-1)</f>
        <v>0</v>
      </c>
      <c r="AV362" s="296">
        <f>VLOOKUP($C362,Troop!$B:$P,(COLUMN(Troop_TrainingCost_Wood)-COLUMN(Troop_Name)+1),FALSE)*$D362*(-1)</f>
        <v>-5000</v>
      </c>
      <c r="AW362" s="296">
        <f>VLOOKUP($C362,Troop!$B:$P,(COLUMN(Troop_TrainingCost_Ore)-COLUMN(Troop_Name)+1),FALSE)*$D362*(-1)</f>
        <v>-3800</v>
      </c>
      <c r="AX362" s="296">
        <f>VLOOKUP($C362,Troop!$B:$P,(COLUMN(Troop_TrainingCost_Food)-COLUMN(Troop_Name)+1),FALSE)*$D362*(-1)</f>
        <v>-5000</v>
      </c>
      <c r="AY362" s="114">
        <f>VLOOKUP($C362,Troop!$B:$P,(COLUMN(Troop_TrainingCost_Silver)-COLUMN(Troop_Name)+1),FALSE)*$D362*(-1)</f>
        <v>0</v>
      </c>
      <c r="CT362" s="128"/>
      <c r="CU362" s="128"/>
      <c r="CV362" s="128"/>
      <c r="CW362" s="128"/>
      <c r="CX362" s="128"/>
      <c r="CY362" s="128"/>
      <c r="CZ362" s="128"/>
      <c r="DA362" s="128"/>
      <c r="DB362" s="128"/>
      <c r="DC362" s="128"/>
      <c r="DD362" s="128"/>
    </row>
    <row r="363" spans="2:108" ht="15" customHeight="1">
      <c r="B363" s="506" t="s">
        <v>144</v>
      </c>
      <c r="C363" s="127" t="s">
        <v>138</v>
      </c>
      <c r="D363" s="144" t="s">
        <v>1641</v>
      </c>
      <c r="E363" s="506">
        <v>15</v>
      </c>
      <c r="F363" s="12">
        <v>0.3</v>
      </c>
      <c r="G363" s="94">
        <f>VLOOKUP($D363,Construction!$B:$E,(COLUMN(Construction_BuildingReward_HeroXP)-COLUMN(Construction_Name_and_Level)+1),FALSE)</f>
        <v>500</v>
      </c>
      <c r="H363" s="94">
        <f t="shared" ref="H363:H364" si="67">G363*(1+F363)</f>
        <v>650</v>
      </c>
      <c r="J363" s="95">
        <f>VLOOKUP($D363,Construction!$B:$F,(COLUMN(Construction_BuildingReward_Power)-COLUMN(Construction_Name_and_Level)+1),FALSE)</f>
        <v>110</v>
      </c>
      <c r="Q363" s="139">
        <v>3.472222222222222E-3</v>
      </c>
      <c r="R363" s="139">
        <v>6.9444444444444441E-3</v>
      </c>
      <c r="W363" s="11">
        <v>-1</v>
      </c>
      <c r="AF363" s="141"/>
      <c r="AG363" s="141"/>
      <c r="AH363" s="137"/>
      <c r="AI363" s="484">
        <f>(-1)*($S$3*$S363+$T$3*$T363+$U$3*$U363+$V$3*$V363+$W$3*$W363+$X$3*$X363+$Y$3*$Y363+$Z$3*$Z363+$AA$3*$AA363+$AB$3*$AB363+$AC$3*$AC363)</f>
        <v>1.0416666666666666E-2</v>
      </c>
      <c r="AJ363" s="137">
        <f t="shared" si="61"/>
        <v>0.11458333333333331</v>
      </c>
      <c r="AK363" s="339">
        <v>0.41</v>
      </c>
      <c r="AL363" s="138">
        <f>VLOOKUP($D363,Construction!$B:$C,(COLUMN(Construction_Time)-COLUMN(Construction_Name_and_Level)+1),FALSE)</f>
        <v>3.1666666666666669E-2</v>
      </c>
      <c r="AM363" s="138">
        <f>AL363/(1+AK363)</f>
        <v>2.245862884160757E-2</v>
      </c>
      <c r="AN363" s="138">
        <f>(S$3*S363+T$3*T363+V$3*V363+W$3*W363+X$3*X363+Y$3*Y363+Z$3*Z363+AA$3*AA363+AB$3*AB363+AC$3*AC363)*(-1)</f>
        <v>1.0416666666666666E-2</v>
      </c>
      <c r="AO363" s="139">
        <f>IF((AM363-Q363-R363-AN363)&gt;=0,AM363-Q363-R363-AN363,0)</f>
        <v>1.6252955082742358E-3</v>
      </c>
      <c r="AU363" s="94">
        <f>VLOOKUP($D363,Construction!$B:$J,(COLUMN(Construction_BuildingCost_Stone)-COLUMN(Construction_Name_and_Level)+1),FALSE)*(-1)</f>
        <v>-8354</v>
      </c>
      <c r="AV363" s="94">
        <f>VLOOKUP($D363,Construction!$B:$J,(COLUMN(Construction_BuildingCost_Wood)-COLUMN(Construction_Name_and_Level)+1),FALSE)*(-1)</f>
        <v>-6686</v>
      </c>
      <c r="AW363" s="94">
        <f>VLOOKUP($D363,Construction!$B:$J,(COLUMN(Construction_BuildingCost_Ore)-COLUMN(Construction_Name_and_Level)+1),FALSE)*(-1)</f>
        <v>-5012</v>
      </c>
      <c r="AX363" s="94">
        <f>VLOOKUP($D363,Construction!$B:$J,(COLUMN(Construction_BuildingCost_Food)-COLUMN(Construction_Name_and_Level)+1),FALSE)*(-1)</f>
        <v>-4182</v>
      </c>
    </row>
    <row r="364" spans="2:108" ht="15" customHeight="1">
      <c r="B364" s="506" t="s">
        <v>143</v>
      </c>
      <c r="C364" s="127" t="s">
        <v>142</v>
      </c>
      <c r="D364" s="144" t="s">
        <v>1641</v>
      </c>
      <c r="E364" s="506">
        <v>15</v>
      </c>
      <c r="F364" s="12">
        <v>0.3</v>
      </c>
      <c r="G364" s="101">
        <f>VLOOKUP($D364,Construction!$B:$L,(COLUMN(Construction_QuestReward_HeroXP)-COLUMN(Construction_Name_and_Level)+1),FALSE)</f>
        <v>10000</v>
      </c>
      <c r="H364" s="101">
        <f t="shared" si="67"/>
        <v>13000</v>
      </c>
      <c r="J364" s="100">
        <f>VLOOKUP($D364,Construction!$B:$L,(COLUMN(Construction_QuestReward_Power)-COLUMN(Construction_Name_and_Level)+1),FALSE)</f>
        <v>115</v>
      </c>
      <c r="AF364" s="141"/>
      <c r="AG364" s="141"/>
      <c r="AH364" s="137"/>
      <c r="AI364" s="484"/>
      <c r="AJ364" s="137">
        <f t="shared" si="61"/>
        <v>0.11458333333333331</v>
      </c>
      <c r="AU364" s="101">
        <f>VLOOKUP($D364,Construction!$B:$Q,(COLUMN(Construction_QuestReward_Stone)-COLUMN(Construction_Name_and_Level)+1),FALSE)</f>
        <v>5800</v>
      </c>
      <c r="AV364" s="101">
        <f>VLOOKUP($D364,Construction!$B:$Q,(COLUMN(Construction_QuestReward_Wood)-COLUMN(Construction_Name_and_Level)+1),FALSE)</f>
        <v>4600</v>
      </c>
      <c r="AW364" s="101">
        <f>VLOOKUP($D364,Construction!$B:$Q,(COLUMN(Construction_QuestReward_Ore)-COLUMN(Construction_Name_and_Level)+1),FALSE)</f>
        <v>3500</v>
      </c>
      <c r="AX364" s="101">
        <f>VLOOKUP($D364,Construction!$B:$Q,(COLUMN(Construction_QuestReward_Food)-COLUMN(Construction_Name_and_Level)+1),FALSE)</f>
        <v>2900</v>
      </c>
      <c r="AY364" s="100">
        <f>VLOOKUP($D364,Construction!$B:$Q,(COLUMN(Construction_QuestReward_Silver)-COLUMN(Construction_Name_and_Level)+1),FALSE)</f>
        <v>300</v>
      </c>
    </row>
    <row r="365" spans="2:108" ht="15" customHeight="1">
      <c r="B365" s="506" t="s">
        <v>145</v>
      </c>
      <c r="C365" s="146" t="s">
        <v>151</v>
      </c>
      <c r="D365" s="145">
        <v>1.6550925925925926E-3</v>
      </c>
      <c r="E365" s="506">
        <v>15</v>
      </c>
      <c r="M365" s="135">
        <v>2.0833333333333332E-2</v>
      </c>
      <c r="AF365" s="141"/>
      <c r="AG365" s="141"/>
      <c r="AH365" s="137"/>
      <c r="AI365" s="484"/>
      <c r="AJ365" s="137">
        <f t="shared" si="61"/>
        <v>0.11458333333333331</v>
      </c>
    </row>
    <row r="366" spans="2:108" ht="15" customHeight="1">
      <c r="B366" s="506" t="s">
        <v>144</v>
      </c>
      <c r="C366" s="127" t="s">
        <v>149</v>
      </c>
      <c r="D366" s="144" t="s">
        <v>1642</v>
      </c>
      <c r="E366" s="506">
        <v>15</v>
      </c>
      <c r="F366" s="12">
        <v>0.3</v>
      </c>
      <c r="G366" s="94">
        <f>VLOOKUP($D366,Construction!$B:$E,(COLUMN(Construction_BuildingReward_HeroXP)-COLUMN(Construction_Name_and_Level)+1),FALSE)</f>
        <v>10</v>
      </c>
      <c r="H366" s="94">
        <f t="shared" ref="H366:H367" si="68">G366*(1+F366)</f>
        <v>13</v>
      </c>
      <c r="J366" s="95">
        <f>VLOOKUP($D366,Construction!$B:$F,(COLUMN(Construction_BuildingReward_Power)-COLUMN(Construction_Name_and_Level)+1),FALSE)</f>
        <v>10</v>
      </c>
      <c r="Q366" s="139">
        <v>3.472222222222222E-3</v>
      </c>
      <c r="R366" s="139">
        <v>6.9444444444444441E-3</v>
      </c>
      <c r="AF366" s="141"/>
      <c r="AG366" s="141"/>
      <c r="AH366" s="137"/>
      <c r="AI366" s="484"/>
      <c r="AJ366" s="137">
        <f t="shared" si="61"/>
        <v>0.11458333333333331</v>
      </c>
      <c r="AK366" s="339">
        <v>0.41</v>
      </c>
      <c r="AL366" s="138">
        <f>VLOOKUP($D366,Construction!$B:$C,(COLUMN(Construction_Time)-COLUMN(Construction_Name_and_Level)+1),FALSE)</f>
        <v>8.1018518518518516E-4</v>
      </c>
      <c r="AM366" s="138">
        <f>AL366/(1+AK366)</f>
        <v>5.7459942211715261E-4</v>
      </c>
      <c r="AN366" s="138">
        <f>(S$3*S366+T$3*T366+V$3*V366+W$3*W366+X$3*X366+Y$3*Y366+Z$3*Z366+AA$3*AA366+AB$3*AB366+AC$3*AC366)*(-1)</f>
        <v>0</v>
      </c>
      <c r="AO366" s="139">
        <f>IF((AM366-Q366-R366-AN366)&gt;=0,AM366-Q366-R366-AN366,0)</f>
        <v>0</v>
      </c>
      <c r="AU366" s="94">
        <f>VLOOKUP($D366,Construction!$B:$J,(COLUMN(Construction_BuildingCost_Stone)-COLUMN(Construction_Name_and_Level)+1),FALSE)*(-1)</f>
        <v>-350</v>
      </c>
      <c r="AV366" s="94">
        <f>VLOOKUP($D366,Construction!$B:$J,(COLUMN(Construction_BuildingCost_Wood)-COLUMN(Construction_Name_and_Level)+1),FALSE)*(-1)</f>
        <v>-500</v>
      </c>
      <c r="AW366" s="94">
        <f>VLOOKUP($D366,Construction!$B:$J,(COLUMN(Construction_BuildingCost_Ore)-COLUMN(Construction_Name_and_Level)+1),FALSE)*(-1)</f>
        <v>-200</v>
      </c>
      <c r="AX366" s="94">
        <f>VLOOKUP($D366,Construction!$B:$J,(COLUMN(Construction_BuildingCost_Food)-COLUMN(Construction_Name_and_Level)+1),FALSE)*(-1)</f>
        <v>-250</v>
      </c>
    </row>
    <row r="367" spans="2:108" ht="15" customHeight="1">
      <c r="B367" s="506" t="s">
        <v>143</v>
      </c>
      <c r="C367" s="127" t="s">
        <v>139</v>
      </c>
      <c r="D367" s="144" t="s">
        <v>1642</v>
      </c>
      <c r="E367" s="506">
        <v>15</v>
      </c>
      <c r="F367" s="12">
        <v>0.3</v>
      </c>
      <c r="G367" s="101">
        <f>VLOOKUP($D367,Construction!$B:$L,(COLUMN(Construction_QuestReward_HeroXP)-COLUMN(Construction_Name_and_Level)+1),FALSE)</f>
        <v>2525</v>
      </c>
      <c r="H367" s="101">
        <f t="shared" si="68"/>
        <v>3282.5</v>
      </c>
      <c r="J367" s="100">
        <f>VLOOKUP($D367,Construction!$B:$L,(COLUMN(Construction_QuestReward_Power)-COLUMN(Construction_Name_and_Level)+1),FALSE)</f>
        <v>2</v>
      </c>
      <c r="AF367" s="141"/>
      <c r="AG367" s="141"/>
      <c r="AH367" s="137"/>
      <c r="AI367" s="484"/>
      <c r="AJ367" s="137">
        <f t="shared" si="61"/>
        <v>0.11458333333333331</v>
      </c>
      <c r="AU367" s="101">
        <f>VLOOKUP($D367,Construction!$B:$Q,(COLUMN(Construction_QuestReward_Stone)-COLUMN(Construction_Name_and_Level)+1),FALSE)</f>
        <v>1800</v>
      </c>
      <c r="AV367" s="101">
        <f>VLOOKUP($D367,Construction!$B:$Q,(COLUMN(Construction_QuestReward_Wood)-COLUMN(Construction_Name_and_Level)+1),FALSE)</f>
        <v>2500</v>
      </c>
      <c r="AW367" s="101">
        <f>VLOOKUP($D367,Construction!$B:$Q,(COLUMN(Construction_QuestReward_Ore)-COLUMN(Construction_Name_and_Level)+1),FALSE)</f>
        <v>1100</v>
      </c>
      <c r="AX367" s="101">
        <f>VLOOKUP($D367,Construction!$B:$Q,(COLUMN(Construction_QuestReward_Food)-COLUMN(Construction_Name_and_Level)+1),FALSE)</f>
        <v>1200</v>
      </c>
      <c r="AY367" s="100">
        <f>VLOOKUP($D367,Construction!$B:$Q,(COLUMN(Construction_QuestReward_Silver)-COLUMN(Construction_Name_and_Level)+1),FALSE)</f>
        <v>0</v>
      </c>
    </row>
    <row r="368" spans="2:108" ht="15" customHeight="1">
      <c r="B368" s="506" t="s">
        <v>144</v>
      </c>
      <c r="C368" s="127" t="s">
        <v>149</v>
      </c>
      <c r="D368" s="144" t="s">
        <v>1643</v>
      </c>
      <c r="E368" s="506">
        <v>15</v>
      </c>
      <c r="F368" s="12">
        <v>0.3</v>
      </c>
      <c r="G368" s="94">
        <f>VLOOKUP($D368,Construction!$B:$E,(COLUMN(Construction_BuildingReward_HeroXP)-COLUMN(Construction_Name_and_Level)+1),FALSE)</f>
        <v>25</v>
      </c>
      <c r="H368" s="94">
        <f t="shared" ref="H368:H369" si="69">G368*(1+F368)</f>
        <v>32.5</v>
      </c>
      <c r="J368" s="95">
        <f>VLOOKUP($D368,Construction!$B:$F,(COLUMN(Construction_BuildingReward_Power)-COLUMN(Construction_Name_and_Level)+1),FALSE)</f>
        <v>20</v>
      </c>
      <c r="Q368" s="139">
        <v>3.472222222222222E-3</v>
      </c>
      <c r="R368" s="139">
        <v>6.9444444444444441E-3</v>
      </c>
      <c r="AF368" s="141"/>
      <c r="AG368" s="141"/>
      <c r="AH368" s="137"/>
      <c r="AI368" s="484"/>
      <c r="AJ368" s="137">
        <f t="shared" si="61"/>
        <v>0.11458333333333331</v>
      </c>
      <c r="AK368" s="339">
        <v>0.41</v>
      </c>
      <c r="AL368" s="138">
        <f>VLOOKUP($D368,Construction!$B:$C,(COLUMN(Construction_Time)-COLUMN(Construction_Name_and_Level)+1),FALSE)</f>
        <v>1.6203703703703703E-3</v>
      </c>
      <c r="AM368" s="138">
        <f>AL368/(1+AK368)</f>
        <v>1.1491988442343052E-3</v>
      </c>
      <c r="AN368" s="138">
        <f>(S$3*S368+T$3*T368+V$3*V368+W$3*W368+X$3*X368+Y$3*Y368+Z$3*Z368+AA$3*AA368+AB$3*AB368+AC$3*AC368)*(-1)</f>
        <v>0</v>
      </c>
      <c r="AO368" s="139">
        <f>IF((AM368-Q368-R368-AN368)&gt;=0,AM368-Q368-R368-AN368,0)</f>
        <v>0</v>
      </c>
      <c r="AU368" s="94">
        <f>VLOOKUP($D368,Construction!$B:$J,(COLUMN(Construction_BuildingCost_Stone)-COLUMN(Construction_Name_and_Level)+1),FALSE)*(-1)</f>
        <v>-630</v>
      </c>
      <c r="AV368" s="94">
        <f>VLOOKUP($D368,Construction!$B:$J,(COLUMN(Construction_BuildingCost_Wood)-COLUMN(Construction_Name_and_Level)+1),FALSE)*(-1)</f>
        <v>-900</v>
      </c>
      <c r="AW368" s="94">
        <f>VLOOKUP($D368,Construction!$B:$J,(COLUMN(Construction_BuildingCost_Ore)-COLUMN(Construction_Name_and_Level)+1),FALSE)*(-1)</f>
        <v>-360</v>
      </c>
      <c r="AX368" s="94">
        <f>VLOOKUP($D368,Construction!$B:$J,(COLUMN(Construction_BuildingCost_Food)-COLUMN(Construction_Name_and_Level)+1),FALSE)*(-1)</f>
        <v>-450</v>
      </c>
    </row>
    <row r="369" spans="2:51" ht="15" customHeight="1">
      <c r="B369" s="506" t="s">
        <v>143</v>
      </c>
      <c r="C369" s="127" t="s">
        <v>139</v>
      </c>
      <c r="D369" s="144" t="s">
        <v>1643</v>
      </c>
      <c r="E369" s="506">
        <v>15</v>
      </c>
      <c r="F369" s="12">
        <v>0.3</v>
      </c>
      <c r="G369" s="101">
        <f>VLOOKUP($D369,Construction!$B:$L,(COLUMN(Construction_QuestReward_HeroXP)-COLUMN(Construction_Name_and_Level)+1),FALSE)</f>
        <v>2575</v>
      </c>
      <c r="H369" s="101">
        <f t="shared" si="69"/>
        <v>3347.5</v>
      </c>
      <c r="J369" s="100">
        <f>VLOOKUP($D369,Construction!$B:$L,(COLUMN(Construction_QuestReward_Power)-COLUMN(Construction_Name_and_Level)+1),FALSE)</f>
        <v>5</v>
      </c>
      <c r="AF369" s="141"/>
      <c r="AG369" s="141"/>
      <c r="AH369" s="137"/>
      <c r="AI369" s="484"/>
      <c r="AJ369" s="137">
        <f t="shared" si="61"/>
        <v>0.11458333333333331</v>
      </c>
      <c r="AU369" s="101">
        <f>VLOOKUP($D369,Construction!$B:$Q,(COLUMN(Construction_QuestReward_Stone)-COLUMN(Construction_Name_and_Level)+1),FALSE)</f>
        <v>1600</v>
      </c>
      <c r="AV369" s="101">
        <f>VLOOKUP($D369,Construction!$B:$Q,(COLUMN(Construction_QuestReward_Wood)-COLUMN(Construction_Name_and_Level)+1),FALSE)</f>
        <v>2300</v>
      </c>
      <c r="AW369" s="101">
        <f>VLOOKUP($D369,Construction!$B:$Q,(COLUMN(Construction_QuestReward_Ore)-COLUMN(Construction_Name_and_Level)+1),FALSE)</f>
        <v>900</v>
      </c>
      <c r="AX369" s="101">
        <f>VLOOKUP($D369,Construction!$B:$Q,(COLUMN(Construction_QuestReward_Food)-COLUMN(Construction_Name_and_Level)+1),FALSE)</f>
        <v>1200</v>
      </c>
      <c r="AY369" s="100">
        <f>VLOOKUP($D369,Construction!$B:$Q,(COLUMN(Construction_QuestReward_Silver)-COLUMN(Construction_Name_and_Level)+1),FALSE)</f>
        <v>50</v>
      </c>
    </row>
    <row r="370" spans="2:51" ht="15" customHeight="1">
      <c r="B370" s="506" t="s">
        <v>144</v>
      </c>
      <c r="C370" s="127" t="s">
        <v>149</v>
      </c>
      <c r="D370" s="144" t="s">
        <v>1644</v>
      </c>
      <c r="E370" s="506">
        <v>15</v>
      </c>
      <c r="F370" s="12">
        <v>0.3</v>
      </c>
      <c r="G370" s="94">
        <f>VLOOKUP($D370,Construction!$B:$E,(COLUMN(Construction_BuildingReward_HeroXP)-COLUMN(Construction_Name_and_Level)+1),FALSE)</f>
        <v>50</v>
      </c>
      <c r="H370" s="94">
        <f t="shared" ref="H370:H371" si="70">G370*(1+F370)</f>
        <v>65</v>
      </c>
      <c r="J370" s="95">
        <f>VLOOKUP($D370,Construction!$B:$F,(COLUMN(Construction_BuildingReward_Power)-COLUMN(Construction_Name_and_Level)+1),FALSE)</f>
        <v>30</v>
      </c>
      <c r="Q370" s="139">
        <v>3.472222222222222E-3</v>
      </c>
      <c r="R370" s="139">
        <v>6.9444444444444441E-3</v>
      </c>
      <c r="AF370" s="141"/>
      <c r="AG370" s="141"/>
      <c r="AH370" s="137"/>
      <c r="AI370" s="484"/>
      <c r="AJ370" s="137">
        <f t="shared" si="61"/>
        <v>0.11458333333333331</v>
      </c>
      <c r="AK370" s="339">
        <v>0.41</v>
      </c>
      <c r="AL370" s="138">
        <f>VLOOKUP($D370,Construction!$B:$C,(COLUMN(Construction_Time)-COLUMN(Construction_Name_and_Level)+1),FALSE)</f>
        <v>3.2407407407407406E-3</v>
      </c>
      <c r="AM370" s="138">
        <f>AL370/(1+AK370)</f>
        <v>2.2983976884686104E-3</v>
      </c>
      <c r="AN370" s="138">
        <f>(S$3*S370+T$3*T370+V$3*V370+W$3*W370+X$3*X370+Y$3*Y370+Z$3*Z370+AA$3*AA370+AB$3*AB370+AC$3*AC370)*(-1)</f>
        <v>0</v>
      </c>
      <c r="AO370" s="139">
        <f>IF((AM370-Q370-R370-AN370)&gt;=0,AM370-Q370-R370-AN370,0)</f>
        <v>0</v>
      </c>
      <c r="AU370" s="94">
        <f>VLOOKUP($D370,Construction!$B:$J,(COLUMN(Construction_BuildingCost_Stone)-COLUMN(Construction_Name_and_Level)+1),FALSE)*(-1)</f>
        <v>-1134</v>
      </c>
      <c r="AV370" s="94">
        <f>VLOOKUP($D370,Construction!$B:$J,(COLUMN(Construction_BuildingCost_Wood)-COLUMN(Construction_Name_and_Level)+1),FALSE)*(-1)</f>
        <v>-1620</v>
      </c>
      <c r="AW370" s="94">
        <f>VLOOKUP($D370,Construction!$B:$J,(COLUMN(Construction_BuildingCost_Ore)-COLUMN(Construction_Name_and_Level)+1),FALSE)*(-1)</f>
        <v>-648</v>
      </c>
      <c r="AX370" s="94">
        <f>VLOOKUP($D370,Construction!$B:$J,(COLUMN(Construction_BuildingCost_Food)-COLUMN(Construction_Name_and_Level)+1),FALSE)*(-1)</f>
        <v>-810</v>
      </c>
    </row>
    <row r="371" spans="2:51" ht="15" customHeight="1">
      <c r="B371" s="506" t="s">
        <v>143</v>
      </c>
      <c r="C371" s="127" t="s">
        <v>139</v>
      </c>
      <c r="D371" s="144" t="s">
        <v>1644</v>
      </c>
      <c r="E371" s="506">
        <v>15</v>
      </c>
      <c r="F371" s="12">
        <v>0.3</v>
      </c>
      <c r="G371" s="101">
        <f>VLOOKUP($D371,Construction!$B:$L,(COLUMN(Construction_QuestReward_HeroXP)-COLUMN(Construction_Name_and_Level)+1),FALSE)</f>
        <v>2600</v>
      </c>
      <c r="H371" s="101">
        <f t="shared" si="70"/>
        <v>3380</v>
      </c>
      <c r="J371" s="100">
        <f>VLOOKUP($D371,Construction!$B:$L,(COLUMN(Construction_QuestReward_Power)-COLUMN(Construction_Name_and_Level)+1),FALSE)</f>
        <v>10</v>
      </c>
      <c r="AF371" s="141"/>
      <c r="AG371" s="141"/>
      <c r="AH371" s="137"/>
      <c r="AI371" s="484"/>
      <c r="AJ371" s="137">
        <f t="shared" si="61"/>
        <v>0.11458333333333331</v>
      </c>
      <c r="AU371" s="101">
        <f>VLOOKUP($D371,Construction!$B:$Q,(COLUMN(Construction_QuestReward_Stone)-COLUMN(Construction_Name_and_Level)+1),FALSE)</f>
        <v>4800</v>
      </c>
      <c r="AV371" s="101">
        <f>VLOOKUP($D371,Construction!$B:$Q,(COLUMN(Construction_QuestReward_Wood)-COLUMN(Construction_Name_and_Level)+1),FALSE)</f>
        <v>5200</v>
      </c>
      <c r="AW371" s="101">
        <f>VLOOKUP($D371,Construction!$B:$Q,(COLUMN(Construction_QuestReward_Ore)-COLUMN(Construction_Name_and_Level)+1),FALSE)</f>
        <v>1100</v>
      </c>
      <c r="AX371" s="101">
        <f>VLOOKUP($D371,Construction!$B:$Q,(COLUMN(Construction_QuestReward_Food)-COLUMN(Construction_Name_and_Level)+1),FALSE)</f>
        <v>1400</v>
      </c>
      <c r="AY371" s="100">
        <f>VLOOKUP($D371,Construction!$B:$Q,(COLUMN(Construction_QuestReward_Silver)-COLUMN(Construction_Name_and_Level)+1),FALSE)</f>
        <v>200</v>
      </c>
    </row>
    <row r="372" spans="2:51" ht="15" customHeight="1">
      <c r="B372" s="506" t="s">
        <v>144</v>
      </c>
      <c r="C372" s="127" t="s">
        <v>149</v>
      </c>
      <c r="D372" s="144" t="s">
        <v>1645</v>
      </c>
      <c r="E372" s="506">
        <v>15</v>
      </c>
      <c r="F372" s="12">
        <v>0.3</v>
      </c>
      <c r="G372" s="94">
        <f>VLOOKUP($D372,Construction!$B:$E,(COLUMN(Construction_BuildingReward_HeroXP)-COLUMN(Construction_Name_and_Level)+1),FALSE)</f>
        <v>200</v>
      </c>
      <c r="H372" s="94">
        <f t="shared" ref="H372:H373" si="71">G372*(1+F372)</f>
        <v>260</v>
      </c>
      <c r="J372" s="95">
        <f>VLOOKUP($D372,Construction!$B:$F,(COLUMN(Construction_BuildingReward_Power)-COLUMN(Construction_Name_and_Level)+1),FALSE)</f>
        <v>50</v>
      </c>
      <c r="Q372" s="139">
        <v>3.472222222222222E-3</v>
      </c>
      <c r="R372" s="139">
        <v>6.9444444444444441E-3</v>
      </c>
      <c r="AF372" s="141"/>
      <c r="AG372" s="141"/>
      <c r="AH372" s="137"/>
      <c r="AI372" s="484"/>
      <c r="AJ372" s="137">
        <f t="shared" si="61"/>
        <v>0.11458333333333331</v>
      </c>
      <c r="AK372" s="339">
        <v>0.41</v>
      </c>
      <c r="AL372" s="138">
        <f>VLOOKUP($D372,Construction!$B:$C,(COLUMN(Construction_Time)-COLUMN(Construction_Name_and_Level)+1),FALSE)</f>
        <v>6.4814814814814813E-3</v>
      </c>
      <c r="AM372" s="138">
        <f>AL372/(1+AK372)</f>
        <v>4.5967953769372209E-3</v>
      </c>
      <c r="AN372" s="138">
        <f>(S$3*S372+T$3*T372+V$3*V372+W$3*W372+X$3*X372+Y$3*Y372+Z$3*Z372+AA$3*AA372+AB$3*AB372+AC$3*AC372)*(-1)</f>
        <v>0</v>
      </c>
      <c r="AO372" s="139">
        <f>IF((AM372-Q372-R372-AN372)&gt;=0,AM372-Q372-R372-AN372,0)</f>
        <v>0</v>
      </c>
      <c r="AU372" s="94">
        <f>VLOOKUP($D372,Construction!$B:$J,(COLUMN(Construction_BuildingCost_Stone)-COLUMN(Construction_Name_and_Level)+1),FALSE)*(-1)</f>
        <v>-2042</v>
      </c>
      <c r="AV372" s="94">
        <f>VLOOKUP($D372,Construction!$B:$J,(COLUMN(Construction_BuildingCost_Wood)-COLUMN(Construction_Name_and_Level)+1),FALSE)*(-1)</f>
        <v>-2916</v>
      </c>
      <c r="AW372" s="94">
        <f>VLOOKUP($D372,Construction!$B:$J,(COLUMN(Construction_BuildingCost_Ore)-COLUMN(Construction_Name_and_Level)+1),FALSE)*(-1)</f>
        <v>-1167</v>
      </c>
      <c r="AX372" s="94">
        <f>VLOOKUP($D372,Construction!$B:$J,(COLUMN(Construction_BuildingCost_Food)-COLUMN(Construction_Name_and_Level)+1),FALSE)*(-1)</f>
        <v>-1458</v>
      </c>
    </row>
    <row r="373" spans="2:51" ht="15" customHeight="1">
      <c r="B373" s="506" t="s">
        <v>143</v>
      </c>
      <c r="C373" s="127" t="s">
        <v>139</v>
      </c>
      <c r="D373" s="144" t="s">
        <v>1645</v>
      </c>
      <c r="E373" s="506">
        <v>15</v>
      </c>
      <c r="F373" s="12">
        <v>0.3</v>
      </c>
      <c r="G373" s="101">
        <f>VLOOKUP($D373,Construction!$B:$L,(COLUMN(Construction_QuestReward_HeroXP)-COLUMN(Construction_Name_and_Level)+1),FALSE)</f>
        <v>2650</v>
      </c>
      <c r="H373" s="101">
        <f t="shared" si="71"/>
        <v>3445</v>
      </c>
      <c r="J373" s="100">
        <f>VLOOKUP($D373,Construction!$B:$L,(COLUMN(Construction_QuestReward_Power)-COLUMN(Construction_Name_and_Level)+1),FALSE)</f>
        <v>20</v>
      </c>
      <c r="AF373" s="141"/>
      <c r="AG373" s="141"/>
      <c r="AH373" s="137"/>
      <c r="AI373" s="484"/>
      <c r="AJ373" s="137">
        <f t="shared" si="61"/>
        <v>0.11458333333333331</v>
      </c>
      <c r="AU373" s="101">
        <f>VLOOKUP($D373,Construction!$B:$Q,(COLUMN(Construction_QuestReward_Stone)-COLUMN(Construction_Name_and_Level)+1),FALSE)</f>
        <v>2500</v>
      </c>
      <c r="AV373" s="101">
        <f>VLOOKUP($D373,Construction!$B:$Q,(COLUMN(Construction_QuestReward_Wood)-COLUMN(Construction_Name_and_Level)+1),FALSE)</f>
        <v>3600</v>
      </c>
      <c r="AW373" s="101">
        <f>VLOOKUP($D373,Construction!$B:$Q,(COLUMN(Construction_QuestReward_Ore)-COLUMN(Construction_Name_and_Level)+1),FALSE)</f>
        <v>1400</v>
      </c>
      <c r="AX373" s="101">
        <f>VLOOKUP($D373,Construction!$B:$Q,(COLUMN(Construction_QuestReward_Food)-COLUMN(Construction_Name_and_Level)+1),FALSE)</f>
        <v>1800</v>
      </c>
      <c r="AY373" s="100">
        <f>VLOOKUP($D373,Construction!$B:$Q,(COLUMN(Construction_QuestReward_Silver)-COLUMN(Construction_Name_and_Level)+1),FALSE)</f>
        <v>250</v>
      </c>
    </row>
    <row r="374" spans="2:51" ht="15" customHeight="1">
      <c r="B374" s="506" t="s">
        <v>144</v>
      </c>
      <c r="C374" s="127" t="s">
        <v>138</v>
      </c>
      <c r="D374" s="144" t="s">
        <v>1646</v>
      </c>
      <c r="E374" s="506">
        <v>15</v>
      </c>
      <c r="F374" s="12">
        <v>0.3</v>
      </c>
      <c r="G374" s="94">
        <f>VLOOKUP($D374,Construction!$B:$E,(COLUMN(Construction_BuildingReward_HeroXP)-COLUMN(Construction_Name_and_Level)+1),FALSE)</f>
        <v>400</v>
      </c>
      <c r="H374" s="94">
        <f t="shared" ref="H374:H375" si="72">G374*(1+F374)</f>
        <v>520</v>
      </c>
      <c r="J374" s="95">
        <f>VLOOKUP($D374,Construction!$B:$F,(COLUMN(Construction_BuildingReward_Power)-COLUMN(Construction_Name_and_Level)+1),FALSE)</f>
        <v>70</v>
      </c>
      <c r="Q374" s="139">
        <v>3.472222222222222E-3</v>
      </c>
      <c r="R374" s="139">
        <v>6.9444444444444441E-3</v>
      </c>
      <c r="AF374" s="141"/>
      <c r="AG374" s="141"/>
      <c r="AH374" s="137"/>
      <c r="AI374" s="484"/>
      <c r="AJ374" s="137">
        <f t="shared" si="61"/>
        <v>0.11458333333333331</v>
      </c>
      <c r="AK374" s="339">
        <v>0.41</v>
      </c>
      <c r="AL374" s="138">
        <f>VLOOKUP($D374,Construction!$B:$C,(COLUMN(Construction_Time)-COLUMN(Construction_Name_and_Level)+1),FALSE)</f>
        <v>1.2962962962962963E-2</v>
      </c>
      <c r="AM374" s="138">
        <f>AL374/(1+AK374)</f>
        <v>9.1935907538744418E-3</v>
      </c>
      <c r="AN374" s="138">
        <f>(S$3*S374+T$3*T374+V$3*V374+W$3*W374+X$3*X374+Y$3*Y374+Z$3*Z374+AA$3*AA374+AB$3*AB374+AC$3*AC374)*(-1)</f>
        <v>0</v>
      </c>
      <c r="AO374" s="139">
        <f>IF((AM374-Q374-R374-AN374)&gt;=0,AM374-Q374-R374-AN374,0)</f>
        <v>0</v>
      </c>
      <c r="AU374" s="94">
        <f>VLOOKUP($D374,Construction!$B:$J,(COLUMN(Construction_BuildingCost_Stone)-COLUMN(Construction_Name_and_Level)+1),FALSE)*(-1)</f>
        <v>-3676</v>
      </c>
      <c r="AV374" s="94">
        <f>VLOOKUP($D374,Construction!$B:$J,(COLUMN(Construction_BuildingCost_Wood)-COLUMN(Construction_Name_and_Level)+1),FALSE)*(-1)</f>
        <v>-5249</v>
      </c>
      <c r="AW374" s="94">
        <f>VLOOKUP($D374,Construction!$B:$J,(COLUMN(Construction_BuildingCost_Ore)-COLUMN(Construction_Name_and_Level)+1),FALSE)*(-1)</f>
        <v>-2101</v>
      </c>
      <c r="AX374" s="94">
        <f>VLOOKUP($D374,Construction!$B:$J,(COLUMN(Construction_BuildingCost_Food)-COLUMN(Construction_Name_and_Level)+1),FALSE)*(-1)</f>
        <v>-2625</v>
      </c>
    </row>
    <row r="375" spans="2:51" ht="15" customHeight="1">
      <c r="B375" s="506" t="s">
        <v>143</v>
      </c>
      <c r="C375" s="127" t="s">
        <v>142</v>
      </c>
      <c r="D375" s="144" t="s">
        <v>1646</v>
      </c>
      <c r="E375" s="506">
        <v>15</v>
      </c>
      <c r="F375" s="12">
        <v>0.3</v>
      </c>
      <c r="G375" s="101">
        <f>VLOOKUP($D375,Construction!$B:$L,(COLUMN(Construction_QuestReward_HeroXP)-COLUMN(Construction_Name_and_Level)+1),FALSE)</f>
        <v>2675</v>
      </c>
      <c r="H375" s="101">
        <f t="shared" si="72"/>
        <v>3477.5</v>
      </c>
      <c r="J375" s="100">
        <f>VLOOKUP($D375,Construction!$B:$L,(COLUMN(Construction_QuestReward_Power)-COLUMN(Construction_Name_and_Level)+1),FALSE)</f>
        <v>35</v>
      </c>
      <c r="AF375" s="141"/>
      <c r="AG375" s="141"/>
      <c r="AH375" s="137"/>
      <c r="AI375" s="484"/>
      <c r="AJ375" s="137">
        <f t="shared" si="61"/>
        <v>0.11458333333333331</v>
      </c>
      <c r="AU375" s="101">
        <f>VLOOKUP($D375,Construction!$B:$Q,(COLUMN(Construction_QuestReward_Stone)-COLUMN(Construction_Name_and_Level)+1),FALSE)</f>
        <v>9900</v>
      </c>
      <c r="AV375" s="101">
        <f>VLOOKUP($D375,Construction!$B:$Q,(COLUMN(Construction_QuestReward_Wood)-COLUMN(Construction_Name_and_Level)+1),FALSE)</f>
        <v>7800</v>
      </c>
      <c r="AW375" s="101">
        <f>VLOOKUP($D375,Construction!$B:$Q,(COLUMN(Construction_QuestReward_Ore)-COLUMN(Construction_Name_and_Level)+1),FALSE)</f>
        <v>4000</v>
      </c>
      <c r="AX375" s="101">
        <f>VLOOKUP($D375,Construction!$B:$Q,(COLUMN(Construction_QuestReward_Food)-COLUMN(Construction_Name_and_Level)+1),FALSE)</f>
        <v>2600</v>
      </c>
      <c r="AY375" s="100">
        <f>VLOOKUP($D375,Construction!$B:$Q,(COLUMN(Construction_QuestReward_Silver)-COLUMN(Construction_Name_and_Level)+1),FALSE)</f>
        <v>450</v>
      </c>
    </row>
    <row r="376" spans="2:51" ht="15" customHeight="1">
      <c r="B376" s="506" t="s">
        <v>145</v>
      </c>
      <c r="C376" s="146" t="s">
        <v>151</v>
      </c>
      <c r="D376" s="145">
        <v>2.0833333333333332E-2</v>
      </c>
      <c r="E376" s="506">
        <v>15</v>
      </c>
      <c r="AF376" s="141"/>
      <c r="AG376" s="141"/>
      <c r="AH376" s="137"/>
      <c r="AI376" s="484"/>
      <c r="AJ376" s="137">
        <f t="shared" si="61"/>
        <v>0.11458333333333331</v>
      </c>
      <c r="AV376" s="2">
        <v>1000</v>
      </c>
    </row>
    <row r="377" spans="2:51" ht="15" customHeight="1">
      <c r="B377" s="506" t="s">
        <v>144</v>
      </c>
      <c r="C377" s="127" t="s">
        <v>138</v>
      </c>
      <c r="D377" s="144" t="s">
        <v>1518</v>
      </c>
      <c r="E377" s="506">
        <v>15</v>
      </c>
      <c r="F377" s="12">
        <v>0.3</v>
      </c>
      <c r="G377" s="94">
        <f>VLOOKUP($D377,Construction!$B:$E,(COLUMN(Construction_BuildingReward_HeroXP)-COLUMN(Construction_Name_and_Level)+1),FALSE)</f>
        <v>25</v>
      </c>
      <c r="H377" s="94">
        <f t="shared" ref="H377:H379" si="73">G377*(1+F377)</f>
        <v>32.5</v>
      </c>
      <c r="J377" s="95">
        <f>VLOOKUP($D377,Construction!$B:$F,(COLUMN(Construction_BuildingReward_Power)-COLUMN(Construction_Name_and_Level)+1),FALSE)</f>
        <v>10</v>
      </c>
      <c r="Q377" s="139">
        <v>3.472222222222222E-3</v>
      </c>
      <c r="R377" s="139">
        <v>6.9444444444444441E-3</v>
      </c>
      <c r="AF377" s="141"/>
      <c r="AG377" s="141"/>
      <c r="AH377" s="137"/>
      <c r="AI377" s="484"/>
      <c r="AJ377" s="137">
        <f t="shared" si="61"/>
        <v>0.11458333333333331</v>
      </c>
      <c r="AK377" s="339">
        <v>0.41</v>
      </c>
      <c r="AL377" s="138">
        <f>VLOOKUP($D377,Construction!$B:$C,(COLUMN(Construction_Time)-COLUMN(Construction_Name_and_Level)+1),FALSE)</f>
        <v>1.3888888888888889E-3</v>
      </c>
      <c r="AM377" s="138">
        <f t="shared" ref="AM377:AM388" si="74">AL377/(1+AK377)</f>
        <v>9.8502758077226174E-4</v>
      </c>
      <c r="AN377" s="138">
        <f t="shared" ref="AN377:AN388" si="75">(S$3*S377+T$3*T377+V$3*V377+W$3*W377+X$3*X377+Y$3*Y377+Z$3*Z377+AA$3*AA377+AB$3*AB377+AC$3*AC377)*(-1)</f>
        <v>0</v>
      </c>
      <c r="AO377" s="139">
        <f t="shared" ref="AO377:AO388" si="76">IF((AM377-Q377-R377-AN377)&gt;=0,AM377-Q377-R377-AN377,0)</f>
        <v>0</v>
      </c>
      <c r="AU377" s="94">
        <f>VLOOKUP($D377,Construction!$B:$J,(COLUMN(Construction_BuildingCost_Stone)-COLUMN(Construction_Name_and_Level)+1),FALSE)*(-1)</f>
        <v>-170</v>
      </c>
      <c r="AV377" s="94">
        <f>VLOOKUP($D377,Construction!$B:$J,(COLUMN(Construction_BuildingCost_Wood)-COLUMN(Construction_Name_and_Level)+1),FALSE)*(-1)</f>
        <v>0</v>
      </c>
      <c r="AW377" s="94">
        <f>VLOOKUP($D377,Construction!$B:$J,(COLUMN(Construction_BuildingCost_Ore)-COLUMN(Construction_Name_and_Level)+1),FALSE)*(-1)</f>
        <v>-170</v>
      </c>
      <c r="AX377" s="94">
        <f>VLOOKUP($D377,Construction!$B:$J,(COLUMN(Construction_BuildingCost_Food)-COLUMN(Construction_Name_and_Level)+1),FALSE)*(-1)</f>
        <v>-170</v>
      </c>
    </row>
    <row r="378" spans="2:51" ht="15" customHeight="1">
      <c r="B378" s="506" t="s">
        <v>144</v>
      </c>
      <c r="C378" s="127" t="s">
        <v>138</v>
      </c>
      <c r="D378" s="144" t="s">
        <v>1518</v>
      </c>
      <c r="E378" s="506">
        <v>15</v>
      </c>
      <c r="F378" s="12">
        <v>0.3</v>
      </c>
      <c r="G378" s="94">
        <f>VLOOKUP($D378,Construction!$B:$E,(COLUMN(Construction_BuildingReward_HeroXP)-COLUMN(Construction_Name_and_Level)+1),FALSE)</f>
        <v>25</v>
      </c>
      <c r="H378" s="94">
        <f t="shared" si="73"/>
        <v>32.5</v>
      </c>
      <c r="J378" s="95">
        <f>VLOOKUP($D378,Construction!$B:$F,(COLUMN(Construction_BuildingReward_Power)-COLUMN(Construction_Name_and_Level)+1),FALSE)</f>
        <v>10</v>
      </c>
      <c r="Q378" s="139">
        <v>3.472222222222222E-3</v>
      </c>
      <c r="R378" s="139">
        <v>6.9444444444444441E-3</v>
      </c>
      <c r="AF378" s="141"/>
      <c r="AG378" s="141"/>
      <c r="AH378" s="137"/>
      <c r="AI378" s="484"/>
      <c r="AJ378" s="137">
        <f t="shared" ref="AJ378:AJ409" si="77">AJ377+(S$3*S378+T$3*T378+U$3*U378+V$3*V378+W$3*W378+X$3*X378+Y$3*Y378+Z$3*Z378+AA$3*AA378+AB$3*AB378+AC$3*AC378)</f>
        <v>0.11458333333333331</v>
      </c>
      <c r="AK378" s="339">
        <v>0.41</v>
      </c>
      <c r="AL378" s="138">
        <f>VLOOKUP($D378,Construction!$B:$C,(COLUMN(Construction_Time)-COLUMN(Construction_Name_and_Level)+1),FALSE)</f>
        <v>1.3888888888888889E-3</v>
      </c>
      <c r="AM378" s="138">
        <f t="shared" si="74"/>
        <v>9.8502758077226174E-4</v>
      </c>
      <c r="AN378" s="138">
        <f t="shared" si="75"/>
        <v>0</v>
      </c>
      <c r="AO378" s="139">
        <f t="shared" si="76"/>
        <v>0</v>
      </c>
      <c r="AU378" s="94">
        <f>VLOOKUP($D378,Construction!$B:$J,(COLUMN(Construction_BuildingCost_Stone)-COLUMN(Construction_Name_and_Level)+1),FALSE)*(-1)</f>
        <v>-170</v>
      </c>
      <c r="AV378" s="94">
        <f>VLOOKUP($D378,Construction!$B:$J,(COLUMN(Construction_BuildingCost_Wood)-COLUMN(Construction_Name_and_Level)+1),FALSE)*(-1)</f>
        <v>0</v>
      </c>
      <c r="AW378" s="94">
        <f>VLOOKUP($D378,Construction!$B:$J,(COLUMN(Construction_BuildingCost_Ore)-COLUMN(Construction_Name_and_Level)+1),FALSE)*(-1)</f>
        <v>-170</v>
      </c>
      <c r="AX378" s="94">
        <f>VLOOKUP($D378,Construction!$B:$J,(COLUMN(Construction_BuildingCost_Food)-COLUMN(Construction_Name_and_Level)+1),FALSE)*(-1)</f>
        <v>-170</v>
      </c>
    </row>
    <row r="379" spans="2:51" ht="15" customHeight="1">
      <c r="B379" s="506" t="s">
        <v>144</v>
      </c>
      <c r="C379" s="127" t="s">
        <v>138</v>
      </c>
      <c r="D379" s="144" t="s">
        <v>1518</v>
      </c>
      <c r="E379" s="506">
        <v>15</v>
      </c>
      <c r="F379" s="12">
        <v>0.3</v>
      </c>
      <c r="G379" s="94">
        <f>VLOOKUP($D379,Construction!$B:$E,(COLUMN(Construction_BuildingReward_HeroXP)-COLUMN(Construction_Name_and_Level)+1),FALSE)</f>
        <v>25</v>
      </c>
      <c r="H379" s="94">
        <f t="shared" si="73"/>
        <v>32.5</v>
      </c>
      <c r="J379" s="95">
        <f>VLOOKUP($D379,Construction!$B:$F,(COLUMN(Construction_BuildingReward_Power)-COLUMN(Construction_Name_and_Level)+1),FALSE)</f>
        <v>10</v>
      </c>
      <c r="Q379" s="139">
        <v>3.472222222222222E-3</v>
      </c>
      <c r="R379" s="139">
        <v>6.9444444444444441E-3</v>
      </c>
      <c r="AF379" s="141"/>
      <c r="AG379" s="141"/>
      <c r="AH379" s="137"/>
      <c r="AI379" s="484"/>
      <c r="AJ379" s="137">
        <f t="shared" si="77"/>
        <v>0.11458333333333331</v>
      </c>
      <c r="AK379" s="339">
        <v>0.41</v>
      </c>
      <c r="AL379" s="138">
        <f>VLOOKUP($D379,Construction!$B:$C,(COLUMN(Construction_Time)-COLUMN(Construction_Name_and_Level)+1),FALSE)</f>
        <v>1.3888888888888889E-3</v>
      </c>
      <c r="AM379" s="138">
        <f t="shared" si="74"/>
        <v>9.8502758077226174E-4</v>
      </c>
      <c r="AN379" s="138">
        <f t="shared" si="75"/>
        <v>0</v>
      </c>
      <c r="AO379" s="139">
        <f t="shared" si="76"/>
        <v>0</v>
      </c>
      <c r="AU379" s="94">
        <f>VLOOKUP($D379,Construction!$B:$J,(COLUMN(Construction_BuildingCost_Stone)-COLUMN(Construction_Name_and_Level)+1),FALSE)*(-1)</f>
        <v>-170</v>
      </c>
      <c r="AV379" s="94">
        <f>VLOOKUP($D379,Construction!$B:$J,(COLUMN(Construction_BuildingCost_Wood)-COLUMN(Construction_Name_and_Level)+1),FALSE)*(-1)</f>
        <v>0</v>
      </c>
      <c r="AW379" s="94">
        <f>VLOOKUP($D379,Construction!$B:$J,(COLUMN(Construction_BuildingCost_Ore)-COLUMN(Construction_Name_and_Level)+1),FALSE)*(-1)</f>
        <v>-170</v>
      </c>
      <c r="AX379" s="94">
        <f>VLOOKUP($D379,Construction!$B:$J,(COLUMN(Construction_BuildingCost_Food)-COLUMN(Construction_Name_and_Level)+1),FALSE)*(-1)</f>
        <v>-170</v>
      </c>
    </row>
    <row r="380" spans="2:51" ht="15" customHeight="1">
      <c r="B380" s="506" t="s">
        <v>144</v>
      </c>
      <c r="C380" s="127" t="s">
        <v>138</v>
      </c>
      <c r="D380" s="144" t="s">
        <v>1566</v>
      </c>
      <c r="E380" s="506">
        <v>15</v>
      </c>
      <c r="F380" s="12">
        <v>0.3</v>
      </c>
      <c r="G380" s="94">
        <f>VLOOKUP($D380,Construction!$B:$E,(COLUMN(Construction_BuildingReward_HeroXP)-COLUMN(Construction_Name_and_Level)+1),FALSE)</f>
        <v>50</v>
      </c>
      <c r="H380" s="94">
        <f t="shared" ref="H380:H382" si="78">G380*(1+F380)</f>
        <v>65</v>
      </c>
      <c r="J380" s="95">
        <f>VLOOKUP($D380,Construction!$B:$F,(COLUMN(Construction_BuildingReward_Power)-COLUMN(Construction_Name_and_Level)+1),FALSE)</f>
        <v>15</v>
      </c>
      <c r="Q380" s="139">
        <v>3.472222222222222E-3</v>
      </c>
      <c r="R380" s="139">
        <v>6.9444444444444441E-3</v>
      </c>
      <c r="AF380" s="141"/>
      <c r="AG380" s="141"/>
      <c r="AH380" s="137"/>
      <c r="AI380" s="484"/>
      <c r="AJ380" s="137">
        <f t="shared" si="77"/>
        <v>0.11458333333333331</v>
      </c>
      <c r="AK380" s="339">
        <v>0.41</v>
      </c>
      <c r="AL380" s="138">
        <f>VLOOKUP($D380,Construction!$B:$C,(COLUMN(Construction_Time)-COLUMN(Construction_Name_and_Level)+1),FALSE)</f>
        <v>2.7777777777777779E-3</v>
      </c>
      <c r="AM380" s="138">
        <f t="shared" si="74"/>
        <v>1.9700551615445235E-3</v>
      </c>
      <c r="AN380" s="138">
        <f t="shared" si="75"/>
        <v>0</v>
      </c>
      <c r="AO380" s="139">
        <f t="shared" si="76"/>
        <v>0</v>
      </c>
      <c r="AU380" s="94">
        <f>VLOOKUP($D380,Construction!$B:$J,(COLUMN(Construction_BuildingCost_Stone)-COLUMN(Construction_Name_and_Level)+1),FALSE)*(-1)</f>
        <v>-289</v>
      </c>
      <c r="AV380" s="94">
        <f>VLOOKUP($D380,Construction!$B:$J,(COLUMN(Construction_BuildingCost_Wood)-COLUMN(Construction_Name_and_Level)+1),FALSE)*(-1)</f>
        <v>0</v>
      </c>
      <c r="AW380" s="94">
        <f>VLOOKUP($D380,Construction!$B:$J,(COLUMN(Construction_BuildingCost_Ore)-COLUMN(Construction_Name_and_Level)+1),FALSE)*(-1)</f>
        <v>-289</v>
      </c>
      <c r="AX380" s="94">
        <f>VLOOKUP($D380,Construction!$B:$J,(COLUMN(Construction_BuildingCost_Food)-COLUMN(Construction_Name_and_Level)+1),FALSE)*(-1)</f>
        <v>-289</v>
      </c>
    </row>
    <row r="381" spans="2:51" ht="15" customHeight="1">
      <c r="B381" s="506" t="s">
        <v>144</v>
      </c>
      <c r="C381" s="127" t="s">
        <v>138</v>
      </c>
      <c r="D381" s="144" t="s">
        <v>1566</v>
      </c>
      <c r="E381" s="506">
        <v>15</v>
      </c>
      <c r="F381" s="12">
        <v>0.3</v>
      </c>
      <c r="G381" s="94">
        <f>VLOOKUP($D381,Construction!$B:$E,(COLUMN(Construction_BuildingReward_HeroXP)-COLUMN(Construction_Name_and_Level)+1),FALSE)</f>
        <v>50</v>
      </c>
      <c r="H381" s="94">
        <f t="shared" si="78"/>
        <v>65</v>
      </c>
      <c r="J381" s="95">
        <f>VLOOKUP($D381,Construction!$B:$F,(COLUMN(Construction_BuildingReward_Power)-COLUMN(Construction_Name_and_Level)+1),FALSE)</f>
        <v>15</v>
      </c>
      <c r="Q381" s="139">
        <v>3.472222222222222E-3</v>
      </c>
      <c r="R381" s="139">
        <v>6.9444444444444441E-3</v>
      </c>
      <c r="AF381" s="141"/>
      <c r="AG381" s="141"/>
      <c r="AH381" s="137"/>
      <c r="AI381" s="484"/>
      <c r="AJ381" s="137">
        <f t="shared" si="77"/>
        <v>0.11458333333333331</v>
      </c>
      <c r="AK381" s="339">
        <v>0.41</v>
      </c>
      <c r="AL381" s="138">
        <f>VLOOKUP($D381,Construction!$B:$C,(COLUMN(Construction_Time)-COLUMN(Construction_Name_and_Level)+1),FALSE)</f>
        <v>2.7777777777777779E-3</v>
      </c>
      <c r="AM381" s="138">
        <f t="shared" si="74"/>
        <v>1.9700551615445235E-3</v>
      </c>
      <c r="AN381" s="138">
        <f t="shared" si="75"/>
        <v>0</v>
      </c>
      <c r="AO381" s="139">
        <f t="shared" si="76"/>
        <v>0</v>
      </c>
      <c r="AU381" s="94">
        <f>VLOOKUP($D381,Construction!$B:$J,(COLUMN(Construction_BuildingCost_Stone)-COLUMN(Construction_Name_and_Level)+1),FALSE)*(-1)</f>
        <v>-289</v>
      </c>
      <c r="AV381" s="94">
        <f>VLOOKUP($D381,Construction!$B:$J,(COLUMN(Construction_BuildingCost_Wood)-COLUMN(Construction_Name_and_Level)+1),FALSE)*(-1)</f>
        <v>0</v>
      </c>
      <c r="AW381" s="94">
        <f>VLOOKUP($D381,Construction!$B:$J,(COLUMN(Construction_BuildingCost_Ore)-COLUMN(Construction_Name_and_Level)+1),FALSE)*(-1)</f>
        <v>-289</v>
      </c>
      <c r="AX381" s="94">
        <f>VLOOKUP($D381,Construction!$B:$J,(COLUMN(Construction_BuildingCost_Food)-COLUMN(Construction_Name_and_Level)+1),FALSE)*(-1)</f>
        <v>-289</v>
      </c>
    </row>
    <row r="382" spans="2:51" ht="15" customHeight="1">
      <c r="B382" s="506" t="s">
        <v>144</v>
      </c>
      <c r="C382" s="127" t="s">
        <v>138</v>
      </c>
      <c r="D382" s="144" t="s">
        <v>1566</v>
      </c>
      <c r="E382" s="506">
        <v>15</v>
      </c>
      <c r="F382" s="12">
        <v>0.3</v>
      </c>
      <c r="G382" s="94">
        <f>VLOOKUP($D382,Construction!$B:$E,(COLUMN(Construction_BuildingReward_HeroXP)-COLUMN(Construction_Name_and_Level)+1),FALSE)</f>
        <v>50</v>
      </c>
      <c r="H382" s="94">
        <f t="shared" si="78"/>
        <v>65</v>
      </c>
      <c r="J382" s="95">
        <f>VLOOKUP($D382,Construction!$B:$F,(COLUMN(Construction_BuildingReward_Power)-COLUMN(Construction_Name_and_Level)+1),FALSE)</f>
        <v>15</v>
      </c>
      <c r="Q382" s="139">
        <v>3.472222222222222E-3</v>
      </c>
      <c r="R382" s="139">
        <v>6.9444444444444441E-3</v>
      </c>
      <c r="AF382" s="141"/>
      <c r="AG382" s="141"/>
      <c r="AH382" s="137"/>
      <c r="AI382" s="484"/>
      <c r="AJ382" s="137">
        <f t="shared" si="77"/>
        <v>0.11458333333333331</v>
      </c>
      <c r="AK382" s="339">
        <v>0.41</v>
      </c>
      <c r="AL382" s="138">
        <f>VLOOKUP($D382,Construction!$B:$C,(COLUMN(Construction_Time)-COLUMN(Construction_Name_and_Level)+1),FALSE)</f>
        <v>2.7777777777777779E-3</v>
      </c>
      <c r="AM382" s="138">
        <f t="shared" si="74"/>
        <v>1.9700551615445235E-3</v>
      </c>
      <c r="AN382" s="138">
        <f t="shared" si="75"/>
        <v>0</v>
      </c>
      <c r="AO382" s="139">
        <f t="shared" si="76"/>
        <v>0</v>
      </c>
      <c r="AU382" s="94">
        <f>VLOOKUP($D382,Construction!$B:$J,(COLUMN(Construction_BuildingCost_Stone)-COLUMN(Construction_Name_and_Level)+1),FALSE)*(-1)</f>
        <v>-289</v>
      </c>
      <c r="AV382" s="94">
        <f>VLOOKUP($D382,Construction!$B:$J,(COLUMN(Construction_BuildingCost_Wood)-COLUMN(Construction_Name_and_Level)+1),FALSE)*(-1)</f>
        <v>0</v>
      </c>
      <c r="AW382" s="94">
        <f>VLOOKUP($D382,Construction!$B:$J,(COLUMN(Construction_BuildingCost_Ore)-COLUMN(Construction_Name_and_Level)+1),FALSE)*(-1)</f>
        <v>-289</v>
      </c>
      <c r="AX382" s="94">
        <f>VLOOKUP($D382,Construction!$B:$J,(COLUMN(Construction_BuildingCost_Food)-COLUMN(Construction_Name_and_Level)+1),FALSE)*(-1)</f>
        <v>-289</v>
      </c>
    </row>
    <row r="383" spans="2:51" ht="15" customHeight="1">
      <c r="B383" s="506" t="s">
        <v>144</v>
      </c>
      <c r="C383" s="127" t="s">
        <v>138</v>
      </c>
      <c r="D383" s="144" t="s">
        <v>411</v>
      </c>
      <c r="E383" s="506">
        <v>15</v>
      </c>
      <c r="F383" s="12">
        <v>0.3</v>
      </c>
      <c r="G383" s="94">
        <f>VLOOKUP($D383,Construction!$B:$E,(COLUMN(Construction_BuildingReward_HeroXP)-COLUMN(Construction_Name_and_Level)+1),FALSE)</f>
        <v>200</v>
      </c>
      <c r="H383" s="94">
        <f t="shared" ref="H383:H388" si="79">G383*(1+F383)</f>
        <v>260</v>
      </c>
      <c r="J383" s="95">
        <f>VLOOKUP($D383,Construction!$B:$F,(COLUMN(Construction_BuildingReward_Power)-COLUMN(Construction_Name_and_Level)+1),FALSE)</f>
        <v>25</v>
      </c>
      <c r="Q383" s="139">
        <v>3.472222222222222E-3</v>
      </c>
      <c r="R383" s="139">
        <v>6.9444444444444441E-3</v>
      </c>
      <c r="AF383" s="141"/>
      <c r="AG383" s="141"/>
      <c r="AH383" s="137"/>
      <c r="AI383" s="484"/>
      <c r="AJ383" s="137">
        <f t="shared" si="77"/>
        <v>0.11458333333333331</v>
      </c>
      <c r="AK383" s="339">
        <v>0.41</v>
      </c>
      <c r="AL383" s="138">
        <f>VLOOKUP($D383,Construction!$B:$C,(COLUMN(Construction_Time)-COLUMN(Construction_Name_and_Level)+1),FALSE)</f>
        <v>5.5555555555555558E-3</v>
      </c>
      <c r="AM383" s="138">
        <f t="shared" si="74"/>
        <v>3.940110323089047E-3</v>
      </c>
      <c r="AN383" s="138">
        <f t="shared" si="75"/>
        <v>0</v>
      </c>
      <c r="AO383" s="139">
        <f t="shared" si="76"/>
        <v>0</v>
      </c>
      <c r="AU383" s="94">
        <f>VLOOKUP($D383,Construction!$B:$J,(COLUMN(Construction_BuildingCost_Stone)-COLUMN(Construction_Name_and_Level)+1),FALSE)*(-1)</f>
        <v>-492</v>
      </c>
      <c r="AV383" s="94">
        <f>VLOOKUP($D383,Construction!$B:$J,(COLUMN(Construction_BuildingCost_Wood)-COLUMN(Construction_Name_and_Level)+1),FALSE)*(-1)</f>
        <v>0</v>
      </c>
      <c r="AW383" s="94">
        <f>VLOOKUP($D383,Construction!$B:$J,(COLUMN(Construction_BuildingCost_Ore)-COLUMN(Construction_Name_and_Level)+1),FALSE)*(-1)</f>
        <v>-492</v>
      </c>
      <c r="AX383" s="94">
        <f>VLOOKUP($D383,Construction!$B:$J,(COLUMN(Construction_BuildingCost_Food)-COLUMN(Construction_Name_and_Level)+1),FALSE)*(-1)</f>
        <v>-492</v>
      </c>
    </row>
    <row r="384" spans="2:51" ht="15" customHeight="1">
      <c r="B384" s="506" t="s">
        <v>144</v>
      </c>
      <c r="C384" s="127" t="s">
        <v>138</v>
      </c>
      <c r="D384" s="144" t="s">
        <v>411</v>
      </c>
      <c r="E384" s="506">
        <v>15</v>
      </c>
      <c r="F384" s="12">
        <v>0.3</v>
      </c>
      <c r="G384" s="94">
        <f>VLOOKUP($D384,Construction!$B:$E,(COLUMN(Construction_BuildingReward_HeroXP)-COLUMN(Construction_Name_and_Level)+1),FALSE)</f>
        <v>200</v>
      </c>
      <c r="H384" s="94">
        <f t="shared" si="79"/>
        <v>260</v>
      </c>
      <c r="J384" s="95">
        <f>VLOOKUP($D384,Construction!$B:$F,(COLUMN(Construction_BuildingReward_Power)-COLUMN(Construction_Name_and_Level)+1),FALSE)</f>
        <v>25</v>
      </c>
      <c r="Q384" s="139">
        <v>3.472222222222222E-3</v>
      </c>
      <c r="R384" s="139">
        <v>6.9444444444444441E-3</v>
      </c>
      <c r="AF384" s="141"/>
      <c r="AG384" s="141"/>
      <c r="AH384" s="137"/>
      <c r="AI384" s="484"/>
      <c r="AJ384" s="137">
        <f t="shared" si="77"/>
        <v>0.11458333333333331</v>
      </c>
      <c r="AK384" s="339">
        <v>0.41</v>
      </c>
      <c r="AL384" s="138">
        <f>VLOOKUP($D384,Construction!$B:$C,(COLUMN(Construction_Time)-COLUMN(Construction_Name_and_Level)+1),FALSE)</f>
        <v>5.5555555555555558E-3</v>
      </c>
      <c r="AM384" s="138">
        <f t="shared" si="74"/>
        <v>3.940110323089047E-3</v>
      </c>
      <c r="AN384" s="138">
        <f t="shared" si="75"/>
        <v>0</v>
      </c>
      <c r="AO384" s="139">
        <f t="shared" si="76"/>
        <v>0</v>
      </c>
      <c r="AU384" s="94">
        <f>VLOOKUP($D384,Construction!$B:$J,(COLUMN(Construction_BuildingCost_Stone)-COLUMN(Construction_Name_and_Level)+1),FALSE)*(-1)</f>
        <v>-492</v>
      </c>
      <c r="AV384" s="94">
        <f>VLOOKUP($D384,Construction!$B:$J,(COLUMN(Construction_BuildingCost_Wood)-COLUMN(Construction_Name_and_Level)+1),FALSE)*(-1)</f>
        <v>0</v>
      </c>
      <c r="AW384" s="94">
        <f>VLOOKUP($D384,Construction!$B:$J,(COLUMN(Construction_BuildingCost_Ore)-COLUMN(Construction_Name_and_Level)+1),FALSE)*(-1)</f>
        <v>-492</v>
      </c>
      <c r="AX384" s="94">
        <f>VLOOKUP($D384,Construction!$B:$J,(COLUMN(Construction_BuildingCost_Food)-COLUMN(Construction_Name_and_Level)+1),FALSE)*(-1)</f>
        <v>-492</v>
      </c>
    </row>
    <row r="385" spans="2:108" ht="15" customHeight="1">
      <c r="B385" s="506" t="s">
        <v>144</v>
      </c>
      <c r="C385" s="127" t="s">
        <v>138</v>
      </c>
      <c r="D385" s="144" t="s">
        <v>411</v>
      </c>
      <c r="E385" s="506">
        <v>15</v>
      </c>
      <c r="F385" s="12">
        <v>0.3</v>
      </c>
      <c r="G385" s="94">
        <f>VLOOKUP($D385,Construction!$B:$E,(COLUMN(Construction_BuildingReward_HeroXP)-COLUMN(Construction_Name_and_Level)+1),FALSE)</f>
        <v>200</v>
      </c>
      <c r="H385" s="94">
        <f t="shared" si="79"/>
        <v>260</v>
      </c>
      <c r="J385" s="95">
        <f>VLOOKUP($D385,Construction!$B:$F,(COLUMN(Construction_BuildingReward_Power)-COLUMN(Construction_Name_and_Level)+1),FALSE)</f>
        <v>25</v>
      </c>
      <c r="Q385" s="139">
        <v>3.472222222222222E-3</v>
      </c>
      <c r="R385" s="139">
        <v>6.9444444444444441E-3</v>
      </c>
      <c r="AF385" s="141"/>
      <c r="AG385" s="141"/>
      <c r="AH385" s="137"/>
      <c r="AI385" s="484"/>
      <c r="AJ385" s="137">
        <f t="shared" si="77"/>
        <v>0.11458333333333331</v>
      </c>
      <c r="AK385" s="339">
        <v>0.41</v>
      </c>
      <c r="AL385" s="138">
        <f>VLOOKUP($D385,Construction!$B:$C,(COLUMN(Construction_Time)-COLUMN(Construction_Name_and_Level)+1),FALSE)</f>
        <v>5.5555555555555558E-3</v>
      </c>
      <c r="AM385" s="138">
        <f t="shared" si="74"/>
        <v>3.940110323089047E-3</v>
      </c>
      <c r="AN385" s="138">
        <f t="shared" si="75"/>
        <v>0</v>
      </c>
      <c r="AO385" s="139">
        <f t="shared" si="76"/>
        <v>0</v>
      </c>
      <c r="AU385" s="94">
        <f>VLOOKUP($D385,Construction!$B:$J,(COLUMN(Construction_BuildingCost_Stone)-COLUMN(Construction_Name_and_Level)+1),FALSE)*(-1)</f>
        <v>-492</v>
      </c>
      <c r="AV385" s="94">
        <f>VLOOKUP($D385,Construction!$B:$J,(COLUMN(Construction_BuildingCost_Wood)-COLUMN(Construction_Name_and_Level)+1),FALSE)*(-1)</f>
        <v>0</v>
      </c>
      <c r="AW385" s="94">
        <f>VLOOKUP($D385,Construction!$B:$J,(COLUMN(Construction_BuildingCost_Ore)-COLUMN(Construction_Name_and_Level)+1),FALSE)*(-1)</f>
        <v>-492</v>
      </c>
      <c r="AX385" s="94">
        <f>VLOOKUP($D385,Construction!$B:$J,(COLUMN(Construction_BuildingCost_Food)-COLUMN(Construction_Name_and_Level)+1),FALSE)*(-1)</f>
        <v>-492</v>
      </c>
    </row>
    <row r="386" spans="2:108" ht="15" customHeight="1">
      <c r="B386" s="506" t="s">
        <v>144</v>
      </c>
      <c r="C386" s="127" t="s">
        <v>138</v>
      </c>
      <c r="D386" s="144" t="s">
        <v>412</v>
      </c>
      <c r="E386" s="506">
        <v>15</v>
      </c>
      <c r="F386" s="12">
        <v>0.3</v>
      </c>
      <c r="G386" s="94">
        <f>VLOOKUP($D386,Construction!$B:$E,(COLUMN(Construction_BuildingReward_HeroXP)-COLUMN(Construction_Name_and_Level)+1),FALSE)</f>
        <v>400</v>
      </c>
      <c r="H386" s="94">
        <f t="shared" si="79"/>
        <v>520</v>
      </c>
      <c r="J386" s="95">
        <f>VLOOKUP($D386,Construction!$B:$F,(COLUMN(Construction_BuildingReward_Power)-COLUMN(Construction_Name_and_Level)+1),FALSE)</f>
        <v>35</v>
      </c>
      <c r="Q386" s="139">
        <v>3.472222222222222E-3</v>
      </c>
      <c r="R386" s="139">
        <v>6.9444444444444441E-3</v>
      </c>
      <c r="AF386" s="141"/>
      <c r="AG386" s="141"/>
      <c r="AH386" s="137"/>
      <c r="AI386" s="484"/>
      <c r="AJ386" s="137">
        <f t="shared" si="77"/>
        <v>0.11458333333333331</v>
      </c>
      <c r="AK386" s="339">
        <v>0.41</v>
      </c>
      <c r="AL386" s="138">
        <f>VLOOKUP($D386,Construction!$B:$C,(COLUMN(Construction_Time)-COLUMN(Construction_Name_and_Level)+1),FALSE)</f>
        <v>1.1111111111111112E-2</v>
      </c>
      <c r="AM386" s="138">
        <f t="shared" si="74"/>
        <v>7.880220646178094E-3</v>
      </c>
      <c r="AN386" s="138">
        <f t="shared" si="75"/>
        <v>0</v>
      </c>
      <c r="AO386" s="139">
        <f t="shared" si="76"/>
        <v>0</v>
      </c>
      <c r="AU386" s="94">
        <f>VLOOKUP($D386,Construction!$B:$J,(COLUMN(Construction_BuildingCost_Stone)-COLUMN(Construction_Name_and_Level)+1),FALSE)*(-1)</f>
        <v>-837</v>
      </c>
      <c r="AV386" s="94">
        <f>VLOOKUP($D386,Construction!$B:$J,(COLUMN(Construction_BuildingCost_Wood)-COLUMN(Construction_Name_and_Level)+1),FALSE)*(-1)</f>
        <v>0</v>
      </c>
      <c r="AW386" s="94">
        <f>VLOOKUP($D386,Construction!$B:$J,(COLUMN(Construction_BuildingCost_Ore)-COLUMN(Construction_Name_and_Level)+1),FALSE)*(-1)</f>
        <v>-837</v>
      </c>
      <c r="AX386" s="94">
        <f>VLOOKUP($D386,Construction!$B:$J,(COLUMN(Construction_BuildingCost_Food)-COLUMN(Construction_Name_and_Level)+1),FALSE)*(-1)</f>
        <v>-837</v>
      </c>
    </row>
    <row r="387" spans="2:108" ht="15" customHeight="1">
      <c r="B387" s="506" t="s">
        <v>144</v>
      </c>
      <c r="C387" s="127" t="s">
        <v>138</v>
      </c>
      <c r="D387" s="144" t="s">
        <v>412</v>
      </c>
      <c r="E387" s="506">
        <v>15</v>
      </c>
      <c r="F387" s="12">
        <v>0.3</v>
      </c>
      <c r="G387" s="94">
        <f>VLOOKUP($D387,Construction!$B:$E,(COLUMN(Construction_BuildingReward_HeroXP)-COLUMN(Construction_Name_and_Level)+1),FALSE)</f>
        <v>400</v>
      </c>
      <c r="H387" s="94">
        <f t="shared" si="79"/>
        <v>520</v>
      </c>
      <c r="J387" s="95">
        <f>VLOOKUP($D387,Construction!$B:$F,(COLUMN(Construction_BuildingReward_Power)-COLUMN(Construction_Name_and_Level)+1),FALSE)</f>
        <v>35</v>
      </c>
      <c r="Q387" s="139">
        <v>3.472222222222222E-3</v>
      </c>
      <c r="R387" s="139">
        <v>6.9444444444444441E-3</v>
      </c>
      <c r="AF387" s="141"/>
      <c r="AG387" s="141"/>
      <c r="AH387" s="137"/>
      <c r="AI387" s="484"/>
      <c r="AJ387" s="137">
        <f t="shared" si="77"/>
        <v>0.11458333333333331</v>
      </c>
      <c r="AK387" s="339">
        <v>0.41</v>
      </c>
      <c r="AL387" s="138">
        <f>VLOOKUP($D387,Construction!$B:$C,(COLUMN(Construction_Time)-COLUMN(Construction_Name_and_Level)+1),FALSE)</f>
        <v>1.1111111111111112E-2</v>
      </c>
      <c r="AM387" s="138">
        <f t="shared" si="74"/>
        <v>7.880220646178094E-3</v>
      </c>
      <c r="AN387" s="138">
        <f t="shared" si="75"/>
        <v>0</v>
      </c>
      <c r="AO387" s="139">
        <f t="shared" si="76"/>
        <v>0</v>
      </c>
      <c r="AU387" s="94">
        <f>VLOOKUP($D387,Construction!$B:$J,(COLUMN(Construction_BuildingCost_Stone)-COLUMN(Construction_Name_and_Level)+1),FALSE)*(-1)</f>
        <v>-837</v>
      </c>
      <c r="AV387" s="94">
        <f>VLOOKUP($D387,Construction!$B:$J,(COLUMN(Construction_BuildingCost_Wood)-COLUMN(Construction_Name_and_Level)+1),FALSE)*(-1)</f>
        <v>0</v>
      </c>
      <c r="AW387" s="94">
        <f>VLOOKUP($D387,Construction!$B:$J,(COLUMN(Construction_BuildingCost_Ore)-COLUMN(Construction_Name_and_Level)+1),FALSE)*(-1)</f>
        <v>-837</v>
      </c>
      <c r="AX387" s="94">
        <f>VLOOKUP($D387,Construction!$B:$J,(COLUMN(Construction_BuildingCost_Food)-COLUMN(Construction_Name_and_Level)+1),FALSE)*(-1)</f>
        <v>-837</v>
      </c>
    </row>
    <row r="388" spans="2:108" ht="15" customHeight="1">
      <c r="B388" s="506" t="s">
        <v>144</v>
      </c>
      <c r="C388" s="127" t="s">
        <v>138</v>
      </c>
      <c r="D388" s="144" t="s">
        <v>412</v>
      </c>
      <c r="E388" s="506">
        <v>15</v>
      </c>
      <c r="F388" s="12">
        <v>0.3</v>
      </c>
      <c r="G388" s="94">
        <f>VLOOKUP($D388,Construction!$B:$E,(COLUMN(Construction_BuildingReward_HeroXP)-COLUMN(Construction_Name_and_Level)+1),FALSE)</f>
        <v>400</v>
      </c>
      <c r="H388" s="94">
        <f t="shared" si="79"/>
        <v>520</v>
      </c>
      <c r="J388" s="95">
        <f>VLOOKUP($D388,Construction!$B:$F,(COLUMN(Construction_BuildingReward_Power)-COLUMN(Construction_Name_and_Level)+1),FALSE)</f>
        <v>35</v>
      </c>
      <c r="Q388" s="139">
        <v>3.472222222222222E-3</v>
      </c>
      <c r="R388" s="139">
        <v>6.9444444444444441E-3</v>
      </c>
      <c r="AF388" s="141"/>
      <c r="AG388" s="141"/>
      <c r="AH388" s="137"/>
      <c r="AI388" s="484"/>
      <c r="AJ388" s="137">
        <f t="shared" si="77"/>
        <v>0.11458333333333331</v>
      </c>
      <c r="AK388" s="339">
        <v>0.41</v>
      </c>
      <c r="AL388" s="138">
        <f>VLOOKUP($D388,Construction!$B:$C,(COLUMN(Construction_Time)-COLUMN(Construction_Name_and_Level)+1),FALSE)</f>
        <v>1.1111111111111112E-2</v>
      </c>
      <c r="AM388" s="138">
        <f t="shared" si="74"/>
        <v>7.880220646178094E-3</v>
      </c>
      <c r="AN388" s="138">
        <f t="shared" si="75"/>
        <v>0</v>
      </c>
      <c r="AO388" s="139">
        <f t="shared" si="76"/>
        <v>0</v>
      </c>
      <c r="AU388" s="94">
        <f>VLOOKUP($D388,Construction!$B:$J,(COLUMN(Construction_BuildingCost_Stone)-COLUMN(Construction_Name_and_Level)+1),FALSE)*(-1)</f>
        <v>-837</v>
      </c>
      <c r="AV388" s="94">
        <f>VLOOKUP($D388,Construction!$B:$J,(COLUMN(Construction_BuildingCost_Wood)-COLUMN(Construction_Name_and_Level)+1),FALSE)*(-1)</f>
        <v>0</v>
      </c>
      <c r="AW388" s="94">
        <f>VLOOKUP($D388,Construction!$B:$J,(COLUMN(Construction_BuildingCost_Ore)-COLUMN(Construction_Name_and_Level)+1),FALSE)*(-1)</f>
        <v>-837</v>
      </c>
      <c r="AX388" s="94">
        <f>VLOOKUP($D388,Construction!$B:$J,(COLUMN(Construction_BuildingCost_Food)-COLUMN(Construction_Name_and_Level)+1),FALSE)*(-1)</f>
        <v>-837</v>
      </c>
    </row>
    <row r="389" spans="2:108" ht="15" customHeight="1">
      <c r="B389" s="506" t="s">
        <v>146</v>
      </c>
      <c r="C389" s="127" t="s">
        <v>138</v>
      </c>
      <c r="D389" s="144" t="s">
        <v>1647</v>
      </c>
      <c r="E389" s="506">
        <v>15</v>
      </c>
      <c r="F389" s="12">
        <v>0.3</v>
      </c>
      <c r="G389" s="111">
        <f>VLOOKUP($D389,Research!$C:$F,(COLUMN(Research_ResearchReward_HeroXP)-COLUMN(Research_Name_and_Level)+1),FALSE)</f>
        <v>36000</v>
      </c>
      <c r="H389" s="111">
        <f>G389*(1+F389)</f>
        <v>46800</v>
      </c>
      <c r="J389" s="115">
        <f>VLOOKUP($D389,Research!$C:$G,(COLUMN(Research_ResearchReward_Power)-COLUMN(Research_Name_and_Level)+1),FALSE)</f>
        <v>750</v>
      </c>
      <c r="R389" s="148">
        <v>6.9444444444444441E-3</v>
      </c>
      <c r="AF389" s="141"/>
      <c r="AG389" s="141"/>
      <c r="AH389" s="137"/>
      <c r="AI389" s="484"/>
      <c r="AJ389" s="137">
        <f t="shared" si="77"/>
        <v>0.11458333333333331</v>
      </c>
      <c r="AP389" s="256">
        <v>0.24</v>
      </c>
      <c r="AQ389" s="147">
        <f>VLOOKUP($D389,Research!$C:$D,(COLUMN(Research_Time)-COLUMN(Research_Name_and_Level)+1),FALSE)</f>
        <v>9.375E-2</v>
      </c>
      <c r="AR389" s="147">
        <f>AQ389/(1+AP389)</f>
        <v>7.5604838709677422E-2</v>
      </c>
      <c r="AS389" s="147">
        <f>(S$3*S389+T$3*T389+V$3*V389+W$3*W389+X$3*X389+Y$3*Y389+Z$3*Z389+AA$3*AA389+AB$3*AB389+AC$3*AC389)*(-1)</f>
        <v>0</v>
      </c>
      <c r="AT389" s="148">
        <f>IF(AR389-R389-AS389&gt;=0,AR389-R389-AS389,0)</f>
        <v>6.8660394265232974E-2</v>
      </c>
      <c r="AU389" s="111">
        <f>VLOOKUP($D389,Research!$C:$L,(COLUMN(Research_ResearchCost_Stone)-COLUMN(Research_Name_and_Level)+1),FALSE)*(-1)</f>
        <v>-1200</v>
      </c>
      <c r="AV389" s="111">
        <f>VLOOKUP($D389,Research!$C:$L,(COLUMN(Research_ResearchCost_Wood)-COLUMN(Research_Name_and_Level)+1),FALSE)*(-1)</f>
        <v>-2000</v>
      </c>
      <c r="AW389" s="111">
        <f>VLOOKUP($D389,Research!$C:$L,(COLUMN(Research_ResearchCost_Ore)-COLUMN(Research_Name_and_Level)+1),FALSE)*(-1)</f>
        <v>-1600</v>
      </c>
      <c r="AX389" s="111">
        <f>VLOOKUP($D389,Research!$C:$L,(COLUMN(Research_ResearchCost_Food)-COLUMN(Research_Name_and_Level)+1),FALSE)*(-1)</f>
        <v>-100</v>
      </c>
      <c r="AY389" s="112">
        <f>VLOOKUP($D389,Research!$C:$L,(COLUMN(Research_ResearchCost_Silver)-COLUMN(Research_Name_and_Level)+1),FALSE)*(-1)</f>
        <v>-15000</v>
      </c>
    </row>
    <row r="390" spans="2:108" ht="15" customHeight="1">
      <c r="B390" s="102" t="s">
        <v>1455</v>
      </c>
      <c r="C390" s="127" t="s">
        <v>170</v>
      </c>
      <c r="D390" s="144" t="s">
        <v>1647</v>
      </c>
      <c r="E390" s="506">
        <v>15</v>
      </c>
      <c r="F390" s="12">
        <v>0.3</v>
      </c>
      <c r="G390" s="101">
        <f>VLOOKUP($D390,Research!$C:$M,(COLUMN(Research_QuestReward_HeroXP)-COLUMN(Research_Name_and_Level)+1),FALSE)</f>
        <v>11000</v>
      </c>
      <c r="H390" s="101">
        <f>G390*(1+F390)</f>
        <v>14300</v>
      </c>
      <c r="J390" s="103">
        <f>VLOOKUP($D390,Research!$C:$N,(COLUMN(Research_QuestReward_Power)-COLUMN(Research_Name_and_Level)+1),FALSE)</f>
        <v>110</v>
      </c>
      <c r="AF390" s="141"/>
      <c r="AG390" s="141"/>
      <c r="AH390" s="137"/>
      <c r="AI390" s="484"/>
      <c r="AJ390" s="137">
        <f t="shared" si="77"/>
        <v>0.11458333333333331</v>
      </c>
      <c r="AU390" s="101">
        <f>VLOOKUP($D390,Research!$C:$S,(COLUMN(Research_QuestReward_Stone)-COLUMN(Research_Name_and_Level)+1),FALSE)</f>
        <v>2000</v>
      </c>
      <c r="AV390" s="101">
        <f>VLOOKUP($D390,Research!$C:$S,(COLUMN(Research_QuestReward_Wood)-COLUMN(Research_Name_and_Level)+1),FALSE)</f>
        <v>3000</v>
      </c>
      <c r="AW390" s="101">
        <f>VLOOKUP($D390,Research!$C:$S,(COLUMN(Research_QuestReward_Ore)-COLUMN(Research_Name_and_Level)+1),FALSE)</f>
        <v>2000</v>
      </c>
      <c r="AX390" s="101">
        <f>VLOOKUP($D390,Research!$C:$S,(COLUMN(Research_QuestReward_Food)-COLUMN(Research_Name_and_Level)+1),FALSE)</f>
        <v>0</v>
      </c>
      <c r="AY390" s="100">
        <f>VLOOKUP($D390,Research!$C:$S,(COLUMN(Research_QuestReward_Silver)-COLUMN(Research_Name_and_Level)+1),FALSE)</f>
        <v>13500</v>
      </c>
      <c r="CT390" s="127"/>
      <c r="CU390" s="127"/>
      <c r="CV390" s="127"/>
      <c r="CW390" s="127"/>
      <c r="CX390" s="127"/>
      <c r="CY390" s="127"/>
      <c r="CZ390" s="127"/>
      <c r="DA390" s="127"/>
      <c r="DB390" s="127"/>
      <c r="DC390" s="127"/>
      <c r="DD390" s="127"/>
    </row>
    <row r="391" spans="2:108" ht="15" customHeight="1">
      <c r="B391" s="506" t="s">
        <v>144</v>
      </c>
      <c r="C391" s="127" t="s">
        <v>138</v>
      </c>
      <c r="D391" s="144" t="s">
        <v>662</v>
      </c>
      <c r="E391" s="506">
        <v>15</v>
      </c>
      <c r="F391" s="12">
        <v>0.3</v>
      </c>
      <c r="G391" s="94">
        <f>VLOOKUP($D391,Construction!$B:$E,(COLUMN(Construction_BuildingReward_HeroXP)-COLUMN(Construction_Name_and_Level)+1),FALSE)</f>
        <v>25</v>
      </c>
      <c r="H391" s="94">
        <f t="shared" ref="H391:H402" si="80">G391*(1+F391)</f>
        <v>32.5</v>
      </c>
      <c r="J391" s="95">
        <f>VLOOKUP($D391,Construction!$B:$F,(COLUMN(Construction_BuildingReward_Power)-COLUMN(Construction_Name_and_Level)+1),FALSE)</f>
        <v>10</v>
      </c>
      <c r="Q391" s="139">
        <v>3.472222222222222E-3</v>
      </c>
      <c r="R391" s="139">
        <v>6.9444444444444441E-3</v>
      </c>
      <c r="AF391" s="141"/>
      <c r="AG391" s="141"/>
      <c r="AH391" s="137"/>
      <c r="AI391" s="484"/>
      <c r="AJ391" s="137">
        <f t="shared" si="77"/>
        <v>0.11458333333333331</v>
      </c>
      <c r="AK391" s="339">
        <v>0.41</v>
      </c>
      <c r="AL391" s="138">
        <f>VLOOKUP($D391,Construction!$B:$C,(COLUMN(Construction_Time)-COLUMN(Construction_Name_and_Level)+1),FALSE)</f>
        <v>1.1574074074074073E-3</v>
      </c>
      <c r="AM391" s="138">
        <f t="shared" ref="AM391:AM429" si="81">AL391/(1+AK391)</f>
        <v>8.2085631731021805E-4</v>
      </c>
      <c r="AN391" s="138">
        <f t="shared" ref="AN391:AN429" si="82">(S$3*S391+T$3*T391+V$3*V391+W$3*W391+X$3*X391+Y$3*Y391+Z$3*Z391+AA$3*AA391+AB$3*AB391+AC$3*AC391)*(-1)</f>
        <v>0</v>
      </c>
      <c r="AO391" s="139">
        <f t="shared" ref="AO391:AO429" si="83">IF((AM391-Q391-R391-AN391)&gt;=0,AM391-Q391-R391-AN391,0)</f>
        <v>0</v>
      </c>
      <c r="AU391" s="94">
        <f>VLOOKUP($D391,Construction!$B:$J,(COLUMN(Construction_BuildingCost_Stone)-COLUMN(Construction_Name_and_Level)+1),FALSE)*(-1)</f>
        <v>-170</v>
      </c>
      <c r="AV391" s="94">
        <f>VLOOKUP($D391,Construction!$B:$J,(COLUMN(Construction_BuildingCost_Wood)-COLUMN(Construction_Name_and_Level)+1),FALSE)*(-1)</f>
        <v>-170</v>
      </c>
      <c r="AW391" s="94">
        <f>VLOOKUP($D391,Construction!$B:$J,(COLUMN(Construction_BuildingCost_Ore)-COLUMN(Construction_Name_and_Level)+1),FALSE)*(-1)</f>
        <v>-170</v>
      </c>
      <c r="AX391" s="94">
        <f>VLOOKUP($D391,Construction!$B:$J,(COLUMN(Construction_BuildingCost_Food)-COLUMN(Construction_Name_and_Level)+1),FALSE)*(-1)</f>
        <v>0</v>
      </c>
    </row>
    <row r="392" spans="2:108" ht="15" customHeight="1">
      <c r="B392" s="506" t="s">
        <v>144</v>
      </c>
      <c r="C392" s="127" t="s">
        <v>138</v>
      </c>
      <c r="D392" s="144" t="s">
        <v>662</v>
      </c>
      <c r="E392" s="506">
        <v>15</v>
      </c>
      <c r="F392" s="12">
        <v>0.3</v>
      </c>
      <c r="G392" s="94">
        <f>VLOOKUP($D392,Construction!$B:$E,(COLUMN(Construction_BuildingReward_HeroXP)-COLUMN(Construction_Name_and_Level)+1),FALSE)</f>
        <v>25</v>
      </c>
      <c r="H392" s="94">
        <f t="shared" si="80"/>
        <v>32.5</v>
      </c>
      <c r="J392" s="95">
        <f>VLOOKUP($D392,Construction!$B:$F,(COLUMN(Construction_BuildingReward_Power)-COLUMN(Construction_Name_and_Level)+1),FALSE)</f>
        <v>10</v>
      </c>
      <c r="Q392" s="139">
        <v>3.472222222222222E-3</v>
      </c>
      <c r="R392" s="139">
        <v>6.9444444444444441E-3</v>
      </c>
      <c r="AF392" s="141"/>
      <c r="AG392" s="141"/>
      <c r="AH392" s="137"/>
      <c r="AI392" s="484"/>
      <c r="AJ392" s="137">
        <f t="shared" si="77"/>
        <v>0.11458333333333331</v>
      </c>
      <c r="AK392" s="339">
        <v>0.41</v>
      </c>
      <c r="AL392" s="138">
        <f>VLOOKUP($D392,Construction!$B:$C,(COLUMN(Construction_Time)-COLUMN(Construction_Name_and_Level)+1),FALSE)</f>
        <v>1.1574074074074073E-3</v>
      </c>
      <c r="AM392" s="138">
        <f t="shared" si="81"/>
        <v>8.2085631731021805E-4</v>
      </c>
      <c r="AN392" s="138">
        <f t="shared" si="82"/>
        <v>0</v>
      </c>
      <c r="AO392" s="139">
        <f t="shared" si="83"/>
        <v>0</v>
      </c>
      <c r="AU392" s="94">
        <f>VLOOKUP($D392,Construction!$B:$J,(COLUMN(Construction_BuildingCost_Stone)-COLUMN(Construction_Name_and_Level)+1),FALSE)*(-1)</f>
        <v>-170</v>
      </c>
      <c r="AV392" s="94">
        <f>VLOOKUP($D392,Construction!$B:$J,(COLUMN(Construction_BuildingCost_Wood)-COLUMN(Construction_Name_and_Level)+1),FALSE)*(-1)</f>
        <v>-170</v>
      </c>
      <c r="AW392" s="94">
        <f>VLOOKUP($D392,Construction!$B:$J,(COLUMN(Construction_BuildingCost_Ore)-COLUMN(Construction_Name_and_Level)+1),FALSE)*(-1)</f>
        <v>-170</v>
      </c>
      <c r="AX392" s="94">
        <f>VLOOKUP($D392,Construction!$B:$J,(COLUMN(Construction_BuildingCost_Food)-COLUMN(Construction_Name_and_Level)+1),FALSE)*(-1)</f>
        <v>0</v>
      </c>
    </row>
    <row r="393" spans="2:108" ht="15" customHeight="1">
      <c r="B393" s="506" t="s">
        <v>144</v>
      </c>
      <c r="C393" s="127" t="s">
        <v>138</v>
      </c>
      <c r="D393" s="144" t="s">
        <v>662</v>
      </c>
      <c r="E393" s="506">
        <v>15</v>
      </c>
      <c r="F393" s="12">
        <v>0.3</v>
      </c>
      <c r="G393" s="94">
        <f>VLOOKUP($D393,Construction!$B:$E,(COLUMN(Construction_BuildingReward_HeroXP)-COLUMN(Construction_Name_and_Level)+1),FALSE)</f>
        <v>25</v>
      </c>
      <c r="H393" s="94">
        <f t="shared" si="80"/>
        <v>32.5</v>
      </c>
      <c r="J393" s="95">
        <f>VLOOKUP($D393,Construction!$B:$F,(COLUMN(Construction_BuildingReward_Power)-COLUMN(Construction_Name_and_Level)+1),FALSE)</f>
        <v>10</v>
      </c>
      <c r="Q393" s="139">
        <v>3.472222222222222E-3</v>
      </c>
      <c r="R393" s="139">
        <v>6.9444444444444441E-3</v>
      </c>
      <c r="AF393" s="141"/>
      <c r="AG393" s="141"/>
      <c r="AH393" s="137"/>
      <c r="AI393" s="484"/>
      <c r="AJ393" s="137">
        <f t="shared" si="77"/>
        <v>0.11458333333333331</v>
      </c>
      <c r="AK393" s="339">
        <v>0.41</v>
      </c>
      <c r="AL393" s="138">
        <f>VLOOKUP($D393,Construction!$B:$C,(COLUMN(Construction_Time)-COLUMN(Construction_Name_and_Level)+1),FALSE)</f>
        <v>1.1574074074074073E-3</v>
      </c>
      <c r="AM393" s="138">
        <f t="shared" si="81"/>
        <v>8.2085631731021805E-4</v>
      </c>
      <c r="AN393" s="138">
        <f t="shared" si="82"/>
        <v>0</v>
      </c>
      <c r="AO393" s="139">
        <f t="shared" si="83"/>
        <v>0</v>
      </c>
      <c r="AU393" s="94">
        <f>VLOOKUP($D393,Construction!$B:$J,(COLUMN(Construction_BuildingCost_Stone)-COLUMN(Construction_Name_and_Level)+1),FALSE)*(-1)</f>
        <v>-170</v>
      </c>
      <c r="AV393" s="94">
        <f>VLOOKUP($D393,Construction!$B:$J,(COLUMN(Construction_BuildingCost_Wood)-COLUMN(Construction_Name_and_Level)+1),FALSE)*(-1)</f>
        <v>-170</v>
      </c>
      <c r="AW393" s="94">
        <f>VLOOKUP($D393,Construction!$B:$J,(COLUMN(Construction_BuildingCost_Ore)-COLUMN(Construction_Name_and_Level)+1),FALSE)*(-1)</f>
        <v>-170</v>
      </c>
      <c r="AX393" s="94">
        <f>VLOOKUP($D393,Construction!$B:$J,(COLUMN(Construction_BuildingCost_Food)-COLUMN(Construction_Name_and_Level)+1),FALSE)*(-1)</f>
        <v>0</v>
      </c>
    </row>
    <row r="394" spans="2:108" ht="15" customHeight="1">
      <c r="B394" s="506" t="s">
        <v>144</v>
      </c>
      <c r="C394" s="127" t="s">
        <v>138</v>
      </c>
      <c r="D394" s="144" t="s">
        <v>31</v>
      </c>
      <c r="E394" s="506">
        <v>15</v>
      </c>
      <c r="F394" s="12">
        <v>0.3</v>
      </c>
      <c r="G394" s="94">
        <f>VLOOKUP($D394,Construction!$B:$E,(COLUMN(Construction_BuildingReward_HeroXP)-COLUMN(Construction_Name_and_Level)+1),FALSE)</f>
        <v>50</v>
      </c>
      <c r="H394" s="94">
        <f t="shared" si="80"/>
        <v>65</v>
      </c>
      <c r="J394" s="95">
        <f>VLOOKUP($D394,Construction!$B:$F,(COLUMN(Construction_BuildingReward_Power)-COLUMN(Construction_Name_and_Level)+1),FALSE)</f>
        <v>15</v>
      </c>
      <c r="Q394" s="139">
        <v>3.472222222222222E-3</v>
      </c>
      <c r="R394" s="139">
        <v>6.9444444444444441E-3</v>
      </c>
      <c r="AF394" s="141"/>
      <c r="AG394" s="141"/>
      <c r="AH394" s="137"/>
      <c r="AI394" s="484"/>
      <c r="AJ394" s="137">
        <f t="shared" si="77"/>
        <v>0.11458333333333331</v>
      </c>
      <c r="AK394" s="339">
        <v>0.41</v>
      </c>
      <c r="AL394" s="138">
        <f>VLOOKUP($D394,Construction!$B:$C,(COLUMN(Construction_Time)-COLUMN(Construction_Name_and_Level)+1),FALSE)</f>
        <v>2.3148148148148151E-3</v>
      </c>
      <c r="AM394" s="138">
        <f t="shared" si="81"/>
        <v>1.6417126346204363E-3</v>
      </c>
      <c r="AN394" s="138">
        <f t="shared" si="82"/>
        <v>0</v>
      </c>
      <c r="AO394" s="139">
        <f t="shared" si="83"/>
        <v>0</v>
      </c>
      <c r="AU394" s="94">
        <f>VLOOKUP($D394,Construction!$B:$J,(COLUMN(Construction_BuildingCost_Stone)-COLUMN(Construction_Name_and_Level)+1),FALSE)*(-1)</f>
        <v>-289</v>
      </c>
      <c r="AV394" s="94">
        <f>VLOOKUP($D394,Construction!$B:$J,(COLUMN(Construction_BuildingCost_Wood)-COLUMN(Construction_Name_and_Level)+1),FALSE)*(-1)</f>
        <v>-289</v>
      </c>
      <c r="AW394" s="94">
        <f>VLOOKUP($D394,Construction!$B:$J,(COLUMN(Construction_BuildingCost_Ore)-COLUMN(Construction_Name_and_Level)+1),FALSE)*(-1)</f>
        <v>-289</v>
      </c>
      <c r="AX394" s="94">
        <f>VLOOKUP($D394,Construction!$B:$J,(COLUMN(Construction_BuildingCost_Food)-COLUMN(Construction_Name_and_Level)+1),FALSE)*(-1)</f>
        <v>0</v>
      </c>
    </row>
    <row r="395" spans="2:108" ht="15" customHeight="1">
      <c r="B395" s="506" t="s">
        <v>144</v>
      </c>
      <c r="C395" s="127" t="s">
        <v>138</v>
      </c>
      <c r="D395" s="144" t="s">
        <v>31</v>
      </c>
      <c r="E395" s="506">
        <v>15</v>
      </c>
      <c r="F395" s="12">
        <v>0.3</v>
      </c>
      <c r="G395" s="94">
        <f>VLOOKUP($D395,Construction!$B:$E,(COLUMN(Construction_BuildingReward_HeroXP)-COLUMN(Construction_Name_and_Level)+1),FALSE)</f>
        <v>50</v>
      </c>
      <c r="H395" s="94">
        <f t="shared" si="80"/>
        <v>65</v>
      </c>
      <c r="J395" s="95">
        <f>VLOOKUP($D395,Construction!$B:$F,(COLUMN(Construction_BuildingReward_Power)-COLUMN(Construction_Name_and_Level)+1),FALSE)</f>
        <v>15</v>
      </c>
      <c r="Q395" s="139">
        <v>3.472222222222222E-3</v>
      </c>
      <c r="R395" s="139">
        <v>6.9444444444444441E-3</v>
      </c>
      <c r="AF395" s="141"/>
      <c r="AG395" s="141"/>
      <c r="AH395" s="137"/>
      <c r="AI395" s="484"/>
      <c r="AJ395" s="137">
        <f t="shared" si="77"/>
        <v>0.11458333333333331</v>
      </c>
      <c r="AK395" s="339">
        <v>0.41</v>
      </c>
      <c r="AL395" s="138">
        <f>VLOOKUP($D395,Construction!$B:$C,(COLUMN(Construction_Time)-COLUMN(Construction_Name_and_Level)+1),FALSE)</f>
        <v>2.3148148148148151E-3</v>
      </c>
      <c r="AM395" s="138">
        <f t="shared" si="81"/>
        <v>1.6417126346204363E-3</v>
      </c>
      <c r="AN395" s="138">
        <f t="shared" si="82"/>
        <v>0</v>
      </c>
      <c r="AO395" s="139">
        <f t="shared" si="83"/>
        <v>0</v>
      </c>
      <c r="AU395" s="94">
        <f>VLOOKUP($D395,Construction!$B:$J,(COLUMN(Construction_BuildingCost_Stone)-COLUMN(Construction_Name_and_Level)+1),FALSE)*(-1)</f>
        <v>-289</v>
      </c>
      <c r="AV395" s="94">
        <f>VLOOKUP($D395,Construction!$B:$J,(COLUMN(Construction_BuildingCost_Wood)-COLUMN(Construction_Name_and_Level)+1),FALSE)*(-1)</f>
        <v>-289</v>
      </c>
      <c r="AW395" s="94">
        <f>VLOOKUP($D395,Construction!$B:$J,(COLUMN(Construction_BuildingCost_Ore)-COLUMN(Construction_Name_and_Level)+1),FALSE)*(-1)</f>
        <v>-289</v>
      </c>
      <c r="AX395" s="94">
        <f>VLOOKUP($D395,Construction!$B:$J,(COLUMN(Construction_BuildingCost_Food)-COLUMN(Construction_Name_and_Level)+1),FALSE)*(-1)</f>
        <v>0</v>
      </c>
    </row>
    <row r="396" spans="2:108" ht="15" customHeight="1">
      <c r="B396" s="506" t="s">
        <v>144</v>
      </c>
      <c r="C396" s="127" t="s">
        <v>138</v>
      </c>
      <c r="D396" s="144" t="s">
        <v>31</v>
      </c>
      <c r="E396" s="506">
        <v>15</v>
      </c>
      <c r="F396" s="12">
        <v>0.3</v>
      </c>
      <c r="G396" s="94">
        <f>VLOOKUP($D396,Construction!$B:$E,(COLUMN(Construction_BuildingReward_HeroXP)-COLUMN(Construction_Name_and_Level)+1),FALSE)</f>
        <v>50</v>
      </c>
      <c r="H396" s="94">
        <f t="shared" si="80"/>
        <v>65</v>
      </c>
      <c r="J396" s="95">
        <f>VLOOKUP($D396,Construction!$B:$F,(COLUMN(Construction_BuildingReward_Power)-COLUMN(Construction_Name_and_Level)+1),FALSE)</f>
        <v>15</v>
      </c>
      <c r="Q396" s="139">
        <v>3.472222222222222E-3</v>
      </c>
      <c r="R396" s="139">
        <v>6.9444444444444441E-3</v>
      </c>
      <c r="AF396" s="141"/>
      <c r="AG396" s="141"/>
      <c r="AH396" s="137"/>
      <c r="AI396" s="484"/>
      <c r="AJ396" s="137">
        <f t="shared" si="77"/>
        <v>0.11458333333333331</v>
      </c>
      <c r="AK396" s="339">
        <v>0.41</v>
      </c>
      <c r="AL396" s="138">
        <f>VLOOKUP($D396,Construction!$B:$C,(COLUMN(Construction_Time)-COLUMN(Construction_Name_and_Level)+1),FALSE)</f>
        <v>2.3148148148148151E-3</v>
      </c>
      <c r="AM396" s="138">
        <f t="shared" si="81"/>
        <v>1.6417126346204363E-3</v>
      </c>
      <c r="AN396" s="138">
        <f t="shared" si="82"/>
        <v>0</v>
      </c>
      <c r="AO396" s="139">
        <f t="shared" si="83"/>
        <v>0</v>
      </c>
      <c r="AU396" s="94">
        <f>VLOOKUP($D396,Construction!$B:$J,(COLUMN(Construction_BuildingCost_Stone)-COLUMN(Construction_Name_and_Level)+1),FALSE)*(-1)</f>
        <v>-289</v>
      </c>
      <c r="AV396" s="94">
        <f>VLOOKUP($D396,Construction!$B:$J,(COLUMN(Construction_BuildingCost_Wood)-COLUMN(Construction_Name_and_Level)+1),FALSE)*(-1)</f>
        <v>-289</v>
      </c>
      <c r="AW396" s="94">
        <f>VLOOKUP($D396,Construction!$B:$J,(COLUMN(Construction_BuildingCost_Ore)-COLUMN(Construction_Name_and_Level)+1),FALSE)*(-1)</f>
        <v>-289</v>
      </c>
      <c r="AX396" s="94">
        <f>VLOOKUP($D396,Construction!$B:$J,(COLUMN(Construction_BuildingCost_Food)-COLUMN(Construction_Name_and_Level)+1),FALSE)*(-1)</f>
        <v>0</v>
      </c>
    </row>
    <row r="397" spans="2:108" ht="15" customHeight="1">
      <c r="B397" s="506" t="s">
        <v>144</v>
      </c>
      <c r="C397" s="127" t="s">
        <v>138</v>
      </c>
      <c r="D397" s="144" t="s">
        <v>32</v>
      </c>
      <c r="E397" s="506">
        <v>15</v>
      </c>
      <c r="F397" s="12">
        <v>0.3</v>
      </c>
      <c r="G397" s="94">
        <f>VLOOKUP($D397,Construction!$B:$E,(COLUMN(Construction_BuildingReward_HeroXP)-COLUMN(Construction_Name_and_Level)+1),FALSE)</f>
        <v>200</v>
      </c>
      <c r="H397" s="94">
        <f t="shared" si="80"/>
        <v>260</v>
      </c>
      <c r="J397" s="95">
        <f>VLOOKUP($D397,Construction!$B:$F,(COLUMN(Construction_BuildingReward_Power)-COLUMN(Construction_Name_and_Level)+1),FALSE)</f>
        <v>25</v>
      </c>
      <c r="Q397" s="139">
        <v>3.472222222222222E-3</v>
      </c>
      <c r="R397" s="139">
        <v>6.9444444444444441E-3</v>
      </c>
      <c r="AF397" s="141"/>
      <c r="AG397" s="141"/>
      <c r="AH397" s="137"/>
      <c r="AI397" s="484"/>
      <c r="AJ397" s="137">
        <f t="shared" si="77"/>
        <v>0.11458333333333331</v>
      </c>
      <c r="AK397" s="339">
        <v>0.41</v>
      </c>
      <c r="AL397" s="138">
        <f>VLOOKUP($D397,Construction!$B:$C,(COLUMN(Construction_Time)-COLUMN(Construction_Name_and_Level)+1),FALSE)</f>
        <v>4.6296296296296302E-3</v>
      </c>
      <c r="AM397" s="138">
        <f t="shared" si="81"/>
        <v>3.2834252692408726E-3</v>
      </c>
      <c r="AN397" s="138">
        <f t="shared" si="82"/>
        <v>0</v>
      </c>
      <c r="AO397" s="139">
        <f t="shared" si="83"/>
        <v>0</v>
      </c>
      <c r="AU397" s="94">
        <f>VLOOKUP($D397,Construction!$B:$J,(COLUMN(Construction_BuildingCost_Stone)-COLUMN(Construction_Name_and_Level)+1),FALSE)*(-1)</f>
        <v>-492</v>
      </c>
      <c r="AV397" s="94">
        <f>VLOOKUP($D397,Construction!$B:$J,(COLUMN(Construction_BuildingCost_Wood)-COLUMN(Construction_Name_and_Level)+1),FALSE)*(-1)</f>
        <v>-492</v>
      </c>
      <c r="AW397" s="94">
        <f>VLOOKUP($D397,Construction!$B:$J,(COLUMN(Construction_BuildingCost_Ore)-COLUMN(Construction_Name_and_Level)+1),FALSE)*(-1)</f>
        <v>-492</v>
      </c>
      <c r="AX397" s="94">
        <f>VLOOKUP($D397,Construction!$B:$J,(COLUMN(Construction_BuildingCost_Food)-COLUMN(Construction_Name_and_Level)+1),FALSE)*(-1)</f>
        <v>0</v>
      </c>
    </row>
    <row r="398" spans="2:108" ht="15" customHeight="1">
      <c r="B398" s="506" t="s">
        <v>144</v>
      </c>
      <c r="C398" s="127" t="s">
        <v>138</v>
      </c>
      <c r="D398" s="144" t="s">
        <v>32</v>
      </c>
      <c r="E398" s="506">
        <v>15</v>
      </c>
      <c r="F398" s="12">
        <v>0.3</v>
      </c>
      <c r="G398" s="94">
        <f>VLOOKUP($D398,Construction!$B:$E,(COLUMN(Construction_BuildingReward_HeroXP)-COLUMN(Construction_Name_and_Level)+1),FALSE)</f>
        <v>200</v>
      </c>
      <c r="H398" s="94">
        <f t="shared" si="80"/>
        <v>260</v>
      </c>
      <c r="J398" s="95">
        <f>VLOOKUP($D398,Construction!$B:$F,(COLUMN(Construction_BuildingReward_Power)-COLUMN(Construction_Name_and_Level)+1),FALSE)</f>
        <v>25</v>
      </c>
      <c r="Q398" s="139">
        <v>3.472222222222222E-3</v>
      </c>
      <c r="R398" s="139">
        <v>6.9444444444444441E-3</v>
      </c>
      <c r="AF398" s="141"/>
      <c r="AG398" s="141"/>
      <c r="AH398" s="137"/>
      <c r="AI398" s="484"/>
      <c r="AJ398" s="137">
        <f t="shared" si="77"/>
        <v>0.11458333333333331</v>
      </c>
      <c r="AK398" s="339">
        <v>0.41</v>
      </c>
      <c r="AL398" s="138">
        <f>VLOOKUP($D398,Construction!$B:$C,(COLUMN(Construction_Time)-COLUMN(Construction_Name_and_Level)+1),FALSE)</f>
        <v>4.6296296296296302E-3</v>
      </c>
      <c r="AM398" s="138">
        <f t="shared" si="81"/>
        <v>3.2834252692408726E-3</v>
      </c>
      <c r="AN398" s="138">
        <f t="shared" si="82"/>
        <v>0</v>
      </c>
      <c r="AO398" s="139">
        <f t="shared" si="83"/>
        <v>0</v>
      </c>
      <c r="AU398" s="94">
        <f>VLOOKUP($D398,Construction!$B:$J,(COLUMN(Construction_BuildingCost_Stone)-COLUMN(Construction_Name_and_Level)+1),FALSE)*(-1)</f>
        <v>-492</v>
      </c>
      <c r="AV398" s="94">
        <f>VLOOKUP($D398,Construction!$B:$J,(COLUMN(Construction_BuildingCost_Wood)-COLUMN(Construction_Name_and_Level)+1),FALSE)*(-1)</f>
        <v>-492</v>
      </c>
      <c r="AW398" s="94">
        <f>VLOOKUP($D398,Construction!$B:$J,(COLUMN(Construction_BuildingCost_Ore)-COLUMN(Construction_Name_and_Level)+1),FALSE)*(-1)</f>
        <v>-492</v>
      </c>
      <c r="AX398" s="94">
        <f>VLOOKUP($D398,Construction!$B:$J,(COLUMN(Construction_BuildingCost_Food)-COLUMN(Construction_Name_and_Level)+1),FALSE)*(-1)</f>
        <v>0</v>
      </c>
    </row>
    <row r="399" spans="2:108" ht="15" customHeight="1">
      <c r="B399" s="506" t="s">
        <v>144</v>
      </c>
      <c r="C399" s="127" t="s">
        <v>138</v>
      </c>
      <c r="D399" s="144" t="s">
        <v>32</v>
      </c>
      <c r="E399" s="506">
        <v>15</v>
      </c>
      <c r="F399" s="12">
        <v>0.3</v>
      </c>
      <c r="G399" s="94">
        <f>VLOOKUP($D399,Construction!$B:$E,(COLUMN(Construction_BuildingReward_HeroXP)-COLUMN(Construction_Name_and_Level)+1),FALSE)</f>
        <v>200</v>
      </c>
      <c r="H399" s="94">
        <f t="shared" si="80"/>
        <v>260</v>
      </c>
      <c r="J399" s="95">
        <f>VLOOKUP($D399,Construction!$B:$F,(COLUMN(Construction_BuildingReward_Power)-COLUMN(Construction_Name_and_Level)+1),FALSE)</f>
        <v>25</v>
      </c>
      <c r="Q399" s="139">
        <v>3.472222222222222E-3</v>
      </c>
      <c r="R399" s="139">
        <v>6.9444444444444441E-3</v>
      </c>
      <c r="AF399" s="141"/>
      <c r="AG399" s="141"/>
      <c r="AH399" s="137"/>
      <c r="AI399" s="484"/>
      <c r="AJ399" s="137">
        <f t="shared" si="77"/>
        <v>0.11458333333333331</v>
      </c>
      <c r="AK399" s="339">
        <v>0.41</v>
      </c>
      <c r="AL399" s="138">
        <f>VLOOKUP($D399,Construction!$B:$C,(COLUMN(Construction_Time)-COLUMN(Construction_Name_and_Level)+1),FALSE)</f>
        <v>4.6296296296296302E-3</v>
      </c>
      <c r="AM399" s="138">
        <f t="shared" si="81"/>
        <v>3.2834252692408726E-3</v>
      </c>
      <c r="AN399" s="138">
        <f t="shared" si="82"/>
        <v>0</v>
      </c>
      <c r="AO399" s="139">
        <f t="shared" si="83"/>
        <v>0</v>
      </c>
      <c r="AU399" s="94">
        <f>VLOOKUP($D399,Construction!$B:$J,(COLUMN(Construction_BuildingCost_Stone)-COLUMN(Construction_Name_and_Level)+1),FALSE)*(-1)</f>
        <v>-492</v>
      </c>
      <c r="AV399" s="94">
        <f>VLOOKUP($D399,Construction!$B:$J,(COLUMN(Construction_BuildingCost_Wood)-COLUMN(Construction_Name_and_Level)+1),FALSE)*(-1)</f>
        <v>-492</v>
      </c>
      <c r="AW399" s="94">
        <f>VLOOKUP($D399,Construction!$B:$J,(COLUMN(Construction_BuildingCost_Ore)-COLUMN(Construction_Name_and_Level)+1),FALSE)*(-1)</f>
        <v>-492</v>
      </c>
      <c r="AX399" s="94">
        <f>VLOOKUP($D399,Construction!$B:$J,(COLUMN(Construction_BuildingCost_Food)-COLUMN(Construction_Name_and_Level)+1),FALSE)*(-1)</f>
        <v>0</v>
      </c>
    </row>
    <row r="400" spans="2:108" ht="15" customHeight="1">
      <c r="B400" s="506" t="s">
        <v>144</v>
      </c>
      <c r="C400" s="127" t="s">
        <v>138</v>
      </c>
      <c r="D400" s="144" t="s">
        <v>33</v>
      </c>
      <c r="E400" s="506">
        <v>15</v>
      </c>
      <c r="F400" s="12">
        <v>0.3</v>
      </c>
      <c r="G400" s="94">
        <f>VLOOKUP($D400,Construction!$B:$E,(COLUMN(Construction_BuildingReward_HeroXP)-COLUMN(Construction_Name_and_Level)+1),FALSE)</f>
        <v>400</v>
      </c>
      <c r="H400" s="94">
        <f t="shared" si="80"/>
        <v>520</v>
      </c>
      <c r="J400" s="95">
        <f>VLOOKUP($D400,Construction!$B:$F,(COLUMN(Construction_BuildingReward_Power)-COLUMN(Construction_Name_and_Level)+1),FALSE)</f>
        <v>35</v>
      </c>
      <c r="Q400" s="139">
        <v>3.472222222222222E-3</v>
      </c>
      <c r="R400" s="139">
        <v>6.9444444444444441E-3</v>
      </c>
      <c r="AF400" s="141"/>
      <c r="AG400" s="141"/>
      <c r="AH400" s="137"/>
      <c r="AI400" s="484"/>
      <c r="AJ400" s="137">
        <f t="shared" si="77"/>
        <v>0.11458333333333331</v>
      </c>
      <c r="AK400" s="339">
        <v>0.41</v>
      </c>
      <c r="AL400" s="138">
        <f>VLOOKUP($D400,Construction!$B:$C,(COLUMN(Construction_Time)-COLUMN(Construction_Name_and_Level)+1),FALSE)</f>
        <v>9.2592592592592605E-3</v>
      </c>
      <c r="AM400" s="138">
        <f t="shared" si="81"/>
        <v>6.5668505384817452E-3</v>
      </c>
      <c r="AN400" s="138">
        <f t="shared" si="82"/>
        <v>0</v>
      </c>
      <c r="AO400" s="139">
        <f t="shared" si="83"/>
        <v>0</v>
      </c>
      <c r="AU400" s="94">
        <f>VLOOKUP($D400,Construction!$B:$J,(COLUMN(Construction_BuildingCost_Stone)-COLUMN(Construction_Name_and_Level)+1),FALSE)*(-1)</f>
        <v>-837</v>
      </c>
      <c r="AV400" s="94">
        <f>VLOOKUP($D400,Construction!$B:$J,(COLUMN(Construction_BuildingCost_Wood)-COLUMN(Construction_Name_and_Level)+1),FALSE)*(-1)</f>
        <v>-837</v>
      </c>
      <c r="AW400" s="94">
        <f>VLOOKUP($D400,Construction!$B:$J,(COLUMN(Construction_BuildingCost_Ore)-COLUMN(Construction_Name_and_Level)+1),FALSE)*(-1)</f>
        <v>-837</v>
      </c>
      <c r="AX400" s="94">
        <f>VLOOKUP($D400,Construction!$B:$J,(COLUMN(Construction_BuildingCost_Food)-COLUMN(Construction_Name_and_Level)+1),FALSE)*(-1)</f>
        <v>0</v>
      </c>
    </row>
    <row r="401" spans="2:50" ht="15" customHeight="1">
      <c r="B401" s="506" t="s">
        <v>144</v>
      </c>
      <c r="C401" s="127" t="s">
        <v>138</v>
      </c>
      <c r="D401" s="144" t="s">
        <v>33</v>
      </c>
      <c r="E401" s="506">
        <v>15</v>
      </c>
      <c r="F401" s="12">
        <v>0.3</v>
      </c>
      <c r="G401" s="94">
        <f>VLOOKUP($D401,Construction!$B:$E,(COLUMN(Construction_BuildingReward_HeroXP)-COLUMN(Construction_Name_and_Level)+1),FALSE)</f>
        <v>400</v>
      </c>
      <c r="H401" s="94">
        <f t="shared" si="80"/>
        <v>520</v>
      </c>
      <c r="J401" s="95">
        <f>VLOOKUP($D401,Construction!$B:$F,(COLUMN(Construction_BuildingReward_Power)-COLUMN(Construction_Name_and_Level)+1),FALSE)</f>
        <v>35</v>
      </c>
      <c r="Q401" s="139">
        <v>3.472222222222222E-3</v>
      </c>
      <c r="R401" s="139">
        <v>6.9444444444444441E-3</v>
      </c>
      <c r="AF401" s="141"/>
      <c r="AG401" s="141"/>
      <c r="AH401" s="137"/>
      <c r="AI401" s="484"/>
      <c r="AJ401" s="137">
        <f t="shared" si="77"/>
        <v>0.11458333333333331</v>
      </c>
      <c r="AK401" s="339">
        <v>0.41</v>
      </c>
      <c r="AL401" s="138">
        <f>VLOOKUP($D401,Construction!$B:$C,(COLUMN(Construction_Time)-COLUMN(Construction_Name_and_Level)+1),FALSE)</f>
        <v>9.2592592592592605E-3</v>
      </c>
      <c r="AM401" s="138">
        <f t="shared" si="81"/>
        <v>6.5668505384817452E-3</v>
      </c>
      <c r="AN401" s="138">
        <f t="shared" si="82"/>
        <v>0</v>
      </c>
      <c r="AO401" s="139">
        <f t="shared" si="83"/>
        <v>0</v>
      </c>
      <c r="AU401" s="94">
        <f>VLOOKUP($D401,Construction!$B:$J,(COLUMN(Construction_BuildingCost_Stone)-COLUMN(Construction_Name_and_Level)+1),FALSE)*(-1)</f>
        <v>-837</v>
      </c>
      <c r="AV401" s="94">
        <f>VLOOKUP($D401,Construction!$B:$J,(COLUMN(Construction_BuildingCost_Wood)-COLUMN(Construction_Name_and_Level)+1),FALSE)*(-1)</f>
        <v>-837</v>
      </c>
      <c r="AW401" s="94">
        <f>VLOOKUP($D401,Construction!$B:$J,(COLUMN(Construction_BuildingCost_Ore)-COLUMN(Construction_Name_and_Level)+1),FALSE)*(-1)</f>
        <v>-837</v>
      </c>
      <c r="AX401" s="94">
        <f>VLOOKUP($D401,Construction!$B:$J,(COLUMN(Construction_BuildingCost_Food)-COLUMN(Construction_Name_and_Level)+1),FALSE)*(-1)</f>
        <v>0</v>
      </c>
    </row>
    <row r="402" spans="2:50" ht="15" customHeight="1">
      <c r="B402" s="506" t="s">
        <v>144</v>
      </c>
      <c r="C402" s="127" t="s">
        <v>138</v>
      </c>
      <c r="D402" s="144" t="s">
        <v>33</v>
      </c>
      <c r="E402" s="506">
        <v>15</v>
      </c>
      <c r="F402" s="12">
        <v>0.3</v>
      </c>
      <c r="G402" s="94">
        <f>VLOOKUP($D402,Construction!$B:$E,(COLUMN(Construction_BuildingReward_HeroXP)-COLUMN(Construction_Name_and_Level)+1),FALSE)</f>
        <v>400</v>
      </c>
      <c r="H402" s="94">
        <f t="shared" si="80"/>
        <v>520</v>
      </c>
      <c r="J402" s="95">
        <f>VLOOKUP($D402,Construction!$B:$F,(COLUMN(Construction_BuildingReward_Power)-COLUMN(Construction_Name_and_Level)+1),FALSE)</f>
        <v>35</v>
      </c>
      <c r="Q402" s="139">
        <v>3.472222222222222E-3</v>
      </c>
      <c r="R402" s="139">
        <v>6.9444444444444441E-3</v>
      </c>
      <c r="AF402" s="141"/>
      <c r="AG402" s="141"/>
      <c r="AH402" s="137"/>
      <c r="AI402" s="484"/>
      <c r="AJ402" s="137">
        <f t="shared" si="77"/>
        <v>0.11458333333333331</v>
      </c>
      <c r="AK402" s="339">
        <v>0.41</v>
      </c>
      <c r="AL402" s="138">
        <f>VLOOKUP($D402,Construction!$B:$C,(COLUMN(Construction_Time)-COLUMN(Construction_Name_and_Level)+1),FALSE)</f>
        <v>9.2592592592592605E-3</v>
      </c>
      <c r="AM402" s="138">
        <f t="shared" si="81"/>
        <v>6.5668505384817452E-3</v>
      </c>
      <c r="AN402" s="138">
        <f t="shared" si="82"/>
        <v>0</v>
      </c>
      <c r="AO402" s="139">
        <f t="shared" si="83"/>
        <v>0</v>
      </c>
      <c r="AU402" s="94">
        <f>VLOOKUP($D402,Construction!$B:$J,(COLUMN(Construction_BuildingCost_Stone)-COLUMN(Construction_Name_and_Level)+1),FALSE)*(-1)</f>
        <v>-837</v>
      </c>
      <c r="AV402" s="94">
        <f>VLOOKUP($D402,Construction!$B:$J,(COLUMN(Construction_BuildingCost_Wood)-COLUMN(Construction_Name_and_Level)+1),FALSE)*(-1)</f>
        <v>-837</v>
      </c>
      <c r="AW402" s="94">
        <f>VLOOKUP($D402,Construction!$B:$J,(COLUMN(Construction_BuildingCost_Ore)-COLUMN(Construction_Name_and_Level)+1),FALSE)*(-1)</f>
        <v>-837</v>
      </c>
      <c r="AX402" s="94">
        <f>VLOOKUP($D402,Construction!$B:$J,(COLUMN(Construction_BuildingCost_Food)-COLUMN(Construction_Name_and_Level)+1),FALSE)*(-1)</f>
        <v>0</v>
      </c>
    </row>
    <row r="403" spans="2:50" ht="15" customHeight="1">
      <c r="B403" s="506" t="s">
        <v>144</v>
      </c>
      <c r="C403" s="127" t="s">
        <v>138</v>
      </c>
      <c r="D403" s="144" t="s">
        <v>663</v>
      </c>
      <c r="E403" s="506">
        <v>15</v>
      </c>
      <c r="F403" s="12">
        <v>0.3</v>
      </c>
      <c r="G403" s="94">
        <f>VLOOKUP($D403,Construction!$B:$E,(COLUMN(Construction_BuildingReward_HeroXP)-COLUMN(Construction_Name_and_Level)+1),FALSE)</f>
        <v>25</v>
      </c>
      <c r="H403" s="94">
        <f t="shared" ref="H403:H414" si="84">G403*(1+F403)</f>
        <v>32.5</v>
      </c>
      <c r="J403" s="95">
        <f>VLOOKUP($D403,Construction!$B:$F,(COLUMN(Construction_BuildingReward_Power)-COLUMN(Construction_Name_and_Level)+1),FALSE)</f>
        <v>10</v>
      </c>
      <c r="Q403" s="139">
        <v>3.472222222222222E-3</v>
      </c>
      <c r="R403" s="139">
        <v>6.9444444444444441E-3</v>
      </c>
      <c r="AF403" s="141"/>
      <c r="AG403" s="141"/>
      <c r="AH403" s="137"/>
      <c r="AI403" s="484"/>
      <c r="AJ403" s="137">
        <f t="shared" si="77"/>
        <v>0.11458333333333331</v>
      </c>
      <c r="AK403" s="339">
        <v>0.41</v>
      </c>
      <c r="AL403" s="138">
        <f>VLOOKUP($D403,Construction!$B:$C,(COLUMN(Construction_Time)-COLUMN(Construction_Name_and_Level)+1),FALSE)</f>
        <v>1.6203703703703703E-3</v>
      </c>
      <c r="AM403" s="138">
        <f t="shared" si="81"/>
        <v>1.1491988442343052E-3</v>
      </c>
      <c r="AN403" s="138">
        <f t="shared" si="82"/>
        <v>0</v>
      </c>
      <c r="AO403" s="139">
        <f t="shared" si="83"/>
        <v>0</v>
      </c>
      <c r="AU403" s="94">
        <f>VLOOKUP($D403,Construction!$B:$J,(COLUMN(Construction_BuildingCost_Stone)-COLUMN(Construction_Name_and_Level)+1),FALSE)*(-1)</f>
        <v>0</v>
      </c>
      <c r="AV403" s="94">
        <f>VLOOKUP($D403,Construction!$B:$J,(COLUMN(Construction_BuildingCost_Wood)-COLUMN(Construction_Name_and_Level)+1),FALSE)*(-1)</f>
        <v>-170</v>
      </c>
      <c r="AW403" s="94">
        <f>VLOOKUP($D403,Construction!$B:$J,(COLUMN(Construction_BuildingCost_Ore)-COLUMN(Construction_Name_and_Level)+1),FALSE)*(-1)</f>
        <v>-170</v>
      </c>
      <c r="AX403" s="94">
        <f>VLOOKUP($D403,Construction!$B:$J,(COLUMN(Construction_BuildingCost_Food)-COLUMN(Construction_Name_and_Level)+1),FALSE)*(-1)</f>
        <v>-170</v>
      </c>
    </row>
    <row r="404" spans="2:50" ht="15" customHeight="1">
      <c r="B404" s="506" t="s">
        <v>144</v>
      </c>
      <c r="C404" s="127" t="s">
        <v>138</v>
      </c>
      <c r="D404" s="144" t="s">
        <v>663</v>
      </c>
      <c r="E404" s="506">
        <v>15</v>
      </c>
      <c r="F404" s="12">
        <v>0.3</v>
      </c>
      <c r="G404" s="94">
        <f>VLOOKUP($D404,Construction!$B:$E,(COLUMN(Construction_BuildingReward_HeroXP)-COLUMN(Construction_Name_and_Level)+1),FALSE)</f>
        <v>25</v>
      </c>
      <c r="H404" s="94">
        <f t="shared" si="84"/>
        <v>32.5</v>
      </c>
      <c r="J404" s="95">
        <f>VLOOKUP($D404,Construction!$B:$F,(COLUMN(Construction_BuildingReward_Power)-COLUMN(Construction_Name_and_Level)+1),FALSE)</f>
        <v>10</v>
      </c>
      <c r="Q404" s="139">
        <v>3.472222222222222E-3</v>
      </c>
      <c r="R404" s="139">
        <v>6.9444444444444441E-3</v>
      </c>
      <c r="AF404" s="141"/>
      <c r="AG404" s="141"/>
      <c r="AH404" s="137"/>
      <c r="AI404" s="484"/>
      <c r="AJ404" s="137">
        <f t="shared" si="77"/>
        <v>0.11458333333333331</v>
      </c>
      <c r="AK404" s="339">
        <v>0.41</v>
      </c>
      <c r="AL404" s="138">
        <f>VLOOKUP($D404,Construction!$B:$C,(COLUMN(Construction_Time)-COLUMN(Construction_Name_and_Level)+1),FALSE)</f>
        <v>1.6203703703703703E-3</v>
      </c>
      <c r="AM404" s="138">
        <f t="shared" si="81"/>
        <v>1.1491988442343052E-3</v>
      </c>
      <c r="AN404" s="138">
        <f t="shared" si="82"/>
        <v>0</v>
      </c>
      <c r="AO404" s="139">
        <f t="shared" si="83"/>
        <v>0</v>
      </c>
      <c r="AU404" s="94">
        <f>VLOOKUP($D404,Construction!$B:$J,(COLUMN(Construction_BuildingCost_Stone)-COLUMN(Construction_Name_and_Level)+1),FALSE)*(-1)</f>
        <v>0</v>
      </c>
      <c r="AV404" s="94">
        <f>VLOOKUP($D404,Construction!$B:$J,(COLUMN(Construction_BuildingCost_Wood)-COLUMN(Construction_Name_and_Level)+1),FALSE)*(-1)</f>
        <v>-170</v>
      </c>
      <c r="AW404" s="94">
        <f>VLOOKUP($D404,Construction!$B:$J,(COLUMN(Construction_BuildingCost_Ore)-COLUMN(Construction_Name_and_Level)+1),FALSE)*(-1)</f>
        <v>-170</v>
      </c>
      <c r="AX404" s="94">
        <f>VLOOKUP($D404,Construction!$B:$J,(COLUMN(Construction_BuildingCost_Food)-COLUMN(Construction_Name_and_Level)+1),FALSE)*(-1)</f>
        <v>-170</v>
      </c>
    </row>
    <row r="405" spans="2:50" ht="15" customHeight="1">
      <c r="B405" s="506" t="s">
        <v>144</v>
      </c>
      <c r="C405" s="127" t="s">
        <v>138</v>
      </c>
      <c r="D405" s="144" t="s">
        <v>663</v>
      </c>
      <c r="E405" s="506">
        <v>15</v>
      </c>
      <c r="F405" s="12">
        <v>0.3</v>
      </c>
      <c r="G405" s="94">
        <f>VLOOKUP($D405,Construction!$B:$E,(COLUMN(Construction_BuildingReward_HeroXP)-COLUMN(Construction_Name_and_Level)+1),FALSE)</f>
        <v>25</v>
      </c>
      <c r="H405" s="94">
        <f t="shared" si="84"/>
        <v>32.5</v>
      </c>
      <c r="J405" s="95">
        <f>VLOOKUP($D405,Construction!$B:$F,(COLUMN(Construction_BuildingReward_Power)-COLUMN(Construction_Name_and_Level)+1),FALSE)</f>
        <v>10</v>
      </c>
      <c r="Q405" s="139">
        <v>3.472222222222222E-3</v>
      </c>
      <c r="R405" s="139">
        <v>6.9444444444444441E-3</v>
      </c>
      <c r="AF405" s="141"/>
      <c r="AG405" s="141"/>
      <c r="AH405" s="137"/>
      <c r="AI405" s="484"/>
      <c r="AJ405" s="137">
        <f t="shared" si="77"/>
        <v>0.11458333333333331</v>
      </c>
      <c r="AK405" s="339">
        <v>0.41</v>
      </c>
      <c r="AL405" s="138">
        <f>VLOOKUP($D405,Construction!$B:$C,(COLUMN(Construction_Time)-COLUMN(Construction_Name_and_Level)+1),FALSE)</f>
        <v>1.6203703703703703E-3</v>
      </c>
      <c r="AM405" s="138">
        <f t="shared" si="81"/>
        <v>1.1491988442343052E-3</v>
      </c>
      <c r="AN405" s="138">
        <f t="shared" si="82"/>
        <v>0</v>
      </c>
      <c r="AO405" s="139">
        <f t="shared" si="83"/>
        <v>0</v>
      </c>
      <c r="AU405" s="94">
        <f>VLOOKUP($D405,Construction!$B:$J,(COLUMN(Construction_BuildingCost_Stone)-COLUMN(Construction_Name_and_Level)+1),FALSE)*(-1)</f>
        <v>0</v>
      </c>
      <c r="AV405" s="94">
        <f>VLOOKUP($D405,Construction!$B:$J,(COLUMN(Construction_BuildingCost_Wood)-COLUMN(Construction_Name_and_Level)+1),FALSE)*(-1)</f>
        <v>-170</v>
      </c>
      <c r="AW405" s="94">
        <f>VLOOKUP($D405,Construction!$B:$J,(COLUMN(Construction_BuildingCost_Ore)-COLUMN(Construction_Name_and_Level)+1),FALSE)*(-1)</f>
        <v>-170</v>
      </c>
      <c r="AX405" s="94">
        <f>VLOOKUP($D405,Construction!$B:$J,(COLUMN(Construction_BuildingCost_Food)-COLUMN(Construction_Name_and_Level)+1),FALSE)*(-1)</f>
        <v>-170</v>
      </c>
    </row>
    <row r="406" spans="2:50" ht="15" customHeight="1">
      <c r="B406" s="506" t="s">
        <v>144</v>
      </c>
      <c r="C406" s="127" t="s">
        <v>138</v>
      </c>
      <c r="D406" s="144" t="s">
        <v>408</v>
      </c>
      <c r="E406" s="506">
        <v>15</v>
      </c>
      <c r="F406" s="12">
        <v>0.3</v>
      </c>
      <c r="G406" s="94">
        <f>VLOOKUP($D406,Construction!$B:$E,(COLUMN(Construction_BuildingReward_HeroXP)-COLUMN(Construction_Name_and_Level)+1),FALSE)</f>
        <v>50</v>
      </c>
      <c r="H406" s="94">
        <f t="shared" si="84"/>
        <v>65</v>
      </c>
      <c r="J406" s="95">
        <f>VLOOKUP($D406,Construction!$B:$F,(COLUMN(Construction_BuildingReward_Power)-COLUMN(Construction_Name_and_Level)+1),FALSE)</f>
        <v>15</v>
      </c>
      <c r="Q406" s="139">
        <v>3.472222222222222E-3</v>
      </c>
      <c r="R406" s="139">
        <v>6.9444444444444441E-3</v>
      </c>
      <c r="AF406" s="141"/>
      <c r="AG406" s="141"/>
      <c r="AH406" s="137"/>
      <c r="AI406" s="484"/>
      <c r="AJ406" s="137">
        <f t="shared" si="77"/>
        <v>0.11458333333333331</v>
      </c>
      <c r="AK406" s="339">
        <v>0.41</v>
      </c>
      <c r="AL406" s="138">
        <f>VLOOKUP($D406,Construction!$B:$C,(COLUMN(Construction_Time)-COLUMN(Construction_Name_and_Level)+1),FALSE)</f>
        <v>3.2407407407407406E-3</v>
      </c>
      <c r="AM406" s="138">
        <f t="shared" si="81"/>
        <v>2.2983976884686104E-3</v>
      </c>
      <c r="AN406" s="138">
        <f t="shared" si="82"/>
        <v>0</v>
      </c>
      <c r="AO406" s="139">
        <f t="shared" si="83"/>
        <v>0</v>
      </c>
      <c r="AU406" s="94">
        <f>VLOOKUP($D406,Construction!$B:$J,(COLUMN(Construction_BuildingCost_Stone)-COLUMN(Construction_Name_and_Level)+1),FALSE)*(-1)</f>
        <v>0</v>
      </c>
      <c r="AV406" s="94">
        <f>VLOOKUP($D406,Construction!$B:$J,(COLUMN(Construction_BuildingCost_Wood)-COLUMN(Construction_Name_and_Level)+1),FALSE)*(-1)</f>
        <v>-289</v>
      </c>
      <c r="AW406" s="94">
        <f>VLOOKUP($D406,Construction!$B:$J,(COLUMN(Construction_BuildingCost_Ore)-COLUMN(Construction_Name_and_Level)+1),FALSE)*(-1)</f>
        <v>-289</v>
      </c>
      <c r="AX406" s="94">
        <f>VLOOKUP($D406,Construction!$B:$J,(COLUMN(Construction_BuildingCost_Food)-COLUMN(Construction_Name_and_Level)+1),FALSE)*(-1)</f>
        <v>-289</v>
      </c>
    </row>
    <row r="407" spans="2:50" ht="15" customHeight="1">
      <c r="B407" s="506" t="s">
        <v>144</v>
      </c>
      <c r="C407" s="127" t="s">
        <v>138</v>
      </c>
      <c r="D407" s="144" t="s">
        <v>408</v>
      </c>
      <c r="E407" s="506">
        <v>15</v>
      </c>
      <c r="F407" s="12">
        <v>0.3</v>
      </c>
      <c r="G407" s="94">
        <f>VLOOKUP($D407,Construction!$B:$E,(COLUMN(Construction_BuildingReward_HeroXP)-COLUMN(Construction_Name_and_Level)+1),FALSE)</f>
        <v>50</v>
      </c>
      <c r="H407" s="94">
        <f t="shared" si="84"/>
        <v>65</v>
      </c>
      <c r="J407" s="95">
        <f>VLOOKUP($D407,Construction!$B:$F,(COLUMN(Construction_BuildingReward_Power)-COLUMN(Construction_Name_and_Level)+1),FALSE)</f>
        <v>15</v>
      </c>
      <c r="Q407" s="139">
        <v>3.472222222222222E-3</v>
      </c>
      <c r="R407" s="139">
        <v>6.9444444444444441E-3</v>
      </c>
      <c r="AF407" s="141"/>
      <c r="AG407" s="141"/>
      <c r="AH407" s="137"/>
      <c r="AI407" s="484"/>
      <c r="AJ407" s="137">
        <f t="shared" si="77"/>
        <v>0.11458333333333331</v>
      </c>
      <c r="AK407" s="339">
        <v>0.41</v>
      </c>
      <c r="AL407" s="138">
        <f>VLOOKUP($D407,Construction!$B:$C,(COLUMN(Construction_Time)-COLUMN(Construction_Name_and_Level)+1),FALSE)</f>
        <v>3.2407407407407406E-3</v>
      </c>
      <c r="AM407" s="138">
        <f t="shared" si="81"/>
        <v>2.2983976884686104E-3</v>
      </c>
      <c r="AN407" s="138">
        <f t="shared" si="82"/>
        <v>0</v>
      </c>
      <c r="AO407" s="139">
        <f t="shared" si="83"/>
        <v>0</v>
      </c>
      <c r="AU407" s="94">
        <f>VLOOKUP($D407,Construction!$B:$J,(COLUMN(Construction_BuildingCost_Stone)-COLUMN(Construction_Name_and_Level)+1),FALSE)*(-1)</f>
        <v>0</v>
      </c>
      <c r="AV407" s="94">
        <f>VLOOKUP($D407,Construction!$B:$J,(COLUMN(Construction_BuildingCost_Wood)-COLUMN(Construction_Name_and_Level)+1),FALSE)*(-1)</f>
        <v>-289</v>
      </c>
      <c r="AW407" s="94">
        <f>VLOOKUP($D407,Construction!$B:$J,(COLUMN(Construction_BuildingCost_Ore)-COLUMN(Construction_Name_and_Level)+1),FALSE)*(-1)</f>
        <v>-289</v>
      </c>
      <c r="AX407" s="94">
        <f>VLOOKUP($D407,Construction!$B:$J,(COLUMN(Construction_BuildingCost_Food)-COLUMN(Construction_Name_and_Level)+1),FALSE)*(-1)</f>
        <v>-289</v>
      </c>
    </row>
    <row r="408" spans="2:50" ht="15" customHeight="1">
      <c r="B408" s="506" t="s">
        <v>144</v>
      </c>
      <c r="C408" s="127" t="s">
        <v>138</v>
      </c>
      <c r="D408" s="144" t="s">
        <v>408</v>
      </c>
      <c r="E408" s="506">
        <v>15</v>
      </c>
      <c r="F408" s="12">
        <v>0.3</v>
      </c>
      <c r="G408" s="94">
        <f>VLOOKUP($D408,Construction!$B:$E,(COLUMN(Construction_BuildingReward_HeroXP)-COLUMN(Construction_Name_and_Level)+1),FALSE)</f>
        <v>50</v>
      </c>
      <c r="H408" s="94">
        <f t="shared" si="84"/>
        <v>65</v>
      </c>
      <c r="J408" s="95">
        <f>VLOOKUP($D408,Construction!$B:$F,(COLUMN(Construction_BuildingReward_Power)-COLUMN(Construction_Name_and_Level)+1),FALSE)</f>
        <v>15</v>
      </c>
      <c r="Q408" s="139">
        <v>3.472222222222222E-3</v>
      </c>
      <c r="R408" s="139">
        <v>6.9444444444444441E-3</v>
      </c>
      <c r="AF408" s="141"/>
      <c r="AG408" s="141"/>
      <c r="AH408" s="137"/>
      <c r="AI408" s="484"/>
      <c r="AJ408" s="137">
        <f t="shared" si="77"/>
        <v>0.11458333333333331</v>
      </c>
      <c r="AK408" s="339">
        <v>0.41</v>
      </c>
      <c r="AL408" s="138">
        <f>VLOOKUP($D408,Construction!$B:$C,(COLUMN(Construction_Time)-COLUMN(Construction_Name_and_Level)+1),FALSE)</f>
        <v>3.2407407407407406E-3</v>
      </c>
      <c r="AM408" s="138">
        <f t="shared" si="81"/>
        <v>2.2983976884686104E-3</v>
      </c>
      <c r="AN408" s="138">
        <f t="shared" si="82"/>
        <v>0</v>
      </c>
      <c r="AO408" s="139">
        <f t="shared" si="83"/>
        <v>0</v>
      </c>
      <c r="AU408" s="94">
        <f>VLOOKUP($D408,Construction!$B:$J,(COLUMN(Construction_BuildingCost_Stone)-COLUMN(Construction_Name_and_Level)+1),FALSE)*(-1)</f>
        <v>0</v>
      </c>
      <c r="AV408" s="94">
        <f>VLOOKUP($D408,Construction!$B:$J,(COLUMN(Construction_BuildingCost_Wood)-COLUMN(Construction_Name_and_Level)+1),FALSE)*(-1)</f>
        <v>-289</v>
      </c>
      <c r="AW408" s="94">
        <f>VLOOKUP($D408,Construction!$B:$J,(COLUMN(Construction_BuildingCost_Ore)-COLUMN(Construction_Name_and_Level)+1),FALSE)*(-1)</f>
        <v>-289</v>
      </c>
      <c r="AX408" s="94">
        <f>VLOOKUP($D408,Construction!$B:$J,(COLUMN(Construction_BuildingCost_Food)-COLUMN(Construction_Name_and_Level)+1),FALSE)*(-1)</f>
        <v>-289</v>
      </c>
    </row>
    <row r="409" spans="2:50" ht="15" customHeight="1">
      <c r="B409" s="506" t="s">
        <v>144</v>
      </c>
      <c r="C409" s="127" t="s">
        <v>138</v>
      </c>
      <c r="D409" s="144" t="s">
        <v>429</v>
      </c>
      <c r="E409" s="506">
        <v>15</v>
      </c>
      <c r="F409" s="12">
        <v>0.3</v>
      </c>
      <c r="G409" s="94">
        <f>VLOOKUP($D409,Construction!$B:$E,(COLUMN(Construction_BuildingReward_HeroXP)-COLUMN(Construction_Name_and_Level)+1),FALSE)</f>
        <v>200</v>
      </c>
      <c r="H409" s="94">
        <f t="shared" si="84"/>
        <v>260</v>
      </c>
      <c r="J409" s="95">
        <f>VLOOKUP($D409,Construction!$B:$F,(COLUMN(Construction_BuildingReward_Power)-COLUMN(Construction_Name_and_Level)+1),FALSE)</f>
        <v>25</v>
      </c>
      <c r="Q409" s="139">
        <v>3.472222222222222E-3</v>
      </c>
      <c r="R409" s="139">
        <v>6.9444444444444441E-3</v>
      </c>
      <c r="AF409" s="141"/>
      <c r="AG409" s="141"/>
      <c r="AH409" s="137"/>
      <c r="AI409" s="484"/>
      <c r="AJ409" s="137">
        <f t="shared" si="77"/>
        <v>0.11458333333333331</v>
      </c>
      <c r="AK409" s="339">
        <v>0.41</v>
      </c>
      <c r="AL409" s="138">
        <f>VLOOKUP($D409,Construction!$B:$C,(COLUMN(Construction_Time)-COLUMN(Construction_Name_and_Level)+1),FALSE)</f>
        <v>6.4814814814814813E-3</v>
      </c>
      <c r="AM409" s="138">
        <f t="shared" si="81"/>
        <v>4.5967953769372209E-3</v>
      </c>
      <c r="AN409" s="138">
        <f t="shared" si="82"/>
        <v>0</v>
      </c>
      <c r="AO409" s="139">
        <f t="shared" si="83"/>
        <v>0</v>
      </c>
      <c r="AU409" s="94">
        <f>VLOOKUP($D409,Construction!$B:$J,(COLUMN(Construction_BuildingCost_Stone)-COLUMN(Construction_Name_and_Level)+1),FALSE)*(-1)</f>
        <v>0</v>
      </c>
      <c r="AV409" s="94">
        <f>VLOOKUP($D409,Construction!$B:$J,(COLUMN(Construction_BuildingCost_Wood)-COLUMN(Construction_Name_and_Level)+1),FALSE)*(-1)</f>
        <v>-492</v>
      </c>
      <c r="AW409" s="94">
        <f>VLOOKUP($D409,Construction!$B:$J,(COLUMN(Construction_BuildingCost_Ore)-COLUMN(Construction_Name_and_Level)+1),FALSE)*(-1)</f>
        <v>-492</v>
      </c>
      <c r="AX409" s="94">
        <f>VLOOKUP($D409,Construction!$B:$J,(COLUMN(Construction_BuildingCost_Food)-COLUMN(Construction_Name_and_Level)+1),FALSE)*(-1)</f>
        <v>-492</v>
      </c>
    </row>
    <row r="410" spans="2:50" ht="15" customHeight="1">
      <c r="B410" s="506" t="s">
        <v>144</v>
      </c>
      <c r="C410" s="127" t="s">
        <v>138</v>
      </c>
      <c r="D410" s="144" t="s">
        <v>429</v>
      </c>
      <c r="E410" s="506">
        <v>15</v>
      </c>
      <c r="F410" s="12">
        <v>0.3</v>
      </c>
      <c r="G410" s="94">
        <f>VLOOKUP($D410,Construction!$B:$E,(COLUMN(Construction_BuildingReward_HeroXP)-COLUMN(Construction_Name_and_Level)+1),FALSE)</f>
        <v>200</v>
      </c>
      <c r="H410" s="94">
        <f t="shared" si="84"/>
        <v>260</v>
      </c>
      <c r="J410" s="95">
        <f>VLOOKUP($D410,Construction!$B:$F,(COLUMN(Construction_BuildingReward_Power)-COLUMN(Construction_Name_and_Level)+1),FALSE)</f>
        <v>25</v>
      </c>
      <c r="Q410" s="139">
        <v>3.472222222222222E-3</v>
      </c>
      <c r="R410" s="139">
        <v>6.9444444444444441E-3</v>
      </c>
      <c r="AF410" s="141"/>
      <c r="AG410" s="141"/>
      <c r="AH410" s="137"/>
      <c r="AI410" s="484"/>
      <c r="AJ410" s="137">
        <f t="shared" ref="AJ410:AJ441" si="85">AJ409+(S$3*S410+T$3*T410+U$3*U410+V$3*V410+W$3*W410+X$3*X410+Y$3*Y410+Z$3*Z410+AA$3*AA410+AB$3*AB410+AC$3*AC410)</f>
        <v>0.11458333333333331</v>
      </c>
      <c r="AK410" s="339">
        <v>0.41</v>
      </c>
      <c r="AL410" s="138">
        <f>VLOOKUP($D410,Construction!$B:$C,(COLUMN(Construction_Time)-COLUMN(Construction_Name_and_Level)+1),FALSE)</f>
        <v>6.4814814814814813E-3</v>
      </c>
      <c r="AM410" s="138">
        <f t="shared" si="81"/>
        <v>4.5967953769372209E-3</v>
      </c>
      <c r="AN410" s="138">
        <f t="shared" si="82"/>
        <v>0</v>
      </c>
      <c r="AO410" s="139">
        <f t="shared" si="83"/>
        <v>0</v>
      </c>
      <c r="AU410" s="94">
        <f>VLOOKUP($D410,Construction!$B:$J,(COLUMN(Construction_BuildingCost_Stone)-COLUMN(Construction_Name_and_Level)+1),FALSE)*(-1)</f>
        <v>0</v>
      </c>
      <c r="AV410" s="94">
        <f>VLOOKUP($D410,Construction!$B:$J,(COLUMN(Construction_BuildingCost_Wood)-COLUMN(Construction_Name_and_Level)+1),FALSE)*(-1)</f>
        <v>-492</v>
      </c>
      <c r="AW410" s="94">
        <f>VLOOKUP($D410,Construction!$B:$J,(COLUMN(Construction_BuildingCost_Ore)-COLUMN(Construction_Name_and_Level)+1),FALSE)*(-1)</f>
        <v>-492</v>
      </c>
      <c r="AX410" s="94">
        <f>VLOOKUP($D410,Construction!$B:$J,(COLUMN(Construction_BuildingCost_Food)-COLUMN(Construction_Name_and_Level)+1),FALSE)*(-1)</f>
        <v>-492</v>
      </c>
    </row>
    <row r="411" spans="2:50" ht="15" customHeight="1">
      <c r="B411" s="506" t="s">
        <v>144</v>
      </c>
      <c r="C411" s="127" t="s">
        <v>138</v>
      </c>
      <c r="D411" s="144" t="s">
        <v>429</v>
      </c>
      <c r="E411" s="506">
        <v>15</v>
      </c>
      <c r="F411" s="12">
        <v>0.3</v>
      </c>
      <c r="G411" s="94">
        <f>VLOOKUP($D411,Construction!$B:$E,(COLUMN(Construction_BuildingReward_HeroXP)-COLUMN(Construction_Name_and_Level)+1),FALSE)</f>
        <v>200</v>
      </c>
      <c r="H411" s="94">
        <f t="shared" si="84"/>
        <v>260</v>
      </c>
      <c r="J411" s="95">
        <f>VLOOKUP($D411,Construction!$B:$F,(COLUMN(Construction_BuildingReward_Power)-COLUMN(Construction_Name_and_Level)+1),FALSE)</f>
        <v>25</v>
      </c>
      <c r="Q411" s="139">
        <v>3.472222222222222E-3</v>
      </c>
      <c r="R411" s="139">
        <v>6.9444444444444441E-3</v>
      </c>
      <c r="AF411" s="141"/>
      <c r="AG411" s="141"/>
      <c r="AH411" s="137"/>
      <c r="AI411" s="484"/>
      <c r="AJ411" s="137">
        <f t="shared" si="85"/>
        <v>0.11458333333333331</v>
      </c>
      <c r="AK411" s="339">
        <v>0.41</v>
      </c>
      <c r="AL411" s="138">
        <f>VLOOKUP($D411,Construction!$B:$C,(COLUMN(Construction_Time)-COLUMN(Construction_Name_and_Level)+1),FALSE)</f>
        <v>6.4814814814814813E-3</v>
      </c>
      <c r="AM411" s="138">
        <f t="shared" si="81"/>
        <v>4.5967953769372209E-3</v>
      </c>
      <c r="AN411" s="138">
        <f t="shared" si="82"/>
        <v>0</v>
      </c>
      <c r="AO411" s="139">
        <f t="shared" si="83"/>
        <v>0</v>
      </c>
      <c r="AU411" s="94">
        <f>VLOOKUP($D411,Construction!$B:$J,(COLUMN(Construction_BuildingCost_Stone)-COLUMN(Construction_Name_and_Level)+1),FALSE)*(-1)</f>
        <v>0</v>
      </c>
      <c r="AV411" s="94">
        <f>VLOOKUP($D411,Construction!$B:$J,(COLUMN(Construction_BuildingCost_Wood)-COLUMN(Construction_Name_and_Level)+1),FALSE)*(-1)</f>
        <v>-492</v>
      </c>
      <c r="AW411" s="94">
        <f>VLOOKUP($D411,Construction!$B:$J,(COLUMN(Construction_BuildingCost_Ore)-COLUMN(Construction_Name_and_Level)+1),FALSE)*(-1)</f>
        <v>-492</v>
      </c>
      <c r="AX411" s="94">
        <f>VLOOKUP($D411,Construction!$B:$J,(COLUMN(Construction_BuildingCost_Food)-COLUMN(Construction_Name_and_Level)+1),FALSE)*(-1)</f>
        <v>-492</v>
      </c>
    </row>
    <row r="412" spans="2:50" ht="15" customHeight="1">
      <c r="B412" s="506" t="s">
        <v>144</v>
      </c>
      <c r="C412" s="127" t="s">
        <v>138</v>
      </c>
      <c r="D412" s="144" t="s">
        <v>430</v>
      </c>
      <c r="E412" s="506">
        <v>15</v>
      </c>
      <c r="F412" s="12">
        <v>0.3</v>
      </c>
      <c r="G412" s="94">
        <f>VLOOKUP($D412,Construction!$B:$E,(COLUMN(Construction_BuildingReward_HeroXP)-COLUMN(Construction_Name_and_Level)+1),FALSE)</f>
        <v>400</v>
      </c>
      <c r="H412" s="94">
        <f t="shared" si="84"/>
        <v>520</v>
      </c>
      <c r="J412" s="95">
        <f>VLOOKUP($D412,Construction!$B:$F,(COLUMN(Construction_BuildingReward_Power)-COLUMN(Construction_Name_and_Level)+1),FALSE)</f>
        <v>35</v>
      </c>
      <c r="Q412" s="139">
        <v>3.472222222222222E-3</v>
      </c>
      <c r="R412" s="139">
        <v>6.9444444444444441E-3</v>
      </c>
      <c r="AF412" s="141"/>
      <c r="AG412" s="141"/>
      <c r="AH412" s="137"/>
      <c r="AI412" s="484"/>
      <c r="AJ412" s="137">
        <f t="shared" si="85"/>
        <v>0.11458333333333331</v>
      </c>
      <c r="AK412" s="339">
        <v>0.41</v>
      </c>
      <c r="AL412" s="138">
        <f>VLOOKUP($D412,Construction!$B:$C,(COLUMN(Construction_Time)-COLUMN(Construction_Name_and_Level)+1),FALSE)</f>
        <v>1.2962962962962963E-2</v>
      </c>
      <c r="AM412" s="138">
        <f t="shared" si="81"/>
        <v>9.1935907538744418E-3</v>
      </c>
      <c r="AN412" s="138">
        <f t="shared" si="82"/>
        <v>0</v>
      </c>
      <c r="AO412" s="139">
        <f t="shared" si="83"/>
        <v>0</v>
      </c>
      <c r="AU412" s="94">
        <f>VLOOKUP($D412,Construction!$B:$J,(COLUMN(Construction_BuildingCost_Stone)-COLUMN(Construction_Name_and_Level)+1),FALSE)*(-1)</f>
        <v>0</v>
      </c>
      <c r="AV412" s="94">
        <f>VLOOKUP($D412,Construction!$B:$J,(COLUMN(Construction_BuildingCost_Wood)-COLUMN(Construction_Name_and_Level)+1),FALSE)*(-1)</f>
        <v>-837</v>
      </c>
      <c r="AW412" s="94">
        <f>VLOOKUP($D412,Construction!$B:$J,(COLUMN(Construction_BuildingCost_Ore)-COLUMN(Construction_Name_and_Level)+1),FALSE)*(-1)</f>
        <v>-837</v>
      </c>
      <c r="AX412" s="94">
        <f>VLOOKUP($D412,Construction!$B:$J,(COLUMN(Construction_BuildingCost_Food)-COLUMN(Construction_Name_and_Level)+1),FALSE)*(-1)</f>
        <v>-837</v>
      </c>
    </row>
    <row r="413" spans="2:50" ht="15" customHeight="1">
      <c r="B413" s="506" t="s">
        <v>144</v>
      </c>
      <c r="C413" s="127" t="s">
        <v>138</v>
      </c>
      <c r="D413" s="144" t="s">
        <v>430</v>
      </c>
      <c r="E413" s="506">
        <v>15</v>
      </c>
      <c r="F413" s="12">
        <v>0.3</v>
      </c>
      <c r="G413" s="94">
        <f>VLOOKUP($D413,Construction!$B:$E,(COLUMN(Construction_BuildingReward_HeroXP)-COLUMN(Construction_Name_and_Level)+1),FALSE)</f>
        <v>400</v>
      </c>
      <c r="H413" s="94">
        <f t="shared" si="84"/>
        <v>520</v>
      </c>
      <c r="J413" s="95">
        <f>VLOOKUP($D413,Construction!$B:$F,(COLUMN(Construction_BuildingReward_Power)-COLUMN(Construction_Name_and_Level)+1),FALSE)</f>
        <v>35</v>
      </c>
      <c r="Q413" s="139">
        <v>3.472222222222222E-3</v>
      </c>
      <c r="R413" s="139">
        <v>6.9444444444444441E-3</v>
      </c>
      <c r="AF413" s="141"/>
      <c r="AG413" s="141"/>
      <c r="AH413" s="137"/>
      <c r="AI413" s="484"/>
      <c r="AJ413" s="137">
        <f t="shared" si="85"/>
        <v>0.11458333333333331</v>
      </c>
      <c r="AK413" s="339">
        <v>0.41</v>
      </c>
      <c r="AL413" s="138">
        <f>VLOOKUP($D413,Construction!$B:$C,(COLUMN(Construction_Time)-COLUMN(Construction_Name_and_Level)+1),FALSE)</f>
        <v>1.2962962962962963E-2</v>
      </c>
      <c r="AM413" s="138">
        <f t="shared" si="81"/>
        <v>9.1935907538744418E-3</v>
      </c>
      <c r="AN413" s="138">
        <f t="shared" si="82"/>
        <v>0</v>
      </c>
      <c r="AO413" s="139">
        <f t="shared" si="83"/>
        <v>0</v>
      </c>
      <c r="AU413" s="94">
        <f>VLOOKUP($D413,Construction!$B:$J,(COLUMN(Construction_BuildingCost_Stone)-COLUMN(Construction_Name_and_Level)+1),FALSE)*(-1)</f>
        <v>0</v>
      </c>
      <c r="AV413" s="94">
        <f>VLOOKUP($D413,Construction!$B:$J,(COLUMN(Construction_BuildingCost_Wood)-COLUMN(Construction_Name_and_Level)+1),FALSE)*(-1)</f>
        <v>-837</v>
      </c>
      <c r="AW413" s="94">
        <f>VLOOKUP($D413,Construction!$B:$J,(COLUMN(Construction_BuildingCost_Ore)-COLUMN(Construction_Name_and_Level)+1),FALSE)*(-1)</f>
        <v>-837</v>
      </c>
      <c r="AX413" s="94">
        <f>VLOOKUP($D413,Construction!$B:$J,(COLUMN(Construction_BuildingCost_Food)-COLUMN(Construction_Name_and_Level)+1),FALSE)*(-1)</f>
        <v>-837</v>
      </c>
    </row>
    <row r="414" spans="2:50" ht="15" customHeight="1">
      <c r="B414" s="506" t="s">
        <v>144</v>
      </c>
      <c r="C414" s="127" t="s">
        <v>138</v>
      </c>
      <c r="D414" s="144" t="s">
        <v>430</v>
      </c>
      <c r="E414" s="506">
        <v>15</v>
      </c>
      <c r="F414" s="12">
        <v>0.3</v>
      </c>
      <c r="G414" s="94">
        <f>VLOOKUP($D414,Construction!$B:$E,(COLUMN(Construction_BuildingReward_HeroXP)-COLUMN(Construction_Name_and_Level)+1),FALSE)</f>
        <v>400</v>
      </c>
      <c r="H414" s="94">
        <f t="shared" si="84"/>
        <v>520</v>
      </c>
      <c r="J414" s="95">
        <f>VLOOKUP($D414,Construction!$B:$F,(COLUMN(Construction_BuildingReward_Power)-COLUMN(Construction_Name_and_Level)+1),FALSE)</f>
        <v>35</v>
      </c>
      <c r="Q414" s="139">
        <v>3.472222222222222E-3</v>
      </c>
      <c r="R414" s="139">
        <v>6.9444444444444441E-3</v>
      </c>
      <c r="AF414" s="141"/>
      <c r="AG414" s="141"/>
      <c r="AH414" s="137"/>
      <c r="AI414" s="484"/>
      <c r="AJ414" s="137">
        <f t="shared" si="85"/>
        <v>0.11458333333333331</v>
      </c>
      <c r="AK414" s="339">
        <v>0.41</v>
      </c>
      <c r="AL414" s="138">
        <f>VLOOKUP($D414,Construction!$B:$C,(COLUMN(Construction_Time)-COLUMN(Construction_Name_and_Level)+1),FALSE)</f>
        <v>1.2962962962962963E-2</v>
      </c>
      <c r="AM414" s="138">
        <f t="shared" si="81"/>
        <v>9.1935907538744418E-3</v>
      </c>
      <c r="AN414" s="138">
        <f t="shared" si="82"/>
        <v>0</v>
      </c>
      <c r="AO414" s="139">
        <f t="shared" si="83"/>
        <v>0</v>
      </c>
      <c r="AU414" s="94">
        <f>VLOOKUP($D414,Construction!$B:$J,(COLUMN(Construction_BuildingCost_Stone)-COLUMN(Construction_Name_and_Level)+1),FALSE)*(-1)</f>
        <v>0</v>
      </c>
      <c r="AV414" s="94">
        <f>VLOOKUP($D414,Construction!$B:$J,(COLUMN(Construction_BuildingCost_Wood)-COLUMN(Construction_Name_and_Level)+1),FALSE)*(-1)</f>
        <v>-837</v>
      </c>
      <c r="AW414" s="94">
        <f>VLOOKUP($D414,Construction!$B:$J,(COLUMN(Construction_BuildingCost_Ore)-COLUMN(Construction_Name_and_Level)+1),FALSE)*(-1)</f>
        <v>-837</v>
      </c>
      <c r="AX414" s="94">
        <f>VLOOKUP($D414,Construction!$B:$J,(COLUMN(Construction_BuildingCost_Food)-COLUMN(Construction_Name_and_Level)+1),FALSE)*(-1)</f>
        <v>-837</v>
      </c>
    </row>
    <row r="415" spans="2:50" ht="15" customHeight="1">
      <c r="B415" s="506" t="s">
        <v>144</v>
      </c>
      <c r="C415" s="127" t="s">
        <v>138</v>
      </c>
      <c r="D415" s="144" t="s">
        <v>406</v>
      </c>
      <c r="E415" s="506">
        <v>15</v>
      </c>
      <c r="F415" s="12">
        <v>0.3</v>
      </c>
      <c r="G415" s="94">
        <f>VLOOKUP($D415,Construction!$B:$E,(COLUMN(Construction_BuildingReward_HeroXP)-COLUMN(Construction_Name_and_Level)+1),FALSE)</f>
        <v>25</v>
      </c>
      <c r="H415" s="94">
        <f t="shared" ref="H415:H426" si="86">G415*(1+F415)</f>
        <v>32.5</v>
      </c>
      <c r="J415" s="95">
        <f>VLOOKUP($D415,Construction!$B:$F,(COLUMN(Construction_BuildingReward_Power)-COLUMN(Construction_Name_and_Level)+1),FALSE)</f>
        <v>10</v>
      </c>
      <c r="Q415" s="139">
        <v>3.472222222222222E-3</v>
      </c>
      <c r="R415" s="139">
        <v>6.9444444444444441E-3</v>
      </c>
      <c r="AF415" s="141"/>
      <c r="AG415" s="141"/>
      <c r="AH415" s="137"/>
      <c r="AI415" s="484"/>
      <c r="AJ415" s="137">
        <f t="shared" si="85"/>
        <v>0.11458333333333331</v>
      </c>
      <c r="AK415" s="339">
        <v>0.41</v>
      </c>
      <c r="AL415" s="138">
        <f>VLOOKUP($D415,Construction!$B:$C,(COLUMN(Construction_Time)-COLUMN(Construction_Name_and_Level)+1),FALSE)</f>
        <v>1.8518518518518517E-3</v>
      </c>
      <c r="AM415" s="138">
        <f t="shared" si="81"/>
        <v>1.3133701076963487E-3</v>
      </c>
      <c r="AN415" s="138">
        <f t="shared" si="82"/>
        <v>0</v>
      </c>
      <c r="AO415" s="139">
        <f t="shared" si="83"/>
        <v>0</v>
      </c>
      <c r="AU415" s="94">
        <f>VLOOKUP($D415,Construction!$B:$J,(COLUMN(Construction_BuildingCost_Stone)-COLUMN(Construction_Name_and_Level)+1),FALSE)*(-1)</f>
        <v>-170</v>
      </c>
      <c r="AV415" s="94">
        <f>VLOOKUP($D415,Construction!$B:$J,(COLUMN(Construction_BuildingCost_Wood)-COLUMN(Construction_Name_and_Level)+1),FALSE)*(-1)</f>
        <v>-170</v>
      </c>
      <c r="AW415" s="94">
        <f>VLOOKUP($D415,Construction!$B:$J,(COLUMN(Construction_BuildingCost_Ore)-COLUMN(Construction_Name_and_Level)+1),FALSE)*(-1)</f>
        <v>0</v>
      </c>
      <c r="AX415" s="94">
        <f>VLOOKUP($D415,Construction!$B:$J,(COLUMN(Construction_BuildingCost_Food)-COLUMN(Construction_Name_and_Level)+1),FALSE)*(-1)</f>
        <v>-170</v>
      </c>
    </row>
    <row r="416" spans="2:50" ht="15" customHeight="1">
      <c r="B416" s="506" t="s">
        <v>144</v>
      </c>
      <c r="C416" s="127" t="s">
        <v>138</v>
      </c>
      <c r="D416" s="144" t="s">
        <v>406</v>
      </c>
      <c r="E416" s="506">
        <v>15</v>
      </c>
      <c r="F416" s="12">
        <v>0.3</v>
      </c>
      <c r="G416" s="94">
        <f>VLOOKUP($D416,Construction!$B:$E,(COLUMN(Construction_BuildingReward_HeroXP)-COLUMN(Construction_Name_and_Level)+1),FALSE)</f>
        <v>25</v>
      </c>
      <c r="H416" s="94">
        <f t="shared" si="86"/>
        <v>32.5</v>
      </c>
      <c r="J416" s="95">
        <f>VLOOKUP($D416,Construction!$B:$F,(COLUMN(Construction_BuildingReward_Power)-COLUMN(Construction_Name_and_Level)+1),FALSE)</f>
        <v>10</v>
      </c>
      <c r="Q416" s="139">
        <v>3.472222222222222E-3</v>
      </c>
      <c r="R416" s="139">
        <v>6.9444444444444441E-3</v>
      </c>
      <c r="AF416" s="141"/>
      <c r="AG416" s="141"/>
      <c r="AH416" s="137"/>
      <c r="AI416" s="484"/>
      <c r="AJ416" s="137">
        <f t="shared" si="85"/>
        <v>0.11458333333333331</v>
      </c>
      <c r="AK416" s="339">
        <v>0.41</v>
      </c>
      <c r="AL416" s="138">
        <f>VLOOKUP($D416,Construction!$B:$C,(COLUMN(Construction_Time)-COLUMN(Construction_Name_and_Level)+1),FALSE)</f>
        <v>1.8518518518518517E-3</v>
      </c>
      <c r="AM416" s="138">
        <f t="shared" si="81"/>
        <v>1.3133701076963487E-3</v>
      </c>
      <c r="AN416" s="138">
        <f t="shared" si="82"/>
        <v>0</v>
      </c>
      <c r="AO416" s="139">
        <f t="shared" si="83"/>
        <v>0</v>
      </c>
      <c r="AU416" s="94">
        <f>VLOOKUP($D416,Construction!$B:$J,(COLUMN(Construction_BuildingCost_Stone)-COLUMN(Construction_Name_and_Level)+1),FALSE)*(-1)</f>
        <v>-170</v>
      </c>
      <c r="AV416" s="94">
        <f>VLOOKUP($D416,Construction!$B:$J,(COLUMN(Construction_BuildingCost_Wood)-COLUMN(Construction_Name_and_Level)+1),FALSE)*(-1)</f>
        <v>-170</v>
      </c>
      <c r="AW416" s="94">
        <f>VLOOKUP($D416,Construction!$B:$J,(COLUMN(Construction_BuildingCost_Ore)-COLUMN(Construction_Name_and_Level)+1),FALSE)*(-1)</f>
        <v>0</v>
      </c>
      <c r="AX416" s="94">
        <f>VLOOKUP($D416,Construction!$B:$J,(COLUMN(Construction_BuildingCost_Food)-COLUMN(Construction_Name_and_Level)+1),FALSE)*(-1)</f>
        <v>-170</v>
      </c>
    </row>
    <row r="417" spans="2:50" ht="15" customHeight="1">
      <c r="B417" s="506" t="s">
        <v>144</v>
      </c>
      <c r="C417" s="127" t="s">
        <v>138</v>
      </c>
      <c r="D417" s="144" t="s">
        <v>406</v>
      </c>
      <c r="E417" s="506">
        <v>15</v>
      </c>
      <c r="F417" s="12">
        <v>0.3</v>
      </c>
      <c r="G417" s="94">
        <f>VLOOKUP($D417,Construction!$B:$E,(COLUMN(Construction_BuildingReward_HeroXP)-COLUMN(Construction_Name_and_Level)+1),FALSE)</f>
        <v>25</v>
      </c>
      <c r="H417" s="94">
        <f t="shared" si="86"/>
        <v>32.5</v>
      </c>
      <c r="J417" s="95">
        <f>VLOOKUP($D417,Construction!$B:$F,(COLUMN(Construction_BuildingReward_Power)-COLUMN(Construction_Name_and_Level)+1),FALSE)</f>
        <v>10</v>
      </c>
      <c r="Q417" s="139">
        <v>3.472222222222222E-3</v>
      </c>
      <c r="R417" s="139">
        <v>6.9444444444444441E-3</v>
      </c>
      <c r="AF417" s="141"/>
      <c r="AG417" s="141"/>
      <c r="AH417" s="137"/>
      <c r="AI417" s="484"/>
      <c r="AJ417" s="137">
        <f t="shared" si="85"/>
        <v>0.11458333333333331</v>
      </c>
      <c r="AK417" s="339">
        <v>0.41</v>
      </c>
      <c r="AL417" s="138">
        <f>VLOOKUP($D417,Construction!$B:$C,(COLUMN(Construction_Time)-COLUMN(Construction_Name_and_Level)+1),FALSE)</f>
        <v>1.8518518518518517E-3</v>
      </c>
      <c r="AM417" s="138">
        <f t="shared" si="81"/>
        <v>1.3133701076963487E-3</v>
      </c>
      <c r="AN417" s="138">
        <f t="shared" si="82"/>
        <v>0</v>
      </c>
      <c r="AO417" s="139">
        <f t="shared" si="83"/>
        <v>0</v>
      </c>
      <c r="AU417" s="94">
        <f>VLOOKUP($D417,Construction!$B:$J,(COLUMN(Construction_BuildingCost_Stone)-COLUMN(Construction_Name_and_Level)+1),FALSE)*(-1)</f>
        <v>-170</v>
      </c>
      <c r="AV417" s="94">
        <f>VLOOKUP($D417,Construction!$B:$J,(COLUMN(Construction_BuildingCost_Wood)-COLUMN(Construction_Name_and_Level)+1),FALSE)*(-1)</f>
        <v>-170</v>
      </c>
      <c r="AW417" s="94">
        <f>VLOOKUP($D417,Construction!$B:$J,(COLUMN(Construction_BuildingCost_Ore)-COLUMN(Construction_Name_and_Level)+1),FALSE)*(-1)</f>
        <v>0</v>
      </c>
      <c r="AX417" s="94">
        <f>VLOOKUP($D417,Construction!$B:$J,(COLUMN(Construction_BuildingCost_Food)-COLUMN(Construction_Name_and_Level)+1),FALSE)*(-1)</f>
        <v>-170</v>
      </c>
    </row>
    <row r="418" spans="2:50" ht="15" customHeight="1">
      <c r="B418" s="506" t="s">
        <v>144</v>
      </c>
      <c r="C418" s="127" t="s">
        <v>138</v>
      </c>
      <c r="D418" s="144" t="s">
        <v>447</v>
      </c>
      <c r="E418" s="506">
        <v>15</v>
      </c>
      <c r="F418" s="12">
        <v>0.3</v>
      </c>
      <c r="G418" s="94">
        <f>VLOOKUP($D418,Construction!$B:$E,(COLUMN(Construction_BuildingReward_HeroXP)-COLUMN(Construction_Name_and_Level)+1),FALSE)</f>
        <v>50</v>
      </c>
      <c r="H418" s="94">
        <f t="shared" si="86"/>
        <v>65</v>
      </c>
      <c r="J418" s="95">
        <f>VLOOKUP($D418,Construction!$B:$F,(COLUMN(Construction_BuildingReward_Power)-COLUMN(Construction_Name_and_Level)+1),FALSE)</f>
        <v>15</v>
      </c>
      <c r="Q418" s="139">
        <v>3.472222222222222E-3</v>
      </c>
      <c r="R418" s="139">
        <v>6.9444444444444441E-3</v>
      </c>
      <c r="AF418" s="141"/>
      <c r="AG418" s="141"/>
      <c r="AH418" s="137"/>
      <c r="AI418" s="484"/>
      <c r="AJ418" s="137">
        <f t="shared" si="85"/>
        <v>0.11458333333333331</v>
      </c>
      <c r="AK418" s="339">
        <v>0.41</v>
      </c>
      <c r="AL418" s="138">
        <f>VLOOKUP($D418,Construction!$B:$C,(COLUMN(Construction_Time)-COLUMN(Construction_Name_and_Level)+1),FALSE)</f>
        <v>3.7037037037037034E-3</v>
      </c>
      <c r="AM418" s="138">
        <f t="shared" si="81"/>
        <v>2.6267402153926974E-3</v>
      </c>
      <c r="AN418" s="138">
        <f t="shared" si="82"/>
        <v>0</v>
      </c>
      <c r="AO418" s="139">
        <f t="shared" si="83"/>
        <v>0</v>
      </c>
      <c r="AU418" s="94">
        <f>VLOOKUP($D418,Construction!$B:$J,(COLUMN(Construction_BuildingCost_Stone)-COLUMN(Construction_Name_and_Level)+1),FALSE)*(-1)</f>
        <v>-289</v>
      </c>
      <c r="AV418" s="94">
        <f>VLOOKUP($D418,Construction!$B:$J,(COLUMN(Construction_BuildingCost_Wood)-COLUMN(Construction_Name_and_Level)+1),FALSE)*(-1)</f>
        <v>-289</v>
      </c>
      <c r="AW418" s="94">
        <f>VLOOKUP($D418,Construction!$B:$J,(COLUMN(Construction_BuildingCost_Ore)-COLUMN(Construction_Name_and_Level)+1),FALSE)*(-1)</f>
        <v>0</v>
      </c>
      <c r="AX418" s="94">
        <f>VLOOKUP($D418,Construction!$B:$J,(COLUMN(Construction_BuildingCost_Food)-COLUMN(Construction_Name_and_Level)+1),FALSE)*(-1)</f>
        <v>-289</v>
      </c>
    </row>
    <row r="419" spans="2:50" ht="15" customHeight="1">
      <c r="B419" s="506" t="s">
        <v>144</v>
      </c>
      <c r="C419" s="127" t="s">
        <v>138</v>
      </c>
      <c r="D419" s="144" t="s">
        <v>447</v>
      </c>
      <c r="E419" s="506">
        <v>15</v>
      </c>
      <c r="F419" s="12">
        <v>0.3</v>
      </c>
      <c r="G419" s="94">
        <f>VLOOKUP($D419,Construction!$B:$E,(COLUMN(Construction_BuildingReward_HeroXP)-COLUMN(Construction_Name_and_Level)+1),FALSE)</f>
        <v>50</v>
      </c>
      <c r="H419" s="94">
        <f t="shared" si="86"/>
        <v>65</v>
      </c>
      <c r="J419" s="95">
        <f>VLOOKUP($D419,Construction!$B:$F,(COLUMN(Construction_BuildingReward_Power)-COLUMN(Construction_Name_and_Level)+1),FALSE)</f>
        <v>15</v>
      </c>
      <c r="Q419" s="139">
        <v>3.472222222222222E-3</v>
      </c>
      <c r="R419" s="139">
        <v>6.9444444444444441E-3</v>
      </c>
      <c r="AF419" s="141"/>
      <c r="AG419" s="141"/>
      <c r="AH419" s="137"/>
      <c r="AI419" s="484"/>
      <c r="AJ419" s="137">
        <f t="shared" si="85"/>
        <v>0.11458333333333331</v>
      </c>
      <c r="AK419" s="339">
        <v>0.41</v>
      </c>
      <c r="AL419" s="138">
        <f>VLOOKUP($D419,Construction!$B:$C,(COLUMN(Construction_Time)-COLUMN(Construction_Name_and_Level)+1),FALSE)</f>
        <v>3.7037037037037034E-3</v>
      </c>
      <c r="AM419" s="138">
        <f t="shared" si="81"/>
        <v>2.6267402153926974E-3</v>
      </c>
      <c r="AN419" s="138">
        <f t="shared" si="82"/>
        <v>0</v>
      </c>
      <c r="AO419" s="139">
        <f t="shared" si="83"/>
        <v>0</v>
      </c>
      <c r="AU419" s="94">
        <f>VLOOKUP($D419,Construction!$B:$J,(COLUMN(Construction_BuildingCost_Stone)-COLUMN(Construction_Name_and_Level)+1),FALSE)*(-1)</f>
        <v>-289</v>
      </c>
      <c r="AV419" s="94">
        <f>VLOOKUP($D419,Construction!$B:$J,(COLUMN(Construction_BuildingCost_Wood)-COLUMN(Construction_Name_and_Level)+1),FALSE)*(-1)</f>
        <v>-289</v>
      </c>
      <c r="AW419" s="94">
        <f>VLOOKUP($D419,Construction!$B:$J,(COLUMN(Construction_BuildingCost_Ore)-COLUMN(Construction_Name_and_Level)+1),FALSE)*(-1)</f>
        <v>0</v>
      </c>
      <c r="AX419" s="94">
        <f>VLOOKUP($D419,Construction!$B:$J,(COLUMN(Construction_BuildingCost_Food)-COLUMN(Construction_Name_and_Level)+1),FALSE)*(-1)</f>
        <v>-289</v>
      </c>
    </row>
    <row r="420" spans="2:50" ht="15" customHeight="1">
      <c r="B420" s="506" t="s">
        <v>144</v>
      </c>
      <c r="C420" s="127" t="s">
        <v>138</v>
      </c>
      <c r="D420" s="144" t="s">
        <v>447</v>
      </c>
      <c r="E420" s="506">
        <v>15</v>
      </c>
      <c r="F420" s="12">
        <v>0.3</v>
      </c>
      <c r="G420" s="94">
        <f>VLOOKUP($D420,Construction!$B:$E,(COLUMN(Construction_BuildingReward_HeroXP)-COLUMN(Construction_Name_and_Level)+1),FALSE)</f>
        <v>50</v>
      </c>
      <c r="H420" s="94">
        <f t="shared" si="86"/>
        <v>65</v>
      </c>
      <c r="J420" s="95">
        <f>VLOOKUP($D420,Construction!$B:$F,(COLUMN(Construction_BuildingReward_Power)-COLUMN(Construction_Name_and_Level)+1),FALSE)</f>
        <v>15</v>
      </c>
      <c r="Q420" s="139">
        <v>3.472222222222222E-3</v>
      </c>
      <c r="R420" s="139">
        <v>6.9444444444444441E-3</v>
      </c>
      <c r="AF420" s="141"/>
      <c r="AG420" s="141"/>
      <c r="AH420" s="137"/>
      <c r="AI420" s="484"/>
      <c r="AJ420" s="137">
        <f t="shared" si="85"/>
        <v>0.11458333333333331</v>
      </c>
      <c r="AK420" s="339">
        <v>0.41</v>
      </c>
      <c r="AL420" s="138">
        <f>VLOOKUP($D420,Construction!$B:$C,(COLUMN(Construction_Time)-COLUMN(Construction_Name_and_Level)+1),FALSE)</f>
        <v>3.7037037037037034E-3</v>
      </c>
      <c r="AM420" s="138">
        <f t="shared" si="81"/>
        <v>2.6267402153926974E-3</v>
      </c>
      <c r="AN420" s="138">
        <f t="shared" si="82"/>
        <v>0</v>
      </c>
      <c r="AO420" s="139">
        <f t="shared" si="83"/>
        <v>0</v>
      </c>
      <c r="AU420" s="94">
        <f>VLOOKUP($D420,Construction!$B:$J,(COLUMN(Construction_BuildingCost_Stone)-COLUMN(Construction_Name_and_Level)+1),FALSE)*(-1)</f>
        <v>-289</v>
      </c>
      <c r="AV420" s="94">
        <f>VLOOKUP($D420,Construction!$B:$J,(COLUMN(Construction_BuildingCost_Wood)-COLUMN(Construction_Name_and_Level)+1),FALSE)*(-1)</f>
        <v>-289</v>
      </c>
      <c r="AW420" s="94">
        <f>VLOOKUP($D420,Construction!$B:$J,(COLUMN(Construction_BuildingCost_Ore)-COLUMN(Construction_Name_and_Level)+1),FALSE)*(-1)</f>
        <v>0</v>
      </c>
      <c r="AX420" s="94">
        <f>VLOOKUP($D420,Construction!$B:$J,(COLUMN(Construction_BuildingCost_Food)-COLUMN(Construction_Name_and_Level)+1),FALSE)*(-1)</f>
        <v>-289</v>
      </c>
    </row>
    <row r="421" spans="2:50" ht="15" customHeight="1">
      <c r="B421" s="506" t="s">
        <v>144</v>
      </c>
      <c r="C421" s="127" t="s">
        <v>138</v>
      </c>
      <c r="D421" s="144" t="s">
        <v>448</v>
      </c>
      <c r="E421" s="506">
        <v>15</v>
      </c>
      <c r="F421" s="12">
        <v>0.3</v>
      </c>
      <c r="G421" s="94">
        <f>VLOOKUP($D421,Construction!$B:$E,(COLUMN(Construction_BuildingReward_HeroXP)-COLUMN(Construction_Name_and_Level)+1),FALSE)</f>
        <v>200</v>
      </c>
      <c r="H421" s="94">
        <f t="shared" si="86"/>
        <v>260</v>
      </c>
      <c r="J421" s="95">
        <f>VLOOKUP($D421,Construction!$B:$F,(COLUMN(Construction_BuildingReward_Power)-COLUMN(Construction_Name_and_Level)+1),FALSE)</f>
        <v>25</v>
      </c>
      <c r="Q421" s="139">
        <v>3.472222222222222E-3</v>
      </c>
      <c r="R421" s="139">
        <v>6.9444444444444441E-3</v>
      </c>
      <c r="AF421" s="141"/>
      <c r="AG421" s="141"/>
      <c r="AH421" s="137"/>
      <c r="AI421" s="484"/>
      <c r="AJ421" s="137">
        <f t="shared" si="85"/>
        <v>0.11458333333333331</v>
      </c>
      <c r="AK421" s="339">
        <v>0.41</v>
      </c>
      <c r="AL421" s="138">
        <f>VLOOKUP($D421,Construction!$B:$C,(COLUMN(Construction_Time)-COLUMN(Construction_Name_and_Level)+1),FALSE)</f>
        <v>7.4074074074074068E-3</v>
      </c>
      <c r="AM421" s="138">
        <f t="shared" si="81"/>
        <v>5.2534804307853948E-3</v>
      </c>
      <c r="AN421" s="138">
        <f t="shared" si="82"/>
        <v>0</v>
      </c>
      <c r="AO421" s="139">
        <f t="shared" si="83"/>
        <v>0</v>
      </c>
      <c r="AU421" s="94">
        <f>VLOOKUP($D421,Construction!$B:$J,(COLUMN(Construction_BuildingCost_Stone)-COLUMN(Construction_Name_and_Level)+1),FALSE)*(-1)</f>
        <v>-492</v>
      </c>
      <c r="AV421" s="94">
        <f>VLOOKUP($D421,Construction!$B:$J,(COLUMN(Construction_BuildingCost_Wood)-COLUMN(Construction_Name_and_Level)+1),FALSE)*(-1)</f>
        <v>-492</v>
      </c>
      <c r="AW421" s="94">
        <f>VLOOKUP($D421,Construction!$B:$J,(COLUMN(Construction_BuildingCost_Ore)-COLUMN(Construction_Name_and_Level)+1),FALSE)*(-1)</f>
        <v>0</v>
      </c>
      <c r="AX421" s="94">
        <f>VLOOKUP($D421,Construction!$B:$J,(COLUMN(Construction_BuildingCost_Food)-COLUMN(Construction_Name_and_Level)+1),FALSE)*(-1)</f>
        <v>-492</v>
      </c>
    </row>
    <row r="422" spans="2:50" ht="15" customHeight="1">
      <c r="B422" s="506" t="s">
        <v>144</v>
      </c>
      <c r="C422" s="127" t="s">
        <v>138</v>
      </c>
      <c r="D422" s="144" t="s">
        <v>448</v>
      </c>
      <c r="E422" s="506">
        <v>15</v>
      </c>
      <c r="F422" s="12">
        <v>0.3</v>
      </c>
      <c r="G422" s="94">
        <f>VLOOKUP($D422,Construction!$B:$E,(COLUMN(Construction_BuildingReward_HeroXP)-COLUMN(Construction_Name_and_Level)+1),FALSE)</f>
        <v>200</v>
      </c>
      <c r="H422" s="94">
        <f t="shared" si="86"/>
        <v>260</v>
      </c>
      <c r="J422" s="95">
        <f>VLOOKUP($D422,Construction!$B:$F,(COLUMN(Construction_BuildingReward_Power)-COLUMN(Construction_Name_and_Level)+1),FALSE)</f>
        <v>25</v>
      </c>
      <c r="Q422" s="139">
        <v>3.472222222222222E-3</v>
      </c>
      <c r="R422" s="139">
        <v>6.9444444444444441E-3</v>
      </c>
      <c r="AF422" s="141"/>
      <c r="AG422" s="141"/>
      <c r="AH422" s="137"/>
      <c r="AI422" s="484"/>
      <c r="AJ422" s="137">
        <f t="shared" si="85"/>
        <v>0.11458333333333331</v>
      </c>
      <c r="AK422" s="339">
        <v>0.41</v>
      </c>
      <c r="AL422" s="138">
        <f>VLOOKUP($D422,Construction!$B:$C,(COLUMN(Construction_Time)-COLUMN(Construction_Name_and_Level)+1),FALSE)</f>
        <v>7.4074074074074068E-3</v>
      </c>
      <c r="AM422" s="138">
        <f t="shared" si="81"/>
        <v>5.2534804307853948E-3</v>
      </c>
      <c r="AN422" s="138">
        <f t="shared" si="82"/>
        <v>0</v>
      </c>
      <c r="AO422" s="139">
        <f t="shared" si="83"/>
        <v>0</v>
      </c>
      <c r="AU422" s="94">
        <f>VLOOKUP($D422,Construction!$B:$J,(COLUMN(Construction_BuildingCost_Stone)-COLUMN(Construction_Name_and_Level)+1),FALSE)*(-1)</f>
        <v>-492</v>
      </c>
      <c r="AV422" s="94">
        <f>VLOOKUP($D422,Construction!$B:$J,(COLUMN(Construction_BuildingCost_Wood)-COLUMN(Construction_Name_and_Level)+1),FALSE)*(-1)</f>
        <v>-492</v>
      </c>
      <c r="AW422" s="94">
        <f>VLOOKUP($D422,Construction!$B:$J,(COLUMN(Construction_BuildingCost_Ore)-COLUMN(Construction_Name_and_Level)+1),FALSE)*(-1)</f>
        <v>0</v>
      </c>
      <c r="AX422" s="94">
        <f>VLOOKUP($D422,Construction!$B:$J,(COLUMN(Construction_BuildingCost_Food)-COLUMN(Construction_Name_and_Level)+1),FALSE)*(-1)</f>
        <v>-492</v>
      </c>
    </row>
    <row r="423" spans="2:50" ht="15" customHeight="1">
      <c r="B423" s="506" t="s">
        <v>144</v>
      </c>
      <c r="C423" s="127" t="s">
        <v>138</v>
      </c>
      <c r="D423" s="144" t="s">
        <v>448</v>
      </c>
      <c r="E423" s="506">
        <v>15</v>
      </c>
      <c r="F423" s="12">
        <v>0.3</v>
      </c>
      <c r="G423" s="94">
        <f>VLOOKUP($D423,Construction!$B:$E,(COLUMN(Construction_BuildingReward_HeroXP)-COLUMN(Construction_Name_and_Level)+1),FALSE)</f>
        <v>200</v>
      </c>
      <c r="H423" s="94">
        <f t="shared" si="86"/>
        <v>260</v>
      </c>
      <c r="J423" s="95">
        <f>VLOOKUP($D423,Construction!$B:$F,(COLUMN(Construction_BuildingReward_Power)-COLUMN(Construction_Name_and_Level)+1),FALSE)</f>
        <v>25</v>
      </c>
      <c r="Q423" s="139">
        <v>3.472222222222222E-3</v>
      </c>
      <c r="R423" s="139">
        <v>6.9444444444444441E-3</v>
      </c>
      <c r="AF423" s="141"/>
      <c r="AG423" s="141"/>
      <c r="AH423" s="137"/>
      <c r="AI423" s="484"/>
      <c r="AJ423" s="137">
        <f t="shared" si="85"/>
        <v>0.11458333333333331</v>
      </c>
      <c r="AK423" s="339">
        <v>0.41</v>
      </c>
      <c r="AL423" s="138">
        <f>VLOOKUP($D423,Construction!$B:$C,(COLUMN(Construction_Time)-COLUMN(Construction_Name_and_Level)+1),FALSE)</f>
        <v>7.4074074074074068E-3</v>
      </c>
      <c r="AM423" s="138">
        <f t="shared" si="81"/>
        <v>5.2534804307853948E-3</v>
      </c>
      <c r="AN423" s="138">
        <f t="shared" si="82"/>
        <v>0</v>
      </c>
      <c r="AO423" s="139">
        <f t="shared" si="83"/>
        <v>0</v>
      </c>
      <c r="AU423" s="94">
        <f>VLOOKUP($D423,Construction!$B:$J,(COLUMN(Construction_BuildingCost_Stone)-COLUMN(Construction_Name_and_Level)+1),FALSE)*(-1)</f>
        <v>-492</v>
      </c>
      <c r="AV423" s="94">
        <f>VLOOKUP($D423,Construction!$B:$J,(COLUMN(Construction_BuildingCost_Wood)-COLUMN(Construction_Name_and_Level)+1),FALSE)*(-1)</f>
        <v>-492</v>
      </c>
      <c r="AW423" s="94">
        <f>VLOOKUP($D423,Construction!$B:$J,(COLUMN(Construction_BuildingCost_Ore)-COLUMN(Construction_Name_and_Level)+1),FALSE)*(-1)</f>
        <v>0</v>
      </c>
      <c r="AX423" s="94">
        <f>VLOOKUP($D423,Construction!$B:$J,(COLUMN(Construction_BuildingCost_Food)-COLUMN(Construction_Name_and_Level)+1),FALSE)*(-1)</f>
        <v>-492</v>
      </c>
    </row>
    <row r="424" spans="2:50" ht="15" customHeight="1">
      <c r="B424" s="506" t="s">
        <v>144</v>
      </c>
      <c r="C424" s="127" t="s">
        <v>138</v>
      </c>
      <c r="D424" s="144" t="s">
        <v>449</v>
      </c>
      <c r="E424" s="506">
        <v>15</v>
      </c>
      <c r="F424" s="12">
        <v>0.3</v>
      </c>
      <c r="G424" s="94">
        <f>VLOOKUP($D424,Construction!$B:$E,(COLUMN(Construction_BuildingReward_HeroXP)-COLUMN(Construction_Name_and_Level)+1),FALSE)</f>
        <v>400</v>
      </c>
      <c r="H424" s="94">
        <f t="shared" si="86"/>
        <v>520</v>
      </c>
      <c r="J424" s="95">
        <f>VLOOKUP($D424,Construction!$B:$F,(COLUMN(Construction_BuildingReward_Power)-COLUMN(Construction_Name_and_Level)+1),FALSE)</f>
        <v>35</v>
      </c>
      <c r="Q424" s="139">
        <v>3.472222222222222E-3</v>
      </c>
      <c r="R424" s="139">
        <v>6.9444444444444441E-3</v>
      </c>
      <c r="AF424" s="141"/>
      <c r="AG424" s="141"/>
      <c r="AH424" s="137"/>
      <c r="AI424" s="484"/>
      <c r="AJ424" s="137">
        <f t="shared" si="85"/>
        <v>0.11458333333333331</v>
      </c>
      <c r="AK424" s="339">
        <v>0.41</v>
      </c>
      <c r="AL424" s="138">
        <f>VLOOKUP($D424,Construction!$B:$C,(COLUMN(Construction_Time)-COLUMN(Construction_Name_and_Level)+1),FALSE)</f>
        <v>1.4814814814814814E-2</v>
      </c>
      <c r="AM424" s="138">
        <f t="shared" si="81"/>
        <v>1.050696086157079E-2</v>
      </c>
      <c r="AN424" s="138">
        <f t="shared" si="82"/>
        <v>0</v>
      </c>
      <c r="AO424" s="139">
        <f t="shared" si="83"/>
        <v>9.0294194904123534E-5</v>
      </c>
      <c r="AU424" s="94">
        <f>VLOOKUP($D424,Construction!$B:$J,(COLUMN(Construction_BuildingCost_Stone)-COLUMN(Construction_Name_and_Level)+1),FALSE)*(-1)</f>
        <v>-837</v>
      </c>
      <c r="AV424" s="94">
        <f>VLOOKUP($D424,Construction!$B:$J,(COLUMN(Construction_BuildingCost_Wood)-COLUMN(Construction_Name_and_Level)+1),FALSE)*(-1)</f>
        <v>-837</v>
      </c>
      <c r="AW424" s="94">
        <f>VLOOKUP($D424,Construction!$B:$J,(COLUMN(Construction_BuildingCost_Ore)-COLUMN(Construction_Name_and_Level)+1),FALSE)*(-1)</f>
        <v>0</v>
      </c>
      <c r="AX424" s="94">
        <f>VLOOKUP($D424,Construction!$B:$J,(COLUMN(Construction_BuildingCost_Food)-COLUMN(Construction_Name_and_Level)+1),FALSE)*(-1)</f>
        <v>-837</v>
      </c>
    </row>
    <row r="425" spans="2:50" ht="15" customHeight="1">
      <c r="B425" s="506" t="s">
        <v>144</v>
      </c>
      <c r="C425" s="127" t="s">
        <v>138</v>
      </c>
      <c r="D425" s="144" t="s">
        <v>449</v>
      </c>
      <c r="E425" s="506">
        <v>15</v>
      </c>
      <c r="F425" s="12">
        <v>0.3</v>
      </c>
      <c r="G425" s="94">
        <f>VLOOKUP($D425,Construction!$B:$E,(COLUMN(Construction_BuildingReward_HeroXP)-COLUMN(Construction_Name_and_Level)+1),FALSE)</f>
        <v>400</v>
      </c>
      <c r="H425" s="94">
        <f t="shared" si="86"/>
        <v>520</v>
      </c>
      <c r="J425" s="95">
        <f>VLOOKUP($D425,Construction!$B:$F,(COLUMN(Construction_BuildingReward_Power)-COLUMN(Construction_Name_and_Level)+1),FALSE)</f>
        <v>35</v>
      </c>
      <c r="Q425" s="139">
        <v>3.472222222222222E-3</v>
      </c>
      <c r="R425" s="139">
        <v>6.9444444444444441E-3</v>
      </c>
      <c r="AF425" s="141"/>
      <c r="AG425" s="141"/>
      <c r="AH425" s="137"/>
      <c r="AI425" s="484"/>
      <c r="AJ425" s="137">
        <f t="shared" si="85"/>
        <v>0.11458333333333331</v>
      </c>
      <c r="AK425" s="339">
        <v>0.41</v>
      </c>
      <c r="AL425" s="138">
        <f>VLOOKUP($D425,Construction!$B:$C,(COLUMN(Construction_Time)-COLUMN(Construction_Name_and_Level)+1),FALSE)</f>
        <v>1.4814814814814814E-2</v>
      </c>
      <c r="AM425" s="138">
        <f t="shared" si="81"/>
        <v>1.050696086157079E-2</v>
      </c>
      <c r="AN425" s="138">
        <f t="shared" si="82"/>
        <v>0</v>
      </c>
      <c r="AO425" s="139">
        <f t="shared" si="83"/>
        <v>9.0294194904123534E-5</v>
      </c>
      <c r="AU425" s="94">
        <f>VLOOKUP($D425,Construction!$B:$J,(COLUMN(Construction_BuildingCost_Stone)-COLUMN(Construction_Name_and_Level)+1),FALSE)*(-1)</f>
        <v>-837</v>
      </c>
      <c r="AV425" s="94">
        <f>VLOOKUP($D425,Construction!$B:$J,(COLUMN(Construction_BuildingCost_Wood)-COLUMN(Construction_Name_and_Level)+1),FALSE)*(-1)</f>
        <v>-837</v>
      </c>
      <c r="AW425" s="94">
        <f>VLOOKUP($D425,Construction!$B:$J,(COLUMN(Construction_BuildingCost_Ore)-COLUMN(Construction_Name_and_Level)+1),FALSE)*(-1)</f>
        <v>0</v>
      </c>
      <c r="AX425" s="94">
        <f>VLOOKUP($D425,Construction!$B:$J,(COLUMN(Construction_BuildingCost_Food)-COLUMN(Construction_Name_and_Level)+1),FALSE)*(-1)</f>
        <v>-837</v>
      </c>
    </row>
    <row r="426" spans="2:50" ht="15" customHeight="1">
      <c r="B426" s="506" t="s">
        <v>144</v>
      </c>
      <c r="C426" s="127" t="s">
        <v>138</v>
      </c>
      <c r="D426" s="144" t="s">
        <v>449</v>
      </c>
      <c r="E426" s="506">
        <v>15</v>
      </c>
      <c r="F426" s="12">
        <v>0.3</v>
      </c>
      <c r="G426" s="94">
        <f>VLOOKUP($D426,Construction!$B:$E,(COLUMN(Construction_BuildingReward_HeroXP)-COLUMN(Construction_Name_and_Level)+1),FALSE)</f>
        <v>400</v>
      </c>
      <c r="H426" s="94">
        <f t="shared" si="86"/>
        <v>520</v>
      </c>
      <c r="J426" s="95">
        <f>VLOOKUP($D426,Construction!$B:$F,(COLUMN(Construction_BuildingReward_Power)-COLUMN(Construction_Name_and_Level)+1),FALSE)</f>
        <v>35</v>
      </c>
      <c r="Q426" s="139">
        <v>3.472222222222222E-3</v>
      </c>
      <c r="R426" s="139">
        <v>6.9444444444444441E-3</v>
      </c>
      <c r="AF426" s="141"/>
      <c r="AG426" s="141"/>
      <c r="AH426" s="137"/>
      <c r="AI426" s="484"/>
      <c r="AJ426" s="137">
        <f t="shared" si="85"/>
        <v>0.11458333333333331</v>
      </c>
      <c r="AK426" s="339">
        <v>0.41</v>
      </c>
      <c r="AL426" s="138">
        <f>VLOOKUP($D426,Construction!$B:$C,(COLUMN(Construction_Time)-COLUMN(Construction_Name_and_Level)+1),FALSE)</f>
        <v>1.4814814814814814E-2</v>
      </c>
      <c r="AM426" s="138">
        <f t="shared" si="81"/>
        <v>1.050696086157079E-2</v>
      </c>
      <c r="AN426" s="138">
        <f t="shared" si="82"/>
        <v>0</v>
      </c>
      <c r="AO426" s="139">
        <f t="shared" si="83"/>
        <v>9.0294194904123534E-5</v>
      </c>
      <c r="AU426" s="94">
        <f>VLOOKUP($D426,Construction!$B:$J,(COLUMN(Construction_BuildingCost_Stone)-COLUMN(Construction_Name_and_Level)+1),FALSE)*(-1)</f>
        <v>-837</v>
      </c>
      <c r="AV426" s="94">
        <f>VLOOKUP($D426,Construction!$B:$J,(COLUMN(Construction_BuildingCost_Wood)-COLUMN(Construction_Name_and_Level)+1),FALSE)*(-1)</f>
        <v>-837</v>
      </c>
      <c r="AW426" s="94">
        <f>VLOOKUP($D426,Construction!$B:$J,(COLUMN(Construction_BuildingCost_Ore)-COLUMN(Construction_Name_and_Level)+1),FALSE)*(-1)</f>
        <v>0</v>
      </c>
      <c r="AX426" s="94">
        <f>VLOOKUP($D426,Construction!$B:$J,(COLUMN(Construction_BuildingCost_Food)-COLUMN(Construction_Name_and_Level)+1),FALSE)*(-1)</f>
        <v>-837</v>
      </c>
    </row>
    <row r="427" spans="2:50" ht="15" customHeight="1">
      <c r="B427" s="506" t="s">
        <v>144</v>
      </c>
      <c r="C427" s="127" t="s">
        <v>138</v>
      </c>
      <c r="D427" s="144" t="s">
        <v>1637</v>
      </c>
      <c r="E427" s="506">
        <v>15</v>
      </c>
      <c r="F427" s="12">
        <v>0.3</v>
      </c>
      <c r="G427" s="94">
        <f>VLOOKUP($D427,Construction!$B:$E,(COLUMN(Construction_BuildingReward_HeroXP)-COLUMN(Construction_Name_and_Level)+1),FALSE)</f>
        <v>500</v>
      </c>
      <c r="H427" s="94">
        <f t="shared" ref="H427" si="87">G427*(1+F427)</f>
        <v>650</v>
      </c>
      <c r="J427" s="95">
        <f>VLOOKUP($D427,Construction!$B:$F,(COLUMN(Construction_BuildingReward_Power)-COLUMN(Construction_Name_and_Level)+1),FALSE)</f>
        <v>55</v>
      </c>
      <c r="Q427" s="139">
        <v>3.472222222222222E-3</v>
      </c>
      <c r="R427" s="139">
        <v>6.9444444444444441E-3</v>
      </c>
      <c r="AF427" s="141"/>
      <c r="AG427" s="141"/>
      <c r="AH427" s="137"/>
      <c r="AI427" s="484"/>
      <c r="AJ427" s="137">
        <f t="shared" si="85"/>
        <v>0.11458333333333331</v>
      </c>
      <c r="AK427" s="339">
        <v>0.41</v>
      </c>
      <c r="AL427" s="138">
        <f>VLOOKUP($D427,Construction!$B:$C,(COLUMN(Construction_Time)-COLUMN(Construction_Name_and_Level)+1),FALSE)</f>
        <v>1.8518518518518521E-2</v>
      </c>
      <c r="AM427" s="138">
        <f t="shared" si="81"/>
        <v>1.313370107696349E-2</v>
      </c>
      <c r="AN427" s="138">
        <f t="shared" si="82"/>
        <v>0</v>
      </c>
      <c r="AO427" s="139">
        <f t="shared" si="83"/>
        <v>2.7170344102968244E-3</v>
      </c>
      <c r="AU427" s="94">
        <f>VLOOKUP($D427,Construction!$B:$J,(COLUMN(Construction_BuildingCost_Stone)-COLUMN(Construction_Name_and_Level)+1),FALSE)*(-1)</f>
        <v>-1674</v>
      </c>
      <c r="AV427" s="94">
        <f>VLOOKUP($D427,Construction!$B:$J,(COLUMN(Construction_BuildingCost_Wood)-COLUMN(Construction_Name_and_Level)+1),FALSE)*(-1)</f>
        <v>-1674</v>
      </c>
      <c r="AW427" s="94">
        <f>VLOOKUP($D427,Construction!$B:$J,(COLUMN(Construction_BuildingCost_Ore)-COLUMN(Construction_Name_and_Level)+1),FALSE)*(-1)</f>
        <v>-1674</v>
      </c>
      <c r="AX427" s="94">
        <f>VLOOKUP($D427,Construction!$B:$J,(COLUMN(Construction_BuildingCost_Food)-COLUMN(Construction_Name_and_Level)+1),FALSE)*(-1)</f>
        <v>0</v>
      </c>
    </row>
    <row r="428" spans="2:50" ht="15" customHeight="1">
      <c r="B428" s="506" t="s">
        <v>144</v>
      </c>
      <c r="C428" s="127" t="s">
        <v>138</v>
      </c>
      <c r="D428" s="144" t="s">
        <v>1637</v>
      </c>
      <c r="E428" s="506">
        <v>15</v>
      </c>
      <c r="F428" s="12">
        <v>0.3</v>
      </c>
      <c r="G428" s="94">
        <f>VLOOKUP($D428,Construction!$B:$E,(COLUMN(Construction_BuildingReward_HeroXP)-COLUMN(Construction_Name_and_Level)+1),FALSE)</f>
        <v>500</v>
      </c>
      <c r="H428" s="94">
        <f t="shared" ref="H428:H429" si="88">G428*(1+F428)</f>
        <v>650</v>
      </c>
      <c r="J428" s="95">
        <f>VLOOKUP($D428,Construction!$B:$F,(COLUMN(Construction_BuildingReward_Power)-COLUMN(Construction_Name_and_Level)+1),FALSE)</f>
        <v>55</v>
      </c>
      <c r="Q428" s="139">
        <v>3.472222222222222E-3</v>
      </c>
      <c r="R428" s="139">
        <v>6.9444444444444441E-3</v>
      </c>
      <c r="AF428" s="141"/>
      <c r="AG428" s="141"/>
      <c r="AH428" s="137"/>
      <c r="AI428" s="484"/>
      <c r="AJ428" s="137">
        <f t="shared" si="85"/>
        <v>0.11458333333333331</v>
      </c>
      <c r="AK428" s="339">
        <v>0.41</v>
      </c>
      <c r="AL428" s="138">
        <f>VLOOKUP($D428,Construction!$B:$C,(COLUMN(Construction_Time)-COLUMN(Construction_Name_and_Level)+1),FALSE)</f>
        <v>1.8518518518518521E-2</v>
      </c>
      <c r="AM428" s="138">
        <f t="shared" si="81"/>
        <v>1.313370107696349E-2</v>
      </c>
      <c r="AN428" s="138">
        <f t="shared" si="82"/>
        <v>0</v>
      </c>
      <c r="AO428" s="139">
        <f t="shared" si="83"/>
        <v>2.7170344102968244E-3</v>
      </c>
      <c r="AU428" s="94">
        <f>VLOOKUP($D428,Construction!$B:$J,(COLUMN(Construction_BuildingCost_Stone)-COLUMN(Construction_Name_and_Level)+1),FALSE)*(-1)</f>
        <v>-1674</v>
      </c>
      <c r="AV428" s="94">
        <f>VLOOKUP($D428,Construction!$B:$J,(COLUMN(Construction_BuildingCost_Wood)-COLUMN(Construction_Name_and_Level)+1),FALSE)*(-1)</f>
        <v>-1674</v>
      </c>
      <c r="AW428" s="94">
        <f>VLOOKUP($D428,Construction!$B:$J,(COLUMN(Construction_BuildingCost_Ore)-COLUMN(Construction_Name_and_Level)+1),FALSE)*(-1)</f>
        <v>-1674</v>
      </c>
      <c r="AX428" s="94">
        <f>VLOOKUP($D428,Construction!$B:$J,(COLUMN(Construction_BuildingCost_Food)-COLUMN(Construction_Name_and_Level)+1),FALSE)*(-1)</f>
        <v>0</v>
      </c>
    </row>
    <row r="429" spans="2:50" ht="15" customHeight="1">
      <c r="B429" s="506" t="s">
        <v>144</v>
      </c>
      <c r="C429" s="127" t="s">
        <v>138</v>
      </c>
      <c r="D429" s="144" t="s">
        <v>1637</v>
      </c>
      <c r="E429" s="506">
        <v>15</v>
      </c>
      <c r="F429" s="12">
        <v>0.3</v>
      </c>
      <c r="G429" s="94">
        <f>VLOOKUP($D429,Construction!$B:$E,(COLUMN(Construction_BuildingReward_HeroXP)-COLUMN(Construction_Name_and_Level)+1),FALSE)</f>
        <v>500</v>
      </c>
      <c r="H429" s="94">
        <f t="shared" si="88"/>
        <v>650</v>
      </c>
      <c r="J429" s="95">
        <f>VLOOKUP($D429,Construction!$B:$F,(COLUMN(Construction_BuildingReward_Power)-COLUMN(Construction_Name_and_Level)+1),FALSE)</f>
        <v>55</v>
      </c>
      <c r="Q429" s="139">
        <v>3.472222222222222E-3</v>
      </c>
      <c r="R429" s="139">
        <v>6.9444444444444441E-3</v>
      </c>
      <c r="AF429" s="141"/>
      <c r="AG429" s="141"/>
      <c r="AH429" s="137"/>
      <c r="AI429" s="484"/>
      <c r="AJ429" s="137">
        <f t="shared" si="85"/>
        <v>0.11458333333333331</v>
      </c>
      <c r="AK429" s="339">
        <v>0.41</v>
      </c>
      <c r="AL429" s="138">
        <f>VLOOKUP($D429,Construction!$B:$C,(COLUMN(Construction_Time)-COLUMN(Construction_Name_and_Level)+1),FALSE)</f>
        <v>1.8518518518518521E-2</v>
      </c>
      <c r="AM429" s="138">
        <f t="shared" si="81"/>
        <v>1.313370107696349E-2</v>
      </c>
      <c r="AN429" s="138">
        <f t="shared" si="82"/>
        <v>0</v>
      </c>
      <c r="AO429" s="139">
        <f t="shared" si="83"/>
        <v>2.7170344102968244E-3</v>
      </c>
      <c r="AU429" s="94">
        <f>VLOOKUP($D429,Construction!$B:$J,(COLUMN(Construction_BuildingCost_Stone)-COLUMN(Construction_Name_and_Level)+1),FALSE)*(-1)</f>
        <v>-1674</v>
      </c>
      <c r="AV429" s="94">
        <f>VLOOKUP($D429,Construction!$B:$J,(COLUMN(Construction_BuildingCost_Wood)-COLUMN(Construction_Name_and_Level)+1),FALSE)*(-1)</f>
        <v>-1674</v>
      </c>
      <c r="AW429" s="94">
        <f>VLOOKUP($D429,Construction!$B:$J,(COLUMN(Construction_BuildingCost_Ore)-COLUMN(Construction_Name_and_Level)+1),FALSE)*(-1)</f>
        <v>-1674</v>
      </c>
      <c r="AX429" s="94">
        <f>VLOOKUP($D429,Construction!$B:$J,(COLUMN(Construction_BuildingCost_Food)-COLUMN(Construction_Name_and_Level)+1),FALSE)*(-1)</f>
        <v>0</v>
      </c>
    </row>
    <row r="430" spans="2:50" ht="15" customHeight="1">
      <c r="B430" s="506" t="s">
        <v>145</v>
      </c>
      <c r="C430" s="146" t="s">
        <v>151</v>
      </c>
      <c r="D430" s="145">
        <v>9.3749999999999997E-3</v>
      </c>
      <c r="E430" s="506">
        <v>15</v>
      </c>
      <c r="AF430" s="141"/>
      <c r="AG430" s="141"/>
      <c r="AH430" s="137"/>
      <c r="AI430" s="484"/>
      <c r="AJ430" s="137">
        <f t="shared" si="85"/>
        <v>0.11458333333333331</v>
      </c>
      <c r="AV430" s="2">
        <v>1000</v>
      </c>
    </row>
    <row r="431" spans="2:50" ht="15" customHeight="1">
      <c r="B431" s="506" t="s">
        <v>143</v>
      </c>
      <c r="C431" s="127" t="s">
        <v>182</v>
      </c>
      <c r="D431" s="144" t="s">
        <v>1648</v>
      </c>
      <c r="E431" s="506">
        <v>15</v>
      </c>
      <c r="F431" s="12">
        <v>0.3</v>
      </c>
      <c r="G431" s="101">
        <v>0</v>
      </c>
      <c r="H431" s="101">
        <f t="shared" ref="H431" si="89">G431*(1+F431)</f>
        <v>0</v>
      </c>
      <c r="J431" s="100">
        <v>125</v>
      </c>
      <c r="AF431" s="141"/>
      <c r="AG431" s="141"/>
      <c r="AH431" s="137"/>
      <c r="AI431" s="484"/>
      <c r="AJ431" s="137">
        <f t="shared" si="85"/>
        <v>0.11458333333333331</v>
      </c>
      <c r="AV431" s="101">
        <v>15000</v>
      </c>
    </row>
    <row r="432" spans="2:50" ht="15" customHeight="1">
      <c r="B432" s="506" t="s">
        <v>143</v>
      </c>
      <c r="C432" s="127" t="s">
        <v>182</v>
      </c>
      <c r="D432" s="144" t="s">
        <v>1627</v>
      </c>
      <c r="E432" s="506">
        <v>15</v>
      </c>
      <c r="F432" s="12">
        <v>0.3</v>
      </c>
      <c r="G432" s="101">
        <v>0</v>
      </c>
      <c r="H432" s="101">
        <f t="shared" ref="H432:H433" si="90">G432*(1+F432)</f>
        <v>0</v>
      </c>
      <c r="J432" s="100">
        <v>125</v>
      </c>
      <c r="AF432" s="141"/>
      <c r="AG432" s="141"/>
      <c r="AH432" s="137"/>
      <c r="AI432" s="484"/>
      <c r="AJ432" s="137">
        <f t="shared" si="85"/>
        <v>0.11458333333333331</v>
      </c>
      <c r="AW432" s="101">
        <v>15000</v>
      </c>
    </row>
    <row r="433" spans="2:108" ht="15" customHeight="1">
      <c r="B433" s="506" t="s">
        <v>143</v>
      </c>
      <c r="C433" s="127" t="s">
        <v>182</v>
      </c>
      <c r="D433" s="144" t="s">
        <v>1649</v>
      </c>
      <c r="E433" s="506">
        <v>15</v>
      </c>
      <c r="F433" s="12">
        <v>0.3</v>
      </c>
      <c r="G433" s="101">
        <v>0</v>
      </c>
      <c r="H433" s="101">
        <f t="shared" si="90"/>
        <v>0</v>
      </c>
      <c r="J433" s="100">
        <v>350</v>
      </c>
      <c r="AF433" s="141"/>
      <c r="AG433" s="141"/>
      <c r="AH433" s="137"/>
      <c r="AI433" s="484"/>
      <c r="AJ433" s="137">
        <f t="shared" si="85"/>
        <v>0.11458333333333331</v>
      </c>
      <c r="AX433" s="101">
        <v>20000</v>
      </c>
    </row>
    <row r="434" spans="2:108" ht="15" customHeight="1">
      <c r="B434" s="506" t="s">
        <v>146</v>
      </c>
      <c r="C434" s="127" t="s">
        <v>138</v>
      </c>
      <c r="D434" s="144" t="s">
        <v>1650</v>
      </c>
      <c r="E434" s="506">
        <v>15</v>
      </c>
      <c r="F434" s="12">
        <v>0.3</v>
      </c>
      <c r="G434" s="111">
        <f>VLOOKUP($D434,Research!$C:$F,(COLUMN(Research_ResearchReward_HeroXP)-COLUMN(Research_Name_and_Level)+1),FALSE)</f>
        <v>30000</v>
      </c>
      <c r="H434" s="111">
        <f>G434*(1+F434)</f>
        <v>39000</v>
      </c>
      <c r="J434" s="115">
        <f>VLOOKUP($D434,Research!$C:$G,(COLUMN(Research_ResearchReward_Power)-COLUMN(Research_Name_and_Level)+1),FALSE)</f>
        <v>1000</v>
      </c>
      <c r="R434" s="148">
        <v>6.9444444444444441E-3</v>
      </c>
      <c r="AF434" s="141"/>
      <c r="AG434" s="141"/>
      <c r="AH434" s="137"/>
      <c r="AI434" s="484"/>
      <c r="AJ434" s="137">
        <f t="shared" si="85"/>
        <v>0.11458333333333331</v>
      </c>
      <c r="AP434" s="256">
        <v>0.24</v>
      </c>
      <c r="AQ434" s="147">
        <f>VLOOKUP($D434,Research!$C:$D,(COLUMN(Research_Time)-COLUMN(Research_Name_and_Level)+1),FALSE)</f>
        <v>4.1666666666666664E-2</v>
      </c>
      <c r="AR434" s="147">
        <f>AQ434/(1+AP434)</f>
        <v>3.3602150537634407E-2</v>
      </c>
      <c r="AS434" s="147">
        <f>(S$3*S434+T$3*T434+V$3*V434+W$3*W434+X$3*X434+Y$3*Y434+Z$3*Z434+AA$3*AA434+AB$3*AB434+AC$3*AC434)*(-1)</f>
        <v>0</v>
      </c>
      <c r="AT434" s="148">
        <f>IF(AR434-R434-AS434&gt;=0,AR434-R434-AS434,0)</f>
        <v>2.6657706093189962E-2</v>
      </c>
      <c r="AU434" s="111">
        <f>VLOOKUP($D434,Research!$C:$L,(COLUMN(Research_ResearchCost_Stone)-COLUMN(Research_Name_and_Level)+1),FALSE)*(-1)</f>
        <v>-20000</v>
      </c>
      <c r="AV434" s="111">
        <f>VLOOKUP($D434,Research!$C:$L,(COLUMN(Research_ResearchCost_Wood)-COLUMN(Research_Name_and_Level)+1),FALSE)*(-1)</f>
        <v>0</v>
      </c>
      <c r="AW434" s="111">
        <f>VLOOKUP($D434,Research!$C:$L,(COLUMN(Research_ResearchCost_Ore)-COLUMN(Research_Name_and_Level)+1),FALSE)*(-1)</f>
        <v>-15000</v>
      </c>
      <c r="AX434" s="111">
        <f>VLOOKUP($D434,Research!$C:$L,(COLUMN(Research_ResearchCost_Food)-COLUMN(Research_Name_and_Level)+1),FALSE)*(-1)</f>
        <v>0</v>
      </c>
      <c r="AY434" s="112">
        <f>VLOOKUP($D434,Research!$C:$L,(COLUMN(Research_ResearchCost_Silver)-COLUMN(Research_Name_and_Level)+1),FALSE)*(-1)</f>
        <v>-20000</v>
      </c>
    </row>
    <row r="435" spans="2:108" ht="15" customHeight="1">
      <c r="B435" s="102" t="s">
        <v>1455</v>
      </c>
      <c r="C435" s="127" t="s">
        <v>170</v>
      </c>
      <c r="D435" s="144" t="s">
        <v>1650</v>
      </c>
      <c r="E435" s="506">
        <v>15</v>
      </c>
      <c r="F435" s="12">
        <v>0.3</v>
      </c>
      <c r="G435" s="101">
        <f>VLOOKUP($D435,Research!$C:$M,(COLUMN(Research_QuestReward_HeroXP)-COLUMN(Research_Name_and_Level)+1),FALSE)</f>
        <v>20000</v>
      </c>
      <c r="H435" s="101">
        <f>G435*(1+F435)</f>
        <v>26000</v>
      </c>
      <c r="J435" s="103">
        <f>VLOOKUP($D435,Research!$C:$N,(COLUMN(Research_QuestReward_Power)-COLUMN(Research_Name_and_Level)+1),FALSE)</f>
        <v>2</v>
      </c>
      <c r="AF435" s="141"/>
      <c r="AG435" s="141"/>
      <c r="AH435" s="137"/>
      <c r="AI435" s="484"/>
      <c r="AJ435" s="137">
        <f t="shared" si="85"/>
        <v>0.11458333333333331</v>
      </c>
      <c r="AU435" s="101">
        <f>VLOOKUP($D435,Research!$C:$S,(COLUMN(Research_QuestReward_Stone)-COLUMN(Research_Name_and_Level)+1),FALSE)</f>
        <v>32000</v>
      </c>
      <c r="AV435" s="101">
        <f>VLOOKUP($D435,Research!$C:$S,(COLUMN(Research_QuestReward_Wood)-COLUMN(Research_Name_and_Level)+1),FALSE)</f>
        <v>0</v>
      </c>
      <c r="AW435" s="101">
        <f>VLOOKUP($D435,Research!$C:$S,(COLUMN(Research_QuestReward_Ore)-COLUMN(Research_Name_and_Level)+1),FALSE)</f>
        <v>24000</v>
      </c>
      <c r="AX435" s="101">
        <f>VLOOKUP($D435,Research!$C:$S,(COLUMN(Research_QuestReward_Food)-COLUMN(Research_Name_and_Level)+1),FALSE)</f>
        <v>0</v>
      </c>
      <c r="AY435" s="100">
        <f>VLOOKUP($D435,Research!$C:$S,(COLUMN(Research_QuestReward_Silver)-COLUMN(Research_Name_and_Level)+1),FALSE)</f>
        <v>16000</v>
      </c>
      <c r="CT435" s="127"/>
      <c r="CU435" s="127"/>
      <c r="CV435" s="127"/>
      <c r="CW435" s="127"/>
      <c r="CX435" s="127"/>
      <c r="CY435" s="127"/>
      <c r="CZ435" s="127"/>
      <c r="DA435" s="127"/>
      <c r="DB435" s="127"/>
      <c r="DC435" s="127"/>
      <c r="DD435" s="127"/>
    </row>
    <row r="436" spans="2:108" ht="15" customHeight="1">
      <c r="B436" s="506" t="s">
        <v>144</v>
      </c>
      <c r="C436" s="127" t="s">
        <v>138</v>
      </c>
      <c r="D436" s="144" t="s">
        <v>664</v>
      </c>
      <c r="E436" s="506">
        <v>15</v>
      </c>
      <c r="F436" s="12">
        <v>0.3</v>
      </c>
      <c r="G436" s="94">
        <f>VLOOKUP($D436,Construction!$B:$E,(COLUMN(Construction_BuildingReward_HeroXP)-COLUMN(Construction_Name_and_Level)+1),FALSE)</f>
        <v>25</v>
      </c>
      <c r="H436" s="94">
        <f t="shared" ref="H436:H445" si="91">G436*(1+F436)</f>
        <v>32.5</v>
      </c>
      <c r="J436" s="95">
        <f>VLOOKUP($D436,Construction!$B:$F,(COLUMN(Construction_BuildingReward_Power)-COLUMN(Construction_Name_and_Level)+1),FALSE)</f>
        <v>25</v>
      </c>
      <c r="Q436" s="139">
        <v>3.472222222222222E-3</v>
      </c>
      <c r="R436" s="139">
        <v>6.9444444444444441E-3</v>
      </c>
      <c r="AF436" s="141"/>
      <c r="AG436" s="141"/>
      <c r="AH436" s="137"/>
      <c r="AI436" s="484"/>
      <c r="AJ436" s="137">
        <f t="shared" si="85"/>
        <v>0.11458333333333331</v>
      </c>
      <c r="AK436" s="339">
        <v>0.41</v>
      </c>
      <c r="AL436" s="138">
        <f>VLOOKUP($D436,Construction!$B:$C,(COLUMN(Construction_Time)-COLUMN(Construction_Name_and_Level)+1),FALSE)</f>
        <v>1.1574074074074073E-3</v>
      </c>
      <c r="AM436" s="138">
        <f t="shared" ref="AM436:AM445" si="92">AL436/(1+AK436)</f>
        <v>8.2085631731021805E-4</v>
      </c>
      <c r="AN436" s="138">
        <f t="shared" ref="AN436:AN445" si="93">(S$3*S436+T$3*T436+V$3*V436+W$3*W436+X$3*X436+Y$3*Y436+Z$3*Z436+AA$3*AA436+AB$3*AB436+AC$3*AC436)*(-1)</f>
        <v>0</v>
      </c>
      <c r="AO436" s="139">
        <f t="shared" ref="AO436:AO445" si="94">IF((AM436-Q436-R436-AN436)&gt;=0,AM436-Q436-R436-AN436,0)</f>
        <v>0</v>
      </c>
      <c r="AU436" s="94">
        <f>VLOOKUP($D436,Construction!$B:$J,(COLUMN(Construction_BuildingCost_Stone)-COLUMN(Construction_Name_and_Level)+1),FALSE)*(-1)</f>
        <v>-340</v>
      </c>
      <c r="AV436" s="94">
        <f>VLOOKUP($D436,Construction!$B:$J,(COLUMN(Construction_BuildingCost_Wood)-COLUMN(Construction_Name_and_Level)+1),FALSE)*(-1)</f>
        <v>-340</v>
      </c>
      <c r="AW436" s="94">
        <f>VLOOKUP($D436,Construction!$B:$J,(COLUMN(Construction_BuildingCost_Ore)-COLUMN(Construction_Name_and_Level)+1),FALSE)*(-1)</f>
        <v>-85</v>
      </c>
      <c r="AX436" s="94">
        <f>VLOOKUP($D436,Construction!$B:$J,(COLUMN(Construction_BuildingCost_Food)-COLUMN(Construction_Name_and_Level)+1),FALSE)*(-1)</f>
        <v>-850</v>
      </c>
    </row>
    <row r="437" spans="2:108" ht="15" customHeight="1">
      <c r="B437" s="506" t="s">
        <v>144</v>
      </c>
      <c r="C437" s="127" t="s">
        <v>138</v>
      </c>
      <c r="D437" s="144" t="s">
        <v>664</v>
      </c>
      <c r="E437" s="506">
        <v>15</v>
      </c>
      <c r="F437" s="12">
        <v>0.3</v>
      </c>
      <c r="G437" s="94">
        <f>VLOOKUP($D437,Construction!$B:$E,(COLUMN(Construction_BuildingReward_HeroXP)-COLUMN(Construction_Name_and_Level)+1),FALSE)</f>
        <v>25</v>
      </c>
      <c r="H437" s="94">
        <f t="shared" si="91"/>
        <v>32.5</v>
      </c>
      <c r="J437" s="95">
        <f>VLOOKUP($D437,Construction!$B:$F,(COLUMN(Construction_BuildingReward_Power)-COLUMN(Construction_Name_and_Level)+1),FALSE)</f>
        <v>25</v>
      </c>
      <c r="Q437" s="139">
        <v>3.472222222222222E-3</v>
      </c>
      <c r="R437" s="139">
        <v>6.9444444444444441E-3</v>
      </c>
      <c r="AF437" s="141"/>
      <c r="AG437" s="141"/>
      <c r="AH437" s="137"/>
      <c r="AI437" s="484"/>
      <c r="AJ437" s="137">
        <f t="shared" si="85"/>
        <v>0.11458333333333331</v>
      </c>
      <c r="AK437" s="339">
        <v>0.41</v>
      </c>
      <c r="AL437" s="138">
        <f>VLOOKUP($D437,Construction!$B:$C,(COLUMN(Construction_Time)-COLUMN(Construction_Name_and_Level)+1),FALSE)</f>
        <v>1.1574074074074073E-3</v>
      </c>
      <c r="AM437" s="138">
        <f t="shared" si="92"/>
        <v>8.2085631731021805E-4</v>
      </c>
      <c r="AN437" s="138">
        <f t="shared" si="93"/>
        <v>0</v>
      </c>
      <c r="AO437" s="139">
        <f t="shared" si="94"/>
        <v>0</v>
      </c>
      <c r="AU437" s="94">
        <f>VLOOKUP($D437,Construction!$B:$J,(COLUMN(Construction_BuildingCost_Stone)-COLUMN(Construction_Name_and_Level)+1),FALSE)*(-1)</f>
        <v>-340</v>
      </c>
      <c r="AV437" s="94">
        <f>VLOOKUP($D437,Construction!$B:$J,(COLUMN(Construction_BuildingCost_Wood)-COLUMN(Construction_Name_and_Level)+1),FALSE)*(-1)</f>
        <v>-340</v>
      </c>
      <c r="AW437" s="94">
        <f>VLOOKUP($D437,Construction!$B:$J,(COLUMN(Construction_BuildingCost_Ore)-COLUMN(Construction_Name_and_Level)+1),FALSE)*(-1)</f>
        <v>-85</v>
      </c>
      <c r="AX437" s="94">
        <f>VLOOKUP($D437,Construction!$B:$J,(COLUMN(Construction_BuildingCost_Food)-COLUMN(Construction_Name_and_Level)+1),FALSE)*(-1)</f>
        <v>-850</v>
      </c>
    </row>
    <row r="438" spans="2:108" ht="15" customHeight="1">
      <c r="B438" s="506" t="s">
        <v>144</v>
      </c>
      <c r="C438" s="127" t="s">
        <v>138</v>
      </c>
      <c r="D438" s="144" t="s">
        <v>664</v>
      </c>
      <c r="E438" s="506">
        <v>15</v>
      </c>
      <c r="F438" s="12">
        <v>0.3</v>
      </c>
      <c r="G438" s="94">
        <f>VLOOKUP($D438,Construction!$B:$E,(COLUMN(Construction_BuildingReward_HeroXP)-COLUMN(Construction_Name_and_Level)+1),FALSE)</f>
        <v>25</v>
      </c>
      <c r="H438" s="94">
        <f t="shared" si="91"/>
        <v>32.5</v>
      </c>
      <c r="J438" s="95">
        <f>VLOOKUP($D438,Construction!$B:$F,(COLUMN(Construction_BuildingReward_Power)-COLUMN(Construction_Name_and_Level)+1),FALSE)</f>
        <v>25</v>
      </c>
      <c r="Q438" s="139">
        <v>3.472222222222222E-3</v>
      </c>
      <c r="R438" s="139">
        <v>6.9444444444444441E-3</v>
      </c>
      <c r="AF438" s="141"/>
      <c r="AG438" s="141"/>
      <c r="AH438" s="137"/>
      <c r="AI438" s="484"/>
      <c r="AJ438" s="137">
        <f t="shared" si="85"/>
        <v>0.11458333333333331</v>
      </c>
      <c r="AK438" s="339">
        <v>0.41</v>
      </c>
      <c r="AL438" s="138">
        <f>VLOOKUP($D438,Construction!$B:$C,(COLUMN(Construction_Time)-COLUMN(Construction_Name_and_Level)+1),FALSE)</f>
        <v>1.1574074074074073E-3</v>
      </c>
      <c r="AM438" s="138">
        <f t="shared" si="92"/>
        <v>8.2085631731021805E-4</v>
      </c>
      <c r="AN438" s="138">
        <f t="shared" si="93"/>
        <v>0</v>
      </c>
      <c r="AO438" s="139">
        <f t="shared" si="94"/>
        <v>0</v>
      </c>
      <c r="AU438" s="94">
        <f>VLOOKUP($D438,Construction!$B:$J,(COLUMN(Construction_BuildingCost_Stone)-COLUMN(Construction_Name_and_Level)+1),FALSE)*(-1)</f>
        <v>-340</v>
      </c>
      <c r="AV438" s="94">
        <f>VLOOKUP($D438,Construction!$B:$J,(COLUMN(Construction_BuildingCost_Wood)-COLUMN(Construction_Name_and_Level)+1),FALSE)*(-1)</f>
        <v>-340</v>
      </c>
      <c r="AW438" s="94">
        <f>VLOOKUP($D438,Construction!$B:$J,(COLUMN(Construction_BuildingCost_Ore)-COLUMN(Construction_Name_and_Level)+1),FALSE)*(-1)</f>
        <v>-85</v>
      </c>
      <c r="AX438" s="94">
        <f>VLOOKUP($D438,Construction!$B:$J,(COLUMN(Construction_BuildingCost_Food)-COLUMN(Construction_Name_and_Level)+1),FALSE)*(-1)</f>
        <v>-850</v>
      </c>
    </row>
    <row r="439" spans="2:108" ht="15" customHeight="1">
      <c r="B439" s="506" t="s">
        <v>144</v>
      </c>
      <c r="C439" s="127" t="s">
        <v>138</v>
      </c>
      <c r="D439" s="144" t="s">
        <v>213</v>
      </c>
      <c r="E439" s="506">
        <v>15</v>
      </c>
      <c r="F439" s="12">
        <v>0.3</v>
      </c>
      <c r="G439" s="94">
        <f>VLOOKUP($D439,Construction!$B:$E,(COLUMN(Construction_BuildingReward_HeroXP)-COLUMN(Construction_Name_and_Level)+1),FALSE)</f>
        <v>50</v>
      </c>
      <c r="H439" s="94">
        <f t="shared" si="91"/>
        <v>65</v>
      </c>
      <c r="J439" s="95">
        <f>VLOOKUP($D439,Construction!$B:$F,(COLUMN(Construction_BuildingReward_Power)-COLUMN(Construction_Name_and_Level)+1),FALSE)</f>
        <v>40</v>
      </c>
      <c r="Q439" s="139">
        <v>3.472222222222222E-3</v>
      </c>
      <c r="R439" s="139">
        <v>6.9444444444444441E-3</v>
      </c>
      <c r="AF439" s="141"/>
      <c r="AG439" s="141"/>
      <c r="AH439" s="137"/>
      <c r="AI439" s="484"/>
      <c r="AJ439" s="137">
        <f t="shared" si="85"/>
        <v>0.11458333333333331</v>
      </c>
      <c r="AK439" s="339">
        <v>0.41</v>
      </c>
      <c r="AL439" s="138">
        <f>VLOOKUP($D439,Construction!$B:$C,(COLUMN(Construction_Time)-COLUMN(Construction_Name_and_Level)+1),FALSE)</f>
        <v>2.3148148148148151E-3</v>
      </c>
      <c r="AM439" s="138">
        <f t="shared" si="92"/>
        <v>1.6417126346204363E-3</v>
      </c>
      <c r="AN439" s="138">
        <f t="shared" si="93"/>
        <v>0</v>
      </c>
      <c r="AO439" s="139">
        <f t="shared" si="94"/>
        <v>0</v>
      </c>
      <c r="AU439" s="94">
        <f>VLOOKUP($D439,Construction!$B:$J,(COLUMN(Construction_BuildingCost_Stone)-COLUMN(Construction_Name_and_Level)+1),FALSE)*(-1)</f>
        <v>-578</v>
      </c>
      <c r="AV439" s="94">
        <f>VLOOKUP($D439,Construction!$B:$J,(COLUMN(Construction_BuildingCost_Wood)-COLUMN(Construction_Name_and_Level)+1),FALSE)*(-1)</f>
        <v>-578</v>
      </c>
      <c r="AW439" s="94">
        <f>VLOOKUP($D439,Construction!$B:$J,(COLUMN(Construction_BuildingCost_Ore)-COLUMN(Construction_Name_and_Level)+1),FALSE)*(-1)</f>
        <v>-145</v>
      </c>
      <c r="AX439" s="94">
        <f>VLOOKUP($D439,Construction!$B:$J,(COLUMN(Construction_BuildingCost_Food)-COLUMN(Construction_Name_and_Level)+1),FALSE)*(-1)</f>
        <v>-1445</v>
      </c>
    </row>
    <row r="440" spans="2:108" ht="15" customHeight="1">
      <c r="B440" s="506" t="s">
        <v>144</v>
      </c>
      <c r="C440" s="127" t="s">
        <v>138</v>
      </c>
      <c r="D440" s="144" t="s">
        <v>213</v>
      </c>
      <c r="E440" s="506">
        <v>15</v>
      </c>
      <c r="F440" s="12">
        <v>0.3</v>
      </c>
      <c r="G440" s="94">
        <f>VLOOKUP($D440,Construction!$B:$E,(COLUMN(Construction_BuildingReward_HeroXP)-COLUMN(Construction_Name_and_Level)+1),FALSE)</f>
        <v>50</v>
      </c>
      <c r="H440" s="94">
        <f t="shared" si="91"/>
        <v>65</v>
      </c>
      <c r="J440" s="95">
        <f>VLOOKUP($D440,Construction!$B:$F,(COLUMN(Construction_BuildingReward_Power)-COLUMN(Construction_Name_and_Level)+1),FALSE)</f>
        <v>40</v>
      </c>
      <c r="Q440" s="139">
        <v>3.472222222222222E-3</v>
      </c>
      <c r="R440" s="139">
        <v>6.9444444444444441E-3</v>
      </c>
      <c r="AF440" s="141"/>
      <c r="AG440" s="141"/>
      <c r="AH440" s="137"/>
      <c r="AI440" s="484"/>
      <c r="AJ440" s="137">
        <f t="shared" si="85"/>
        <v>0.11458333333333331</v>
      </c>
      <c r="AK440" s="339">
        <v>0.41</v>
      </c>
      <c r="AL440" s="138">
        <f>VLOOKUP($D440,Construction!$B:$C,(COLUMN(Construction_Time)-COLUMN(Construction_Name_and_Level)+1),FALSE)</f>
        <v>2.3148148148148151E-3</v>
      </c>
      <c r="AM440" s="138">
        <f t="shared" si="92"/>
        <v>1.6417126346204363E-3</v>
      </c>
      <c r="AN440" s="138">
        <f t="shared" si="93"/>
        <v>0</v>
      </c>
      <c r="AO440" s="139">
        <f t="shared" si="94"/>
        <v>0</v>
      </c>
      <c r="AU440" s="94">
        <f>VLOOKUP($D440,Construction!$B:$J,(COLUMN(Construction_BuildingCost_Stone)-COLUMN(Construction_Name_and_Level)+1),FALSE)*(-1)</f>
        <v>-578</v>
      </c>
      <c r="AV440" s="94">
        <f>VLOOKUP($D440,Construction!$B:$J,(COLUMN(Construction_BuildingCost_Wood)-COLUMN(Construction_Name_and_Level)+1),FALSE)*(-1)</f>
        <v>-578</v>
      </c>
      <c r="AW440" s="94">
        <f>VLOOKUP($D440,Construction!$B:$J,(COLUMN(Construction_BuildingCost_Ore)-COLUMN(Construction_Name_and_Level)+1),FALSE)*(-1)</f>
        <v>-145</v>
      </c>
      <c r="AX440" s="94">
        <f>VLOOKUP($D440,Construction!$B:$J,(COLUMN(Construction_BuildingCost_Food)-COLUMN(Construction_Name_and_Level)+1),FALSE)*(-1)</f>
        <v>-1445</v>
      </c>
    </row>
    <row r="441" spans="2:108" ht="15" customHeight="1">
      <c r="B441" s="506" t="s">
        <v>144</v>
      </c>
      <c r="C441" s="127" t="s">
        <v>138</v>
      </c>
      <c r="D441" s="144" t="s">
        <v>213</v>
      </c>
      <c r="E441" s="506">
        <v>15</v>
      </c>
      <c r="F441" s="12">
        <v>0.3</v>
      </c>
      <c r="G441" s="94">
        <f>VLOOKUP($D441,Construction!$B:$E,(COLUMN(Construction_BuildingReward_HeroXP)-COLUMN(Construction_Name_and_Level)+1),FALSE)</f>
        <v>50</v>
      </c>
      <c r="H441" s="94">
        <f t="shared" si="91"/>
        <v>65</v>
      </c>
      <c r="J441" s="95">
        <f>VLOOKUP($D441,Construction!$B:$F,(COLUMN(Construction_BuildingReward_Power)-COLUMN(Construction_Name_and_Level)+1),FALSE)</f>
        <v>40</v>
      </c>
      <c r="Q441" s="139">
        <v>3.472222222222222E-3</v>
      </c>
      <c r="R441" s="139">
        <v>6.9444444444444441E-3</v>
      </c>
      <c r="AF441" s="141"/>
      <c r="AG441" s="141"/>
      <c r="AH441" s="137"/>
      <c r="AI441" s="484"/>
      <c r="AJ441" s="137">
        <f t="shared" si="85"/>
        <v>0.11458333333333331</v>
      </c>
      <c r="AK441" s="339">
        <v>0.41</v>
      </c>
      <c r="AL441" s="138">
        <f>VLOOKUP($D441,Construction!$B:$C,(COLUMN(Construction_Time)-COLUMN(Construction_Name_and_Level)+1),FALSE)</f>
        <v>2.3148148148148151E-3</v>
      </c>
      <c r="AM441" s="138">
        <f t="shared" si="92"/>
        <v>1.6417126346204363E-3</v>
      </c>
      <c r="AN441" s="138">
        <f t="shared" si="93"/>
        <v>0</v>
      </c>
      <c r="AO441" s="139">
        <f t="shared" si="94"/>
        <v>0</v>
      </c>
      <c r="AU441" s="94">
        <f>VLOOKUP($D441,Construction!$B:$J,(COLUMN(Construction_BuildingCost_Stone)-COLUMN(Construction_Name_and_Level)+1),FALSE)*(-1)</f>
        <v>-578</v>
      </c>
      <c r="AV441" s="94">
        <f>VLOOKUP($D441,Construction!$B:$J,(COLUMN(Construction_BuildingCost_Wood)-COLUMN(Construction_Name_and_Level)+1),FALSE)*(-1)</f>
        <v>-578</v>
      </c>
      <c r="AW441" s="94">
        <f>VLOOKUP($D441,Construction!$B:$J,(COLUMN(Construction_BuildingCost_Ore)-COLUMN(Construction_Name_and_Level)+1),FALSE)*(-1)</f>
        <v>-145</v>
      </c>
      <c r="AX441" s="94">
        <f>VLOOKUP($D441,Construction!$B:$J,(COLUMN(Construction_BuildingCost_Food)-COLUMN(Construction_Name_and_Level)+1),FALSE)*(-1)</f>
        <v>-1445</v>
      </c>
    </row>
    <row r="442" spans="2:108" ht="15" customHeight="1">
      <c r="B442" s="506" t="s">
        <v>144</v>
      </c>
      <c r="C442" s="127" t="s">
        <v>138</v>
      </c>
      <c r="D442" s="144" t="s">
        <v>214</v>
      </c>
      <c r="E442" s="506">
        <v>15</v>
      </c>
      <c r="F442" s="12">
        <v>0.3</v>
      </c>
      <c r="G442" s="94">
        <f>VLOOKUP($D442,Construction!$B:$E,(COLUMN(Construction_BuildingReward_HeroXP)-COLUMN(Construction_Name_and_Level)+1),FALSE)</f>
        <v>200</v>
      </c>
      <c r="H442" s="94">
        <f t="shared" si="91"/>
        <v>260</v>
      </c>
      <c r="J442" s="95">
        <f>VLOOKUP($D442,Construction!$B:$F,(COLUMN(Construction_BuildingReward_Power)-COLUMN(Construction_Name_and_Level)+1),FALSE)</f>
        <v>60</v>
      </c>
      <c r="Q442" s="139">
        <v>3.472222222222222E-3</v>
      </c>
      <c r="R442" s="139">
        <v>6.9444444444444441E-3</v>
      </c>
      <c r="AF442" s="141"/>
      <c r="AG442" s="141"/>
      <c r="AH442" s="137"/>
      <c r="AI442" s="484"/>
      <c r="AJ442" s="137">
        <f t="shared" ref="AJ442:AJ455" si="95">AJ441+(S$3*S442+T$3*T442+U$3*U442+V$3*V442+W$3*W442+X$3*X442+Y$3*Y442+Z$3*Z442+AA$3*AA442+AB$3*AB442+AC$3*AC442)</f>
        <v>0.11458333333333331</v>
      </c>
      <c r="AK442" s="339">
        <v>0.41</v>
      </c>
      <c r="AL442" s="138">
        <f>VLOOKUP($D442,Construction!$B:$C,(COLUMN(Construction_Time)-COLUMN(Construction_Name_and_Level)+1),FALSE)</f>
        <v>4.6296296296296302E-3</v>
      </c>
      <c r="AM442" s="138">
        <f t="shared" si="92"/>
        <v>3.2834252692408726E-3</v>
      </c>
      <c r="AN442" s="138">
        <f t="shared" si="93"/>
        <v>0</v>
      </c>
      <c r="AO442" s="139">
        <f t="shared" si="94"/>
        <v>0</v>
      </c>
      <c r="AU442" s="94">
        <f>VLOOKUP($D442,Construction!$B:$J,(COLUMN(Construction_BuildingCost_Stone)-COLUMN(Construction_Name_and_Level)+1),FALSE)*(-1)</f>
        <v>-983</v>
      </c>
      <c r="AV442" s="94">
        <f>VLOOKUP($D442,Construction!$B:$J,(COLUMN(Construction_BuildingCost_Wood)-COLUMN(Construction_Name_and_Level)+1),FALSE)*(-1)</f>
        <v>-983</v>
      </c>
      <c r="AW442" s="94">
        <f>VLOOKUP($D442,Construction!$B:$J,(COLUMN(Construction_BuildingCost_Ore)-COLUMN(Construction_Name_and_Level)+1),FALSE)*(-1)</f>
        <v>-247</v>
      </c>
      <c r="AX442" s="94">
        <f>VLOOKUP($D442,Construction!$B:$J,(COLUMN(Construction_BuildingCost_Food)-COLUMN(Construction_Name_and_Level)+1),FALSE)*(-1)</f>
        <v>-2457</v>
      </c>
    </row>
    <row r="443" spans="2:108" ht="15" customHeight="1">
      <c r="B443" s="506" t="s">
        <v>144</v>
      </c>
      <c r="C443" s="127" t="s">
        <v>138</v>
      </c>
      <c r="D443" s="144" t="s">
        <v>214</v>
      </c>
      <c r="E443" s="506">
        <v>15</v>
      </c>
      <c r="F443" s="12">
        <v>0.3</v>
      </c>
      <c r="G443" s="94">
        <f>VLOOKUP($D443,Construction!$B:$E,(COLUMN(Construction_BuildingReward_HeroXP)-COLUMN(Construction_Name_and_Level)+1),FALSE)</f>
        <v>200</v>
      </c>
      <c r="H443" s="94">
        <f t="shared" si="91"/>
        <v>260</v>
      </c>
      <c r="J443" s="95">
        <f>VLOOKUP($D443,Construction!$B:$F,(COLUMN(Construction_BuildingReward_Power)-COLUMN(Construction_Name_and_Level)+1),FALSE)</f>
        <v>60</v>
      </c>
      <c r="Q443" s="139">
        <v>3.472222222222222E-3</v>
      </c>
      <c r="R443" s="139">
        <v>6.9444444444444441E-3</v>
      </c>
      <c r="AF443" s="141"/>
      <c r="AG443" s="141"/>
      <c r="AH443" s="137"/>
      <c r="AI443" s="484"/>
      <c r="AJ443" s="137">
        <f t="shared" si="95"/>
        <v>0.11458333333333331</v>
      </c>
      <c r="AK443" s="339">
        <v>0.41</v>
      </c>
      <c r="AL443" s="138">
        <f>VLOOKUP($D443,Construction!$B:$C,(COLUMN(Construction_Time)-COLUMN(Construction_Name_and_Level)+1),FALSE)</f>
        <v>4.6296296296296302E-3</v>
      </c>
      <c r="AM443" s="138">
        <f t="shared" si="92"/>
        <v>3.2834252692408726E-3</v>
      </c>
      <c r="AN443" s="138">
        <f t="shared" si="93"/>
        <v>0</v>
      </c>
      <c r="AO443" s="139">
        <f t="shared" si="94"/>
        <v>0</v>
      </c>
      <c r="AU443" s="94">
        <f>VLOOKUP($D443,Construction!$B:$J,(COLUMN(Construction_BuildingCost_Stone)-COLUMN(Construction_Name_and_Level)+1),FALSE)*(-1)</f>
        <v>-983</v>
      </c>
      <c r="AV443" s="94">
        <f>VLOOKUP($D443,Construction!$B:$J,(COLUMN(Construction_BuildingCost_Wood)-COLUMN(Construction_Name_and_Level)+1),FALSE)*(-1)</f>
        <v>-983</v>
      </c>
      <c r="AW443" s="94">
        <f>VLOOKUP($D443,Construction!$B:$J,(COLUMN(Construction_BuildingCost_Ore)-COLUMN(Construction_Name_and_Level)+1),FALSE)*(-1)</f>
        <v>-247</v>
      </c>
      <c r="AX443" s="94">
        <f>VLOOKUP($D443,Construction!$B:$J,(COLUMN(Construction_BuildingCost_Food)-COLUMN(Construction_Name_and_Level)+1),FALSE)*(-1)</f>
        <v>-2457</v>
      </c>
    </row>
    <row r="444" spans="2:108" ht="15" customHeight="1">
      <c r="B444" s="506" t="s">
        <v>144</v>
      </c>
      <c r="C444" s="127" t="s">
        <v>138</v>
      </c>
      <c r="D444" s="144" t="s">
        <v>214</v>
      </c>
      <c r="E444" s="506">
        <v>15</v>
      </c>
      <c r="F444" s="12">
        <v>0.3</v>
      </c>
      <c r="G444" s="94">
        <f>VLOOKUP($D444,Construction!$B:$E,(COLUMN(Construction_BuildingReward_HeroXP)-COLUMN(Construction_Name_and_Level)+1),FALSE)</f>
        <v>200</v>
      </c>
      <c r="H444" s="94">
        <f t="shared" si="91"/>
        <v>260</v>
      </c>
      <c r="J444" s="95">
        <f>VLOOKUP($D444,Construction!$B:$F,(COLUMN(Construction_BuildingReward_Power)-COLUMN(Construction_Name_and_Level)+1),FALSE)</f>
        <v>60</v>
      </c>
      <c r="Q444" s="139">
        <v>3.472222222222222E-3</v>
      </c>
      <c r="R444" s="139">
        <v>6.9444444444444441E-3</v>
      </c>
      <c r="AF444" s="141"/>
      <c r="AG444" s="141"/>
      <c r="AH444" s="137"/>
      <c r="AI444" s="484"/>
      <c r="AJ444" s="137">
        <f t="shared" si="95"/>
        <v>0.11458333333333331</v>
      </c>
      <c r="AK444" s="339">
        <v>0.41</v>
      </c>
      <c r="AL444" s="138">
        <f>VLOOKUP($D444,Construction!$B:$C,(COLUMN(Construction_Time)-COLUMN(Construction_Name_and_Level)+1),FALSE)</f>
        <v>4.6296296296296302E-3</v>
      </c>
      <c r="AM444" s="138">
        <f t="shared" si="92"/>
        <v>3.2834252692408726E-3</v>
      </c>
      <c r="AN444" s="138">
        <f t="shared" si="93"/>
        <v>0</v>
      </c>
      <c r="AO444" s="139">
        <f t="shared" si="94"/>
        <v>0</v>
      </c>
      <c r="AU444" s="94">
        <f>VLOOKUP($D444,Construction!$B:$J,(COLUMN(Construction_BuildingCost_Stone)-COLUMN(Construction_Name_and_Level)+1),FALSE)*(-1)</f>
        <v>-983</v>
      </c>
      <c r="AV444" s="94">
        <f>VLOOKUP($D444,Construction!$B:$J,(COLUMN(Construction_BuildingCost_Wood)-COLUMN(Construction_Name_and_Level)+1),FALSE)*(-1)</f>
        <v>-983</v>
      </c>
      <c r="AW444" s="94">
        <f>VLOOKUP($D444,Construction!$B:$J,(COLUMN(Construction_BuildingCost_Ore)-COLUMN(Construction_Name_and_Level)+1),FALSE)*(-1)</f>
        <v>-247</v>
      </c>
      <c r="AX444" s="94">
        <f>VLOOKUP($D444,Construction!$B:$J,(COLUMN(Construction_BuildingCost_Food)-COLUMN(Construction_Name_and_Level)+1),FALSE)*(-1)</f>
        <v>-2457</v>
      </c>
    </row>
    <row r="445" spans="2:108" ht="15" customHeight="1">
      <c r="B445" s="506" t="s">
        <v>144</v>
      </c>
      <c r="C445" s="127" t="s">
        <v>138</v>
      </c>
      <c r="D445" s="144" t="s">
        <v>215</v>
      </c>
      <c r="E445" s="506">
        <v>15</v>
      </c>
      <c r="F445" s="12">
        <v>0.3</v>
      </c>
      <c r="G445" s="94">
        <f>VLOOKUP($D445,Construction!$B:$E,(COLUMN(Construction_BuildingReward_HeroXP)-COLUMN(Construction_Name_and_Level)+1),FALSE)</f>
        <v>400</v>
      </c>
      <c r="H445" s="94">
        <f t="shared" si="91"/>
        <v>520</v>
      </c>
      <c r="J445" s="95">
        <f>VLOOKUP($D445,Construction!$B:$F,(COLUMN(Construction_BuildingReward_Power)-COLUMN(Construction_Name_and_Level)+1),FALSE)</f>
        <v>90</v>
      </c>
      <c r="Q445" s="139">
        <v>3.472222222222222E-3</v>
      </c>
      <c r="R445" s="139">
        <v>6.9444444444444441E-3</v>
      </c>
      <c r="AF445" s="141"/>
      <c r="AG445" s="141"/>
      <c r="AH445" s="137"/>
      <c r="AI445" s="484"/>
      <c r="AJ445" s="137">
        <f t="shared" si="95"/>
        <v>0.11458333333333331</v>
      </c>
      <c r="AK445" s="339">
        <v>0.41</v>
      </c>
      <c r="AL445" s="138">
        <f>VLOOKUP($D445,Construction!$B:$C,(COLUMN(Construction_Time)-COLUMN(Construction_Name_and_Level)+1),FALSE)</f>
        <v>9.2592592592592605E-3</v>
      </c>
      <c r="AM445" s="138">
        <f t="shared" si="92"/>
        <v>6.5668505384817452E-3</v>
      </c>
      <c r="AN445" s="138">
        <f t="shared" si="93"/>
        <v>0</v>
      </c>
      <c r="AO445" s="139">
        <f t="shared" si="94"/>
        <v>0</v>
      </c>
      <c r="AU445" s="94">
        <f>VLOOKUP($D445,Construction!$B:$J,(COLUMN(Construction_BuildingCost_Stone)-COLUMN(Construction_Name_and_Level)+1),FALSE)*(-1)</f>
        <v>-1672</v>
      </c>
      <c r="AV445" s="94">
        <f>VLOOKUP($D445,Construction!$B:$J,(COLUMN(Construction_BuildingCost_Wood)-COLUMN(Construction_Name_and_Level)+1),FALSE)*(-1)</f>
        <v>-1672</v>
      </c>
      <c r="AW445" s="94">
        <f>VLOOKUP($D445,Construction!$B:$J,(COLUMN(Construction_BuildingCost_Ore)-COLUMN(Construction_Name_and_Level)+1),FALSE)*(-1)</f>
        <v>-420</v>
      </c>
      <c r="AX445" s="94">
        <f>VLOOKUP($D445,Construction!$B:$J,(COLUMN(Construction_BuildingCost_Food)-COLUMN(Construction_Name_and_Level)+1),FALSE)*(-1)</f>
        <v>-4177</v>
      </c>
    </row>
    <row r="446" spans="2:108" ht="15" customHeight="1">
      <c r="B446" s="506" t="s">
        <v>195</v>
      </c>
      <c r="C446" s="127" t="s">
        <v>468</v>
      </c>
      <c r="D446" s="144">
        <v>7.7546296296296287E-3</v>
      </c>
      <c r="E446" s="506">
        <v>15</v>
      </c>
      <c r="F446" s="12">
        <v>0.3</v>
      </c>
      <c r="G446" s="211">
        <v>2400</v>
      </c>
      <c r="H446" s="211">
        <f t="shared" ref="H446:H447" si="96">G446*(1+F446)</f>
        <v>3120</v>
      </c>
      <c r="AF446" s="141"/>
      <c r="AG446" s="141"/>
      <c r="AH446" s="137"/>
      <c r="AI446" s="484"/>
      <c r="AJ446" s="137">
        <f t="shared" si="95"/>
        <v>0.11458333333333331</v>
      </c>
      <c r="AU446" s="211">
        <v>3000</v>
      </c>
      <c r="AV446" s="211"/>
      <c r="AW446" s="211"/>
      <c r="AX446" s="211"/>
      <c r="AY446" s="160">
        <v>600</v>
      </c>
      <c r="CL446" s="211">
        <v>2000</v>
      </c>
      <c r="CM446" s="160">
        <f>CL446</f>
        <v>2000</v>
      </c>
    </row>
    <row r="447" spans="2:108" ht="15" customHeight="1">
      <c r="B447" s="506" t="s">
        <v>143</v>
      </c>
      <c r="C447" s="127" t="s">
        <v>466</v>
      </c>
      <c r="D447" s="144">
        <v>6.145833333333333E-3</v>
      </c>
      <c r="E447" s="506">
        <v>15</v>
      </c>
      <c r="F447" s="12">
        <v>0.3</v>
      </c>
      <c r="G447" s="101">
        <v>2400</v>
      </c>
      <c r="H447" s="101">
        <f t="shared" si="96"/>
        <v>3120</v>
      </c>
      <c r="AF447" s="141"/>
      <c r="AG447" s="141"/>
      <c r="AH447" s="137"/>
      <c r="AI447" s="484"/>
      <c r="AJ447" s="137">
        <f t="shared" si="95"/>
        <v>0.11458333333333331</v>
      </c>
      <c r="AU447" s="101">
        <v>0</v>
      </c>
      <c r="AV447" s="101">
        <v>3000</v>
      </c>
      <c r="AW447" s="101">
        <v>0</v>
      </c>
      <c r="AX447" s="101">
        <v>3000</v>
      </c>
      <c r="AY447" s="100">
        <v>0</v>
      </c>
    </row>
    <row r="448" spans="2:108" ht="15" customHeight="1">
      <c r="B448" s="506" t="s">
        <v>144</v>
      </c>
      <c r="C448" s="127" t="s">
        <v>138</v>
      </c>
      <c r="D448" s="144" t="s">
        <v>1651</v>
      </c>
      <c r="E448" s="506">
        <v>15</v>
      </c>
      <c r="F448" s="12">
        <v>0.3</v>
      </c>
      <c r="G448" s="94">
        <f>VLOOKUP($D448,Construction!$B:$E,(COLUMN(Construction_BuildingReward_HeroXP)-COLUMN(Construction_Name_and_Level)+1),FALSE)</f>
        <v>10000</v>
      </c>
      <c r="H448" s="94">
        <f t="shared" ref="H448" si="97">G448*(1+F448)</f>
        <v>13000</v>
      </c>
      <c r="J448" s="95">
        <f>VLOOKUP($D448,Construction!$B:$F,(COLUMN(Construction_BuildingReward_Power)-COLUMN(Construction_Name_and_Level)+1),FALSE)</f>
        <v>850</v>
      </c>
      <c r="Q448" s="139">
        <v>3.472222222222222E-3</v>
      </c>
      <c r="R448" s="159">
        <v>7.6388888888888886E-3</v>
      </c>
      <c r="AF448" s="141"/>
      <c r="AG448" s="141"/>
      <c r="AH448" s="137"/>
      <c r="AI448" s="484"/>
      <c r="AJ448" s="137">
        <f t="shared" si="95"/>
        <v>0.11458333333333331</v>
      </c>
      <c r="AK448" s="339">
        <v>0.41</v>
      </c>
      <c r="AL448" s="138">
        <f>VLOOKUP($D448,Construction!$B:$C,(COLUMN(Construction_Time)-COLUMN(Construction_Name_and_Level)+1),FALSE)</f>
        <v>0.22222222222222221</v>
      </c>
      <c r="AM448" s="138">
        <f>AL448/(1+AK448)</f>
        <v>0.15760441292356187</v>
      </c>
      <c r="AN448" s="138">
        <f>(S$3*S448+T$3*T448+V$3*V448+W$3*W448+X$3*X448+Y$3*Y448+Z$3*Z448+AA$3*AA448+AB$3*AB448+AC$3*AC448)*(-1)</f>
        <v>0</v>
      </c>
      <c r="AO448" s="139">
        <f>IF((AM448-Q448-R448-AN448)&gt;=0,AM448-Q448-R448-AN448,0)</f>
        <v>0.14649330181245077</v>
      </c>
      <c r="AU448" s="94">
        <f>VLOOKUP($D448,Construction!$B:$J,(COLUMN(Construction_BuildingCost_Stone)-COLUMN(Construction_Name_and_Level)+1),FALSE)*(-1)</f>
        <v>-41992</v>
      </c>
      <c r="AV448" s="94">
        <f>VLOOKUP($D448,Construction!$B:$J,(COLUMN(Construction_BuildingCost_Wood)-COLUMN(Construction_Name_and_Level)+1),FALSE)*(-1)</f>
        <v>-41992</v>
      </c>
      <c r="AW448" s="94">
        <f>VLOOKUP($D448,Construction!$B:$J,(COLUMN(Construction_BuildingCost_Ore)-COLUMN(Construction_Name_and_Level)+1),FALSE)*(-1)</f>
        <v>-16800</v>
      </c>
      <c r="AX448" s="94">
        <f>VLOOKUP($D448,Construction!$B:$J,(COLUMN(Construction_BuildingCost_Food)-COLUMN(Construction_Name_and_Level)+1),FALSE)*(-1)</f>
        <v>-20996</v>
      </c>
    </row>
    <row r="449" spans="2:108" ht="15" customHeight="1">
      <c r="B449" s="506" t="s">
        <v>1457</v>
      </c>
      <c r="C449" s="127" t="s">
        <v>172</v>
      </c>
      <c r="D449" s="145" t="s">
        <v>1652</v>
      </c>
      <c r="E449" s="506">
        <v>15</v>
      </c>
      <c r="J449" s="19"/>
      <c r="W449" s="11">
        <v>1</v>
      </c>
      <c r="X449" s="11">
        <v>1</v>
      </c>
      <c r="AF449" s="141">
        <f>$S$3*$S449+$T$3*$T449+$U$3*$U449+$V$3*$V449+$W$3*$W449+$X$3*$X449+$Y$3*$Y449+$Z$3*$Z449+$AA$3*$AA449+$AB$3*$AB449+$AC$3*$AC449</f>
        <v>5.2083333333333329E-2</v>
      </c>
      <c r="AG449" s="141"/>
      <c r="AH449" s="137"/>
      <c r="AI449" s="484"/>
      <c r="AJ449" s="137">
        <f t="shared" si="95"/>
        <v>0.16666666666666663</v>
      </c>
      <c r="AU449" s="7">
        <v>10400</v>
      </c>
      <c r="AV449" s="7">
        <v>10400</v>
      </c>
      <c r="AW449" s="7">
        <v>10400</v>
      </c>
      <c r="AX449" s="7">
        <v>11800</v>
      </c>
      <c r="AY449" s="19">
        <v>7900</v>
      </c>
      <c r="CN449" s="5">
        <v>7000</v>
      </c>
      <c r="CZ449" s="127"/>
      <c r="DA449" s="127"/>
      <c r="DB449" s="127"/>
      <c r="DC449" s="127"/>
      <c r="DD449" s="127"/>
    </row>
    <row r="450" spans="2:108" ht="15" customHeight="1">
      <c r="B450" s="506" t="s">
        <v>145</v>
      </c>
      <c r="C450" s="127" t="s">
        <v>152</v>
      </c>
      <c r="D450" s="145" t="s">
        <v>1653</v>
      </c>
      <c r="E450" s="506">
        <v>15</v>
      </c>
      <c r="J450" s="19"/>
      <c r="M450" s="135">
        <v>4.1666666666666664E-2</v>
      </c>
      <c r="W450" s="11">
        <v>1</v>
      </c>
      <c r="AF450" s="141">
        <f>$S$3*$S450+$T$3*$T450+$U$3*$U450+$V$3*$V450+$W$3*$W450+$X$3*$X450+$Y$3*$Y450+$Z$3*$Z450+$AA$3*$AA450+$AB$3*$AB450+$AC$3*$AC450</f>
        <v>1.0416666666666666E-2</v>
      </c>
      <c r="AG450" s="141"/>
      <c r="AH450" s="137"/>
      <c r="AI450" s="484"/>
      <c r="AJ450" s="137">
        <f t="shared" si="95"/>
        <v>0.17708333333333329</v>
      </c>
      <c r="AU450" s="7"/>
      <c r="AV450" s="7"/>
      <c r="AW450" s="7"/>
      <c r="AX450" s="7">
        <v>5000</v>
      </c>
      <c r="AY450" s="19">
        <v>1000</v>
      </c>
      <c r="CZ450" s="127"/>
      <c r="DA450" s="127"/>
      <c r="DB450" s="127"/>
      <c r="DC450" s="127"/>
      <c r="DD450" s="127"/>
    </row>
    <row r="451" spans="2:108" ht="15" customHeight="1">
      <c r="B451" s="506" t="s">
        <v>626</v>
      </c>
      <c r="C451" s="127" t="s">
        <v>628</v>
      </c>
      <c r="D451" s="144" t="s">
        <v>1654</v>
      </c>
      <c r="E451" s="506">
        <v>15</v>
      </c>
      <c r="N451" s="599">
        <v>60</v>
      </c>
      <c r="AF451" s="141"/>
      <c r="AG451" s="141"/>
      <c r="AH451" s="137"/>
      <c r="AI451" s="484"/>
      <c r="AJ451" s="137">
        <f t="shared" si="95"/>
        <v>0.17708333333333329</v>
      </c>
    </row>
    <row r="452" spans="2:108" ht="15" customHeight="1">
      <c r="B452" s="506" t="s">
        <v>195</v>
      </c>
      <c r="C452" s="127" t="s">
        <v>468</v>
      </c>
      <c r="D452" s="144">
        <v>7.7546296296296287E-3</v>
      </c>
      <c r="E452" s="506">
        <v>15</v>
      </c>
      <c r="F452" s="12">
        <v>0.3</v>
      </c>
      <c r="G452" s="211">
        <v>2800</v>
      </c>
      <c r="H452" s="211">
        <f t="shared" ref="H452" si="98">G452*(1+F452)</f>
        <v>3640</v>
      </c>
      <c r="AF452" s="141"/>
      <c r="AG452" s="141"/>
      <c r="AH452" s="137"/>
      <c r="AI452" s="484"/>
      <c r="AJ452" s="137">
        <f t="shared" si="95"/>
        <v>0.17708333333333329</v>
      </c>
      <c r="AU452" s="211">
        <v>3500</v>
      </c>
      <c r="AV452" s="211"/>
      <c r="AW452" s="211"/>
      <c r="AX452" s="211"/>
      <c r="AY452" s="160">
        <v>700</v>
      </c>
      <c r="CL452" s="211">
        <v>2000</v>
      </c>
      <c r="CM452" s="160">
        <f>CL452</f>
        <v>2000</v>
      </c>
    </row>
    <row r="453" spans="2:108" ht="15" customHeight="1">
      <c r="B453" s="113" t="s">
        <v>1483</v>
      </c>
      <c r="C453" s="127" t="s">
        <v>592</v>
      </c>
      <c r="D453" s="127">
        <v>4400</v>
      </c>
      <c r="E453" s="506">
        <v>15</v>
      </c>
      <c r="G453" s="7"/>
      <c r="H453" s="7"/>
      <c r="J453" s="114">
        <f>VLOOKUP($C453,Troop!$B:$AK,(COLUMN(Troop_TrainingReward_Power)-COLUMN(Troop_Name)+1),FALSE)*$D453</f>
        <v>4400</v>
      </c>
      <c r="AF453" s="141"/>
      <c r="AG453" s="141"/>
      <c r="AH453" s="137"/>
      <c r="AI453" s="484"/>
      <c r="AJ453" s="137">
        <f t="shared" si="95"/>
        <v>0.17708333333333329</v>
      </c>
      <c r="AU453" s="296">
        <f>VLOOKUP($C453,Troop!$B:$P,(COLUMN(Troop_TrainingCost_Stone)-COLUMN(Troop_Name)+1),FALSE)*$D453*(-1)</f>
        <v>-44000</v>
      </c>
      <c r="AV453" s="296">
        <f>VLOOKUP($C453,Troop!$B:$P,(COLUMN(Troop_TrainingCost_Wood)-COLUMN(Troop_Name)+1),FALSE)*$D453*(-1)</f>
        <v>0</v>
      </c>
      <c r="AW453" s="296">
        <f>VLOOKUP($C453,Troop!$B:$P,(COLUMN(Troop_TrainingCost_Ore)-COLUMN(Troop_Name)+1),FALSE)*$D453*(-1)</f>
        <v>0</v>
      </c>
      <c r="AX453" s="296">
        <f>VLOOKUP($C453,Troop!$B:$P,(COLUMN(Troop_TrainingCost_Food)-COLUMN(Troop_Name)+1),FALSE)*$D453*(-1)</f>
        <v>-44000</v>
      </c>
      <c r="AY453" s="114">
        <f>VLOOKUP($C453,Troop!$B:$P,(COLUMN(Troop_TrainingCost_Silver)-COLUMN(Troop_Name)+1),FALSE)*$D453*(-1)</f>
        <v>0</v>
      </c>
      <c r="CT453" s="128"/>
      <c r="CU453" s="128"/>
      <c r="CV453" s="128"/>
      <c r="CW453" s="128"/>
      <c r="CX453" s="128"/>
      <c r="CY453" s="128"/>
      <c r="CZ453" s="128"/>
      <c r="DA453" s="128"/>
      <c r="DB453" s="128"/>
      <c r="DC453" s="128"/>
      <c r="DD453" s="128"/>
    </row>
    <row r="454" spans="2:108" ht="15" customHeight="1">
      <c r="B454" s="506" t="s">
        <v>143</v>
      </c>
      <c r="C454" s="127" t="s">
        <v>142</v>
      </c>
      <c r="D454" s="144" t="s">
        <v>1651</v>
      </c>
      <c r="E454" s="506">
        <v>15</v>
      </c>
      <c r="F454" s="12">
        <v>0.3</v>
      </c>
      <c r="G454" s="101">
        <f>VLOOKUP($D454,Construction!$B:$L,(COLUMN(Construction_QuestReward_HeroXP)-COLUMN(Construction_Name_and_Level)+1),FALSE)</f>
        <v>30000</v>
      </c>
      <c r="H454" s="101">
        <f t="shared" ref="H454" si="99">G454*(1+F454)</f>
        <v>39000</v>
      </c>
      <c r="J454" s="100">
        <f>VLOOKUP($D454,Construction!$B:$L,(COLUMN(Construction_QuestReward_Power)-COLUMN(Construction_Name_and_Level)+1),FALSE)</f>
        <v>450</v>
      </c>
      <c r="AF454" s="141"/>
      <c r="AG454" s="141"/>
      <c r="AH454" s="137"/>
      <c r="AI454" s="484"/>
      <c r="AJ454" s="137">
        <f t="shared" si="95"/>
        <v>0.17708333333333329</v>
      </c>
      <c r="AU454" s="101">
        <f>VLOOKUP($D454,Construction!$B:$Q,(COLUMN(Construction_QuestReward_Stone)-COLUMN(Construction_Name_and_Level)+1),FALSE)</f>
        <v>29900</v>
      </c>
      <c r="AV454" s="101">
        <f>VLOOKUP($D454,Construction!$B:$Q,(COLUMN(Construction_QuestReward_Wood)-COLUMN(Construction_Name_and_Level)+1),FALSE)</f>
        <v>29900</v>
      </c>
      <c r="AW454" s="101">
        <f>VLOOKUP($D454,Construction!$B:$Q,(COLUMN(Construction_QuestReward_Ore)-COLUMN(Construction_Name_and_Level)+1),FALSE)</f>
        <v>12000</v>
      </c>
      <c r="AX454" s="101">
        <f>VLOOKUP($D454,Construction!$B:$Q,(COLUMN(Construction_QuestReward_Food)-COLUMN(Construction_Name_and_Level)+1),FALSE)</f>
        <v>14900</v>
      </c>
      <c r="AY454" s="100">
        <f>VLOOKUP($D454,Construction!$B:$Q,(COLUMN(Construction_QuestReward_Silver)-COLUMN(Construction_Name_and_Level)+1),FALSE)</f>
        <v>650</v>
      </c>
    </row>
    <row r="455" spans="2:108" ht="15" customHeight="1">
      <c r="B455" s="126" t="s">
        <v>1457</v>
      </c>
      <c r="C455" s="127" t="s">
        <v>147</v>
      </c>
      <c r="D455" s="144" t="s">
        <v>1655</v>
      </c>
      <c r="E455" s="506">
        <v>16</v>
      </c>
      <c r="I455" s="5">
        <v>3</v>
      </c>
      <c r="J455" s="5">
        <v>395</v>
      </c>
      <c r="Q455" s="149"/>
      <c r="AF455" s="141"/>
      <c r="AG455" s="141"/>
      <c r="AH455" s="137"/>
      <c r="AI455" s="484"/>
      <c r="AJ455" s="137">
        <f t="shared" si="95"/>
        <v>0.17708333333333329</v>
      </c>
      <c r="AX455" s="11"/>
    </row>
    <row r="456" spans="2:108" ht="15" customHeight="1">
      <c r="B456" s="106" t="s">
        <v>171</v>
      </c>
      <c r="C456" s="130"/>
      <c r="D456" s="130" t="s">
        <v>1656</v>
      </c>
      <c r="E456" s="106">
        <v>16</v>
      </c>
      <c r="F456" s="219">
        <v>0.3</v>
      </c>
      <c r="G456" s="107" t="s">
        <v>1453</v>
      </c>
      <c r="H456" s="107">
        <v>1969859</v>
      </c>
      <c r="I456" s="108">
        <v>35</v>
      </c>
      <c r="J456" s="108">
        <v>39390</v>
      </c>
      <c r="K456" s="107">
        <v>4</v>
      </c>
      <c r="L456" s="107">
        <v>1260</v>
      </c>
      <c r="M456" s="134">
        <v>0.125</v>
      </c>
      <c r="N456" s="109">
        <v>260</v>
      </c>
      <c r="O456" s="109">
        <f>SUMIF($B$4:$B455,"&lt;&gt;"&amp;$CS$13,O$4:O455)</f>
        <v>0</v>
      </c>
      <c r="P456" s="108">
        <f>SUMIF($B$4:$B455,"&lt;&gt;"&amp;$CS$13,N$4:N455)</f>
        <v>260</v>
      </c>
      <c r="Q456" s="134">
        <v>3.472222222222222E-3</v>
      </c>
      <c r="R456" s="134">
        <v>7.6388888888888886E-3</v>
      </c>
      <c r="S456" s="107">
        <v>0</v>
      </c>
      <c r="T456" s="107">
        <v>0</v>
      </c>
      <c r="U456" s="107">
        <v>0</v>
      </c>
      <c r="V456" s="107">
        <v>0</v>
      </c>
      <c r="W456" s="109">
        <v>5</v>
      </c>
      <c r="X456" s="109">
        <v>3</v>
      </c>
      <c r="Y456" s="109">
        <v>0</v>
      </c>
      <c r="Z456" s="109">
        <v>0</v>
      </c>
      <c r="AA456" s="109">
        <v>0</v>
      </c>
      <c r="AB456" s="109">
        <v>0</v>
      </c>
      <c r="AC456" s="109">
        <v>0</v>
      </c>
      <c r="AD456" s="109">
        <v>0</v>
      </c>
      <c r="AE456" s="108">
        <v>0</v>
      </c>
      <c r="AF456" s="136">
        <f>SUMIF($B$4:$B455,"&lt;&gt;"&amp;$CS$13,AF$4:AF455)</f>
        <v>0.37291666666666667</v>
      </c>
      <c r="AG456" s="136">
        <f>SUMIF($B$4:$B455,"&lt;&gt;"&amp;$CS$13,AG$4:AG455)</f>
        <v>0</v>
      </c>
      <c r="AH456" s="134">
        <f>AF456+AG456</f>
        <v>0.37291666666666667</v>
      </c>
      <c r="AI456" s="483">
        <f>SUMIF($B$4:$B455,"&lt;&gt;"&amp;$CS$13,AI$4:AI455)</f>
        <v>0.1958333333333333</v>
      </c>
      <c r="AJ456" s="134">
        <f>S$3*S456+T$3*T456+U$3*U456+V$3*V456+W$3*W456+X$3*X456+Y$3*Y456+Z$3*Z456+AA$3*AA456+AB$3*AB456+AC$3*AC456</f>
        <v>0.17708333333333331</v>
      </c>
      <c r="AK456" s="338">
        <v>0.41</v>
      </c>
      <c r="AL456" s="136" t="s">
        <v>1453</v>
      </c>
      <c r="AM456" s="136" t="s">
        <v>1453</v>
      </c>
      <c r="AN456" s="136" t="s">
        <v>1453</v>
      </c>
      <c r="AO456" s="134" t="s">
        <v>1453</v>
      </c>
      <c r="AP456" s="263">
        <v>0.46</v>
      </c>
      <c r="AQ456" s="136" t="s">
        <v>1453</v>
      </c>
      <c r="AR456" s="136" t="s">
        <v>1453</v>
      </c>
      <c r="AS456" s="136" t="s">
        <v>1453</v>
      </c>
      <c r="AT456" s="134" t="s">
        <v>1453</v>
      </c>
      <c r="AU456" s="107">
        <v>191500</v>
      </c>
      <c r="AV456" s="107">
        <v>237500</v>
      </c>
      <c r="AW456" s="107">
        <v>276200</v>
      </c>
      <c r="AX456" s="109">
        <v>279200</v>
      </c>
      <c r="AY456" s="108">
        <v>73330</v>
      </c>
      <c r="AZ456" s="107">
        <v>2772</v>
      </c>
      <c r="BA456" s="107">
        <v>2719</v>
      </c>
      <c r="BB456" s="107">
        <v>2098</v>
      </c>
      <c r="BC456" s="107">
        <v>5208</v>
      </c>
      <c r="BD456" s="108">
        <v>1400</v>
      </c>
      <c r="BE456" s="108">
        <v>-500</v>
      </c>
      <c r="BF456" s="107">
        <v>147000</v>
      </c>
      <c r="BG456" s="107">
        <v>147000</v>
      </c>
      <c r="BH456" s="107">
        <v>114000</v>
      </c>
      <c r="BI456" s="107">
        <v>225000</v>
      </c>
      <c r="BJ456" s="108">
        <v>80000</v>
      </c>
      <c r="BK456" s="107">
        <v>7</v>
      </c>
      <c r="BL456" s="108">
        <v>6</v>
      </c>
      <c r="BM456" s="108">
        <v>6</v>
      </c>
      <c r="BN456" s="107">
        <v>6</v>
      </c>
      <c r="BO456" s="108">
        <v>4</v>
      </c>
      <c r="BP456" s="107">
        <v>6</v>
      </c>
      <c r="BQ456" s="108">
        <v>4</v>
      </c>
      <c r="BR456" s="107">
        <v>6</v>
      </c>
      <c r="BS456" s="108">
        <v>4</v>
      </c>
      <c r="BT456" s="107">
        <v>6</v>
      </c>
      <c r="BU456" s="108">
        <v>4</v>
      </c>
      <c r="BV456" s="107">
        <v>6</v>
      </c>
      <c r="BW456" s="108">
        <v>4</v>
      </c>
      <c r="BX456" s="107">
        <v>6</v>
      </c>
      <c r="BY456" s="108">
        <v>4</v>
      </c>
      <c r="BZ456" s="107">
        <v>6</v>
      </c>
      <c r="CA456" s="108">
        <v>4</v>
      </c>
      <c r="CB456" s="108">
        <v>6</v>
      </c>
      <c r="CC456" s="108">
        <v>6</v>
      </c>
      <c r="CD456" s="108">
        <v>6</v>
      </c>
      <c r="CE456" s="107">
        <v>5</v>
      </c>
      <c r="CF456" s="107"/>
      <c r="CG456" s="108"/>
      <c r="CH456" s="107">
        <v>6</v>
      </c>
      <c r="CI456" s="107"/>
      <c r="CJ456" s="108"/>
      <c r="CK456" s="108"/>
      <c r="CL456" s="107">
        <v>90000</v>
      </c>
      <c r="CM456" s="108"/>
      <c r="CN456" s="108" t="s">
        <v>1208</v>
      </c>
    </row>
    <row r="457" spans="2:108" ht="15" customHeight="1">
      <c r="B457" s="506" t="s">
        <v>195</v>
      </c>
      <c r="C457" s="127" t="s">
        <v>468</v>
      </c>
      <c r="D457" s="144">
        <v>1.0532407407407407E-2</v>
      </c>
      <c r="E457" s="506">
        <v>16</v>
      </c>
      <c r="F457" s="12">
        <v>0.3</v>
      </c>
      <c r="G457" s="211">
        <v>2800</v>
      </c>
      <c r="H457" s="211">
        <f t="shared" ref="H457:H462" si="100">G457*(1+F457)</f>
        <v>3640</v>
      </c>
      <c r="AF457" s="141"/>
      <c r="AG457" s="141"/>
      <c r="AH457" s="137"/>
      <c r="AI457" s="484"/>
      <c r="AJ457" s="137">
        <f t="shared" ref="AJ457:AJ478" si="101">AJ456+(S$3*S457+T$3*T457+U$3*U457+V$3*V457+W$3*W457+X$3*X457+Y$3*Y457+Z$3*Z457+AA$3*AA457+AB$3*AB457+AC$3*AC457)</f>
        <v>0.17708333333333331</v>
      </c>
      <c r="AU457" s="211"/>
      <c r="AV457" s="211">
        <v>7000</v>
      </c>
      <c r="AW457" s="211"/>
      <c r="AX457" s="211">
        <v>7000</v>
      </c>
      <c r="AY457" s="160"/>
      <c r="CL457" s="211">
        <v>2000</v>
      </c>
      <c r="CM457" s="160">
        <f>CL457</f>
        <v>2000</v>
      </c>
    </row>
    <row r="458" spans="2:108" ht="15" customHeight="1">
      <c r="B458" s="506" t="s">
        <v>143</v>
      </c>
      <c r="C458" s="127" t="s">
        <v>466</v>
      </c>
      <c r="D458" s="144">
        <v>2.71875E-2</v>
      </c>
      <c r="E458" s="506">
        <v>16</v>
      </c>
      <c r="F458" s="12">
        <v>0.3</v>
      </c>
      <c r="G458" s="101">
        <v>10500</v>
      </c>
      <c r="H458" s="101">
        <f t="shared" si="100"/>
        <v>13650</v>
      </c>
      <c r="AF458" s="141"/>
      <c r="AG458" s="141"/>
      <c r="AH458" s="137"/>
      <c r="AI458" s="484"/>
      <c r="AJ458" s="137">
        <f t="shared" si="101"/>
        <v>0.17708333333333331</v>
      </c>
      <c r="AU458" s="101">
        <v>0</v>
      </c>
      <c r="AV458" s="101">
        <v>0</v>
      </c>
      <c r="AW458" s="101">
        <v>0</v>
      </c>
      <c r="AX458" s="101">
        <v>26250</v>
      </c>
      <c r="AY458" s="100">
        <v>0</v>
      </c>
    </row>
    <row r="459" spans="2:108" ht="15" customHeight="1">
      <c r="B459" s="506" t="s">
        <v>144</v>
      </c>
      <c r="C459" s="127" t="s">
        <v>138</v>
      </c>
      <c r="D459" s="144" t="s">
        <v>215</v>
      </c>
      <c r="E459" s="506">
        <v>16</v>
      </c>
      <c r="F459" s="12">
        <v>0.3</v>
      </c>
      <c r="G459" s="94">
        <f>VLOOKUP($D459,Construction!$B:$E,(COLUMN(Construction_BuildingReward_HeroXP)-COLUMN(Construction_Name_and_Level)+1),FALSE)</f>
        <v>400</v>
      </c>
      <c r="H459" s="94">
        <f t="shared" si="100"/>
        <v>520</v>
      </c>
      <c r="J459" s="95">
        <f>VLOOKUP($D459,Construction!$B:$F,(COLUMN(Construction_BuildingReward_Power)-COLUMN(Construction_Name_and_Level)+1),FALSE)</f>
        <v>90</v>
      </c>
      <c r="Q459" s="139">
        <v>3.472222222222222E-3</v>
      </c>
      <c r="R459" s="139">
        <v>7.6388888888888886E-3</v>
      </c>
      <c r="AF459" s="141"/>
      <c r="AG459" s="141"/>
      <c r="AH459" s="137"/>
      <c r="AI459" s="484"/>
      <c r="AJ459" s="137">
        <f t="shared" si="101"/>
        <v>0.17708333333333331</v>
      </c>
      <c r="AK459" s="339">
        <v>0.41</v>
      </c>
      <c r="AL459" s="138">
        <f>VLOOKUP($D459,Construction!$B:$C,(COLUMN(Construction_Time)-COLUMN(Construction_Name_and_Level)+1),FALSE)</f>
        <v>9.2592592592592605E-3</v>
      </c>
      <c r="AM459" s="138">
        <f t="shared" ref="AM459:AM462" si="102">AL459/(1+AK459)</f>
        <v>6.5668505384817452E-3</v>
      </c>
      <c r="AN459" s="138">
        <f t="shared" ref="AN459:AN462" si="103">(S$3*S459+T$3*T459+V$3*V459+W$3*W459+X$3*X459+Y$3*Y459+Z$3*Z459+AA$3*AA459+AB$3*AB459+AC$3*AC459)*(-1)</f>
        <v>0</v>
      </c>
      <c r="AO459" s="139">
        <f>IF((AM459-Q459-R459-AN459)&gt;=0,AM459-Q459-R459-AN459,0)</f>
        <v>0</v>
      </c>
      <c r="AU459" s="94">
        <f>VLOOKUP($D459,Construction!$B:$J,(COLUMN(Construction_BuildingCost_Stone)-COLUMN(Construction_Name_and_Level)+1),FALSE)*(-1)</f>
        <v>-1672</v>
      </c>
      <c r="AV459" s="94">
        <f>VLOOKUP($D459,Construction!$B:$J,(COLUMN(Construction_BuildingCost_Wood)-COLUMN(Construction_Name_and_Level)+1),FALSE)*(-1)</f>
        <v>-1672</v>
      </c>
      <c r="AW459" s="94">
        <f>VLOOKUP($D459,Construction!$B:$J,(COLUMN(Construction_BuildingCost_Ore)-COLUMN(Construction_Name_and_Level)+1),FALSE)*(-1)</f>
        <v>-420</v>
      </c>
      <c r="AX459" s="94">
        <f>VLOOKUP($D459,Construction!$B:$J,(COLUMN(Construction_BuildingCost_Food)-COLUMN(Construction_Name_and_Level)+1),FALSE)*(-1)</f>
        <v>-4177</v>
      </c>
    </row>
    <row r="460" spans="2:108" ht="15" customHeight="1">
      <c r="B460" s="506" t="s">
        <v>144</v>
      </c>
      <c r="C460" s="127" t="s">
        <v>138</v>
      </c>
      <c r="D460" s="144" t="s">
        <v>215</v>
      </c>
      <c r="E460" s="506">
        <v>16</v>
      </c>
      <c r="F460" s="12">
        <v>0.3</v>
      </c>
      <c r="G460" s="94">
        <f>VLOOKUP($D460,Construction!$B:$E,(COLUMN(Construction_BuildingReward_HeroXP)-COLUMN(Construction_Name_and_Level)+1),FALSE)</f>
        <v>400</v>
      </c>
      <c r="H460" s="94">
        <f t="shared" si="100"/>
        <v>520</v>
      </c>
      <c r="J460" s="95">
        <f>VLOOKUP($D460,Construction!$B:$F,(COLUMN(Construction_BuildingReward_Power)-COLUMN(Construction_Name_and_Level)+1),FALSE)</f>
        <v>90</v>
      </c>
      <c r="Q460" s="139">
        <v>3.472222222222222E-3</v>
      </c>
      <c r="R460" s="139">
        <v>7.6388888888888886E-3</v>
      </c>
      <c r="AF460" s="141"/>
      <c r="AG460" s="141"/>
      <c r="AH460" s="137"/>
      <c r="AI460" s="484"/>
      <c r="AJ460" s="137">
        <f t="shared" si="101"/>
        <v>0.17708333333333331</v>
      </c>
      <c r="AK460" s="339">
        <v>0.41</v>
      </c>
      <c r="AL460" s="138">
        <f>VLOOKUP($D460,Construction!$B:$C,(COLUMN(Construction_Time)-COLUMN(Construction_Name_and_Level)+1),FALSE)</f>
        <v>9.2592592592592605E-3</v>
      </c>
      <c r="AM460" s="138">
        <f t="shared" si="102"/>
        <v>6.5668505384817452E-3</v>
      </c>
      <c r="AN460" s="138">
        <f t="shared" si="103"/>
        <v>0</v>
      </c>
      <c r="AO460" s="139">
        <f>IF((AM460-Q460-R460-AN460)&gt;=0,AM460-Q460-R460-AN460,0)</f>
        <v>0</v>
      </c>
      <c r="AU460" s="94">
        <f>VLOOKUP($D460,Construction!$B:$J,(COLUMN(Construction_BuildingCost_Stone)-COLUMN(Construction_Name_and_Level)+1),FALSE)*(-1)</f>
        <v>-1672</v>
      </c>
      <c r="AV460" s="94">
        <f>VLOOKUP($D460,Construction!$B:$J,(COLUMN(Construction_BuildingCost_Wood)-COLUMN(Construction_Name_and_Level)+1),FALSE)*(-1)</f>
        <v>-1672</v>
      </c>
      <c r="AW460" s="94">
        <f>VLOOKUP($D460,Construction!$B:$J,(COLUMN(Construction_BuildingCost_Ore)-COLUMN(Construction_Name_and_Level)+1),FALSE)*(-1)</f>
        <v>-420</v>
      </c>
      <c r="AX460" s="94">
        <f>VLOOKUP($D460,Construction!$B:$J,(COLUMN(Construction_BuildingCost_Food)-COLUMN(Construction_Name_and_Level)+1),FALSE)*(-1)</f>
        <v>-4177</v>
      </c>
    </row>
    <row r="461" spans="2:108" ht="15" customHeight="1">
      <c r="B461" s="506" t="s">
        <v>144</v>
      </c>
      <c r="C461" s="127" t="s">
        <v>138</v>
      </c>
      <c r="D461" s="144" t="s">
        <v>1638</v>
      </c>
      <c r="E461" s="506">
        <v>16</v>
      </c>
      <c r="F461" s="12">
        <v>0.3</v>
      </c>
      <c r="G461" s="94">
        <f>VLOOKUP($D461,Construction!$B:$E,(COLUMN(Construction_BuildingReward_HeroXP)-COLUMN(Construction_Name_and_Level)+1),FALSE)</f>
        <v>500</v>
      </c>
      <c r="H461" s="94">
        <f t="shared" si="100"/>
        <v>650</v>
      </c>
      <c r="J461" s="95">
        <f>VLOOKUP($D461,Construction!$B:$F,(COLUMN(Construction_BuildingReward_Power)-COLUMN(Construction_Name_and_Level)+1),FALSE)</f>
        <v>135</v>
      </c>
      <c r="Q461" s="139">
        <v>3.472222222222222E-3</v>
      </c>
      <c r="R461" s="139">
        <v>7.6388888888888886E-3</v>
      </c>
      <c r="AF461" s="141"/>
      <c r="AG461" s="141"/>
      <c r="AH461" s="137"/>
      <c r="AI461" s="484"/>
      <c r="AJ461" s="137">
        <f t="shared" si="101"/>
        <v>0.17708333333333331</v>
      </c>
      <c r="AK461" s="339">
        <v>0.41</v>
      </c>
      <c r="AL461" s="138">
        <f>VLOOKUP($D461,Construction!$B:$C,(COLUMN(Construction_Time)-COLUMN(Construction_Name_and_Level)+1),FALSE)</f>
        <v>1.8518518518518521E-2</v>
      </c>
      <c r="AM461" s="138">
        <f t="shared" si="102"/>
        <v>1.313370107696349E-2</v>
      </c>
      <c r="AN461" s="138">
        <f t="shared" si="103"/>
        <v>0</v>
      </c>
      <c r="AO461" s="139">
        <f>IF((AM461-Q461-R461-AN461)&gt;=0,AM461-Q461-R461-AN461,0)</f>
        <v>2.0225899658523798E-3</v>
      </c>
      <c r="AU461" s="94">
        <f>VLOOKUP($D461,Construction!$B:$J,(COLUMN(Construction_BuildingCost_Stone)-COLUMN(Construction_Name_and_Level)+1),FALSE)*(-1)</f>
        <v>-3344</v>
      </c>
      <c r="AV461" s="94">
        <f>VLOOKUP($D461,Construction!$B:$J,(COLUMN(Construction_BuildingCost_Wood)-COLUMN(Construction_Name_and_Level)+1),FALSE)*(-1)</f>
        <v>-3344</v>
      </c>
      <c r="AW461" s="94">
        <f>VLOOKUP($D461,Construction!$B:$J,(COLUMN(Construction_BuildingCost_Ore)-COLUMN(Construction_Name_and_Level)+1),FALSE)*(-1)</f>
        <v>-840</v>
      </c>
      <c r="AX461" s="94">
        <f>VLOOKUP($D461,Construction!$B:$J,(COLUMN(Construction_BuildingCost_Food)-COLUMN(Construction_Name_and_Level)+1),FALSE)*(-1)</f>
        <v>-8354</v>
      </c>
    </row>
    <row r="462" spans="2:108" ht="15" customHeight="1">
      <c r="B462" s="506" t="s">
        <v>144</v>
      </c>
      <c r="C462" s="127" t="s">
        <v>138</v>
      </c>
      <c r="D462" s="144" t="s">
        <v>1638</v>
      </c>
      <c r="E462" s="506">
        <v>16</v>
      </c>
      <c r="F462" s="12">
        <v>0.3</v>
      </c>
      <c r="G462" s="94">
        <f>VLOOKUP($D462,Construction!$B:$E,(COLUMN(Construction_BuildingReward_HeroXP)-COLUMN(Construction_Name_and_Level)+1),FALSE)</f>
        <v>500</v>
      </c>
      <c r="H462" s="94">
        <f t="shared" si="100"/>
        <v>650</v>
      </c>
      <c r="J462" s="95">
        <f>VLOOKUP($D462,Construction!$B:$F,(COLUMN(Construction_BuildingReward_Power)-COLUMN(Construction_Name_and_Level)+1),FALSE)</f>
        <v>135</v>
      </c>
      <c r="Q462" s="139">
        <v>3.472222222222222E-3</v>
      </c>
      <c r="R462" s="139">
        <v>7.6388888888888886E-3</v>
      </c>
      <c r="AF462" s="141"/>
      <c r="AG462" s="141"/>
      <c r="AH462" s="137"/>
      <c r="AI462" s="484"/>
      <c r="AJ462" s="137">
        <f t="shared" si="101"/>
        <v>0.17708333333333331</v>
      </c>
      <c r="AK462" s="339">
        <v>0.41</v>
      </c>
      <c r="AL462" s="138">
        <f>VLOOKUP($D462,Construction!$B:$C,(COLUMN(Construction_Time)-COLUMN(Construction_Name_and_Level)+1),FALSE)</f>
        <v>1.8518518518518521E-2</v>
      </c>
      <c r="AM462" s="138">
        <f t="shared" si="102"/>
        <v>1.313370107696349E-2</v>
      </c>
      <c r="AN462" s="138">
        <f t="shared" si="103"/>
        <v>0</v>
      </c>
      <c r="AO462" s="139">
        <f>IF((AM462-Q462-R462-AN462)&gt;=0,AM462-Q462-R462-AN462,0)</f>
        <v>2.0225899658523798E-3</v>
      </c>
      <c r="AU462" s="94">
        <f>VLOOKUP($D462,Construction!$B:$J,(COLUMN(Construction_BuildingCost_Stone)-COLUMN(Construction_Name_and_Level)+1),FALSE)*(-1)</f>
        <v>-3344</v>
      </c>
      <c r="AV462" s="94">
        <f>VLOOKUP($D462,Construction!$B:$J,(COLUMN(Construction_BuildingCost_Wood)-COLUMN(Construction_Name_and_Level)+1),FALSE)*(-1)</f>
        <v>-3344</v>
      </c>
      <c r="AW462" s="94">
        <f>VLOOKUP($D462,Construction!$B:$J,(COLUMN(Construction_BuildingCost_Ore)-COLUMN(Construction_Name_and_Level)+1),FALSE)*(-1)</f>
        <v>-840</v>
      </c>
      <c r="AX462" s="94">
        <f>VLOOKUP($D462,Construction!$B:$J,(COLUMN(Construction_BuildingCost_Food)-COLUMN(Construction_Name_and_Level)+1),FALSE)*(-1)</f>
        <v>-8354</v>
      </c>
    </row>
    <row r="463" spans="2:108" ht="15" customHeight="1">
      <c r="B463" s="506" t="s">
        <v>144</v>
      </c>
      <c r="C463" s="127" t="s">
        <v>138</v>
      </c>
      <c r="D463" s="144" t="s">
        <v>1638</v>
      </c>
      <c r="E463" s="506">
        <v>16</v>
      </c>
      <c r="F463" s="12">
        <v>0.3</v>
      </c>
      <c r="G463" s="94">
        <f>VLOOKUP($D463,Construction!$B:$E,(COLUMN(Construction_BuildingReward_HeroXP)-COLUMN(Construction_Name_and_Level)+1),FALSE)</f>
        <v>500</v>
      </c>
      <c r="H463" s="94">
        <f t="shared" ref="H463" si="104">G463*(1+F463)</f>
        <v>650</v>
      </c>
      <c r="J463" s="95">
        <f>VLOOKUP($D463,Construction!$B:$F,(COLUMN(Construction_BuildingReward_Power)-COLUMN(Construction_Name_and_Level)+1),FALSE)</f>
        <v>135</v>
      </c>
      <c r="Q463" s="139">
        <v>3.472222222222222E-3</v>
      </c>
      <c r="R463" s="139">
        <v>7.6388888888888886E-3</v>
      </c>
      <c r="AF463" s="141"/>
      <c r="AG463" s="141"/>
      <c r="AH463" s="137"/>
      <c r="AI463" s="484"/>
      <c r="AJ463" s="137">
        <f t="shared" si="101"/>
        <v>0.17708333333333331</v>
      </c>
      <c r="AK463" s="339">
        <v>0.41</v>
      </c>
      <c r="AL463" s="138">
        <f>VLOOKUP($D463,Construction!$B:$C,(COLUMN(Construction_Time)-COLUMN(Construction_Name_and_Level)+1),FALSE)</f>
        <v>1.8518518518518521E-2</v>
      </c>
      <c r="AM463" s="138">
        <f t="shared" ref="AM463" si="105">AL463/(1+AK463)</f>
        <v>1.313370107696349E-2</v>
      </c>
      <c r="AN463" s="138">
        <f t="shared" ref="AN463" si="106">(S$3*S463+T$3*T463+V$3*V463+W$3*W463+X$3*X463+Y$3*Y463+Z$3*Z463+AA$3*AA463+AB$3*AB463+AC$3*AC463)*(-1)</f>
        <v>0</v>
      </c>
      <c r="AO463" s="139">
        <f>IF((AM463-Q463-R463-AN463)&gt;=0,AM463-Q463-R463-AN463,0)</f>
        <v>2.0225899658523798E-3</v>
      </c>
      <c r="AU463" s="94">
        <f>VLOOKUP($D463,Construction!$B:$J,(COLUMN(Construction_BuildingCost_Stone)-COLUMN(Construction_Name_and_Level)+1),FALSE)*(-1)</f>
        <v>-3344</v>
      </c>
      <c r="AV463" s="94">
        <f>VLOOKUP($D463,Construction!$B:$J,(COLUMN(Construction_BuildingCost_Wood)-COLUMN(Construction_Name_and_Level)+1),FALSE)*(-1)</f>
        <v>-3344</v>
      </c>
      <c r="AW463" s="94">
        <f>VLOOKUP($D463,Construction!$B:$J,(COLUMN(Construction_BuildingCost_Ore)-COLUMN(Construction_Name_and_Level)+1),FALSE)*(-1)</f>
        <v>-840</v>
      </c>
      <c r="AX463" s="94">
        <f>VLOOKUP($D463,Construction!$B:$J,(COLUMN(Construction_BuildingCost_Food)-COLUMN(Construction_Name_and_Level)+1),FALSE)*(-1)</f>
        <v>-8354</v>
      </c>
    </row>
    <row r="464" spans="2:108" ht="15" customHeight="1">
      <c r="B464" s="506" t="s">
        <v>624</v>
      </c>
      <c r="C464" s="127" t="s">
        <v>623</v>
      </c>
      <c r="D464" s="144" t="s">
        <v>1419</v>
      </c>
      <c r="E464" s="506">
        <v>16</v>
      </c>
      <c r="AF464" s="141"/>
      <c r="AG464" s="141"/>
      <c r="AH464" s="137"/>
      <c r="AI464" s="484"/>
      <c r="AJ464" s="137">
        <f t="shared" si="101"/>
        <v>0.17708333333333331</v>
      </c>
      <c r="AU464" s="30">
        <v>6600</v>
      </c>
    </row>
    <row r="465" spans="2:108" ht="15" customHeight="1">
      <c r="B465" s="113" t="s">
        <v>1483</v>
      </c>
      <c r="C465" s="127" t="s">
        <v>154</v>
      </c>
      <c r="D465" s="127">
        <v>600</v>
      </c>
      <c r="E465" s="506">
        <v>16</v>
      </c>
      <c r="G465" s="7"/>
      <c r="H465" s="7"/>
      <c r="J465" s="114">
        <f>VLOOKUP($C465,Troop!$B:$AK,(COLUMN(Troop_TrainingReward_Power)-COLUMN(Troop_Name)+1),FALSE)*$D465</f>
        <v>1200</v>
      </c>
      <c r="AF465" s="141"/>
      <c r="AG465" s="141"/>
      <c r="AH465" s="137"/>
      <c r="AI465" s="484"/>
      <c r="AJ465" s="137">
        <f t="shared" si="101"/>
        <v>0.17708333333333331</v>
      </c>
      <c r="AU465" s="296">
        <f>VLOOKUP($C465,Troop!$B:$P,(COLUMN(Troop_TrainingCost_Stone)-COLUMN(Troop_Name)+1),FALSE)*$D465*(-1)</f>
        <v>0</v>
      </c>
      <c r="AV465" s="296">
        <f>VLOOKUP($C465,Troop!$B:$P,(COLUMN(Troop_TrainingCost_Wood)-COLUMN(Troop_Name)+1),FALSE)*$D465*(-1)</f>
        <v>-30000</v>
      </c>
      <c r="AW465" s="296">
        <f>VLOOKUP($C465,Troop!$B:$P,(COLUMN(Troop_TrainingCost_Ore)-COLUMN(Troop_Name)+1),FALSE)*$D465*(-1)</f>
        <v>-22800</v>
      </c>
      <c r="AX465" s="296">
        <f>VLOOKUP($C465,Troop!$B:$P,(COLUMN(Troop_TrainingCost_Food)-COLUMN(Troop_Name)+1),FALSE)*$D465*(-1)</f>
        <v>-30000</v>
      </c>
      <c r="AY465" s="114">
        <f>VLOOKUP($C465,Troop!$B:$P,(COLUMN(Troop_TrainingCost_Silver)-COLUMN(Troop_Name)+1),FALSE)*$D465*(-1)</f>
        <v>0</v>
      </c>
      <c r="CT465" s="128"/>
      <c r="CU465" s="128"/>
      <c r="CV465" s="128"/>
      <c r="CW465" s="128"/>
      <c r="CX465" s="128"/>
      <c r="CY465" s="128"/>
      <c r="CZ465" s="128"/>
      <c r="DA465" s="128"/>
      <c r="DB465" s="128"/>
      <c r="DC465" s="128"/>
      <c r="DD465" s="128"/>
    </row>
    <row r="466" spans="2:108" ht="15" customHeight="1">
      <c r="B466" s="506" t="s">
        <v>195</v>
      </c>
      <c r="C466" s="127" t="s">
        <v>468</v>
      </c>
      <c r="D466" s="144">
        <v>6.8402777777777776E-3</v>
      </c>
      <c r="E466" s="506">
        <v>16</v>
      </c>
      <c r="F466" s="12">
        <v>0.3</v>
      </c>
      <c r="G466" s="211">
        <v>2800</v>
      </c>
      <c r="H466" s="211">
        <f t="shared" ref="H466:H468" si="107">G466*(1+F466)</f>
        <v>3640</v>
      </c>
      <c r="AF466" s="141"/>
      <c r="AG466" s="141"/>
      <c r="AH466" s="137"/>
      <c r="AI466" s="484"/>
      <c r="AJ466" s="137">
        <f t="shared" si="101"/>
        <v>0.17708333333333331</v>
      </c>
      <c r="AU466" s="211">
        <v>7000</v>
      </c>
      <c r="AV466" s="211"/>
      <c r="AW466" s="211"/>
      <c r="AX466" s="211">
        <v>7000</v>
      </c>
      <c r="AY466" s="160"/>
      <c r="CL466" s="211">
        <v>2000</v>
      </c>
      <c r="CM466" s="160">
        <f>CL466</f>
        <v>2000</v>
      </c>
    </row>
    <row r="467" spans="2:108" ht="15" customHeight="1">
      <c r="B467" s="506" t="s">
        <v>144</v>
      </c>
      <c r="C467" s="127" t="s">
        <v>138</v>
      </c>
      <c r="D467" s="144" t="s">
        <v>1657</v>
      </c>
      <c r="E467" s="506">
        <v>16</v>
      </c>
      <c r="F467" s="12">
        <v>0.3</v>
      </c>
      <c r="G467" s="94">
        <f>VLOOKUP($D467,Construction!$B:$E,(COLUMN(Construction_BuildingReward_HeroXP)-COLUMN(Construction_Name_and_Level)+1),FALSE)</f>
        <v>500</v>
      </c>
      <c r="H467" s="94">
        <f t="shared" si="107"/>
        <v>650</v>
      </c>
      <c r="J467" s="95">
        <f>VLOOKUP($D467,Construction!$B:$F,(COLUMN(Construction_BuildingReward_Power)-COLUMN(Construction_Name_and_Level)+1),FALSE)</f>
        <v>170</v>
      </c>
      <c r="Q467" s="139">
        <v>3.472222222222222E-3</v>
      </c>
      <c r="R467" s="139">
        <v>7.6388888888888886E-3</v>
      </c>
      <c r="W467" s="11">
        <v>-2</v>
      </c>
      <c r="AF467" s="141"/>
      <c r="AG467" s="141"/>
      <c r="AH467" s="137"/>
      <c r="AI467" s="484">
        <f>(-1)*($S$3*$S467+$T$3*$T467+$U$3*$U467+$V$3*$V467+$W$3*$W467+$X$3*$X467+$Y$3*$Y467+$Z$3*$Z467+$AA$3*$AA467+$AB$3*$AB467+$AC$3*$AC467)</f>
        <v>2.0833333333333332E-2</v>
      </c>
      <c r="AJ467" s="137">
        <f t="shared" si="101"/>
        <v>0.15624999999999997</v>
      </c>
      <c r="AK467" s="339">
        <v>0.41</v>
      </c>
      <c r="AL467" s="138">
        <f>VLOOKUP($D467,Construction!$B:$C,(COLUMN(Construction_Time)-COLUMN(Construction_Name_and_Level)+1),FALSE)</f>
        <v>4.4444444444444446E-2</v>
      </c>
      <c r="AM467" s="138">
        <f t="shared" ref="AM467" si="108">AL467/(1+AK467)</f>
        <v>3.1520882584712376E-2</v>
      </c>
      <c r="AN467" s="138">
        <f t="shared" ref="AN467" si="109">(S$3*S467+T$3*T467+V$3*V467+W$3*W467+X$3*X467+Y$3*Y467+Z$3*Z467+AA$3*AA467+AB$3*AB467+AC$3*AC467)*(-1)</f>
        <v>2.0833333333333332E-2</v>
      </c>
      <c r="AO467" s="139">
        <f>IF((AM467-Q467-R467-AN467)&gt;=0,AM467-Q467-R467-AN467,0)</f>
        <v>0</v>
      </c>
      <c r="AU467" s="94">
        <f>VLOOKUP($D467,Construction!$B:$J,(COLUMN(Construction_BuildingCost_Stone)-COLUMN(Construction_Name_and_Level)+1),FALSE)*(-1)</f>
        <v>-13372</v>
      </c>
      <c r="AV467" s="94">
        <f>VLOOKUP($D467,Construction!$B:$J,(COLUMN(Construction_BuildingCost_Wood)-COLUMN(Construction_Name_and_Level)+1),FALSE)*(-1)</f>
        <v>-13372</v>
      </c>
      <c r="AW467" s="94">
        <f>VLOOKUP($D467,Construction!$B:$J,(COLUMN(Construction_BuildingCost_Ore)-COLUMN(Construction_Name_and_Level)+1),FALSE)*(-1)</f>
        <v>-10024</v>
      </c>
      <c r="AX467" s="94">
        <f>VLOOKUP($D467,Construction!$B:$J,(COLUMN(Construction_BuildingCost_Food)-COLUMN(Construction_Name_and_Level)+1),FALSE)*(-1)</f>
        <v>-6688</v>
      </c>
    </row>
    <row r="468" spans="2:108" ht="15" customHeight="1">
      <c r="B468" s="506" t="s">
        <v>143</v>
      </c>
      <c r="C468" s="127" t="s">
        <v>142</v>
      </c>
      <c r="D468" s="144" t="s">
        <v>1657</v>
      </c>
      <c r="E468" s="506">
        <v>16</v>
      </c>
      <c r="F468" s="12">
        <v>0.3</v>
      </c>
      <c r="G468" s="101">
        <f>VLOOKUP($D468,Construction!$B:$L,(COLUMN(Construction_QuestReward_HeroXP)-COLUMN(Construction_Name_and_Level)+1),FALSE)</f>
        <v>10000</v>
      </c>
      <c r="H468" s="101">
        <f t="shared" si="107"/>
        <v>13000</v>
      </c>
      <c r="J468" s="100">
        <f>VLOOKUP($D468,Construction!$B:$L,(COLUMN(Construction_QuestReward_Power)-COLUMN(Construction_Name_and_Level)+1),FALSE)</f>
        <v>90</v>
      </c>
      <c r="AF468" s="141"/>
      <c r="AG468" s="141"/>
      <c r="AH468" s="137"/>
      <c r="AI468" s="484"/>
      <c r="AJ468" s="137">
        <f t="shared" si="101"/>
        <v>0.15624999999999997</v>
      </c>
      <c r="AU468" s="101">
        <f>VLOOKUP($D468,Construction!$B:$Q,(COLUMN(Construction_QuestReward_Stone)-COLUMN(Construction_Name_and_Level)+1),FALSE)</f>
        <v>9500</v>
      </c>
      <c r="AV468" s="101">
        <f>VLOOKUP($D468,Construction!$B:$Q,(COLUMN(Construction_QuestReward_Wood)-COLUMN(Construction_Name_and_Level)+1),FALSE)</f>
        <v>9500</v>
      </c>
      <c r="AW468" s="101">
        <f>VLOOKUP($D468,Construction!$B:$Q,(COLUMN(Construction_QuestReward_Ore)-COLUMN(Construction_Name_and_Level)+1),FALSE)</f>
        <v>7100</v>
      </c>
      <c r="AX468" s="101">
        <f>VLOOKUP($D468,Construction!$B:$Q,(COLUMN(Construction_QuestReward_Food)-COLUMN(Construction_Name_and_Level)+1),FALSE)</f>
        <v>4700</v>
      </c>
      <c r="AY468" s="100">
        <f>VLOOKUP($D468,Construction!$B:$Q,(COLUMN(Construction_QuestReward_Silver)-COLUMN(Construction_Name_and_Level)+1),FALSE)</f>
        <v>250</v>
      </c>
    </row>
    <row r="469" spans="2:108" ht="15" customHeight="1">
      <c r="B469" s="506" t="s">
        <v>144</v>
      </c>
      <c r="C469" s="127" t="s">
        <v>138</v>
      </c>
      <c r="D469" s="144" t="s">
        <v>1658</v>
      </c>
      <c r="E469" s="506">
        <v>16</v>
      </c>
      <c r="F469" s="12">
        <v>0.3</v>
      </c>
      <c r="G469" s="94">
        <f>VLOOKUP($D469,Construction!$B:$E,(COLUMN(Construction_BuildingReward_HeroXP)-COLUMN(Construction_Name_and_Level)+1),FALSE)</f>
        <v>500</v>
      </c>
      <c r="H469" s="94">
        <f t="shared" ref="H469:H470" si="110">G469*(1+F469)</f>
        <v>650</v>
      </c>
      <c r="J469" s="95">
        <f>VLOOKUP($D469,Construction!$B:$F,(COLUMN(Construction_BuildingReward_Power)-COLUMN(Construction_Name_and_Level)+1),FALSE)</f>
        <v>85</v>
      </c>
      <c r="Q469" s="139">
        <v>3.472222222222222E-3</v>
      </c>
      <c r="R469" s="139">
        <v>7.6388888888888886E-3</v>
      </c>
      <c r="X469" s="11">
        <v>-1</v>
      </c>
      <c r="AF469" s="141"/>
      <c r="AG469" s="141"/>
      <c r="AH469" s="137"/>
      <c r="AI469" s="484">
        <f>(-1)*($S$3*$S469+$T$3*$T469+$U$3*$U469+$V$3*$V469+$W$3*$W469+$X$3*$X469+$Y$3*$Y469+$Z$3*$Z469+$AA$3*$AA469+$AB$3*$AB469+$AC$3*$AC469)</f>
        <v>4.1666666666666664E-2</v>
      </c>
      <c r="AJ469" s="137">
        <f t="shared" si="101"/>
        <v>0.11458333333333331</v>
      </c>
      <c r="AK469" s="339">
        <v>0.41</v>
      </c>
      <c r="AL469" s="138">
        <f>VLOOKUP($D469,Construction!$B:$C,(COLUMN(Construction_Time)-COLUMN(Construction_Name_and_Level)+1),FALSE)</f>
        <v>5.9259259259259262E-2</v>
      </c>
      <c r="AM469" s="138">
        <f t="shared" ref="AM469" si="111">AL469/(1+AK469)</f>
        <v>4.2027843446283165E-2</v>
      </c>
      <c r="AN469" s="138">
        <f t="shared" ref="AN469" si="112">(S$3*S469+T$3*T469+V$3*V469+W$3*W469+X$3*X469+Y$3*Y469+Z$3*Z469+AA$3*AA469+AB$3*AB469+AC$3*AC469)*(-1)</f>
        <v>4.1666666666666664E-2</v>
      </c>
      <c r="AO469" s="139">
        <f>IF((AM469-Q469-R469-AN469)&gt;=0,AM469-Q469-R469-AN469,0)</f>
        <v>0</v>
      </c>
      <c r="AU469" s="94">
        <f>VLOOKUP($D469,Construction!$B:$J,(COLUMN(Construction_BuildingCost_Stone)-COLUMN(Construction_Name_and_Level)+1),FALSE)*(-1)</f>
        <v>-3348</v>
      </c>
      <c r="AV469" s="94">
        <f>VLOOKUP($D469,Construction!$B:$J,(COLUMN(Construction_BuildingCost_Wood)-COLUMN(Construction_Name_and_Level)+1),FALSE)*(-1)</f>
        <v>-3348</v>
      </c>
      <c r="AW469" s="94">
        <f>VLOOKUP($D469,Construction!$B:$J,(COLUMN(Construction_BuildingCost_Ore)-COLUMN(Construction_Name_and_Level)+1),FALSE)*(-1)</f>
        <v>0</v>
      </c>
      <c r="AX469" s="94">
        <f>VLOOKUP($D469,Construction!$B:$J,(COLUMN(Construction_BuildingCost_Food)-COLUMN(Construction_Name_and_Level)+1),FALSE)*(-1)</f>
        <v>-3348</v>
      </c>
    </row>
    <row r="470" spans="2:108" ht="15" customHeight="1">
      <c r="B470" s="506" t="s">
        <v>143</v>
      </c>
      <c r="C470" s="127" t="s">
        <v>142</v>
      </c>
      <c r="D470" s="144" t="s">
        <v>1658</v>
      </c>
      <c r="E470" s="506">
        <v>16</v>
      </c>
      <c r="F470" s="12">
        <v>0.3</v>
      </c>
      <c r="G470" s="101">
        <f>VLOOKUP($D470,Construction!$B:$L,(COLUMN(Construction_QuestReward_HeroXP)-COLUMN(Construction_Name_and_Level)+1),FALSE)</f>
        <v>2500</v>
      </c>
      <c r="H470" s="101">
        <f t="shared" si="110"/>
        <v>3250</v>
      </c>
      <c r="J470" s="100">
        <f>VLOOKUP($D470,Construction!$B:$L,(COLUMN(Construction_QuestReward_Power)-COLUMN(Construction_Name_and_Level)+1),FALSE)</f>
        <v>45</v>
      </c>
      <c r="AF470" s="141"/>
      <c r="AG470" s="141"/>
      <c r="AH470" s="137"/>
      <c r="AI470" s="484"/>
      <c r="AJ470" s="137">
        <f t="shared" si="101"/>
        <v>0.11458333333333331</v>
      </c>
      <c r="AU470" s="101">
        <f>VLOOKUP($D470,Construction!$B:$Q,(COLUMN(Construction_QuestReward_Stone)-COLUMN(Construction_Name_and_Level)+1),FALSE)</f>
        <v>2300</v>
      </c>
      <c r="AV470" s="101">
        <f>VLOOKUP($D470,Construction!$B:$Q,(COLUMN(Construction_QuestReward_Wood)-COLUMN(Construction_Name_and_Level)+1),FALSE)</f>
        <v>2300</v>
      </c>
      <c r="AW470" s="101">
        <f>VLOOKUP($D470,Construction!$B:$Q,(COLUMN(Construction_QuestReward_Ore)-COLUMN(Construction_Name_and_Level)+1),FALSE)</f>
        <v>0</v>
      </c>
      <c r="AX470" s="101">
        <f>VLOOKUP($D470,Construction!$B:$Q,(COLUMN(Construction_QuestReward_Food)-COLUMN(Construction_Name_and_Level)+1),FALSE)</f>
        <v>2300</v>
      </c>
      <c r="AY470" s="100">
        <f>VLOOKUP($D470,Construction!$B:$Q,(COLUMN(Construction_QuestReward_Silver)-COLUMN(Construction_Name_and_Level)+1),FALSE)</f>
        <v>50</v>
      </c>
    </row>
    <row r="471" spans="2:108" ht="15" customHeight="1">
      <c r="B471" s="506" t="s">
        <v>144</v>
      </c>
      <c r="C471" s="127" t="s">
        <v>138</v>
      </c>
      <c r="D471" s="144" t="s">
        <v>1659</v>
      </c>
      <c r="E471" s="506">
        <v>16</v>
      </c>
      <c r="F471" s="12">
        <v>0.3</v>
      </c>
      <c r="G471" s="94">
        <f>VLOOKUP($D471,Construction!$B:$E,(COLUMN(Construction_BuildingReward_HeroXP)-COLUMN(Construction_Name_and_Level)+1),FALSE)</f>
        <v>500</v>
      </c>
      <c r="H471" s="94">
        <f t="shared" ref="H471" si="113">G471*(1+F471)</f>
        <v>650</v>
      </c>
      <c r="J471" s="95">
        <f>VLOOKUP($D471,Construction!$B:$F,(COLUMN(Construction_BuildingReward_Power)-COLUMN(Construction_Name_and_Level)+1),FALSE)</f>
        <v>215</v>
      </c>
      <c r="Q471" s="139">
        <v>3.472222222222222E-3</v>
      </c>
      <c r="R471" s="139">
        <v>7.6388888888888886E-3</v>
      </c>
      <c r="X471" s="11">
        <v>-1</v>
      </c>
      <c r="AF471" s="141"/>
      <c r="AG471" s="141"/>
      <c r="AH471" s="137"/>
      <c r="AI471" s="484">
        <f>(-1)*($S$3*$S471+$T$3*$T471+$U$3*$U471+$V$3*$V471+$W$3*$W471+$X$3*$X471+$Y$3*$Y471+$Z$3*$Z471+$AA$3*$AA471+$AB$3*$AB471+$AC$3*$AC471)</f>
        <v>4.1666666666666664E-2</v>
      </c>
      <c r="AJ471" s="137">
        <f t="shared" si="101"/>
        <v>7.2916666666666657E-2</v>
      </c>
      <c r="AK471" s="339">
        <v>0.41</v>
      </c>
      <c r="AL471" s="138">
        <f>VLOOKUP($D471,Construction!$B:$C,(COLUMN(Construction_Time)-COLUMN(Construction_Name_and_Level)+1),FALSE)</f>
        <v>5.5555555555555552E-2</v>
      </c>
      <c r="AM471" s="138">
        <f t="shared" ref="AM471" si="114">AL471/(1+AK471)</f>
        <v>3.9401103230890466E-2</v>
      </c>
      <c r="AN471" s="138">
        <f t="shared" ref="AN471" si="115">(S$3*S471+T$3*T471+V$3*V471+W$3*W471+X$3*X471+Y$3*Y471+Z$3*Z471+AA$3*AA471+AB$3*AB471+AC$3*AC471)*(-1)</f>
        <v>4.1666666666666664E-2</v>
      </c>
      <c r="AO471" s="139">
        <f>IF((AM471-Q471-R471-AN471)&gt;=0,AM471-Q471-R471-AN471,0)</f>
        <v>0</v>
      </c>
      <c r="AU471" s="94">
        <f>VLOOKUP($D471,Construction!$B:$J,(COLUMN(Construction_BuildingCost_Stone)-COLUMN(Construction_Name_and_Level)+1),FALSE)*(-1)</f>
        <v>-10024</v>
      </c>
      <c r="AV471" s="94">
        <f>VLOOKUP($D471,Construction!$B:$J,(COLUMN(Construction_BuildingCost_Wood)-COLUMN(Construction_Name_and_Level)+1),FALSE)*(-1)</f>
        <v>-13372</v>
      </c>
      <c r="AW471" s="94">
        <f>VLOOKUP($D471,Construction!$B:$J,(COLUMN(Construction_BuildingCost_Ore)-COLUMN(Construction_Name_and_Level)+1),FALSE)*(-1)</f>
        <v>-26732</v>
      </c>
      <c r="AX471" s="94">
        <f>VLOOKUP($D471,Construction!$B:$J,(COLUMN(Construction_BuildingCost_Food)-COLUMN(Construction_Name_and_Level)+1),FALSE)*(-1)</f>
        <v>-10024</v>
      </c>
    </row>
    <row r="472" spans="2:108" ht="15" customHeight="1">
      <c r="B472" s="506" t="s">
        <v>144</v>
      </c>
      <c r="C472" s="127" t="s">
        <v>138</v>
      </c>
      <c r="D472" s="144" t="s">
        <v>1660</v>
      </c>
      <c r="E472" s="506">
        <v>16</v>
      </c>
      <c r="F472" s="12">
        <v>0.3</v>
      </c>
      <c r="G472" s="94">
        <f>VLOOKUP($D472,Construction!$B:$E,(COLUMN(Construction_BuildingReward_HeroXP)-COLUMN(Construction_Name_and_Level)+1),FALSE)</f>
        <v>5000</v>
      </c>
      <c r="H472" s="94">
        <f t="shared" ref="H472" si="116">G472*(1+F472)</f>
        <v>6500</v>
      </c>
      <c r="J472" s="95">
        <f>VLOOKUP($D472,Construction!$B:$F,(COLUMN(Construction_BuildingReward_Power)-COLUMN(Construction_Name_and_Level)+1),FALSE)</f>
        <v>510</v>
      </c>
      <c r="Q472" s="139">
        <v>3.472222222222222E-3</v>
      </c>
      <c r="R472" s="139">
        <v>7.6388888888888886E-3</v>
      </c>
      <c r="X472" s="11">
        <v>-1</v>
      </c>
      <c r="AF472" s="141"/>
      <c r="AG472" s="141"/>
      <c r="AH472" s="137"/>
      <c r="AI472" s="484">
        <f>(-1)*($S$3*$S472+$T$3*$T472+$U$3*$U472+$V$3*$V472+$W$3*$W472+$X$3*$X472+$Y$3*$Y472+$Z$3*$Z472+$AA$3*$AA472+$AB$3*$AB472+$AC$3*$AC472)</f>
        <v>4.1666666666666664E-2</v>
      </c>
      <c r="AJ472" s="137">
        <f t="shared" si="101"/>
        <v>3.1249999999999993E-2</v>
      </c>
      <c r="AK472" s="339">
        <v>0.41</v>
      </c>
      <c r="AL472" s="138">
        <f>VLOOKUP($D472,Construction!$B:$C,(COLUMN(Construction_Time)-COLUMN(Construction_Name_and_Level)+1),FALSE)</f>
        <v>7.7777777777777779E-2</v>
      </c>
      <c r="AM472" s="138">
        <f t="shared" ref="AM472" si="117">AL472/(1+AK472)</f>
        <v>5.5161544523246654E-2</v>
      </c>
      <c r="AN472" s="138">
        <f t="shared" ref="AN472" si="118">(S$3*S472+T$3*T472+V$3*V472+W$3*W472+X$3*X472+Y$3*Y472+Z$3*Z472+AA$3*AA472+AB$3*AB472+AC$3*AC472)*(-1)</f>
        <v>4.1666666666666664E-2</v>
      </c>
      <c r="AO472" s="139">
        <f>IF((AM472-Q472-R472-AN472)&gt;=0,AM472-Q472-R472-AN472,0)</f>
        <v>2.3837667454688766E-3</v>
      </c>
      <c r="AU472" s="94">
        <f>VLOOKUP($D472,Construction!$B:$J,(COLUMN(Construction_BuildingCost_Stone)-COLUMN(Construction_Name_and_Level)+1),FALSE)*(-1)</f>
        <v>-41992</v>
      </c>
      <c r="AV472" s="94">
        <f>VLOOKUP($D472,Construction!$B:$J,(COLUMN(Construction_BuildingCost_Wood)-COLUMN(Construction_Name_and_Level)+1),FALSE)*(-1)</f>
        <v>-33596</v>
      </c>
      <c r="AW472" s="94">
        <f>VLOOKUP($D472,Construction!$B:$J,(COLUMN(Construction_BuildingCost_Ore)-COLUMN(Construction_Name_and_Level)+1),FALSE)*(-1)</f>
        <v>-12600</v>
      </c>
      <c r="AX472" s="94">
        <f>VLOOKUP($D472,Construction!$B:$J,(COLUMN(Construction_BuildingCost_Food)-COLUMN(Construction_Name_and_Level)+1),FALSE)*(-1)</f>
        <v>-20996</v>
      </c>
    </row>
    <row r="473" spans="2:108" ht="15" customHeight="1">
      <c r="B473" s="506" t="s">
        <v>624</v>
      </c>
      <c r="C473" s="127" t="s">
        <v>669</v>
      </c>
      <c r="E473" s="506">
        <v>16</v>
      </c>
      <c r="AF473" s="141"/>
      <c r="AG473" s="141"/>
      <c r="AH473" s="137"/>
      <c r="AI473" s="484"/>
      <c r="AJ473" s="137">
        <f t="shared" si="101"/>
        <v>3.1249999999999993E-2</v>
      </c>
      <c r="AY473" s="31">
        <v>-1100</v>
      </c>
    </row>
    <row r="474" spans="2:108" ht="15" customHeight="1">
      <c r="B474" s="506" t="s">
        <v>624</v>
      </c>
      <c r="C474" s="127" t="s">
        <v>670</v>
      </c>
      <c r="E474" s="506">
        <v>16</v>
      </c>
      <c r="AF474" s="141"/>
      <c r="AG474" s="141"/>
      <c r="AH474" s="137"/>
      <c r="AI474" s="484"/>
      <c r="AJ474" s="137">
        <f t="shared" si="101"/>
        <v>3.1249999999999993E-2</v>
      </c>
      <c r="AY474" s="31">
        <v>3770</v>
      </c>
    </row>
    <row r="475" spans="2:108" ht="15" customHeight="1">
      <c r="B475" s="506" t="s">
        <v>195</v>
      </c>
      <c r="C475" s="127" t="s">
        <v>468</v>
      </c>
      <c r="D475" s="144">
        <v>8.549768518518519E-2</v>
      </c>
      <c r="E475" s="506">
        <v>16</v>
      </c>
      <c r="F475" s="12">
        <v>0.3</v>
      </c>
      <c r="G475" s="211">
        <v>35000</v>
      </c>
      <c r="H475" s="211">
        <f t="shared" ref="H475" si="119">G475*(1+F475)</f>
        <v>45500</v>
      </c>
      <c r="AF475" s="141"/>
      <c r="AG475" s="141"/>
      <c r="AH475" s="137"/>
      <c r="AI475" s="484"/>
      <c r="AJ475" s="137">
        <f t="shared" si="101"/>
        <v>3.1249999999999993E-2</v>
      </c>
      <c r="AU475" s="211"/>
      <c r="AV475" s="211"/>
      <c r="AW475" s="211"/>
      <c r="AX475" s="211">
        <v>17500</v>
      </c>
      <c r="AY475" s="160">
        <v>17500</v>
      </c>
      <c r="CL475" s="211">
        <v>25000</v>
      </c>
      <c r="CM475" s="160">
        <f>CL475</f>
        <v>25000</v>
      </c>
    </row>
    <row r="476" spans="2:108" ht="15" customHeight="1">
      <c r="B476" s="506" t="s">
        <v>144</v>
      </c>
      <c r="C476" s="127" t="s">
        <v>138</v>
      </c>
      <c r="D476" s="144" t="s">
        <v>1661</v>
      </c>
      <c r="E476" s="506">
        <v>16</v>
      </c>
      <c r="F476" s="12">
        <v>0.3</v>
      </c>
      <c r="G476" s="94">
        <f>VLOOKUP($D476,Construction!$B:$E,(COLUMN(Construction_BuildingReward_HeroXP)-COLUMN(Construction_Name_and_Level)+1),FALSE)</f>
        <v>500</v>
      </c>
      <c r="H476" s="94">
        <f>G476*(1+F476)</f>
        <v>650</v>
      </c>
      <c r="J476" s="95">
        <f>VLOOKUP($D476,Construction!$B:$F,(COLUMN(Construction_BuildingReward_Power)-COLUMN(Construction_Name_and_Level)+1),FALSE)</f>
        <v>595</v>
      </c>
      <c r="Q476" s="139">
        <v>3.472222222222222E-3</v>
      </c>
      <c r="R476" s="139">
        <v>7.6388888888888886E-3</v>
      </c>
      <c r="AF476" s="141"/>
      <c r="AG476" s="141"/>
      <c r="AH476" s="137"/>
      <c r="AI476" s="484"/>
      <c r="AJ476" s="137">
        <f t="shared" si="101"/>
        <v>3.1249999999999993E-2</v>
      </c>
      <c r="AK476" s="339">
        <v>0.41</v>
      </c>
      <c r="AL476" s="138">
        <f>VLOOKUP($D476,Construction!$B:$C,(COLUMN(Construction_Time)-COLUMN(Construction_Name_and_Level)+1),FALSE)</f>
        <v>7.407407407407407E-2</v>
      </c>
      <c r="AM476" s="138">
        <f t="shared" ref="AM476" si="120">AL476/(1+AK476)</f>
        <v>5.2534804307853955E-2</v>
      </c>
      <c r="AN476" s="138">
        <f>(S$3*S476+T$3*T476+V$3*V476+W$3*W476+X$3*X476+Y$3*Y476+Z$3*Z476+AA$3*AA476+AB$3*AB476+AC$3*AC476)*(-1)</f>
        <v>0</v>
      </c>
      <c r="AO476" s="139">
        <f>IF((AM476-Q476-R476-AN476)&gt;=0,AM476-Q476-R476-AN476,0)</f>
        <v>4.1423693196742842E-2</v>
      </c>
      <c r="AP476" s="261">
        <v>0.47</v>
      </c>
      <c r="AU476" s="94">
        <f>VLOOKUP($D476,Construction!$B:$J,(COLUMN(Construction_BuildingCost_Stone)-COLUMN(Construction_Name_and_Level)+1),FALSE)*(-1)</f>
        <v>-20996</v>
      </c>
      <c r="AV476" s="94">
        <f>VLOOKUP($D476,Construction!$B:$J,(COLUMN(Construction_BuildingCost_Wood)-COLUMN(Construction_Name_and_Level)+1),FALSE)*(-1)</f>
        <v>-20996</v>
      </c>
      <c r="AW476" s="94">
        <f>VLOOKUP($D476,Construction!$B:$J,(COLUMN(Construction_BuildingCost_Ore)-COLUMN(Construction_Name_and_Level)+1),FALSE)*(-1)</f>
        <v>-8404</v>
      </c>
      <c r="AX476" s="94">
        <f>VLOOKUP($D476,Construction!$B:$J,(COLUMN(Construction_BuildingCost_Food)-COLUMN(Construction_Name_and_Level)+1),FALSE)*(-1)</f>
        <v>-12600</v>
      </c>
    </row>
    <row r="477" spans="2:108" ht="15" customHeight="1">
      <c r="B477" s="506" t="s">
        <v>146</v>
      </c>
      <c r="C477" s="127" t="s">
        <v>138</v>
      </c>
      <c r="D477" s="144" t="s">
        <v>1662</v>
      </c>
      <c r="E477" s="506">
        <v>16</v>
      </c>
      <c r="F477" s="12">
        <v>0.3</v>
      </c>
      <c r="G477" s="111">
        <f>VLOOKUP($D477,Research!$C:$F,(COLUMN(Research_ResearchReward_HeroXP)-COLUMN(Research_Name_and_Level)+1),FALSE)</f>
        <v>192000</v>
      </c>
      <c r="H477" s="111">
        <f>G477*(1+F477)</f>
        <v>249600</v>
      </c>
      <c r="J477" s="115">
        <f>VLOOKUP($D477,Research!$C:$G,(COLUMN(Research_ResearchReward_Power)-COLUMN(Research_Name_and_Level)+1),FALSE)</f>
        <v>303</v>
      </c>
      <c r="R477" s="148">
        <v>7.6388888888888886E-3</v>
      </c>
      <c r="AF477" s="141"/>
      <c r="AG477" s="141"/>
      <c r="AH477" s="137"/>
      <c r="AI477" s="484"/>
      <c r="AJ477" s="137">
        <f t="shared" si="101"/>
        <v>3.1249999999999993E-2</v>
      </c>
      <c r="AP477" s="256">
        <v>0.47</v>
      </c>
      <c r="AQ477" s="147">
        <f>VLOOKUP($D477,Research!$C:$D,(COLUMN(Research_Time)-COLUMN(Research_Name_and_Level)+1),FALSE)</f>
        <v>0.5625</v>
      </c>
      <c r="AR477" s="147">
        <f>AQ477/(1+AP477)</f>
        <v>0.38265306122448978</v>
      </c>
      <c r="AS477" s="147">
        <f>(S$3*S477+T$3*T477+V$3*V477+W$3*W477+X$3*X477+Y$3*Y477+Z$3*Z477+AA$3*AA477+AB$3*AB477+AC$3*AC477)*(-1)</f>
        <v>0</v>
      </c>
      <c r="AT477" s="148">
        <f>IF(AR477-R477-AS477&gt;=0,AR477-R477-AS477,0)</f>
        <v>0.37501417233560091</v>
      </c>
      <c r="AU477" s="111">
        <f>VLOOKUP($D477,Research!$C:$L,(COLUMN(Research_ResearchCost_Stone)-COLUMN(Research_Name_and_Level)+1),FALSE)*(-1)</f>
        <v>0</v>
      </c>
      <c r="AV477" s="111">
        <f>VLOOKUP($D477,Research!$C:$L,(COLUMN(Research_ResearchCost_Wood)-COLUMN(Research_Name_and_Level)+1),FALSE)*(-1)</f>
        <v>0</v>
      </c>
      <c r="AW477" s="111">
        <f>VLOOKUP($D477,Research!$C:$L,(COLUMN(Research_ResearchCost_Ore)-COLUMN(Research_Name_and_Level)+1),FALSE)*(-1)</f>
        <v>0</v>
      </c>
      <c r="AX477" s="111">
        <f>VLOOKUP($D477,Research!$C:$L,(COLUMN(Research_ResearchCost_Food)-COLUMN(Research_Name_and_Level)+1),FALSE)*(-1)</f>
        <v>0</v>
      </c>
      <c r="AY477" s="112">
        <f>VLOOKUP($D477,Research!$C:$L,(COLUMN(Research_ResearchCost_Silver)-COLUMN(Research_Name_and_Level)+1),FALSE)*(-1)</f>
        <v>-6075</v>
      </c>
    </row>
    <row r="478" spans="2:108" ht="15" customHeight="1">
      <c r="B478" s="126" t="s">
        <v>1457</v>
      </c>
      <c r="C478" s="127" t="s">
        <v>147</v>
      </c>
      <c r="D478" s="144" t="s">
        <v>1663</v>
      </c>
      <c r="E478" s="506">
        <v>17</v>
      </c>
      <c r="I478" s="5">
        <v>3</v>
      </c>
      <c r="J478" s="5">
        <v>499</v>
      </c>
      <c r="Q478" s="149"/>
      <c r="AF478" s="141"/>
      <c r="AG478" s="141"/>
      <c r="AH478" s="137"/>
      <c r="AI478" s="484"/>
      <c r="AJ478" s="137">
        <f t="shared" si="101"/>
        <v>3.1249999999999993E-2</v>
      </c>
      <c r="AX478" s="11"/>
    </row>
    <row r="479" spans="2:108" ht="15" customHeight="1">
      <c r="B479" s="106" t="s">
        <v>171</v>
      </c>
      <c r="C479" s="130"/>
      <c r="D479" s="130" t="s">
        <v>1664</v>
      </c>
      <c r="E479" s="106">
        <v>17</v>
      </c>
      <c r="F479" s="219">
        <v>0.3</v>
      </c>
      <c r="G479" s="107" t="s">
        <v>1453</v>
      </c>
      <c r="H479" s="107">
        <v>2314229</v>
      </c>
      <c r="I479" s="108">
        <v>38</v>
      </c>
      <c r="J479" s="108">
        <v>43687</v>
      </c>
      <c r="K479" s="107">
        <v>4</v>
      </c>
      <c r="L479" s="107">
        <v>1460</v>
      </c>
      <c r="M479" s="134">
        <v>0.125</v>
      </c>
      <c r="N479" s="109">
        <v>260</v>
      </c>
      <c r="O479" s="109">
        <f>SUMIF($B$4:$B478,"&lt;&gt;"&amp;$CS$13,O$4:O478)</f>
        <v>0</v>
      </c>
      <c r="P479" s="108">
        <f>SUMIF($B$4:$B478,"&lt;&gt;"&amp;$CS$13,N$4:N478)</f>
        <v>260</v>
      </c>
      <c r="Q479" s="134">
        <v>3.472222222222222E-3</v>
      </c>
      <c r="R479" s="134">
        <v>7.6388888888888886E-3</v>
      </c>
      <c r="S479" s="107">
        <v>0</v>
      </c>
      <c r="T479" s="107">
        <v>0</v>
      </c>
      <c r="U479" s="107">
        <v>0</v>
      </c>
      <c r="V479" s="107">
        <v>0</v>
      </c>
      <c r="W479" s="109">
        <v>3</v>
      </c>
      <c r="X479" s="109">
        <v>0</v>
      </c>
      <c r="Y479" s="109">
        <v>0</v>
      </c>
      <c r="Z479" s="109">
        <v>0</v>
      </c>
      <c r="AA479" s="109">
        <v>0</v>
      </c>
      <c r="AB479" s="109">
        <v>0</v>
      </c>
      <c r="AC479" s="109">
        <v>0</v>
      </c>
      <c r="AD479" s="109">
        <v>0</v>
      </c>
      <c r="AE479" s="108">
        <v>0</v>
      </c>
      <c r="AF479" s="136">
        <f>SUMIF($B$4:$B478,"&lt;&gt;"&amp;$CS$13,AF$4:AF478)</f>
        <v>0.37291666666666667</v>
      </c>
      <c r="AG479" s="136">
        <f>SUMIF($B$4:$B478,"&lt;&gt;"&amp;$CS$13,AG$4:AG478)</f>
        <v>0</v>
      </c>
      <c r="AH479" s="134">
        <f>AF479+AG479</f>
        <v>0.37291666666666667</v>
      </c>
      <c r="AI479" s="483">
        <f>SUMIF($B$4:$B478,"&lt;&gt;"&amp;$CS$13,AI$4:AI478)</f>
        <v>0.34166666666666667</v>
      </c>
      <c r="AJ479" s="134">
        <f>S$3*S479+T$3*T479+U$3*U479+V$3*V479+W$3*W479+X$3*X479+Y$3*Y479+Z$3*Z479+AA$3*AA479+AB$3*AB479+AC$3*AC479</f>
        <v>3.125E-2</v>
      </c>
      <c r="AK479" s="338">
        <v>0.41</v>
      </c>
      <c r="AL479" s="136" t="s">
        <v>1453</v>
      </c>
      <c r="AM479" s="136" t="s">
        <v>1453</v>
      </c>
      <c r="AN479" s="136" t="s">
        <v>1453</v>
      </c>
      <c r="AO479" s="134" t="s">
        <v>1453</v>
      </c>
      <c r="AP479" s="284">
        <v>0.47</v>
      </c>
      <c r="AQ479" s="136" t="s">
        <v>1453</v>
      </c>
      <c r="AR479" s="136" t="s">
        <v>1453</v>
      </c>
      <c r="AS479" s="136" t="s">
        <v>1453</v>
      </c>
      <c r="AT479" s="134" t="s">
        <v>1453</v>
      </c>
      <c r="AU479" s="107">
        <v>147000</v>
      </c>
      <c r="AV479" s="107">
        <v>147000</v>
      </c>
      <c r="AW479" s="107">
        <v>199400</v>
      </c>
      <c r="AX479" s="109">
        <v>400000</v>
      </c>
      <c r="AY479" s="108">
        <v>116500</v>
      </c>
      <c r="AZ479" s="107">
        <v>2772</v>
      </c>
      <c r="BA479" s="107">
        <v>2719</v>
      </c>
      <c r="BB479" s="107">
        <v>2321</v>
      </c>
      <c r="BC479" s="107">
        <v>5208</v>
      </c>
      <c r="BD479" s="108">
        <v>1680</v>
      </c>
      <c r="BE479" s="108">
        <v>-1100</v>
      </c>
      <c r="BF479" s="107">
        <v>147000</v>
      </c>
      <c r="BG479" s="107">
        <v>147000</v>
      </c>
      <c r="BH479" s="107">
        <v>135000</v>
      </c>
      <c r="BI479" s="107">
        <v>225000</v>
      </c>
      <c r="BJ479" s="108">
        <v>99000</v>
      </c>
      <c r="BK479" s="107">
        <v>7</v>
      </c>
      <c r="BL479" s="108">
        <v>7</v>
      </c>
      <c r="BM479" s="108">
        <v>7</v>
      </c>
      <c r="BN479" s="107">
        <v>6</v>
      </c>
      <c r="BO479" s="108">
        <v>4</v>
      </c>
      <c r="BP479" s="107">
        <v>6</v>
      </c>
      <c r="BQ479" s="108">
        <v>4</v>
      </c>
      <c r="BR479" s="107">
        <v>6</v>
      </c>
      <c r="BS479" s="108">
        <v>4</v>
      </c>
      <c r="BT479" s="107">
        <v>7</v>
      </c>
      <c r="BU479" s="108">
        <v>4</v>
      </c>
      <c r="BV479" s="107">
        <v>6</v>
      </c>
      <c r="BW479" s="108">
        <v>4</v>
      </c>
      <c r="BX479" s="107">
        <v>6</v>
      </c>
      <c r="BY479" s="108">
        <v>4</v>
      </c>
      <c r="BZ479" s="107">
        <v>6</v>
      </c>
      <c r="CA479" s="108">
        <v>4</v>
      </c>
      <c r="CB479" s="108">
        <v>6</v>
      </c>
      <c r="CC479" s="108">
        <v>7</v>
      </c>
      <c r="CD479" s="108">
        <v>7</v>
      </c>
      <c r="CE479" s="107">
        <v>5</v>
      </c>
      <c r="CF479" s="107">
        <v>0</v>
      </c>
      <c r="CG479" s="108">
        <v>0</v>
      </c>
      <c r="CH479" s="107">
        <v>6</v>
      </c>
      <c r="CI479" s="107"/>
      <c r="CJ479" s="108"/>
      <c r="CK479" s="108"/>
      <c r="CL479" s="107">
        <v>127900</v>
      </c>
      <c r="CM479" s="108"/>
      <c r="CN479" s="108" t="s">
        <v>1208</v>
      </c>
    </row>
    <row r="480" spans="2:108" ht="15" customHeight="1">
      <c r="B480" s="506" t="s">
        <v>143</v>
      </c>
      <c r="C480" s="127" t="s">
        <v>142</v>
      </c>
      <c r="D480" s="144" t="s">
        <v>1659</v>
      </c>
      <c r="E480" s="506">
        <v>17</v>
      </c>
      <c r="F480" s="12">
        <v>0.3</v>
      </c>
      <c r="G480" s="101">
        <f>VLOOKUP($D480,Construction!$B:$L,(COLUMN(Construction_QuestReward_HeroXP)-COLUMN(Construction_Name_and_Level)+1),FALSE)</f>
        <v>20000</v>
      </c>
      <c r="H480" s="101">
        <f>G480*(1+F480)</f>
        <v>26000</v>
      </c>
      <c r="J480" s="100">
        <f>VLOOKUP($D480,Construction!$B:$L,(COLUMN(Construction_QuestReward_Power)-COLUMN(Construction_Name_and_Level)+1),FALSE)</f>
        <v>115</v>
      </c>
      <c r="AF480" s="141"/>
      <c r="AG480" s="141"/>
      <c r="AH480" s="137"/>
      <c r="AI480" s="484"/>
      <c r="AJ480" s="137">
        <f t="shared" ref="AJ480:AJ511" si="121">AJ479+(S$3*S480+T$3*T480+U$3*U480+V$3*V480+W$3*W480+X$3*X480+Y$3*Y480+Z$3*Z480+AA$3*AA480+AB$3*AB480+AC$3*AC480)</f>
        <v>3.125E-2</v>
      </c>
      <c r="AU480" s="101">
        <f>VLOOKUP($D480,Construction!$B:$Q,(COLUMN(Construction_QuestReward_Stone)-COLUMN(Construction_Name_and_Level)+1),FALSE)</f>
        <v>7100</v>
      </c>
      <c r="AV480" s="101">
        <f>VLOOKUP($D480,Construction!$B:$Q,(COLUMN(Construction_QuestReward_Wood)-COLUMN(Construction_Name_and_Level)+1),FALSE)</f>
        <v>9500</v>
      </c>
      <c r="AW480" s="101">
        <f>VLOOKUP($D480,Construction!$B:$Q,(COLUMN(Construction_QuestReward_Ore)-COLUMN(Construction_Name_and_Level)+1),FALSE)</f>
        <v>19000</v>
      </c>
      <c r="AX480" s="101">
        <f>VLOOKUP($D480,Construction!$B:$Q,(COLUMN(Construction_QuestReward_Food)-COLUMN(Construction_Name_and_Level)+1),FALSE)</f>
        <v>7100</v>
      </c>
      <c r="AY480" s="100">
        <f>VLOOKUP($D480,Construction!$B:$Q,(COLUMN(Construction_QuestReward_Silver)-COLUMN(Construction_Name_and_Level)+1),FALSE)</f>
        <v>500</v>
      </c>
    </row>
    <row r="481" spans="2:108" ht="15" customHeight="1">
      <c r="B481" s="506" t="s">
        <v>143</v>
      </c>
      <c r="C481" s="127" t="s">
        <v>142</v>
      </c>
      <c r="D481" s="144" t="s">
        <v>1660</v>
      </c>
      <c r="E481" s="506">
        <v>17</v>
      </c>
      <c r="F481" s="12">
        <v>0.3</v>
      </c>
      <c r="G481" s="101">
        <f>VLOOKUP($D481,Construction!$B:$L,(COLUMN(Construction_QuestReward_HeroXP)-COLUMN(Construction_Name_and_Level)+1),FALSE)</f>
        <v>20000</v>
      </c>
      <c r="H481" s="101">
        <f>G481*(1+F481)</f>
        <v>26000</v>
      </c>
      <c r="J481" s="100">
        <f>VLOOKUP($D481,Construction!$B:$L,(COLUMN(Construction_QuestReward_Power)-COLUMN(Construction_Name_and_Level)+1),FALSE)</f>
        <v>275</v>
      </c>
      <c r="AF481" s="141"/>
      <c r="AG481" s="141"/>
      <c r="AH481" s="137"/>
      <c r="AI481" s="484"/>
      <c r="AJ481" s="137">
        <f t="shared" si="121"/>
        <v>3.125E-2</v>
      </c>
      <c r="AU481" s="101">
        <f>VLOOKUP($D481,Construction!$B:$Q,(COLUMN(Construction_QuestReward_Stone)-COLUMN(Construction_Name_and_Level)+1),FALSE)</f>
        <v>29900</v>
      </c>
      <c r="AV481" s="101">
        <f>VLOOKUP($D481,Construction!$B:$Q,(COLUMN(Construction_QuestReward_Wood)-COLUMN(Construction_Name_and_Level)+1),FALSE)</f>
        <v>23900</v>
      </c>
      <c r="AW481" s="101">
        <f>VLOOKUP($D481,Construction!$B:$Q,(COLUMN(Construction_QuestReward_Ore)-COLUMN(Construction_Name_and_Level)+1),FALSE)</f>
        <v>9000</v>
      </c>
      <c r="AX481" s="101">
        <f>VLOOKUP($D481,Construction!$B:$Q,(COLUMN(Construction_QuestReward_Food)-COLUMN(Construction_Name_and_Level)+1),FALSE)</f>
        <v>14900</v>
      </c>
      <c r="AY481" s="100">
        <f>VLOOKUP($D481,Construction!$B:$Q,(COLUMN(Construction_QuestReward_Silver)-COLUMN(Construction_Name_and_Level)+1),FALSE)</f>
        <v>550</v>
      </c>
    </row>
    <row r="482" spans="2:108" ht="15" customHeight="1">
      <c r="B482" s="506" t="s">
        <v>143</v>
      </c>
      <c r="C482" s="127" t="s">
        <v>142</v>
      </c>
      <c r="D482" s="144" t="s">
        <v>1661</v>
      </c>
      <c r="E482" s="506">
        <v>17</v>
      </c>
      <c r="F482" s="12">
        <v>0.3</v>
      </c>
      <c r="G482" s="101">
        <f>VLOOKUP($D482,Construction!$B:$L,(COLUMN(Construction_QuestReward_HeroXP)-COLUMN(Construction_Name_and_Level)+1),FALSE)</f>
        <v>20000</v>
      </c>
      <c r="H482" s="101">
        <f>G482*(1+F482)</f>
        <v>26000</v>
      </c>
      <c r="J482" s="100">
        <f>VLOOKUP($D482,Construction!$B:$L,(COLUMN(Construction_QuestReward_Power)-COLUMN(Construction_Name_and_Level)+1),FALSE)</f>
        <v>300</v>
      </c>
      <c r="AF482" s="141"/>
      <c r="AG482" s="141"/>
      <c r="AH482" s="137"/>
      <c r="AI482" s="484"/>
      <c r="AJ482" s="137">
        <f t="shared" si="121"/>
        <v>3.125E-2</v>
      </c>
      <c r="AU482" s="101">
        <f>VLOOKUP($D482,Construction!$B:$Q,(COLUMN(Construction_QuestReward_Stone)-COLUMN(Construction_Name_and_Level)+1),FALSE)</f>
        <v>14900</v>
      </c>
      <c r="AV482" s="101">
        <f>VLOOKUP($D482,Construction!$B:$Q,(COLUMN(Construction_QuestReward_Wood)-COLUMN(Construction_Name_and_Level)+1),FALSE)</f>
        <v>14900</v>
      </c>
      <c r="AW482" s="101">
        <f>VLOOKUP($D482,Construction!$B:$Q,(COLUMN(Construction_QuestReward_Ore)-COLUMN(Construction_Name_and_Level)+1),FALSE)</f>
        <v>6000</v>
      </c>
      <c r="AX482" s="101">
        <f>VLOOKUP($D482,Construction!$B:$Q,(COLUMN(Construction_QuestReward_Food)-COLUMN(Construction_Name_and_Level)+1),FALSE)</f>
        <v>9000</v>
      </c>
      <c r="AY482" s="100">
        <f>VLOOKUP($D482,Construction!$B:$Q,(COLUMN(Construction_QuestReward_Silver)-COLUMN(Construction_Name_and_Level)+1),FALSE)</f>
        <v>500</v>
      </c>
    </row>
    <row r="483" spans="2:108" ht="15" customHeight="1">
      <c r="B483" s="506" t="s">
        <v>143</v>
      </c>
      <c r="C483" s="127" t="s">
        <v>466</v>
      </c>
      <c r="D483" s="144">
        <v>8.0439814814814818E-3</v>
      </c>
      <c r="E483" s="506">
        <v>17</v>
      </c>
      <c r="F483" s="12">
        <v>0.3</v>
      </c>
      <c r="G483" s="101">
        <v>2800</v>
      </c>
      <c r="H483" s="101">
        <f>G483*(1+F483)</f>
        <v>3640</v>
      </c>
      <c r="AF483" s="141"/>
      <c r="AG483" s="141"/>
      <c r="AH483" s="137"/>
      <c r="AI483" s="484"/>
      <c r="AJ483" s="137">
        <f t="shared" si="121"/>
        <v>3.125E-2</v>
      </c>
      <c r="AU483" s="101">
        <v>0</v>
      </c>
      <c r="AV483" s="101">
        <v>0</v>
      </c>
      <c r="AW483" s="101">
        <v>0</v>
      </c>
      <c r="AX483" s="101">
        <v>7000</v>
      </c>
      <c r="AY483" s="100">
        <v>0</v>
      </c>
    </row>
    <row r="484" spans="2:108" ht="15" customHeight="1">
      <c r="B484" s="506" t="s">
        <v>148</v>
      </c>
      <c r="E484" s="506">
        <v>17</v>
      </c>
      <c r="X484" s="250">
        <v>1</v>
      </c>
      <c r="AF484" s="141">
        <f>$S$3*$S484+$T$3*$T484+$U$3*$U484+$V$3*$V484+$W$3*$W484+$X$3*$X484+$Y$3*$Y484+$Z$3*$Z484+$AA$3*$AA484+$AB$3*$AB484+$AC$3*$AC484</f>
        <v>4.1666666666666664E-2</v>
      </c>
      <c r="AG484" s="141"/>
      <c r="AH484" s="137"/>
      <c r="AI484" s="484"/>
      <c r="AJ484" s="137">
        <f t="shared" si="121"/>
        <v>7.2916666666666657E-2</v>
      </c>
    </row>
    <row r="485" spans="2:108" ht="15" customHeight="1">
      <c r="B485" s="506" t="s">
        <v>148</v>
      </c>
      <c r="E485" s="506">
        <v>17</v>
      </c>
      <c r="AF485" s="141"/>
      <c r="AG485" s="141"/>
      <c r="AH485" s="137"/>
      <c r="AI485" s="484"/>
      <c r="AJ485" s="137">
        <f t="shared" si="121"/>
        <v>7.2916666666666657E-2</v>
      </c>
      <c r="AU485" s="142">
        <v>10000</v>
      </c>
    </row>
    <row r="486" spans="2:108" ht="15" customHeight="1">
      <c r="B486" s="506" t="s">
        <v>148</v>
      </c>
      <c r="E486" s="506">
        <v>17</v>
      </c>
      <c r="AF486" s="141"/>
      <c r="AG486" s="141"/>
      <c r="AH486" s="137"/>
      <c r="AI486" s="484"/>
      <c r="AJ486" s="137">
        <f t="shared" si="121"/>
        <v>7.2916666666666657E-2</v>
      </c>
      <c r="AY486" s="283">
        <v>2000</v>
      </c>
    </row>
    <row r="487" spans="2:108" ht="15" customHeight="1">
      <c r="B487" s="506" t="s">
        <v>144</v>
      </c>
      <c r="C487" s="127" t="s">
        <v>138</v>
      </c>
      <c r="D487" s="144" t="s">
        <v>1621</v>
      </c>
      <c r="E487" s="506">
        <v>17</v>
      </c>
      <c r="F487" s="12">
        <v>0.3</v>
      </c>
      <c r="G487" s="94">
        <f>VLOOKUP($D487,Construction!$B:$E,(COLUMN(Construction_BuildingReward_HeroXP)-COLUMN(Construction_Name_and_Level)+1),FALSE)</f>
        <v>500</v>
      </c>
      <c r="H487" s="94">
        <f>G487*(1+F487)</f>
        <v>650</v>
      </c>
      <c r="J487" s="95">
        <f>VLOOKUP($D487,Construction!$B:$F,(COLUMN(Construction_BuildingReward_Power)-COLUMN(Construction_Name_and_Level)+1),FALSE)</f>
        <v>55</v>
      </c>
      <c r="Q487" s="139">
        <v>3.472222222222222E-3</v>
      </c>
      <c r="R487" s="139">
        <v>7.6388888888888886E-3</v>
      </c>
      <c r="AF487" s="141"/>
      <c r="AG487" s="141"/>
      <c r="AH487" s="137"/>
      <c r="AI487" s="484"/>
      <c r="AJ487" s="137">
        <f t="shared" si="121"/>
        <v>7.2916666666666657E-2</v>
      </c>
      <c r="AK487" s="339">
        <v>0.41</v>
      </c>
      <c r="AL487" s="138">
        <f>VLOOKUP($D487,Construction!$B:$C,(COLUMN(Construction_Time)-COLUMN(Construction_Name_and_Level)+1),FALSE)</f>
        <v>2.2222222222222223E-2</v>
      </c>
      <c r="AM487" s="138">
        <f t="shared" ref="AM487" si="122">AL487/(1+AK487)</f>
        <v>1.5760441292356188E-2</v>
      </c>
      <c r="AN487" s="138">
        <f>(S$3*S487+T$3*T487+V$3*V487+W$3*W487+X$3*X487+Y$3*Y487+Z$3*Z487+AA$3*AA487+AB$3*AB487+AC$3*AC487)*(-1)</f>
        <v>0</v>
      </c>
      <c r="AO487" s="139">
        <f>IF((AM487-Q487-R487-AN487)&gt;=0,AM487-Q487-R487-AN487,0)</f>
        <v>4.6493301812450772E-3</v>
      </c>
      <c r="AU487" s="94">
        <f>VLOOKUP($D487,Construction!$B:$J,(COLUMN(Construction_BuildingCost_Stone)-COLUMN(Construction_Name_and_Level)+1),FALSE)*(-1)</f>
        <v>-1674</v>
      </c>
      <c r="AV487" s="94">
        <f>VLOOKUP($D487,Construction!$B:$J,(COLUMN(Construction_BuildingCost_Wood)-COLUMN(Construction_Name_and_Level)+1),FALSE)*(-1)</f>
        <v>0</v>
      </c>
      <c r="AW487" s="94">
        <f>VLOOKUP($D487,Construction!$B:$J,(COLUMN(Construction_BuildingCost_Ore)-COLUMN(Construction_Name_and_Level)+1),FALSE)*(-1)</f>
        <v>-1674</v>
      </c>
      <c r="AX487" s="94">
        <f>VLOOKUP($D487,Construction!$B:$J,(COLUMN(Construction_BuildingCost_Food)-COLUMN(Construction_Name_and_Level)+1),FALSE)*(-1)</f>
        <v>-1674</v>
      </c>
    </row>
    <row r="488" spans="2:108" ht="15" customHeight="1">
      <c r="B488" s="113" t="s">
        <v>1483</v>
      </c>
      <c r="C488" s="127" t="s">
        <v>155</v>
      </c>
      <c r="D488" s="127">
        <v>300</v>
      </c>
      <c r="E488" s="506">
        <v>17</v>
      </c>
      <c r="G488" s="7"/>
      <c r="H488" s="7"/>
      <c r="J488" s="114">
        <f>VLOOKUP($C488,Troop!$B:$AK,(COLUMN(Troop_TrainingReward_Power)-COLUMN(Troop_Name)+1),FALSE)*$D488</f>
        <v>600</v>
      </c>
      <c r="AF488" s="141"/>
      <c r="AG488" s="141"/>
      <c r="AH488" s="137"/>
      <c r="AI488" s="484"/>
      <c r="AJ488" s="137">
        <f t="shared" si="121"/>
        <v>7.2916666666666657E-2</v>
      </c>
      <c r="AU488" s="296">
        <f>VLOOKUP($C488,Troop!$B:$P,(COLUMN(Troop_TrainingCost_Stone)-COLUMN(Troop_Name)+1),FALSE)*$D488*(-1)</f>
        <v>-15000</v>
      </c>
      <c r="AV488" s="296">
        <f>VLOOKUP($C488,Troop!$B:$P,(COLUMN(Troop_TrainingCost_Wood)-COLUMN(Troop_Name)+1),FALSE)*$D488*(-1)</f>
        <v>-15000</v>
      </c>
      <c r="AW488" s="296">
        <f>VLOOKUP($C488,Troop!$B:$P,(COLUMN(Troop_TrainingCost_Ore)-COLUMN(Troop_Name)+1),FALSE)*$D488*(-1)</f>
        <v>0</v>
      </c>
      <c r="AX488" s="296">
        <f>VLOOKUP($C488,Troop!$B:$P,(COLUMN(Troop_TrainingCost_Food)-COLUMN(Troop_Name)+1),FALSE)*$D488*(-1)</f>
        <v>-15000</v>
      </c>
      <c r="AY488" s="114">
        <f>VLOOKUP($C488,Troop!$B:$P,(COLUMN(Troop_TrainingCost_Silver)-COLUMN(Troop_Name)+1),FALSE)*$D488*(-1)</f>
        <v>0</v>
      </c>
      <c r="CT488" s="128"/>
      <c r="CU488" s="128"/>
      <c r="CV488" s="128"/>
      <c r="CW488" s="128"/>
      <c r="CX488" s="128"/>
      <c r="CY488" s="128"/>
      <c r="CZ488" s="128"/>
      <c r="DA488" s="128"/>
      <c r="DB488" s="128"/>
      <c r="DC488" s="128"/>
      <c r="DD488" s="128"/>
    </row>
    <row r="489" spans="2:108" ht="15" customHeight="1">
      <c r="B489" s="506" t="s">
        <v>143</v>
      </c>
      <c r="C489" s="127" t="s">
        <v>466</v>
      </c>
      <c r="D489" s="144" t="s">
        <v>1665</v>
      </c>
      <c r="E489" s="506">
        <v>17</v>
      </c>
      <c r="F489" s="12">
        <v>0.3</v>
      </c>
      <c r="G489" s="101">
        <v>2800</v>
      </c>
      <c r="H489" s="101">
        <f>G489*(1+F489)</f>
        <v>3640</v>
      </c>
      <c r="AF489" s="141"/>
      <c r="AG489" s="141"/>
      <c r="AH489" s="137"/>
      <c r="AI489" s="484"/>
      <c r="AJ489" s="137">
        <f t="shared" si="121"/>
        <v>7.2916666666666657E-2</v>
      </c>
      <c r="AU489" s="101">
        <v>0</v>
      </c>
      <c r="AV489" s="101">
        <v>0</v>
      </c>
      <c r="AW489" s="101">
        <v>7000</v>
      </c>
      <c r="AX489" s="101">
        <v>0</v>
      </c>
      <c r="AY489" s="100">
        <v>0</v>
      </c>
    </row>
    <row r="490" spans="2:108" ht="15" customHeight="1">
      <c r="B490" s="506" t="s">
        <v>145</v>
      </c>
      <c r="C490" s="146" t="s">
        <v>151</v>
      </c>
      <c r="D490" s="145">
        <v>1.6805555555555556E-2</v>
      </c>
      <c r="E490" s="506">
        <v>17</v>
      </c>
      <c r="S490" s="2">
        <v>1</v>
      </c>
      <c r="AF490" s="141">
        <f>$S$3*$S490+$T$3*$T490+$U$3*$U490+$V$3*$V490+$W$3*$W490+$X$3*$X490+$Y$3*$Y490+$Z$3*$Z490+$AA$3*$AA490+$AB$3*$AB490+$AC$3*$AC490</f>
        <v>6.9444444444444447E-4</v>
      </c>
      <c r="AG490" s="141"/>
      <c r="AH490" s="137"/>
      <c r="AI490" s="484"/>
      <c r="AJ490" s="137">
        <f t="shared" si="121"/>
        <v>7.3611111111111099E-2</v>
      </c>
      <c r="AV490" s="2">
        <v>1000</v>
      </c>
    </row>
    <row r="491" spans="2:108" ht="15" customHeight="1">
      <c r="B491" s="506" t="s">
        <v>144</v>
      </c>
      <c r="C491" s="127" t="s">
        <v>138</v>
      </c>
      <c r="D491" s="144" t="s">
        <v>1621</v>
      </c>
      <c r="E491" s="506">
        <v>17</v>
      </c>
      <c r="F491" s="12">
        <v>0.3</v>
      </c>
      <c r="G491" s="94">
        <f>VLOOKUP($D491,Construction!$B:$E,(COLUMN(Construction_BuildingReward_HeroXP)-COLUMN(Construction_Name_and_Level)+1),FALSE)</f>
        <v>500</v>
      </c>
      <c r="H491" s="94">
        <f>G491*(1+F491)</f>
        <v>650</v>
      </c>
      <c r="J491" s="95">
        <f>VLOOKUP($D491,Construction!$B:$F,(COLUMN(Construction_BuildingReward_Power)-COLUMN(Construction_Name_and_Level)+1),FALSE)</f>
        <v>55</v>
      </c>
      <c r="Q491" s="139">
        <v>3.472222222222222E-3</v>
      </c>
      <c r="R491" s="139">
        <v>7.6388888888888886E-3</v>
      </c>
      <c r="S491" s="2">
        <v>-1</v>
      </c>
      <c r="AF491" s="141"/>
      <c r="AG491" s="141"/>
      <c r="AH491" s="137"/>
      <c r="AI491" s="484">
        <f>(-1)*($S$3*$S491+$T$3*$T491+$U$3*$U491+$V$3*$V491+$W$3*$W491+$X$3*$X491+$Y$3*$Y491+$Z$3*$Z491+$AA$3*$AA491+$AB$3*$AB491+$AC$3*$AC491)</f>
        <v>6.9444444444444447E-4</v>
      </c>
      <c r="AJ491" s="137">
        <f t="shared" si="121"/>
        <v>7.2916666666666657E-2</v>
      </c>
      <c r="AK491" s="339">
        <v>0.41</v>
      </c>
      <c r="AL491" s="138">
        <f>VLOOKUP($D491,Construction!$B:$C,(COLUMN(Construction_Time)-COLUMN(Construction_Name_and_Level)+1),FALSE)</f>
        <v>2.2222222222222223E-2</v>
      </c>
      <c r="AM491" s="138">
        <f t="shared" ref="AM491" si="123">AL491/(1+AK491)</f>
        <v>1.5760441292356188E-2</v>
      </c>
      <c r="AN491" s="138">
        <f>(S$3*S491+T$3*T491+V$3*V491+W$3*W491+X$3*X491+Y$3*Y491+Z$3*Z491+AA$3*AA491+AB$3*AB491+AC$3*AC491)*(-1)</f>
        <v>6.9444444444444447E-4</v>
      </c>
      <c r="AO491" s="139">
        <f>IF((AM491-Q491-R491-AN491)&gt;=0,AM491-Q491-R491-AN491,0)</f>
        <v>3.9548857368006327E-3</v>
      </c>
      <c r="AU491" s="94">
        <f>VLOOKUP($D491,Construction!$B:$J,(COLUMN(Construction_BuildingCost_Stone)-COLUMN(Construction_Name_and_Level)+1),FALSE)*(-1)</f>
        <v>-1674</v>
      </c>
      <c r="AV491" s="94">
        <f>VLOOKUP($D491,Construction!$B:$J,(COLUMN(Construction_BuildingCost_Wood)-COLUMN(Construction_Name_and_Level)+1),FALSE)*(-1)</f>
        <v>0</v>
      </c>
      <c r="AW491" s="94">
        <f>VLOOKUP($D491,Construction!$B:$J,(COLUMN(Construction_BuildingCost_Ore)-COLUMN(Construction_Name_and_Level)+1),FALSE)*(-1)</f>
        <v>-1674</v>
      </c>
      <c r="AX491" s="94">
        <f>VLOOKUP($D491,Construction!$B:$J,(COLUMN(Construction_BuildingCost_Food)-COLUMN(Construction_Name_and_Level)+1),FALSE)*(-1)</f>
        <v>-1674</v>
      </c>
    </row>
    <row r="492" spans="2:108" ht="15" customHeight="1">
      <c r="B492" s="506" t="s">
        <v>195</v>
      </c>
      <c r="C492" s="127" t="s">
        <v>468</v>
      </c>
      <c r="D492" s="144">
        <v>1.5555555555555553E-2</v>
      </c>
      <c r="E492" s="506">
        <v>17</v>
      </c>
      <c r="F492" s="12">
        <v>0.3</v>
      </c>
      <c r="G492" s="211">
        <v>10500</v>
      </c>
      <c r="H492" s="211">
        <f t="shared" ref="H492" si="124">G492*(1+F492)</f>
        <v>13650</v>
      </c>
      <c r="AF492" s="141"/>
      <c r="AG492" s="141"/>
      <c r="AH492" s="137"/>
      <c r="AI492" s="484"/>
      <c r="AJ492" s="137">
        <f t="shared" si="121"/>
        <v>7.2916666666666657E-2</v>
      </c>
      <c r="AU492" s="211">
        <v>5250</v>
      </c>
      <c r="AV492" s="211">
        <v>5250</v>
      </c>
      <c r="AW492" s="211">
        <v>5250</v>
      </c>
      <c r="AX492" s="211">
        <v>5250</v>
      </c>
      <c r="AY492" s="160"/>
      <c r="CL492" s="211">
        <v>7500</v>
      </c>
      <c r="CM492" s="160">
        <f>CL492</f>
        <v>7500</v>
      </c>
    </row>
    <row r="493" spans="2:108" ht="15" customHeight="1">
      <c r="B493" s="506" t="s">
        <v>195</v>
      </c>
      <c r="C493" s="127" t="s">
        <v>468</v>
      </c>
      <c r="D493" s="144">
        <v>6.4814814814814813E-3</v>
      </c>
      <c r="E493" s="506">
        <v>17</v>
      </c>
      <c r="F493" s="12">
        <v>0.3</v>
      </c>
      <c r="G493" s="211">
        <v>2800</v>
      </c>
      <c r="H493" s="211">
        <f t="shared" ref="H493" si="125">G493*(1+F493)</f>
        <v>3640</v>
      </c>
      <c r="AF493" s="141"/>
      <c r="AG493" s="141"/>
      <c r="AH493" s="137"/>
      <c r="AI493" s="484"/>
      <c r="AJ493" s="137">
        <f t="shared" si="121"/>
        <v>7.2916666666666657E-2</v>
      </c>
      <c r="AU493" s="211"/>
      <c r="AV493" s="211"/>
      <c r="AW493" s="211"/>
      <c r="AX493" s="211">
        <v>14000</v>
      </c>
      <c r="AY493" s="160">
        <v>1400</v>
      </c>
      <c r="CL493" s="211">
        <v>2000</v>
      </c>
      <c r="CM493" s="160">
        <f>CL493</f>
        <v>2000</v>
      </c>
    </row>
    <row r="494" spans="2:108" ht="15" customHeight="1">
      <c r="B494" s="506" t="s">
        <v>144</v>
      </c>
      <c r="C494" s="127" t="s">
        <v>138</v>
      </c>
      <c r="D494" s="144" t="s">
        <v>1621</v>
      </c>
      <c r="E494" s="506">
        <v>17</v>
      </c>
      <c r="F494" s="12">
        <v>0.3</v>
      </c>
      <c r="G494" s="94">
        <f>VLOOKUP($D494,Construction!$B:$E,(COLUMN(Construction_BuildingReward_HeroXP)-COLUMN(Construction_Name_and_Level)+1),FALSE)</f>
        <v>500</v>
      </c>
      <c r="H494" s="94">
        <f>G494*(1+F494)</f>
        <v>650</v>
      </c>
      <c r="J494" s="95">
        <f>VLOOKUP($D494,Construction!$B:$F,(COLUMN(Construction_BuildingReward_Power)-COLUMN(Construction_Name_and_Level)+1),FALSE)</f>
        <v>55</v>
      </c>
      <c r="M494" s="135" t="s">
        <v>1666</v>
      </c>
      <c r="Q494" s="139">
        <v>3.472222222222222E-3</v>
      </c>
      <c r="R494" s="139">
        <v>7.6388888888888886E-3</v>
      </c>
      <c r="AF494" s="141"/>
      <c r="AG494" s="141"/>
      <c r="AH494" s="137"/>
      <c r="AI494" s="484"/>
      <c r="AJ494" s="137">
        <f t="shared" si="121"/>
        <v>7.2916666666666657E-2</v>
      </c>
      <c r="AK494" s="339">
        <v>0.41</v>
      </c>
      <c r="AL494" s="138">
        <f>VLOOKUP($D494,Construction!$B:$C,(COLUMN(Construction_Time)-COLUMN(Construction_Name_and_Level)+1),FALSE)</f>
        <v>2.2222222222222223E-2</v>
      </c>
      <c r="AM494" s="138">
        <f t="shared" ref="AM494" si="126">AL494/(1+AK494)</f>
        <v>1.5760441292356188E-2</v>
      </c>
      <c r="AN494" s="138">
        <f>(S$3*S494+T$3*T494+V$3*V494+W$3*W494+X$3*X494+Y$3*Y494+Z$3*Z494+AA$3*AA494+AB$3*AB494+AC$3*AC494)*(-1)</f>
        <v>0</v>
      </c>
      <c r="AO494" s="139">
        <f>IF((AM494-Q494-R494-AN494)&gt;=0,AM494-Q494-R494-AN494,0)</f>
        <v>4.6493301812450772E-3</v>
      </c>
      <c r="AU494" s="94">
        <f>VLOOKUP($D494,Construction!$B:$J,(COLUMN(Construction_BuildingCost_Stone)-COLUMN(Construction_Name_and_Level)+1),FALSE)*(-1)</f>
        <v>-1674</v>
      </c>
      <c r="AV494" s="94">
        <f>VLOOKUP($D494,Construction!$B:$J,(COLUMN(Construction_BuildingCost_Wood)-COLUMN(Construction_Name_and_Level)+1),FALSE)*(-1)</f>
        <v>0</v>
      </c>
      <c r="AW494" s="94">
        <f>VLOOKUP($D494,Construction!$B:$J,(COLUMN(Construction_BuildingCost_Ore)-COLUMN(Construction_Name_and_Level)+1),FALSE)*(-1)</f>
        <v>-1674</v>
      </c>
      <c r="AX494" s="94">
        <f>VLOOKUP($D494,Construction!$B:$J,(COLUMN(Construction_BuildingCost_Food)-COLUMN(Construction_Name_and_Level)+1),FALSE)*(-1)</f>
        <v>-1674</v>
      </c>
    </row>
    <row r="495" spans="2:108" ht="15" customHeight="1">
      <c r="B495" s="506" t="s">
        <v>143</v>
      </c>
      <c r="C495" s="127" t="s">
        <v>150</v>
      </c>
      <c r="D495" s="144" t="s">
        <v>1667</v>
      </c>
      <c r="E495" s="506">
        <v>17</v>
      </c>
      <c r="F495" s="12">
        <v>0.3</v>
      </c>
      <c r="G495" s="101">
        <v>10000</v>
      </c>
      <c r="H495" s="101">
        <f>G495*(1+F495)</f>
        <v>13000</v>
      </c>
      <c r="J495" s="100">
        <v>125</v>
      </c>
      <c r="AF495" s="141"/>
      <c r="AG495" s="141"/>
      <c r="AH495" s="137"/>
      <c r="AI495" s="484"/>
      <c r="AJ495" s="137">
        <f t="shared" si="121"/>
        <v>7.2916666666666657E-2</v>
      </c>
    </row>
    <row r="496" spans="2:108" ht="15" customHeight="1">
      <c r="B496" s="102" t="s">
        <v>1455</v>
      </c>
      <c r="C496" s="127" t="s">
        <v>170</v>
      </c>
      <c r="D496" s="144" t="s">
        <v>1662</v>
      </c>
      <c r="E496" s="506">
        <v>17</v>
      </c>
      <c r="F496" s="12">
        <v>0.3</v>
      </c>
      <c r="G496" s="101">
        <f>VLOOKUP($D496,Research!$C:$M,(COLUMN(Research_QuestReward_HeroXP)-COLUMN(Research_Name_and_Level)+1),FALSE)</f>
        <v>3000</v>
      </c>
      <c r="H496" s="101">
        <f>G496*(1+F496)</f>
        <v>3900</v>
      </c>
      <c r="J496" s="103">
        <f>VLOOKUP($D496,Research!$C:$N,(COLUMN(Research_QuestReward_Power)-COLUMN(Research_Name_and_Level)+1),FALSE)</f>
        <v>275</v>
      </c>
      <c r="AF496" s="141"/>
      <c r="AG496" s="141"/>
      <c r="AH496" s="137"/>
      <c r="AI496" s="484"/>
      <c r="AJ496" s="137">
        <f t="shared" si="121"/>
        <v>7.2916666666666657E-2</v>
      </c>
      <c r="AU496" s="101">
        <f>VLOOKUP($D496,Research!$C:$S,(COLUMN(Research_QuestReward_Stone)-COLUMN(Research_Name_and_Level)+1),FALSE)</f>
        <v>0</v>
      </c>
      <c r="AV496" s="101">
        <f>VLOOKUP($D496,Research!$C:$S,(COLUMN(Research_QuestReward_Wood)-COLUMN(Research_Name_and_Level)+1),FALSE)</f>
        <v>0</v>
      </c>
      <c r="AW496" s="101">
        <f>VLOOKUP($D496,Research!$C:$S,(COLUMN(Research_QuestReward_Ore)-COLUMN(Research_Name_and_Level)+1),FALSE)</f>
        <v>0</v>
      </c>
      <c r="AX496" s="101">
        <f>VLOOKUP($D496,Research!$C:$S,(COLUMN(Research_QuestReward_Food)-COLUMN(Research_Name_and_Level)+1),FALSE)</f>
        <v>0</v>
      </c>
      <c r="AY496" s="100">
        <f>VLOOKUP($D496,Research!$C:$S,(COLUMN(Research_QuestReward_Silver)-COLUMN(Research_Name_and_Level)+1),FALSE)</f>
        <v>6000</v>
      </c>
      <c r="CT496" s="127"/>
      <c r="CU496" s="127"/>
      <c r="CV496" s="127"/>
      <c r="CW496" s="127"/>
      <c r="CX496" s="127"/>
      <c r="CY496" s="127"/>
      <c r="CZ496" s="127"/>
      <c r="DA496" s="127"/>
      <c r="DB496" s="127"/>
      <c r="DC496" s="127"/>
      <c r="DD496" s="127"/>
    </row>
    <row r="497" spans="2:108" s="7" customFormat="1" ht="15" customHeight="1">
      <c r="B497" s="17" t="s">
        <v>195</v>
      </c>
      <c r="C497" s="146" t="s">
        <v>196</v>
      </c>
      <c r="D497" s="145"/>
      <c r="E497" s="506">
        <v>17</v>
      </c>
      <c r="F497" s="274"/>
      <c r="I497" s="19"/>
      <c r="J497" s="19"/>
      <c r="M497" s="221"/>
      <c r="N497" s="18"/>
      <c r="O497" s="18"/>
      <c r="P497" s="19"/>
      <c r="Q497" s="221"/>
      <c r="R497" s="221"/>
      <c r="T497" s="7">
        <v>1</v>
      </c>
      <c r="W497" s="18"/>
      <c r="X497" s="18"/>
      <c r="Y497" s="18"/>
      <c r="Z497" s="18"/>
      <c r="AA497" s="18"/>
      <c r="AB497" s="18"/>
      <c r="AC497" s="18"/>
      <c r="AD497" s="18"/>
      <c r="AE497" s="19"/>
      <c r="AF497" s="141">
        <f>$S$3*$S497+$T$3*$T497+$U$3*$U497+$V$3*$V497+$W$3*$W497+$X$3*$X497+$Y$3*$Y497+$Z$3*$Z497+$AA$3*$AA497+$AB$3*$AB497+$AC$3*$AC497</f>
        <v>2.0833333333333333E-3</v>
      </c>
      <c r="AG497" s="141"/>
      <c r="AH497" s="137"/>
      <c r="AI497" s="484"/>
      <c r="AJ497" s="137">
        <f t="shared" si="121"/>
        <v>7.4999999999999997E-2</v>
      </c>
      <c r="AK497" s="344"/>
      <c r="AL497" s="265"/>
      <c r="AM497" s="265"/>
      <c r="AN497" s="265"/>
      <c r="AO497" s="221"/>
      <c r="AP497" s="264"/>
      <c r="AQ497" s="265"/>
      <c r="AR497" s="265"/>
      <c r="AS497" s="265"/>
      <c r="AT497" s="221"/>
      <c r="AV497" s="2"/>
      <c r="AY497" s="19"/>
      <c r="BD497" s="19"/>
      <c r="BE497" s="19"/>
      <c r="BJ497" s="19"/>
      <c r="BL497" s="19"/>
      <c r="BM497" s="19"/>
      <c r="BO497" s="19"/>
      <c r="BQ497" s="19"/>
      <c r="BS497" s="19"/>
      <c r="BU497" s="19"/>
      <c r="BW497" s="19"/>
      <c r="BY497" s="19"/>
      <c r="CA497" s="19"/>
      <c r="CB497" s="19"/>
      <c r="CC497" s="19"/>
      <c r="CD497" s="19"/>
      <c r="CG497" s="19"/>
      <c r="CJ497" s="19"/>
      <c r="CK497" s="19"/>
      <c r="CM497" s="19"/>
      <c r="CN497" s="19"/>
      <c r="CS497" s="17"/>
    </row>
    <row r="498" spans="2:108" ht="15" customHeight="1">
      <c r="B498" s="506" t="s">
        <v>144</v>
      </c>
      <c r="C498" s="127" t="s">
        <v>138</v>
      </c>
      <c r="D498" s="144" t="s">
        <v>1626</v>
      </c>
      <c r="E498" s="506">
        <v>17</v>
      </c>
      <c r="F498" s="12">
        <v>0.3</v>
      </c>
      <c r="G498" s="94">
        <f>VLOOKUP($D498,Construction!$B:$E,(COLUMN(Construction_BuildingReward_HeroXP)-COLUMN(Construction_Name_and_Level)+1),FALSE)</f>
        <v>500</v>
      </c>
      <c r="H498" s="94">
        <f>G498*(1+F498)</f>
        <v>650</v>
      </c>
      <c r="J498" s="95">
        <f>VLOOKUP($D498,Construction!$B:$F,(COLUMN(Construction_BuildingReward_Power)-COLUMN(Construction_Name_and_Level)+1),FALSE)</f>
        <v>55</v>
      </c>
      <c r="Q498" s="139">
        <v>3.472222222222222E-3</v>
      </c>
      <c r="R498" s="139">
        <v>7.6388888888888886E-3</v>
      </c>
      <c r="T498" s="2">
        <v>-1</v>
      </c>
      <c r="AF498" s="141"/>
      <c r="AG498" s="141"/>
      <c r="AH498" s="137"/>
      <c r="AI498" s="484">
        <f>(-1)*($S$3*$S498+$T$3*$T498+$U$3*$U498+$V$3*$V498+$W$3*$W498+$X$3*$X498+$Y$3*$Y498+$Z$3*$Z498+$AA$3*$AA498+$AB$3*$AB498+$AC$3*$AC498)</f>
        <v>2.0833333333333333E-3</v>
      </c>
      <c r="AJ498" s="137">
        <f t="shared" si="121"/>
        <v>7.2916666666666657E-2</v>
      </c>
      <c r="AK498" s="339">
        <v>0.41</v>
      </c>
      <c r="AL498" s="138">
        <f>VLOOKUP($D498,Construction!$B:$C,(COLUMN(Construction_Time)-COLUMN(Construction_Name_and_Level)+1),FALSE)</f>
        <v>2.6041666666666668E-2</v>
      </c>
      <c r="AM498" s="138">
        <f t="shared" ref="AM498" si="127">AL498/(1+AK498)</f>
        <v>1.8469267139479908E-2</v>
      </c>
      <c r="AN498" s="138">
        <f>(S$3*S498+T$3*T498+V$3*V498+W$3*W498+X$3*X498+Y$3*Y498+Z$3*Z498+AA$3*AA498+AB$3*AB498+AC$3*AC498)*(-1)</f>
        <v>2.0833333333333333E-3</v>
      </c>
      <c r="AO498" s="139">
        <f>IF((AM498-Q498-R498-AN498)&gt;=0,AM498-Q498-R498-AN498,0)</f>
        <v>5.2748226950354634E-3</v>
      </c>
      <c r="AU498" s="94">
        <f>VLOOKUP($D498,Construction!$B:$J,(COLUMN(Construction_BuildingCost_Stone)-COLUMN(Construction_Name_and_Level)+1),FALSE)*(-1)</f>
        <v>0</v>
      </c>
      <c r="AV498" s="94">
        <f>VLOOKUP($D498,Construction!$B:$J,(COLUMN(Construction_BuildingCost_Wood)-COLUMN(Construction_Name_and_Level)+1),FALSE)*(-1)</f>
        <v>-1674</v>
      </c>
      <c r="AW498" s="94">
        <f>VLOOKUP($D498,Construction!$B:$J,(COLUMN(Construction_BuildingCost_Ore)-COLUMN(Construction_Name_and_Level)+1),FALSE)*(-1)</f>
        <v>-1674</v>
      </c>
      <c r="AX498" s="94">
        <f>VLOOKUP($D498,Construction!$B:$J,(COLUMN(Construction_BuildingCost_Food)-COLUMN(Construction_Name_and_Level)+1),FALSE)*(-1)</f>
        <v>-1674</v>
      </c>
    </row>
    <row r="499" spans="2:108" s="7" customFormat="1" ht="15" customHeight="1">
      <c r="B499" s="17" t="s">
        <v>195</v>
      </c>
      <c r="C499" s="146" t="s">
        <v>196</v>
      </c>
      <c r="D499" s="145"/>
      <c r="E499" s="506">
        <v>17</v>
      </c>
      <c r="F499" s="274"/>
      <c r="I499" s="19"/>
      <c r="J499" s="19"/>
      <c r="M499" s="221"/>
      <c r="N499" s="18"/>
      <c r="O499" s="18"/>
      <c r="P499" s="19"/>
      <c r="Q499" s="221"/>
      <c r="R499" s="221"/>
      <c r="W499" s="18"/>
      <c r="X499" s="18"/>
      <c r="Y499" s="18"/>
      <c r="Z499" s="18"/>
      <c r="AA499" s="18"/>
      <c r="AB499" s="18"/>
      <c r="AC499" s="18"/>
      <c r="AD499" s="18"/>
      <c r="AE499" s="19"/>
      <c r="AF499" s="141"/>
      <c r="AG499" s="141"/>
      <c r="AH499" s="137"/>
      <c r="AI499" s="484"/>
      <c r="AJ499" s="137">
        <f t="shared" si="121"/>
        <v>7.2916666666666657E-2</v>
      </c>
      <c r="AK499" s="344"/>
      <c r="AL499" s="265"/>
      <c r="AM499" s="265"/>
      <c r="AN499" s="265"/>
      <c r="AO499" s="221"/>
      <c r="AP499" s="264"/>
      <c r="AQ499" s="265"/>
      <c r="AR499" s="265"/>
      <c r="AS499" s="265"/>
      <c r="AT499" s="221"/>
      <c r="AV499" s="2"/>
      <c r="AX499" s="211">
        <v>30000</v>
      </c>
      <c r="AY499" s="19"/>
      <c r="BD499" s="19"/>
      <c r="BE499" s="19"/>
      <c r="BJ499" s="19"/>
      <c r="BL499" s="19"/>
      <c r="BM499" s="19"/>
      <c r="BO499" s="19"/>
      <c r="BQ499" s="19"/>
      <c r="BS499" s="19"/>
      <c r="BU499" s="19"/>
      <c r="BW499" s="19"/>
      <c r="BY499" s="19"/>
      <c r="CA499" s="19"/>
      <c r="CB499" s="19"/>
      <c r="CC499" s="19"/>
      <c r="CD499" s="19"/>
      <c r="CG499" s="19"/>
      <c r="CJ499" s="19"/>
      <c r="CK499" s="19"/>
      <c r="CM499" s="19"/>
      <c r="CN499" s="19"/>
      <c r="CS499" s="17"/>
    </row>
    <row r="500" spans="2:108" ht="15" customHeight="1">
      <c r="B500" s="506" t="s">
        <v>145</v>
      </c>
      <c r="C500" s="146" t="s">
        <v>151</v>
      </c>
      <c r="D500" s="145">
        <v>1.6921296296296299E-2</v>
      </c>
      <c r="E500" s="506">
        <v>17</v>
      </c>
      <c r="M500" s="135">
        <v>2.0833333333333332E-2</v>
      </c>
      <c r="AF500" s="141"/>
      <c r="AG500" s="141"/>
      <c r="AH500" s="137"/>
      <c r="AI500" s="484"/>
      <c r="AJ500" s="137">
        <f t="shared" si="121"/>
        <v>7.2916666666666657E-2</v>
      </c>
      <c r="AW500" s="2">
        <v>1000</v>
      </c>
    </row>
    <row r="501" spans="2:108" ht="15" customHeight="1">
      <c r="B501" s="506" t="s">
        <v>144</v>
      </c>
      <c r="C501" s="127" t="s">
        <v>138</v>
      </c>
      <c r="D501" s="144" t="s">
        <v>1626</v>
      </c>
      <c r="E501" s="506">
        <v>17</v>
      </c>
      <c r="F501" s="12">
        <v>0.3</v>
      </c>
      <c r="G501" s="94">
        <f>VLOOKUP($D501,Construction!$B:$E,(COLUMN(Construction_BuildingReward_HeroXP)-COLUMN(Construction_Name_and_Level)+1),FALSE)</f>
        <v>500</v>
      </c>
      <c r="H501" s="94">
        <f>G501*(1+F501)</f>
        <v>650</v>
      </c>
      <c r="J501" s="95">
        <f>VLOOKUP($D501,Construction!$B:$F,(COLUMN(Construction_BuildingReward_Power)-COLUMN(Construction_Name_and_Level)+1),FALSE)</f>
        <v>55</v>
      </c>
      <c r="Q501" s="139">
        <v>3.472222222222222E-3</v>
      </c>
      <c r="R501" s="139">
        <v>7.6388888888888886E-3</v>
      </c>
      <c r="AF501" s="141"/>
      <c r="AG501" s="141"/>
      <c r="AH501" s="137"/>
      <c r="AI501" s="484"/>
      <c r="AJ501" s="137">
        <f t="shared" si="121"/>
        <v>7.2916666666666657E-2</v>
      </c>
      <c r="AK501" s="339">
        <v>0.41</v>
      </c>
      <c r="AL501" s="138">
        <f>VLOOKUP($D501,Construction!$B:$C,(COLUMN(Construction_Time)-COLUMN(Construction_Name_and_Level)+1),FALSE)</f>
        <v>2.6041666666666668E-2</v>
      </c>
      <c r="AM501" s="138">
        <f t="shared" ref="AM501" si="128">AL501/(1+AK501)</f>
        <v>1.8469267139479908E-2</v>
      </c>
      <c r="AN501" s="138">
        <f>(S$3*S501+T$3*T501+V$3*V501+W$3*W501+X$3*X501+Y$3*Y501+Z$3*Z501+AA$3*AA501+AB$3*AB501+AC$3*AC501)*(-1)</f>
        <v>0</v>
      </c>
      <c r="AO501" s="139">
        <f>IF((AM501-Q501-R501-AN501)&gt;=0,AM501-Q501-R501-AN501,0)</f>
        <v>7.3581560283687971E-3</v>
      </c>
      <c r="AU501" s="94">
        <f>VLOOKUP($D501,Construction!$B:$J,(COLUMN(Construction_BuildingCost_Stone)-COLUMN(Construction_Name_and_Level)+1),FALSE)*(-1)</f>
        <v>0</v>
      </c>
      <c r="AV501" s="94">
        <f>VLOOKUP($D501,Construction!$B:$J,(COLUMN(Construction_BuildingCost_Wood)-COLUMN(Construction_Name_and_Level)+1),FALSE)*(-1)</f>
        <v>-1674</v>
      </c>
      <c r="AW501" s="94">
        <f>VLOOKUP($D501,Construction!$B:$J,(COLUMN(Construction_BuildingCost_Ore)-COLUMN(Construction_Name_and_Level)+1),FALSE)*(-1)</f>
        <v>-1674</v>
      </c>
      <c r="AX501" s="94">
        <f>VLOOKUP($D501,Construction!$B:$J,(COLUMN(Construction_BuildingCost_Food)-COLUMN(Construction_Name_and_Level)+1),FALSE)*(-1)</f>
        <v>-1674</v>
      </c>
    </row>
    <row r="502" spans="2:108" ht="15" customHeight="1">
      <c r="B502" s="113" t="s">
        <v>1483</v>
      </c>
      <c r="C502" s="127" t="s">
        <v>771</v>
      </c>
      <c r="D502" s="127">
        <v>50</v>
      </c>
      <c r="E502" s="506">
        <v>17</v>
      </c>
      <c r="G502" s="7"/>
      <c r="H502" s="7"/>
      <c r="J502" s="114">
        <f>VLOOKUP($C502,Troop!$B:$AK,(COLUMN(Troop_TrainingReward_Power)-COLUMN(Troop_Name)+1),FALSE)*$D502</f>
        <v>100</v>
      </c>
      <c r="AF502" s="141"/>
      <c r="AG502" s="141"/>
      <c r="AH502" s="137"/>
      <c r="AI502" s="484"/>
      <c r="AJ502" s="137">
        <f t="shared" si="121"/>
        <v>7.2916666666666657E-2</v>
      </c>
      <c r="AU502" s="296">
        <f>VLOOKUP($C502,Troop!$B:$P,(COLUMN(Troop_TrainingCost_Stone)-COLUMN(Troop_Name)+1),FALSE)*$D502*(-1)</f>
        <v>-5000</v>
      </c>
      <c r="AV502" s="296">
        <f>VLOOKUP($C502,Troop!$B:$P,(COLUMN(Troop_TrainingCost_Wood)-COLUMN(Troop_Name)+1),FALSE)*$D502*(-1)</f>
        <v>0</v>
      </c>
      <c r="AW502" s="296">
        <f>VLOOKUP($C502,Troop!$B:$P,(COLUMN(Troop_TrainingCost_Ore)-COLUMN(Troop_Name)+1),FALSE)*$D502*(-1)</f>
        <v>-3750</v>
      </c>
      <c r="AX502" s="296">
        <f>VLOOKUP($C502,Troop!$B:$P,(COLUMN(Troop_TrainingCost_Food)-COLUMN(Troop_Name)+1),FALSE)*$D502*(-1)</f>
        <v>-5000</v>
      </c>
      <c r="AY502" s="114">
        <f>VLOOKUP($C502,Troop!$B:$P,(COLUMN(Troop_TrainingCost_Silver)-COLUMN(Troop_Name)+1),FALSE)*$D502*(-1)</f>
        <v>0</v>
      </c>
      <c r="CT502" s="128"/>
      <c r="CU502" s="128"/>
      <c r="CV502" s="128"/>
      <c r="CW502" s="128"/>
      <c r="CX502" s="128"/>
      <c r="CY502" s="128"/>
      <c r="CZ502" s="128"/>
      <c r="DA502" s="128"/>
      <c r="DB502" s="128"/>
      <c r="DC502" s="128"/>
      <c r="DD502" s="128"/>
    </row>
    <row r="503" spans="2:108" ht="15" customHeight="1">
      <c r="B503" s="102" t="s">
        <v>1455</v>
      </c>
      <c r="C503" s="127" t="s">
        <v>141</v>
      </c>
      <c r="D503" s="144" t="s">
        <v>1668</v>
      </c>
      <c r="E503" s="506">
        <v>17</v>
      </c>
      <c r="F503" s="12">
        <v>0.3</v>
      </c>
      <c r="G503" s="101">
        <v>2500</v>
      </c>
      <c r="H503" s="101">
        <f t="shared" ref="H503" si="129">G503*(1+F503)</f>
        <v>3250</v>
      </c>
      <c r="J503" s="100">
        <v>500</v>
      </c>
      <c r="AF503" s="141"/>
      <c r="AG503" s="141"/>
      <c r="AH503" s="137"/>
      <c r="AI503" s="484"/>
      <c r="AJ503" s="137">
        <f t="shared" si="121"/>
        <v>7.2916666666666657E-2</v>
      </c>
      <c r="AU503" s="101">
        <v>37500</v>
      </c>
      <c r="AV503" s="101">
        <v>0</v>
      </c>
      <c r="AW503" s="101">
        <v>28100</v>
      </c>
      <c r="AX503" s="101">
        <v>37500</v>
      </c>
      <c r="AY503" s="100">
        <v>0</v>
      </c>
      <c r="CT503" s="128"/>
      <c r="CU503" s="128"/>
      <c r="CV503" s="128"/>
      <c r="CW503" s="128"/>
      <c r="CX503" s="128"/>
      <c r="CY503" s="128"/>
      <c r="CZ503" s="128"/>
      <c r="DA503" s="128"/>
      <c r="DB503" s="128"/>
      <c r="DC503" s="128"/>
      <c r="DD503" s="128"/>
    </row>
    <row r="504" spans="2:108" ht="15" customHeight="1">
      <c r="B504" s="506" t="s">
        <v>195</v>
      </c>
      <c r="C504" s="127" t="s">
        <v>775</v>
      </c>
      <c r="D504" s="144" t="s">
        <v>1669</v>
      </c>
      <c r="E504" s="506">
        <v>17</v>
      </c>
      <c r="AF504" s="141"/>
      <c r="AG504" s="141"/>
      <c r="AH504" s="137"/>
      <c r="AI504" s="484"/>
      <c r="AJ504" s="137">
        <f t="shared" si="121"/>
        <v>7.2916666666666657E-2</v>
      </c>
      <c r="AX504" s="211">
        <v>-108000</v>
      </c>
    </row>
    <row r="505" spans="2:108" ht="15" customHeight="1">
      <c r="B505" s="506" t="s">
        <v>195</v>
      </c>
      <c r="C505" s="127" t="s">
        <v>468</v>
      </c>
      <c r="D505" s="144">
        <v>7.5231481481481477E-3</v>
      </c>
      <c r="E505" s="506">
        <v>17</v>
      </c>
      <c r="F505" s="12">
        <v>0.3</v>
      </c>
      <c r="G505" s="211">
        <v>2800</v>
      </c>
      <c r="H505" s="211">
        <f t="shared" ref="H505" si="130">G505*(1+F505)</f>
        <v>3640</v>
      </c>
      <c r="AF505" s="141"/>
      <c r="AG505" s="141"/>
      <c r="AH505" s="137"/>
      <c r="AI505" s="484"/>
      <c r="AJ505" s="137">
        <f t="shared" si="121"/>
        <v>7.2916666666666657E-2</v>
      </c>
      <c r="AU505" s="211">
        <v>3500</v>
      </c>
      <c r="AV505" s="211"/>
      <c r="AW505" s="211"/>
      <c r="AX505" s="211"/>
      <c r="AY505" s="160">
        <v>700</v>
      </c>
      <c r="CL505" s="211">
        <v>2000</v>
      </c>
      <c r="CM505" s="160">
        <f>CL505</f>
        <v>2000</v>
      </c>
    </row>
    <row r="506" spans="2:108" ht="15" customHeight="1">
      <c r="B506" s="506" t="s">
        <v>144</v>
      </c>
      <c r="C506" s="127" t="s">
        <v>138</v>
      </c>
      <c r="D506" s="144" t="s">
        <v>1454</v>
      </c>
      <c r="E506" s="506">
        <v>17</v>
      </c>
      <c r="F506" s="12">
        <v>0.3</v>
      </c>
      <c r="G506" s="94">
        <f>VLOOKUP($D506,Construction!$B:$E,(COLUMN(Construction_BuildingReward_HeroXP)-COLUMN(Construction_Name_and_Level)+1),FALSE)</f>
        <v>10</v>
      </c>
      <c r="H506" s="94">
        <f t="shared" ref="H506:H520" si="131">G506*(1+F506)</f>
        <v>13</v>
      </c>
      <c r="J506" s="95">
        <f>VLOOKUP($D506,Construction!$B:$F,(COLUMN(Construction_BuildingReward_Power)-COLUMN(Construction_Name_and_Level)+1),FALSE)</f>
        <v>5</v>
      </c>
      <c r="Q506" s="139">
        <v>3.472222222222222E-3</v>
      </c>
      <c r="R506" s="139">
        <v>7.6388888888888886E-3</v>
      </c>
      <c r="AF506" s="141"/>
      <c r="AG506" s="141"/>
      <c r="AH506" s="137"/>
      <c r="AI506" s="484"/>
      <c r="AJ506" s="137">
        <f t="shared" si="121"/>
        <v>7.2916666666666657E-2</v>
      </c>
      <c r="AK506" s="339">
        <v>0.41</v>
      </c>
      <c r="AL506" s="138">
        <f>VLOOKUP($D506,Construction!$B:$C,(COLUMN(Construction_Time)-COLUMN(Construction_Name_and_Level)+1),FALSE)</f>
        <v>6.9444444444444447E-4</v>
      </c>
      <c r="AM506" s="138">
        <f t="shared" ref="AM506:AM508" si="132">AL506/(1+AK506)</f>
        <v>4.9251379038613087E-4</v>
      </c>
      <c r="AN506" s="138">
        <f t="shared" ref="AN506:AN520" si="133">(S$3*S506+T$3*T506+V$3*V506+W$3*W506+X$3*X506+Y$3*Y506+Z$3*Z506+AA$3*AA506+AB$3*AB506+AC$3*AC506)*(-1)</f>
        <v>0</v>
      </c>
      <c r="AO506" s="139">
        <f t="shared" ref="AO506:AO520" si="134">IF((AM506-Q506-R506-AN506)&gt;=0,AM506-Q506-R506-AN506,0)</f>
        <v>0</v>
      </c>
      <c r="AU506" s="94">
        <f>VLOOKUP($D506,Construction!$B:$J,(COLUMN(Construction_BuildingCost_Stone)-COLUMN(Construction_Name_and_Level)+1),FALSE)*(-1)</f>
        <v>-100</v>
      </c>
      <c r="AV506" s="94">
        <f>VLOOKUP($D506,Construction!$B:$J,(COLUMN(Construction_BuildingCost_Wood)-COLUMN(Construction_Name_and_Level)+1),FALSE)*(-1)</f>
        <v>-100</v>
      </c>
      <c r="AW506" s="94">
        <f>VLOOKUP($D506,Construction!$B:$J,(COLUMN(Construction_BuildingCost_Ore)-COLUMN(Construction_Name_and_Level)+1),FALSE)*(-1)</f>
        <v>-100</v>
      </c>
      <c r="AX506" s="94">
        <f>VLOOKUP($D506,Construction!$B:$J,(COLUMN(Construction_BuildingCost_Food)-COLUMN(Construction_Name_and_Level)+1),FALSE)*(-1)</f>
        <v>0</v>
      </c>
    </row>
    <row r="507" spans="2:108" ht="15" customHeight="1">
      <c r="B507" s="506" t="s">
        <v>144</v>
      </c>
      <c r="C507" s="127" t="s">
        <v>138</v>
      </c>
      <c r="D507" s="144" t="s">
        <v>1454</v>
      </c>
      <c r="E507" s="506">
        <v>17</v>
      </c>
      <c r="F507" s="12">
        <v>0.3</v>
      </c>
      <c r="G507" s="94">
        <f>VLOOKUP($D507,Construction!$B:$E,(COLUMN(Construction_BuildingReward_HeroXP)-COLUMN(Construction_Name_and_Level)+1),FALSE)</f>
        <v>10</v>
      </c>
      <c r="H507" s="94">
        <f t="shared" si="131"/>
        <v>13</v>
      </c>
      <c r="J507" s="95">
        <f>VLOOKUP($D507,Construction!$B:$F,(COLUMN(Construction_BuildingReward_Power)-COLUMN(Construction_Name_and_Level)+1),FALSE)</f>
        <v>5</v>
      </c>
      <c r="Q507" s="139">
        <v>3.472222222222222E-3</v>
      </c>
      <c r="R507" s="139">
        <v>7.6388888888888886E-3</v>
      </c>
      <c r="AF507" s="141"/>
      <c r="AG507" s="141"/>
      <c r="AH507" s="137"/>
      <c r="AI507" s="484"/>
      <c r="AJ507" s="137">
        <f t="shared" si="121"/>
        <v>7.2916666666666657E-2</v>
      </c>
      <c r="AK507" s="339">
        <v>0.41</v>
      </c>
      <c r="AL507" s="138">
        <f>VLOOKUP($D507,Construction!$B:$C,(COLUMN(Construction_Time)-COLUMN(Construction_Name_and_Level)+1),FALSE)</f>
        <v>6.9444444444444447E-4</v>
      </c>
      <c r="AM507" s="138">
        <f t="shared" si="132"/>
        <v>4.9251379038613087E-4</v>
      </c>
      <c r="AN507" s="138">
        <f t="shared" si="133"/>
        <v>0</v>
      </c>
      <c r="AO507" s="139">
        <f t="shared" si="134"/>
        <v>0</v>
      </c>
      <c r="AU507" s="94">
        <f>VLOOKUP($D507,Construction!$B:$J,(COLUMN(Construction_BuildingCost_Stone)-COLUMN(Construction_Name_and_Level)+1),FALSE)*(-1)</f>
        <v>-100</v>
      </c>
      <c r="AV507" s="94">
        <f>VLOOKUP($D507,Construction!$B:$J,(COLUMN(Construction_BuildingCost_Wood)-COLUMN(Construction_Name_and_Level)+1),FALSE)*(-1)</f>
        <v>-100</v>
      </c>
      <c r="AW507" s="94">
        <f>VLOOKUP($D507,Construction!$B:$J,(COLUMN(Construction_BuildingCost_Ore)-COLUMN(Construction_Name_and_Level)+1),FALSE)*(-1)</f>
        <v>-100</v>
      </c>
      <c r="AX507" s="94">
        <f>VLOOKUP($D507,Construction!$B:$J,(COLUMN(Construction_BuildingCost_Food)-COLUMN(Construction_Name_and_Level)+1),FALSE)*(-1)</f>
        <v>0</v>
      </c>
    </row>
    <row r="508" spans="2:108" ht="15" customHeight="1">
      <c r="B508" s="506" t="s">
        <v>144</v>
      </c>
      <c r="C508" s="127" t="s">
        <v>138</v>
      </c>
      <c r="D508" s="144" t="s">
        <v>1454</v>
      </c>
      <c r="E508" s="506">
        <v>17</v>
      </c>
      <c r="F508" s="12">
        <v>0.3</v>
      </c>
      <c r="G508" s="94">
        <f>VLOOKUP($D508,Construction!$B:$E,(COLUMN(Construction_BuildingReward_HeroXP)-COLUMN(Construction_Name_and_Level)+1),FALSE)</f>
        <v>10</v>
      </c>
      <c r="H508" s="94">
        <f t="shared" si="131"/>
        <v>13</v>
      </c>
      <c r="J508" s="95">
        <f>VLOOKUP($D508,Construction!$B:$F,(COLUMN(Construction_BuildingReward_Power)-COLUMN(Construction_Name_and_Level)+1),FALSE)</f>
        <v>5</v>
      </c>
      <c r="Q508" s="139">
        <v>3.472222222222222E-3</v>
      </c>
      <c r="R508" s="139">
        <v>7.6388888888888886E-3</v>
      </c>
      <c r="AF508" s="141"/>
      <c r="AG508" s="141"/>
      <c r="AH508" s="137"/>
      <c r="AI508" s="484"/>
      <c r="AJ508" s="137">
        <f t="shared" si="121"/>
        <v>7.2916666666666657E-2</v>
      </c>
      <c r="AK508" s="339">
        <v>0.41</v>
      </c>
      <c r="AL508" s="138">
        <f>VLOOKUP($D508,Construction!$B:$C,(COLUMN(Construction_Time)-COLUMN(Construction_Name_and_Level)+1),FALSE)</f>
        <v>6.9444444444444447E-4</v>
      </c>
      <c r="AM508" s="138">
        <f t="shared" si="132"/>
        <v>4.9251379038613087E-4</v>
      </c>
      <c r="AN508" s="138">
        <f t="shared" si="133"/>
        <v>0</v>
      </c>
      <c r="AO508" s="139">
        <f t="shared" si="134"/>
        <v>0</v>
      </c>
      <c r="AU508" s="94">
        <f>VLOOKUP($D508,Construction!$B:$J,(COLUMN(Construction_BuildingCost_Stone)-COLUMN(Construction_Name_and_Level)+1),FALSE)*(-1)</f>
        <v>-100</v>
      </c>
      <c r="AV508" s="94">
        <f>VLOOKUP($D508,Construction!$B:$J,(COLUMN(Construction_BuildingCost_Wood)-COLUMN(Construction_Name_and_Level)+1),FALSE)*(-1)</f>
        <v>-100</v>
      </c>
      <c r="AW508" s="94">
        <f>VLOOKUP($D508,Construction!$B:$J,(COLUMN(Construction_BuildingCost_Ore)-COLUMN(Construction_Name_and_Level)+1),FALSE)*(-1)</f>
        <v>-100</v>
      </c>
      <c r="AX508" s="94">
        <f>VLOOKUP($D508,Construction!$B:$J,(COLUMN(Construction_BuildingCost_Food)-COLUMN(Construction_Name_and_Level)+1),FALSE)*(-1)</f>
        <v>0</v>
      </c>
    </row>
    <row r="509" spans="2:108" ht="15" customHeight="1">
      <c r="B509" s="506" t="s">
        <v>144</v>
      </c>
      <c r="C509" s="127" t="s">
        <v>138</v>
      </c>
      <c r="D509" s="144" t="s">
        <v>1514</v>
      </c>
      <c r="E509" s="506">
        <v>17</v>
      </c>
      <c r="F509" s="12">
        <v>0.3</v>
      </c>
      <c r="G509" s="94">
        <f>VLOOKUP($D509,Construction!$B:$E,(COLUMN(Construction_BuildingReward_HeroXP)-COLUMN(Construction_Name_and_Level)+1),FALSE)</f>
        <v>25</v>
      </c>
      <c r="H509" s="94">
        <f t="shared" si="131"/>
        <v>32.5</v>
      </c>
      <c r="J509" s="95">
        <f>VLOOKUP($D509,Construction!$B:$F,(COLUMN(Construction_BuildingReward_Power)-COLUMN(Construction_Name_and_Level)+1),FALSE)</f>
        <v>10</v>
      </c>
      <c r="Q509" s="139">
        <v>3.472222222222222E-3</v>
      </c>
      <c r="R509" s="139">
        <v>7.6388888888888886E-3</v>
      </c>
      <c r="AF509" s="141"/>
      <c r="AG509" s="141"/>
      <c r="AH509" s="137"/>
      <c r="AI509" s="484"/>
      <c r="AJ509" s="137">
        <f t="shared" si="121"/>
        <v>7.2916666666666657E-2</v>
      </c>
      <c r="AK509" s="339">
        <v>0.41</v>
      </c>
      <c r="AL509" s="138">
        <f>VLOOKUP($D509,Construction!$B:$C,(COLUMN(Construction_Time)-COLUMN(Construction_Name_and_Level)+1),FALSE)</f>
        <v>1.1574074074074073E-3</v>
      </c>
      <c r="AM509" s="138">
        <f t="shared" ref="AM509:AM511" si="135">AL509/(1+AK509)</f>
        <v>8.2085631731021805E-4</v>
      </c>
      <c r="AN509" s="138">
        <f t="shared" si="133"/>
        <v>0</v>
      </c>
      <c r="AO509" s="139">
        <f t="shared" si="134"/>
        <v>0</v>
      </c>
      <c r="AU509" s="94">
        <f>VLOOKUP($D509,Construction!$B:$J,(COLUMN(Construction_BuildingCost_Stone)-COLUMN(Construction_Name_and_Level)+1),FALSE)*(-1)</f>
        <v>-170</v>
      </c>
      <c r="AV509" s="94">
        <f>VLOOKUP($D509,Construction!$B:$J,(COLUMN(Construction_BuildingCost_Wood)-COLUMN(Construction_Name_and_Level)+1),FALSE)*(-1)</f>
        <v>-170</v>
      </c>
      <c r="AW509" s="94">
        <f>VLOOKUP($D509,Construction!$B:$J,(COLUMN(Construction_BuildingCost_Ore)-COLUMN(Construction_Name_and_Level)+1),FALSE)*(-1)</f>
        <v>-170</v>
      </c>
      <c r="AX509" s="94">
        <f>VLOOKUP($D509,Construction!$B:$J,(COLUMN(Construction_BuildingCost_Food)-COLUMN(Construction_Name_and_Level)+1),FALSE)*(-1)</f>
        <v>0</v>
      </c>
    </row>
    <row r="510" spans="2:108" ht="15" customHeight="1">
      <c r="B510" s="506" t="s">
        <v>144</v>
      </c>
      <c r="C510" s="127" t="s">
        <v>138</v>
      </c>
      <c r="D510" s="144" t="s">
        <v>1514</v>
      </c>
      <c r="E510" s="506">
        <v>17</v>
      </c>
      <c r="F510" s="12">
        <v>0.3</v>
      </c>
      <c r="G510" s="94">
        <f>VLOOKUP($D510,Construction!$B:$E,(COLUMN(Construction_BuildingReward_HeroXP)-COLUMN(Construction_Name_and_Level)+1),FALSE)</f>
        <v>25</v>
      </c>
      <c r="H510" s="94">
        <f t="shared" si="131"/>
        <v>32.5</v>
      </c>
      <c r="J510" s="95">
        <f>VLOOKUP($D510,Construction!$B:$F,(COLUMN(Construction_BuildingReward_Power)-COLUMN(Construction_Name_and_Level)+1),FALSE)</f>
        <v>10</v>
      </c>
      <c r="Q510" s="139">
        <v>3.472222222222222E-3</v>
      </c>
      <c r="R510" s="139">
        <v>7.6388888888888886E-3</v>
      </c>
      <c r="AF510" s="141"/>
      <c r="AG510" s="141"/>
      <c r="AH510" s="137"/>
      <c r="AI510" s="484"/>
      <c r="AJ510" s="137">
        <f t="shared" si="121"/>
        <v>7.2916666666666657E-2</v>
      </c>
      <c r="AK510" s="339">
        <v>0.41</v>
      </c>
      <c r="AL510" s="138">
        <f>VLOOKUP($D510,Construction!$B:$C,(COLUMN(Construction_Time)-COLUMN(Construction_Name_and_Level)+1),FALSE)</f>
        <v>1.1574074074074073E-3</v>
      </c>
      <c r="AM510" s="138">
        <f t="shared" si="135"/>
        <v>8.2085631731021805E-4</v>
      </c>
      <c r="AN510" s="138">
        <f t="shared" si="133"/>
        <v>0</v>
      </c>
      <c r="AO510" s="139">
        <f t="shared" si="134"/>
        <v>0</v>
      </c>
      <c r="AU510" s="94">
        <f>VLOOKUP($D510,Construction!$B:$J,(COLUMN(Construction_BuildingCost_Stone)-COLUMN(Construction_Name_and_Level)+1),FALSE)*(-1)</f>
        <v>-170</v>
      </c>
      <c r="AV510" s="94">
        <f>VLOOKUP($D510,Construction!$B:$J,(COLUMN(Construction_BuildingCost_Wood)-COLUMN(Construction_Name_and_Level)+1),FALSE)*(-1)</f>
        <v>-170</v>
      </c>
      <c r="AW510" s="94">
        <f>VLOOKUP($D510,Construction!$B:$J,(COLUMN(Construction_BuildingCost_Ore)-COLUMN(Construction_Name_and_Level)+1),FALSE)*(-1)</f>
        <v>-170</v>
      </c>
      <c r="AX510" s="94">
        <f>VLOOKUP($D510,Construction!$B:$J,(COLUMN(Construction_BuildingCost_Food)-COLUMN(Construction_Name_and_Level)+1),FALSE)*(-1)</f>
        <v>0</v>
      </c>
    </row>
    <row r="511" spans="2:108" ht="15" customHeight="1">
      <c r="B511" s="506" t="s">
        <v>144</v>
      </c>
      <c r="C511" s="127" t="s">
        <v>138</v>
      </c>
      <c r="D511" s="144" t="s">
        <v>1514</v>
      </c>
      <c r="E511" s="506">
        <v>17</v>
      </c>
      <c r="F511" s="12">
        <v>0.3</v>
      </c>
      <c r="G511" s="94">
        <f>VLOOKUP($D511,Construction!$B:$E,(COLUMN(Construction_BuildingReward_HeroXP)-COLUMN(Construction_Name_and_Level)+1),FALSE)</f>
        <v>25</v>
      </c>
      <c r="H511" s="94">
        <f t="shared" si="131"/>
        <v>32.5</v>
      </c>
      <c r="J511" s="95">
        <f>VLOOKUP($D511,Construction!$B:$F,(COLUMN(Construction_BuildingReward_Power)-COLUMN(Construction_Name_and_Level)+1),FALSE)</f>
        <v>10</v>
      </c>
      <c r="Q511" s="139">
        <v>3.472222222222222E-3</v>
      </c>
      <c r="R511" s="139">
        <v>7.6388888888888886E-3</v>
      </c>
      <c r="AF511" s="141"/>
      <c r="AG511" s="141"/>
      <c r="AH511" s="137"/>
      <c r="AI511" s="484"/>
      <c r="AJ511" s="137">
        <f t="shared" si="121"/>
        <v>7.2916666666666657E-2</v>
      </c>
      <c r="AK511" s="339">
        <v>0.41</v>
      </c>
      <c r="AL511" s="138">
        <f>VLOOKUP($D511,Construction!$B:$C,(COLUMN(Construction_Time)-COLUMN(Construction_Name_and_Level)+1),FALSE)</f>
        <v>1.1574074074074073E-3</v>
      </c>
      <c r="AM511" s="138">
        <f t="shared" si="135"/>
        <v>8.2085631731021805E-4</v>
      </c>
      <c r="AN511" s="138">
        <f t="shared" si="133"/>
        <v>0</v>
      </c>
      <c r="AO511" s="139">
        <f t="shared" si="134"/>
        <v>0</v>
      </c>
      <c r="AU511" s="94">
        <f>VLOOKUP($D511,Construction!$B:$J,(COLUMN(Construction_BuildingCost_Stone)-COLUMN(Construction_Name_and_Level)+1),FALSE)*(-1)</f>
        <v>-170</v>
      </c>
      <c r="AV511" s="94">
        <f>VLOOKUP($D511,Construction!$B:$J,(COLUMN(Construction_BuildingCost_Wood)-COLUMN(Construction_Name_and_Level)+1),FALSE)*(-1)</f>
        <v>-170</v>
      </c>
      <c r="AW511" s="94">
        <f>VLOOKUP($D511,Construction!$B:$J,(COLUMN(Construction_BuildingCost_Ore)-COLUMN(Construction_Name_and_Level)+1),FALSE)*(-1)</f>
        <v>-170</v>
      </c>
      <c r="AX511" s="94">
        <f>VLOOKUP($D511,Construction!$B:$J,(COLUMN(Construction_BuildingCost_Food)-COLUMN(Construction_Name_and_Level)+1),FALSE)*(-1)</f>
        <v>0</v>
      </c>
    </row>
    <row r="512" spans="2:108" ht="15" customHeight="1">
      <c r="B512" s="506" t="s">
        <v>144</v>
      </c>
      <c r="C512" s="127" t="s">
        <v>138</v>
      </c>
      <c r="D512" s="144" t="s">
        <v>1560</v>
      </c>
      <c r="E512" s="506">
        <v>17</v>
      </c>
      <c r="F512" s="12">
        <v>0.3</v>
      </c>
      <c r="G512" s="94">
        <f>VLOOKUP($D512,Construction!$B:$E,(COLUMN(Construction_BuildingReward_HeroXP)-COLUMN(Construction_Name_and_Level)+1),FALSE)</f>
        <v>50</v>
      </c>
      <c r="H512" s="94">
        <f t="shared" si="131"/>
        <v>65</v>
      </c>
      <c r="J512" s="95">
        <f>VLOOKUP($D512,Construction!$B:$F,(COLUMN(Construction_BuildingReward_Power)-COLUMN(Construction_Name_and_Level)+1),FALSE)</f>
        <v>15</v>
      </c>
      <c r="Q512" s="139">
        <v>3.472222222222222E-3</v>
      </c>
      <c r="R512" s="139">
        <v>7.6388888888888886E-3</v>
      </c>
      <c r="AF512" s="141"/>
      <c r="AG512" s="141"/>
      <c r="AH512" s="137"/>
      <c r="AI512" s="484"/>
      <c r="AJ512" s="137">
        <f t="shared" ref="AJ512:AJ543" si="136">AJ511+(S$3*S512+T$3*T512+U$3*U512+V$3*V512+W$3*W512+X$3*X512+Y$3*Y512+Z$3*Z512+AA$3*AA512+AB$3*AB512+AC$3*AC512)</f>
        <v>7.2916666666666657E-2</v>
      </c>
      <c r="AK512" s="339">
        <v>0.41</v>
      </c>
      <c r="AL512" s="138">
        <f>VLOOKUP($D512,Construction!$B:$C,(COLUMN(Construction_Time)-COLUMN(Construction_Name_and_Level)+1),FALSE)</f>
        <v>2.3148148148148151E-3</v>
      </c>
      <c r="AM512" s="138">
        <f t="shared" ref="AM512:AM514" si="137">AL512/(1+AK512)</f>
        <v>1.6417126346204363E-3</v>
      </c>
      <c r="AN512" s="138">
        <f t="shared" si="133"/>
        <v>0</v>
      </c>
      <c r="AO512" s="139">
        <f t="shared" si="134"/>
        <v>0</v>
      </c>
      <c r="AU512" s="94">
        <f>VLOOKUP($D512,Construction!$B:$J,(COLUMN(Construction_BuildingCost_Stone)-COLUMN(Construction_Name_and_Level)+1),FALSE)*(-1)</f>
        <v>-289</v>
      </c>
      <c r="AV512" s="94">
        <f>VLOOKUP($D512,Construction!$B:$J,(COLUMN(Construction_BuildingCost_Wood)-COLUMN(Construction_Name_and_Level)+1),FALSE)*(-1)</f>
        <v>-289</v>
      </c>
      <c r="AW512" s="94">
        <f>VLOOKUP($D512,Construction!$B:$J,(COLUMN(Construction_BuildingCost_Ore)-COLUMN(Construction_Name_and_Level)+1),FALSE)*(-1)</f>
        <v>-289</v>
      </c>
      <c r="AX512" s="94">
        <f>VLOOKUP($D512,Construction!$B:$J,(COLUMN(Construction_BuildingCost_Food)-COLUMN(Construction_Name_and_Level)+1),FALSE)*(-1)</f>
        <v>0</v>
      </c>
    </row>
    <row r="513" spans="2:92" ht="15" customHeight="1">
      <c r="B513" s="506" t="s">
        <v>144</v>
      </c>
      <c r="C513" s="127" t="s">
        <v>138</v>
      </c>
      <c r="D513" s="144" t="s">
        <v>1560</v>
      </c>
      <c r="E513" s="506">
        <v>17</v>
      </c>
      <c r="F513" s="12">
        <v>0.3</v>
      </c>
      <c r="G513" s="94">
        <f>VLOOKUP($D513,Construction!$B:$E,(COLUMN(Construction_BuildingReward_HeroXP)-COLUMN(Construction_Name_and_Level)+1),FALSE)</f>
        <v>50</v>
      </c>
      <c r="H513" s="94">
        <f t="shared" si="131"/>
        <v>65</v>
      </c>
      <c r="J513" s="95">
        <f>VLOOKUP($D513,Construction!$B:$F,(COLUMN(Construction_BuildingReward_Power)-COLUMN(Construction_Name_and_Level)+1),FALSE)</f>
        <v>15</v>
      </c>
      <c r="Q513" s="139">
        <v>3.472222222222222E-3</v>
      </c>
      <c r="R513" s="139">
        <v>7.6388888888888886E-3</v>
      </c>
      <c r="AF513" s="141"/>
      <c r="AG513" s="141"/>
      <c r="AH513" s="137"/>
      <c r="AI513" s="484"/>
      <c r="AJ513" s="137">
        <f t="shared" si="136"/>
        <v>7.2916666666666657E-2</v>
      </c>
      <c r="AK513" s="339">
        <v>0.41</v>
      </c>
      <c r="AL513" s="138">
        <f>VLOOKUP($D513,Construction!$B:$C,(COLUMN(Construction_Time)-COLUMN(Construction_Name_and_Level)+1),FALSE)</f>
        <v>2.3148148148148151E-3</v>
      </c>
      <c r="AM513" s="138">
        <f t="shared" si="137"/>
        <v>1.6417126346204363E-3</v>
      </c>
      <c r="AN513" s="138">
        <f t="shared" si="133"/>
        <v>0</v>
      </c>
      <c r="AO513" s="139">
        <f t="shared" si="134"/>
        <v>0</v>
      </c>
      <c r="AU513" s="94">
        <f>VLOOKUP($D513,Construction!$B:$J,(COLUMN(Construction_BuildingCost_Stone)-COLUMN(Construction_Name_and_Level)+1),FALSE)*(-1)</f>
        <v>-289</v>
      </c>
      <c r="AV513" s="94">
        <f>VLOOKUP($D513,Construction!$B:$J,(COLUMN(Construction_BuildingCost_Wood)-COLUMN(Construction_Name_and_Level)+1),FALSE)*(-1)</f>
        <v>-289</v>
      </c>
      <c r="AW513" s="94">
        <f>VLOOKUP($D513,Construction!$B:$J,(COLUMN(Construction_BuildingCost_Ore)-COLUMN(Construction_Name_and_Level)+1),FALSE)*(-1)</f>
        <v>-289</v>
      </c>
      <c r="AX513" s="94">
        <f>VLOOKUP($D513,Construction!$B:$J,(COLUMN(Construction_BuildingCost_Food)-COLUMN(Construction_Name_and_Level)+1),FALSE)*(-1)</f>
        <v>0</v>
      </c>
    </row>
    <row r="514" spans="2:92" ht="15" customHeight="1">
      <c r="B514" s="506" t="s">
        <v>144</v>
      </c>
      <c r="C514" s="127" t="s">
        <v>138</v>
      </c>
      <c r="D514" s="144" t="s">
        <v>1560</v>
      </c>
      <c r="E514" s="506">
        <v>17</v>
      </c>
      <c r="F514" s="12">
        <v>0.3</v>
      </c>
      <c r="G514" s="94">
        <f>VLOOKUP($D514,Construction!$B:$E,(COLUMN(Construction_BuildingReward_HeroXP)-COLUMN(Construction_Name_and_Level)+1),FALSE)</f>
        <v>50</v>
      </c>
      <c r="H514" s="94">
        <f t="shared" si="131"/>
        <v>65</v>
      </c>
      <c r="J514" s="95">
        <f>VLOOKUP($D514,Construction!$B:$F,(COLUMN(Construction_BuildingReward_Power)-COLUMN(Construction_Name_and_Level)+1),FALSE)</f>
        <v>15</v>
      </c>
      <c r="Q514" s="139">
        <v>3.472222222222222E-3</v>
      </c>
      <c r="R514" s="139">
        <v>7.6388888888888886E-3</v>
      </c>
      <c r="AF514" s="141"/>
      <c r="AG514" s="141"/>
      <c r="AH514" s="137"/>
      <c r="AI514" s="484"/>
      <c r="AJ514" s="137">
        <f t="shared" si="136"/>
        <v>7.2916666666666657E-2</v>
      </c>
      <c r="AK514" s="339">
        <v>0.41</v>
      </c>
      <c r="AL514" s="138">
        <f>VLOOKUP($D514,Construction!$B:$C,(COLUMN(Construction_Time)-COLUMN(Construction_Name_and_Level)+1),FALSE)</f>
        <v>2.3148148148148151E-3</v>
      </c>
      <c r="AM514" s="138">
        <f t="shared" si="137"/>
        <v>1.6417126346204363E-3</v>
      </c>
      <c r="AN514" s="138">
        <f t="shared" si="133"/>
        <v>0</v>
      </c>
      <c r="AO514" s="139">
        <f t="shared" si="134"/>
        <v>0</v>
      </c>
      <c r="AU514" s="94">
        <f>VLOOKUP($D514,Construction!$B:$J,(COLUMN(Construction_BuildingCost_Stone)-COLUMN(Construction_Name_and_Level)+1),FALSE)*(-1)</f>
        <v>-289</v>
      </c>
      <c r="AV514" s="94">
        <f>VLOOKUP($D514,Construction!$B:$J,(COLUMN(Construction_BuildingCost_Wood)-COLUMN(Construction_Name_and_Level)+1),FALSE)*(-1)</f>
        <v>-289</v>
      </c>
      <c r="AW514" s="94">
        <f>VLOOKUP($D514,Construction!$B:$J,(COLUMN(Construction_BuildingCost_Ore)-COLUMN(Construction_Name_and_Level)+1),FALSE)*(-1)</f>
        <v>-289</v>
      </c>
      <c r="AX514" s="94">
        <f>VLOOKUP($D514,Construction!$B:$J,(COLUMN(Construction_BuildingCost_Food)-COLUMN(Construction_Name_and_Level)+1),FALSE)*(-1)</f>
        <v>0</v>
      </c>
    </row>
    <row r="515" spans="2:92" ht="15" customHeight="1">
      <c r="B515" s="506" t="s">
        <v>144</v>
      </c>
      <c r="C515" s="127" t="s">
        <v>138</v>
      </c>
      <c r="D515" s="144" t="s">
        <v>1569</v>
      </c>
      <c r="E515" s="506">
        <v>17</v>
      </c>
      <c r="F515" s="12">
        <v>0.3</v>
      </c>
      <c r="G515" s="94">
        <f>VLOOKUP($D515,Construction!$B:$E,(COLUMN(Construction_BuildingReward_HeroXP)-COLUMN(Construction_Name_and_Level)+1),FALSE)</f>
        <v>200</v>
      </c>
      <c r="H515" s="94">
        <f t="shared" si="131"/>
        <v>260</v>
      </c>
      <c r="J515" s="95">
        <f>VLOOKUP($D515,Construction!$B:$F,(COLUMN(Construction_BuildingReward_Power)-COLUMN(Construction_Name_and_Level)+1),FALSE)</f>
        <v>25</v>
      </c>
      <c r="Q515" s="139">
        <v>3.472222222222222E-3</v>
      </c>
      <c r="R515" s="139">
        <v>7.6388888888888886E-3</v>
      </c>
      <c r="AF515" s="141"/>
      <c r="AG515" s="141"/>
      <c r="AH515" s="137"/>
      <c r="AI515" s="484"/>
      <c r="AJ515" s="137">
        <f t="shared" si="136"/>
        <v>7.2916666666666657E-2</v>
      </c>
      <c r="AK515" s="339">
        <v>0.41</v>
      </c>
      <c r="AL515" s="138">
        <f>VLOOKUP($D515,Construction!$B:$C,(COLUMN(Construction_Time)-COLUMN(Construction_Name_and_Level)+1),FALSE)</f>
        <v>4.6296296296296302E-3</v>
      </c>
      <c r="AM515" s="138">
        <f t="shared" ref="AM515:AM517" si="138">AL515/(1+AK515)</f>
        <v>3.2834252692408726E-3</v>
      </c>
      <c r="AN515" s="138">
        <f t="shared" si="133"/>
        <v>0</v>
      </c>
      <c r="AO515" s="139">
        <f t="shared" si="134"/>
        <v>0</v>
      </c>
      <c r="AU515" s="94">
        <f>VLOOKUP($D515,Construction!$B:$J,(COLUMN(Construction_BuildingCost_Stone)-COLUMN(Construction_Name_and_Level)+1),FALSE)*(-1)</f>
        <v>-492</v>
      </c>
      <c r="AV515" s="94">
        <f>VLOOKUP($D515,Construction!$B:$J,(COLUMN(Construction_BuildingCost_Wood)-COLUMN(Construction_Name_and_Level)+1),FALSE)*(-1)</f>
        <v>-492</v>
      </c>
      <c r="AW515" s="94">
        <f>VLOOKUP($D515,Construction!$B:$J,(COLUMN(Construction_BuildingCost_Ore)-COLUMN(Construction_Name_and_Level)+1),FALSE)*(-1)</f>
        <v>-492</v>
      </c>
      <c r="AX515" s="94">
        <f>VLOOKUP($D515,Construction!$B:$J,(COLUMN(Construction_BuildingCost_Food)-COLUMN(Construction_Name_and_Level)+1),FALSE)*(-1)</f>
        <v>0</v>
      </c>
    </row>
    <row r="516" spans="2:92" ht="15" customHeight="1">
      <c r="B516" s="506" t="s">
        <v>144</v>
      </c>
      <c r="C516" s="127" t="s">
        <v>138</v>
      </c>
      <c r="D516" s="144" t="s">
        <v>1569</v>
      </c>
      <c r="E516" s="506">
        <v>17</v>
      </c>
      <c r="F516" s="12">
        <v>0.3</v>
      </c>
      <c r="G516" s="94">
        <f>VLOOKUP($D516,Construction!$B:$E,(COLUMN(Construction_BuildingReward_HeroXP)-COLUMN(Construction_Name_and_Level)+1),FALSE)</f>
        <v>200</v>
      </c>
      <c r="H516" s="94">
        <f t="shared" si="131"/>
        <v>260</v>
      </c>
      <c r="J516" s="95">
        <f>VLOOKUP($D516,Construction!$B:$F,(COLUMN(Construction_BuildingReward_Power)-COLUMN(Construction_Name_and_Level)+1),FALSE)</f>
        <v>25</v>
      </c>
      <c r="Q516" s="139">
        <v>3.472222222222222E-3</v>
      </c>
      <c r="R516" s="139">
        <v>7.6388888888888886E-3</v>
      </c>
      <c r="AF516" s="141"/>
      <c r="AG516" s="141"/>
      <c r="AH516" s="137"/>
      <c r="AI516" s="484"/>
      <c r="AJ516" s="137">
        <f t="shared" si="136"/>
        <v>7.2916666666666657E-2</v>
      </c>
      <c r="AK516" s="339">
        <v>0.41</v>
      </c>
      <c r="AL516" s="138">
        <f>VLOOKUP($D516,Construction!$B:$C,(COLUMN(Construction_Time)-COLUMN(Construction_Name_and_Level)+1),FALSE)</f>
        <v>4.6296296296296302E-3</v>
      </c>
      <c r="AM516" s="138">
        <f t="shared" si="138"/>
        <v>3.2834252692408726E-3</v>
      </c>
      <c r="AN516" s="138">
        <f t="shared" si="133"/>
        <v>0</v>
      </c>
      <c r="AO516" s="139">
        <f t="shared" si="134"/>
        <v>0</v>
      </c>
      <c r="AU516" s="94">
        <f>VLOOKUP($D516,Construction!$B:$J,(COLUMN(Construction_BuildingCost_Stone)-COLUMN(Construction_Name_and_Level)+1),FALSE)*(-1)</f>
        <v>-492</v>
      </c>
      <c r="AV516" s="94">
        <f>VLOOKUP($D516,Construction!$B:$J,(COLUMN(Construction_BuildingCost_Wood)-COLUMN(Construction_Name_and_Level)+1),FALSE)*(-1)</f>
        <v>-492</v>
      </c>
      <c r="AW516" s="94">
        <f>VLOOKUP($D516,Construction!$B:$J,(COLUMN(Construction_BuildingCost_Ore)-COLUMN(Construction_Name_and_Level)+1),FALSE)*(-1)</f>
        <v>-492</v>
      </c>
      <c r="AX516" s="94">
        <f>VLOOKUP($D516,Construction!$B:$J,(COLUMN(Construction_BuildingCost_Food)-COLUMN(Construction_Name_and_Level)+1),FALSE)*(-1)</f>
        <v>0</v>
      </c>
    </row>
    <row r="517" spans="2:92" ht="15" customHeight="1">
      <c r="B517" s="506" t="s">
        <v>144</v>
      </c>
      <c r="C517" s="127" t="s">
        <v>138</v>
      </c>
      <c r="D517" s="144" t="s">
        <v>1569</v>
      </c>
      <c r="E517" s="506">
        <v>17</v>
      </c>
      <c r="F517" s="12">
        <v>0.3</v>
      </c>
      <c r="G517" s="94">
        <f>VLOOKUP($D517,Construction!$B:$E,(COLUMN(Construction_BuildingReward_HeroXP)-COLUMN(Construction_Name_and_Level)+1),FALSE)</f>
        <v>200</v>
      </c>
      <c r="H517" s="94">
        <f t="shared" si="131"/>
        <v>260</v>
      </c>
      <c r="J517" s="95">
        <f>VLOOKUP($D517,Construction!$B:$F,(COLUMN(Construction_BuildingReward_Power)-COLUMN(Construction_Name_and_Level)+1),FALSE)</f>
        <v>25</v>
      </c>
      <c r="Q517" s="139">
        <v>3.472222222222222E-3</v>
      </c>
      <c r="R517" s="139">
        <v>7.6388888888888886E-3</v>
      </c>
      <c r="AF517" s="141"/>
      <c r="AG517" s="141"/>
      <c r="AH517" s="137"/>
      <c r="AI517" s="484"/>
      <c r="AJ517" s="137">
        <f t="shared" si="136"/>
        <v>7.2916666666666657E-2</v>
      </c>
      <c r="AK517" s="339">
        <v>0.41</v>
      </c>
      <c r="AL517" s="138">
        <f>VLOOKUP($D517,Construction!$B:$C,(COLUMN(Construction_Time)-COLUMN(Construction_Name_and_Level)+1),FALSE)</f>
        <v>4.6296296296296302E-3</v>
      </c>
      <c r="AM517" s="138">
        <f t="shared" si="138"/>
        <v>3.2834252692408726E-3</v>
      </c>
      <c r="AN517" s="138">
        <f t="shared" si="133"/>
        <v>0</v>
      </c>
      <c r="AO517" s="139">
        <f t="shared" si="134"/>
        <v>0</v>
      </c>
      <c r="AU517" s="94">
        <f>VLOOKUP($D517,Construction!$B:$J,(COLUMN(Construction_BuildingCost_Stone)-COLUMN(Construction_Name_and_Level)+1),FALSE)*(-1)</f>
        <v>-492</v>
      </c>
      <c r="AV517" s="94">
        <f>VLOOKUP($D517,Construction!$B:$J,(COLUMN(Construction_BuildingCost_Wood)-COLUMN(Construction_Name_and_Level)+1),FALSE)*(-1)</f>
        <v>-492</v>
      </c>
      <c r="AW517" s="94">
        <f>VLOOKUP($D517,Construction!$B:$J,(COLUMN(Construction_BuildingCost_Ore)-COLUMN(Construction_Name_and_Level)+1),FALSE)*(-1)</f>
        <v>-492</v>
      </c>
      <c r="AX517" s="94">
        <f>VLOOKUP($D517,Construction!$B:$J,(COLUMN(Construction_BuildingCost_Food)-COLUMN(Construction_Name_and_Level)+1),FALSE)*(-1)</f>
        <v>0</v>
      </c>
    </row>
    <row r="518" spans="2:92" ht="15" customHeight="1">
      <c r="B518" s="506" t="s">
        <v>144</v>
      </c>
      <c r="C518" s="127" t="s">
        <v>138</v>
      </c>
      <c r="D518" s="144" t="s">
        <v>1570</v>
      </c>
      <c r="E518" s="506">
        <v>17</v>
      </c>
      <c r="F518" s="12">
        <v>0.3</v>
      </c>
      <c r="G518" s="94">
        <f>VLOOKUP($D518,Construction!$B:$E,(COLUMN(Construction_BuildingReward_HeroXP)-COLUMN(Construction_Name_and_Level)+1),FALSE)</f>
        <v>400</v>
      </c>
      <c r="H518" s="94">
        <f t="shared" si="131"/>
        <v>520</v>
      </c>
      <c r="J518" s="95">
        <f>VLOOKUP($D518,Construction!$B:$F,(COLUMN(Construction_BuildingReward_Power)-COLUMN(Construction_Name_and_Level)+1),FALSE)</f>
        <v>35</v>
      </c>
      <c r="Q518" s="139">
        <v>3.472222222222222E-3</v>
      </c>
      <c r="R518" s="139">
        <v>7.6388888888888886E-3</v>
      </c>
      <c r="AF518" s="141"/>
      <c r="AG518" s="141"/>
      <c r="AH518" s="137"/>
      <c r="AI518" s="484"/>
      <c r="AJ518" s="137">
        <f t="shared" si="136"/>
        <v>7.2916666666666657E-2</v>
      </c>
      <c r="AK518" s="339">
        <v>0.41</v>
      </c>
      <c r="AL518" s="138">
        <f>VLOOKUP($D518,Construction!$B:$C,(COLUMN(Construction_Time)-COLUMN(Construction_Name_and_Level)+1),FALSE)</f>
        <v>9.2592592592592605E-3</v>
      </c>
      <c r="AM518" s="138">
        <f t="shared" ref="AM518:AM520" si="139">AL518/(1+AK518)</f>
        <v>6.5668505384817452E-3</v>
      </c>
      <c r="AN518" s="138">
        <f t="shared" si="133"/>
        <v>0</v>
      </c>
      <c r="AO518" s="139">
        <f t="shared" si="134"/>
        <v>0</v>
      </c>
      <c r="AU518" s="94">
        <f>VLOOKUP($D518,Construction!$B:$J,(COLUMN(Construction_BuildingCost_Stone)-COLUMN(Construction_Name_and_Level)+1),FALSE)*(-1)</f>
        <v>-837</v>
      </c>
      <c r="AV518" s="94">
        <f>VLOOKUP($D518,Construction!$B:$J,(COLUMN(Construction_BuildingCost_Wood)-COLUMN(Construction_Name_and_Level)+1),FALSE)*(-1)</f>
        <v>-837</v>
      </c>
      <c r="AW518" s="94">
        <f>VLOOKUP($D518,Construction!$B:$J,(COLUMN(Construction_BuildingCost_Ore)-COLUMN(Construction_Name_and_Level)+1),FALSE)*(-1)</f>
        <v>-837</v>
      </c>
      <c r="AX518" s="94">
        <f>VLOOKUP($D518,Construction!$B:$J,(COLUMN(Construction_BuildingCost_Food)-COLUMN(Construction_Name_and_Level)+1),FALSE)*(-1)</f>
        <v>0</v>
      </c>
    </row>
    <row r="519" spans="2:92" ht="15" customHeight="1">
      <c r="B519" s="506" t="s">
        <v>144</v>
      </c>
      <c r="C519" s="127" t="s">
        <v>138</v>
      </c>
      <c r="D519" s="144" t="s">
        <v>1570</v>
      </c>
      <c r="E519" s="506">
        <v>17</v>
      </c>
      <c r="F519" s="12">
        <v>0.3</v>
      </c>
      <c r="G519" s="94">
        <f>VLOOKUP($D519,Construction!$B:$E,(COLUMN(Construction_BuildingReward_HeroXP)-COLUMN(Construction_Name_and_Level)+1),FALSE)</f>
        <v>400</v>
      </c>
      <c r="H519" s="94">
        <f t="shared" si="131"/>
        <v>520</v>
      </c>
      <c r="J519" s="95">
        <f>VLOOKUP($D519,Construction!$B:$F,(COLUMN(Construction_BuildingReward_Power)-COLUMN(Construction_Name_and_Level)+1),FALSE)</f>
        <v>35</v>
      </c>
      <c r="Q519" s="139">
        <v>3.472222222222222E-3</v>
      </c>
      <c r="R519" s="139">
        <v>7.6388888888888886E-3</v>
      </c>
      <c r="AF519" s="141"/>
      <c r="AG519" s="141"/>
      <c r="AH519" s="137"/>
      <c r="AI519" s="484"/>
      <c r="AJ519" s="137">
        <f t="shared" si="136"/>
        <v>7.2916666666666657E-2</v>
      </c>
      <c r="AK519" s="339">
        <v>0.41</v>
      </c>
      <c r="AL519" s="138">
        <f>VLOOKUP($D519,Construction!$B:$C,(COLUMN(Construction_Time)-COLUMN(Construction_Name_and_Level)+1),FALSE)</f>
        <v>9.2592592592592605E-3</v>
      </c>
      <c r="AM519" s="138">
        <f t="shared" si="139"/>
        <v>6.5668505384817452E-3</v>
      </c>
      <c r="AN519" s="138">
        <f t="shared" si="133"/>
        <v>0</v>
      </c>
      <c r="AO519" s="139">
        <f t="shared" si="134"/>
        <v>0</v>
      </c>
      <c r="AU519" s="94">
        <f>VLOOKUP($D519,Construction!$B:$J,(COLUMN(Construction_BuildingCost_Stone)-COLUMN(Construction_Name_and_Level)+1),FALSE)*(-1)</f>
        <v>-837</v>
      </c>
      <c r="AV519" s="94">
        <f>VLOOKUP($D519,Construction!$B:$J,(COLUMN(Construction_BuildingCost_Wood)-COLUMN(Construction_Name_and_Level)+1),FALSE)*(-1)</f>
        <v>-837</v>
      </c>
      <c r="AW519" s="94">
        <f>VLOOKUP($D519,Construction!$B:$J,(COLUMN(Construction_BuildingCost_Ore)-COLUMN(Construction_Name_and_Level)+1),FALSE)*(-1)</f>
        <v>-837</v>
      </c>
      <c r="AX519" s="94">
        <f>VLOOKUP($D519,Construction!$B:$J,(COLUMN(Construction_BuildingCost_Food)-COLUMN(Construction_Name_and_Level)+1),FALSE)*(-1)</f>
        <v>0</v>
      </c>
    </row>
    <row r="520" spans="2:92" ht="15" customHeight="1">
      <c r="B520" s="506" t="s">
        <v>144</v>
      </c>
      <c r="C520" s="127" t="s">
        <v>138</v>
      </c>
      <c r="D520" s="144" t="s">
        <v>1570</v>
      </c>
      <c r="E520" s="506">
        <v>17</v>
      </c>
      <c r="F520" s="12">
        <v>0.3</v>
      </c>
      <c r="G520" s="94">
        <f>VLOOKUP($D520,Construction!$B:$E,(COLUMN(Construction_BuildingReward_HeroXP)-COLUMN(Construction_Name_and_Level)+1),FALSE)</f>
        <v>400</v>
      </c>
      <c r="H520" s="94">
        <f t="shared" si="131"/>
        <v>520</v>
      </c>
      <c r="J520" s="95">
        <f>VLOOKUP($D520,Construction!$B:$F,(COLUMN(Construction_BuildingReward_Power)-COLUMN(Construction_Name_and_Level)+1),FALSE)</f>
        <v>35</v>
      </c>
      <c r="Q520" s="139">
        <v>3.472222222222222E-3</v>
      </c>
      <c r="R520" s="139">
        <v>7.6388888888888886E-3</v>
      </c>
      <c r="AF520" s="141"/>
      <c r="AG520" s="141"/>
      <c r="AH520" s="137"/>
      <c r="AI520" s="484"/>
      <c r="AJ520" s="137">
        <f t="shared" si="136"/>
        <v>7.2916666666666657E-2</v>
      </c>
      <c r="AK520" s="339">
        <v>0.41</v>
      </c>
      <c r="AL520" s="138">
        <f>VLOOKUP($D520,Construction!$B:$C,(COLUMN(Construction_Time)-COLUMN(Construction_Name_and_Level)+1),FALSE)</f>
        <v>9.2592592592592605E-3</v>
      </c>
      <c r="AM520" s="138">
        <f t="shared" si="139"/>
        <v>6.5668505384817452E-3</v>
      </c>
      <c r="AN520" s="138">
        <f t="shared" si="133"/>
        <v>0</v>
      </c>
      <c r="AO520" s="139">
        <f t="shared" si="134"/>
        <v>0</v>
      </c>
      <c r="AU520" s="94">
        <f>VLOOKUP($D520,Construction!$B:$J,(COLUMN(Construction_BuildingCost_Stone)-COLUMN(Construction_Name_and_Level)+1),FALSE)*(-1)</f>
        <v>-837</v>
      </c>
      <c r="AV520" s="94">
        <f>VLOOKUP($D520,Construction!$B:$J,(COLUMN(Construction_BuildingCost_Wood)-COLUMN(Construction_Name_and_Level)+1),FALSE)*(-1)</f>
        <v>-837</v>
      </c>
      <c r="AW520" s="94">
        <f>VLOOKUP($D520,Construction!$B:$J,(COLUMN(Construction_BuildingCost_Ore)-COLUMN(Construction_Name_and_Level)+1),FALSE)*(-1)</f>
        <v>-837</v>
      </c>
      <c r="AX520" s="94">
        <f>VLOOKUP($D520,Construction!$B:$J,(COLUMN(Construction_BuildingCost_Food)-COLUMN(Construction_Name_and_Level)+1),FALSE)*(-1)</f>
        <v>0</v>
      </c>
    </row>
    <row r="521" spans="2:92" ht="15" customHeight="1">
      <c r="B521" s="506" t="s">
        <v>145</v>
      </c>
      <c r="C521" s="146" t="s">
        <v>151</v>
      </c>
      <c r="D521" s="145">
        <v>3.7268518518518514E-3</v>
      </c>
      <c r="E521" s="506">
        <v>17</v>
      </c>
      <c r="AF521" s="141"/>
      <c r="AG521" s="141"/>
      <c r="AH521" s="137"/>
      <c r="AI521" s="484"/>
      <c r="AJ521" s="137">
        <f t="shared" si="136"/>
        <v>7.2916666666666657E-2</v>
      </c>
      <c r="CN521" s="5">
        <v>7000</v>
      </c>
    </row>
    <row r="522" spans="2:92" ht="15" customHeight="1">
      <c r="B522" s="506" t="s">
        <v>144</v>
      </c>
      <c r="C522" s="127" t="s">
        <v>138</v>
      </c>
      <c r="D522" s="144" t="s">
        <v>1637</v>
      </c>
      <c r="E522" s="506">
        <v>17</v>
      </c>
      <c r="F522" s="12">
        <v>0.3</v>
      </c>
      <c r="G522" s="94">
        <f>VLOOKUP($D522,Construction!$B:$E,(COLUMN(Construction_BuildingReward_HeroXP)-COLUMN(Construction_Name_and_Level)+1),FALSE)</f>
        <v>500</v>
      </c>
      <c r="H522" s="94">
        <f>G522*(1+F522)</f>
        <v>650</v>
      </c>
      <c r="J522" s="95">
        <f>VLOOKUP($D522,Construction!$B:$F,(COLUMN(Construction_BuildingReward_Power)-COLUMN(Construction_Name_and_Level)+1),FALSE)</f>
        <v>55</v>
      </c>
      <c r="Q522" s="139">
        <v>3.472222222222222E-3</v>
      </c>
      <c r="R522" s="139">
        <v>7.6388888888888886E-3</v>
      </c>
      <c r="AF522" s="141"/>
      <c r="AG522" s="141"/>
      <c r="AH522" s="137"/>
      <c r="AI522" s="484"/>
      <c r="AJ522" s="137">
        <f t="shared" si="136"/>
        <v>7.2916666666666657E-2</v>
      </c>
      <c r="AK522" s="339">
        <v>0.41</v>
      </c>
      <c r="AL522" s="138">
        <f>VLOOKUP($D522,Construction!$B:$C,(COLUMN(Construction_Time)-COLUMN(Construction_Name_and_Level)+1),FALSE)</f>
        <v>1.8518518518518521E-2</v>
      </c>
      <c r="AM522" s="138">
        <f t="shared" ref="AM522" si="140">AL522/(1+AK522)</f>
        <v>1.313370107696349E-2</v>
      </c>
      <c r="AN522" s="138">
        <f>(S$3*S522+T$3*T522+V$3*V522+W$3*W522+X$3*X522+Y$3*Y522+Z$3*Z522+AA$3*AA522+AB$3*AB522+AC$3*AC522)*(-1)</f>
        <v>0</v>
      </c>
      <c r="AO522" s="139">
        <f>IF((AM522-Q522-R522-AN522)&gt;=0,AM522-Q522-R522-AN522,0)</f>
        <v>2.0225899658523798E-3</v>
      </c>
      <c r="AU522" s="94">
        <f>VLOOKUP($D522,Construction!$B:$J,(COLUMN(Construction_BuildingCost_Stone)-COLUMN(Construction_Name_and_Level)+1),FALSE)*(-1)</f>
        <v>-1674</v>
      </c>
      <c r="AV522" s="94">
        <f>VLOOKUP($D522,Construction!$B:$J,(COLUMN(Construction_BuildingCost_Wood)-COLUMN(Construction_Name_and_Level)+1),FALSE)*(-1)</f>
        <v>-1674</v>
      </c>
      <c r="AW522" s="94">
        <f>VLOOKUP($D522,Construction!$B:$J,(COLUMN(Construction_BuildingCost_Ore)-COLUMN(Construction_Name_and_Level)+1),FALSE)*(-1)</f>
        <v>-1674</v>
      </c>
      <c r="AX522" s="94">
        <f>VLOOKUP($D522,Construction!$B:$J,(COLUMN(Construction_BuildingCost_Food)-COLUMN(Construction_Name_and_Level)+1),FALSE)*(-1)</f>
        <v>0</v>
      </c>
    </row>
    <row r="523" spans="2:92" ht="15" customHeight="1">
      <c r="B523" s="506" t="s">
        <v>195</v>
      </c>
      <c r="C523" s="127" t="s">
        <v>468</v>
      </c>
      <c r="D523" s="144">
        <v>1.037037037037037E-2</v>
      </c>
      <c r="E523" s="506">
        <v>17</v>
      </c>
      <c r="F523" s="12">
        <v>0.3</v>
      </c>
      <c r="G523" s="211">
        <v>2800</v>
      </c>
      <c r="H523" s="211">
        <f t="shared" ref="H523" si="141">G523*(1+F523)</f>
        <v>3640</v>
      </c>
      <c r="AF523" s="141"/>
      <c r="AG523" s="141"/>
      <c r="AH523" s="137"/>
      <c r="AI523" s="484"/>
      <c r="AJ523" s="137">
        <f t="shared" si="136"/>
        <v>7.2916666666666657E-2</v>
      </c>
      <c r="AU523" s="211"/>
      <c r="AV523" s="211">
        <v>7000</v>
      </c>
      <c r="AW523" s="211"/>
      <c r="AX523" s="211">
        <v>7000</v>
      </c>
      <c r="AY523" s="160"/>
      <c r="CL523" s="211">
        <v>2000</v>
      </c>
      <c r="CM523" s="160">
        <f>CL523</f>
        <v>2000</v>
      </c>
    </row>
    <row r="524" spans="2:92" ht="15" customHeight="1">
      <c r="B524" s="506" t="s">
        <v>144</v>
      </c>
      <c r="C524" s="127" t="s">
        <v>138</v>
      </c>
      <c r="D524" s="144" t="s">
        <v>1508</v>
      </c>
      <c r="E524" s="506">
        <v>17</v>
      </c>
      <c r="F524" s="12">
        <v>0.3</v>
      </c>
      <c r="G524" s="94">
        <f>VLOOKUP($D524,Construction!$B:$E,(COLUMN(Construction_BuildingReward_HeroXP)-COLUMN(Construction_Name_and_Level)+1),FALSE)</f>
        <v>10</v>
      </c>
      <c r="H524" s="94">
        <f t="shared" ref="H524:H533" si="142">G524*(1+F524)</f>
        <v>13</v>
      </c>
      <c r="J524" s="95">
        <f>VLOOKUP($D524,Construction!$B:$F,(COLUMN(Construction_BuildingReward_Power)-COLUMN(Construction_Name_and_Level)+1),FALSE)</f>
        <v>5</v>
      </c>
      <c r="Q524" s="139">
        <v>3.472222222222222E-3</v>
      </c>
      <c r="R524" s="139">
        <v>7.6388888888888886E-3</v>
      </c>
      <c r="AF524" s="141"/>
      <c r="AG524" s="141"/>
      <c r="AH524" s="137"/>
      <c r="AI524" s="484"/>
      <c r="AJ524" s="137">
        <f t="shared" si="136"/>
        <v>7.2916666666666657E-2</v>
      </c>
      <c r="AK524" s="339">
        <v>0.41</v>
      </c>
      <c r="AL524" s="138">
        <f>VLOOKUP($D524,Construction!$B:$C,(COLUMN(Construction_Time)-COLUMN(Construction_Name_and_Level)+1),FALSE)</f>
        <v>6.9444444444444447E-4</v>
      </c>
      <c r="AM524" s="138">
        <f t="shared" ref="AM524:AM528" si="143">AL524/(1+AK524)</f>
        <v>4.9251379038613087E-4</v>
      </c>
      <c r="AN524" s="138">
        <f t="shared" ref="AN524:AN533" si="144">(S$3*S524+T$3*T524+V$3*V524+W$3*W524+X$3*X524+Y$3*Y524+Z$3*Z524+AA$3*AA524+AB$3*AB524+AC$3*AC524)*(-1)</f>
        <v>0</v>
      </c>
      <c r="AO524" s="139">
        <f t="shared" ref="AO524:AO533" si="145">IF((AM524-Q524-R524-AN524)&gt;=0,AM524-Q524-R524-AN524,0)</f>
        <v>0</v>
      </c>
      <c r="AU524" s="94">
        <f>VLOOKUP($D524,Construction!$B:$J,(COLUMN(Construction_BuildingCost_Stone)-COLUMN(Construction_Name_and_Level)+1),FALSE)*(-1)</f>
        <v>0</v>
      </c>
      <c r="AV524" s="94">
        <f>VLOOKUP($D524,Construction!$B:$J,(COLUMN(Construction_BuildingCost_Wood)-COLUMN(Construction_Name_and_Level)+1),FALSE)*(-1)</f>
        <v>-100</v>
      </c>
      <c r="AW524" s="94">
        <f>VLOOKUP($D524,Construction!$B:$J,(COLUMN(Construction_BuildingCost_Ore)-COLUMN(Construction_Name_and_Level)+1),FALSE)*(-1)</f>
        <v>-100</v>
      </c>
      <c r="AX524" s="94">
        <f>VLOOKUP($D524,Construction!$B:$J,(COLUMN(Construction_BuildingCost_Food)-COLUMN(Construction_Name_and_Level)+1),FALSE)*(-1)</f>
        <v>-100</v>
      </c>
    </row>
    <row r="525" spans="2:92" ht="15" customHeight="1">
      <c r="B525" s="506" t="s">
        <v>144</v>
      </c>
      <c r="C525" s="127" t="s">
        <v>138</v>
      </c>
      <c r="D525" s="144" t="s">
        <v>663</v>
      </c>
      <c r="E525" s="506">
        <v>17</v>
      </c>
      <c r="F525" s="12">
        <v>0.3</v>
      </c>
      <c r="G525" s="94">
        <f>VLOOKUP($D525,Construction!$B:$E,(COLUMN(Construction_BuildingReward_HeroXP)-COLUMN(Construction_Name_and_Level)+1),FALSE)</f>
        <v>25</v>
      </c>
      <c r="H525" s="94">
        <f t="shared" si="142"/>
        <v>32.5</v>
      </c>
      <c r="J525" s="95">
        <f>VLOOKUP($D525,Construction!$B:$F,(COLUMN(Construction_BuildingReward_Power)-COLUMN(Construction_Name_and_Level)+1),FALSE)</f>
        <v>10</v>
      </c>
      <c r="Q525" s="139">
        <v>3.472222222222222E-3</v>
      </c>
      <c r="R525" s="139">
        <v>7.6388888888888886E-3</v>
      </c>
      <c r="AF525" s="141"/>
      <c r="AG525" s="141"/>
      <c r="AH525" s="137"/>
      <c r="AI525" s="484"/>
      <c r="AJ525" s="137">
        <f t="shared" si="136"/>
        <v>7.2916666666666657E-2</v>
      </c>
      <c r="AK525" s="339">
        <v>0.41</v>
      </c>
      <c r="AL525" s="138">
        <f>VLOOKUP($D525,Construction!$B:$C,(COLUMN(Construction_Time)-COLUMN(Construction_Name_and_Level)+1),FALSE)</f>
        <v>1.6203703703703703E-3</v>
      </c>
      <c r="AM525" s="138">
        <f t="shared" si="143"/>
        <v>1.1491988442343052E-3</v>
      </c>
      <c r="AN525" s="138">
        <f t="shared" si="144"/>
        <v>0</v>
      </c>
      <c r="AO525" s="139">
        <f t="shared" si="145"/>
        <v>0</v>
      </c>
      <c r="AU525" s="94">
        <f>VLOOKUP($D525,Construction!$B:$J,(COLUMN(Construction_BuildingCost_Stone)-COLUMN(Construction_Name_and_Level)+1),FALSE)*(-1)</f>
        <v>0</v>
      </c>
      <c r="AV525" s="94">
        <f>VLOOKUP($D525,Construction!$B:$J,(COLUMN(Construction_BuildingCost_Wood)-COLUMN(Construction_Name_and_Level)+1),FALSE)*(-1)</f>
        <v>-170</v>
      </c>
      <c r="AW525" s="94">
        <f>VLOOKUP($D525,Construction!$B:$J,(COLUMN(Construction_BuildingCost_Ore)-COLUMN(Construction_Name_and_Level)+1),FALSE)*(-1)</f>
        <v>-170</v>
      </c>
      <c r="AX525" s="94">
        <f>VLOOKUP($D525,Construction!$B:$J,(COLUMN(Construction_BuildingCost_Food)-COLUMN(Construction_Name_and_Level)+1),FALSE)*(-1)</f>
        <v>-170</v>
      </c>
    </row>
    <row r="526" spans="2:92" ht="15" customHeight="1">
      <c r="B526" s="506" t="s">
        <v>144</v>
      </c>
      <c r="C526" s="127" t="s">
        <v>138</v>
      </c>
      <c r="D526" s="144" t="s">
        <v>408</v>
      </c>
      <c r="E526" s="506">
        <v>17</v>
      </c>
      <c r="F526" s="12">
        <v>0.3</v>
      </c>
      <c r="G526" s="94">
        <f>VLOOKUP($D526,Construction!$B:$E,(COLUMN(Construction_BuildingReward_HeroXP)-COLUMN(Construction_Name_and_Level)+1),FALSE)</f>
        <v>50</v>
      </c>
      <c r="H526" s="94">
        <f t="shared" si="142"/>
        <v>65</v>
      </c>
      <c r="J526" s="95">
        <f>VLOOKUP($D526,Construction!$B:$F,(COLUMN(Construction_BuildingReward_Power)-COLUMN(Construction_Name_and_Level)+1),FALSE)</f>
        <v>15</v>
      </c>
      <c r="Q526" s="139">
        <v>3.472222222222222E-3</v>
      </c>
      <c r="R526" s="139">
        <v>7.6388888888888886E-3</v>
      </c>
      <c r="AF526" s="141"/>
      <c r="AG526" s="141"/>
      <c r="AH526" s="137"/>
      <c r="AI526" s="484"/>
      <c r="AJ526" s="137">
        <f t="shared" si="136"/>
        <v>7.2916666666666657E-2</v>
      </c>
      <c r="AK526" s="339">
        <v>0.41</v>
      </c>
      <c r="AL526" s="138">
        <f>VLOOKUP($D526,Construction!$B:$C,(COLUMN(Construction_Time)-COLUMN(Construction_Name_and_Level)+1),FALSE)</f>
        <v>3.2407407407407406E-3</v>
      </c>
      <c r="AM526" s="138">
        <f t="shared" si="143"/>
        <v>2.2983976884686104E-3</v>
      </c>
      <c r="AN526" s="138">
        <f t="shared" si="144"/>
        <v>0</v>
      </c>
      <c r="AO526" s="139">
        <f t="shared" si="145"/>
        <v>0</v>
      </c>
      <c r="AU526" s="94">
        <f>VLOOKUP($D526,Construction!$B:$J,(COLUMN(Construction_BuildingCost_Stone)-COLUMN(Construction_Name_and_Level)+1),FALSE)*(-1)</f>
        <v>0</v>
      </c>
      <c r="AV526" s="94">
        <f>VLOOKUP($D526,Construction!$B:$J,(COLUMN(Construction_BuildingCost_Wood)-COLUMN(Construction_Name_and_Level)+1),FALSE)*(-1)</f>
        <v>-289</v>
      </c>
      <c r="AW526" s="94">
        <f>VLOOKUP($D526,Construction!$B:$J,(COLUMN(Construction_BuildingCost_Ore)-COLUMN(Construction_Name_and_Level)+1),FALSE)*(-1)</f>
        <v>-289</v>
      </c>
      <c r="AX526" s="94">
        <f>VLOOKUP($D526,Construction!$B:$J,(COLUMN(Construction_BuildingCost_Food)-COLUMN(Construction_Name_and_Level)+1),FALSE)*(-1)</f>
        <v>-289</v>
      </c>
    </row>
    <row r="527" spans="2:92" ht="15" customHeight="1">
      <c r="B527" s="506" t="s">
        <v>144</v>
      </c>
      <c r="C527" s="127" t="s">
        <v>138</v>
      </c>
      <c r="D527" s="144" t="s">
        <v>429</v>
      </c>
      <c r="E527" s="506">
        <v>17</v>
      </c>
      <c r="F527" s="12">
        <v>0.3</v>
      </c>
      <c r="G527" s="94">
        <f>VLOOKUP($D527,Construction!$B:$E,(COLUMN(Construction_BuildingReward_HeroXP)-COLUMN(Construction_Name_and_Level)+1),FALSE)</f>
        <v>200</v>
      </c>
      <c r="H527" s="94">
        <f t="shared" si="142"/>
        <v>260</v>
      </c>
      <c r="J527" s="95">
        <f>VLOOKUP($D527,Construction!$B:$F,(COLUMN(Construction_BuildingReward_Power)-COLUMN(Construction_Name_and_Level)+1),FALSE)</f>
        <v>25</v>
      </c>
      <c r="Q527" s="139">
        <v>3.472222222222222E-3</v>
      </c>
      <c r="R527" s="139">
        <v>7.6388888888888886E-3</v>
      </c>
      <c r="AF527" s="141"/>
      <c r="AG527" s="141"/>
      <c r="AH527" s="137"/>
      <c r="AI527" s="484"/>
      <c r="AJ527" s="137">
        <f t="shared" si="136"/>
        <v>7.2916666666666657E-2</v>
      </c>
      <c r="AK527" s="339">
        <v>0.41</v>
      </c>
      <c r="AL527" s="138">
        <f>VLOOKUP($D527,Construction!$B:$C,(COLUMN(Construction_Time)-COLUMN(Construction_Name_and_Level)+1),FALSE)</f>
        <v>6.4814814814814813E-3</v>
      </c>
      <c r="AM527" s="138">
        <f t="shared" si="143"/>
        <v>4.5967953769372209E-3</v>
      </c>
      <c r="AN527" s="138">
        <f t="shared" si="144"/>
        <v>0</v>
      </c>
      <c r="AO527" s="139">
        <f t="shared" si="145"/>
        <v>0</v>
      </c>
      <c r="AU527" s="94">
        <f>VLOOKUP($D527,Construction!$B:$J,(COLUMN(Construction_BuildingCost_Stone)-COLUMN(Construction_Name_and_Level)+1),FALSE)*(-1)</f>
        <v>0</v>
      </c>
      <c r="AV527" s="94">
        <f>VLOOKUP($D527,Construction!$B:$J,(COLUMN(Construction_BuildingCost_Wood)-COLUMN(Construction_Name_and_Level)+1),FALSE)*(-1)</f>
        <v>-492</v>
      </c>
      <c r="AW527" s="94">
        <f>VLOOKUP($D527,Construction!$B:$J,(COLUMN(Construction_BuildingCost_Ore)-COLUMN(Construction_Name_and_Level)+1),FALSE)*(-1)</f>
        <v>-492</v>
      </c>
      <c r="AX527" s="94">
        <f>VLOOKUP($D527,Construction!$B:$J,(COLUMN(Construction_BuildingCost_Food)-COLUMN(Construction_Name_and_Level)+1),FALSE)*(-1)</f>
        <v>-492</v>
      </c>
    </row>
    <row r="528" spans="2:92" ht="15" customHeight="1">
      <c r="B528" s="506" t="s">
        <v>144</v>
      </c>
      <c r="C528" s="127" t="s">
        <v>138</v>
      </c>
      <c r="D528" s="144" t="s">
        <v>430</v>
      </c>
      <c r="E528" s="506">
        <v>17</v>
      </c>
      <c r="F528" s="12">
        <v>0.3</v>
      </c>
      <c r="G528" s="94">
        <f>VLOOKUP($D528,Construction!$B:$E,(COLUMN(Construction_BuildingReward_HeroXP)-COLUMN(Construction_Name_and_Level)+1),FALSE)</f>
        <v>400</v>
      </c>
      <c r="H528" s="94">
        <f t="shared" si="142"/>
        <v>520</v>
      </c>
      <c r="J528" s="95">
        <f>VLOOKUP($D528,Construction!$B:$F,(COLUMN(Construction_BuildingReward_Power)-COLUMN(Construction_Name_and_Level)+1),FALSE)</f>
        <v>35</v>
      </c>
      <c r="Q528" s="139">
        <v>3.472222222222222E-3</v>
      </c>
      <c r="R528" s="139">
        <v>7.6388888888888886E-3</v>
      </c>
      <c r="AF528" s="141"/>
      <c r="AG528" s="141"/>
      <c r="AH528" s="137"/>
      <c r="AI528" s="484"/>
      <c r="AJ528" s="137">
        <f t="shared" si="136"/>
        <v>7.2916666666666657E-2</v>
      </c>
      <c r="AK528" s="339">
        <v>0.41</v>
      </c>
      <c r="AL528" s="138">
        <f>VLOOKUP($D528,Construction!$B:$C,(COLUMN(Construction_Time)-COLUMN(Construction_Name_and_Level)+1),FALSE)</f>
        <v>1.2962962962962963E-2</v>
      </c>
      <c r="AM528" s="138">
        <f t="shared" si="143"/>
        <v>9.1935907538744418E-3</v>
      </c>
      <c r="AN528" s="138">
        <f t="shared" si="144"/>
        <v>0</v>
      </c>
      <c r="AO528" s="139">
        <f t="shared" si="145"/>
        <v>0</v>
      </c>
      <c r="AU528" s="94">
        <f>VLOOKUP($D528,Construction!$B:$J,(COLUMN(Construction_BuildingCost_Stone)-COLUMN(Construction_Name_and_Level)+1),FALSE)*(-1)</f>
        <v>0</v>
      </c>
      <c r="AV528" s="94">
        <f>VLOOKUP($D528,Construction!$B:$J,(COLUMN(Construction_BuildingCost_Wood)-COLUMN(Construction_Name_and_Level)+1),FALSE)*(-1)</f>
        <v>-837</v>
      </c>
      <c r="AW528" s="94">
        <f>VLOOKUP($D528,Construction!$B:$J,(COLUMN(Construction_BuildingCost_Ore)-COLUMN(Construction_Name_and_Level)+1),FALSE)*(-1)</f>
        <v>-837</v>
      </c>
      <c r="AX528" s="94">
        <f>VLOOKUP($D528,Construction!$B:$J,(COLUMN(Construction_BuildingCost_Food)-COLUMN(Construction_Name_and_Level)+1),FALSE)*(-1)</f>
        <v>-837</v>
      </c>
    </row>
    <row r="529" spans="2:108" ht="15" customHeight="1">
      <c r="B529" s="506" t="s">
        <v>144</v>
      </c>
      <c r="C529" s="127" t="s">
        <v>138</v>
      </c>
      <c r="D529" s="144" t="s">
        <v>1473</v>
      </c>
      <c r="E529" s="506">
        <v>17</v>
      </c>
      <c r="F529" s="12">
        <v>0.3</v>
      </c>
      <c r="G529" s="94">
        <f>VLOOKUP($D529,Construction!$B:$E,(COLUMN(Construction_BuildingReward_HeroXP)-COLUMN(Construction_Name_and_Level)+1),FALSE)</f>
        <v>10</v>
      </c>
      <c r="H529" s="94">
        <f t="shared" si="142"/>
        <v>13</v>
      </c>
      <c r="J529" s="95">
        <f>VLOOKUP($D529,Construction!$B:$F,(COLUMN(Construction_BuildingReward_Power)-COLUMN(Construction_Name_and_Level)+1),FALSE)</f>
        <v>5</v>
      </c>
      <c r="Q529" s="139">
        <v>3.472222222222222E-3</v>
      </c>
      <c r="R529" s="139">
        <v>7.6388888888888886E-3</v>
      </c>
      <c r="AF529" s="141"/>
      <c r="AG529" s="141"/>
      <c r="AH529" s="137"/>
      <c r="AI529" s="484"/>
      <c r="AJ529" s="137">
        <f t="shared" si="136"/>
        <v>7.2916666666666657E-2</v>
      </c>
      <c r="AK529" s="339">
        <v>0.41</v>
      </c>
      <c r="AL529" s="138">
        <f>VLOOKUP($D529,Construction!$B:$C,(COLUMN(Construction_Time)-COLUMN(Construction_Name_and_Level)+1),FALSE)</f>
        <v>6.9444444444444447E-4</v>
      </c>
      <c r="AM529" s="138">
        <f t="shared" ref="AM529:AM533" si="146">AL529/(1+AK529)</f>
        <v>4.9251379038613087E-4</v>
      </c>
      <c r="AN529" s="138">
        <f t="shared" si="144"/>
        <v>0</v>
      </c>
      <c r="AO529" s="139">
        <f t="shared" si="145"/>
        <v>0</v>
      </c>
      <c r="AU529" s="94">
        <f>VLOOKUP($D529,Construction!$B:$J,(COLUMN(Construction_BuildingCost_Stone)-COLUMN(Construction_Name_and_Level)+1),FALSE)*(-1)</f>
        <v>-100</v>
      </c>
      <c r="AV529" s="94">
        <f>VLOOKUP($D529,Construction!$B:$J,(COLUMN(Construction_BuildingCost_Wood)-COLUMN(Construction_Name_and_Level)+1),FALSE)*(-1)</f>
        <v>0</v>
      </c>
      <c r="AW529" s="94">
        <f>VLOOKUP($D529,Construction!$B:$J,(COLUMN(Construction_BuildingCost_Ore)-COLUMN(Construction_Name_and_Level)+1),FALSE)*(-1)</f>
        <v>-100</v>
      </c>
      <c r="AX529" s="94">
        <f>VLOOKUP($D529,Construction!$B:$J,(COLUMN(Construction_BuildingCost_Food)-COLUMN(Construction_Name_and_Level)+1),FALSE)*(-1)</f>
        <v>-100</v>
      </c>
    </row>
    <row r="530" spans="2:108" ht="15" customHeight="1">
      <c r="B530" s="506" t="s">
        <v>144</v>
      </c>
      <c r="C530" s="127" t="s">
        <v>138</v>
      </c>
      <c r="D530" s="144" t="s">
        <v>776</v>
      </c>
      <c r="E530" s="506">
        <v>17</v>
      </c>
      <c r="F530" s="12">
        <v>0.3</v>
      </c>
      <c r="G530" s="94">
        <f>VLOOKUP($D530,Construction!$B:$E,(COLUMN(Construction_BuildingReward_HeroXP)-COLUMN(Construction_Name_and_Level)+1),FALSE)</f>
        <v>25</v>
      </c>
      <c r="H530" s="94">
        <f t="shared" si="142"/>
        <v>32.5</v>
      </c>
      <c r="J530" s="95">
        <f>VLOOKUP($D530,Construction!$B:$F,(COLUMN(Construction_BuildingReward_Power)-COLUMN(Construction_Name_and_Level)+1),FALSE)</f>
        <v>10</v>
      </c>
      <c r="Q530" s="139">
        <v>3.472222222222222E-3</v>
      </c>
      <c r="R530" s="139">
        <v>7.6388888888888886E-3</v>
      </c>
      <c r="AF530" s="141"/>
      <c r="AG530" s="141"/>
      <c r="AH530" s="137"/>
      <c r="AI530" s="484"/>
      <c r="AJ530" s="137">
        <f t="shared" si="136"/>
        <v>7.2916666666666657E-2</v>
      </c>
      <c r="AK530" s="339">
        <v>0.41</v>
      </c>
      <c r="AL530" s="138">
        <f>VLOOKUP($D530,Construction!$B:$C,(COLUMN(Construction_Time)-COLUMN(Construction_Name_and_Level)+1),FALSE)</f>
        <v>1.3888888888888889E-3</v>
      </c>
      <c r="AM530" s="138">
        <f t="shared" si="146"/>
        <v>9.8502758077226174E-4</v>
      </c>
      <c r="AN530" s="138">
        <f t="shared" si="144"/>
        <v>0</v>
      </c>
      <c r="AO530" s="139">
        <f t="shared" si="145"/>
        <v>0</v>
      </c>
      <c r="AU530" s="94">
        <f>VLOOKUP($D530,Construction!$B:$J,(COLUMN(Construction_BuildingCost_Stone)-COLUMN(Construction_Name_and_Level)+1),FALSE)*(-1)</f>
        <v>-170</v>
      </c>
      <c r="AV530" s="94">
        <f>VLOOKUP($D530,Construction!$B:$J,(COLUMN(Construction_BuildingCost_Wood)-COLUMN(Construction_Name_and_Level)+1),FALSE)*(-1)</f>
        <v>0</v>
      </c>
      <c r="AW530" s="94">
        <f>VLOOKUP($D530,Construction!$B:$J,(COLUMN(Construction_BuildingCost_Ore)-COLUMN(Construction_Name_and_Level)+1),FALSE)*(-1)</f>
        <v>-170</v>
      </c>
      <c r="AX530" s="94">
        <f>VLOOKUP($D530,Construction!$B:$J,(COLUMN(Construction_BuildingCost_Food)-COLUMN(Construction_Name_and_Level)+1),FALSE)*(-1)</f>
        <v>-170</v>
      </c>
    </row>
    <row r="531" spans="2:108" ht="15" customHeight="1">
      <c r="B531" s="506" t="s">
        <v>144</v>
      </c>
      <c r="C531" s="127" t="s">
        <v>138</v>
      </c>
      <c r="D531" s="144" t="s">
        <v>410</v>
      </c>
      <c r="E531" s="506">
        <v>17</v>
      </c>
      <c r="F531" s="12">
        <v>0.3</v>
      </c>
      <c r="G531" s="94">
        <f>VLOOKUP($D531,Construction!$B:$E,(COLUMN(Construction_BuildingReward_HeroXP)-COLUMN(Construction_Name_and_Level)+1),FALSE)</f>
        <v>50</v>
      </c>
      <c r="H531" s="94">
        <f t="shared" si="142"/>
        <v>65</v>
      </c>
      <c r="J531" s="95">
        <f>VLOOKUP($D531,Construction!$B:$F,(COLUMN(Construction_BuildingReward_Power)-COLUMN(Construction_Name_and_Level)+1),FALSE)</f>
        <v>15</v>
      </c>
      <c r="Q531" s="139">
        <v>3.472222222222222E-3</v>
      </c>
      <c r="R531" s="139">
        <v>7.6388888888888886E-3</v>
      </c>
      <c r="AF531" s="141"/>
      <c r="AG531" s="141"/>
      <c r="AH531" s="137"/>
      <c r="AI531" s="484"/>
      <c r="AJ531" s="137">
        <f t="shared" si="136"/>
        <v>7.2916666666666657E-2</v>
      </c>
      <c r="AK531" s="339">
        <v>0.41</v>
      </c>
      <c r="AL531" s="138">
        <f>VLOOKUP($D531,Construction!$B:$C,(COLUMN(Construction_Time)-COLUMN(Construction_Name_and_Level)+1),FALSE)</f>
        <v>2.7777777777777779E-3</v>
      </c>
      <c r="AM531" s="138">
        <f t="shared" si="146"/>
        <v>1.9700551615445235E-3</v>
      </c>
      <c r="AN531" s="138">
        <f t="shared" si="144"/>
        <v>0</v>
      </c>
      <c r="AO531" s="139">
        <f t="shared" si="145"/>
        <v>0</v>
      </c>
      <c r="AU531" s="94">
        <f>VLOOKUP($D531,Construction!$B:$J,(COLUMN(Construction_BuildingCost_Stone)-COLUMN(Construction_Name_and_Level)+1),FALSE)*(-1)</f>
        <v>-289</v>
      </c>
      <c r="AV531" s="94">
        <f>VLOOKUP($D531,Construction!$B:$J,(COLUMN(Construction_BuildingCost_Wood)-COLUMN(Construction_Name_and_Level)+1),FALSE)*(-1)</f>
        <v>0</v>
      </c>
      <c r="AW531" s="94">
        <f>VLOOKUP($D531,Construction!$B:$J,(COLUMN(Construction_BuildingCost_Ore)-COLUMN(Construction_Name_and_Level)+1),FALSE)*(-1)</f>
        <v>-289</v>
      </c>
      <c r="AX531" s="94">
        <f>VLOOKUP($D531,Construction!$B:$J,(COLUMN(Construction_BuildingCost_Food)-COLUMN(Construction_Name_and_Level)+1),FALSE)*(-1)</f>
        <v>-289</v>
      </c>
    </row>
    <row r="532" spans="2:108" ht="15" customHeight="1">
      <c r="B532" s="506" t="s">
        <v>144</v>
      </c>
      <c r="C532" s="127" t="s">
        <v>138</v>
      </c>
      <c r="D532" s="144" t="s">
        <v>411</v>
      </c>
      <c r="E532" s="506">
        <v>17</v>
      </c>
      <c r="F532" s="12">
        <v>0.3</v>
      </c>
      <c r="G532" s="94">
        <f>VLOOKUP($D532,Construction!$B:$E,(COLUMN(Construction_BuildingReward_HeroXP)-COLUMN(Construction_Name_and_Level)+1),FALSE)</f>
        <v>200</v>
      </c>
      <c r="H532" s="94">
        <f t="shared" si="142"/>
        <v>260</v>
      </c>
      <c r="J532" s="95">
        <f>VLOOKUP($D532,Construction!$B:$F,(COLUMN(Construction_BuildingReward_Power)-COLUMN(Construction_Name_and_Level)+1),FALSE)</f>
        <v>25</v>
      </c>
      <c r="Q532" s="139">
        <v>3.472222222222222E-3</v>
      </c>
      <c r="R532" s="139">
        <v>7.6388888888888886E-3</v>
      </c>
      <c r="AF532" s="141"/>
      <c r="AG532" s="141"/>
      <c r="AH532" s="137"/>
      <c r="AI532" s="484"/>
      <c r="AJ532" s="137">
        <f t="shared" si="136"/>
        <v>7.2916666666666657E-2</v>
      </c>
      <c r="AK532" s="339">
        <v>0.41</v>
      </c>
      <c r="AL532" s="138">
        <f>VLOOKUP($D532,Construction!$B:$C,(COLUMN(Construction_Time)-COLUMN(Construction_Name_and_Level)+1),FALSE)</f>
        <v>5.5555555555555558E-3</v>
      </c>
      <c r="AM532" s="138">
        <f t="shared" si="146"/>
        <v>3.940110323089047E-3</v>
      </c>
      <c r="AN532" s="138">
        <f t="shared" si="144"/>
        <v>0</v>
      </c>
      <c r="AO532" s="139">
        <f t="shared" si="145"/>
        <v>0</v>
      </c>
      <c r="AU532" s="94">
        <f>VLOOKUP($D532,Construction!$B:$J,(COLUMN(Construction_BuildingCost_Stone)-COLUMN(Construction_Name_and_Level)+1),FALSE)*(-1)</f>
        <v>-492</v>
      </c>
      <c r="AV532" s="94">
        <f>VLOOKUP($D532,Construction!$B:$J,(COLUMN(Construction_BuildingCost_Wood)-COLUMN(Construction_Name_and_Level)+1),FALSE)*(-1)</f>
        <v>0</v>
      </c>
      <c r="AW532" s="94">
        <f>VLOOKUP($D532,Construction!$B:$J,(COLUMN(Construction_BuildingCost_Ore)-COLUMN(Construction_Name_and_Level)+1),FALSE)*(-1)</f>
        <v>-492</v>
      </c>
      <c r="AX532" s="94">
        <f>VLOOKUP($D532,Construction!$B:$J,(COLUMN(Construction_BuildingCost_Food)-COLUMN(Construction_Name_and_Level)+1),FALSE)*(-1)</f>
        <v>-492</v>
      </c>
    </row>
    <row r="533" spans="2:108" ht="15" customHeight="1">
      <c r="B533" s="506" t="s">
        <v>144</v>
      </c>
      <c r="C533" s="127" t="s">
        <v>138</v>
      </c>
      <c r="D533" s="144" t="s">
        <v>412</v>
      </c>
      <c r="E533" s="506">
        <v>17</v>
      </c>
      <c r="F533" s="12">
        <v>0.3</v>
      </c>
      <c r="G533" s="94">
        <f>VLOOKUP($D533,Construction!$B:$E,(COLUMN(Construction_BuildingReward_HeroXP)-COLUMN(Construction_Name_and_Level)+1),FALSE)</f>
        <v>400</v>
      </c>
      <c r="H533" s="94">
        <f t="shared" si="142"/>
        <v>520</v>
      </c>
      <c r="J533" s="95">
        <f>VLOOKUP($D533,Construction!$B:$F,(COLUMN(Construction_BuildingReward_Power)-COLUMN(Construction_Name_and_Level)+1),FALSE)</f>
        <v>35</v>
      </c>
      <c r="Q533" s="139">
        <v>3.472222222222222E-3</v>
      </c>
      <c r="R533" s="139">
        <v>7.6388888888888886E-3</v>
      </c>
      <c r="AF533" s="141"/>
      <c r="AG533" s="141"/>
      <c r="AH533" s="137"/>
      <c r="AI533" s="484"/>
      <c r="AJ533" s="137">
        <f t="shared" si="136"/>
        <v>7.2916666666666657E-2</v>
      </c>
      <c r="AK533" s="339">
        <v>0.41</v>
      </c>
      <c r="AL533" s="138">
        <f>VLOOKUP($D533,Construction!$B:$C,(COLUMN(Construction_Time)-COLUMN(Construction_Name_and_Level)+1),FALSE)</f>
        <v>1.1111111111111112E-2</v>
      </c>
      <c r="AM533" s="138">
        <f t="shared" si="146"/>
        <v>7.880220646178094E-3</v>
      </c>
      <c r="AN533" s="138">
        <f t="shared" si="144"/>
        <v>0</v>
      </c>
      <c r="AO533" s="139">
        <f t="shared" si="145"/>
        <v>0</v>
      </c>
      <c r="AU533" s="94">
        <f>VLOOKUP($D533,Construction!$B:$J,(COLUMN(Construction_BuildingCost_Stone)-COLUMN(Construction_Name_and_Level)+1),FALSE)*(-1)</f>
        <v>-837</v>
      </c>
      <c r="AV533" s="94">
        <f>VLOOKUP($D533,Construction!$B:$J,(COLUMN(Construction_BuildingCost_Wood)-COLUMN(Construction_Name_and_Level)+1),FALSE)*(-1)</f>
        <v>0</v>
      </c>
      <c r="AW533" s="94">
        <f>VLOOKUP($D533,Construction!$B:$J,(COLUMN(Construction_BuildingCost_Ore)-COLUMN(Construction_Name_and_Level)+1),FALSE)*(-1)</f>
        <v>-837</v>
      </c>
      <c r="AX533" s="94">
        <f>VLOOKUP($D533,Construction!$B:$J,(COLUMN(Construction_BuildingCost_Food)-COLUMN(Construction_Name_and_Level)+1),FALSE)*(-1)</f>
        <v>-837</v>
      </c>
    </row>
    <row r="534" spans="2:108" ht="15" customHeight="1">
      <c r="B534" s="506" t="s">
        <v>145</v>
      </c>
      <c r="C534" s="146" t="s">
        <v>151</v>
      </c>
      <c r="D534" s="145">
        <v>2.1087962962962961E-2</v>
      </c>
      <c r="E534" s="506">
        <v>17</v>
      </c>
      <c r="AF534" s="141"/>
      <c r="AG534" s="141"/>
      <c r="AH534" s="137"/>
      <c r="AI534" s="484"/>
      <c r="AJ534" s="137">
        <f t="shared" si="136"/>
        <v>7.2916666666666657E-2</v>
      </c>
      <c r="AU534" s="2">
        <v>1000</v>
      </c>
    </row>
    <row r="535" spans="2:108" ht="15" customHeight="1">
      <c r="B535" s="506" t="s">
        <v>148</v>
      </c>
      <c r="E535" s="506"/>
      <c r="AF535" s="141"/>
      <c r="AG535" s="141"/>
      <c r="AH535" s="137"/>
      <c r="AI535" s="484"/>
      <c r="AJ535" s="137">
        <f t="shared" si="136"/>
        <v>7.2916666666666657E-2</v>
      </c>
      <c r="AV535" s="142">
        <v>6000</v>
      </c>
    </row>
    <row r="536" spans="2:108" ht="15" customHeight="1">
      <c r="B536" s="506" t="s">
        <v>146</v>
      </c>
      <c r="C536" s="127" t="s">
        <v>138</v>
      </c>
      <c r="D536" s="144" t="s">
        <v>1670</v>
      </c>
      <c r="E536" s="506">
        <v>17</v>
      </c>
      <c r="F536" s="12">
        <v>0.3</v>
      </c>
      <c r="G536" s="111">
        <f>VLOOKUP($D536,Research!$C:$F,(COLUMN(Research_ResearchReward_HeroXP)-COLUMN(Research_Name_and_Level)+1),FALSE)</f>
        <v>30000</v>
      </c>
      <c r="H536" s="111">
        <f t="shared" ref="H536:H543" si="147">G536*(1+F536)</f>
        <v>39000</v>
      </c>
      <c r="J536" s="115">
        <f>VLOOKUP($D536,Research!$C:$G,(COLUMN(Research_ResearchReward_Power)-COLUMN(Research_Name_and_Level)+1),FALSE)</f>
        <v>1000</v>
      </c>
      <c r="R536" s="148">
        <v>7.6388888888888886E-3</v>
      </c>
      <c r="AF536" s="141"/>
      <c r="AG536" s="141"/>
      <c r="AH536" s="137"/>
      <c r="AI536" s="484"/>
      <c r="AJ536" s="137">
        <f t="shared" si="136"/>
        <v>7.2916666666666657E-2</v>
      </c>
      <c r="AP536" s="256">
        <v>0.47</v>
      </c>
      <c r="AQ536" s="147">
        <f>VLOOKUP($D536,Research!$C:$D,(COLUMN(Research_Time)-COLUMN(Research_Name_and_Level)+1),FALSE)</f>
        <v>4.1666666666666664E-2</v>
      </c>
      <c r="AR536" s="147">
        <f>AQ536/(1+AP536)</f>
        <v>2.8344671201814057E-2</v>
      </c>
      <c r="AS536" s="147">
        <f>(S$3*S536+T$3*T536+V$3*V536+W$3*W536+X$3*X536+Y$3*Y536+Z$3*Z536+AA$3*AA536+AB$3*AB536+AC$3*AC536)*(-1)</f>
        <v>0</v>
      </c>
      <c r="AT536" s="148">
        <f>IF(AR536-R536-AS536&gt;=0,AR536-R536-AS536,0)</f>
        <v>2.0705782312925167E-2</v>
      </c>
      <c r="AU536" s="111">
        <f>VLOOKUP($D536,Research!$C:$L,(COLUMN(Research_ResearchCost_Stone)-COLUMN(Research_Name_and_Level)+1),FALSE)*(-1)</f>
        <v>0</v>
      </c>
      <c r="AV536" s="111">
        <f>VLOOKUP($D536,Research!$C:$L,(COLUMN(Research_ResearchCost_Wood)-COLUMN(Research_Name_and_Level)+1),FALSE)*(-1)</f>
        <v>-20000</v>
      </c>
      <c r="AW536" s="111">
        <f>VLOOKUP($D536,Research!$C:$L,(COLUMN(Research_ResearchCost_Ore)-COLUMN(Research_Name_and_Level)+1),FALSE)*(-1)</f>
        <v>-15000</v>
      </c>
      <c r="AX536" s="111">
        <f>VLOOKUP($D536,Research!$C:$L,(COLUMN(Research_ResearchCost_Food)-COLUMN(Research_Name_and_Level)+1),FALSE)*(-1)</f>
        <v>0</v>
      </c>
      <c r="AY536" s="112">
        <f>VLOOKUP($D536,Research!$C:$L,(COLUMN(Research_ResearchCost_Silver)-COLUMN(Research_Name_and_Level)+1),FALSE)*(-1)</f>
        <v>-20000</v>
      </c>
    </row>
    <row r="537" spans="2:108" ht="15" customHeight="1">
      <c r="B537" s="102" t="s">
        <v>1455</v>
      </c>
      <c r="C537" s="127" t="s">
        <v>170</v>
      </c>
      <c r="D537" s="144" t="s">
        <v>1670</v>
      </c>
      <c r="E537" s="506">
        <v>17</v>
      </c>
      <c r="F537" s="12">
        <v>0.3</v>
      </c>
      <c r="G537" s="101">
        <f>VLOOKUP($D537,Research!$C:$M,(COLUMN(Research_QuestReward_HeroXP)-COLUMN(Research_Name_and_Level)+1),FALSE)</f>
        <v>20000</v>
      </c>
      <c r="H537" s="101">
        <f t="shared" si="147"/>
        <v>26000</v>
      </c>
      <c r="J537" s="103">
        <f>VLOOKUP($D537,Research!$C:$N,(COLUMN(Research_QuestReward_Power)-COLUMN(Research_Name_and_Level)+1),FALSE)</f>
        <v>2</v>
      </c>
      <c r="AF537" s="141"/>
      <c r="AG537" s="141"/>
      <c r="AH537" s="137"/>
      <c r="AI537" s="484"/>
      <c r="AJ537" s="137">
        <f t="shared" si="136"/>
        <v>7.2916666666666657E-2</v>
      </c>
      <c r="AU537" s="101">
        <f>VLOOKUP($D537,Research!$C:$S,(COLUMN(Research_QuestReward_Stone)-COLUMN(Research_Name_and_Level)+1),FALSE)</f>
        <v>0</v>
      </c>
      <c r="AV537" s="101">
        <f>VLOOKUP($D537,Research!$C:$S,(COLUMN(Research_QuestReward_Wood)-COLUMN(Research_Name_and_Level)+1),FALSE)</f>
        <v>32000</v>
      </c>
      <c r="AW537" s="101">
        <f>VLOOKUP($D537,Research!$C:$S,(COLUMN(Research_QuestReward_Ore)-COLUMN(Research_Name_and_Level)+1),FALSE)</f>
        <v>24000</v>
      </c>
      <c r="AX537" s="101">
        <f>VLOOKUP($D537,Research!$C:$S,(COLUMN(Research_QuestReward_Food)-COLUMN(Research_Name_and_Level)+1),FALSE)</f>
        <v>0</v>
      </c>
      <c r="AY537" s="100">
        <f>VLOOKUP($D537,Research!$C:$S,(COLUMN(Research_QuestReward_Silver)-COLUMN(Research_Name_and_Level)+1),FALSE)</f>
        <v>16000</v>
      </c>
      <c r="CT537" s="127"/>
      <c r="CU537" s="127"/>
      <c r="CV537" s="127"/>
      <c r="CW537" s="127"/>
      <c r="CX537" s="127"/>
      <c r="CY537" s="127"/>
      <c r="CZ537" s="127"/>
      <c r="DA537" s="127"/>
      <c r="DB537" s="127"/>
      <c r="DC537" s="127"/>
      <c r="DD537" s="127"/>
    </row>
    <row r="538" spans="2:108" ht="15" customHeight="1">
      <c r="B538" s="506" t="s">
        <v>144</v>
      </c>
      <c r="C538" s="127" t="s">
        <v>138</v>
      </c>
      <c r="D538" s="144" t="s">
        <v>1621</v>
      </c>
      <c r="E538" s="506">
        <v>17</v>
      </c>
      <c r="F538" s="12">
        <v>0.3</v>
      </c>
      <c r="G538" s="94">
        <f>VLOOKUP($D538,Construction!$B:$E,(COLUMN(Construction_BuildingReward_HeroXP)-COLUMN(Construction_Name_and_Level)+1),FALSE)</f>
        <v>500</v>
      </c>
      <c r="H538" s="94">
        <f t="shared" si="147"/>
        <v>650</v>
      </c>
      <c r="J538" s="95">
        <f>VLOOKUP($D538,Construction!$B:$F,(COLUMN(Construction_BuildingReward_Power)-COLUMN(Construction_Name_and_Level)+1),FALSE)</f>
        <v>55</v>
      </c>
      <c r="Q538" s="139">
        <v>3.472222222222222E-3</v>
      </c>
      <c r="R538" s="139">
        <v>7.6388888888888886E-3</v>
      </c>
      <c r="AF538" s="141"/>
      <c r="AG538" s="141"/>
      <c r="AH538" s="137"/>
      <c r="AI538" s="484"/>
      <c r="AJ538" s="137">
        <f t="shared" si="136"/>
        <v>7.2916666666666657E-2</v>
      </c>
      <c r="AK538" s="339">
        <v>0.41</v>
      </c>
      <c r="AL538" s="138">
        <f>VLOOKUP($D538,Construction!$B:$C,(COLUMN(Construction_Time)-COLUMN(Construction_Name_and_Level)+1),FALSE)</f>
        <v>2.2222222222222223E-2</v>
      </c>
      <c r="AM538" s="138">
        <f t="shared" ref="AM538:AM543" si="148">AL538/(1+AK538)</f>
        <v>1.5760441292356188E-2</v>
      </c>
      <c r="AN538" s="138">
        <f t="shared" ref="AN538:AN543" si="149">(S$3*S538+T$3*T538+V$3*V538+W$3*W538+X$3*X538+Y$3*Y538+Z$3*Z538+AA$3*AA538+AB$3*AB538+AC$3*AC538)*(-1)</f>
        <v>0</v>
      </c>
      <c r="AO538" s="139">
        <f t="shared" ref="AO538:AO543" si="150">IF((AM538-Q538-R538-AN538)&gt;=0,AM538-Q538-R538-AN538,0)</f>
        <v>4.6493301812450772E-3</v>
      </c>
      <c r="AU538" s="94">
        <f>VLOOKUP($D538,Construction!$B:$J,(COLUMN(Construction_BuildingCost_Stone)-COLUMN(Construction_Name_and_Level)+1),FALSE)*(-1)</f>
        <v>-1674</v>
      </c>
      <c r="AV538" s="94">
        <f>VLOOKUP($D538,Construction!$B:$J,(COLUMN(Construction_BuildingCost_Wood)-COLUMN(Construction_Name_and_Level)+1),FALSE)*(-1)</f>
        <v>0</v>
      </c>
      <c r="AW538" s="94">
        <f>VLOOKUP($D538,Construction!$B:$J,(COLUMN(Construction_BuildingCost_Ore)-COLUMN(Construction_Name_and_Level)+1),FALSE)*(-1)</f>
        <v>-1674</v>
      </c>
      <c r="AX538" s="94">
        <f>VLOOKUP($D538,Construction!$B:$J,(COLUMN(Construction_BuildingCost_Food)-COLUMN(Construction_Name_and_Level)+1),FALSE)*(-1)</f>
        <v>-1674</v>
      </c>
    </row>
    <row r="539" spans="2:108" ht="15" customHeight="1">
      <c r="B539" s="506" t="s">
        <v>144</v>
      </c>
      <c r="C539" s="127" t="s">
        <v>138</v>
      </c>
      <c r="D539" s="144" t="s">
        <v>1509</v>
      </c>
      <c r="E539" s="506">
        <v>17</v>
      </c>
      <c r="F539" s="12">
        <v>0.3</v>
      </c>
      <c r="G539" s="94">
        <f>VLOOKUP($D539,Construction!$B:$E,(COLUMN(Construction_BuildingReward_HeroXP)-COLUMN(Construction_Name_and_Level)+1),FALSE)</f>
        <v>10</v>
      </c>
      <c r="H539" s="94">
        <f t="shared" si="147"/>
        <v>13</v>
      </c>
      <c r="J539" s="95">
        <f>VLOOKUP($D539,Construction!$B:$F,(COLUMN(Construction_BuildingReward_Power)-COLUMN(Construction_Name_and_Level)+1),FALSE)</f>
        <v>5</v>
      </c>
      <c r="Q539" s="139">
        <v>3.472222222222222E-3</v>
      </c>
      <c r="R539" s="139">
        <v>7.6388888888888886E-3</v>
      </c>
      <c r="AF539" s="141"/>
      <c r="AG539" s="141"/>
      <c r="AH539" s="137"/>
      <c r="AI539" s="484"/>
      <c r="AJ539" s="137">
        <f t="shared" si="136"/>
        <v>7.2916666666666657E-2</v>
      </c>
      <c r="AK539" s="339">
        <v>0.41</v>
      </c>
      <c r="AL539" s="138">
        <f>VLOOKUP($D539,Construction!$B:$C,(COLUMN(Construction_Time)-COLUMN(Construction_Name_and_Level)+1),FALSE)</f>
        <v>6.9444444444444447E-4</v>
      </c>
      <c r="AM539" s="138">
        <f t="shared" si="148"/>
        <v>4.9251379038613087E-4</v>
      </c>
      <c r="AN539" s="138">
        <f t="shared" si="149"/>
        <v>0</v>
      </c>
      <c r="AO539" s="139">
        <f t="shared" si="150"/>
        <v>0</v>
      </c>
      <c r="AU539" s="94">
        <f>VLOOKUP($D539,Construction!$B:$J,(COLUMN(Construction_BuildingCost_Stone)-COLUMN(Construction_Name_and_Level)+1),FALSE)*(-1)</f>
        <v>-100</v>
      </c>
      <c r="AV539" s="94">
        <f>VLOOKUP($D539,Construction!$B:$J,(COLUMN(Construction_BuildingCost_Wood)-COLUMN(Construction_Name_and_Level)+1),FALSE)*(-1)</f>
        <v>-100</v>
      </c>
      <c r="AW539" s="94">
        <f>VLOOKUP($D539,Construction!$B:$J,(COLUMN(Construction_BuildingCost_Ore)-COLUMN(Construction_Name_and_Level)+1),FALSE)*(-1)</f>
        <v>0</v>
      </c>
      <c r="AX539" s="94">
        <f>VLOOKUP($D539,Construction!$B:$J,(COLUMN(Construction_BuildingCost_Food)-COLUMN(Construction_Name_and_Level)+1),FALSE)*(-1)</f>
        <v>-100</v>
      </c>
    </row>
    <row r="540" spans="2:108" ht="15" customHeight="1">
      <c r="B540" s="506" t="s">
        <v>144</v>
      </c>
      <c r="C540" s="127" t="s">
        <v>138</v>
      </c>
      <c r="D540" s="144" t="s">
        <v>406</v>
      </c>
      <c r="E540" s="506">
        <v>17</v>
      </c>
      <c r="F540" s="12">
        <v>0.3</v>
      </c>
      <c r="G540" s="94">
        <f>VLOOKUP($D540,Construction!$B:$E,(COLUMN(Construction_BuildingReward_HeroXP)-COLUMN(Construction_Name_and_Level)+1),FALSE)</f>
        <v>25</v>
      </c>
      <c r="H540" s="94">
        <f t="shared" si="147"/>
        <v>32.5</v>
      </c>
      <c r="J540" s="95">
        <f>VLOOKUP($D540,Construction!$B:$F,(COLUMN(Construction_BuildingReward_Power)-COLUMN(Construction_Name_and_Level)+1),FALSE)</f>
        <v>10</v>
      </c>
      <c r="Q540" s="139">
        <v>3.472222222222222E-3</v>
      </c>
      <c r="R540" s="139">
        <v>7.6388888888888886E-3</v>
      </c>
      <c r="AF540" s="141"/>
      <c r="AG540" s="141"/>
      <c r="AH540" s="137"/>
      <c r="AI540" s="484"/>
      <c r="AJ540" s="137">
        <f t="shared" si="136"/>
        <v>7.2916666666666657E-2</v>
      </c>
      <c r="AK540" s="339">
        <v>0.41</v>
      </c>
      <c r="AL540" s="138">
        <f>VLOOKUP($D540,Construction!$B:$C,(COLUMN(Construction_Time)-COLUMN(Construction_Name_and_Level)+1),FALSE)</f>
        <v>1.8518518518518517E-3</v>
      </c>
      <c r="AM540" s="138">
        <f t="shared" si="148"/>
        <v>1.3133701076963487E-3</v>
      </c>
      <c r="AN540" s="138">
        <f t="shared" si="149"/>
        <v>0</v>
      </c>
      <c r="AO540" s="139">
        <f t="shared" si="150"/>
        <v>0</v>
      </c>
      <c r="AU540" s="94">
        <f>VLOOKUP($D540,Construction!$B:$J,(COLUMN(Construction_BuildingCost_Stone)-COLUMN(Construction_Name_and_Level)+1),FALSE)*(-1)</f>
        <v>-170</v>
      </c>
      <c r="AV540" s="94">
        <f>VLOOKUP($D540,Construction!$B:$J,(COLUMN(Construction_BuildingCost_Wood)-COLUMN(Construction_Name_and_Level)+1),FALSE)*(-1)</f>
        <v>-170</v>
      </c>
      <c r="AW540" s="94">
        <f>VLOOKUP($D540,Construction!$B:$J,(COLUMN(Construction_BuildingCost_Ore)-COLUMN(Construction_Name_and_Level)+1),FALSE)*(-1)</f>
        <v>0</v>
      </c>
      <c r="AX540" s="94">
        <f>VLOOKUP($D540,Construction!$B:$J,(COLUMN(Construction_BuildingCost_Food)-COLUMN(Construction_Name_and_Level)+1),FALSE)*(-1)</f>
        <v>-170</v>
      </c>
    </row>
    <row r="541" spans="2:108" ht="15" customHeight="1">
      <c r="B541" s="506" t="s">
        <v>144</v>
      </c>
      <c r="C541" s="127" t="s">
        <v>138</v>
      </c>
      <c r="D541" s="144" t="s">
        <v>447</v>
      </c>
      <c r="E541" s="506">
        <v>17</v>
      </c>
      <c r="F541" s="12">
        <v>0.3</v>
      </c>
      <c r="G541" s="94">
        <f>VLOOKUP($D541,Construction!$B:$E,(COLUMN(Construction_BuildingReward_HeroXP)-COLUMN(Construction_Name_and_Level)+1),FALSE)</f>
        <v>50</v>
      </c>
      <c r="H541" s="94">
        <f t="shared" si="147"/>
        <v>65</v>
      </c>
      <c r="J541" s="95">
        <f>VLOOKUP($D541,Construction!$B:$F,(COLUMN(Construction_BuildingReward_Power)-COLUMN(Construction_Name_and_Level)+1),FALSE)</f>
        <v>15</v>
      </c>
      <c r="Q541" s="139">
        <v>3.472222222222222E-3</v>
      </c>
      <c r="R541" s="139">
        <v>7.6388888888888886E-3</v>
      </c>
      <c r="AF541" s="141"/>
      <c r="AG541" s="141"/>
      <c r="AH541" s="137"/>
      <c r="AI541" s="484"/>
      <c r="AJ541" s="137">
        <f t="shared" si="136"/>
        <v>7.2916666666666657E-2</v>
      </c>
      <c r="AK541" s="339">
        <v>0.41</v>
      </c>
      <c r="AL541" s="138">
        <f>VLOOKUP($D541,Construction!$B:$C,(COLUMN(Construction_Time)-COLUMN(Construction_Name_and_Level)+1),FALSE)</f>
        <v>3.7037037037037034E-3</v>
      </c>
      <c r="AM541" s="138">
        <f t="shared" si="148"/>
        <v>2.6267402153926974E-3</v>
      </c>
      <c r="AN541" s="138">
        <f t="shared" si="149"/>
        <v>0</v>
      </c>
      <c r="AO541" s="139">
        <f t="shared" si="150"/>
        <v>0</v>
      </c>
      <c r="AU541" s="94">
        <f>VLOOKUP($D541,Construction!$B:$J,(COLUMN(Construction_BuildingCost_Stone)-COLUMN(Construction_Name_and_Level)+1),FALSE)*(-1)</f>
        <v>-289</v>
      </c>
      <c r="AV541" s="94">
        <f>VLOOKUP($D541,Construction!$B:$J,(COLUMN(Construction_BuildingCost_Wood)-COLUMN(Construction_Name_and_Level)+1),FALSE)*(-1)</f>
        <v>-289</v>
      </c>
      <c r="AW541" s="94">
        <f>VLOOKUP($D541,Construction!$B:$J,(COLUMN(Construction_BuildingCost_Ore)-COLUMN(Construction_Name_and_Level)+1),FALSE)*(-1)</f>
        <v>0</v>
      </c>
      <c r="AX541" s="94">
        <f>VLOOKUP($D541,Construction!$B:$J,(COLUMN(Construction_BuildingCost_Food)-COLUMN(Construction_Name_and_Level)+1),FALSE)*(-1)</f>
        <v>-289</v>
      </c>
    </row>
    <row r="542" spans="2:108" ht="15" customHeight="1">
      <c r="B542" s="506" t="s">
        <v>144</v>
      </c>
      <c r="C542" s="127" t="s">
        <v>138</v>
      </c>
      <c r="D542" s="144" t="s">
        <v>448</v>
      </c>
      <c r="E542" s="506">
        <v>17</v>
      </c>
      <c r="F542" s="12">
        <v>0.3</v>
      </c>
      <c r="G542" s="94">
        <f>VLOOKUP($D542,Construction!$B:$E,(COLUMN(Construction_BuildingReward_HeroXP)-COLUMN(Construction_Name_and_Level)+1),FALSE)</f>
        <v>200</v>
      </c>
      <c r="H542" s="94">
        <f t="shared" si="147"/>
        <v>260</v>
      </c>
      <c r="J542" s="95">
        <f>VLOOKUP($D542,Construction!$B:$F,(COLUMN(Construction_BuildingReward_Power)-COLUMN(Construction_Name_and_Level)+1),FALSE)</f>
        <v>25</v>
      </c>
      <c r="Q542" s="139">
        <v>3.472222222222222E-3</v>
      </c>
      <c r="R542" s="139">
        <v>7.6388888888888886E-3</v>
      </c>
      <c r="AF542" s="141"/>
      <c r="AG542" s="141"/>
      <c r="AH542" s="137"/>
      <c r="AI542" s="484"/>
      <c r="AJ542" s="137">
        <f t="shared" si="136"/>
        <v>7.2916666666666657E-2</v>
      </c>
      <c r="AK542" s="339">
        <v>0.41</v>
      </c>
      <c r="AL542" s="138">
        <f>VLOOKUP($D542,Construction!$B:$C,(COLUMN(Construction_Time)-COLUMN(Construction_Name_and_Level)+1),FALSE)</f>
        <v>7.4074074074074068E-3</v>
      </c>
      <c r="AM542" s="138">
        <f t="shared" si="148"/>
        <v>5.2534804307853948E-3</v>
      </c>
      <c r="AN542" s="138">
        <f t="shared" si="149"/>
        <v>0</v>
      </c>
      <c r="AO542" s="139">
        <f t="shared" si="150"/>
        <v>0</v>
      </c>
      <c r="AU542" s="94">
        <f>VLOOKUP($D542,Construction!$B:$J,(COLUMN(Construction_BuildingCost_Stone)-COLUMN(Construction_Name_and_Level)+1),FALSE)*(-1)</f>
        <v>-492</v>
      </c>
      <c r="AV542" s="94">
        <f>VLOOKUP($D542,Construction!$B:$J,(COLUMN(Construction_BuildingCost_Wood)-COLUMN(Construction_Name_and_Level)+1),FALSE)*(-1)</f>
        <v>-492</v>
      </c>
      <c r="AW542" s="94">
        <f>VLOOKUP($D542,Construction!$B:$J,(COLUMN(Construction_BuildingCost_Ore)-COLUMN(Construction_Name_and_Level)+1),FALSE)*(-1)</f>
        <v>0</v>
      </c>
      <c r="AX542" s="94">
        <f>VLOOKUP($D542,Construction!$B:$J,(COLUMN(Construction_BuildingCost_Food)-COLUMN(Construction_Name_and_Level)+1),FALSE)*(-1)</f>
        <v>-492</v>
      </c>
    </row>
    <row r="543" spans="2:108" ht="15" customHeight="1">
      <c r="B543" s="506" t="s">
        <v>144</v>
      </c>
      <c r="C543" s="127" t="s">
        <v>138</v>
      </c>
      <c r="D543" s="144" t="s">
        <v>449</v>
      </c>
      <c r="E543" s="506">
        <v>17</v>
      </c>
      <c r="F543" s="12">
        <v>0.3</v>
      </c>
      <c r="G543" s="94">
        <f>VLOOKUP($D543,Construction!$B:$E,(COLUMN(Construction_BuildingReward_HeroXP)-COLUMN(Construction_Name_and_Level)+1),FALSE)</f>
        <v>400</v>
      </c>
      <c r="H543" s="94">
        <f t="shared" si="147"/>
        <v>520</v>
      </c>
      <c r="J543" s="95">
        <f>VLOOKUP($D543,Construction!$B:$F,(COLUMN(Construction_BuildingReward_Power)-COLUMN(Construction_Name_and_Level)+1),FALSE)</f>
        <v>35</v>
      </c>
      <c r="Q543" s="139">
        <v>3.472222222222222E-3</v>
      </c>
      <c r="R543" s="139">
        <v>7.6388888888888886E-3</v>
      </c>
      <c r="AF543" s="141"/>
      <c r="AG543" s="141"/>
      <c r="AH543" s="137"/>
      <c r="AI543" s="484"/>
      <c r="AJ543" s="137">
        <f t="shared" si="136"/>
        <v>7.2916666666666657E-2</v>
      </c>
      <c r="AK543" s="339">
        <v>0.41</v>
      </c>
      <c r="AL543" s="138">
        <f>VLOOKUP($D543,Construction!$B:$C,(COLUMN(Construction_Time)-COLUMN(Construction_Name_and_Level)+1),FALSE)</f>
        <v>1.4814814814814814E-2</v>
      </c>
      <c r="AM543" s="138">
        <f t="shared" si="148"/>
        <v>1.050696086157079E-2</v>
      </c>
      <c r="AN543" s="138">
        <f t="shared" si="149"/>
        <v>0</v>
      </c>
      <c r="AO543" s="139">
        <f t="shared" si="150"/>
        <v>0</v>
      </c>
      <c r="AU543" s="94">
        <f>VLOOKUP($D543,Construction!$B:$J,(COLUMN(Construction_BuildingCost_Stone)-COLUMN(Construction_Name_and_Level)+1),FALSE)*(-1)</f>
        <v>-837</v>
      </c>
      <c r="AV543" s="94">
        <f>VLOOKUP($D543,Construction!$B:$J,(COLUMN(Construction_BuildingCost_Wood)-COLUMN(Construction_Name_and_Level)+1),FALSE)*(-1)</f>
        <v>-837</v>
      </c>
      <c r="AW543" s="94">
        <f>VLOOKUP($D543,Construction!$B:$J,(COLUMN(Construction_BuildingCost_Ore)-COLUMN(Construction_Name_and_Level)+1),FALSE)*(-1)</f>
        <v>0</v>
      </c>
      <c r="AX543" s="94">
        <f>VLOOKUP($D543,Construction!$B:$J,(COLUMN(Construction_BuildingCost_Food)-COLUMN(Construction_Name_and_Level)+1),FALSE)*(-1)</f>
        <v>-837</v>
      </c>
    </row>
    <row r="544" spans="2:108" ht="15" customHeight="1">
      <c r="B544" s="506" t="s">
        <v>195</v>
      </c>
      <c r="C544" s="127" t="s">
        <v>468</v>
      </c>
      <c r="D544" s="144">
        <v>1.037037037037037E-2</v>
      </c>
      <c r="E544" s="506">
        <v>17</v>
      </c>
      <c r="F544" s="12">
        <v>0.3</v>
      </c>
      <c r="G544" s="211">
        <v>2800</v>
      </c>
      <c r="H544" s="211">
        <f t="shared" ref="H544" si="151">G544*(1+F544)</f>
        <v>3640</v>
      </c>
      <c r="AF544" s="141"/>
      <c r="AG544" s="141"/>
      <c r="AH544" s="137"/>
      <c r="AI544" s="484"/>
      <c r="AJ544" s="137">
        <f t="shared" ref="AJ544:AJ575" si="152">AJ543+(S$3*S544+T$3*T544+U$3*U544+V$3*V544+W$3*W544+X$3*X544+Y$3*Y544+Z$3*Z544+AA$3*AA544+AB$3*AB544+AC$3*AC544)</f>
        <v>7.2916666666666657E-2</v>
      </c>
      <c r="AU544" s="211">
        <v>0</v>
      </c>
      <c r="AV544" s="211">
        <v>0</v>
      </c>
      <c r="AW544" s="211">
        <v>2100</v>
      </c>
      <c r="AX544" s="211">
        <v>2100</v>
      </c>
      <c r="AY544" s="160">
        <v>420</v>
      </c>
      <c r="CL544" s="211">
        <v>2000</v>
      </c>
      <c r="CM544" s="160">
        <f>CL544</f>
        <v>2000</v>
      </c>
    </row>
    <row r="545" spans="2:91" ht="15" customHeight="1">
      <c r="B545" s="506" t="s">
        <v>144</v>
      </c>
      <c r="C545" s="127" t="s">
        <v>149</v>
      </c>
      <c r="D545" s="144" t="s">
        <v>1671</v>
      </c>
      <c r="E545" s="506">
        <v>17</v>
      </c>
      <c r="F545" s="12">
        <v>0.3</v>
      </c>
      <c r="G545" s="94">
        <f>VLOOKUP($D545,Construction!$B:$E,(COLUMN(Construction_BuildingReward_HeroXP)-COLUMN(Construction_Name_and_Level)+1),FALSE)</f>
        <v>10</v>
      </c>
      <c r="H545" s="94">
        <f>G545*(1+F545)</f>
        <v>13</v>
      </c>
      <c r="J545" s="95">
        <f>VLOOKUP($D545,Construction!$B:$F,(COLUMN(Construction_BuildingReward_Power)-COLUMN(Construction_Name_and_Level)+1),FALSE)</f>
        <v>10</v>
      </c>
      <c r="Q545" s="139">
        <v>3.472222222222222E-3</v>
      </c>
      <c r="R545" s="139">
        <v>7.6388888888888886E-3</v>
      </c>
      <c r="AF545" s="141"/>
      <c r="AG545" s="141"/>
      <c r="AH545" s="137"/>
      <c r="AI545" s="484"/>
      <c r="AJ545" s="137">
        <f t="shared" si="152"/>
        <v>7.2916666666666657E-2</v>
      </c>
      <c r="AK545" s="339">
        <v>0.41</v>
      </c>
      <c r="AL545" s="138">
        <f>VLOOKUP($D545,Construction!$B:$C,(COLUMN(Construction_Time)-COLUMN(Construction_Name_and_Level)+1),FALSE)</f>
        <v>8.6805555555555551E-4</v>
      </c>
      <c r="AM545" s="138">
        <f t="shared" ref="AM545:AM547" si="153">AL545/(1+AK545)</f>
        <v>6.1564223798266354E-4</v>
      </c>
      <c r="AN545" s="138">
        <f>(S$3*S545+T$3*T545+V$3*V545+W$3*W545+X$3*X545+Y$3*Y545+Z$3*Z545+AA$3*AA545+AB$3*AB545+AC$3*AC545)*(-1)</f>
        <v>0</v>
      </c>
      <c r="AO545" s="139">
        <f>IF((AM545-Q545-R545-AN545)&gt;=0,AM545-Q545-R545-AN545,0)</f>
        <v>0</v>
      </c>
      <c r="AU545" s="94">
        <f>VLOOKUP($D545,Construction!$B:$J,(COLUMN(Construction_BuildingCost_Stone)-COLUMN(Construction_Name_and_Level)+1),FALSE)*(-1)</f>
        <v>-600</v>
      </c>
      <c r="AV545" s="94">
        <f>VLOOKUP($D545,Construction!$B:$J,(COLUMN(Construction_BuildingCost_Wood)-COLUMN(Construction_Name_and_Level)+1),FALSE)*(-1)</f>
        <v>-600</v>
      </c>
      <c r="AW545" s="94">
        <f>VLOOKUP($D545,Construction!$B:$J,(COLUMN(Construction_BuildingCost_Ore)-COLUMN(Construction_Name_and_Level)+1),FALSE)*(-1)</f>
        <v>-300</v>
      </c>
      <c r="AX545" s="94">
        <f>VLOOKUP($D545,Construction!$B:$J,(COLUMN(Construction_BuildingCost_Food)-COLUMN(Construction_Name_and_Level)+1),FALSE)*(-1)</f>
        <v>-400</v>
      </c>
    </row>
    <row r="546" spans="2:91" ht="15" customHeight="1">
      <c r="B546" s="506" t="s">
        <v>144</v>
      </c>
      <c r="C546" s="127" t="s">
        <v>149</v>
      </c>
      <c r="D546" s="144" t="s">
        <v>1672</v>
      </c>
      <c r="E546" s="506">
        <v>17</v>
      </c>
      <c r="F546" s="12">
        <v>0.3</v>
      </c>
      <c r="G546" s="94">
        <f>VLOOKUP($D546,Construction!$B:$E,(COLUMN(Construction_BuildingReward_HeroXP)-COLUMN(Construction_Name_and_Level)+1),FALSE)</f>
        <v>25</v>
      </c>
      <c r="H546" s="94">
        <f>G546*(1+F546)</f>
        <v>32.5</v>
      </c>
      <c r="J546" s="95">
        <f>VLOOKUP($D546,Construction!$B:$F,(COLUMN(Construction_BuildingReward_Power)-COLUMN(Construction_Name_and_Level)+1),FALSE)</f>
        <v>25</v>
      </c>
      <c r="Q546" s="139">
        <v>3.472222222222222E-3</v>
      </c>
      <c r="R546" s="139">
        <v>7.6388888888888886E-3</v>
      </c>
      <c r="AF546" s="141"/>
      <c r="AG546" s="141"/>
      <c r="AH546" s="137"/>
      <c r="AI546" s="484"/>
      <c r="AJ546" s="137">
        <f t="shared" si="152"/>
        <v>7.2916666666666657E-2</v>
      </c>
      <c r="AK546" s="339">
        <v>0.41</v>
      </c>
      <c r="AL546" s="138">
        <f>VLOOKUP($D546,Construction!$B:$C,(COLUMN(Construction_Time)-COLUMN(Construction_Name_and_Level)+1),FALSE)</f>
        <v>1.736111111111111E-3</v>
      </c>
      <c r="AM546" s="138">
        <f t="shared" si="153"/>
        <v>1.2312844759653271E-3</v>
      </c>
      <c r="AN546" s="138">
        <f>(S$3*S546+T$3*T546+V$3*V546+W$3*W546+X$3*X546+Y$3*Y546+Z$3*Z546+AA$3*AA546+AB$3*AB546+AC$3*AC546)*(-1)</f>
        <v>0</v>
      </c>
      <c r="AO546" s="139">
        <f>IF((AM546-Q546-R546-AN546)&gt;=0,AM546-Q546-R546-AN546,0)</f>
        <v>0</v>
      </c>
      <c r="AU546" s="94">
        <f>VLOOKUP($D546,Construction!$B:$J,(COLUMN(Construction_BuildingCost_Stone)-COLUMN(Construction_Name_and_Level)+1),FALSE)*(-1)</f>
        <v>-1020</v>
      </c>
      <c r="AV546" s="94">
        <f>VLOOKUP($D546,Construction!$B:$J,(COLUMN(Construction_BuildingCost_Wood)-COLUMN(Construction_Name_and_Level)+1),FALSE)*(-1)</f>
        <v>-1020</v>
      </c>
      <c r="AW546" s="94">
        <f>VLOOKUP($D546,Construction!$B:$J,(COLUMN(Construction_BuildingCost_Ore)-COLUMN(Construction_Name_and_Level)+1),FALSE)*(-1)</f>
        <v>-510</v>
      </c>
      <c r="AX546" s="94">
        <f>VLOOKUP($D546,Construction!$B:$J,(COLUMN(Construction_BuildingCost_Food)-COLUMN(Construction_Name_and_Level)+1),FALSE)*(-1)</f>
        <v>-680</v>
      </c>
    </row>
    <row r="547" spans="2:91" ht="15" customHeight="1">
      <c r="B547" s="506" t="s">
        <v>144</v>
      </c>
      <c r="C547" s="127" t="s">
        <v>138</v>
      </c>
      <c r="D547" s="144" t="s">
        <v>1673</v>
      </c>
      <c r="E547" s="506">
        <v>17</v>
      </c>
      <c r="F547" s="12">
        <v>0.3</v>
      </c>
      <c r="G547" s="94">
        <f>VLOOKUP($D547,Construction!$B:$E,(COLUMN(Construction_BuildingReward_HeroXP)-COLUMN(Construction_Name_and_Level)+1),FALSE)</f>
        <v>50</v>
      </c>
      <c r="H547" s="94">
        <f>G547*(1+F547)</f>
        <v>65</v>
      </c>
      <c r="J547" s="95">
        <f>VLOOKUP($D547,Construction!$B:$F,(COLUMN(Construction_BuildingReward_Power)-COLUMN(Construction_Name_and_Level)+1),FALSE)</f>
        <v>40</v>
      </c>
      <c r="Q547" s="139">
        <v>3.472222222222222E-3</v>
      </c>
      <c r="R547" s="139">
        <v>7.6388888888888886E-3</v>
      </c>
      <c r="AF547" s="141"/>
      <c r="AG547" s="141"/>
      <c r="AH547" s="137"/>
      <c r="AI547" s="484"/>
      <c r="AJ547" s="137">
        <f t="shared" si="152"/>
        <v>7.2916666666666657E-2</v>
      </c>
      <c r="AK547" s="339">
        <v>0.41</v>
      </c>
      <c r="AL547" s="138">
        <f>VLOOKUP($D547,Construction!$B:$C,(COLUMN(Construction_Time)-COLUMN(Construction_Name_and_Level)+1),FALSE)</f>
        <v>3.472222222222222E-3</v>
      </c>
      <c r="AM547" s="138">
        <f t="shared" si="153"/>
        <v>2.4625689519306541E-3</v>
      </c>
      <c r="AN547" s="138">
        <f>(S$3*S547+T$3*T547+V$3*V547+W$3*W547+X$3*X547+Y$3*Y547+Z$3*Z547+AA$3*AA547+AB$3*AB547+AC$3*AC547)*(-1)</f>
        <v>0</v>
      </c>
      <c r="AO547" s="139">
        <f>IF((AM547-Q547-R547-AN547)&gt;=0,AM547-Q547-R547-AN547,0)</f>
        <v>0</v>
      </c>
      <c r="AU547" s="94">
        <f>VLOOKUP($D547,Construction!$B:$J,(COLUMN(Construction_BuildingCost_Stone)-COLUMN(Construction_Name_and_Level)+1),FALSE)*(-1)</f>
        <v>-1734</v>
      </c>
      <c r="AV547" s="94">
        <f>VLOOKUP($D547,Construction!$B:$J,(COLUMN(Construction_BuildingCost_Wood)-COLUMN(Construction_Name_and_Level)+1),FALSE)*(-1)</f>
        <v>-1734</v>
      </c>
      <c r="AW547" s="94">
        <f>VLOOKUP($D547,Construction!$B:$J,(COLUMN(Construction_BuildingCost_Ore)-COLUMN(Construction_Name_and_Level)+1),FALSE)*(-1)</f>
        <v>-867</v>
      </c>
      <c r="AX547" s="94">
        <f>VLOOKUP($D547,Construction!$B:$J,(COLUMN(Construction_BuildingCost_Food)-COLUMN(Construction_Name_and_Level)+1),FALSE)*(-1)</f>
        <v>-1156</v>
      </c>
    </row>
    <row r="548" spans="2:91" ht="15" customHeight="1">
      <c r="B548" s="506" t="s">
        <v>144</v>
      </c>
      <c r="C548" s="127" t="s">
        <v>369</v>
      </c>
      <c r="D548" s="144" t="s">
        <v>1673</v>
      </c>
      <c r="E548" s="506">
        <v>17</v>
      </c>
      <c r="F548" s="12">
        <v>0.3</v>
      </c>
      <c r="G548" s="94">
        <v>0</v>
      </c>
      <c r="H548" s="94">
        <f t="shared" ref="H548" si="154">G548*(1+F548)</f>
        <v>0</v>
      </c>
      <c r="J548" s="95">
        <v>-75</v>
      </c>
      <c r="AF548" s="141"/>
      <c r="AG548" s="141"/>
      <c r="AH548" s="137"/>
      <c r="AI548" s="484"/>
      <c r="AJ548" s="137">
        <f t="shared" si="152"/>
        <v>7.2916666666666657E-2</v>
      </c>
    </row>
    <row r="549" spans="2:91" ht="15" customHeight="1">
      <c r="B549" s="506" t="s">
        <v>144</v>
      </c>
      <c r="C549" s="127" t="s">
        <v>149</v>
      </c>
      <c r="D549" s="144" t="s">
        <v>1671</v>
      </c>
      <c r="E549" s="506">
        <v>17</v>
      </c>
      <c r="F549" s="12">
        <v>0.3</v>
      </c>
      <c r="G549" s="94">
        <f>VLOOKUP($D549,Construction!$B:$E,(COLUMN(Construction_BuildingReward_HeroXP)-COLUMN(Construction_Name_and_Level)+1),FALSE)</f>
        <v>10</v>
      </c>
      <c r="H549" s="94">
        <f>G549*(1+F549)</f>
        <v>13</v>
      </c>
      <c r="J549" s="95">
        <f>VLOOKUP($D549,Construction!$B:$F,(COLUMN(Construction_BuildingReward_Power)-COLUMN(Construction_Name_and_Level)+1),FALSE)</f>
        <v>10</v>
      </c>
      <c r="Q549" s="139">
        <v>3.472222222222222E-3</v>
      </c>
      <c r="R549" s="139">
        <v>7.6388888888888886E-3</v>
      </c>
      <c r="AF549" s="141"/>
      <c r="AG549" s="141"/>
      <c r="AH549" s="137"/>
      <c r="AI549" s="484"/>
      <c r="AJ549" s="137">
        <f t="shared" si="152"/>
        <v>7.2916666666666657E-2</v>
      </c>
      <c r="AK549" s="339">
        <v>0.41</v>
      </c>
      <c r="AL549" s="138">
        <f>VLOOKUP($D549,Construction!$B:$C,(COLUMN(Construction_Time)-COLUMN(Construction_Name_and_Level)+1),FALSE)</f>
        <v>8.6805555555555551E-4</v>
      </c>
      <c r="AM549" s="138">
        <f t="shared" ref="AM549:AM551" si="155">AL549/(1+AK549)</f>
        <v>6.1564223798266354E-4</v>
      </c>
      <c r="AN549" s="138">
        <f>(S$3*S549+T$3*T549+V$3*V549+W$3*W549+X$3*X549+Y$3*Y549+Z$3*Z549+AA$3*AA549+AB$3*AB549+AC$3*AC549)*(-1)</f>
        <v>0</v>
      </c>
      <c r="AO549" s="139">
        <f>IF((AM549-Q549-R549-AN549)&gt;=0,AM549-Q549-R549-AN549,0)</f>
        <v>0</v>
      </c>
      <c r="AU549" s="94">
        <f>VLOOKUP($D549,Construction!$B:$J,(COLUMN(Construction_BuildingCost_Stone)-COLUMN(Construction_Name_and_Level)+1),FALSE)*(-1)</f>
        <v>-600</v>
      </c>
      <c r="AV549" s="94">
        <f>VLOOKUP($D549,Construction!$B:$J,(COLUMN(Construction_BuildingCost_Wood)-COLUMN(Construction_Name_and_Level)+1),FALSE)*(-1)</f>
        <v>-600</v>
      </c>
      <c r="AW549" s="94">
        <f>VLOOKUP($D549,Construction!$B:$J,(COLUMN(Construction_BuildingCost_Ore)-COLUMN(Construction_Name_and_Level)+1),FALSE)*(-1)</f>
        <v>-300</v>
      </c>
      <c r="AX549" s="94">
        <f>VLOOKUP($D549,Construction!$B:$J,(COLUMN(Construction_BuildingCost_Food)-COLUMN(Construction_Name_and_Level)+1),FALSE)*(-1)</f>
        <v>-400</v>
      </c>
    </row>
    <row r="550" spans="2:91" ht="15" customHeight="1">
      <c r="B550" s="506" t="s">
        <v>144</v>
      </c>
      <c r="C550" s="127" t="s">
        <v>149</v>
      </c>
      <c r="D550" s="144" t="s">
        <v>1672</v>
      </c>
      <c r="E550" s="506">
        <v>17</v>
      </c>
      <c r="F550" s="12">
        <v>0.3</v>
      </c>
      <c r="G550" s="94">
        <f>VLOOKUP($D550,Construction!$B:$E,(COLUMN(Construction_BuildingReward_HeroXP)-COLUMN(Construction_Name_and_Level)+1),FALSE)</f>
        <v>25</v>
      </c>
      <c r="H550" s="94">
        <f>G550*(1+F550)</f>
        <v>32.5</v>
      </c>
      <c r="J550" s="95">
        <f>VLOOKUP($D550,Construction!$B:$F,(COLUMN(Construction_BuildingReward_Power)-COLUMN(Construction_Name_and_Level)+1),FALSE)</f>
        <v>25</v>
      </c>
      <c r="Q550" s="139">
        <v>3.472222222222222E-3</v>
      </c>
      <c r="R550" s="139">
        <v>7.6388888888888886E-3</v>
      </c>
      <c r="AF550" s="141"/>
      <c r="AG550" s="141"/>
      <c r="AH550" s="137"/>
      <c r="AI550" s="484"/>
      <c r="AJ550" s="137">
        <f t="shared" si="152"/>
        <v>7.2916666666666657E-2</v>
      </c>
      <c r="AK550" s="339">
        <v>0.41</v>
      </c>
      <c r="AL550" s="138">
        <f>VLOOKUP($D550,Construction!$B:$C,(COLUMN(Construction_Time)-COLUMN(Construction_Name_and_Level)+1),FALSE)</f>
        <v>1.736111111111111E-3</v>
      </c>
      <c r="AM550" s="138">
        <f t="shared" si="155"/>
        <v>1.2312844759653271E-3</v>
      </c>
      <c r="AN550" s="138">
        <f>(S$3*S550+T$3*T550+V$3*V550+W$3*W550+X$3*X550+Y$3*Y550+Z$3*Z550+AA$3*AA550+AB$3*AB550+AC$3*AC550)*(-1)</f>
        <v>0</v>
      </c>
      <c r="AO550" s="139">
        <f>IF((AM550-Q550-R550-AN550)&gt;=0,AM550-Q550-R550-AN550,0)</f>
        <v>0</v>
      </c>
      <c r="AU550" s="94">
        <f>VLOOKUP($D550,Construction!$B:$J,(COLUMN(Construction_BuildingCost_Stone)-COLUMN(Construction_Name_and_Level)+1),FALSE)*(-1)</f>
        <v>-1020</v>
      </c>
      <c r="AV550" s="94">
        <f>VLOOKUP($D550,Construction!$B:$J,(COLUMN(Construction_BuildingCost_Wood)-COLUMN(Construction_Name_and_Level)+1),FALSE)*(-1)</f>
        <v>-1020</v>
      </c>
      <c r="AW550" s="94">
        <f>VLOOKUP($D550,Construction!$B:$J,(COLUMN(Construction_BuildingCost_Ore)-COLUMN(Construction_Name_and_Level)+1),FALSE)*(-1)</f>
        <v>-510</v>
      </c>
      <c r="AX550" s="94">
        <f>VLOOKUP($D550,Construction!$B:$J,(COLUMN(Construction_BuildingCost_Food)-COLUMN(Construction_Name_and_Level)+1),FALSE)*(-1)</f>
        <v>-680</v>
      </c>
    </row>
    <row r="551" spans="2:91" ht="15" customHeight="1">
      <c r="B551" s="506" t="s">
        <v>144</v>
      </c>
      <c r="C551" s="127" t="s">
        <v>138</v>
      </c>
      <c r="D551" s="144" t="s">
        <v>1673</v>
      </c>
      <c r="E551" s="506">
        <v>17</v>
      </c>
      <c r="F551" s="12">
        <v>0.3</v>
      </c>
      <c r="G551" s="94">
        <f>VLOOKUP($D551,Construction!$B:$E,(COLUMN(Construction_BuildingReward_HeroXP)-COLUMN(Construction_Name_and_Level)+1),FALSE)</f>
        <v>50</v>
      </c>
      <c r="H551" s="94">
        <f>G551*(1+F551)</f>
        <v>65</v>
      </c>
      <c r="J551" s="95">
        <f>VLOOKUP($D551,Construction!$B:$F,(COLUMN(Construction_BuildingReward_Power)-COLUMN(Construction_Name_and_Level)+1),FALSE)</f>
        <v>40</v>
      </c>
      <c r="Q551" s="139">
        <v>3.472222222222222E-3</v>
      </c>
      <c r="R551" s="139">
        <v>7.6388888888888886E-3</v>
      </c>
      <c r="AF551" s="141"/>
      <c r="AG551" s="141"/>
      <c r="AH551" s="137"/>
      <c r="AI551" s="484"/>
      <c r="AJ551" s="137">
        <f t="shared" si="152"/>
        <v>7.2916666666666657E-2</v>
      </c>
      <c r="AK551" s="339">
        <v>0.41</v>
      </c>
      <c r="AL551" s="138">
        <f>VLOOKUP($D551,Construction!$B:$C,(COLUMN(Construction_Time)-COLUMN(Construction_Name_and_Level)+1),FALSE)</f>
        <v>3.472222222222222E-3</v>
      </c>
      <c r="AM551" s="138">
        <f t="shared" si="155"/>
        <v>2.4625689519306541E-3</v>
      </c>
      <c r="AN551" s="138">
        <f>(S$3*S551+T$3*T551+V$3*V551+W$3*W551+X$3*X551+Y$3*Y551+Z$3*Z551+AA$3*AA551+AB$3*AB551+AC$3*AC551)*(-1)</f>
        <v>0</v>
      </c>
      <c r="AO551" s="139">
        <f>IF((AM551-Q551-R551-AN551)&gt;=0,AM551-Q551-R551-AN551,0)</f>
        <v>0</v>
      </c>
      <c r="AU551" s="94">
        <f>VLOOKUP($D551,Construction!$B:$J,(COLUMN(Construction_BuildingCost_Stone)-COLUMN(Construction_Name_and_Level)+1),FALSE)*(-1)</f>
        <v>-1734</v>
      </c>
      <c r="AV551" s="94">
        <f>VLOOKUP($D551,Construction!$B:$J,(COLUMN(Construction_BuildingCost_Wood)-COLUMN(Construction_Name_and_Level)+1),FALSE)*(-1)</f>
        <v>-1734</v>
      </c>
      <c r="AW551" s="94">
        <f>VLOOKUP($D551,Construction!$B:$J,(COLUMN(Construction_BuildingCost_Ore)-COLUMN(Construction_Name_and_Level)+1),FALSE)*(-1)</f>
        <v>-867</v>
      </c>
      <c r="AX551" s="94">
        <f>VLOOKUP($D551,Construction!$B:$J,(COLUMN(Construction_BuildingCost_Food)-COLUMN(Construction_Name_and_Level)+1),FALSE)*(-1)</f>
        <v>-1156</v>
      </c>
    </row>
    <row r="552" spans="2:91" ht="15" customHeight="1">
      <c r="B552" s="506" t="s">
        <v>195</v>
      </c>
      <c r="C552" s="127" t="s">
        <v>468</v>
      </c>
      <c r="D552" s="144">
        <v>6.4814814814814813E-3</v>
      </c>
      <c r="E552" s="506">
        <v>17</v>
      </c>
      <c r="F552" s="12">
        <v>0.3</v>
      </c>
      <c r="G552" s="211">
        <v>2800</v>
      </c>
      <c r="H552" s="211">
        <f t="shared" ref="H552" si="156">G552*(1+F552)</f>
        <v>3640</v>
      </c>
      <c r="AF552" s="141"/>
      <c r="AG552" s="141"/>
      <c r="AH552" s="137"/>
      <c r="AI552" s="484"/>
      <c r="AJ552" s="137">
        <f t="shared" si="152"/>
        <v>7.2916666666666657E-2</v>
      </c>
      <c r="AU552" s="211">
        <v>0</v>
      </c>
      <c r="AV552" s="211">
        <v>0</v>
      </c>
      <c r="AW552" s="211">
        <v>0</v>
      </c>
      <c r="AX552" s="211">
        <v>14000</v>
      </c>
      <c r="AY552" s="160">
        <v>1400</v>
      </c>
      <c r="CL552" s="211">
        <v>2000</v>
      </c>
      <c r="CM552" s="160">
        <f>CL552</f>
        <v>2000</v>
      </c>
    </row>
    <row r="553" spans="2:91" ht="15" customHeight="1">
      <c r="B553" s="506" t="s">
        <v>145</v>
      </c>
      <c r="C553" s="146" t="s">
        <v>151</v>
      </c>
      <c r="D553" s="145">
        <v>3.7152777777777774E-3</v>
      </c>
      <c r="E553" s="506">
        <v>17</v>
      </c>
      <c r="AF553" s="141"/>
      <c r="AG553" s="141"/>
      <c r="AH553" s="137"/>
      <c r="AI553" s="484"/>
      <c r="AJ553" s="137">
        <f t="shared" si="152"/>
        <v>7.2916666666666657E-2</v>
      </c>
      <c r="AV553" s="2">
        <v>1000</v>
      </c>
    </row>
    <row r="554" spans="2:91" ht="15" customHeight="1">
      <c r="B554" s="506" t="s">
        <v>143</v>
      </c>
      <c r="C554" s="127" t="s">
        <v>139</v>
      </c>
      <c r="D554" s="144" t="s">
        <v>1671</v>
      </c>
      <c r="E554" s="506">
        <v>17</v>
      </c>
      <c r="F554" s="12">
        <v>0.3</v>
      </c>
      <c r="G554" s="101">
        <f>VLOOKUP($D554,Construction!$B:$L,(COLUMN(Construction_QuestReward_HeroXP)-COLUMN(Construction_Name_and_Level)+1),FALSE)</f>
        <v>2525</v>
      </c>
      <c r="H554" s="101">
        <f>G554*(1+F554)</f>
        <v>3282.5</v>
      </c>
      <c r="J554" s="100">
        <f>VLOOKUP($D554,Construction!$B:$L,(COLUMN(Construction_QuestReward_Power)-COLUMN(Construction_Name_and_Level)+1),FALSE)</f>
        <v>2</v>
      </c>
      <c r="AF554" s="141"/>
      <c r="AG554" s="141"/>
      <c r="AH554" s="137"/>
      <c r="AI554" s="484"/>
      <c r="AJ554" s="137">
        <f t="shared" si="152"/>
        <v>7.2916666666666657E-2</v>
      </c>
      <c r="AU554" s="101">
        <f>VLOOKUP($D554,Construction!$B:$Q,(COLUMN(Construction_QuestReward_Stone)-COLUMN(Construction_Name_and_Level)+1),FALSE)</f>
        <v>3000</v>
      </c>
      <c r="AV554" s="101">
        <f>VLOOKUP($D554,Construction!$B:$Q,(COLUMN(Construction_QuestReward_Wood)-COLUMN(Construction_Name_and_Level)+1),FALSE)</f>
        <v>3000</v>
      </c>
      <c r="AW554" s="101">
        <f>VLOOKUP($D554,Construction!$B:$Q,(COLUMN(Construction_QuestReward_Ore)-COLUMN(Construction_Name_and_Level)+1),FALSE)</f>
        <v>1500</v>
      </c>
      <c r="AX554" s="101">
        <f>VLOOKUP($D554,Construction!$B:$Q,(COLUMN(Construction_QuestReward_Food)-COLUMN(Construction_Name_and_Level)+1),FALSE)</f>
        <v>2000</v>
      </c>
      <c r="AY554" s="100">
        <f>VLOOKUP($D554,Construction!$B:$Q,(COLUMN(Construction_QuestReward_Silver)-COLUMN(Construction_Name_and_Level)+1),FALSE)</f>
        <v>0</v>
      </c>
    </row>
    <row r="555" spans="2:91" ht="15" customHeight="1">
      <c r="B555" s="506" t="s">
        <v>143</v>
      </c>
      <c r="C555" s="127" t="s">
        <v>139</v>
      </c>
      <c r="D555" s="144" t="s">
        <v>1672</v>
      </c>
      <c r="E555" s="506">
        <v>17</v>
      </c>
      <c r="F555" s="12">
        <v>0.3</v>
      </c>
      <c r="G555" s="101">
        <f>VLOOKUP($D555,Construction!$B:$L,(COLUMN(Construction_QuestReward_HeroXP)-COLUMN(Construction_Name_and_Level)+1),FALSE)</f>
        <v>2575</v>
      </c>
      <c r="H555" s="101">
        <f>G555*(1+F555)</f>
        <v>3347.5</v>
      </c>
      <c r="J555" s="100">
        <f>VLOOKUP($D555,Construction!$B:$L,(COLUMN(Construction_QuestReward_Power)-COLUMN(Construction_Name_and_Level)+1),FALSE)</f>
        <v>5</v>
      </c>
      <c r="AF555" s="141"/>
      <c r="AG555" s="141"/>
      <c r="AH555" s="137"/>
      <c r="AI555" s="484"/>
      <c r="AJ555" s="137">
        <f t="shared" si="152"/>
        <v>7.2916666666666657E-2</v>
      </c>
      <c r="AU555" s="101">
        <f>VLOOKUP($D555,Construction!$B:$Q,(COLUMN(Construction_QuestReward_Stone)-COLUMN(Construction_Name_and_Level)+1),FALSE)</f>
        <v>2500</v>
      </c>
      <c r="AV555" s="101">
        <f>VLOOKUP($D555,Construction!$B:$Q,(COLUMN(Construction_QuestReward_Wood)-COLUMN(Construction_Name_and_Level)+1),FALSE)</f>
        <v>2500</v>
      </c>
      <c r="AW555" s="101">
        <f>VLOOKUP($D555,Construction!$B:$Q,(COLUMN(Construction_QuestReward_Ore)-COLUMN(Construction_Name_and_Level)+1),FALSE)</f>
        <v>1200</v>
      </c>
      <c r="AX555" s="101">
        <f>VLOOKUP($D555,Construction!$B:$Q,(COLUMN(Construction_QuestReward_Food)-COLUMN(Construction_Name_and_Level)+1),FALSE)</f>
        <v>1700</v>
      </c>
      <c r="AY555" s="100">
        <f>VLOOKUP($D555,Construction!$B:$Q,(COLUMN(Construction_QuestReward_Silver)-COLUMN(Construction_Name_and_Level)+1),FALSE)</f>
        <v>0</v>
      </c>
    </row>
    <row r="556" spans="2:91" ht="15" customHeight="1">
      <c r="B556" s="506" t="s">
        <v>143</v>
      </c>
      <c r="C556" s="127" t="s">
        <v>142</v>
      </c>
      <c r="D556" s="144" t="s">
        <v>1673</v>
      </c>
      <c r="E556" s="506">
        <v>17</v>
      </c>
      <c r="F556" s="12">
        <v>0.3</v>
      </c>
      <c r="G556" s="101">
        <f>VLOOKUP($D556,Construction!$B:$L,(COLUMN(Construction_QuestReward_HeroXP)-COLUMN(Construction_Name_and_Level)+1),FALSE)</f>
        <v>2600</v>
      </c>
      <c r="H556" s="101">
        <f>G556*(1+F556)</f>
        <v>3380</v>
      </c>
      <c r="J556" s="100">
        <f>VLOOKUP($D556,Construction!$B:$L,(COLUMN(Construction_QuestReward_Power)-COLUMN(Construction_Name_and_Level)+1),FALSE)</f>
        <v>15</v>
      </c>
      <c r="AF556" s="141"/>
      <c r="AG556" s="141"/>
      <c r="AH556" s="137"/>
      <c r="AI556" s="484"/>
      <c r="AJ556" s="137">
        <f t="shared" si="152"/>
        <v>7.2916666666666657E-2</v>
      </c>
      <c r="AU556" s="101">
        <f>VLOOKUP($D556,Construction!$B:$Q,(COLUMN(Construction_QuestReward_Stone)-COLUMN(Construction_Name_and_Level)+1),FALSE)</f>
        <v>2800</v>
      </c>
      <c r="AV556" s="101">
        <f>VLOOKUP($D556,Construction!$B:$Q,(COLUMN(Construction_QuestReward_Wood)-COLUMN(Construction_Name_and_Level)+1),FALSE)</f>
        <v>2800</v>
      </c>
      <c r="AW556" s="101">
        <f>VLOOKUP($D556,Construction!$B:$Q,(COLUMN(Construction_QuestReward_Ore)-COLUMN(Construction_Name_and_Level)+1),FALSE)</f>
        <v>1400</v>
      </c>
      <c r="AX556" s="101">
        <f>VLOOKUP($D556,Construction!$B:$Q,(COLUMN(Construction_QuestReward_Food)-COLUMN(Construction_Name_and_Level)+1),FALSE)</f>
        <v>1900</v>
      </c>
      <c r="AY556" s="100">
        <f>VLOOKUP($D556,Construction!$B:$Q,(COLUMN(Construction_QuestReward_Silver)-COLUMN(Construction_Name_and_Level)+1),FALSE)</f>
        <v>50</v>
      </c>
    </row>
    <row r="557" spans="2:91" ht="15" customHeight="1">
      <c r="B557" s="506" t="s">
        <v>144</v>
      </c>
      <c r="C557" s="127" t="s">
        <v>149</v>
      </c>
      <c r="D557" s="144" t="s">
        <v>1674</v>
      </c>
      <c r="E557" s="506">
        <v>17</v>
      </c>
      <c r="F557" s="12">
        <v>0.3</v>
      </c>
      <c r="G557" s="94">
        <f>VLOOKUP($D557,Construction!$B:$E,(COLUMN(Construction_BuildingReward_HeroXP)-COLUMN(Construction_Name_and_Level)+1),FALSE)</f>
        <v>10</v>
      </c>
      <c r="H557" s="94">
        <f>G557*(1+F557)</f>
        <v>13</v>
      </c>
      <c r="J557" s="95">
        <f>VLOOKUP($D557,Construction!$B:$F,(COLUMN(Construction_BuildingReward_Power)-COLUMN(Construction_Name_and_Level)+1),FALSE)</f>
        <v>35</v>
      </c>
      <c r="Q557" s="139">
        <v>3.472222222222222E-3</v>
      </c>
      <c r="R557" s="139">
        <v>7.6388888888888886E-3</v>
      </c>
      <c r="AF557" s="141"/>
      <c r="AG557" s="141"/>
      <c r="AH557" s="137"/>
      <c r="AI557" s="484"/>
      <c r="AJ557" s="137">
        <f t="shared" si="152"/>
        <v>7.2916666666666657E-2</v>
      </c>
      <c r="AK557" s="339">
        <v>0.41</v>
      </c>
      <c r="AL557" s="138">
        <f>VLOOKUP($D557,Construction!$B:$C,(COLUMN(Construction_Time)-COLUMN(Construction_Name_and_Level)+1),FALSE)</f>
        <v>1.3310185185185185E-3</v>
      </c>
      <c r="AM557" s="138">
        <f t="shared" ref="AM557" si="157">AL557/(1+AK557)</f>
        <v>9.4398476490675071E-4</v>
      </c>
      <c r="AN557" s="138">
        <f>(S$3*S557+T$3*T557+V$3*V557+W$3*W557+X$3*X557+Y$3*Y557+Z$3*Z557+AA$3*AA557+AB$3*AB557+AC$3*AC557)*(-1)</f>
        <v>0</v>
      </c>
      <c r="AO557" s="139">
        <f>IF((AM557-Q557-R557-AN557)&gt;=0,AM557-Q557-R557-AN557,0)</f>
        <v>0</v>
      </c>
      <c r="AU557" s="94">
        <f>VLOOKUP($D557,Construction!$B:$J,(COLUMN(Construction_BuildingCost_Stone)-COLUMN(Construction_Name_and_Level)+1),FALSE)*(-1)</f>
        <v>-100</v>
      </c>
      <c r="AV557" s="94">
        <f>VLOOKUP($D557,Construction!$B:$J,(COLUMN(Construction_BuildingCost_Wood)-COLUMN(Construction_Name_and_Level)+1),FALSE)*(-1)</f>
        <v>-100</v>
      </c>
      <c r="AW557" s="94">
        <f>VLOOKUP($D557,Construction!$B:$J,(COLUMN(Construction_BuildingCost_Ore)-COLUMN(Construction_Name_and_Level)+1),FALSE)*(-1)</f>
        <v>-100</v>
      </c>
      <c r="AX557" s="94">
        <f>VLOOKUP($D557,Construction!$B:$J,(COLUMN(Construction_BuildingCost_Food)-COLUMN(Construction_Name_and_Level)+1),FALSE)*(-1)</f>
        <v>-100</v>
      </c>
    </row>
    <row r="558" spans="2:91" ht="15" customHeight="1">
      <c r="B558" s="506" t="s">
        <v>143</v>
      </c>
      <c r="C558" s="127" t="s">
        <v>139</v>
      </c>
      <c r="D558" s="144" t="s">
        <v>1674</v>
      </c>
      <c r="E558" s="506">
        <v>17</v>
      </c>
      <c r="F558" s="12">
        <v>0.3</v>
      </c>
      <c r="G558" s="101">
        <f>VLOOKUP($D558,Construction!$B:$L,(COLUMN(Construction_QuestReward_HeroXP)-COLUMN(Construction_Name_and_Level)+1),FALSE)</f>
        <v>2525</v>
      </c>
      <c r="H558" s="101">
        <f>G558*(1+F558)</f>
        <v>3282.5</v>
      </c>
      <c r="J558" s="100">
        <f>VLOOKUP($D558,Construction!$B:$L,(COLUMN(Construction_QuestReward_Power)-COLUMN(Construction_Name_and_Level)+1),FALSE)</f>
        <v>5</v>
      </c>
      <c r="AF558" s="141"/>
      <c r="AG558" s="141"/>
      <c r="AH558" s="137"/>
      <c r="AI558" s="484"/>
      <c r="AJ558" s="137">
        <f t="shared" si="152"/>
        <v>7.2916666666666657E-2</v>
      </c>
      <c r="AU558" s="101">
        <f>VLOOKUP($D558,Construction!$B:$Q,(COLUMN(Construction_QuestReward_Stone)-COLUMN(Construction_Name_and_Level)+1),FALSE)</f>
        <v>1000</v>
      </c>
      <c r="AV558" s="101">
        <f>VLOOKUP($D558,Construction!$B:$Q,(COLUMN(Construction_QuestReward_Wood)-COLUMN(Construction_Name_and_Level)+1),FALSE)</f>
        <v>1000</v>
      </c>
      <c r="AW558" s="101">
        <f>VLOOKUP($D558,Construction!$B:$Q,(COLUMN(Construction_QuestReward_Ore)-COLUMN(Construction_Name_and_Level)+1),FALSE)</f>
        <v>1000</v>
      </c>
      <c r="AX558" s="101">
        <f>VLOOKUP($D558,Construction!$B:$Q,(COLUMN(Construction_QuestReward_Food)-COLUMN(Construction_Name_and_Level)+1),FALSE)</f>
        <v>1000</v>
      </c>
      <c r="AY558" s="100">
        <f>VLOOKUP($D558,Construction!$B:$Q,(COLUMN(Construction_QuestReward_Silver)-COLUMN(Construction_Name_and_Level)+1),FALSE)</f>
        <v>50</v>
      </c>
    </row>
    <row r="559" spans="2:91" ht="15" customHeight="1">
      <c r="B559" s="506" t="s">
        <v>195</v>
      </c>
      <c r="C559" s="127" t="s">
        <v>468</v>
      </c>
      <c r="D559" s="144">
        <v>5.185185185185185E-3</v>
      </c>
      <c r="E559" s="506">
        <v>17</v>
      </c>
      <c r="F559" s="12">
        <v>0.3</v>
      </c>
      <c r="G559" s="211">
        <v>2800</v>
      </c>
      <c r="H559" s="211">
        <f t="shared" ref="H559" si="158">G559*(1+F559)</f>
        <v>3640</v>
      </c>
      <c r="AF559" s="141"/>
      <c r="AG559" s="141"/>
      <c r="AH559" s="137"/>
      <c r="AI559" s="484"/>
      <c r="AJ559" s="137">
        <f t="shared" si="152"/>
        <v>7.2916666666666657E-2</v>
      </c>
      <c r="AU559" s="211">
        <v>7000</v>
      </c>
      <c r="AV559" s="211">
        <v>0</v>
      </c>
      <c r="AW559" s="211">
        <v>0</v>
      </c>
      <c r="AX559" s="211">
        <v>0</v>
      </c>
      <c r="AY559" s="160">
        <v>1400</v>
      </c>
      <c r="CL559" s="211">
        <v>2000</v>
      </c>
      <c r="CM559" s="160">
        <f>CL559</f>
        <v>2000</v>
      </c>
    </row>
    <row r="560" spans="2:91" ht="15" customHeight="1">
      <c r="B560" s="506" t="s">
        <v>624</v>
      </c>
      <c r="C560" s="127" t="s">
        <v>670</v>
      </c>
      <c r="E560" s="506">
        <v>17</v>
      </c>
      <c r="AF560" s="141"/>
      <c r="AG560" s="141"/>
      <c r="AH560" s="137"/>
      <c r="AI560" s="484"/>
      <c r="AJ560" s="137">
        <f t="shared" si="152"/>
        <v>7.2916666666666657E-2</v>
      </c>
      <c r="AY560" s="31">
        <v>5250</v>
      </c>
    </row>
    <row r="561" spans="2:108" ht="15" customHeight="1">
      <c r="B561" s="506" t="s">
        <v>143</v>
      </c>
      <c r="C561" s="127" t="s">
        <v>150</v>
      </c>
      <c r="D561" s="144" t="s">
        <v>1675</v>
      </c>
      <c r="E561" s="506">
        <v>17</v>
      </c>
      <c r="F561" s="12">
        <v>0.3</v>
      </c>
      <c r="G561" s="101">
        <v>5000</v>
      </c>
      <c r="H561" s="101">
        <f>G561*(1+F561)</f>
        <v>6500</v>
      </c>
      <c r="J561" s="100">
        <v>25</v>
      </c>
      <c r="N561" s="198">
        <v>100</v>
      </c>
      <c r="AF561" s="141"/>
      <c r="AG561" s="141"/>
      <c r="AH561" s="137"/>
      <c r="AI561" s="484"/>
      <c r="AJ561" s="137">
        <f t="shared" si="152"/>
        <v>7.2916666666666657E-2</v>
      </c>
      <c r="CN561" s="100">
        <v>37000</v>
      </c>
    </row>
    <row r="562" spans="2:108" ht="15" customHeight="1">
      <c r="B562" s="506" t="s">
        <v>195</v>
      </c>
      <c r="C562" s="127" t="s">
        <v>468</v>
      </c>
      <c r="D562" s="144" t="s">
        <v>1676</v>
      </c>
      <c r="E562" s="506">
        <v>17</v>
      </c>
      <c r="F562" s="12">
        <v>0.3</v>
      </c>
      <c r="G562" s="211">
        <v>700</v>
      </c>
      <c r="H562" s="211">
        <f t="shared" ref="H562" si="159">G562*(1+F562)</f>
        <v>910</v>
      </c>
      <c r="AF562" s="141"/>
      <c r="AG562" s="141"/>
      <c r="AH562" s="137"/>
      <c r="AI562" s="484"/>
      <c r="AJ562" s="137">
        <f t="shared" si="152"/>
        <v>7.2916666666666657E-2</v>
      </c>
      <c r="AU562" s="211">
        <v>0</v>
      </c>
      <c r="AV562" s="211">
        <v>0</v>
      </c>
      <c r="AW562" s="211">
        <v>0</v>
      </c>
      <c r="AX562" s="211">
        <v>0</v>
      </c>
      <c r="AY562" s="160">
        <v>350</v>
      </c>
      <c r="CL562" s="211">
        <v>500</v>
      </c>
      <c r="CM562" s="160">
        <f>CL562</f>
        <v>500</v>
      </c>
    </row>
    <row r="563" spans="2:108" ht="15" customHeight="1">
      <c r="B563" s="506" t="s">
        <v>195</v>
      </c>
      <c r="C563" s="127" t="s">
        <v>468</v>
      </c>
      <c r="D563" s="144">
        <v>3.0324074074074073E-3</v>
      </c>
      <c r="E563" s="506">
        <v>17</v>
      </c>
      <c r="F563" s="12">
        <v>0.3</v>
      </c>
      <c r="G563" s="211">
        <v>700</v>
      </c>
      <c r="H563" s="211">
        <f t="shared" ref="H563" si="160">G563*(1+F563)</f>
        <v>910</v>
      </c>
      <c r="AF563" s="141"/>
      <c r="AG563" s="141"/>
      <c r="AH563" s="137"/>
      <c r="AI563" s="484"/>
      <c r="AJ563" s="137">
        <f t="shared" si="152"/>
        <v>7.2916666666666657E-2</v>
      </c>
      <c r="AU563" s="211">
        <v>0</v>
      </c>
      <c r="AV563" s="211">
        <v>0</v>
      </c>
      <c r="AW563" s="211">
        <v>875</v>
      </c>
      <c r="AX563" s="211">
        <v>0</v>
      </c>
      <c r="AY563" s="160">
        <v>175</v>
      </c>
      <c r="CL563" s="211">
        <v>500</v>
      </c>
      <c r="CM563" s="160">
        <f>CL563</f>
        <v>500</v>
      </c>
    </row>
    <row r="564" spans="2:108" ht="15" customHeight="1">
      <c r="B564" s="113" t="s">
        <v>1483</v>
      </c>
      <c r="C564" s="127" t="s">
        <v>845</v>
      </c>
      <c r="D564" s="127">
        <v>50</v>
      </c>
      <c r="E564" s="506">
        <v>17</v>
      </c>
      <c r="G564" s="7"/>
      <c r="H564" s="7"/>
      <c r="J564" s="114">
        <f>VLOOKUP($C564,Troop!$B:$AK,(COLUMN(Troop_TrainingReward_Power)-COLUMN(Troop_Name)+1),FALSE)*$D564</f>
        <v>100</v>
      </c>
      <c r="AF564" s="141"/>
      <c r="AG564" s="141"/>
      <c r="AH564" s="137"/>
      <c r="AI564" s="484"/>
      <c r="AJ564" s="137">
        <f t="shared" si="152"/>
        <v>7.2916666666666657E-2</v>
      </c>
      <c r="AU564" s="30">
        <f>VLOOKUP($C564,Troop!$B:$P,(COLUMN(Troop_TrainingCost_Stone)-COLUMN(Troop_Name)+1),FALSE)*$D564*(-1)</f>
        <v>0</v>
      </c>
      <c r="AV564" s="30">
        <f>VLOOKUP($C564,Troop!$B:$P,(COLUMN(Troop_TrainingCost_Wood)-COLUMN(Troop_Name)+1),FALSE)*$D564*(-1)</f>
        <v>-5000</v>
      </c>
      <c r="AW564" s="30">
        <f>VLOOKUP($C564,Troop!$B:$P,(COLUMN(Troop_TrainingCost_Ore)-COLUMN(Troop_Name)+1),FALSE)*$D564*(-1)</f>
        <v>-3750</v>
      </c>
      <c r="AX564" s="30">
        <f>VLOOKUP($C564,Troop!$B:$P,(COLUMN(Troop_TrainingCost_Food)-COLUMN(Troop_Name)+1),FALSE)*$D564*(-1)</f>
        <v>-5000</v>
      </c>
      <c r="AY564" s="31">
        <f>VLOOKUP($C564,Troop!$B:$P,(COLUMN(Troop_TrainingCost_Silver)-COLUMN(Troop_Name)+1),FALSE)*$D564*(-1)</f>
        <v>0</v>
      </c>
      <c r="CT564" s="128"/>
      <c r="CU564" s="128"/>
      <c r="CV564" s="128"/>
      <c r="CW564" s="128"/>
      <c r="CX564" s="128"/>
      <c r="CY564" s="128"/>
      <c r="CZ564" s="128"/>
      <c r="DA564" s="128"/>
      <c r="DB564" s="128"/>
      <c r="DC564" s="128"/>
      <c r="DD564" s="128"/>
    </row>
    <row r="565" spans="2:108" ht="15" customHeight="1">
      <c r="B565" s="102" t="s">
        <v>1455</v>
      </c>
      <c r="C565" s="127" t="s">
        <v>141</v>
      </c>
      <c r="D565" s="144" t="s">
        <v>1677</v>
      </c>
      <c r="E565" s="506">
        <v>17</v>
      </c>
      <c r="F565" s="12">
        <v>0.3</v>
      </c>
      <c r="G565" s="101">
        <v>2500</v>
      </c>
      <c r="H565" s="101">
        <f t="shared" ref="H565" si="161">G565*(1+F565)</f>
        <v>3250</v>
      </c>
      <c r="J565" s="100">
        <v>500</v>
      </c>
      <c r="AF565" s="141"/>
      <c r="AG565" s="141"/>
      <c r="AH565" s="137"/>
      <c r="AI565" s="484"/>
      <c r="AJ565" s="137">
        <f t="shared" si="152"/>
        <v>7.2916666666666657E-2</v>
      </c>
      <c r="AU565" s="101">
        <v>0</v>
      </c>
      <c r="AV565" s="101">
        <v>18700</v>
      </c>
      <c r="AW565" s="101">
        <v>14000</v>
      </c>
      <c r="AX565" s="101">
        <v>18700</v>
      </c>
      <c r="AY565" s="100">
        <v>0</v>
      </c>
      <c r="CT565" s="128"/>
      <c r="CU565" s="128"/>
      <c r="CV565" s="128"/>
      <c r="CW565" s="128"/>
      <c r="CX565" s="128"/>
      <c r="CY565" s="128"/>
      <c r="CZ565" s="128"/>
      <c r="DA565" s="128"/>
      <c r="DB565" s="128"/>
      <c r="DC565" s="128"/>
      <c r="DD565" s="128"/>
    </row>
    <row r="566" spans="2:108" ht="15" customHeight="1">
      <c r="B566" s="506" t="s">
        <v>148</v>
      </c>
      <c r="E566" s="506"/>
      <c r="AF566" s="141"/>
      <c r="AG566" s="141"/>
      <c r="AH566" s="137"/>
      <c r="AI566" s="484"/>
      <c r="AJ566" s="137">
        <f t="shared" si="152"/>
        <v>7.2916666666666657E-2</v>
      </c>
      <c r="AY566" s="283">
        <v>2000</v>
      </c>
    </row>
    <row r="567" spans="2:108" ht="15" customHeight="1">
      <c r="B567" s="506" t="s">
        <v>148</v>
      </c>
      <c r="E567" s="506"/>
      <c r="AF567" s="141"/>
      <c r="AG567" s="141"/>
      <c r="AH567" s="137"/>
      <c r="AI567" s="484"/>
      <c r="AJ567" s="137">
        <f t="shared" si="152"/>
        <v>7.2916666666666657E-2</v>
      </c>
      <c r="AX567" s="142">
        <v>20000</v>
      </c>
    </row>
    <row r="568" spans="2:108" ht="15" customHeight="1">
      <c r="B568" s="506" t="s">
        <v>148</v>
      </c>
      <c r="E568" s="506"/>
      <c r="AF568" s="141"/>
      <c r="AG568" s="141"/>
      <c r="AH568" s="137"/>
      <c r="AI568" s="484"/>
      <c r="AJ568" s="137">
        <f t="shared" si="152"/>
        <v>7.2916666666666657E-2</v>
      </c>
      <c r="AW568" s="142">
        <v>6000</v>
      </c>
    </row>
    <row r="569" spans="2:108" ht="15" customHeight="1">
      <c r="B569" s="506" t="s">
        <v>148</v>
      </c>
      <c r="E569" s="506"/>
      <c r="AF569" s="141"/>
      <c r="AG569" s="141"/>
      <c r="AH569" s="137"/>
      <c r="AI569" s="484"/>
      <c r="AJ569" s="137">
        <f t="shared" si="152"/>
        <v>7.2916666666666657E-2</v>
      </c>
      <c r="AU569" s="142">
        <v>6000</v>
      </c>
    </row>
    <row r="570" spans="2:108" ht="15" customHeight="1">
      <c r="B570" s="506" t="s">
        <v>148</v>
      </c>
      <c r="E570" s="506"/>
      <c r="AF570" s="141"/>
      <c r="AG570" s="141"/>
      <c r="AH570" s="137"/>
      <c r="AI570" s="484"/>
      <c r="AJ570" s="137">
        <f t="shared" si="152"/>
        <v>7.2916666666666657E-2</v>
      </c>
      <c r="AV570" s="142">
        <v>3000</v>
      </c>
    </row>
    <row r="571" spans="2:108" ht="15" customHeight="1">
      <c r="B571" s="506" t="s">
        <v>148</v>
      </c>
      <c r="E571" s="506"/>
      <c r="AF571" s="141"/>
      <c r="AG571" s="141"/>
      <c r="AH571" s="137"/>
      <c r="AI571" s="484"/>
      <c r="AJ571" s="137">
        <f t="shared" si="152"/>
        <v>7.2916666666666657E-2</v>
      </c>
      <c r="AV571" s="142">
        <v>6000</v>
      </c>
    </row>
    <row r="572" spans="2:108" ht="15" customHeight="1">
      <c r="B572" s="506" t="s">
        <v>148</v>
      </c>
      <c r="E572" s="506"/>
      <c r="N572" s="250">
        <v>120</v>
      </c>
      <c r="AF572" s="141"/>
      <c r="AG572" s="141"/>
      <c r="AH572" s="137"/>
      <c r="AI572" s="484"/>
      <c r="AJ572" s="137">
        <f t="shared" si="152"/>
        <v>7.2916666666666657E-2</v>
      </c>
    </row>
    <row r="573" spans="2:108" ht="15" customHeight="1">
      <c r="B573" s="506" t="s">
        <v>850</v>
      </c>
      <c r="C573" s="127" t="s">
        <v>851</v>
      </c>
      <c r="D573" s="144" t="s">
        <v>1678</v>
      </c>
      <c r="E573" s="506"/>
      <c r="O573" s="547">
        <v>-300</v>
      </c>
      <c r="Y573" s="11">
        <v>1</v>
      </c>
      <c r="AF573" s="141">
        <f>$S$3*$S573+$T$3*$T573+$U$3*$U573+$V$3*$V573+$W$3*$W573+$X$3*$X573+$Y$3*$Y573+$Z$3*$Z573+$AA$3*$AA573+$AB$3*$AB573+$AC$3*$AC573</f>
        <v>0.125</v>
      </c>
      <c r="AG573" s="141"/>
      <c r="AH573" s="137"/>
      <c r="AI573" s="484"/>
      <c r="AJ573" s="137">
        <f t="shared" si="152"/>
        <v>0.19791666666666666</v>
      </c>
    </row>
    <row r="574" spans="2:108" ht="15" customHeight="1">
      <c r="B574" s="506" t="s">
        <v>144</v>
      </c>
      <c r="C574" s="127" t="s">
        <v>138</v>
      </c>
      <c r="D574" s="144" t="s">
        <v>1679</v>
      </c>
      <c r="E574" s="506">
        <v>17</v>
      </c>
      <c r="F574" s="12">
        <v>0.3</v>
      </c>
      <c r="G574" s="94">
        <f>VLOOKUP($D574,Construction!$B:$E,(COLUMN(Construction_BuildingReward_HeroXP)-COLUMN(Construction_Name_and_Level)+1),FALSE)</f>
        <v>10000</v>
      </c>
      <c r="H574" s="94">
        <f>G574*(1+F574)</f>
        <v>13000</v>
      </c>
      <c r="J574" s="95">
        <f>VLOOKUP($D574,Construction!$B:$F,(COLUMN(Construction_BuildingReward_Power)-COLUMN(Construction_Name_and_Level)+1),FALSE)</f>
        <v>1250</v>
      </c>
      <c r="Q574" s="139">
        <v>3.472222222222222E-3</v>
      </c>
      <c r="R574" s="159">
        <v>8.3333333333333332E-3</v>
      </c>
      <c r="Y574" s="11">
        <v>-1</v>
      </c>
      <c r="AF574" s="141"/>
      <c r="AG574" s="141"/>
      <c r="AH574" s="137"/>
      <c r="AI574" s="484">
        <f>(-1)*($S$3*$S574+$T$3*$T574+$U$3*$U574+$V$3*$V574+$W$3*$W574+$X$3*$X574+$Y$3*$Y574+$Z$3*$Z574+$AA$3*$AA574+$AB$3*$AB574+$AC$3*$AC574)</f>
        <v>0.125</v>
      </c>
      <c r="AJ574" s="137">
        <f t="shared" si="152"/>
        <v>7.2916666666666657E-2</v>
      </c>
      <c r="AK574" s="339">
        <v>0.41</v>
      </c>
      <c r="AL574" s="138">
        <f>VLOOKUP($D574,Construction!$B:$C,(COLUMN(Construction_Time)-COLUMN(Construction_Name_and_Level)+1),FALSE)</f>
        <v>0.44444444444444442</v>
      </c>
      <c r="AM574" s="138">
        <f t="shared" ref="AM574" si="162">AL574/(1+AK574)</f>
        <v>0.31520882584712373</v>
      </c>
      <c r="AN574" s="138">
        <f>(S$3*S574+T$3*T574+V$3*V574+W$3*W574+X$3*X574+Y$3*Y574+Z$3*Z574+AA$3*AA574+AB$3*AB574+AC$3*AC574)*(-1)</f>
        <v>0.125</v>
      </c>
      <c r="AO574" s="139">
        <f>IF((AM574-Q574-R574-AN574)&gt;=0,AM574-Q574-R574-AN574,0)</f>
        <v>0.17840327029156816</v>
      </c>
      <c r="AU574" s="94">
        <f>VLOOKUP($D574,Construction!$B:$J,(COLUMN(Construction_BuildingCost_Stone)-COLUMN(Construction_Name_and_Level)+1),FALSE)*(-1)</f>
        <v>-83984</v>
      </c>
      <c r="AV574" s="94">
        <f>VLOOKUP($D574,Construction!$B:$J,(COLUMN(Construction_BuildingCost_Wood)-COLUMN(Construction_Name_and_Level)+1),FALSE)*(-1)</f>
        <v>-83984</v>
      </c>
      <c r="AW574" s="94">
        <f>VLOOKUP($D574,Construction!$B:$J,(COLUMN(Construction_BuildingCost_Ore)-COLUMN(Construction_Name_and_Level)+1),FALSE)*(-1)</f>
        <v>-33600</v>
      </c>
      <c r="AX574" s="94">
        <f>VLOOKUP($D574,Construction!$B:$J,(COLUMN(Construction_BuildingCost_Food)-COLUMN(Construction_Name_and_Level)+1),FALSE)*(-1)</f>
        <v>-41992</v>
      </c>
    </row>
    <row r="575" spans="2:108" ht="15" customHeight="1">
      <c r="B575" s="506" t="s">
        <v>145</v>
      </c>
      <c r="C575" s="146" t="s">
        <v>151</v>
      </c>
      <c r="D575" s="145">
        <v>1.0995370370370371E-2</v>
      </c>
      <c r="E575" s="506">
        <v>17</v>
      </c>
      <c r="AF575" s="141"/>
      <c r="AG575" s="141"/>
      <c r="AH575" s="137"/>
      <c r="AI575" s="484"/>
      <c r="AJ575" s="137">
        <f t="shared" si="152"/>
        <v>7.2916666666666657E-2</v>
      </c>
      <c r="AV575" s="2">
        <v>3000</v>
      </c>
    </row>
    <row r="576" spans="2:108" ht="15" customHeight="1">
      <c r="B576" s="506" t="s">
        <v>1457</v>
      </c>
      <c r="C576" s="127" t="s">
        <v>172</v>
      </c>
      <c r="D576" s="145" t="s">
        <v>1680</v>
      </c>
      <c r="E576" s="506">
        <v>17</v>
      </c>
      <c r="H576" s="7"/>
      <c r="J576" s="19"/>
      <c r="W576" s="11">
        <v>1</v>
      </c>
      <c r="X576" s="11">
        <v>1</v>
      </c>
      <c r="AF576" s="141">
        <f>$S$3*$S576+$T$3*$T576+$U$3*$U576+$V$3*$V576+$W$3*$W576+$X$3*$X576+$Y$3*$Y576+$Z$3*$Z576+$AA$3*$AA576+$AB$3*$AB576+$AC$3*$AC576</f>
        <v>5.2083333333333329E-2</v>
      </c>
      <c r="AG576" s="141"/>
      <c r="AH576" s="137"/>
      <c r="AI576" s="484"/>
      <c r="AJ576" s="137">
        <f t="shared" ref="AJ576:AJ582" si="163">AJ575+(S$3*S576+T$3*T576+U$3*U576+V$3*V576+W$3*W576+X$3*X576+Y$3*Y576+Z$3*Z576+AA$3*AA576+AB$3*AB576+AC$3*AC576)</f>
        <v>0.12499999999999999</v>
      </c>
      <c r="AU576" s="7">
        <v>11600</v>
      </c>
      <c r="AV576" s="7">
        <v>11600</v>
      </c>
      <c r="AW576" s="7">
        <v>11600</v>
      </c>
      <c r="AX576" s="7">
        <v>13200</v>
      </c>
      <c r="AY576" s="19">
        <v>11800</v>
      </c>
      <c r="CN576" s="5">
        <v>7000</v>
      </c>
      <c r="CZ576" s="127"/>
      <c r="DA576" s="127"/>
      <c r="DB576" s="127"/>
      <c r="DC576" s="127"/>
      <c r="DD576" s="127"/>
    </row>
    <row r="577" spans="2:108" ht="15" customHeight="1">
      <c r="B577" s="506" t="s">
        <v>145</v>
      </c>
      <c r="C577" s="127" t="s">
        <v>152</v>
      </c>
      <c r="D577" s="145" t="s">
        <v>1681</v>
      </c>
      <c r="E577" s="506">
        <v>17</v>
      </c>
      <c r="J577" s="19"/>
      <c r="W577" s="11">
        <v>1</v>
      </c>
      <c r="X577" s="11">
        <v>1</v>
      </c>
      <c r="AF577" s="141">
        <f>$S$3*$S577+$T$3*$T577+$U$3*$U577+$V$3*$V577+$W$3*$W577+$X$3*$X577+$Y$3*$Y577+$Z$3*$Z577+$AA$3*$AA577+$AB$3*$AB577+$AC$3*$AC577</f>
        <v>5.2083333333333329E-2</v>
      </c>
      <c r="AG577" s="141"/>
      <c r="AH577" s="137"/>
      <c r="AI577" s="484"/>
      <c r="AJ577" s="137">
        <f t="shared" si="163"/>
        <v>0.17708333333333331</v>
      </c>
      <c r="AU577" s="7"/>
      <c r="AV577" s="7">
        <v>1000</v>
      </c>
      <c r="AW577" s="7"/>
      <c r="AX577" s="7"/>
      <c r="AY577" s="19">
        <v>1000</v>
      </c>
      <c r="CZ577" s="127"/>
      <c r="DA577" s="127"/>
      <c r="DB577" s="127"/>
      <c r="DC577" s="127"/>
      <c r="DD577" s="127"/>
    </row>
    <row r="578" spans="2:108" ht="15" customHeight="1">
      <c r="B578" s="506" t="s">
        <v>146</v>
      </c>
      <c r="C578" s="127" t="s">
        <v>138</v>
      </c>
      <c r="D578" s="144" t="s">
        <v>1682</v>
      </c>
      <c r="E578" s="506">
        <v>17</v>
      </c>
      <c r="F578" s="12">
        <v>0.3</v>
      </c>
      <c r="G578" s="111">
        <f>VLOOKUP($D578,Research!$C:$F,(COLUMN(Research_ResearchReward_HeroXP)-COLUMN(Research_Name_and_Level)+1),FALSE)</f>
        <v>30000</v>
      </c>
      <c r="H578" s="111">
        <f t="shared" ref="H578" si="164">G578*(1+F578)</f>
        <v>39000</v>
      </c>
      <c r="J578" s="115">
        <f>VLOOKUP($D578,Research!$C:$G,(COLUMN(Research_ResearchReward_Power)-COLUMN(Research_Name_and_Level)+1),FALSE)</f>
        <v>400</v>
      </c>
      <c r="R578" s="148">
        <v>8.3333333333333332E-3</v>
      </c>
      <c r="AF578" s="141"/>
      <c r="AG578" s="141"/>
      <c r="AH578" s="137"/>
      <c r="AI578" s="484"/>
      <c r="AJ578" s="137">
        <f t="shared" si="163"/>
        <v>0.17708333333333331</v>
      </c>
      <c r="AP578" s="256">
        <v>0.47</v>
      </c>
      <c r="AQ578" s="147">
        <f>VLOOKUP($D578,Research!$C:$D,(COLUMN(Research_Time)-COLUMN(Research_Name_and_Level)+1),FALSE)</f>
        <v>0.1875</v>
      </c>
      <c r="AR578" s="147">
        <f>AQ578/(1+AP578)</f>
        <v>0.12755102040816327</v>
      </c>
      <c r="AS578" s="147">
        <f>(S$3*S578+T$3*T578+V$3*V578+W$3*W578+X$3*X578+Y$3*Y578+Z$3*Z578+AA$3*AA578+AB$3*AB578+AC$3*AC578)*(-1)</f>
        <v>0</v>
      </c>
      <c r="AT578" s="148">
        <f>IF(AR578-R578-AS578&gt;=0,AR578-R578-AS578,0)</f>
        <v>0.11921768707482994</v>
      </c>
      <c r="AU578" s="111">
        <f>VLOOKUP($D578,Research!$C:$L,(COLUMN(Research_ResearchCost_Stone)-COLUMN(Research_Name_and_Level)+1),FALSE)*(-1)</f>
        <v>0</v>
      </c>
      <c r="AV578" s="111">
        <f>VLOOKUP($D578,Research!$C:$L,(COLUMN(Research_ResearchCost_Wood)-COLUMN(Research_Name_and_Level)+1),FALSE)*(-1)</f>
        <v>-10000</v>
      </c>
      <c r="AW578" s="111">
        <f>VLOOKUP($D578,Research!$C:$L,(COLUMN(Research_ResearchCost_Ore)-COLUMN(Research_Name_and_Level)+1),FALSE)*(-1)</f>
        <v>-7500</v>
      </c>
      <c r="AX578" s="111">
        <f>VLOOKUP($D578,Research!$C:$L,(COLUMN(Research_ResearchCost_Food)-COLUMN(Research_Name_and_Level)+1),FALSE)*(-1)</f>
        <v>-10000</v>
      </c>
      <c r="AY578" s="112">
        <f>VLOOKUP($D578,Research!$C:$L,(COLUMN(Research_ResearchCost_Silver)-COLUMN(Research_Name_and_Level)+1),FALSE)*(-1)</f>
        <v>-8000</v>
      </c>
    </row>
    <row r="579" spans="2:108" ht="15" customHeight="1">
      <c r="B579" s="506" t="s">
        <v>144</v>
      </c>
      <c r="C579" s="127" t="s">
        <v>138</v>
      </c>
      <c r="D579" s="144" t="s">
        <v>1605</v>
      </c>
      <c r="E579" s="506">
        <v>17</v>
      </c>
      <c r="F579" s="12">
        <v>0.3</v>
      </c>
      <c r="G579" s="94">
        <f>VLOOKUP($D579,Construction!$B:$E,(COLUMN(Construction_BuildingReward_HeroXP)-COLUMN(Construction_Name_and_Level)+1),FALSE)</f>
        <v>500</v>
      </c>
      <c r="H579" s="94">
        <f>G579*(1+F579)</f>
        <v>650</v>
      </c>
      <c r="J579" s="95">
        <f>VLOOKUP($D579,Construction!$B:$F,(COLUMN(Construction_BuildingReward_Power)-COLUMN(Construction_Name_and_Level)+1),FALSE)</f>
        <v>55</v>
      </c>
      <c r="Q579" s="139">
        <v>3.472222222222222E-3</v>
      </c>
      <c r="R579" s="289">
        <v>8.3333333333333332E-3</v>
      </c>
      <c r="AF579" s="141"/>
      <c r="AG579" s="141"/>
      <c r="AH579" s="137"/>
      <c r="AI579" s="484"/>
      <c r="AJ579" s="137">
        <f t="shared" si="163"/>
        <v>0.17708333333333331</v>
      </c>
      <c r="AK579" s="339">
        <v>0.41</v>
      </c>
      <c r="AL579" s="138">
        <f>VLOOKUP($D579,Construction!$B:$C,(COLUMN(Construction_Time)-COLUMN(Construction_Name_and_Level)+1),FALSE)</f>
        <v>2.9629629629629627E-2</v>
      </c>
      <c r="AM579" s="138">
        <f t="shared" ref="AM579:AM580" si="165">AL579/(1+AK579)</f>
        <v>2.1013921723141579E-2</v>
      </c>
      <c r="AN579" s="138">
        <f>(S$3*S579+T$3*T579+V$3*V579+W$3*W579+X$3*X579+Y$3*Y579+Z$3*Z579+AA$3*AA579+AB$3*AB579+AC$3*AC579)*(-1)</f>
        <v>0</v>
      </c>
      <c r="AO579" s="139">
        <f>IF((AM579-Q579-R579-AN579)&gt;=0,AM579-Q579-R579-AN579,0)</f>
        <v>9.2083661675860223E-3</v>
      </c>
      <c r="AU579" s="94">
        <f>VLOOKUP($D579,Construction!$B:$J,(COLUMN(Construction_BuildingCost_Stone)-COLUMN(Construction_Name_and_Level)+1),FALSE)*(-1)</f>
        <v>-1674</v>
      </c>
      <c r="AV579" s="94">
        <f>VLOOKUP($D579,Construction!$B:$J,(COLUMN(Construction_BuildingCost_Wood)-COLUMN(Construction_Name_and_Level)+1),FALSE)*(-1)</f>
        <v>-1674</v>
      </c>
      <c r="AW579" s="94">
        <f>VLOOKUP($D579,Construction!$B:$J,(COLUMN(Construction_BuildingCost_Ore)-COLUMN(Construction_Name_and_Level)+1),FALSE)*(-1)</f>
        <v>0</v>
      </c>
      <c r="AX579" s="94">
        <f>VLOOKUP($D579,Construction!$B:$J,(COLUMN(Construction_BuildingCost_Food)-COLUMN(Construction_Name_and_Level)+1),FALSE)*(-1)</f>
        <v>-1674</v>
      </c>
    </row>
    <row r="580" spans="2:108" ht="15" customHeight="1">
      <c r="B580" s="506" t="s">
        <v>144</v>
      </c>
      <c r="C580" s="127" t="s">
        <v>138</v>
      </c>
      <c r="D580" s="144" t="s">
        <v>1605</v>
      </c>
      <c r="E580" s="506">
        <v>17</v>
      </c>
      <c r="F580" s="12">
        <v>0.3</v>
      </c>
      <c r="G580" s="94">
        <f>VLOOKUP($D580,Construction!$B:$E,(COLUMN(Construction_BuildingReward_HeroXP)-COLUMN(Construction_Name_and_Level)+1),FALSE)</f>
        <v>500</v>
      </c>
      <c r="H580" s="94">
        <f>G580*(1+F580)</f>
        <v>650</v>
      </c>
      <c r="J580" s="95">
        <f>VLOOKUP($D580,Construction!$B:$F,(COLUMN(Construction_BuildingReward_Power)-COLUMN(Construction_Name_and_Level)+1),FALSE)</f>
        <v>55</v>
      </c>
      <c r="Q580" s="139">
        <v>3.472222222222222E-3</v>
      </c>
      <c r="R580" s="289">
        <v>8.3333333333333332E-3</v>
      </c>
      <c r="AF580" s="141"/>
      <c r="AG580" s="141"/>
      <c r="AH580" s="137"/>
      <c r="AI580" s="484"/>
      <c r="AJ580" s="137">
        <f t="shared" si="163"/>
        <v>0.17708333333333331</v>
      </c>
      <c r="AK580" s="339">
        <v>0.41</v>
      </c>
      <c r="AL580" s="138">
        <f>VLOOKUP($D580,Construction!$B:$C,(COLUMN(Construction_Time)-COLUMN(Construction_Name_and_Level)+1),FALSE)</f>
        <v>2.9629629629629627E-2</v>
      </c>
      <c r="AM580" s="138">
        <f t="shared" si="165"/>
        <v>2.1013921723141579E-2</v>
      </c>
      <c r="AN580" s="138">
        <f>(S$3*S580+T$3*T580+V$3*V580+W$3*W580+X$3*X580+Y$3*Y580+Z$3*Z580+AA$3*AA580+AB$3*AB580+AC$3*AC580)*(-1)</f>
        <v>0</v>
      </c>
      <c r="AO580" s="139">
        <f>IF((AM580-Q580-R580-AN580)&gt;=0,AM580-Q580-R580-AN580,0)</f>
        <v>9.2083661675860223E-3</v>
      </c>
      <c r="AU580" s="94">
        <f>VLOOKUP($D580,Construction!$B:$J,(COLUMN(Construction_BuildingCost_Stone)-COLUMN(Construction_Name_and_Level)+1),FALSE)*(-1)</f>
        <v>-1674</v>
      </c>
      <c r="AV580" s="94">
        <f>VLOOKUP($D580,Construction!$B:$J,(COLUMN(Construction_BuildingCost_Wood)-COLUMN(Construction_Name_and_Level)+1),FALSE)*(-1)</f>
        <v>-1674</v>
      </c>
      <c r="AW580" s="94">
        <f>VLOOKUP($D580,Construction!$B:$J,(COLUMN(Construction_BuildingCost_Ore)-COLUMN(Construction_Name_and_Level)+1),FALSE)*(-1)</f>
        <v>0</v>
      </c>
      <c r="AX580" s="94">
        <f>VLOOKUP($D580,Construction!$B:$J,(COLUMN(Construction_BuildingCost_Food)-COLUMN(Construction_Name_and_Level)+1),FALSE)*(-1)</f>
        <v>-1674</v>
      </c>
    </row>
    <row r="581" spans="2:108" ht="15" customHeight="1">
      <c r="B581" s="506" t="s">
        <v>143</v>
      </c>
      <c r="C581" s="127" t="s">
        <v>466</v>
      </c>
      <c r="D581" s="144">
        <v>1.6412037037037037E-2</v>
      </c>
      <c r="E581" s="506">
        <v>17</v>
      </c>
      <c r="F581" s="12">
        <v>0.3</v>
      </c>
      <c r="G581" s="101">
        <v>13500</v>
      </c>
      <c r="H581" s="101">
        <f>G581*(1+F581)</f>
        <v>17550</v>
      </c>
      <c r="AF581" s="141"/>
      <c r="AG581" s="141"/>
      <c r="AH581" s="137"/>
      <c r="AI581" s="484"/>
      <c r="AJ581" s="137">
        <f t="shared" si="163"/>
        <v>0.17708333333333331</v>
      </c>
      <c r="AU581" s="101">
        <v>13125</v>
      </c>
      <c r="AV581" s="101">
        <v>0</v>
      </c>
      <c r="AW581" s="101">
        <v>0</v>
      </c>
      <c r="AX581" s="101">
        <v>0</v>
      </c>
      <c r="AY581" s="100">
        <v>2625</v>
      </c>
    </row>
    <row r="582" spans="2:108" ht="15" customHeight="1">
      <c r="B582" s="126" t="s">
        <v>1457</v>
      </c>
      <c r="C582" s="127" t="s">
        <v>147</v>
      </c>
      <c r="D582" s="144" t="s">
        <v>1683</v>
      </c>
      <c r="E582" s="506">
        <v>18</v>
      </c>
      <c r="I582" s="5">
        <v>3</v>
      </c>
      <c r="J582" s="5">
        <v>630</v>
      </c>
      <c r="Q582" s="149"/>
      <c r="AF582" s="141"/>
      <c r="AG582" s="141"/>
      <c r="AH582" s="137"/>
      <c r="AI582" s="484"/>
      <c r="AJ582" s="137">
        <f t="shared" si="163"/>
        <v>0.17708333333333331</v>
      </c>
      <c r="AX582" s="11"/>
    </row>
    <row r="583" spans="2:108" ht="15" customHeight="1">
      <c r="B583" s="106" t="s">
        <v>171</v>
      </c>
      <c r="C583" s="130"/>
      <c r="D583" s="130" t="s">
        <v>1684</v>
      </c>
      <c r="E583" s="106">
        <v>18</v>
      </c>
      <c r="F583" s="219">
        <v>0.3</v>
      </c>
      <c r="G583" s="107" t="s">
        <v>1453</v>
      </c>
      <c r="H583" s="107">
        <v>2625994</v>
      </c>
      <c r="I583" s="108">
        <v>41</v>
      </c>
      <c r="J583" s="108">
        <v>51056</v>
      </c>
      <c r="K583" s="107">
        <v>4</v>
      </c>
      <c r="L583" s="107">
        <v>1460</v>
      </c>
      <c r="M583" s="134">
        <v>0.10416666666666667</v>
      </c>
      <c r="N583" s="109">
        <v>180</v>
      </c>
      <c r="O583" s="109">
        <f>SUMIF($B$4:$B582,"&lt;&gt;"&amp;$CS$13,O$4:O582)</f>
        <v>-300</v>
      </c>
      <c r="P583" s="108">
        <f>SUMIF($B$4:$B582,"&lt;&gt;"&amp;$CS$13,N$4:N582)</f>
        <v>480</v>
      </c>
      <c r="Q583" s="134">
        <v>3.472222222222222E-3</v>
      </c>
      <c r="R583" s="134">
        <v>8.3333333333333332E-3</v>
      </c>
      <c r="S583" s="107">
        <v>0</v>
      </c>
      <c r="T583" s="107">
        <v>0</v>
      </c>
      <c r="U583" s="107">
        <v>0</v>
      </c>
      <c r="V583" s="107">
        <v>0</v>
      </c>
      <c r="W583" s="109">
        <v>5</v>
      </c>
      <c r="X583" s="109">
        <v>3</v>
      </c>
      <c r="Y583" s="109">
        <v>0</v>
      </c>
      <c r="Z583" s="109">
        <v>0</v>
      </c>
      <c r="AA583" s="109">
        <v>0</v>
      </c>
      <c r="AB583" s="109">
        <v>0</v>
      </c>
      <c r="AC583" s="109">
        <v>0</v>
      </c>
      <c r="AD583" s="109">
        <v>0</v>
      </c>
      <c r="AE583" s="108">
        <v>0</v>
      </c>
      <c r="AF583" s="136">
        <f>SUMIF($B$4:$B582,"&lt;&gt;"&amp;$CS$13,AF$4:AF582)</f>
        <v>0.64652777777777781</v>
      </c>
      <c r="AG583" s="136">
        <f>SUMIF($B$4:$B582,"&lt;&gt;"&amp;$CS$13,AG$4:AG582)</f>
        <v>0</v>
      </c>
      <c r="AH583" s="134">
        <f>AF583+AG583</f>
        <v>0.64652777777777781</v>
      </c>
      <c r="AI583" s="483">
        <f>SUMIF($B$4:$B582,"&lt;&gt;"&amp;$CS$13,AI$4:AI582)</f>
        <v>0.46944444444444444</v>
      </c>
      <c r="AJ583" s="134">
        <f>S$3*S583+T$3*T583+U$3*U583+V$3*V583+W$3*W583+X$3*X583+Y$3*Y583+Z$3*Z583+AA$3*AA583+AB$3*AB583+AC$3*AC583</f>
        <v>0.17708333333333331</v>
      </c>
      <c r="AK583" s="338">
        <v>0.41</v>
      </c>
      <c r="AL583" s="136" t="s">
        <v>1453</v>
      </c>
      <c r="AM583" s="136" t="s">
        <v>1453</v>
      </c>
      <c r="AN583" s="136" t="s">
        <v>1453</v>
      </c>
      <c r="AO583" s="134" t="s">
        <v>1453</v>
      </c>
      <c r="AP583" s="284">
        <v>0.47</v>
      </c>
      <c r="AQ583" s="136" t="s">
        <v>1453</v>
      </c>
      <c r="AR583" s="136" t="s">
        <v>1453</v>
      </c>
      <c r="AS583" s="136" t="s">
        <v>1453</v>
      </c>
      <c r="AT583" s="134" t="s">
        <v>1453</v>
      </c>
      <c r="AU583" s="107">
        <v>204600</v>
      </c>
      <c r="AV583" s="107">
        <v>178900</v>
      </c>
      <c r="AW583" s="107">
        <v>250200</v>
      </c>
      <c r="AX583" s="109">
        <v>426300</v>
      </c>
      <c r="AY583" s="108">
        <v>142300</v>
      </c>
      <c r="AZ583" s="107">
        <v>3906</v>
      </c>
      <c r="BA583" s="107">
        <v>4326</v>
      </c>
      <c r="BB583" s="107">
        <v>3370</v>
      </c>
      <c r="BC583" s="107">
        <v>8370</v>
      </c>
      <c r="BD583" s="108">
        <v>1680</v>
      </c>
      <c r="BE583" s="108">
        <v>-1400</v>
      </c>
      <c r="BF583" s="107">
        <v>201000</v>
      </c>
      <c r="BG583" s="107">
        <v>225000</v>
      </c>
      <c r="BH583" s="107">
        <v>184500</v>
      </c>
      <c r="BI583" s="107">
        <v>352500</v>
      </c>
      <c r="BJ583" s="108">
        <v>99000</v>
      </c>
      <c r="BK583" s="107">
        <v>8</v>
      </c>
      <c r="BL583" s="108">
        <v>7</v>
      </c>
      <c r="BM583" s="108">
        <v>7</v>
      </c>
      <c r="BN583" s="107">
        <v>6</v>
      </c>
      <c r="BO583" s="108">
        <v>7</v>
      </c>
      <c r="BP583" s="107">
        <v>6</v>
      </c>
      <c r="BQ583" s="108">
        <v>5</v>
      </c>
      <c r="BR583" s="107">
        <v>6</v>
      </c>
      <c r="BS583" s="108">
        <v>5</v>
      </c>
      <c r="BT583" s="107">
        <v>7</v>
      </c>
      <c r="BU583" s="108">
        <v>5</v>
      </c>
      <c r="BV583" s="107">
        <v>6</v>
      </c>
      <c r="BW583" s="108">
        <v>4</v>
      </c>
      <c r="BX583" s="107">
        <v>6</v>
      </c>
      <c r="BY583" s="108">
        <v>4</v>
      </c>
      <c r="BZ583" s="107">
        <v>6</v>
      </c>
      <c r="CA583" s="108">
        <v>4</v>
      </c>
      <c r="CB583" s="108">
        <v>6</v>
      </c>
      <c r="CC583" s="108">
        <v>7</v>
      </c>
      <c r="CD583" s="108">
        <v>7</v>
      </c>
      <c r="CE583" s="107">
        <v>5</v>
      </c>
      <c r="CF583" s="107">
        <v>3</v>
      </c>
      <c r="CG583" s="108">
        <v>1</v>
      </c>
      <c r="CH583" s="107">
        <v>6</v>
      </c>
      <c r="CI583" s="107"/>
      <c r="CJ583" s="108"/>
      <c r="CK583" s="108"/>
      <c r="CL583" s="107">
        <v>150200</v>
      </c>
      <c r="CM583" s="108"/>
      <c r="CN583" s="108" t="s">
        <v>1208</v>
      </c>
    </row>
    <row r="584" spans="2:108" ht="15" customHeight="1">
      <c r="B584" s="506" t="s">
        <v>195</v>
      </c>
      <c r="C584" s="127" t="s">
        <v>468</v>
      </c>
      <c r="D584" s="144">
        <v>2.5057870370370373E-2</v>
      </c>
      <c r="E584" s="506">
        <v>18</v>
      </c>
      <c r="F584" s="12">
        <v>0.3</v>
      </c>
      <c r="G584" s="211">
        <v>10500</v>
      </c>
      <c r="H584" s="211">
        <f t="shared" ref="H584" si="166">G584*(1+F584)</f>
        <v>13650</v>
      </c>
      <c r="AF584" s="141"/>
      <c r="AG584" s="141"/>
      <c r="AH584" s="137"/>
      <c r="AI584" s="484"/>
      <c r="AJ584" s="137">
        <f t="shared" ref="AJ584:AJ607" si="167">AJ583+(S$3*S584+T$3*T584+U$3*U584+V$3*V584+W$3*W584+X$3*X584+Y$3*Y584+Z$3*Z584+AA$3*AA584+AB$3*AB584+AC$3*AC584)</f>
        <v>0.17708333333333331</v>
      </c>
      <c r="AU584" s="211">
        <v>7875</v>
      </c>
      <c r="AV584" s="211">
        <v>7875</v>
      </c>
      <c r="AW584" s="211">
        <v>0</v>
      </c>
      <c r="AX584" s="211">
        <v>0</v>
      </c>
      <c r="AY584" s="160">
        <v>1575</v>
      </c>
      <c r="CL584" s="211">
        <v>7500</v>
      </c>
      <c r="CM584" s="160">
        <f>CL584</f>
        <v>7500</v>
      </c>
    </row>
    <row r="585" spans="2:108" ht="15" customHeight="1">
      <c r="B585" s="506" t="s">
        <v>144</v>
      </c>
      <c r="C585" s="127" t="s">
        <v>138</v>
      </c>
      <c r="D585" s="144" t="s">
        <v>1605</v>
      </c>
      <c r="E585" s="506">
        <v>18</v>
      </c>
      <c r="F585" s="12">
        <v>0.3</v>
      </c>
      <c r="G585" s="94">
        <f>VLOOKUP($D585,Construction!$B:$E,(COLUMN(Construction_BuildingReward_HeroXP)-COLUMN(Construction_Name_and_Level)+1),FALSE)</f>
        <v>500</v>
      </c>
      <c r="H585" s="94">
        <f>G585*(1+F585)</f>
        <v>650</v>
      </c>
      <c r="J585" s="95">
        <f>VLOOKUP($D585,Construction!$B:$F,(COLUMN(Construction_BuildingReward_Power)-COLUMN(Construction_Name_and_Level)+1),FALSE)</f>
        <v>55</v>
      </c>
      <c r="Q585" s="139">
        <v>3.472222222222222E-3</v>
      </c>
      <c r="R585" s="289">
        <v>8.3333333333333332E-3</v>
      </c>
      <c r="AF585" s="141"/>
      <c r="AG585" s="141"/>
      <c r="AH585" s="137"/>
      <c r="AI585" s="484"/>
      <c r="AJ585" s="137">
        <f t="shared" si="167"/>
        <v>0.17708333333333331</v>
      </c>
      <c r="AK585" s="339">
        <v>0.41</v>
      </c>
      <c r="AL585" s="138">
        <f>VLOOKUP($D585,Construction!$B:$C,(COLUMN(Construction_Time)-COLUMN(Construction_Name_and_Level)+1),FALSE)</f>
        <v>2.9629629629629627E-2</v>
      </c>
      <c r="AM585" s="138">
        <f t="shared" ref="AM585" si="168">AL585/(1+AK585)</f>
        <v>2.1013921723141579E-2</v>
      </c>
      <c r="AN585" s="138">
        <f>(S$3*S585+T$3*T585+V$3*V585+W$3*W585+X$3*X585+Y$3*Y585+Z$3*Z585+AA$3*AA585+AB$3*AB585+AC$3*AC585)*(-1)</f>
        <v>0</v>
      </c>
      <c r="AO585" s="139">
        <f>IF((AM585-Q585-R585-AN585)&gt;=0,AM585-Q585-R585-AN585,0)</f>
        <v>9.2083661675860223E-3</v>
      </c>
      <c r="AU585" s="94">
        <f>VLOOKUP($D585,Construction!$B:$J,(COLUMN(Construction_BuildingCost_Stone)-COLUMN(Construction_Name_and_Level)+1),FALSE)*(-1)</f>
        <v>-1674</v>
      </c>
      <c r="AV585" s="94">
        <f>VLOOKUP($D585,Construction!$B:$J,(COLUMN(Construction_BuildingCost_Wood)-COLUMN(Construction_Name_and_Level)+1),FALSE)*(-1)</f>
        <v>-1674</v>
      </c>
      <c r="AW585" s="94">
        <f>VLOOKUP($D585,Construction!$B:$J,(COLUMN(Construction_BuildingCost_Ore)-COLUMN(Construction_Name_and_Level)+1),FALSE)*(-1)</f>
        <v>0</v>
      </c>
      <c r="AX585" s="94">
        <f>VLOOKUP($D585,Construction!$B:$J,(COLUMN(Construction_BuildingCost_Food)-COLUMN(Construction_Name_and_Level)+1),FALSE)*(-1)</f>
        <v>-1674</v>
      </c>
    </row>
    <row r="586" spans="2:108" ht="15" customHeight="1">
      <c r="B586" s="506" t="s">
        <v>143</v>
      </c>
      <c r="C586" s="127" t="s">
        <v>466</v>
      </c>
      <c r="D586" s="144">
        <v>9.4560185185185181E-3</v>
      </c>
      <c r="E586" s="506">
        <v>18</v>
      </c>
      <c r="F586" s="12">
        <v>0.3</v>
      </c>
      <c r="G586" s="101">
        <v>3200</v>
      </c>
      <c r="H586" s="101">
        <f>G586*(1+F586)</f>
        <v>4160</v>
      </c>
      <c r="AF586" s="141"/>
      <c r="AG586" s="141"/>
      <c r="AH586" s="137"/>
      <c r="AI586" s="484"/>
      <c r="AJ586" s="137">
        <f t="shared" si="167"/>
        <v>0.17708333333333331</v>
      </c>
      <c r="AU586" s="101">
        <v>8000</v>
      </c>
      <c r="AV586" s="101">
        <v>0</v>
      </c>
      <c r="AW586" s="101">
        <v>0</v>
      </c>
      <c r="AX586" s="101">
        <v>0</v>
      </c>
      <c r="AY586" s="100">
        <v>0</v>
      </c>
    </row>
    <row r="587" spans="2:108" ht="15" customHeight="1">
      <c r="B587" s="506" t="s">
        <v>146</v>
      </c>
      <c r="C587" s="127" t="s">
        <v>138</v>
      </c>
      <c r="D587" s="144" t="s">
        <v>1685</v>
      </c>
      <c r="E587" s="506">
        <v>18</v>
      </c>
      <c r="F587" s="12">
        <v>0.3</v>
      </c>
      <c r="G587" s="111">
        <f>VLOOKUP($D587,Research!$C:$F,(COLUMN(Research_ResearchReward_HeroXP)-COLUMN(Research_Name_and_Level)+1),FALSE)</f>
        <v>60000</v>
      </c>
      <c r="H587" s="111">
        <f t="shared" ref="H587" si="169">G587*(1+F587)</f>
        <v>78000</v>
      </c>
      <c r="J587" s="115">
        <f>VLOOKUP($D587,Research!$C:$G,(COLUMN(Research_ResearchReward_Power)-COLUMN(Research_Name_and_Level)+1),FALSE)</f>
        <v>1000</v>
      </c>
      <c r="R587" s="148">
        <v>8.3333333333333332E-3</v>
      </c>
      <c r="AF587" s="141"/>
      <c r="AG587" s="141"/>
      <c r="AH587" s="137"/>
      <c r="AI587" s="484"/>
      <c r="AJ587" s="137">
        <f t="shared" si="167"/>
        <v>0.17708333333333331</v>
      </c>
      <c r="AP587" s="256">
        <v>0.47</v>
      </c>
      <c r="AQ587" s="147">
        <f>VLOOKUP($D587,Research!$C:$D,(COLUMN(Research_Time)-COLUMN(Research_Name_and_Level)+1),FALSE)</f>
        <v>0.41203703703703703</v>
      </c>
      <c r="AR587" s="147">
        <f>AQ587/(1+AP587)</f>
        <v>0.2802973041068279</v>
      </c>
      <c r="AS587" s="147">
        <f>(S$3*S587+T$3*T587+V$3*V587+W$3*W587+X$3*X587+Y$3*Y587+Z$3*Z587+AA$3*AA587+AB$3*AB587+AC$3*AC587)*(-1)</f>
        <v>0</v>
      </c>
      <c r="AT587" s="148">
        <f>IF(AR587-R587-AS587&gt;=0,AR587-R587-AS587,0)</f>
        <v>0.27196397077349455</v>
      </c>
      <c r="AU587" s="111">
        <f>VLOOKUP($D587,Research!$C:$L,(COLUMN(Research_ResearchCost_Stone)-COLUMN(Research_Name_and_Level)+1),FALSE)*(-1)</f>
        <v>0</v>
      </c>
      <c r="AV587" s="111">
        <f>VLOOKUP($D587,Research!$C:$L,(COLUMN(Research_ResearchCost_Wood)-COLUMN(Research_Name_and_Level)+1),FALSE)*(-1)</f>
        <v>-20000</v>
      </c>
      <c r="AW587" s="111">
        <f>VLOOKUP($D587,Research!$C:$L,(COLUMN(Research_ResearchCost_Ore)-COLUMN(Research_Name_and_Level)+1),FALSE)*(-1)</f>
        <v>-15000</v>
      </c>
      <c r="AX587" s="111">
        <f>VLOOKUP($D587,Research!$C:$L,(COLUMN(Research_ResearchCost_Food)-COLUMN(Research_Name_and_Level)+1),FALSE)*(-1)</f>
        <v>-20000</v>
      </c>
      <c r="AY587" s="112">
        <f>VLOOKUP($D587,Research!$C:$L,(COLUMN(Research_ResearchCost_Silver)-COLUMN(Research_Name_and_Level)+1),FALSE)*(-1)</f>
        <v>-20000</v>
      </c>
    </row>
    <row r="588" spans="2:108" ht="15" customHeight="1">
      <c r="B588" s="506" t="s">
        <v>144</v>
      </c>
      <c r="C588" s="127" t="s">
        <v>138</v>
      </c>
      <c r="D588" s="144" t="s">
        <v>1605</v>
      </c>
      <c r="E588" s="506">
        <v>18</v>
      </c>
      <c r="F588" s="12">
        <v>0.3</v>
      </c>
      <c r="G588" s="94">
        <f>VLOOKUP($D588,Construction!$B:$E,(COLUMN(Construction_BuildingReward_HeroXP)-COLUMN(Construction_Name_and_Level)+1),FALSE)</f>
        <v>500</v>
      </c>
      <c r="H588" s="94">
        <f>G588*(1+F588)</f>
        <v>650</v>
      </c>
      <c r="J588" s="95">
        <f>VLOOKUP($D588,Construction!$B:$F,(COLUMN(Construction_BuildingReward_Power)-COLUMN(Construction_Name_and_Level)+1),FALSE)</f>
        <v>55</v>
      </c>
      <c r="Q588" s="139">
        <v>3.472222222222222E-3</v>
      </c>
      <c r="R588" s="289">
        <v>8.3333333333333332E-3</v>
      </c>
      <c r="AF588" s="141"/>
      <c r="AG588" s="141"/>
      <c r="AH588" s="137"/>
      <c r="AI588" s="484"/>
      <c r="AJ588" s="137">
        <f t="shared" si="167"/>
        <v>0.17708333333333331</v>
      </c>
      <c r="AK588" s="339">
        <v>0.41</v>
      </c>
      <c r="AL588" s="138">
        <f>VLOOKUP($D588,Construction!$B:$C,(COLUMN(Construction_Time)-COLUMN(Construction_Name_and_Level)+1),FALSE)</f>
        <v>2.9629629629629627E-2</v>
      </c>
      <c r="AM588" s="138">
        <f t="shared" ref="AM588" si="170">AL588/(1+AK588)</f>
        <v>2.1013921723141579E-2</v>
      </c>
      <c r="AN588" s="138">
        <f>(S$3*S588+T$3*T588+V$3*V588+W$3*W588+X$3*X588+Y$3*Y588+Z$3*Z588+AA$3*AA588+AB$3*AB588+AC$3*AC588)*(-1)</f>
        <v>0</v>
      </c>
      <c r="AO588" s="139">
        <f>IF((AM588-Q588-R588-AN588)&gt;=0,AM588-Q588-R588-AN588,0)</f>
        <v>9.2083661675860223E-3</v>
      </c>
      <c r="AU588" s="94">
        <f>VLOOKUP($D588,Construction!$B:$J,(COLUMN(Construction_BuildingCost_Stone)-COLUMN(Construction_Name_and_Level)+1),FALSE)*(-1)</f>
        <v>-1674</v>
      </c>
      <c r="AV588" s="94">
        <f>VLOOKUP($D588,Construction!$B:$J,(COLUMN(Construction_BuildingCost_Wood)-COLUMN(Construction_Name_and_Level)+1),FALSE)*(-1)</f>
        <v>-1674</v>
      </c>
      <c r="AW588" s="94">
        <f>VLOOKUP($D588,Construction!$B:$J,(COLUMN(Construction_BuildingCost_Ore)-COLUMN(Construction_Name_and_Level)+1),FALSE)*(-1)</f>
        <v>0</v>
      </c>
      <c r="AX588" s="94">
        <f>VLOOKUP($D588,Construction!$B:$J,(COLUMN(Construction_BuildingCost_Food)-COLUMN(Construction_Name_and_Level)+1),FALSE)*(-1)</f>
        <v>-1674</v>
      </c>
    </row>
    <row r="589" spans="2:108" ht="15" customHeight="1">
      <c r="B589" s="506" t="s">
        <v>144</v>
      </c>
      <c r="C589" s="127" t="s">
        <v>138</v>
      </c>
      <c r="D589" s="144" t="s">
        <v>1686</v>
      </c>
      <c r="E589" s="506">
        <v>18</v>
      </c>
      <c r="F589" s="12">
        <v>0.3</v>
      </c>
      <c r="G589" s="94">
        <f>VLOOKUP($D589,Construction!$B:$E,(COLUMN(Construction_BuildingReward_HeroXP)-COLUMN(Construction_Name_and_Level)+1),FALSE)</f>
        <v>500</v>
      </c>
      <c r="H589" s="94">
        <f>G589*(1+F589)</f>
        <v>650</v>
      </c>
      <c r="J589" s="95">
        <f>VLOOKUP($D589,Construction!$B:$F,(COLUMN(Construction_BuildingReward_Power)-COLUMN(Construction_Name_and_Level)+1),FALSE)</f>
        <v>125</v>
      </c>
      <c r="Q589" s="139">
        <v>3.472222222222222E-3</v>
      </c>
      <c r="R589" s="289">
        <v>8.3333333333333332E-3</v>
      </c>
      <c r="AF589" s="141"/>
      <c r="AG589" s="141"/>
      <c r="AH589" s="137"/>
      <c r="AI589" s="484"/>
      <c r="AJ589" s="137">
        <f t="shared" si="167"/>
        <v>0.17708333333333331</v>
      </c>
      <c r="AK589" s="339">
        <v>0.41</v>
      </c>
      <c r="AL589" s="138">
        <f>VLOOKUP($D589,Construction!$B:$C,(COLUMN(Construction_Time)-COLUMN(Construction_Name_and_Level)+1),FALSE)</f>
        <v>0.11851851851851852</v>
      </c>
      <c r="AM589" s="138">
        <f t="shared" ref="AM589" si="171">AL589/(1+AK589)</f>
        <v>8.4055686892566331E-2</v>
      </c>
      <c r="AN589" s="138">
        <f>(S$3*S589+T$3*T589+V$3*V589+W$3*W589+X$3*X589+Y$3*Y589+Z$3*Z589+AA$3*AA589+AB$3*AB589+AC$3*AC589)*(-1)</f>
        <v>0</v>
      </c>
      <c r="AO589" s="139">
        <f>IF((AM589-Q589-R589-AN589)&gt;=0,AM589-Q589-R589-AN589,0)</f>
        <v>7.2250131337010776E-2</v>
      </c>
      <c r="AU589" s="94">
        <f>VLOOKUP($D589,Construction!$B:$J,(COLUMN(Construction_BuildingCost_Stone)-COLUMN(Construction_Name_and_Level)+1),FALSE)*(-1)</f>
        <v>-6696</v>
      </c>
      <c r="AV589" s="94">
        <f>VLOOKUP($D589,Construction!$B:$J,(COLUMN(Construction_BuildingCost_Wood)-COLUMN(Construction_Name_and_Level)+1),FALSE)*(-1)</f>
        <v>-6696</v>
      </c>
      <c r="AW589" s="94">
        <f>VLOOKUP($D589,Construction!$B:$J,(COLUMN(Construction_BuildingCost_Ore)-COLUMN(Construction_Name_and_Level)+1),FALSE)*(-1)</f>
        <v>0</v>
      </c>
      <c r="AX589" s="94">
        <f>VLOOKUP($D589,Construction!$B:$J,(COLUMN(Construction_BuildingCost_Food)-COLUMN(Construction_Name_and_Level)+1),FALSE)*(-1)</f>
        <v>-6696</v>
      </c>
    </row>
    <row r="590" spans="2:108" ht="15" customHeight="1">
      <c r="B590" s="506" t="s">
        <v>148</v>
      </c>
      <c r="E590" s="506">
        <v>18</v>
      </c>
      <c r="AF590" s="141"/>
      <c r="AG590" s="141"/>
      <c r="AH590" s="137"/>
      <c r="AI590" s="484"/>
      <c r="AJ590" s="137">
        <f t="shared" si="167"/>
        <v>0.17708333333333331</v>
      </c>
      <c r="AV590" s="142">
        <v>6750</v>
      </c>
    </row>
    <row r="591" spans="2:108" ht="15" customHeight="1">
      <c r="B591" s="506" t="s">
        <v>143</v>
      </c>
      <c r="C591" s="127" t="s">
        <v>142</v>
      </c>
      <c r="D591" s="144" t="s">
        <v>1679</v>
      </c>
      <c r="E591" s="506">
        <v>18</v>
      </c>
      <c r="F591" s="12">
        <v>0.3</v>
      </c>
      <c r="G591" s="101">
        <f>VLOOKUP($D591,Construction!$B:$L,(COLUMN(Construction_QuestReward_HeroXP)-COLUMN(Construction_Name_and_Level)+1),FALSE)</f>
        <v>40000</v>
      </c>
      <c r="H591" s="101">
        <f>G591*(1+F591)</f>
        <v>52000</v>
      </c>
      <c r="J591" s="100">
        <f>VLOOKUP($D591,Construction!$B:$L,(COLUMN(Construction_QuestReward_Power)-COLUMN(Construction_Name_and_Level)+1),FALSE)</f>
        <v>700</v>
      </c>
      <c r="AF591" s="141"/>
      <c r="AG591" s="141"/>
      <c r="AH591" s="137"/>
      <c r="AI591" s="484"/>
      <c r="AJ591" s="137">
        <f t="shared" si="167"/>
        <v>0.17708333333333331</v>
      </c>
      <c r="AU591" s="101">
        <f>VLOOKUP($D591,Construction!$B:$Q,(COLUMN(Construction_QuestReward_Stone)-COLUMN(Construction_Name_and_Level)+1),FALSE)</f>
        <v>52400</v>
      </c>
      <c r="AV591" s="101">
        <f>VLOOKUP($D591,Construction!$B:$Q,(COLUMN(Construction_QuestReward_Wood)-COLUMN(Construction_Name_and_Level)+1),FALSE)</f>
        <v>52400</v>
      </c>
      <c r="AW591" s="101">
        <f>VLOOKUP($D591,Construction!$B:$Q,(COLUMN(Construction_QuestReward_Ore)-COLUMN(Construction_Name_and_Level)+1),FALSE)</f>
        <v>21000</v>
      </c>
      <c r="AX591" s="101">
        <f>VLOOKUP($D591,Construction!$B:$Q,(COLUMN(Construction_QuestReward_Food)-COLUMN(Construction_Name_and_Level)+1),FALSE)</f>
        <v>26200</v>
      </c>
      <c r="AY591" s="100">
        <f>VLOOKUP($D591,Construction!$B:$Q,(COLUMN(Construction_QuestReward_Silver)-COLUMN(Construction_Name_and_Level)+1),FALSE)</f>
        <v>900</v>
      </c>
    </row>
    <row r="592" spans="2:108" ht="15" customHeight="1">
      <c r="B592" s="506" t="s">
        <v>143</v>
      </c>
      <c r="C592" s="127" t="s">
        <v>142</v>
      </c>
      <c r="D592" s="144" t="s">
        <v>1686</v>
      </c>
      <c r="E592" s="506">
        <v>18</v>
      </c>
      <c r="F592" s="12">
        <v>0.3</v>
      </c>
      <c r="G592" s="101">
        <f>VLOOKUP($D592,Construction!$B:$L,(COLUMN(Construction_QuestReward_HeroXP)-COLUMN(Construction_Name_and_Level)+1),FALSE)</f>
        <v>2500</v>
      </c>
      <c r="H592" s="101">
        <f>G592*(1+F592)</f>
        <v>3250</v>
      </c>
      <c r="J592" s="100">
        <f>VLOOKUP($D592,Construction!$B:$L,(COLUMN(Construction_QuestReward_Power)-COLUMN(Construction_Name_and_Level)+1),FALSE)</f>
        <v>70</v>
      </c>
      <c r="AF592" s="141"/>
      <c r="AG592" s="141"/>
      <c r="AH592" s="137"/>
      <c r="AI592" s="484"/>
      <c r="AJ592" s="137">
        <f t="shared" si="167"/>
        <v>0.17708333333333331</v>
      </c>
      <c r="AU592" s="101">
        <f>VLOOKUP($D592,Construction!$B:$Q,(COLUMN(Construction_QuestReward_Stone)-COLUMN(Construction_Name_and_Level)+1),FALSE)</f>
        <v>4100</v>
      </c>
      <c r="AV592" s="101">
        <f>VLOOKUP($D592,Construction!$B:$Q,(COLUMN(Construction_QuestReward_Wood)-COLUMN(Construction_Name_and_Level)+1),FALSE)</f>
        <v>4100</v>
      </c>
      <c r="AW592" s="101">
        <f>VLOOKUP($D592,Construction!$B:$Q,(COLUMN(Construction_QuestReward_Ore)-COLUMN(Construction_Name_and_Level)+1),FALSE)</f>
        <v>0</v>
      </c>
      <c r="AX592" s="101">
        <f>VLOOKUP($D592,Construction!$B:$Q,(COLUMN(Construction_QuestReward_Food)-COLUMN(Construction_Name_and_Level)+1),FALSE)</f>
        <v>4100</v>
      </c>
      <c r="AY592" s="100">
        <f>VLOOKUP($D592,Construction!$B:$Q,(COLUMN(Construction_QuestReward_Silver)-COLUMN(Construction_Name_and_Level)+1),FALSE)</f>
        <v>100</v>
      </c>
    </row>
    <row r="593" spans="2:108" ht="15" customHeight="1">
      <c r="B593" s="102" t="s">
        <v>1455</v>
      </c>
      <c r="C593" s="127" t="s">
        <v>170</v>
      </c>
      <c r="D593" s="144" t="s">
        <v>1682</v>
      </c>
      <c r="E593" s="506">
        <v>18</v>
      </c>
      <c r="F593" s="12">
        <v>0.3</v>
      </c>
      <c r="G593" s="101">
        <f>VLOOKUP($D593,Research!$C:$M,(COLUMN(Research_QuestReward_HeroXP)-COLUMN(Research_Name_and_Level)+1),FALSE)</f>
        <v>8000</v>
      </c>
      <c r="H593" s="101">
        <f t="shared" ref="H593" si="172">G593*(1+F593)</f>
        <v>10400</v>
      </c>
      <c r="J593" s="103">
        <f>VLOOKUP($D593,Research!$C:$N,(COLUMN(Research_QuestReward_Power)-COLUMN(Research_Name_and_Level)+1),FALSE)</f>
        <v>30</v>
      </c>
      <c r="AF593" s="141"/>
      <c r="AG593" s="141"/>
      <c r="AH593" s="137"/>
      <c r="AI593" s="484"/>
      <c r="AJ593" s="137">
        <f t="shared" si="167"/>
        <v>0.17708333333333331</v>
      </c>
      <c r="AU593" s="101">
        <f>VLOOKUP($D593,Research!$C:$S,(COLUMN(Research_QuestReward_Stone)-COLUMN(Research_Name_and_Level)+1),FALSE)</f>
        <v>0</v>
      </c>
      <c r="AV593" s="101">
        <f>VLOOKUP($D593,Research!$C:$S,(COLUMN(Research_QuestReward_Wood)-COLUMN(Research_Name_and_Level)+1),FALSE)</f>
        <v>16000</v>
      </c>
      <c r="AW593" s="101">
        <f>VLOOKUP($D593,Research!$C:$S,(COLUMN(Research_QuestReward_Ore)-COLUMN(Research_Name_and_Level)+1),FALSE)</f>
        <v>12000</v>
      </c>
      <c r="AX593" s="101">
        <f>VLOOKUP($D593,Research!$C:$S,(COLUMN(Research_QuestReward_Food)-COLUMN(Research_Name_and_Level)+1),FALSE)</f>
        <v>16000</v>
      </c>
      <c r="AY593" s="100">
        <f>VLOOKUP($D593,Research!$C:$S,(COLUMN(Research_QuestReward_Silver)-COLUMN(Research_Name_and_Level)+1),FALSE)</f>
        <v>6000</v>
      </c>
      <c r="CT593" s="127"/>
      <c r="CU593" s="127"/>
      <c r="CV593" s="127"/>
      <c r="CW593" s="127"/>
      <c r="CX593" s="127"/>
      <c r="CY593" s="127"/>
      <c r="CZ593" s="127"/>
      <c r="DA593" s="127"/>
      <c r="DB593" s="127"/>
      <c r="DC593" s="127"/>
      <c r="DD593" s="127"/>
    </row>
    <row r="594" spans="2:108" ht="15" customHeight="1">
      <c r="B594" s="102" t="s">
        <v>1455</v>
      </c>
      <c r="C594" s="127" t="s">
        <v>170</v>
      </c>
      <c r="D594" s="144" t="s">
        <v>1685</v>
      </c>
      <c r="E594" s="506">
        <v>18</v>
      </c>
      <c r="F594" s="12">
        <v>0.3</v>
      </c>
      <c r="G594" s="101">
        <f>VLOOKUP($D594,Research!$C:$M,(COLUMN(Research_QuestReward_HeroXP)-COLUMN(Research_Name_and_Level)+1),FALSE)</f>
        <v>12000</v>
      </c>
      <c r="H594" s="101">
        <f t="shared" ref="H594" si="173">G594*(1+F594)</f>
        <v>15600</v>
      </c>
      <c r="J594" s="103">
        <f>VLOOKUP($D594,Research!$C:$N,(COLUMN(Research_QuestReward_Power)-COLUMN(Research_Name_and_Level)+1),FALSE)</f>
        <v>50</v>
      </c>
      <c r="AF594" s="141"/>
      <c r="AG594" s="141"/>
      <c r="AH594" s="137"/>
      <c r="AI594" s="484"/>
      <c r="AJ594" s="137">
        <f t="shared" si="167"/>
        <v>0.17708333333333331</v>
      </c>
      <c r="AU594" s="101">
        <f>VLOOKUP($D594,Research!$C:$S,(COLUMN(Research_QuestReward_Stone)-COLUMN(Research_Name_and_Level)+1),FALSE)</f>
        <v>0</v>
      </c>
      <c r="AV594" s="101">
        <f>VLOOKUP($D594,Research!$C:$S,(COLUMN(Research_QuestReward_Wood)-COLUMN(Research_Name_and_Level)+1),FALSE)</f>
        <v>40000</v>
      </c>
      <c r="AW594" s="101">
        <f>VLOOKUP($D594,Research!$C:$S,(COLUMN(Research_QuestReward_Ore)-COLUMN(Research_Name_and_Level)+1),FALSE)</f>
        <v>30000</v>
      </c>
      <c r="AX594" s="101">
        <f>VLOOKUP($D594,Research!$C:$S,(COLUMN(Research_QuestReward_Food)-COLUMN(Research_Name_and_Level)+1),FALSE)</f>
        <v>40000</v>
      </c>
      <c r="AY594" s="100">
        <f>VLOOKUP($D594,Research!$C:$S,(COLUMN(Research_QuestReward_Silver)-COLUMN(Research_Name_and_Level)+1),FALSE)</f>
        <v>20000</v>
      </c>
      <c r="CT594" s="127"/>
      <c r="CU594" s="127"/>
      <c r="CV594" s="127"/>
      <c r="CW594" s="127"/>
      <c r="CX594" s="127"/>
      <c r="CY594" s="127"/>
      <c r="CZ594" s="127"/>
      <c r="DA594" s="127"/>
      <c r="DB594" s="127"/>
      <c r="DC594" s="127"/>
      <c r="DD594" s="127"/>
    </row>
    <row r="595" spans="2:108" ht="15" customHeight="1">
      <c r="B595" s="506" t="s">
        <v>145</v>
      </c>
      <c r="C595" s="146" t="s">
        <v>151</v>
      </c>
      <c r="D595" s="145">
        <v>2.314814814814815E-2</v>
      </c>
      <c r="E595" s="506">
        <v>18</v>
      </c>
      <c r="S595" s="2">
        <v>1</v>
      </c>
      <c r="AF595" s="141">
        <f>$S$3*$S595+$T$3*$T595+$U$3*$U595+$V$3*$V595+$W$3*$W595+$X$3*$X595+$Y$3*$Y595+$Z$3*$Z595+$AA$3*$AA595+$AB$3*$AB595+$AC$3*$AC595</f>
        <v>6.9444444444444447E-4</v>
      </c>
      <c r="AG595" s="141"/>
      <c r="AH595" s="137"/>
      <c r="AI595" s="484"/>
      <c r="AJ595" s="137">
        <f t="shared" si="167"/>
        <v>0.17777777777777776</v>
      </c>
    </row>
    <row r="596" spans="2:108" ht="15" customHeight="1">
      <c r="B596" s="506" t="s">
        <v>144</v>
      </c>
      <c r="C596" s="127" t="s">
        <v>138</v>
      </c>
      <c r="D596" s="144" t="s">
        <v>1687</v>
      </c>
      <c r="E596" s="506">
        <v>18</v>
      </c>
      <c r="F596" s="12">
        <v>0.3</v>
      </c>
      <c r="G596" s="94">
        <f>VLOOKUP($D596,Construction!$B:$E,(COLUMN(Construction_BuildingReward_HeroXP)-COLUMN(Construction_Name_and_Level)+1),FALSE)</f>
        <v>500</v>
      </c>
      <c r="H596" s="94">
        <f>G596*(1+F596)</f>
        <v>650</v>
      </c>
      <c r="J596" s="95">
        <f>VLOOKUP($D596,Construction!$B:$F,(COLUMN(Construction_BuildingReward_Power)-COLUMN(Construction_Name_and_Level)+1),FALSE)</f>
        <v>310</v>
      </c>
      <c r="Q596" s="139">
        <v>3.472222222222222E-3</v>
      </c>
      <c r="R596" s="289">
        <v>8.3333333333333332E-3</v>
      </c>
      <c r="S596" s="2">
        <v>-1</v>
      </c>
      <c r="X596" s="11">
        <v>-1</v>
      </c>
      <c r="AF596" s="141"/>
      <c r="AG596" s="141"/>
      <c r="AH596" s="137"/>
      <c r="AI596" s="484">
        <f>(-1)*($S$3*$S596+$T$3*$T596+$U$3*$U596+$V$3*$V596+$W$3*$W596+$X$3*$X596+$Y$3*$Y596+$Z$3*$Z596+$AA$3*$AA596+$AB$3*$AB596+$AC$3*$AC596)</f>
        <v>4.2361111111111106E-2</v>
      </c>
      <c r="AJ596" s="137">
        <f t="shared" si="167"/>
        <v>0.13541666666666666</v>
      </c>
      <c r="AK596" s="339">
        <v>0.41</v>
      </c>
      <c r="AL596" s="138">
        <f>VLOOKUP($D596,Construction!$B:$C,(COLUMN(Construction_Time)-COLUMN(Construction_Name_and_Level)+1),FALSE)</f>
        <v>0.1111111111111111</v>
      </c>
      <c r="AM596" s="138">
        <f t="shared" ref="AM596" si="174">AL596/(1+AK596)</f>
        <v>7.8802206461780933E-2</v>
      </c>
      <c r="AN596" s="138">
        <f>(S$3*S596+T$3*T596+V$3*V596+W$3*W596+X$3*X596+Y$3*Y596+Z$3*Z596+AA$3*AA596+AB$3*AB596+AC$3*AC596)*(-1)</f>
        <v>4.2361111111111106E-2</v>
      </c>
      <c r="AO596" s="139">
        <f>IF((AM596-Q596-R596-AN596)&gt;=0,AM596-Q596-R596-AN596,0)</f>
        <v>2.4635539795114271E-2</v>
      </c>
      <c r="AU596" s="94">
        <f>VLOOKUP($D596,Construction!$B:$J,(COLUMN(Construction_BuildingCost_Stone)-COLUMN(Construction_Name_and_Level)+1),FALSE)*(-1)</f>
        <v>-20048</v>
      </c>
      <c r="AV596" s="94">
        <f>VLOOKUP($D596,Construction!$B:$J,(COLUMN(Construction_BuildingCost_Wood)-COLUMN(Construction_Name_and_Level)+1),FALSE)*(-1)</f>
        <v>-26744</v>
      </c>
      <c r="AW596" s="94">
        <f>VLOOKUP($D596,Construction!$B:$J,(COLUMN(Construction_BuildingCost_Ore)-COLUMN(Construction_Name_and_Level)+1),FALSE)*(-1)</f>
        <v>-53464</v>
      </c>
      <c r="AX596" s="94">
        <f>VLOOKUP($D596,Construction!$B:$J,(COLUMN(Construction_BuildingCost_Food)-COLUMN(Construction_Name_and_Level)+1),FALSE)*(-1)</f>
        <v>-20048</v>
      </c>
    </row>
    <row r="597" spans="2:108" ht="15" customHeight="1">
      <c r="B597" s="113" t="s">
        <v>1483</v>
      </c>
      <c r="C597" s="127" t="s">
        <v>154</v>
      </c>
      <c r="D597" s="127">
        <v>300</v>
      </c>
      <c r="E597" s="506">
        <v>18</v>
      </c>
      <c r="G597" s="7"/>
      <c r="H597" s="7"/>
      <c r="J597" s="114">
        <f>VLOOKUP($C597,Troop!$B:$AK,(COLUMN(Troop_TrainingReward_Power)-COLUMN(Troop_Name)+1),FALSE)*$D597</f>
        <v>600</v>
      </c>
      <c r="K597" s="297">
        <v>5</v>
      </c>
      <c r="L597" s="2">
        <v>1670</v>
      </c>
      <c r="AF597" s="141"/>
      <c r="AG597" s="141"/>
      <c r="AH597" s="137"/>
      <c r="AI597" s="484"/>
      <c r="AJ597" s="137">
        <f t="shared" si="167"/>
        <v>0.13541666666666666</v>
      </c>
      <c r="AU597" s="296">
        <f>VLOOKUP($C597,Troop!$B:$P,(COLUMN(Troop_TrainingCost_Stone)-COLUMN(Troop_Name)+1),FALSE)*$D597*(-1)</f>
        <v>0</v>
      </c>
      <c r="AV597" s="296">
        <f>VLOOKUP($C597,Troop!$B:$P,(COLUMN(Troop_TrainingCost_Wood)-COLUMN(Troop_Name)+1),FALSE)*$D597*(-1)</f>
        <v>-15000</v>
      </c>
      <c r="AW597" s="296">
        <f>VLOOKUP($C597,Troop!$B:$P,(COLUMN(Troop_TrainingCost_Ore)-COLUMN(Troop_Name)+1),FALSE)*$D597*(-1)</f>
        <v>-11400</v>
      </c>
      <c r="AX597" s="296">
        <f>VLOOKUP($C597,Troop!$B:$P,(COLUMN(Troop_TrainingCost_Food)-COLUMN(Troop_Name)+1),FALSE)*$D597*(-1)</f>
        <v>-15000</v>
      </c>
      <c r="AY597" s="114">
        <f>VLOOKUP($C597,Troop!$B:$P,(COLUMN(Troop_TrainingCost_Silver)-COLUMN(Troop_Name)+1),FALSE)*$D597*(-1)</f>
        <v>0</v>
      </c>
      <c r="CT597" s="128"/>
      <c r="CU597" s="128"/>
      <c r="CV597" s="128"/>
      <c r="CW597" s="128"/>
      <c r="CX597" s="128"/>
      <c r="CY597" s="128"/>
      <c r="CZ597" s="128"/>
      <c r="DA597" s="128"/>
      <c r="DB597" s="128"/>
      <c r="DC597" s="128"/>
      <c r="DD597" s="128"/>
    </row>
    <row r="598" spans="2:108" ht="15" customHeight="1">
      <c r="B598" s="506" t="s">
        <v>624</v>
      </c>
      <c r="C598" s="127" t="s">
        <v>670</v>
      </c>
      <c r="E598" s="506">
        <v>18</v>
      </c>
      <c r="AF598" s="141"/>
      <c r="AG598" s="141"/>
      <c r="AH598" s="137"/>
      <c r="AI598" s="484"/>
      <c r="AJ598" s="137">
        <f t="shared" si="167"/>
        <v>0.13541666666666666</v>
      </c>
      <c r="AY598" s="31">
        <v>6510</v>
      </c>
    </row>
    <row r="599" spans="2:108" ht="15" customHeight="1">
      <c r="B599" s="506" t="s">
        <v>195</v>
      </c>
      <c r="C599" s="127" t="s">
        <v>468</v>
      </c>
      <c r="D599" s="144">
        <v>5.6249999999999989E-3</v>
      </c>
      <c r="E599" s="506">
        <v>18</v>
      </c>
      <c r="F599" s="12">
        <v>0.3</v>
      </c>
      <c r="G599" s="211">
        <v>3200</v>
      </c>
      <c r="H599" s="211">
        <f t="shared" ref="H599" si="175">G599*(1+F599)</f>
        <v>4160</v>
      </c>
      <c r="AF599" s="141"/>
      <c r="AG599" s="141"/>
      <c r="AH599" s="137"/>
      <c r="AI599" s="484"/>
      <c r="AJ599" s="137">
        <f t="shared" si="167"/>
        <v>0.13541666666666666</v>
      </c>
      <c r="AU599" s="211">
        <v>0</v>
      </c>
      <c r="AV599" s="211">
        <v>4000</v>
      </c>
      <c r="AW599" s="211">
        <v>0</v>
      </c>
      <c r="AX599" s="211">
        <v>4000</v>
      </c>
      <c r="AY599" s="160">
        <v>1575</v>
      </c>
      <c r="CL599" s="211">
        <v>2000</v>
      </c>
      <c r="CM599" s="160">
        <f>CL599</f>
        <v>2000</v>
      </c>
    </row>
    <row r="600" spans="2:108" ht="15" customHeight="1">
      <c r="B600" s="506" t="s">
        <v>143</v>
      </c>
      <c r="C600" s="127" t="s">
        <v>466</v>
      </c>
      <c r="D600" s="144">
        <v>2.2129629629629628E-2</v>
      </c>
      <c r="E600" s="506">
        <v>18</v>
      </c>
      <c r="F600" s="12">
        <v>0.3</v>
      </c>
      <c r="G600" s="101">
        <v>12000</v>
      </c>
      <c r="H600" s="101">
        <f>G600*(1+F600)</f>
        <v>15600</v>
      </c>
      <c r="AF600" s="141"/>
      <c r="AG600" s="141"/>
      <c r="AH600" s="137"/>
      <c r="AI600" s="484"/>
      <c r="AJ600" s="137">
        <f t="shared" si="167"/>
        <v>0.13541666666666666</v>
      </c>
      <c r="AU600" s="101">
        <v>0</v>
      </c>
      <c r="AV600" s="101">
        <v>15000</v>
      </c>
      <c r="AW600" s="101">
        <v>0</v>
      </c>
      <c r="AX600" s="101">
        <v>0</v>
      </c>
      <c r="AY600" s="100">
        <v>3000</v>
      </c>
    </row>
    <row r="601" spans="2:108" ht="15" customHeight="1">
      <c r="B601" s="506" t="s">
        <v>195</v>
      </c>
      <c r="C601" s="127" t="s">
        <v>878</v>
      </c>
      <c r="D601" s="144" t="s">
        <v>1688</v>
      </c>
      <c r="E601" s="506">
        <v>18</v>
      </c>
      <c r="Y601" s="11">
        <v>1</v>
      </c>
      <c r="AF601" s="141">
        <f>$S$3*$S601+$T$3*$T601+$U$3*$U601+$V$3*$V601+$W$3*$W601+$X$3*$X601+$Y$3*$Y601+$Z$3*$Z601+$AA$3*$AA601+$AB$3*$AB601+$AC$3*$AC601</f>
        <v>0.125</v>
      </c>
      <c r="AG601" s="141"/>
      <c r="AH601" s="137"/>
      <c r="AI601" s="484"/>
      <c r="AJ601" s="137">
        <f t="shared" si="167"/>
        <v>0.26041666666666663</v>
      </c>
      <c r="CL601" s="211">
        <v>-150000</v>
      </c>
    </row>
    <row r="602" spans="2:108" ht="15" customHeight="1">
      <c r="B602" s="506" t="s">
        <v>145</v>
      </c>
      <c r="C602" s="146" t="s">
        <v>151</v>
      </c>
      <c r="D602" s="145">
        <v>2.314814814814815E-2</v>
      </c>
      <c r="E602" s="506">
        <v>18</v>
      </c>
      <c r="T602" s="2">
        <v>1</v>
      </c>
      <c r="AF602" s="141">
        <f>$S$3*$S602+$T$3*$T602+$U$3*$U602+$V$3*$V602+$W$3*$W602+$X$3*$X602+$Y$3*$Y602+$Z$3*$Z602+$AA$3*$AA602+$AB$3*$AB602+$AC$3*$AC602</f>
        <v>2.0833333333333333E-3</v>
      </c>
      <c r="AG602" s="141"/>
      <c r="AH602" s="137"/>
      <c r="AI602" s="484"/>
      <c r="AJ602" s="137">
        <f t="shared" si="167"/>
        <v>0.26249999999999996</v>
      </c>
    </row>
    <row r="603" spans="2:108" ht="15" customHeight="1">
      <c r="B603" s="506" t="s">
        <v>144</v>
      </c>
      <c r="C603" s="127" t="s">
        <v>138</v>
      </c>
      <c r="D603" s="144" t="s">
        <v>1689</v>
      </c>
      <c r="E603" s="506">
        <v>18</v>
      </c>
      <c r="F603" s="12">
        <v>0.3</v>
      </c>
      <c r="G603" s="94">
        <f>VLOOKUP($D603,Construction!$B:$E,(COLUMN(Construction_BuildingReward_HeroXP)-COLUMN(Construction_Name_and_Level)+1),FALSE)</f>
        <v>5000</v>
      </c>
      <c r="H603" s="94">
        <f>G603*(1+F603)</f>
        <v>6500</v>
      </c>
      <c r="J603" s="95">
        <f>VLOOKUP($D603,Construction!$B:$F,(COLUMN(Construction_BuildingReward_Power)-COLUMN(Construction_Name_and_Level)+1),FALSE)</f>
        <v>750</v>
      </c>
      <c r="Q603" s="139">
        <v>3.472222222222222E-3</v>
      </c>
      <c r="R603" s="289">
        <v>8.3333333333333332E-3</v>
      </c>
      <c r="T603" s="2">
        <v>-1</v>
      </c>
      <c r="AF603" s="141"/>
      <c r="AG603" s="141"/>
      <c r="AH603" s="137"/>
      <c r="AI603" s="484">
        <f>(-1)*($S$3*$S603+$T$3*$T603+$U$3*$U603+$V$3*$V603+$W$3*$W603+$X$3*$X603+$Y$3*$Y603+$Z$3*$Z603+$AA$3*$AA603+$AB$3*$AB603+$AC$3*$AC603)</f>
        <v>2.0833333333333333E-3</v>
      </c>
      <c r="AJ603" s="137">
        <f t="shared" si="167"/>
        <v>0.26041666666666663</v>
      </c>
      <c r="AK603" s="339">
        <v>0.41</v>
      </c>
      <c r="AL603" s="138">
        <f>VLOOKUP($D603,Construction!$B:$C,(COLUMN(Construction_Time)-COLUMN(Construction_Name_and_Level)+1),FALSE)</f>
        <v>0.15555555555555556</v>
      </c>
      <c r="AM603" s="138">
        <f t="shared" ref="AM603" si="176">AL603/(1+AK603)</f>
        <v>0.11032308904649331</v>
      </c>
      <c r="AN603" s="138">
        <f>(S$3*S603+T$3*T603+V$3*V603+W$3*W603+X$3*X603+Y$3*Y603+Z$3*Z603+AA$3*AA603+AB$3*AB603+AC$3*AC603)*(-1)</f>
        <v>2.0833333333333333E-3</v>
      </c>
      <c r="AO603" s="139">
        <f>IF((AM603-Q603-R603-AN603)&gt;=0,AM603-Q603-R603-AN603,0)</f>
        <v>9.6434200157604413E-2</v>
      </c>
      <c r="AU603" s="94">
        <f>VLOOKUP($D603,Construction!$B:$J,(COLUMN(Construction_BuildingCost_Stone)-COLUMN(Construction_Name_and_Level)+1),FALSE)*(-1)</f>
        <v>-83984</v>
      </c>
      <c r="AV603" s="94">
        <f>VLOOKUP($D603,Construction!$B:$J,(COLUMN(Construction_BuildingCost_Wood)-COLUMN(Construction_Name_and_Level)+1),FALSE)*(-1)</f>
        <v>-67192</v>
      </c>
      <c r="AW603" s="94">
        <f>VLOOKUP($D603,Construction!$B:$J,(COLUMN(Construction_BuildingCost_Ore)-COLUMN(Construction_Name_and_Level)+1),FALSE)*(-1)</f>
        <v>-25200</v>
      </c>
      <c r="AX603" s="94">
        <f>VLOOKUP($D603,Construction!$B:$J,(COLUMN(Construction_BuildingCost_Food)-COLUMN(Construction_Name_and_Level)+1),FALSE)*(-1)</f>
        <v>-41992</v>
      </c>
    </row>
    <row r="604" spans="2:108" ht="15" customHeight="1">
      <c r="B604" s="506" t="s">
        <v>195</v>
      </c>
      <c r="C604" s="127" t="s">
        <v>468</v>
      </c>
      <c r="D604" s="144">
        <v>8.1712962962962963E-3</v>
      </c>
      <c r="E604" s="506">
        <v>18</v>
      </c>
      <c r="F604" s="12">
        <v>0.3</v>
      </c>
      <c r="G604" s="211">
        <v>3200</v>
      </c>
      <c r="H604" s="211">
        <f t="shared" ref="H604" si="177">G604*(1+F604)</f>
        <v>4160</v>
      </c>
      <c r="AF604" s="141"/>
      <c r="AG604" s="141"/>
      <c r="AH604" s="137"/>
      <c r="AI604" s="484"/>
      <c r="AJ604" s="137">
        <f t="shared" si="167"/>
        <v>0.26041666666666663</v>
      </c>
      <c r="AU604" s="211">
        <v>0</v>
      </c>
      <c r="AV604" s="211">
        <v>8000</v>
      </c>
      <c r="AW604" s="211">
        <v>0</v>
      </c>
      <c r="AX604" s="211">
        <v>8000</v>
      </c>
      <c r="AY604" s="160">
        <v>0</v>
      </c>
      <c r="CL604" s="211">
        <v>2000</v>
      </c>
      <c r="CM604" s="160">
        <f>CL604</f>
        <v>2000</v>
      </c>
    </row>
    <row r="605" spans="2:108" ht="15" customHeight="1">
      <c r="B605" s="506" t="s">
        <v>143</v>
      </c>
      <c r="C605" s="127" t="s">
        <v>466</v>
      </c>
      <c r="D605" s="144">
        <v>3.1493055555555559E-2</v>
      </c>
      <c r="E605" s="506">
        <v>18</v>
      </c>
      <c r="F605" s="12">
        <v>0.3</v>
      </c>
      <c r="G605" s="101">
        <v>12000</v>
      </c>
      <c r="H605" s="101">
        <f>G605*(1+F605)</f>
        <v>15600</v>
      </c>
      <c r="AF605" s="141"/>
      <c r="AG605" s="141"/>
      <c r="AH605" s="137"/>
      <c r="AI605" s="484"/>
      <c r="AJ605" s="137">
        <f t="shared" si="167"/>
        <v>0.26041666666666663</v>
      </c>
      <c r="AU605" s="101">
        <v>0</v>
      </c>
      <c r="AV605" s="101">
        <v>0</v>
      </c>
      <c r="AW605" s="101">
        <v>15000</v>
      </c>
      <c r="AX605" s="101">
        <v>0</v>
      </c>
      <c r="AY605" s="100">
        <v>3000</v>
      </c>
    </row>
    <row r="606" spans="2:108" ht="15" customHeight="1">
      <c r="B606" s="506" t="s">
        <v>143</v>
      </c>
      <c r="C606" s="127" t="s">
        <v>142</v>
      </c>
      <c r="D606" s="144" t="s">
        <v>1687</v>
      </c>
      <c r="E606" s="506">
        <v>18</v>
      </c>
      <c r="F606" s="12">
        <v>0.3</v>
      </c>
      <c r="G606" s="101">
        <f>VLOOKUP($D606,Construction!$B:$L,(COLUMN(Construction_QuestReward_HeroXP)-COLUMN(Construction_Name_and_Level)+1),FALSE)</f>
        <v>30000</v>
      </c>
      <c r="H606" s="101">
        <f>G606*(1+F606)</f>
        <v>39000</v>
      </c>
      <c r="J606" s="100">
        <f>VLOOKUP($D606,Construction!$B:$L,(COLUMN(Construction_QuestReward_Power)-COLUMN(Construction_Name_and_Level)+1),FALSE)</f>
        <v>175</v>
      </c>
      <c r="AF606" s="141"/>
      <c r="AG606" s="141"/>
      <c r="AH606" s="137"/>
      <c r="AI606" s="484"/>
      <c r="AJ606" s="137">
        <f t="shared" si="167"/>
        <v>0.26041666666666663</v>
      </c>
      <c r="AU606" s="101">
        <f>VLOOKUP($D606,Construction!$B:$Q,(COLUMN(Construction_QuestReward_Stone)-COLUMN(Construction_Name_and_Level)+1),FALSE)</f>
        <v>12500</v>
      </c>
      <c r="AV606" s="101">
        <f>VLOOKUP($D606,Construction!$B:$Q,(COLUMN(Construction_QuestReward_Wood)-COLUMN(Construction_Name_and_Level)+1),FALSE)</f>
        <v>16700</v>
      </c>
      <c r="AW606" s="101">
        <f>VLOOKUP($D606,Construction!$B:$Q,(COLUMN(Construction_QuestReward_Ore)-COLUMN(Construction_Name_and_Level)+1),FALSE)</f>
        <v>33400</v>
      </c>
      <c r="AX606" s="101">
        <f>VLOOKUP($D606,Construction!$B:$Q,(COLUMN(Construction_QuestReward_Food)-COLUMN(Construction_Name_and_Level)+1),FALSE)</f>
        <v>12500</v>
      </c>
      <c r="AY606" s="100">
        <f>VLOOKUP($D606,Construction!$B:$Q,(COLUMN(Construction_QuestReward_Silver)-COLUMN(Construction_Name_and_Level)+1),FALSE)</f>
        <v>600</v>
      </c>
    </row>
    <row r="607" spans="2:108" ht="15" customHeight="1">
      <c r="B607" s="506" t="s">
        <v>143</v>
      </c>
      <c r="C607" s="127" t="s">
        <v>142</v>
      </c>
      <c r="D607" s="144" t="s">
        <v>1689</v>
      </c>
      <c r="E607" s="506">
        <v>18</v>
      </c>
      <c r="F607" s="12">
        <v>0.3</v>
      </c>
      <c r="G607" s="101">
        <f>VLOOKUP($D607,Construction!$B:$L,(COLUMN(Construction_QuestReward_HeroXP)-COLUMN(Construction_Name_and_Level)+1),FALSE)</f>
        <v>30000</v>
      </c>
      <c r="H607" s="101">
        <f>G607*(1+F607)</f>
        <v>39000</v>
      </c>
      <c r="J607" s="100">
        <f>VLOOKUP($D607,Construction!$B:$L,(COLUMN(Construction_QuestReward_Power)-COLUMN(Construction_Name_and_Level)+1),FALSE)</f>
        <v>425</v>
      </c>
      <c r="AF607" s="141"/>
      <c r="AG607" s="141"/>
      <c r="AH607" s="137"/>
      <c r="AI607" s="484"/>
      <c r="AJ607" s="137">
        <f t="shared" si="167"/>
        <v>0.26041666666666663</v>
      </c>
      <c r="AU607" s="101">
        <f>VLOOKUP($D607,Construction!$B:$Q,(COLUMN(Construction_QuestReward_Stone)-COLUMN(Construction_Name_and_Level)+1),FALSE)</f>
        <v>52400</v>
      </c>
      <c r="AV607" s="101">
        <f>VLOOKUP($D607,Construction!$B:$Q,(COLUMN(Construction_QuestReward_Wood)-COLUMN(Construction_Name_and_Level)+1),FALSE)</f>
        <v>41900</v>
      </c>
      <c r="AW607" s="101">
        <f>VLOOKUP($D607,Construction!$B:$Q,(COLUMN(Construction_QuestReward_Ore)-COLUMN(Construction_Name_and_Level)+1),FALSE)</f>
        <v>15700</v>
      </c>
      <c r="AX607" s="101">
        <f>VLOOKUP($D607,Construction!$B:$Q,(COLUMN(Construction_QuestReward_Food)-COLUMN(Construction_Name_and_Level)+1),FALSE)</f>
        <v>26200</v>
      </c>
      <c r="AY607" s="100">
        <f>VLOOKUP($D607,Construction!$B:$Q,(COLUMN(Construction_QuestReward_Silver)-COLUMN(Construction_Name_and_Level)+1),FALSE)</f>
        <v>750</v>
      </c>
    </row>
    <row r="608" spans="2:108" ht="15" customHeight="1">
      <c r="B608" s="506" t="s">
        <v>144</v>
      </c>
      <c r="C608" s="127" t="s">
        <v>138</v>
      </c>
      <c r="D608" s="144" t="s">
        <v>1690</v>
      </c>
      <c r="E608" s="506">
        <v>18</v>
      </c>
      <c r="F608" s="12">
        <v>0.3</v>
      </c>
      <c r="G608" s="94">
        <f>VLOOKUP($D608,Construction!$B:$E,(COLUMN(Construction_BuildingReward_HeroXP)-COLUMN(Construction_Name_and_Level)+1),FALSE)</f>
        <v>500</v>
      </c>
      <c r="H608" s="94">
        <f>G608*(1+F608)</f>
        <v>650</v>
      </c>
      <c r="J608" s="95">
        <f>VLOOKUP($D608,Construction!$B:$F,(COLUMN(Construction_BuildingReward_Power)-COLUMN(Construction_Name_and_Level)+1),FALSE)</f>
        <v>875</v>
      </c>
      <c r="Q608" s="139">
        <v>3.472222222222222E-3</v>
      </c>
      <c r="R608" s="289">
        <v>8.3333333333333332E-3</v>
      </c>
      <c r="AF608" s="141"/>
      <c r="AG608" s="141"/>
      <c r="AH608" s="137"/>
      <c r="AI608" s="484"/>
      <c r="AJ608" s="137">
        <f>AJ606+(S$3*S608+T$3*T608+U$3*U608+V$3*V608+W$3*W608+X$3*X608+Y$3*Y608+Z$3*Z608+AA$3*AA608+AB$3*AB608+AC$3*AC608)</f>
        <v>0.26041666666666663</v>
      </c>
      <c r="AK608" s="339">
        <v>0.41</v>
      </c>
      <c r="AL608" s="138">
        <f>VLOOKUP($D608,Construction!$B:$C,(COLUMN(Construction_Time)-COLUMN(Construction_Name_and_Level)+1),FALSE)</f>
        <v>0.14814814814814814</v>
      </c>
      <c r="AM608" s="138">
        <f t="shared" ref="AM608" si="178">AL608/(1+AK608)</f>
        <v>0.10506960861570791</v>
      </c>
      <c r="AN608" s="138">
        <f>(S$3*S608+T$3*T608+V$3*V608+W$3*W608+X$3*X608+Y$3*Y608+Z$3*Z608+AA$3*AA608+AB$3*AB608+AC$3*AC608)*(-1)</f>
        <v>0</v>
      </c>
      <c r="AO608" s="139">
        <f>IF((AM608-Q608-R608-AN608)&gt;=0,AM608-Q608-R608-AN608,0)</f>
        <v>9.3264053060152355E-2</v>
      </c>
      <c r="AP608" s="261">
        <v>0.48</v>
      </c>
      <c r="AU608" s="94">
        <f>VLOOKUP($D608,Construction!$B:$J,(COLUMN(Construction_BuildingCost_Stone)-COLUMN(Construction_Name_and_Level)+1),FALSE)*(-1)</f>
        <v>-41992</v>
      </c>
      <c r="AV608" s="94">
        <f>VLOOKUP($D608,Construction!$B:$J,(COLUMN(Construction_BuildingCost_Wood)-COLUMN(Construction_Name_and_Level)+1),FALSE)*(-1)</f>
        <v>-41992</v>
      </c>
      <c r="AW608" s="94">
        <f>VLOOKUP($D608,Construction!$B:$J,(COLUMN(Construction_BuildingCost_Ore)-COLUMN(Construction_Name_and_Level)+1),FALSE)*(-1)</f>
        <v>-16808</v>
      </c>
      <c r="AX608" s="94">
        <f>VLOOKUP($D608,Construction!$B:$J,(COLUMN(Construction_BuildingCost_Food)-COLUMN(Construction_Name_and_Level)+1),FALSE)*(-1)</f>
        <v>-25200</v>
      </c>
    </row>
    <row r="609" spans="1:108" ht="15" customHeight="1">
      <c r="B609" s="506" t="s">
        <v>146</v>
      </c>
      <c r="C609" s="127" t="s">
        <v>138</v>
      </c>
      <c r="D609" s="144" t="s">
        <v>1691</v>
      </c>
      <c r="E609" s="506">
        <v>18</v>
      </c>
      <c r="F609" s="12">
        <v>0.3</v>
      </c>
      <c r="G609" s="111">
        <f>VLOOKUP($D609,Research!$C:$F,(COLUMN(Research_ResearchReward_HeroXP)-COLUMN(Research_Name_and_Level)+1),FALSE)</f>
        <v>40000</v>
      </c>
      <c r="H609" s="111">
        <f t="shared" ref="H609" si="179">G609*(1+F609)</f>
        <v>52000</v>
      </c>
      <c r="J609" s="115">
        <f>VLOOKUP($D609,Research!$C:$G,(COLUMN(Research_ResearchReward_Power)-COLUMN(Research_Name_and_Level)+1),FALSE)</f>
        <v>400</v>
      </c>
      <c r="R609" s="148">
        <v>8.3333333333333332E-3</v>
      </c>
      <c r="AF609" s="141"/>
      <c r="AG609" s="141"/>
      <c r="AH609" s="137"/>
      <c r="AI609" s="484"/>
      <c r="AJ609" s="137">
        <f>AJ607+(S$3*S609+T$3*T609+U$3*U609+V$3*V609+W$3*W609+X$3*X609+Y$3*Y609+Z$3*Z609+AA$3*AA609+AB$3*AB609+AC$3*AC609)</f>
        <v>0.26041666666666663</v>
      </c>
      <c r="AP609" s="256">
        <v>0.48</v>
      </c>
      <c r="AQ609" s="147">
        <f>VLOOKUP($D609,Research!$C:$D,(COLUMN(Research_Time)-COLUMN(Research_Name_and_Level)+1),FALSE)</f>
        <v>0.1875</v>
      </c>
      <c r="AR609" s="147">
        <f>AQ609/(1+AP609)</f>
        <v>0.1266891891891892</v>
      </c>
      <c r="AS609" s="147">
        <f>(S$3*S609+T$3*T609+V$3*V609+W$3*W609+X$3*X609+Y$3*Y609+Z$3*Z609+AA$3*AA609+AB$3*AB609+AC$3*AC609)*(-1)</f>
        <v>0</v>
      </c>
      <c r="AT609" s="148">
        <f>IF(AR609-R609-AS609&gt;=0,AR609-R609-AS609,0)</f>
        <v>0.11835585585585587</v>
      </c>
      <c r="AU609" s="111">
        <f>VLOOKUP($D609,Research!$C:$L,(COLUMN(Research_ResearchCost_Stone)-COLUMN(Research_Name_and_Level)+1),FALSE)*(-1)</f>
        <v>-20000</v>
      </c>
      <c r="AV609" s="111">
        <f>VLOOKUP($D609,Research!$C:$L,(COLUMN(Research_ResearchCost_Wood)-COLUMN(Research_Name_and_Level)+1),FALSE)*(-1)</f>
        <v>-20000</v>
      </c>
      <c r="AW609" s="111">
        <f>VLOOKUP($D609,Research!$C:$L,(COLUMN(Research_ResearchCost_Ore)-COLUMN(Research_Name_and_Level)+1),FALSE)*(-1)</f>
        <v>-15000</v>
      </c>
      <c r="AX609" s="111">
        <f>VLOOKUP($D609,Research!$C:$L,(COLUMN(Research_ResearchCost_Food)-COLUMN(Research_Name_and_Level)+1),FALSE)*(-1)</f>
        <v>-20000</v>
      </c>
      <c r="AY609" s="112">
        <f>VLOOKUP($D609,Research!$C:$L,(COLUMN(Research_ResearchCost_Silver)-COLUMN(Research_Name_and_Level)+1),FALSE)*(-1)</f>
        <v>-8000</v>
      </c>
    </row>
    <row r="610" spans="1:108" ht="15" customHeight="1">
      <c r="B610" s="126" t="s">
        <v>1457</v>
      </c>
      <c r="C610" s="127" t="s">
        <v>147</v>
      </c>
      <c r="D610" s="144" t="s">
        <v>1692</v>
      </c>
      <c r="E610" s="506">
        <v>19</v>
      </c>
      <c r="I610" s="5">
        <v>3</v>
      </c>
      <c r="J610" s="5">
        <v>795</v>
      </c>
      <c r="Q610" s="149"/>
      <c r="AF610" s="141"/>
      <c r="AG610" s="141"/>
      <c r="AH610" s="137"/>
      <c r="AI610" s="484"/>
      <c r="AJ610" s="137">
        <f>AJ608+(S$3*S610+T$3*T610+U$3*U610+V$3*V610+W$3*W610+X$3*X610+Y$3*Y610+Z$3*Z610+AA$3*AA610+AB$3*AB610+AC$3*AC610)</f>
        <v>0.26041666666666663</v>
      </c>
      <c r="AX610" s="11"/>
    </row>
    <row r="611" spans="1:108" s="420" customFormat="1" ht="15" customHeight="1">
      <c r="A611" s="487"/>
      <c r="B611" s="411" t="s">
        <v>171</v>
      </c>
      <c r="C611" s="412"/>
      <c r="D611" s="412" t="s">
        <v>1693</v>
      </c>
      <c r="E611" s="411">
        <v>19</v>
      </c>
      <c r="F611" s="413">
        <v>0.3</v>
      </c>
      <c r="G611" s="414" t="s">
        <v>1453</v>
      </c>
      <c r="H611" s="414">
        <v>2982324</v>
      </c>
      <c r="I611" s="415">
        <v>44</v>
      </c>
      <c r="J611" s="415">
        <v>57471</v>
      </c>
      <c r="K611" s="414">
        <v>5</v>
      </c>
      <c r="L611" s="414">
        <v>1670</v>
      </c>
      <c r="M611" s="416">
        <v>0.10416666666666667</v>
      </c>
      <c r="N611" s="417">
        <v>180</v>
      </c>
      <c r="O611" s="109">
        <f>SUMIF($B$4:$B610,"&lt;&gt;"&amp;$CS$13,O$4:O610)</f>
        <v>-300</v>
      </c>
      <c r="P611" s="108">
        <f>SUMIF($B$4:$B610,"&lt;&gt;"&amp;$CS$13,N$4:N610)</f>
        <v>480</v>
      </c>
      <c r="Q611" s="416">
        <v>3.472222222222222E-3</v>
      </c>
      <c r="R611" s="416">
        <v>8.3333333333333332E-3</v>
      </c>
      <c r="S611" s="414">
        <v>0</v>
      </c>
      <c r="T611" s="414">
        <v>0</v>
      </c>
      <c r="U611" s="414">
        <v>0</v>
      </c>
      <c r="V611" s="414">
        <v>0</v>
      </c>
      <c r="W611" s="417">
        <v>5</v>
      </c>
      <c r="X611" s="417">
        <v>2</v>
      </c>
      <c r="Y611" s="417">
        <v>1</v>
      </c>
      <c r="Z611" s="417">
        <v>0</v>
      </c>
      <c r="AA611" s="417">
        <v>0</v>
      </c>
      <c r="AB611" s="417">
        <v>0</v>
      </c>
      <c r="AC611" s="417">
        <v>0</v>
      </c>
      <c r="AD611" s="417">
        <v>0</v>
      </c>
      <c r="AE611" s="415">
        <v>0</v>
      </c>
      <c r="AF611" s="419">
        <f>SUMIF($B$4:$B610,"&lt;&gt;"&amp;$CS$13,AF$4:AF610)</f>
        <v>0.77430555555555558</v>
      </c>
      <c r="AG611" s="419">
        <f>SUMIF($B$4:$B610,"&lt;&gt;"&amp;$CS$13,AG$4:AG610)</f>
        <v>0</v>
      </c>
      <c r="AH611" s="416">
        <f>AF611+AG611</f>
        <v>0.77430555555555558</v>
      </c>
      <c r="AI611" s="485">
        <f>SUMIF($B$4:$B610,"&lt;&gt;"&amp;$CS$13,AI$4:AI610)</f>
        <v>0.51388888888888884</v>
      </c>
      <c r="AJ611" s="416">
        <f>S$3*S611+T$3*T611+U$3*U611+V$3*V611+W$3*W611+X$3*X611+Y$3*Y611+Z$3*Z611+AA$3*AA611+AB$3*AB611+AC$3*AC611</f>
        <v>0.26041666666666663</v>
      </c>
      <c r="AK611" s="418">
        <v>0.41</v>
      </c>
      <c r="AL611" s="419" t="s">
        <v>1453</v>
      </c>
      <c r="AM611" s="419" t="s">
        <v>1453</v>
      </c>
      <c r="AN611" s="419" t="s">
        <v>1453</v>
      </c>
      <c r="AO611" s="416" t="s">
        <v>1453</v>
      </c>
      <c r="AP611" s="284">
        <v>0.48</v>
      </c>
      <c r="AQ611" s="419" t="s">
        <v>1453</v>
      </c>
      <c r="AR611" s="419" t="s">
        <v>1453</v>
      </c>
      <c r="AS611" s="419" t="s">
        <v>1453</v>
      </c>
      <c r="AT611" s="416" t="s">
        <v>1453</v>
      </c>
      <c r="AU611" s="414">
        <v>178900</v>
      </c>
      <c r="AV611" s="414">
        <v>224900</v>
      </c>
      <c r="AW611" s="414">
        <v>247000</v>
      </c>
      <c r="AX611" s="417">
        <v>412600</v>
      </c>
      <c r="AY611" s="415">
        <v>155200</v>
      </c>
      <c r="AZ611" s="414">
        <v>4203</v>
      </c>
      <c r="BA611" s="414">
        <v>4662</v>
      </c>
      <c r="BB611" s="414">
        <v>4104</v>
      </c>
      <c r="BC611" s="414">
        <v>8910</v>
      </c>
      <c r="BD611" s="415">
        <v>1814</v>
      </c>
      <c r="BE611" s="415">
        <v>-1700</v>
      </c>
      <c r="BF611" s="414">
        <v>201000</v>
      </c>
      <c r="BG611" s="414">
        <v>225000</v>
      </c>
      <c r="BH611" s="414">
        <v>217500</v>
      </c>
      <c r="BI611" s="414">
        <v>352500</v>
      </c>
      <c r="BJ611" s="415">
        <v>99000</v>
      </c>
      <c r="BK611" s="414">
        <v>8</v>
      </c>
      <c r="BL611" s="415">
        <v>8</v>
      </c>
      <c r="BM611" s="415">
        <v>7</v>
      </c>
      <c r="BN611" s="414">
        <v>6</v>
      </c>
      <c r="BO611" s="415">
        <v>7</v>
      </c>
      <c r="BP611" s="414">
        <v>6</v>
      </c>
      <c r="BQ611" s="415">
        <v>5</v>
      </c>
      <c r="BR611" s="414">
        <v>6</v>
      </c>
      <c r="BS611" s="415">
        <v>5</v>
      </c>
      <c r="BT611" s="414">
        <v>8</v>
      </c>
      <c r="BU611" s="415">
        <v>5</v>
      </c>
      <c r="BV611" s="414">
        <v>6</v>
      </c>
      <c r="BW611" s="415">
        <v>4</v>
      </c>
      <c r="BX611" s="414">
        <v>6</v>
      </c>
      <c r="BY611" s="415">
        <v>4</v>
      </c>
      <c r="BZ611" s="414">
        <v>6</v>
      </c>
      <c r="CA611" s="415">
        <v>4</v>
      </c>
      <c r="CB611" s="415">
        <v>6</v>
      </c>
      <c r="CC611" s="415">
        <v>8</v>
      </c>
      <c r="CD611" s="415">
        <v>8</v>
      </c>
      <c r="CE611" s="414">
        <v>5</v>
      </c>
      <c r="CF611" s="414">
        <v>3</v>
      </c>
      <c r="CG611" s="415">
        <v>1</v>
      </c>
      <c r="CH611" s="414">
        <v>6</v>
      </c>
      <c r="CI611" s="414"/>
      <c r="CJ611" s="415"/>
      <c r="CK611" s="415"/>
      <c r="CL611" s="414">
        <v>15500</v>
      </c>
      <c r="CM611" s="415"/>
      <c r="CN611" s="415" t="s">
        <v>1208</v>
      </c>
      <c r="CS611" s="421"/>
    </row>
    <row r="612" spans="1:108" ht="15" customHeight="1">
      <c r="B612" s="506" t="s">
        <v>144</v>
      </c>
      <c r="C612" s="127" t="s">
        <v>138</v>
      </c>
      <c r="D612" s="144" t="s">
        <v>1637</v>
      </c>
      <c r="E612" s="506">
        <v>19</v>
      </c>
      <c r="F612" s="12">
        <v>0.3</v>
      </c>
      <c r="G612" s="94">
        <f>VLOOKUP($D612,Construction!$B:$E,(COLUMN(Construction_BuildingReward_HeroXP)-COLUMN(Construction_Name_and_Level)+1),FALSE)</f>
        <v>500</v>
      </c>
      <c r="H612" s="94">
        <f>G612*(1+F612)</f>
        <v>650</v>
      </c>
      <c r="J612" s="95">
        <f>VLOOKUP($D612,Construction!$B:$F,(COLUMN(Construction_BuildingReward_Power)-COLUMN(Construction_Name_and_Level)+1),FALSE)</f>
        <v>55</v>
      </c>
      <c r="Q612" s="139">
        <v>3.472222222222222E-3</v>
      </c>
      <c r="R612" s="289">
        <v>8.3333333333333332E-3</v>
      </c>
      <c r="AF612" s="141"/>
      <c r="AG612" s="141"/>
      <c r="AH612" s="137"/>
      <c r="AI612" s="484"/>
      <c r="AJ612" s="137">
        <f>AJ610+(S$3*S612+T$3*T612+U$3*U612+V$3*V612+W$3*W612+X$3*X612+Y$3*Y612+Z$3*Z612+AA$3*AA612+AB$3*AB612+AC$3*AC612)</f>
        <v>0.26041666666666663</v>
      </c>
      <c r="AK612" s="339">
        <v>0.41</v>
      </c>
      <c r="AL612" s="138">
        <f>VLOOKUP($D612,Construction!$B:$C,(COLUMN(Construction_Time)-COLUMN(Construction_Name_and_Level)+1),FALSE)</f>
        <v>1.8518518518518521E-2</v>
      </c>
      <c r="AM612" s="138">
        <f t="shared" ref="AM612" si="180">AL612/(1+AK612)</f>
        <v>1.313370107696349E-2</v>
      </c>
      <c r="AN612" s="138">
        <f>(S$3*S612+T$3*T612+V$3*V612+W$3*W612+X$3*X612+Y$3*Y612+Z$3*Z612+AA$3*AA612+AB$3*AB612+AC$3*AC612)*(-1)</f>
        <v>0</v>
      </c>
      <c r="AO612" s="139">
        <f>IF((AM612-Q612-R612-AN612)&gt;=0,AM612-Q612-R612-AN612,0)</f>
        <v>1.3281455214079353E-3</v>
      </c>
      <c r="AU612" s="94">
        <f>VLOOKUP($D612,Construction!$B:$J,(COLUMN(Construction_BuildingCost_Stone)-COLUMN(Construction_Name_and_Level)+1),FALSE)*(-1)</f>
        <v>-1674</v>
      </c>
      <c r="AV612" s="94">
        <f>VLOOKUP($D612,Construction!$B:$J,(COLUMN(Construction_BuildingCost_Wood)-COLUMN(Construction_Name_and_Level)+1),FALSE)*(-1)</f>
        <v>-1674</v>
      </c>
      <c r="AW612" s="94">
        <f>VLOOKUP($D612,Construction!$B:$J,(COLUMN(Construction_BuildingCost_Ore)-COLUMN(Construction_Name_and_Level)+1),FALSE)*(-1)</f>
        <v>-1674</v>
      </c>
      <c r="AX612" s="94">
        <f>VLOOKUP($D612,Construction!$B:$J,(COLUMN(Construction_BuildingCost_Food)-COLUMN(Construction_Name_and_Level)+1),FALSE)*(-1)</f>
        <v>0</v>
      </c>
    </row>
    <row r="613" spans="1:108" ht="15" customHeight="1">
      <c r="B613" s="506" t="s">
        <v>144</v>
      </c>
      <c r="C613" s="127" t="s">
        <v>138</v>
      </c>
      <c r="D613" s="144" t="s">
        <v>1694</v>
      </c>
      <c r="E613" s="506">
        <v>19</v>
      </c>
      <c r="F613" s="12">
        <v>0.3</v>
      </c>
      <c r="G613" s="94">
        <f>VLOOKUP($D613,Construction!$B:$E,(COLUMN(Construction_BuildingReward_HeroXP)-COLUMN(Construction_Name_and_Level)+1),FALSE)</f>
        <v>500</v>
      </c>
      <c r="H613" s="94">
        <f>G613*(1+F613)</f>
        <v>650</v>
      </c>
      <c r="J613" s="95">
        <f>VLOOKUP($D613,Construction!$B:$F,(COLUMN(Construction_BuildingReward_Power)-COLUMN(Construction_Name_and_Level)+1),FALSE)</f>
        <v>85</v>
      </c>
      <c r="Q613" s="139">
        <v>3.472222222222222E-3</v>
      </c>
      <c r="R613" s="289">
        <v>8.3333333333333332E-3</v>
      </c>
      <c r="AF613" s="141"/>
      <c r="AG613" s="141"/>
      <c r="AH613" s="137"/>
      <c r="AI613" s="484"/>
      <c r="AJ613" s="137">
        <f>AJ611+(S$3*S613+T$3*T613+U$3*U613+V$3*V613+W$3*W613+X$3*X613+Y$3*Y613+Z$3*Z613+AA$3*AA613+AB$3*AB613+AC$3*AC613)</f>
        <v>0.26041666666666663</v>
      </c>
      <c r="AK613" s="339">
        <v>0.41</v>
      </c>
      <c r="AL613" s="138">
        <f>VLOOKUP($D613,Construction!$B:$C,(COLUMN(Construction_Time)-COLUMN(Construction_Name_and_Level)+1),FALSE)</f>
        <v>4.4444444444444446E-2</v>
      </c>
      <c r="AM613" s="138">
        <f t="shared" ref="AM613" si="181">AL613/(1+AK613)</f>
        <v>3.1520882584712376E-2</v>
      </c>
      <c r="AN613" s="138">
        <f>(S$3*S613+T$3*T613+V$3*V613+W$3*W613+X$3*X613+Y$3*Y613+Z$3*Z613+AA$3*AA613+AB$3*AB613+AC$3*AC613)*(-1)</f>
        <v>0</v>
      </c>
      <c r="AO613" s="139">
        <f>IF((AM613-Q613-R613-AN613)&gt;=0,AM613-Q613-R613-AN613,0)</f>
        <v>1.9715327029156821E-2</v>
      </c>
      <c r="AU613" s="94">
        <f>VLOOKUP($D613,Construction!$B:$J,(COLUMN(Construction_BuildingCost_Stone)-COLUMN(Construction_Name_and_Level)+1),FALSE)*(-1)</f>
        <v>-3348</v>
      </c>
      <c r="AV613" s="94">
        <f>VLOOKUP($D613,Construction!$B:$J,(COLUMN(Construction_BuildingCost_Wood)-COLUMN(Construction_Name_and_Level)+1),FALSE)*(-1)</f>
        <v>0</v>
      </c>
      <c r="AW613" s="94">
        <f>VLOOKUP($D613,Construction!$B:$J,(COLUMN(Construction_BuildingCost_Ore)-COLUMN(Construction_Name_and_Level)+1),FALSE)*(-1)</f>
        <v>-3348</v>
      </c>
      <c r="AX613" s="94">
        <f>VLOOKUP($D613,Construction!$B:$J,(COLUMN(Construction_BuildingCost_Food)-COLUMN(Construction_Name_and_Level)+1),FALSE)*(-1)</f>
        <v>-3348</v>
      </c>
    </row>
    <row r="614" spans="1:108" ht="15" customHeight="1">
      <c r="B614" s="506" t="s">
        <v>143</v>
      </c>
      <c r="C614" s="127" t="s">
        <v>142</v>
      </c>
      <c r="D614" s="144" t="s">
        <v>1690</v>
      </c>
      <c r="E614" s="506">
        <v>19</v>
      </c>
      <c r="F614" s="12">
        <v>0.3</v>
      </c>
      <c r="G614" s="101">
        <f>VLOOKUP($D614,Construction!$B:$L,(COLUMN(Construction_QuestReward_HeroXP)-COLUMN(Construction_Name_and_Level)+1),FALSE)</f>
        <v>30000</v>
      </c>
      <c r="H614" s="101">
        <f>G614*(1+F614)</f>
        <v>39000</v>
      </c>
      <c r="J614" s="100">
        <f>VLOOKUP($D614,Construction!$B:$L,(COLUMN(Construction_QuestReward_Power)-COLUMN(Construction_Name_and_Level)+1),FALSE)</f>
        <v>475</v>
      </c>
      <c r="AF614" s="141"/>
      <c r="AG614" s="141"/>
      <c r="AH614" s="137"/>
      <c r="AI614" s="484"/>
      <c r="AJ614" s="137">
        <f t="shared" ref="AJ614:AJ647" si="182">AJ613+(S$3*S614+T$3*T614+U$3*U614+V$3*V614+W$3*W614+X$3*X614+Y$3*Y614+Z$3*Z614+AA$3*AA614+AB$3*AB614+AC$3*AC614)</f>
        <v>0.26041666666666663</v>
      </c>
      <c r="AU614" s="101">
        <f>VLOOKUP($D614,Construction!$B:$Q,(COLUMN(Construction_QuestReward_Stone)-COLUMN(Construction_Name_and_Level)+1),FALSE)</f>
        <v>26200</v>
      </c>
      <c r="AV614" s="101">
        <f>VLOOKUP($D614,Construction!$B:$Q,(COLUMN(Construction_QuestReward_Wood)-COLUMN(Construction_Name_and_Level)+1),FALSE)</f>
        <v>26200</v>
      </c>
      <c r="AW614" s="101">
        <f>VLOOKUP($D614,Construction!$B:$Q,(COLUMN(Construction_QuestReward_Ore)-COLUMN(Construction_Name_and_Level)+1),FALSE)</f>
        <v>10500</v>
      </c>
      <c r="AX614" s="101">
        <f>VLOOKUP($D614,Construction!$B:$Q,(COLUMN(Construction_QuestReward_Food)-COLUMN(Construction_Name_and_Level)+1),FALSE)</f>
        <v>15700</v>
      </c>
      <c r="AY614" s="100">
        <f>VLOOKUP($D614,Construction!$B:$Q,(COLUMN(Construction_QuestReward_Silver)-COLUMN(Construction_Name_and_Level)+1),FALSE)</f>
        <v>600</v>
      </c>
    </row>
    <row r="615" spans="1:108" ht="15" customHeight="1">
      <c r="B615" s="102" t="s">
        <v>1455</v>
      </c>
      <c r="C615" s="127" t="s">
        <v>170</v>
      </c>
      <c r="D615" s="144" t="s">
        <v>1691</v>
      </c>
      <c r="E615" s="506">
        <v>19</v>
      </c>
      <c r="F615" s="12">
        <v>0.3</v>
      </c>
      <c r="G615" s="101">
        <f>VLOOKUP($D615,Research!$C:$M,(COLUMN(Research_QuestReward_HeroXP)-COLUMN(Research_Name_and_Level)+1),FALSE)</f>
        <v>8000</v>
      </c>
      <c r="H615" s="101">
        <f t="shared" ref="H615" si="183">G615*(1+F615)</f>
        <v>10400</v>
      </c>
      <c r="J615" s="103">
        <f>VLOOKUP($D615,Research!$C:$N,(COLUMN(Research_QuestReward_Power)-COLUMN(Research_Name_and_Level)+1),FALSE)</f>
        <v>30</v>
      </c>
      <c r="AF615" s="141"/>
      <c r="AG615" s="141"/>
      <c r="AH615" s="137"/>
      <c r="AI615" s="484"/>
      <c r="AJ615" s="137">
        <f t="shared" si="182"/>
        <v>0.26041666666666663</v>
      </c>
      <c r="AU615" s="101">
        <f>VLOOKUP($D615,Research!$C:$S,(COLUMN(Research_QuestReward_Stone)-COLUMN(Research_Name_and_Level)+1),FALSE)</f>
        <v>32000</v>
      </c>
      <c r="AV615" s="101">
        <f>VLOOKUP($D615,Research!$C:$S,(COLUMN(Research_QuestReward_Wood)-COLUMN(Research_Name_and_Level)+1),FALSE)</f>
        <v>32000</v>
      </c>
      <c r="AW615" s="101">
        <f>VLOOKUP($D615,Research!$C:$S,(COLUMN(Research_QuestReward_Ore)-COLUMN(Research_Name_and_Level)+1),FALSE)</f>
        <v>24000</v>
      </c>
      <c r="AX615" s="101">
        <f>VLOOKUP($D615,Research!$C:$S,(COLUMN(Research_QuestReward_Food)-COLUMN(Research_Name_and_Level)+1),FALSE)</f>
        <v>32000</v>
      </c>
      <c r="AY615" s="100">
        <f>VLOOKUP($D615,Research!$C:$S,(COLUMN(Research_QuestReward_Silver)-COLUMN(Research_Name_and_Level)+1),FALSE)</f>
        <v>6000</v>
      </c>
      <c r="CT615" s="127"/>
      <c r="CU615" s="127"/>
      <c r="CV615" s="127"/>
      <c r="CW615" s="127"/>
      <c r="CX615" s="127"/>
      <c r="CY615" s="127"/>
      <c r="CZ615" s="127"/>
      <c r="DA615" s="127"/>
      <c r="DB615" s="127"/>
      <c r="DC615" s="127"/>
      <c r="DD615" s="127"/>
    </row>
    <row r="616" spans="1:108" ht="15" customHeight="1">
      <c r="B616" s="506" t="s">
        <v>624</v>
      </c>
      <c r="C616" s="127" t="s">
        <v>623</v>
      </c>
      <c r="E616" s="506">
        <v>19</v>
      </c>
      <c r="AF616" s="141"/>
      <c r="AG616" s="141"/>
      <c r="AH616" s="137"/>
      <c r="AI616" s="484"/>
      <c r="AJ616" s="137">
        <f t="shared" si="182"/>
        <v>0.26041666666666663</v>
      </c>
      <c r="AY616" s="31">
        <v>11400</v>
      </c>
    </row>
    <row r="617" spans="1:108" ht="15" customHeight="1">
      <c r="B617" s="506" t="s">
        <v>624</v>
      </c>
      <c r="C617" s="127" t="s">
        <v>623</v>
      </c>
      <c r="E617" s="506">
        <v>19</v>
      </c>
      <c r="AF617" s="141"/>
      <c r="AG617" s="141"/>
      <c r="AH617" s="137"/>
      <c r="AI617" s="484"/>
      <c r="AJ617" s="137">
        <f t="shared" si="182"/>
        <v>0.26041666666666663</v>
      </c>
      <c r="AY617" s="31">
        <v>11400</v>
      </c>
    </row>
    <row r="618" spans="1:108" ht="15" customHeight="1">
      <c r="B618" s="506" t="s">
        <v>143</v>
      </c>
      <c r="C618" s="127" t="s">
        <v>466</v>
      </c>
      <c r="D618" s="144">
        <v>1.0324074074074074E-2</v>
      </c>
      <c r="E618" s="506">
        <v>19</v>
      </c>
      <c r="F618" s="12">
        <v>0.3</v>
      </c>
      <c r="G618" s="101">
        <v>3200</v>
      </c>
      <c r="H618" s="101">
        <f>G618*(1+F618)</f>
        <v>4160</v>
      </c>
      <c r="AF618" s="141"/>
      <c r="AG618" s="141"/>
      <c r="AH618" s="137"/>
      <c r="AI618" s="484"/>
      <c r="AJ618" s="137">
        <f t="shared" si="182"/>
        <v>0.26041666666666663</v>
      </c>
      <c r="AU618" s="101">
        <v>0</v>
      </c>
      <c r="AV618" s="101">
        <v>4000</v>
      </c>
      <c r="AW618" s="101">
        <v>0</v>
      </c>
      <c r="AX618" s="101">
        <v>0</v>
      </c>
      <c r="AY618" s="100">
        <v>800</v>
      </c>
    </row>
    <row r="619" spans="1:108" ht="15" customHeight="1">
      <c r="B619" s="506" t="s">
        <v>195</v>
      </c>
      <c r="C619" s="127" t="s">
        <v>468</v>
      </c>
      <c r="D619" s="144">
        <v>6.2962962962962964E-3</v>
      </c>
      <c r="E619" s="506">
        <v>19</v>
      </c>
      <c r="F619" s="12">
        <v>0.3</v>
      </c>
      <c r="G619" s="211">
        <v>3200</v>
      </c>
      <c r="H619" s="211">
        <f t="shared" ref="H619" si="184">G619*(1+F619)</f>
        <v>4160</v>
      </c>
      <c r="AF619" s="141"/>
      <c r="AG619" s="141"/>
      <c r="AH619" s="137"/>
      <c r="AI619" s="484"/>
      <c r="AJ619" s="137">
        <f t="shared" si="182"/>
        <v>0.26041666666666663</v>
      </c>
      <c r="AU619" s="211">
        <v>0</v>
      </c>
      <c r="AV619" s="211">
        <v>0</v>
      </c>
      <c r="AW619" s="211">
        <v>0</v>
      </c>
      <c r="AX619" s="211">
        <v>0</v>
      </c>
      <c r="AY619" s="160">
        <v>1600</v>
      </c>
      <c r="CL619" s="211">
        <v>2000</v>
      </c>
      <c r="CM619" s="160">
        <f>CL619</f>
        <v>2000</v>
      </c>
    </row>
    <row r="620" spans="1:108" ht="15" customHeight="1">
      <c r="B620" s="506" t="s">
        <v>143</v>
      </c>
      <c r="C620" s="127" t="s">
        <v>466</v>
      </c>
      <c r="D620" s="144">
        <v>5.7986111111111112E-3</v>
      </c>
      <c r="E620" s="506">
        <v>19</v>
      </c>
      <c r="F620" s="12">
        <v>0.3</v>
      </c>
      <c r="G620" s="101">
        <v>3200</v>
      </c>
      <c r="H620" s="101">
        <f>G620*(1+F620)</f>
        <v>4160</v>
      </c>
      <c r="AF620" s="141"/>
      <c r="AG620" s="141"/>
      <c r="AH620" s="137"/>
      <c r="AI620" s="484"/>
      <c r="AJ620" s="137">
        <f t="shared" si="182"/>
        <v>0.26041666666666663</v>
      </c>
      <c r="AU620" s="101">
        <v>0</v>
      </c>
      <c r="AV620" s="101">
        <v>4000</v>
      </c>
      <c r="AW620" s="101">
        <v>0</v>
      </c>
      <c r="AX620" s="101">
        <v>4000</v>
      </c>
      <c r="AY620" s="100">
        <v>0</v>
      </c>
    </row>
    <row r="621" spans="1:108" ht="15" customHeight="1">
      <c r="B621" s="506" t="s">
        <v>143</v>
      </c>
      <c r="C621" s="127" t="s">
        <v>142</v>
      </c>
      <c r="D621" s="144" t="s">
        <v>1694</v>
      </c>
      <c r="E621" s="506">
        <v>19</v>
      </c>
      <c r="F621" s="12">
        <v>0.3</v>
      </c>
      <c r="G621" s="101">
        <f>VLOOKUP($D621,Construction!$B:$L,(COLUMN(Construction_QuestReward_HeroXP)-COLUMN(Construction_Name_and_Level)+1),FALSE)</f>
        <v>2500</v>
      </c>
      <c r="H621" s="101">
        <f>G621*(1+F621)</f>
        <v>3250</v>
      </c>
      <c r="J621" s="100">
        <f>VLOOKUP($D621,Construction!$B:$L,(COLUMN(Construction_QuestReward_Power)-COLUMN(Construction_Name_and_Level)+1),FALSE)</f>
        <v>45</v>
      </c>
      <c r="AF621" s="141"/>
      <c r="AG621" s="141"/>
      <c r="AH621" s="137"/>
      <c r="AI621" s="484"/>
      <c r="AJ621" s="137">
        <f t="shared" si="182"/>
        <v>0.26041666666666663</v>
      </c>
      <c r="AU621" s="101">
        <f>VLOOKUP($D621,Construction!$B:$Q,(COLUMN(Construction_QuestReward_Stone)-COLUMN(Construction_Name_and_Level)+1),FALSE)</f>
        <v>2300</v>
      </c>
      <c r="AV621" s="101">
        <f>VLOOKUP($D621,Construction!$B:$Q,(COLUMN(Construction_QuestReward_Wood)-COLUMN(Construction_Name_and_Level)+1),FALSE)</f>
        <v>0</v>
      </c>
      <c r="AW621" s="101">
        <f>VLOOKUP($D621,Construction!$B:$Q,(COLUMN(Construction_QuestReward_Ore)-COLUMN(Construction_Name_and_Level)+1),FALSE)</f>
        <v>2300</v>
      </c>
      <c r="AX621" s="101">
        <f>VLOOKUP($D621,Construction!$B:$Q,(COLUMN(Construction_QuestReward_Food)-COLUMN(Construction_Name_and_Level)+1),FALSE)</f>
        <v>2300</v>
      </c>
      <c r="AY621" s="100">
        <f>VLOOKUP($D621,Construction!$B:$Q,(COLUMN(Construction_QuestReward_Silver)-COLUMN(Construction_Name_and_Level)+1),FALSE)</f>
        <v>50</v>
      </c>
    </row>
    <row r="622" spans="1:108" ht="15" customHeight="1">
      <c r="B622" s="506" t="s">
        <v>144</v>
      </c>
      <c r="C622" s="127" t="s">
        <v>138</v>
      </c>
      <c r="D622" s="144" t="s">
        <v>1695</v>
      </c>
      <c r="E622" s="506">
        <v>19</v>
      </c>
      <c r="F622" s="12">
        <v>0.3</v>
      </c>
      <c r="G622" s="94">
        <f>VLOOKUP($D622,Construction!$B:$E,(COLUMN(Construction_BuildingReward_HeroXP)-COLUMN(Construction_Name_and_Level)+1),FALSE)</f>
        <v>500</v>
      </c>
      <c r="H622" s="94">
        <f>G622*(1+F622)</f>
        <v>650</v>
      </c>
      <c r="J622" s="95">
        <f>VLOOKUP($D622,Construction!$B:$F,(COLUMN(Construction_BuildingReward_Power)-COLUMN(Construction_Name_and_Level)+1),FALSE)</f>
        <v>250</v>
      </c>
      <c r="Q622" s="139">
        <v>3.472222222222222E-3</v>
      </c>
      <c r="R622" s="289">
        <v>8.3333333333333332E-3</v>
      </c>
      <c r="X622" s="11">
        <v>-1</v>
      </c>
      <c r="AF622" s="141"/>
      <c r="AG622" s="141"/>
      <c r="AH622" s="137"/>
      <c r="AI622" s="484">
        <f>(-1)*($S$3*$S622+$T$3*$T622+$U$3*$U622+$V$3*$V622+$W$3*$W622+$X$3*$X622+$Y$3*$Y622+$Z$3*$Z622+$AA$3*$AA622+$AB$3*$AB622+$AC$3*$AC622)</f>
        <v>4.1666666666666664E-2</v>
      </c>
      <c r="AJ622" s="137">
        <f t="shared" si="182"/>
        <v>0.21874999999999997</v>
      </c>
      <c r="AK622" s="339">
        <v>0.41</v>
      </c>
      <c r="AL622" s="138">
        <f>VLOOKUP($D622,Construction!$B:$C,(COLUMN(Construction_Time)-COLUMN(Construction_Name_and_Level)+1),FALSE)</f>
        <v>8.8888888888888892E-2</v>
      </c>
      <c r="AM622" s="138">
        <f t="shared" ref="AM622" si="185">AL622/(1+AK622)</f>
        <v>6.3041765169424752E-2</v>
      </c>
      <c r="AN622" s="138">
        <f>(S$3*S622+T$3*T622+V$3*V622+W$3*W622+X$3*X622+Y$3*Y622+Z$3*Z622+AA$3*AA622+AB$3*AB622+AC$3*AC622)*(-1)</f>
        <v>4.1666666666666664E-2</v>
      </c>
      <c r="AO622" s="139">
        <f>IF((AM622-Q622-R622-AN622)&gt;=0,AM622-Q622-R622-AN622,0)</f>
        <v>9.569542947202532E-3</v>
      </c>
      <c r="AU622" s="94">
        <f>VLOOKUP($D622,Construction!$B:$J,(COLUMN(Construction_BuildingCost_Stone)-COLUMN(Construction_Name_and_Level)+1),FALSE)*(-1)</f>
        <v>-26744</v>
      </c>
      <c r="AV622" s="94">
        <f>VLOOKUP($D622,Construction!$B:$J,(COLUMN(Construction_BuildingCost_Wood)-COLUMN(Construction_Name_and_Level)+1),FALSE)*(-1)</f>
        <v>-26744</v>
      </c>
      <c r="AW622" s="94">
        <f>VLOOKUP($D622,Construction!$B:$J,(COLUMN(Construction_BuildingCost_Ore)-COLUMN(Construction_Name_and_Level)+1),FALSE)*(-1)</f>
        <v>-20048</v>
      </c>
      <c r="AX622" s="94">
        <f>VLOOKUP($D622,Construction!$B:$J,(COLUMN(Construction_BuildingCost_Food)-COLUMN(Construction_Name_and_Level)+1),FALSE)*(-1)</f>
        <v>-13376</v>
      </c>
    </row>
    <row r="623" spans="1:108" ht="15" customHeight="1">
      <c r="B623" s="506" t="s">
        <v>146</v>
      </c>
      <c r="C623" s="127" t="s">
        <v>138</v>
      </c>
      <c r="D623" s="144" t="s">
        <v>1696</v>
      </c>
      <c r="E623" s="506">
        <v>19</v>
      </c>
      <c r="F623" s="12">
        <v>0.3</v>
      </c>
      <c r="G623" s="111">
        <f>VLOOKUP($D623,Research!$C:$F,(COLUMN(Research_ResearchReward_HeroXP)-COLUMN(Research_Name_and_Level)+1),FALSE)</f>
        <v>30000</v>
      </c>
      <c r="H623" s="111">
        <f t="shared" ref="H623:H624" si="186">G623*(1+F623)</f>
        <v>39000</v>
      </c>
      <c r="J623" s="115">
        <f>VLOOKUP($D623,Research!$C:$G,(COLUMN(Research_ResearchReward_Power)-COLUMN(Research_Name_and_Level)+1),FALSE)</f>
        <v>1000</v>
      </c>
      <c r="R623" s="148">
        <v>8.3333333333333332E-3</v>
      </c>
      <c r="AF623" s="141"/>
      <c r="AG623" s="141"/>
      <c r="AH623" s="137"/>
      <c r="AI623" s="484"/>
      <c r="AJ623" s="137">
        <f t="shared" si="182"/>
        <v>0.21874999999999997</v>
      </c>
      <c r="AP623" s="256">
        <v>0.48</v>
      </c>
      <c r="AQ623" s="147">
        <f>VLOOKUP($D623,Research!$C:$D,(COLUMN(Research_Time)-COLUMN(Research_Name_and_Level)+1),FALSE)</f>
        <v>0.125</v>
      </c>
      <c r="AR623" s="147">
        <f>AQ623/(1+AP623)</f>
        <v>8.4459459459459457E-2</v>
      </c>
      <c r="AS623" s="147">
        <f>(S$3*S623+T$3*T623+V$3*V623+W$3*W623+X$3*X623+Y$3*Y623+Z$3*Z623+AA$3*AA623+AB$3*AB623+AC$3*AC623)*(-1)</f>
        <v>0</v>
      </c>
      <c r="AT623" s="148">
        <f>IF(AR623-R623-AS623&gt;=0,AR623-R623-AS623,0)</f>
        <v>7.6126126126126126E-2</v>
      </c>
      <c r="AU623" s="111">
        <f>VLOOKUP($D623,Research!$C:$L,(COLUMN(Research_ResearchCost_Stone)-COLUMN(Research_Name_and_Level)+1),FALSE)*(-1)</f>
        <v>-10000</v>
      </c>
      <c r="AV623" s="111">
        <f>VLOOKUP($D623,Research!$C:$L,(COLUMN(Research_ResearchCost_Wood)-COLUMN(Research_Name_and_Level)+1),FALSE)*(-1)</f>
        <v>-10000</v>
      </c>
      <c r="AW623" s="111">
        <f>VLOOKUP($D623,Research!$C:$L,(COLUMN(Research_ResearchCost_Ore)-COLUMN(Research_Name_and_Level)+1),FALSE)*(-1)</f>
        <v>-7500</v>
      </c>
      <c r="AX623" s="111">
        <f>VLOOKUP($D623,Research!$C:$L,(COLUMN(Research_ResearchCost_Food)-COLUMN(Research_Name_and_Level)+1),FALSE)*(-1)</f>
        <v>-10000</v>
      </c>
      <c r="AY623" s="112">
        <f>VLOOKUP($D623,Research!$C:$L,(COLUMN(Research_ResearchCost_Silver)-COLUMN(Research_Name_and_Level)+1),FALSE)*(-1)</f>
        <v>-20000</v>
      </c>
    </row>
    <row r="624" spans="1:108" ht="15" customHeight="1">
      <c r="B624" s="102" t="s">
        <v>1455</v>
      </c>
      <c r="C624" s="127" t="s">
        <v>170</v>
      </c>
      <c r="D624" s="144" t="s">
        <v>1696</v>
      </c>
      <c r="E624" s="506">
        <v>19</v>
      </c>
      <c r="F624" s="12">
        <v>0.3</v>
      </c>
      <c r="G624" s="101">
        <f>VLOOKUP($D624,Research!$C:$M,(COLUMN(Research_QuestReward_HeroXP)-COLUMN(Research_Name_and_Level)+1),FALSE)</f>
        <v>20000</v>
      </c>
      <c r="H624" s="101">
        <f t="shared" si="186"/>
        <v>26000</v>
      </c>
      <c r="J624" s="103">
        <f>VLOOKUP($D624,Research!$C:$N,(COLUMN(Research_QuestReward_Power)-COLUMN(Research_Name_and_Level)+1),FALSE)</f>
        <v>30</v>
      </c>
      <c r="AF624" s="141"/>
      <c r="AG624" s="141"/>
      <c r="AH624" s="137"/>
      <c r="AI624" s="484"/>
      <c r="AJ624" s="137">
        <f t="shared" si="182"/>
        <v>0.21874999999999997</v>
      </c>
      <c r="AU624" s="101">
        <f>VLOOKUP($D624,Research!$C:$S,(COLUMN(Research_QuestReward_Stone)-COLUMN(Research_Name_and_Level)+1),FALSE)</f>
        <v>14000</v>
      </c>
      <c r="AV624" s="101">
        <f>VLOOKUP($D624,Research!$C:$S,(COLUMN(Research_QuestReward_Wood)-COLUMN(Research_Name_and_Level)+1),FALSE)</f>
        <v>14000</v>
      </c>
      <c r="AW624" s="101">
        <f>VLOOKUP($D624,Research!$C:$S,(COLUMN(Research_QuestReward_Ore)-COLUMN(Research_Name_and_Level)+1),FALSE)</f>
        <v>10000</v>
      </c>
      <c r="AX624" s="101">
        <f>VLOOKUP($D624,Research!$C:$S,(COLUMN(Research_QuestReward_Food)-COLUMN(Research_Name_and_Level)+1),FALSE)</f>
        <v>14000</v>
      </c>
      <c r="AY624" s="100">
        <f>VLOOKUP($D624,Research!$C:$S,(COLUMN(Research_QuestReward_Silver)-COLUMN(Research_Name_and_Level)+1),FALSE)</f>
        <v>14000</v>
      </c>
      <c r="CT624" s="127"/>
      <c r="CU624" s="127"/>
      <c r="CV624" s="127"/>
      <c r="CW624" s="127"/>
      <c r="CX624" s="127"/>
      <c r="CY624" s="127"/>
      <c r="CZ624" s="127"/>
      <c r="DA624" s="127"/>
      <c r="DB624" s="127"/>
      <c r="DC624" s="127"/>
      <c r="DD624" s="127"/>
    </row>
    <row r="625" spans="2:51" ht="15" customHeight="1">
      <c r="B625" s="506" t="s">
        <v>144</v>
      </c>
      <c r="C625" s="127" t="s">
        <v>138</v>
      </c>
      <c r="D625" s="144" t="s">
        <v>1694</v>
      </c>
      <c r="E625" s="506">
        <v>19</v>
      </c>
      <c r="F625" s="12">
        <v>0.3</v>
      </c>
      <c r="G625" s="94">
        <f>VLOOKUP($D625,Construction!$B:$E,(COLUMN(Construction_BuildingReward_HeroXP)-COLUMN(Construction_Name_and_Level)+1),FALSE)</f>
        <v>500</v>
      </c>
      <c r="H625" s="94">
        <f>G625*(1+F625)</f>
        <v>650</v>
      </c>
      <c r="J625" s="95">
        <f>VLOOKUP($D625,Construction!$B:$F,(COLUMN(Construction_BuildingReward_Power)-COLUMN(Construction_Name_and_Level)+1),FALSE)</f>
        <v>85</v>
      </c>
      <c r="Q625" s="139">
        <v>3.472222222222222E-3</v>
      </c>
      <c r="R625" s="289">
        <v>8.3333333333333332E-3</v>
      </c>
      <c r="AF625" s="141"/>
      <c r="AG625" s="141"/>
      <c r="AH625" s="137"/>
      <c r="AI625" s="484"/>
      <c r="AJ625" s="137">
        <f t="shared" si="182"/>
        <v>0.21874999999999997</v>
      </c>
      <c r="AK625" s="339">
        <v>0.41</v>
      </c>
      <c r="AL625" s="138">
        <f>VLOOKUP($D625,Construction!$B:$C,(COLUMN(Construction_Time)-COLUMN(Construction_Name_and_Level)+1),FALSE)</f>
        <v>4.4444444444444446E-2</v>
      </c>
      <c r="AM625" s="138">
        <f t="shared" ref="AM625" si="187">AL625/(1+AK625)</f>
        <v>3.1520882584712376E-2</v>
      </c>
      <c r="AN625" s="138">
        <f>(S$3*S625+T$3*T625+V$3*V625+W$3*W625+X$3*X625+Y$3*Y625+Z$3*Z625+AA$3*AA625+AB$3*AB625+AC$3*AC625)*(-1)</f>
        <v>0</v>
      </c>
      <c r="AO625" s="139">
        <f>IF((AM625-Q625-R625-AN625)&gt;=0,AM625-Q625-R625-AN625,0)</f>
        <v>1.9715327029156821E-2</v>
      </c>
      <c r="AU625" s="94">
        <f>VLOOKUP($D625,Construction!$B:$J,(COLUMN(Construction_BuildingCost_Stone)-COLUMN(Construction_Name_and_Level)+1),FALSE)*(-1)</f>
        <v>-3348</v>
      </c>
      <c r="AV625" s="94">
        <f>VLOOKUP($D625,Construction!$B:$J,(COLUMN(Construction_BuildingCost_Wood)-COLUMN(Construction_Name_and_Level)+1),FALSE)*(-1)</f>
        <v>0</v>
      </c>
      <c r="AW625" s="94">
        <f>VLOOKUP($D625,Construction!$B:$J,(COLUMN(Construction_BuildingCost_Ore)-COLUMN(Construction_Name_and_Level)+1),FALSE)*(-1)</f>
        <v>-3348</v>
      </c>
      <c r="AX625" s="94">
        <f>VLOOKUP($D625,Construction!$B:$J,(COLUMN(Construction_BuildingCost_Food)-COLUMN(Construction_Name_and_Level)+1),FALSE)*(-1)</f>
        <v>-3348</v>
      </c>
    </row>
    <row r="626" spans="2:51" ht="15" customHeight="1">
      <c r="B626" s="506" t="s">
        <v>624</v>
      </c>
      <c r="C626" s="127" t="s">
        <v>670</v>
      </c>
      <c r="E626" s="506">
        <v>19</v>
      </c>
      <c r="H626" s="30">
        <v>184</v>
      </c>
      <c r="AF626" s="141"/>
      <c r="AG626" s="141"/>
      <c r="AH626" s="137"/>
      <c r="AI626" s="484"/>
      <c r="AJ626" s="137">
        <f t="shared" si="182"/>
        <v>0.21874999999999997</v>
      </c>
      <c r="AY626" s="31">
        <v>7970</v>
      </c>
    </row>
    <row r="627" spans="2:51" ht="15" customHeight="1">
      <c r="B627" s="506" t="s">
        <v>143</v>
      </c>
      <c r="C627" s="127" t="s">
        <v>142</v>
      </c>
      <c r="D627" s="144" t="s">
        <v>1695</v>
      </c>
      <c r="E627" s="506">
        <v>19</v>
      </c>
      <c r="F627" s="12">
        <v>0.3</v>
      </c>
      <c r="G627" s="101">
        <f>VLOOKUP($D627,Construction!$B:$L,(COLUMN(Construction_QuestReward_HeroXP)-COLUMN(Construction_Name_and_Level)+1),FALSE)</f>
        <v>10000</v>
      </c>
      <c r="H627" s="101">
        <f>G627*(1+F627)</f>
        <v>13000</v>
      </c>
      <c r="J627" s="100">
        <f>VLOOKUP($D627,Construction!$B:$L,(COLUMN(Construction_QuestReward_Power)-COLUMN(Construction_Name_and_Level)+1),FALSE)</f>
        <v>140</v>
      </c>
      <c r="AF627" s="141"/>
      <c r="AG627" s="141"/>
      <c r="AH627" s="137"/>
      <c r="AI627" s="484"/>
      <c r="AJ627" s="137">
        <f t="shared" si="182"/>
        <v>0.21874999999999997</v>
      </c>
      <c r="AU627" s="101">
        <f>VLOOKUP($D627,Construction!$B:$Q,(COLUMN(Construction_QuestReward_Stone)-COLUMN(Construction_Name_and_Level)+1),FALSE)</f>
        <v>16700</v>
      </c>
      <c r="AV627" s="101">
        <f>VLOOKUP($D627,Construction!$B:$Q,(COLUMN(Construction_QuestReward_Wood)-COLUMN(Construction_Name_and_Level)+1),FALSE)</f>
        <v>16700</v>
      </c>
      <c r="AW627" s="101">
        <f>VLOOKUP($D627,Construction!$B:$Q,(COLUMN(Construction_QuestReward_Ore)-COLUMN(Construction_Name_and_Level)+1),FALSE)</f>
        <v>12500</v>
      </c>
      <c r="AX627" s="101">
        <f>VLOOKUP($D627,Construction!$B:$Q,(COLUMN(Construction_QuestReward_Food)-COLUMN(Construction_Name_and_Level)+1),FALSE)</f>
        <v>8300</v>
      </c>
      <c r="AY627" s="100">
        <f>VLOOKUP($D627,Construction!$B:$Q,(COLUMN(Construction_QuestReward_Silver)-COLUMN(Construction_Name_and_Level)+1),FALSE)</f>
        <v>350</v>
      </c>
    </row>
    <row r="628" spans="2:51" ht="15" customHeight="1">
      <c r="B628" s="102" t="s">
        <v>1455</v>
      </c>
      <c r="C628" s="127" t="s">
        <v>182</v>
      </c>
      <c r="D628" s="144" t="s">
        <v>1697</v>
      </c>
      <c r="E628" s="506">
        <v>19</v>
      </c>
      <c r="J628" s="100">
        <v>500</v>
      </c>
      <c r="AF628" s="141"/>
      <c r="AG628" s="141"/>
      <c r="AH628" s="137"/>
      <c r="AI628" s="484"/>
      <c r="AJ628" s="137">
        <f t="shared" si="182"/>
        <v>0.21874999999999997</v>
      </c>
      <c r="AV628" s="101">
        <v>20000</v>
      </c>
    </row>
    <row r="629" spans="2:51" ht="15" customHeight="1">
      <c r="B629" s="506" t="s">
        <v>145</v>
      </c>
      <c r="C629" s="146" t="s">
        <v>151</v>
      </c>
      <c r="D629" s="145">
        <v>1.7962962962962962E-2</v>
      </c>
      <c r="E629" s="506">
        <v>19</v>
      </c>
      <c r="T629" s="2">
        <v>1</v>
      </c>
      <c r="AF629" s="141">
        <f>$S$3*$S629+$T$3*$T629+$U$3*$U629+$V$3*$V629+$W$3*$W629+$X$3*$X629+$Y$3*$Y629+$Z$3*$Z629+$AA$3*$AA629+$AB$3*$AB629+$AC$3*$AC629</f>
        <v>2.0833333333333333E-3</v>
      </c>
      <c r="AG629" s="141"/>
      <c r="AH629" s="137"/>
      <c r="AI629" s="484"/>
      <c r="AJ629" s="137">
        <f t="shared" si="182"/>
        <v>0.2208333333333333</v>
      </c>
    </row>
    <row r="630" spans="2:51" ht="15" customHeight="1">
      <c r="B630" s="506" t="s">
        <v>144</v>
      </c>
      <c r="C630" s="127" t="s">
        <v>138</v>
      </c>
      <c r="D630" s="144" t="s">
        <v>1698</v>
      </c>
      <c r="E630" s="506">
        <v>19</v>
      </c>
      <c r="F630" s="12">
        <v>0.3</v>
      </c>
      <c r="G630" s="94">
        <f>VLOOKUP($D630,Construction!$B:$E,(COLUMN(Construction_BuildingReward_HeroXP)-COLUMN(Construction_Name_and_Level)+1),FALSE)</f>
        <v>500</v>
      </c>
      <c r="H630" s="94">
        <f>G630*(1+F630)</f>
        <v>650</v>
      </c>
      <c r="J630" s="95">
        <f>VLOOKUP($D630,Construction!$B:$F,(COLUMN(Construction_BuildingReward_Power)-COLUMN(Construction_Name_and_Level)+1),FALSE)</f>
        <v>85</v>
      </c>
      <c r="Q630" s="139">
        <v>3.472222222222222E-3</v>
      </c>
      <c r="R630" s="289">
        <v>8.3333333333333332E-3</v>
      </c>
      <c r="AF630" s="141"/>
      <c r="AG630" s="141"/>
      <c r="AH630" s="137"/>
      <c r="AI630" s="484"/>
      <c r="AJ630" s="137">
        <f t="shared" si="182"/>
        <v>0.2208333333333333</v>
      </c>
      <c r="AK630" s="339">
        <v>0.41</v>
      </c>
      <c r="AL630" s="138">
        <f>VLOOKUP($D630,Construction!$B:$C,(COLUMN(Construction_Time)-COLUMN(Construction_Name_and_Level)+1),FALSE)</f>
        <v>3.7037037037037042E-2</v>
      </c>
      <c r="AM630" s="138">
        <f t="shared" ref="AM630" si="188">AL630/(1+AK630)</f>
        <v>2.6267402153926981E-2</v>
      </c>
      <c r="AN630" s="138">
        <f>(S$3*S630+T$3*T630+V$3*V630+W$3*W630+X$3*X630+Y$3*Y630+Z$3*Z630+AA$3*AA630+AB$3*AB630+AC$3*AC630)*(-1)</f>
        <v>0</v>
      </c>
      <c r="AO630" s="139">
        <f>IF((AM630-Q630-R630-AN630)&gt;=0,AM630-Q630-R630-AN630,0)</f>
        <v>1.4461846598371427E-2</v>
      </c>
      <c r="AU630" s="94">
        <f>VLOOKUP($D630,Construction!$B:$J,(COLUMN(Construction_BuildingCost_Stone)-COLUMN(Construction_Name_and_Level)+1),FALSE)*(-1)</f>
        <v>-3348</v>
      </c>
      <c r="AV630" s="94">
        <f>VLOOKUP($D630,Construction!$B:$J,(COLUMN(Construction_BuildingCost_Wood)-COLUMN(Construction_Name_and_Level)+1),FALSE)*(-1)</f>
        <v>-3348</v>
      </c>
      <c r="AW630" s="94">
        <f>VLOOKUP($D630,Construction!$B:$J,(COLUMN(Construction_BuildingCost_Ore)-COLUMN(Construction_Name_and_Level)+1),FALSE)*(-1)</f>
        <v>-3348</v>
      </c>
      <c r="AX630" s="94">
        <f>VLOOKUP($D630,Construction!$B:$J,(COLUMN(Construction_BuildingCost_Food)-COLUMN(Construction_Name_and_Level)+1),FALSE)*(-1)</f>
        <v>0</v>
      </c>
    </row>
    <row r="631" spans="2:51" ht="15" customHeight="1">
      <c r="B631" s="506" t="s">
        <v>143</v>
      </c>
      <c r="C631" s="127" t="s">
        <v>142</v>
      </c>
      <c r="D631" s="144" t="s">
        <v>1698</v>
      </c>
      <c r="E631" s="506">
        <v>19</v>
      </c>
      <c r="F631" s="12">
        <v>0.3</v>
      </c>
      <c r="G631" s="101">
        <f>VLOOKUP($D631,Construction!$B:$L,(COLUMN(Construction_QuestReward_HeroXP)-COLUMN(Construction_Name_and_Level)+1),FALSE)</f>
        <v>2500</v>
      </c>
      <c r="H631" s="101">
        <f>G631*(1+F631)</f>
        <v>3250</v>
      </c>
      <c r="J631" s="100">
        <f>VLOOKUP($D631,Construction!$B:$L,(COLUMN(Construction_QuestReward_Power)-COLUMN(Construction_Name_and_Level)+1),FALSE)</f>
        <v>45</v>
      </c>
      <c r="AF631" s="141"/>
      <c r="AG631" s="141"/>
      <c r="AH631" s="137"/>
      <c r="AI631" s="484"/>
      <c r="AJ631" s="137">
        <f t="shared" si="182"/>
        <v>0.2208333333333333</v>
      </c>
      <c r="AU631" s="101">
        <f>VLOOKUP($D631,Construction!$B:$Q,(COLUMN(Construction_QuestReward_Stone)-COLUMN(Construction_Name_and_Level)+1),FALSE)</f>
        <v>2300</v>
      </c>
      <c r="AV631" s="101">
        <f>VLOOKUP($D631,Construction!$B:$Q,(COLUMN(Construction_QuestReward_Wood)-COLUMN(Construction_Name_and_Level)+1),FALSE)</f>
        <v>2300</v>
      </c>
      <c r="AW631" s="101">
        <f>VLOOKUP($D631,Construction!$B:$Q,(COLUMN(Construction_QuestReward_Ore)-COLUMN(Construction_Name_and_Level)+1),FALSE)</f>
        <v>2300</v>
      </c>
      <c r="AX631" s="101">
        <f>VLOOKUP($D631,Construction!$B:$Q,(COLUMN(Construction_QuestReward_Food)-COLUMN(Construction_Name_and_Level)+1),FALSE)</f>
        <v>0</v>
      </c>
      <c r="AY631" s="100">
        <f>VLOOKUP($D631,Construction!$B:$Q,(COLUMN(Construction_QuestReward_Silver)-COLUMN(Construction_Name_and_Level)+1),FALSE)</f>
        <v>50</v>
      </c>
    </row>
    <row r="632" spans="2:51" ht="15" customHeight="1">
      <c r="B632" s="506" t="s">
        <v>144</v>
      </c>
      <c r="C632" s="127" t="s">
        <v>138</v>
      </c>
      <c r="D632" s="144" t="s">
        <v>1699</v>
      </c>
      <c r="E632" s="506">
        <v>19</v>
      </c>
      <c r="F632" s="12">
        <v>0.3</v>
      </c>
      <c r="G632" s="94">
        <f>VLOOKUP($D632,Construction!$B:$E,(COLUMN(Construction_BuildingReward_HeroXP)-COLUMN(Construction_Name_and_Level)+1),FALSE)</f>
        <v>500</v>
      </c>
      <c r="H632" s="94">
        <f>G632*(1+F632)</f>
        <v>650</v>
      </c>
      <c r="J632" s="95">
        <f>VLOOKUP($D632,Construction!$B:$F,(COLUMN(Construction_BuildingReward_Power)-COLUMN(Construction_Name_and_Level)+1),FALSE)</f>
        <v>215</v>
      </c>
      <c r="Q632" s="139">
        <v>3.472222222222222E-3</v>
      </c>
      <c r="R632" s="289">
        <v>8.3333333333333332E-3</v>
      </c>
      <c r="T632" s="2">
        <v>-1</v>
      </c>
      <c r="AF632" s="141"/>
      <c r="AG632" s="141"/>
      <c r="AH632" s="137"/>
      <c r="AI632" s="484">
        <f>(-1)*($S$3*$S632+$T$3*$T632+$U$3*$U632+$V$3*$V632+$W$3*$W632+$X$3*$X632+$Y$3*$Y632+$Z$3*$Z632+$AA$3*$AA632+$AB$3*$AB632+$AC$3*$AC632)</f>
        <v>2.0833333333333333E-3</v>
      </c>
      <c r="AJ632" s="137">
        <f t="shared" si="182"/>
        <v>0.21874999999999997</v>
      </c>
      <c r="AK632" s="339">
        <v>0.41</v>
      </c>
      <c r="AL632" s="138">
        <f>VLOOKUP($D632,Construction!$B:$C,(COLUMN(Construction_Time)-COLUMN(Construction_Name_and_Level)+1),FALSE)</f>
        <v>3.7037037037037042E-2</v>
      </c>
      <c r="AM632" s="138">
        <f t="shared" ref="AM632" si="189">AL632/(1+AK632)</f>
        <v>2.6267402153926981E-2</v>
      </c>
      <c r="AN632" s="138">
        <f>(S$3*S632+T$3*T632+V$3*V632+W$3*W632+X$3*X632+Y$3*Y632+Z$3*Z632+AA$3*AA632+AB$3*AB632+AC$3*AC632)*(-1)</f>
        <v>2.0833333333333333E-3</v>
      </c>
      <c r="AO632" s="139">
        <f>IF((AM632-Q632-R632-AN632)&gt;=0,AM632-Q632-R632-AN632,0)</f>
        <v>1.2378513265038095E-2</v>
      </c>
      <c r="AU632" s="94">
        <f>VLOOKUP($D632,Construction!$B:$J,(COLUMN(Construction_BuildingCost_Stone)-COLUMN(Construction_Name_and_Level)+1),FALSE)*(-1)</f>
        <v>-6688</v>
      </c>
      <c r="AV632" s="94">
        <f>VLOOKUP($D632,Construction!$B:$J,(COLUMN(Construction_BuildingCost_Wood)-COLUMN(Construction_Name_and_Level)+1),FALSE)*(-1)</f>
        <v>-6688</v>
      </c>
      <c r="AW632" s="94">
        <f>VLOOKUP($D632,Construction!$B:$J,(COLUMN(Construction_BuildingCost_Ore)-COLUMN(Construction_Name_and_Level)+1),FALSE)*(-1)</f>
        <v>-1680</v>
      </c>
      <c r="AX632" s="94">
        <f>VLOOKUP($D632,Construction!$B:$J,(COLUMN(Construction_BuildingCost_Food)-COLUMN(Construction_Name_and_Level)+1),FALSE)*(-1)</f>
        <v>-16708</v>
      </c>
    </row>
    <row r="633" spans="2:51" ht="15" customHeight="1">
      <c r="B633" s="506" t="s">
        <v>143</v>
      </c>
      <c r="C633" s="127" t="s">
        <v>142</v>
      </c>
      <c r="D633" s="144" t="s">
        <v>1699</v>
      </c>
      <c r="E633" s="506">
        <v>19</v>
      </c>
      <c r="F633" s="12">
        <v>0.3</v>
      </c>
      <c r="G633" s="101">
        <f>VLOOKUP($D633,Construction!$B:$L,(COLUMN(Construction_QuestReward_HeroXP)-COLUMN(Construction_Name_and_Level)+1),FALSE)</f>
        <v>2500</v>
      </c>
      <c r="H633" s="101">
        <f>G633*(1+F633)</f>
        <v>3250</v>
      </c>
      <c r="J633" s="100">
        <f>VLOOKUP($D633,Construction!$B:$L,(COLUMN(Construction_QuestReward_Power)-COLUMN(Construction_Name_and_Level)+1),FALSE)</f>
        <v>115</v>
      </c>
      <c r="AF633" s="141"/>
      <c r="AG633" s="141"/>
      <c r="AH633" s="137"/>
      <c r="AI633" s="484"/>
      <c r="AJ633" s="137">
        <f t="shared" si="182"/>
        <v>0.21874999999999997</v>
      </c>
      <c r="AU633" s="101">
        <f>VLOOKUP($D633,Construction!$B:$Q,(COLUMN(Construction_QuestReward_Stone)-COLUMN(Construction_Name_and_Level)+1),FALSE)</f>
        <v>4700</v>
      </c>
      <c r="AV633" s="101">
        <f>VLOOKUP($D633,Construction!$B:$Q,(COLUMN(Construction_QuestReward_Wood)-COLUMN(Construction_Name_and_Level)+1),FALSE)</f>
        <v>4700</v>
      </c>
      <c r="AW633" s="101">
        <f>VLOOKUP($D633,Construction!$B:$Q,(COLUMN(Construction_QuestReward_Ore)-COLUMN(Construction_Name_and_Level)+1),FALSE)</f>
        <v>1200</v>
      </c>
      <c r="AX633" s="101">
        <f>VLOOKUP($D633,Construction!$B:$Q,(COLUMN(Construction_QuestReward_Food)-COLUMN(Construction_Name_and_Level)+1),FALSE)</f>
        <v>11900</v>
      </c>
      <c r="AY633" s="100">
        <f>VLOOKUP($D633,Construction!$B:$Q,(COLUMN(Construction_QuestReward_Silver)-COLUMN(Construction_Name_and_Level)+1),FALSE)</f>
        <v>50</v>
      </c>
    </row>
    <row r="634" spans="2:51" ht="15" customHeight="1">
      <c r="B634" s="506" t="s">
        <v>195</v>
      </c>
      <c r="C634" s="127" t="s">
        <v>196</v>
      </c>
      <c r="E634" s="506">
        <v>19</v>
      </c>
      <c r="AF634" s="141"/>
      <c r="AG634" s="141"/>
      <c r="AH634" s="137"/>
      <c r="AI634" s="484"/>
      <c r="AJ634" s="137">
        <f t="shared" si="182"/>
        <v>0.21874999999999997</v>
      </c>
      <c r="AV634" s="211">
        <v>50000</v>
      </c>
    </row>
    <row r="635" spans="2:51" ht="15" customHeight="1">
      <c r="B635" s="506" t="s">
        <v>195</v>
      </c>
      <c r="C635" s="127" t="s">
        <v>196</v>
      </c>
      <c r="E635" s="506">
        <v>19</v>
      </c>
      <c r="AF635" s="141"/>
      <c r="AG635" s="141"/>
      <c r="AH635" s="137"/>
      <c r="AI635" s="484"/>
      <c r="AJ635" s="137">
        <f t="shared" si="182"/>
        <v>0.21874999999999997</v>
      </c>
      <c r="AX635" s="211">
        <v>500000</v>
      </c>
    </row>
    <row r="636" spans="2:51" ht="15" customHeight="1">
      <c r="B636" s="506" t="s">
        <v>195</v>
      </c>
      <c r="C636" s="127" t="s">
        <v>196</v>
      </c>
      <c r="E636" s="506">
        <v>19</v>
      </c>
      <c r="N636" s="213">
        <v>80</v>
      </c>
      <c r="AF636" s="141"/>
      <c r="AG636" s="141"/>
      <c r="AH636" s="137"/>
      <c r="AI636" s="484"/>
      <c r="AJ636" s="137">
        <f t="shared" si="182"/>
        <v>0.21874999999999997</v>
      </c>
    </row>
    <row r="637" spans="2:51" ht="15" customHeight="1">
      <c r="B637" s="506" t="s">
        <v>144</v>
      </c>
      <c r="C637" s="127" t="s">
        <v>138</v>
      </c>
      <c r="D637" s="144" t="s">
        <v>1699</v>
      </c>
      <c r="E637" s="506">
        <v>19</v>
      </c>
      <c r="F637" s="12">
        <v>0.3</v>
      </c>
      <c r="G637" s="94">
        <f>VLOOKUP($D637,Construction!$B:$E,(COLUMN(Construction_BuildingReward_HeroXP)-COLUMN(Construction_Name_and_Level)+1),FALSE)</f>
        <v>500</v>
      </c>
      <c r="H637" s="94">
        <f>G637*(1+F637)</f>
        <v>650</v>
      </c>
      <c r="J637" s="95">
        <f>VLOOKUP($D637,Construction!$B:$F,(COLUMN(Construction_BuildingReward_Power)-COLUMN(Construction_Name_and_Level)+1),FALSE)</f>
        <v>215</v>
      </c>
      <c r="Q637" s="139">
        <v>3.472222222222222E-3</v>
      </c>
      <c r="R637" s="289">
        <v>8.3333333333333332E-3</v>
      </c>
      <c r="AF637" s="141"/>
      <c r="AG637" s="141"/>
      <c r="AH637" s="137"/>
      <c r="AI637" s="484"/>
      <c r="AJ637" s="137">
        <f t="shared" si="182"/>
        <v>0.21874999999999997</v>
      </c>
      <c r="AK637" s="339">
        <v>0.41</v>
      </c>
      <c r="AL637" s="138">
        <f>VLOOKUP($D637,Construction!$B:$C,(COLUMN(Construction_Time)-COLUMN(Construction_Name_and_Level)+1),FALSE)</f>
        <v>3.7037037037037042E-2</v>
      </c>
      <c r="AM637" s="138">
        <f t="shared" ref="AM637:AM638" si="190">AL637/(1+AK637)</f>
        <v>2.6267402153926981E-2</v>
      </c>
      <c r="AN637" s="138">
        <f>(S$3*S637+T$3*T637+V$3*V637+W$3*W637+X$3*X637+Y$3*Y637+Z$3*Z637+AA$3*AA637+AB$3*AB637+AC$3*AC637)*(-1)</f>
        <v>0</v>
      </c>
      <c r="AO637" s="139">
        <f>IF((AM637-Q637-R637-AN637)&gt;=0,AM637-Q637-R637-AN637,0)</f>
        <v>1.4461846598371427E-2</v>
      </c>
      <c r="AU637" s="94">
        <f>VLOOKUP($D637,Construction!$B:$J,(COLUMN(Construction_BuildingCost_Stone)-COLUMN(Construction_Name_and_Level)+1),FALSE)*(-1)</f>
        <v>-6688</v>
      </c>
      <c r="AV637" s="94">
        <f>VLOOKUP($D637,Construction!$B:$J,(COLUMN(Construction_BuildingCost_Wood)-COLUMN(Construction_Name_and_Level)+1),FALSE)*(-1)</f>
        <v>-6688</v>
      </c>
      <c r="AW637" s="94">
        <f>VLOOKUP($D637,Construction!$B:$J,(COLUMN(Construction_BuildingCost_Ore)-COLUMN(Construction_Name_and_Level)+1),FALSE)*(-1)</f>
        <v>-1680</v>
      </c>
      <c r="AX637" s="94">
        <f>VLOOKUP($D637,Construction!$B:$J,(COLUMN(Construction_BuildingCost_Food)-COLUMN(Construction_Name_and_Level)+1),FALSE)*(-1)</f>
        <v>-16708</v>
      </c>
    </row>
    <row r="638" spans="2:51" ht="15" customHeight="1">
      <c r="B638" s="506" t="s">
        <v>144</v>
      </c>
      <c r="C638" s="127" t="s">
        <v>138</v>
      </c>
      <c r="D638" s="144" t="s">
        <v>1699</v>
      </c>
      <c r="E638" s="506">
        <v>19</v>
      </c>
      <c r="F638" s="12">
        <v>0.3</v>
      </c>
      <c r="G638" s="94">
        <f>VLOOKUP($D638,Construction!$B:$E,(COLUMN(Construction_BuildingReward_HeroXP)-COLUMN(Construction_Name_and_Level)+1),FALSE)</f>
        <v>500</v>
      </c>
      <c r="H638" s="94">
        <f>G638*(1+F638)</f>
        <v>650</v>
      </c>
      <c r="J638" s="95">
        <f>VLOOKUP($D638,Construction!$B:$F,(COLUMN(Construction_BuildingReward_Power)-COLUMN(Construction_Name_and_Level)+1),FALSE)</f>
        <v>215</v>
      </c>
      <c r="Q638" s="139">
        <v>3.472222222222222E-3</v>
      </c>
      <c r="R638" s="289">
        <v>8.3333333333333332E-3</v>
      </c>
      <c r="AF638" s="141"/>
      <c r="AG638" s="141"/>
      <c r="AH638" s="137"/>
      <c r="AI638" s="484"/>
      <c r="AJ638" s="137">
        <f t="shared" si="182"/>
        <v>0.21874999999999997</v>
      </c>
      <c r="AK638" s="339">
        <v>0.41</v>
      </c>
      <c r="AL638" s="138">
        <f>VLOOKUP($D638,Construction!$B:$C,(COLUMN(Construction_Time)-COLUMN(Construction_Name_and_Level)+1),FALSE)</f>
        <v>3.7037037037037042E-2</v>
      </c>
      <c r="AM638" s="138">
        <f t="shared" si="190"/>
        <v>2.6267402153926981E-2</v>
      </c>
      <c r="AN638" s="138">
        <f>(S$3*S638+T$3*T638+V$3*V638+W$3*W638+X$3*X638+Y$3*Y638+Z$3*Z638+AA$3*AA638+AB$3*AB638+AC$3*AC638)*(-1)</f>
        <v>0</v>
      </c>
      <c r="AO638" s="139">
        <f>IF((AM638-Q638-R638-AN638)&gt;=0,AM638-Q638-R638-AN638,0)</f>
        <v>1.4461846598371427E-2</v>
      </c>
      <c r="AU638" s="94">
        <f>VLOOKUP($D638,Construction!$B:$J,(COLUMN(Construction_BuildingCost_Stone)-COLUMN(Construction_Name_and_Level)+1),FALSE)*(-1)</f>
        <v>-6688</v>
      </c>
      <c r="AV638" s="94">
        <f>VLOOKUP($D638,Construction!$B:$J,(COLUMN(Construction_BuildingCost_Wood)-COLUMN(Construction_Name_and_Level)+1),FALSE)*(-1)</f>
        <v>-6688</v>
      </c>
      <c r="AW638" s="94">
        <f>VLOOKUP($D638,Construction!$B:$J,(COLUMN(Construction_BuildingCost_Ore)-COLUMN(Construction_Name_and_Level)+1),FALSE)*(-1)</f>
        <v>-1680</v>
      </c>
      <c r="AX638" s="94">
        <f>VLOOKUP($D638,Construction!$B:$J,(COLUMN(Construction_BuildingCost_Food)-COLUMN(Construction_Name_and_Level)+1),FALSE)*(-1)</f>
        <v>-16708</v>
      </c>
    </row>
    <row r="639" spans="2:51" ht="15" customHeight="1">
      <c r="B639" s="506" t="s">
        <v>624</v>
      </c>
      <c r="C639" s="127" t="s">
        <v>623</v>
      </c>
      <c r="E639" s="506">
        <v>19</v>
      </c>
      <c r="AF639" s="141"/>
      <c r="AG639" s="141"/>
      <c r="AH639" s="137"/>
      <c r="AI639" s="484"/>
      <c r="AJ639" s="137">
        <f t="shared" si="182"/>
        <v>0.21874999999999997</v>
      </c>
      <c r="AY639" s="31">
        <v>11400</v>
      </c>
    </row>
    <row r="640" spans="2:51" ht="15" customHeight="1">
      <c r="B640" s="506" t="s">
        <v>144</v>
      </c>
      <c r="C640" s="127" t="s">
        <v>138</v>
      </c>
      <c r="D640" s="144" t="s">
        <v>1699</v>
      </c>
      <c r="E640" s="506">
        <v>19</v>
      </c>
      <c r="F640" s="12">
        <v>0.3</v>
      </c>
      <c r="G640" s="94">
        <f>VLOOKUP($D640,Construction!$B:$E,(COLUMN(Construction_BuildingReward_HeroXP)-COLUMN(Construction_Name_and_Level)+1),FALSE)</f>
        <v>500</v>
      </c>
      <c r="H640" s="94">
        <f>G640*(1+F640)</f>
        <v>650</v>
      </c>
      <c r="J640" s="95">
        <f>VLOOKUP($D640,Construction!$B:$F,(COLUMN(Construction_BuildingReward_Power)-COLUMN(Construction_Name_and_Level)+1),FALSE)</f>
        <v>215</v>
      </c>
      <c r="Q640" s="139">
        <v>3.472222222222222E-3</v>
      </c>
      <c r="R640" s="289">
        <v>8.3333333333333332E-3</v>
      </c>
      <c r="AF640" s="141"/>
      <c r="AG640" s="141"/>
      <c r="AH640" s="137"/>
      <c r="AI640" s="484"/>
      <c r="AJ640" s="137">
        <f t="shared" si="182"/>
        <v>0.21874999999999997</v>
      </c>
      <c r="AK640" s="339">
        <v>0.41</v>
      </c>
      <c r="AL640" s="138">
        <f>VLOOKUP($D640,Construction!$B:$C,(COLUMN(Construction_Time)-COLUMN(Construction_Name_and_Level)+1),FALSE)</f>
        <v>3.7037037037037042E-2</v>
      </c>
      <c r="AM640" s="138">
        <f t="shared" ref="AM640" si="191">AL640/(1+AK640)</f>
        <v>2.6267402153926981E-2</v>
      </c>
      <c r="AN640" s="138">
        <f>(S$3*S640+T$3*T640+V$3*V640+W$3*W640+X$3*X640+Y$3*Y640+Z$3*Z640+AA$3*AA640+AB$3*AB640+AC$3*AC640)*(-1)</f>
        <v>0</v>
      </c>
      <c r="AO640" s="139">
        <f>IF((AM640-Q640-R640-AN640)&gt;=0,AM640-Q640-R640-AN640,0)</f>
        <v>1.4461846598371427E-2</v>
      </c>
      <c r="AU640" s="94">
        <f>VLOOKUP($D640,Construction!$B:$J,(COLUMN(Construction_BuildingCost_Stone)-COLUMN(Construction_Name_and_Level)+1),FALSE)*(-1)</f>
        <v>-6688</v>
      </c>
      <c r="AV640" s="94">
        <f>VLOOKUP($D640,Construction!$B:$J,(COLUMN(Construction_BuildingCost_Wood)-COLUMN(Construction_Name_and_Level)+1),FALSE)*(-1)</f>
        <v>-6688</v>
      </c>
      <c r="AW640" s="94">
        <f>VLOOKUP($D640,Construction!$B:$J,(COLUMN(Construction_BuildingCost_Ore)-COLUMN(Construction_Name_and_Level)+1),FALSE)*(-1)</f>
        <v>-1680</v>
      </c>
      <c r="AX640" s="94">
        <f>VLOOKUP($D640,Construction!$B:$J,(COLUMN(Construction_BuildingCost_Food)-COLUMN(Construction_Name_and_Level)+1),FALSE)*(-1)</f>
        <v>-16708</v>
      </c>
    </row>
    <row r="641" spans="1:108" ht="15" customHeight="1">
      <c r="B641" s="506" t="s">
        <v>144</v>
      </c>
      <c r="C641" s="127" t="s">
        <v>138</v>
      </c>
      <c r="D641" s="144" t="s">
        <v>1658</v>
      </c>
      <c r="E641" s="506">
        <v>19</v>
      </c>
      <c r="F641" s="12">
        <v>0.3</v>
      </c>
      <c r="G641" s="94">
        <f>VLOOKUP($D641,Construction!$B:$E,(COLUMN(Construction_BuildingReward_HeroXP)-COLUMN(Construction_Name_and_Level)+1),FALSE)</f>
        <v>500</v>
      </c>
      <c r="H641" s="94">
        <f>G641*(1+F641)</f>
        <v>650</v>
      </c>
      <c r="J641" s="95">
        <f>VLOOKUP($D641,Construction!$B:$F,(COLUMN(Construction_BuildingReward_Power)-COLUMN(Construction_Name_and_Level)+1),FALSE)</f>
        <v>85</v>
      </c>
      <c r="Q641" s="139">
        <v>3.472222222222222E-3</v>
      </c>
      <c r="R641" s="289">
        <v>8.3333333333333332E-3</v>
      </c>
      <c r="AF641" s="141"/>
      <c r="AG641" s="141"/>
      <c r="AH641" s="137"/>
      <c r="AI641" s="484"/>
      <c r="AJ641" s="137">
        <f t="shared" si="182"/>
        <v>0.21874999999999997</v>
      </c>
      <c r="AK641" s="339">
        <v>0.41</v>
      </c>
      <c r="AL641" s="138">
        <f>VLOOKUP($D641,Construction!$B:$C,(COLUMN(Construction_Time)-COLUMN(Construction_Name_and_Level)+1),FALSE)</f>
        <v>5.9259259259259262E-2</v>
      </c>
      <c r="AM641" s="138">
        <f t="shared" ref="AM641" si="192">AL641/(1+AK641)</f>
        <v>4.2027843446283165E-2</v>
      </c>
      <c r="AN641" s="138">
        <f>(S$3*S641+T$3*T641+V$3*V641+W$3*W641+X$3*X641+Y$3*Y641+Z$3*Z641+AA$3*AA641+AB$3*AB641+AC$3*AC641)*(-1)</f>
        <v>0</v>
      </c>
      <c r="AO641" s="139">
        <f>IF((AM641-Q641-R641-AN641)&gt;=0,AM641-Q641-R641-AN641,0)</f>
        <v>3.022228789072761E-2</v>
      </c>
      <c r="AU641" s="94">
        <f>VLOOKUP($D641,Construction!$B:$J,(COLUMN(Construction_BuildingCost_Stone)-COLUMN(Construction_Name_and_Level)+1),FALSE)*(-1)</f>
        <v>-3348</v>
      </c>
      <c r="AV641" s="94">
        <f>VLOOKUP($D641,Construction!$B:$J,(COLUMN(Construction_BuildingCost_Wood)-COLUMN(Construction_Name_and_Level)+1),FALSE)*(-1)</f>
        <v>-3348</v>
      </c>
      <c r="AW641" s="94">
        <f>VLOOKUP($D641,Construction!$B:$J,(COLUMN(Construction_BuildingCost_Ore)-COLUMN(Construction_Name_and_Level)+1),FALSE)*(-1)</f>
        <v>0</v>
      </c>
      <c r="AX641" s="94">
        <f>VLOOKUP($D641,Construction!$B:$J,(COLUMN(Construction_BuildingCost_Food)-COLUMN(Construction_Name_and_Level)+1),FALSE)*(-1)</f>
        <v>-3348</v>
      </c>
    </row>
    <row r="642" spans="1:108" ht="15" customHeight="1">
      <c r="B642" s="506" t="s">
        <v>144</v>
      </c>
      <c r="C642" s="127" t="s">
        <v>138</v>
      </c>
      <c r="D642" s="144" t="s">
        <v>1658</v>
      </c>
      <c r="E642" s="506">
        <v>19</v>
      </c>
      <c r="F642" s="12">
        <v>0.3</v>
      </c>
      <c r="G642" s="94">
        <f>VLOOKUP($D642,Construction!$B:$E,(COLUMN(Construction_BuildingReward_HeroXP)-COLUMN(Construction_Name_and_Level)+1),FALSE)</f>
        <v>500</v>
      </c>
      <c r="H642" s="94">
        <f>G642*(1+F642)</f>
        <v>650</v>
      </c>
      <c r="J642" s="95">
        <f>VLOOKUP($D642,Construction!$B:$F,(COLUMN(Construction_BuildingReward_Power)-COLUMN(Construction_Name_and_Level)+1),FALSE)</f>
        <v>85</v>
      </c>
      <c r="Q642" s="139">
        <v>3.472222222222222E-3</v>
      </c>
      <c r="R642" s="289">
        <v>8.3333333333333332E-3</v>
      </c>
      <c r="W642" s="11">
        <v>-2</v>
      </c>
      <c r="AF642" s="141"/>
      <c r="AG642" s="141"/>
      <c r="AH642" s="137"/>
      <c r="AI642" s="484">
        <f>(-1)*($S$3*$S642+$T$3*$T642+$U$3*$U642+$V$3*$V642+$W$3*$W642+$X$3*$X642+$Y$3*$Y642+$Z$3*$Z642+$AA$3*$AA642+$AB$3*$AB642+$AC$3*$AC642)</f>
        <v>2.0833333333333332E-2</v>
      </c>
      <c r="AJ642" s="137">
        <f t="shared" si="182"/>
        <v>0.19791666666666663</v>
      </c>
      <c r="AK642" s="339">
        <v>0.41</v>
      </c>
      <c r="AL642" s="138">
        <f>VLOOKUP($D642,Construction!$B:$C,(COLUMN(Construction_Time)-COLUMN(Construction_Name_and_Level)+1),FALSE)</f>
        <v>5.9259259259259262E-2</v>
      </c>
      <c r="AM642" s="138">
        <f t="shared" ref="AM642:AM643" si="193">AL642/(1+AK642)</f>
        <v>4.2027843446283165E-2</v>
      </c>
      <c r="AN642" s="138">
        <f>(S$3*S642+T$3*T642+V$3*V642+W$3*W642+X$3*X642+Y$3*Y642+Z$3*Z642+AA$3*AA642+AB$3*AB642+AC$3*AC642)*(-1)</f>
        <v>2.0833333333333332E-2</v>
      </c>
      <c r="AO642" s="139">
        <f>IF((AM642-Q642-R642-AN642)&gt;=0,AM642-Q642-R642-AN642,0)</f>
        <v>9.388954557394278E-3</v>
      </c>
      <c r="AU642" s="94">
        <f>VLOOKUP($D642,Construction!$B:$J,(COLUMN(Construction_BuildingCost_Stone)-COLUMN(Construction_Name_and_Level)+1),FALSE)*(-1)</f>
        <v>-3348</v>
      </c>
      <c r="AV642" s="94">
        <f>VLOOKUP($D642,Construction!$B:$J,(COLUMN(Construction_BuildingCost_Wood)-COLUMN(Construction_Name_and_Level)+1),FALSE)*(-1)</f>
        <v>-3348</v>
      </c>
      <c r="AW642" s="94">
        <f>VLOOKUP($D642,Construction!$B:$J,(COLUMN(Construction_BuildingCost_Ore)-COLUMN(Construction_Name_and_Level)+1),FALSE)*(-1)</f>
        <v>0</v>
      </c>
      <c r="AX642" s="94">
        <f>VLOOKUP($D642,Construction!$B:$J,(COLUMN(Construction_BuildingCost_Food)-COLUMN(Construction_Name_and_Level)+1),FALSE)*(-1)</f>
        <v>-3348</v>
      </c>
    </row>
    <row r="643" spans="1:108" ht="15" customHeight="1">
      <c r="B643" s="506" t="s">
        <v>144</v>
      </c>
      <c r="C643" s="127" t="s">
        <v>138</v>
      </c>
      <c r="D643" s="144" t="s">
        <v>1686</v>
      </c>
      <c r="E643" s="506">
        <v>18</v>
      </c>
      <c r="F643" s="12">
        <v>0.3</v>
      </c>
      <c r="G643" s="94">
        <f>VLOOKUP($D643,Construction!$B:$E,(COLUMN(Construction_BuildingReward_HeroXP)-COLUMN(Construction_Name_and_Level)+1),FALSE)</f>
        <v>500</v>
      </c>
      <c r="H643" s="94">
        <f>G643*(1+F643)</f>
        <v>650</v>
      </c>
      <c r="J643" s="95">
        <f>VLOOKUP($D643,Construction!$B:$F,(COLUMN(Construction_BuildingReward_Power)-COLUMN(Construction_Name_and_Level)+1),FALSE)</f>
        <v>125</v>
      </c>
      <c r="Q643" s="139">
        <v>3.472222222222222E-3</v>
      </c>
      <c r="R643" s="289">
        <v>8.3333333333333332E-3</v>
      </c>
      <c r="AF643" s="141"/>
      <c r="AG643" s="141"/>
      <c r="AH643" s="137"/>
      <c r="AI643" s="484"/>
      <c r="AJ643" s="137">
        <f t="shared" si="182"/>
        <v>0.19791666666666663</v>
      </c>
      <c r="AK643" s="339">
        <v>0.41</v>
      </c>
      <c r="AL643" s="138">
        <f>VLOOKUP($D643,Construction!$B:$C,(COLUMN(Construction_Time)-COLUMN(Construction_Name_and_Level)+1),FALSE)</f>
        <v>0.11851851851851852</v>
      </c>
      <c r="AM643" s="138">
        <f t="shared" si="193"/>
        <v>8.4055686892566331E-2</v>
      </c>
      <c r="AN643" s="138">
        <f>(S$3*S643+T$3*T643+V$3*V643+W$3*W643+X$3*X643+Y$3*Y643+Z$3*Z643+AA$3*AA643+AB$3*AB643+AC$3*AC643)*(-1)</f>
        <v>0</v>
      </c>
      <c r="AO643" s="139">
        <f>IF((AM643-Q643-R643-AN643)&gt;=0,AM643-Q643-R643-AN643,0)</f>
        <v>7.2250131337010776E-2</v>
      </c>
      <c r="AU643" s="94">
        <f>VLOOKUP($D643,Construction!$B:$J,(COLUMN(Construction_BuildingCost_Stone)-COLUMN(Construction_Name_and_Level)+1),FALSE)*(-1)</f>
        <v>-6696</v>
      </c>
      <c r="AV643" s="94">
        <f>VLOOKUP($D643,Construction!$B:$J,(COLUMN(Construction_BuildingCost_Wood)-COLUMN(Construction_Name_and_Level)+1),FALSE)*(-1)</f>
        <v>-6696</v>
      </c>
      <c r="AW643" s="94">
        <f>VLOOKUP($D643,Construction!$B:$J,(COLUMN(Construction_BuildingCost_Ore)-COLUMN(Construction_Name_and_Level)+1),FALSE)*(-1)</f>
        <v>0</v>
      </c>
      <c r="AX643" s="94">
        <f>VLOOKUP($D643,Construction!$B:$J,(COLUMN(Construction_BuildingCost_Food)-COLUMN(Construction_Name_and_Level)+1),FALSE)*(-1)</f>
        <v>-6696</v>
      </c>
    </row>
    <row r="644" spans="1:108" ht="15" customHeight="1">
      <c r="B644" s="506" t="s">
        <v>146</v>
      </c>
      <c r="C644" s="127" t="s">
        <v>138</v>
      </c>
      <c r="D644" s="144" t="s">
        <v>1700</v>
      </c>
      <c r="E644" s="506">
        <v>19</v>
      </c>
      <c r="F644" s="12">
        <v>0.3</v>
      </c>
      <c r="G644" s="111">
        <f>VLOOKUP($D644,Research!$C:$F,(COLUMN(Research_ResearchReward_HeroXP)-COLUMN(Research_Name_and_Level)+1),FALSE)</f>
        <v>80000</v>
      </c>
      <c r="H644" s="111">
        <f t="shared" ref="H644:H645" si="194">G644*(1+F644)</f>
        <v>104000</v>
      </c>
      <c r="J644" s="115">
        <f>VLOOKUP($D644,Research!$C:$G,(COLUMN(Research_ResearchReward_Power)-COLUMN(Research_Name_and_Level)+1),FALSE)</f>
        <v>1000</v>
      </c>
      <c r="R644" s="148">
        <v>8.3333333333333332E-3</v>
      </c>
      <c r="AF644" s="141"/>
      <c r="AG644" s="141"/>
      <c r="AH644" s="137"/>
      <c r="AI644" s="484"/>
      <c r="AJ644" s="137">
        <f t="shared" si="182"/>
        <v>0.19791666666666663</v>
      </c>
      <c r="AP644" s="256">
        <v>0.48</v>
      </c>
      <c r="AQ644" s="147">
        <f>VLOOKUP($D644,Research!$C:$D,(COLUMN(Research_Time)-COLUMN(Research_Name_and_Level)+1),FALSE)</f>
        <v>0.41203703703703703</v>
      </c>
      <c r="AR644" s="147">
        <f>AQ644/(1+AP644)</f>
        <v>0.27840340340340342</v>
      </c>
      <c r="AS644" s="147">
        <f>(S$3*S644+T$3*T644+V$3*V644+W$3*W644+X$3*X644+Y$3*Y644+Z$3*Z644+AA$3*AA644+AB$3*AB644+AC$3*AC644)*(-1)</f>
        <v>0</v>
      </c>
      <c r="AT644" s="148">
        <f>IF(AR644-R644-AS644&gt;=0,AR644-R644-AS644,0)</f>
        <v>0.27007007007007006</v>
      </c>
      <c r="AU644" s="111">
        <f>VLOOKUP($D644,Research!$C:$L,(COLUMN(Research_ResearchCost_Stone)-COLUMN(Research_Name_and_Level)+1),FALSE)*(-1)</f>
        <v>-40000</v>
      </c>
      <c r="AV644" s="111">
        <f>VLOOKUP($D644,Research!$C:$L,(COLUMN(Research_ResearchCost_Wood)-COLUMN(Research_Name_and_Level)+1),FALSE)*(-1)</f>
        <v>-40000</v>
      </c>
      <c r="AW644" s="111">
        <f>VLOOKUP($D644,Research!$C:$L,(COLUMN(Research_ResearchCost_Ore)-COLUMN(Research_Name_and_Level)+1),FALSE)*(-1)</f>
        <v>-30000</v>
      </c>
      <c r="AX644" s="111">
        <f>VLOOKUP($D644,Research!$C:$L,(COLUMN(Research_ResearchCost_Food)-COLUMN(Research_Name_and_Level)+1),FALSE)*(-1)</f>
        <v>-40000</v>
      </c>
      <c r="AY644" s="112">
        <f>VLOOKUP($D644,Research!$C:$L,(COLUMN(Research_ResearchCost_Silver)-COLUMN(Research_Name_and_Level)+1),FALSE)*(-1)</f>
        <v>-20000</v>
      </c>
    </row>
    <row r="645" spans="1:108" ht="15" customHeight="1">
      <c r="B645" s="102" t="s">
        <v>1455</v>
      </c>
      <c r="C645" s="127" t="s">
        <v>170</v>
      </c>
      <c r="D645" s="144" t="s">
        <v>1700</v>
      </c>
      <c r="E645" s="506">
        <v>19</v>
      </c>
      <c r="F645" s="12">
        <v>0.3</v>
      </c>
      <c r="G645" s="101">
        <f>VLOOKUP($D645,Research!$C:$M,(COLUMN(Research_QuestReward_HeroXP)-COLUMN(Research_Name_and_Level)+1),FALSE)</f>
        <v>12000</v>
      </c>
      <c r="H645" s="101">
        <f t="shared" si="194"/>
        <v>15600</v>
      </c>
      <c r="J645" s="103">
        <f>VLOOKUP($D645,Research!$C:$N,(COLUMN(Research_QuestReward_Power)-COLUMN(Research_Name_and_Level)+1),FALSE)</f>
        <v>50</v>
      </c>
      <c r="AF645" s="141"/>
      <c r="AG645" s="141"/>
      <c r="AH645" s="137"/>
      <c r="AI645" s="484"/>
      <c r="AJ645" s="137">
        <f t="shared" si="182"/>
        <v>0.19791666666666663</v>
      </c>
      <c r="AU645" s="101">
        <f>VLOOKUP($D645,Research!$C:$S,(COLUMN(Research_QuestReward_Stone)-COLUMN(Research_Name_and_Level)+1),FALSE)</f>
        <v>80000</v>
      </c>
      <c r="AV645" s="101">
        <f>VLOOKUP($D645,Research!$C:$S,(COLUMN(Research_QuestReward_Wood)-COLUMN(Research_Name_and_Level)+1),FALSE)</f>
        <v>80000</v>
      </c>
      <c r="AW645" s="101">
        <f>VLOOKUP($D645,Research!$C:$S,(COLUMN(Research_QuestReward_Ore)-COLUMN(Research_Name_and_Level)+1),FALSE)</f>
        <v>60000</v>
      </c>
      <c r="AX645" s="101">
        <f>VLOOKUP($D645,Research!$C:$S,(COLUMN(Research_QuestReward_Food)-COLUMN(Research_Name_and_Level)+1),FALSE)</f>
        <v>80000</v>
      </c>
      <c r="AY645" s="100">
        <f>VLOOKUP($D645,Research!$C:$S,(COLUMN(Research_QuestReward_Silver)-COLUMN(Research_Name_and_Level)+1),FALSE)</f>
        <v>20000</v>
      </c>
      <c r="CT645" s="127"/>
      <c r="CU645" s="127"/>
      <c r="CV645" s="127"/>
      <c r="CW645" s="127"/>
      <c r="CX645" s="127"/>
      <c r="CY645" s="127"/>
      <c r="CZ645" s="127"/>
      <c r="DA645" s="127"/>
      <c r="DB645" s="127"/>
      <c r="DC645" s="127"/>
      <c r="DD645" s="127"/>
    </row>
    <row r="646" spans="1:108" ht="15" customHeight="1">
      <c r="B646" s="506" t="s">
        <v>146</v>
      </c>
      <c r="C646" s="127" t="s">
        <v>138</v>
      </c>
      <c r="D646" s="144" t="s">
        <v>1701</v>
      </c>
      <c r="E646" s="506">
        <v>19</v>
      </c>
      <c r="F646" s="12">
        <v>0.3</v>
      </c>
      <c r="G646" s="111">
        <f>VLOOKUP($D646,Research!$C:$F,(COLUMN(Research_ResearchReward_HeroXP)-COLUMN(Research_Name_and_Level)+1),FALSE)</f>
        <v>60000</v>
      </c>
      <c r="H646" s="111">
        <f t="shared" ref="H646:H647" si="195">G646*(1+F646)</f>
        <v>78000</v>
      </c>
      <c r="J646" s="115">
        <f>VLOOKUP($D646,Research!$C:$G,(COLUMN(Research_ResearchReward_Power)-COLUMN(Research_Name_and_Level)+1),FALSE)</f>
        <v>2000</v>
      </c>
      <c r="R646" s="148">
        <v>8.3333333333333332E-3</v>
      </c>
      <c r="AF646" s="141"/>
      <c r="AG646" s="141"/>
      <c r="AH646" s="137"/>
      <c r="AI646" s="484"/>
      <c r="AJ646" s="137">
        <f t="shared" si="182"/>
        <v>0.19791666666666663</v>
      </c>
      <c r="AP646" s="256">
        <v>0.48</v>
      </c>
      <c r="AQ646" s="147">
        <f>VLOOKUP($D646,Research!$C:$D,(COLUMN(Research_Time)-COLUMN(Research_Name_and_Level)+1),FALSE)</f>
        <v>0.27430555555555552</v>
      </c>
      <c r="AR646" s="147">
        <f>AQ646/(1+AP646)</f>
        <v>0.18534159159159158</v>
      </c>
      <c r="AS646" s="147">
        <f>(S$3*S646+T$3*T646+V$3*V646+W$3*W646+X$3*X646+Y$3*Y646+Z$3*Z646+AA$3*AA646+AB$3*AB646+AC$3*AC646)*(-1)</f>
        <v>0</v>
      </c>
      <c r="AT646" s="148">
        <f>IF(AR646-R646-AS646&gt;=0,AR646-R646-AS646,0)</f>
        <v>0.17700825825825825</v>
      </c>
      <c r="AU646" s="111">
        <f>VLOOKUP($D646,Research!$C:$L,(COLUMN(Research_ResearchCost_Stone)-COLUMN(Research_Name_and_Level)+1),FALSE)*(-1)</f>
        <v>-20000</v>
      </c>
      <c r="AV646" s="111">
        <f>VLOOKUP($D646,Research!$C:$L,(COLUMN(Research_ResearchCost_Wood)-COLUMN(Research_Name_and_Level)+1),FALSE)*(-1)</f>
        <v>-20000</v>
      </c>
      <c r="AW646" s="111">
        <f>VLOOKUP($D646,Research!$C:$L,(COLUMN(Research_ResearchCost_Ore)-COLUMN(Research_Name_and_Level)+1),FALSE)*(-1)</f>
        <v>-15000</v>
      </c>
      <c r="AX646" s="111">
        <f>VLOOKUP($D646,Research!$C:$L,(COLUMN(Research_ResearchCost_Food)-COLUMN(Research_Name_and_Level)+1),FALSE)*(-1)</f>
        <v>-20000</v>
      </c>
      <c r="AY646" s="112">
        <f>VLOOKUP($D646,Research!$C:$L,(COLUMN(Research_ResearchCost_Silver)-COLUMN(Research_Name_and_Level)+1),FALSE)*(-1)</f>
        <v>-40000</v>
      </c>
    </row>
    <row r="647" spans="1:108" ht="15" customHeight="1">
      <c r="B647" s="102" t="s">
        <v>1455</v>
      </c>
      <c r="C647" s="127" t="s">
        <v>170</v>
      </c>
      <c r="D647" s="144" t="s">
        <v>1701</v>
      </c>
      <c r="E647" s="506">
        <v>19</v>
      </c>
      <c r="F647" s="12">
        <v>0.3</v>
      </c>
      <c r="G647" s="101">
        <f>VLOOKUP($D647,Research!$C:$M,(COLUMN(Research_QuestReward_HeroXP)-COLUMN(Research_Name_and_Level)+1),FALSE)</f>
        <v>30000</v>
      </c>
      <c r="H647" s="101">
        <f t="shared" si="195"/>
        <v>39000</v>
      </c>
      <c r="J647" s="103">
        <f>VLOOKUP($D647,Research!$C:$N,(COLUMN(Research_QuestReward_Power)-COLUMN(Research_Name_and_Level)+1),FALSE)</f>
        <v>50</v>
      </c>
      <c r="AF647" s="141"/>
      <c r="AG647" s="141"/>
      <c r="AH647" s="137"/>
      <c r="AI647" s="484"/>
      <c r="AJ647" s="137">
        <f t="shared" si="182"/>
        <v>0.19791666666666663</v>
      </c>
      <c r="AU647" s="101">
        <f>VLOOKUP($D647,Research!$C:$S,(COLUMN(Research_QuestReward_Stone)-COLUMN(Research_Name_and_Level)+1),FALSE)</f>
        <v>36000</v>
      </c>
      <c r="AV647" s="101">
        <f>VLOOKUP($D647,Research!$C:$S,(COLUMN(Research_QuestReward_Wood)-COLUMN(Research_Name_and_Level)+1),FALSE)</f>
        <v>36000</v>
      </c>
      <c r="AW647" s="101">
        <f>VLOOKUP($D647,Research!$C:$S,(COLUMN(Research_QuestReward_Ore)-COLUMN(Research_Name_and_Level)+1),FALSE)</f>
        <v>27000</v>
      </c>
      <c r="AX647" s="101">
        <f>VLOOKUP($D647,Research!$C:$S,(COLUMN(Research_QuestReward_Food)-COLUMN(Research_Name_and_Level)+1),FALSE)</f>
        <v>36000</v>
      </c>
      <c r="AY647" s="100">
        <f>VLOOKUP($D647,Research!$C:$S,(COLUMN(Research_QuestReward_Silver)-COLUMN(Research_Name_and_Level)+1),FALSE)</f>
        <v>36000</v>
      </c>
      <c r="CT647" s="127"/>
      <c r="CU647" s="127"/>
      <c r="CV647" s="127"/>
      <c r="CW647" s="127"/>
      <c r="CX647" s="127"/>
      <c r="CY647" s="127"/>
      <c r="CZ647" s="127"/>
      <c r="DA647" s="127"/>
      <c r="DB647" s="127"/>
      <c r="DC647" s="127"/>
      <c r="DD647" s="127"/>
    </row>
    <row r="648" spans="1:108" ht="15" customHeight="1">
      <c r="B648" s="126" t="s">
        <v>1457</v>
      </c>
      <c r="C648" s="127" t="s">
        <v>147</v>
      </c>
      <c r="D648" s="144" t="s">
        <v>1702</v>
      </c>
      <c r="E648" s="506">
        <v>20</v>
      </c>
      <c r="I648" s="5">
        <v>4</v>
      </c>
      <c r="J648" s="5">
        <v>1005</v>
      </c>
      <c r="Q648" s="149"/>
      <c r="AF648" s="141"/>
      <c r="AG648" s="141"/>
      <c r="AH648" s="137"/>
      <c r="AI648" s="484"/>
      <c r="AJ648" s="137">
        <f>AJ644+(S$3*S648+T$3*T648+U$3*U648+V$3*V648+W$3*W648+X$3*X648+Y$3*Y648+Z$3*Z648+AA$3*AA648+AB$3*AB648+AC$3*AC648)</f>
        <v>0.19791666666666663</v>
      </c>
      <c r="AX648" s="11"/>
    </row>
    <row r="649" spans="1:108" s="420" customFormat="1" ht="15" customHeight="1">
      <c r="A649" s="487"/>
      <c r="B649" s="411" t="s">
        <v>171</v>
      </c>
      <c r="C649" s="412"/>
      <c r="D649" s="412" t="s">
        <v>1703</v>
      </c>
      <c r="E649" s="411">
        <v>20</v>
      </c>
      <c r="F649" s="413">
        <v>0.3</v>
      </c>
      <c r="G649" s="414" t="s">
        <v>1453</v>
      </c>
      <c r="H649" s="414">
        <v>3376538</v>
      </c>
      <c r="I649" s="415">
        <v>48</v>
      </c>
      <c r="J649" s="415">
        <v>65671</v>
      </c>
      <c r="K649" s="414">
        <v>5</v>
      </c>
      <c r="L649" s="414">
        <v>1670</v>
      </c>
      <c r="M649" s="416">
        <v>0.10416666666666667</v>
      </c>
      <c r="N649" s="417">
        <v>260</v>
      </c>
      <c r="O649" s="109">
        <f>SUMIF($B$4:$B648,"&lt;&gt;"&amp;$CS$13,O$4:O648)</f>
        <v>-300</v>
      </c>
      <c r="P649" s="108">
        <f>SUMIF($B$4:$B648,"&lt;&gt;"&amp;$CS$13,N$4:N648)</f>
        <v>560</v>
      </c>
      <c r="Q649" s="416">
        <v>3.472222222222222E-3</v>
      </c>
      <c r="R649" s="416">
        <v>8.3333333333333332E-3</v>
      </c>
      <c r="S649" s="414">
        <v>0</v>
      </c>
      <c r="T649" s="414">
        <v>0</v>
      </c>
      <c r="U649" s="414">
        <v>0</v>
      </c>
      <c r="V649" s="414">
        <v>0</v>
      </c>
      <c r="W649" s="417">
        <v>3</v>
      </c>
      <c r="X649" s="417">
        <v>1</v>
      </c>
      <c r="Y649" s="417">
        <v>1</v>
      </c>
      <c r="Z649" s="417">
        <v>0</v>
      </c>
      <c r="AA649" s="417">
        <v>0</v>
      </c>
      <c r="AB649" s="417">
        <v>0</v>
      </c>
      <c r="AC649" s="417">
        <v>0</v>
      </c>
      <c r="AD649" s="417">
        <v>0</v>
      </c>
      <c r="AE649" s="415">
        <v>0</v>
      </c>
      <c r="AF649" s="419">
        <f>SUMIF($B$4:$B648,"&lt;&gt;"&amp;$CS$13,AF$4:AF648)</f>
        <v>0.77638888888888891</v>
      </c>
      <c r="AG649" s="419">
        <f>SUMIF($B$4:$B648,"&lt;&gt;"&amp;$CS$13,AG$4:AG648)</f>
        <v>0</v>
      </c>
      <c r="AH649" s="416">
        <f>AF649+AG649</f>
        <v>0.77638888888888891</v>
      </c>
      <c r="AI649" s="485">
        <f>SUMIF($B$4:$B648,"&lt;&gt;"&amp;$CS$13,AI$4:AI648)</f>
        <v>0.57847222222222217</v>
      </c>
      <c r="AJ649" s="416">
        <f>S$3*S649+T$3*T649+U$3*U649+V$3*V649+W$3*W649+X$3*X649+Y$3*Y649+Z$3*Z649+AA$3*AA649+AB$3*AB649+AC$3*AC649</f>
        <v>0.19791666666666666</v>
      </c>
      <c r="AK649" s="418">
        <v>0.41</v>
      </c>
      <c r="AL649" s="419" t="s">
        <v>1453</v>
      </c>
      <c r="AM649" s="419" t="s">
        <v>1453</v>
      </c>
      <c r="AN649" s="419" t="s">
        <v>1453</v>
      </c>
      <c r="AO649" s="416" t="s">
        <v>1453</v>
      </c>
      <c r="AP649" s="284">
        <v>0.48</v>
      </c>
      <c r="AQ649" s="419" t="s">
        <v>1453</v>
      </c>
      <c r="AR649" s="419" t="s">
        <v>1453</v>
      </c>
      <c r="AS649" s="419" t="s">
        <v>1453</v>
      </c>
      <c r="AT649" s="416" t="s">
        <v>1453</v>
      </c>
      <c r="AU649" s="414">
        <v>266000</v>
      </c>
      <c r="AV649" s="414">
        <v>384200</v>
      </c>
      <c r="AW649" s="414">
        <v>306900</v>
      </c>
      <c r="AX649" s="417">
        <v>941000</v>
      </c>
      <c r="AY649" s="415">
        <v>179900</v>
      </c>
      <c r="AZ649" s="414">
        <v>4054</v>
      </c>
      <c r="BA649" s="414">
        <v>4902</v>
      </c>
      <c r="BB649" s="414">
        <v>4770</v>
      </c>
      <c r="BC649" s="414">
        <v>9176</v>
      </c>
      <c r="BD649" s="415">
        <v>2240</v>
      </c>
      <c r="BE649" s="415">
        <v>-1700</v>
      </c>
      <c r="BF649" s="414">
        <v>201000</v>
      </c>
      <c r="BG649" s="414">
        <v>281000</v>
      </c>
      <c r="BH649" s="414">
        <v>307500</v>
      </c>
      <c r="BI649" s="414">
        <v>402500</v>
      </c>
      <c r="BJ649" s="415">
        <v>155000</v>
      </c>
      <c r="BK649" s="414">
        <v>8</v>
      </c>
      <c r="BL649" s="415">
        <v>8</v>
      </c>
      <c r="BM649" s="415">
        <v>8</v>
      </c>
      <c r="BN649" s="414">
        <v>7</v>
      </c>
      <c r="BO649" s="415">
        <v>7</v>
      </c>
      <c r="BP649" s="414">
        <v>7</v>
      </c>
      <c r="BQ649" s="415">
        <v>5</v>
      </c>
      <c r="BR649" s="414">
        <v>6</v>
      </c>
      <c r="BS649" s="415">
        <v>5</v>
      </c>
      <c r="BT649" s="414">
        <v>8</v>
      </c>
      <c r="BU649" s="415">
        <v>5</v>
      </c>
      <c r="BV649" s="414">
        <v>7</v>
      </c>
      <c r="BW649" s="415">
        <v>4</v>
      </c>
      <c r="BX649" s="414">
        <v>6</v>
      </c>
      <c r="BY649" s="415">
        <v>4</v>
      </c>
      <c r="BZ649" s="414">
        <v>6</v>
      </c>
      <c r="CA649" s="415">
        <v>4</v>
      </c>
      <c r="CB649" s="415">
        <v>6</v>
      </c>
      <c r="CC649" s="415">
        <v>8</v>
      </c>
      <c r="CD649" s="415">
        <v>8</v>
      </c>
      <c r="CE649" s="414">
        <v>5</v>
      </c>
      <c r="CF649" s="414">
        <v>3</v>
      </c>
      <c r="CG649" s="415">
        <v>1</v>
      </c>
      <c r="CH649" s="414">
        <v>6</v>
      </c>
      <c r="CI649" s="414">
        <v>0</v>
      </c>
      <c r="CJ649" s="415">
        <v>0</v>
      </c>
      <c r="CK649" s="415"/>
      <c r="CL649" s="414">
        <v>26900</v>
      </c>
      <c r="CM649" s="415" t="s">
        <v>1453</v>
      </c>
      <c r="CN649" s="415" t="s">
        <v>1208</v>
      </c>
      <c r="CS649" s="421"/>
    </row>
    <row r="650" spans="1:108" ht="15" customHeight="1">
      <c r="B650" s="506" t="s">
        <v>146</v>
      </c>
      <c r="C650" s="127" t="s">
        <v>138</v>
      </c>
      <c r="D650" s="144" t="s">
        <v>1704</v>
      </c>
      <c r="E650" s="506">
        <v>20</v>
      </c>
      <c r="F650" s="12">
        <v>0.3</v>
      </c>
      <c r="G650" s="111">
        <f>VLOOKUP($D650,Research!$C:$F,(COLUMN(Research_ResearchReward_HeroXP)-COLUMN(Research_Name_and_Level)+1),FALSE)</f>
        <v>36000</v>
      </c>
      <c r="H650" s="111">
        <f t="shared" ref="H650" si="196">G650*(1+F650)</f>
        <v>46800</v>
      </c>
      <c r="J650" s="115">
        <f>VLOOKUP($D650,Research!$C:$G,(COLUMN(Research_ResearchReward_Power)-COLUMN(Research_Name_and_Level)+1),FALSE)</f>
        <v>850</v>
      </c>
      <c r="R650" s="148">
        <v>8.3333333333333332E-3</v>
      </c>
      <c r="AF650" s="141"/>
      <c r="AG650" s="141"/>
      <c r="AH650" s="137"/>
      <c r="AI650" s="484"/>
      <c r="AJ650" s="137">
        <f t="shared" ref="AJ650:AJ713" si="197">AJ649+(S$3*S650+T$3*T650+U$3*U650+V$3*V650+W$3*W650+X$3*X650+Y$3*Y650+Z$3*Z650+AA$3*AA650+AB$3*AB650+AC$3*AC650)</f>
        <v>0.19791666666666666</v>
      </c>
      <c r="AP650" s="256">
        <v>0.48</v>
      </c>
      <c r="AQ650" s="147">
        <f>VLOOKUP($D650,Research!$C:$D,(COLUMN(Research_Time)-COLUMN(Research_Name_and_Level)+1),FALSE)</f>
        <v>0.15625</v>
      </c>
      <c r="AR650" s="147">
        <f>AQ650/(1+AP650)</f>
        <v>0.10557432432432433</v>
      </c>
      <c r="AS650" s="147">
        <f>(S$3*S650+T$3*T650+V$3*V650+W$3*W650+X$3*X650+Y$3*Y650+Z$3*Z650+AA$3*AA650+AB$3*AB650+AC$3*AC650)*(-1)</f>
        <v>0</v>
      </c>
      <c r="AT650" s="148">
        <f>IF(AR650-R650-AS650&gt;=0,AR650-R650-AS650,0)</f>
        <v>9.7240990990990997E-2</v>
      </c>
      <c r="AU650" s="111">
        <f>VLOOKUP($D650,Research!$C:$L,(COLUMN(Research_ResearchCost_Stone)-COLUMN(Research_Name_and_Level)+1),FALSE)*(-1)</f>
        <v>-100</v>
      </c>
      <c r="AV650" s="111">
        <f>VLOOKUP($D650,Research!$C:$L,(COLUMN(Research_ResearchCost_Wood)-COLUMN(Research_Name_and_Level)+1),FALSE)*(-1)</f>
        <v>-1600</v>
      </c>
      <c r="AW650" s="111">
        <f>VLOOKUP($D650,Research!$C:$L,(COLUMN(Research_ResearchCost_Ore)-COLUMN(Research_Name_and_Level)+1),FALSE)*(-1)</f>
        <v>-2000</v>
      </c>
      <c r="AX650" s="111">
        <f>VLOOKUP($D650,Research!$C:$L,(COLUMN(Research_ResearchCost_Food)-COLUMN(Research_Name_and_Level)+1),FALSE)*(-1)</f>
        <v>-1200</v>
      </c>
      <c r="AY650" s="112">
        <f>VLOOKUP($D650,Research!$C:$L,(COLUMN(Research_ResearchCost_Silver)-COLUMN(Research_Name_and_Level)+1),FALSE)*(-1)</f>
        <v>-17000</v>
      </c>
    </row>
    <row r="651" spans="1:108" ht="15" customHeight="1">
      <c r="B651" s="506" t="s">
        <v>144</v>
      </c>
      <c r="C651" s="127" t="s">
        <v>138</v>
      </c>
      <c r="D651" s="144" t="s">
        <v>1686</v>
      </c>
      <c r="E651" s="506">
        <v>20</v>
      </c>
      <c r="F651" s="12">
        <v>0.3</v>
      </c>
      <c r="G651" s="94">
        <f>VLOOKUP($D651,Construction!$B:$E,(COLUMN(Construction_BuildingReward_HeroXP)-COLUMN(Construction_Name_and_Level)+1),FALSE)</f>
        <v>500</v>
      </c>
      <c r="H651" s="94">
        <f>G651*(1+F651)</f>
        <v>650</v>
      </c>
      <c r="J651" s="95">
        <f>VLOOKUP($D651,Construction!$B:$F,(COLUMN(Construction_BuildingReward_Power)-COLUMN(Construction_Name_and_Level)+1),FALSE)</f>
        <v>125</v>
      </c>
      <c r="Q651" s="139">
        <v>3.472222222222222E-3</v>
      </c>
      <c r="R651" s="289">
        <v>8.3333333333333332E-3</v>
      </c>
      <c r="AF651" s="141"/>
      <c r="AG651" s="141"/>
      <c r="AH651" s="137"/>
      <c r="AI651" s="484"/>
      <c r="AJ651" s="137">
        <f t="shared" si="197"/>
        <v>0.19791666666666666</v>
      </c>
      <c r="AK651" s="339">
        <v>0.41</v>
      </c>
      <c r="AL651" s="138">
        <f>VLOOKUP($D651,Construction!$B:$C,(COLUMN(Construction_Time)-COLUMN(Construction_Name_and_Level)+1),FALSE)</f>
        <v>0.11851851851851852</v>
      </c>
      <c r="AM651" s="138">
        <f t="shared" ref="AM651" si="198">AL651/(1+AK651)</f>
        <v>8.4055686892566331E-2</v>
      </c>
      <c r="AN651" s="138">
        <f>(S$3*S651+T$3*T651+V$3*V651+W$3*W651+X$3*X651+Y$3*Y651+Z$3*Z651+AA$3*AA651+AB$3*AB651+AC$3*AC651)*(-1)</f>
        <v>0</v>
      </c>
      <c r="AO651" s="139">
        <f>IF((AM651-Q651-R651-AN651)&gt;=0,AM651-Q651-R651-AN651,0)</f>
        <v>7.2250131337010776E-2</v>
      </c>
      <c r="AU651" s="94">
        <f>VLOOKUP($D651,Construction!$B:$J,(COLUMN(Construction_BuildingCost_Stone)-COLUMN(Construction_Name_and_Level)+1),FALSE)*(-1)</f>
        <v>-6696</v>
      </c>
      <c r="AV651" s="94">
        <f>VLOOKUP($D651,Construction!$B:$J,(COLUMN(Construction_BuildingCost_Wood)-COLUMN(Construction_Name_and_Level)+1),FALSE)*(-1)</f>
        <v>-6696</v>
      </c>
      <c r="AW651" s="94">
        <f>VLOOKUP($D651,Construction!$B:$J,(COLUMN(Construction_BuildingCost_Ore)-COLUMN(Construction_Name_and_Level)+1),FALSE)*(-1)</f>
        <v>0</v>
      </c>
      <c r="AX651" s="94">
        <f>VLOOKUP($D651,Construction!$B:$J,(COLUMN(Construction_BuildingCost_Food)-COLUMN(Construction_Name_and_Level)+1),FALSE)*(-1)</f>
        <v>-6696</v>
      </c>
    </row>
    <row r="652" spans="1:108" ht="15" customHeight="1">
      <c r="B652" s="506" t="s">
        <v>144</v>
      </c>
      <c r="C652" s="127" t="s">
        <v>138</v>
      </c>
      <c r="D652" s="144" t="s">
        <v>1626</v>
      </c>
      <c r="E652" s="506">
        <v>20</v>
      </c>
      <c r="F652" s="12">
        <v>0.3</v>
      </c>
      <c r="G652" s="94">
        <f>VLOOKUP($D652,Construction!$B:$E,(COLUMN(Construction_BuildingReward_HeroXP)-COLUMN(Construction_Name_and_Level)+1),FALSE)</f>
        <v>500</v>
      </c>
      <c r="H652" s="94">
        <f>G652*(1+F652)</f>
        <v>650</v>
      </c>
      <c r="J652" s="95">
        <f>VLOOKUP($D652,Construction!$B:$F,(COLUMN(Construction_BuildingReward_Power)-COLUMN(Construction_Name_and_Level)+1),FALSE)</f>
        <v>55</v>
      </c>
      <c r="Q652" s="139">
        <v>3.472222222222222E-3</v>
      </c>
      <c r="R652" s="289">
        <v>8.3333333333333332E-3</v>
      </c>
      <c r="AF652" s="141"/>
      <c r="AG652" s="141"/>
      <c r="AH652" s="137"/>
      <c r="AI652" s="484"/>
      <c r="AJ652" s="137">
        <f t="shared" si="197"/>
        <v>0.19791666666666666</v>
      </c>
      <c r="AK652" s="339">
        <v>0.41</v>
      </c>
      <c r="AL652" s="138">
        <f>VLOOKUP($D652,Construction!$B:$C,(COLUMN(Construction_Time)-COLUMN(Construction_Name_and_Level)+1),FALSE)</f>
        <v>2.6041666666666668E-2</v>
      </c>
      <c r="AM652" s="138">
        <f t="shared" ref="AM652" si="199">AL652/(1+AK652)</f>
        <v>1.8469267139479908E-2</v>
      </c>
      <c r="AN652" s="138">
        <f>(S$3*S652+T$3*T652+V$3*V652+W$3*W652+X$3*X652+Y$3*Y652+Z$3*Z652+AA$3*AA652+AB$3*AB652+AC$3*AC652)*(-1)</f>
        <v>0</v>
      </c>
      <c r="AO652" s="139">
        <f>IF((AM652-Q652-R652-AN652)&gt;=0,AM652-Q652-R652-AN652,0)</f>
        <v>6.6637115839243526E-3</v>
      </c>
      <c r="AU652" s="94">
        <f>VLOOKUP($D652,Construction!$B:$J,(COLUMN(Construction_BuildingCost_Stone)-COLUMN(Construction_Name_and_Level)+1),FALSE)*(-1)</f>
        <v>0</v>
      </c>
      <c r="AV652" s="94">
        <f>VLOOKUP($D652,Construction!$B:$J,(COLUMN(Construction_BuildingCost_Wood)-COLUMN(Construction_Name_and_Level)+1),FALSE)*(-1)</f>
        <v>-1674</v>
      </c>
      <c r="AW652" s="94">
        <f>VLOOKUP($D652,Construction!$B:$J,(COLUMN(Construction_BuildingCost_Ore)-COLUMN(Construction_Name_and_Level)+1),FALSE)*(-1)</f>
        <v>-1674</v>
      </c>
      <c r="AX652" s="94">
        <f>VLOOKUP($D652,Construction!$B:$J,(COLUMN(Construction_BuildingCost_Food)-COLUMN(Construction_Name_and_Level)+1),FALSE)*(-1)</f>
        <v>-1674</v>
      </c>
    </row>
    <row r="653" spans="1:108" ht="15" customHeight="1">
      <c r="B653" s="506" t="s">
        <v>144</v>
      </c>
      <c r="C653" s="127" t="s">
        <v>138</v>
      </c>
      <c r="D653" s="144" t="s">
        <v>1626</v>
      </c>
      <c r="E653" s="506">
        <v>20</v>
      </c>
      <c r="F653" s="12">
        <v>0.3</v>
      </c>
      <c r="G653" s="94">
        <f>VLOOKUP($D653,Construction!$B:$E,(COLUMN(Construction_BuildingReward_HeroXP)-COLUMN(Construction_Name_and_Level)+1),FALSE)</f>
        <v>500</v>
      </c>
      <c r="H653" s="94">
        <f>G653*(1+F653)</f>
        <v>650</v>
      </c>
      <c r="J653" s="95">
        <f>VLOOKUP($D653,Construction!$B:$F,(COLUMN(Construction_BuildingReward_Power)-COLUMN(Construction_Name_and_Level)+1),FALSE)</f>
        <v>55</v>
      </c>
      <c r="Q653" s="139">
        <v>3.472222222222222E-3</v>
      </c>
      <c r="R653" s="289">
        <v>8.3333333333333332E-3</v>
      </c>
      <c r="AF653" s="141"/>
      <c r="AG653" s="141"/>
      <c r="AH653" s="137"/>
      <c r="AI653" s="484"/>
      <c r="AJ653" s="137">
        <f t="shared" si="197"/>
        <v>0.19791666666666666</v>
      </c>
      <c r="AK653" s="339">
        <v>0.41</v>
      </c>
      <c r="AL653" s="138">
        <f>VLOOKUP($D653,Construction!$B:$C,(COLUMN(Construction_Time)-COLUMN(Construction_Name_and_Level)+1),FALSE)</f>
        <v>2.6041666666666668E-2</v>
      </c>
      <c r="AM653" s="138">
        <f t="shared" ref="AM653" si="200">AL653/(1+AK653)</f>
        <v>1.8469267139479908E-2</v>
      </c>
      <c r="AN653" s="138">
        <f>(S$3*S653+T$3*T653+V$3*V653+W$3*W653+X$3*X653+Y$3*Y653+Z$3*Z653+AA$3*AA653+AB$3*AB653+AC$3*AC653)*(-1)</f>
        <v>0</v>
      </c>
      <c r="AO653" s="139">
        <f>IF((AM653-Q653-R653-AN653)&gt;=0,AM653-Q653-R653-AN653,0)</f>
        <v>6.6637115839243526E-3</v>
      </c>
      <c r="AU653" s="94">
        <f>VLOOKUP($D653,Construction!$B:$J,(COLUMN(Construction_BuildingCost_Stone)-COLUMN(Construction_Name_and_Level)+1),FALSE)*(-1)</f>
        <v>0</v>
      </c>
      <c r="AV653" s="94">
        <f>VLOOKUP($D653,Construction!$B:$J,(COLUMN(Construction_BuildingCost_Wood)-COLUMN(Construction_Name_and_Level)+1),FALSE)*(-1)</f>
        <v>-1674</v>
      </c>
      <c r="AW653" s="94">
        <f>VLOOKUP($D653,Construction!$B:$J,(COLUMN(Construction_BuildingCost_Ore)-COLUMN(Construction_Name_and_Level)+1),FALSE)*(-1)</f>
        <v>-1674</v>
      </c>
      <c r="AX653" s="94">
        <f>VLOOKUP($D653,Construction!$B:$J,(COLUMN(Construction_BuildingCost_Food)-COLUMN(Construction_Name_and_Level)+1),FALSE)*(-1)</f>
        <v>-1674</v>
      </c>
    </row>
    <row r="654" spans="1:108" ht="15" customHeight="1">
      <c r="B654" s="506" t="s">
        <v>148</v>
      </c>
      <c r="E654" s="506">
        <v>20</v>
      </c>
      <c r="W654" s="250">
        <v>2</v>
      </c>
      <c r="AF654" s="141">
        <f>$S$3*$S654+$T$3*$T654+$U$3*$U654+$V$3*$V654+$W$3*$W654+$X$3*$X654+$Y$3*$Y654+$Z$3*$Z654+$AA$3*$AA654+$AB$3*$AB654+$AC$3*$AC654</f>
        <v>2.0833333333333332E-2</v>
      </c>
      <c r="AG654" s="141"/>
      <c r="AH654" s="137"/>
      <c r="AI654" s="484"/>
      <c r="AJ654" s="137">
        <f t="shared" si="197"/>
        <v>0.21875</v>
      </c>
    </row>
    <row r="655" spans="1:108" ht="15" customHeight="1">
      <c r="B655" s="506" t="s">
        <v>143</v>
      </c>
      <c r="C655" s="127" t="s">
        <v>182</v>
      </c>
      <c r="D655" s="144" t="s">
        <v>1705</v>
      </c>
      <c r="E655" s="506">
        <v>20</v>
      </c>
      <c r="J655" s="100">
        <v>500</v>
      </c>
      <c r="AF655" s="141"/>
      <c r="AG655" s="141"/>
      <c r="AH655" s="137"/>
      <c r="AI655" s="484"/>
      <c r="AJ655" s="137">
        <f t="shared" si="197"/>
        <v>0.21875</v>
      </c>
      <c r="AW655" s="101">
        <v>50000</v>
      </c>
    </row>
    <row r="656" spans="1:108" ht="15" customHeight="1">
      <c r="B656" s="102" t="s">
        <v>1455</v>
      </c>
      <c r="C656" s="127" t="s">
        <v>170</v>
      </c>
      <c r="D656" s="144" t="s">
        <v>1704</v>
      </c>
      <c r="E656" s="506">
        <v>20</v>
      </c>
      <c r="F656" s="12">
        <v>0.3</v>
      </c>
      <c r="G656" s="101">
        <f>VLOOKUP($D656,Research!$C:$M,(COLUMN(Research_QuestReward_HeroXP)-COLUMN(Research_Name_and_Level)+1),FALSE)</f>
        <v>12000</v>
      </c>
      <c r="H656" s="101">
        <f t="shared" ref="H656" si="201">G656*(1+F656)</f>
        <v>15600</v>
      </c>
      <c r="J656" s="103">
        <f>VLOOKUP($D656,Research!$C:$N,(COLUMN(Research_QuestReward_Power)-COLUMN(Research_Name_and_Level)+1),FALSE)</f>
        <v>110</v>
      </c>
      <c r="AF656" s="141"/>
      <c r="AG656" s="141"/>
      <c r="AH656" s="137"/>
      <c r="AI656" s="484"/>
      <c r="AJ656" s="137">
        <f t="shared" si="197"/>
        <v>0.21875</v>
      </c>
      <c r="AU656" s="101">
        <f>VLOOKUP($D656,Research!$C:$S,(COLUMN(Research_QuestReward_Stone)-COLUMN(Research_Name_and_Level)+1),FALSE)</f>
        <v>0</v>
      </c>
      <c r="AV656" s="101">
        <f>VLOOKUP($D656,Research!$C:$S,(COLUMN(Research_QuestReward_Wood)-COLUMN(Research_Name_and_Level)+1),FALSE)</f>
        <v>2000</v>
      </c>
      <c r="AW656" s="101">
        <f>VLOOKUP($D656,Research!$C:$S,(COLUMN(Research_QuestReward_Ore)-COLUMN(Research_Name_and_Level)+1),FALSE)</f>
        <v>3000</v>
      </c>
      <c r="AX656" s="101">
        <f>VLOOKUP($D656,Research!$C:$S,(COLUMN(Research_QuestReward_Food)-COLUMN(Research_Name_and_Level)+1),FALSE)</f>
        <v>2000</v>
      </c>
      <c r="AY656" s="100">
        <f>VLOOKUP($D656,Research!$C:$S,(COLUMN(Research_QuestReward_Silver)-COLUMN(Research_Name_and_Level)+1),FALSE)</f>
        <v>15000</v>
      </c>
      <c r="CT656" s="127"/>
      <c r="CU656" s="127"/>
      <c r="CV656" s="127"/>
      <c r="CW656" s="127"/>
      <c r="CX656" s="127"/>
      <c r="CY656" s="127"/>
      <c r="CZ656" s="127"/>
      <c r="DA656" s="127"/>
      <c r="DB656" s="127"/>
      <c r="DC656" s="127"/>
      <c r="DD656" s="127"/>
    </row>
    <row r="657" spans="2:108" ht="15" customHeight="1">
      <c r="B657" s="506" t="s">
        <v>145</v>
      </c>
      <c r="C657" s="146" t="s">
        <v>151</v>
      </c>
      <c r="D657" s="145">
        <v>2.9849537037037036E-2</v>
      </c>
      <c r="E657" s="506">
        <v>20</v>
      </c>
      <c r="U657" s="2">
        <v>1</v>
      </c>
      <c r="AF657" s="141">
        <f>$S$3*$S657+$T$3*$T657+$U$3*$U657+$V$3*$V657+$W$3*$W657+$X$3*$X657+$Y$3*$Y657+$Z$3*$Z657+$AA$3*$AA657+$AB$3*$AB657+$AC$3*$AC657</f>
        <v>3.472222222222222E-3</v>
      </c>
      <c r="AG657" s="141"/>
      <c r="AH657" s="137"/>
      <c r="AI657" s="484"/>
      <c r="AJ657" s="137">
        <f t="shared" si="197"/>
        <v>0.22222222222222221</v>
      </c>
    </row>
    <row r="658" spans="2:108" ht="15" customHeight="1">
      <c r="B658" s="506" t="s">
        <v>144</v>
      </c>
      <c r="C658" s="127" t="s">
        <v>138</v>
      </c>
      <c r="D658" s="144" t="s">
        <v>1694</v>
      </c>
      <c r="E658" s="506">
        <v>20</v>
      </c>
      <c r="F658" s="12">
        <v>0.3</v>
      </c>
      <c r="G658" s="94">
        <f>VLOOKUP($D658,Construction!$B:$E,(COLUMN(Construction_BuildingReward_HeroXP)-COLUMN(Construction_Name_and_Level)+1),FALSE)</f>
        <v>500</v>
      </c>
      <c r="H658" s="94">
        <f>G658*(1+F658)</f>
        <v>650</v>
      </c>
      <c r="J658" s="95">
        <f>VLOOKUP($D658,Construction!$B:$F,(COLUMN(Construction_BuildingReward_Power)-COLUMN(Construction_Name_and_Level)+1),FALSE)</f>
        <v>85</v>
      </c>
      <c r="Q658" s="139">
        <v>3.472222222222222E-3</v>
      </c>
      <c r="R658" s="289">
        <v>8.3333333333333332E-3</v>
      </c>
      <c r="AF658" s="141"/>
      <c r="AG658" s="141"/>
      <c r="AH658" s="137"/>
      <c r="AI658" s="484"/>
      <c r="AJ658" s="137">
        <f t="shared" si="197"/>
        <v>0.22222222222222221</v>
      </c>
      <c r="AK658" s="339">
        <v>0.41</v>
      </c>
      <c r="AL658" s="138">
        <f>VLOOKUP($D658,Construction!$B:$C,(COLUMN(Construction_Time)-COLUMN(Construction_Name_and_Level)+1),FALSE)</f>
        <v>4.4444444444444446E-2</v>
      </c>
      <c r="AM658" s="138">
        <f t="shared" ref="AM658" si="202">AL658/(1+AK658)</f>
        <v>3.1520882584712376E-2</v>
      </c>
      <c r="AN658" s="138">
        <f>(S$3*S658+T$3*T658+V$3*V658+W$3*W658+X$3*X658+Y$3*Y658+Z$3*Z658+AA$3*AA658+AB$3*AB658+AC$3*AC658)*(-1)</f>
        <v>0</v>
      </c>
      <c r="AO658" s="139">
        <f>IF((AM658-Q658-R658-AN658)&gt;=0,AM658-Q658-R658-AN658,0)</f>
        <v>1.9715327029156821E-2</v>
      </c>
      <c r="AU658" s="94">
        <f>VLOOKUP($D658,Construction!$B:$J,(COLUMN(Construction_BuildingCost_Stone)-COLUMN(Construction_Name_and_Level)+1),FALSE)*(-1)</f>
        <v>-3348</v>
      </c>
      <c r="AV658" s="94">
        <f>VLOOKUP($D658,Construction!$B:$J,(COLUMN(Construction_BuildingCost_Wood)-COLUMN(Construction_Name_and_Level)+1),FALSE)*(-1)</f>
        <v>0</v>
      </c>
      <c r="AW658" s="94">
        <f>VLOOKUP($D658,Construction!$B:$J,(COLUMN(Construction_BuildingCost_Ore)-COLUMN(Construction_Name_and_Level)+1),FALSE)*(-1)</f>
        <v>-3348</v>
      </c>
      <c r="AX658" s="94">
        <f>VLOOKUP($D658,Construction!$B:$J,(COLUMN(Construction_BuildingCost_Food)-COLUMN(Construction_Name_and_Level)+1),FALSE)*(-1)</f>
        <v>-3348</v>
      </c>
    </row>
    <row r="659" spans="2:108" ht="15" customHeight="1">
      <c r="B659" s="506" t="s">
        <v>146</v>
      </c>
      <c r="C659" s="127" t="s">
        <v>138</v>
      </c>
      <c r="D659" s="144" t="s">
        <v>1706</v>
      </c>
      <c r="E659" s="506">
        <v>20</v>
      </c>
      <c r="F659" s="12">
        <v>0.3</v>
      </c>
      <c r="G659" s="111">
        <f>VLOOKUP($D659,Research!$C:$F,(COLUMN(Research_ResearchReward_HeroXP)-COLUMN(Research_Name_and_Level)+1),FALSE)</f>
        <v>30000</v>
      </c>
      <c r="H659" s="111">
        <f t="shared" ref="H659:H660" si="203">G659*(1+F659)</f>
        <v>39000</v>
      </c>
      <c r="J659" s="115">
        <f>VLOOKUP($D659,Research!$C:$G,(COLUMN(Research_ResearchReward_Power)-COLUMN(Research_Name_and_Level)+1),FALSE)</f>
        <v>300</v>
      </c>
      <c r="R659" s="148">
        <v>8.3333333333333332E-3</v>
      </c>
      <c r="AF659" s="141"/>
      <c r="AG659" s="141"/>
      <c r="AH659" s="137"/>
      <c r="AI659" s="484"/>
      <c r="AJ659" s="137">
        <f t="shared" si="197"/>
        <v>0.22222222222222221</v>
      </c>
      <c r="AP659" s="256">
        <v>0.48</v>
      </c>
      <c r="AQ659" s="147">
        <f>VLOOKUP($D659,Research!$C:$D,(COLUMN(Research_Time)-COLUMN(Research_Name_and_Level)+1),FALSE)</f>
        <v>0.125</v>
      </c>
      <c r="AR659" s="147">
        <f>AQ659/(1+AP659)</f>
        <v>8.4459459459459457E-2</v>
      </c>
      <c r="AS659" s="147">
        <f>(S$3*S659+T$3*T659+V$3*V659+W$3*W659+X$3*X659+Y$3*Y659+Z$3*Z659+AA$3*AA659+AB$3*AB659+AC$3*AC659)*(-1)</f>
        <v>0</v>
      </c>
      <c r="AT659" s="148">
        <f>IF(AR659-R659-AS659&gt;=0,AR659-R659-AS659,0)</f>
        <v>7.6126126126126126E-2</v>
      </c>
      <c r="AU659" s="111">
        <f>VLOOKUP($D659,Research!$C:$L,(COLUMN(Research_ResearchCost_Stone)-COLUMN(Research_Name_and_Level)+1),FALSE)*(-1)</f>
        <v>-5000</v>
      </c>
      <c r="AV659" s="111">
        <f>VLOOKUP($D659,Research!$C:$L,(COLUMN(Research_ResearchCost_Wood)-COLUMN(Research_Name_and_Level)+1),FALSE)*(-1)</f>
        <v>-5000</v>
      </c>
      <c r="AW659" s="111">
        <f>VLOOKUP($D659,Research!$C:$L,(COLUMN(Research_ResearchCost_Ore)-COLUMN(Research_Name_and_Level)+1),FALSE)*(-1)</f>
        <v>0</v>
      </c>
      <c r="AX659" s="111">
        <f>VLOOKUP($D659,Research!$C:$L,(COLUMN(Research_ResearchCost_Food)-COLUMN(Research_Name_and_Level)+1),FALSE)*(-1)</f>
        <v>-5000</v>
      </c>
      <c r="AY659" s="112">
        <f>VLOOKUP($D659,Research!$C:$L,(COLUMN(Research_ResearchCost_Silver)-COLUMN(Research_Name_and_Level)+1),FALSE)*(-1)</f>
        <v>-6000</v>
      </c>
    </row>
    <row r="660" spans="2:108" ht="15" customHeight="1">
      <c r="B660" s="102" t="s">
        <v>1455</v>
      </c>
      <c r="C660" s="127" t="s">
        <v>170</v>
      </c>
      <c r="D660" s="144" t="s">
        <v>1706</v>
      </c>
      <c r="E660" s="506">
        <v>20</v>
      </c>
      <c r="F660" s="12">
        <v>0.3</v>
      </c>
      <c r="G660" s="101">
        <f>VLOOKUP($D660,Research!$C:$M,(COLUMN(Research_QuestReward_HeroXP)-COLUMN(Research_Name_and_Level)+1),FALSE)</f>
        <v>6000</v>
      </c>
      <c r="H660" s="101">
        <f t="shared" si="203"/>
        <v>7800</v>
      </c>
      <c r="J660" s="103">
        <f>VLOOKUP($D660,Research!$C:$N,(COLUMN(Research_QuestReward_Power)-COLUMN(Research_Name_and_Level)+1),FALSE)</f>
        <v>50</v>
      </c>
      <c r="AF660" s="141"/>
      <c r="AG660" s="141"/>
      <c r="AH660" s="137"/>
      <c r="AI660" s="484"/>
      <c r="AJ660" s="137">
        <f t="shared" si="197"/>
        <v>0.22222222222222221</v>
      </c>
      <c r="AU660" s="101">
        <f>VLOOKUP($D660,Research!$C:$S,(COLUMN(Research_QuestReward_Stone)-COLUMN(Research_Name_and_Level)+1),FALSE)</f>
        <v>7000</v>
      </c>
      <c r="AV660" s="101">
        <f>VLOOKUP($D660,Research!$C:$S,(COLUMN(Research_QuestReward_Wood)-COLUMN(Research_Name_and_Level)+1),FALSE)</f>
        <v>7000</v>
      </c>
      <c r="AW660" s="101">
        <f>VLOOKUP($D660,Research!$C:$S,(COLUMN(Research_QuestReward_Ore)-COLUMN(Research_Name_and_Level)+1),FALSE)</f>
        <v>0</v>
      </c>
      <c r="AX660" s="101">
        <f>VLOOKUP($D660,Research!$C:$S,(COLUMN(Research_QuestReward_Food)-COLUMN(Research_Name_and_Level)+1),FALSE)</f>
        <v>7000</v>
      </c>
      <c r="AY660" s="100">
        <f>VLOOKUP($D660,Research!$C:$S,(COLUMN(Research_QuestReward_Silver)-COLUMN(Research_Name_and_Level)+1),FALSE)</f>
        <v>4000</v>
      </c>
      <c r="CT660" s="127"/>
      <c r="CU660" s="127"/>
      <c r="CV660" s="127"/>
      <c r="CW660" s="127"/>
      <c r="CX660" s="127"/>
      <c r="CY660" s="127"/>
      <c r="CZ660" s="127"/>
      <c r="DA660" s="127"/>
      <c r="DB660" s="127"/>
      <c r="DC660" s="127"/>
      <c r="DD660" s="127"/>
    </row>
    <row r="661" spans="2:108" ht="15" customHeight="1">
      <c r="B661" s="506" t="s">
        <v>195</v>
      </c>
      <c r="C661" s="127" t="s">
        <v>196</v>
      </c>
      <c r="E661" s="506">
        <v>20</v>
      </c>
      <c r="T661" s="211">
        <v>1</v>
      </c>
      <c r="AF661" s="141">
        <f>$S$3*$S661+$T$3*$T661+$U$3*$U661+$V$3*$V661+$W$3*$W661+$X$3*$X661+$Y$3*$Y661+$Z$3*$Z661+$AA$3*$AA661+$AB$3*$AB661+$AC$3*$AC661</f>
        <v>2.0833333333333333E-3</v>
      </c>
      <c r="AG661" s="141"/>
      <c r="AH661" s="137"/>
      <c r="AI661" s="484"/>
      <c r="AJ661" s="137">
        <f t="shared" si="197"/>
        <v>0.22430555555555554</v>
      </c>
    </row>
    <row r="662" spans="2:108" ht="15" customHeight="1">
      <c r="B662" s="506" t="s">
        <v>195</v>
      </c>
      <c r="C662" s="127" t="s">
        <v>196</v>
      </c>
      <c r="E662" s="506"/>
      <c r="AF662" s="141"/>
      <c r="AG662" s="141"/>
      <c r="AH662" s="137"/>
      <c r="AI662" s="484"/>
      <c r="AJ662" s="137">
        <f t="shared" si="197"/>
        <v>0.22430555555555554</v>
      </c>
      <c r="CL662" s="211">
        <v>6000</v>
      </c>
      <c r="CM662" s="160">
        <f>CL662</f>
        <v>6000</v>
      </c>
    </row>
    <row r="663" spans="2:108" ht="15" customHeight="1">
      <c r="B663" s="506" t="s">
        <v>144</v>
      </c>
      <c r="C663" s="127" t="s">
        <v>138</v>
      </c>
      <c r="D663" s="144" t="s">
        <v>1508</v>
      </c>
      <c r="E663" s="506">
        <v>20</v>
      </c>
      <c r="F663" s="12">
        <v>0.3</v>
      </c>
      <c r="G663" s="94">
        <f>VLOOKUP($D663,Construction!$B:$E,(COLUMN(Construction_BuildingReward_HeroXP)-COLUMN(Construction_Name_and_Level)+1),FALSE)</f>
        <v>10</v>
      </c>
      <c r="H663" s="94">
        <f t="shared" ref="H663:H669" si="204">G663*(1+F663)</f>
        <v>13</v>
      </c>
      <c r="J663" s="95">
        <f>VLOOKUP($D663,Construction!$B:$F,(COLUMN(Construction_BuildingReward_Power)-COLUMN(Construction_Name_and_Level)+1),FALSE)</f>
        <v>5</v>
      </c>
      <c r="M663" s="348" t="s">
        <v>1707</v>
      </c>
      <c r="Q663" s="139">
        <v>3.472222222222222E-3</v>
      </c>
      <c r="R663" s="289">
        <v>8.3333333333333332E-3</v>
      </c>
      <c r="AF663" s="141"/>
      <c r="AG663" s="141"/>
      <c r="AH663" s="137"/>
      <c r="AI663" s="484"/>
      <c r="AJ663" s="137">
        <f t="shared" si="197"/>
        <v>0.22430555555555554</v>
      </c>
      <c r="AK663" s="339">
        <v>0.41</v>
      </c>
      <c r="AL663" s="138">
        <f>VLOOKUP($D663,Construction!$B:$C,(COLUMN(Construction_Time)-COLUMN(Construction_Name_and_Level)+1),FALSE)</f>
        <v>6.9444444444444447E-4</v>
      </c>
      <c r="AM663" s="138">
        <f t="shared" ref="AM663" si="205">AL663/(1+AK663)</f>
        <v>4.9251379038613087E-4</v>
      </c>
      <c r="AN663" s="138">
        <f t="shared" ref="AN663:AN668" si="206">(S$3*S663+T$3*T663+V$3*V663+W$3*W663+X$3*X663+Y$3*Y663+Z$3*Z663+AA$3*AA663+AB$3*AB663+AC$3*AC663)*(-1)</f>
        <v>0</v>
      </c>
      <c r="AO663" s="139">
        <f t="shared" ref="AO663:AO668" si="207">IF((AM663-Q663-R663-AN663)&gt;=0,AM663-Q663-R663-AN663,0)</f>
        <v>0</v>
      </c>
      <c r="AU663" s="94">
        <f>VLOOKUP($D663,Construction!$B:$J,(COLUMN(Construction_BuildingCost_Stone)-COLUMN(Construction_Name_and_Level)+1),FALSE)*(-1)</f>
        <v>0</v>
      </c>
      <c r="AV663" s="94">
        <f>VLOOKUP($D663,Construction!$B:$J,(COLUMN(Construction_BuildingCost_Wood)-COLUMN(Construction_Name_and_Level)+1),FALSE)*(-1)</f>
        <v>-100</v>
      </c>
      <c r="AW663" s="94">
        <f>VLOOKUP($D663,Construction!$B:$J,(COLUMN(Construction_BuildingCost_Ore)-COLUMN(Construction_Name_and_Level)+1),FALSE)*(-1)</f>
        <v>-100</v>
      </c>
      <c r="AX663" s="94">
        <f>VLOOKUP($D663,Construction!$B:$J,(COLUMN(Construction_BuildingCost_Food)-COLUMN(Construction_Name_and_Level)+1),FALSE)*(-1)</f>
        <v>-100</v>
      </c>
    </row>
    <row r="664" spans="2:108" ht="15" customHeight="1">
      <c r="B664" s="506" t="s">
        <v>144</v>
      </c>
      <c r="C664" s="127" t="s">
        <v>138</v>
      </c>
      <c r="D664" s="144" t="s">
        <v>663</v>
      </c>
      <c r="E664" s="506">
        <v>20</v>
      </c>
      <c r="F664" s="12">
        <v>0.3</v>
      </c>
      <c r="G664" s="94">
        <f>VLOOKUP($D664,Construction!$B:$E,(COLUMN(Construction_BuildingReward_HeroXP)-COLUMN(Construction_Name_and_Level)+1),FALSE)</f>
        <v>25</v>
      </c>
      <c r="H664" s="94">
        <f t="shared" si="204"/>
        <v>32.5</v>
      </c>
      <c r="J664" s="95">
        <f>VLOOKUP($D664,Construction!$B:$F,(COLUMN(Construction_BuildingReward_Power)-COLUMN(Construction_Name_and_Level)+1),FALSE)</f>
        <v>10</v>
      </c>
      <c r="Q664" s="139">
        <v>3.472222222222222E-3</v>
      </c>
      <c r="R664" s="289">
        <v>8.3333333333333332E-3</v>
      </c>
      <c r="AF664" s="141"/>
      <c r="AG664" s="141"/>
      <c r="AH664" s="137"/>
      <c r="AI664" s="484"/>
      <c r="AJ664" s="137">
        <f t="shared" si="197"/>
        <v>0.22430555555555554</v>
      </c>
      <c r="AK664" s="339">
        <v>0.41</v>
      </c>
      <c r="AL664" s="138">
        <f>VLOOKUP($D664,Construction!$B:$C,(COLUMN(Construction_Time)-COLUMN(Construction_Name_and_Level)+1),FALSE)</f>
        <v>1.6203703703703703E-3</v>
      </c>
      <c r="AM664" s="138">
        <f t="shared" ref="AM664:AM667" si="208">AL664/(1+AK664)</f>
        <v>1.1491988442343052E-3</v>
      </c>
      <c r="AN664" s="138">
        <f t="shared" si="206"/>
        <v>0</v>
      </c>
      <c r="AO664" s="139">
        <f t="shared" si="207"/>
        <v>0</v>
      </c>
      <c r="AU664" s="94">
        <f>VLOOKUP($D664,Construction!$B:$J,(COLUMN(Construction_BuildingCost_Stone)-COLUMN(Construction_Name_and_Level)+1),FALSE)*(-1)</f>
        <v>0</v>
      </c>
      <c r="AV664" s="94">
        <f>VLOOKUP($D664,Construction!$B:$J,(COLUMN(Construction_BuildingCost_Wood)-COLUMN(Construction_Name_and_Level)+1),FALSE)*(-1)</f>
        <v>-170</v>
      </c>
      <c r="AW664" s="94">
        <f>VLOOKUP($D664,Construction!$B:$J,(COLUMN(Construction_BuildingCost_Ore)-COLUMN(Construction_Name_and_Level)+1),FALSE)*(-1)</f>
        <v>-170</v>
      </c>
      <c r="AX664" s="94">
        <f>VLOOKUP($D664,Construction!$B:$J,(COLUMN(Construction_BuildingCost_Food)-COLUMN(Construction_Name_and_Level)+1),FALSE)*(-1)</f>
        <v>-170</v>
      </c>
    </row>
    <row r="665" spans="2:108" ht="15" customHeight="1">
      <c r="B665" s="506" t="s">
        <v>144</v>
      </c>
      <c r="C665" s="127" t="s">
        <v>138</v>
      </c>
      <c r="D665" s="144" t="s">
        <v>408</v>
      </c>
      <c r="E665" s="506">
        <v>20</v>
      </c>
      <c r="F665" s="12">
        <v>0.3</v>
      </c>
      <c r="G665" s="94">
        <f>VLOOKUP($D665,Construction!$B:$E,(COLUMN(Construction_BuildingReward_HeroXP)-COLUMN(Construction_Name_and_Level)+1),FALSE)</f>
        <v>50</v>
      </c>
      <c r="H665" s="94">
        <f t="shared" si="204"/>
        <v>65</v>
      </c>
      <c r="J665" s="95">
        <f>VLOOKUP($D665,Construction!$B:$F,(COLUMN(Construction_BuildingReward_Power)-COLUMN(Construction_Name_and_Level)+1),FALSE)</f>
        <v>15</v>
      </c>
      <c r="Q665" s="139">
        <v>3.472222222222222E-3</v>
      </c>
      <c r="R665" s="289">
        <v>8.3333333333333332E-3</v>
      </c>
      <c r="AF665" s="141"/>
      <c r="AG665" s="141"/>
      <c r="AH665" s="137"/>
      <c r="AI665" s="484"/>
      <c r="AJ665" s="137">
        <f t="shared" si="197"/>
        <v>0.22430555555555554</v>
      </c>
      <c r="AK665" s="339">
        <v>0.41</v>
      </c>
      <c r="AL665" s="138">
        <f>VLOOKUP($D665,Construction!$B:$C,(COLUMN(Construction_Time)-COLUMN(Construction_Name_and_Level)+1),FALSE)</f>
        <v>3.2407407407407406E-3</v>
      </c>
      <c r="AM665" s="138">
        <f t="shared" si="208"/>
        <v>2.2983976884686104E-3</v>
      </c>
      <c r="AN665" s="138">
        <f t="shared" si="206"/>
        <v>0</v>
      </c>
      <c r="AO665" s="139">
        <f t="shared" si="207"/>
        <v>0</v>
      </c>
      <c r="AU665" s="94">
        <f>VLOOKUP($D665,Construction!$B:$J,(COLUMN(Construction_BuildingCost_Stone)-COLUMN(Construction_Name_and_Level)+1),FALSE)*(-1)</f>
        <v>0</v>
      </c>
      <c r="AV665" s="94">
        <f>VLOOKUP($D665,Construction!$B:$J,(COLUMN(Construction_BuildingCost_Wood)-COLUMN(Construction_Name_and_Level)+1),FALSE)*(-1)</f>
        <v>-289</v>
      </c>
      <c r="AW665" s="94">
        <f>VLOOKUP($D665,Construction!$B:$J,(COLUMN(Construction_BuildingCost_Ore)-COLUMN(Construction_Name_and_Level)+1),FALSE)*(-1)</f>
        <v>-289</v>
      </c>
      <c r="AX665" s="94">
        <f>VLOOKUP($D665,Construction!$B:$J,(COLUMN(Construction_BuildingCost_Food)-COLUMN(Construction_Name_and_Level)+1),FALSE)*(-1)</f>
        <v>-289</v>
      </c>
    </row>
    <row r="666" spans="2:108" ht="15" customHeight="1">
      <c r="B666" s="506" t="s">
        <v>144</v>
      </c>
      <c r="C666" s="127" t="s">
        <v>138</v>
      </c>
      <c r="D666" s="144" t="s">
        <v>429</v>
      </c>
      <c r="E666" s="506">
        <v>20</v>
      </c>
      <c r="F666" s="12">
        <v>0.3</v>
      </c>
      <c r="G666" s="94">
        <f>VLOOKUP($D666,Construction!$B:$E,(COLUMN(Construction_BuildingReward_HeroXP)-COLUMN(Construction_Name_and_Level)+1),FALSE)</f>
        <v>200</v>
      </c>
      <c r="H666" s="94">
        <f t="shared" si="204"/>
        <v>260</v>
      </c>
      <c r="J666" s="95">
        <f>VLOOKUP($D666,Construction!$B:$F,(COLUMN(Construction_BuildingReward_Power)-COLUMN(Construction_Name_and_Level)+1),FALSE)</f>
        <v>25</v>
      </c>
      <c r="Q666" s="139">
        <v>3.472222222222222E-3</v>
      </c>
      <c r="R666" s="289">
        <v>8.3333333333333332E-3</v>
      </c>
      <c r="AF666" s="141"/>
      <c r="AG666" s="141"/>
      <c r="AH666" s="137"/>
      <c r="AI666" s="484"/>
      <c r="AJ666" s="137">
        <f t="shared" si="197"/>
        <v>0.22430555555555554</v>
      </c>
      <c r="AK666" s="339">
        <v>0.41</v>
      </c>
      <c r="AL666" s="138">
        <f>VLOOKUP($D666,Construction!$B:$C,(COLUMN(Construction_Time)-COLUMN(Construction_Name_and_Level)+1),FALSE)</f>
        <v>6.4814814814814813E-3</v>
      </c>
      <c r="AM666" s="138">
        <f t="shared" si="208"/>
        <v>4.5967953769372209E-3</v>
      </c>
      <c r="AN666" s="138">
        <f t="shared" si="206"/>
        <v>0</v>
      </c>
      <c r="AO666" s="139">
        <f t="shared" si="207"/>
        <v>0</v>
      </c>
      <c r="AU666" s="94">
        <f>VLOOKUP($D666,Construction!$B:$J,(COLUMN(Construction_BuildingCost_Stone)-COLUMN(Construction_Name_and_Level)+1),FALSE)*(-1)</f>
        <v>0</v>
      </c>
      <c r="AV666" s="94">
        <f>VLOOKUP($D666,Construction!$B:$J,(COLUMN(Construction_BuildingCost_Wood)-COLUMN(Construction_Name_and_Level)+1),FALSE)*(-1)</f>
        <v>-492</v>
      </c>
      <c r="AW666" s="94">
        <f>VLOOKUP($D666,Construction!$B:$J,(COLUMN(Construction_BuildingCost_Ore)-COLUMN(Construction_Name_and_Level)+1),FALSE)*(-1)</f>
        <v>-492</v>
      </c>
      <c r="AX666" s="94">
        <f>VLOOKUP($D666,Construction!$B:$J,(COLUMN(Construction_BuildingCost_Food)-COLUMN(Construction_Name_and_Level)+1),FALSE)*(-1)</f>
        <v>-492</v>
      </c>
    </row>
    <row r="667" spans="2:108" ht="15" customHeight="1">
      <c r="B667" s="506" t="s">
        <v>144</v>
      </c>
      <c r="C667" s="127" t="s">
        <v>138</v>
      </c>
      <c r="D667" s="144" t="s">
        <v>430</v>
      </c>
      <c r="E667" s="506">
        <v>20</v>
      </c>
      <c r="F667" s="12">
        <v>0.3</v>
      </c>
      <c r="G667" s="94">
        <f>VLOOKUP($D667,Construction!$B:$E,(COLUMN(Construction_BuildingReward_HeroXP)-COLUMN(Construction_Name_and_Level)+1),FALSE)</f>
        <v>400</v>
      </c>
      <c r="H667" s="94">
        <f t="shared" si="204"/>
        <v>520</v>
      </c>
      <c r="J667" s="95">
        <f>VLOOKUP($D667,Construction!$B:$F,(COLUMN(Construction_BuildingReward_Power)-COLUMN(Construction_Name_and_Level)+1),FALSE)</f>
        <v>35</v>
      </c>
      <c r="Q667" s="139">
        <v>3.472222222222222E-3</v>
      </c>
      <c r="R667" s="289">
        <v>8.3333333333333332E-3</v>
      </c>
      <c r="AF667" s="141"/>
      <c r="AG667" s="141"/>
      <c r="AH667" s="137"/>
      <c r="AI667" s="484"/>
      <c r="AJ667" s="137">
        <f t="shared" si="197"/>
        <v>0.22430555555555554</v>
      </c>
      <c r="AK667" s="339">
        <v>0.41</v>
      </c>
      <c r="AL667" s="138">
        <f>VLOOKUP($D667,Construction!$B:$C,(COLUMN(Construction_Time)-COLUMN(Construction_Name_and_Level)+1),FALSE)</f>
        <v>1.2962962962962963E-2</v>
      </c>
      <c r="AM667" s="138">
        <f t="shared" si="208"/>
        <v>9.1935907538744418E-3</v>
      </c>
      <c r="AN667" s="138">
        <f t="shared" si="206"/>
        <v>0</v>
      </c>
      <c r="AO667" s="139">
        <f t="shared" si="207"/>
        <v>0</v>
      </c>
      <c r="AU667" s="94">
        <f>VLOOKUP($D667,Construction!$B:$J,(COLUMN(Construction_BuildingCost_Stone)-COLUMN(Construction_Name_and_Level)+1),FALSE)*(-1)</f>
        <v>0</v>
      </c>
      <c r="AV667" s="94">
        <f>VLOOKUP($D667,Construction!$B:$J,(COLUMN(Construction_BuildingCost_Wood)-COLUMN(Construction_Name_and_Level)+1),FALSE)*(-1)</f>
        <v>-837</v>
      </c>
      <c r="AW667" s="94">
        <f>VLOOKUP($D667,Construction!$B:$J,(COLUMN(Construction_BuildingCost_Ore)-COLUMN(Construction_Name_and_Level)+1),FALSE)*(-1)</f>
        <v>-837</v>
      </c>
      <c r="AX667" s="94">
        <f>VLOOKUP($D667,Construction!$B:$J,(COLUMN(Construction_BuildingCost_Food)-COLUMN(Construction_Name_and_Level)+1),FALSE)*(-1)</f>
        <v>-837</v>
      </c>
    </row>
    <row r="668" spans="2:108" ht="15" customHeight="1">
      <c r="B668" s="506" t="s">
        <v>144</v>
      </c>
      <c r="C668" s="127" t="s">
        <v>138</v>
      </c>
      <c r="D668" s="144" t="s">
        <v>431</v>
      </c>
      <c r="E668" s="506">
        <v>20</v>
      </c>
      <c r="F668" s="12">
        <v>0.3</v>
      </c>
      <c r="G668" s="94">
        <f>VLOOKUP($D668,Construction!$B:$E,(COLUMN(Construction_BuildingReward_HeroXP)-COLUMN(Construction_Name_and_Level)+1),FALSE)</f>
        <v>500</v>
      </c>
      <c r="H668" s="94">
        <f t="shared" si="204"/>
        <v>650</v>
      </c>
      <c r="J668" s="95">
        <f>VLOOKUP($D668,Construction!$B:$F,(COLUMN(Construction_BuildingReward_Power)-COLUMN(Construction_Name_and_Level)+1),FALSE)</f>
        <v>55</v>
      </c>
      <c r="Q668" s="139">
        <v>3.472222222222222E-3</v>
      </c>
      <c r="R668" s="289">
        <v>8.3333333333333332E-3</v>
      </c>
      <c r="T668" s="2">
        <v>-1</v>
      </c>
      <c r="U668" s="2">
        <v>-1</v>
      </c>
      <c r="AF668" s="141"/>
      <c r="AG668" s="141"/>
      <c r="AH668" s="137"/>
      <c r="AI668" s="484">
        <f>(-1)*($S$3*$S668+$T$3*$T668+$U$3*$U668+$V$3*$V668+$W$3*$W668+$X$3*$X668+$Y$3*$Y668+$Z$3*$Z668+$AA$3*$AA668+$AB$3*$AB668+$AC$3*$AC668)</f>
        <v>5.5555555555555549E-3</v>
      </c>
      <c r="AJ668" s="137">
        <f t="shared" si="197"/>
        <v>0.21874999999999997</v>
      </c>
      <c r="AK668" s="339">
        <v>0.41</v>
      </c>
      <c r="AL668" s="138">
        <f>VLOOKUP($D668,Construction!$B:$C,(COLUMN(Construction_Time)-COLUMN(Construction_Name_and_Level)+1),FALSE)</f>
        <v>2.6041666666666668E-2</v>
      </c>
      <c r="AM668" s="138">
        <f t="shared" ref="AM668" si="209">AL668/(1+AK668)</f>
        <v>1.8469267139479908E-2</v>
      </c>
      <c r="AN668" s="138">
        <f t="shared" si="206"/>
        <v>2.0833333333333333E-3</v>
      </c>
      <c r="AO668" s="139">
        <f t="shared" si="207"/>
        <v>4.5803782505910197E-3</v>
      </c>
      <c r="AU668" s="94">
        <f>VLOOKUP($D668,Construction!$B:$J,(COLUMN(Construction_BuildingCost_Stone)-COLUMN(Construction_Name_and_Level)+1),FALSE)*(-1)</f>
        <v>0</v>
      </c>
      <c r="AV668" s="94">
        <f>VLOOKUP($D668,Construction!$B:$J,(COLUMN(Construction_BuildingCost_Wood)-COLUMN(Construction_Name_and_Level)+1),FALSE)*(-1)</f>
        <v>-1674</v>
      </c>
      <c r="AW668" s="94">
        <f>VLOOKUP($D668,Construction!$B:$J,(COLUMN(Construction_BuildingCost_Ore)-COLUMN(Construction_Name_and_Level)+1),FALSE)*(-1)</f>
        <v>-1674</v>
      </c>
      <c r="AX668" s="94">
        <f>VLOOKUP($D668,Construction!$B:$J,(COLUMN(Construction_BuildingCost_Food)-COLUMN(Construction_Name_and_Level)+1),FALSE)*(-1)</f>
        <v>-1674</v>
      </c>
    </row>
    <row r="669" spans="2:108" ht="15" customHeight="1">
      <c r="B669" s="506" t="s">
        <v>143</v>
      </c>
      <c r="C669" s="127" t="s">
        <v>466</v>
      </c>
      <c r="D669" s="144">
        <v>1.653935185185185E-2</v>
      </c>
      <c r="E669" s="506">
        <v>20</v>
      </c>
      <c r="F669" s="12">
        <v>0.3</v>
      </c>
      <c r="G669" s="101">
        <v>12000</v>
      </c>
      <c r="H669" s="101">
        <f t="shared" si="204"/>
        <v>15600</v>
      </c>
      <c r="AF669" s="141"/>
      <c r="AG669" s="141"/>
      <c r="AH669" s="137"/>
      <c r="AI669" s="484"/>
      <c r="AJ669" s="137">
        <f t="shared" si="197"/>
        <v>0.21874999999999997</v>
      </c>
      <c r="AU669" s="101">
        <v>6000</v>
      </c>
      <c r="AV669" s="101">
        <v>6000</v>
      </c>
      <c r="AW669" s="101">
        <v>6000</v>
      </c>
      <c r="AX669" s="101">
        <v>6000</v>
      </c>
      <c r="AY669" s="100">
        <v>0</v>
      </c>
    </row>
    <row r="670" spans="2:108" ht="15" customHeight="1">
      <c r="B670" s="506" t="s">
        <v>143</v>
      </c>
      <c r="C670" s="127" t="s">
        <v>182</v>
      </c>
      <c r="D670" s="144" t="s">
        <v>1708</v>
      </c>
      <c r="E670" s="506">
        <v>20</v>
      </c>
      <c r="J670" s="100">
        <v>500</v>
      </c>
      <c r="AF670" s="141"/>
      <c r="AG670" s="141"/>
      <c r="AH670" s="137"/>
      <c r="AI670" s="484"/>
      <c r="AJ670" s="137">
        <f t="shared" si="197"/>
        <v>0.21874999999999997</v>
      </c>
      <c r="AU670" s="101">
        <v>20000</v>
      </c>
    </row>
    <row r="671" spans="2:108" ht="15" customHeight="1">
      <c r="B671" s="506" t="s">
        <v>144</v>
      </c>
      <c r="C671" s="127" t="s">
        <v>138</v>
      </c>
      <c r="D671" s="144" t="s">
        <v>1637</v>
      </c>
      <c r="E671" s="506">
        <v>20</v>
      </c>
      <c r="F671" s="12">
        <v>0.3</v>
      </c>
      <c r="G671" s="94">
        <f>VLOOKUP($D671,Construction!$B:$E,(COLUMN(Construction_BuildingReward_HeroXP)-COLUMN(Construction_Name_and_Level)+1),FALSE)</f>
        <v>500</v>
      </c>
      <c r="H671" s="94">
        <f>G671*(1+F671)</f>
        <v>650</v>
      </c>
      <c r="J671" s="95">
        <f>VLOOKUP($D671,Construction!$B:$F,(COLUMN(Construction_BuildingReward_Power)-COLUMN(Construction_Name_and_Level)+1),FALSE)</f>
        <v>55</v>
      </c>
      <c r="Q671" s="139">
        <v>3.472222222222222E-3</v>
      </c>
      <c r="R671" s="289">
        <v>8.3333333333333332E-3</v>
      </c>
      <c r="AF671" s="141"/>
      <c r="AG671" s="141"/>
      <c r="AH671" s="137"/>
      <c r="AI671" s="484"/>
      <c r="AJ671" s="137">
        <f t="shared" si="197"/>
        <v>0.21874999999999997</v>
      </c>
      <c r="AK671" s="339">
        <v>0.41</v>
      </c>
      <c r="AL671" s="138">
        <f>VLOOKUP($D671,Construction!$B:$C,(COLUMN(Construction_Time)-COLUMN(Construction_Name_and_Level)+1),FALSE)</f>
        <v>1.8518518518518521E-2</v>
      </c>
      <c r="AM671" s="138">
        <f t="shared" ref="AM671" si="210">AL671/(1+AK671)</f>
        <v>1.313370107696349E-2</v>
      </c>
      <c r="AN671" s="138">
        <f>(S$3*S671+T$3*T671+V$3*V671+W$3*W671+X$3*X671+Y$3*Y671+Z$3*Z671+AA$3*AA671+AB$3*AB671+AC$3*AC671)*(-1)</f>
        <v>0</v>
      </c>
      <c r="AO671" s="139">
        <f>IF((AM671-Q671-R671-AN671)&gt;=0,AM671-Q671-R671-AN671,0)</f>
        <v>1.3281455214079353E-3</v>
      </c>
      <c r="AU671" s="94">
        <f>VLOOKUP($D671,Construction!$B:$J,(COLUMN(Construction_BuildingCost_Stone)-COLUMN(Construction_Name_and_Level)+1),FALSE)*(-1)</f>
        <v>-1674</v>
      </c>
      <c r="AV671" s="94">
        <f>VLOOKUP($D671,Construction!$B:$J,(COLUMN(Construction_BuildingCost_Wood)-COLUMN(Construction_Name_and_Level)+1),FALSE)*(-1)</f>
        <v>-1674</v>
      </c>
      <c r="AW671" s="94">
        <f>VLOOKUP($D671,Construction!$B:$J,(COLUMN(Construction_BuildingCost_Ore)-COLUMN(Construction_Name_and_Level)+1),FALSE)*(-1)</f>
        <v>-1674</v>
      </c>
      <c r="AX671" s="94">
        <f>VLOOKUP($D671,Construction!$B:$J,(COLUMN(Construction_BuildingCost_Food)-COLUMN(Construction_Name_and_Level)+1),FALSE)*(-1)</f>
        <v>0</v>
      </c>
    </row>
    <row r="672" spans="2:108" ht="15" customHeight="1">
      <c r="B672" s="113" t="s">
        <v>1483</v>
      </c>
      <c r="C672" s="127" t="s">
        <v>156</v>
      </c>
      <c r="D672" s="127">
        <v>300</v>
      </c>
      <c r="E672" s="506">
        <v>20</v>
      </c>
      <c r="G672" s="7"/>
      <c r="H672" s="7"/>
      <c r="J672" s="114">
        <f>VLOOKUP($C672,Troop!$B:$AK,(COLUMN(Troop_TrainingReward_Power)-COLUMN(Troop_Name)+1),FALSE)*$D672</f>
        <v>600</v>
      </c>
      <c r="AF672" s="141"/>
      <c r="AG672" s="141"/>
      <c r="AH672" s="137"/>
      <c r="AI672" s="484"/>
      <c r="AJ672" s="137">
        <f t="shared" si="197"/>
        <v>0.21874999999999997</v>
      </c>
      <c r="AU672" s="296">
        <f>VLOOKUP($C672,Troop!$B:$P,(COLUMN(Troop_TrainingCost_Stone)-COLUMN(Troop_Name)+1),FALSE)*$D672*(-1)</f>
        <v>-15000</v>
      </c>
      <c r="AV672" s="296">
        <f>VLOOKUP($C672,Troop!$B:$P,(COLUMN(Troop_TrainingCost_Wood)-COLUMN(Troop_Name)+1),FALSE)*$D672*(-1)</f>
        <v>0</v>
      </c>
      <c r="AW672" s="296">
        <f>VLOOKUP($C672,Troop!$B:$P,(COLUMN(Troop_TrainingCost_Ore)-COLUMN(Troop_Name)+1),FALSE)*$D672*(-1)</f>
        <v>-11400</v>
      </c>
      <c r="AX672" s="296">
        <f>VLOOKUP($C672,Troop!$B:$P,(COLUMN(Troop_TrainingCost_Food)-COLUMN(Troop_Name)+1),FALSE)*$D672*(-1)</f>
        <v>-15000</v>
      </c>
      <c r="AY672" s="114">
        <f>VLOOKUP($C672,Troop!$B:$P,(COLUMN(Troop_TrainingCost_Silver)-COLUMN(Troop_Name)+1),FALSE)*$D672*(-1)</f>
        <v>0</v>
      </c>
      <c r="CT672" s="128"/>
      <c r="CU672" s="128"/>
      <c r="CV672" s="128"/>
      <c r="CW672" s="128"/>
      <c r="CX672" s="128"/>
      <c r="CY672" s="128"/>
      <c r="CZ672" s="128"/>
      <c r="DA672" s="128"/>
      <c r="DB672" s="128"/>
      <c r="DC672" s="128"/>
      <c r="DD672" s="128"/>
    </row>
    <row r="673" spans="2:51" ht="15" customHeight="1">
      <c r="B673" s="506" t="s">
        <v>145</v>
      </c>
      <c r="C673" s="146" t="s">
        <v>151</v>
      </c>
      <c r="D673" s="145">
        <v>7.7662037037037031E-3</v>
      </c>
      <c r="E673" s="506">
        <v>20</v>
      </c>
      <c r="AF673" s="141"/>
      <c r="AG673" s="141"/>
      <c r="AH673" s="137"/>
      <c r="AI673" s="484"/>
      <c r="AJ673" s="137">
        <f t="shared" si="197"/>
        <v>0.21874999999999997</v>
      </c>
      <c r="AX673" s="2">
        <v>5000</v>
      </c>
    </row>
    <row r="674" spans="2:51" ht="15" customHeight="1">
      <c r="B674" s="506" t="s">
        <v>144</v>
      </c>
      <c r="C674" s="127" t="s">
        <v>138</v>
      </c>
      <c r="D674" s="144" t="s">
        <v>1473</v>
      </c>
      <c r="E674" s="506">
        <v>20</v>
      </c>
      <c r="F674" s="12">
        <v>0.3</v>
      </c>
      <c r="G674" s="94">
        <f>VLOOKUP($D674,Construction!$B:$E,(COLUMN(Construction_BuildingReward_HeroXP)-COLUMN(Construction_Name_and_Level)+1),FALSE)</f>
        <v>10</v>
      </c>
      <c r="H674" s="94">
        <f t="shared" ref="H674:H685" si="211">G674*(1+F674)</f>
        <v>13</v>
      </c>
      <c r="J674" s="95">
        <f>VLOOKUP($D674,Construction!$B:$F,(COLUMN(Construction_BuildingReward_Power)-COLUMN(Construction_Name_and_Level)+1),FALSE)</f>
        <v>5</v>
      </c>
      <c r="Q674" s="139">
        <v>3.472222222222222E-3</v>
      </c>
      <c r="R674" s="289">
        <v>8.3333333333333332E-3</v>
      </c>
      <c r="AF674" s="141"/>
      <c r="AG674" s="141"/>
      <c r="AH674" s="137"/>
      <c r="AI674" s="484"/>
      <c r="AJ674" s="137">
        <f t="shared" si="197"/>
        <v>0.21874999999999997</v>
      </c>
      <c r="AK674" s="339">
        <v>0.41</v>
      </c>
      <c r="AL674" s="138">
        <f>VLOOKUP($D674,Construction!$B:$C,(COLUMN(Construction_Time)-COLUMN(Construction_Name_and_Level)+1),FALSE)</f>
        <v>6.9444444444444447E-4</v>
      </c>
      <c r="AM674" s="138">
        <f t="shared" ref="AM674:AM679" si="212">AL674/(1+AK674)</f>
        <v>4.9251379038613087E-4</v>
      </c>
      <c r="AN674" s="138">
        <f t="shared" ref="AN674:AN685" si="213">(S$3*S674+T$3*T674+V$3*V674+W$3*W674+X$3*X674+Y$3*Y674+Z$3*Z674+AA$3*AA674+AB$3*AB674+AC$3*AC674)*(-1)</f>
        <v>0</v>
      </c>
      <c r="AO674" s="139">
        <f t="shared" ref="AO674:AO685" si="214">IF((AM674-Q674-R674-AN674)&gt;=0,AM674-Q674-R674-AN674,0)</f>
        <v>0</v>
      </c>
      <c r="AU674" s="94">
        <f>VLOOKUP($D674,Construction!$B:$J,(COLUMN(Construction_BuildingCost_Stone)-COLUMN(Construction_Name_and_Level)+1),FALSE)*(-1)</f>
        <v>-100</v>
      </c>
      <c r="AV674" s="94">
        <f>VLOOKUP($D674,Construction!$B:$J,(COLUMN(Construction_BuildingCost_Wood)-COLUMN(Construction_Name_and_Level)+1),FALSE)*(-1)</f>
        <v>0</v>
      </c>
      <c r="AW674" s="94">
        <f>VLOOKUP($D674,Construction!$B:$J,(COLUMN(Construction_BuildingCost_Ore)-COLUMN(Construction_Name_and_Level)+1),FALSE)*(-1)</f>
        <v>-100</v>
      </c>
      <c r="AX674" s="94">
        <f>VLOOKUP($D674,Construction!$B:$J,(COLUMN(Construction_BuildingCost_Food)-COLUMN(Construction_Name_and_Level)+1),FALSE)*(-1)</f>
        <v>-100</v>
      </c>
    </row>
    <row r="675" spans="2:51" ht="15" customHeight="1">
      <c r="B675" s="506" t="s">
        <v>144</v>
      </c>
      <c r="C675" s="127" t="s">
        <v>138</v>
      </c>
      <c r="D675" s="144" t="s">
        <v>776</v>
      </c>
      <c r="E675" s="506">
        <v>20</v>
      </c>
      <c r="F675" s="12">
        <v>0.3</v>
      </c>
      <c r="G675" s="94">
        <f>VLOOKUP($D675,Construction!$B:$E,(COLUMN(Construction_BuildingReward_HeroXP)-COLUMN(Construction_Name_and_Level)+1),FALSE)</f>
        <v>25</v>
      </c>
      <c r="H675" s="94">
        <f t="shared" si="211"/>
        <v>32.5</v>
      </c>
      <c r="J675" s="95">
        <f>VLOOKUP($D675,Construction!$B:$F,(COLUMN(Construction_BuildingReward_Power)-COLUMN(Construction_Name_and_Level)+1),FALSE)</f>
        <v>10</v>
      </c>
      <c r="Q675" s="139">
        <v>3.472222222222222E-3</v>
      </c>
      <c r="R675" s="289">
        <v>8.3333333333333332E-3</v>
      </c>
      <c r="AF675" s="141"/>
      <c r="AG675" s="141"/>
      <c r="AH675" s="137"/>
      <c r="AI675" s="484"/>
      <c r="AJ675" s="137">
        <f t="shared" si="197"/>
        <v>0.21874999999999997</v>
      </c>
      <c r="AK675" s="339">
        <v>0.41</v>
      </c>
      <c r="AL675" s="138">
        <f>VLOOKUP($D675,Construction!$B:$C,(COLUMN(Construction_Time)-COLUMN(Construction_Name_and_Level)+1),FALSE)</f>
        <v>1.3888888888888889E-3</v>
      </c>
      <c r="AM675" s="138">
        <f t="shared" si="212"/>
        <v>9.8502758077226174E-4</v>
      </c>
      <c r="AN675" s="138">
        <f t="shared" si="213"/>
        <v>0</v>
      </c>
      <c r="AO675" s="139">
        <f t="shared" si="214"/>
        <v>0</v>
      </c>
      <c r="AU675" s="94">
        <f>VLOOKUP($D675,Construction!$B:$J,(COLUMN(Construction_BuildingCost_Stone)-COLUMN(Construction_Name_and_Level)+1),FALSE)*(-1)</f>
        <v>-170</v>
      </c>
      <c r="AV675" s="94">
        <f>VLOOKUP($D675,Construction!$B:$J,(COLUMN(Construction_BuildingCost_Wood)-COLUMN(Construction_Name_and_Level)+1),FALSE)*(-1)</f>
        <v>0</v>
      </c>
      <c r="AW675" s="94">
        <f>VLOOKUP($D675,Construction!$B:$J,(COLUMN(Construction_BuildingCost_Ore)-COLUMN(Construction_Name_and_Level)+1),FALSE)*(-1)</f>
        <v>-170</v>
      </c>
      <c r="AX675" s="94">
        <f>VLOOKUP($D675,Construction!$B:$J,(COLUMN(Construction_BuildingCost_Food)-COLUMN(Construction_Name_and_Level)+1),FALSE)*(-1)</f>
        <v>-170</v>
      </c>
    </row>
    <row r="676" spans="2:51" ht="15" customHeight="1">
      <c r="B676" s="506" t="s">
        <v>144</v>
      </c>
      <c r="C676" s="127" t="s">
        <v>138</v>
      </c>
      <c r="D676" s="144" t="s">
        <v>410</v>
      </c>
      <c r="E676" s="506">
        <v>20</v>
      </c>
      <c r="F676" s="12">
        <v>0.3</v>
      </c>
      <c r="G676" s="94">
        <f>VLOOKUP($D676,Construction!$B:$E,(COLUMN(Construction_BuildingReward_HeroXP)-COLUMN(Construction_Name_and_Level)+1),FALSE)</f>
        <v>50</v>
      </c>
      <c r="H676" s="94">
        <f t="shared" si="211"/>
        <v>65</v>
      </c>
      <c r="J676" s="95">
        <f>VLOOKUP($D676,Construction!$B:$F,(COLUMN(Construction_BuildingReward_Power)-COLUMN(Construction_Name_and_Level)+1),FALSE)</f>
        <v>15</v>
      </c>
      <c r="Q676" s="139">
        <v>3.472222222222222E-3</v>
      </c>
      <c r="R676" s="289">
        <v>8.3333333333333332E-3</v>
      </c>
      <c r="AF676" s="141"/>
      <c r="AG676" s="141"/>
      <c r="AH676" s="137"/>
      <c r="AI676" s="484"/>
      <c r="AJ676" s="137">
        <f t="shared" si="197"/>
        <v>0.21874999999999997</v>
      </c>
      <c r="AK676" s="339">
        <v>0.41</v>
      </c>
      <c r="AL676" s="138">
        <f>VLOOKUP($D676,Construction!$B:$C,(COLUMN(Construction_Time)-COLUMN(Construction_Name_and_Level)+1),FALSE)</f>
        <v>2.7777777777777779E-3</v>
      </c>
      <c r="AM676" s="138">
        <f t="shared" si="212"/>
        <v>1.9700551615445235E-3</v>
      </c>
      <c r="AN676" s="138">
        <f t="shared" si="213"/>
        <v>0</v>
      </c>
      <c r="AO676" s="139">
        <f t="shared" si="214"/>
        <v>0</v>
      </c>
      <c r="AU676" s="94">
        <f>VLOOKUP($D676,Construction!$B:$J,(COLUMN(Construction_BuildingCost_Stone)-COLUMN(Construction_Name_and_Level)+1),FALSE)*(-1)</f>
        <v>-289</v>
      </c>
      <c r="AV676" s="94">
        <f>VLOOKUP($D676,Construction!$B:$J,(COLUMN(Construction_BuildingCost_Wood)-COLUMN(Construction_Name_and_Level)+1),FALSE)*(-1)</f>
        <v>0</v>
      </c>
      <c r="AW676" s="94">
        <f>VLOOKUP($D676,Construction!$B:$J,(COLUMN(Construction_BuildingCost_Ore)-COLUMN(Construction_Name_and_Level)+1),FALSE)*(-1)</f>
        <v>-289</v>
      </c>
      <c r="AX676" s="94">
        <f>VLOOKUP($D676,Construction!$B:$J,(COLUMN(Construction_BuildingCost_Food)-COLUMN(Construction_Name_and_Level)+1),FALSE)*(-1)</f>
        <v>-289</v>
      </c>
    </row>
    <row r="677" spans="2:51" ht="15" customHeight="1">
      <c r="B677" s="506" t="s">
        <v>144</v>
      </c>
      <c r="C677" s="127" t="s">
        <v>138</v>
      </c>
      <c r="D677" s="144" t="s">
        <v>411</v>
      </c>
      <c r="E677" s="506">
        <v>20</v>
      </c>
      <c r="F677" s="12">
        <v>0.3</v>
      </c>
      <c r="G677" s="94">
        <f>VLOOKUP($D677,Construction!$B:$E,(COLUMN(Construction_BuildingReward_HeroXP)-COLUMN(Construction_Name_and_Level)+1),FALSE)</f>
        <v>200</v>
      </c>
      <c r="H677" s="94">
        <f t="shared" si="211"/>
        <v>260</v>
      </c>
      <c r="J677" s="95">
        <f>VLOOKUP($D677,Construction!$B:$F,(COLUMN(Construction_BuildingReward_Power)-COLUMN(Construction_Name_and_Level)+1),FALSE)</f>
        <v>25</v>
      </c>
      <c r="Q677" s="139">
        <v>3.472222222222222E-3</v>
      </c>
      <c r="R677" s="289">
        <v>8.3333333333333332E-3</v>
      </c>
      <c r="AF677" s="141"/>
      <c r="AG677" s="141"/>
      <c r="AH677" s="137"/>
      <c r="AI677" s="484"/>
      <c r="AJ677" s="137">
        <f t="shared" si="197"/>
        <v>0.21874999999999997</v>
      </c>
      <c r="AK677" s="339">
        <v>0.41</v>
      </c>
      <c r="AL677" s="138">
        <f>VLOOKUP($D677,Construction!$B:$C,(COLUMN(Construction_Time)-COLUMN(Construction_Name_and_Level)+1),FALSE)</f>
        <v>5.5555555555555558E-3</v>
      </c>
      <c r="AM677" s="138">
        <f t="shared" si="212"/>
        <v>3.940110323089047E-3</v>
      </c>
      <c r="AN677" s="138">
        <f t="shared" si="213"/>
        <v>0</v>
      </c>
      <c r="AO677" s="139">
        <f t="shared" si="214"/>
        <v>0</v>
      </c>
      <c r="AU677" s="94">
        <f>VLOOKUP($D677,Construction!$B:$J,(COLUMN(Construction_BuildingCost_Stone)-COLUMN(Construction_Name_and_Level)+1),FALSE)*(-1)</f>
        <v>-492</v>
      </c>
      <c r="AV677" s="94">
        <f>VLOOKUP($D677,Construction!$B:$J,(COLUMN(Construction_BuildingCost_Wood)-COLUMN(Construction_Name_and_Level)+1),FALSE)*(-1)</f>
        <v>0</v>
      </c>
      <c r="AW677" s="94">
        <f>VLOOKUP($D677,Construction!$B:$J,(COLUMN(Construction_BuildingCost_Ore)-COLUMN(Construction_Name_and_Level)+1),FALSE)*(-1)</f>
        <v>-492</v>
      </c>
      <c r="AX677" s="94">
        <f>VLOOKUP($D677,Construction!$B:$J,(COLUMN(Construction_BuildingCost_Food)-COLUMN(Construction_Name_and_Level)+1),FALSE)*(-1)</f>
        <v>-492</v>
      </c>
    </row>
    <row r="678" spans="2:51" ht="15" customHeight="1">
      <c r="B678" s="506" t="s">
        <v>144</v>
      </c>
      <c r="C678" s="127" t="s">
        <v>138</v>
      </c>
      <c r="D678" s="144" t="s">
        <v>412</v>
      </c>
      <c r="E678" s="506">
        <v>20</v>
      </c>
      <c r="F678" s="12">
        <v>0.3</v>
      </c>
      <c r="G678" s="94">
        <f>VLOOKUP($D678,Construction!$B:$E,(COLUMN(Construction_BuildingReward_HeroXP)-COLUMN(Construction_Name_and_Level)+1),FALSE)</f>
        <v>400</v>
      </c>
      <c r="H678" s="94">
        <f t="shared" si="211"/>
        <v>520</v>
      </c>
      <c r="J678" s="95">
        <f>VLOOKUP($D678,Construction!$B:$F,(COLUMN(Construction_BuildingReward_Power)-COLUMN(Construction_Name_and_Level)+1),FALSE)</f>
        <v>35</v>
      </c>
      <c r="Q678" s="139">
        <v>3.472222222222222E-3</v>
      </c>
      <c r="R678" s="289">
        <v>8.3333333333333332E-3</v>
      </c>
      <c r="AF678" s="141"/>
      <c r="AG678" s="141"/>
      <c r="AH678" s="137"/>
      <c r="AI678" s="484"/>
      <c r="AJ678" s="137">
        <f t="shared" si="197"/>
        <v>0.21874999999999997</v>
      </c>
      <c r="AK678" s="339">
        <v>0.41</v>
      </c>
      <c r="AL678" s="138">
        <f>VLOOKUP($D678,Construction!$B:$C,(COLUMN(Construction_Time)-COLUMN(Construction_Name_and_Level)+1),FALSE)</f>
        <v>1.1111111111111112E-2</v>
      </c>
      <c r="AM678" s="138">
        <f t="shared" si="212"/>
        <v>7.880220646178094E-3</v>
      </c>
      <c r="AN678" s="138">
        <f t="shared" si="213"/>
        <v>0</v>
      </c>
      <c r="AO678" s="139">
        <f t="shared" si="214"/>
        <v>0</v>
      </c>
      <c r="AU678" s="94">
        <f>VLOOKUP($D678,Construction!$B:$J,(COLUMN(Construction_BuildingCost_Stone)-COLUMN(Construction_Name_and_Level)+1),FALSE)*(-1)</f>
        <v>-837</v>
      </c>
      <c r="AV678" s="94">
        <f>VLOOKUP($D678,Construction!$B:$J,(COLUMN(Construction_BuildingCost_Wood)-COLUMN(Construction_Name_and_Level)+1),FALSE)*(-1)</f>
        <v>0</v>
      </c>
      <c r="AW678" s="94">
        <f>VLOOKUP($D678,Construction!$B:$J,(COLUMN(Construction_BuildingCost_Ore)-COLUMN(Construction_Name_and_Level)+1),FALSE)*(-1)</f>
        <v>-837</v>
      </c>
      <c r="AX678" s="94">
        <f>VLOOKUP($D678,Construction!$B:$J,(COLUMN(Construction_BuildingCost_Food)-COLUMN(Construction_Name_and_Level)+1),FALSE)*(-1)</f>
        <v>-837</v>
      </c>
    </row>
    <row r="679" spans="2:51" ht="15" customHeight="1">
      <c r="B679" s="506" t="s">
        <v>144</v>
      </c>
      <c r="C679" s="127" t="s">
        <v>138</v>
      </c>
      <c r="D679" s="144" t="s">
        <v>413</v>
      </c>
      <c r="E679" s="506">
        <v>20</v>
      </c>
      <c r="F679" s="12">
        <v>0.3</v>
      </c>
      <c r="G679" s="94">
        <f>VLOOKUP($D679,Construction!$B:$E,(COLUMN(Construction_BuildingReward_HeroXP)-COLUMN(Construction_Name_and_Level)+1),FALSE)</f>
        <v>500</v>
      </c>
      <c r="H679" s="94">
        <f t="shared" si="211"/>
        <v>650</v>
      </c>
      <c r="J679" s="95">
        <f>VLOOKUP($D679,Construction!$B:$F,(COLUMN(Construction_BuildingReward_Power)-COLUMN(Construction_Name_and_Level)+1),FALSE)</f>
        <v>55</v>
      </c>
      <c r="Q679" s="139">
        <v>3.472222222222222E-3</v>
      </c>
      <c r="R679" s="289">
        <v>8.3333333333333332E-3</v>
      </c>
      <c r="AF679" s="141"/>
      <c r="AG679" s="141"/>
      <c r="AH679" s="137"/>
      <c r="AI679" s="484"/>
      <c r="AJ679" s="137">
        <f t="shared" si="197"/>
        <v>0.21874999999999997</v>
      </c>
      <c r="AK679" s="339">
        <v>0.41</v>
      </c>
      <c r="AL679" s="138">
        <f>VLOOKUP($D679,Construction!$B:$C,(COLUMN(Construction_Time)-COLUMN(Construction_Name_and_Level)+1),FALSE)</f>
        <v>2.2222222222222223E-2</v>
      </c>
      <c r="AM679" s="138">
        <f t="shared" si="212"/>
        <v>1.5760441292356188E-2</v>
      </c>
      <c r="AN679" s="138">
        <f t="shared" si="213"/>
        <v>0</v>
      </c>
      <c r="AO679" s="139">
        <f t="shared" si="214"/>
        <v>3.9548857368006327E-3</v>
      </c>
      <c r="AU679" s="94">
        <f>VLOOKUP($D679,Construction!$B:$J,(COLUMN(Construction_BuildingCost_Stone)-COLUMN(Construction_Name_and_Level)+1),FALSE)*(-1)</f>
        <v>-1674</v>
      </c>
      <c r="AV679" s="94">
        <f>VLOOKUP($D679,Construction!$B:$J,(COLUMN(Construction_BuildingCost_Wood)-COLUMN(Construction_Name_and_Level)+1),FALSE)*(-1)</f>
        <v>0</v>
      </c>
      <c r="AW679" s="94">
        <f>VLOOKUP($D679,Construction!$B:$J,(COLUMN(Construction_BuildingCost_Ore)-COLUMN(Construction_Name_and_Level)+1),FALSE)*(-1)</f>
        <v>-1674</v>
      </c>
      <c r="AX679" s="94">
        <f>VLOOKUP($D679,Construction!$B:$J,(COLUMN(Construction_BuildingCost_Food)-COLUMN(Construction_Name_and_Level)+1),FALSE)*(-1)</f>
        <v>-1674</v>
      </c>
    </row>
    <row r="680" spans="2:51" ht="15" customHeight="1">
      <c r="B680" s="506" t="s">
        <v>144</v>
      </c>
      <c r="C680" s="127" t="s">
        <v>138</v>
      </c>
      <c r="D680" s="144" t="s">
        <v>1509</v>
      </c>
      <c r="E680" s="506">
        <v>20</v>
      </c>
      <c r="F680" s="12">
        <v>0.3</v>
      </c>
      <c r="G680" s="94">
        <f>VLOOKUP($D680,Construction!$B:$E,(COLUMN(Construction_BuildingReward_HeroXP)-COLUMN(Construction_Name_and_Level)+1),FALSE)</f>
        <v>10</v>
      </c>
      <c r="H680" s="94">
        <f t="shared" si="211"/>
        <v>13</v>
      </c>
      <c r="J680" s="95">
        <f>VLOOKUP($D680,Construction!$B:$F,(COLUMN(Construction_BuildingReward_Power)-COLUMN(Construction_Name_and_Level)+1),FALSE)</f>
        <v>5</v>
      </c>
      <c r="Q680" s="139">
        <v>3.472222222222222E-3</v>
      </c>
      <c r="R680" s="289">
        <v>8.3333333333333332E-3</v>
      </c>
      <c r="AF680" s="141"/>
      <c r="AG680" s="141"/>
      <c r="AH680" s="137"/>
      <c r="AI680" s="484"/>
      <c r="AJ680" s="137">
        <f t="shared" si="197"/>
        <v>0.21874999999999997</v>
      </c>
      <c r="AK680" s="339">
        <v>0.41</v>
      </c>
      <c r="AL680" s="138">
        <f>VLOOKUP($D680,Construction!$B:$C,(COLUMN(Construction_Time)-COLUMN(Construction_Name_and_Level)+1),FALSE)</f>
        <v>6.9444444444444447E-4</v>
      </c>
      <c r="AM680" s="138">
        <f t="shared" ref="AM680:AM685" si="215">AL680/(1+AK680)</f>
        <v>4.9251379038613087E-4</v>
      </c>
      <c r="AN680" s="138">
        <f t="shared" si="213"/>
        <v>0</v>
      </c>
      <c r="AO680" s="139">
        <f t="shared" si="214"/>
        <v>0</v>
      </c>
      <c r="AU680" s="94">
        <f>VLOOKUP($D680,Construction!$B:$J,(COLUMN(Construction_BuildingCost_Stone)-COLUMN(Construction_Name_and_Level)+1),FALSE)*(-1)</f>
        <v>-100</v>
      </c>
      <c r="AV680" s="94">
        <f>VLOOKUP($D680,Construction!$B:$J,(COLUMN(Construction_BuildingCost_Wood)-COLUMN(Construction_Name_and_Level)+1),FALSE)*(-1)</f>
        <v>-100</v>
      </c>
      <c r="AW680" s="94">
        <f>VLOOKUP($D680,Construction!$B:$J,(COLUMN(Construction_BuildingCost_Ore)-COLUMN(Construction_Name_and_Level)+1),FALSE)*(-1)</f>
        <v>0</v>
      </c>
      <c r="AX680" s="94">
        <f>VLOOKUP($D680,Construction!$B:$J,(COLUMN(Construction_BuildingCost_Food)-COLUMN(Construction_Name_and_Level)+1),FALSE)*(-1)</f>
        <v>-100</v>
      </c>
    </row>
    <row r="681" spans="2:51" ht="15" customHeight="1">
      <c r="B681" s="506" t="s">
        <v>144</v>
      </c>
      <c r="C681" s="127" t="s">
        <v>138</v>
      </c>
      <c r="D681" s="144" t="s">
        <v>406</v>
      </c>
      <c r="E681" s="506">
        <v>20</v>
      </c>
      <c r="F681" s="12">
        <v>0.3</v>
      </c>
      <c r="G681" s="94">
        <f>VLOOKUP($D681,Construction!$B:$E,(COLUMN(Construction_BuildingReward_HeroXP)-COLUMN(Construction_Name_and_Level)+1),FALSE)</f>
        <v>25</v>
      </c>
      <c r="H681" s="94">
        <f t="shared" si="211"/>
        <v>32.5</v>
      </c>
      <c r="J681" s="95">
        <f>VLOOKUP($D681,Construction!$B:$F,(COLUMN(Construction_BuildingReward_Power)-COLUMN(Construction_Name_and_Level)+1),FALSE)</f>
        <v>10</v>
      </c>
      <c r="Q681" s="139">
        <v>3.472222222222222E-3</v>
      </c>
      <c r="R681" s="289">
        <v>8.3333333333333332E-3</v>
      </c>
      <c r="AF681" s="141"/>
      <c r="AG681" s="141"/>
      <c r="AH681" s="137"/>
      <c r="AI681" s="484"/>
      <c r="AJ681" s="137">
        <f t="shared" si="197"/>
        <v>0.21874999999999997</v>
      </c>
      <c r="AK681" s="339">
        <v>0.41</v>
      </c>
      <c r="AL681" s="138">
        <f>VLOOKUP($D681,Construction!$B:$C,(COLUMN(Construction_Time)-COLUMN(Construction_Name_and_Level)+1),FALSE)</f>
        <v>1.8518518518518517E-3</v>
      </c>
      <c r="AM681" s="138">
        <f t="shared" si="215"/>
        <v>1.3133701076963487E-3</v>
      </c>
      <c r="AN681" s="138">
        <f t="shared" si="213"/>
        <v>0</v>
      </c>
      <c r="AO681" s="139">
        <f t="shared" si="214"/>
        <v>0</v>
      </c>
      <c r="AU681" s="94">
        <f>VLOOKUP($D681,Construction!$B:$J,(COLUMN(Construction_BuildingCost_Stone)-COLUMN(Construction_Name_and_Level)+1),FALSE)*(-1)</f>
        <v>-170</v>
      </c>
      <c r="AV681" s="94">
        <f>VLOOKUP($D681,Construction!$B:$J,(COLUMN(Construction_BuildingCost_Wood)-COLUMN(Construction_Name_and_Level)+1),FALSE)*(-1)</f>
        <v>-170</v>
      </c>
      <c r="AW681" s="94">
        <f>VLOOKUP($D681,Construction!$B:$J,(COLUMN(Construction_BuildingCost_Ore)-COLUMN(Construction_Name_and_Level)+1),FALSE)*(-1)</f>
        <v>0</v>
      </c>
      <c r="AX681" s="94">
        <f>VLOOKUP($D681,Construction!$B:$J,(COLUMN(Construction_BuildingCost_Food)-COLUMN(Construction_Name_and_Level)+1),FALSE)*(-1)</f>
        <v>-170</v>
      </c>
    </row>
    <row r="682" spans="2:51" ht="15" customHeight="1">
      <c r="B682" s="506" t="s">
        <v>144</v>
      </c>
      <c r="C682" s="127" t="s">
        <v>138</v>
      </c>
      <c r="D682" s="144" t="s">
        <v>447</v>
      </c>
      <c r="E682" s="506">
        <v>20</v>
      </c>
      <c r="F682" s="12">
        <v>0.3</v>
      </c>
      <c r="G682" s="94">
        <f>VLOOKUP($D682,Construction!$B:$E,(COLUMN(Construction_BuildingReward_HeroXP)-COLUMN(Construction_Name_and_Level)+1),FALSE)</f>
        <v>50</v>
      </c>
      <c r="H682" s="94">
        <f t="shared" si="211"/>
        <v>65</v>
      </c>
      <c r="J682" s="95">
        <f>VLOOKUP($D682,Construction!$B:$F,(COLUMN(Construction_BuildingReward_Power)-COLUMN(Construction_Name_and_Level)+1),FALSE)</f>
        <v>15</v>
      </c>
      <c r="Q682" s="139">
        <v>3.472222222222222E-3</v>
      </c>
      <c r="R682" s="289">
        <v>8.3333333333333332E-3</v>
      </c>
      <c r="AF682" s="141"/>
      <c r="AG682" s="141"/>
      <c r="AH682" s="137"/>
      <c r="AI682" s="484"/>
      <c r="AJ682" s="137">
        <f t="shared" si="197"/>
        <v>0.21874999999999997</v>
      </c>
      <c r="AK682" s="339">
        <v>0.41</v>
      </c>
      <c r="AL682" s="138">
        <f>VLOOKUP($D682,Construction!$B:$C,(COLUMN(Construction_Time)-COLUMN(Construction_Name_and_Level)+1),FALSE)</f>
        <v>3.7037037037037034E-3</v>
      </c>
      <c r="AM682" s="138">
        <f t="shared" si="215"/>
        <v>2.6267402153926974E-3</v>
      </c>
      <c r="AN682" s="138">
        <f t="shared" si="213"/>
        <v>0</v>
      </c>
      <c r="AO682" s="139">
        <f t="shared" si="214"/>
        <v>0</v>
      </c>
      <c r="AU682" s="94">
        <f>VLOOKUP($D682,Construction!$B:$J,(COLUMN(Construction_BuildingCost_Stone)-COLUMN(Construction_Name_and_Level)+1),FALSE)*(-1)</f>
        <v>-289</v>
      </c>
      <c r="AV682" s="94">
        <f>VLOOKUP($D682,Construction!$B:$J,(COLUMN(Construction_BuildingCost_Wood)-COLUMN(Construction_Name_and_Level)+1),FALSE)*(-1)</f>
        <v>-289</v>
      </c>
      <c r="AW682" s="94">
        <f>VLOOKUP($D682,Construction!$B:$J,(COLUMN(Construction_BuildingCost_Ore)-COLUMN(Construction_Name_and_Level)+1),FALSE)*(-1)</f>
        <v>0</v>
      </c>
      <c r="AX682" s="94">
        <f>VLOOKUP($D682,Construction!$B:$J,(COLUMN(Construction_BuildingCost_Food)-COLUMN(Construction_Name_and_Level)+1),FALSE)*(-1)</f>
        <v>-289</v>
      </c>
    </row>
    <row r="683" spans="2:51" ht="15" customHeight="1">
      <c r="B683" s="506" t="s">
        <v>144</v>
      </c>
      <c r="C683" s="127" t="s">
        <v>138</v>
      </c>
      <c r="D683" s="144" t="s">
        <v>448</v>
      </c>
      <c r="E683" s="506">
        <v>20</v>
      </c>
      <c r="F683" s="12">
        <v>0.3</v>
      </c>
      <c r="G683" s="94">
        <f>VLOOKUP($D683,Construction!$B:$E,(COLUMN(Construction_BuildingReward_HeroXP)-COLUMN(Construction_Name_and_Level)+1),FALSE)</f>
        <v>200</v>
      </c>
      <c r="H683" s="94">
        <f t="shared" si="211"/>
        <v>260</v>
      </c>
      <c r="J683" s="95">
        <f>VLOOKUP($D683,Construction!$B:$F,(COLUMN(Construction_BuildingReward_Power)-COLUMN(Construction_Name_and_Level)+1),FALSE)</f>
        <v>25</v>
      </c>
      <c r="Q683" s="139">
        <v>3.472222222222222E-3</v>
      </c>
      <c r="R683" s="289">
        <v>8.3333333333333332E-3</v>
      </c>
      <c r="AF683" s="141"/>
      <c r="AG683" s="141"/>
      <c r="AH683" s="137"/>
      <c r="AI683" s="484"/>
      <c r="AJ683" s="137">
        <f t="shared" si="197"/>
        <v>0.21874999999999997</v>
      </c>
      <c r="AK683" s="339">
        <v>0.41</v>
      </c>
      <c r="AL683" s="138">
        <f>VLOOKUP($D683,Construction!$B:$C,(COLUMN(Construction_Time)-COLUMN(Construction_Name_and_Level)+1),FALSE)</f>
        <v>7.4074074074074068E-3</v>
      </c>
      <c r="AM683" s="138">
        <f t="shared" si="215"/>
        <v>5.2534804307853948E-3</v>
      </c>
      <c r="AN683" s="138">
        <f t="shared" si="213"/>
        <v>0</v>
      </c>
      <c r="AO683" s="139">
        <f t="shared" si="214"/>
        <v>0</v>
      </c>
      <c r="AU683" s="94">
        <f>VLOOKUP($D683,Construction!$B:$J,(COLUMN(Construction_BuildingCost_Stone)-COLUMN(Construction_Name_and_Level)+1),FALSE)*(-1)</f>
        <v>-492</v>
      </c>
      <c r="AV683" s="94">
        <f>VLOOKUP($D683,Construction!$B:$J,(COLUMN(Construction_BuildingCost_Wood)-COLUMN(Construction_Name_and_Level)+1),FALSE)*(-1)</f>
        <v>-492</v>
      </c>
      <c r="AW683" s="94">
        <f>VLOOKUP($D683,Construction!$B:$J,(COLUMN(Construction_BuildingCost_Ore)-COLUMN(Construction_Name_and_Level)+1),FALSE)*(-1)</f>
        <v>0</v>
      </c>
      <c r="AX683" s="94">
        <f>VLOOKUP($D683,Construction!$B:$J,(COLUMN(Construction_BuildingCost_Food)-COLUMN(Construction_Name_and_Level)+1),FALSE)*(-1)</f>
        <v>-492</v>
      </c>
    </row>
    <row r="684" spans="2:51" ht="15" customHeight="1">
      <c r="B684" s="506" t="s">
        <v>144</v>
      </c>
      <c r="C684" s="127" t="s">
        <v>138</v>
      </c>
      <c r="D684" s="144" t="s">
        <v>449</v>
      </c>
      <c r="E684" s="506">
        <v>20</v>
      </c>
      <c r="F684" s="12">
        <v>0.3</v>
      </c>
      <c r="G684" s="94">
        <f>VLOOKUP($D684,Construction!$B:$E,(COLUMN(Construction_BuildingReward_HeroXP)-COLUMN(Construction_Name_and_Level)+1),FALSE)</f>
        <v>400</v>
      </c>
      <c r="H684" s="94">
        <f t="shared" si="211"/>
        <v>520</v>
      </c>
      <c r="J684" s="95">
        <f>VLOOKUP($D684,Construction!$B:$F,(COLUMN(Construction_BuildingReward_Power)-COLUMN(Construction_Name_and_Level)+1),FALSE)</f>
        <v>35</v>
      </c>
      <c r="Q684" s="139">
        <v>3.472222222222222E-3</v>
      </c>
      <c r="R684" s="289">
        <v>8.3333333333333332E-3</v>
      </c>
      <c r="AF684" s="141"/>
      <c r="AG684" s="141"/>
      <c r="AH684" s="137"/>
      <c r="AI684" s="484"/>
      <c r="AJ684" s="137">
        <f t="shared" si="197"/>
        <v>0.21874999999999997</v>
      </c>
      <c r="AK684" s="339">
        <v>0.41</v>
      </c>
      <c r="AL684" s="138">
        <f>VLOOKUP($D684,Construction!$B:$C,(COLUMN(Construction_Time)-COLUMN(Construction_Name_and_Level)+1),FALSE)</f>
        <v>1.4814814814814814E-2</v>
      </c>
      <c r="AM684" s="138">
        <f t="shared" si="215"/>
        <v>1.050696086157079E-2</v>
      </c>
      <c r="AN684" s="138">
        <f t="shared" si="213"/>
        <v>0</v>
      </c>
      <c r="AO684" s="139">
        <f t="shared" si="214"/>
        <v>0</v>
      </c>
      <c r="AU684" s="94">
        <f>VLOOKUP($D684,Construction!$B:$J,(COLUMN(Construction_BuildingCost_Stone)-COLUMN(Construction_Name_and_Level)+1),FALSE)*(-1)</f>
        <v>-837</v>
      </c>
      <c r="AV684" s="94">
        <f>VLOOKUP($D684,Construction!$B:$J,(COLUMN(Construction_BuildingCost_Wood)-COLUMN(Construction_Name_and_Level)+1),FALSE)*(-1)</f>
        <v>-837</v>
      </c>
      <c r="AW684" s="94">
        <f>VLOOKUP($D684,Construction!$B:$J,(COLUMN(Construction_BuildingCost_Ore)-COLUMN(Construction_Name_and_Level)+1),FALSE)*(-1)</f>
        <v>0</v>
      </c>
      <c r="AX684" s="94">
        <f>VLOOKUP($D684,Construction!$B:$J,(COLUMN(Construction_BuildingCost_Food)-COLUMN(Construction_Name_and_Level)+1),FALSE)*(-1)</f>
        <v>-837</v>
      </c>
    </row>
    <row r="685" spans="2:51" ht="15" customHeight="1">
      <c r="B685" s="506" t="s">
        <v>144</v>
      </c>
      <c r="C685" s="127" t="s">
        <v>138</v>
      </c>
      <c r="D685" s="144" t="s">
        <v>450</v>
      </c>
      <c r="E685" s="506">
        <v>20</v>
      </c>
      <c r="F685" s="12">
        <v>0.3</v>
      </c>
      <c r="G685" s="94">
        <f>VLOOKUP($D685,Construction!$B:$E,(COLUMN(Construction_BuildingReward_HeroXP)-COLUMN(Construction_Name_and_Level)+1),FALSE)</f>
        <v>500</v>
      </c>
      <c r="H685" s="94">
        <f t="shared" si="211"/>
        <v>650</v>
      </c>
      <c r="J685" s="95">
        <f>VLOOKUP($D685,Construction!$B:$F,(COLUMN(Construction_BuildingReward_Power)-COLUMN(Construction_Name_and_Level)+1),FALSE)</f>
        <v>55</v>
      </c>
      <c r="Q685" s="139">
        <v>3.472222222222222E-3</v>
      </c>
      <c r="R685" s="289">
        <v>8.3333333333333332E-3</v>
      </c>
      <c r="AF685" s="141"/>
      <c r="AG685" s="141"/>
      <c r="AH685" s="137"/>
      <c r="AI685" s="484"/>
      <c r="AJ685" s="137">
        <f t="shared" si="197"/>
        <v>0.21874999999999997</v>
      </c>
      <c r="AK685" s="339">
        <v>0.41</v>
      </c>
      <c r="AL685" s="138">
        <f>VLOOKUP($D685,Construction!$B:$C,(COLUMN(Construction_Time)-COLUMN(Construction_Name_and_Level)+1),FALSE)</f>
        <v>2.9629629629629627E-2</v>
      </c>
      <c r="AM685" s="138">
        <f t="shared" si="215"/>
        <v>2.1013921723141579E-2</v>
      </c>
      <c r="AN685" s="138">
        <f t="shared" si="213"/>
        <v>0</v>
      </c>
      <c r="AO685" s="139">
        <f t="shared" si="214"/>
        <v>9.2083661675860223E-3</v>
      </c>
      <c r="AU685" s="94">
        <f>VLOOKUP($D685,Construction!$B:$J,(COLUMN(Construction_BuildingCost_Stone)-COLUMN(Construction_Name_and_Level)+1),FALSE)*(-1)</f>
        <v>-1674</v>
      </c>
      <c r="AV685" s="94">
        <f>VLOOKUP($D685,Construction!$B:$J,(COLUMN(Construction_BuildingCost_Wood)-COLUMN(Construction_Name_and_Level)+1),FALSE)*(-1)</f>
        <v>-1674</v>
      </c>
      <c r="AW685" s="94">
        <f>VLOOKUP($D685,Construction!$B:$J,(COLUMN(Construction_BuildingCost_Ore)-COLUMN(Construction_Name_and_Level)+1),FALSE)*(-1)</f>
        <v>0</v>
      </c>
      <c r="AX685" s="94">
        <f>VLOOKUP($D685,Construction!$B:$J,(COLUMN(Construction_BuildingCost_Food)-COLUMN(Construction_Name_and_Level)+1),FALSE)*(-1)</f>
        <v>-1674</v>
      </c>
    </row>
    <row r="686" spans="2:51" ht="15" customHeight="1">
      <c r="B686" s="506" t="s">
        <v>624</v>
      </c>
      <c r="C686" s="127" t="s">
        <v>670</v>
      </c>
      <c r="E686" s="506">
        <v>20</v>
      </c>
      <c r="AF686" s="141"/>
      <c r="AG686" s="141"/>
      <c r="AH686" s="137"/>
      <c r="AI686" s="484"/>
      <c r="AJ686" s="137">
        <f t="shared" si="197"/>
        <v>0.21874999999999997</v>
      </c>
      <c r="AY686" s="31">
        <v>7970</v>
      </c>
    </row>
    <row r="687" spans="2:51" ht="15" customHeight="1">
      <c r="B687" s="506" t="s">
        <v>144</v>
      </c>
      <c r="C687" s="127" t="s">
        <v>138</v>
      </c>
      <c r="D687" s="144" t="s">
        <v>1510</v>
      </c>
      <c r="E687" s="506">
        <v>20</v>
      </c>
      <c r="F687" s="12">
        <v>0.3</v>
      </c>
      <c r="G687" s="94">
        <f>VLOOKUP($D687,Construction!$B:$E,(COLUMN(Construction_BuildingReward_HeroXP)-COLUMN(Construction_Name_and_Level)+1),FALSE)</f>
        <v>10</v>
      </c>
      <c r="H687" s="94">
        <f t="shared" ref="H687:H692" si="216">G687*(1+F687)</f>
        <v>13</v>
      </c>
      <c r="J687" s="95">
        <f>VLOOKUP($D687,Construction!$B:$F,(COLUMN(Construction_BuildingReward_Power)-COLUMN(Construction_Name_and_Level)+1),FALSE)</f>
        <v>10</v>
      </c>
      <c r="Q687" s="139">
        <v>3.472222222222222E-3</v>
      </c>
      <c r="R687" s="289">
        <v>8.3333333333333332E-3</v>
      </c>
      <c r="AF687" s="141"/>
      <c r="AG687" s="141"/>
      <c r="AH687" s="137"/>
      <c r="AI687" s="484"/>
      <c r="AJ687" s="137">
        <f t="shared" si="197"/>
        <v>0.21874999999999997</v>
      </c>
      <c r="AK687" s="339">
        <v>0.41</v>
      </c>
      <c r="AL687" s="138">
        <f>VLOOKUP($D687,Construction!$B:$C,(COLUMN(Construction_Time)-COLUMN(Construction_Name_and_Level)+1),FALSE)</f>
        <v>6.9444444444444447E-4</v>
      </c>
      <c r="AM687" s="138">
        <f t="shared" ref="AM687:AM692" si="217">AL687/(1+AK687)</f>
        <v>4.9251379038613087E-4</v>
      </c>
      <c r="AN687" s="138">
        <f t="shared" ref="AN687:AN692" si="218">(S$3*S687+T$3*T687+V$3*V687+W$3*W687+X$3*X687+Y$3*Y687+Z$3*Z687+AA$3*AA687+AB$3*AB687+AC$3*AC687)*(-1)</f>
        <v>0</v>
      </c>
      <c r="AO687" s="139">
        <f t="shared" ref="AO687:AO692" si="219">IF((AM687-Q687-R687-AN687)&gt;=0,AM687-Q687-R687-AN687,0)</f>
        <v>0</v>
      </c>
      <c r="AU687" s="94">
        <f>VLOOKUP($D687,Construction!$B:$J,(COLUMN(Construction_BuildingCost_Stone)-COLUMN(Construction_Name_and_Level)+1),FALSE)*(-1)</f>
        <v>-200</v>
      </c>
      <c r="AV687" s="94">
        <f>VLOOKUP($D687,Construction!$B:$J,(COLUMN(Construction_BuildingCost_Wood)-COLUMN(Construction_Name_and_Level)+1),FALSE)*(-1)</f>
        <v>-200</v>
      </c>
      <c r="AW687" s="94">
        <f>VLOOKUP($D687,Construction!$B:$J,(COLUMN(Construction_BuildingCost_Ore)-COLUMN(Construction_Name_and_Level)+1),FALSE)*(-1)</f>
        <v>-50</v>
      </c>
      <c r="AX687" s="94">
        <f>VLOOKUP($D687,Construction!$B:$J,(COLUMN(Construction_BuildingCost_Food)-COLUMN(Construction_Name_and_Level)+1),FALSE)*(-1)</f>
        <v>-500</v>
      </c>
    </row>
    <row r="688" spans="2:51" ht="15" customHeight="1">
      <c r="B688" s="506" t="s">
        <v>144</v>
      </c>
      <c r="C688" s="127" t="s">
        <v>138</v>
      </c>
      <c r="D688" s="144" t="s">
        <v>664</v>
      </c>
      <c r="E688" s="506">
        <v>20</v>
      </c>
      <c r="F688" s="12">
        <v>0.3</v>
      </c>
      <c r="G688" s="94">
        <f>VLOOKUP($D688,Construction!$B:$E,(COLUMN(Construction_BuildingReward_HeroXP)-COLUMN(Construction_Name_and_Level)+1),FALSE)</f>
        <v>25</v>
      </c>
      <c r="H688" s="94">
        <f t="shared" si="216"/>
        <v>32.5</v>
      </c>
      <c r="J688" s="95">
        <f>VLOOKUP($D688,Construction!$B:$F,(COLUMN(Construction_BuildingReward_Power)-COLUMN(Construction_Name_and_Level)+1),FALSE)</f>
        <v>25</v>
      </c>
      <c r="Q688" s="139">
        <v>3.472222222222222E-3</v>
      </c>
      <c r="R688" s="289">
        <v>8.3333333333333332E-3</v>
      </c>
      <c r="AF688" s="141"/>
      <c r="AG688" s="141"/>
      <c r="AH688" s="137"/>
      <c r="AI688" s="484"/>
      <c r="AJ688" s="137">
        <f t="shared" si="197"/>
        <v>0.21874999999999997</v>
      </c>
      <c r="AK688" s="339">
        <v>0.41</v>
      </c>
      <c r="AL688" s="138">
        <f>VLOOKUP($D688,Construction!$B:$C,(COLUMN(Construction_Time)-COLUMN(Construction_Name_and_Level)+1),FALSE)</f>
        <v>1.1574074074074073E-3</v>
      </c>
      <c r="AM688" s="138">
        <f t="shared" si="217"/>
        <v>8.2085631731021805E-4</v>
      </c>
      <c r="AN688" s="138">
        <f t="shared" si="218"/>
        <v>0</v>
      </c>
      <c r="AO688" s="139">
        <f t="shared" si="219"/>
        <v>0</v>
      </c>
      <c r="AU688" s="94">
        <f>VLOOKUP($D688,Construction!$B:$J,(COLUMN(Construction_BuildingCost_Stone)-COLUMN(Construction_Name_and_Level)+1),FALSE)*(-1)</f>
        <v>-340</v>
      </c>
      <c r="AV688" s="94">
        <f>VLOOKUP($D688,Construction!$B:$J,(COLUMN(Construction_BuildingCost_Wood)-COLUMN(Construction_Name_and_Level)+1),FALSE)*(-1)</f>
        <v>-340</v>
      </c>
      <c r="AW688" s="94">
        <f>VLOOKUP($D688,Construction!$B:$J,(COLUMN(Construction_BuildingCost_Ore)-COLUMN(Construction_Name_and_Level)+1),FALSE)*(-1)</f>
        <v>-85</v>
      </c>
      <c r="AX688" s="94">
        <f>VLOOKUP($D688,Construction!$B:$J,(COLUMN(Construction_BuildingCost_Food)-COLUMN(Construction_Name_and_Level)+1),FALSE)*(-1)</f>
        <v>-850</v>
      </c>
    </row>
    <row r="689" spans="2:108" ht="15" customHeight="1">
      <c r="B689" s="506" t="s">
        <v>144</v>
      </c>
      <c r="C689" s="127" t="s">
        <v>138</v>
      </c>
      <c r="D689" s="144" t="s">
        <v>213</v>
      </c>
      <c r="E689" s="506">
        <v>20</v>
      </c>
      <c r="F689" s="12">
        <v>0.3</v>
      </c>
      <c r="G689" s="94">
        <f>VLOOKUP($D689,Construction!$B:$E,(COLUMN(Construction_BuildingReward_HeroXP)-COLUMN(Construction_Name_and_Level)+1),FALSE)</f>
        <v>50</v>
      </c>
      <c r="H689" s="94">
        <f t="shared" si="216"/>
        <v>65</v>
      </c>
      <c r="J689" s="95">
        <f>VLOOKUP($D689,Construction!$B:$F,(COLUMN(Construction_BuildingReward_Power)-COLUMN(Construction_Name_and_Level)+1),FALSE)</f>
        <v>40</v>
      </c>
      <c r="Q689" s="139">
        <v>3.472222222222222E-3</v>
      </c>
      <c r="R689" s="289">
        <v>8.3333333333333332E-3</v>
      </c>
      <c r="AF689" s="141"/>
      <c r="AG689" s="141"/>
      <c r="AH689" s="137"/>
      <c r="AI689" s="484"/>
      <c r="AJ689" s="137">
        <f t="shared" si="197"/>
        <v>0.21874999999999997</v>
      </c>
      <c r="AK689" s="339">
        <v>0.41</v>
      </c>
      <c r="AL689" s="138">
        <f>VLOOKUP($D689,Construction!$B:$C,(COLUMN(Construction_Time)-COLUMN(Construction_Name_and_Level)+1),FALSE)</f>
        <v>2.3148148148148151E-3</v>
      </c>
      <c r="AM689" s="138">
        <f t="shared" si="217"/>
        <v>1.6417126346204363E-3</v>
      </c>
      <c r="AN689" s="138">
        <f t="shared" si="218"/>
        <v>0</v>
      </c>
      <c r="AO689" s="139">
        <f t="shared" si="219"/>
        <v>0</v>
      </c>
      <c r="AU689" s="94">
        <f>VLOOKUP($D689,Construction!$B:$J,(COLUMN(Construction_BuildingCost_Stone)-COLUMN(Construction_Name_and_Level)+1),FALSE)*(-1)</f>
        <v>-578</v>
      </c>
      <c r="AV689" s="94">
        <f>VLOOKUP($D689,Construction!$B:$J,(COLUMN(Construction_BuildingCost_Wood)-COLUMN(Construction_Name_and_Level)+1),FALSE)*(-1)</f>
        <v>-578</v>
      </c>
      <c r="AW689" s="94">
        <f>VLOOKUP($D689,Construction!$B:$J,(COLUMN(Construction_BuildingCost_Ore)-COLUMN(Construction_Name_and_Level)+1),FALSE)*(-1)</f>
        <v>-145</v>
      </c>
      <c r="AX689" s="94">
        <f>VLOOKUP($D689,Construction!$B:$J,(COLUMN(Construction_BuildingCost_Food)-COLUMN(Construction_Name_and_Level)+1),FALSE)*(-1)</f>
        <v>-1445</v>
      </c>
    </row>
    <row r="690" spans="2:108" ht="15" customHeight="1">
      <c r="B690" s="506" t="s">
        <v>144</v>
      </c>
      <c r="C690" s="127" t="s">
        <v>138</v>
      </c>
      <c r="D690" s="144" t="s">
        <v>214</v>
      </c>
      <c r="E690" s="506">
        <v>20</v>
      </c>
      <c r="F690" s="12">
        <v>0.3</v>
      </c>
      <c r="G690" s="94">
        <f>VLOOKUP($D690,Construction!$B:$E,(COLUMN(Construction_BuildingReward_HeroXP)-COLUMN(Construction_Name_and_Level)+1),FALSE)</f>
        <v>200</v>
      </c>
      <c r="H690" s="94">
        <f t="shared" si="216"/>
        <v>260</v>
      </c>
      <c r="J690" s="95">
        <f>VLOOKUP($D690,Construction!$B:$F,(COLUMN(Construction_BuildingReward_Power)-COLUMN(Construction_Name_and_Level)+1),FALSE)</f>
        <v>60</v>
      </c>
      <c r="Q690" s="139">
        <v>3.472222222222222E-3</v>
      </c>
      <c r="R690" s="289">
        <v>8.3333333333333332E-3</v>
      </c>
      <c r="AF690" s="141"/>
      <c r="AG690" s="141"/>
      <c r="AH690" s="137"/>
      <c r="AI690" s="484"/>
      <c r="AJ690" s="137">
        <f t="shared" si="197"/>
        <v>0.21874999999999997</v>
      </c>
      <c r="AK690" s="339">
        <v>0.41</v>
      </c>
      <c r="AL690" s="138">
        <f>VLOOKUP($D690,Construction!$B:$C,(COLUMN(Construction_Time)-COLUMN(Construction_Name_and_Level)+1),FALSE)</f>
        <v>4.6296296296296302E-3</v>
      </c>
      <c r="AM690" s="138">
        <f t="shared" si="217"/>
        <v>3.2834252692408726E-3</v>
      </c>
      <c r="AN690" s="138">
        <f t="shared" si="218"/>
        <v>0</v>
      </c>
      <c r="AO690" s="139">
        <f t="shared" si="219"/>
        <v>0</v>
      </c>
      <c r="AU690" s="94">
        <f>VLOOKUP($D690,Construction!$B:$J,(COLUMN(Construction_BuildingCost_Stone)-COLUMN(Construction_Name_and_Level)+1),FALSE)*(-1)</f>
        <v>-983</v>
      </c>
      <c r="AV690" s="94">
        <f>VLOOKUP($D690,Construction!$B:$J,(COLUMN(Construction_BuildingCost_Wood)-COLUMN(Construction_Name_and_Level)+1),FALSE)*(-1)</f>
        <v>-983</v>
      </c>
      <c r="AW690" s="94">
        <f>VLOOKUP($D690,Construction!$B:$J,(COLUMN(Construction_BuildingCost_Ore)-COLUMN(Construction_Name_and_Level)+1),FALSE)*(-1)</f>
        <v>-247</v>
      </c>
      <c r="AX690" s="94">
        <f>VLOOKUP($D690,Construction!$B:$J,(COLUMN(Construction_BuildingCost_Food)-COLUMN(Construction_Name_and_Level)+1),FALSE)*(-1)</f>
        <v>-2457</v>
      </c>
    </row>
    <row r="691" spans="2:108" ht="15" customHeight="1">
      <c r="B691" s="506" t="s">
        <v>144</v>
      </c>
      <c r="C691" s="127" t="s">
        <v>138</v>
      </c>
      <c r="D691" s="144" t="s">
        <v>215</v>
      </c>
      <c r="E691" s="506">
        <v>20</v>
      </c>
      <c r="F691" s="12">
        <v>0.3</v>
      </c>
      <c r="G691" s="94">
        <f>VLOOKUP($D691,Construction!$B:$E,(COLUMN(Construction_BuildingReward_HeroXP)-COLUMN(Construction_Name_and_Level)+1),FALSE)</f>
        <v>400</v>
      </c>
      <c r="H691" s="94">
        <f t="shared" si="216"/>
        <v>520</v>
      </c>
      <c r="J691" s="95">
        <f>VLOOKUP($D691,Construction!$B:$F,(COLUMN(Construction_BuildingReward_Power)-COLUMN(Construction_Name_and_Level)+1),FALSE)</f>
        <v>90</v>
      </c>
      <c r="Q691" s="139">
        <v>3.472222222222222E-3</v>
      </c>
      <c r="R691" s="289">
        <v>8.3333333333333332E-3</v>
      </c>
      <c r="AF691" s="141"/>
      <c r="AG691" s="141"/>
      <c r="AH691" s="137"/>
      <c r="AI691" s="484"/>
      <c r="AJ691" s="137">
        <f t="shared" si="197"/>
        <v>0.21874999999999997</v>
      </c>
      <c r="AK691" s="339">
        <v>0.41</v>
      </c>
      <c r="AL691" s="138">
        <f>VLOOKUP($D691,Construction!$B:$C,(COLUMN(Construction_Time)-COLUMN(Construction_Name_and_Level)+1),FALSE)</f>
        <v>9.2592592592592605E-3</v>
      </c>
      <c r="AM691" s="138">
        <f t="shared" si="217"/>
        <v>6.5668505384817452E-3</v>
      </c>
      <c r="AN691" s="138">
        <f t="shared" si="218"/>
        <v>0</v>
      </c>
      <c r="AO691" s="139">
        <f t="shared" si="219"/>
        <v>0</v>
      </c>
      <c r="AU691" s="94">
        <f>VLOOKUP($D691,Construction!$B:$J,(COLUMN(Construction_BuildingCost_Stone)-COLUMN(Construction_Name_and_Level)+1),FALSE)*(-1)</f>
        <v>-1672</v>
      </c>
      <c r="AV691" s="94">
        <f>VLOOKUP($D691,Construction!$B:$J,(COLUMN(Construction_BuildingCost_Wood)-COLUMN(Construction_Name_and_Level)+1),FALSE)*(-1)</f>
        <v>-1672</v>
      </c>
      <c r="AW691" s="94">
        <f>VLOOKUP($D691,Construction!$B:$J,(COLUMN(Construction_BuildingCost_Ore)-COLUMN(Construction_Name_and_Level)+1),FALSE)*(-1)</f>
        <v>-420</v>
      </c>
      <c r="AX691" s="94">
        <f>VLOOKUP($D691,Construction!$B:$J,(COLUMN(Construction_BuildingCost_Food)-COLUMN(Construction_Name_and_Level)+1),FALSE)*(-1)</f>
        <v>-4177</v>
      </c>
    </row>
    <row r="692" spans="2:108" ht="15" customHeight="1">
      <c r="B692" s="506" t="s">
        <v>144</v>
      </c>
      <c r="C692" s="127" t="s">
        <v>138</v>
      </c>
      <c r="D692" s="144" t="s">
        <v>216</v>
      </c>
      <c r="E692" s="506">
        <v>20</v>
      </c>
      <c r="F692" s="12">
        <v>0.3</v>
      </c>
      <c r="G692" s="94">
        <f>VLOOKUP($D692,Construction!$B:$E,(COLUMN(Construction_BuildingReward_HeroXP)-COLUMN(Construction_Name_and_Level)+1),FALSE)</f>
        <v>500</v>
      </c>
      <c r="H692" s="94">
        <f t="shared" si="216"/>
        <v>650</v>
      </c>
      <c r="J692" s="95">
        <f>VLOOKUP($D692,Construction!$B:$F,(COLUMN(Construction_BuildingReward_Power)-COLUMN(Construction_Name_and_Level)+1),FALSE)</f>
        <v>135</v>
      </c>
      <c r="Q692" s="139">
        <v>3.472222222222222E-3</v>
      </c>
      <c r="R692" s="289">
        <v>8.3333333333333332E-3</v>
      </c>
      <c r="AF692" s="141"/>
      <c r="AG692" s="141"/>
      <c r="AH692" s="137"/>
      <c r="AI692" s="484"/>
      <c r="AJ692" s="137">
        <f t="shared" si="197"/>
        <v>0.21874999999999997</v>
      </c>
      <c r="AK692" s="339">
        <v>0.41</v>
      </c>
      <c r="AL692" s="138">
        <f>VLOOKUP($D692,Construction!$B:$C,(COLUMN(Construction_Time)-COLUMN(Construction_Name_and_Level)+1),FALSE)</f>
        <v>1.8518518518518521E-2</v>
      </c>
      <c r="AM692" s="138">
        <f t="shared" si="217"/>
        <v>1.313370107696349E-2</v>
      </c>
      <c r="AN692" s="138">
        <f t="shared" si="218"/>
        <v>0</v>
      </c>
      <c r="AO692" s="139">
        <f t="shared" si="219"/>
        <v>1.3281455214079353E-3</v>
      </c>
      <c r="AU692" s="94">
        <f>VLOOKUP($D692,Construction!$B:$J,(COLUMN(Construction_BuildingCost_Stone)-COLUMN(Construction_Name_and_Level)+1),FALSE)*(-1)</f>
        <v>-3344</v>
      </c>
      <c r="AV692" s="94">
        <f>VLOOKUP($D692,Construction!$B:$J,(COLUMN(Construction_BuildingCost_Wood)-COLUMN(Construction_Name_and_Level)+1),FALSE)*(-1)</f>
        <v>-3344</v>
      </c>
      <c r="AW692" s="94">
        <f>VLOOKUP($D692,Construction!$B:$J,(COLUMN(Construction_BuildingCost_Ore)-COLUMN(Construction_Name_and_Level)+1),FALSE)*(-1)</f>
        <v>-840</v>
      </c>
      <c r="AX692" s="94">
        <f>VLOOKUP($D692,Construction!$B:$J,(COLUMN(Construction_BuildingCost_Food)-COLUMN(Construction_Name_and_Level)+1),FALSE)*(-1)</f>
        <v>-8354</v>
      </c>
    </row>
    <row r="693" spans="2:108" ht="15" customHeight="1">
      <c r="B693" s="113" t="s">
        <v>1483</v>
      </c>
      <c r="C693" s="127" t="s">
        <v>619</v>
      </c>
      <c r="D693" s="127">
        <v>150</v>
      </c>
      <c r="E693" s="506">
        <v>20</v>
      </c>
      <c r="G693" s="7"/>
      <c r="H693" s="7"/>
      <c r="J693" s="114">
        <f>VLOOKUP($C693,Troop!$B:$AK,(COLUMN(Troop_TrainingReward_Power)-COLUMN(Troop_Name)+1),FALSE)*$D693</f>
        <v>300</v>
      </c>
      <c r="AF693" s="141"/>
      <c r="AG693" s="141"/>
      <c r="AH693" s="137"/>
      <c r="AI693" s="484"/>
      <c r="AJ693" s="137">
        <f t="shared" si="197"/>
        <v>0.21874999999999997</v>
      </c>
      <c r="AU693" s="296">
        <f>VLOOKUP($C693,Troop!$B:$P,(COLUMN(Troop_TrainingCost_Stone)-COLUMN(Troop_Name)+1),FALSE)*$D693*(-1)</f>
        <v>-15000</v>
      </c>
      <c r="AV693" s="296">
        <f>VLOOKUP($C693,Troop!$B:$P,(COLUMN(Troop_TrainingCost_Wood)-COLUMN(Troop_Name)+1),FALSE)*$D693*(-1)</f>
        <v>-15000</v>
      </c>
      <c r="AW693" s="296">
        <f>VLOOKUP($C693,Troop!$B:$P,(COLUMN(Troop_TrainingCost_Ore)-COLUMN(Troop_Name)+1),FALSE)*$D693*(-1)</f>
        <v>0</v>
      </c>
      <c r="AX693" s="296">
        <f>VLOOKUP($C693,Troop!$B:$P,(COLUMN(Troop_TrainingCost_Food)-COLUMN(Troop_Name)+1),FALSE)*$D693*(-1)</f>
        <v>-15000</v>
      </c>
      <c r="AY693" s="114">
        <f>VLOOKUP($C693,Troop!$B:$P,(COLUMN(Troop_TrainingCost_Silver)-COLUMN(Troop_Name)+1),FALSE)*$D693*(-1)</f>
        <v>0</v>
      </c>
      <c r="CT693" s="128"/>
      <c r="CU693" s="128"/>
      <c r="CV693" s="128"/>
      <c r="CW693" s="128"/>
      <c r="CX693" s="128"/>
      <c r="CY693" s="128"/>
      <c r="CZ693" s="128"/>
      <c r="DA693" s="128"/>
      <c r="DB693" s="128"/>
      <c r="DC693" s="128"/>
      <c r="DD693" s="128"/>
    </row>
    <row r="694" spans="2:108" ht="15" customHeight="1">
      <c r="B694" s="506" t="s">
        <v>144</v>
      </c>
      <c r="C694" s="127" t="s">
        <v>138</v>
      </c>
      <c r="D694" s="144" t="s">
        <v>1510</v>
      </c>
      <c r="E694" s="506">
        <v>20</v>
      </c>
      <c r="F694" s="12">
        <v>0.3</v>
      </c>
      <c r="G694" s="94">
        <f>VLOOKUP($D694,Construction!$B:$E,(COLUMN(Construction_BuildingReward_HeroXP)-COLUMN(Construction_Name_and_Level)+1),FALSE)</f>
        <v>10</v>
      </c>
      <c r="H694" s="94">
        <f t="shared" ref="H694:H729" si="220">G694*(1+F694)</f>
        <v>13</v>
      </c>
      <c r="J694" s="95">
        <f>VLOOKUP($D694,Construction!$B:$F,(COLUMN(Construction_BuildingReward_Power)-COLUMN(Construction_Name_and_Level)+1),FALSE)</f>
        <v>10</v>
      </c>
      <c r="Q694" s="139">
        <v>3.472222222222222E-3</v>
      </c>
      <c r="R694" s="289">
        <v>8.3333333333333332E-3</v>
      </c>
      <c r="AF694" s="141"/>
      <c r="AG694" s="141"/>
      <c r="AH694" s="137"/>
      <c r="AI694" s="484"/>
      <c r="AJ694" s="137">
        <f t="shared" si="197"/>
        <v>0.21874999999999997</v>
      </c>
      <c r="AK694" s="339">
        <v>0.41</v>
      </c>
      <c r="AL694" s="138">
        <f>VLOOKUP($D694,Construction!$B:$C,(COLUMN(Construction_Time)-COLUMN(Construction_Name_and_Level)+1),FALSE)</f>
        <v>6.9444444444444447E-4</v>
      </c>
      <c r="AM694" s="138">
        <f t="shared" ref="AM694:AM699" si="221">AL694/(1+AK694)</f>
        <v>4.9251379038613087E-4</v>
      </c>
      <c r="AN694" s="138">
        <f t="shared" ref="AN694:AN700" si="222">(S$3*S694+T$3*T694+V$3*V694+W$3*W694+X$3*X694+Y$3*Y694+Z$3*Z694+AA$3*AA694+AB$3*AB694+AC$3*AC694)*(-1)</f>
        <v>0</v>
      </c>
      <c r="AO694" s="139">
        <f t="shared" ref="AO694:AO700" si="223">IF((AM694-Q694-R694-AN694)&gt;=0,AM694-Q694-R694-AN694,0)</f>
        <v>0</v>
      </c>
      <c r="AU694" s="94">
        <f>VLOOKUP($D694,Construction!$B:$J,(COLUMN(Construction_BuildingCost_Stone)-COLUMN(Construction_Name_and_Level)+1),FALSE)*(-1)</f>
        <v>-200</v>
      </c>
      <c r="AV694" s="94">
        <f>VLOOKUP($D694,Construction!$B:$J,(COLUMN(Construction_BuildingCost_Wood)-COLUMN(Construction_Name_and_Level)+1),FALSE)*(-1)</f>
        <v>-200</v>
      </c>
      <c r="AW694" s="94">
        <f>VLOOKUP($D694,Construction!$B:$J,(COLUMN(Construction_BuildingCost_Ore)-COLUMN(Construction_Name_and_Level)+1),FALSE)*(-1)</f>
        <v>-50</v>
      </c>
      <c r="AX694" s="94">
        <f>VLOOKUP($D694,Construction!$B:$J,(COLUMN(Construction_BuildingCost_Food)-COLUMN(Construction_Name_and_Level)+1),FALSE)*(-1)</f>
        <v>-500</v>
      </c>
    </row>
    <row r="695" spans="2:108" ht="15" customHeight="1">
      <c r="B695" s="506" t="s">
        <v>144</v>
      </c>
      <c r="C695" s="127" t="s">
        <v>138</v>
      </c>
      <c r="D695" s="144" t="s">
        <v>664</v>
      </c>
      <c r="E695" s="506">
        <v>20</v>
      </c>
      <c r="F695" s="12">
        <v>0.3</v>
      </c>
      <c r="G695" s="94">
        <f>VLOOKUP($D695,Construction!$B:$E,(COLUMN(Construction_BuildingReward_HeroXP)-COLUMN(Construction_Name_and_Level)+1),FALSE)</f>
        <v>25</v>
      </c>
      <c r="H695" s="94">
        <f t="shared" si="220"/>
        <v>32.5</v>
      </c>
      <c r="J695" s="95">
        <f>VLOOKUP($D695,Construction!$B:$F,(COLUMN(Construction_BuildingReward_Power)-COLUMN(Construction_Name_and_Level)+1),FALSE)</f>
        <v>25</v>
      </c>
      <c r="Q695" s="139">
        <v>3.472222222222222E-3</v>
      </c>
      <c r="R695" s="289">
        <v>8.3333333333333332E-3</v>
      </c>
      <c r="AF695" s="141"/>
      <c r="AG695" s="141"/>
      <c r="AH695" s="137"/>
      <c r="AI695" s="484"/>
      <c r="AJ695" s="137">
        <f t="shared" si="197"/>
        <v>0.21874999999999997</v>
      </c>
      <c r="AK695" s="339">
        <v>0.41</v>
      </c>
      <c r="AL695" s="138">
        <f>VLOOKUP($D695,Construction!$B:$C,(COLUMN(Construction_Time)-COLUMN(Construction_Name_and_Level)+1),FALSE)</f>
        <v>1.1574074074074073E-3</v>
      </c>
      <c r="AM695" s="138">
        <f t="shared" si="221"/>
        <v>8.2085631731021805E-4</v>
      </c>
      <c r="AN695" s="138">
        <f t="shared" si="222"/>
        <v>0</v>
      </c>
      <c r="AO695" s="139">
        <f t="shared" si="223"/>
        <v>0</v>
      </c>
      <c r="AU695" s="94">
        <f>VLOOKUP($D695,Construction!$B:$J,(COLUMN(Construction_BuildingCost_Stone)-COLUMN(Construction_Name_and_Level)+1),FALSE)*(-1)</f>
        <v>-340</v>
      </c>
      <c r="AV695" s="94">
        <f>VLOOKUP($D695,Construction!$B:$J,(COLUMN(Construction_BuildingCost_Wood)-COLUMN(Construction_Name_and_Level)+1),FALSE)*(-1)</f>
        <v>-340</v>
      </c>
      <c r="AW695" s="94">
        <f>VLOOKUP($D695,Construction!$B:$J,(COLUMN(Construction_BuildingCost_Ore)-COLUMN(Construction_Name_and_Level)+1),FALSE)*(-1)</f>
        <v>-85</v>
      </c>
      <c r="AX695" s="94">
        <f>VLOOKUP($D695,Construction!$B:$J,(COLUMN(Construction_BuildingCost_Food)-COLUMN(Construction_Name_and_Level)+1),FALSE)*(-1)</f>
        <v>-850</v>
      </c>
    </row>
    <row r="696" spans="2:108" ht="15" customHeight="1">
      <c r="B696" s="506" t="s">
        <v>144</v>
      </c>
      <c r="C696" s="127" t="s">
        <v>138</v>
      </c>
      <c r="D696" s="144" t="s">
        <v>213</v>
      </c>
      <c r="E696" s="506">
        <v>20</v>
      </c>
      <c r="F696" s="12">
        <v>0.3</v>
      </c>
      <c r="G696" s="94">
        <f>VLOOKUP($D696,Construction!$B:$E,(COLUMN(Construction_BuildingReward_HeroXP)-COLUMN(Construction_Name_and_Level)+1),FALSE)</f>
        <v>50</v>
      </c>
      <c r="H696" s="94">
        <f t="shared" si="220"/>
        <v>65</v>
      </c>
      <c r="J696" s="95">
        <f>VLOOKUP($D696,Construction!$B:$F,(COLUMN(Construction_BuildingReward_Power)-COLUMN(Construction_Name_and_Level)+1),FALSE)</f>
        <v>40</v>
      </c>
      <c r="Q696" s="139">
        <v>3.472222222222222E-3</v>
      </c>
      <c r="R696" s="289">
        <v>8.3333333333333332E-3</v>
      </c>
      <c r="AF696" s="141"/>
      <c r="AG696" s="141"/>
      <c r="AH696" s="137"/>
      <c r="AI696" s="484"/>
      <c r="AJ696" s="137">
        <f t="shared" si="197"/>
        <v>0.21874999999999997</v>
      </c>
      <c r="AK696" s="339">
        <v>0.41</v>
      </c>
      <c r="AL696" s="138">
        <f>VLOOKUP($D696,Construction!$B:$C,(COLUMN(Construction_Time)-COLUMN(Construction_Name_and_Level)+1),FALSE)</f>
        <v>2.3148148148148151E-3</v>
      </c>
      <c r="AM696" s="138">
        <f t="shared" si="221"/>
        <v>1.6417126346204363E-3</v>
      </c>
      <c r="AN696" s="138">
        <f t="shared" si="222"/>
        <v>0</v>
      </c>
      <c r="AO696" s="139">
        <f t="shared" si="223"/>
        <v>0</v>
      </c>
      <c r="AU696" s="94">
        <f>VLOOKUP($D696,Construction!$B:$J,(COLUMN(Construction_BuildingCost_Stone)-COLUMN(Construction_Name_and_Level)+1),FALSE)*(-1)</f>
        <v>-578</v>
      </c>
      <c r="AV696" s="94">
        <f>VLOOKUP($D696,Construction!$B:$J,(COLUMN(Construction_BuildingCost_Wood)-COLUMN(Construction_Name_and_Level)+1),FALSE)*(-1)</f>
        <v>-578</v>
      </c>
      <c r="AW696" s="94">
        <f>VLOOKUP($D696,Construction!$B:$J,(COLUMN(Construction_BuildingCost_Ore)-COLUMN(Construction_Name_and_Level)+1),FALSE)*(-1)</f>
        <v>-145</v>
      </c>
      <c r="AX696" s="94">
        <f>VLOOKUP($D696,Construction!$B:$J,(COLUMN(Construction_BuildingCost_Food)-COLUMN(Construction_Name_and_Level)+1),FALSE)*(-1)</f>
        <v>-1445</v>
      </c>
    </row>
    <row r="697" spans="2:108" ht="15" customHeight="1">
      <c r="B697" s="506" t="s">
        <v>144</v>
      </c>
      <c r="C697" s="127" t="s">
        <v>138</v>
      </c>
      <c r="D697" s="144" t="s">
        <v>214</v>
      </c>
      <c r="E697" s="506">
        <v>20</v>
      </c>
      <c r="F697" s="12">
        <v>0.3</v>
      </c>
      <c r="G697" s="94">
        <f>VLOOKUP($D697,Construction!$B:$E,(COLUMN(Construction_BuildingReward_HeroXP)-COLUMN(Construction_Name_and_Level)+1),FALSE)</f>
        <v>200</v>
      </c>
      <c r="H697" s="94">
        <f t="shared" si="220"/>
        <v>260</v>
      </c>
      <c r="J697" s="95">
        <f>VLOOKUP($D697,Construction!$B:$F,(COLUMN(Construction_BuildingReward_Power)-COLUMN(Construction_Name_and_Level)+1),FALSE)</f>
        <v>60</v>
      </c>
      <c r="Q697" s="139">
        <v>3.472222222222222E-3</v>
      </c>
      <c r="R697" s="289">
        <v>8.3333333333333332E-3</v>
      </c>
      <c r="AF697" s="141"/>
      <c r="AG697" s="141"/>
      <c r="AH697" s="137"/>
      <c r="AI697" s="484"/>
      <c r="AJ697" s="137">
        <f t="shared" si="197"/>
        <v>0.21874999999999997</v>
      </c>
      <c r="AK697" s="339">
        <v>0.41</v>
      </c>
      <c r="AL697" s="138">
        <f>VLOOKUP($D697,Construction!$B:$C,(COLUMN(Construction_Time)-COLUMN(Construction_Name_and_Level)+1),FALSE)</f>
        <v>4.6296296296296302E-3</v>
      </c>
      <c r="AM697" s="138">
        <f t="shared" si="221"/>
        <v>3.2834252692408726E-3</v>
      </c>
      <c r="AN697" s="138">
        <f t="shared" si="222"/>
        <v>0</v>
      </c>
      <c r="AO697" s="139">
        <f t="shared" si="223"/>
        <v>0</v>
      </c>
      <c r="AU697" s="94">
        <f>VLOOKUP($D697,Construction!$B:$J,(COLUMN(Construction_BuildingCost_Stone)-COLUMN(Construction_Name_and_Level)+1),FALSE)*(-1)</f>
        <v>-983</v>
      </c>
      <c r="AV697" s="94">
        <f>VLOOKUP($D697,Construction!$B:$J,(COLUMN(Construction_BuildingCost_Wood)-COLUMN(Construction_Name_and_Level)+1),FALSE)*(-1)</f>
        <v>-983</v>
      </c>
      <c r="AW697" s="94">
        <f>VLOOKUP($D697,Construction!$B:$J,(COLUMN(Construction_BuildingCost_Ore)-COLUMN(Construction_Name_and_Level)+1),FALSE)*(-1)</f>
        <v>-247</v>
      </c>
      <c r="AX697" s="94">
        <f>VLOOKUP($D697,Construction!$B:$J,(COLUMN(Construction_BuildingCost_Food)-COLUMN(Construction_Name_and_Level)+1),FALSE)*(-1)</f>
        <v>-2457</v>
      </c>
    </row>
    <row r="698" spans="2:108" ht="15" customHeight="1">
      <c r="B698" s="506" t="s">
        <v>144</v>
      </c>
      <c r="C698" s="127" t="s">
        <v>138</v>
      </c>
      <c r="D698" s="144" t="s">
        <v>215</v>
      </c>
      <c r="E698" s="506">
        <v>20</v>
      </c>
      <c r="F698" s="12">
        <v>0.3</v>
      </c>
      <c r="G698" s="94">
        <f>VLOOKUP($D698,Construction!$B:$E,(COLUMN(Construction_BuildingReward_HeroXP)-COLUMN(Construction_Name_and_Level)+1),FALSE)</f>
        <v>400</v>
      </c>
      <c r="H698" s="94">
        <f t="shared" si="220"/>
        <v>520</v>
      </c>
      <c r="J698" s="95">
        <f>VLOOKUP($D698,Construction!$B:$F,(COLUMN(Construction_BuildingReward_Power)-COLUMN(Construction_Name_and_Level)+1),FALSE)</f>
        <v>90</v>
      </c>
      <c r="Q698" s="139">
        <v>3.472222222222222E-3</v>
      </c>
      <c r="R698" s="289">
        <v>8.3333333333333332E-3</v>
      </c>
      <c r="AF698" s="141"/>
      <c r="AG698" s="141"/>
      <c r="AH698" s="137"/>
      <c r="AI698" s="484"/>
      <c r="AJ698" s="137">
        <f t="shared" si="197"/>
        <v>0.21874999999999997</v>
      </c>
      <c r="AK698" s="339">
        <v>0.41</v>
      </c>
      <c r="AL698" s="138">
        <f>VLOOKUP($D698,Construction!$B:$C,(COLUMN(Construction_Time)-COLUMN(Construction_Name_and_Level)+1),FALSE)</f>
        <v>9.2592592592592605E-3</v>
      </c>
      <c r="AM698" s="138">
        <f t="shared" si="221"/>
        <v>6.5668505384817452E-3</v>
      </c>
      <c r="AN698" s="138">
        <f t="shared" si="222"/>
        <v>0</v>
      </c>
      <c r="AO698" s="139">
        <f t="shared" si="223"/>
        <v>0</v>
      </c>
      <c r="AU698" s="94">
        <f>VLOOKUP($D698,Construction!$B:$J,(COLUMN(Construction_BuildingCost_Stone)-COLUMN(Construction_Name_and_Level)+1),FALSE)*(-1)</f>
        <v>-1672</v>
      </c>
      <c r="AV698" s="94">
        <f>VLOOKUP($D698,Construction!$B:$J,(COLUMN(Construction_BuildingCost_Wood)-COLUMN(Construction_Name_and_Level)+1),FALSE)*(-1)</f>
        <v>-1672</v>
      </c>
      <c r="AW698" s="94">
        <f>VLOOKUP($D698,Construction!$B:$J,(COLUMN(Construction_BuildingCost_Ore)-COLUMN(Construction_Name_and_Level)+1),FALSE)*(-1)</f>
        <v>-420</v>
      </c>
      <c r="AX698" s="94">
        <f>VLOOKUP($D698,Construction!$B:$J,(COLUMN(Construction_BuildingCost_Food)-COLUMN(Construction_Name_and_Level)+1),FALSE)*(-1)</f>
        <v>-4177</v>
      </c>
    </row>
    <row r="699" spans="2:108" ht="15" customHeight="1">
      <c r="B699" s="506" t="s">
        <v>144</v>
      </c>
      <c r="C699" s="127" t="s">
        <v>138</v>
      </c>
      <c r="D699" s="144" t="s">
        <v>216</v>
      </c>
      <c r="E699" s="506">
        <v>20</v>
      </c>
      <c r="F699" s="12">
        <v>0.3</v>
      </c>
      <c r="G699" s="94">
        <f>VLOOKUP($D699,Construction!$B:$E,(COLUMN(Construction_BuildingReward_HeroXP)-COLUMN(Construction_Name_and_Level)+1),FALSE)</f>
        <v>500</v>
      </c>
      <c r="H699" s="94">
        <f t="shared" si="220"/>
        <v>650</v>
      </c>
      <c r="J699" s="95">
        <f>VLOOKUP($D699,Construction!$B:$F,(COLUMN(Construction_BuildingReward_Power)-COLUMN(Construction_Name_and_Level)+1),FALSE)</f>
        <v>135</v>
      </c>
      <c r="Q699" s="139">
        <v>3.472222222222222E-3</v>
      </c>
      <c r="R699" s="289">
        <v>8.3333333333333332E-3</v>
      </c>
      <c r="AF699" s="141"/>
      <c r="AG699" s="141"/>
      <c r="AH699" s="137"/>
      <c r="AI699" s="484"/>
      <c r="AJ699" s="137">
        <f t="shared" si="197"/>
        <v>0.21874999999999997</v>
      </c>
      <c r="AK699" s="339">
        <v>0.41</v>
      </c>
      <c r="AL699" s="138">
        <f>VLOOKUP($D699,Construction!$B:$C,(COLUMN(Construction_Time)-COLUMN(Construction_Name_and_Level)+1),FALSE)</f>
        <v>1.8518518518518521E-2</v>
      </c>
      <c r="AM699" s="138">
        <f t="shared" si="221"/>
        <v>1.313370107696349E-2</v>
      </c>
      <c r="AN699" s="138">
        <f t="shared" si="222"/>
        <v>0</v>
      </c>
      <c r="AO699" s="139">
        <f t="shared" si="223"/>
        <v>1.3281455214079353E-3</v>
      </c>
      <c r="AU699" s="94">
        <f>VLOOKUP($D699,Construction!$B:$J,(COLUMN(Construction_BuildingCost_Stone)-COLUMN(Construction_Name_and_Level)+1),FALSE)*(-1)</f>
        <v>-3344</v>
      </c>
      <c r="AV699" s="94">
        <f>VLOOKUP($D699,Construction!$B:$J,(COLUMN(Construction_BuildingCost_Wood)-COLUMN(Construction_Name_and_Level)+1),FALSE)*(-1)</f>
        <v>-3344</v>
      </c>
      <c r="AW699" s="94">
        <f>VLOOKUP($D699,Construction!$B:$J,(COLUMN(Construction_BuildingCost_Ore)-COLUMN(Construction_Name_and_Level)+1),FALSE)*(-1)</f>
        <v>-840</v>
      </c>
      <c r="AX699" s="94">
        <f>VLOOKUP($D699,Construction!$B:$J,(COLUMN(Construction_BuildingCost_Food)-COLUMN(Construction_Name_and_Level)+1),FALSE)*(-1)</f>
        <v>-8354</v>
      </c>
    </row>
    <row r="700" spans="2:108" ht="15" customHeight="1">
      <c r="B700" s="506" t="s">
        <v>144</v>
      </c>
      <c r="C700" s="127" t="s">
        <v>138</v>
      </c>
      <c r="D700" s="144" t="s">
        <v>1709</v>
      </c>
      <c r="E700" s="506">
        <v>20</v>
      </c>
      <c r="F700" s="346">
        <v>0.3</v>
      </c>
      <c r="G700" s="94">
        <f>VLOOKUP($D700,Construction!$B:$E,(COLUMN(Construction_BuildingReward_HeroXP)-COLUMN(Construction_Name_and_Level)+1),FALSE)</f>
        <v>500</v>
      </c>
      <c r="H700" s="94">
        <f t="shared" si="220"/>
        <v>650</v>
      </c>
      <c r="J700" s="95">
        <f>VLOOKUP($D700,Construction!$B:$F,(COLUMN(Construction_BuildingReward_Power)-COLUMN(Construction_Name_and_Level)+1),FALSE)</f>
        <v>215</v>
      </c>
      <c r="Q700" s="139">
        <v>3.472222222222222E-3</v>
      </c>
      <c r="R700" s="289">
        <v>8.3333333333333332E-3</v>
      </c>
      <c r="X700" s="11">
        <v>-1</v>
      </c>
      <c r="AF700" s="141"/>
      <c r="AG700" s="141"/>
      <c r="AH700" s="137"/>
      <c r="AI700" s="484">
        <f>(-1)*($S$3*$S700+$T$3*$T700+$U$3*$U700+$V$3*$V700+$W$3*$W700+$X$3*$X700+$Y$3*$Y700+$Z$3*$Z700+$AA$3*$AA700+$AB$3*$AB700+$AC$3*$AC700)</f>
        <v>4.1666666666666664E-2</v>
      </c>
      <c r="AJ700" s="137">
        <f t="shared" si="197"/>
        <v>0.17708333333333331</v>
      </c>
      <c r="AK700" s="339">
        <v>0.41</v>
      </c>
      <c r="AL700" s="138">
        <f>VLOOKUP($D700,Construction!$B:$C,(COLUMN(Construction_Time)-COLUMN(Construction_Name_and_Level)+1),FALSE)</f>
        <v>7.407407407407407E-2</v>
      </c>
      <c r="AM700" s="138">
        <f t="shared" ref="AM700" si="224">AL700/(1+AK700)</f>
        <v>5.2534804307853955E-2</v>
      </c>
      <c r="AN700" s="138">
        <f t="shared" si="222"/>
        <v>4.1666666666666664E-2</v>
      </c>
      <c r="AO700" s="139">
        <f t="shared" si="223"/>
        <v>0</v>
      </c>
      <c r="AU700" s="94">
        <f>VLOOKUP($D700,Construction!$B:$J,(COLUMN(Construction_BuildingCost_Stone)-COLUMN(Construction_Name_and_Level)+1),FALSE)*(-1)</f>
        <v>-8404</v>
      </c>
      <c r="AV700" s="94">
        <f>VLOOKUP($D700,Construction!$B:$J,(COLUMN(Construction_BuildingCost_Wood)-COLUMN(Construction_Name_and_Level)+1),FALSE)*(-1)</f>
        <v>-4208</v>
      </c>
      <c r="AW700" s="94">
        <f>VLOOKUP($D700,Construction!$B:$J,(COLUMN(Construction_BuildingCost_Ore)-COLUMN(Construction_Name_and_Level)+1),FALSE)*(-1)</f>
        <v>-4208</v>
      </c>
      <c r="AX700" s="94">
        <f>VLOOKUP($D700,Construction!$B:$J,(COLUMN(Construction_BuildingCost_Food)-COLUMN(Construction_Name_and_Level)+1),FALSE)*(-1)</f>
        <v>-12600</v>
      </c>
    </row>
    <row r="701" spans="2:108" ht="15" customHeight="1">
      <c r="B701" s="506" t="s">
        <v>143</v>
      </c>
      <c r="C701" s="127" t="s">
        <v>142</v>
      </c>
      <c r="D701" s="144" t="s">
        <v>1709</v>
      </c>
      <c r="E701" s="506">
        <v>20</v>
      </c>
      <c r="F701" s="222">
        <v>0.35</v>
      </c>
      <c r="G701" s="101">
        <f>VLOOKUP($D701,Construction!$B:$L,(COLUMN(Construction_QuestReward_HeroXP)-COLUMN(Construction_Name_and_Level)+1),FALSE)</f>
        <v>10000</v>
      </c>
      <c r="H701" s="101">
        <f t="shared" si="220"/>
        <v>13500</v>
      </c>
      <c r="J701" s="100">
        <f>VLOOKUP($D701,Construction!$B:$L,(COLUMN(Construction_QuestReward_Power)-COLUMN(Construction_Name_and_Level)+1),FALSE)</f>
        <v>115</v>
      </c>
      <c r="AF701" s="141"/>
      <c r="AG701" s="141"/>
      <c r="AH701" s="137"/>
      <c r="AI701" s="484"/>
      <c r="AJ701" s="137">
        <f t="shared" si="197"/>
        <v>0.17708333333333331</v>
      </c>
      <c r="AU701" s="101">
        <f>VLOOKUP($D701,Construction!$B:$Q,(COLUMN(Construction_QuestReward_Stone)-COLUMN(Construction_Name_and_Level)+1),FALSE)</f>
        <v>6000</v>
      </c>
      <c r="AV701" s="101">
        <f>VLOOKUP($D701,Construction!$B:$Q,(COLUMN(Construction_QuestReward_Wood)-COLUMN(Construction_Name_and_Level)+1),FALSE)</f>
        <v>3000</v>
      </c>
      <c r="AW701" s="101">
        <f>VLOOKUP($D701,Construction!$B:$Q,(COLUMN(Construction_QuestReward_Ore)-COLUMN(Construction_Name_and_Level)+1),FALSE)</f>
        <v>3000</v>
      </c>
      <c r="AX701" s="101">
        <f>VLOOKUP($D701,Construction!$B:$Q,(COLUMN(Construction_QuestReward_Food)-COLUMN(Construction_Name_and_Level)+1),FALSE)</f>
        <v>9000</v>
      </c>
      <c r="AY701" s="100">
        <f>VLOOKUP($D701,Construction!$B:$Q,(COLUMN(Construction_QuestReward_Silver)-COLUMN(Construction_Name_and_Level)+1),FALSE)</f>
        <v>250</v>
      </c>
    </row>
    <row r="702" spans="2:108" ht="15" customHeight="1">
      <c r="B702" s="506" t="s">
        <v>144</v>
      </c>
      <c r="C702" s="127" t="s">
        <v>138</v>
      </c>
      <c r="D702" s="144" t="s">
        <v>1528</v>
      </c>
      <c r="E702" s="506">
        <v>20</v>
      </c>
      <c r="F702" s="12">
        <v>0.35</v>
      </c>
      <c r="G702" s="94">
        <f>VLOOKUP($D702,Construction!$B:$E,(COLUMN(Construction_BuildingReward_HeroXP)-COLUMN(Construction_Name_and_Level)+1),FALSE)</f>
        <v>25</v>
      </c>
      <c r="H702" s="94">
        <f t="shared" ref="H702:H714" si="225">G702*(1+F702)</f>
        <v>33.75</v>
      </c>
      <c r="J702" s="95">
        <f>VLOOKUP($D702,Construction!$B:$F,(COLUMN(Construction_BuildingReward_Power)-COLUMN(Construction_Name_and_Level)+1),FALSE)</f>
        <v>40</v>
      </c>
      <c r="Q702" s="139">
        <v>3.472222222222222E-3</v>
      </c>
      <c r="R702" s="289">
        <v>8.3333333333333332E-3</v>
      </c>
      <c r="AF702" s="141"/>
      <c r="AG702" s="141"/>
      <c r="AH702" s="137"/>
      <c r="AI702" s="484"/>
      <c r="AJ702" s="137">
        <f t="shared" si="197"/>
        <v>0.17708333333333331</v>
      </c>
      <c r="AK702" s="339">
        <v>0.41</v>
      </c>
      <c r="AL702" s="138">
        <f>VLOOKUP($D702,Construction!$B:$C,(COLUMN(Construction_Time)-COLUMN(Construction_Name_and_Level)+1),FALSE)</f>
        <v>2.0833333333333333E-3</v>
      </c>
      <c r="AM702" s="138">
        <f t="shared" ref="AM702:AM705" si="226">AL702/(1+AK702)</f>
        <v>1.4775413711583924E-3</v>
      </c>
      <c r="AN702" s="138">
        <f t="shared" ref="AN702:AN713" si="227">(S$3*S702+T$3*T702+V$3*V702+W$3*W702+X$3*X702+Y$3*Y702+Z$3*Z702+AA$3*AA702+AB$3*AB702+AC$3*AC702)*(-1)</f>
        <v>0</v>
      </c>
      <c r="AO702" s="139">
        <f t="shared" ref="AO702:AO713" si="228">IF((AM702-Q702-R702-AN702)&gt;=0,AM702-Q702-R702-AN702,0)</f>
        <v>0</v>
      </c>
      <c r="AU702" s="94">
        <f>VLOOKUP($D702,Construction!$B:$J,(COLUMN(Construction_BuildingCost_Stone)-COLUMN(Construction_Name_and_Level)+1),FALSE)*(-1)</f>
        <v>-850</v>
      </c>
      <c r="AV702" s="94">
        <f>VLOOKUP($D702,Construction!$B:$J,(COLUMN(Construction_BuildingCost_Wood)-COLUMN(Construction_Name_and_Level)+1),FALSE)*(-1)</f>
        <v>-680</v>
      </c>
      <c r="AW702" s="94">
        <f>VLOOKUP($D702,Construction!$B:$J,(COLUMN(Construction_BuildingCost_Ore)-COLUMN(Construction_Name_and_Level)+1),FALSE)*(-1)</f>
        <v>-425</v>
      </c>
      <c r="AX702" s="94">
        <f>VLOOKUP($D702,Construction!$B:$J,(COLUMN(Construction_BuildingCost_Food)-COLUMN(Construction_Name_and_Level)+1),FALSE)*(-1)</f>
        <v>-510</v>
      </c>
    </row>
    <row r="703" spans="2:108" ht="15" customHeight="1">
      <c r="B703" s="506" t="s">
        <v>144</v>
      </c>
      <c r="C703" s="127" t="s">
        <v>138</v>
      </c>
      <c r="D703" s="144" t="s">
        <v>239</v>
      </c>
      <c r="E703" s="506">
        <v>20</v>
      </c>
      <c r="F703" s="12">
        <v>0.35</v>
      </c>
      <c r="G703" s="94">
        <f>VLOOKUP($D703,Construction!$B:$E,(COLUMN(Construction_BuildingReward_HeroXP)-COLUMN(Construction_Name_and_Level)+1),FALSE)</f>
        <v>50</v>
      </c>
      <c r="H703" s="94">
        <f t="shared" si="225"/>
        <v>67.5</v>
      </c>
      <c r="J703" s="95">
        <f>VLOOKUP($D703,Construction!$B:$F,(COLUMN(Construction_BuildingReward_Power)-COLUMN(Construction_Name_and_Level)+1),FALSE)</f>
        <v>60</v>
      </c>
      <c r="Q703" s="139">
        <v>3.472222222222222E-3</v>
      </c>
      <c r="R703" s="289">
        <v>8.3333333333333332E-3</v>
      </c>
      <c r="AF703" s="141"/>
      <c r="AG703" s="141"/>
      <c r="AH703" s="137"/>
      <c r="AI703" s="484"/>
      <c r="AJ703" s="137">
        <f t="shared" si="197"/>
        <v>0.17708333333333331</v>
      </c>
      <c r="AK703" s="339">
        <v>0.41</v>
      </c>
      <c r="AL703" s="138">
        <f>VLOOKUP($D703,Construction!$B:$C,(COLUMN(Construction_Time)-COLUMN(Construction_Name_and_Level)+1),FALSE)</f>
        <v>4.1666666666666666E-3</v>
      </c>
      <c r="AM703" s="138">
        <f t="shared" si="226"/>
        <v>2.9550827423167848E-3</v>
      </c>
      <c r="AN703" s="138">
        <f t="shared" si="227"/>
        <v>0</v>
      </c>
      <c r="AO703" s="139">
        <f t="shared" si="228"/>
        <v>0</v>
      </c>
      <c r="AU703" s="94">
        <f>VLOOKUP($D703,Construction!$B:$J,(COLUMN(Construction_BuildingCost_Stone)-COLUMN(Construction_Name_and_Level)+1),FALSE)*(-1)</f>
        <v>-1445</v>
      </c>
      <c r="AV703" s="94">
        <f>VLOOKUP($D703,Construction!$B:$J,(COLUMN(Construction_BuildingCost_Wood)-COLUMN(Construction_Name_and_Level)+1),FALSE)*(-1)</f>
        <v>-1156</v>
      </c>
      <c r="AW703" s="94">
        <f>VLOOKUP($D703,Construction!$B:$J,(COLUMN(Construction_BuildingCost_Ore)-COLUMN(Construction_Name_and_Level)+1),FALSE)*(-1)</f>
        <v>-867</v>
      </c>
      <c r="AX703" s="94">
        <f>VLOOKUP($D703,Construction!$B:$J,(COLUMN(Construction_BuildingCost_Food)-COLUMN(Construction_Name_and_Level)+1),FALSE)*(-1)</f>
        <v>-723</v>
      </c>
    </row>
    <row r="704" spans="2:108" ht="15" customHeight="1">
      <c r="B704" s="506" t="s">
        <v>144</v>
      </c>
      <c r="C704" s="127" t="s">
        <v>138</v>
      </c>
      <c r="D704" s="144" t="s">
        <v>240</v>
      </c>
      <c r="E704" s="506">
        <v>20</v>
      </c>
      <c r="F704" s="12">
        <v>0.35</v>
      </c>
      <c r="G704" s="94">
        <f>VLOOKUP($D704,Construction!$B:$E,(COLUMN(Construction_BuildingReward_HeroXP)-COLUMN(Construction_Name_and_Level)+1),FALSE)</f>
        <v>200</v>
      </c>
      <c r="H704" s="94">
        <f t="shared" si="225"/>
        <v>270</v>
      </c>
      <c r="J704" s="95">
        <f>VLOOKUP($D704,Construction!$B:$F,(COLUMN(Construction_BuildingReward_Power)-COLUMN(Construction_Name_and_Level)+1),FALSE)</f>
        <v>100</v>
      </c>
      <c r="Q704" s="139">
        <v>3.472222222222222E-3</v>
      </c>
      <c r="R704" s="289">
        <v>8.3333333333333332E-3</v>
      </c>
      <c r="AF704" s="141"/>
      <c r="AG704" s="141"/>
      <c r="AH704" s="137"/>
      <c r="AI704" s="484"/>
      <c r="AJ704" s="137">
        <f t="shared" si="197"/>
        <v>0.17708333333333331</v>
      </c>
      <c r="AK704" s="339">
        <v>0.41</v>
      </c>
      <c r="AL704" s="138">
        <f>VLOOKUP($D704,Construction!$B:$C,(COLUMN(Construction_Time)-COLUMN(Construction_Name_and_Level)+1),FALSE)</f>
        <v>8.3333333333333332E-3</v>
      </c>
      <c r="AM704" s="138">
        <f t="shared" si="226"/>
        <v>5.9101654846335696E-3</v>
      </c>
      <c r="AN704" s="138">
        <f t="shared" si="227"/>
        <v>0</v>
      </c>
      <c r="AO704" s="139">
        <f t="shared" si="228"/>
        <v>0</v>
      </c>
      <c r="AU704" s="94">
        <f>VLOOKUP($D704,Construction!$B:$J,(COLUMN(Construction_BuildingCost_Stone)-COLUMN(Construction_Name_and_Level)+1),FALSE)*(-1)</f>
        <v>-2547</v>
      </c>
      <c r="AV704" s="94">
        <f>VLOOKUP($D704,Construction!$B:$J,(COLUMN(Construction_BuildingCost_Wood)-COLUMN(Construction_Name_and_Level)+1),FALSE)*(-1)</f>
        <v>-1966</v>
      </c>
      <c r="AW704" s="94">
        <f>VLOOKUP($D704,Construction!$B:$J,(COLUMN(Construction_BuildingCost_Ore)-COLUMN(Construction_Name_and_Level)+1),FALSE)*(-1)</f>
        <v>-1474</v>
      </c>
      <c r="AX704" s="94">
        <f>VLOOKUP($D704,Construction!$B:$J,(COLUMN(Construction_BuildingCost_Food)-COLUMN(Construction_Name_and_Level)+1),FALSE)*(-1)</f>
        <v>-1230</v>
      </c>
    </row>
    <row r="705" spans="2:50" ht="15" customHeight="1">
      <c r="B705" s="506" t="s">
        <v>144</v>
      </c>
      <c r="C705" s="127" t="s">
        <v>138</v>
      </c>
      <c r="D705" s="144" t="s">
        <v>241</v>
      </c>
      <c r="E705" s="506">
        <v>20</v>
      </c>
      <c r="F705" s="12">
        <v>0.35</v>
      </c>
      <c r="G705" s="94">
        <f>VLOOKUP($D705,Construction!$B:$E,(COLUMN(Construction_BuildingReward_HeroXP)-COLUMN(Construction_Name_and_Level)+1),FALSE)</f>
        <v>400</v>
      </c>
      <c r="H705" s="94">
        <f t="shared" si="225"/>
        <v>540</v>
      </c>
      <c r="J705" s="95">
        <f>VLOOKUP($D705,Construction!$B:$F,(COLUMN(Construction_BuildingReward_Power)-COLUMN(Construction_Name_and_Level)+1),FALSE)</f>
        <v>140</v>
      </c>
      <c r="Q705" s="139">
        <v>3.472222222222222E-3</v>
      </c>
      <c r="R705" s="289">
        <v>8.3333333333333332E-3</v>
      </c>
      <c r="AF705" s="141"/>
      <c r="AG705" s="141"/>
      <c r="AH705" s="137"/>
      <c r="AI705" s="484"/>
      <c r="AJ705" s="137">
        <f t="shared" si="197"/>
        <v>0.17708333333333331</v>
      </c>
      <c r="AK705" s="339">
        <v>0.41</v>
      </c>
      <c r="AL705" s="138">
        <f>VLOOKUP($D705,Construction!$B:$C,(COLUMN(Construction_Time)-COLUMN(Construction_Name_and_Level)+1),FALSE)</f>
        <v>1.6666666666666666E-2</v>
      </c>
      <c r="AM705" s="138">
        <f t="shared" si="226"/>
        <v>1.1820330969267139E-2</v>
      </c>
      <c r="AN705" s="138">
        <f t="shared" si="227"/>
        <v>0</v>
      </c>
      <c r="AO705" s="139">
        <f t="shared" si="228"/>
        <v>1.4775413711583946E-5</v>
      </c>
      <c r="AU705" s="94">
        <f>VLOOKUP($D705,Construction!$B:$J,(COLUMN(Construction_BuildingCost_Stone)-COLUMN(Construction_Name_and_Level)+1),FALSE)*(-1)</f>
        <v>-4177</v>
      </c>
      <c r="AV705" s="94">
        <f>VLOOKUP($D705,Construction!$B:$J,(COLUMN(Construction_BuildingCost_Wood)-COLUMN(Construction_Name_and_Level)+1),FALSE)*(-1)</f>
        <v>-3343</v>
      </c>
      <c r="AW705" s="94">
        <f>VLOOKUP($D705,Construction!$B:$J,(COLUMN(Construction_BuildingCost_Ore)-COLUMN(Construction_Name_and_Level)+1),FALSE)*(-1)</f>
        <v>-2506</v>
      </c>
      <c r="AX705" s="94">
        <f>VLOOKUP($D705,Construction!$B:$J,(COLUMN(Construction_BuildingCost_Food)-COLUMN(Construction_Name_and_Level)+1),FALSE)*(-1)</f>
        <v>-2091</v>
      </c>
    </row>
    <row r="706" spans="2:50" ht="15" customHeight="1">
      <c r="B706" s="506" t="s">
        <v>144</v>
      </c>
      <c r="C706" s="127" t="s">
        <v>138</v>
      </c>
      <c r="D706" s="144" t="s">
        <v>1528</v>
      </c>
      <c r="E706" s="506">
        <v>20</v>
      </c>
      <c r="F706" s="12">
        <v>0.35</v>
      </c>
      <c r="G706" s="94">
        <f>VLOOKUP($D706,Construction!$B:$E,(COLUMN(Construction_BuildingReward_HeroXP)-COLUMN(Construction_Name_and_Level)+1),FALSE)</f>
        <v>25</v>
      </c>
      <c r="H706" s="94">
        <f t="shared" si="225"/>
        <v>33.75</v>
      </c>
      <c r="J706" s="95">
        <f>VLOOKUP($D706,Construction!$B:$F,(COLUMN(Construction_BuildingReward_Power)-COLUMN(Construction_Name_and_Level)+1),FALSE)</f>
        <v>40</v>
      </c>
      <c r="Q706" s="139">
        <v>3.472222222222222E-3</v>
      </c>
      <c r="R706" s="289">
        <v>8.3333333333333332E-3</v>
      </c>
      <c r="AF706" s="141"/>
      <c r="AG706" s="141"/>
      <c r="AH706" s="137"/>
      <c r="AI706" s="484"/>
      <c r="AJ706" s="137">
        <f t="shared" si="197"/>
        <v>0.17708333333333331</v>
      </c>
      <c r="AK706" s="339">
        <v>0.41</v>
      </c>
      <c r="AL706" s="138">
        <f>VLOOKUP($D706,Construction!$B:$C,(COLUMN(Construction_Time)-COLUMN(Construction_Name_and_Level)+1),FALSE)</f>
        <v>2.0833333333333333E-3</v>
      </c>
      <c r="AM706" s="138">
        <f t="shared" ref="AM706:AM713" si="229">AL706/(1+AK706)</f>
        <v>1.4775413711583924E-3</v>
      </c>
      <c r="AN706" s="138">
        <f t="shared" si="227"/>
        <v>0</v>
      </c>
      <c r="AO706" s="139">
        <f t="shared" si="228"/>
        <v>0</v>
      </c>
      <c r="AU706" s="94">
        <f>VLOOKUP($D706,Construction!$B:$J,(COLUMN(Construction_BuildingCost_Stone)-COLUMN(Construction_Name_and_Level)+1),FALSE)*(-1)</f>
        <v>-850</v>
      </c>
      <c r="AV706" s="94">
        <f>VLOOKUP($D706,Construction!$B:$J,(COLUMN(Construction_BuildingCost_Wood)-COLUMN(Construction_Name_and_Level)+1),FALSE)*(-1)</f>
        <v>-680</v>
      </c>
      <c r="AW706" s="94">
        <f>VLOOKUP($D706,Construction!$B:$J,(COLUMN(Construction_BuildingCost_Ore)-COLUMN(Construction_Name_and_Level)+1),FALSE)*(-1)</f>
        <v>-425</v>
      </c>
      <c r="AX706" s="94">
        <f>VLOOKUP($D706,Construction!$B:$J,(COLUMN(Construction_BuildingCost_Food)-COLUMN(Construction_Name_and_Level)+1),FALSE)*(-1)</f>
        <v>-510</v>
      </c>
    </row>
    <row r="707" spans="2:50" ht="15" customHeight="1">
      <c r="B707" s="506" t="s">
        <v>144</v>
      </c>
      <c r="C707" s="127" t="s">
        <v>138</v>
      </c>
      <c r="D707" s="144" t="s">
        <v>239</v>
      </c>
      <c r="E707" s="506">
        <v>20</v>
      </c>
      <c r="F707" s="12">
        <v>0.35</v>
      </c>
      <c r="G707" s="94">
        <f>VLOOKUP($D707,Construction!$B:$E,(COLUMN(Construction_BuildingReward_HeroXP)-COLUMN(Construction_Name_and_Level)+1),FALSE)</f>
        <v>50</v>
      </c>
      <c r="H707" s="94">
        <f t="shared" si="225"/>
        <v>67.5</v>
      </c>
      <c r="J707" s="95">
        <f>VLOOKUP($D707,Construction!$B:$F,(COLUMN(Construction_BuildingReward_Power)-COLUMN(Construction_Name_and_Level)+1),FALSE)</f>
        <v>60</v>
      </c>
      <c r="Q707" s="139">
        <v>3.472222222222222E-3</v>
      </c>
      <c r="R707" s="289">
        <v>8.3333333333333332E-3</v>
      </c>
      <c r="AF707" s="141"/>
      <c r="AG707" s="141"/>
      <c r="AH707" s="137"/>
      <c r="AI707" s="484"/>
      <c r="AJ707" s="137">
        <f t="shared" si="197"/>
        <v>0.17708333333333331</v>
      </c>
      <c r="AK707" s="339">
        <v>0.41</v>
      </c>
      <c r="AL707" s="138">
        <f>VLOOKUP($D707,Construction!$B:$C,(COLUMN(Construction_Time)-COLUMN(Construction_Name_and_Level)+1),FALSE)</f>
        <v>4.1666666666666666E-3</v>
      </c>
      <c r="AM707" s="138">
        <f t="shared" si="229"/>
        <v>2.9550827423167848E-3</v>
      </c>
      <c r="AN707" s="138">
        <f t="shared" si="227"/>
        <v>0</v>
      </c>
      <c r="AO707" s="139">
        <f t="shared" si="228"/>
        <v>0</v>
      </c>
      <c r="AU707" s="94">
        <f>VLOOKUP($D707,Construction!$B:$J,(COLUMN(Construction_BuildingCost_Stone)-COLUMN(Construction_Name_and_Level)+1),FALSE)*(-1)</f>
        <v>-1445</v>
      </c>
      <c r="AV707" s="94">
        <f>VLOOKUP($D707,Construction!$B:$J,(COLUMN(Construction_BuildingCost_Wood)-COLUMN(Construction_Name_and_Level)+1),FALSE)*(-1)</f>
        <v>-1156</v>
      </c>
      <c r="AW707" s="94">
        <f>VLOOKUP($D707,Construction!$B:$J,(COLUMN(Construction_BuildingCost_Ore)-COLUMN(Construction_Name_and_Level)+1),FALSE)*(-1)</f>
        <v>-867</v>
      </c>
      <c r="AX707" s="94">
        <f>VLOOKUP($D707,Construction!$B:$J,(COLUMN(Construction_BuildingCost_Food)-COLUMN(Construction_Name_and_Level)+1),FALSE)*(-1)</f>
        <v>-723</v>
      </c>
    </row>
    <row r="708" spans="2:50" ht="15" customHeight="1">
      <c r="B708" s="506" t="s">
        <v>144</v>
      </c>
      <c r="C708" s="127" t="s">
        <v>138</v>
      </c>
      <c r="D708" s="144" t="s">
        <v>240</v>
      </c>
      <c r="E708" s="506">
        <v>20</v>
      </c>
      <c r="F708" s="12">
        <v>0.35</v>
      </c>
      <c r="G708" s="94">
        <f>VLOOKUP($D708,Construction!$B:$E,(COLUMN(Construction_BuildingReward_HeroXP)-COLUMN(Construction_Name_and_Level)+1),FALSE)</f>
        <v>200</v>
      </c>
      <c r="H708" s="94">
        <f t="shared" si="225"/>
        <v>270</v>
      </c>
      <c r="J708" s="95">
        <f>VLOOKUP($D708,Construction!$B:$F,(COLUMN(Construction_BuildingReward_Power)-COLUMN(Construction_Name_and_Level)+1),FALSE)</f>
        <v>100</v>
      </c>
      <c r="Q708" s="139">
        <v>3.472222222222222E-3</v>
      </c>
      <c r="R708" s="289">
        <v>8.3333333333333332E-3</v>
      </c>
      <c r="AF708" s="141"/>
      <c r="AG708" s="141"/>
      <c r="AH708" s="137"/>
      <c r="AI708" s="484"/>
      <c r="AJ708" s="137">
        <f t="shared" si="197"/>
        <v>0.17708333333333331</v>
      </c>
      <c r="AK708" s="339">
        <v>0.41</v>
      </c>
      <c r="AL708" s="138">
        <f>VLOOKUP($D708,Construction!$B:$C,(COLUMN(Construction_Time)-COLUMN(Construction_Name_and_Level)+1),FALSE)</f>
        <v>8.3333333333333332E-3</v>
      </c>
      <c r="AM708" s="138">
        <f t="shared" si="229"/>
        <v>5.9101654846335696E-3</v>
      </c>
      <c r="AN708" s="138">
        <f t="shared" si="227"/>
        <v>0</v>
      </c>
      <c r="AO708" s="139">
        <f t="shared" si="228"/>
        <v>0</v>
      </c>
      <c r="AU708" s="94">
        <f>VLOOKUP($D708,Construction!$B:$J,(COLUMN(Construction_BuildingCost_Stone)-COLUMN(Construction_Name_and_Level)+1),FALSE)*(-1)</f>
        <v>-2547</v>
      </c>
      <c r="AV708" s="94">
        <f>VLOOKUP($D708,Construction!$B:$J,(COLUMN(Construction_BuildingCost_Wood)-COLUMN(Construction_Name_and_Level)+1),FALSE)*(-1)</f>
        <v>-1966</v>
      </c>
      <c r="AW708" s="94">
        <f>VLOOKUP($D708,Construction!$B:$J,(COLUMN(Construction_BuildingCost_Ore)-COLUMN(Construction_Name_and_Level)+1),FALSE)*(-1)</f>
        <v>-1474</v>
      </c>
      <c r="AX708" s="94">
        <f>VLOOKUP($D708,Construction!$B:$J,(COLUMN(Construction_BuildingCost_Food)-COLUMN(Construction_Name_and_Level)+1),FALSE)*(-1)</f>
        <v>-1230</v>
      </c>
    </row>
    <row r="709" spans="2:50" ht="15" customHeight="1">
      <c r="B709" s="506" t="s">
        <v>144</v>
      </c>
      <c r="C709" s="127" t="s">
        <v>138</v>
      </c>
      <c r="D709" s="144" t="s">
        <v>241</v>
      </c>
      <c r="E709" s="506">
        <v>20</v>
      </c>
      <c r="F709" s="12">
        <v>0.35</v>
      </c>
      <c r="G709" s="94">
        <f>VLOOKUP($D709,Construction!$B:$E,(COLUMN(Construction_BuildingReward_HeroXP)-COLUMN(Construction_Name_and_Level)+1),FALSE)</f>
        <v>400</v>
      </c>
      <c r="H709" s="94">
        <f t="shared" si="225"/>
        <v>540</v>
      </c>
      <c r="J709" s="95">
        <f>VLOOKUP($D709,Construction!$B:$F,(COLUMN(Construction_BuildingReward_Power)-COLUMN(Construction_Name_and_Level)+1),FALSE)</f>
        <v>140</v>
      </c>
      <c r="Q709" s="139">
        <v>3.472222222222222E-3</v>
      </c>
      <c r="R709" s="289">
        <v>8.3333333333333332E-3</v>
      </c>
      <c r="AF709" s="141"/>
      <c r="AG709" s="141"/>
      <c r="AH709" s="137"/>
      <c r="AI709" s="484"/>
      <c r="AJ709" s="137">
        <f t="shared" si="197"/>
        <v>0.17708333333333331</v>
      </c>
      <c r="AK709" s="339">
        <v>0.41</v>
      </c>
      <c r="AL709" s="138">
        <f>VLOOKUP($D709,Construction!$B:$C,(COLUMN(Construction_Time)-COLUMN(Construction_Name_and_Level)+1),FALSE)</f>
        <v>1.6666666666666666E-2</v>
      </c>
      <c r="AM709" s="138">
        <f t="shared" si="229"/>
        <v>1.1820330969267139E-2</v>
      </c>
      <c r="AN709" s="138">
        <f t="shared" si="227"/>
        <v>0</v>
      </c>
      <c r="AO709" s="139">
        <f t="shared" si="228"/>
        <v>1.4775413711583946E-5</v>
      </c>
      <c r="AU709" s="94">
        <f>VLOOKUP($D709,Construction!$B:$J,(COLUMN(Construction_BuildingCost_Stone)-COLUMN(Construction_Name_and_Level)+1),FALSE)*(-1)</f>
        <v>-4177</v>
      </c>
      <c r="AV709" s="94">
        <f>VLOOKUP($D709,Construction!$B:$J,(COLUMN(Construction_BuildingCost_Wood)-COLUMN(Construction_Name_and_Level)+1),FALSE)*(-1)</f>
        <v>-3343</v>
      </c>
      <c r="AW709" s="94">
        <f>VLOOKUP($D709,Construction!$B:$J,(COLUMN(Construction_BuildingCost_Ore)-COLUMN(Construction_Name_and_Level)+1),FALSE)*(-1)</f>
        <v>-2506</v>
      </c>
      <c r="AX709" s="94">
        <f>VLOOKUP($D709,Construction!$B:$J,(COLUMN(Construction_BuildingCost_Food)-COLUMN(Construction_Name_and_Level)+1),FALSE)*(-1)</f>
        <v>-2091</v>
      </c>
    </row>
    <row r="710" spans="2:50" ht="15" customHeight="1">
      <c r="B710" s="506" t="s">
        <v>144</v>
      </c>
      <c r="C710" s="127" t="s">
        <v>138</v>
      </c>
      <c r="D710" s="144" t="s">
        <v>1528</v>
      </c>
      <c r="E710" s="506">
        <v>20</v>
      </c>
      <c r="F710" s="12">
        <v>0.35</v>
      </c>
      <c r="G710" s="94">
        <f>VLOOKUP($D710,Construction!$B:$E,(COLUMN(Construction_BuildingReward_HeroXP)-COLUMN(Construction_Name_and_Level)+1),FALSE)</f>
        <v>25</v>
      </c>
      <c r="H710" s="94">
        <f t="shared" si="225"/>
        <v>33.75</v>
      </c>
      <c r="J710" s="95">
        <f>VLOOKUP($D710,Construction!$B:$F,(COLUMN(Construction_BuildingReward_Power)-COLUMN(Construction_Name_and_Level)+1),FALSE)</f>
        <v>40</v>
      </c>
      <c r="Q710" s="139">
        <v>3.472222222222222E-3</v>
      </c>
      <c r="R710" s="289">
        <v>8.3333333333333332E-3</v>
      </c>
      <c r="AF710" s="141"/>
      <c r="AG710" s="141"/>
      <c r="AH710" s="137"/>
      <c r="AI710" s="484"/>
      <c r="AJ710" s="137">
        <f>AJ709+(S$3*S710+T$3*T710+U$3*U710+V$3*V710+W$3*W710+X$3*X710+Y$3*Y710+Z$3*Z710+AA$3*AA710+AB$3*AB710+AC$3*AC710)</f>
        <v>0.17708333333333331</v>
      </c>
      <c r="AK710" s="339">
        <v>0.41</v>
      </c>
      <c r="AL710" s="138">
        <f>VLOOKUP($D710,Construction!$B:$C,(COLUMN(Construction_Time)-COLUMN(Construction_Name_and_Level)+1),FALSE)</f>
        <v>2.0833333333333333E-3</v>
      </c>
      <c r="AM710" s="138">
        <f t="shared" si="229"/>
        <v>1.4775413711583924E-3</v>
      </c>
      <c r="AN710" s="138">
        <f t="shared" si="227"/>
        <v>0</v>
      </c>
      <c r="AO710" s="139">
        <f t="shared" si="228"/>
        <v>0</v>
      </c>
      <c r="AU710" s="94">
        <f>VLOOKUP($D710,Construction!$B:$J,(COLUMN(Construction_BuildingCost_Stone)-COLUMN(Construction_Name_and_Level)+1),FALSE)*(-1)</f>
        <v>-850</v>
      </c>
      <c r="AV710" s="94">
        <f>VLOOKUP($D710,Construction!$B:$J,(COLUMN(Construction_BuildingCost_Wood)-COLUMN(Construction_Name_and_Level)+1),FALSE)*(-1)</f>
        <v>-680</v>
      </c>
      <c r="AW710" s="94">
        <f>VLOOKUP($D710,Construction!$B:$J,(COLUMN(Construction_BuildingCost_Ore)-COLUMN(Construction_Name_and_Level)+1),FALSE)*(-1)</f>
        <v>-425</v>
      </c>
      <c r="AX710" s="94">
        <f>VLOOKUP($D710,Construction!$B:$J,(COLUMN(Construction_BuildingCost_Food)-COLUMN(Construction_Name_and_Level)+1),FALSE)*(-1)</f>
        <v>-510</v>
      </c>
    </row>
    <row r="711" spans="2:50" ht="15" customHeight="1">
      <c r="B711" s="506" t="s">
        <v>144</v>
      </c>
      <c r="C711" s="127" t="s">
        <v>138</v>
      </c>
      <c r="D711" s="144" t="s">
        <v>239</v>
      </c>
      <c r="E711" s="506">
        <v>20</v>
      </c>
      <c r="F711" s="12">
        <v>0.35</v>
      </c>
      <c r="G711" s="94">
        <f>VLOOKUP($D711,Construction!$B:$E,(COLUMN(Construction_BuildingReward_HeroXP)-COLUMN(Construction_Name_and_Level)+1),FALSE)</f>
        <v>50</v>
      </c>
      <c r="H711" s="94">
        <f t="shared" si="225"/>
        <v>67.5</v>
      </c>
      <c r="J711" s="95">
        <f>VLOOKUP($D711,Construction!$B:$F,(COLUMN(Construction_BuildingReward_Power)-COLUMN(Construction_Name_and_Level)+1),FALSE)</f>
        <v>60</v>
      </c>
      <c r="Q711" s="139">
        <v>3.472222222222222E-3</v>
      </c>
      <c r="R711" s="289">
        <v>8.3333333333333332E-3</v>
      </c>
      <c r="AF711" s="141"/>
      <c r="AG711" s="141"/>
      <c r="AH711" s="137"/>
      <c r="AI711" s="484"/>
      <c r="AJ711" s="137">
        <f t="shared" si="197"/>
        <v>0.17708333333333331</v>
      </c>
      <c r="AK711" s="339">
        <v>0.41</v>
      </c>
      <c r="AL711" s="138">
        <f>VLOOKUP($D711,Construction!$B:$C,(COLUMN(Construction_Time)-COLUMN(Construction_Name_and_Level)+1),FALSE)</f>
        <v>4.1666666666666666E-3</v>
      </c>
      <c r="AM711" s="138">
        <f t="shared" si="229"/>
        <v>2.9550827423167848E-3</v>
      </c>
      <c r="AN711" s="138">
        <f t="shared" si="227"/>
        <v>0</v>
      </c>
      <c r="AO711" s="139">
        <f t="shared" si="228"/>
        <v>0</v>
      </c>
      <c r="AU711" s="94">
        <f>VLOOKUP($D711,Construction!$B:$J,(COLUMN(Construction_BuildingCost_Stone)-COLUMN(Construction_Name_and_Level)+1),FALSE)*(-1)</f>
        <v>-1445</v>
      </c>
      <c r="AV711" s="94">
        <f>VLOOKUP($D711,Construction!$B:$J,(COLUMN(Construction_BuildingCost_Wood)-COLUMN(Construction_Name_and_Level)+1),FALSE)*(-1)</f>
        <v>-1156</v>
      </c>
      <c r="AW711" s="94">
        <f>VLOOKUP($D711,Construction!$B:$J,(COLUMN(Construction_BuildingCost_Ore)-COLUMN(Construction_Name_and_Level)+1),FALSE)*(-1)</f>
        <v>-867</v>
      </c>
      <c r="AX711" s="94">
        <f>VLOOKUP($D711,Construction!$B:$J,(COLUMN(Construction_BuildingCost_Food)-COLUMN(Construction_Name_and_Level)+1),FALSE)*(-1)</f>
        <v>-723</v>
      </c>
    </row>
    <row r="712" spans="2:50" ht="15" customHeight="1">
      <c r="B712" s="506" t="s">
        <v>144</v>
      </c>
      <c r="C712" s="127" t="s">
        <v>138</v>
      </c>
      <c r="D712" s="144" t="s">
        <v>240</v>
      </c>
      <c r="E712" s="506">
        <v>20</v>
      </c>
      <c r="F712" s="12">
        <v>0.35</v>
      </c>
      <c r="G712" s="94">
        <f>VLOOKUP($D712,Construction!$B:$E,(COLUMN(Construction_BuildingReward_HeroXP)-COLUMN(Construction_Name_and_Level)+1),FALSE)</f>
        <v>200</v>
      </c>
      <c r="H712" s="94">
        <f t="shared" si="225"/>
        <v>270</v>
      </c>
      <c r="J712" s="95">
        <f>VLOOKUP($D712,Construction!$B:$F,(COLUMN(Construction_BuildingReward_Power)-COLUMN(Construction_Name_and_Level)+1),FALSE)</f>
        <v>100</v>
      </c>
      <c r="Q712" s="139">
        <v>3.472222222222222E-3</v>
      </c>
      <c r="R712" s="289">
        <v>8.3333333333333332E-3</v>
      </c>
      <c r="AF712" s="141"/>
      <c r="AG712" s="141"/>
      <c r="AH712" s="137"/>
      <c r="AI712" s="484"/>
      <c r="AJ712" s="137">
        <f t="shared" si="197"/>
        <v>0.17708333333333331</v>
      </c>
      <c r="AK712" s="339">
        <v>0.41</v>
      </c>
      <c r="AL712" s="138">
        <f>VLOOKUP($D712,Construction!$B:$C,(COLUMN(Construction_Time)-COLUMN(Construction_Name_and_Level)+1),FALSE)</f>
        <v>8.3333333333333332E-3</v>
      </c>
      <c r="AM712" s="138">
        <f t="shared" si="229"/>
        <v>5.9101654846335696E-3</v>
      </c>
      <c r="AN712" s="138">
        <f t="shared" si="227"/>
        <v>0</v>
      </c>
      <c r="AO712" s="139">
        <f t="shared" si="228"/>
        <v>0</v>
      </c>
      <c r="AU712" s="94">
        <f>VLOOKUP($D712,Construction!$B:$J,(COLUMN(Construction_BuildingCost_Stone)-COLUMN(Construction_Name_and_Level)+1),FALSE)*(-1)</f>
        <v>-2547</v>
      </c>
      <c r="AV712" s="94">
        <f>VLOOKUP($D712,Construction!$B:$J,(COLUMN(Construction_BuildingCost_Wood)-COLUMN(Construction_Name_and_Level)+1),FALSE)*(-1)</f>
        <v>-1966</v>
      </c>
      <c r="AW712" s="94">
        <f>VLOOKUP($D712,Construction!$B:$J,(COLUMN(Construction_BuildingCost_Ore)-COLUMN(Construction_Name_and_Level)+1),FALSE)*(-1)</f>
        <v>-1474</v>
      </c>
      <c r="AX712" s="94">
        <f>VLOOKUP($D712,Construction!$B:$J,(COLUMN(Construction_BuildingCost_Food)-COLUMN(Construction_Name_and_Level)+1),FALSE)*(-1)</f>
        <v>-1230</v>
      </c>
    </row>
    <row r="713" spans="2:50" ht="15" customHeight="1">
      <c r="B713" s="506" t="s">
        <v>144</v>
      </c>
      <c r="C713" s="127" t="s">
        <v>138</v>
      </c>
      <c r="D713" s="144" t="s">
        <v>241</v>
      </c>
      <c r="E713" s="506">
        <v>20</v>
      </c>
      <c r="F713" s="12">
        <v>0.35</v>
      </c>
      <c r="G713" s="94">
        <f>VLOOKUP($D713,Construction!$B:$E,(COLUMN(Construction_BuildingReward_HeroXP)-COLUMN(Construction_Name_and_Level)+1),FALSE)</f>
        <v>400</v>
      </c>
      <c r="H713" s="94">
        <f t="shared" si="225"/>
        <v>540</v>
      </c>
      <c r="J713" s="95">
        <f>VLOOKUP($D713,Construction!$B:$F,(COLUMN(Construction_BuildingReward_Power)-COLUMN(Construction_Name_and_Level)+1),FALSE)</f>
        <v>140</v>
      </c>
      <c r="Q713" s="139">
        <v>3.472222222222222E-3</v>
      </c>
      <c r="R713" s="289">
        <v>8.3333333333333332E-3</v>
      </c>
      <c r="AF713" s="141"/>
      <c r="AG713" s="141"/>
      <c r="AH713" s="137"/>
      <c r="AI713" s="484"/>
      <c r="AJ713" s="137">
        <f t="shared" si="197"/>
        <v>0.17708333333333331</v>
      </c>
      <c r="AK713" s="339">
        <v>0.41</v>
      </c>
      <c r="AL713" s="138">
        <f>VLOOKUP($D713,Construction!$B:$C,(COLUMN(Construction_Time)-COLUMN(Construction_Name_and_Level)+1),FALSE)</f>
        <v>1.6666666666666666E-2</v>
      </c>
      <c r="AM713" s="138">
        <f t="shared" si="229"/>
        <v>1.1820330969267139E-2</v>
      </c>
      <c r="AN713" s="138">
        <f t="shared" si="227"/>
        <v>0</v>
      </c>
      <c r="AO713" s="139">
        <f t="shared" si="228"/>
        <v>1.4775413711583946E-5</v>
      </c>
      <c r="AU713" s="94">
        <f>VLOOKUP($D713,Construction!$B:$J,(COLUMN(Construction_BuildingCost_Stone)-COLUMN(Construction_Name_and_Level)+1),FALSE)*(-1)</f>
        <v>-4177</v>
      </c>
      <c r="AV713" s="94">
        <f>VLOOKUP($D713,Construction!$B:$J,(COLUMN(Construction_BuildingCost_Wood)-COLUMN(Construction_Name_and_Level)+1),FALSE)*(-1)</f>
        <v>-3343</v>
      </c>
      <c r="AW713" s="94">
        <f>VLOOKUP($D713,Construction!$B:$J,(COLUMN(Construction_BuildingCost_Ore)-COLUMN(Construction_Name_and_Level)+1),FALSE)*(-1)</f>
        <v>-2506</v>
      </c>
      <c r="AX713" s="94">
        <f>VLOOKUP($D713,Construction!$B:$J,(COLUMN(Construction_BuildingCost_Food)-COLUMN(Construction_Name_and_Level)+1),FALSE)*(-1)</f>
        <v>-2091</v>
      </c>
    </row>
    <row r="714" spans="2:50" ht="15" customHeight="1">
      <c r="B714" s="506" t="s">
        <v>144</v>
      </c>
      <c r="C714" s="127" t="s">
        <v>138</v>
      </c>
      <c r="D714" s="144" t="s">
        <v>1535</v>
      </c>
      <c r="E714" s="506">
        <v>20</v>
      </c>
      <c r="F714" s="12">
        <v>0.35</v>
      </c>
      <c r="G714" s="94">
        <f>VLOOKUP($D714,Construction!$B:$E,(COLUMN(Construction_BuildingReward_HeroXP)-COLUMN(Construction_Name_and_Level)+1),FALSE)</f>
        <v>25</v>
      </c>
      <c r="H714" s="94">
        <f t="shared" si="225"/>
        <v>33.75</v>
      </c>
      <c r="J714" s="95">
        <f>VLOOKUP($D714,Construction!$B:$F,(COLUMN(Construction_BuildingReward_Power)-COLUMN(Construction_Name_and_Level)+1),FALSE)</f>
        <v>20</v>
      </c>
      <c r="Q714" s="139">
        <v>3.472222222222222E-3</v>
      </c>
      <c r="R714" s="289">
        <v>8.3333333333333332E-3</v>
      </c>
      <c r="AF714" s="141"/>
      <c r="AG714" s="141"/>
      <c r="AH714" s="137"/>
      <c r="AI714" s="484"/>
      <c r="AJ714" s="137">
        <f>AJ713+(S$3*S714+T$3*T714+U$3*U714+V$3*V714+W$3*W714+X$3*X714+Y$3*Y714+Z$3*Z714+AA$3*AA714+AB$3*AB714+AC$3*AC714)</f>
        <v>0.17708333333333331</v>
      </c>
      <c r="AK714" s="339">
        <v>0.41</v>
      </c>
      <c r="AL714" s="138">
        <f>VLOOKUP($D714,Construction!$B:$C,(COLUMN(Construction_Time)-COLUMN(Construction_Name_and_Level)+1),FALSE)</f>
        <v>2.0833333333333333E-3</v>
      </c>
      <c r="AM714" s="138">
        <f t="shared" ref="AM714:AM717" si="230">AL714/(1+AK714)</f>
        <v>1.4775413711583924E-3</v>
      </c>
      <c r="AN714" s="138">
        <f t="shared" ref="AN714:AN725" si="231">(S$3*S714+T$3*T714+V$3*V714+W$3*W714+X$3*X714+Y$3*Y714+Z$3*Z714+AA$3*AA714+AB$3*AB714+AC$3*AC714)*(-1)</f>
        <v>0</v>
      </c>
      <c r="AO714" s="139">
        <f t="shared" ref="AO714:AO725" si="232">IF((AM714-Q714-R714-AN714)&gt;=0,AM714-Q714-R714-AN714,0)</f>
        <v>0</v>
      </c>
      <c r="AU714" s="94">
        <f>VLOOKUP($D714,Construction!$B:$J,(COLUMN(Construction_BuildingCost_Stone)-COLUMN(Construction_Name_and_Level)+1),FALSE)*(-1)</f>
        <v>-850</v>
      </c>
      <c r="AV714" s="94">
        <f>VLOOKUP($D714,Construction!$B:$J,(COLUMN(Construction_BuildingCost_Wood)-COLUMN(Construction_Name_and_Level)+1),FALSE)*(-1)</f>
        <v>-680</v>
      </c>
      <c r="AW714" s="94">
        <f>VLOOKUP($D714,Construction!$B:$J,(COLUMN(Construction_BuildingCost_Ore)-COLUMN(Construction_Name_and_Level)+1),FALSE)*(-1)</f>
        <v>-510</v>
      </c>
      <c r="AX714" s="94">
        <f>VLOOKUP($D714,Construction!$B:$J,(COLUMN(Construction_BuildingCost_Food)-COLUMN(Construction_Name_and_Level)+1),FALSE)*(-1)</f>
        <v>-425</v>
      </c>
    </row>
    <row r="715" spans="2:50" ht="15" customHeight="1">
      <c r="B715" s="506" t="s">
        <v>144</v>
      </c>
      <c r="C715" s="127" t="s">
        <v>138</v>
      </c>
      <c r="D715" s="144" t="s">
        <v>259</v>
      </c>
      <c r="E715" s="506">
        <v>20</v>
      </c>
      <c r="F715" s="12">
        <v>0.35</v>
      </c>
      <c r="G715" s="94">
        <f>VLOOKUP($D715,Construction!$B:$E,(COLUMN(Construction_BuildingReward_HeroXP)-COLUMN(Construction_Name_and_Level)+1),FALSE)</f>
        <v>50</v>
      </c>
      <c r="H715" s="94">
        <f t="shared" si="220"/>
        <v>67.5</v>
      </c>
      <c r="J715" s="95">
        <f>VLOOKUP($D715,Construction!$B:$F,(COLUMN(Construction_BuildingReward_Power)-COLUMN(Construction_Name_and_Level)+1),FALSE)</f>
        <v>30</v>
      </c>
      <c r="Q715" s="139">
        <v>3.472222222222222E-3</v>
      </c>
      <c r="R715" s="289">
        <v>8.3333333333333332E-3</v>
      </c>
      <c r="AF715" s="141"/>
      <c r="AG715" s="141"/>
      <c r="AH715" s="137"/>
      <c r="AI715" s="484"/>
      <c r="AJ715" s="137">
        <f t="shared" ref="AJ715:AJ738" si="233">AJ714+(S$3*S715+T$3*T715+U$3*U715+V$3*V715+W$3*W715+X$3*X715+Y$3*Y715+Z$3*Z715+AA$3*AA715+AB$3*AB715+AC$3*AC715)</f>
        <v>0.17708333333333331</v>
      </c>
      <c r="AK715" s="339">
        <v>0.41</v>
      </c>
      <c r="AL715" s="138">
        <f>VLOOKUP($D715,Construction!$B:$C,(COLUMN(Construction_Time)-COLUMN(Construction_Name_and_Level)+1),FALSE)</f>
        <v>4.1666666666666666E-3</v>
      </c>
      <c r="AM715" s="138">
        <f t="shared" si="230"/>
        <v>2.9550827423167848E-3</v>
      </c>
      <c r="AN715" s="138">
        <f t="shared" si="231"/>
        <v>0</v>
      </c>
      <c r="AO715" s="139">
        <f t="shared" si="232"/>
        <v>0</v>
      </c>
      <c r="AU715" s="94">
        <f>VLOOKUP($D715,Construction!$B:$J,(COLUMN(Construction_BuildingCost_Stone)-COLUMN(Construction_Name_and_Level)+1),FALSE)*(-1)</f>
        <v>-1445</v>
      </c>
      <c r="AV715" s="94">
        <f>VLOOKUP($D715,Construction!$B:$J,(COLUMN(Construction_BuildingCost_Wood)-COLUMN(Construction_Name_and_Level)+1),FALSE)*(-1)</f>
        <v>-1156</v>
      </c>
      <c r="AW715" s="94">
        <f>VLOOKUP($D715,Construction!$B:$J,(COLUMN(Construction_BuildingCost_Ore)-COLUMN(Construction_Name_and_Level)+1),FALSE)*(-1)</f>
        <v>-867</v>
      </c>
      <c r="AX715" s="94">
        <f>VLOOKUP($D715,Construction!$B:$J,(COLUMN(Construction_BuildingCost_Food)-COLUMN(Construction_Name_and_Level)+1),FALSE)*(-1)</f>
        <v>-723</v>
      </c>
    </row>
    <row r="716" spans="2:50" ht="15" customHeight="1">
      <c r="B716" s="506" t="s">
        <v>144</v>
      </c>
      <c r="C716" s="127" t="s">
        <v>138</v>
      </c>
      <c r="D716" s="144" t="s">
        <v>260</v>
      </c>
      <c r="E716" s="506">
        <v>20</v>
      </c>
      <c r="F716" s="12">
        <v>0.35</v>
      </c>
      <c r="G716" s="94">
        <f>VLOOKUP($D716,Construction!$B:$E,(COLUMN(Construction_BuildingReward_HeroXP)-COLUMN(Construction_Name_and_Level)+1),FALSE)</f>
        <v>200</v>
      </c>
      <c r="H716" s="94">
        <f t="shared" si="220"/>
        <v>270</v>
      </c>
      <c r="J716" s="95">
        <f>VLOOKUP($D716,Construction!$B:$F,(COLUMN(Construction_BuildingReward_Power)-COLUMN(Construction_Name_and_Level)+1),FALSE)</f>
        <v>50</v>
      </c>
      <c r="Q716" s="139">
        <v>3.472222222222222E-3</v>
      </c>
      <c r="R716" s="289">
        <v>8.3333333333333332E-3</v>
      </c>
      <c r="AF716" s="141"/>
      <c r="AG716" s="141"/>
      <c r="AH716" s="137"/>
      <c r="AI716" s="484"/>
      <c r="AJ716" s="137">
        <f t="shared" si="233"/>
        <v>0.17708333333333331</v>
      </c>
      <c r="AK716" s="339">
        <v>0.41</v>
      </c>
      <c r="AL716" s="138">
        <f>VLOOKUP($D716,Construction!$B:$C,(COLUMN(Construction_Time)-COLUMN(Construction_Name_and_Level)+1),FALSE)</f>
        <v>8.3333333333333332E-3</v>
      </c>
      <c r="AM716" s="138">
        <f t="shared" si="230"/>
        <v>5.9101654846335696E-3</v>
      </c>
      <c r="AN716" s="138">
        <f t="shared" si="231"/>
        <v>0</v>
      </c>
      <c r="AO716" s="139">
        <f t="shared" si="232"/>
        <v>0</v>
      </c>
      <c r="AU716" s="94">
        <f>VLOOKUP($D716,Construction!$B:$J,(COLUMN(Construction_BuildingCost_Stone)-COLUMN(Construction_Name_and_Level)+1),FALSE)*(-1)</f>
        <v>-2457</v>
      </c>
      <c r="AV716" s="94">
        <f>VLOOKUP($D716,Construction!$B:$J,(COLUMN(Construction_BuildingCost_Wood)-COLUMN(Construction_Name_and_Level)+1),FALSE)*(-1)</f>
        <v>-1966</v>
      </c>
      <c r="AW716" s="94">
        <f>VLOOKUP($D716,Construction!$B:$J,(COLUMN(Construction_BuildingCost_Ore)-COLUMN(Construction_Name_and_Level)+1),FALSE)*(-1)</f>
        <v>-1474</v>
      </c>
      <c r="AX716" s="94">
        <f>VLOOKUP($D716,Construction!$B:$J,(COLUMN(Construction_BuildingCost_Food)-COLUMN(Construction_Name_and_Level)+1),FALSE)*(-1)</f>
        <v>-1230</v>
      </c>
    </row>
    <row r="717" spans="2:50" ht="15" customHeight="1">
      <c r="B717" s="506" t="s">
        <v>144</v>
      </c>
      <c r="C717" s="127" t="s">
        <v>138</v>
      </c>
      <c r="D717" s="144" t="s">
        <v>261</v>
      </c>
      <c r="E717" s="506">
        <v>20</v>
      </c>
      <c r="F717" s="12">
        <v>0.35</v>
      </c>
      <c r="G717" s="94">
        <f>VLOOKUP($D717,Construction!$B:$E,(COLUMN(Construction_BuildingReward_HeroXP)-COLUMN(Construction_Name_and_Level)+1),FALSE)</f>
        <v>400</v>
      </c>
      <c r="H717" s="94">
        <f t="shared" si="220"/>
        <v>540</v>
      </c>
      <c r="J717" s="95">
        <f>VLOOKUP($D717,Construction!$B:$F,(COLUMN(Construction_BuildingReward_Power)-COLUMN(Construction_Name_and_Level)+1),FALSE)</f>
        <v>70</v>
      </c>
      <c r="Q717" s="139">
        <v>3.472222222222222E-3</v>
      </c>
      <c r="R717" s="289">
        <v>8.3333333333333332E-3</v>
      </c>
      <c r="AF717" s="141"/>
      <c r="AG717" s="141"/>
      <c r="AH717" s="137"/>
      <c r="AI717" s="484"/>
      <c r="AJ717" s="137">
        <f t="shared" si="233"/>
        <v>0.17708333333333331</v>
      </c>
      <c r="AK717" s="339">
        <v>0.41</v>
      </c>
      <c r="AL717" s="138">
        <f>VLOOKUP($D717,Construction!$B:$C,(COLUMN(Construction_Time)-COLUMN(Construction_Name_and_Level)+1),FALSE)</f>
        <v>1.6666666666666666E-2</v>
      </c>
      <c r="AM717" s="138">
        <f t="shared" si="230"/>
        <v>1.1820330969267139E-2</v>
      </c>
      <c r="AN717" s="138">
        <f t="shared" si="231"/>
        <v>0</v>
      </c>
      <c r="AO717" s="139">
        <f t="shared" si="232"/>
        <v>1.4775413711583946E-5</v>
      </c>
      <c r="AU717" s="94">
        <f>VLOOKUP($D717,Construction!$B:$J,(COLUMN(Construction_BuildingCost_Stone)-COLUMN(Construction_Name_and_Level)+1),FALSE)*(-1)</f>
        <v>-4177</v>
      </c>
      <c r="AV717" s="94">
        <f>VLOOKUP($D717,Construction!$B:$J,(COLUMN(Construction_BuildingCost_Wood)-COLUMN(Construction_Name_and_Level)+1),FALSE)*(-1)</f>
        <v>-3343</v>
      </c>
      <c r="AW717" s="94">
        <f>VLOOKUP($D717,Construction!$B:$J,(COLUMN(Construction_BuildingCost_Ore)-COLUMN(Construction_Name_and_Level)+1),FALSE)*(-1)</f>
        <v>-2506</v>
      </c>
      <c r="AX717" s="94">
        <f>VLOOKUP($D717,Construction!$B:$J,(COLUMN(Construction_BuildingCost_Food)-COLUMN(Construction_Name_and_Level)+1),FALSE)*(-1)</f>
        <v>-2091</v>
      </c>
    </row>
    <row r="718" spans="2:50" ht="15" customHeight="1">
      <c r="B718" s="506" t="s">
        <v>144</v>
      </c>
      <c r="C718" s="127" t="s">
        <v>138</v>
      </c>
      <c r="D718" s="144" t="s">
        <v>1535</v>
      </c>
      <c r="E718" s="506">
        <v>20</v>
      </c>
      <c r="F718" s="12">
        <v>0.35</v>
      </c>
      <c r="G718" s="94">
        <f>VLOOKUP($D718,Construction!$B:$E,(COLUMN(Construction_BuildingReward_HeroXP)-COLUMN(Construction_Name_and_Level)+1),FALSE)</f>
        <v>25</v>
      </c>
      <c r="H718" s="94">
        <f>G718*(1+F718)</f>
        <v>33.75</v>
      </c>
      <c r="J718" s="95">
        <f>VLOOKUP($D718,Construction!$B:$F,(COLUMN(Construction_BuildingReward_Power)-COLUMN(Construction_Name_and_Level)+1),FALSE)</f>
        <v>20</v>
      </c>
      <c r="Q718" s="139">
        <v>3.472222222222222E-3</v>
      </c>
      <c r="R718" s="289">
        <v>8.3333333333333332E-3</v>
      </c>
      <c r="AF718" s="141"/>
      <c r="AG718" s="141"/>
      <c r="AH718" s="137"/>
      <c r="AI718" s="484"/>
      <c r="AJ718" s="137">
        <f>AJ717+(S$3*S718+T$3*T718+U$3*U718+V$3*V718+W$3*W718+X$3*X718+Y$3*Y718+Z$3*Z718+AA$3*AA718+AB$3*AB718+AC$3*AC718)</f>
        <v>0.17708333333333331</v>
      </c>
      <c r="AK718" s="339">
        <v>0.41</v>
      </c>
      <c r="AL718" s="138">
        <f>VLOOKUP($D718,Construction!$B:$C,(COLUMN(Construction_Time)-COLUMN(Construction_Name_and_Level)+1),FALSE)</f>
        <v>2.0833333333333333E-3</v>
      </c>
      <c r="AM718" s="138">
        <f t="shared" ref="AM718:AM725" si="234">AL718/(1+AK718)</f>
        <v>1.4775413711583924E-3</v>
      </c>
      <c r="AN718" s="138">
        <f t="shared" si="231"/>
        <v>0</v>
      </c>
      <c r="AO718" s="139">
        <f t="shared" si="232"/>
        <v>0</v>
      </c>
      <c r="AU718" s="94">
        <f>VLOOKUP($D718,Construction!$B:$J,(COLUMN(Construction_BuildingCost_Stone)-COLUMN(Construction_Name_and_Level)+1),FALSE)*(-1)</f>
        <v>-850</v>
      </c>
      <c r="AV718" s="94">
        <f>VLOOKUP($D718,Construction!$B:$J,(COLUMN(Construction_BuildingCost_Wood)-COLUMN(Construction_Name_and_Level)+1),FALSE)*(-1)</f>
        <v>-680</v>
      </c>
      <c r="AW718" s="94">
        <f>VLOOKUP($D718,Construction!$B:$J,(COLUMN(Construction_BuildingCost_Ore)-COLUMN(Construction_Name_and_Level)+1),FALSE)*(-1)</f>
        <v>-510</v>
      </c>
      <c r="AX718" s="94">
        <f>VLOOKUP($D718,Construction!$B:$J,(COLUMN(Construction_BuildingCost_Food)-COLUMN(Construction_Name_and_Level)+1),FALSE)*(-1)</f>
        <v>-425</v>
      </c>
    </row>
    <row r="719" spans="2:50" ht="15" customHeight="1">
      <c r="B719" s="506" t="s">
        <v>144</v>
      </c>
      <c r="C719" s="127" t="s">
        <v>138</v>
      </c>
      <c r="D719" s="144" t="s">
        <v>259</v>
      </c>
      <c r="E719" s="506">
        <v>20</v>
      </c>
      <c r="F719" s="12">
        <v>0.35</v>
      </c>
      <c r="G719" s="94">
        <f>VLOOKUP($D719,Construction!$B:$E,(COLUMN(Construction_BuildingReward_HeroXP)-COLUMN(Construction_Name_and_Level)+1),FALSE)</f>
        <v>50</v>
      </c>
      <c r="H719" s="94">
        <f t="shared" si="220"/>
        <v>67.5</v>
      </c>
      <c r="J719" s="95">
        <f>VLOOKUP($D719,Construction!$B:$F,(COLUMN(Construction_BuildingReward_Power)-COLUMN(Construction_Name_and_Level)+1),FALSE)</f>
        <v>30</v>
      </c>
      <c r="Q719" s="139">
        <v>3.472222222222222E-3</v>
      </c>
      <c r="R719" s="289">
        <v>8.3333333333333332E-3</v>
      </c>
      <c r="AF719" s="141"/>
      <c r="AG719" s="141"/>
      <c r="AH719" s="137"/>
      <c r="AI719" s="484"/>
      <c r="AJ719" s="137">
        <f t="shared" si="233"/>
        <v>0.17708333333333331</v>
      </c>
      <c r="AK719" s="339">
        <v>0.41</v>
      </c>
      <c r="AL719" s="138">
        <f>VLOOKUP($D719,Construction!$B:$C,(COLUMN(Construction_Time)-COLUMN(Construction_Name_and_Level)+1),FALSE)</f>
        <v>4.1666666666666666E-3</v>
      </c>
      <c r="AM719" s="138">
        <f t="shared" si="234"/>
        <v>2.9550827423167848E-3</v>
      </c>
      <c r="AN719" s="138">
        <f t="shared" si="231"/>
        <v>0</v>
      </c>
      <c r="AO719" s="139">
        <f t="shared" si="232"/>
        <v>0</v>
      </c>
      <c r="AU719" s="94">
        <f>VLOOKUP($D719,Construction!$B:$J,(COLUMN(Construction_BuildingCost_Stone)-COLUMN(Construction_Name_and_Level)+1),FALSE)*(-1)</f>
        <v>-1445</v>
      </c>
      <c r="AV719" s="94">
        <f>VLOOKUP($D719,Construction!$B:$J,(COLUMN(Construction_BuildingCost_Wood)-COLUMN(Construction_Name_and_Level)+1),FALSE)*(-1)</f>
        <v>-1156</v>
      </c>
      <c r="AW719" s="94">
        <f>VLOOKUP($D719,Construction!$B:$J,(COLUMN(Construction_BuildingCost_Ore)-COLUMN(Construction_Name_and_Level)+1),FALSE)*(-1)</f>
        <v>-867</v>
      </c>
      <c r="AX719" s="94">
        <f>VLOOKUP($D719,Construction!$B:$J,(COLUMN(Construction_BuildingCost_Food)-COLUMN(Construction_Name_and_Level)+1),FALSE)*(-1)</f>
        <v>-723</v>
      </c>
    </row>
    <row r="720" spans="2:50" ht="15" customHeight="1">
      <c r="B720" s="506" t="s">
        <v>144</v>
      </c>
      <c r="C720" s="127" t="s">
        <v>138</v>
      </c>
      <c r="D720" s="144" t="s">
        <v>260</v>
      </c>
      <c r="E720" s="506">
        <v>20</v>
      </c>
      <c r="F720" s="12">
        <v>0.35</v>
      </c>
      <c r="G720" s="94">
        <f>VLOOKUP($D720,Construction!$B:$E,(COLUMN(Construction_BuildingReward_HeroXP)-COLUMN(Construction_Name_and_Level)+1),FALSE)</f>
        <v>200</v>
      </c>
      <c r="H720" s="94">
        <f t="shared" si="220"/>
        <v>270</v>
      </c>
      <c r="J720" s="95">
        <f>VLOOKUP($D720,Construction!$B:$F,(COLUMN(Construction_BuildingReward_Power)-COLUMN(Construction_Name_and_Level)+1),FALSE)</f>
        <v>50</v>
      </c>
      <c r="Q720" s="139">
        <v>3.472222222222222E-3</v>
      </c>
      <c r="R720" s="289">
        <v>8.3333333333333332E-3</v>
      </c>
      <c r="AF720" s="141"/>
      <c r="AG720" s="141"/>
      <c r="AH720" s="137"/>
      <c r="AI720" s="484"/>
      <c r="AJ720" s="137">
        <f t="shared" si="233"/>
        <v>0.17708333333333331</v>
      </c>
      <c r="AK720" s="339">
        <v>0.41</v>
      </c>
      <c r="AL720" s="138">
        <f>VLOOKUP($D720,Construction!$B:$C,(COLUMN(Construction_Time)-COLUMN(Construction_Name_and_Level)+1),FALSE)</f>
        <v>8.3333333333333332E-3</v>
      </c>
      <c r="AM720" s="138">
        <f t="shared" si="234"/>
        <v>5.9101654846335696E-3</v>
      </c>
      <c r="AN720" s="138">
        <f t="shared" si="231"/>
        <v>0</v>
      </c>
      <c r="AO720" s="139">
        <f t="shared" si="232"/>
        <v>0</v>
      </c>
      <c r="AU720" s="94">
        <f>VLOOKUP($D720,Construction!$B:$J,(COLUMN(Construction_BuildingCost_Stone)-COLUMN(Construction_Name_and_Level)+1),FALSE)*(-1)</f>
        <v>-2457</v>
      </c>
      <c r="AV720" s="94">
        <f>VLOOKUP($D720,Construction!$B:$J,(COLUMN(Construction_BuildingCost_Wood)-COLUMN(Construction_Name_and_Level)+1),FALSE)*(-1)</f>
        <v>-1966</v>
      </c>
      <c r="AW720" s="94">
        <f>VLOOKUP($D720,Construction!$B:$J,(COLUMN(Construction_BuildingCost_Ore)-COLUMN(Construction_Name_and_Level)+1),FALSE)*(-1)</f>
        <v>-1474</v>
      </c>
      <c r="AX720" s="94">
        <f>VLOOKUP($D720,Construction!$B:$J,(COLUMN(Construction_BuildingCost_Food)-COLUMN(Construction_Name_and_Level)+1),FALSE)*(-1)</f>
        <v>-1230</v>
      </c>
    </row>
    <row r="721" spans="2:91" ht="15" customHeight="1">
      <c r="B721" s="506" t="s">
        <v>144</v>
      </c>
      <c r="C721" s="127" t="s">
        <v>138</v>
      </c>
      <c r="D721" s="144" t="s">
        <v>261</v>
      </c>
      <c r="E721" s="506">
        <v>20</v>
      </c>
      <c r="F721" s="12">
        <v>0.35</v>
      </c>
      <c r="G721" s="94">
        <f>VLOOKUP($D721,Construction!$B:$E,(COLUMN(Construction_BuildingReward_HeroXP)-COLUMN(Construction_Name_and_Level)+1),FALSE)</f>
        <v>400</v>
      </c>
      <c r="H721" s="94">
        <f t="shared" si="220"/>
        <v>540</v>
      </c>
      <c r="J721" s="95">
        <f>VLOOKUP($D721,Construction!$B:$F,(COLUMN(Construction_BuildingReward_Power)-COLUMN(Construction_Name_and_Level)+1),FALSE)</f>
        <v>70</v>
      </c>
      <c r="Q721" s="139">
        <v>3.472222222222222E-3</v>
      </c>
      <c r="R721" s="289">
        <v>8.3333333333333332E-3</v>
      </c>
      <c r="AF721" s="141"/>
      <c r="AG721" s="141"/>
      <c r="AH721" s="137"/>
      <c r="AI721" s="484"/>
      <c r="AJ721" s="137">
        <f t="shared" si="233"/>
        <v>0.17708333333333331</v>
      </c>
      <c r="AK721" s="339">
        <v>0.41</v>
      </c>
      <c r="AL721" s="138">
        <f>VLOOKUP($D721,Construction!$B:$C,(COLUMN(Construction_Time)-COLUMN(Construction_Name_and_Level)+1),FALSE)</f>
        <v>1.6666666666666666E-2</v>
      </c>
      <c r="AM721" s="138">
        <f t="shared" si="234"/>
        <v>1.1820330969267139E-2</v>
      </c>
      <c r="AN721" s="138">
        <f t="shared" si="231"/>
        <v>0</v>
      </c>
      <c r="AO721" s="139">
        <f t="shared" si="232"/>
        <v>1.4775413711583946E-5</v>
      </c>
      <c r="AU721" s="94">
        <f>VLOOKUP($D721,Construction!$B:$J,(COLUMN(Construction_BuildingCost_Stone)-COLUMN(Construction_Name_and_Level)+1),FALSE)*(-1)</f>
        <v>-4177</v>
      </c>
      <c r="AV721" s="94">
        <f>VLOOKUP($D721,Construction!$B:$J,(COLUMN(Construction_BuildingCost_Wood)-COLUMN(Construction_Name_and_Level)+1),FALSE)*(-1)</f>
        <v>-3343</v>
      </c>
      <c r="AW721" s="94">
        <f>VLOOKUP($D721,Construction!$B:$J,(COLUMN(Construction_BuildingCost_Ore)-COLUMN(Construction_Name_and_Level)+1),FALSE)*(-1)</f>
        <v>-2506</v>
      </c>
      <c r="AX721" s="94">
        <f>VLOOKUP($D721,Construction!$B:$J,(COLUMN(Construction_BuildingCost_Food)-COLUMN(Construction_Name_and_Level)+1),FALSE)*(-1)</f>
        <v>-2091</v>
      </c>
    </row>
    <row r="722" spans="2:91" ht="15" customHeight="1">
      <c r="B722" s="506" t="s">
        <v>144</v>
      </c>
      <c r="C722" s="127" t="s">
        <v>138</v>
      </c>
      <c r="D722" s="144" t="s">
        <v>1535</v>
      </c>
      <c r="E722" s="506">
        <v>20</v>
      </c>
      <c r="F722" s="12">
        <v>0.35</v>
      </c>
      <c r="G722" s="94">
        <f>VLOOKUP($D722,Construction!$B:$E,(COLUMN(Construction_BuildingReward_HeroXP)-COLUMN(Construction_Name_and_Level)+1),FALSE)</f>
        <v>25</v>
      </c>
      <c r="H722" s="94">
        <f t="shared" si="220"/>
        <v>33.75</v>
      </c>
      <c r="J722" s="95">
        <f>VLOOKUP($D722,Construction!$B:$F,(COLUMN(Construction_BuildingReward_Power)-COLUMN(Construction_Name_and_Level)+1),FALSE)</f>
        <v>20</v>
      </c>
      <c r="Q722" s="139">
        <v>3.472222222222222E-3</v>
      </c>
      <c r="R722" s="289">
        <v>8.3333333333333332E-3</v>
      </c>
      <c r="AF722" s="141"/>
      <c r="AG722" s="141"/>
      <c r="AH722" s="137"/>
      <c r="AI722" s="484"/>
      <c r="AJ722" s="137">
        <f t="shared" si="233"/>
        <v>0.17708333333333331</v>
      </c>
      <c r="AK722" s="339">
        <v>0.41</v>
      </c>
      <c r="AL722" s="138">
        <f>VLOOKUP($D722,Construction!$B:$C,(COLUMN(Construction_Time)-COLUMN(Construction_Name_and_Level)+1),FALSE)</f>
        <v>2.0833333333333333E-3</v>
      </c>
      <c r="AM722" s="138">
        <f t="shared" si="234"/>
        <v>1.4775413711583924E-3</v>
      </c>
      <c r="AN722" s="138">
        <f t="shared" si="231"/>
        <v>0</v>
      </c>
      <c r="AO722" s="139">
        <f t="shared" si="232"/>
        <v>0</v>
      </c>
      <c r="AU722" s="94">
        <f>VLOOKUP($D722,Construction!$B:$J,(COLUMN(Construction_BuildingCost_Stone)-COLUMN(Construction_Name_and_Level)+1),FALSE)*(-1)</f>
        <v>-850</v>
      </c>
      <c r="AV722" s="94">
        <f>VLOOKUP($D722,Construction!$B:$J,(COLUMN(Construction_BuildingCost_Wood)-COLUMN(Construction_Name_and_Level)+1),FALSE)*(-1)</f>
        <v>-680</v>
      </c>
      <c r="AW722" s="94">
        <f>VLOOKUP($D722,Construction!$B:$J,(COLUMN(Construction_BuildingCost_Ore)-COLUMN(Construction_Name_and_Level)+1),FALSE)*(-1)</f>
        <v>-510</v>
      </c>
      <c r="AX722" s="94">
        <f>VLOOKUP($D722,Construction!$B:$J,(COLUMN(Construction_BuildingCost_Food)-COLUMN(Construction_Name_and_Level)+1),FALSE)*(-1)</f>
        <v>-425</v>
      </c>
    </row>
    <row r="723" spans="2:91" ht="15" customHeight="1">
      <c r="B723" s="506" t="s">
        <v>144</v>
      </c>
      <c r="C723" s="127" t="s">
        <v>138</v>
      </c>
      <c r="D723" s="144" t="s">
        <v>259</v>
      </c>
      <c r="E723" s="506">
        <v>20</v>
      </c>
      <c r="F723" s="12">
        <v>0.35</v>
      </c>
      <c r="G723" s="94">
        <f>VLOOKUP($D723,Construction!$B:$E,(COLUMN(Construction_BuildingReward_HeroXP)-COLUMN(Construction_Name_and_Level)+1),FALSE)</f>
        <v>50</v>
      </c>
      <c r="H723" s="94">
        <f t="shared" si="220"/>
        <v>67.5</v>
      </c>
      <c r="J723" s="95">
        <f>VLOOKUP($D723,Construction!$B:$F,(COLUMN(Construction_BuildingReward_Power)-COLUMN(Construction_Name_and_Level)+1),FALSE)</f>
        <v>30</v>
      </c>
      <c r="Q723" s="139">
        <v>3.472222222222222E-3</v>
      </c>
      <c r="R723" s="289">
        <v>8.3333333333333332E-3</v>
      </c>
      <c r="AF723" s="141"/>
      <c r="AG723" s="141"/>
      <c r="AH723" s="137"/>
      <c r="AI723" s="484"/>
      <c r="AJ723" s="137">
        <f t="shared" si="233"/>
        <v>0.17708333333333331</v>
      </c>
      <c r="AK723" s="339">
        <v>0.41</v>
      </c>
      <c r="AL723" s="138">
        <f>VLOOKUP($D723,Construction!$B:$C,(COLUMN(Construction_Time)-COLUMN(Construction_Name_and_Level)+1),FALSE)</f>
        <v>4.1666666666666666E-3</v>
      </c>
      <c r="AM723" s="138">
        <f t="shared" si="234"/>
        <v>2.9550827423167848E-3</v>
      </c>
      <c r="AN723" s="138">
        <f t="shared" si="231"/>
        <v>0</v>
      </c>
      <c r="AO723" s="139">
        <f t="shared" si="232"/>
        <v>0</v>
      </c>
      <c r="AU723" s="94">
        <f>VLOOKUP($D723,Construction!$B:$J,(COLUMN(Construction_BuildingCost_Stone)-COLUMN(Construction_Name_and_Level)+1),FALSE)*(-1)</f>
        <v>-1445</v>
      </c>
      <c r="AV723" s="94">
        <f>VLOOKUP($D723,Construction!$B:$J,(COLUMN(Construction_BuildingCost_Wood)-COLUMN(Construction_Name_and_Level)+1),FALSE)*(-1)</f>
        <v>-1156</v>
      </c>
      <c r="AW723" s="94">
        <f>VLOOKUP($D723,Construction!$B:$J,(COLUMN(Construction_BuildingCost_Ore)-COLUMN(Construction_Name_and_Level)+1),FALSE)*(-1)</f>
        <v>-867</v>
      </c>
      <c r="AX723" s="94">
        <f>VLOOKUP($D723,Construction!$B:$J,(COLUMN(Construction_BuildingCost_Food)-COLUMN(Construction_Name_and_Level)+1),FALSE)*(-1)</f>
        <v>-723</v>
      </c>
    </row>
    <row r="724" spans="2:91" ht="15" customHeight="1">
      <c r="B724" s="506" t="s">
        <v>144</v>
      </c>
      <c r="C724" s="127" t="s">
        <v>138</v>
      </c>
      <c r="D724" s="144" t="s">
        <v>260</v>
      </c>
      <c r="E724" s="506">
        <v>20</v>
      </c>
      <c r="F724" s="12">
        <v>0.35</v>
      </c>
      <c r="G724" s="94">
        <f>VLOOKUP($D724,Construction!$B:$E,(COLUMN(Construction_BuildingReward_HeroXP)-COLUMN(Construction_Name_and_Level)+1),FALSE)</f>
        <v>200</v>
      </c>
      <c r="H724" s="94">
        <f t="shared" si="220"/>
        <v>270</v>
      </c>
      <c r="J724" s="95">
        <f>VLOOKUP($D724,Construction!$B:$F,(COLUMN(Construction_BuildingReward_Power)-COLUMN(Construction_Name_and_Level)+1),FALSE)</f>
        <v>50</v>
      </c>
      <c r="Q724" s="139">
        <v>3.472222222222222E-3</v>
      </c>
      <c r="R724" s="289">
        <v>8.3333333333333332E-3</v>
      </c>
      <c r="AF724" s="141"/>
      <c r="AG724" s="141"/>
      <c r="AH724" s="137"/>
      <c r="AI724" s="484"/>
      <c r="AJ724" s="137">
        <f t="shared" si="233"/>
        <v>0.17708333333333331</v>
      </c>
      <c r="AK724" s="339">
        <v>0.41</v>
      </c>
      <c r="AL724" s="138">
        <f>VLOOKUP($D724,Construction!$B:$C,(COLUMN(Construction_Time)-COLUMN(Construction_Name_and_Level)+1),FALSE)</f>
        <v>8.3333333333333332E-3</v>
      </c>
      <c r="AM724" s="138">
        <f t="shared" si="234"/>
        <v>5.9101654846335696E-3</v>
      </c>
      <c r="AN724" s="138">
        <f t="shared" si="231"/>
        <v>0</v>
      </c>
      <c r="AO724" s="139">
        <f t="shared" si="232"/>
        <v>0</v>
      </c>
      <c r="AU724" s="94">
        <f>VLOOKUP($D724,Construction!$B:$J,(COLUMN(Construction_BuildingCost_Stone)-COLUMN(Construction_Name_and_Level)+1),FALSE)*(-1)</f>
        <v>-2457</v>
      </c>
      <c r="AV724" s="94">
        <f>VLOOKUP($D724,Construction!$B:$J,(COLUMN(Construction_BuildingCost_Wood)-COLUMN(Construction_Name_and_Level)+1),FALSE)*(-1)</f>
        <v>-1966</v>
      </c>
      <c r="AW724" s="94">
        <f>VLOOKUP($D724,Construction!$B:$J,(COLUMN(Construction_BuildingCost_Ore)-COLUMN(Construction_Name_and_Level)+1),FALSE)*(-1)</f>
        <v>-1474</v>
      </c>
      <c r="AX724" s="94">
        <f>VLOOKUP($D724,Construction!$B:$J,(COLUMN(Construction_BuildingCost_Food)-COLUMN(Construction_Name_and_Level)+1),FALSE)*(-1)</f>
        <v>-1230</v>
      </c>
    </row>
    <row r="725" spans="2:91" ht="15" customHeight="1">
      <c r="B725" s="506" t="s">
        <v>144</v>
      </c>
      <c r="C725" s="127" t="s">
        <v>138</v>
      </c>
      <c r="D725" s="144" t="s">
        <v>261</v>
      </c>
      <c r="E725" s="506">
        <v>20</v>
      </c>
      <c r="F725" s="12">
        <v>0.35</v>
      </c>
      <c r="G725" s="94">
        <f>VLOOKUP($D725,Construction!$B:$E,(COLUMN(Construction_BuildingReward_HeroXP)-COLUMN(Construction_Name_and_Level)+1),FALSE)</f>
        <v>400</v>
      </c>
      <c r="H725" s="94">
        <f t="shared" si="220"/>
        <v>540</v>
      </c>
      <c r="J725" s="95">
        <f>VLOOKUP($D725,Construction!$B:$F,(COLUMN(Construction_BuildingReward_Power)-COLUMN(Construction_Name_and_Level)+1),FALSE)</f>
        <v>70</v>
      </c>
      <c r="Q725" s="139">
        <v>3.472222222222222E-3</v>
      </c>
      <c r="R725" s="289">
        <v>8.3333333333333332E-3</v>
      </c>
      <c r="AF725" s="141"/>
      <c r="AG725" s="141"/>
      <c r="AH725" s="137"/>
      <c r="AI725" s="484"/>
      <c r="AJ725" s="137">
        <f t="shared" si="233"/>
        <v>0.17708333333333331</v>
      </c>
      <c r="AK725" s="339">
        <v>0.41</v>
      </c>
      <c r="AL725" s="138">
        <f>VLOOKUP($D725,Construction!$B:$C,(COLUMN(Construction_Time)-COLUMN(Construction_Name_and_Level)+1),FALSE)</f>
        <v>1.6666666666666666E-2</v>
      </c>
      <c r="AM725" s="138">
        <f t="shared" si="234"/>
        <v>1.1820330969267139E-2</v>
      </c>
      <c r="AN725" s="138">
        <f t="shared" si="231"/>
        <v>0</v>
      </c>
      <c r="AO725" s="139">
        <f t="shared" si="232"/>
        <v>1.4775413711583946E-5</v>
      </c>
      <c r="AU725" s="94">
        <f>VLOOKUP($D725,Construction!$B:$J,(COLUMN(Construction_BuildingCost_Stone)-COLUMN(Construction_Name_and_Level)+1),FALSE)*(-1)</f>
        <v>-4177</v>
      </c>
      <c r="AV725" s="94">
        <f>VLOOKUP($D725,Construction!$B:$J,(COLUMN(Construction_BuildingCost_Wood)-COLUMN(Construction_Name_and_Level)+1),FALSE)*(-1)</f>
        <v>-3343</v>
      </c>
      <c r="AW725" s="94">
        <f>VLOOKUP($D725,Construction!$B:$J,(COLUMN(Construction_BuildingCost_Ore)-COLUMN(Construction_Name_and_Level)+1),FALSE)*(-1)</f>
        <v>-2506</v>
      </c>
      <c r="AX725" s="94">
        <f>VLOOKUP($D725,Construction!$B:$J,(COLUMN(Construction_BuildingCost_Food)-COLUMN(Construction_Name_and_Level)+1),FALSE)*(-1)</f>
        <v>-2091</v>
      </c>
    </row>
    <row r="726" spans="2:91" ht="15" customHeight="1">
      <c r="B726" s="506" t="s">
        <v>958</v>
      </c>
      <c r="C726" s="127" t="s">
        <v>959</v>
      </c>
      <c r="D726" s="144" t="s">
        <v>1710</v>
      </c>
      <c r="E726" s="506">
        <v>20</v>
      </c>
      <c r="F726" s="12">
        <v>0.35</v>
      </c>
      <c r="G726" s="337">
        <v>2000</v>
      </c>
      <c r="H726" s="337">
        <f t="shared" si="220"/>
        <v>2700</v>
      </c>
      <c r="AF726" s="141"/>
      <c r="AG726" s="141"/>
      <c r="AH726" s="137"/>
      <c r="AI726" s="484"/>
      <c r="AJ726" s="137">
        <f t="shared" si="233"/>
        <v>0.17708333333333331</v>
      </c>
      <c r="AK726" s="345">
        <v>0.42499999999999999</v>
      </c>
      <c r="AY726" s="336">
        <v>-30000</v>
      </c>
    </row>
    <row r="727" spans="2:91" ht="15" customHeight="1">
      <c r="B727" s="506" t="s">
        <v>143</v>
      </c>
      <c r="C727" s="127" t="s">
        <v>466</v>
      </c>
      <c r="D727" s="144">
        <v>3.0590277777777775E-2</v>
      </c>
      <c r="E727" s="506">
        <v>20</v>
      </c>
      <c r="F727" s="12">
        <v>0.35</v>
      </c>
      <c r="G727" s="101">
        <v>12000</v>
      </c>
      <c r="H727" s="101">
        <f>G727*(1+F727)</f>
        <v>16200.000000000002</v>
      </c>
      <c r="AF727" s="141"/>
      <c r="AG727" s="141"/>
      <c r="AH727" s="137"/>
      <c r="AI727" s="484"/>
      <c r="AJ727" s="137">
        <f t="shared" si="233"/>
        <v>0.17708333333333331</v>
      </c>
      <c r="AU727" s="101">
        <v>30000</v>
      </c>
      <c r="AV727" s="101">
        <v>0</v>
      </c>
      <c r="AW727" s="101">
        <v>0</v>
      </c>
      <c r="AX727" s="101">
        <v>0</v>
      </c>
      <c r="AY727" s="100">
        <v>0</v>
      </c>
    </row>
    <row r="728" spans="2:91" ht="15" customHeight="1">
      <c r="B728" s="506" t="s">
        <v>195</v>
      </c>
      <c r="C728" s="127" t="s">
        <v>468</v>
      </c>
      <c r="D728" s="144" t="s">
        <v>1711</v>
      </c>
      <c r="E728" s="506">
        <v>20</v>
      </c>
      <c r="F728" s="12">
        <v>0.35</v>
      </c>
      <c r="G728" s="211">
        <v>40000</v>
      </c>
      <c r="H728" s="211">
        <f t="shared" ref="H728" si="235">G728*(1+F728)</f>
        <v>54000</v>
      </c>
      <c r="AF728" s="141"/>
      <c r="AG728" s="141"/>
      <c r="AH728" s="137"/>
      <c r="AI728" s="484"/>
      <c r="AJ728" s="137">
        <f t="shared" si="233"/>
        <v>0.17708333333333331</v>
      </c>
      <c r="AU728" s="211">
        <v>0</v>
      </c>
      <c r="AV728" s="211">
        <v>0</v>
      </c>
      <c r="AW728" s="211">
        <v>100000</v>
      </c>
      <c r="AX728" s="211">
        <v>0</v>
      </c>
      <c r="AY728" s="160">
        <v>0</v>
      </c>
      <c r="CL728" s="211">
        <v>25000</v>
      </c>
      <c r="CM728" s="160">
        <f>CL728</f>
        <v>25000</v>
      </c>
    </row>
    <row r="729" spans="2:91" ht="15" customHeight="1">
      <c r="B729" s="506" t="s">
        <v>143</v>
      </c>
      <c r="C729" s="127" t="s">
        <v>150</v>
      </c>
      <c r="D729" s="144" t="s">
        <v>1712</v>
      </c>
      <c r="E729" s="506">
        <v>20</v>
      </c>
      <c r="F729" s="12">
        <v>0.35</v>
      </c>
      <c r="G729" s="101">
        <v>20000</v>
      </c>
      <c r="H729" s="101">
        <f t="shared" si="220"/>
        <v>27000</v>
      </c>
      <c r="J729" s="100">
        <v>350</v>
      </c>
      <c r="AF729" s="141"/>
      <c r="AG729" s="141"/>
      <c r="AH729" s="137"/>
      <c r="AI729" s="484"/>
      <c r="AJ729" s="137">
        <f t="shared" si="233"/>
        <v>0.17708333333333331</v>
      </c>
      <c r="AY729" s="100">
        <v>2500</v>
      </c>
    </row>
    <row r="730" spans="2:91" ht="15" customHeight="1">
      <c r="B730" s="506" t="s">
        <v>624</v>
      </c>
      <c r="C730" s="127" t="s">
        <v>623</v>
      </c>
      <c r="E730" s="506">
        <v>20</v>
      </c>
      <c r="AF730" s="141"/>
      <c r="AG730" s="141"/>
      <c r="AH730" s="137"/>
      <c r="AI730" s="484"/>
      <c r="AJ730" s="137">
        <f>AJ729+(S$3*S730+T$3*T730+U$3*U730+V$3*V730+W$3*W730+X$3*X730+Y$3*Y730+Z$3*Z730+AA$3*AA730+AB$3*AB730+AC$3*AC730)</f>
        <v>0.17708333333333331</v>
      </c>
      <c r="AY730" s="31">
        <v>11280</v>
      </c>
    </row>
    <row r="731" spans="2:91" ht="15" customHeight="1">
      <c r="B731" s="506" t="s">
        <v>958</v>
      </c>
      <c r="C731" s="127" t="s">
        <v>959</v>
      </c>
      <c r="D731" s="144" t="s">
        <v>1713</v>
      </c>
      <c r="E731" s="506">
        <v>20</v>
      </c>
      <c r="F731" s="12">
        <v>0.35</v>
      </c>
      <c r="G731" s="337">
        <v>5000</v>
      </c>
      <c r="H731" s="337">
        <f t="shared" ref="H731" si="236">G731*(1+F731)</f>
        <v>6750</v>
      </c>
      <c r="AF731" s="141"/>
      <c r="AG731" s="141"/>
      <c r="AH731" s="137"/>
      <c r="AI731" s="484"/>
      <c r="AJ731" s="137">
        <f t="shared" si="233"/>
        <v>0.17708333333333331</v>
      </c>
      <c r="AY731" s="336">
        <v>-30000</v>
      </c>
    </row>
    <row r="732" spans="2:91" ht="15" customHeight="1">
      <c r="B732" s="506" t="s">
        <v>144</v>
      </c>
      <c r="C732" s="127" t="s">
        <v>138</v>
      </c>
      <c r="D732" s="144" t="s">
        <v>1714</v>
      </c>
      <c r="E732" s="506">
        <v>20</v>
      </c>
      <c r="F732" s="12">
        <v>0.35</v>
      </c>
      <c r="G732" s="94">
        <f>VLOOKUP($D732,Construction!$B:$E,(COLUMN(Construction_BuildingReward_HeroXP)-COLUMN(Construction_Name_and_Level)+1),FALSE)</f>
        <v>500</v>
      </c>
      <c r="H732" s="94">
        <f>G732*(1+F732)</f>
        <v>675</v>
      </c>
      <c r="J732" s="95">
        <f>VLOOKUP($D732,Construction!$B:$F,(COLUMN(Construction_BuildingReward_Power)-COLUMN(Construction_Name_and_Level)+1),FALSE)</f>
        <v>85</v>
      </c>
      <c r="Q732" s="139">
        <v>3.472222222222222E-3</v>
      </c>
      <c r="R732" s="289">
        <v>8.3333333333333332E-3</v>
      </c>
      <c r="AF732" s="141"/>
      <c r="AG732" s="141"/>
      <c r="AH732" s="137"/>
      <c r="AI732" s="484"/>
      <c r="AJ732" s="137">
        <f t="shared" si="233"/>
        <v>0.17708333333333331</v>
      </c>
      <c r="AK732" s="339">
        <v>0.42499999999999999</v>
      </c>
      <c r="AL732" s="138">
        <f>VLOOKUP($D732,Construction!$B:$C,(COLUMN(Construction_Time)-COLUMN(Construction_Name_and_Level)+1),FALSE)</f>
        <v>5.185185185185185E-2</v>
      </c>
      <c r="AM732" s="138">
        <f t="shared" ref="AM732" si="237">AL732/(1+AK732)</f>
        <v>3.6387264457439894E-2</v>
      </c>
      <c r="AN732" s="138">
        <f>(S$3*S732+T$3*T732+V$3*V732+W$3*W732+X$3*X732+Y$3*Y732+Z$3*Z732+AA$3*AA732+AB$3*AB732+AC$3*AC732)*(-1)</f>
        <v>0</v>
      </c>
      <c r="AO732" s="139">
        <f>IF((AM732-Q732-R732-AN732)&gt;=0,AM732-Q732-R732-AN732,0)</f>
        <v>2.4581708901884339E-2</v>
      </c>
      <c r="AU732" s="94">
        <f>VLOOKUP($D732,Construction!$B:$J,(COLUMN(Construction_BuildingCost_Stone)-COLUMN(Construction_Name_and_Level)+1),FALSE)*(-1)</f>
        <v>0</v>
      </c>
      <c r="AV732" s="94">
        <f>VLOOKUP($D732,Construction!$B:$J,(COLUMN(Construction_BuildingCost_Wood)-COLUMN(Construction_Name_and_Level)+1),FALSE)*(-1)</f>
        <v>-3348</v>
      </c>
      <c r="AW732" s="94">
        <f>VLOOKUP($D732,Construction!$B:$J,(COLUMN(Construction_BuildingCost_Ore)-COLUMN(Construction_Name_and_Level)+1),FALSE)*(-1)</f>
        <v>-3348</v>
      </c>
      <c r="AX732" s="94">
        <f>VLOOKUP($D732,Construction!$B:$J,(COLUMN(Construction_BuildingCost_Food)-COLUMN(Construction_Name_and_Level)+1),FALSE)*(-1)</f>
        <v>-3348</v>
      </c>
    </row>
    <row r="733" spans="2:91" ht="15" customHeight="1">
      <c r="B733" s="506" t="s">
        <v>143</v>
      </c>
      <c r="C733" s="127" t="s">
        <v>142</v>
      </c>
      <c r="D733" s="144" t="s">
        <v>1714</v>
      </c>
      <c r="E733" s="506">
        <v>20</v>
      </c>
      <c r="F733" s="12">
        <v>0.35</v>
      </c>
      <c r="G733" s="101">
        <f>VLOOKUP($D733,Construction!$B:$L,(COLUMN(Construction_QuestReward_HeroXP)-COLUMN(Construction_Name_and_Level)+1),FALSE)</f>
        <v>2500</v>
      </c>
      <c r="H733" s="101">
        <f>G733*(1+F733)</f>
        <v>3375</v>
      </c>
      <c r="J733" s="100">
        <f>VLOOKUP($D733,Construction!$B:$L,(COLUMN(Construction_QuestReward_Power)-COLUMN(Construction_Name_and_Level)+1),FALSE)</f>
        <v>45</v>
      </c>
      <c r="AF733" s="141"/>
      <c r="AG733" s="141"/>
      <c r="AH733" s="137"/>
      <c r="AI733" s="484"/>
      <c r="AJ733" s="137">
        <f t="shared" si="233"/>
        <v>0.17708333333333331</v>
      </c>
      <c r="AU733" s="101">
        <f>VLOOKUP($D733,Construction!$B:$Q,(COLUMN(Construction_QuestReward_Stone)-COLUMN(Construction_Name_and_Level)+1),FALSE)</f>
        <v>0</v>
      </c>
      <c r="AV733" s="101">
        <f>VLOOKUP($D733,Construction!$B:$Q,(COLUMN(Construction_QuestReward_Wood)-COLUMN(Construction_Name_and_Level)+1),FALSE)</f>
        <v>2300</v>
      </c>
      <c r="AW733" s="101">
        <f>VLOOKUP($D733,Construction!$B:$Q,(COLUMN(Construction_QuestReward_Ore)-COLUMN(Construction_Name_and_Level)+1),FALSE)</f>
        <v>2300</v>
      </c>
      <c r="AX733" s="101">
        <f>VLOOKUP($D733,Construction!$B:$Q,(COLUMN(Construction_QuestReward_Food)-COLUMN(Construction_Name_and_Level)+1),FALSE)</f>
        <v>2300</v>
      </c>
      <c r="AY733" s="100">
        <f>VLOOKUP($D733,Construction!$B:$Q,(COLUMN(Construction_QuestReward_Silver)-COLUMN(Construction_Name_and_Level)+1),FALSE)</f>
        <v>50</v>
      </c>
    </row>
    <row r="734" spans="2:91" ht="15" customHeight="1">
      <c r="B734" s="506" t="s">
        <v>144</v>
      </c>
      <c r="C734" s="127" t="s">
        <v>138</v>
      </c>
      <c r="D734" s="144" t="s">
        <v>1715</v>
      </c>
      <c r="E734" s="506">
        <v>20</v>
      </c>
      <c r="F734" s="12">
        <v>0.35</v>
      </c>
      <c r="G734" s="94">
        <f>VLOOKUP($D734,Construction!$B:$E,(COLUMN(Construction_BuildingReward_HeroXP)-COLUMN(Construction_Name_and_Level)+1),FALSE)</f>
        <v>500</v>
      </c>
      <c r="H734" s="94">
        <f>G734*(1+F734)</f>
        <v>675</v>
      </c>
      <c r="J734" s="95">
        <f>VLOOKUP($D734,Construction!$B:$F,(COLUMN(Construction_BuildingReward_Power)-COLUMN(Construction_Name_and_Level)+1),FALSE)</f>
        <v>125</v>
      </c>
      <c r="Q734" s="139">
        <v>3.472222222222222E-3</v>
      </c>
      <c r="R734" s="289">
        <v>8.3333333333333332E-3</v>
      </c>
      <c r="AF734" s="141"/>
      <c r="AG734" s="141"/>
      <c r="AH734" s="137"/>
      <c r="AI734" s="484"/>
      <c r="AJ734" s="137">
        <f t="shared" si="233"/>
        <v>0.17708333333333331</v>
      </c>
      <c r="AK734" s="339">
        <v>0.42499999999999999</v>
      </c>
      <c r="AL734" s="138">
        <f>VLOOKUP($D734,Construction!$B:$C,(COLUMN(Construction_Time)-COLUMN(Construction_Name_and_Level)+1),FALSE)</f>
        <v>7.407407407407407E-2</v>
      </c>
      <c r="AM734" s="138">
        <f t="shared" ref="AM734" si="238">AL734/(1+AK734)</f>
        <v>5.1981806367771277E-2</v>
      </c>
      <c r="AN734" s="138">
        <f>(S$3*S734+T$3*T734+V$3*V734+W$3*W734+X$3*X734+Y$3*Y734+Z$3*Z734+AA$3*AA734+AB$3*AB734+AC$3*AC734)*(-1)</f>
        <v>0</v>
      </c>
      <c r="AO734" s="139">
        <f>IF((AM734-Q734-R734-AN734)&gt;=0,AM734-Q734-R734-AN734,0)</f>
        <v>4.0176250812215722E-2</v>
      </c>
      <c r="AU734" s="94">
        <f>VLOOKUP($D734,Construction!$B:$J,(COLUMN(Construction_BuildingCost_Stone)-COLUMN(Construction_Name_and_Level)+1),FALSE)*(-1)</f>
        <v>-6696</v>
      </c>
      <c r="AV734" s="94">
        <f>VLOOKUP($D734,Construction!$B:$J,(COLUMN(Construction_BuildingCost_Wood)-COLUMN(Construction_Name_and_Level)+1),FALSE)*(-1)</f>
        <v>-6696</v>
      </c>
      <c r="AW734" s="94">
        <f>VLOOKUP($D734,Construction!$B:$J,(COLUMN(Construction_BuildingCost_Ore)-COLUMN(Construction_Name_and_Level)+1),FALSE)*(-1)</f>
        <v>-6696</v>
      </c>
      <c r="AX734" s="94">
        <f>VLOOKUP($D734,Construction!$B:$J,(COLUMN(Construction_BuildingCost_Food)-COLUMN(Construction_Name_and_Level)+1),FALSE)*(-1)</f>
        <v>0</v>
      </c>
    </row>
    <row r="735" spans="2:91" ht="15" customHeight="1">
      <c r="B735" s="506" t="s">
        <v>143</v>
      </c>
      <c r="C735" s="127" t="s">
        <v>142</v>
      </c>
      <c r="D735" s="144" t="s">
        <v>1715</v>
      </c>
      <c r="E735" s="506">
        <v>20</v>
      </c>
      <c r="F735" s="12">
        <v>0.35</v>
      </c>
      <c r="G735" s="101">
        <f>VLOOKUP($D735,Construction!$B:$L,(COLUMN(Construction_QuestReward_HeroXP)-COLUMN(Construction_Name_and_Level)+1),FALSE)</f>
        <v>2500</v>
      </c>
      <c r="H735" s="101">
        <f>G735*(1+F735)</f>
        <v>3375</v>
      </c>
      <c r="J735" s="100">
        <f>VLOOKUP($D735,Construction!$B:$L,(COLUMN(Construction_QuestReward_Power)-COLUMN(Construction_Name_and_Level)+1),FALSE)</f>
        <v>70</v>
      </c>
      <c r="AF735" s="141"/>
      <c r="AG735" s="141"/>
      <c r="AH735" s="137"/>
      <c r="AI735" s="484"/>
      <c r="AJ735" s="137">
        <f>AJ734+(S$3*S735+T$3*T735+U$3*U735+V$3*V735+W$3*W735+X$3*X735+Y$3*Y735+Z$3*Z735+AA$3*AA735+AB$3*AB735+AC$3*AC735)</f>
        <v>0.17708333333333331</v>
      </c>
      <c r="AU735" s="101">
        <f>VLOOKUP($D735,Construction!$B:$Q,(COLUMN(Construction_QuestReward_Stone)-COLUMN(Construction_Name_and_Level)+1),FALSE)</f>
        <v>4100</v>
      </c>
      <c r="AV735" s="101">
        <f>VLOOKUP($D735,Construction!$B:$Q,(COLUMN(Construction_QuestReward_Wood)-COLUMN(Construction_Name_and_Level)+1),FALSE)</f>
        <v>4100</v>
      </c>
      <c r="AW735" s="101">
        <f>VLOOKUP($D735,Construction!$B:$Q,(COLUMN(Construction_QuestReward_Ore)-COLUMN(Construction_Name_and_Level)+1),FALSE)</f>
        <v>4100</v>
      </c>
      <c r="AX735" s="101">
        <f>VLOOKUP($D735,Construction!$B:$Q,(COLUMN(Construction_QuestReward_Food)-COLUMN(Construction_Name_and_Level)+1),FALSE)</f>
        <v>0</v>
      </c>
      <c r="AY735" s="100">
        <f>VLOOKUP($D735,Construction!$B:$Q,(COLUMN(Construction_QuestReward_Silver)-COLUMN(Construction_Name_and_Level)+1),FALSE)</f>
        <v>100</v>
      </c>
    </row>
    <row r="736" spans="2:91" ht="15" customHeight="1">
      <c r="B736" s="506" t="s">
        <v>146</v>
      </c>
      <c r="C736" s="127" t="s">
        <v>138</v>
      </c>
      <c r="D736" s="144" t="s">
        <v>1716</v>
      </c>
      <c r="E736" s="506">
        <v>20</v>
      </c>
      <c r="F736" s="12">
        <v>0.35</v>
      </c>
      <c r="G736" s="111">
        <f>VLOOKUP($D736,Research!$C:$F,(COLUMN(Research_ResearchReward_HeroXP)-COLUMN(Research_Name_and_Level)+1),FALSE)</f>
        <v>60000</v>
      </c>
      <c r="H736" s="111">
        <f t="shared" ref="H736:H737" si="239">G736*(1+F736)</f>
        <v>81000</v>
      </c>
      <c r="J736" s="115">
        <f>VLOOKUP($D736,Research!$C:$G,(COLUMN(Research_ResearchReward_Power)-COLUMN(Research_Name_and_Level)+1),FALSE)</f>
        <v>750</v>
      </c>
      <c r="R736" s="148">
        <v>8.3333333333333332E-3</v>
      </c>
      <c r="AF736" s="141"/>
      <c r="AG736" s="141"/>
      <c r="AH736" s="137"/>
      <c r="AI736" s="484"/>
      <c r="AJ736" s="137">
        <f t="shared" si="233"/>
        <v>0.17708333333333331</v>
      </c>
      <c r="AP736" s="256">
        <v>0.48</v>
      </c>
      <c r="AQ736" s="147">
        <f>VLOOKUP($D736,Research!$C:$D,(COLUMN(Research_Time)-COLUMN(Research_Name_and_Level)+1),FALSE)</f>
        <v>0.27430555555555552</v>
      </c>
      <c r="AR736" s="147">
        <f>AQ736/(1+AP736)</f>
        <v>0.18534159159159158</v>
      </c>
      <c r="AS736" s="147">
        <f>(S$3*S736+T$3*T736+V$3*V736+W$3*W736+X$3*X736+Y$3*Y736+Z$3*Z736+AA$3*AA736+AB$3*AB736+AC$3*AC736)*(-1)</f>
        <v>0</v>
      </c>
      <c r="AT736" s="148">
        <f>IF(AR736-R736-AS736&gt;=0,AR736-R736-AS736,0)</f>
        <v>0.17700825825825825</v>
      </c>
      <c r="AU736" s="111">
        <f>VLOOKUP($D736,Research!$C:$L,(COLUMN(Research_ResearchCost_Stone)-COLUMN(Research_Name_and_Level)+1),FALSE)*(-1)</f>
        <v>-10000</v>
      </c>
      <c r="AV736" s="111">
        <f>VLOOKUP($D736,Research!$C:$L,(COLUMN(Research_ResearchCost_Wood)-COLUMN(Research_Name_and_Level)+1),FALSE)*(-1)</f>
        <v>-10000</v>
      </c>
      <c r="AW736" s="111">
        <f>VLOOKUP($D736,Research!$C:$L,(COLUMN(Research_ResearchCost_Ore)-COLUMN(Research_Name_and_Level)+1),FALSE)*(-1)</f>
        <v>0</v>
      </c>
      <c r="AX736" s="111">
        <f>VLOOKUP($D736,Research!$C:$L,(COLUMN(Research_ResearchCost_Food)-COLUMN(Research_Name_and_Level)+1),FALSE)*(-1)</f>
        <v>-10000</v>
      </c>
      <c r="AY736" s="112">
        <f>VLOOKUP($D736,Research!$C:$L,(COLUMN(Research_ResearchCost_Silver)-COLUMN(Research_Name_and_Level)+1),FALSE)*(-1)</f>
        <v>-15000</v>
      </c>
    </row>
    <row r="737" spans="2:108" ht="15" customHeight="1">
      <c r="B737" s="102" t="s">
        <v>1455</v>
      </c>
      <c r="C737" s="127" t="s">
        <v>170</v>
      </c>
      <c r="D737" s="144" t="s">
        <v>1716</v>
      </c>
      <c r="E737" s="506">
        <v>20</v>
      </c>
      <c r="F737" s="12">
        <v>0.35</v>
      </c>
      <c r="G737" s="101">
        <f>VLOOKUP($D737,Research!$C:$M,(COLUMN(Research_QuestReward_HeroXP)-COLUMN(Research_Name_and_Level)+1),FALSE)</f>
        <v>11000</v>
      </c>
      <c r="H737" s="101">
        <f t="shared" si="239"/>
        <v>14850.000000000002</v>
      </c>
      <c r="J737" s="103">
        <f>VLOOKUP($D737,Research!$C:$N,(COLUMN(Research_QuestReward_Power)-COLUMN(Research_Name_and_Level)+1),FALSE)</f>
        <v>50</v>
      </c>
      <c r="AF737" s="141"/>
      <c r="AG737" s="141"/>
      <c r="AH737" s="137"/>
      <c r="AI737" s="484"/>
      <c r="AJ737" s="137">
        <f t="shared" si="233"/>
        <v>0.17708333333333331</v>
      </c>
      <c r="AU737" s="101">
        <f>VLOOKUP($D737,Research!$C:$S,(COLUMN(Research_QuestReward_Stone)-COLUMN(Research_Name_and_Level)+1),FALSE)</f>
        <v>18000</v>
      </c>
      <c r="AV737" s="101">
        <f>VLOOKUP($D737,Research!$C:$S,(COLUMN(Research_QuestReward_Wood)-COLUMN(Research_Name_and_Level)+1),FALSE)</f>
        <v>18000</v>
      </c>
      <c r="AW737" s="101">
        <f>VLOOKUP($D737,Research!$C:$S,(COLUMN(Research_QuestReward_Ore)-COLUMN(Research_Name_and_Level)+1),FALSE)</f>
        <v>0</v>
      </c>
      <c r="AX737" s="101">
        <f>VLOOKUP($D737,Research!$C:$S,(COLUMN(Research_QuestReward_Food)-COLUMN(Research_Name_and_Level)+1),FALSE)</f>
        <v>18000</v>
      </c>
      <c r="AY737" s="100">
        <f>VLOOKUP($D737,Research!$C:$S,(COLUMN(Research_QuestReward_Silver)-COLUMN(Research_Name_and_Level)+1),FALSE)</f>
        <v>13500</v>
      </c>
      <c r="CT737" s="127"/>
      <c r="CU737" s="127"/>
      <c r="CV737" s="127"/>
      <c r="CW737" s="127"/>
      <c r="CX737" s="127"/>
      <c r="CY737" s="127"/>
      <c r="CZ737" s="127"/>
      <c r="DA737" s="127"/>
      <c r="DB737" s="127"/>
      <c r="DC737" s="127"/>
      <c r="DD737" s="127"/>
    </row>
    <row r="738" spans="2:108" ht="15" customHeight="1">
      <c r="B738" s="506" t="s">
        <v>144</v>
      </c>
      <c r="C738" s="127" t="s">
        <v>138</v>
      </c>
      <c r="D738" s="144" t="s">
        <v>1717</v>
      </c>
      <c r="E738" s="506">
        <v>20</v>
      </c>
      <c r="F738" s="12">
        <v>0.35</v>
      </c>
      <c r="G738" s="94">
        <f>VLOOKUP($D738,Construction!$B:$E,(COLUMN(Construction_BuildingReward_HeroXP)-COLUMN(Construction_Name_and_Level)+1),FALSE)</f>
        <v>500</v>
      </c>
      <c r="H738" s="94">
        <f>G738*(1+F738)</f>
        <v>675</v>
      </c>
      <c r="J738" s="95">
        <f>VLOOKUP($D738,Construction!$B:$F,(COLUMN(Construction_BuildingReward_Power)-COLUMN(Construction_Name_and_Level)+1),FALSE)</f>
        <v>125</v>
      </c>
      <c r="Q738" s="139">
        <v>3.472222222222222E-3</v>
      </c>
      <c r="R738" s="289">
        <v>8.3333333333333332E-3</v>
      </c>
      <c r="AF738" s="141"/>
      <c r="AG738" s="141"/>
      <c r="AH738" s="137"/>
      <c r="AI738" s="484"/>
      <c r="AJ738" s="137">
        <f t="shared" si="233"/>
        <v>0.17708333333333331</v>
      </c>
      <c r="AK738" s="339">
        <v>0.42499999999999999</v>
      </c>
      <c r="AL738" s="138">
        <f>VLOOKUP($D738,Construction!$B:$C,(COLUMN(Construction_Time)-COLUMN(Construction_Name_and_Level)+1),FALSE)</f>
        <v>0.1037037037037037</v>
      </c>
      <c r="AM738" s="138">
        <f t="shared" ref="AM738" si="240">AL738/(1+AK738)</f>
        <v>7.2774528914879788E-2</v>
      </c>
      <c r="AN738" s="138">
        <f>(S$3*S738+T$3*T738+V$3*V738+W$3*W738+X$3*X738+Y$3*Y738+Z$3*Z738+AA$3*AA738+AB$3*AB738+AC$3*AC738)*(-1)</f>
        <v>0</v>
      </c>
      <c r="AO738" s="139">
        <f>IF((AM738-Q738-R738-AN738)&gt;=0,AM738-Q738-R738-AN738,0)</f>
        <v>6.0968973359324233E-2</v>
      </c>
      <c r="AU738" s="94">
        <f>VLOOKUP($D738,Construction!$B:$J,(COLUMN(Construction_BuildingCost_Stone)-COLUMN(Construction_Name_and_Level)+1),FALSE)*(-1)</f>
        <v>0</v>
      </c>
      <c r="AV738" s="94">
        <f>VLOOKUP($D738,Construction!$B:$J,(COLUMN(Construction_BuildingCost_Wood)-COLUMN(Construction_Name_and_Level)+1),FALSE)*(-1)</f>
        <v>-6696</v>
      </c>
      <c r="AW738" s="94">
        <f>VLOOKUP($D738,Construction!$B:$J,(COLUMN(Construction_BuildingCost_Ore)-COLUMN(Construction_Name_and_Level)+1),FALSE)*(-1)</f>
        <v>-6696</v>
      </c>
      <c r="AX738" s="94">
        <f>VLOOKUP($D738,Construction!$B:$J,(COLUMN(Construction_BuildingCost_Food)-COLUMN(Construction_Name_and_Level)+1),FALSE)*(-1)</f>
        <v>-6696</v>
      </c>
    </row>
    <row r="739" spans="2:108" ht="15" customHeight="1">
      <c r="B739" s="506" t="s">
        <v>148</v>
      </c>
      <c r="E739" s="506">
        <v>20</v>
      </c>
      <c r="X739" s="250">
        <v>1</v>
      </c>
      <c r="AF739" s="141">
        <f>$S$3*$S739+$T$3*$T739+$U$3*$U739+$V$3*$V739+$W$3*$W739+$X$3*$X739+$Y$3*$Y739+$Z$3*$Z739+$AA$3*$AA739+$AB$3*$AB739+$AC$3*$AC739</f>
        <v>4.1666666666666664E-2</v>
      </c>
      <c r="AJ739" s="137">
        <f>AJ738+(S$3*S739+T$3*T739+U$3*U739+V$3*V739+W$3*W739+X$3*X739+Y$3*Y739+Z$3*Z739+AA$3*AA739+AB$3*AB739+AC$3*AC739)</f>
        <v>0.21874999999999997</v>
      </c>
    </row>
    <row r="740" spans="2:108" ht="15" customHeight="1">
      <c r="B740" s="506" t="s">
        <v>143</v>
      </c>
      <c r="C740" s="127" t="s">
        <v>466</v>
      </c>
      <c r="D740" s="144">
        <v>3.0590277777777775E-2</v>
      </c>
      <c r="E740" s="506">
        <v>20</v>
      </c>
      <c r="F740" s="12">
        <v>0.35</v>
      </c>
      <c r="G740" s="101">
        <v>12000</v>
      </c>
      <c r="H740" s="101">
        <f>G740*(1+F740)</f>
        <v>16200.000000000002</v>
      </c>
      <c r="AF740" s="141"/>
      <c r="AG740" s="141"/>
      <c r="AH740" s="137"/>
      <c r="AI740" s="484"/>
      <c r="AJ740" s="137">
        <f t="shared" ref="AJ740:AJ741" si="241">AJ739+(S$3*S740+T$3*T740+U$3*U740+V$3*V740+W$3*W740+X$3*X740+Y$3*Y740+Z$3*Z740+AA$3*AA740+AB$3*AB740+AC$3*AC740)</f>
        <v>0.21874999999999997</v>
      </c>
      <c r="AU740" s="101">
        <v>0</v>
      </c>
      <c r="AV740" s="101">
        <v>0</v>
      </c>
      <c r="AW740" s="101">
        <v>15000</v>
      </c>
      <c r="AX740" s="101">
        <v>0</v>
      </c>
      <c r="AY740" s="100">
        <v>3000</v>
      </c>
    </row>
    <row r="741" spans="2:108" ht="15" customHeight="1">
      <c r="B741" s="113" t="s">
        <v>1483</v>
      </c>
      <c r="C741" s="127" t="s">
        <v>157</v>
      </c>
      <c r="D741" s="127">
        <v>400</v>
      </c>
      <c r="E741" s="506">
        <v>20</v>
      </c>
      <c r="G741" s="7"/>
      <c r="H741" s="7"/>
      <c r="J741" s="114">
        <f>VLOOKUP($C741,Troop!$B:$AK,(COLUMN(Troop_TrainingReward_Power)-COLUMN(Troop_Name)+1),FALSE)*$D741</f>
        <v>1600</v>
      </c>
      <c r="AF741" s="141"/>
      <c r="AG741" s="141"/>
      <c r="AH741" s="137"/>
      <c r="AI741" s="484"/>
      <c r="AJ741" s="137">
        <f t="shared" si="241"/>
        <v>0.21874999999999997</v>
      </c>
      <c r="AU741" s="296">
        <f>VLOOKUP($C741,Troop!$B:$P,(COLUMN(Troop_TrainingCost_Stone)-COLUMN(Troop_Name)+1),FALSE)*$D741*(-1)</f>
        <v>-20000</v>
      </c>
      <c r="AV741" s="296">
        <f>VLOOKUP($C741,Troop!$B:$P,(COLUMN(Troop_TrainingCost_Wood)-COLUMN(Troop_Name)+1),FALSE)*$D741*(-1)</f>
        <v>-20000</v>
      </c>
      <c r="AW741" s="296">
        <f>VLOOKUP($C741,Troop!$B:$P,(COLUMN(Troop_TrainingCost_Ore)-COLUMN(Troop_Name)+1),FALSE)*$D741*(-1)</f>
        <v>-15200</v>
      </c>
      <c r="AX741" s="296">
        <f>VLOOKUP($C741,Troop!$B:$P,(COLUMN(Troop_TrainingCost_Food)-COLUMN(Troop_Name)+1),FALSE)*$D741*(-1)</f>
        <v>-40000</v>
      </c>
      <c r="AY741" s="114">
        <f>VLOOKUP($C741,Troop!$B:$P,(COLUMN(Troop_TrainingCost_Silver)-COLUMN(Troop_Name)+1),FALSE)*$D741*(-1)</f>
        <v>0</v>
      </c>
      <c r="CT741" s="128"/>
      <c r="CU741" s="128"/>
      <c r="CV741" s="128"/>
      <c r="CW741" s="128"/>
      <c r="CX741" s="128"/>
      <c r="CY741" s="128"/>
      <c r="CZ741" s="128"/>
      <c r="DA741" s="128"/>
      <c r="DB741" s="128"/>
      <c r="DC741" s="128"/>
      <c r="DD741" s="128"/>
    </row>
    <row r="742" spans="2:108" ht="15" customHeight="1">
      <c r="B742" s="113" t="s">
        <v>1483</v>
      </c>
      <c r="C742" s="127" t="s">
        <v>771</v>
      </c>
      <c r="D742" s="127">
        <v>250</v>
      </c>
      <c r="E742" s="506">
        <v>20</v>
      </c>
      <c r="G742" s="7"/>
      <c r="H742" s="7"/>
      <c r="J742" s="114">
        <f>VLOOKUP($C742,Troop!$B:$AK,(COLUMN(Troop_TrainingReward_Power)-COLUMN(Troop_Name)+1),FALSE)*$D742</f>
        <v>500</v>
      </c>
      <c r="AF742" s="141"/>
      <c r="AG742" s="141"/>
      <c r="AH742" s="137"/>
      <c r="AI742" s="484"/>
      <c r="AJ742" s="137">
        <f t="shared" ref="AJ742:AJ765" si="242">AJ741+(S$3*S742+T$3*T742+U$3*U742+V$3*V742+W$3*W742+X$3*X742+Y$3*Y742+Z$3*Z742+AA$3*AA742+AB$3*AB742+AC$3*AC742)</f>
        <v>0.21874999999999997</v>
      </c>
      <c r="AU742" s="296">
        <f>VLOOKUP($C742,Troop!$B:$P,(COLUMN(Troop_TrainingCost_Stone)-COLUMN(Troop_Name)+1),FALSE)*$D742*(-1)</f>
        <v>-25000</v>
      </c>
      <c r="AV742" s="296">
        <f>VLOOKUP($C742,Troop!$B:$P,(COLUMN(Troop_TrainingCost_Wood)-COLUMN(Troop_Name)+1),FALSE)*$D742*(-1)</f>
        <v>0</v>
      </c>
      <c r="AW742" s="296">
        <f>VLOOKUP($C742,Troop!$B:$P,(COLUMN(Troop_TrainingCost_Ore)-COLUMN(Troop_Name)+1),FALSE)*$D742*(-1)</f>
        <v>-18750</v>
      </c>
      <c r="AX742" s="296">
        <f>VLOOKUP($C742,Troop!$B:$P,(COLUMN(Troop_TrainingCost_Food)-COLUMN(Troop_Name)+1),FALSE)*$D742*(-1)</f>
        <v>-25000</v>
      </c>
      <c r="AY742" s="114">
        <f>VLOOKUP($C742,Troop!$B:$P,(COLUMN(Troop_TrainingCost_Silver)-COLUMN(Troop_Name)+1),FALSE)*$D742*(-1)</f>
        <v>0</v>
      </c>
      <c r="CT742" s="128"/>
      <c r="CU742" s="128"/>
      <c r="CV742" s="128"/>
      <c r="CW742" s="128"/>
      <c r="CX742" s="128"/>
      <c r="CY742" s="128"/>
      <c r="CZ742" s="128"/>
      <c r="DA742" s="128"/>
      <c r="DB742" s="128"/>
      <c r="DC742" s="128"/>
      <c r="DD742" s="128"/>
    </row>
    <row r="743" spans="2:108" ht="15" customHeight="1">
      <c r="B743" s="506" t="s">
        <v>143</v>
      </c>
      <c r="C743" s="127" t="s">
        <v>142</v>
      </c>
      <c r="D743" s="144" t="s">
        <v>1717</v>
      </c>
      <c r="E743" s="506">
        <v>20</v>
      </c>
      <c r="F743" s="12">
        <v>0.35</v>
      </c>
      <c r="G743" s="101">
        <f>VLOOKUP($D743,Construction!$B:$L,(COLUMN(Construction_QuestReward_HeroXP)-COLUMN(Construction_Name_and_Level)+1),FALSE)</f>
        <v>2500</v>
      </c>
      <c r="H743" s="101">
        <f>G743*(1+F743)</f>
        <v>3375</v>
      </c>
      <c r="J743" s="100">
        <f>VLOOKUP($D743,Construction!$B:$L,(COLUMN(Construction_QuestReward_Power)-COLUMN(Construction_Name_and_Level)+1),FALSE)</f>
        <v>70</v>
      </c>
      <c r="AF743" s="141"/>
      <c r="AG743" s="141"/>
      <c r="AH743" s="137"/>
      <c r="AI743" s="484"/>
      <c r="AJ743" s="137">
        <f t="shared" si="242"/>
        <v>0.21874999999999997</v>
      </c>
      <c r="AU743" s="101">
        <f>VLOOKUP($D743,Construction!$B:$Q,(COLUMN(Construction_QuestReward_Stone)-COLUMN(Construction_Name_and_Level)+1),FALSE)</f>
        <v>0</v>
      </c>
      <c r="AV743" s="101">
        <f>VLOOKUP($D743,Construction!$B:$Q,(COLUMN(Construction_QuestReward_Wood)-COLUMN(Construction_Name_and_Level)+1),FALSE)</f>
        <v>4100</v>
      </c>
      <c r="AW743" s="101">
        <f>VLOOKUP($D743,Construction!$B:$Q,(COLUMN(Construction_QuestReward_Ore)-COLUMN(Construction_Name_and_Level)+1),FALSE)</f>
        <v>4100</v>
      </c>
      <c r="AX743" s="101">
        <f>VLOOKUP($D743,Construction!$B:$Q,(COLUMN(Construction_QuestReward_Food)-COLUMN(Construction_Name_and_Level)+1),FALSE)</f>
        <v>4100</v>
      </c>
      <c r="AY743" s="100">
        <f>VLOOKUP($D743,Construction!$B:$Q,(COLUMN(Construction_QuestReward_Silver)-COLUMN(Construction_Name_and_Level)+1),FALSE)</f>
        <v>100</v>
      </c>
    </row>
    <row r="744" spans="2:108" ht="15" customHeight="1">
      <c r="B744" s="506" t="s">
        <v>146</v>
      </c>
      <c r="C744" s="127" t="s">
        <v>138</v>
      </c>
      <c r="D744" s="144" t="s">
        <v>1718</v>
      </c>
      <c r="E744" s="506">
        <v>20</v>
      </c>
      <c r="F744" s="12">
        <v>0.35</v>
      </c>
      <c r="G744" s="111">
        <f>VLOOKUP($D744,Research!$C:$F,(COLUMN(Research_ResearchReward_HeroXP)-COLUMN(Research_Name_and_Level)+1),FALSE)</f>
        <v>30000</v>
      </c>
      <c r="H744" s="111">
        <f t="shared" ref="H744:H746" si="243">G744*(1+F744)</f>
        <v>40500</v>
      </c>
      <c r="J744" s="115">
        <f>VLOOKUP($D744,Research!$C:$G,(COLUMN(Research_ResearchReward_Power)-COLUMN(Research_Name_and_Level)+1),FALSE)</f>
        <v>400</v>
      </c>
      <c r="R744" s="148">
        <v>8.3333333333333332E-3</v>
      </c>
      <c r="AF744" s="141"/>
      <c r="AG744" s="141"/>
      <c r="AH744" s="137"/>
      <c r="AI744" s="484"/>
      <c r="AJ744" s="137">
        <f t="shared" si="242"/>
        <v>0.21874999999999997</v>
      </c>
      <c r="AP744" s="256">
        <v>0.48</v>
      </c>
      <c r="AQ744" s="147">
        <f>VLOOKUP($D744,Research!$C:$D,(COLUMN(Research_Time)-COLUMN(Research_Name_and_Level)+1),FALSE)</f>
        <v>0.1875</v>
      </c>
      <c r="AR744" s="147">
        <f>AQ744/(1+AP744)</f>
        <v>0.1266891891891892</v>
      </c>
      <c r="AS744" s="147">
        <f>(S$3*S744+T$3*T744+V$3*V744+W$3*W744+X$3*X744+Y$3*Y744+Z$3*Z744+AA$3*AA744+AB$3*AB744+AC$3*AC744)*(-1)</f>
        <v>0</v>
      </c>
      <c r="AT744" s="148">
        <f>IF(AR744-R744-AS744&gt;=0,AR744-R744-AS744,0)</f>
        <v>0.11835585585585587</v>
      </c>
      <c r="AU744" s="111">
        <f>VLOOKUP($D744,Research!$C:$L,(COLUMN(Research_ResearchCost_Stone)-COLUMN(Research_Name_and_Level)+1),FALSE)*(-1)</f>
        <v>-10000</v>
      </c>
      <c r="AV744" s="111">
        <f>VLOOKUP($D744,Research!$C:$L,(COLUMN(Research_ResearchCost_Wood)-COLUMN(Research_Name_and_Level)+1),FALSE)*(-1)</f>
        <v>-10000</v>
      </c>
      <c r="AW744" s="111">
        <f>VLOOKUP($D744,Research!$C:$L,(COLUMN(Research_ResearchCost_Ore)-COLUMN(Research_Name_and_Level)+1),FALSE)*(-1)</f>
        <v>0</v>
      </c>
      <c r="AX744" s="111">
        <f>VLOOKUP($D744,Research!$C:$L,(COLUMN(Research_ResearchCost_Food)-COLUMN(Research_Name_and_Level)+1),FALSE)*(-1)</f>
        <v>-10000</v>
      </c>
      <c r="AY744" s="112">
        <f>VLOOKUP($D744,Research!$C:$L,(COLUMN(Research_ResearchCost_Silver)-COLUMN(Research_Name_and_Level)+1),FALSE)*(-1)</f>
        <v>-8000</v>
      </c>
    </row>
    <row r="745" spans="2:108" ht="15" customHeight="1">
      <c r="B745" s="102" t="s">
        <v>1455</v>
      </c>
      <c r="C745" s="127" t="s">
        <v>170</v>
      </c>
      <c r="D745" s="144" t="s">
        <v>1718</v>
      </c>
      <c r="E745" s="506">
        <v>20</v>
      </c>
      <c r="F745" s="12">
        <v>0.35</v>
      </c>
      <c r="G745" s="101">
        <f>VLOOKUP($D745,Research!$C:$M,(COLUMN(Research_QuestReward_HeroXP)-COLUMN(Research_Name_and_Level)+1),FALSE)</f>
        <v>8000</v>
      </c>
      <c r="H745" s="101">
        <f t="shared" si="243"/>
        <v>10800</v>
      </c>
      <c r="J745" s="103">
        <f>VLOOKUP($D745,Research!$C:$N,(COLUMN(Research_QuestReward_Power)-COLUMN(Research_Name_and_Level)+1),FALSE)</f>
        <v>30</v>
      </c>
      <c r="AF745" s="141"/>
      <c r="AG745" s="141"/>
      <c r="AH745" s="137"/>
      <c r="AI745" s="484"/>
      <c r="AJ745" s="137">
        <f t="shared" si="242"/>
        <v>0.21874999999999997</v>
      </c>
      <c r="AU745" s="101">
        <f>VLOOKUP($D745,Research!$C:$S,(COLUMN(Research_QuestReward_Stone)-COLUMN(Research_Name_and_Level)+1),FALSE)</f>
        <v>16000</v>
      </c>
      <c r="AV745" s="101">
        <f>VLOOKUP($D745,Research!$C:$S,(COLUMN(Research_QuestReward_Wood)-COLUMN(Research_Name_and_Level)+1),FALSE)</f>
        <v>16000</v>
      </c>
      <c r="AW745" s="101">
        <f>VLOOKUP($D745,Research!$C:$S,(COLUMN(Research_QuestReward_Ore)-COLUMN(Research_Name_and_Level)+1),FALSE)</f>
        <v>0</v>
      </c>
      <c r="AX745" s="101">
        <f>VLOOKUP($D745,Research!$C:$S,(COLUMN(Research_QuestReward_Food)-COLUMN(Research_Name_and_Level)+1),FALSE)</f>
        <v>16000</v>
      </c>
      <c r="AY745" s="100">
        <f>VLOOKUP($D745,Research!$C:$S,(COLUMN(Research_QuestReward_Silver)-COLUMN(Research_Name_and_Level)+1),FALSE)</f>
        <v>6000</v>
      </c>
      <c r="CT745" s="127"/>
      <c r="CU745" s="127"/>
      <c r="CV745" s="127"/>
      <c r="CW745" s="127"/>
      <c r="CX745" s="127"/>
      <c r="CY745" s="127"/>
      <c r="CZ745" s="127"/>
      <c r="DA745" s="127"/>
      <c r="DB745" s="127"/>
      <c r="DC745" s="127"/>
      <c r="DD745" s="127"/>
    </row>
    <row r="746" spans="2:108" ht="15" customHeight="1">
      <c r="B746" s="506" t="s">
        <v>195</v>
      </c>
      <c r="C746" s="127" t="s">
        <v>468</v>
      </c>
      <c r="D746" s="144" t="s">
        <v>1719</v>
      </c>
      <c r="E746" s="506">
        <v>20</v>
      </c>
      <c r="F746" s="12">
        <v>0.35</v>
      </c>
      <c r="G746" s="211">
        <v>3200</v>
      </c>
      <c r="H746" s="211">
        <f t="shared" si="243"/>
        <v>4320</v>
      </c>
      <c r="AF746" s="141"/>
      <c r="AG746" s="141"/>
      <c r="AH746" s="137"/>
      <c r="AI746" s="484"/>
      <c r="AJ746" s="137">
        <f t="shared" si="242"/>
        <v>0.21874999999999997</v>
      </c>
      <c r="AU746" s="211">
        <v>8000</v>
      </c>
      <c r="AV746" s="211">
        <v>0</v>
      </c>
      <c r="AW746" s="211">
        <v>0</v>
      </c>
      <c r="AX746" s="211">
        <v>0</v>
      </c>
      <c r="AY746" s="160">
        <v>1600</v>
      </c>
      <c r="CL746" s="211">
        <v>2000</v>
      </c>
      <c r="CM746" s="160">
        <f>CL746</f>
        <v>2000</v>
      </c>
    </row>
    <row r="747" spans="2:108" ht="15" customHeight="1">
      <c r="B747" s="506" t="s">
        <v>143</v>
      </c>
      <c r="C747" s="127" t="s">
        <v>466</v>
      </c>
      <c r="D747" s="144" t="s">
        <v>1720</v>
      </c>
      <c r="E747" s="506">
        <v>20</v>
      </c>
      <c r="F747" s="12">
        <v>0.35</v>
      </c>
      <c r="G747" s="101">
        <v>12000</v>
      </c>
      <c r="H747" s="101">
        <f>G747*(1+F747)</f>
        <v>16200.000000000002</v>
      </c>
      <c r="AF747" s="141"/>
      <c r="AG747" s="141"/>
      <c r="AH747" s="137"/>
      <c r="AI747" s="484"/>
      <c r="AJ747" s="137">
        <f t="shared" si="242"/>
        <v>0.21874999999999997</v>
      </c>
      <c r="AU747" s="101">
        <v>15000</v>
      </c>
      <c r="AV747" s="101">
        <v>0</v>
      </c>
      <c r="AW747" s="101">
        <v>0</v>
      </c>
      <c r="AX747" s="101">
        <v>0</v>
      </c>
      <c r="AY747" s="100">
        <v>3000</v>
      </c>
    </row>
    <row r="748" spans="2:108" ht="15" customHeight="1">
      <c r="B748" s="506" t="s">
        <v>195</v>
      </c>
      <c r="C748" s="127" t="s">
        <v>196</v>
      </c>
      <c r="E748" s="506">
        <v>20</v>
      </c>
      <c r="AJ748" s="137">
        <f t="shared" si="242"/>
        <v>0.21874999999999997</v>
      </c>
      <c r="AX748" s="211">
        <v>30000</v>
      </c>
    </row>
    <row r="749" spans="2:108" ht="15" customHeight="1">
      <c r="B749" s="506" t="s">
        <v>195</v>
      </c>
      <c r="C749" s="127" t="s">
        <v>196</v>
      </c>
      <c r="E749" s="506">
        <v>20</v>
      </c>
      <c r="AJ749" s="137">
        <f t="shared" si="242"/>
        <v>0.21874999999999997</v>
      </c>
      <c r="AW749" s="211">
        <v>10000</v>
      </c>
    </row>
    <row r="750" spans="2:108" ht="15" customHeight="1">
      <c r="B750" s="506" t="s">
        <v>144</v>
      </c>
      <c r="C750" s="127" t="s">
        <v>138</v>
      </c>
      <c r="D750" s="144" t="s">
        <v>1721</v>
      </c>
      <c r="E750" s="506">
        <v>20</v>
      </c>
      <c r="F750" s="12">
        <v>0.35</v>
      </c>
      <c r="G750" s="94">
        <f>VLOOKUP($D750,Construction!$B:$E,(COLUMN(Construction_BuildingReward_HeroXP)-COLUMN(Construction_Name_and_Level)+1),FALSE)</f>
        <v>500</v>
      </c>
      <c r="H750" s="94">
        <f>G750*(1+F750)</f>
        <v>675</v>
      </c>
      <c r="J750" s="95">
        <f>VLOOKUP($D750,Construction!$B:$F,(COLUMN(Construction_BuildingReward_Power)-COLUMN(Construction_Name_and_Level)+1),FALSE)</f>
        <v>125</v>
      </c>
      <c r="Q750" s="139">
        <v>3.472222222222222E-3</v>
      </c>
      <c r="R750" s="289">
        <v>8.3333333333333332E-3</v>
      </c>
      <c r="W750" s="11">
        <v>-1</v>
      </c>
      <c r="X750" s="11">
        <v>-1</v>
      </c>
      <c r="AF750" s="141"/>
      <c r="AG750" s="141"/>
      <c r="AH750" s="137"/>
      <c r="AI750" s="484">
        <f>(-1)*($S$3*$S750+$T$3*$T750+$U$3*$U750+$V$3*$V750+$W$3*$W750+$X$3*$X750+$Y$3*$Y750+$Z$3*$Z750+$AA$3*$AA750+$AB$3*$AB750+$AC$3*$AC750)</f>
        <v>5.2083333333333329E-2</v>
      </c>
      <c r="AJ750" s="137">
        <f t="shared" si="242"/>
        <v>0.16666666666666663</v>
      </c>
      <c r="AK750" s="339">
        <v>0.42499999999999999</v>
      </c>
      <c r="AL750" s="138">
        <f>VLOOKUP($D750,Construction!$B:$C,(COLUMN(Construction_Time)-COLUMN(Construction_Name_and_Level)+1),FALSE)</f>
        <v>8.8888888888888892E-2</v>
      </c>
      <c r="AM750" s="138">
        <f t="shared" ref="AM750" si="244">AL750/(1+AK750)</f>
        <v>6.237816764132554E-2</v>
      </c>
      <c r="AN750" s="138">
        <f>(S$3*S750+T$3*T750+V$3*V750+W$3*W750+X$3*X750+Y$3*Y750+Z$3*Z750+AA$3*AA750+AB$3*AB750+AC$3*AC750)*(-1)</f>
        <v>5.2083333333333329E-2</v>
      </c>
      <c r="AO750" s="139">
        <f>IF((AM750-Q750-R750-AN750)&gt;=0,AM750-Q750-R750-AN750,0)</f>
        <v>0</v>
      </c>
      <c r="AU750" s="94">
        <f>VLOOKUP($D750,Construction!$B:$J,(COLUMN(Construction_BuildingCost_Stone)-COLUMN(Construction_Name_and_Level)+1),FALSE)*(-1)</f>
        <v>-6696</v>
      </c>
      <c r="AV750" s="94">
        <f>VLOOKUP($D750,Construction!$B:$J,(COLUMN(Construction_BuildingCost_Wood)-COLUMN(Construction_Name_and_Level)+1),FALSE)*(-1)</f>
        <v>0</v>
      </c>
      <c r="AW750" s="94">
        <f>VLOOKUP($D750,Construction!$B:$J,(COLUMN(Construction_BuildingCost_Ore)-COLUMN(Construction_Name_and_Level)+1),FALSE)*(-1)</f>
        <v>-6696</v>
      </c>
      <c r="AX750" s="94">
        <f>VLOOKUP($D750,Construction!$B:$J,(COLUMN(Construction_BuildingCost_Food)-COLUMN(Construction_Name_and_Level)+1),FALSE)*(-1)</f>
        <v>-6696</v>
      </c>
    </row>
    <row r="751" spans="2:108" ht="15" customHeight="1">
      <c r="B751" s="506" t="s">
        <v>143</v>
      </c>
      <c r="C751" s="127" t="s">
        <v>142</v>
      </c>
      <c r="D751" s="144" t="s">
        <v>1721</v>
      </c>
      <c r="E751" s="506">
        <v>20</v>
      </c>
      <c r="F751" s="12">
        <v>0.35</v>
      </c>
      <c r="G751" s="101">
        <f>VLOOKUP($D751,Construction!$B:$L,(COLUMN(Construction_QuestReward_HeroXP)-COLUMN(Construction_Name_and_Level)+1),FALSE)</f>
        <v>2500</v>
      </c>
      <c r="H751" s="101">
        <f>G751*(1+F751)</f>
        <v>3375</v>
      </c>
      <c r="J751" s="100">
        <f>VLOOKUP($D751,Construction!$B:$L,(COLUMN(Construction_QuestReward_Power)-COLUMN(Construction_Name_and_Level)+1),FALSE)</f>
        <v>70</v>
      </c>
      <c r="AF751" s="141"/>
      <c r="AG751" s="141"/>
      <c r="AH751" s="137"/>
      <c r="AI751" s="484"/>
      <c r="AJ751" s="137">
        <f t="shared" si="242"/>
        <v>0.16666666666666663</v>
      </c>
      <c r="AU751" s="101">
        <f>VLOOKUP($D751,Construction!$B:$Q,(COLUMN(Construction_QuestReward_Stone)-COLUMN(Construction_Name_and_Level)+1),FALSE)</f>
        <v>4100</v>
      </c>
      <c r="AV751" s="101">
        <f>VLOOKUP($D751,Construction!$B:$Q,(COLUMN(Construction_QuestReward_Wood)-COLUMN(Construction_Name_and_Level)+1),FALSE)</f>
        <v>0</v>
      </c>
      <c r="AW751" s="101">
        <f>VLOOKUP($D751,Construction!$B:$Q,(COLUMN(Construction_QuestReward_Ore)-COLUMN(Construction_Name_and_Level)+1),FALSE)</f>
        <v>4100</v>
      </c>
      <c r="AX751" s="101">
        <f>VLOOKUP($D751,Construction!$B:$Q,(COLUMN(Construction_QuestReward_Food)-COLUMN(Construction_Name_and_Level)+1),FALSE)</f>
        <v>4100</v>
      </c>
      <c r="AY751" s="100">
        <f>VLOOKUP($D751,Construction!$B:$Q,(COLUMN(Construction_QuestReward_Silver)-COLUMN(Construction_Name_and_Level)+1),FALSE)</f>
        <v>100</v>
      </c>
    </row>
    <row r="752" spans="2:108" ht="15" customHeight="1">
      <c r="B752" s="506" t="s">
        <v>146</v>
      </c>
      <c r="C752" s="127" t="s">
        <v>138</v>
      </c>
      <c r="D752" s="144" t="s">
        <v>1722</v>
      </c>
      <c r="E752" s="506">
        <v>20</v>
      </c>
      <c r="F752" s="12">
        <v>0.35</v>
      </c>
      <c r="G752" s="111">
        <f>VLOOKUP($D752,Research!$C:$F,(COLUMN(Research_ResearchReward_HeroXP)-COLUMN(Research_Name_and_Level)+1),FALSE)</f>
        <v>60000</v>
      </c>
      <c r="H752" s="111">
        <f t="shared" ref="H752" si="245">G752*(1+F752)</f>
        <v>81000</v>
      </c>
      <c r="J752" s="115">
        <f>VLOOKUP($D752,Research!$C:$G,(COLUMN(Research_ResearchReward_Power)-COLUMN(Research_Name_and_Level)+1),FALSE)</f>
        <v>1000</v>
      </c>
      <c r="R752" s="148">
        <v>8.3333333333333332E-3</v>
      </c>
      <c r="AF752" s="141"/>
      <c r="AG752" s="141"/>
      <c r="AH752" s="137"/>
      <c r="AI752" s="484"/>
      <c r="AJ752" s="137">
        <f t="shared" si="242"/>
        <v>0.16666666666666663</v>
      </c>
      <c r="AP752" s="256">
        <v>0.48</v>
      </c>
      <c r="AQ752" s="147">
        <f>VLOOKUP($D752,Research!$C:$D,(COLUMN(Research_Time)-COLUMN(Research_Name_and_Level)+1),FALSE)</f>
        <v>0.41203703703703703</v>
      </c>
      <c r="AR752" s="147">
        <f>AQ752/(1+AP752)</f>
        <v>0.27840340340340342</v>
      </c>
      <c r="AS752" s="147">
        <f>(S$3*S752+T$3*T752+V$3*V752+W$3*W752+X$3*X752+Y$3*Y752+Z$3*Z752+AA$3*AA752+AB$3*AB752+AC$3*AC752)*(-1)</f>
        <v>0</v>
      </c>
      <c r="AT752" s="148">
        <f>IF(AR752-R752-AS752&gt;=0,AR752-R752-AS752,0)</f>
        <v>0.27007007007007006</v>
      </c>
      <c r="AU752" s="111">
        <f>VLOOKUP($D752,Research!$C:$L,(COLUMN(Research_ResearchCost_Stone)-COLUMN(Research_Name_and_Level)+1),FALSE)*(-1)</f>
        <v>-20000</v>
      </c>
      <c r="AV752" s="111">
        <f>VLOOKUP($D752,Research!$C:$L,(COLUMN(Research_ResearchCost_Wood)-COLUMN(Research_Name_and_Level)+1),FALSE)*(-1)</f>
        <v>-20000</v>
      </c>
      <c r="AW752" s="111">
        <f>VLOOKUP($D752,Research!$C:$L,(COLUMN(Research_ResearchCost_Ore)-COLUMN(Research_Name_and_Level)+1),FALSE)*(-1)</f>
        <v>0</v>
      </c>
      <c r="AX752" s="111">
        <f>VLOOKUP($D752,Research!$C:$L,(COLUMN(Research_ResearchCost_Food)-COLUMN(Research_Name_and_Level)+1),FALSE)*(-1)</f>
        <v>-20000</v>
      </c>
      <c r="AY752" s="112">
        <f>VLOOKUP($D752,Research!$C:$L,(COLUMN(Research_ResearchCost_Silver)-COLUMN(Research_Name_and_Level)+1),FALSE)*(-1)</f>
        <v>-20000</v>
      </c>
    </row>
    <row r="753" spans="1:108" ht="15" customHeight="1">
      <c r="B753" s="113" t="s">
        <v>1483</v>
      </c>
      <c r="C753" s="127" t="s">
        <v>845</v>
      </c>
      <c r="D753" s="127">
        <v>450</v>
      </c>
      <c r="E753" s="506">
        <v>20</v>
      </c>
      <c r="G753" s="7"/>
      <c r="H753" s="7"/>
      <c r="J753" s="114">
        <f>VLOOKUP($C753,Troop!$B:$AK,(COLUMN(Troop_TrainingReward_Power)-COLUMN(Troop_Name)+1),FALSE)*$D753</f>
        <v>900</v>
      </c>
      <c r="AF753" s="141"/>
      <c r="AG753" s="141"/>
      <c r="AH753" s="137"/>
      <c r="AI753" s="484"/>
      <c r="AJ753" s="137">
        <f t="shared" si="242"/>
        <v>0.16666666666666663</v>
      </c>
      <c r="AU753" s="296">
        <f>VLOOKUP($C753,Troop!$B:$P,(COLUMN(Troop_TrainingCost_Stone)-COLUMN(Troop_Name)+1),FALSE)*$D753*(-1)</f>
        <v>0</v>
      </c>
      <c r="AV753" s="296">
        <f>VLOOKUP($C753,Troop!$B:$P,(COLUMN(Troop_TrainingCost_Wood)-COLUMN(Troop_Name)+1),FALSE)*$D753*(-1)</f>
        <v>-45000</v>
      </c>
      <c r="AW753" s="296">
        <f>VLOOKUP($C753,Troop!$B:$P,(COLUMN(Troop_TrainingCost_Ore)-COLUMN(Troop_Name)+1),FALSE)*$D753*(-1)</f>
        <v>-33750</v>
      </c>
      <c r="AX753" s="296">
        <f>VLOOKUP($C753,Troop!$B:$P,(COLUMN(Troop_TrainingCost_Food)-COLUMN(Troop_Name)+1),FALSE)*$D753*(-1)</f>
        <v>-45000</v>
      </c>
      <c r="AY753" s="114">
        <f>VLOOKUP($C753,Troop!$B:$P,(COLUMN(Troop_TrainingCost_Silver)-COLUMN(Troop_Name)+1),FALSE)*$D753*(-1)</f>
        <v>0</v>
      </c>
      <c r="CT753" s="128"/>
      <c r="CU753" s="128"/>
      <c r="CV753" s="128"/>
      <c r="CW753" s="128"/>
      <c r="CX753" s="128"/>
      <c r="CY753" s="128"/>
      <c r="CZ753" s="128"/>
      <c r="DA753" s="128"/>
      <c r="DB753" s="128"/>
      <c r="DC753" s="128"/>
      <c r="DD753" s="128"/>
    </row>
    <row r="754" spans="1:108" ht="15" customHeight="1">
      <c r="B754" s="113" t="s">
        <v>1483</v>
      </c>
      <c r="C754" s="127" t="s">
        <v>154</v>
      </c>
      <c r="D754" s="127">
        <v>850</v>
      </c>
      <c r="E754" s="506">
        <v>20</v>
      </c>
      <c r="G754" s="7"/>
      <c r="H754" s="7"/>
      <c r="J754" s="114">
        <f>VLOOKUP($C754,Troop!$B:$AK,(COLUMN(Troop_TrainingReward_Power)-COLUMN(Troop_Name)+1),FALSE)*$D754</f>
        <v>1700</v>
      </c>
      <c r="AF754" s="141"/>
      <c r="AG754" s="141"/>
      <c r="AH754" s="137"/>
      <c r="AI754" s="484"/>
      <c r="AJ754" s="137">
        <f t="shared" si="242"/>
        <v>0.16666666666666663</v>
      </c>
      <c r="AU754" s="296">
        <f>VLOOKUP($C754,Troop!$B:$P,(COLUMN(Troop_TrainingCost_Stone)-COLUMN(Troop_Name)+1),FALSE)*$D754*(-1)</f>
        <v>0</v>
      </c>
      <c r="AV754" s="296">
        <f>VLOOKUP($C754,Troop!$B:$P,(COLUMN(Troop_TrainingCost_Wood)-COLUMN(Troop_Name)+1),FALSE)*$D754*(-1)</f>
        <v>-42500</v>
      </c>
      <c r="AW754" s="296">
        <f>VLOOKUP($C754,Troop!$B:$P,(COLUMN(Troop_TrainingCost_Ore)-COLUMN(Troop_Name)+1),FALSE)*$D754*(-1)</f>
        <v>-32300</v>
      </c>
      <c r="AX754" s="296">
        <f>VLOOKUP($C754,Troop!$B:$P,(COLUMN(Troop_TrainingCost_Food)-COLUMN(Troop_Name)+1),FALSE)*$D754*(-1)</f>
        <v>-42500</v>
      </c>
      <c r="AY754" s="114">
        <f>VLOOKUP($C754,Troop!$B:$P,(COLUMN(Troop_TrainingCost_Silver)-COLUMN(Troop_Name)+1),FALSE)*$D754*(-1)</f>
        <v>0</v>
      </c>
      <c r="CT754" s="128"/>
      <c r="CU754" s="128"/>
      <c r="CV754" s="128"/>
      <c r="CW754" s="128"/>
      <c r="CX754" s="128"/>
      <c r="CY754" s="128"/>
      <c r="CZ754" s="128"/>
      <c r="DA754" s="128"/>
      <c r="DB754" s="128"/>
      <c r="DC754" s="128"/>
      <c r="DD754" s="128"/>
    </row>
    <row r="755" spans="1:108" ht="15" customHeight="1">
      <c r="B755" s="506" t="s">
        <v>144</v>
      </c>
      <c r="C755" s="127" t="s">
        <v>138</v>
      </c>
      <c r="D755" s="144" t="s">
        <v>1721</v>
      </c>
      <c r="E755" s="506">
        <v>20</v>
      </c>
      <c r="F755" s="12">
        <v>0.35</v>
      </c>
      <c r="G755" s="94">
        <f>VLOOKUP($D755,Construction!$B:$E,(COLUMN(Construction_BuildingReward_HeroXP)-COLUMN(Construction_Name_and_Level)+1),FALSE)</f>
        <v>500</v>
      </c>
      <c r="H755" s="94">
        <f>G755*(1+F755)</f>
        <v>675</v>
      </c>
      <c r="J755" s="95">
        <f>VLOOKUP($D755,Construction!$B:$F,(COLUMN(Construction_BuildingReward_Power)-COLUMN(Construction_Name_and_Level)+1),FALSE)</f>
        <v>125</v>
      </c>
      <c r="Q755" s="139">
        <v>3.472222222222222E-3</v>
      </c>
      <c r="R755" s="289">
        <v>8.3333333333333332E-3</v>
      </c>
      <c r="AF755" s="141"/>
      <c r="AG755" s="141"/>
      <c r="AH755" s="137"/>
      <c r="AI755" s="484"/>
      <c r="AJ755" s="137">
        <f t="shared" si="242"/>
        <v>0.16666666666666663</v>
      </c>
      <c r="AK755" s="339">
        <v>0.42499999999999999</v>
      </c>
      <c r="AL755" s="138">
        <f>VLOOKUP($D755,Construction!$B:$C,(COLUMN(Construction_Time)-COLUMN(Construction_Name_and_Level)+1),FALSE)</f>
        <v>8.8888888888888892E-2</v>
      </c>
      <c r="AM755" s="138">
        <f t="shared" ref="AM755" si="246">AL755/(1+AK755)</f>
        <v>6.237816764132554E-2</v>
      </c>
      <c r="AN755" s="138">
        <f>(S$3*S755+T$3*T755+V$3*V755+W$3*W755+X$3*X755+Y$3*Y755+Z$3*Z755+AA$3*AA755+AB$3*AB755+AC$3*AC755)*(-1)</f>
        <v>0</v>
      </c>
      <c r="AO755" s="139">
        <f>IF((AM755-Q755-R755-AN755)&gt;=0,AM755-Q755-R755-AN755,0)</f>
        <v>5.0572612085769984E-2</v>
      </c>
      <c r="AU755" s="94">
        <f>VLOOKUP($D755,Construction!$B:$J,(COLUMN(Construction_BuildingCost_Stone)-COLUMN(Construction_Name_and_Level)+1),FALSE)*(-1)</f>
        <v>-6696</v>
      </c>
      <c r="AV755" s="94">
        <f>VLOOKUP($D755,Construction!$B:$J,(COLUMN(Construction_BuildingCost_Wood)-COLUMN(Construction_Name_and_Level)+1),FALSE)*(-1)</f>
        <v>0</v>
      </c>
      <c r="AW755" s="94">
        <f>VLOOKUP($D755,Construction!$B:$J,(COLUMN(Construction_BuildingCost_Ore)-COLUMN(Construction_Name_and_Level)+1),FALSE)*(-1)</f>
        <v>-6696</v>
      </c>
      <c r="AX755" s="94">
        <f>VLOOKUP($D755,Construction!$B:$J,(COLUMN(Construction_BuildingCost_Food)-COLUMN(Construction_Name_and_Level)+1),FALSE)*(-1)</f>
        <v>-6696</v>
      </c>
    </row>
    <row r="756" spans="1:108" ht="15" customHeight="1">
      <c r="B756" s="506" t="s">
        <v>626</v>
      </c>
      <c r="C756" s="127" t="s">
        <v>628</v>
      </c>
      <c r="D756" s="144" t="s">
        <v>1723</v>
      </c>
      <c r="E756" s="506">
        <v>20</v>
      </c>
      <c r="AJ756" s="137">
        <f t="shared" si="242"/>
        <v>0.16666666666666663</v>
      </c>
      <c r="CN756" s="670">
        <v>25000</v>
      </c>
    </row>
    <row r="757" spans="1:108" ht="15" customHeight="1">
      <c r="B757" s="113" t="s">
        <v>1483</v>
      </c>
      <c r="C757" s="127" t="s">
        <v>154</v>
      </c>
      <c r="D757" s="127">
        <v>850</v>
      </c>
      <c r="E757" s="506">
        <v>20</v>
      </c>
      <c r="G757" s="7"/>
      <c r="H757" s="7"/>
      <c r="J757" s="114">
        <f>VLOOKUP($C757,Troop!$B:$AK,(COLUMN(Troop_TrainingReward_Power)-COLUMN(Troop_Name)+1),FALSE)*$D757</f>
        <v>1700</v>
      </c>
      <c r="AF757" s="141"/>
      <c r="AG757" s="141"/>
      <c r="AH757" s="137"/>
      <c r="AI757" s="484"/>
      <c r="AJ757" s="137">
        <f t="shared" si="242"/>
        <v>0.16666666666666663</v>
      </c>
      <c r="AU757" s="296">
        <f>VLOOKUP($C757,Troop!$B:$P,(COLUMN(Troop_TrainingCost_Stone)-COLUMN(Troop_Name)+1),FALSE)*$D757*(-1)</f>
        <v>0</v>
      </c>
      <c r="AV757" s="296">
        <f>VLOOKUP($C757,Troop!$B:$P,(COLUMN(Troop_TrainingCost_Wood)-COLUMN(Troop_Name)+1),FALSE)*$D757*(-1)</f>
        <v>-42500</v>
      </c>
      <c r="AW757" s="296">
        <f>VLOOKUP($C757,Troop!$B:$P,(COLUMN(Troop_TrainingCost_Ore)-COLUMN(Troop_Name)+1),FALSE)*$D757*(-1)</f>
        <v>-32300</v>
      </c>
      <c r="AX757" s="296">
        <f>VLOOKUP($C757,Troop!$B:$P,(COLUMN(Troop_TrainingCost_Food)-COLUMN(Troop_Name)+1),FALSE)*$D757*(-1)</f>
        <v>-42500</v>
      </c>
      <c r="AY757" s="114">
        <f>VLOOKUP($C757,Troop!$B:$P,(COLUMN(Troop_TrainingCost_Silver)-COLUMN(Troop_Name)+1),FALSE)*$D757*(-1)</f>
        <v>0</v>
      </c>
      <c r="CT757" s="128"/>
      <c r="CU757" s="128"/>
      <c r="CV757" s="128"/>
      <c r="CW757" s="128"/>
      <c r="CX757" s="128"/>
      <c r="CY757" s="128"/>
      <c r="CZ757" s="128"/>
      <c r="DA757" s="128"/>
      <c r="DB757" s="128"/>
      <c r="DC757" s="128"/>
      <c r="DD757" s="128"/>
    </row>
    <row r="758" spans="1:108" ht="15" customHeight="1">
      <c r="B758" s="506" t="s">
        <v>144</v>
      </c>
      <c r="C758" s="127" t="s">
        <v>138</v>
      </c>
      <c r="D758" s="144" t="s">
        <v>1721</v>
      </c>
      <c r="E758" s="506">
        <v>20</v>
      </c>
      <c r="F758" s="12">
        <v>0.35</v>
      </c>
      <c r="G758" s="94">
        <f>VLOOKUP($D758,Construction!$B:$E,(COLUMN(Construction_BuildingReward_HeroXP)-COLUMN(Construction_Name_and_Level)+1),FALSE)</f>
        <v>500</v>
      </c>
      <c r="H758" s="94">
        <f>G758*(1+F758)</f>
        <v>675</v>
      </c>
      <c r="J758" s="95">
        <f>VLOOKUP($D758,Construction!$B:$F,(COLUMN(Construction_BuildingReward_Power)-COLUMN(Construction_Name_and_Level)+1),FALSE)</f>
        <v>125</v>
      </c>
      <c r="Q758" s="139">
        <v>3.472222222222222E-3</v>
      </c>
      <c r="R758" s="289">
        <v>8.3333333333333332E-3</v>
      </c>
      <c r="AF758" s="141"/>
      <c r="AG758" s="141"/>
      <c r="AH758" s="137"/>
      <c r="AI758" s="484"/>
      <c r="AJ758" s="137">
        <f t="shared" si="242"/>
        <v>0.16666666666666663</v>
      </c>
      <c r="AK758" s="339">
        <v>0.42499999999999999</v>
      </c>
      <c r="AL758" s="138">
        <f>VLOOKUP($D758,Construction!$B:$C,(COLUMN(Construction_Time)-COLUMN(Construction_Name_and_Level)+1),FALSE)</f>
        <v>8.8888888888888892E-2</v>
      </c>
      <c r="AM758" s="138">
        <f t="shared" ref="AM758" si="247">AL758/(1+AK758)</f>
        <v>6.237816764132554E-2</v>
      </c>
      <c r="AN758" s="138">
        <f>(S$3*S758+T$3*T758+V$3*V758+W$3*W758+X$3*X758+Y$3*Y758+Z$3*Z758+AA$3*AA758+AB$3*AB758+AC$3*AC758)*(-1)</f>
        <v>0</v>
      </c>
      <c r="AO758" s="139">
        <f>IF((AM758-Q758-R758-AN758)&gt;=0,AM758-Q758-R758-AN758,0)</f>
        <v>5.0572612085769984E-2</v>
      </c>
      <c r="AU758" s="94">
        <f>VLOOKUP($D758,Construction!$B:$J,(COLUMN(Construction_BuildingCost_Stone)-COLUMN(Construction_Name_and_Level)+1),FALSE)*(-1)</f>
        <v>-6696</v>
      </c>
      <c r="AV758" s="94">
        <f>VLOOKUP($D758,Construction!$B:$J,(COLUMN(Construction_BuildingCost_Wood)-COLUMN(Construction_Name_and_Level)+1),FALSE)*(-1)</f>
        <v>0</v>
      </c>
      <c r="AW758" s="94">
        <f>VLOOKUP($D758,Construction!$B:$J,(COLUMN(Construction_BuildingCost_Ore)-COLUMN(Construction_Name_and_Level)+1),FALSE)*(-1)</f>
        <v>-6696</v>
      </c>
      <c r="AX758" s="94">
        <f>VLOOKUP($D758,Construction!$B:$J,(COLUMN(Construction_BuildingCost_Food)-COLUMN(Construction_Name_and_Level)+1),FALSE)*(-1)</f>
        <v>-6696</v>
      </c>
    </row>
    <row r="759" spans="1:108" ht="15" customHeight="1">
      <c r="B759" s="506" t="s">
        <v>144</v>
      </c>
      <c r="C759" s="127" t="s">
        <v>138</v>
      </c>
      <c r="D759" s="144" t="s">
        <v>1724</v>
      </c>
      <c r="E759" s="506">
        <v>20</v>
      </c>
      <c r="F759" s="12">
        <v>0.35</v>
      </c>
      <c r="G759" s="94">
        <f>VLOOKUP($D759,Construction!$B:$E,(COLUMN(Construction_BuildingReward_HeroXP)-COLUMN(Construction_Name_and_Level)+1),FALSE)</f>
        <v>500</v>
      </c>
      <c r="H759" s="94">
        <f>G759*(1+F759)</f>
        <v>675</v>
      </c>
      <c r="J759" s="95">
        <f>VLOOKUP($D759,Construction!$B:$F,(COLUMN(Construction_BuildingReward_Power)-COLUMN(Construction_Name_and_Level)+1),FALSE)</f>
        <v>310</v>
      </c>
      <c r="Q759" s="139">
        <v>3.472222222222222E-3</v>
      </c>
      <c r="R759" s="289">
        <v>8.3333333333333332E-3</v>
      </c>
      <c r="AF759" s="141"/>
      <c r="AG759" s="141"/>
      <c r="AH759" s="137"/>
      <c r="AI759" s="484"/>
      <c r="AJ759" s="137">
        <f t="shared" si="242"/>
        <v>0.16666666666666663</v>
      </c>
      <c r="AK759" s="339">
        <v>0.42499999999999999</v>
      </c>
      <c r="AL759" s="138">
        <f>VLOOKUP($D759,Construction!$B:$C,(COLUMN(Construction_Time)-COLUMN(Construction_Name_and_Level)+1),FALSE)</f>
        <v>7.407407407407407E-2</v>
      </c>
      <c r="AM759" s="138">
        <f t="shared" ref="AM759" si="248">AL759/(1+AK759)</f>
        <v>5.1981806367771277E-2</v>
      </c>
      <c r="AN759" s="138">
        <f>(S$3*S759+T$3*T759+V$3*V759+W$3*W759+X$3*X759+Y$3*Y759+Z$3*Z759+AA$3*AA759+AB$3*AB759+AC$3*AC759)*(-1)</f>
        <v>0</v>
      </c>
      <c r="AO759" s="139">
        <f>IF((AM759-Q759-R759-AN759)&gt;=0,AM759-Q759-R759-AN759,0)</f>
        <v>4.0176250812215722E-2</v>
      </c>
      <c r="AU759" s="94">
        <f>VLOOKUP($D759,Construction!$B:$J,(COLUMN(Construction_BuildingCost_Stone)-COLUMN(Construction_Name_and_Level)+1),FALSE)*(-1)</f>
        <v>-13376</v>
      </c>
      <c r="AV759" s="94">
        <f>VLOOKUP($D759,Construction!$B:$J,(COLUMN(Construction_BuildingCost_Wood)-COLUMN(Construction_Name_and_Level)+1),FALSE)*(-1)</f>
        <v>-13376</v>
      </c>
      <c r="AW759" s="94">
        <f>VLOOKUP($D759,Construction!$B:$J,(COLUMN(Construction_BuildingCost_Ore)-COLUMN(Construction_Name_and_Level)+1),FALSE)*(-1)</f>
        <v>-3360</v>
      </c>
      <c r="AX759" s="94">
        <f>VLOOKUP($D759,Construction!$B:$J,(COLUMN(Construction_BuildingCost_Food)-COLUMN(Construction_Name_and_Level)+1),FALSE)*(-1)</f>
        <v>-33416</v>
      </c>
    </row>
    <row r="760" spans="1:108" ht="15" customHeight="1">
      <c r="B760" s="506" t="s">
        <v>148</v>
      </c>
      <c r="E760" s="506"/>
      <c r="W760" s="250">
        <v>2</v>
      </c>
      <c r="AF760" s="141">
        <f>$S$3*$S760+$T$3*$T760+$U$3*$U760+$V$3*$V760+$W$3*$W760+$X$3*$X760+$Y$3*$Y760+$Z$3*$Z760+$AA$3*$AA760+$AB$3*$AB760+$AC$3*$AC760</f>
        <v>2.0833333333333332E-2</v>
      </c>
      <c r="AJ760" s="137">
        <f t="shared" si="242"/>
        <v>0.18749999999999997</v>
      </c>
    </row>
    <row r="761" spans="1:108" ht="15" customHeight="1">
      <c r="B761" s="506" t="s">
        <v>195</v>
      </c>
      <c r="C761" s="127" t="s">
        <v>468</v>
      </c>
      <c r="D761" s="144" t="s">
        <v>1725</v>
      </c>
      <c r="E761" s="506">
        <v>20</v>
      </c>
      <c r="F761" s="12">
        <v>0.35</v>
      </c>
      <c r="G761" s="211">
        <v>12000</v>
      </c>
      <c r="H761" s="211">
        <f t="shared" ref="H761" si="249">G761*(1+F761)</f>
        <v>16200.000000000002</v>
      </c>
      <c r="AF761" s="141"/>
      <c r="AG761" s="141"/>
      <c r="AH761" s="137"/>
      <c r="AI761" s="484"/>
      <c r="AJ761" s="137">
        <f t="shared" si="242"/>
        <v>0.18749999999999997</v>
      </c>
      <c r="AU761" s="211">
        <v>0</v>
      </c>
      <c r="AV761" s="211">
        <v>0</v>
      </c>
      <c r="AW761" s="211">
        <v>30000</v>
      </c>
      <c r="AX761" s="211">
        <v>30000</v>
      </c>
      <c r="AY761" s="160">
        <v>0</v>
      </c>
      <c r="CL761" s="211">
        <v>7500</v>
      </c>
      <c r="CM761" s="160">
        <f>CL761</f>
        <v>7500</v>
      </c>
    </row>
    <row r="762" spans="1:108" ht="15" customHeight="1">
      <c r="B762" s="506" t="s">
        <v>143</v>
      </c>
      <c r="C762" s="127" t="s">
        <v>466</v>
      </c>
      <c r="D762" s="144" t="s">
        <v>1726</v>
      </c>
      <c r="E762" s="506">
        <v>20</v>
      </c>
      <c r="F762" s="12">
        <v>0.35</v>
      </c>
      <c r="G762" s="101">
        <v>3200</v>
      </c>
      <c r="H762" s="101">
        <f>G762*(1+F762)</f>
        <v>4320</v>
      </c>
      <c r="AF762" s="141"/>
      <c r="AG762" s="141"/>
      <c r="AH762" s="137"/>
      <c r="AI762" s="484"/>
      <c r="AJ762" s="137">
        <f t="shared" si="242"/>
        <v>0.18749999999999997</v>
      </c>
      <c r="AU762" s="101">
        <v>0</v>
      </c>
      <c r="AV762" s="101">
        <v>0</v>
      </c>
      <c r="AW762" s="101">
        <v>0</v>
      </c>
      <c r="AX762" s="101">
        <v>8000</v>
      </c>
      <c r="AY762" s="100">
        <v>0</v>
      </c>
    </row>
    <row r="763" spans="1:108" ht="15" customHeight="1">
      <c r="B763" s="113" t="s">
        <v>1483</v>
      </c>
      <c r="C763" s="127" t="s">
        <v>155</v>
      </c>
      <c r="D763" s="127">
        <v>850</v>
      </c>
      <c r="E763" s="506">
        <v>20</v>
      </c>
      <c r="G763" s="7"/>
      <c r="H763" s="7"/>
      <c r="J763" s="114">
        <f>VLOOKUP($C763,Troop!$B:$AK,(COLUMN(Troop_TrainingReward_Power)-COLUMN(Troop_Name)+1),FALSE)*$D763</f>
        <v>1700</v>
      </c>
      <c r="AF763" s="141"/>
      <c r="AG763" s="141"/>
      <c r="AH763" s="137"/>
      <c r="AI763" s="484"/>
      <c r="AJ763" s="137">
        <f t="shared" si="242"/>
        <v>0.18749999999999997</v>
      </c>
      <c r="AU763" s="296">
        <f>VLOOKUP($C763,Troop!$B:$P,(COLUMN(Troop_TrainingCost_Stone)-COLUMN(Troop_Name)+1),FALSE)*$D763*(-1)</f>
        <v>-42500</v>
      </c>
      <c r="AV763" s="296">
        <f>VLOOKUP($C763,Troop!$B:$P,(COLUMN(Troop_TrainingCost_Wood)-COLUMN(Troop_Name)+1),FALSE)*$D763*(-1)</f>
        <v>-42500</v>
      </c>
      <c r="AW763" s="296">
        <f>VLOOKUP($C763,Troop!$B:$P,(COLUMN(Troop_TrainingCost_Ore)-COLUMN(Troop_Name)+1),FALSE)*$D763*(-1)</f>
        <v>0</v>
      </c>
      <c r="AX763" s="296">
        <f>VLOOKUP($C763,Troop!$B:$P,(COLUMN(Troop_TrainingCost_Food)-COLUMN(Troop_Name)+1),FALSE)*$D763*(-1)</f>
        <v>-42500</v>
      </c>
      <c r="AY763" s="114">
        <f>VLOOKUP($C763,Troop!$B:$P,(COLUMN(Troop_TrainingCost_Silver)-COLUMN(Troop_Name)+1),FALSE)*$D763*(-1)</f>
        <v>0</v>
      </c>
      <c r="CT763" s="128"/>
      <c r="CU763" s="128"/>
      <c r="CV763" s="128"/>
      <c r="CW763" s="128"/>
      <c r="CX763" s="128"/>
      <c r="CY763" s="128"/>
      <c r="CZ763" s="128"/>
      <c r="DA763" s="128"/>
      <c r="DB763" s="128"/>
      <c r="DC763" s="128"/>
      <c r="DD763" s="128"/>
    </row>
    <row r="764" spans="1:108" ht="15" customHeight="1">
      <c r="B764" s="113" t="s">
        <v>1483</v>
      </c>
      <c r="C764" s="127" t="s">
        <v>619</v>
      </c>
      <c r="D764" s="127">
        <v>400</v>
      </c>
      <c r="E764" s="506">
        <v>20</v>
      </c>
      <c r="G764" s="7"/>
      <c r="H764" s="7"/>
      <c r="J764" s="114">
        <f>VLOOKUP($C764,Troop!$B:$AK,(COLUMN(Troop_TrainingReward_Power)-COLUMN(Troop_Name)+1),FALSE)*$D764</f>
        <v>800</v>
      </c>
      <c r="AF764" s="141"/>
      <c r="AG764" s="141"/>
      <c r="AH764" s="137"/>
      <c r="AI764" s="484"/>
      <c r="AJ764" s="137">
        <f t="shared" si="242"/>
        <v>0.18749999999999997</v>
      </c>
      <c r="AU764" s="296">
        <f>VLOOKUP($C764,Troop!$B:$P,(COLUMN(Troop_TrainingCost_Stone)-COLUMN(Troop_Name)+1),FALSE)*$D764*(-1)</f>
        <v>-40000</v>
      </c>
      <c r="AV764" s="296">
        <f>VLOOKUP($C764,Troop!$B:$P,(COLUMN(Troop_TrainingCost_Wood)-COLUMN(Troop_Name)+1),FALSE)*$D764*(-1)</f>
        <v>-40000</v>
      </c>
      <c r="AW764" s="296">
        <f>VLOOKUP($C764,Troop!$B:$P,(COLUMN(Troop_TrainingCost_Ore)-COLUMN(Troop_Name)+1),FALSE)*$D764*(-1)</f>
        <v>0</v>
      </c>
      <c r="AX764" s="296">
        <f>VLOOKUP($C764,Troop!$B:$P,(COLUMN(Troop_TrainingCost_Food)-COLUMN(Troop_Name)+1),FALSE)*$D764*(-1)</f>
        <v>-40000</v>
      </c>
      <c r="AY764" s="114">
        <f>VLOOKUP($C764,Troop!$B:$P,(COLUMN(Troop_TrainingCost_Silver)-COLUMN(Troop_Name)+1),FALSE)*$D764*(-1)</f>
        <v>0</v>
      </c>
      <c r="CT764" s="128"/>
      <c r="CU764" s="128"/>
      <c r="CV764" s="128"/>
      <c r="CW764" s="128"/>
      <c r="CX764" s="128"/>
      <c r="CY764" s="128"/>
      <c r="CZ764" s="128"/>
      <c r="DA764" s="128"/>
      <c r="DB764" s="128"/>
      <c r="DC764" s="128"/>
      <c r="DD764" s="128"/>
    </row>
    <row r="765" spans="1:108" ht="15" customHeight="1">
      <c r="B765" s="506" t="s">
        <v>146</v>
      </c>
      <c r="C765" s="127" t="s">
        <v>138</v>
      </c>
      <c r="D765" s="144" t="s">
        <v>1727</v>
      </c>
      <c r="E765" s="506">
        <v>20</v>
      </c>
      <c r="F765" s="12">
        <v>0.35</v>
      </c>
      <c r="G765" s="111">
        <f>VLOOKUP($D765,Research!$C:$F,(COLUMN(Research_ResearchReward_HeroXP)-COLUMN(Research_Name_and_Level)+1),FALSE)</f>
        <v>30000</v>
      </c>
      <c r="H765" s="111">
        <f t="shared" ref="H765" si="250">G765*(1+F765)</f>
        <v>40500</v>
      </c>
      <c r="J765" s="115">
        <f>VLOOKUP($D765,Research!$C:$G,(COLUMN(Research_ResearchReward_Power)-COLUMN(Research_Name_and_Level)+1),FALSE)</f>
        <v>300</v>
      </c>
      <c r="R765" s="148">
        <v>8.3333333333333332E-3</v>
      </c>
      <c r="AF765" s="141"/>
      <c r="AG765" s="141"/>
      <c r="AH765" s="137"/>
      <c r="AI765" s="484"/>
      <c r="AJ765" s="137">
        <f t="shared" si="242"/>
        <v>0.18749999999999997</v>
      </c>
      <c r="AP765" s="256">
        <v>0.48</v>
      </c>
      <c r="AQ765" s="147">
        <f>VLOOKUP($D765,Research!$C:$D,(COLUMN(Research_Time)-COLUMN(Research_Name_and_Level)+1),FALSE)</f>
        <v>0.125</v>
      </c>
      <c r="AR765" s="147">
        <f>AQ765/(1+AP765)</f>
        <v>8.4459459459459457E-2</v>
      </c>
      <c r="AS765" s="147">
        <f>(S$3*S765+T$3*T765+V$3*V765+W$3*W765+X$3*X765+Y$3*Y765+Z$3*Z765+AA$3*AA765+AB$3*AB765+AC$3*AC765)*(-1)</f>
        <v>0</v>
      </c>
      <c r="AT765" s="148">
        <f>IF(AR765-R765-AS765&gt;=0,AR765-R765-AS765,0)</f>
        <v>7.6126126126126126E-2</v>
      </c>
      <c r="AU765" s="111">
        <f>VLOOKUP($D765,Research!$C:$L,(COLUMN(Research_ResearchCost_Stone)-COLUMN(Research_Name_and_Level)+1),FALSE)*(-1)</f>
        <v>-5000</v>
      </c>
      <c r="AV765" s="111">
        <f>VLOOKUP($D765,Research!$C:$L,(COLUMN(Research_ResearchCost_Wood)-COLUMN(Research_Name_and_Level)+1),FALSE)*(-1)</f>
        <v>0</v>
      </c>
      <c r="AW765" s="111">
        <f>VLOOKUP($D765,Research!$C:$L,(COLUMN(Research_ResearchCost_Ore)-COLUMN(Research_Name_and_Level)+1),FALSE)*(-1)</f>
        <v>-3750</v>
      </c>
      <c r="AX765" s="111">
        <f>VLOOKUP($D765,Research!$C:$L,(COLUMN(Research_ResearchCost_Food)-COLUMN(Research_Name_and_Level)+1),FALSE)*(-1)</f>
        <v>-5000</v>
      </c>
      <c r="AY765" s="112">
        <f>VLOOKUP($D765,Research!$C:$L,(COLUMN(Research_ResearchCost_Silver)-COLUMN(Research_Name_and_Level)+1),FALSE)*(-1)</f>
        <v>-6000</v>
      </c>
    </row>
    <row r="766" spans="1:108" ht="15" customHeight="1">
      <c r="B766" s="126" t="s">
        <v>1457</v>
      </c>
      <c r="C766" s="127" t="s">
        <v>147</v>
      </c>
      <c r="D766" s="144" t="s">
        <v>1728</v>
      </c>
      <c r="E766" s="506">
        <v>21</v>
      </c>
      <c r="I766" s="5">
        <v>4</v>
      </c>
      <c r="J766" s="5">
        <v>1268</v>
      </c>
      <c r="Q766" s="149"/>
      <c r="AF766" s="141"/>
      <c r="AG766" s="141"/>
      <c r="AH766" s="137"/>
      <c r="AI766" s="484"/>
      <c r="AJ766" s="137">
        <f>AJ762+(S$3*S766+T$3*T766+U$3*U766+V$3*V766+W$3*W766+X$3*X766+Y$3*Y766+Z$3*Z766+AA$3*AA766+AB$3*AB766+AC$3*AC766)</f>
        <v>0.18749999999999997</v>
      </c>
      <c r="AX766" s="11"/>
    </row>
    <row r="767" spans="1:108" s="420" customFormat="1" ht="15" customHeight="1">
      <c r="A767" s="487"/>
      <c r="B767" s="411" t="s">
        <v>171</v>
      </c>
      <c r="C767" s="412"/>
      <c r="D767" s="412" t="s">
        <v>1729</v>
      </c>
      <c r="E767" s="411">
        <v>21</v>
      </c>
      <c r="F767" s="413">
        <v>0.35</v>
      </c>
      <c r="G767" s="414" t="s">
        <v>1453</v>
      </c>
      <c r="H767" s="414">
        <v>3982680</v>
      </c>
      <c r="I767" s="415">
        <v>52</v>
      </c>
      <c r="J767" s="415">
        <v>86594</v>
      </c>
      <c r="K767" s="414">
        <v>5</v>
      </c>
      <c r="L767" s="414">
        <v>2360</v>
      </c>
      <c r="M767" s="416">
        <v>4.1666666666666664E-2</v>
      </c>
      <c r="N767" s="417">
        <v>260</v>
      </c>
      <c r="O767" s="109">
        <f>SUMIF($B$4:$B766,"&lt;&gt;"&amp;$CS$13,O$4:O766)</f>
        <v>-300</v>
      </c>
      <c r="P767" s="108">
        <f>SUMIF($B$4:$B766,"&lt;&gt;"&amp;$CS$13,N$4:N766)</f>
        <v>560</v>
      </c>
      <c r="Q767" s="416">
        <v>3.472222222222222E-3</v>
      </c>
      <c r="R767" s="416">
        <v>8.3333333333333332E-3</v>
      </c>
      <c r="S767" s="414">
        <v>0</v>
      </c>
      <c r="T767" s="414">
        <v>0</v>
      </c>
      <c r="U767" s="414">
        <v>0</v>
      </c>
      <c r="V767" s="414">
        <v>0</v>
      </c>
      <c r="W767" s="417">
        <v>6</v>
      </c>
      <c r="X767" s="417">
        <v>0</v>
      </c>
      <c r="Y767" s="417">
        <v>1</v>
      </c>
      <c r="Z767" s="417">
        <v>0</v>
      </c>
      <c r="AA767" s="417">
        <v>0</v>
      </c>
      <c r="AB767" s="417">
        <v>0</v>
      </c>
      <c r="AC767" s="417">
        <v>0</v>
      </c>
      <c r="AD767" s="417">
        <v>0</v>
      </c>
      <c r="AE767" s="415">
        <v>0</v>
      </c>
      <c r="AF767" s="419">
        <f>SUMIF($B$4:$B766,"&lt;&gt;"&amp;$CS$13,AF$4:AF766)</f>
        <v>0.86527777777777781</v>
      </c>
      <c r="AG767" s="419">
        <f>SUMIF($B$4:$B766,"&lt;&gt;"&amp;$CS$13,AG$4:AG766)</f>
        <v>0</v>
      </c>
      <c r="AH767" s="416">
        <f>AF767+AG767</f>
        <v>0.86527777777777781</v>
      </c>
      <c r="AI767" s="485">
        <f>SUMIF($B$4:$B766,"&lt;&gt;"&amp;$CS$13,AI$4:AI766)</f>
        <v>0.6777777777777777</v>
      </c>
      <c r="AJ767" s="416">
        <f>S$3*S767+T$3*T767+U$3*U767+V$3*V767+W$3*W767+X$3*X767+Y$3*Y767+Z$3*Z767+AA$3*AA767+AB$3*AB767+AC$3*AC767</f>
        <v>0.1875</v>
      </c>
      <c r="AK767" s="418">
        <v>0.42499999999999999</v>
      </c>
      <c r="AL767" s="419" t="s">
        <v>1453</v>
      </c>
      <c r="AM767" s="419" t="s">
        <v>1453</v>
      </c>
      <c r="AN767" s="419" t="s">
        <v>1453</v>
      </c>
      <c r="AO767" s="416" t="s">
        <v>1453</v>
      </c>
      <c r="AP767" s="284">
        <v>0.48</v>
      </c>
      <c r="AQ767" s="419" t="s">
        <v>1453</v>
      </c>
      <c r="AR767" s="419" t="s">
        <v>1453</v>
      </c>
      <c r="AS767" s="419" t="s">
        <v>1453</v>
      </c>
      <c r="AT767" s="416" t="s">
        <v>1453</v>
      </c>
      <c r="AU767" s="414">
        <v>229200</v>
      </c>
      <c r="AV767" s="414">
        <v>215100</v>
      </c>
      <c r="AW767" s="414">
        <v>368100</v>
      </c>
      <c r="AX767" s="417">
        <v>527300</v>
      </c>
      <c r="AY767" s="415">
        <v>189500</v>
      </c>
      <c r="AZ767" s="414">
        <v>6147</v>
      </c>
      <c r="BA767" s="414">
        <v>7318</v>
      </c>
      <c r="BB767" s="414">
        <v>5437</v>
      </c>
      <c r="BC767" s="414">
        <v>11664</v>
      </c>
      <c r="BD767" s="415">
        <v>3564</v>
      </c>
      <c r="BE767" s="415">
        <v>-4950</v>
      </c>
      <c r="BF767" s="414">
        <v>327000</v>
      </c>
      <c r="BG767" s="414">
        <v>447000</v>
      </c>
      <c r="BH767" s="414">
        <v>339000</v>
      </c>
      <c r="BI767" s="414">
        <v>457500</v>
      </c>
      <c r="BJ767" s="415">
        <v>213000</v>
      </c>
      <c r="BK767" s="414">
        <v>8</v>
      </c>
      <c r="BL767" s="415">
        <v>8</v>
      </c>
      <c r="BM767" s="415">
        <v>8</v>
      </c>
      <c r="BN767" s="414">
        <v>8</v>
      </c>
      <c r="BO767" s="415">
        <v>7</v>
      </c>
      <c r="BP767" s="414">
        <v>8</v>
      </c>
      <c r="BQ767" s="415">
        <v>6</v>
      </c>
      <c r="BR767" s="414">
        <v>8</v>
      </c>
      <c r="BS767" s="415">
        <v>6</v>
      </c>
      <c r="BT767" s="414">
        <v>8</v>
      </c>
      <c r="BU767" s="415">
        <v>6</v>
      </c>
      <c r="BV767" s="414">
        <v>8</v>
      </c>
      <c r="BW767" s="415">
        <v>6</v>
      </c>
      <c r="BX767" s="414">
        <v>6</v>
      </c>
      <c r="BY767" s="415">
        <v>4</v>
      </c>
      <c r="BZ767" s="414">
        <v>6</v>
      </c>
      <c r="CA767" s="415">
        <v>4</v>
      </c>
      <c r="CB767" s="415">
        <v>6</v>
      </c>
      <c r="CC767" s="415">
        <v>8</v>
      </c>
      <c r="CD767" s="415">
        <v>8</v>
      </c>
      <c r="CE767" s="414">
        <v>5</v>
      </c>
      <c r="CF767" s="414">
        <v>3</v>
      </c>
      <c r="CG767" s="415">
        <v>1</v>
      </c>
      <c r="CH767" s="414">
        <v>7</v>
      </c>
      <c r="CI767" s="414">
        <v>0</v>
      </c>
      <c r="CJ767" s="415">
        <v>0</v>
      </c>
      <c r="CK767" s="415"/>
      <c r="CL767" s="414">
        <v>75400</v>
      </c>
      <c r="CM767" s="415" t="s">
        <v>1453</v>
      </c>
      <c r="CN767" s="415" t="s">
        <v>1208</v>
      </c>
      <c r="CS767" s="421"/>
    </row>
    <row r="768" spans="1:108" ht="15" customHeight="1">
      <c r="B768" s="506" t="s">
        <v>144</v>
      </c>
      <c r="C768" s="127" t="s">
        <v>138</v>
      </c>
      <c r="D768" s="144" t="s">
        <v>1724</v>
      </c>
      <c r="E768" s="506">
        <v>21</v>
      </c>
      <c r="F768" s="12">
        <v>0.35</v>
      </c>
      <c r="G768" s="94">
        <f>VLOOKUP($D768,Construction!$B:$E,(COLUMN(Construction_BuildingReward_HeroXP)-COLUMN(Construction_Name_and_Level)+1),FALSE)</f>
        <v>500</v>
      </c>
      <c r="H768" s="94">
        <f>G768*(1+F768)</f>
        <v>675</v>
      </c>
      <c r="J768" s="95">
        <f>VLOOKUP($D768,Construction!$B:$F,(COLUMN(Construction_BuildingReward_Power)-COLUMN(Construction_Name_and_Level)+1),FALSE)</f>
        <v>310</v>
      </c>
      <c r="Q768" s="139">
        <v>3.472222222222222E-3</v>
      </c>
      <c r="R768" s="289">
        <v>8.3333333333333332E-3</v>
      </c>
      <c r="AF768" s="141"/>
      <c r="AG768" s="141"/>
      <c r="AH768" s="137"/>
      <c r="AI768" s="484"/>
      <c r="AJ768" s="137">
        <f>AJ767+(S$3*S768+T$3*T768+U$3*U768+V$3*V768+W$3*W768+X$3*X768+Y$3*Y768+Z$3*Z768+AA$3*AA768+AB$3*AB768+AC$3*AC768)</f>
        <v>0.1875</v>
      </c>
      <c r="AK768" s="339">
        <v>0.42499999999999999</v>
      </c>
      <c r="AL768" s="138">
        <f>VLOOKUP($D768,Construction!$B:$C,(COLUMN(Construction_Time)-COLUMN(Construction_Name_and_Level)+1),FALSE)</f>
        <v>7.407407407407407E-2</v>
      </c>
      <c r="AM768" s="138">
        <f t="shared" ref="AM768" si="251">AL768/(1+AK768)</f>
        <v>5.1981806367771277E-2</v>
      </c>
      <c r="AN768" s="138">
        <f>(S$3*S768+T$3*T768+V$3*V768+W$3*W768+X$3*X768+Y$3*Y768+Z$3*Z768+AA$3*AA768+AB$3*AB768+AC$3*AC768)*(-1)</f>
        <v>0</v>
      </c>
      <c r="AO768" s="139">
        <f>IF((AM768-Q768-R768-AN768)&gt;=0,AM768-Q768-R768-AN768,0)</f>
        <v>4.0176250812215722E-2</v>
      </c>
      <c r="AU768" s="94">
        <f>VLOOKUP($D768,Construction!$B:$J,(COLUMN(Construction_BuildingCost_Stone)-COLUMN(Construction_Name_and_Level)+1),FALSE)*(-1)</f>
        <v>-13376</v>
      </c>
      <c r="AV768" s="94">
        <f>VLOOKUP($D768,Construction!$B:$J,(COLUMN(Construction_BuildingCost_Wood)-COLUMN(Construction_Name_and_Level)+1),FALSE)*(-1)</f>
        <v>-13376</v>
      </c>
      <c r="AW768" s="94">
        <f>VLOOKUP($D768,Construction!$B:$J,(COLUMN(Construction_BuildingCost_Ore)-COLUMN(Construction_Name_and_Level)+1),FALSE)*(-1)</f>
        <v>-3360</v>
      </c>
      <c r="AX768" s="94">
        <f>VLOOKUP($D768,Construction!$B:$J,(COLUMN(Construction_BuildingCost_Food)-COLUMN(Construction_Name_and_Level)+1),FALSE)*(-1)</f>
        <v>-33416</v>
      </c>
    </row>
    <row r="769" spans="2:108" ht="15" customHeight="1">
      <c r="B769" s="506" t="s">
        <v>195</v>
      </c>
      <c r="C769" s="127" t="s">
        <v>468</v>
      </c>
      <c r="D769" s="144" t="s">
        <v>1730</v>
      </c>
      <c r="E769" s="506">
        <v>21</v>
      </c>
      <c r="F769" s="12">
        <v>0.35</v>
      </c>
      <c r="G769" s="211">
        <v>3200</v>
      </c>
      <c r="H769" s="211">
        <f t="shared" ref="H769" si="252">G769*(1+F769)</f>
        <v>4320</v>
      </c>
      <c r="AF769" s="141"/>
      <c r="AG769" s="141"/>
      <c r="AH769" s="137"/>
      <c r="AI769" s="484"/>
      <c r="AJ769" s="137">
        <f t="shared" ref="AJ769:AJ792" si="253">AJ768+(S$3*S769+T$3*T769+U$3*U769+V$3*V769+W$3*W769+X$3*X769+Y$3*Y769+Z$3*Z769+AA$3*AA769+AB$3*AB769+AC$3*AC769)</f>
        <v>0.1875</v>
      </c>
      <c r="AU769" s="211">
        <v>0</v>
      </c>
      <c r="AV769" s="211">
        <v>8000</v>
      </c>
      <c r="AW769" s="211">
        <v>0</v>
      </c>
      <c r="AX769" s="211">
        <v>0</v>
      </c>
      <c r="AY769" s="160">
        <v>1600</v>
      </c>
      <c r="CL769" s="211">
        <v>2000</v>
      </c>
      <c r="CM769" s="160">
        <f>CL769</f>
        <v>2000</v>
      </c>
    </row>
    <row r="770" spans="2:108" ht="15" customHeight="1">
      <c r="B770" s="506" t="s">
        <v>143</v>
      </c>
      <c r="C770" s="127" t="s">
        <v>466</v>
      </c>
      <c r="D770" s="144" t="s">
        <v>1731</v>
      </c>
      <c r="E770" s="506">
        <v>21</v>
      </c>
      <c r="F770" s="12">
        <v>0.35</v>
      </c>
      <c r="G770" s="101">
        <v>800</v>
      </c>
      <c r="H770" s="101">
        <f>G770*(1+F770)</f>
        <v>1080</v>
      </c>
      <c r="AF770" s="141"/>
      <c r="AG770" s="141"/>
      <c r="AH770" s="137"/>
      <c r="AI770" s="484"/>
      <c r="AJ770" s="137">
        <f t="shared" si="253"/>
        <v>0.1875</v>
      </c>
      <c r="AU770" s="101">
        <v>0</v>
      </c>
      <c r="AV770" s="101">
        <v>0</v>
      </c>
      <c r="AW770" s="101">
        <v>0</v>
      </c>
      <c r="AX770" s="101">
        <v>1000</v>
      </c>
      <c r="AY770" s="100">
        <v>200</v>
      </c>
    </row>
    <row r="771" spans="2:108" ht="15" customHeight="1">
      <c r="B771" s="506" t="s">
        <v>195</v>
      </c>
      <c r="C771" s="127" t="s">
        <v>468</v>
      </c>
      <c r="D771" s="144" t="s">
        <v>1732</v>
      </c>
      <c r="E771" s="506">
        <v>21</v>
      </c>
      <c r="F771" s="12">
        <v>0.35</v>
      </c>
      <c r="G771" s="211">
        <v>800</v>
      </c>
      <c r="H771" s="211">
        <f t="shared" ref="H771" si="254">G771*(1+F771)</f>
        <v>1080</v>
      </c>
      <c r="AF771" s="141"/>
      <c r="AG771" s="141"/>
      <c r="AH771" s="137"/>
      <c r="AI771" s="484"/>
      <c r="AJ771" s="137">
        <f t="shared" si="253"/>
        <v>0.1875</v>
      </c>
      <c r="AU771" s="211">
        <v>0</v>
      </c>
      <c r="AV771" s="211">
        <v>2000</v>
      </c>
      <c r="AW771" s="211">
        <v>0</v>
      </c>
      <c r="AX771" s="211">
        <v>2000</v>
      </c>
      <c r="AY771" s="160">
        <v>0</v>
      </c>
      <c r="CL771" s="211">
        <v>500</v>
      </c>
      <c r="CM771" s="160">
        <f>CL771</f>
        <v>500</v>
      </c>
    </row>
    <row r="772" spans="2:108" ht="15" customHeight="1">
      <c r="B772" s="506" t="s">
        <v>143</v>
      </c>
      <c r="C772" s="127" t="s">
        <v>142</v>
      </c>
      <c r="D772" s="144" t="s">
        <v>1724</v>
      </c>
      <c r="E772" s="506">
        <v>21</v>
      </c>
      <c r="F772" s="12">
        <v>0.35</v>
      </c>
      <c r="G772" s="101">
        <f>VLOOKUP($D772,Construction!$B:$L,(COLUMN(Construction_QuestReward_HeroXP)-COLUMN(Construction_Name_and_Level)+1),FALSE)</f>
        <v>2500</v>
      </c>
      <c r="H772" s="101">
        <f>G772*(1+F772)</f>
        <v>3375</v>
      </c>
      <c r="J772" s="100">
        <f>VLOOKUP($D772,Construction!$B:$L,(COLUMN(Construction_QuestReward_Power)-COLUMN(Construction_Name_and_Level)+1),FALSE)</f>
        <v>175</v>
      </c>
      <c r="AF772" s="141"/>
      <c r="AG772" s="141"/>
      <c r="AH772" s="137"/>
      <c r="AI772" s="484"/>
      <c r="AJ772" s="137">
        <f t="shared" si="253"/>
        <v>0.1875</v>
      </c>
      <c r="AU772" s="101">
        <f>VLOOKUP($D772,Construction!$B:$Q,(COLUMN(Construction_QuestReward_Stone)-COLUMN(Construction_Name_and_Level)+1),FALSE)</f>
        <v>8300</v>
      </c>
      <c r="AV772" s="101">
        <f>VLOOKUP($D772,Construction!$B:$Q,(COLUMN(Construction_QuestReward_Wood)-COLUMN(Construction_Name_and_Level)+1),FALSE)</f>
        <v>8300</v>
      </c>
      <c r="AW772" s="101">
        <f>VLOOKUP($D772,Construction!$B:$Q,(COLUMN(Construction_QuestReward_Ore)-COLUMN(Construction_Name_and_Level)+1),FALSE)</f>
        <v>2100</v>
      </c>
      <c r="AX772" s="101">
        <f>VLOOKUP($D772,Construction!$B:$Q,(COLUMN(Construction_QuestReward_Food)-COLUMN(Construction_Name_and_Level)+1),FALSE)</f>
        <v>20800</v>
      </c>
      <c r="AY772" s="100">
        <f>VLOOKUP($D772,Construction!$B:$Q,(COLUMN(Construction_QuestReward_Silver)-COLUMN(Construction_Name_and_Level)+1),FALSE)</f>
        <v>100</v>
      </c>
    </row>
    <row r="773" spans="2:108" ht="15" customHeight="1">
      <c r="B773" s="102" t="s">
        <v>1455</v>
      </c>
      <c r="C773" s="127" t="s">
        <v>170</v>
      </c>
      <c r="D773" s="144" t="s">
        <v>1722</v>
      </c>
      <c r="E773" s="506">
        <v>21</v>
      </c>
      <c r="F773" s="12">
        <v>0.35</v>
      </c>
      <c r="G773" s="101">
        <f>VLOOKUP($D773,Research!$C:$M,(COLUMN(Research_QuestReward_HeroXP)-COLUMN(Research_Name_and_Level)+1),FALSE)</f>
        <v>12000</v>
      </c>
      <c r="H773" s="101">
        <f t="shared" ref="H773" si="255">G773*(1+F773)</f>
        <v>16200.000000000002</v>
      </c>
      <c r="J773" s="103">
        <f>VLOOKUP($D773,Research!$C:$N,(COLUMN(Research_QuestReward_Power)-COLUMN(Research_Name_and_Level)+1),FALSE)</f>
        <v>50</v>
      </c>
      <c r="AF773" s="141"/>
      <c r="AG773" s="141"/>
      <c r="AH773" s="137"/>
      <c r="AI773" s="484"/>
      <c r="AJ773" s="137">
        <f t="shared" si="253"/>
        <v>0.1875</v>
      </c>
      <c r="AU773" s="101">
        <f>VLOOKUP($D773,Research!$C:$S,(COLUMN(Research_QuestReward_Stone)-COLUMN(Research_Name_and_Level)+1),FALSE)</f>
        <v>40000</v>
      </c>
      <c r="AV773" s="101">
        <f>VLOOKUP($D773,Research!$C:$S,(COLUMN(Research_QuestReward_Wood)-COLUMN(Research_Name_and_Level)+1),FALSE)</f>
        <v>40000</v>
      </c>
      <c r="AW773" s="101">
        <f>VLOOKUP($D773,Research!$C:$S,(COLUMN(Research_QuestReward_Ore)-COLUMN(Research_Name_and_Level)+1),FALSE)</f>
        <v>0</v>
      </c>
      <c r="AX773" s="101">
        <f>VLOOKUP($D773,Research!$C:$S,(COLUMN(Research_QuestReward_Food)-COLUMN(Research_Name_and_Level)+1),FALSE)</f>
        <v>40000</v>
      </c>
      <c r="AY773" s="100">
        <f>VLOOKUP($D773,Research!$C:$S,(COLUMN(Research_QuestReward_Silver)-COLUMN(Research_Name_and_Level)+1),FALSE)</f>
        <v>20000</v>
      </c>
      <c r="CT773" s="127"/>
      <c r="CU773" s="127"/>
      <c r="CV773" s="127"/>
      <c r="CW773" s="127"/>
      <c r="CX773" s="127"/>
      <c r="CY773" s="127"/>
      <c r="CZ773" s="127"/>
      <c r="DA773" s="127"/>
      <c r="DB773" s="127"/>
      <c r="DC773" s="127"/>
      <c r="DD773" s="127"/>
    </row>
    <row r="774" spans="2:108" ht="15" customHeight="1">
      <c r="B774" s="102" t="s">
        <v>1455</v>
      </c>
      <c r="C774" s="127" t="s">
        <v>170</v>
      </c>
      <c r="D774" s="144" t="s">
        <v>1727</v>
      </c>
      <c r="E774" s="506">
        <v>21</v>
      </c>
      <c r="F774" s="12">
        <v>0.35</v>
      </c>
      <c r="G774" s="101">
        <f>VLOOKUP($D774,Research!$C:$M,(COLUMN(Research_QuestReward_HeroXP)-COLUMN(Research_Name_and_Level)+1),FALSE)</f>
        <v>6000</v>
      </c>
      <c r="H774" s="101">
        <f t="shared" ref="H774" si="256">G774*(1+F774)</f>
        <v>8100.0000000000009</v>
      </c>
      <c r="J774" s="103">
        <f>VLOOKUP($D774,Research!$C:$N,(COLUMN(Research_QuestReward_Power)-COLUMN(Research_Name_and_Level)+1),FALSE)</f>
        <v>30</v>
      </c>
      <c r="AF774" s="141"/>
      <c r="AG774" s="141"/>
      <c r="AH774" s="137"/>
      <c r="AI774" s="484"/>
      <c r="AJ774" s="137">
        <f t="shared" si="253"/>
        <v>0.1875</v>
      </c>
      <c r="AU774" s="101">
        <f>VLOOKUP($D774,Research!$C:$S,(COLUMN(Research_QuestReward_Stone)-COLUMN(Research_Name_and_Level)+1),FALSE)</f>
        <v>7000</v>
      </c>
      <c r="AV774" s="101">
        <f>VLOOKUP($D774,Research!$C:$S,(COLUMN(Research_QuestReward_Wood)-COLUMN(Research_Name_and_Level)+1),FALSE)</f>
        <v>0</v>
      </c>
      <c r="AW774" s="101">
        <f>VLOOKUP($D774,Research!$C:$S,(COLUMN(Research_QuestReward_Ore)-COLUMN(Research_Name_and_Level)+1),FALSE)</f>
        <v>5000</v>
      </c>
      <c r="AX774" s="101">
        <f>VLOOKUP($D774,Research!$C:$S,(COLUMN(Research_QuestReward_Food)-COLUMN(Research_Name_and_Level)+1),FALSE)</f>
        <v>7000</v>
      </c>
      <c r="AY774" s="100">
        <f>VLOOKUP($D774,Research!$C:$S,(COLUMN(Research_QuestReward_Silver)-COLUMN(Research_Name_and_Level)+1),FALSE)</f>
        <v>4000</v>
      </c>
      <c r="CT774" s="127"/>
      <c r="CU774" s="127"/>
      <c r="CV774" s="127"/>
      <c r="CW774" s="127"/>
      <c r="CX774" s="127"/>
      <c r="CY774" s="127"/>
      <c r="CZ774" s="127"/>
      <c r="DA774" s="127"/>
      <c r="DB774" s="127"/>
      <c r="DC774" s="127"/>
      <c r="DD774" s="127"/>
    </row>
    <row r="775" spans="2:108" ht="15" customHeight="1">
      <c r="B775" s="506" t="s">
        <v>143</v>
      </c>
      <c r="C775" s="127" t="s">
        <v>466</v>
      </c>
      <c r="D775" s="144" t="s">
        <v>1733</v>
      </c>
      <c r="E775" s="506">
        <v>21</v>
      </c>
      <c r="F775" s="12">
        <v>0.35</v>
      </c>
      <c r="G775" s="101">
        <v>800</v>
      </c>
      <c r="H775" s="101">
        <f>G775*(1+F775)</f>
        <v>1080</v>
      </c>
      <c r="AF775" s="141"/>
      <c r="AG775" s="141"/>
      <c r="AH775" s="137"/>
      <c r="AI775" s="484"/>
      <c r="AJ775" s="137">
        <f t="shared" si="253"/>
        <v>0.1875</v>
      </c>
      <c r="AU775" s="101">
        <v>0</v>
      </c>
      <c r="AV775" s="101">
        <v>0</v>
      </c>
      <c r="AW775" s="101">
        <v>0</v>
      </c>
      <c r="AX775" s="101">
        <v>1000</v>
      </c>
      <c r="AY775" s="100">
        <v>200</v>
      </c>
    </row>
    <row r="776" spans="2:108" ht="15" customHeight="1">
      <c r="B776" s="506" t="s">
        <v>195</v>
      </c>
      <c r="C776" s="127" t="s">
        <v>468</v>
      </c>
      <c r="D776" s="144" t="s">
        <v>1734</v>
      </c>
      <c r="E776" s="506">
        <v>21</v>
      </c>
      <c r="F776" s="12">
        <v>0.35</v>
      </c>
      <c r="G776" s="211">
        <v>800</v>
      </c>
      <c r="H776" s="211">
        <f t="shared" ref="H776" si="257">G776*(1+F776)</f>
        <v>1080</v>
      </c>
      <c r="AF776" s="141"/>
      <c r="AG776" s="141"/>
      <c r="AH776" s="137"/>
      <c r="AI776" s="484"/>
      <c r="AJ776" s="137">
        <f t="shared" si="253"/>
        <v>0.1875</v>
      </c>
      <c r="AU776" s="211">
        <v>0</v>
      </c>
      <c r="AV776" s="211">
        <v>0</v>
      </c>
      <c r="AW776" s="211">
        <v>0</v>
      </c>
      <c r="AX776" s="211">
        <v>2000</v>
      </c>
      <c r="AY776" s="160">
        <v>400</v>
      </c>
      <c r="CL776" s="211">
        <v>500</v>
      </c>
      <c r="CM776" s="160">
        <f>CL776</f>
        <v>500</v>
      </c>
    </row>
    <row r="777" spans="2:108" ht="15" customHeight="1">
      <c r="B777" s="506" t="s">
        <v>148</v>
      </c>
      <c r="E777" s="506">
        <v>21</v>
      </c>
      <c r="AJ777" s="137">
        <f t="shared" si="253"/>
        <v>0.1875</v>
      </c>
      <c r="AY777" s="283">
        <v>2250</v>
      </c>
    </row>
    <row r="778" spans="2:108" ht="15" customHeight="1">
      <c r="B778" s="506" t="s">
        <v>148</v>
      </c>
      <c r="E778" s="506">
        <v>21</v>
      </c>
      <c r="W778" s="250">
        <v>2</v>
      </c>
      <c r="AF778" s="141">
        <f>$S$3*$S778+$T$3*$T778+$U$3*$U778+$V$3*$V778+$W$3*$W778+$X$3*$X778+$Y$3*$Y778+$Z$3*$Z778+$AA$3*$AA778+$AB$3*$AB778+$AC$3*$AC778</f>
        <v>2.0833333333333332E-2</v>
      </c>
      <c r="AJ778" s="137">
        <f t="shared" si="253"/>
        <v>0.20833333333333334</v>
      </c>
    </row>
    <row r="779" spans="2:108" ht="15" customHeight="1">
      <c r="B779" s="506" t="s">
        <v>148</v>
      </c>
      <c r="E779" s="506">
        <v>21</v>
      </c>
      <c r="AJ779" s="137">
        <f t="shared" si="253"/>
        <v>0.20833333333333334</v>
      </c>
      <c r="AV779" s="142">
        <v>6750</v>
      </c>
    </row>
    <row r="780" spans="2:108" ht="15" customHeight="1">
      <c r="B780" s="506" t="s">
        <v>148</v>
      </c>
      <c r="E780" s="506">
        <v>21</v>
      </c>
      <c r="AJ780" s="137">
        <f t="shared" si="253"/>
        <v>0.20833333333333334</v>
      </c>
      <c r="AW780" s="142">
        <v>6750</v>
      </c>
    </row>
    <row r="781" spans="2:108" ht="15" customHeight="1">
      <c r="B781" s="506" t="s">
        <v>148</v>
      </c>
      <c r="E781" s="506">
        <v>21</v>
      </c>
      <c r="AJ781" s="137">
        <f t="shared" si="253"/>
        <v>0.20833333333333334</v>
      </c>
      <c r="AX781" s="142">
        <v>22500</v>
      </c>
    </row>
    <row r="782" spans="2:108" ht="15" customHeight="1">
      <c r="B782" s="506" t="s">
        <v>145</v>
      </c>
      <c r="C782" s="146" t="s">
        <v>151</v>
      </c>
      <c r="D782" s="145">
        <v>1.6898148148148148E-2</v>
      </c>
      <c r="E782" s="506">
        <v>21</v>
      </c>
      <c r="AF782" s="141"/>
      <c r="AG782" s="141"/>
      <c r="AH782" s="137"/>
      <c r="AI782" s="484"/>
      <c r="AJ782" s="137">
        <f t="shared" si="253"/>
        <v>0.20833333333333334</v>
      </c>
      <c r="AV782" s="2">
        <v>1000</v>
      </c>
    </row>
    <row r="783" spans="2:108" ht="15" customHeight="1">
      <c r="B783" s="506" t="s">
        <v>195</v>
      </c>
      <c r="C783" s="127" t="s">
        <v>468</v>
      </c>
      <c r="D783" s="144" t="s">
        <v>1735</v>
      </c>
      <c r="E783" s="506">
        <v>21</v>
      </c>
      <c r="F783" s="12">
        <v>0.35</v>
      </c>
      <c r="G783" s="211">
        <v>800</v>
      </c>
      <c r="H783" s="211">
        <f t="shared" ref="H783" si="258">G783*(1+F783)</f>
        <v>1080</v>
      </c>
      <c r="AF783" s="141"/>
      <c r="AG783" s="141"/>
      <c r="AH783" s="137"/>
      <c r="AI783" s="484"/>
      <c r="AJ783" s="137">
        <f t="shared" si="253"/>
        <v>0.20833333333333334</v>
      </c>
      <c r="AU783" s="211">
        <v>2000</v>
      </c>
      <c r="AV783" s="211">
        <v>0</v>
      </c>
      <c r="AW783" s="211">
        <v>0</v>
      </c>
      <c r="AX783" s="211">
        <v>0</v>
      </c>
      <c r="AY783" s="160">
        <v>0</v>
      </c>
      <c r="CL783" s="211">
        <v>500</v>
      </c>
      <c r="CM783" s="160">
        <f>CL783</f>
        <v>500</v>
      </c>
    </row>
    <row r="784" spans="2:108" ht="15" customHeight="1">
      <c r="B784" s="506" t="s">
        <v>143</v>
      </c>
      <c r="C784" s="127" t="s">
        <v>466</v>
      </c>
      <c r="D784" s="144" t="s">
        <v>1736</v>
      </c>
      <c r="E784" s="506">
        <v>21</v>
      </c>
      <c r="F784" s="12">
        <v>0.35</v>
      </c>
      <c r="G784" s="101">
        <v>800</v>
      </c>
      <c r="H784" s="101">
        <f>G784*(1+F784)</f>
        <v>1080</v>
      </c>
      <c r="AF784" s="141"/>
      <c r="AG784" s="141"/>
      <c r="AH784" s="137"/>
      <c r="AI784" s="484"/>
      <c r="AJ784" s="137">
        <f t="shared" si="253"/>
        <v>0.20833333333333334</v>
      </c>
      <c r="AU784" s="101">
        <v>600</v>
      </c>
      <c r="AV784" s="101">
        <v>600</v>
      </c>
      <c r="AW784" s="101">
        <v>0</v>
      </c>
      <c r="AX784" s="101">
        <v>0</v>
      </c>
      <c r="AY784" s="100">
        <v>120</v>
      </c>
    </row>
    <row r="785" spans="2:108" ht="15" customHeight="1">
      <c r="B785" s="506" t="s">
        <v>624</v>
      </c>
      <c r="C785" s="127" t="s">
        <v>670</v>
      </c>
      <c r="D785" s="144" t="s">
        <v>1737</v>
      </c>
      <c r="E785" s="506">
        <v>21</v>
      </c>
      <c r="J785" s="31">
        <v>-6024</v>
      </c>
      <c r="AF785" s="141"/>
      <c r="AG785" s="141"/>
      <c r="AH785" s="137"/>
      <c r="AI785" s="484"/>
      <c r="AJ785" s="137">
        <f t="shared" si="253"/>
        <v>0.20833333333333334</v>
      </c>
      <c r="AU785" s="30">
        <v>500</v>
      </c>
      <c r="AV785" s="30">
        <v>500</v>
      </c>
      <c r="AW785" s="30">
        <v>500</v>
      </c>
      <c r="AX785" s="30">
        <v>500</v>
      </c>
      <c r="AY785" s="31">
        <v>500</v>
      </c>
    </row>
    <row r="786" spans="2:108" ht="15" customHeight="1">
      <c r="B786" s="506" t="s">
        <v>145</v>
      </c>
      <c r="C786" s="146" t="s">
        <v>151</v>
      </c>
      <c r="D786" s="145">
        <v>9.9537037037037042E-3</v>
      </c>
      <c r="E786" s="506">
        <v>21</v>
      </c>
      <c r="U786" s="2">
        <v>1</v>
      </c>
      <c r="AF786" s="141">
        <f>$S$3*$S786+$T$3*$T786+$U$3*$U786+$V$3*$V786+$W$3*$W786+$X$3*$X786+$Y$3*$Y786+$Z$3*$Z786+$AA$3*$AA786+$AB$3*$AB786+$AC$3*$AC786</f>
        <v>3.472222222222222E-3</v>
      </c>
      <c r="AG786" s="141"/>
      <c r="AH786" s="137"/>
      <c r="AI786" s="484"/>
      <c r="AJ786" s="137">
        <f t="shared" si="253"/>
        <v>0.21180555555555555</v>
      </c>
    </row>
    <row r="787" spans="2:108" ht="15" customHeight="1">
      <c r="B787" s="506" t="s">
        <v>146</v>
      </c>
      <c r="C787" s="127" t="s">
        <v>138</v>
      </c>
      <c r="D787" s="144" t="s">
        <v>1738</v>
      </c>
      <c r="E787" s="506">
        <v>21</v>
      </c>
      <c r="F787" s="12">
        <v>0.35</v>
      </c>
      <c r="G787" s="111">
        <f>VLOOKUP($D787,Research!$C:$F,(COLUMN(Research_ResearchReward_HeroXP)-COLUMN(Research_Name_and_Level)+1),FALSE)</f>
        <v>60000</v>
      </c>
      <c r="H787" s="111">
        <f t="shared" ref="H787" si="259">G787*(1+F787)</f>
        <v>81000</v>
      </c>
      <c r="J787" s="115">
        <f>VLOOKUP($D787,Research!$C:$G,(COLUMN(Research_ResearchReward_Power)-COLUMN(Research_Name_and_Level)+1),FALSE)</f>
        <v>750</v>
      </c>
      <c r="R787" s="148">
        <v>8.3333333333333332E-3</v>
      </c>
      <c r="U787" s="2">
        <v>-1</v>
      </c>
      <c r="AF787" s="141"/>
      <c r="AG787" s="141"/>
      <c r="AH787" s="137"/>
      <c r="AI787" s="484">
        <f>(-1)*($S$3*$S787+$T$3*$T787+$U$3*$U787+$V$3*$V787+$W$3*$W787+$X$3*$X787+$Y$3*$Y787+$Z$3*$Z787+$AA$3*$AA787+$AB$3*$AB787+$AC$3*$AC787)</f>
        <v>3.472222222222222E-3</v>
      </c>
      <c r="AJ787" s="137">
        <f t="shared" si="253"/>
        <v>0.20833333333333334</v>
      </c>
      <c r="AP787" s="256">
        <v>0.48</v>
      </c>
      <c r="AQ787" s="147">
        <f>VLOOKUP($D787,Research!$C:$D,(COLUMN(Research_Time)-COLUMN(Research_Name_and_Level)+1),FALSE)</f>
        <v>0.27430555555555552</v>
      </c>
      <c r="AR787" s="147">
        <f>AQ787/(1+AP787)</f>
        <v>0.18534159159159158</v>
      </c>
      <c r="AS787" s="147">
        <f>(S$3*S787+T$3*T787+V$3*V787+W$3*W787+X$3*X787+Y$3*Y787+Z$3*Z787+AA$3*AA787+AB$3*AB787+AC$3*AC787)*(-1)</f>
        <v>0</v>
      </c>
      <c r="AT787" s="148">
        <f>IF(AR787-R787-AS787&gt;=0,AR787-R787-AS787,0)</f>
        <v>0.17700825825825825</v>
      </c>
      <c r="AU787" s="111">
        <f>VLOOKUP($D787,Research!$C:$L,(COLUMN(Research_ResearchCost_Stone)-COLUMN(Research_Name_and_Level)+1),FALSE)*(-1)</f>
        <v>-10000</v>
      </c>
      <c r="AV787" s="111">
        <f>VLOOKUP($D787,Research!$C:$L,(COLUMN(Research_ResearchCost_Wood)-COLUMN(Research_Name_and_Level)+1),FALSE)*(-1)</f>
        <v>0</v>
      </c>
      <c r="AW787" s="111">
        <f>VLOOKUP($D787,Research!$C:$L,(COLUMN(Research_ResearchCost_Ore)-COLUMN(Research_Name_and_Level)+1),FALSE)*(-1)</f>
        <v>-7500</v>
      </c>
      <c r="AX787" s="111">
        <f>VLOOKUP($D787,Research!$C:$L,(COLUMN(Research_ResearchCost_Food)-COLUMN(Research_Name_and_Level)+1),FALSE)*(-1)</f>
        <v>-10000</v>
      </c>
      <c r="AY787" s="112">
        <f>VLOOKUP($D787,Research!$C:$L,(COLUMN(Research_ResearchCost_Silver)-COLUMN(Research_Name_and_Level)+1),FALSE)*(-1)</f>
        <v>-15000</v>
      </c>
    </row>
    <row r="788" spans="2:108" ht="15" customHeight="1">
      <c r="B788" s="102" t="s">
        <v>1455</v>
      </c>
      <c r="C788" s="127" t="s">
        <v>170</v>
      </c>
      <c r="D788" s="144" t="s">
        <v>1738</v>
      </c>
      <c r="E788" s="506">
        <v>21</v>
      </c>
      <c r="F788" s="12">
        <v>0.35</v>
      </c>
      <c r="G788" s="101">
        <f>VLOOKUP($D788,Research!$C:$M,(COLUMN(Research_QuestReward_HeroXP)-COLUMN(Research_Name_and_Level)+1),FALSE)</f>
        <v>11000</v>
      </c>
      <c r="H788" s="101">
        <f t="shared" ref="H788" si="260">G788*(1+F788)</f>
        <v>14850.000000000002</v>
      </c>
      <c r="J788" s="103">
        <f>VLOOKUP($D788,Research!$C:$N,(COLUMN(Research_QuestReward_Power)-COLUMN(Research_Name_and_Level)+1),FALSE)</f>
        <v>50</v>
      </c>
      <c r="AF788" s="141"/>
      <c r="AG788" s="141"/>
      <c r="AH788" s="137"/>
      <c r="AI788" s="484"/>
      <c r="AJ788" s="137">
        <f t="shared" si="253"/>
        <v>0.20833333333333334</v>
      </c>
      <c r="AU788" s="101">
        <f>VLOOKUP($D788,Research!$C:$S,(COLUMN(Research_QuestReward_Stone)-COLUMN(Research_Name_and_Level)+1),FALSE)</f>
        <v>18000</v>
      </c>
      <c r="AV788" s="101">
        <f>VLOOKUP($D788,Research!$C:$S,(COLUMN(Research_QuestReward_Wood)-COLUMN(Research_Name_and_Level)+1),FALSE)</f>
        <v>0</v>
      </c>
      <c r="AW788" s="101">
        <f>VLOOKUP($D788,Research!$C:$S,(COLUMN(Research_QuestReward_Ore)-COLUMN(Research_Name_and_Level)+1),FALSE)</f>
        <v>13000</v>
      </c>
      <c r="AX788" s="101">
        <f>VLOOKUP($D788,Research!$C:$S,(COLUMN(Research_QuestReward_Food)-COLUMN(Research_Name_and_Level)+1),FALSE)</f>
        <v>18000</v>
      </c>
      <c r="AY788" s="100">
        <f>VLOOKUP($D788,Research!$C:$S,(COLUMN(Research_QuestReward_Silver)-COLUMN(Research_Name_and_Level)+1),FALSE)</f>
        <v>13500</v>
      </c>
      <c r="CT788" s="127"/>
      <c r="CU788" s="127"/>
      <c r="CV788" s="127"/>
      <c r="CW788" s="127"/>
      <c r="CX788" s="127"/>
      <c r="CY788" s="127"/>
      <c r="CZ788" s="127"/>
      <c r="DA788" s="127"/>
      <c r="DB788" s="127"/>
      <c r="DC788" s="127"/>
      <c r="DD788" s="127"/>
    </row>
    <row r="789" spans="2:108" ht="15" customHeight="1">
      <c r="B789" s="506" t="s">
        <v>144</v>
      </c>
      <c r="C789" s="127" t="s">
        <v>138</v>
      </c>
      <c r="D789" s="144" t="s">
        <v>1739</v>
      </c>
      <c r="E789" s="506">
        <v>21</v>
      </c>
      <c r="F789" s="12">
        <v>0.35</v>
      </c>
      <c r="G789" s="94">
        <f>VLOOKUP($D789,Construction!$B:$E,(COLUMN(Construction_BuildingReward_HeroXP)-COLUMN(Construction_Name_and_Level)+1),FALSE)</f>
        <v>500</v>
      </c>
      <c r="H789" s="94">
        <f>G789*(1+F789)</f>
        <v>675</v>
      </c>
      <c r="J789" s="95">
        <f>VLOOKUP($D789,Construction!$B:$F,(COLUMN(Construction_BuildingReward_Power)-COLUMN(Construction_Name_and_Level)+1),FALSE)</f>
        <v>310</v>
      </c>
      <c r="Q789" s="139">
        <v>3.472222222222222E-3</v>
      </c>
      <c r="R789" s="289">
        <v>8.3333333333333332E-3</v>
      </c>
      <c r="AF789" s="141"/>
      <c r="AG789" s="141"/>
      <c r="AH789" s="137"/>
      <c r="AI789" s="484"/>
      <c r="AJ789" s="137">
        <f t="shared" si="253"/>
        <v>0.20833333333333334</v>
      </c>
      <c r="AK789" s="339">
        <v>0.42499999999999999</v>
      </c>
      <c r="AL789" s="138">
        <f>VLOOKUP($D789,Construction!$B:$C,(COLUMN(Construction_Time)-COLUMN(Construction_Name_and_Level)+1),FALSE)</f>
        <v>0.14814814814814814</v>
      </c>
      <c r="AM789" s="138">
        <f t="shared" ref="AM789" si="261">AL789/(1+AK789)</f>
        <v>0.10396361273554255</v>
      </c>
      <c r="AN789" s="138">
        <f>(S$3*S789+T$3*T789+V$3*V789+W$3*W789+X$3*X789+Y$3*Y789+Z$3*Z789+AA$3*AA789+AB$3*AB789+AC$3*AC789)*(-1)</f>
        <v>0</v>
      </c>
      <c r="AO789" s="139">
        <f>IF((AM789-Q789-R789-AN789)&gt;=0,AM789-Q789-R789-AN789,0)</f>
        <v>9.2158057179986999E-2</v>
      </c>
      <c r="AU789" s="94">
        <f>VLOOKUP($D789,Construction!$B:$J,(COLUMN(Construction_BuildingCost_Stone)-COLUMN(Construction_Name_and_Level)+1),FALSE)*(-1)</f>
        <v>-16808</v>
      </c>
      <c r="AV789" s="94">
        <f>VLOOKUP($D789,Construction!$B:$J,(COLUMN(Construction_BuildingCost_Wood)-COLUMN(Construction_Name_and_Level)+1),FALSE)*(-1)</f>
        <v>-8416</v>
      </c>
      <c r="AW789" s="94">
        <f>VLOOKUP($D789,Construction!$B:$J,(COLUMN(Construction_BuildingCost_Ore)-COLUMN(Construction_Name_and_Level)+1),FALSE)*(-1)</f>
        <v>-8416</v>
      </c>
      <c r="AX789" s="94">
        <f>VLOOKUP($D789,Construction!$B:$J,(COLUMN(Construction_BuildingCost_Food)-COLUMN(Construction_Name_and_Level)+1),FALSE)*(-1)</f>
        <v>-25200</v>
      </c>
    </row>
    <row r="790" spans="2:108" ht="15" customHeight="1">
      <c r="B790" s="506" t="s">
        <v>143</v>
      </c>
      <c r="C790" s="127" t="s">
        <v>142</v>
      </c>
      <c r="D790" s="144" t="s">
        <v>1739</v>
      </c>
      <c r="E790" s="506">
        <v>21</v>
      </c>
      <c r="F790" s="222">
        <v>0.4</v>
      </c>
      <c r="G790" s="101">
        <f>VLOOKUP($D790,Construction!$B:$L,(COLUMN(Construction_QuestReward_HeroXP)-COLUMN(Construction_Name_and_Level)+1),FALSE)</f>
        <v>10000</v>
      </c>
      <c r="H790" s="101">
        <f>G790*(1+F790)</f>
        <v>14000</v>
      </c>
      <c r="J790" s="100">
        <f>VLOOKUP($D790,Construction!$B:$L,(COLUMN(Construction_QuestReward_Power)-COLUMN(Construction_Name_and_Level)+1),FALSE)</f>
        <v>175</v>
      </c>
      <c r="AF790" s="141"/>
      <c r="AG790" s="141"/>
      <c r="AH790" s="137"/>
      <c r="AI790" s="484"/>
      <c r="AJ790" s="137">
        <f t="shared" si="253"/>
        <v>0.20833333333333334</v>
      </c>
      <c r="AU790" s="101">
        <f>VLOOKUP($D790,Construction!$B:$Q,(COLUMN(Construction_QuestReward_Stone)-COLUMN(Construction_Name_and_Level)+1),FALSE)</f>
        <v>10500</v>
      </c>
      <c r="AV790" s="101">
        <f>VLOOKUP($D790,Construction!$B:$Q,(COLUMN(Construction_QuestReward_Wood)-COLUMN(Construction_Name_and_Level)+1),FALSE)</f>
        <v>5200</v>
      </c>
      <c r="AW790" s="101">
        <f>VLOOKUP($D790,Construction!$B:$Q,(COLUMN(Construction_QuestReward_Ore)-COLUMN(Construction_Name_and_Level)+1),FALSE)</f>
        <v>5200</v>
      </c>
      <c r="AX790" s="101">
        <f>VLOOKUP($D790,Construction!$B:$Q,(COLUMN(Construction_QuestReward_Food)-COLUMN(Construction_Name_and_Level)+1),FALSE)</f>
        <v>15700</v>
      </c>
      <c r="AY790" s="100">
        <f>VLOOKUP($D790,Construction!$B:$Q,(COLUMN(Construction_QuestReward_Silver)-COLUMN(Construction_Name_and_Level)+1),FALSE)</f>
        <v>350</v>
      </c>
    </row>
    <row r="791" spans="2:108" ht="15" customHeight="1">
      <c r="B791" s="113" t="s">
        <v>1483</v>
      </c>
      <c r="C791" s="127" t="s">
        <v>592</v>
      </c>
      <c r="D791" s="127">
        <v>500</v>
      </c>
      <c r="E791" s="506">
        <v>21</v>
      </c>
      <c r="G791" s="7"/>
      <c r="H791" s="7"/>
      <c r="J791" s="114">
        <f>VLOOKUP($C791,Troop!$B:$AK,(COLUMN(Troop_TrainingReward_Power)-COLUMN(Troop_Name)+1),FALSE)*$D791</f>
        <v>500</v>
      </c>
      <c r="AF791" s="141"/>
      <c r="AG791" s="141"/>
      <c r="AH791" s="137"/>
      <c r="AI791" s="484"/>
      <c r="AJ791" s="137">
        <f t="shared" si="253"/>
        <v>0.20833333333333334</v>
      </c>
      <c r="AU791" s="296">
        <f>VLOOKUP($C791,Troop!$B:$P,(COLUMN(Troop_TrainingCost_Stone)-COLUMN(Troop_Name)+1),FALSE)*$D791*(-1)</f>
        <v>-5000</v>
      </c>
      <c r="AV791" s="296">
        <f>VLOOKUP($C791,Troop!$B:$P,(COLUMN(Troop_TrainingCost_Wood)-COLUMN(Troop_Name)+1),FALSE)*$D791*(-1)</f>
        <v>0</v>
      </c>
      <c r="AW791" s="296">
        <f>VLOOKUP($C791,Troop!$B:$P,(COLUMN(Troop_TrainingCost_Ore)-COLUMN(Troop_Name)+1),FALSE)*$D791*(-1)</f>
        <v>0</v>
      </c>
      <c r="AX791" s="296">
        <f>VLOOKUP($C791,Troop!$B:$P,(COLUMN(Troop_TrainingCost_Food)-COLUMN(Troop_Name)+1),FALSE)*$D791*(-1)</f>
        <v>-5000</v>
      </c>
      <c r="AY791" s="114">
        <f>VLOOKUP($C791,Troop!$B:$P,(COLUMN(Troop_TrainingCost_Silver)-COLUMN(Troop_Name)+1),FALSE)*$D791*(-1)</f>
        <v>0</v>
      </c>
      <c r="CT791" s="128"/>
      <c r="CU791" s="128"/>
      <c r="CV791" s="128"/>
      <c r="CW791" s="128"/>
      <c r="CX791" s="128"/>
      <c r="CY791" s="128"/>
      <c r="CZ791" s="128"/>
      <c r="DA791" s="128"/>
      <c r="DB791" s="128"/>
      <c r="DC791" s="128"/>
      <c r="DD791" s="128"/>
    </row>
    <row r="792" spans="2:108" ht="15" customHeight="1">
      <c r="B792" s="113" t="s">
        <v>1483</v>
      </c>
      <c r="C792" s="127" t="s">
        <v>154</v>
      </c>
      <c r="D792" s="127">
        <v>660</v>
      </c>
      <c r="E792" s="506">
        <v>21</v>
      </c>
      <c r="G792" s="7"/>
      <c r="H792" s="7"/>
      <c r="J792" s="114">
        <f>VLOOKUP($C792,Troop!$B:$AK,(COLUMN(Troop_TrainingReward_Power)-COLUMN(Troop_Name)+1),FALSE)*$D792</f>
        <v>1320</v>
      </c>
      <c r="AF792" s="141"/>
      <c r="AG792" s="141"/>
      <c r="AH792" s="137"/>
      <c r="AI792" s="484"/>
      <c r="AJ792" s="137">
        <f t="shared" si="253"/>
        <v>0.20833333333333334</v>
      </c>
      <c r="AU792" s="296">
        <f>VLOOKUP($C792,Troop!$B:$P,(COLUMN(Troop_TrainingCost_Stone)-COLUMN(Troop_Name)+1),FALSE)*$D792*(-1)</f>
        <v>0</v>
      </c>
      <c r="AV792" s="296">
        <f>VLOOKUP($C792,Troop!$B:$P,(COLUMN(Troop_TrainingCost_Wood)-COLUMN(Troop_Name)+1),FALSE)*$D792*(-1)</f>
        <v>-33000</v>
      </c>
      <c r="AW792" s="296">
        <f>VLOOKUP($C792,Troop!$B:$P,(COLUMN(Troop_TrainingCost_Ore)-COLUMN(Troop_Name)+1),FALSE)*$D792*(-1)</f>
        <v>-25080</v>
      </c>
      <c r="AX792" s="296">
        <f>VLOOKUP($C792,Troop!$B:$P,(COLUMN(Troop_TrainingCost_Food)-COLUMN(Troop_Name)+1),FALSE)*$D792*(-1)</f>
        <v>-33000</v>
      </c>
      <c r="AY792" s="114">
        <f>VLOOKUP($C792,Troop!$B:$P,(COLUMN(Troop_TrainingCost_Silver)-COLUMN(Troop_Name)+1),FALSE)*$D792*(-1)</f>
        <v>0</v>
      </c>
      <c r="CT792" s="128"/>
      <c r="CU792" s="128"/>
      <c r="CV792" s="128"/>
      <c r="CW792" s="128"/>
      <c r="CX792" s="128"/>
      <c r="CY792" s="128"/>
      <c r="CZ792" s="128"/>
      <c r="DA792" s="128"/>
      <c r="DB792" s="128"/>
      <c r="DC792" s="128"/>
      <c r="DD792" s="128"/>
    </row>
    <row r="793" spans="2:108" ht="15" customHeight="1">
      <c r="B793" s="506" t="s">
        <v>146</v>
      </c>
      <c r="C793" s="127" t="s">
        <v>138</v>
      </c>
      <c r="D793" s="144" t="s">
        <v>1740</v>
      </c>
      <c r="E793" s="506">
        <v>21</v>
      </c>
      <c r="F793" s="12">
        <v>0.4</v>
      </c>
      <c r="G793" s="111">
        <f>VLOOKUP($D793,Research!$C:$F,(COLUMN(Research_ResearchReward_HeroXP)-COLUMN(Research_Name_and_Level)+1),FALSE)</f>
        <v>30000</v>
      </c>
      <c r="H793" s="111">
        <f t="shared" ref="H793:H794" si="262">G793*(1+F793)</f>
        <v>42000</v>
      </c>
      <c r="J793" s="115">
        <f>VLOOKUP($D793,Research!$C:$G,(COLUMN(Research_ResearchReward_Power)-COLUMN(Research_Name_and_Level)+1),FALSE)</f>
        <v>400</v>
      </c>
      <c r="R793" s="148">
        <v>8.3333333333333332E-3</v>
      </c>
      <c r="AF793" s="141"/>
      <c r="AG793" s="141"/>
      <c r="AH793" s="137"/>
      <c r="AI793" s="484"/>
      <c r="AJ793" s="137">
        <f>AJ792+(S$3*S793+T$3*T793+U$3*U793+V$3*V793+W$3*W793+X$3*X793+Y$3*Y793+Z$3*Z793+AA$3*AA793+AB$3*AB793+AC$3*AC793)</f>
        <v>0.20833333333333334</v>
      </c>
      <c r="AP793" s="256">
        <v>0.48</v>
      </c>
      <c r="AQ793" s="147">
        <f>VLOOKUP($D793,Research!$C:$D,(COLUMN(Research_Time)-COLUMN(Research_Name_and_Level)+1),FALSE)</f>
        <v>0.1875</v>
      </c>
      <c r="AR793" s="147">
        <f>AQ793/(1+AP793)</f>
        <v>0.1266891891891892</v>
      </c>
      <c r="AS793" s="147">
        <f>(S$3*S793+T$3*T793+V$3*V793+W$3*W793+X$3*X793+Y$3*Y793+Z$3*Z793+AA$3*AA793+AB$3*AB793+AC$3*AC793)*(-1)</f>
        <v>0</v>
      </c>
      <c r="AT793" s="148">
        <f>IF(AR793-R793-AS793&gt;=0,AR793-R793-AS793,0)</f>
        <v>0.11835585585585587</v>
      </c>
      <c r="AU793" s="111">
        <f>VLOOKUP($D793,Research!$C:$L,(COLUMN(Research_ResearchCost_Stone)-COLUMN(Research_Name_and_Level)+1),FALSE)*(-1)</f>
        <v>-10000</v>
      </c>
      <c r="AV793" s="111">
        <f>VLOOKUP($D793,Research!$C:$L,(COLUMN(Research_ResearchCost_Wood)-COLUMN(Research_Name_and_Level)+1),FALSE)*(-1)</f>
        <v>0</v>
      </c>
      <c r="AW793" s="111">
        <f>VLOOKUP($D793,Research!$C:$L,(COLUMN(Research_ResearchCost_Ore)-COLUMN(Research_Name_and_Level)+1),FALSE)*(-1)</f>
        <v>-7500</v>
      </c>
      <c r="AX793" s="111">
        <f>VLOOKUP($D793,Research!$C:$L,(COLUMN(Research_ResearchCost_Food)-COLUMN(Research_Name_and_Level)+1),FALSE)*(-1)</f>
        <v>-10000</v>
      </c>
      <c r="AY793" s="112">
        <f>VLOOKUP($D793,Research!$C:$L,(COLUMN(Research_ResearchCost_Silver)-COLUMN(Research_Name_and_Level)+1),FALSE)*(-1)</f>
        <v>-8000</v>
      </c>
    </row>
    <row r="794" spans="2:108" ht="15" customHeight="1">
      <c r="B794" s="102" t="s">
        <v>1455</v>
      </c>
      <c r="C794" s="127" t="s">
        <v>170</v>
      </c>
      <c r="D794" s="144" t="s">
        <v>1740</v>
      </c>
      <c r="E794" s="506">
        <v>21</v>
      </c>
      <c r="F794" s="12">
        <v>0.4</v>
      </c>
      <c r="G794" s="101">
        <f>VLOOKUP($D794,Research!$C:$M,(COLUMN(Research_QuestReward_HeroXP)-COLUMN(Research_Name_and_Level)+1),FALSE)</f>
        <v>8000</v>
      </c>
      <c r="H794" s="101">
        <f t="shared" si="262"/>
        <v>11200</v>
      </c>
      <c r="J794" s="103">
        <f>VLOOKUP($D794,Research!$C:$N,(COLUMN(Research_QuestReward_Power)-COLUMN(Research_Name_and_Level)+1),FALSE)</f>
        <v>30</v>
      </c>
      <c r="AF794" s="141"/>
      <c r="AG794" s="141"/>
      <c r="AH794" s="137"/>
      <c r="AI794" s="484"/>
      <c r="AJ794" s="137">
        <f t="shared" ref="AJ794:AJ821" si="263">AJ793+(S$3*S794+T$3*T794+U$3*U794+V$3*V794+W$3*W794+X$3*X794+Y$3*Y794+Z$3*Z794+AA$3*AA794+AB$3*AB794+AC$3*AC794)</f>
        <v>0.20833333333333334</v>
      </c>
      <c r="AU794" s="101">
        <f>VLOOKUP($D794,Research!$C:$S,(COLUMN(Research_QuestReward_Stone)-COLUMN(Research_Name_and_Level)+1),FALSE)</f>
        <v>16000</v>
      </c>
      <c r="AV794" s="101">
        <f>VLOOKUP($D794,Research!$C:$S,(COLUMN(Research_QuestReward_Wood)-COLUMN(Research_Name_and_Level)+1),FALSE)</f>
        <v>0</v>
      </c>
      <c r="AW794" s="101">
        <f>VLOOKUP($D794,Research!$C:$S,(COLUMN(Research_QuestReward_Ore)-COLUMN(Research_Name_and_Level)+1),FALSE)</f>
        <v>12000</v>
      </c>
      <c r="AX794" s="101">
        <f>VLOOKUP($D794,Research!$C:$S,(COLUMN(Research_QuestReward_Food)-COLUMN(Research_Name_and_Level)+1),FALSE)</f>
        <v>16000</v>
      </c>
      <c r="AY794" s="100">
        <f>VLOOKUP($D794,Research!$C:$S,(COLUMN(Research_QuestReward_Silver)-COLUMN(Research_Name_and_Level)+1),FALSE)</f>
        <v>6000</v>
      </c>
      <c r="CT794" s="127"/>
      <c r="CU794" s="127"/>
      <c r="CV794" s="127"/>
      <c r="CW794" s="127"/>
      <c r="CX794" s="127"/>
      <c r="CY794" s="127"/>
      <c r="CZ794" s="127"/>
      <c r="DA794" s="127"/>
      <c r="DB794" s="127"/>
      <c r="DC794" s="127"/>
      <c r="DD794" s="127"/>
    </row>
    <row r="795" spans="2:108" ht="15" customHeight="1">
      <c r="B795" s="506" t="s">
        <v>146</v>
      </c>
      <c r="C795" s="127" t="s">
        <v>138</v>
      </c>
      <c r="D795" s="144" t="s">
        <v>1741</v>
      </c>
      <c r="E795" s="506">
        <v>21</v>
      </c>
      <c r="F795" s="12">
        <v>0.4</v>
      </c>
      <c r="G795" s="111">
        <f>VLOOKUP($D795,Research!$C:$F,(COLUMN(Research_ResearchReward_HeroXP)-COLUMN(Research_Name_and_Level)+1),FALSE)</f>
        <v>60000</v>
      </c>
      <c r="H795" s="111">
        <f t="shared" ref="H795" si="264">G795*(1+F795)</f>
        <v>84000</v>
      </c>
      <c r="J795" s="115">
        <f>VLOOKUP($D795,Research!$C:$G,(COLUMN(Research_ResearchReward_Power)-COLUMN(Research_Name_and_Level)+1),FALSE)</f>
        <v>1000</v>
      </c>
      <c r="R795" s="148">
        <v>8.3333333333333332E-3</v>
      </c>
      <c r="AF795" s="141"/>
      <c r="AG795" s="141"/>
      <c r="AH795" s="137"/>
      <c r="AI795" s="484"/>
      <c r="AJ795" s="137">
        <f t="shared" si="263"/>
        <v>0.20833333333333334</v>
      </c>
      <c r="AP795" s="256">
        <v>0.48</v>
      </c>
      <c r="AQ795" s="147">
        <f>VLOOKUP($D795,Research!$C:$D,(COLUMN(Research_Time)-COLUMN(Research_Name_and_Level)+1),FALSE)</f>
        <v>0.41203703703703703</v>
      </c>
      <c r="AR795" s="147">
        <f>AQ795/(1+AP795)</f>
        <v>0.27840340340340342</v>
      </c>
      <c r="AS795" s="147">
        <f>(S$3*S795+T$3*T795+V$3*V795+W$3*W795+X$3*X795+Y$3*Y795+Z$3*Z795+AA$3*AA795+AB$3*AB795+AC$3*AC795)*(-1)</f>
        <v>0</v>
      </c>
      <c r="AT795" s="148">
        <f>IF(AR795-R795-AS795&gt;=0,AR795-R795-AS795,0)</f>
        <v>0.27007007007007006</v>
      </c>
      <c r="AU795" s="111">
        <f>VLOOKUP($D795,Research!$C:$L,(COLUMN(Research_ResearchCost_Stone)-COLUMN(Research_Name_and_Level)+1),FALSE)*(-1)</f>
        <v>-20000</v>
      </c>
      <c r="AV795" s="111">
        <f>VLOOKUP($D795,Research!$C:$L,(COLUMN(Research_ResearchCost_Wood)-COLUMN(Research_Name_and_Level)+1),FALSE)*(-1)</f>
        <v>0</v>
      </c>
      <c r="AW795" s="111">
        <f>VLOOKUP($D795,Research!$C:$L,(COLUMN(Research_ResearchCost_Ore)-COLUMN(Research_Name_and_Level)+1),FALSE)*(-1)</f>
        <v>-15000</v>
      </c>
      <c r="AX795" s="111">
        <f>VLOOKUP($D795,Research!$C:$L,(COLUMN(Research_ResearchCost_Food)-COLUMN(Research_Name_and_Level)+1),FALSE)*(-1)</f>
        <v>-20000</v>
      </c>
      <c r="AY795" s="112">
        <f>VLOOKUP($D795,Research!$C:$L,(COLUMN(Research_ResearchCost_Silver)-COLUMN(Research_Name_and_Level)+1),FALSE)*(-1)</f>
        <v>-20000</v>
      </c>
    </row>
    <row r="796" spans="2:108" ht="15" customHeight="1">
      <c r="B796" s="506" t="s">
        <v>144</v>
      </c>
      <c r="C796" s="127" t="s">
        <v>138</v>
      </c>
      <c r="D796" s="144" t="s">
        <v>1742</v>
      </c>
      <c r="E796" s="506">
        <v>21</v>
      </c>
      <c r="F796" s="12">
        <v>0.4</v>
      </c>
      <c r="G796" s="94">
        <f>VLOOKUP($D796,Construction!$B:$E,(COLUMN(Construction_BuildingReward_HeroXP)-COLUMN(Construction_Name_and_Level)+1),FALSE)</f>
        <v>500</v>
      </c>
      <c r="H796" s="94">
        <f>G796*(1+F796)</f>
        <v>700</v>
      </c>
      <c r="J796" s="95">
        <f>VLOOKUP($D796,Construction!$B:$F,(COLUMN(Construction_BuildingReward_Power)-COLUMN(Construction_Name_and_Level)+1),FALSE)</f>
        <v>340</v>
      </c>
      <c r="Q796" s="139">
        <v>3.472222222222222E-3</v>
      </c>
      <c r="R796" s="289">
        <v>8.3333333333333332E-3</v>
      </c>
      <c r="AF796" s="141"/>
      <c r="AG796" s="141"/>
      <c r="AH796" s="137"/>
      <c r="AI796" s="484"/>
      <c r="AJ796" s="137">
        <f t="shared" si="263"/>
        <v>0.20833333333333334</v>
      </c>
      <c r="AK796" s="339">
        <v>0.42499999999999999</v>
      </c>
      <c r="AL796" s="138">
        <f>VLOOKUP($D796,Construction!$B:$C,(COLUMN(Construction_Time)-COLUMN(Construction_Name_and_Level)+1),FALSE)</f>
        <v>6.6666666666666666E-2</v>
      </c>
      <c r="AM796" s="138">
        <f t="shared" ref="AM796" si="265">AL796/(1+AK796)</f>
        <v>4.6783625730994149E-2</v>
      </c>
      <c r="AN796" s="138">
        <f>(S$3*S796+T$3*T796+V$3*V796+W$3*W796+X$3*X796+Y$3*Y796+Z$3*Z796+AA$3*AA796+AB$3*AB796+AC$3*AC796)*(-1)</f>
        <v>0</v>
      </c>
      <c r="AO796" s="139">
        <f>IF((AM796-Q796-R796-AN796)&gt;=0,AM796-Q796-R796-AN796,0)</f>
        <v>3.4978070175438594E-2</v>
      </c>
      <c r="AU796" s="94">
        <f>VLOOKUP($D796,Construction!$B:$J,(COLUMN(Construction_BuildingCost_Stone)-COLUMN(Construction_Name_and_Level)+1),FALSE)*(-1)</f>
        <v>-16708</v>
      </c>
      <c r="AV796" s="94">
        <f>VLOOKUP($D796,Construction!$B:$J,(COLUMN(Construction_BuildingCost_Wood)-COLUMN(Construction_Name_and_Level)+1),FALSE)*(-1)</f>
        <v>-13372</v>
      </c>
      <c r="AW796" s="94">
        <f>VLOOKUP($D796,Construction!$B:$J,(COLUMN(Construction_BuildingCost_Ore)-COLUMN(Construction_Name_and_Level)+1),FALSE)*(-1)</f>
        <v>-10024</v>
      </c>
      <c r="AX796" s="94">
        <f>VLOOKUP($D796,Construction!$B:$J,(COLUMN(Construction_BuildingCost_Food)-COLUMN(Construction_Name_and_Level)+1),FALSE)*(-1)</f>
        <v>-8364</v>
      </c>
    </row>
    <row r="797" spans="2:108" ht="15" customHeight="1">
      <c r="B797" s="113" t="s">
        <v>1483</v>
      </c>
      <c r="C797" s="127" t="s">
        <v>156</v>
      </c>
      <c r="D797" s="127">
        <v>716</v>
      </c>
      <c r="E797" s="506">
        <v>21</v>
      </c>
      <c r="G797" s="7"/>
      <c r="H797" s="7"/>
      <c r="J797" s="114">
        <f>VLOOKUP($C797,Troop!$B:$AK,(COLUMN(Troop_TrainingReward_Power)-COLUMN(Troop_Name)+1),FALSE)*$D797</f>
        <v>1432</v>
      </c>
      <c r="AF797" s="141"/>
      <c r="AG797" s="141"/>
      <c r="AH797" s="137"/>
      <c r="AI797" s="484"/>
      <c r="AJ797" s="137">
        <f t="shared" si="263"/>
        <v>0.20833333333333334</v>
      </c>
      <c r="AU797" s="296">
        <f>VLOOKUP($C797,Troop!$B:$P,(COLUMN(Troop_TrainingCost_Stone)-COLUMN(Troop_Name)+1),FALSE)*$D797*(-1)</f>
        <v>-35800</v>
      </c>
      <c r="AV797" s="296">
        <f>VLOOKUP($C797,Troop!$B:$P,(COLUMN(Troop_TrainingCost_Wood)-COLUMN(Troop_Name)+1),FALSE)*$D797*(-1)</f>
        <v>0</v>
      </c>
      <c r="AW797" s="296">
        <f>VLOOKUP($C797,Troop!$B:$P,(COLUMN(Troop_TrainingCost_Ore)-COLUMN(Troop_Name)+1),FALSE)*$D797*(-1)</f>
        <v>-27208</v>
      </c>
      <c r="AX797" s="296">
        <f>VLOOKUP($C797,Troop!$B:$P,(COLUMN(Troop_TrainingCost_Food)-COLUMN(Troop_Name)+1),FALSE)*$D797*(-1)</f>
        <v>-35800</v>
      </c>
      <c r="AY797" s="114">
        <f>VLOOKUP($C797,Troop!$B:$P,(COLUMN(Troop_TrainingCost_Silver)-COLUMN(Troop_Name)+1),FALSE)*$D797*(-1)</f>
        <v>0</v>
      </c>
      <c r="CT797" s="128"/>
      <c r="CU797" s="128"/>
      <c r="CV797" s="128"/>
      <c r="CW797" s="128"/>
      <c r="CX797" s="128"/>
      <c r="CY797" s="128"/>
      <c r="CZ797" s="128"/>
      <c r="DA797" s="128"/>
      <c r="DB797" s="128"/>
      <c r="DC797" s="128"/>
      <c r="DD797" s="128"/>
    </row>
    <row r="798" spans="2:108" ht="15" customHeight="1">
      <c r="B798" s="506" t="s">
        <v>195</v>
      </c>
      <c r="C798" s="127" t="s">
        <v>468</v>
      </c>
      <c r="D798" s="144" t="s">
        <v>1743</v>
      </c>
      <c r="E798" s="506">
        <v>21</v>
      </c>
      <c r="F798" s="12">
        <v>0.4</v>
      </c>
      <c r="G798" s="211">
        <v>3200</v>
      </c>
      <c r="H798" s="211">
        <f t="shared" ref="H798" si="266">G798*(1+F798)</f>
        <v>4480</v>
      </c>
      <c r="AF798" s="141"/>
      <c r="AG798" s="141"/>
      <c r="AH798" s="137"/>
      <c r="AI798" s="484"/>
      <c r="AJ798" s="137">
        <f t="shared" si="263"/>
        <v>0.20833333333333334</v>
      </c>
      <c r="AU798" s="211">
        <v>4000</v>
      </c>
      <c r="AV798" s="211">
        <v>0</v>
      </c>
      <c r="AW798" s="211">
        <v>0</v>
      </c>
      <c r="AX798" s="211">
        <v>0</v>
      </c>
      <c r="AY798" s="160">
        <v>800</v>
      </c>
      <c r="CL798" s="211">
        <v>2000</v>
      </c>
      <c r="CM798" s="160">
        <f>CL798</f>
        <v>2000</v>
      </c>
    </row>
    <row r="799" spans="2:108" ht="15" customHeight="1">
      <c r="B799" s="506" t="s">
        <v>143</v>
      </c>
      <c r="C799" s="127" t="s">
        <v>466</v>
      </c>
      <c r="D799" s="144" t="s">
        <v>1744</v>
      </c>
      <c r="E799" s="506">
        <v>21</v>
      </c>
      <c r="F799" s="12">
        <v>0.4</v>
      </c>
      <c r="G799" s="101">
        <v>3200</v>
      </c>
      <c r="H799" s="101">
        <f>G799*(1+F799)</f>
        <v>4480</v>
      </c>
      <c r="AF799" s="141"/>
      <c r="AG799" s="141"/>
      <c r="AH799" s="137"/>
      <c r="AI799" s="484"/>
      <c r="AJ799" s="137">
        <f t="shared" si="263"/>
        <v>0.20833333333333334</v>
      </c>
      <c r="AU799" s="101">
        <v>0</v>
      </c>
      <c r="AV799" s="101">
        <v>0</v>
      </c>
      <c r="AW799" s="101">
        <v>0</v>
      </c>
      <c r="AX799" s="101">
        <v>4000</v>
      </c>
      <c r="AY799" s="100">
        <v>800</v>
      </c>
    </row>
    <row r="800" spans="2:108" ht="15" customHeight="1">
      <c r="B800" s="506" t="s">
        <v>148</v>
      </c>
      <c r="E800" s="506">
        <v>21</v>
      </c>
      <c r="AJ800" s="137">
        <f t="shared" si="263"/>
        <v>0.20833333333333334</v>
      </c>
      <c r="AX800" s="142">
        <v>22500</v>
      </c>
    </row>
    <row r="801" spans="2:91" ht="15" customHeight="1">
      <c r="B801" s="506" t="s">
        <v>144</v>
      </c>
      <c r="C801" s="127" t="s">
        <v>138</v>
      </c>
      <c r="D801" s="144" t="s">
        <v>1745</v>
      </c>
      <c r="E801" s="506">
        <v>21</v>
      </c>
      <c r="F801" s="12">
        <v>0.4</v>
      </c>
      <c r="G801" s="94">
        <f>VLOOKUP($D801,Construction!$B:$E,(COLUMN(Construction_BuildingReward_HeroXP)-COLUMN(Construction_Name_and_Level)+1),FALSE)</f>
        <v>500</v>
      </c>
      <c r="H801" s="94">
        <f>G801*(1+F801)</f>
        <v>700</v>
      </c>
      <c r="J801" s="95">
        <f>VLOOKUP($D801,Construction!$B:$F,(COLUMN(Construction_BuildingReward_Power)-COLUMN(Construction_Name_and_Level)+1),FALSE)</f>
        <v>110</v>
      </c>
      <c r="Q801" s="139">
        <v>3.472222222222222E-3</v>
      </c>
      <c r="R801" s="289">
        <v>8.3333333333333332E-3</v>
      </c>
      <c r="AF801" s="141"/>
      <c r="AG801" s="141"/>
      <c r="AH801" s="137"/>
      <c r="AI801" s="484"/>
      <c r="AJ801" s="137">
        <f t="shared" si="263"/>
        <v>0.20833333333333334</v>
      </c>
      <c r="AK801" s="339">
        <v>0.42499999999999999</v>
      </c>
      <c r="AL801" s="138">
        <f>VLOOKUP($D801,Construction!$B:$C,(COLUMN(Construction_Time)-COLUMN(Construction_Name_and_Level)+1),FALSE)</f>
        <v>2.5925925925925925E-2</v>
      </c>
      <c r="AM801" s="138">
        <f t="shared" ref="AM801" si="267">AL801/(1+AK801)</f>
        <v>1.8193632228719947E-2</v>
      </c>
      <c r="AN801" s="138">
        <f>(S$3*S801+T$3*T801+V$3*V801+W$3*W801+X$3*X801+Y$3*Y801+Z$3*Z801+AA$3*AA801+AB$3*AB801+AC$3*AC801)*(-1)</f>
        <v>0</v>
      </c>
      <c r="AO801" s="139">
        <f>IF((AM801-Q801-R801-AN801)&gt;=0,AM801-Q801-R801-AN801,0)</f>
        <v>6.3880766731643918E-3</v>
      </c>
      <c r="AU801" s="94">
        <f>VLOOKUP($D801,Construction!$B:$J,(COLUMN(Construction_BuildingCost_Stone)-COLUMN(Construction_Name_and_Level)+1),FALSE)*(-1)</f>
        <v>-7352</v>
      </c>
      <c r="AV801" s="94">
        <f>VLOOKUP($D801,Construction!$B:$J,(COLUMN(Construction_BuildingCost_Wood)-COLUMN(Construction_Name_and_Level)+1),FALSE)*(-1)</f>
        <v>-10498</v>
      </c>
      <c r="AW801" s="94">
        <f>VLOOKUP($D801,Construction!$B:$J,(COLUMN(Construction_BuildingCost_Ore)-COLUMN(Construction_Name_and_Level)+1),FALSE)*(-1)</f>
        <v>-4202</v>
      </c>
      <c r="AX801" s="94">
        <f>VLOOKUP($D801,Construction!$B:$J,(COLUMN(Construction_BuildingCost_Food)-COLUMN(Construction_Name_and_Level)+1),FALSE)*(-1)</f>
        <v>-5250</v>
      </c>
    </row>
    <row r="802" spans="2:91" ht="15" customHeight="1">
      <c r="B802" s="506" t="s">
        <v>144</v>
      </c>
      <c r="C802" s="127" t="s">
        <v>138</v>
      </c>
      <c r="D802" s="144" t="s">
        <v>1746</v>
      </c>
      <c r="E802" s="506">
        <v>21</v>
      </c>
      <c r="F802" s="12">
        <v>0.4</v>
      </c>
      <c r="G802" s="94">
        <f>VLOOKUP($D802,Construction!$B:$E,(COLUMN(Construction_BuildingReward_HeroXP)-COLUMN(Construction_Name_and_Level)+1),FALSE)</f>
        <v>500</v>
      </c>
      <c r="H802" s="94">
        <f>G802*(1+F802)</f>
        <v>700</v>
      </c>
      <c r="J802" s="95">
        <f>VLOOKUP($D802,Construction!$B:$F,(COLUMN(Construction_BuildingReward_Power)-COLUMN(Construction_Name_and_Level)+1),FALSE)</f>
        <v>170</v>
      </c>
      <c r="Q802" s="139">
        <v>3.472222222222222E-3</v>
      </c>
      <c r="R802" s="289">
        <v>8.3333333333333332E-3</v>
      </c>
      <c r="AF802" s="141"/>
      <c r="AG802" s="141"/>
      <c r="AH802" s="137"/>
      <c r="AI802" s="484"/>
      <c r="AJ802" s="137">
        <f t="shared" si="263"/>
        <v>0.20833333333333334</v>
      </c>
      <c r="AK802" s="339">
        <v>0.42499999999999999</v>
      </c>
      <c r="AL802" s="138">
        <f>VLOOKUP($D802,Construction!$B:$C,(COLUMN(Construction_Time)-COLUMN(Construction_Name_and_Level)+1),FALSE)</f>
        <v>5.185185185185185E-2</v>
      </c>
      <c r="AM802" s="138">
        <f t="shared" ref="AM802:AM803" si="268">AL802/(1+AK802)</f>
        <v>3.6387264457439894E-2</v>
      </c>
      <c r="AN802" s="138">
        <f>(S$3*S802+T$3*T802+V$3*V802+W$3*W802+X$3*X802+Y$3*Y802+Z$3*Z802+AA$3*AA802+AB$3*AB802+AC$3*AC802)*(-1)</f>
        <v>0</v>
      </c>
      <c r="AO802" s="139">
        <f>IF((AM802-Q802-R802-AN802)&gt;=0,AM802-Q802-R802-AN802,0)</f>
        <v>2.4581708901884339E-2</v>
      </c>
      <c r="AU802" s="94">
        <f>VLOOKUP($D802,Construction!$B:$J,(COLUMN(Construction_BuildingCost_Stone)-COLUMN(Construction_Name_and_Level)+1),FALSE)*(-1)</f>
        <v>-14704</v>
      </c>
      <c r="AV802" s="94">
        <f>VLOOKUP($D802,Construction!$B:$J,(COLUMN(Construction_BuildingCost_Wood)-COLUMN(Construction_Name_and_Level)+1),FALSE)*(-1)</f>
        <v>-20996</v>
      </c>
      <c r="AW802" s="94">
        <f>VLOOKUP($D802,Construction!$B:$J,(COLUMN(Construction_BuildingCost_Ore)-COLUMN(Construction_Name_and_Level)+1),FALSE)*(-1)</f>
        <v>-8404</v>
      </c>
      <c r="AX802" s="94">
        <f>VLOOKUP($D802,Construction!$B:$J,(COLUMN(Construction_BuildingCost_Food)-COLUMN(Construction_Name_and_Level)+1),FALSE)*(-1)</f>
        <v>-10500</v>
      </c>
    </row>
    <row r="803" spans="2:91" ht="15" customHeight="1">
      <c r="B803" s="506" t="s">
        <v>144</v>
      </c>
      <c r="C803" s="127" t="s">
        <v>138</v>
      </c>
      <c r="D803" s="144" t="s">
        <v>1747</v>
      </c>
      <c r="E803" s="506">
        <v>21</v>
      </c>
      <c r="F803" s="12">
        <v>0.4</v>
      </c>
      <c r="G803" s="94">
        <f>VLOOKUP($D803,Construction!$B:$E,(COLUMN(Construction_BuildingReward_HeroXP)-COLUMN(Construction_Name_and_Level)+1),FALSE)</f>
        <v>500</v>
      </c>
      <c r="H803" s="94">
        <f>G803*(1+F803)</f>
        <v>700</v>
      </c>
      <c r="J803" s="95">
        <f>VLOOKUP($D803,Construction!$B:$F,(COLUMN(Construction_BuildingReward_Power)-COLUMN(Construction_Name_and_Level)+1),FALSE)</f>
        <v>250</v>
      </c>
      <c r="Q803" s="139">
        <v>3.472222222222222E-3</v>
      </c>
      <c r="R803" s="289">
        <v>8.3333333333333332E-3</v>
      </c>
      <c r="AF803" s="141"/>
      <c r="AG803" s="141"/>
      <c r="AH803" s="137"/>
      <c r="AI803" s="484"/>
      <c r="AJ803" s="137">
        <f t="shared" si="263"/>
        <v>0.20833333333333334</v>
      </c>
      <c r="AK803" s="339">
        <v>0.42499999999999999</v>
      </c>
      <c r="AL803" s="138">
        <f>VLOOKUP($D803,Construction!$B:$C,(COLUMN(Construction_Time)-COLUMN(Construction_Name_and_Level)+1),FALSE)</f>
        <v>0.1037037037037037</v>
      </c>
      <c r="AM803" s="138">
        <f t="shared" si="268"/>
        <v>7.2774528914879788E-2</v>
      </c>
      <c r="AN803" s="138">
        <f>(S$3*S803+T$3*T803+V$3*V803+W$3*W803+X$3*X803+Y$3*Y803+Z$3*Z803+AA$3*AA803+AB$3*AB803+AC$3*AC803)*(-1)</f>
        <v>0</v>
      </c>
      <c r="AO803" s="139">
        <f>IF((AM803-Q803-R803-AN803)&gt;=0,AM803-Q803-R803-AN803,0)</f>
        <v>6.0968973359324233E-2</v>
      </c>
      <c r="AU803" s="94">
        <f>VLOOKUP($D803,Construction!$B:$J,(COLUMN(Construction_BuildingCost_Stone)-COLUMN(Construction_Name_and_Level)+1),FALSE)*(-1)</f>
        <v>-29408</v>
      </c>
      <c r="AV803" s="94">
        <f>VLOOKUP($D803,Construction!$B:$J,(COLUMN(Construction_BuildingCost_Wood)-COLUMN(Construction_Name_and_Level)+1),FALSE)*(-1)</f>
        <v>-41992</v>
      </c>
      <c r="AW803" s="94">
        <f>VLOOKUP($D803,Construction!$B:$J,(COLUMN(Construction_BuildingCost_Ore)-COLUMN(Construction_Name_and_Level)+1),FALSE)*(-1)</f>
        <v>-16808</v>
      </c>
      <c r="AX803" s="94">
        <f>VLOOKUP($D803,Construction!$B:$J,(COLUMN(Construction_BuildingCost_Food)-COLUMN(Construction_Name_and_Level)+1),FALSE)*(-1)</f>
        <v>-21000</v>
      </c>
    </row>
    <row r="804" spans="2:91" ht="15" customHeight="1">
      <c r="B804" s="506" t="s">
        <v>144</v>
      </c>
      <c r="C804" s="127" t="s">
        <v>138</v>
      </c>
      <c r="D804" s="144" t="s">
        <v>1724</v>
      </c>
      <c r="E804" s="506">
        <v>21</v>
      </c>
      <c r="F804" s="12">
        <v>0.4</v>
      </c>
      <c r="G804" s="94">
        <f>VLOOKUP($D804,Construction!$B:$E,(COLUMN(Construction_BuildingReward_HeroXP)-COLUMN(Construction_Name_and_Level)+1),FALSE)</f>
        <v>500</v>
      </c>
      <c r="H804" s="94">
        <f>G804*(1+F804)</f>
        <v>700</v>
      </c>
      <c r="J804" s="95">
        <f>VLOOKUP($D804,Construction!$B:$F,(COLUMN(Construction_BuildingReward_Power)-COLUMN(Construction_Name_and_Level)+1),FALSE)</f>
        <v>310</v>
      </c>
      <c r="Q804" s="139">
        <v>3.472222222222222E-3</v>
      </c>
      <c r="R804" s="289">
        <v>8.3333333333333332E-3</v>
      </c>
      <c r="AF804" s="141"/>
      <c r="AG804" s="141"/>
      <c r="AH804" s="137"/>
      <c r="AI804" s="484"/>
      <c r="AJ804" s="137">
        <f t="shared" si="263"/>
        <v>0.20833333333333334</v>
      </c>
      <c r="AK804" s="339">
        <v>0.42499999999999999</v>
      </c>
      <c r="AL804" s="138">
        <f>VLOOKUP($D804,Construction!$B:$C,(COLUMN(Construction_Time)-COLUMN(Construction_Name_and_Level)+1),FALSE)</f>
        <v>7.407407407407407E-2</v>
      </c>
      <c r="AM804" s="138">
        <f t="shared" ref="AM804" si="269">AL804/(1+AK804)</f>
        <v>5.1981806367771277E-2</v>
      </c>
      <c r="AN804" s="138">
        <f>(S$3*S804+T$3*T804+V$3*V804+W$3*W804+X$3*X804+Y$3*Y804+Z$3*Z804+AA$3*AA804+AB$3*AB804+AC$3*AC804)*(-1)</f>
        <v>0</v>
      </c>
      <c r="AO804" s="139">
        <f>IF((AM804-Q804-R804-AN804)&gt;=0,AM804-Q804-R804-AN804,0)</f>
        <v>4.0176250812215722E-2</v>
      </c>
      <c r="AU804" s="94">
        <f>VLOOKUP($D804,Construction!$B:$J,(COLUMN(Construction_BuildingCost_Stone)-COLUMN(Construction_Name_and_Level)+1),FALSE)*(-1)</f>
        <v>-13376</v>
      </c>
      <c r="AV804" s="94">
        <f>VLOOKUP($D804,Construction!$B:$J,(COLUMN(Construction_BuildingCost_Wood)-COLUMN(Construction_Name_and_Level)+1),FALSE)*(-1)</f>
        <v>-13376</v>
      </c>
      <c r="AW804" s="94">
        <f>VLOOKUP($D804,Construction!$B:$J,(COLUMN(Construction_BuildingCost_Ore)-COLUMN(Construction_Name_and_Level)+1),FALSE)*(-1)</f>
        <v>-3360</v>
      </c>
      <c r="AX804" s="94">
        <f>VLOOKUP($D804,Construction!$B:$J,(COLUMN(Construction_BuildingCost_Food)-COLUMN(Construction_Name_and_Level)+1),FALSE)*(-1)</f>
        <v>-33416</v>
      </c>
    </row>
    <row r="805" spans="2:91" ht="15" customHeight="1">
      <c r="B805" s="506" t="s">
        <v>144</v>
      </c>
      <c r="C805" s="127" t="s">
        <v>138</v>
      </c>
      <c r="D805" s="144" t="s">
        <v>1724</v>
      </c>
      <c r="E805" s="506">
        <v>21</v>
      </c>
      <c r="F805" s="12">
        <v>0.4</v>
      </c>
      <c r="G805" s="94">
        <f>VLOOKUP($D805,Construction!$B:$E,(COLUMN(Construction_BuildingReward_HeroXP)-COLUMN(Construction_Name_and_Level)+1),FALSE)</f>
        <v>500</v>
      </c>
      <c r="H805" s="94">
        <f>G805*(1+F805)</f>
        <v>700</v>
      </c>
      <c r="J805" s="95">
        <f>VLOOKUP($D805,Construction!$B:$F,(COLUMN(Construction_BuildingReward_Power)-COLUMN(Construction_Name_and_Level)+1),FALSE)</f>
        <v>310</v>
      </c>
      <c r="Q805" s="139">
        <v>3.472222222222222E-3</v>
      </c>
      <c r="R805" s="289">
        <v>8.3333333333333332E-3</v>
      </c>
      <c r="AF805" s="141"/>
      <c r="AG805" s="141"/>
      <c r="AH805" s="137"/>
      <c r="AI805" s="484"/>
      <c r="AJ805" s="137">
        <f t="shared" si="263"/>
        <v>0.20833333333333334</v>
      </c>
      <c r="AK805" s="339">
        <v>0.42499999999999999</v>
      </c>
      <c r="AL805" s="138">
        <f>VLOOKUP($D805,Construction!$B:$C,(COLUMN(Construction_Time)-COLUMN(Construction_Name_and_Level)+1),FALSE)</f>
        <v>7.407407407407407E-2</v>
      </c>
      <c r="AM805" s="138">
        <f t="shared" ref="AM805" si="270">AL805/(1+AK805)</f>
        <v>5.1981806367771277E-2</v>
      </c>
      <c r="AN805" s="138">
        <f>(S$3*S805+T$3*T805+V$3*V805+W$3*W805+X$3*X805+Y$3*Y805+Z$3*Z805+AA$3*AA805+AB$3*AB805+AC$3*AC805)*(-1)</f>
        <v>0</v>
      </c>
      <c r="AO805" s="139">
        <f>IF((AM805-Q805-R805-AN805)&gt;=0,AM805-Q805-R805-AN805,0)</f>
        <v>4.0176250812215722E-2</v>
      </c>
      <c r="AU805" s="94">
        <f>VLOOKUP($D805,Construction!$B:$J,(COLUMN(Construction_BuildingCost_Stone)-COLUMN(Construction_Name_and_Level)+1),FALSE)*(-1)</f>
        <v>-13376</v>
      </c>
      <c r="AV805" s="94">
        <f>VLOOKUP($D805,Construction!$B:$J,(COLUMN(Construction_BuildingCost_Wood)-COLUMN(Construction_Name_and_Level)+1),FALSE)*(-1)</f>
        <v>-13376</v>
      </c>
      <c r="AW805" s="94">
        <f>VLOOKUP($D805,Construction!$B:$J,(COLUMN(Construction_BuildingCost_Ore)-COLUMN(Construction_Name_and_Level)+1),FALSE)*(-1)</f>
        <v>-3360</v>
      </c>
      <c r="AX805" s="94">
        <f>VLOOKUP($D805,Construction!$B:$J,(COLUMN(Construction_BuildingCost_Food)-COLUMN(Construction_Name_and_Level)+1),FALSE)*(-1)</f>
        <v>-33416</v>
      </c>
    </row>
    <row r="806" spans="2:91" ht="15" customHeight="1">
      <c r="B806" s="506" t="s">
        <v>146</v>
      </c>
      <c r="C806" s="127" t="s">
        <v>138</v>
      </c>
      <c r="D806" s="144" t="s">
        <v>1748</v>
      </c>
      <c r="E806" s="506">
        <v>21</v>
      </c>
      <c r="F806" s="12">
        <v>0.4</v>
      </c>
      <c r="G806" s="111">
        <f>VLOOKUP($D806,Research!$C:$F,(COLUMN(Research_ResearchReward_HeroXP)-COLUMN(Research_Name_and_Level)+1),FALSE)</f>
        <v>36000</v>
      </c>
      <c r="H806" s="111">
        <f t="shared" ref="H806" si="271">G806*(1+F806)</f>
        <v>50400</v>
      </c>
      <c r="J806" s="115">
        <f>VLOOKUP($D806,Research!$C:$G,(COLUMN(Research_ResearchReward_Power)-COLUMN(Research_Name_and_Level)+1),FALSE)</f>
        <v>750</v>
      </c>
      <c r="R806" s="148">
        <v>8.3333333333333332E-3</v>
      </c>
      <c r="AF806" s="141"/>
      <c r="AG806" s="141"/>
      <c r="AH806" s="137"/>
      <c r="AI806" s="484"/>
      <c r="AJ806" s="137">
        <f t="shared" si="263"/>
        <v>0.20833333333333334</v>
      </c>
      <c r="AP806" s="256">
        <v>0.48</v>
      </c>
      <c r="AQ806" s="147">
        <f>VLOOKUP($D806,Research!$C:$D,(COLUMN(Research_Time)-COLUMN(Research_Name_and_Level)+1),FALSE)</f>
        <v>0.125</v>
      </c>
      <c r="AR806" s="147">
        <f>AQ806/(1+AP806)</f>
        <v>8.4459459459459457E-2</v>
      </c>
      <c r="AS806" s="147">
        <f>(S$3*S806+T$3*T806+V$3*V806+W$3*W806+X$3*X806+Y$3*Y806+Z$3*Z806+AA$3*AA806+AB$3*AB806+AC$3*AC806)*(-1)</f>
        <v>0</v>
      </c>
      <c r="AT806" s="148">
        <f>IF(AR806-R806-AS806&gt;=0,AR806-R806-AS806,0)</f>
        <v>7.6126126126126126E-2</v>
      </c>
      <c r="AU806" s="111">
        <f>VLOOKUP($D806,Research!$C:$L,(COLUMN(Research_ResearchCost_Stone)-COLUMN(Research_Name_and_Level)+1),FALSE)*(-1)</f>
        <v>-1200</v>
      </c>
      <c r="AV806" s="111">
        <f>VLOOKUP($D806,Research!$C:$L,(COLUMN(Research_ResearchCost_Wood)-COLUMN(Research_Name_and_Level)+1),FALSE)*(-1)</f>
        <v>-100</v>
      </c>
      <c r="AW806" s="111">
        <f>VLOOKUP($D806,Research!$C:$L,(COLUMN(Research_ResearchCost_Ore)-COLUMN(Research_Name_and_Level)+1),FALSE)*(-1)</f>
        <v>-1600</v>
      </c>
      <c r="AX806" s="111">
        <f>VLOOKUP($D806,Research!$C:$L,(COLUMN(Research_ResearchCost_Food)-COLUMN(Research_Name_and_Level)+1),FALSE)*(-1)</f>
        <v>-2000</v>
      </c>
      <c r="AY806" s="112">
        <f>VLOOKUP($D806,Research!$C:$L,(COLUMN(Research_ResearchCost_Silver)-COLUMN(Research_Name_and_Level)+1),FALSE)*(-1)</f>
        <v>-15000</v>
      </c>
    </row>
    <row r="807" spans="2:91" ht="15" customHeight="1">
      <c r="B807" s="506" t="s">
        <v>146</v>
      </c>
      <c r="C807" s="127" t="s">
        <v>138</v>
      </c>
      <c r="D807" s="144" t="s">
        <v>1749</v>
      </c>
      <c r="E807" s="506">
        <v>21</v>
      </c>
      <c r="F807" s="12">
        <v>0.4</v>
      </c>
      <c r="G807" s="111">
        <f>VLOOKUP($D807,Research!$C:$F,(COLUMN(Research_ResearchReward_HeroXP)-COLUMN(Research_Name_and_Level)+1),FALSE)</f>
        <v>100000</v>
      </c>
      <c r="H807" s="111">
        <f t="shared" ref="H807" si="272">G807*(1+F807)</f>
        <v>140000</v>
      </c>
      <c r="J807" s="115">
        <f>VLOOKUP($D807,Research!$C:$G,(COLUMN(Research_ResearchReward_Power)-COLUMN(Research_Name_and_Level)+1),FALSE)</f>
        <v>2000</v>
      </c>
      <c r="R807" s="148">
        <v>8.3333333333333332E-3</v>
      </c>
      <c r="AF807" s="141"/>
      <c r="AG807" s="141"/>
      <c r="AH807" s="137"/>
      <c r="AI807" s="484"/>
      <c r="AJ807" s="137">
        <f t="shared" si="263"/>
        <v>0.20833333333333334</v>
      </c>
      <c r="AK807" s="342">
        <v>0.44500000000000001</v>
      </c>
      <c r="AP807" s="256">
        <v>0.48</v>
      </c>
      <c r="AQ807" s="147">
        <f>VLOOKUP($D807,Research!$C:$D,(COLUMN(Research_Time)-COLUMN(Research_Name_and_Level)+1),FALSE)</f>
        <v>0.25</v>
      </c>
      <c r="AR807" s="147">
        <f>AQ807/(1+AP807)</f>
        <v>0.16891891891891891</v>
      </c>
      <c r="AS807" s="147">
        <f>(S$3*S807+T$3*T807+V$3*V807+W$3*W807+X$3*X807+Y$3*Y807+Z$3*Z807+AA$3*AA807+AB$3*AB807+AC$3*AC807)*(-1)</f>
        <v>0</v>
      </c>
      <c r="AT807" s="148">
        <f>IF(AR807-R807-AS807&gt;=0,AR807-R807-AS807,0)</f>
        <v>0.16058558558558558</v>
      </c>
      <c r="AU807" s="111">
        <f>VLOOKUP($D807,Research!$C:$L,(COLUMN(Research_ResearchCost_Stone)-COLUMN(Research_Name_and_Level)+1),FALSE)*(-1)</f>
        <v>-40000</v>
      </c>
      <c r="AV807" s="111">
        <f>VLOOKUP($D807,Research!$C:$L,(COLUMN(Research_ResearchCost_Wood)-COLUMN(Research_Name_and_Level)+1),FALSE)*(-1)</f>
        <v>-40000</v>
      </c>
      <c r="AW807" s="111">
        <f>VLOOKUP($D807,Research!$C:$L,(COLUMN(Research_ResearchCost_Ore)-COLUMN(Research_Name_and_Level)+1),FALSE)*(-1)</f>
        <v>-40000</v>
      </c>
      <c r="AX807" s="111">
        <f>VLOOKUP($D807,Research!$C:$L,(COLUMN(Research_ResearchCost_Food)-COLUMN(Research_Name_and_Level)+1),FALSE)*(-1)</f>
        <v>-40000</v>
      </c>
      <c r="AY807" s="112">
        <f>VLOOKUP($D807,Research!$C:$L,(COLUMN(Research_ResearchCost_Silver)-COLUMN(Research_Name_and_Level)+1),FALSE)*(-1)</f>
        <v>-40000</v>
      </c>
    </row>
    <row r="808" spans="2:91" ht="15" customHeight="1">
      <c r="B808" s="506" t="s">
        <v>144</v>
      </c>
      <c r="C808" s="127" t="s">
        <v>138</v>
      </c>
      <c r="D808" s="144" t="s">
        <v>1694</v>
      </c>
      <c r="E808" s="506">
        <v>21</v>
      </c>
      <c r="F808" s="12">
        <v>0.4</v>
      </c>
      <c r="G808" s="94">
        <f>VLOOKUP($D808,Construction!$B:$E,(COLUMN(Construction_BuildingReward_HeroXP)-COLUMN(Construction_Name_and_Level)+1),FALSE)</f>
        <v>500</v>
      </c>
      <c r="H808" s="94">
        <f>G808*(1+F808)</f>
        <v>700</v>
      </c>
      <c r="J808" s="95">
        <f>VLOOKUP($D808,Construction!$B:$F,(COLUMN(Construction_BuildingReward_Power)-COLUMN(Construction_Name_and_Level)+1),FALSE)</f>
        <v>85</v>
      </c>
      <c r="Q808" s="139">
        <v>3.472222222222222E-3</v>
      </c>
      <c r="R808" s="289">
        <v>8.3333333333333332E-3</v>
      </c>
      <c r="AF808" s="141"/>
      <c r="AG808" s="141"/>
      <c r="AH808" s="137"/>
      <c r="AI808" s="484"/>
      <c r="AJ808" s="137">
        <f t="shared" si="263"/>
        <v>0.20833333333333334</v>
      </c>
      <c r="AK808" s="339">
        <v>0.44500000000000001</v>
      </c>
      <c r="AL808" s="138">
        <f>VLOOKUP($D808,Construction!$B:$C,(COLUMN(Construction_Time)-COLUMN(Construction_Name_and_Level)+1),FALSE)</f>
        <v>4.4444444444444446E-2</v>
      </c>
      <c r="AM808" s="138">
        <f t="shared" ref="AM808" si="273">AL808/(1+AK808)</f>
        <v>3.0757400999615533E-2</v>
      </c>
      <c r="AN808" s="138">
        <f>(S$3*S808+T$3*T808+V$3*V808+W$3*W808+X$3*X808+Y$3*Y808+Z$3*Z808+AA$3*AA808+AB$3*AB808+AC$3*AC808)*(-1)</f>
        <v>0</v>
      </c>
      <c r="AO808" s="139">
        <f>IF((AM808-Q808-R808-AN808)&gt;=0,AM808-Q808-R808-AN808,0)</f>
        <v>1.8951845444059978E-2</v>
      </c>
      <c r="AU808" s="94">
        <f>VLOOKUP($D808,Construction!$B:$J,(COLUMN(Construction_BuildingCost_Stone)-COLUMN(Construction_Name_and_Level)+1),FALSE)*(-1)</f>
        <v>-3348</v>
      </c>
      <c r="AV808" s="94">
        <f>VLOOKUP($D808,Construction!$B:$J,(COLUMN(Construction_BuildingCost_Wood)-COLUMN(Construction_Name_and_Level)+1),FALSE)*(-1)</f>
        <v>0</v>
      </c>
      <c r="AW808" s="94">
        <f>VLOOKUP($D808,Construction!$B:$J,(COLUMN(Construction_BuildingCost_Ore)-COLUMN(Construction_Name_and_Level)+1),FALSE)*(-1)</f>
        <v>-3348</v>
      </c>
      <c r="AX808" s="94">
        <f>VLOOKUP($D808,Construction!$B:$J,(COLUMN(Construction_BuildingCost_Food)-COLUMN(Construction_Name_and_Level)+1),FALSE)*(-1)</f>
        <v>-3348</v>
      </c>
    </row>
    <row r="809" spans="2:91" ht="15" customHeight="1">
      <c r="B809" s="506" t="s">
        <v>195</v>
      </c>
      <c r="C809" s="127" t="s">
        <v>1750</v>
      </c>
      <c r="D809" s="144" t="s">
        <v>1751</v>
      </c>
      <c r="E809" s="506">
        <v>21</v>
      </c>
      <c r="N809" s="213">
        <v>120</v>
      </c>
      <c r="AJ809" s="137">
        <f t="shared" si="263"/>
        <v>0.20833333333333334</v>
      </c>
    </row>
    <row r="810" spans="2:91" ht="15" customHeight="1">
      <c r="B810" s="506" t="s">
        <v>195</v>
      </c>
      <c r="C810" s="127" t="s">
        <v>1750</v>
      </c>
      <c r="D810" s="144" t="s">
        <v>1752</v>
      </c>
      <c r="E810" s="506">
        <v>21</v>
      </c>
      <c r="N810" s="213">
        <v>40</v>
      </c>
      <c r="AJ810" s="137">
        <f t="shared" si="263"/>
        <v>0.20833333333333334</v>
      </c>
    </row>
    <row r="811" spans="2:91" ht="15" customHeight="1">
      <c r="B811" s="506" t="s">
        <v>143</v>
      </c>
      <c r="C811" s="127" t="s">
        <v>466</v>
      </c>
      <c r="D811" s="144" t="s">
        <v>1753</v>
      </c>
      <c r="E811" s="506">
        <v>21</v>
      </c>
      <c r="F811" s="12">
        <v>0.4</v>
      </c>
      <c r="G811" s="101">
        <v>3200</v>
      </c>
      <c r="H811" s="101">
        <f>G811*(1+F811)</f>
        <v>4480</v>
      </c>
      <c r="AF811" s="141"/>
      <c r="AG811" s="141"/>
      <c r="AH811" s="137"/>
      <c r="AI811" s="484"/>
      <c r="AJ811" s="137">
        <f t="shared" si="263"/>
        <v>0.20833333333333334</v>
      </c>
      <c r="AU811" s="101">
        <v>0</v>
      </c>
      <c r="AV811" s="101">
        <v>0</v>
      </c>
      <c r="AW811" s="101">
        <v>0</v>
      </c>
      <c r="AX811" s="101">
        <v>8000</v>
      </c>
      <c r="AY811" s="100">
        <v>0</v>
      </c>
    </row>
    <row r="812" spans="2:91" ht="15" customHeight="1">
      <c r="B812" s="506" t="s">
        <v>195</v>
      </c>
      <c r="C812" s="127" t="s">
        <v>468</v>
      </c>
      <c r="D812" s="144" t="s">
        <v>1754</v>
      </c>
      <c r="E812" s="506">
        <v>21</v>
      </c>
      <c r="F812" s="12">
        <v>0.4</v>
      </c>
      <c r="G812" s="211">
        <v>3200</v>
      </c>
      <c r="H812" s="211">
        <f t="shared" ref="H812" si="274">G812*(1+F812)</f>
        <v>4480</v>
      </c>
      <c r="AF812" s="141"/>
      <c r="AG812" s="141"/>
      <c r="AH812" s="137"/>
      <c r="AI812" s="484"/>
      <c r="AJ812" s="137">
        <f t="shared" si="263"/>
        <v>0.20833333333333334</v>
      </c>
      <c r="AU812" s="211">
        <v>3200</v>
      </c>
      <c r="AV812" s="211">
        <v>3200</v>
      </c>
      <c r="AW812" s="211">
        <v>3200</v>
      </c>
      <c r="AX812" s="211">
        <v>0</v>
      </c>
      <c r="AY812" s="160">
        <v>0</v>
      </c>
      <c r="CL812" s="211">
        <v>2000</v>
      </c>
      <c r="CM812" s="160">
        <f>CL812</f>
        <v>2000</v>
      </c>
    </row>
    <row r="813" spans="2:91" ht="15" customHeight="1">
      <c r="B813" s="506" t="s">
        <v>143</v>
      </c>
      <c r="C813" s="127" t="s">
        <v>142</v>
      </c>
      <c r="D813" s="144" t="s">
        <v>1742</v>
      </c>
      <c r="E813" s="506">
        <v>21</v>
      </c>
      <c r="F813" s="346">
        <v>0.4</v>
      </c>
      <c r="G813" s="101">
        <f>VLOOKUP($D813,Construction!$B:$L,(COLUMN(Construction_QuestReward_HeroXP)-COLUMN(Construction_Name_and_Level)+1),FALSE)</f>
        <v>10000</v>
      </c>
      <c r="H813" s="101">
        <f>G813*(1+F813)</f>
        <v>14000</v>
      </c>
      <c r="J813" s="100">
        <f>VLOOKUP($D813,Construction!$B:$L,(COLUMN(Construction_QuestReward_Power)-COLUMN(Construction_Name_and_Level)+1),FALSE)</f>
        <v>182</v>
      </c>
      <c r="AF813" s="141"/>
      <c r="AG813" s="141"/>
      <c r="AH813" s="137"/>
      <c r="AI813" s="484"/>
      <c r="AJ813" s="137">
        <f t="shared" si="263"/>
        <v>0.20833333333333334</v>
      </c>
      <c r="AU813" s="101">
        <f>VLOOKUP($D813,Construction!$B:$Q,(COLUMN(Construction_QuestReward_Stone)-COLUMN(Construction_Name_and_Level)+1),FALSE)</f>
        <v>11900</v>
      </c>
      <c r="AV813" s="101">
        <f>VLOOKUP($D813,Construction!$B:$Q,(COLUMN(Construction_QuestReward_Wood)-COLUMN(Construction_Name_and_Level)+1),FALSE)</f>
        <v>9500</v>
      </c>
      <c r="AW813" s="101">
        <f>VLOOKUP($D813,Construction!$B:$Q,(COLUMN(Construction_QuestReward_Ore)-COLUMN(Construction_Name_and_Level)+1),FALSE)</f>
        <v>7100</v>
      </c>
      <c r="AX813" s="101">
        <f>VLOOKUP($D813,Construction!$B:$Q,(COLUMN(Construction_QuestReward_Food)-COLUMN(Construction_Name_and_Level)+1),FALSE)</f>
        <v>5900</v>
      </c>
      <c r="AY813" s="100">
        <f>VLOOKUP($D813,Construction!$B:$Q,(COLUMN(Construction_QuestReward_Silver)-COLUMN(Construction_Name_and_Level)+1),FALSE)</f>
        <v>250</v>
      </c>
    </row>
    <row r="814" spans="2:91" ht="15" customHeight="1">
      <c r="B814" s="506" t="s">
        <v>143</v>
      </c>
      <c r="C814" s="127" t="s">
        <v>142</v>
      </c>
      <c r="D814" s="144" t="s">
        <v>1745</v>
      </c>
      <c r="E814" s="506">
        <v>21</v>
      </c>
      <c r="F814" s="346">
        <v>0.4</v>
      </c>
      <c r="G814" s="101">
        <f>VLOOKUP($D814,Construction!$B:$L,(COLUMN(Construction_QuestReward_HeroXP)-COLUMN(Construction_Name_and_Level)+1),FALSE)</f>
        <v>10000</v>
      </c>
      <c r="H814" s="101">
        <f>G814*(1+F814)</f>
        <v>14000</v>
      </c>
      <c r="J814" s="100">
        <f>VLOOKUP($D814,Construction!$B:$L,(COLUMN(Construction_QuestReward_Power)-COLUMN(Construction_Name_and_Level)+1),FALSE)</f>
        <v>57</v>
      </c>
      <c r="AF814" s="141"/>
      <c r="AG814" s="141"/>
      <c r="AH814" s="137"/>
      <c r="AI814" s="484"/>
      <c r="AJ814" s="137">
        <f t="shared" si="263"/>
        <v>0.20833333333333334</v>
      </c>
      <c r="AU814" s="101">
        <f>VLOOKUP($D814,Construction!$B:$Q,(COLUMN(Construction_QuestReward_Stone)-COLUMN(Construction_Name_and_Level)+1),FALSE)</f>
        <v>6100</v>
      </c>
      <c r="AV814" s="101">
        <f>VLOOKUP($D814,Construction!$B:$Q,(COLUMN(Construction_QuestReward_Wood)-COLUMN(Construction_Name_and_Level)+1),FALSE)</f>
        <v>8700</v>
      </c>
      <c r="AW814" s="101">
        <f>VLOOKUP($D814,Construction!$B:$Q,(COLUMN(Construction_QuestReward_Ore)-COLUMN(Construction_Name_and_Level)+1),FALSE)</f>
        <v>3500</v>
      </c>
      <c r="AX814" s="101">
        <f>VLOOKUP($D814,Construction!$B:$Q,(COLUMN(Construction_QuestReward_Food)-COLUMN(Construction_Name_and_Level)+1),FALSE)</f>
        <v>4300</v>
      </c>
      <c r="AY814" s="100">
        <f>VLOOKUP($D814,Construction!$B:$Q,(COLUMN(Construction_QuestReward_Silver)-COLUMN(Construction_Name_and_Level)+1),FALSE)</f>
        <v>350</v>
      </c>
    </row>
    <row r="815" spans="2:91" ht="15" customHeight="1">
      <c r="B815" s="506" t="s">
        <v>143</v>
      </c>
      <c r="C815" s="127" t="s">
        <v>142</v>
      </c>
      <c r="D815" s="144" t="s">
        <v>1746</v>
      </c>
      <c r="E815" s="506">
        <v>21</v>
      </c>
      <c r="F815" s="346">
        <v>0.4</v>
      </c>
      <c r="G815" s="101">
        <f>VLOOKUP($D815,Construction!$B:$L,(COLUMN(Construction_QuestReward_HeroXP)-COLUMN(Construction_Name_and_Level)+1),FALSE)</f>
        <v>10000</v>
      </c>
      <c r="H815" s="101">
        <f>G815*(1+F815)</f>
        <v>14000</v>
      </c>
      <c r="J815" s="100">
        <f>VLOOKUP($D815,Construction!$B:$L,(COLUMN(Construction_QuestReward_Power)-COLUMN(Construction_Name_and_Level)+1),FALSE)</f>
        <v>90</v>
      </c>
      <c r="AF815" s="141"/>
      <c r="AG815" s="141"/>
      <c r="AH815" s="137"/>
      <c r="AI815" s="484"/>
      <c r="AJ815" s="137">
        <f t="shared" si="263"/>
        <v>0.20833333333333334</v>
      </c>
      <c r="AU815" s="101">
        <f>VLOOKUP($D815,Construction!$B:$Q,(COLUMN(Construction_QuestReward_Stone)-COLUMN(Construction_Name_and_Level)+1),FALSE)</f>
        <v>10500</v>
      </c>
      <c r="AV815" s="101">
        <f>VLOOKUP($D815,Construction!$B:$Q,(COLUMN(Construction_QuestReward_Wood)-COLUMN(Construction_Name_and_Level)+1),FALSE)</f>
        <v>14900</v>
      </c>
      <c r="AW815" s="101">
        <f>VLOOKUP($D815,Construction!$B:$Q,(COLUMN(Construction_QuestReward_Ore)-COLUMN(Construction_Name_and_Level)+1),FALSE)</f>
        <v>6000</v>
      </c>
      <c r="AX815" s="101">
        <f>VLOOKUP($D815,Construction!$B:$Q,(COLUMN(Construction_QuestReward_Food)-COLUMN(Construction_Name_and_Level)+1),FALSE)</f>
        <v>7500</v>
      </c>
      <c r="AY815" s="100">
        <f>VLOOKUP($D815,Construction!$B:$Q,(COLUMN(Construction_QuestReward_Silver)-COLUMN(Construction_Name_and_Level)+1),FALSE)</f>
        <v>250</v>
      </c>
    </row>
    <row r="816" spans="2:91" ht="15" customHeight="1">
      <c r="B816" s="506" t="s">
        <v>143</v>
      </c>
      <c r="C816" s="127" t="s">
        <v>142</v>
      </c>
      <c r="D816" s="144" t="s">
        <v>1747</v>
      </c>
      <c r="E816" s="506">
        <v>21</v>
      </c>
      <c r="F816" s="346">
        <v>0.4</v>
      </c>
      <c r="G816" s="101">
        <f>VLOOKUP($D816,Construction!$B:$L,(COLUMN(Construction_QuestReward_HeroXP)-COLUMN(Construction_Name_and_Level)+1),FALSE)</f>
        <v>10000</v>
      </c>
      <c r="H816" s="101">
        <f>G816*(1+F816)</f>
        <v>14000</v>
      </c>
      <c r="J816" s="100">
        <f>VLOOKUP($D816,Construction!$B:$L,(COLUMN(Construction_QuestReward_Power)-COLUMN(Construction_Name_and_Level)+1),FALSE)</f>
        <v>140</v>
      </c>
      <c r="AF816" s="141"/>
      <c r="AG816" s="141"/>
      <c r="AH816" s="137"/>
      <c r="AI816" s="484"/>
      <c r="AJ816" s="137">
        <f t="shared" si="263"/>
        <v>0.20833333333333334</v>
      </c>
      <c r="AU816" s="101">
        <f>VLOOKUP($D816,Construction!$B:$Q,(COLUMN(Construction_QuestReward_Stone)-COLUMN(Construction_Name_and_Level)+1),FALSE)</f>
        <v>18300</v>
      </c>
      <c r="AV816" s="101">
        <f>VLOOKUP($D816,Construction!$B:$Q,(COLUMN(Construction_QuestReward_Wood)-COLUMN(Construction_Name_and_Level)+1),FALSE)</f>
        <v>26200</v>
      </c>
      <c r="AW816" s="101">
        <f>VLOOKUP($D816,Construction!$B:$Q,(COLUMN(Construction_QuestReward_Ore)-COLUMN(Construction_Name_and_Level)+1),FALSE)</f>
        <v>10500</v>
      </c>
      <c r="AX816" s="101">
        <f>VLOOKUP($D816,Construction!$B:$Q,(COLUMN(Construction_QuestReward_Food)-COLUMN(Construction_Name_and_Level)+1),FALSE)</f>
        <v>13100</v>
      </c>
      <c r="AY816" s="100">
        <f>VLOOKUP($D816,Construction!$B:$Q,(COLUMN(Construction_QuestReward_Silver)-COLUMN(Construction_Name_and_Level)+1),FALSE)</f>
        <v>350</v>
      </c>
    </row>
    <row r="817" spans="1:108" ht="15" customHeight="1">
      <c r="B817" s="506" t="s">
        <v>195</v>
      </c>
      <c r="C817" s="127" t="s">
        <v>1750</v>
      </c>
      <c r="D817" s="144" t="s">
        <v>1752</v>
      </c>
      <c r="E817" s="506">
        <v>21</v>
      </c>
      <c r="AJ817" s="137">
        <f t="shared" si="263"/>
        <v>0.20833333333333334</v>
      </c>
      <c r="AV817" s="211">
        <v>10000</v>
      </c>
    </row>
    <row r="818" spans="1:108" ht="15" customHeight="1">
      <c r="B818" s="102" t="s">
        <v>1455</v>
      </c>
      <c r="C818" s="127" t="s">
        <v>170</v>
      </c>
      <c r="D818" s="144" t="s">
        <v>1741</v>
      </c>
      <c r="E818" s="506">
        <v>21</v>
      </c>
      <c r="F818" s="12">
        <v>0.4</v>
      </c>
      <c r="G818" s="101">
        <f>VLOOKUP($D818,Research!$C:$M,(COLUMN(Research_QuestReward_HeroXP)-COLUMN(Research_Name_and_Level)+1),FALSE)</f>
        <v>12000</v>
      </c>
      <c r="H818" s="101">
        <f t="shared" ref="H818" si="275">G818*(1+F818)</f>
        <v>16800</v>
      </c>
      <c r="J818" s="103">
        <f>VLOOKUP($D818,Research!$C:$N,(COLUMN(Research_QuestReward_Power)-COLUMN(Research_Name_and_Level)+1),FALSE)</f>
        <v>50</v>
      </c>
      <c r="AF818" s="141"/>
      <c r="AG818" s="141"/>
      <c r="AH818" s="137"/>
      <c r="AI818" s="484"/>
      <c r="AJ818" s="137">
        <f t="shared" si="263"/>
        <v>0.20833333333333334</v>
      </c>
      <c r="AU818" s="101">
        <f>VLOOKUP($D818,Research!$C:$S,(COLUMN(Research_QuestReward_Stone)-COLUMN(Research_Name_and_Level)+1),FALSE)</f>
        <v>40000</v>
      </c>
      <c r="AV818" s="101">
        <f>VLOOKUP($D818,Research!$C:$S,(COLUMN(Research_QuestReward_Wood)-COLUMN(Research_Name_and_Level)+1),FALSE)</f>
        <v>0</v>
      </c>
      <c r="AW818" s="101">
        <f>VLOOKUP($D818,Research!$C:$S,(COLUMN(Research_QuestReward_Ore)-COLUMN(Research_Name_and_Level)+1),FALSE)</f>
        <v>30000</v>
      </c>
      <c r="AX818" s="101">
        <f>VLOOKUP($D818,Research!$C:$S,(COLUMN(Research_QuestReward_Food)-COLUMN(Research_Name_and_Level)+1),FALSE)</f>
        <v>40000</v>
      </c>
      <c r="AY818" s="100">
        <f>VLOOKUP($D818,Research!$C:$S,(COLUMN(Research_QuestReward_Silver)-COLUMN(Research_Name_and_Level)+1),FALSE)</f>
        <v>20000</v>
      </c>
      <c r="CT818" s="127"/>
      <c r="CU818" s="127"/>
      <c r="CV818" s="127"/>
      <c r="CW818" s="127"/>
      <c r="CX818" s="127"/>
      <c r="CY818" s="127"/>
      <c r="CZ818" s="127"/>
      <c r="DA818" s="127"/>
      <c r="DB818" s="127"/>
      <c r="DC818" s="127"/>
      <c r="DD818" s="127"/>
    </row>
    <row r="819" spans="1:108" ht="15" customHeight="1">
      <c r="B819" s="102" t="s">
        <v>1455</v>
      </c>
      <c r="C819" s="127" t="s">
        <v>170</v>
      </c>
      <c r="D819" s="144" t="s">
        <v>1748</v>
      </c>
      <c r="E819" s="506">
        <v>21</v>
      </c>
      <c r="F819" s="12">
        <v>0.4</v>
      </c>
      <c r="G819" s="101">
        <f>VLOOKUP($D819,Research!$C:$M,(COLUMN(Research_QuestReward_HeroXP)-COLUMN(Research_Name_and_Level)+1),FALSE)</f>
        <v>11000</v>
      </c>
      <c r="H819" s="101">
        <f t="shared" ref="H819:H820" si="276">G819*(1+F819)</f>
        <v>15399.999999999998</v>
      </c>
      <c r="J819" s="103">
        <f>VLOOKUP($D819,Research!$C:$N,(COLUMN(Research_QuestReward_Power)-COLUMN(Research_Name_and_Level)+1),FALSE)</f>
        <v>110</v>
      </c>
      <c r="AF819" s="141"/>
      <c r="AG819" s="141"/>
      <c r="AH819" s="137"/>
      <c r="AI819" s="484"/>
      <c r="AJ819" s="137">
        <f t="shared" si="263"/>
        <v>0.20833333333333334</v>
      </c>
      <c r="AU819" s="101">
        <f>VLOOKUP($D819,Research!$C:$S,(COLUMN(Research_QuestReward_Stone)-COLUMN(Research_Name_and_Level)+1),FALSE)</f>
        <v>2000</v>
      </c>
      <c r="AV819" s="101">
        <f>VLOOKUP($D819,Research!$C:$S,(COLUMN(Research_QuestReward_Wood)-COLUMN(Research_Name_and_Level)+1),FALSE)</f>
        <v>0</v>
      </c>
      <c r="AW819" s="101">
        <f>VLOOKUP($D819,Research!$C:$S,(COLUMN(Research_QuestReward_Ore)-COLUMN(Research_Name_and_Level)+1),FALSE)</f>
        <v>2000</v>
      </c>
      <c r="AX819" s="101">
        <f>VLOOKUP($D819,Research!$C:$S,(COLUMN(Research_QuestReward_Food)-COLUMN(Research_Name_and_Level)+1),FALSE)</f>
        <v>3000</v>
      </c>
      <c r="AY819" s="100">
        <f>VLOOKUP($D819,Research!$C:$S,(COLUMN(Research_QuestReward_Silver)-COLUMN(Research_Name_and_Level)+1),FALSE)</f>
        <v>13500</v>
      </c>
      <c r="CT819" s="127"/>
      <c r="CU819" s="127"/>
      <c r="CV819" s="127"/>
      <c r="CW819" s="127"/>
      <c r="CX819" s="127"/>
      <c r="CY819" s="127"/>
      <c r="CZ819" s="127"/>
      <c r="DA819" s="127"/>
      <c r="DB819" s="127"/>
      <c r="DC819" s="127"/>
      <c r="DD819" s="127"/>
    </row>
    <row r="820" spans="1:108" ht="15" customHeight="1">
      <c r="B820" s="102" t="s">
        <v>1455</v>
      </c>
      <c r="C820" s="127" t="s">
        <v>170</v>
      </c>
      <c r="D820" s="144" t="s">
        <v>1749</v>
      </c>
      <c r="E820" s="506">
        <v>21</v>
      </c>
      <c r="F820" s="12">
        <v>0.4</v>
      </c>
      <c r="G820" s="101">
        <f>VLOOKUP($D820,Research!$C:$M,(COLUMN(Research_QuestReward_HeroXP)-COLUMN(Research_Name_and_Level)+1),FALSE)</f>
        <v>40000</v>
      </c>
      <c r="H820" s="101">
        <f t="shared" si="276"/>
        <v>56000</v>
      </c>
      <c r="J820" s="103">
        <f>VLOOKUP($D820,Research!$C:$N,(COLUMN(Research_QuestReward_Power)-COLUMN(Research_Name_and_Level)+1),FALSE)</f>
        <v>30</v>
      </c>
      <c r="AF820" s="141"/>
      <c r="AG820" s="141"/>
      <c r="AH820" s="137"/>
      <c r="AI820" s="484"/>
      <c r="AJ820" s="137">
        <f t="shared" si="263"/>
        <v>0.20833333333333334</v>
      </c>
      <c r="AU820" s="101">
        <f>VLOOKUP($D820,Research!$C:$S,(COLUMN(Research_QuestReward_Stone)-COLUMN(Research_Name_and_Level)+1),FALSE)</f>
        <v>64000</v>
      </c>
      <c r="AV820" s="101">
        <f>VLOOKUP($D820,Research!$C:$S,(COLUMN(Research_QuestReward_Wood)-COLUMN(Research_Name_and_Level)+1),FALSE)</f>
        <v>64000</v>
      </c>
      <c r="AW820" s="101">
        <f>VLOOKUP($D820,Research!$C:$S,(COLUMN(Research_QuestReward_Ore)-COLUMN(Research_Name_and_Level)+1),FALSE)</f>
        <v>64000</v>
      </c>
      <c r="AX820" s="101">
        <f>VLOOKUP($D820,Research!$C:$S,(COLUMN(Research_QuestReward_Food)-COLUMN(Research_Name_and_Level)+1),FALSE)</f>
        <v>64000</v>
      </c>
      <c r="AY820" s="100">
        <f>VLOOKUP($D820,Research!$C:$S,(COLUMN(Research_QuestReward_Silver)-COLUMN(Research_Name_and_Level)+1),FALSE)</f>
        <v>32000</v>
      </c>
      <c r="CT820" s="127"/>
      <c r="CU820" s="127"/>
      <c r="CV820" s="127"/>
      <c r="CW820" s="127"/>
      <c r="CX820" s="127"/>
      <c r="CY820" s="127"/>
      <c r="CZ820" s="127"/>
      <c r="DA820" s="127"/>
      <c r="DB820" s="127"/>
      <c r="DC820" s="127"/>
      <c r="DD820" s="127"/>
    </row>
    <row r="821" spans="1:108" ht="15" customHeight="1">
      <c r="B821" s="126" t="s">
        <v>1457</v>
      </c>
      <c r="C821" s="127" t="s">
        <v>147</v>
      </c>
      <c r="D821" s="144" t="s">
        <v>1755</v>
      </c>
      <c r="E821" s="506">
        <v>22</v>
      </c>
      <c r="I821" s="5">
        <v>4</v>
      </c>
      <c r="J821" s="5">
        <v>1602</v>
      </c>
      <c r="Q821" s="149"/>
      <c r="AF821" s="141"/>
      <c r="AG821" s="141"/>
      <c r="AH821" s="137"/>
      <c r="AI821" s="484"/>
      <c r="AJ821" s="137">
        <f t="shared" si="263"/>
        <v>0.20833333333333334</v>
      </c>
      <c r="AX821" s="11"/>
    </row>
    <row r="822" spans="1:108" s="420" customFormat="1" ht="15" customHeight="1">
      <c r="A822" s="487"/>
      <c r="B822" s="411" t="s">
        <v>171</v>
      </c>
      <c r="C822" s="412"/>
      <c r="D822" s="412" t="s">
        <v>1756</v>
      </c>
      <c r="E822" s="411">
        <v>22</v>
      </c>
      <c r="F822" s="413">
        <v>0.4</v>
      </c>
      <c r="G822" s="414" t="s">
        <v>1453</v>
      </c>
      <c r="H822" s="414">
        <v>4626975</v>
      </c>
      <c r="I822" s="415">
        <v>56</v>
      </c>
      <c r="J822" s="415">
        <v>93688</v>
      </c>
      <c r="K822" s="414">
        <v>5</v>
      </c>
      <c r="L822" s="414">
        <v>2610</v>
      </c>
      <c r="M822" s="416">
        <v>4.1666666666666664E-2</v>
      </c>
      <c r="N822" s="417">
        <v>420</v>
      </c>
      <c r="O822" s="109">
        <f>SUMIF($B$4:$B821,"&lt;&gt;"&amp;$CS$13,O$4:O821)</f>
        <v>-300</v>
      </c>
      <c r="P822" s="108">
        <f>SUMIF($B$4:$B821,"&lt;&gt;"&amp;$CS$13,N$4:N821)</f>
        <v>720</v>
      </c>
      <c r="Q822" s="416">
        <v>3.472222222222222E-3</v>
      </c>
      <c r="R822" s="416">
        <v>8.3333333333333332E-3</v>
      </c>
      <c r="S822" s="414">
        <v>0</v>
      </c>
      <c r="T822" s="414">
        <v>0</v>
      </c>
      <c r="U822" s="414">
        <v>0</v>
      </c>
      <c r="V822" s="414">
        <v>0</v>
      </c>
      <c r="W822" s="417">
        <v>8</v>
      </c>
      <c r="X822" s="417">
        <v>0</v>
      </c>
      <c r="Y822" s="417">
        <v>1</v>
      </c>
      <c r="Z822" s="417">
        <v>0</v>
      </c>
      <c r="AA822" s="417">
        <v>0</v>
      </c>
      <c r="AB822" s="417">
        <v>0</v>
      </c>
      <c r="AC822" s="417">
        <v>0</v>
      </c>
      <c r="AD822" s="417">
        <v>0</v>
      </c>
      <c r="AE822" s="415">
        <v>0</v>
      </c>
      <c r="AF822" s="419">
        <f>SUMIF($B$4:$B821,"&lt;&gt;"&amp;$CS$13,AF$4:AF821)</f>
        <v>0.88958333333333339</v>
      </c>
      <c r="AG822" s="419">
        <f>SUMIF($B$4:$B821,"&lt;&gt;"&amp;$CS$13,AG$4:AG821)</f>
        <v>0</v>
      </c>
      <c r="AH822" s="416">
        <f>AF822+AG822</f>
        <v>0.88958333333333339</v>
      </c>
      <c r="AI822" s="485">
        <f>SUMIF($B$4:$B821,"&lt;&gt;"&amp;$CS$13,AI$4:AI821)</f>
        <v>0.68124999999999991</v>
      </c>
      <c r="AJ822" s="416">
        <f>S$3*S822+T$3*T822+U$3*U822+V$3*V822+W$3*W822+X$3*X822+Y$3*Y822+Z$3*Z822+AA$3*AA822+AB$3*AB822+AC$3*AC822</f>
        <v>0.20833333333333331</v>
      </c>
      <c r="AK822" s="418">
        <v>0.44500000000000001</v>
      </c>
      <c r="AL822" s="419" t="s">
        <v>1453</v>
      </c>
      <c r="AM822" s="419" t="s">
        <v>1453</v>
      </c>
      <c r="AN822" s="419" t="s">
        <v>1453</v>
      </c>
      <c r="AO822" s="416" t="s">
        <v>1453</v>
      </c>
      <c r="AP822" s="284">
        <v>0.48</v>
      </c>
      <c r="AQ822" s="419" t="s">
        <v>1453</v>
      </c>
      <c r="AR822" s="419" t="s">
        <v>1453</v>
      </c>
      <c r="AS822" s="419" t="s">
        <v>1453</v>
      </c>
      <c r="AT822" s="416" t="s">
        <v>1453</v>
      </c>
      <c r="AU822" s="414">
        <v>316000</v>
      </c>
      <c r="AV822" s="414">
        <v>342000</v>
      </c>
      <c r="AW822" s="414">
        <v>359600</v>
      </c>
      <c r="AX822" s="417">
        <v>457500</v>
      </c>
      <c r="AY822" s="415">
        <v>204400</v>
      </c>
      <c r="AZ822" s="414">
        <v>6867</v>
      </c>
      <c r="BA822" s="414">
        <v>8184</v>
      </c>
      <c r="BB822" s="414">
        <v>5660</v>
      </c>
      <c r="BC822" s="414">
        <v>11664</v>
      </c>
      <c r="BD822" s="415">
        <v>4246</v>
      </c>
      <c r="BE822" s="415">
        <v>-4504</v>
      </c>
      <c r="BF822" s="414">
        <v>355000</v>
      </c>
      <c r="BG822" s="414">
        <v>507000</v>
      </c>
      <c r="BH822" s="414">
        <v>360000</v>
      </c>
      <c r="BI822" s="414">
        <v>457500</v>
      </c>
      <c r="BJ822" s="415">
        <v>275000</v>
      </c>
      <c r="BK822" s="414">
        <v>8</v>
      </c>
      <c r="BL822" s="415">
        <v>8</v>
      </c>
      <c r="BM822" s="415">
        <v>8</v>
      </c>
      <c r="BN822" s="414">
        <v>8</v>
      </c>
      <c r="BO822" s="415">
        <v>7</v>
      </c>
      <c r="BP822" s="414">
        <v>8</v>
      </c>
      <c r="BQ822" s="415">
        <v>6</v>
      </c>
      <c r="BR822" s="414">
        <v>8</v>
      </c>
      <c r="BS822" s="415">
        <v>6</v>
      </c>
      <c r="BT822" s="414">
        <v>8</v>
      </c>
      <c r="BU822" s="415">
        <v>6</v>
      </c>
      <c r="BV822" s="414">
        <v>8</v>
      </c>
      <c r="BW822" s="415">
        <v>6</v>
      </c>
      <c r="BX822" s="414">
        <v>7</v>
      </c>
      <c r="BY822" s="415">
        <v>4</v>
      </c>
      <c r="BZ822" s="414">
        <v>6</v>
      </c>
      <c r="CA822" s="415">
        <v>4</v>
      </c>
      <c r="CB822" s="415">
        <v>6</v>
      </c>
      <c r="CC822" s="415">
        <v>8</v>
      </c>
      <c r="CD822" s="415">
        <v>8</v>
      </c>
      <c r="CE822" s="414">
        <v>8</v>
      </c>
      <c r="CF822" s="414">
        <v>3</v>
      </c>
      <c r="CG822" s="415">
        <v>1</v>
      </c>
      <c r="CH822" s="414">
        <v>8</v>
      </c>
      <c r="CI822" s="414">
        <v>0</v>
      </c>
      <c r="CJ822" s="415">
        <v>0</v>
      </c>
      <c r="CK822" s="415">
        <v>0</v>
      </c>
      <c r="CL822" s="414">
        <v>91800</v>
      </c>
      <c r="CM822" s="415" t="s">
        <v>1453</v>
      </c>
      <c r="CN822" s="415" t="s">
        <v>1208</v>
      </c>
      <c r="CS822" s="421"/>
    </row>
    <row r="823" spans="1:108" ht="15" customHeight="1">
      <c r="B823" s="506" t="s">
        <v>195</v>
      </c>
      <c r="C823" s="127" t="s">
        <v>1750</v>
      </c>
      <c r="D823" s="144" t="s">
        <v>1757</v>
      </c>
      <c r="E823" s="506">
        <v>22</v>
      </c>
      <c r="T823" s="211">
        <v>1</v>
      </c>
      <c r="AF823" s="141">
        <f>$S$3*$S823+$T$3*$T823+$U$3*$U823+$V$3*$V823+$W$3*$W823+$X$3*$X823+$Y$3*$Y823+$Z$3*$Z823+$AA$3*$AA823+$AB$3*$AB823+$AC$3*$AC823</f>
        <v>2.0833333333333333E-3</v>
      </c>
      <c r="AJ823" s="137">
        <f>AJ822+(S$3*S823+T$3*T823+U$3*U823+V$3*V823+W$3*W823+X$3*X823+Y$3*Y823+Z$3*Z823+AA$3*AA823+AB$3*AB823+AC$3*AC823)</f>
        <v>0.21041666666666664</v>
      </c>
    </row>
    <row r="824" spans="1:108" ht="15" customHeight="1">
      <c r="B824" s="506" t="s">
        <v>144</v>
      </c>
      <c r="C824" s="127" t="s">
        <v>138</v>
      </c>
      <c r="D824" s="144" t="s">
        <v>1721</v>
      </c>
      <c r="E824" s="506">
        <v>22</v>
      </c>
      <c r="F824" s="12">
        <v>0.4</v>
      </c>
      <c r="G824" s="94">
        <f>VLOOKUP($D824,Construction!$B:$E,(COLUMN(Construction_BuildingReward_HeroXP)-COLUMN(Construction_Name_and_Level)+1),FALSE)</f>
        <v>500</v>
      </c>
      <c r="H824" s="94">
        <f>G824*(1+F824)</f>
        <v>700</v>
      </c>
      <c r="J824" s="95">
        <f>VLOOKUP($D824,Construction!$B:$F,(COLUMN(Construction_BuildingReward_Power)-COLUMN(Construction_Name_and_Level)+1),FALSE)</f>
        <v>125</v>
      </c>
      <c r="Q824" s="139">
        <v>3.472222222222222E-3</v>
      </c>
      <c r="R824" s="289">
        <v>8.3333333333333332E-3</v>
      </c>
      <c r="T824" s="2">
        <v>-1</v>
      </c>
      <c r="AF824" s="141"/>
      <c r="AG824" s="141"/>
      <c r="AH824" s="137"/>
      <c r="AI824" s="484">
        <f>(-1)*($S$3*$S824+$T$3*$T824+$U$3*$U824+$V$3*$V824+$W$3*$W824+$X$3*$X824+$Y$3*$Y824+$Z$3*$Z824+$AA$3*$AA824+$AB$3*$AB824+$AC$3*$AC824)</f>
        <v>2.0833333333333333E-3</v>
      </c>
      <c r="AJ824" s="137">
        <f>AJ823+(S$3*S824+T$3*T824+U$3*U824+V$3*V824+W$3*W824+X$3*X824+Y$3*Y824+Z$3*Z824+AA$3*AA824+AB$3*AB824+AC$3*AC824)</f>
        <v>0.20833333333333331</v>
      </c>
      <c r="AK824" s="339">
        <v>0.44500000000000001</v>
      </c>
      <c r="AL824" s="138">
        <f>VLOOKUP($D824,Construction!$B:$C,(COLUMN(Construction_Time)-COLUMN(Construction_Name_and_Level)+1),FALSE)</f>
        <v>8.8888888888888892E-2</v>
      </c>
      <c r="AM824" s="138">
        <f t="shared" ref="AM824" si="277">AL824/(1+AK824)</f>
        <v>6.1514801999231067E-2</v>
      </c>
      <c r="AN824" s="138">
        <f>(S$3*S824+T$3*T824+V$3*V824+W$3*W824+X$3*X824+Y$3*Y824+Z$3*Z824+AA$3*AA824+AB$3*AB824+AC$3*AC824)*(-1)</f>
        <v>2.0833333333333333E-3</v>
      </c>
      <c r="AO824" s="139">
        <f>IF((AM824-Q824-R824-AN824)&gt;=0,AM824-Q824-R824-AN824,0)</f>
        <v>4.7625913110342179E-2</v>
      </c>
      <c r="AU824" s="94">
        <f>VLOOKUP($D824,Construction!$B:$J,(COLUMN(Construction_BuildingCost_Stone)-COLUMN(Construction_Name_and_Level)+1),FALSE)*(-1)</f>
        <v>-6696</v>
      </c>
      <c r="AV824" s="94">
        <f>VLOOKUP($D824,Construction!$B:$J,(COLUMN(Construction_BuildingCost_Wood)-COLUMN(Construction_Name_and_Level)+1),FALSE)*(-1)</f>
        <v>0</v>
      </c>
      <c r="AW824" s="94">
        <f>VLOOKUP($D824,Construction!$B:$J,(COLUMN(Construction_BuildingCost_Ore)-COLUMN(Construction_Name_and_Level)+1),FALSE)*(-1)</f>
        <v>-6696</v>
      </c>
      <c r="AX824" s="94">
        <f>VLOOKUP($D824,Construction!$B:$J,(COLUMN(Construction_BuildingCost_Food)-COLUMN(Construction_Name_and_Level)+1),FALSE)*(-1)</f>
        <v>-6696</v>
      </c>
    </row>
    <row r="825" spans="1:108" ht="15" customHeight="1">
      <c r="B825" s="506" t="s">
        <v>146</v>
      </c>
      <c r="C825" s="127" t="s">
        <v>138</v>
      </c>
      <c r="D825" s="144" t="s">
        <v>1758</v>
      </c>
      <c r="E825" s="506">
        <v>22</v>
      </c>
      <c r="F825" s="12">
        <v>0.4</v>
      </c>
      <c r="G825" s="111">
        <f>VLOOKUP($D825,Research!$C:$F,(COLUMN(Research_ResearchReward_HeroXP)-COLUMN(Research_Name_and_Level)+1),FALSE)</f>
        <v>150000</v>
      </c>
      <c r="H825" s="111">
        <f t="shared" ref="H825:H826" si="278">G825*(1+F825)</f>
        <v>210000</v>
      </c>
      <c r="J825" s="115">
        <f>VLOOKUP($D825,Research!$C:$G,(COLUMN(Research_ResearchReward_Power)-COLUMN(Research_Name_and_Level)+1),FALSE)</f>
        <v>4000</v>
      </c>
      <c r="R825" s="148">
        <v>8.3333333333333332E-3</v>
      </c>
      <c r="AF825" s="141"/>
      <c r="AG825" s="141"/>
      <c r="AH825" s="137"/>
      <c r="AI825" s="484"/>
      <c r="AJ825" s="137">
        <f t="shared" ref="AJ825:AJ859" si="279">AJ824+(S$3*S825+T$3*T825+U$3*U825+V$3*V825+W$3*W825+X$3*X825+Y$3*Y825+Z$3*Z825+AA$3*AA825+AB$3*AB825+AC$3*AC825)</f>
        <v>0.20833333333333331</v>
      </c>
      <c r="AK825" s="342">
        <v>0.47499999999999998</v>
      </c>
      <c r="AP825" s="256">
        <v>0.48</v>
      </c>
      <c r="AQ825" s="147">
        <f>VLOOKUP($D825,Research!$C:$D,(COLUMN(Research_Time)-COLUMN(Research_Name_and_Level)+1),FALSE)</f>
        <v>0.5</v>
      </c>
      <c r="AR825" s="147">
        <f>AQ825/(1+AP825)</f>
        <v>0.33783783783783783</v>
      </c>
      <c r="AS825" s="147">
        <f>(S$3*S825+T$3*T825+V$3*V825+W$3*W825+X$3*X825+Y$3*Y825+Z$3*Z825+AA$3*AA825+AB$3*AB825+AC$3*AC825)*(-1)</f>
        <v>0</v>
      </c>
      <c r="AT825" s="148">
        <f>IF(AR825-R825-AS825&gt;=0,AR825-R825-AS825,0)</f>
        <v>0.32950450450450447</v>
      </c>
      <c r="AU825" s="111">
        <f>VLOOKUP($D825,Research!$C:$L,(COLUMN(Research_ResearchCost_Stone)-COLUMN(Research_Name_and_Level)+1),FALSE)*(-1)</f>
        <v>-80000</v>
      </c>
      <c r="AV825" s="111">
        <f>VLOOKUP($D825,Research!$C:$L,(COLUMN(Research_ResearchCost_Wood)-COLUMN(Research_Name_and_Level)+1),FALSE)*(-1)</f>
        <v>-80000</v>
      </c>
      <c r="AW825" s="111">
        <f>VLOOKUP($D825,Research!$C:$L,(COLUMN(Research_ResearchCost_Ore)-COLUMN(Research_Name_and_Level)+1),FALSE)*(-1)</f>
        <v>-80000</v>
      </c>
      <c r="AX825" s="111">
        <f>VLOOKUP($D825,Research!$C:$L,(COLUMN(Research_ResearchCost_Food)-COLUMN(Research_Name_and_Level)+1),FALSE)*(-1)</f>
        <v>-80000</v>
      </c>
      <c r="AY825" s="112">
        <f>VLOOKUP($D825,Research!$C:$L,(COLUMN(Research_ResearchCost_Silver)-COLUMN(Research_Name_and_Level)+1),FALSE)*(-1)</f>
        <v>-80000</v>
      </c>
    </row>
    <row r="826" spans="1:108" ht="15" customHeight="1">
      <c r="B826" s="102" t="s">
        <v>1455</v>
      </c>
      <c r="C826" s="127" t="s">
        <v>170</v>
      </c>
      <c r="D826" s="144" t="s">
        <v>1758</v>
      </c>
      <c r="E826" s="506">
        <v>22</v>
      </c>
      <c r="F826" s="12">
        <v>0.4</v>
      </c>
      <c r="G826" s="101">
        <f>VLOOKUP($D826,Research!$C:$M,(COLUMN(Research_QuestReward_HeroXP)-COLUMN(Research_Name_and_Level)+1),FALSE)</f>
        <v>48000</v>
      </c>
      <c r="H826" s="101">
        <f t="shared" si="278"/>
        <v>67200</v>
      </c>
      <c r="J826" s="103">
        <f>VLOOKUP($D826,Research!$C:$N,(COLUMN(Research_QuestReward_Power)-COLUMN(Research_Name_and_Level)+1),FALSE)</f>
        <v>110</v>
      </c>
      <c r="AF826" s="141"/>
      <c r="AG826" s="141"/>
      <c r="AH826" s="137"/>
      <c r="AI826" s="484"/>
      <c r="AJ826" s="137">
        <f t="shared" si="279"/>
        <v>0.20833333333333331</v>
      </c>
      <c r="AU826" s="101">
        <f>VLOOKUP($D826,Research!$C:$S,(COLUMN(Research_QuestReward_Stone)-COLUMN(Research_Name_and_Level)+1),FALSE)</f>
        <v>160000</v>
      </c>
      <c r="AV826" s="101">
        <f>VLOOKUP($D826,Research!$C:$S,(COLUMN(Research_QuestReward_Wood)-COLUMN(Research_Name_and_Level)+1),FALSE)</f>
        <v>160000</v>
      </c>
      <c r="AW826" s="101">
        <f>VLOOKUP($D826,Research!$C:$S,(COLUMN(Research_QuestReward_Ore)-COLUMN(Research_Name_and_Level)+1),FALSE)</f>
        <v>160000</v>
      </c>
      <c r="AX826" s="101">
        <f>VLOOKUP($D826,Research!$C:$S,(COLUMN(Research_QuestReward_Food)-COLUMN(Research_Name_and_Level)+1),FALSE)</f>
        <v>160000</v>
      </c>
      <c r="AY826" s="100">
        <f>VLOOKUP($D826,Research!$C:$S,(COLUMN(Research_QuestReward_Silver)-COLUMN(Research_Name_and_Level)+1),FALSE)</f>
        <v>80000</v>
      </c>
      <c r="CT826" s="127"/>
      <c r="CU826" s="127"/>
      <c r="CV826" s="127"/>
      <c r="CW826" s="127"/>
      <c r="CX826" s="127"/>
      <c r="CY826" s="127"/>
      <c r="CZ826" s="127"/>
      <c r="DA826" s="127"/>
      <c r="DB826" s="127"/>
      <c r="DC826" s="127"/>
      <c r="DD826" s="127"/>
    </row>
    <row r="827" spans="1:108" ht="15" customHeight="1">
      <c r="B827" s="506" t="s">
        <v>144</v>
      </c>
      <c r="C827" s="127" t="s">
        <v>138</v>
      </c>
      <c r="D827" s="144" t="s">
        <v>1699</v>
      </c>
      <c r="E827" s="506">
        <v>22</v>
      </c>
      <c r="F827" s="12">
        <v>0.4</v>
      </c>
      <c r="G827" s="94">
        <f>VLOOKUP($D827,Construction!$B:$E,(COLUMN(Construction_BuildingReward_HeroXP)-COLUMN(Construction_Name_and_Level)+1),FALSE)</f>
        <v>500</v>
      </c>
      <c r="H827" s="94">
        <f>G827*(1+F827)</f>
        <v>700</v>
      </c>
      <c r="J827" s="95">
        <f>VLOOKUP($D827,Construction!$B:$F,(COLUMN(Construction_BuildingReward_Power)-COLUMN(Construction_Name_and_Level)+1),FALSE)</f>
        <v>215</v>
      </c>
      <c r="Q827" s="139">
        <v>3.472222222222222E-3</v>
      </c>
      <c r="R827" s="289">
        <v>8.3333333333333332E-3</v>
      </c>
      <c r="AF827" s="141"/>
      <c r="AG827" s="141"/>
      <c r="AH827" s="137"/>
      <c r="AI827" s="484"/>
      <c r="AJ827" s="137">
        <f t="shared" si="279"/>
        <v>0.20833333333333331</v>
      </c>
      <c r="AK827" s="339">
        <v>0.47499999999999998</v>
      </c>
      <c r="AL827" s="138">
        <f>VLOOKUP($D827,Construction!$B:$C,(COLUMN(Construction_Time)-COLUMN(Construction_Name_and_Level)+1),FALSE)</f>
        <v>3.7037037037037042E-2</v>
      </c>
      <c r="AM827" s="138">
        <f t="shared" ref="AM827" si="280">AL827/(1+AK827)</f>
        <v>2.5109855618330196E-2</v>
      </c>
      <c r="AN827" s="138">
        <f>(S$3*S827+T$3*T827+V$3*V827+W$3*W827+X$3*X827+Y$3*Y827+Z$3*Z827+AA$3*AA827+AB$3*AB827+AC$3*AC827)*(-1)</f>
        <v>0</v>
      </c>
      <c r="AO827" s="139">
        <f>IF((AM827-Q827-R827-AN827)&gt;=0,AM827-Q827-R827-AN827,0)</f>
        <v>1.3304300062774643E-2</v>
      </c>
      <c r="AU827" s="94">
        <f>VLOOKUP($D827,Construction!$B:$J,(COLUMN(Construction_BuildingCost_Stone)-COLUMN(Construction_Name_and_Level)+1),FALSE)*(-1)</f>
        <v>-6688</v>
      </c>
      <c r="AV827" s="94">
        <f>VLOOKUP($D827,Construction!$B:$J,(COLUMN(Construction_BuildingCost_Wood)-COLUMN(Construction_Name_and_Level)+1),FALSE)*(-1)</f>
        <v>-6688</v>
      </c>
      <c r="AW827" s="94">
        <f>VLOOKUP($D827,Construction!$B:$J,(COLUMN(Construction_BuildingCost_Ore)-COLUMN(Construction_Name_and_Level)+1),FALSE)*(-1)</f>
        <v>-1680</v>
      </c>
      <c r="AX827" s="94">
        <f>VLOOKUP($D827,Construction!$B:$J,(COLUMN(Construction_BuildingCost_Food)-COLUMN(Construction_Name_and_Level)+1),FALSE)*(-1)</f>
        <v>-16708</v>
      </c>
    </row>
    <row r="828" spans="1:108" ht="15" customHeight="1">
      <c r="B828" s="113" t="s">
        <v>1483</v>
      </c>
      <c r="C828" s="127" t="s">
        <v>155</v>
      </c>
      <c r="D828" s="127">
        <v>890</v>
      </c>
      <c r="E828" s="506">
        <v>22</v>
      </c>
      <c r="G828" s="7"/>
      <c r="H828" s="7"/>
      <c r="J828" s="114">
        <f>VLOOKUP($C828,Troop!$B:$AK,(COLUMN(Troop_TrainingReward_Power)-COLUMN(Troop_Name)+1),FALSE)*$D828</f>
        <v>1780</v>
      </c>
      <c r="AF828" s="141"/>
      <c r="AG828" s="141"/>
      <c r="AH828" s="137"/>
      <c r="AI828" s="484"/>
      <c r="AJ828" s="137">
        <f t="shared" si="279"/>
        <v>0.20833333333333331</v>
      </c>
      <c r="AU828" s="296">
        <f>VLOOKUP($C828,Troop!$B:$P,(COLUMN(Troop_TrainingCost_Stone)-COLUMN(Troop_Name)+1),FALSE)*$D828*(-1)</f>
        <v>-44500</v>
      </c>
      <c r="AV828" s="296">
        <f>VLOOKUP($C828,Troop!$B:$P,(COLUMN(Troop_TrainingCost_Wood)-COLUMN(Troop_Name)+1),FALSE)*$D828*(-1)</f>
        <v>-44500</v>
      </c>
      <c r="AW828" s="296">
        <f>VLOOKUP($C828,Troop!$B:$P,(COLUMN(Troop_TrainingCost_Ore)-COLUMN(Troop_Name)+1),FALSE)*$D828*(-1)</f>
        <v>0</v>
      </c>
      <c r="AX828" s="296">
        <f>VLOOKUP($C828,Troop!$B:$P,(COLUMN(Troop_TrainingCost_Food)-COLUMN(Troop_Name)+1),FALSE)*$D828*(-1)</f>
        <v>-44500</v>
      </c>
      <c r="AY828" s="114">
        <f>VLOOKUP($C828,Troop!$B:$P,(COLUMN(Troop_TrainingCost_Silver)-COLUMN(Troop_Name)+1),FALSE)*$D828*(-1)</f>
        <v>0</v>
      </c>
      <c r="CT828" s="128"/>
      <c r="CU828" s="128"/>
      <c r="CV828" s="128"/>
      <c r="CW828" s="128"/>
      <c r="CX828" s="128"/>
      <c r="CY828" s="128"/>
      <c r="CZ828" s="128"/>
      <c r="DA828" s="128"/>
      <c r="DB828" s="128"/>
      <c r="DC828" s="128"/>
      <c r="DD828" s="128"/>
    </row>
    <row r="829" spans="1:108" ht="15" customHeight="1">
      <c r="B829" s="506" t="s">
        <v>144</v>
      </c>
      <c r="C829" s="127" t="s">
        <v>138</v>
      </c>
      <c r="D829" s="144" t="s">
        <v>1658</v>
      </c>
      <c r="E829" s="506">
        <v>22</v>
      </c>
      <c r="F829" s="12">
        <v>0.4</v>
      </c>
      <c r="G829" s="94">
        <f>VLOOKUP($D829,Construction!$B:$E,(COLUMN(Construction_BuildingReward_HeroXP)-COLUMN(Construction_Name_and_Level)+1),FALSE)</f>
        <v>500</v>
      </c>
      <c r="H829" s="94">
        <f>G829*(1+F829)</f>
        <v>700</v>
      </c>
      <c r="J829" s="95">
        <f>VLOOKUP($D829,Construction!$B:$F,(COLUMN(Construction_BuildingReward_Power)-COLUMN(Construction_Name_and_Level)+1),FALSE)</f>
        <v>85</v>
      </c>
      <c r="Q829" s="139">
        <v>3.472222222222222E-3</v>
      </c>
      <c r="R829" s="289">
        <v>8.3333333333333332E-3</v>
      </c>
      <c r="AF829" s="141"/>
      <c r="AG829" s="141"/>
      <c r="AH829" s="137"/>
      <c r="AI829" s="484"/>
      <c r="AJ829" s="137">
        <f t="shared" si="279"/>
        <v>0.20833333333333331</v>
      </c>
      <c r="AK829" s="339">
        <v>0.47499999999999998</v>
      </c>
      <c r="AL829" s="138">
        <f>VLOOKUP($D829,Construction!$B:$C,(COLUMN(Construction_Time)-COLUMN(Construction_Name_and_Level)+1),FALSE)</f>
        <v>5.9259259259259262E-2</v>
      </c>
      <c r="AM829" s="138">
        <f t="shared" ref="AM829" si="281">AL829/(1+AK829)</f>
        <v>4.0175768989328307E-2</v>
      </c>
      <c r="AN829" s="138">
        <f>(S$3*S829+T$3*T829+V$3*V829+W$3*W829+X$3*X829+Y$3*Y829+Z$3*Z829+AA$3*AA829+AB$3*AB829+AC$3*AC829)*(-1)</f>
        <v>0</v>
      </c>
      <c r="AO829" s="139">
        <f>IF((AM829-Q829-R829-AN829)&gt;=0,AM829-Q829-R829-AN829,0)</f>
        <v>2.8370213433772752E-2</v>
      </c>
      <c r="AU829" s="94">
        <f>VLOOKUP($D829,Construction!$B:$J,(COLUMN(Construction_BuildingCost_Stone)-COLUMN(Construction_Name_and_Level)+1),FALSE)*(-1)</f>
        <v>-3348</v>
      </c>
      <c r="AV829" s="94">
        <f>VLOOKUP($D829,Construction!$B:$J,(COLUMN(Construction_BuildingCost_Wood)-COLUMN(Construction_Name_and_Level)+1),FALSE)*(-1)</f>
        <v>-3348</v>
      </c>
      <c r="AW829" s="94">
        <f>VLOOKUP($D829,Construction!$B:$J,(COLUMN(Construction_BuildingCost_Ore)-COLUMN(Construction_Name_and_Level)+1),FALSE)*(-1)</f>
        <v>0</v>
      </c>
      <c r="AX829" s="94">
        <f>VLOOKUP($D829,Construction!$B:$J,(COLUMN(Construction_BuildingCost_Food)-COLUMN(Construction_Name_and_Level)+1),FALSE)*(-1)</f>
        <v>-3348</v>
      </c>
    </row>
    <row r="830" spans="1:108" ht="15" customHeight="1">
      <c r="B830" s="506" t="s">
        <v>195</v>
      </c>
      <c r="C830" s="127" t="s">
        <v>1750</v>
      </c>
      <c r="D830" s="144" t="s">
        <v>1757</v>
      </c>
      <c r="E830" s="506">
        <v>22</v>
      </c>
      <c r="T830" s="211">
        <v>1</v>
      </c>
      <c r="AF830" s="141">
        <f>$S$3*$S830+$T$3*$T830+$U$3*$U830+$V$3*$V830+$W$3*$W830+$X$3*$X830+$Y$3*$Y830+$Z$3*$Z830+$AA$3*$AA830+$AB$3*$AB830+$AC$3*$AC830</f>
        <v>2.0833333333333333E-3</v>
      </c>
      <c r="AJ830" s="137">
        <f t="shared" si="279"/>
        <v>0.21041666666666664</v>
      </c>
    </row>
    <row r="831" spans="1:108" ht="15" customHeight="1">
      <c r="B831" s="506" t="s">
        <v>195</v>
      </c>
      <c r="C831" s="127" t="s">
        <v>1750</v>
      </c>
      <c r="D831" s="144" t="s">
        <v>1757</v>
      </c>
      <c r="E831" s="506">
        <v>22</v>
      </c>
      <c r="T831" s="211">
        <v>1</v>
      </c>
      <c r="AF831" s="141">
        <f>$S$3*$S831+$T$3*$T831+$U$3*$U831+$V$3*$V831+$W$3*$W831+$X$3*$X831+$Y$3*$Y831+$Z$3*$Z831+$AA$3*$AA831+$AB$3*$AB831+$AC$3*$AC831</f>
        <v>2.0833333333333333E-3</v>
      </c>
      <c r="AJ831" s="137">
        <f t="shared" si="279"/>
        <v>0.21249999999999997</v>
      </c>
    </row>
    <row r="832" spans="1:108" ht="15" customHeight="1">
      <c r="B832" s="506" t="s">
        <v>144</v>
      </c>
      <c r="C832" s="127" t="s">
        <v>138</v>
      </c>
      <c r="D832" s="144" t="s">
        <v>1714</v>
      </c>
      <c r="E832" s="506">
        <v>22</v>
      </c>
      <c r="F832" s="12">
        <v>0.4</v>
      </c>
      <c r="G832" s="94">
        <f>VLOOKUP($D832,Construction!$B:$E,(COLUMN(Construction_BuildingReward_HeroXP)-COLUMN(Construction_Name_and_Level)+1),FALSE)</f>
        <v>500</v>
      </c>
      <c r="H832" s="94">
        <f>G832*(1+F832)</f>
        <v>700</v>
      </c>
      <c r="J832" s="95">
        <f>VLOOKUP($D832,Construction!$B:$F,(COLUMN(Construction_BuildingReward_Power)-COLUMN(Construction_Name_and_Level)+1),FALSE)</f>
        <v>85</v>
      </c>
      <c r="Q832" s="139">
        <v>3.472222222222222E-3</v>
      </c>
      <c r="R832" s="289">
        <v>8.3333333333333332E-3</v>
      </c>
      <c r="T832" s="2">
        <v>-2</v>
      </c>
      <c r="AF832" s="141"/>
      <c r="AG832" s="141"/>
      <c r="AH832" s="137"/>
      <c r="AI832" s="484">
        <f>(-1)*($S$3*$S832+$T$3*$T832+$U$3*$U832+$V$3*$V832+$W$3*$W832+$X$3*$X832+$Y$3*$Y832+$Z$3*$Z832+$AA$3*$AA832+$AB$3*$AB832+$AC$3*$AC832)</f>
        <v>4.1666666666666666E-3</v>
      </c>
      <c r="AJ832" s="137">
        <f t="shared" si="279"/>
        <v>0.20833333333333329</v>
      </c>
      <c r="AK832" s="339">
        <v>0.47499999999999998</v>
      </c>
      <c r="AL832" s="138">
        <f>VLOOKUP($D832,Construction!$B:$C,(COLUMN(Construction_Time)-COLUMN(Construction_Name_and_Level)+1),FALSE)</f>
        <v>5.185185185185185E-2</v>
      </c>
      <c r="AM832" s="138">
        <f t="shared" ref="AM832:AM833" si="282">AL832/(1+AK832)</f>
        <v>3.5153797865662272E-2</v>
      </c>
      <c r="AN832" s="138">
        <f>(S$3*S832+T$3*T832+V$3*V832+W$3*W832+X$3*X832+Y$3*Y832+Z$3*Z832+AA$3*AA832+AB$3*AB832+AC$3*AC832)*(-1)</f>
        <v>4.1666666666666666E-3</v>
      </c>
      <c r="AO832" s="139">
        <f>IF((AM832-Q832-R832-AN832)&gt;=0,AM832-Q832-R832-AN832,0)</f>
        <v>1.9181575643440051E-2</v>
      </c>
      <c r="AU832" s="94">
        <f>VLOOKUP($D832,Construction!$B:$J,(COLUMN(Construction_BuildingCost_Stone)-COLUMN(Construction_Name_and_Level)+1),FALSE)*(-1)</f>
        <v>0</v>
      </c>
      <c r="AV832" s="94">
        <f>VLOOKUP($D832,Construction!$B:$J,(COLUMN(Construction_BuildingCost_Wood)-COLUMN(Construction_Name_and_Level)+1),FALSE)*(-1)</f>
        <v>-3348</v>
      </c>
      <c r="AW832" s="94">
        <f>VLOOKUP($D832,Construction!$B:$J,(COLUMN(Construction_BuildingCost_Ore)-COLUMN(Construction_Name_and_Level)+1),FALSE)*(-1)</f>
        <v>-3348</v>
      </c>
      <c r="AX832" s="94">
        <f>VLOOKUP($D832,Construction!$B:$J,(COLUMN(Construction_BuildingCost_Food)-COLUMN(Construction_Name_and_Level)+1),FALSE)*(-1)</f>
        <v>-3348</v>
      </c>
    </row>
    <row r="833" spans="2:108" ht="15" customHeight="1">
      <c r="B833" s="506" t="s">
        <v>144</v>
      </c>
      <c r="C833" s="127" t="s">
        <v>138</v>
      </c>
      <c r="D833" s="144" t="s">
        <v>1759</v>
      </c>
      <c r="E833" s="506">
        <v>22</v>
      </c>
      <c r="F833" s="12">
        <v>0.4</v>
      </c>
      <c r="G833" s="94">
        <f>VLOOKUP($D833,Construction!$B:$E,(COLUMN(Construction_BuildingReward_HeroXP)-COLUMN(Construction_Name_and_Level)+1),FALSE)</f>
        <v>10000</v>
      </c>
      <c r="H833" s="94">
        <f>G833*(1+F833)</f>
        <v>14000</v>
      </c>
      <c r="J833" s="95">
        <f>VLOOKUP($D833,Construction!$B:$F,(COLUMN(Construction_BuildingReward_Power)-COLUMN(Construction_Name_and_Level)+1),FALSE)</f>
        <v>1900</v>
      </c>
      <c r="Q833" s="139">
        <v>3.472222222222222E-3</v>
      </c>
      <c r="R833" s="159">
        <v>9.0277777777777787E-3</v>
      </c>
      <c r="AF833" s="141"/>
      <c r="AG833" s="141"/>
      <c r="AH833" s="137"/>
      <c r="AI833" s="484"/>
      <c r="AJ833" s="137">
        <f>AJ832+(S$3*S833+T$3*T833+U$3*U833+V$3*V833+W$3*W833+X$3*X833+Y$3*Y833+Z$3*Z833+AA$3*AA833+AB$3*AB833+AC$3*AC833)</f>
        <v>0.20833333333333329</v>
      </c>
      <c r="AK833" s="339">
        <v>0.47499999999999998</v>
      </c>
      <c r="AL833" s="138">
        <f>VLOOKUP($D833,Construction!$B:$C,(COLUMN(Construction_Time)-COLUMN(Construction_Name_and_Level)+1),FALSE)</f>
        <v>0.88888888888888884</v>
      </c>
      <c r="AM833" s="138">
        <f t="shared" si="282"/>
        <v>0.60263653483992463</v>
      </c>
      <c r="AN833" s="138">
        <f>(S$3*S833+T$3*T833+V$3*V833+W$3*W833+X$3*X833+Y$3*Y833+Z$3*Z833+AA$3*AA833+AB$3*AB833+AC$3*AC833)*(-1)</f>
        <v>0</v>
      </c>
      <c r="AO833" s="139">
        <f>IF((AM833-Q833-R833-AN833)&gt;=0,AM833-Q833-R833-AN833,0)</f>
        <v>0.59013653483992468</v>
      </c>
      <c r="AU833" s="94">
        <f>VLOOKUP($D833,Construction!$B:$J,(COLUMN(Construction_BuildingCost_Stone)-COLUMN(Construction_Name_and_Level)+1),FALSE)*(-1)</f>
        <v>-167968</v>
      </c>
      <c r="AV833" s="94">
        <f>VLOOKUP($D833,Construction!$B:$J,(COLUMN(Construction_BuildingCost_Wood)-COLUMN(Construction_Name_and_Level)+1),FALSE)*(-1)</f>
        <v>-167968</v>
      </c>
      <c r="AW833" s="94">
        <f>VLOOKUP($D833,Construction!$B:$J,(COLUMN(Construction_BuildingCost_Ore)-COLUMN(Construction_Name_and_Level)+1),FALSE)*(-1)</f>
        <v>-67200</v>
      </c>
      <c r="AX833" s="94">
        <f>VLOOKUP($D833,Construction!$B:$J,(COLUMN(Construction_BuildingCost_Food)-COLUMN(Construction_Name_and_Level)+1),FALSE)*(-1)</f>
        <v>-83984</v>
      </c>
    </row>
    <row r="834" spans="2:108" ht="15" customHeight="1">
      <c r="B834" s="506" t="s">
        <v>1457</v>
      </c>
      <c r="C834" s="127" t="s">
        <v>172</v>
      </c>
      <c r="D834" s="145" t="s">
        <v>1760</v>
      </c>
      <c r="E834" s="506">
        <v>22</v>
      </c>
      <c r="H834" s="7"/>
      <c r="J834" s="19"/>
      <c r="W834" s="11">
        <v>1</v>
      </c>
      <c r="X834" s="11">
        <v>1</v>
      </c>
      <c r="AF834" s="141">
        <f>$S$3*$S834+$T$3*$T834+$U$3*$U834+$V$3*$V834+$W$3*$W834+$X$3*$X834+$Y$3*$Y834+$Z$3*$Z834+$AA$3*$AA834+$AB$3*$AB834+$AC$3*$AC834</f>
        <v>5.2083333333333329E-2</v>
      </c>
      <c r="AG834" s="141"/>
      <c r="AH834" s="137"/>
      <c r="AI834" s="484"/>
      <c r="AJ834" s="137">
        <f t="shared" si="279"/>
        <v>0.26041666666666663</v>
      </c>
      <c r="AU834" s="2">
        <v>13200</v>
      </c>
      <c r="AV834" s="2">
        <v>13200</v>
      </c>
      <c r="AW834" s="2">
        <v>13200</v>
      </c>
      <c r="AX834" s="2">
        <v>14800</v>
      </c>
      <c r="AY834" s="5">
        <v>13400</v>
      </c>
      <c r="CZ834" s="127"/>
      <c r="DA834" s="127"/>
      <c r="DB834" s="127"/>
      <c r="DC834" s="127"/>
      <c r="DD834" s="127"/>
    </row>
    <row r="835" spans="2:108" ht="15" customHeight="1">
      <c r="B835" s="506" t="s">
        <v>145</v>
      </c>
      <c r="C835" s="127" t="s">
        <v>152</v>
      </c>
      <c r="D835" s="145" t="s">
        <v>1761</v>
      </c>
      <c r="E835" s="506">
        <v>22</v>
      </c>
      <c r="J835" s="19"/>
      <c r="W835" s="11">
        <v>1</v>
      </c>
      <c r="X835" s="11">
        <v>1</v>
      </c>
      <c r="AF835" s="141">
        <f>$S$3*$S835+$T$3*$T835+$U$3*$U835+$V$3*$V835+$W$3*$W835+$X$3*$X835+$Y$3*$Y835+$Z$3*$Z835+$AA$3*$AA835+$AB$3*$AB835+$AC$3*$AC835</f>
        <v>5.2083333333333329E-2</v>
      </c>
      <c r="AG835" s="141"/>
      <c r="AH835" s="137"/>
      <c r="AI835" s="484"/>
      <c r="AJ835" s="137">
        <f t="shared" si="279"/>
        <v>0.31249999999999994</v>
      </c>
      <c r="AU835" s="7"/>
      <c r="AV835" s="7"/>
      <c r="AW835" s="7"/>
      <c r="AX835" s="7"/>
      <c r="AY835" s="19"/>
      <c r="CN835" s="5">
        <v>7000</v>
      </c>
      <c r="CZ835" s="127"/>
      <c r="DA835" s="127"/>
      <c r="DB835" s="127"/>
      <c r="DC835" s="127"/>
      <c r="DD835" s="127"/>
    </row>
    <row r="836" spans="2:108" ht="15" customHeight="1">
      <c r="B836" s="506" t="s">
        <v>143</v>
      </c>
      <c r="C836" s="127" t="s">
        <v>142</v>
      </c>
      <c r="D836" s="144" t="s">
        <v>1759</v>
      </c>
      <c r="E836" s="506">
        <v>22</v>
      </c>
      <c r="F836" s="346">
        <v>0.4</v>
      </c>
      <c r="G836" s="101">
        <f>VLOOKUP($D836,Construction!$B:$L,(COLUMN(Construction_QuestReward_HeroXP)-COLUMN(Construction_Name_and_Level)+1),FALSE)</f>
        <v>70000</v>
      </c>
      <c r="H836" s="101">
        <f>G836*(1+F836)</f>
        <v>98000</v>
      </c>
      <c r="J836" s="100">
        <f>VLOOKUP($D836,Construction!$B:$L,(COLUMN(Construction_QuestReward_Power)-COLUMN(Construction_Name_and_Level)+1),FALSE)</f>
        <v>1075</v>
      </c>
      <c r="AF836" s="141"/>
      <c r="AG836" s="141"/>
      <c r="AH836" s="137"/>
      <c r="AI836" s="484"/>
      <c r="AJ836" s="137">
        <f t="shared" si="279"/>
        <v>0.31249999999999994</v>
      </c>
      <c r="AU836" s="101">
        <f>VLOOKUP($D836,Construction!$B:$Q,(COLUMN(Construction_QuestReward_Stone)-COLUMN(Construction_Name_and_Level)+1),FALSE)</f>
        <v>93300</v>
      </c>
      <c r="AV836" s="101">
        <f>VLOOKUP($D836,Construction!$B:$Q,(COLUMN(Construction_QuestReward_Wood)-COLUMN(Construction_Name_and_Level)+1),FALSE)</f>
        <v>93300</v>
      </c>
      <c r="AW836" s="101">
        <f>VLOOKUP($D836,Construction!$B:$Q,(COLUMN(Construction_QuestReward_Ore)-COLUMN(Construction_Name_and_Level)+1),FALSE)</f>
        <v>37300</v>
      </c>
      <c r="AX836" s="101">
        <f>VLOOKUP($D836,Construction!$B:$Q,(COLUMN(Construction_QuestReward_Food)-COLUMN(Construction_Name_and_Level)+1),FALSE)</f>
        <v>46600</v>
      </c>
      <c r="AY836" s="100">
        <f>VLOOKUP($D836,Construction!$B:$Q,(COLUMN(Construction_QuestReward_Silver)-COLUMN(Construction_Name_and_Level)+1),FALSE)</f>
        <v>1100</v>
      </c>
    </row>
    <row r="837" spans="2:108" ht="15" customHeight="1">
      <c r="B837" s="506" t="s">
        <v>148</v>
      </c>
      <c r="E837" s="506">
        <v>22</v>
      </c>
      <c r="X837" s="250">
        <v>1</v>
      </c>
      <c r="AF837" s="141">
        <f>$S$3*$S837+$T$3*$T837+$U$3*$U837+$V$3*$V837+$W$3*$W837+$X$3*$X837+$Y$3*$Y837+$Z$3*$Z837+$AA$3*$AA837+$AB$3*$AB837+$AC$3*$AC837</f>
        <v>4.1666666666666664E-2</v>
      </c>
      <c r="AJ837" s="137">
        <f t="shared" si="279"/>
        <v>0.35416666666666663</v>
      </c>
    </row>
    <row r="838" spans="2:108" ht="15" customHeight="1">
      <c r="B838" s="506" t="s">
        <v>148</v>
      </c>
      <c r="E838" s="506">
        <v>22</v>
      </c>
      <c r="AJ838" s="137">
        <f t="shared" si="279"/>
        <v>0.35416666666666663</v>
      </c>
      <c r="AW838" s="142">
        <v>7500</v>
      </c>
    </row>
    <row r="839" spans="2:108" ht="15" customHeight="1">
      <c r="B839" s="506" t="s">
        <v>148</v>
      </c>
      <c r="E839" s="506">
        <v>22</v>
      </c>
      <c r="AJ839" s="137">
        <f t="shared" si="279"/>
        <v>0.35416666666666663</v>
      </c>
      <c r="CN839" s="283">
        <v>10000</v>
      </c>
    </row>
    <row r="840" spans="2:108" ht="15" customHeight="1">
      <c r="B840" s="506" t="s">
        <v>148</v>
      </c>
      <c r="E840" s="506">
        <v>22</v>
      </c>
      <c r="AJ840" s="137">
        <f t="shared" si="279"/>
        <v>0.35416666666666663</v>
      </c>
      <c r="AX840" s="142">
        <v>25000</v>
      </c>
    </row>
    <row r="841" spans="2:108" ht="15" customHeight="1">
      <c r="B841" s="506" t="s">
        <v>148</v>
      </c>
      <c r="E841" s="506">
        <v>22</v>
      </c>
      <c r="AJ841" s="137">
        <f t="shared" si="279"/>
        <v>0.35416666666666663</v>
      </c>
      <c r="AU841" s="142">
        <v>7500</v>
      </c>
    </row>
    <row r="842" spans="2:108" ht="15" customHeight="1">
      <c r="B842" s="506" t="s">
        <v>146</v>
      </c>
      <c r="C842" s="127" t="s">
        <v>138</v>
      </c>
      <c r="D842" s="144" t="s">
        <v>1762</v>
      </c>
      <c r="E842" s="506">
        <v>22</v>
      </c>
      <c r="F842" s="12">
        <v>0.4</v>
      </c>
      <c r="G842" s="111">
        <f>VLOOKUP($D842,Research!$C:$F,(COLUMN(Research_ResearchReward_HeroXP)-COLUMN(Research_Name_and_Level)+1),FALSE)</f>
        <v>25000</v>
      </c>
      <c r="H842" s="111">
        <f t="shared" ref="H842:H843" si="283">G842*(1+F842)</f>
        <v>35000</v>
      </c>
      <c r="J842" s="115">
        <f>VLOOKUP($D842,Research!$C:$G,(COLUMN(Research_ResearchReward_Power)-COLUMN(Research_Name_and_Level)+1),FALSE)</f>
        <v>1000</v>
      </c>
      <c r="R842" s="148">
        <v>9.0277777777777787E-3</v>
      </c>
      <c r="AF842" s="141"/>
      <c r="AG842" s="141"/>
      <c r="AH842" s="137"/>
      <c r="AI842" s="484"/>
      <c r="AJ842" s="137">
        <f t="shared" si="279"/>
        <v>0.35416666666666663</v>
      </c>
      <c r="AP842" s="256">
        <v>0.48</v>
      </c>
      <c r="AQ842" s="147">
        <f>VLOOKUP($D842,Research!$C:$D,(COLUMN(Research_Time)-COLUMN(Research_Name_and_Level)+1),FALSE)</f>
        <v>8.3333333333333329E-2</v>
      </c>
      <c r="AR842" s="147">
        <f>AQ842/(1+AP842)</f>
        <v>5.6306306306306307E-2</v>
      </c>
      <c r="AS842" s="147">
        <f>(S$3*S842+T$3*T842+V$3*V842+W$3*W842+X$3*X842+Y$3*Y842+Z$3*Z842+AA$3*AA842+AB$3*AB842+AC$3*AC842)*(-1)</f>
        <v>0</v>
      </c>
      <c r="AT842" s="148">
        <f>IF(AR842-R842-AS842&gt;=0,AR842-R842-AS842,0)</f>
        <v>4.7278528528528527E-2</v>
      </c>
      <c r="AU842" s="111">
        <f>VLOOKUP($D842,Research!$C:$L,(COLUMN(Research_ResearchCost_Stone)-COLUMN(Research_Name_and_Level)+1),FALSE)*(-1)</f>
        <v>-10000</v>
      </c>
      <c r="AV842" s="111">
        <f>VLOOKUP($D842,Research!$C:$L,(COLUMN(Research_ResearchCost_Wood)-COLUMN(Research_Name_and_Level)+1),FALSE)*(-1)</f>
        <v>-10000</v>
      </c>
      <c r="AW842" s="111">
        <f>VLOOKUP($D842,Research!$C:$L,(COLUMN(Research_ResearchCost_Ore)-COLUMN(Research_Name_and_Level)+1),FALSE)*(-1)</f>
        <v>-7500</v>
      </c>
      <c r="AX842" s="111">
        <f>VLOOKUP($D842,Research!$C:$L,(COLUMN(Research_ResearchCost_Food)-COLUMN(Research_Name_and_Level)+1),FALSE)*(-1)</f>
        <v>-10000</v>
      </c>
      <c r="AY842" s="112">
        <f>VLOOKUP($D842,Research!$C:$L,(COLUMN(Research_ResearchCost_Silver)-COLUMN(Research_Name_and_Level)+1),FALSE)*(-1)</f>
        <v>-20000</v>
      </c>
    </row>
    <row r="843" spans="2:108" ht="15" customHeight="1">
      <c r="B843" s="102" t="s">
        <v>1455</v>
      </c>
      <c r="C843" s="127" t="s">
        <v>170</v>
      </c>
      <c r="D843" s="144" t="s">
        <v>1762</v>
      </c>
      <c r="E843" s="506">
        <v>22</v>
      </c>
      <c r="F843" s="12">
        <v>0.4</v>
      </c>
      <c r="G843" s="101">
        <f>VLOOKUP($D843,Research!$C:$M,(COLUMN(Research_QuestReward_HeroXP)-COLUMN(Research_Name_and_Level)+1),FALSE)</f>
        <v>20000</v>
      </c>
      <c r="H843" s="101">
        <f t="shared" si="283"/>
        <v>28000</v>
      </c>
      <c r="J843" s="103">
        <f>VLOOKUP($D843,Research!$C:$N,(COLUMN(Research_QuestReward_Power)-COLUMN(Research_Name_and_Level)+1),FALSE)</f>
        <v>50</v>
      </c>
      <c r="AF843" s="141"/>
      <c r="AG843" s="141"/>
      <c r="AH843" s="137"/>
      <c r="AI843" s="484"/>
      <c r="AJ843" s="137">
        <f t="shared" si="279"/>
        <v>0.35416666666666663</v>
      </c>
      <c r="AU843" s="101">
        <f>VLOOKUP($D843,Research!$C:$S,(COLUMN(Research_QuestReward_Stone)-COLUMN(Research_Name_and_Level)+1),FALSE)</f>
        <v>16000</v>
      </c>
      <c r="AV843" s="101">
        <f>VLOOKUP($D843,Research!$C:$S,(COLUMN(Research_QuestReward_Wood)-COLUMN(Research_Name_and_Level)+1),FALSE)</f>
        <v>16000</v>
      </c>
      <c r="AW843" s="101">
        <f>VLOOKUP($D843,Research!$C:$S,(COLUMN(Research_QuestReward_Ore)-COLUMN(Research_Name_and_Level)+1),FALSE)</f>
        <v>12000</v>
      </c>
      <c r="AX843" s="101">
        <f>VLOOKUP($D843,Research!$C:$S,(COLUMN(Research_QuestReward_Food)-COLUMN(Research_Name_and_Level)+1),FALSE)</f>
        <v>16000</v>
      </c>
      <c r="AY843" s="100">
        <f>VLOOKUP($D843,Research!$C:$S,(COLUMN(Research_QuestReward_Silver)-COLUMN(Research_Name_and_Level)+1),FALSE)</f>
        <v>16000</v>
      </c>
      <c r="CT843" s="127"/>
      <c r="CU843" s="127"/>
      <c r="CV843" s="127"/>
      <c r="CW843" s="127"/>
      <c r="CX843" s="127"/>
      <c r="CY843" s="127"/>
      <c r="CZ843" s="127"/>
      <c r="DA843" s="127"/>
      <c r="DB843" s="127"/>
      <c r="DC843" s="127"/>
      <c r="DD843" s="127"/>
    </row>
    <row r="844" spans="2:108" ht="15" customHeight="1">
      <c r="B844" s="113" t="s">
        <v>1483</v>
      </c>
      <c r="C844" s="127" t="s">
        <v>156</v>
      </c>
      <c r="D844" s="127">
        <v>900</v>
      </c>
      <c r="E844" s="506">
        <v>22</v>
      </c>
      <c r="G844" s="7"/>
      <c r="H844" s="7"/>
      <c r="J844" s="114">
        <f>VLOOKUP($C844,Troop!$B:$AK,(COLUMN(Troop_TrainingReward_Power)-COLUMN(Troop_Name)+1),FALSE)*$D844</f>
        <v>1800</v>
      </c>
      <c r="AF844" s="141"/>
      <c r="AG844" s="141"/>
      <c r="AH844" s="137"/>
      <c r="AI844" s="484"/>
      <c r="AJ844" s="137">
        <f t="shared" si="279"/>
        <v>0.35416666666666663</v>
      </c>
      <c r="AU844" s="296">
        <f>VLOOKUP($C844,Troop!$B:$P,(COLUMN(Troop_TrainingCost_Stone)-COLUMN(Troop_Name)+1),FALSE)*$D844*(-1)</f>
        <v>-45000</v>
      </c>
      <c r="AV844" s="296">
        <f>VLOOKUP($C844,Troop!$B:$P,(COLUMN(Troop_TrainingCost_Wood)-COLUMN(Troop_Name)+1),FALSE)*$D844*(-1)</f>
        <v>0</v>
      </c>
      <c r="AW844" s="296">
        <f>VLOOKUP($C844,Troop!$B:$P,(COLUMN(Troop_TrainingCost_Ore)-COLUMN(Troop_Name)+1),FALSE)*$D844*(-1)</f>
        <v>-34200</v>
      </c>
      <c r="AX844" s="296">
        <f>VLOOKUP($C844,Troop!$B:$P,(COLUMN(Troop_TrainingCost_Food)-COLUMN(Troop_Name)+1),FALSE)*$D844*(-1)</f>
        <v>-45000</v>
      </c>
      <c r="AY844" s="114">
        <f>VLOOKUP($C844,Troop!$B:$P,(COLUMN(Troop_TrainingCost_Silver)-COLUMN(Troop_Name)+1),FALSE)*$D844*(-1)</f>
        <v>0</v>
      </c>
      <c r="CT844" s="128"/>
      <c r="CU844" s="128"/>
      <c r="CV844" s="128"/>
      <c r="CW844" s="128"/>
      <c r="CX844" s="128"/>
      <c r="CY844" s="128"/>
      <c r="CZ844" s="128"/>
      <c r="DA844" s="128"/>
      <c r="DB844" s="128"/>
      <c r="DC844" s="128"/>
      <c r="DD844" s="128"/>
    </row>
    <row r="845" spans="2:108" ht="15" customHeight="1">
      <c r="B845" s="506" t="s">
        <v>144</v>
      </c>
      <c r="C845" s="127" t="s">
        <v>138</v>
      </c>
      <c r="D845" s="144" t="s">
        <v>1763</v>
      </c>
      <c r="E845" s="506">
        <v>22</v>
      </c>
      <c r="F845" s="12">
        <v>0.4</v>
      </c>
      <c r="G845" s="94">
        <f>VLOOKUP($D845,Construction!$B:$E,(COLUMN(Construction_BuildingReward_HeroXP)-COLUMN(Construction_Name_and_Level)+1),FALSE)</f>
        <v>500</v>
      </c>
      <c r="H845" s="94">
        <f>G845*(1+F845)</f>
        <v>700</v>
      </c>
      <c r="J845" s="95">
        <f>VLOOKUP($D845,Construction!$B:$F,(COLUMN(Construction_BuildingReward_Power)-COLUMN(Construction_Name_and_Level)+1),FALSE)</f>
        <v>190</v>
      </c>
      <c r="Q845" s="139">
        <v>3.472222222222222E-3</v>
      </c>
      <c r="R845" s="289">
        <v>9.0277777777777787E-3</v>
      </c>
      <c r="W845" s="11">
        <v>-1</v>
      </c>
      <c r="X845" s="11">
        <v>-1</v>
      </c>
      <c r="AF845" s="141"/>
      <c r="AG845" s="141"/>
      <c r="AH845" s="137"/>
      <c r="AI845" s="484">
        <f>(-1)*($S$3*$S845+$T$3*$T845+$U$3*$U845+$V$3*$V845+$W$3*$W845+$X$3*$X845+$Y$3*$Y845+$Z$3*$Z845+$AA$3*$AA845+$AB$3*$AB845+$AC$3*$AC845)</f>
        <v>5.2083333333333329E-2</v>
      </c>
      <c r="AJ845" s="137">
        <f t="shared" si="279"/>
        <v>0.30208333333333331</v>
      </c>
      <c r="AK845" s="339">
        <v>0.47499999999999998</v>
      </c>
      <c r="AL845" s="138">
        <f>VLOOKUP($D845,Construction!$B:$C,(COLUMN(Construction_Time)-COLUMN(Construction_Name_and_Level)+1),FALSE)</f>
        <v>0.23703703703703705</v>
      </c>
      <c r="AM845" s="138">
        <f t="shared" ref="AM845" si="284">AL845/(1+AK845)</f>
        <v>0.16070307595731323</v>
      </c>
      <c r="AN845" s="138">
        <f>(S$3*S845+T$3*T845+V$3*V845+W$3*W845+X$3*X845+Y$3*Y845+Z$3*Z845+AA$3*AA845+AB$3*AB845+AC$3*AC845)*(-1)</f>
        <v>5.2083333333333329E-2</v>
      </c>
      <c r="AO845" s="139">
        <f>IF((AM845-Q845-R845-AN845)&gt;=0,AM845-Q845-R845-AN845,0)</f>
        <v>9.6119742623979917E-2</v>
      </c>
      <c r="AU845" s="94">
        <f>VLOOKUP($D845,Construction!$B:$J,(COLUMN(Construction_BuildingCost_Stone)-COLUMN(Construction_Name_and_Level)+1),FALSE)*(-1)</f>
        <v>-13392</v>
      </c>
      <c r="AV845" s="94">
        <f>VLOOKUP($D845,Construction!$B:$J,(COLUMN(Construction_BuildingCost_Wood)-COLUMN(Construction_Name_and_Level)+1),FALSE)*(-1)</f>
        <v>-13392</v>
      </c>
      <c r="AW845" s="94">
        <f>VLOOKUP($D845,Construction!$B:$J,(COLUMN(Construction_BuildingCost_Ore)-COLUMN(Construction_Name_and_Level)+1),FALSE)*(-1)</f>
        <v>0</v>
      </c>
      <c r="AX845" s="94">
        <f>VLOOKUP($D845,Construction!$B:$J,(COLUMN(Construction_BuildingCost_Food)-COLUMN(Construction_Name_and_Level)+1),FALSE)*(-1)</f>
        <v>-13392</v>
      </c>
    </row>
    <row r="846" spans="2:108" ht="15" customHeight="1">
      <c r="B846" s="506" t="s">
        <v>143</v>
      </c>
      <c r="C846" s="127" t="s">
        <v>142</v>
      </c>
      <c r="D846" s="144" t="s">
        <v>1763</v>
      </c>
      <c r="E846" s="506">
        <v>22</v>
      </c>
      <c r="F846" s="346">
        <v>0.4</v>
      </c>
      <c r="G846" s="101">
        <f>VLOOKUP($D846,Construction!$B:$L,(COLUMN(Construction_QuestReward_HeroXP)-COLUMN(Construction_Name_and_Level)+1),FALSE)</f>
        <v>10000</v>
      </c>
      <c r="H846" s="101">
        <f>G846*(1+F846)</f>
        <v>14000</v>
      </c>
      <c r="J846" s="100">
        <f>VLOOKUP($D846,Construction!$B:$L,(COLUMN(Construction_QuestReward_Power)-COLUMN(Construction_Name_and_Level)+1),FALSE)</f>
        <v>107</v>
      </c>
      <c r="AF846" s="141"/>
      <c r="AG846" s="141"/>
      <c r="AH846" s="137"/>
      <c r="AI846" s="484"/>
      <c r="AJ846" s="137">
        <f t="shared" si="279"/>
        <v>0.30208333333333331</v>
      </c>
      <c r="AU846" s="101">
        <f>VLOOKUP($D846,Construction!$B:$Q,(COLUMN(Construction_QuestReward_Stone)-COLUMN(Construction_Name_and_Level)+1),FALSE)</f>
        <v>7400</v>
      </c>
      <c r="AV846" s="101">
        <f>VLOOKUP($D846,Construction!$B:$Q,(COLUMN(Construction_QuestReward_Wood)-COLUMN(Construction_Name_and_Level)+1),FALSE)</f>
        <v>7400</v>
      </c>
      <c r="AW846" s="101">
        <f>VLOOKUP($D846,Construction!$B:$Q,(COLUMN(Construction_QuestReward_Ore)-COLUMN(Construction_Name_and_Level)+1),FALSE)</f>
        <v>0</v>
      </c>
      <c r="AX846" s="101">
        <f>VLOOKUP($D846,Construction!$B:$Q,(COLUMN(Construction_QuestReward_Food)-COLUMN(Construction_Name_and_Level)+1),FALSE)</f>
        <v>7400</v>
      </c>
      <c r="AY846" s="100">
        <f>VLOOKUP($D846,Construction!$B:$Q,(COLUMN(Construction_QuestReward_Silver)-COLUMN(Construction_Name_and_Level)+1),FALSE)</f>
        <v>150</v>
      </c>
    </row>
    <row r="847" spans="2:108" ht="15" customHeight="1">
      <c r="B847" s="506" t="s">
        <v>144</v>
      </c>
      <c r="C847" s="127" t="s">
        <v>369</v>
      </c>
      <c r="D847" s="144" t="s">
        <v>1637</v>
      </c>
      <c r="E847" s="506">
        <v>22</v>
      </c>
      <c r="J847" s="95">
        <v>-145</v>
      </c>
      <c r="Q847" s="139">
        <v>3.472222222222222E-3</v>
      </c>
      <c r="R847" s="289">
        <v>9.0277777777777787E-3</v>
      </c>
      <c r="AF847" s="141"/>
      <c r="AG847" s="141"/>
      <c r="AH847" s="137"/>
      <c r="AI847" s="484"/>
      <c r="AJ847" s="137">
        <f t="shared" si="279"/>
        <v>0.30208333333333331</v>
      </c>
      <c r="AM847" s="138">
        <v>6.2962962962962964E-3</v>
      </c>
      <c r="AN847" s="138">
        <f>(S$3*S847+T$3*T847+V$3*V847+W$3*W847+X$3*X847+Y$3*Y847+Z$3*Z847+AA$3*AA847+AB$3*AB847+AC$3*AC847)*(-1)</f>
        <v>0</v>
      </c>
      <c r="AO847" s="139">
        <f>IF((AM847-Q847-R847-AN847)&gt;=0,AM847-Q847-R847-AN847,0)</f>
        <v>0</v>
      </c>
    </row>
    <row r="848" spans="2:108" ht="15" customHeight="1">
      <c r="B848" s="506" t="s">
        <v>144</v>
      </c>
      <c r="C848" s="127" t="s">
        <v>138</v>
      </c>
      <c r="D848" s="144" t="s">
        <v>1764</v>
      </c>
      <c r="E848" s="506">
        <v>22</v>
      </c>
      <c r="F848" s="12">
        <v>0.4</v>
      </c>
      <c r="G848" s="94">
        <f>VLOOKUP($D848,Construction!$B:$E,(COLUMN(Construction_BuildingReward_HeroXP)-COLUMN(Construction_Name_and_Level)+1),FALSE)</f>
        <v>10</v>
      </c>
      <c r="H848" s="94">
        <f>G848*(1+F848)</f>
        <v>14</v>
      </c>
      <c r="J848" s="95">
        <f>VLOOKUP($D848,Construction!$B:$F,(COLUMN(Construction_BuildingReward_Power)-COLUMN(Construction_Name_and_Level)+1),FALSE)</f>
        <v>35</v>
      </c>
      <c r="Q848" s="139">
        <v>3.472222222222222E-3</v>
      </c>
      <c r="R848" s="289">
        <v>9.0277777777777787E-3</v>
      </c>
      <c r="AF848" s="141"/>
      <c r="AG848" s="141"/>
      <c r="AH848" s="137"/>
      <c r="AI848" s="484"/>
      <c r="AJ848" s="137">
        <f t="shared" si="279"/>
        <v>0.30208333333333331</v>
      </c>
      <c r="AK848" s="339">
        <v>0.47499999999999998</v>
      </c>
      <c r="AL848" s="138">
        <f>VLOOKUP($D848,Construction!$B:$C,(COLUMN(Construction_Time)-COLUMN(Construction_Name_and_Level)+1),FALSE)</f>
        <v>0</v>
      </c>
      <c r="AM848" s="138">
        <f t="shared" ref="AM848:AM849" si="285">AL848/(1+AK848)</f>
        <v>0</v>
      </c>
      <c r="AN848" s="138">
        <f>(S$3*S848+T$3*T848+V$3*V848+W$3*W848+X$3*X848+Y$3*Y848+Z$3*Z848+AA$3*AA848+AB$3*AB848+AC$3*AC848)*(-1)</f>
        <v>0</v>
      </c>
      <c r="AO848" s="139">
        <f>IF((AM848-Q848-R848-AN848)&gt;=0,AM848-Q848-R848-AN848,0)</f>
        <v>0</v>
      </c>
      <c r="AU848" s="94">
        <f>VLOOKUP($D848,Construction!$B:$J,(COLUMN(Construction_BuildingCost_Stone)-COLUMN(Construction_Name_and_Level)+1),FALSE)*(-1)</f>
        <v>0</v>
      </c>
      <c r="AV848" s="94">
        <f>VLOOKUP($D848,Construction!$B:$J,(COLUMN(Construction_BuildingCost_Wood)-COLUMN(Construction_Name_and_Level)+1),FALSE)*(-1)</f>
        <v>0</v>
      </c>
      <c r="AW848" s="94">
        <f>VLOOKUP($D848,Construction!$B:$J,(COLUMN(Construction_BuildingCost_Ore)-COLUMN(Construction_Name_and_Level)+1),FALSE)*(-1)</f>
        <v>0</v>
      </c>
      <c r="AX848" s="94">
        <f>VLOOKUP($D848,Construction!$B:$J,(COLUMN(Construction_BuildingCost_Food)-COLUMN(Construction_Name_and_Level)+1),FALSE)*(-1)</f>
        <v>0</v>
      </c>
    </row>
    <row r="849" spans="1:108" ht="15" customHeight="1">
      <c r="B849" s="506" t="s">
        <v>144</v>
      </c>
      <c r="C849" s="127" t="s">
        <v>138</v>
      </c>
      <c r="D849" s="144" t="s">
        <v>1765</v>
      </c>
      <c r="E849" s="506">
        <v>22</v>
      </c>
      <c r="F849" s="12">
        <v>0.4</v>
      </c>
      <c r="G849" s="94">
        <f>VLOOKUP($D849,Construction!$B:$E,(COLUMN(Construction_BuildingReward_HeroXP)-COLUMN(Construction_Name_and_Level)+1),FALSE)</f>
        <v>500</v>
      </c>
      <c r="H849" s="94">
        <f>G849*(1+F849)</f>
        <v>700</v>
      </c>
      <c r="J849" s="95">
        <f>VLOOKUP($D849,Construction!$B:$F,(COLUMN(Construction_BuildingReward_Power)-COLUMN(Construction_Name_and_Level)+1),FALSE)</f>
        <v>190</v>
      </c>
      <c r="Q849" s="139">
        <v>3.472222222222222E-3</v>
      </c>
      <c r="R849" s="289">
        <v>9.0277777777777787E-3</v>
      </c>
      <c r="X849" s="11">
        <v>-1</v>
      </c>
      <c r="AF849" s="141"/>
      <c r="AG849" s="141"/>
      <c r="AH849" s="137"/>
      <c r="AI849" s="484">
        <f>(-1)*($S$3*$S849+$T$3*$T849+$U$3*$U849+$V$3*$V849+$W$3*$W849+$X$3*$X849+$Y$3*$Y849+$Z$3*$Z849+$AA$3*$AA849+$AB$3*$AB849+$AC$3*$AC849)</f>
        <v>4.1666666666666664E-2</v>
      </c>
      <c r="AJ849" s="137">
        <f t="shared" si="279"/>
        <v>0.26041666666666663</v>
      </c>
      <c r="AK849" s="339">
        <v>0.47499999999999998</v>
      </c>
      <c r="AL849" s="138">
        <f>VLOOKUP($D849,Construction!$B:$C,(COLUMN(Construction_Time)-COLUMN(Construction_Name_and_Level)+1),FALSE)</f>
        <v>0.14814814814814814</v>
      </c>
      <c r="AM849" s="138">
        <f t="shared" si="285"/>
        <v>0.10043942247332077</v>
      </c>
      <c r="AN849" s="138">
        <f>(S$3*S849+T$3*T849+V$3*V849+W$3*W849+X$3*X849+Y$3*Y849+Z$3*Z849+AA$3*AA849+AB$3*AB849+AC$3*AC849)*(-1)</f>
        <v>4.1666666666666664E-2</v>
      </c>
      <c r="AO849" s="139">
        <f>IF((AM849-Q849-R849-AN849)&gt;=0,AM849-Q849-R849-AN849,0)</f>
        <v>4.627275580665411E-2</v>
      </c>
      <c r="AU849" s="94">
        <f>VLOOKUP($D849,Construction!$B:$J,(COLUMN(Construction_BuildingCost_Stone)-COLUMN(Construction_Name_and_Level)+1),FALSE)*(-1)</f>
        <v>-13392</v>
      </c>
      <c r="AV849" s="94">
        <f>VLOOKUP($D849,Construction!$B:$J,(COLUMN(Construction_BuildingCost_Wood)-COLUMN(Construction_Name_and_Level)+1),FALSE)*(-1)</f>
        <v>-13392</v>
      </c>
      <c r="AW849" s="94">
        <f>VLOOKUP($D849,Construction!$B:$J,(COLUMN(Construction_BuildingCost_Ore)-COLUMN(Construction_Name_and_Level)+1),FALSE)*(-1)</f>
        <v>-13392</v>
      </c>
      <c r="AX849" s="94">
        <f>VLOOKUP($D849,Construction!$B:$J,(COLUMN(Construction_BuildingCost_Food)-COLUMN(Construction_Name_and_Level)+1),FALSE)*(-1)</f>
        <v>0</v>
      </c>
    </row>
    <row r="850" spans="1:108" ht="15" customHeight="1">
      <c r="B850" s="506" t="s">
        <v>145</v>
      </c>
      <c r="C850" s="127" t="s">
        <v>150</v>
      </c>
      <c r="D850" s="144" t="s">
        <v>1766</v>
      </c>
      <c r="E850" s="506">
        <v>22</v>
      </c>
      <c r="M850" s="135">
        <v>4.1666666666666664E-2</v>
      </c>
      <c r="N850" s="11">
        <v>40</v>
      </c>
      <c r="U850" s="2">
        <v>1</v>
      </c>
      <c r="AF850" s="141">
        <f>$S$3*$S850+$T$3*$T850+$U$3*$U850+$V$3*$V850+$W$3*$W850+$X$3*$X850+$Y$3*$Y850+$Z$3*$Z850+$AA$3*$AA850+$AB$3*$AB850+$AC$3*$AC850</f>
        <v>3.472222222222222E-3</v>
      </c>
      <c r="AJ850" s="137">
        <f t="shared" si="279"/>
        <v>0.26388888888888884</v>
      </c>
      <c r="CN850" s="5">
        <v>7000</v>
      </c>
    </row>
    <row r="851" spans="1:108" ht="15" customHeight="1">
      <c r="B851" s="506" t="s">
        <v>1064</v>
      </c>
      <c r="C851" s="127" t="s">
        <v>1065</v>
      </c>
      <c r="E851" s="506"/>
      <c r="N851" s="548">
        <v>10</v>
      </c>
      <c r="AJ851" s="137">
        <f t="shared" si="279"/>
        <v>0.26388888888888884</v>
      </c>
    </row>
    <row r="852" spans="1:108" ht="15" customHeight="1">
      <c r="B852" s="506" t="s">
        <v>143</v>
      </c>
      <c r="C852" s="127" t="s">
        <v>142</v>
      </c>
      <c r="D852" s="144" t="s">
        <v>1765</v>
      </c>
      <c r="E852" s="506">
        <v>22</v>
      </c>
      <c r="F852" s="346">
        <v>0.4</v>
      </c>
      <c r="G852" s="101">
        <f>VLOOKUP($D852,Construction!$B:$L,(COLUMN(Construction_QuestReward_HeroXP)-COLUMN(Construction_Name_and_Level)+1),FALSE)</f>
        <v>10000</v>
      </c>
      <c r="H852" s="101">
        <f>G852*(1+F852)</f>
        <v>14000</v>
      </c>
      <c r="J852" s="100">
        <f>VLOOKUP($D852,Construction!$B:$L,(COLUMN(Construction_QuestReward_Power)-COLUMN(Construction_Name_and_Level)+1),FALSE)</f>
        <v>107</v>
      </c>
      <c r="AF852" s="141"/>
      <c r="AG852" s="141"/>
      <c r="AH852" s="137"/>
      <c r="AI852" s="484"/>
      <c r="AJ852" s="137">
        <f t="shared" si="279"/>
        <v>0.26388888888888884</v>
      </c>
      <c r="AU852" s="101">
        <f>VLOOKUP($D852,Construction!$B:$Q,(COLUMN(Construction_QuestReward_Stone)-COLUMN(Construction_Name_and_Level)+1),FALSE)</f>
        <v>7400</v>
      </c>
      <c r="AV852" s="101">
        <f>VLOOKUP($D852,Construction!$B:$Q,(COLUMN(Construction_QuestReward_Wood)-COLUMN(Construction_Name_and_Level)+1),FALSE)</f>
        <v>7400</v>
      </c>
      <c r="AW852" s="101">
        <f>VLOOKUP($D852,Construction!$B:$Q,(COLUMN(Construction_QuestReward_Ore)-COLUMN(Construction_Name_and_Level)+1),FALSE)</f>
        <v>7400</v>
      </c>
      <c r="AX852" s="101">
        <f>VLOOKUP($D852,Construction!$B:$Q,(COLUMN(Construction_QuestReward_Food)-COLUMN(Construction_Name_and_Level)+1),FALSE)</f>
        <v>0</v>
      </c>
      <c r="AY852" s="100">
        <f>VLOOKUP($D852,Construction!$B:$Q,(COLUMN(Construction_QuestReward_Silver)-COLUMN(Construction_Name_and_Level)+1),FALSE)</f>
        <v>150</v>
      </c>
    </row>
    <row r="853" spans="1:108" ht="15" customHeight="1">
      <c r="B853" s="113" t="s">
        <v>1483</v>
      </c>
      <c r="C853" s="127" t="s">
        <v>157</v>
      </c>
      <c r="D853" s="127">
        <v>800</v>
      </c>
      <c r="E853" s="506">
        <v>22</v>
      </c>
      <c r="G853" s="7"/>
      <c r="H853" s="7"/>
      <c r="J853" s="114">
        <f>VLOOKUP($C853,Troop!$B:$AK,(COLUMN(Troop_TrainingReward_Power)-COLUMN(Troop_Name)+1),FALSE)*$D853</f>
        <v>3200</v>
      </c>
      <c r="AF853" s="141"/>
      <c r="AG853" s="141"/>
      <c r="AH853" s="137"/>
      <c r="AI853" s="484"/>
      <c r="AJ853" s="137">
        <f t="shared" si="279"/>
        <v>0.26388888888888884</v>
      </c>
      <c r="AU853" s="296">
        <f>VLOOKUP($C853,Troop!$B:$P,(COLUMN(Troop_TrainingCost_Stone)-COLUMN(Troop_Name)+1),FALSE)*$D853*(-1)</f>
        <v>-40000</v>
      </c>
      <c r="AV853" s="296">
        <f>VLOOKUP($C853,Troop!$B:$P,(COLUMN(Troop_TrainingCost_Wood)-COLUMN(Troop_Name)+1),FALSE)*$D853*(-1)</f>
        <v>-40000</v>
      </c>
      <c r="AW853" s="296">
        <f>VLOOKUP($C853,Troop!$B:$P,(COLUMN(Troop_TrainingCost_Ore)-COLUMN(Troop_Name)+1),FALSE)*$D853*(-1)</f>
        <v>-30400</v>
      </c>
      <c r="AX853" s="296">
        <f>VLOOKUP($C853,Troop!$B:$P,(COLUMN(Troop_TrainingCost_Food)-COLUMN(Troop_Name)+1),FALSE)*$D853*(-1)</f>
        <v>-80000</v>
      </c>
      <c r="AY853" s="114">
        <f>VLOOKUP($C853,Troop!$B:$P,(COLUMN(Troop_TrainingCost_Silver)-COLUMN(Troop_Name)+1),FALSE)*$D853*(-1)</f>
        <v>0</v>
      </c>
      <c r="CT853" s="128"/>
      <c r="CU853" s="128"/>
      <c r="CV853" s="128"/>
      <c r="CW853" s="128"/>
      <c r="CX853" s="128"/>
      <c r="CY853" s="128"/>
      <c r="CZ853" s="128"/>
      <c r="DA853" s="128"/>
      <c r="DB853" s="128"/>
      <c r="DC853" s="128"/>
      <c r="DD853" s="128"/>
    </row>
    <row r="854" spans="1:108" ht="15" customHeight="1">
      <c r="B854" s="506" t="s">
        <v>144</v>
      </c>
      <c r="C854" s="127" t="s">
        <v>138</v>
      </c>
      <c r="D854" s="144" t="s">
        <v>1767</v>
      </c>
      <c r="E854" s="506">
        <v>22</v>
      </c>
      <c r="F854" s="12">
        <v>0.4</v>
      </c>
      <c r="G854" s="94">
        <f>VLOOKUP($D854,Construction!$B:$E,(COLUMN(Construction_BuildingReward_HeroXP)-COLUMN(Construction_Name_and_Level)+1),FALSE)</f>
        <v>500</v>
      </c>
      <c r="H854" s="94">
        <f>G854*(1+F854)</f>
        <v>700</v>
      </c>
      <c r="J854" s="95">
        <f>VLOOKUP($D854,Construction!$B:$F,(COLUMN(Construction_BuildingReward_Power)-COLUMN(Construction_Name_and_Level)+1),FALSE)</f>
        <v>380</v>
      </c>
      <c r="Q854" s="139">
        <v>3.472222222222222E-3</v>
      </c>
      <c r="R854" s="289">
        <v>9.0277777777777787E-3</v>
      </c>
      <c r="AF854" s="141"/>
      <c r="AG854" s="141"/>
      <c r="AH854" s="137"/>
      <c r="AI854" s="484"/>
      <c r="AJ854" s="137">
        <f t="shared" si="279"/>
        <v>0.26388888888888884</v>
      </c>
      <c r="AK854" s="339">
        <v>0.47499999999999998</v>
      </c>
      <c r="AL854" s="138">
        <f>VLOOKUP($D854,Construction!$B:$C,(COLUMN(Construction_Time)-COLUMN(Construction_Name_and_Level)+1),FALSE)</f>
        <v>0.17777777777777778</v>
      </c>
      <c r="AM854" s="138">
        <f t="shared" ref="AM854" si="286">AL854/(1+AK854)</f>
        <v>0.12052730696798493</v>
      </c>
      <c r="AN854" s="138">
        <f>(S$3*S854+T$3*T854+V$3*V854+W$3*W854+X$3*X854+Y$3*Y854+Z$3*Z854+AA$3*AA854+AB$3*AB854+AC$3*AC854)*(-1)</f>
        <v>0</v>
      </c>
      <c r="AO854" s="139">
        <f>IF((AM854-Q854-R854-AN854)&gt;=0,AM854-Q854-R854-AN854,0)</f>
        <v>0.10802730696798493</v>
      </c>
      <c r="AU854" s="94">
        <f>VLOOKUP($D854,Construction!$B:$J,(COLUMN(Construction_BuildingCost_Stone)-COLUMN(Construction_Name_and_Level)+1),FALSE)*(-1)</f>
        <v>-53488</v>
      </c>
      <c r="AV854" s="94">
        <f>VLOOKUP($D854,Construction!$B:$J,(COLUMN(Construction_BuildingCost_Wood)-COLUMN(Construction_Name_and_Level)+1),FALSE)*(-1)</f>
        <v>-53488</v>
      </c>
      <c r="AW854" s="94">
        <f>VLOOKUP($D854,Construction!$B:$J,(COLUMN(Construction_BuildingCost_Ore)-COLUMN(Construction_Name_and_Level)+1),FALSE)*(-1)</f>
        <v>-40096</v>
      </c>
      <c r="AX854" s="94">
        <f>VLOOKUP($D854,Construction!$B:$J,(COLUMN(Construction_BuildingCost_Food)-COLUMN(Construction_Name_and_Level)+1),FALSE)*(-1)</f>
        <v>-26752</v>
      </c>
    </row>
    <row r="855" spans="1:108" ht="15" customHeight="1">
      <c r="B855" s="506" t="s">
        <v>146</v>
      </c>
      <c r="C855" s="127" t="s">
        <v>138</v>
      </c>
      <c r="D855" s="144" t="s">
        <v>1768</v>
      </c>
      <c r="E855" s="506">
        <v>22</v>
      </c>
      <c r="F855" s="12">
        <v>0.4</v>
      </c>
      <c r="G855" s="111">
        <f>VLOOKUP($D855,Research!$C:$F,(COLUMN(Research_ResearchReward_HeroXP)-COLUMN(Research_Name_and_Level)+1),FALSE)</f>
        <v>48000</v>
      </c>
      <c r="H855" s="111">
        <f t="shared" ref="H855:H856" si="287">G855*(1+F855)</f>
        <v>67200</v>
      </c>
      <c r="J855" s="115">
        <f>VLOOKUP($D855,Research!$C:$G,(COLUMN(Research_ResearchReward_Power)-COLUMN(Research_Name_and_Level)+1),FALSE)</f>
        <v>2100</v>
      </c>
      <c r="R855" s="148">
        <v>9.0277777777777787E-3</v>
      </c>
      <c r="AF855" s="141"/>
      <c r="AG855" s="141"/>
      <c r="AH855" s="137"/>
      <c r="AI855" s="484"/>
      <c r="AJ855" s="137">
        <f t="shared" si="279"/>
        <v>0.26388888888888884</v>
      </c>
      <c r="AP855" s="256">
        <v>0.48</v>
      </c>
      <c r="AQ855" s="147">
        <f>VLOOKUP($D855,Research!$C:$D,(COLUMN(Research_Time)-COLUMN(Research_Name_and_Level)+1),FALSE)</f>
        <v>0.46875</v>
      </c>
      <c r="AR855" s="147">
        <f>AQ855/(1+AP855)</f>
        <v>0.31672297297297297</v>
      </c>
      <c r="AS855" s="147">
        <f>(S$3*S855+T$3*T855+V$3*V855+W$3*W855+X$3*X855+Y$3*Y855+Z$3*Z855+AA$3*AA855+AB$3*AB855+AC$3*AC855)*(-1)</f>
        <v>0</v>
      </c>
      <c r="AT855" s="148">
        <f>IF(AR855-R855-AS855&gt;=0,AR855-R855-AS855,0)</f>
        <v>0.30769519519519517</v>
      </c>
      <c r="AU855" s="111">
        <f>VLOOKUP($D855,Research!$C:$L,(COLUMN(Research_ResearchCost_Stone)-COLUMN(Research_Name_and_Level)+1),FALSE)*(-1)</f>
        <v>-200</v>
      </c>
      <c r="AV855" s="111">
        <f>VLOOKUP($D855,Research!$C:$L,(COLUMN(Research_ResearchCost_Wood)-COLUMN(Research_Name_and_Level)+1),FALSE)*(-1)</f>
        <v>-3200</v>
      </c>
      <c r="AW855" s="111">
        <f>VLOOKUP($D855,Research!$C:$L,(COLUMN(Research_ResearchCost_Ore)-COLUMN(Research_Name_and_Level)+1),FALSE)*(-1)</f>
        <v>-4000</v>
      </c>
      <c r="AX855" s="111">
        <f>VLOOKUP($D855,Research!$C:$L,(COLUMN(Research_ResearchCost_Food)-COLUMN(Research_Name_and_Level)+1),FALSE)*(-1)</f>
        <v>-2400</v>
      </c>
      <c r="AY855" s="112">
        <f>VLOOKUP($D855,Research!$C:$L,(COLUMN(Research_ResearchCost_Silver)-COLUMN(Research_Name_and_Level)+1),FALSE)*(-1)</f>
        <v>-42000</v>
      </c>
    </row>
    <row r="856" spans="1:108" ht="15" customHeight="1">
      <c r="B856" s="102" t="s">
        <v>1455</v>
      </c>
      <c r="C856" s="127" t="s">
        <v>170</v>
      </c>
      <c r="D856" s="144" t="s">
        <v>1768</v>
      </c>
      <c r="E856" s="506">
        <v>22</v>
      </c>
      <c r="F856" s="12">
        <v>0.4</v>
      </c>
      <c r="G856" s="101">
        <f>VLOOKUP($D856,Research!$C:$M,(COLUMN(Research_QuestReward_HeroXP)-COLUMN(Research_Name_and_Level)+1),FALSE)</f>
        <v>21000</v>
      </c>
      <c r="H856" s="101">
        <f t="shared" si="287"/>
        <v>29399.999999999996</v>
      </c>
      <c r="J856" s="103">
        <f>VLOOKUP($D856,Research!$C:$N,(COLUMN(Research_QuestReward_Power)-COLUMN(Research_Name_and_Level)+1),FALSE)</f>
        <v>275</v>
      </c>
      <c r="AF856" s="141"/>
      <c r="AG856" s="141"/>
      <c r="AH856" s="137"/>
      <c r="AI856" s="484"/>
      <c r="AJ856" s="137">
        <f t="shared" si="279"/>
        <v>0.26388888888888884</v>
      </c>
      <c r="AU856" s="101">
        <f>VLOOKUP($D856,Research!$C:$S,(COLUMN(Research_QuestReward_Stone)-COLUMN(Research_Name_and_Level)+1),FALSE)</f>
        <v>0</v>
      </c>
      <c r="AV856" s="101">
        <f>VLOOKUP($D856,Research!$C:$S,(COLUMN(Research_QuestReward_Wood)-COLUMN(Research_Name_and_Level)+1),FALSE)</f>
        <v>6000</v>
      </c>
      <c r="AW856" s="101">
        <f>VLOOKUP($D856,Research!$C:$S,(COLUMN(Research_QuestReward_Ore)-COLUMN(Research_Name_and_Level)+1),FALSE)</f>
        <v>8000</v>
      </c>
      <c r="AX856" s="101">
        <f>VLOOKUP($D856,Research!$C:$S,(COLUMN(Research_QuestReward_Food)-COLUMN(Research_Name_and_Level)+1),FALSE)</f>
        <v>4000</v>
      </c>
      <c r="AY856" s="100">
        <f>VLOOKUP($D856,Research!$C:$S,(COLUMN(Research_QuestReward_Silver)-COLUMN(Research_Name_and_Level)+1),FALSE)</f>
        <v>42000</v>
      </c>
      <c r="CT856" s="127"/>
      <c r="CU856" s="127"/>
      <c r="CV856" s="127"/>
      <c r="CW856" s="127"/>
      <c r="CX856" s="127"/>
      <c r="CY856" s="127"/>
      <c r="CZ856" s="127"/>
      <c r="DA856" s="127"/>
      <c r="DB856" s="127"/>
      <c r="DC856" s="127"/>
      <c r="DD856" s="127"/>
    </row>
    <row r="857" spans="1:108" ht="15" customHeight="1">
      <c r="B857" s="506" t="s">
        <v>624</v>
      </c>
      <c r="C857" s="127" t="s">
        <v>623</v>
      </c>
      <c r="D857" s="144" t="s">
        <v>1423</v>
      </c>
      <c r="E857" s="506">
        <v>22</v>
      </c>
      <c r="J857" s="19"/>
      <c r="AF857" s="141"/>
      <c r="AG857" s="141"/>
      <c r="AH857" s="137"/>
      <c r="AI857" s="484"/>
      <c r="AJ857" s="137">
        <f t="shared" si="279"/>
        <v>0.26388888888888884</v>
      </c>
      <c r="AU857" s="30">
        <v>0</v>
      </c>
      <c r="AV857" s="30">
        <v>0</v>
      </c>
      <c r="AW857" s="30">
        <v>0</v>
      </c>
      <c r="AX857" s="30">
        <v>0</v>
      </c>
      <c r="AY857" s="31">
        <v>33128</v>
      </c>
    </row>
    <row r="858" spans="1:108" ht="15" customHeight="1">
      <c r="B858" s="506" t="s">
        <v>143</v>
      </c>
      <c r="C858" s="127" t="s">
        <v>142</v>
      </c>
      <c r="D858" s="144" t="s">
        <v>1767</v>
      </c>
      <c r="E858" s="506">
        <v>22</v>
      </c>
      <c r="F858" s="346">
        <v>0.4</v>
      </c>
      <c r="G858" s="101">
        <f>VLOOKUP($D858,Construction!$B:$L,(COLUMN(Construction_QuestReward_HeroXP)-COLUMN(Construction_Name_and_Level)+1),FALSE)</f>
        <v>30000</v>
      </c>
      <c r="H858" s="101">
        <f>G858*(1+F858)</f>
        <v>42000</v>
      </c>
      <c r="J858" s="100">
        <f>VLOOKUP($D858,Construction!$B:$L,(COLUMN(Construction_QuestReward_Power)-COLUMN(Construction_Name_and_Level)+1),FALSE)</f>
        <v>217</v>
      </c>
      <c r="AF858" s="141"/>
      <c r="AG858" s="141"/>
      <c r="AH858" s="137"/>
      <c r="AI858" s="484"/>
      <c r="AJ858" s="137">
        <f t="shared" si="279"/>
        <v>0.26388888888888884</v>
      </c>
      <c r="AU858" s="101">
        <f>VLOOKUP($D858,Construction!$B:$Q,(COLUMN(Construction_QuestReward_Stone)-COLUMN(Construction_Name_and_Level)+1),FALSE)</f>
        <v>29700</v>
      </c>
      <c r="AV858" s="101">
        <f>VLOOKUP($D858,Construction!$B:$Q,(COLUMN(Construction_QuestReward_Wood)-COLUMN(Construction_Name_and_Level)+1),FALSE)</f>
        <v>29700</v>
      </c>
      <c r="AW858" s="101">
        <f>VLOOKUP($D858,Construction!$B:$Q,(COLUMN(Construction_QuestReward_Ore)-COLUMN(Construction_Name_and_Level)+1),FALSE)</f>
        <v>22200</v>
      </c>
      <c r="AX858" s="101">
        <f>VLOOKUP($D858,Construction!$B:$Q,(COLUMN(Construction_QuestReward_Food)-COLUMN(Construction_Name_and_Level)+1),FALSE)</f>
        <v>14800</v>
      </c>
      <c r="AY858" s="100">
        <f>VLOOKUP($D858,Construction!$B:$Q,(COLUMN(Construction_QuestReward_Silver)-COLUMN(Construction_Name_and_Level)+1),FALSE)</f>
        <v>450</v>
      </c>
    </row>
    <row r="859" spans="1:108" ht="15" customHeight="1">
      <c r="B859" s="126" t="s">
        <v>1457</v>
      </c>
      <c r="C859" s="127" t="s">
        <v>147</v>
      </c>
      <c r="D859" s="144" t="s">
        <v>1769</v>
      </c>
      <c r="E859" s="506">
        <v>23</v>
      </c>
      <c r="I859" s="5">
        <v>4</v>
      </c>
      <c r="J859" s="5">
        <v>2022</v>
      </c>
      <c r="Q859" s="149"/>
      <c r="AF859" s="141"/>
      <c r="AG859" s="141"/>
      <c r="AH859" s="137"/>
      <c r="AI859" s="484"/>
      <c r="AJ859" s="137">
        <f t="shared" si="279"/>
        <v>0.26388888888888884</v>
      </c>
      <c r="AX859" s="11"/>
    </row>
    <row r="860" spans="1:108" s="420" customFormat="1" ht="15" customHeight="1">
      <c r="A860" s="487"/>
      <c r="B860" s="411" t="s">
        <v>171</v>
      </c>
      <c r="C860" s="412"/>
      <c r="D860" s="412" t="s">
        <v>1770</v>
      </c>
      <c r="E860" s="411">
        <v>23</v>
      </c>
      <c r="F860" s="413">
        <v>0.4</v>
      </c>
      <c r="G860" s="414" t="s">
        <v>1453</v>
      </c>
      <c r="H860" s="414">
        <v>5250689</v>
      </c>
      <c r="I860" s="415">
        <v>60</v>
      </c>
      <c r="J860" s="415">
        <v>114591</v>
      </c>
      <c r="K860" s="414">
        <v>5</v>
      </c>
      <c r="L860" s="414">
        <v>2870</v>
      </c>
      <c r="M860" s="416">
        <v>8.3333333333333329E-2</v>
      </c>
      <c r="N860" s="417">
        <v>470</v>
      </c>
      <c r="O860" s="109">
        <f>SUMIF($B$4:$B859,"&lt;&gt;"&amp;$CS$13,O$4:O859)</f>
        <v>-300</v>
      </c>
      <c r="P860" s="108">
        <f>SUMIF($B$4:$B859,"&lt;&gt;"&amp;$CS$13,N$4:N859)</f>
        <v>770</v>
      </c>
      <c r="Q860" s="416">
        <v>3.472222222222222E-3</v>
      </c>
      <c r="R860" s="416">
        <v>9.0277777777777787E-3</v>
      </c>
      <c r="S860" s="414">
        <v>0</v>
      </c>
      <c r="T860" s="414">
        <v>0</v>
      </c>
      <c r="U860" s="414">
        <v>1</v>
      </c>
      <c r="V860" s="414">
        <v>0</v>
      </c>
      <c r="W860" s="417">
        <v>9</v>
      </c>
      <c r="X860" s="417">
        <v>1</v>
      </c>
      <c r="Y860" s="417">
        <v>1</v>
      </c>
      <c r="Z860" s="417">
        <v>0</v>
      </c>
      <c r="AA860" s="417">
        <v>0</v>
      </c>
      <c r="AB860" s="417">
        <v>0</v>
      </c>
      <c r="AC860" s="417">
        <v>0</v>
      </c>
      <c r="AD860" s="417">
        <v>0</v>
      </c>
      <c r="AE860" s="415">
        <v>0</v>
      </c>
      <c r="AF860" s="419">
        <f>SUMIF($B$4:$B859,"&lt;&gt;"&amp;$CS$13,AF$4:AF859)</f>
        <v>1.0451388888888891</v>
      </c>
      <c r="AG860" s="419">
        <f>SUMIF($B$4:$B859,"&lt;&gt;"&amp;$CS$13,AG$4:AG859)</f>
        <v>0</v>
      </c>
      <c r="AH860" s="416">
        <f>AF860+AG860</f>
        <v>1.0451388888888891</v>
      </c>
      <c r="AI860" s="485">
        <f>SUMIF($B$4:$B859,"&lt;&gt;"&amp;$CS$13,AI$4:AI859)</f>
        <v>0.78124999999999989</v>
      </c>
      <c r="AJ860" s="416">
        <f>S$3*S860+T$3*T860+U$3*U860+V$3*V860+W$3*W860+X$3*X860+Y$3*Y860+Z$3*Z860+AA$3*AA860+AB$3*AB860+AC$3*AC860</f>
        <v>0.2638888888888889</v>
      </c>
      <c r="AK860" s="418">
        <v>0.47499999999999998</v>
      </c>
      <c r="AL860" s="419" t="s">
        <v>1453</v>
      </c>
      <c r="AM860" s="419" t="s">
        <v>1453</v>
      </c>
      <c r="AN860" s="419" t="s">
        <v>1453</v>
      </c>
      <c r="AO860" s="416" t="s">
        <v>1453</v>
      </c>
      <c r="AP860" s="284">
        <v>0.48</v>
      </c>
      <c r="AQ860" s="419" t="s">
        <v>1453</v>
      </c>
      <c r="AR860" s="419" t="s">
        <v>1453</v>
      </c>
      <c r="AS860" s="419" t="s">
        <v>1453</v>
      </c>
      <c r="AT860" s="416" t="s">
        <v>1453</v>
      </c>
      <c r="AU860" s="414">
        <v>376800</v>
      </c>
      <c r="AV860" s="414">
        <v>477100</v>
      </c>
      <c r="AW860" s="414">
        <v>506900</v>
      </c>
      <c r="AX860" s="417">
        <v>531800</v>
      </c>
      <c r="AY860" s="415">
        <v>355900</v>
      </c>
      <c r="AZ860" s="414">
        <v>8174</v>
      </c>
      <c r="BA860" s="414">
        <v>8184</v>
      </c>
      <c r="BB860" s="414">
        <v>5946</v>
      </c>
      <c r="BC860" s="414">
        <v>10800</v>
      </c>
      <c r="BD860" s="415">
        <v>4246</v>
      </c>
      <c r="BE860" s="415">
        <v>-6204</v>
      </c>
      <c r="BF860" s="414">
        <v>387000</v>
      </c>
      <c r="BG860" s="414">
        <v>507000</v>
      </c>
      <c r="BH860" s="414">
        <v>387000</v>
      </c>
      <c r="BI860" s="414">
        <v>450000</v>
      </c>
      <c r="BJ860" s="415">
        <v>275000</v>
      </c>
      <c r="BK860" s="414">
        <v>9</v>
      </c>
      <c r="BL860" s="415">
        <v>8</v>
      </c>
      <c r="BM860" s="415">
        <v>9</v>
      </c>
      <c r="BN860" s="414">
        <v>9</v>
      </c>
      <c r="BO860" s="415">
        <v>6</v>
      </c>
      <c r="BP860" s="414">
        <v>8</v>
      </c>
      <c r="BQ860" s="415">
        <v>6</v>
      </c>
      <c r="BR860" s="414">
        <v>8</v>
      </c>
      <c r="BS860" s="415">
        <v>6</v>
      </c>
      <c r="BT860" s="414">
        <v>9</v>
      </c>
      <c r="BU860" s="415">
        <v>6</v>
      </c>
      <c r="BV860" s="414">
        <v>8</v>
      </c>
      <c r="BW860" s="415">
        <v>6</v>
      </c>
      <c r="BX860" s="414">
        <v>7</v>
      </c>
      <c r="BY860" s="415">
        <v>4</v>
      </c>
      <c r="BZ860" s="414">
        <v>6</v>
      </c>
      <c r="CA860" s="415">
        <v>4</v>
      </c>
      <c r="CB860" s="415">
        <v>6</v>
      </c>
      <c r="CC860" s="415">
        <v>8</v>
      </c>
      <c r="CD860" s="415">
        <v>8</v>
      </c>
      <c r="CE860" s="414">
        <v>8</v>
      </c>
      <c r="CF860" s="414">
        <v>3</v>
      </c>
      <c r="CG860" s="415">
        <v>1</v>
      </c>
      <c r="CH860" s="414">
        <v>8</v>
      </c>
      <c r="CI860" s="414">
        <v>0</v>
      </c>
      <c r="CJ860" s="415">
        <v>0</v>
      </c>
      <c r="CK860" s="415">
        <v>1</v>
      </c>
      <c r="CL860" s="414">
        <v>101100</v>
      </c>
      <c r="CM860" s="415" t="s">
        <v>1453</v>
      </c>
      <c r="CN860" s="415" t="s">
        <v>1208</v>
      </c>
      <c r="CS860" s="421"/>
    </row>
    <row r="861" spans="1:108" ht="15" customHeight="1">
      <c r="B861" s="506" t="s">
        <v>144</v>
      </c>
      <c r="C861" s="127" t="s">
        <v>138</v>
      </c>
      <c r="D861" s="144" t="s">
        <v>1717</v>
      </c>
      <c r="E861" s="506">
        <v>23</v>
      </c>
      <c r="F861" s="12">
        <v>0.4</v>
      </c>
      <c r="G861" s="94">
        <f>VLOOKUP($D861,Construction!$B:$E,(COLUMN(Construction_BuildingReward_HeroXP)-COLUMN(Construction_Name_and_Level)+1),FALSE)</f>
        <v>500</v>
      </c>
      <c r="H861" s="94">
        <f>G861*(1+F861)</f>
        <v>700</v>
      </c>
      <c r="J861" s="95">
        <f>VLOOKUP($D861,Construction!$B:$F,(COLUMN(Construction_BuildingReward_Power)-COLUMN(Construction_Name_and_Level)+1),FALSE)</f>
        <v>125</v>
      </c>
      <c r="Q861" s="139">
        <v>3.472222222222222E-3</v>
      </c>
      <c r="R861" s="289">
        <v>9.0277777777777787E-3</v>
      </c>
      <c r="AF861" s="141"/>
      <c r="AG861" s="141"/>
      <c r="AH861" s="137"/>
      <c r="AI861" s="484"/>
      <c r="AJ861" s="137">
        <f>AJ860+(S$3*S861+T$3*T861+U$3*U861+V$3*V861+W$3*W861+X$3*X861+Y$3*Y861+Z$3*Z861+AA$3*AA861+AB$3*AB861+AC$3*AC861)</f>
        <v>0.2638888888888889</v>
      </c>
      <c r="AK861" s="339">
        <v>0.47499999999999998</v>
      </c>
      <c r="AL861" s="138">
        <f>VLOOKUP($D861,Construction!$B:$C,(COLUMN(Construction_Time)-COLUMN(Construction_Name_and_Level)+1),FALSE)</f>
        <v>0.1037037037037037</v>
      </c>
      <c r="AM861" s="138">
        <f t="shared" ref="AM861" si="288">AL861/(1+AK861)</f>
        <v>7.0307595731324543E-2</v>
      </c>
      <c r="AN861" s="138">
        <f>(S$3*S861+T$3*T861+V$3*V861+W$3*W861+X$3*X861+Y$3*Y861+Z$3*Z861+AA$3*AA861+AB$3*AB861+AC$3*AC861)*(-1)</f>
        <v>0</v>
      </c>
      <c r="AO861" s="139">
        <f>IF((AM861-Q861-R861-AN861)&gt;=0,AM861-Q861-R861-AN861,0)</f>
        <v>5.7807595731324539E-2</v>
      </c>
      <c r="AU861" s="94">
        <f>VLOOKUP($D861,Construction!$B:$J,(COLUMN(Construction_BuildingCost_Stone)-COLUMN(Construction_Name_and_Level)+1),FALSE)*(-1)</f>
        <v>0</v>
      </c>
      <c r="AV861" s="94">
        <f>VLOOKUP($D861,Construction!$B:$J,(COLUMN(Construction_BuildingCost_Wood)-COLUMN(Construction_Name_and_Level)+1),FALSE)*(-1)</f>
        <v>-6696</v>
      </c>
      <c r="AW861" s="94">
        <f>VLOOKUP($D861,Construction!$B:$J,(COLUMN(Construction_BuildingCost_Ore)-COLUMN(Construction_Name_and_Level)+1),FALSE)*(-1)</f>
        <v>-6696</v>
      </c>
      <c r="AX861" s="94">
        <f>VLOOKUP($D861,Construction!$B:$J,(COLUMN(Construction_BuildingCost_Food)-COLUMN(Construction_Name_and_Level)+1),FALSE)*(-1)</f>
        <v>-6696</v>
      </c>
    </row>
    <row r="862" spans="1:108" ht="15" customHeight="1">
      <c r="B862" s="506" t="s">
        <v>144</v>
      </c>
      <c r="C862" s="127" t="s">
        <v>138</v>
      </c>
      <c r="D862" s="144" t="s">
        <v>1724</v>
      </c>
      <c r="E862" s="506">
        <v>23</v>
      </c>
      <c r="F862" s="12">
        <v>0.4</v>
      </c>
      <c r="G862" s="94">
        <f>VLOOKUP($D862,Construction!$B:$E,(COLUMN(Construction_BuildingReward_HeroXP)-COLUMN(Construction_Name_and_Level)+1),FALSE)</f>
        <v>500</v>
      </c>
      <c r="H862" s="94">
        <f>G862*(1+F862)</f>
        <v>700</v>
      </c>
      <c r="J862" s="95">
        <f>VLOOKUP($D862,Construction!$B:$F,(COLUMN(Construction_BuildingReward_Power)-COLUMN(Construction_Name_and_Level)+1),FALSE)</f>
        <v>310</v>
      </c>
      <c r="Q862" s="139">
        <v>3.472222222222222E-3</v>
      </c>
      <c r="R862" s="289">
        <v>9.0277777777777787E-3</v>
      </c>
      <c r="AF862" s="141"/>
      <c r="AG862" s="141"/>
      <c r="AH862" s="137"/>
      <c r="AI862" s="484"/>
      <c r="AJ862" s="137">
        <f>AJ861+(S$3*S862+T$3*T862+U$3*U862+V$3*V862+W$3*W862+X$3*X862+Y$3*Y862+Z$3*Z862+AA$3*AA862+AB$3*AB862+AC$3*AC862)</f>
        <v>0.2638888888888889</v>
      </c>
      <c r="AK862" s="339">
        <v>0.47499999999999998</v>
      </c>
      <c r="AL862" s="138">
        <f>VLOOKUP($D862,Construction!$B:$C,(COLUMN(Construction_Time)-COLUMN(Construction_Name_and_Level)+1),FALSE)</f>
        <v>7.407407407407407E-2</v>
      </c>
      <c r="AM862" s="138">
        <f t="shared" ref="AM862" si="289">AL862/(1+AK862)</f>
        <v>5.0219711236660386E-2</v>
      </c>
      <c r="AN862" s="138">
        <f>(S$3*S862+T$3*T862+V$3*V862+W$3*W862+X$3*X862+Y$3*Y862+Z$3*Z862+AA$3*AA862+AB$3*AB862+AC$3*AC862)*(-1)</f>
        <v>0</v>
      </c>
      <c r="AO862" s="139">
        <f>IF((AM862-Q862-R862-AN862)&gt;=0,AM862-Q862-R862-AN862,0)</f>
        <v>3.7719711236660382E-2</v>
      </c>
      <c r="AU862" s="94">
        <f>VLOOKUP($D862,Construction!$B:$J,(COLUMN(Construction_BuildingCost_Stone)-COLUMN(Construction_Name_and_Level)+1),FALSE)*(-1)</f>
        <v>-13376</v>
      </c>
      <c r="AV862" s="94">
        <f>VLOOKUP($D862,Construction!$B:$J,(COLUMN(Construction_BuildingCost_Wood)-COLUMN(Construction_Name_and_Level)+1),FALSE)*(-1)</f>
        <v>-13376</v>
      </c>
      <c r="AW862" s="94">
        <f>VLOOKUP($D862,Construction!$B:$J,(COLUMN(Construction_BuildingCost_Ore)-COLUMN(Construction_Name_and_Level)+1),FALSE)*(-1)</f>
        <v>-3360</v>
      </c>
      <c r="AX862" s="94">
        <f>VLOOKUP($D862,Construction!$B:$J,(COLUMN(Construction_BuildingCost_Food)-COLUMN(Construction_Name_and_Level)+1),FALSE)*(-1)</f>
        <v>-33416</v>
      </c>
    </row>
    <row r="863" spans="1:108" ht="15" customHeight="1">
      <c r="B863" s="113" t="s">
        <v>1483</v>
      </c>
      <c r="C863" s="127" t="s">
        <v>155</v>
      </c>
      <c r="D863" s="127">
        <v>500</v>
      </c>
      <c r="E863" s="506">
        <v>23</v>
      </c>
      <c r="G863" s="7"/>
      <c r="H863" s="7"/>
      <c r="J863" s="114">
        <f>VLOOKUP($C863,Troop!$B:$AK,(COLUMN(Troop_TrainingReward_Power)-COLUMN(Troop_Name)+1),FALSE)*$D863</f>
        <v>1000</v>
      </c>
      <c r="AF863" s="141"/>
      <c r="AG863" s="141"/>
      <c r="AH863" s="137"/>
      <c r="AI863" s="484"/>
      <c r="AJ863" s="137">
        <f t="shared" ref="AJ863:AJ872" si="290">AJ862+(S$3*S863+T$3*T863+U$3*U863+V$3*V863+W$3*W863+X$3*X863+Y$3*Y863+Z$3*Z863+AA$3*AA863+AB$3*AB863+AC$3*AC863)</f>
        <v>0.2638888888888889</v>
      </c>
      <c r="AU863" s="296">
        <f>VLOOKUP($C863,Troop!$B:$P,(COLUMN(Troop_TrainingCost_Stone)-COLUMN(Troop_Name)+1),FALSE)*$D863*(-1)</f>
        <v>-25000</v>
      </c>
      <c r="AV863" s="296">
        <f>VLOOKUP($C863,Troop!$B:$P,(COLUMN(Troop_TrainingCost_Wood)-COLUMN(Troop_Name)+1),FALSE)*$D863*(-1)</f>
        <v>-25000</v>
      </c>
      <c r="AW863" s="296">
        <f>VLOOKUP($C863,Troop!$B:$P,(COLUMN(Troop_TrainingCost_Ore)-COLUMN(Troop_Name)+1),FALSE)*$D863*(-1)</f>
        <v>0</v>
      </c>
      <c r="AX863" s="296">
        <f>VLOOKUP($C863,Troop!$B:$P,(COLUMN(Troop_TrainingCost_Food)-COLUMN(Troop_Name)+1),FALSE)*$D863*(-1)</f>
        <v>-25000</v>
      </c>
      <c r="AY863" s="114">
        <f>VLOOKUP($C863,Troop!$B:$P,(COLUMN(Troop_TrainingCost_Silver)-COLUMN(Troop_Name)+1),FALSE)*$D863*(-1)</f>
        <v>0</v>
      </c>
      <c r="CT863" s="128"/>
      <c r="CU863" s="128"/>
      <c r="CV863" s="128"/>
      <c r="CW863" s="128"/>
      <c r="CX863" s="128"/>
      <c r="CY863" s="128"/>
      <c r="CZ863" s="128"/>
      <c r="DA863" s="128"/>
      <c r="DB863" s="128"/>
      <c r="DC863" s="128"/>
      <c r="DD863" s="128"/>
    </row>
    <row r="864" spans="1:108" ht="15" customHeight="1">
      <c r="B864" s="506" t="s">
        <v>195</v>
      </c>
      <c r="C864" s="127" t="s">
        <v>468</v>
      </c>
      <c r="D864" s="144" t="s">
        <v>1771</v>
      </c>
      <c r="E864" s="506">
        <v>23</v>
      </c>
      <c r="F864" s="12">
        <v>0.4</v>
      </c>
      <c r="G864" s="211">
        <v>45000</v>
      </c>
      <c r="H864" s="211">
        <f t="shared" ref="H864" si="291">G864*(1+F864)</f>
        <v>62999.999999999993</v>
      </c>
      <c r="AF864" s="141"/>
      <c r="AG864" s="141"/>
      <c r="AH864" s="137"/>
      <c r="AI864" s="484"/>
      <c r="AJ864" s="137">
        <f t="shared" si="290"/>
        <v>0.2638888888888889</v>
      </c>
      <c r="AU864" s="211">
        <v>0</v>
      </c>
      <c r="AV864" s="211">
        <v>112500</v>
      </c>
      <c r="AW864" s="211">
        <v>0</v>
      </c>
      <c r="AX864" s="211">
        <v>0</v>
      </c>
      <c r="AY864" s="160">
        <v>22500</v>
      </c>
      <c r="CL864" s="211">
        <v>25000</v>
      </c>
      <c r="CM864" s="160">
        <f>CL864</f>
        <v>25000</v>
      </c>
    </row>
    <row r="865" spans="2:108" ht="15" customHeight="1">
      <c r="B865" s="506" t="s">
        <v>144</v>
      </c>
      <c r="C865" s="127" t="s">
        <v>138</v>
      </c>
      <c r="D865" s="144" t="s">
        <v>1482</v>
      </c>
      <c r="E865" s="506">
        <v>23</v>
      </c>
      <c r="F865" s="12">
        <v>0.4</v>
      </c>
      <c r="G865" s="94">
        <f>VLOOKUP($D865,Construction!$B:$E,(COLUMN(Construction_BuildingReward_HeroXP)-COLUMN(Construction_Name_and_Level)+1),FALSE)</f>
        <v>10</v>
      </c>
      <c r="H865" s="94">
        <f>G865*(1+F865)</f>
        <v>14</v>
      </c>
      <c r="J865" s="95">
        <f>VLOOKUP($D865,Construction!$B:$F,(COLUMN(Construction_BuildingReward_Power)-COLUMN(Construction_Name_and_Level)+1),FALSE)</f>
        <v>20</v>
      </c>
      <c r="Q865" s="139">
        <v>3.472222222222222E-3</v>
      </c>
      <c r="R865" s="289">
        <v>9.0277777777777787E-3</v>
      </c>
      <c r="AF865" s="141"/>
      <c r="AG865" s="141"/>
      <c r="AH865" s="137"/>
      <c r="AI865" s="484"/>
      <c r="AJ865" s="137">
        <f t="shared" si="290"/>
        <v>0.2638888888888889</v>
      </c>
      <c r="AK865" s="339">
        <v>0.47499999999999998</v>
      </c>
      <c r="AL865" s="138">
        <f>VLOOKUP($D865,Construction!$B:$C,(COLUMN(Construction_Time)-COLUMN(Construction_Name_and_Level)+1),FALSE)</f>
        <v>1.0416666666666667E-3</v>
      </c>
      <c r="AM865" s="138">
        <f t="shared" ref="AM865:AM869" si="292">AL865/(1+AK865)</f>
        <v>7.0621468926553672E-4</v>
      </c>
      <c r="AN865" s="138">
        <f>(S$3*S865+T$3*T865+V$3*V865+W$3*W865+X$3*X865+Y$3*Y865+Z$3*Z865+AA$3*AA865+AB$3*AB865+AC$3*AC865)*(-1)</f>
        <v>0</v>
      </c>
      <c r="AO865" s="139">
        <f>IF((AM865-Q865-R865-AN865)&gt;=0,AM865-Q865-R865-AN865,0)</f>
        <v>0</v>
      </c>
      <c r="AU865" s="94">
        <f>VLOOKUP($D865,Construction!$B:$J,(COLUMN(Construction_BuildingCost_Stone)-COLUMN(Construction_Name_and_Level)+1),FALSE)*(-1)</f>
        <v>-500</v>
      </c>
      <c r="AV865" s="94">
        <f>VLOOKUP($D865,Construction!$B:$J,(COLUMN(Construction_BuildingCost_Wood)-COLUMN(Construction_Name_and_Level)+1),FALSE)*(-1)</f>
        <v>-400</v>
      </c>
      <c r="AW865" s="94">
        <f>VLOOKUP($D865,Construction!$B:$J,(COLUMN(Construction_BuildingCost_Ore)-COLUMN(Construction_Name_and_Level)+1),FALSE)*(-1)</f>
        <v>-300</v>
      </c>
      <c r="AX865" s="94">
        <f>VLOOKUP($D865,Construction!$B:$J,(COLUMN(Construction_BuildingCost_Food)-COLUMN(Construction_Name_and_Level)+1),FALSE)*(-1)</f>
        <v>-250</v>
      </c>
    </row>
    <row r="866" spans="2:108" ht="15" customHeight="1">
      <c r="B866" s="506" t="s">
        <v>144</v>
      </c>
      <c r="C866" s="127" t="s">
        <v>138</v>
      </c>
      <c r="D866" s="144" t="s">
        <v>238</v>
      </c>
      <c r="E866" s="506">
        <v>23</v>
      </c>
      <c r="F866" s="12">
        <v>0.4</v>
      </c>
      <c r="G866" s="94">
        <f>VLOOKUP($D866,Construction!$B:$E,(COLUMN(Construction_BuildingReward_HeroXP)-COLUMN(Construction_Name_and_Level)+1),FALSE)</f>
        <v>25</v>
      </c>
      <c r="H866" s="94">
        <f>G866*(1+F866)</f>
        <v>35</v>
      </c>
      <c r="J866" s="95">
        <f>VLOOKUP($D866,Construction!$B:$F,(COLUMN(Construction_BuildingReward_Power)-COLUMN(Construction_Name_and_Level)+1),FALSE)</f>
        <v>40</v>
      </c>
      <c r="Q866" s="139">
        <v>3.472222222222222E-3</v>
      </c>
      <c r="R866" s="289">
        <v>9.0277777777777787E-3</v>
      </c>
      <c r="AF866" s="141"/>
      <c r="AG866" s="141"/>
      <c r="AH866" s="137"/>
      <c r="AI866" s="484"/>
      <c r="AJ866" s="137">
        <f t="shared" si="290"/>
        <v>0.2638888888888889</v>
      </c>
      <c r="AK866" s="339">
        <v>0.47499999999999998</v>
      </c>
      <c r="AL866" s="138">
        <f>VLOOKUP($D866,Construction!$B:$C,(COLUMN(Construction_Time)-COLUMN(Construction_Name_and_Level)+1),FALSE)</f>
        <v>2.0833333333333333E-3</v>
      </c>
      <c r="AM866" s="138">
        <f t="shared" si="292"/>
        <v>1.4124293785310734E-3</v>
      </c>
      <c r="AN866" s="138">
        <f>(S$3*S866+T$3*T866+V$3*V866+W$3*W866+X$3*X866+Y$3*Y866+Z$3*Z866+AA$3*AA866+AB$3*AB866+AC$3*AC866)*(-1)</f>
        <v>0</v>
      </c>
      <c r="AO866" s="139">
        <f>IF((AM866-Q866-R866-AN866)&gt;=0,AM866-Q866-R866-AN866,0)</f>
        <v>0</v>
      </c>
      <c r="AU866" s="94">
        <f>VLOOKUP($D866,Construction!$B:$J,(COLUMN(Construction_BuildingCost_Stone)-COLUMN(Construction_Name_and_Level)+1),FALSE)*(-1)</f>
        <v>-850</v>
      </c>
      <c r="AV866" s="94">
        <f>VLOOKUP($D866,Construction!$B:$J,(COLUMN(Construction_BuildingCost_Wood)-COLUMN(Construction_Name_and_Level)+1),FALSE)*(-1)</f>
        <v>-680</v>
      </c>
      <c r="AW866" s="94">
        <f>VLOOKUP($D866,Construction!$B:$J,(COLUMN(Construction_BuildingCost_Ore)-COLUMN(Construction_Name_and_Level)+1),FALSE)*(-1)</f>
        <v>-425</v>
      </c>
      <c r="AX866" s="94">
        <f>VLOOKUP($D866,Construction!$B:$J,(COLUMN(Construction_BuildingCost_Food)-COLUMN(Construction_Name_and_Level)+1),FALSE)*(-1)</f>
        <v>-510</v>
      </c>
    </row>
    <row r="867" spans="2:108" ht="15" customHeight="1">
      <c r="B867" s="506" t="s">
        <v>144</v>
      </c>
      <c r="C867" s="127" t="s">
        <v>138</v>
      </c>
      <c r="D867" s="144" t="s">
        <v>239</v>
      </c>
      <c r="E867" s="506">
        <v>23</v>
      </c>
      <c r="F867" s="12">
        <v>0.4</v>
      </c>
      <c r="G867" s="94">
        <f>VLOOKUP($D867,Construction!$B:$E,(COLUMN(Construction_BuildingReward_HeroXP)-COLUMN(Construction_Name_and_Level)+1),FALSE)</f>
        <v>50</v>
      </c>
      <c r="H867" s="94">
        <f>G867*(1+F867)</f>
        <v>70</v>
      </c>
      <c r="J867" s="95">
        <f>VLOOKUP($D867,Construction!$B:$F,(COLUMN(Construction_BuildingReward_Power)-COLUMN(Construction_Name_and_Level)+1),FALSE)</f>
        <v>60</v>
      </c>
      <c r="Q867" s="139">
        <v>3.472222222222222E-3</v>
      </c>
      <c r="R867" s="289">
        <v>9.0277777777777787E-3</v>
      </c>
      <c r="AF867" s="141"/>
      <c r="AG867" s="141"/>
      <c r="AH867" s="137"/>
      <c r="AI867" s="484"/>
      <c r="AJ867" s="137">
        <f t="shared" si="290"/>
        <v>0.2638888888888889</v>
      </c>
      <c r="AK867" s="339">
        <v>0.47499999999999998</v>
      </c>
      <c r="AL867" s="138">
        <f>VLOOKUP($D867,Construction!$B:$C,(COLUMN(Construction_Time)-COLUMN(Construction_Name_and_Level)+1),FALSE)</f>
        <v>4.1666666666666666E-3</v>
      </c>
      <c r="AM867" s="138">
        <f t="shared" si="292"/>
        <v>2.8248587570621469E-3</v>
      </c>
      <c r="AN867" s="138">
        <f>(S$3*S867+T$3*T867+V$3*V867+W$3*W867+X$3*X867+Y$3*Y867+Z$3*Z867+AA$3*AA867+AB$3*AB867+AC$3*AC867)*(-1)</f>
        <v>0</v>
      </c>
      <c r="AO867" s="139">
        <f>IF((AM867-Q867-R867-AN867)&gt;=0,AM867-Q867-R867-AN867,0)</f>
        <v>0</v>
      </c>
      <c r="AU867" s="94">
        <f>VLOOKUP($D867,Construction!$B:$J,(COLUMN(Construction_BuildingCost_Stone)-COLUMN(Construction_Name_and_Level)+1),FALSE)*(-1)</f>
        <v>-1445</v>
      </c>
      <c r="AV867" s="94">
        <f>VLOOKUP($D867,Construction!$B:$J,(COLUMN(Construction_BuildingCost_Wood)-COLUMN(Construction_Name_and_Level)+1),FALSE)*(-1)</f>
        <v>-1156</v>
      </c>
      <c r="AW867" s="94">
        <f>VLOOKUP($D867,Construction!$B:$J,(COLUMN(Construction_BuildingCost_Ore)-COLUMN(Construction_Name_and_Level)+1),FALSE)*(-1)</f>
        <v>-867</v>
      </c>
      <c r="AX867" s="94">
        <f>VLOOKUP($D867,Construction!$B:$J,(COLUMN(Construction_BuildingCost_Food)-COLUMN(Construction_Name_and_Level)+1),FALSE)*(-1)</f>
        <v>-723</v>
      </c>
    </row>
    <row r="868" spans="2:108" ht="15" customHeight="1">
      <c r="B868" s="506" t="s">
        <v>144</v>
      </c>
      <c r="C868" s="127" t="s">
        <v>138</v>
      </c>
      <c r="D868" s="144" t="s">
        <v>240</v>
      </c>
      <c r="E868" s="506">
        <v>23</v>
      </c>
      <c r="F868" s="12">
        <v>0.4</v>
      </c>
      <c r="G868" s="94">
        <f>VLOOKUP($D868,Construction!$B:$E,(COLUMN(Construction_BuildingReward_HeroXP)-COLUMN(Construction_Name_and_Level)+1),FALSE)</f>
        <v>200</v>
      </c>
      <c r="H868" s="94">
        <f>G868*(1+F868)</f>
        <v>280</v>
      </c>
      <c r="J868" s="95">
        <f>VLOOKUP($D868,Construction!$B:$F,(COLUMN(Construction_BuildingReward_Power)-COLUMN(Construction_Name_and_Level)+1),FALSE)</f>
        <v>100</v>
      </c>
      <c r="Q868" s="139">
        <v>3.472222222222222E-3</v>
      </c>
      <c r="R868" s="289">
        <v>9.0277777777777787E-3</v>
      </c>
      <c r="AF868" s="141"/>
      <c r="AG868" s="141"/>
      <c r="AH868" s="137"/>
      <c r="AI868" s="484"/>
      <c r="AJ868" s="137">
        <f t="shared" si="290"/>
        <v>0.2638888888888889</v>
      </c>
      <c r="AK868" s="339">
        <v>0.47499999999999998</v>
      </c>
      <c r="AL868" s="138">
        <f>VLOOKUP($D868,Construction!$B:$C,(COLUMN(Construction_Time)-COLUMN(Construction_Name_and_Level)+1),FALSE)</f>
        <v>8.3333333333333332E-3</v>
      </c>
      <c r="AM868" s="138">
        <f t="shared" si="292"/>
        <v>5.6497175141242938E-3</v>
      </c>
      <c r="AN868" s="138">
        <f>(S$3*S868+T$3*T868+V$3*V868+W$3*W868+X$3*X868+Y$3*Y868+Z$3*Z868+AA$3*AA868+AB$3*AB868+AC$3*AC868)*(-1)</f>
        <v>0</v>
      </c>
      <c r="AO868" s="139">
        <f>IF((AM868-Q868-R868-AN868)&gt;=0,AM868-Q868-R868-AN868,0)</f>
        <v>0</v>
      </c>
      <c r="AU868" s="94">
        <f>VLOOKUP($D868,Construction!$B:$J,(COLUMN(Construction_BuildingCost_Stone)-COLUMN(Construction_Name_and_Level)+1),FALSE)*(-1)</f>
        <v>-2547</v>
      </c>
      <c r="AV868" s="94">
        <f>VLOOKUP($D868,Construction!$B:$J,(COLUMN(Construction_BuildingCost_Wood)-COLUMN(Construction_Name_and_Level)+1),FALSE)*(-1)</f>
        <v>-1966</v>
      </c>
      <c r="AW868" s="94">
        <f>VLOOKUP($D868,Construction!$B:$J,(COLUMN(Construction_BuildingCost_Ore)-COLUMN(Construction_Name_and_Level)+1),FALSE)*(-1)</f>
        <v>-1474</v>
      </c>
      <c r="AX868" s="94">
        <f>VLOOKUP($D868,Construction!$B:$J,(COLUMN(Construction_BuildingCost_Food)-COLUMN(Construction_Name_and_Level)+1),FALSE)*(-1)</f>
        <v>-1230</v>
      </c>
    </row>
    <row r="869" spans="2:108" ht="15" customHeight="1">
      <c r="B869" s="506" t="s">
        <v>144</v>
      </c>
      <c r="C869" s="127" t="s">
        <v>138</v>
      </c>
      <c r="D869" s="144" t="s">
        <v>241</v>
      </c>
      <c r="E869" s="506">
        <v>23</v>
      </c>
      <c r="F869" s="12">
        <v>0.4</v>
      </c>
      <c r="G869" s="94">
        <f>VLOOKUP($D869,Construction!$B:$E,(COLUMN(Construction_BuildingReward_HeroXP)-COLUMN(Construction_Name_and_Level)+1),FALSE)</f>
        <v>400</v>
      </c>
      <c r="H869" s="94">
        <f>G869*(1+F869)</f>
        <v>560</v>
      </c>
      <c r="J869" s="95">
        <f>VLOOKUP($D869,Construction!$B:$F,(COLUMN(Construction_BuildingReward_Power)-COLUMN(Construction_Name_and_Level)+1),FALSE)</f>
        <v>140</v>
      </c>
      <c r="Q869" s="139">
        <v>3.472222222222222E-3</v>
      </c>
      <c r="R869" s="289">
        <v>9.0277777777777787E-3</v>
      </c>
      <c r="U869" s="2">
        <v>-1</v>
      </c>
      <c r="AF869" s="141"/>
      <c r="AG869" s="141"/>
      <c r="AH869" s="137"/>
      <c r="AI869" s="484">
        <f>(-1)*($S$3*$S869+$T$3*$T869+$U$3*$U869+$V$3*$V869+$W$3*$W869+$X$3*$X869+$Y$3*$Y869+$Z$3*$Z869+$AA$3*$AA869+$AB$3*$AB869+$AC$3*$AC869)</f>
        <v>3.472222222222222E-3</v>
      </c>
      <c r="AJ869" s="137">
        <f t="shared" si="290"/>
        <v>0.26041666666666669</v>
      </c>
      <c r="AK869" s="339">
        <v>0.47499999999999998</v>
      </c>
      <c r="AL869" s="138">
        <f>VLOOKUP($D869,Construction!$B:$C,(COLUMN(Construction_Time)-COLUMN(Construction_Name_and_Level)+1),FALSE)</f>
        <v>1.6666666666666666E-2</v>
      </c>
      <c r="AM869" s="138">
        <f t="shared" si="292"/>
        <v>1.1299435028248588E-2</v>
      </c>
      <c r="AN869" s="138">
        <f>(S$3*S869+T$3*T869+V$3*V869+W$3*W869+X$3*X869+Y$3*Y869+Z$3*Z869+AA$3*AA869+AB$3*AB869+AC$3*AC869)*(-1)</f>
        <v>0</v>
      </c>
      <c r="AO869" s="139">
        <f>IF((AM869-Q869-R869-AN869)&gt;=0,AM869-Q869-R869-AN869,0)</f>
        <v>0</v>
      </c>
      <c r="AU869" s="94">
        <f>VLOOKUP($D869,Construction!$B:$J,(COLUMN(Construction_BuildingCost_Stone)-COLUMN(Construction_Name_and_Level)+1),FALSE)*(-1)</f>
        <v>-4177</v>
      </c>
      <c r="AV869" s="94">
        <f>VLOOKUP($D869,Construction!$B:$J,(COLUMN(Construction_BuildingCost_Wood)-COLUMN(Construction_Name_and_Level)+1),FALSE)*(-1)</f>
        <v>-3343</v>
      </c>
      <c r="AW869" s="94">
        <f>VLOOKUP($D869,Construction!$B:$J,(COLUMN(Construction_BuildingCost_Ore)-COLUMN(Construction_Name_and_Level)+1),FALSE)*(-1)</f>
        <v>-2506</v>
      </c>
      <c r="AX869" s="94">
        <f>VLOOKUP($D869,Construction!$B:$J,(COLUMN(Construction_BuildingCost_Food)-COLUMN(Construction_Name_and_Level)+1),FALSE)*(-1)</f>
        <v>-2091</v>
      </c>
    </row>
    <row r="870" spans="2:108" ht="15" customHeight="1">
      <c r="B870" s="506" t="s">
        <v>146</v>
      </c>
      <c r="C870" s="127" t="s">
        <v>138</v>
      </c>
      <c r="D870" s="144" t="s">
        <v>1772</v>
      </c>
      <c r="E870" s="506">
        <v>23</v>
      </c>
      <c r="F870" s="12">
        <v>0.4</v>
      </c>
      <c r="G870" s="111">
        <f>VLOOKUP($D870,Research!$C:$F,(COLUMN(Research_ResearchReward_HeroXP)-COLUMN(Research_Name_and_Level)+1),FALSE)</f>
        <v>48000</v>
      </c>
      <c r="H870" s="111">
        <f t="shared" ref="H870:H871" si="293">G870*(1+F870)</f>
        <v>67200</v>
      </c>
      <c r="J870" s="115">
        <f>VLOOKUP($D870,Research!$C:$G,(COLUMN(Research_ResearchReward_Power)-COLUMN(Research_Name_and_Level)+1),FALSE)</f>
        <v>1850</v>
      </c>
      <c r="R870" s="148">
        <v>9.0277777777777787E-3</v>
      </c>
      <c r="AF870" s="141"/>
      <c r="AG870" s="141"/>
      <c r="AH870" s="137"/>
      <c r="AI870" s="484"/>
      <c r="AJ870" s="137">
        <f>AJ869+(S$3*S870+T$3*T870+U$3*U870+V$3*V870+W$3*W870+X$3*X870+Y$3*Y870+Z$3*Z870+AA$3*AA870+AB$3*AB870+AC$3*AC870)</f>
        <v>0.26041666666666669</v>
      </c>
      <c r="AP870" s="256">
        <v>0.48</v>
      </c>
      <c r="AQ870" s="147">
        <f>VLOOKUP($D870,Research!$C:$D,(COLUMN(Research_Time)-COLUMN(Research_Name_and_Level)+1),FALSE)</f>
        <v>0.28125</v>
      </c>
      <c r="AR870" s="147">
        <f>AQ870/(1+AP870)</f>
        <v>0.1900337837837838</v>
      </c>
      <c r="AS870" s="147">
        <f>(S$3*S870+T$3*T870+V$3*V870+W$3*W870+X$3*X870+Y$3*Y870+Z$3*Z870+AA$3*AA870+AB$3*AB870+AC$3*AC870)*(-1)</f>
        <v>0</v>
      </c>
      <c r="AT870" s="148">
        <f>IF(AR870-R870-AS870&gt;=0,AR870-R870-AS870,0)</f>
        <v>0.18100600600600603</v>
      </c>
      <c r="AU870" s="111">
        <f>VLOOKUP($D870,Research!$C:$L,(COLUMN(Research_ResearchCost_Stone)-COLUMN(Research_Name_and_Level)+1),FALSE)*(-1)</f>
        <v>-2400</v>
      </c>
      <c r="AV870" s="111">
        <f>VLOOKUP($D870,Research!$C:$L,(COLUMN(Research_ResearchCost_Wood)-COLUMN(Research_Name_and_Level)+1),FALSE)*(-1)</f>
        <v>-4000</v>
      </c>
      <c r="AW870" s="111">
        <f>VLOOKUP($D870,Research!$C:$L,(COLUMN(Research_ResearchCost_Ore)-COLUMN(Research_Name_and_Level)+1),FALSE)*(-1)</f>
        <v>-3200</v>
      </c>
      <c r="AX870" s="111">
        <f>VLOOKUP($D870,Research!$C:$L,(COLUMN(Research_ResearchCost_Food)-COLUMN(Research_Name_and_Level)+1),FALSE)*(-1)</f>
        <v>-200</v>
      </c>
      <c r="AY870" s="112">
        <f>VLOOKUP($D870,Research!$C:$L,(COLUMN(Research_ResearchCost_Silver)-COLUMN(Research_Name_and_Level)+1),FALSE)*(-1)</f>
        <v>-37000</v>
      </c>
    </row>
    <row r="871" spans="2:108" ht="15" customHeight="1">
      <c r="B871" s="102" t="s">
        <v>1455</v>
      </c>
      <c r="C871" s="127" t="s">
        <v>170</v>
      </c>
      <c r="D871" s="144" t="s">
        <v>1772</v>
      </c>
      <c r="E871" s="506">
        <v>23</v>
      </c>
      <c r="F871" s="12">
        <v>0.4</v>
      </c>
      <c r="G871" s="101">
        <f>VLOOKUP($D871,Research!$C:$M,(COLUMN(Research_QuestReward_HeroXP)-COLUMN(Research_Name_and_Level)+1),FALSE)</f>
        <v>18000</v>
      </c>
      <c r="H871" s="101">
        <f t="shared" si="293"/>
        <v>25200</v>
      </c>
      <c r="J871" s="103">
        <f>VLOOKUP($D871,Research!$C:$N,(COLUMN(Research_QuestReward_Power)-COLUMN(Research_Name_and_Level)+1),FALSE)</f>
        <v>275</v>
      </c>
      <c r="AF871" s="141"/>
      <c r="AG871" s="141"/>
      <c r="AH871" s="137"/>
      <c r="AI871" s="484"/>
      <c r="AJ871" s="137">
        <f t="shared" si="290"/>
        <v>0.26041666666666669</v>
      </c>
      <c r="AU871" s="101">
        <f>VLOOKUP($D871,Research!$C:$S,(COLUMN(Research_QuestReward_Stone)-COLUMN(Research_Name_and_Level)+1),FALSE)</f>
        <v>4000</v>
      </c>
      <c r="AV871" s="101">
        <f>VLOOKUP($D871,Research!$C:$S,(COLUMN(Research_QuestReward_Wood)-COLUMN(Research_Name_and_Level)+1),FALSE)</f>
        <v>8000</v>
      </c>
      <c r="AW871" s="101">
        <f>VLOOKUP($D871,Research!$C:$S,(COLUMN(Research_QuestReward_Ore)-COLUMN(Research_Name_and_Level)+1),FALSE)</f>
        <v>6000</v>
      </c>
      <c r="AX871" s="101">
        <f>VLOOKUP($D871,Research!$C:$S,(COLUMN(Research_QuestReward_Food)-COLUMN(Research_Name_and_Level)+1),FALSE)</f>
        <v>0</v>
      </c>
      <c r="AY871" s="100">
        <f>VLOOKUP($D871,Research!$C:$S,(COLUMN(Research_QuestReward_Silver)-COLUMN(Research_Name_and_Level)+1),FALSE)</f>
        <v>37000</v>
      </c>
      <c r="CT871" s="127"/>
      <c r="CU871" s="127"/>
      <c r="CV871" s="127"/>
      <c r="CW871" s="127"/>
      <c r="CX871" s="127"/>
      <c r="CY871" s="127"/>
      <c r="CZ871" s="127"/>
      <c r="DA871" s="127"/>
      <c r="DB871" s="127"/>
      <c r="DC871" s="127"/>
      <c r="DD871" s="127"/>
    </row>
    <row r="872" spans="2:108" ht="15" customHeight="1">
      <c r="B872" s="113" t="s">
        <v>1483</v>
      </c>
      <c r="C872" s="127" t="s">
        <v>156</v>
      </c>
      <c r="D872" s="127">
        <v>300</v>
      </c>
      <c r="E872" s="506">
        <v>23</v>
      </c>
      <c r="G872" s="7"/>
      <c r="H872" s="7"/>
      <c r="J872" s="114">
        <f>VLOOKUP($C872,Troop!$B:$AK,(COLUMN(Troop_TrainingReward_Power)-COLUMN(Troop_Name)+1),FALSE)*$D872</f>
        <v>600</v>
      </c>
      <c r="AF872" s="141"/>
      <c r="AG872" s="141"/>
      <c r="AH872" s="137"/>
      <c r="AI872" s="484"/>
      <c r="AJ872" s="137">
        <f t="shared" si="290"/>
        <v>0.26041666666666669</v>
      </c>
      <c r="AU872" s="296">
        <f>VLOOKUP($C872,Troop!$B:$P,(COLUMN(Troop_TrainingCost_Stone)-COLUMN(Troop_Name)+1),FALSE)*$D872*(-1)</f>
        <v>-15000</v>
      </c>
      <c r="AV872" s="296">
        <f>VLOOKUP($C872,Troop!$B:$P,(COLUMN(Troop_TrainingCost_Wood)-COLUMN(Troop_Name)+1),FALSE)*$D872*(-1)</f>
        <v>0</v>
      </c>
      <c r="AW872" s="296">
        <f>VLOOKUP($C872,Troop!$B:$P,(COLUMN(Troop_TrainingCost_Ore)-COLUMN(Troop_Name)+1),FALSE)*$D872*(-1)</f>
        <v>-11400</v>
      </c>
      <c r="AX872" s="296">
        <f>VLOOKUP($C872,Troop!$B:$P,(COLUMN(Troop_TrainingCost_Food)-COLUMN(Troop_Name)+1),FALSE)*$D872*(-1)</f>
        <v>-15000</v>
      </c>
      <c r="AY872" s="114">
        <f>VLOOKUP($C872,Troop!$B:$P,(COLUMN(Troop_TrainingCost_Silver)-COLUMN(Troop_Name)+1),FALSE)*$D872*(-1)</f>
        <v>0</v>
      </c>
      <c r="CT872" s="128"/>
      <c r="CU872" s="128"/>
      <c r="CV872" s="128"/>
      <c r="CW872" s="128"/>
      <c r="CX872" s="128"/>
      <c r="CY872" s="128"/>
      <c r="CZ872" s="128"/>
      <c r="DA872" s="128"/>
      <c r="DB872" s="128"/>
      <c r="DC872" s="128"/>
      <c r="DD872" s="128"/>
    </row>
    <row r="873" spans="2:108" ht="15" customHeight="1">
      <c r="B873" s="506" t="s">
        <v>195</v>
      </c>
      <c r="C873" s="127" t="s">
        <v>468</v>
      </c>
      <c r="D873" s="144" t="s">
        <v>1773</v>
      </c>
      <c r="E873" s="506">
        <v>23</v>
      </c>
      <c r="F873" s="12">
        <v>0.4</v>
      </c>
      <c r="G873" s="211">
        <v>13500</v>
      </c>
      <c r="H873" s="211">
        <f t="shared" ref="H873" si="294">G873*(1+F873)</f>
        <v>18900</v>
      </c>
      <c r="AF873" s="141"/>
      <c r="AG873" s="141"/>
      <c r="AH873" s="137"/>
      <c r="AI873" s="484"/>
      <c r="AJ873" s="137">
        <f>AJ872+(S$3*S873+T$3*T873+U$3*U873+V$3*V873+W$3*W873+X$3*X873+Y$3*Y873+Z$3*Z873+AA$3*AA873+AB$3*AB873+AC$3*AC873)</f>
        <v>0.26041666666666669</v>
      </c>
      <c r="AU873" s="211">
        <v>0</v>
      </c>
      <c r="AV873" s="211">
        <v>0</v>
      </c>
      <c r="AW873" s="211">
        <v>0</v>
      </c>
      <c r="AX873" s="211">
        <v>67500</v>
      </c>
      <c r="AY873" s="160">
        <v>6750</v>
      </c>
      <c r="CL873" s="211">
        <v>7500</v>
      </c>
      <c r="CM873" s="160">
        <f>CL873</f>
        <v>7500</v>
      </c>
    </row>
    <row r="874" spans="2:108" ht="15" customHeight="1">
      <c r="B874" s="506" t="s">
        <v>144</v>
      </c>
      <c r="C874" s="127" t="s">
        <v>138</v>
      </c>
      <c r="D874" s="144" t="s">
        <v>1774</v>
      </c>
      <c r="E874" s="506">
        <v>23</v>
      </c>
      <c r="F874" s="12">
        <v>0.4</v>
      </c>
      <c r="G874" s="94">
        <f>VLOOKUP($D874,Construction!$B:$E,(COLUMN(Construction_BuildingReward_HeroXP)-COLUMN(Construction_Name_and_Level)+1),FALSE)</f>
        <v>500</v>
      </c>
      <c r="H874" s="94">
        <f>G874*(1+F874)</f>
        <v>700</v>
      </c>
      <c r="J874" s="95">
        <f>VLOOKUP($D874,Construction!$B:$F,(COLUMN(Construction_BuildingReward_Power)-COLUMN(Construction_Name_and_Level)+1),FALSE)</f>
        <v>1330</v>
      </c>
      <c r="Q874" s="139">
        <v>3.472222222222222E-3</v>
      </c>
      <c r="R874" s="289">
        <v>9.0277777777777787E-3</v>
      </c>
      <c r="AF874" s="141"/>
      <c r="AG874" s="141"/>
      <c r="AH874" s="137"/>
      <c r="AI874" s="484"/>
      <c r="AJ874" s="137">
        <f t="shared" ref="AJ874" si="295">AJ873+(S$3*S874+T$3*T874+U$3*U874+V$3*V874+W$3*W874+X$3*X874+Y$3*Y874+Z$3*Z874+AA$3*AA874+AB$3*AB874+AC$3*AC874)</f>
        <v>0.26041666666666669</v>
      </c>
      <c r="AK874" s="339">
        <v>0.47499999999999998</v>
      </c>
      <c r="AL874" s="138">
        <f>VLOOKUP($D874,Construction!$B:$C,(COLUMN(Construction_Time)-COLUMN(Construction_Name_and_Level)+1),FALSE)</f>
        <v>0.29629629629629628</v>
      </c>
      <c r="AM874" s="138">
        <f t="shared" ref="AM874" si="296">AL874/(1+AK874)</f>
        <v>0.20087884494664154</v>
      </c>
      <c r="AN874" s="138">
        <f>(S$3*S874+T$3*T874+V$3*V874+W$3*W874+X$3*X874+Y$3*Y874+Z$3*Z874+AA$3*AA874+AB$3*AB874+AC$3*AC874)*(-1)</f>
        <v>0</v>
      </c>
      <c r="AO874" s="139">
        <f>IF((AM874-Q874-R874-AN874)&gt;=0,AM874-Q874-R874-AN874,0)</f>
        <v>0.18837884494664156</v>
      </c>
      <c r="AP874" s="261">
        <v>0.49</v>
      </c>
      <c r="AU874" s="94">
        <f>VLOOKUP($D874,Construction!$B:$J,(COLUMN(Construction_BuildingCost_Stone)-COLUMN(Construction_Name_and_Level)+1),FALSE)*(-1)</f>
        <v>-83984</v>
      </c>
      <c r="AV874" s="94">
        <f>VLOOKUP($D874,Construction!$B:$J,(COLUMN(Construction_BuildingCost_Wood)-COLUMN(Construction_Name_and_Level)+1),FALSE)*(-1)</f>
        <v>-83984</v>
      </c>
      <c r="AW874" s="94">
        <f>VLOOKUP($D874,Construction!$B:$J,(COLUMN(Construction_BuildingCost_Ore)-COLUMN(Construction_Name_and_Level)+1),FALSE)*(-1)</f>
        <v>-33616</v>
      </c>
      <c r="AX874" s="94">
        <f>VLOOKUP($D874,Construction!$B:$J,(COLUMN(Construction_BuildingCost_Food)-COLUMN(Construction_Name_and_Level)+1),FALSE)*(-1)</f>
        <v>-50400</v>
      </c>
    </row>
    <row r="875" spans="2:108" ht="15" customHeight="1">
      <c r="B875" s="506" t="s">
        <v>144</v>
      </c>
      <c r="C875" s="127" t="s">
        <v>138</v>
      </c>
      <c r="D875" s="144" t="s">
        <v>1775</v>
      </c>
      <c r="E875" s="506">
        <v>23</v>
      </c>
      <c r="F875" s="12">
        <v>0.4</v>
      </c>
      <c r="G875" s="94">
        <f>VLOOKUP($D875,Construction!$B:$E,(COLUMN(Construction_BuildingReward_HeroXP)-COLUMN(Construction_Name_and_Level)+1),FALSE)</f>
        <v>500</v>
      </c>
      <c r="H875" s="94">
        <f>G875*(1+F875)</f>
        <v>700</v>
      </c>
      <c r="J875" s="95">
        <f>VLOOKUP($D875,Construction!$B:$F,(COLUMN(Construction_BuildingReward_Power)-COLUMN(Construction_Name_and_Level)+1),FALSE)</f>
        <v>380</v>
      </c>
      <c r="Q875" s="139">
        <v>3.472222222222222E-3</v>
      </c>
      <c r="R875" s="289">
        <v>9.0277777777777787E-3</v>
      </c>
      <c r="AF875" s="141"/>
      <c r="AG875" s="141"/>
      <c r="AH875" s="137"/>
      <c r="AI875" s="484"/>
      <c r="AJ875" s="137">
        <f t="shared" ref="AJ875:AJ939" si="297">AJ874+(S$3*S875+T$3*T875+U$3*U875+V$3*V875+W$3*W875+X$3*X875+Y$3*Y875+Z$3*Z875+AA$3*AA875+AB$3*AB875+AC$3*AC875)</f>
        <v>0.26041666666666669</v>
      </c>
      <c r="AK875" s="339">
        <v>0.47499999999999998</v>
      </c>
      <c r="AL875" s="138">
        <f>VLOOKUP($D875,Construction!$B:$C,(COLUMN(Construction_Time)-COLUMN(Construction_Name_and_Level)+1),FALSE)</f>
        <v>0.2074074074074074</v>
      </c>
      <c r="AM875" s="138">
        <f t="shared" ref="AM875" si="298">AL875/(1+AK875)</f>
        <v>0.14061519146264909</v>
      </c>
      <c r="AN875" s="138">
        <f>(S$3*S875+T$3*T875+V$3*V875+W$3*W875+X$3*X875+Y$3*Y875+Z$3*Z875+AA$3*AA875+AB$3*AB875+AC$3*AC875)*(-1)</f>
        <v>0</v>
      </c>
      <c r="AO875" s="139">
        <f>IF((AM875-Q875-R875-AN875)&gt;=0,AM875-Q875-R875-AN875,0)</f>
        <v>0.1281151914626491</v>
      </c>
      <c r="AU875" s="94">
        <f>VLOOKUP($D875,Construction!$B:$J,(COLUMN(Construction_BuildingCost_Stone)-COLUMN(Construction_Name_and_Level)+1),FALSE)*(-1)</f>
        <v>-58816</v>
      </c>
      <c r="AV875" s="94">
        <f>VLOOKUP($D875,Construction!$B:$J,(COLUMN(Construction_BuildingCost_Wood)-COLUMN(Construction_Name_and_Level)+1),FALSE)*(-1)</f>
        <v>-83984</v>
      </c>
      <c r="AW875" s="94">
        <f>VLOOKUP($D875,Construction!$B:$J,(COLUMN(Construction_BuildingCost_Ore)-COLUMN(Construction_Name_and_Level)+1),FALSE)*(-1)</f>
        <v>-33616</v>
      </c>
      <c r="AX875" s="94">
        <f>VLOOKUP($D875,Construction!$B:$J,(COLUMN(Construction_BuildingCost_Food)-COLUMN(Construction_Name_and_Level)+1),FALSE)*(-1)</f>
        <v>-42000</v>
      </c>
    </row>
    <row r="876" spans="2:108" ht="15" customHeight="1">
      <c r="B876" s="506" t="s">
        <v>143</v>
      </c>
      <c r="C876" s="127" t="s">
        <v>142</v>
      </c>
      <c r="D876" s="144" t="s">
        <v>1774</v>
      </c>
      <c r="E876" s="506">
        <v>23</v>
      </c>
      <c r="F876" s="346">
        <v>0.4</v>
      </c>
      <c r="G876" s="101">
        <f>VLOOKUP($D876,Construction!$B:$L,(COLUMN(Construction_QuestReward_HeroXP)-COLUMN(Construction_Name_and_Level)+1),FALSE)</f>
        <v>50000</v>
      </c>
      <c r="H876" s="101">
        <f>G876*(1+F876)</f>
        <v>70000</v>
      </c>
      <c r="J876" s="100">
        <f>VLOOKUP($D876,Construction!$B:$L,(COLUMN(Construction_QuestReward_Power)-COLUMN(Construction_Name_and_Level)+1),FALSE)</f>
        <v>750</v>
      </c>
      <c r="AF876" s="141"/>
      <c r="AG876" s="141"/>
      <c r="AH876" s="137"/>
      <c r="AI876" s="484"/>
      <c r="AJ876" s="137">
        <f>AJ875+(S$3*S876+T$3*T876+U$3*U876+V$3*V876+W$3*W876+X$3*X876+Y$3*Y876+Z$3*Z876+AA$3*AA876+AB$3*AB876+AC$3*AC876)</f>
        <v>0.26041666666666669</v>
      </c>
      <c r="AU876" s="101">
        <f>VLOOKUP($D876,Construction!$B:$Q,(COLUMN(Construction_QuestReward_Stone)-COLUMN(Construction_Name_and_Level)+1),FALSE)</f>
        <v>46600</v>
      </c>
      <c r="AV876" s="101">
        <f>VLOOKUP($D876,Construction!$B:$Q,(COLUMN(Construction_QuestReward_Wood)-COLUMN(Construction_Name_and_Level)+1),FALSE)</f>
        <v>46600</v>
      </c>
      <c r="AW876" s="101">
        <f>VLOOKUP($D876,Construction!$B:$Q,(COLUMN(Construction_QuestReward_Ore)-COLUMN(Construction_Name_and_Level)+1),FALSE)</f>
        <v>18600</v>
      </c>
      <c r="AX876" s="101">
        <f>VLOOKUP($D876,Construction!$B:$Q,(COLUMN(Construction_QuestReward_Food)-COLUMN(Construction_Name_and_Level)+1),FALSE)</f>
        <v>28000</v>
      </c>
      <c r="AY876" s="100">
        <f>VLOOKUP($D876,Construction!$B:$Q,(COLUMN(Construction_QuestReward_Silver)-COLUMN(Construction_Name_and_Level)+1),FALSE)</f>
        <v>750</v>
      </c>
    </row>
    <row r="877" spans="2:108" ht="15" customHeight="1">
      <c r="B877" s="506" t="s">
        <v>143</v>
      </c>
      <c r="C877" s="127" t="s">
        <v>142</v>
      </c>
      <c r="D877" s="144" t="s">
        <v>1775</v>
      </c>
      <c r="E877" s="506">
        <v>23</v>
      </c>
      <c r="F877" s="346">
        <v>0.4</v>
      </c>
      <c r="G877" s="101">
        <f>VLOOKUP($D877,Construction!$B:$L,(COLUMN(Construction_QuestReward_HeroXP)-COLUMN(Construction_Name_and_Level)+1),FALSE)</f>
        <v>30000</v>
      </c>
      <c r="H877" s="101">
        <f>G877*(1+F877)</f>
        <v>42000</v>
      </c>
      <c r="J877" s="100">
        <f>VLOOKUP($D877,Construction!$B:$L,(COLUMN(Construction_QuestReward_Power)-COLUMN(Construction_Name_and_Level)+1),FALSE)</f>
        <v>217</v>
      </c>
      <c r="AF877" s="141"/>
      <c r="AG877" s="141"/>
      <c r="AH877" s="137"/>
      <c r="AI877" s="484"/>
      <c r="AJ877" s="137">
        <f>AJ876+(S$3*S877+T$3*T877+U$3*U877+V$3*V877+W$3*W877+X$3*X877+Y$3*Y877+Z$3*Z877+AA$3*AA877+AB$3*AB877+AC$3*AC877)</f>
        <v>0.26041666666666669</v>
      </c>
      <c r="AU877" s="101">
        <f>VLOOKUP($D877,Construction!$B:$Q,(COLUMN(Construction_QuestReward_Stone)-COLUMN(Construction_Name_and_Level)+1),FALSE)</f>
        <v>32600</v>
      </c>
      <c r="AV877" s="101">
        <f>VLOOKUP($D877,Construction!$B:$Q,(COLUMN(Construction_QuestReward_Wood)-COLUMN(Construction_Name_and_Level)+1),FALSE)</f>
        <v>46600</v>
      </c>
      <c r="AW877" s="101">
        <f>VLOOKUP($D877,Construction!$B:$Q,(COLUMN(Construction_QuestReward_Ore)-COLUMN(Construction_Name_and_Level)+1),FALSE)</f>
        <v>18600</v>
      </c>
      <c r="AX877" s="101">
        <f>VLOOKUP($D877,Construction!$B:$Q,(COLUMN(Construction_QuestReward_Food)-COLUMN(Construction_Name_and_Level)+1),FALSE)</f>
        <v>23300</v>
      </c>
      <c r="AY877" s="100">
        <f>VLOOKUP($D877,Construction!$B:$Q,(COLUMN(Construction_QuestReward_Silver)-COLUMN(Construction_Name_and_Level)+1),FALSE)</f>
        <v>450</v>
      </c>
    </row>
    <row r="878" spans="2:108" ht="15" customHeight="1">
      <c r="B878" s="506" t="s">
        <v>146</v>
      </c>
      <c r="C878" s="127" t="s">
        <v>138</v>
      </c>
      <c r="D878" s="144" t="s">
        <v>1776</v>
      </c>
      <c r="E878" s="506">
        <v>23</v>
      </c>
      <c r="F878" s="12">
        <v>0.4</v>
      </c>
      <c r="G878" s="111">
        <f>VLOOKUP($D878,Research!$C:$F,(COLUMN(Research_ResearchReward_HeroXP)-COLUMN(Research_Name_and_Level)+1),FALSE)</f>
        <v>200000</v>
      </c>
      <c r="H878" s="111">
        <f t="shared" ref="H878:H879" si="299">G878*(1+F878)</f>
        <v>280000</v>
      </c>
      <c r="J878" s="115">
        <f>VLOOKUP($D878,Research!$C:$G,(COLUMN(Research_ResearchReward_Power)-COLUMN(Research_Name_and_Level)+1),FALSE)</f>
        <v>8000</v>
      </c>
      <c r="R878" s="148">
        <v>9.0277777777777787E-3</v>
      </c>
      <c r="AF878" s="141"/>
      <c r="AG878" s="141"/>
      <c r="AH878" s="137"/>
      <c r="AI878" s="484"/>
      <c r="AJ878" s="137">
        <f t="shared" si="297"/>
        <v>0.26041666666666669</v>
      </c>
      <c r="AK878" s="342">
        <v>0.51500000000000001</v>
      </c>
      <c r="AP878" s="256">
        <v>0.49</v>
      </c>
      <c r="AQ878" s="147">
        <f>VLOOKUP($D878,Research!$C:$D,(COLUMN(Research_Time)-COLUMN(Research_Name_and_Level)+1),FALSE)</f>
        <v>1</v>
      </c>
      <c r="AR878" s="147">
        <f>AQ878/(1+AP878)</f>
        <v>0.67114093959731547</v>
      </c>
      <c r="AS878" s="147">
        <f>(S$3*S878+T$3*T878+V$3*V878+W$3*W878+X$3*X878+Y$3*Y878+Z$3*Z878+AA$3*AA878+AB$3*AB878+AC$3*AC878)*(-1)</f>
        <v>0</v>
      </c>
      <c r="AT878" s="148">
        <f>IF(AR878-R878-AS878&gt;=0,AR878-R878-AS878,0)</f>
        <v>0.66211316181953772</v>
      </c>
      <c r="AU878" s="111">
        <f>VLOOKUP($D878,Research!$C:$L,(COLUMN(Research_ResearchCost_Stone)-COLUMN(Research_Name_and_Level)+1),FALSE)*(-1)</f>
        <v>-160000</v>
      </c>
      <c r="AV878" s="111">
        <f>VLOOKUP($D878,Research!$C:$L,(COLUMN(Research_ResearchCost_Wood)-COLUMN(Research_Name_and_Level)+1),FALSE)*(-1)</f>
        <v>-160000</v>
      </c>
      <c r="AW878" s="111">
        <f>VLOOKUP($D878,Research!$C:$L,(COLUMN(Research_ResearchCost_Ore)-COLUMN(Research_Name_and_Level)+1),FALSE)*(-1)</f>
        <v>-160000</v>
      </c>
      <c r="AX878" s="111">
        <f>VLOOKUP($D878,Research!$C:$L,(COLUMN(Research_ResearchCost_Food)-COLUMN(Research_Name_and_Level)+1),FALSE)*(-1)</f>
        <v>-160000</v>
      </c>
      <c r="AY878" s="112">
        <f>VLOOKUP($D878,Research!$C:$L,(COLUMN(Research_ResearchCost_Silver)-COLUMN(Research_Name_and_Level)+1),FALSE)*(-1)</f>
        <v>-160000</v>
      </c>
    </row>
    <row r="879" spans="2:108" ht="15" customHeight="1">
      <c r="B879" s="102" t="s">
        <v>1455</v>
      </c>
      <c r="C879" s="127" t="s">
        <v>170</v>
      </c>
      <c r="D879" s="144" t="s">
        <v>1776</v>
      </c>
      <c r="E879" s="506">
        <v>23</v>
      </c>
      <c r="F879" s="12">
        <v>0.4</v>
      </c>
      <c r="G879" s="101">
        <f>VLOOKUP($D879,Research!$C:$M,(COLUMN(Research_QuestReward_HeroXP)-COLUMN(Research_Name_and_Level)+1),FALSE)</f>
        <v>68000</v>
      </c>
      <c r="H879" s="101">
        <f t="shared" si="299"/>
        <v>95200</v>
      </c>
      <c r="J879" s="103">
        <f>VLOOKUP($D879,Research!$C:$N,(COLUMN(Research_QuestReward_Power)-COLUMN(Research_Name_and_Level)+1),FALSE)</f>
        <v>275</v>
      </c>
      <c r="AF879" s="141"/>
      <c r="AG879" s="141"/>
      <c r="AH879" s="137"/>
      <c r="AI879" s="484"/>
      <c r="AJ879" s="137">
        <f t="shared" si="297"/>
        <v>0.26041666666666669</v>
      </c>
      <c r="AU879" s="101">
        <f>VLOOKUP($D879,Research!$C:$S,(COLUMN(Research_QuestReward_Stone)-COLUMN(Research_Name_and_Level)+1),FALSE)</f>
        <v>160000</v>
      </c>
      <c r="AV879" s="101">
        <f>VLOOKUP($D879,Research!$C:$S,(COLUMN(Research_QuestReward_Wood)-COLUMN(Research_Name_and_Level)+1),FALSE)</f>
        <v>160000</v>
      </c>
      <c r="AW879" s="101">
        <f>VLOOKUP($D879,Research!$C:$S,(COLUMN(Research_QuestReward_Ore)-COLUMN(Research_Name_and_Level)+1),FALSE)</f>
        <v>160000</v>
      </c>
      <c r="AX879" s="101">
        <f>VLOOKUP($D879,Research!$C:$S,(COLUMN(Research_QuestReward_Food)-COLUMN(Research_Name_and_Level)+1),FALSE)</f>
        <v>160000</v>
      </c>
      <c r="AY879" s="100">
        <f>VLOOKUP($D879,Research!$C:$S,(COLUMN(Research_QuestReward_Silver)-COLUMN(Research_Name_and_Level)+1),FALSE)</f>
        <v>80000</v>
      </c>
      <c r="CT879" s="127"/>
      <c r="CU879" s="127"/>
      <c r="CV879" s="127"/>
      <c r="CW879" s="127"/>
      <c r="CX879" s="127"/>
      <c r="CY879" s="127"/>
      <c r="CZ879" s="127"/>
      <c r="DA879" s="127"/>
      <c r="DB879" s="127"/>
      <c r="DC879" s="127"/>
      <c r="DD879" s="127"/>
    </row>
    <row r="880" spans="2:108" ht="15" customHeight="1">
      <c r="B880" s="506" t="s">
        <v>148</v>
      </c>
      <c r="E880" s="506">
        <v>23</v>
      </c>
      <c r="X880" s="250">
        <v>1</v>
      </c>
      <c r="AF880" s="141">
        <f>$S$3*$S880+$T$3*$T880+$U$3*$U880+$V$3*$V880+$W$3*$W880+$X$3*$X880+$Y$3*$Y880+$Z$3*$Z880+$AA$3*$AA880+$AB$3*$AB880+$AC$3*$AC880</f>
        <v>4.1666666666666664E-2</v>
      </c>
      <c r="AJ880" s="137">
        <f t="shared" si="297"/>
        <v>0.30208333333333337</v>
      </c>
    </row>
    <row r="881" spans="1:108" ht="15" customHeight="1">
      <c r="B881" s="506" t="s">
        <v>148</v>
      </c>
      <c r="E881" s="506">
        <v>23</v>
      </c>
      <c r="N881" s="250">
        <v>160</v>
      </c>
      <c r="AJ881" s="137">
        <f t="shared" si="297"/>
        <v>0.30208333333333337</v>
      </c>
    </row>
    <row r="882" spans="1:108" ht="15" customHeight="1">
      <c r="B882" s="506" t="s">
        <v>145</v>
      </c>
      <c r="C882" s="146" t="s">
        <v>151</v>
      </c>
      <c r="D882" s="145">
        <v>2.6851851851851849E-2</v>
      </c>
      <c r="E882" s="506">
        <v>23</v>
      </c>
      <c r="AF882" s="141"/>
      <c r="AG882" s="141"/>
      <c r="AH882" s="137"/>
      <c r="AI882" s="484"/>
      <c r="AJ882" s="137">
        <f t="shared" si="297"/>
        <v>0.30208333333333337</v>
      </c>
      <c r="AY882" s="5">
        <v>1000</v>
      </c>
    </row>
    <row r="883" spans="1:108" ht="15" customHeight="1">
      <c r="B883" s="506" t="s">
        <v>143</v>
      </c>
      <c r="C883" s="127" t="s">
        <v>466</v>
      </c>
      <c r="D883" s="144" t="s">
        <v>1777</v>
      </c>
      <c r="E883" s="506">
        <v>23</v>
      </c>
      <c r="F883" s="12">
        <v>0.4</v>
      </c>
      <c r="G883" s="101">
        <v>3600</v>
      </c>
      <c r="H883" s="101">
        <f>G883*(1+F883)</f>
        <v>5040</v>
      </c>
      <c r="AF883" s="141"/>
      <c r="AG883" s="141"/>
      <c r="AH883" s="137"/>
      <c r="AI883" s="484"/>
      <c r="AJ883" s="137">
        <f t="shared" si="297"/>
        <v>0.30208333333333337</v>
      </c>
      <c r="AU883" s="101">
        <v>4500</v>
      </c>
      <c r="AV883" s="101">
        <v>0</v>
      </c>
      <c r="AW883" s="101">
        <v>0</v>
      </c>
      <c r="AX883" s="101">
        <v>0</v>
      </c>
      <c r="AY883" s="100">
        <v>900</v>
      </c>
    </row>
    <row r="884" spans="1:108" ht="15" customHeight="1">
      <c r="B884" s="506" t="s">
        <v>195</v>
      </c>
      <c r="C884" s="127" t="s">
        <v>468</v>
      </c>
      <c r="D884" s="144" t="s">
        <v>1778</v>
      </c>
      <c r="E884" s="506">
        <v>23</v>
      </c>
      <c r="F884" s="12">
        <v>0.4</v>
      </c>
      <c r="G884" s="211">
        <v>3600</v>
      </c>
      <c r="H884" s="211">
        <f t="shared" ref="H884" si="300">G884*(1+F884)</f>
        <v>5040</v>
      </c>
      <c r="AF884" s="141"/>
      <c r="AG884" s="141"/>
      <c r="AH884" s="137"/>
      <c r="AI884" s="484"/>
      <c r="AJ884" s="137">
        <f t="shared" si="297"/>
        <v>0.30208333333333337</v>
      </c>
      <c r="AU884" s="211">
        <v>0</v>
      </c>
      <c r="AV884" s="211">
        <v>9000</v>
      </c>
      <c r="AW884" s="211">
        <v>0</v>
      </c>
      <c r="AX884" s="211">
        <v>0</v>
      </c>
      <c r="AY884" s="160">
        <v>1800</v>
      </c>
      <c r="CL884" s="211">
        <v>2000</v>
      </c>
      <c r="CM884" s="160">
        <f>CL884</f>
        <v>2000</v>
      </c>
    </row>
    <row r="885" spans="1:108" ht="15" customHeight="1">
      <c r="B885" s="506" t="s">
        <v>144</v>
      </c>
      <c r="C885" s="127" t="s">
        <v>138</v>
      </c>
      <c r="D885" s="144" t="s">
        <v>1779</v>
      </c>
      <c r="E885" s="506">
        <v>23</v>
      </c>
      <c r="F885" s="12">
        <v>0.4</v>
      </c>
      <c r="G885" s="94">
        <f>VLOOKUP($D885,Construction!$B:$E,(COLUMN(Construction_BuildingReward_HeroXP)-COLUMN(Construction_Name_and_Level)+1),FALSE)</f>
        <v>500</v>
      </c>
      <c r="H885" s="94">
        <f>G885*(1+F885)</f>
        <v>700</v>
      </c>
      <c r="J885" s="95">
        <f>VLOOKUP($D885,Construction!$B:$F,(COLUMN(Construction_BuildingReward_Power)-COLUMN(Construction_Name_and_Level)+1),FALSE)</f>
        <v>190</v>
      </c>
      <c r="Q885" s="139">
        <v>3.472222222222222E-3</v>
      </c>
      <c r="R885" s="289">
        <v>9.0277777777777787E-3</v>
      </c>
      <c r="X885" s="11">
        <v>-2</v>
      </c>
      <c r="AF885" s="141"/>
      <c r="AG885" s="141"/>
      <c r="AH885" s="137"/>
      <c r="AI885" s="484">
        <f>(-1)*($S$3*$S885+$T$3*$T885+$U$3*$U885+$V$3*$V885+$W$3*$W885+$X$3*$X885+$Y$3*$Y885+$Z$3*$Z885+$AA$3*$AA885+$AB$3*$AB885+$AC$3*$AC885)</f>
        <v>8.3333333333333329E-2</v>
      </c>
      <c r="AJ885" s="137">
        <f t="shared" si="297"/>
        <v>0.21875000000000006</v>
      </c>
      <c r="AK885" s="339">
        <v>0.51500000000000001</v>
      </c>
      <c r="AL885" s="138">
        <f>VLOOKUP($D885,Construction!$B:$C,(COLUMN(Construction_Time)-COLUMN(Construction_Name_and_Level)+1),FALSE)</f>
        <v>0.2074074074074074</v>
      </c>
      <c r="AM885" s="138">
        <f t="shared" ref="AM885" si="301">AL885/(1+AK885)</f>
        <v>0.13690257914680357</v>
      </c>
      <c r="AN885" s="138">
        <f>(S$3*S885+T$3*T885+V$3*V885+W$3*W885+X$3*X885+Y$3*Y885+Z$3*Z885+AA$3*AA885+AB$3*AB885+AC$3*AC885)*(-1)</f>
        <v>8.3333333333333329E-2</v>
      </c>
      <c r="AO885" s="139">
        <f>IF((AM885-Q885-R885-AN885)&gt;=0,AM885-Q885-R885-AN885,0)</f>
        <v>4.1069245813470254E-2</v>
      </c>
      <c r="AU885" s="94">
        <f>VLOOKUP($D885,Construction!$B:$J,(COLUMN(Construction_BuildingCost_Stone)-COLUMN(Construction_Name_and_Level)+1),FALSE)*(-1)</f>
        <v>0</v>
      </c>
      <c r="AV885" s="94">
        <f>VLOOKUP($D885,Construction!$B:$J,(COLUMN(Construction_BuildingCost_Wood)-COLUMN(Construction_Name_and_Level)+1),FALSE)*(-1)</f>
        <v>-13392</v>
      </c>
      <c r="AW885" s="94">
        <f>VLOOKUP($D885,Construction!$B:$J,(COLUMN(Construction_BuildingCost_Ore)-COLUMN(Construction_Name_and_Level)+1),FALSE)*(-1)</f>
        <v>-13392</v>
      </c>
      <c r="AX885" s="94">
        <f>VLOOKUP($D885,Construction!$B:$J,(COLUMN(Construction_BuildingCost_Food)-COLUMN(Construction_Name_and_Level)+1),FALSE)*(-1)</f>
        <v>-13392</v>
      </c>
    </row>
    <row r="886" spans="1:108" ht="15" customHeight="1">
      <c r="B886" s="506" t="s">
        <v>143</v>
      </c>
      <c r="C886" s="127" t="s">
        <v>142</v>
      </c>
      <c r="D886" s="144" t="s">
        <v>1779</v>
      </c>
      <c r="E886" s="506">
        <v>23</v>
      </c>
      <c r="F886" s="346">
        <v>0.4</v>
      </c>
      <c r="G886" s="101">
        <f>VLOOKUP($D886,Construction!$B:$L,(COLUMN(Construction_QuestReward_HeroXP)-COLUMN(Construction_Name_and_Level)+1),FALSE)</f>
        <v>10000</v>
      </c>
      <c r="H886" s="101">
        <f>G886*(1+F886)</f>
        <v>14000</v>
      </c>
      <c r="J886" s="100">
        <f>VLOOKUP($D886,Construction!$B:$L,(COLUMN(Construction_QuestReward_Power)-COLUMN(Construction_Name_and_Level)+1),FALSE)</f>
        <v>107</v>
      </c>
      <c r="AF886" s="141"/>
      <c r="AG886" s="141"/>
      <c r="AH886" s="137"/>
      <c r="AI886" s="484"/>
      <c r="AJ886" s="137">
        <f t="shared" si="297"/>
        <v>0.21875000000000006</v>
      </c>
      <c r="AU886" s="101">
        <f>VLOOKUP($D886,Construction!$B:$Q,(COLUMN(Construction_QuestReward_Stone)-COLUMN(Construction_Name_and_Level)+1),FALSE)</f>
        <v>0</v>
      </c>
      <c r="AV886" s="101">
        <f>VLOOKUP($D886,Construction!$B:$Q,(COLUMN(Construction_QuestReward_Wood)-COLUMN(Construction_Name_and_Level)+1),FALSE)</f>
        <v>7400</v>
      </c>
      <c r="AW886" s="101">
        <f>VLOOKUP($D886,Construction!$B:$Q,(COLUMN(Construction_QuestReward_Ore)-COLUMN(Construction_Name_and_Level)+1),FALSE)</f>
        <v>7400</v>
      </c>
      <c r="AX886" s="101">
        <f>VLOOKUP($D886,Construction!$B:$Q,(COLUMN(Construction_QuestReward_Food)-COLUMN(Construction_Name_and_Level)+1),FALSE)</f>
        <v>7400</v>
      </c>
      <c r="AY886" s="100">
        <f>VLOOKUP($D886,Construction!$B:$Q,(COLUMN(Construction_QuestReward_Silver)-COLUMN(Construction_Name_and_Level)+1),FALSE)</f>
        <v>150</v>
      </c>
    </row>
    <row r="887" spans="1:108" ht="15" customHeight="1">
      <c r="B887" s="506" t="s">
        <v>195</v>
      </c>
      <c r="C887" s="127" t="s">
        <v>468</v>
      </c>
      <c r="D887" s="144" t="s">
        <v>1780</v>
      </c>
      <c r="E887" s="506">
        <v>23</v>
      </c>
      <c r="F887" s="12">
        <v>0.4</v>
      </c>
      <c r="G887" s="211">
        <v>900</v>
      </c>
      <c r="H887" s="211">
        <f t="shared" ref="H887" si="302">G887*(1+F887)</f>
        <v>1260</v>
      </c>
      <c r="AF887" s="141"/>
      <c r="AG887" s="141"/>
      <c r="AH887" s="137"/>
      <c r="AI887" s="484"/>
      <c r="AJ887" s="137">
        <f t="shared" si="297"/>
        <v>0.21875000000000006</v>
      </c>
      <c r="AU887" s="211">
        <v>0</v>
      </c>
      <c r="AV887" s="211">
        <v>2250</v>
      </c>
      <c r="AW887" s="211">
        <v>0</v>
      </c>
      <c r="AX887" s="211">
        <v>0</v>
      </c>
      <c r="AY887" s="160">
        <v>450</v>
      </c>
      <c r="CL887" s="211">
        <v>500</v>
      </c>
      <c r="CM887" s="160">
        <f>CL887</f>
        <v>500</v>
      </c>
    </row>
    <row r="888" spans="1:108" ht="15" customHeight="1">
      <c r="B888" s="126" t="s">
        <v>1457</v>
      </c>
      <c r="C888" s="127" t="s">
        <v>147</v>
      </c>
      <c r="D888" s="144" t="s">
        <v>1781</v>
      </c>
      <c r="E888" s="506">
        <v>24</v>
      </c>
      <c r="I888" s="5">
        <v>4</v>
      </c>
      <c r="J888" s="5">
        <v>2553</v>
      </c>
      <c r="Q888" s="149"/>
      <c r="AF888" s="141"/>
      <c r="AG888" s="141"/>
      <c r="AH888" s="137"/>
      <c r="AI888" s="484"/>
      <c r="AJ888" s="137">
        <f t="shared" si="297"/>
        <v>0.21875000000000006</v>
      </c>
      <c r="AX888" s="11"/>
    </row>
    <row r="889" spans="1:108" s="420" customFormat="1" ht="15" customHeight="1">
      <c r="A889" s="487"/>
      <c r="B889" s="411" t="s">
        <v>171</v>
      </c>
      <c r="C889" s="412"/>
      <c r="D889" s="412" t="s">
        <v>1782</v>
      </c>
      <c r="E889" s="411">
        <v>24</v>
      </c>
      <c r="F889" s="413">
        <v>0.4</v>
      </c>
      <c r="G889" s="414" t="s">
        <v>1453</v>
      </c>
      <c r="H889" s="414">
        <v>5941988</v>
      </c>
      <c r="I889" s="415">
        <v>64</v>
      </c>
      <c r="J889" s="415">
        <v>132913</v>
      </c>
      <c r="K889" s="414">
        <v>5</v>
      </c>
      <c r="L889" s="414">
        <v>3140</v>
      </c>
      <c r="M889" s="416">
        <v>8.3333333333333329E-2</v>
      </c>
      <c r="N889" s="417">
        <v>630</v>
      </c>
      <c r="O889" s="109">
        <f>SUMIF($B$4:$B888,"&lt;&gt;"&amp;$CS$13,O$4:O888)</f>
        <v>-300</v>
      </c>
      <c r="P889" s="108">
        <f>SUMIF($B$4:$B888,"&lt;&gt;"&amp;$CS$13,N$4:N888)</f>
        <v>930</v>
      </c>
      <c r="Q889" s="416">
        <v>3.472222222222222E-3</v>
      </c>
      <c r="R889" s="416">
        <v>9.0277777777777787E-3</v>
      </c>
      <c r="S889" s="414">
        <v>0</v>
      </c>
      <c r="T889" s="414">
        <v>0</v>
      </c>
      <c r="U889" s="414">
        <v>0</v>
      </c>
      <c r="V889" s="414">
        <v>0</v>
      </c>
      <c r="W889" s="417">
        <v>9</v>
      </c>
      <c r="X889" s="417">
        <v>0</v>
      </c>
      <c r="Y889" s="417">
        <v>1</v>
      </c>
      <c r="Z889" s="417">
        <v>0</v>
      </c>
      <c r="AA889" s="417">
        <v>0</v>
      </c>
      <c r="AB889" s="417">
        <v>0</v>
      </c>
      <c r="AC889" s="417">
        <v>0</v>
      </c>
      <c r="AD889" s="417">
        <v>0</v>
      </c>
      <c r="AE889" s="415">
        <v>0</v>
      </c>
      <c r="AF889" s="419">
        <f>SUMIF($B$4:$B888,"&lt;&gt;"&amp;$CS$13,AF$4:AF888)</f>
        <v>1.0868055555555558</v>
      </c>
      <c r="AG889" s="419">
        <f>SUMIF($B$4:$B888,"&lt;&gt;"&amp;$CS$13,AG$4:AG888)</f>
        <v>0</v>
      </c>
      <c r="AH889" s="416">
        <f>AF889+AG889</f>
        <v>1.0868055555555558</v>
      </c>
      <c r="AI889" s="485">
        <f>SUMIF($B$4:$B888,"&lt;&gt;"&amp;$CS$13,AI$4:AI888)</f>
        <v>0.86805555555555547</v>
      </c>
      <c r="AJ889" s="416">
        <f>S$3*S889+T$3*T889+U$3*U889+V$3*V889+W$3*W889+X$3*X889+Y$3*Y889+Z$3*Z889+AA$3*AA889+AB$3*AB889+AC$3*AC889</f>
        <v>0.21875</v>
      </c>
      <c r="AK889" s="418">
        <v>0.51500000000000001</v>
      </c>
      <c r="AL889" s="419" t="s">
        <v>1453</v>
      </c>
      <c r="AM889" s="419" t="s">
        <v>1453</v>
      </c>
      <c r="AN889" s="419" t="s">
        <v>1453</v>
      </c>
      <c r="AO889" s="416" t="s">
        <v>1453</v>
      </c>
      <c r="AP889" s="284">
        <v>0.49</v>
      </c>
      <c r="AQ889" s="419" t="s">
        <v>1453</v>
      </c>
      <c r="AR889" s="419" t="s">
        <v>1453</v>
      </c>
      <c r="AS889" s="419" t="s">
        <v>1453</v>
      </c>
      <c r="AT889" s="416" t="s">
        <v>1453</v>
      </c>
      <c r="AU889" s="414">
        <v>423000</v>
      </c>
      <c r="AV889" s="414">
        <v>497900</v>
      </c>
      <c r="AW889" s="414">
        <v>432300</v>
      </c>
      <c r="AX889" s="417">
        <v>442900</v>
      </c>
      <c r="AY889" s="415">
        <v>198900</v>
      </c>
      <c r="AZ889" s="414">
        <v>10032</v>
      </c>
      <c r="BA889" s="414">
        <v>8184</v>
      </c>
      <c r="BB889" s="414">
        <v>5946</v>
      </c>
      <c r="BC889" s="414">
        <v>11100</v>
      </c>
      <c r="BD889" s="415">
        <v>4422</v>
      </c>
      <c r="BE889" s="415">
        <v>-7004</v>
      </c>
      <c r="BF889" s="414">
        <v>423000</v>
      </c>
      <c r="BG889" s="414">
        <v>507000</v>
      </c>
      <c r="BH889" s="414">
        <v>387000</v>
      </c>
      <c r="BI889" s="414">
        <v>450000</v>
      </c>
      <c r="BJ889" s="415">
        <v>291000</v>
      </c>
      <c r="BK889" s="414">
        <v>9</v>
      </c>
      <c r="BL889" s="415">
        <v>8</v>
      </c>
      <c r="BM889" s="415">
        <v>9</v>
      </c>
      <c r="BN889" s="414">
        <v>9</v>
      </c>
      <c r="BO889" s="415">
        <v>6</v>
      </c>
      <c r="BP889" s="414">
        <v>8</v>
      </c>
      <c r="BQ889" s="415">
        <v>6</v>
      </c>
      <c r="BR889" s="414">
        <v>9</v>
      </c>
      <c r="BS889" s="415">
        <v>6</v>
      </c>
      <c r="BT889" s="414">
        <v>9</v>
      </c>
      <c r="BU889" s="415">
        <v>6</v>
      </c>
      <c r="BV889" s="414">
        <v>8</v>
      </c>
      <c r="BW889" s="415">
        <v>6</v>
      </c>
      <c r="BX889" s="414">
        <v>7</v>
      </c>
      <c r="BY889" s="415">
        <v>5</v>
      </c>
      <c r="BZ889" s="414">
        <v>6</v>
      </c>
      <c r="CA889" s="415">
        <v>4</v>
      </c>
      <c r="CB889" s="415">
        <v>6</v>
      </c>
      <c r="CC889" s="415">
        <v>9</v>
      </c>
      <c r="CD889" s="415">
        <v>8</v>
      </c>
      <c r="CE889" s="414">
        <v>9</v>
      </c>
      <c r="CF889" s="414">
        <v>3</v>
      </c>
      <c r="CG889" s="415">
        <v>1</v>
      </c>
      <c r="CH889" s="414">
        <v>8</v>
      </c>
      <c r="CI889" s="414">
        <v>0</v>
      </c>
      <c r="CJ889" s="415">
        <v>0</v>
      </c>
      <c r="CK889" s="415">
        <v>1</v>
      </c>
      <c r="CL889" s="414">
        <v>138200</v>
      </c>
      <c r="CM889" s="415" t="s">
        <v>1453</v>
      </c>
      <c r="CN889" s="415" t="s">
        <v>1208</v>
      </c>
      <c r="CS889" s="421"/>
    </row>
    <row r="890" spans="1:108" ht="15" customHeight="1">
      <c r="B890" s="506" t="s">
        <v>143</v>
      </c>
      <c r="C890" s="127" t="s">
        <v>466</v>
      </c>
      <c r="D890" s="144" t="s">
        <v>1778</v>
      </c>
      <c r="E890" s="506">
        <v>24</v>
      </c>
      <c r="F890" s="12">
        <v>0.4</v>
      </c>
      <c r="G890" s="101">
        <v>3600</v>
      </c>
      <c r="H890" s="101">
        <f>G890*(1+F890)</f>
        <v>5040</v>
      </c>
      <c r="AF890" s="141"/>
      <c r="AG890" s="141"/>
      <c r="AH890" s="137"/>
      <c r="AI890" s="484"/>
      <c r="AJ890" s="137">
        <f t="shared" si="297"/>
        <v>0.21875</v>
      </c>
      <c r="AU890" s="101">
        <v>1800</v>
      </c>
      <c r="AV890" s="101">
        <v>1800</v>
      </c>
      <c r="AW890" s="101">
        <v>1800</v>
      </c>
      <c r="AX890" s="101">
        <v>1800</v>
      </c>
      <c r="AY890" s="100">
        <v>0</v>
      </c>
    </row>
    <row r="891" spans="1:108" ht="15" customHeight="1">
      <c r="B891" s="506" t="s">
        <v>144</v>
      </c>
      <c r="C891" s="127" t="s">
        <v>138</v>
      </c>
      <c r="D891" s="144" t="s">
        <v>1783</v>
      </c>
      <c r="E891" s="506">
        <v>24</v>
      </c>
      <c r="F891" s="12">
        <v>0.4</v>
      </c>
      <c r="G891" s="94">
        <f>VLOOKUP($D891,Construction!$B:$E,(COLUMN(Construction_BuildingReward_HeroXP)-COLUMN(Construction_Name_and_Level)+1),FALSE)</f>
        <v>500</v>
      </c>
      <c r="H891" s="94">
        <f>G891*(1+F891)</f>
        <v>700</v>
      </c>
      <c r="J891" s="95">
        <f>VLOOKUP($D891,Construction!$B:$F,(COLUMN(Construction_BuildingReward_Power)-COLUMN(Construction_Name_and_Level)+1),FALSE)</f>
        <v>475</v>
      </c>
      <c r="Q891" s="139">
        <v>3.472222222222222E-3</v>
      </c>
      <c r="R891" s="289">
        <v>9.0277777777777787E-3</v>
      </c>
      <c r="AF891" s="141"/>
      <c r="AG891" s="141"/>
      <c r="AH891" s="137"/>
      <c r="AI891" s="484"/>
      <c r="AJ891" s="137">
        <f t="shared" si="297"/>
        <v>0.21875</v>
      </c>
      <c r="AK891" s="339">
        <v>0.51500000000000001</v>
      </c>
      <c r="AL891" s="138">
        <f>VLOOKUP($D891,Construction!$B:$C,(COLUMN(Construction_Time)-COLUMN(Construction_Name_and_Level)+1),FALSE)</f>
        <v>0.22222222222222221</v>
      </c>
      <c r="AM891" s="138">
        <f t="shared" ref="AM891" si="303">AL891/(1+AK891)</f>
        <v>0.14668133480014667</v>
      </c>
      <c r="AN891" s="138">
        <f>(S$3*S891+T$3*T891+V$3*V891+W$3*W891+X$3*X891+Y$3*Y891+Z$3*Z891+AA$3*AA891+AB$3*AB891+AC$3*AC891)*(-1)</f>
        <v>0</v>
      </c>
      <c r="AO891" s="139">
        <f>IF((AM891-Q891-R891-AN891)&gt;=0,AM891-Q891-R891-AN891,0)</f>
        <v>0.13418133480014668</v>
      </c>
      <c r="AU891" s="94">
        <f>VLOOKUP($D891,Construction!$B:$J,(COLUMN(Construction_BuildingCost_Stone)-COLUMN(Construction_Name_and_Level)+1),FALSE)*(-1)</f>
        <v>-40096</v>
      </c>
      <c r="AV891" s="94">
        <f>VLOOKUP($D891,Construction!$B:$J,(COLUMN(Construction_BuildingCost_Wood)-COLUMN(Construction_Name_and_Level)+1),FALSE)*(-1)</f>
        <v>-53488</v>
      </c>
      <c r="AW891" s="94">
        <f>VLOOKUP($D891,Construction!$B:$J,(COLUMN(Construction_BuildingCost_Ore)-COLUMN(Construction_Name_and_Level)+1),FALSE)*(-1)</f>
        <v>-106928</v>
      </c>
      <c r="AX891" s="94">
        <f>VLOOKUP($D891,Construction!$B:$J,(COLUMN(Construction_BuildingCost_Food)-COLUMN(Construction_Name_and_Level)+1),FALSE)*(-1)</f>
        <v>-40096</v>
      </c>
    </row>
    <row r="892" spans="1:108" ht="15" customHeight="1">
      <c r="B892" s="506" t="s">
        <v>143</v>
      </c>
      <c r="C892" s="127" t="s">
        <v>142</v>
      </c>
      <c r="D892" s="144" t="s">
        <v>1783</v>
      </c>
      <c r="E892" s="506">
        <v>24</v>
      </c>
      <c r="F892" s="346">
        <v>0.4</v>
      </c>
      <c r="G892" s="101">
        <f>VLOOKUP($D892,Construction!$B:$L,(COLUMN(Construction_QuestReward_HeroXP)-COLUMN(Construction_Name_and_Level)+1),FALSE)</f>
        <v>50000</v>
      </c>
      <c r="H892" s="101">
        <f>G892*(1+F892)</f>
        <v>70000</v>
      </c>
      <c r="J892" s="100">
        <f>VLOOKUP($D892,Construction!$B:$L,(COLUMN(Construction_QuestReward_Power)-COLUMN(Construction_Name_and_Level)+1),FALSE)</f>
        <v>250</v>
      </c>
      <c r="AF892" s="141"/>
      <c r="AG892" s="141"/>
      <c r="AH892" s="137"/>
      <c r="AI892" s="484"/>
      <c r="AJ892" s="137">
        <f t="shared" si="297"/>
        <v>0.21875</v>
      </c>
      <c r="AU892" s="101">
        <f>VLOOKUP($D892,Construction!$B:$Q,(COLUMN(Construction_QuestReward_Stone)-COLUMN(Construction_Name_and_Level)+1),FALSE)</f>
        <v>22200</v>
      </c>
      <c r="AV892" s="101">
        <f>VLOOKUP($D892,Construction!$B:$Q,(COLUMN(Construction_QuestReward_Wood)-COLUMN(Construction_Name_and_Level)+1),FALSE)</f>
        <v>29700</v>
      </c>
      <c r="AW892" s="101">
        <f>VLOOKUP($D892,Construction!$B:$Q,(COLUMN(Construction_QuestReward_Ore)-COLUMN(Construction_Name_and_Level)+1),FALSE)</f>
        <v>59400</v>
      </c>
      <c r="AX892" s="101">
        <f>VLOOKUP($D892,Construction!$B:$Q,(COLUMN(Construction_QuestReward_Food)-COLUMN(Construction_Name_and_Level)+1),FALSE)</f>
        <v>22200</v>
      </c>
      <c r="AY892" s="100">
        <f>VLOOKUP($D892,Construction!$B:$Q,(COLUMN(Construction_QuestReward_Silver)-COLUMN(Construction_Name_and_Level)+1),FALSE)</f>
        <v>750</v>
      </c>
    </row>
    <row r="893" spans="1:108" ht="15" customHeight="1">
      <c r="B893" s="113" t="s">
        <v>1483</v>
      </c>
      <c r="C893" s="127" t="s">
        <v>154</v>
      </c>
      <c r="D893" s="127">
        <v>996</v>
      </c>
      <c r="E893" s="506">
        <v>24</v>
      </c>
      <c r="G893" s="7"/>
      <c r="H893" s="7"/>
      <c r="J893" s="114">
        <f>VLOOKUP($C893,Troop!$B:$AK,(COLUMN(Troop_TrainingReward_Power)-COLUMN(Troop_Name)+1),FALSE)*$D893</f>
        <v>1992</v>
      </c>
      <c r="AF893" s="141"/>
      <c r="AG893" s="141"/>
      <c r="AH893" s="137"/>
      <c r="AI893" s="484"/>
      <c r="AJ893" s="137">
        <f t="shared" si="297"/>
        <v>0.21875</v>
      </c>
      <c r="AU893" s="296">
        <f>VLOOKUP($C893,Troop!$B:$P,(COLUMN(Troop_TrainingCost_Stone)-COLUMN(Troop_Name)+1),FALSE)*$D893*(-1)</f>
        <v>0</v>
      </c>
      <c r="AV893" s="296">
        <f>VLOOKUP($C893,Troop!$B:$P,(COLUMN(Troop_TrainingCost_Wood)-COLUMN(Troop_Name)+1),FALSE)*$D893*(-1)</f>
        <v>-49800</v>
      </c>
      <c r="AW893" s="296">
        <f>VLOOKUP($C893,Troop!$B:$P,(COLUMN(Troop_TrainingCost_Ore)-COLUMN(Troop_Name)+1),FALSE)*$D893*(-1)</f>
        <v>-37848</v>
      </c>
      <c r="AX893" s="296">
        <f>VLOOKUP($C893,Troop!$B:$P,(COLUMN(Troop_TrainingCost_Food)-COLUMN(Troop_Name)+1),FALSE)*$D893*(-1)</f>
        <v>-49800</v>
      </c>
      <c r="AY893" s="114">
        <f>VLOOKUP($C893,Troop!$B:$P,(COLUMN(Troop_TrainingCost_Silver)-COLUMN(Troop_Name)+1),FALSE)*$D893*(-1)</f>
        <v>0</v>
      </c>
      <c r="CT893" s="128"/>
      <c r="CU893" s="128"/>
      <c r="CV893" s="128"/>
      <c r="CW893" s="128"/>
      <c r="CX893" s="128"/>
      <c r="CY893" s="128"/>
      <c r="CZ893" s="128"/>
      <c r="DA893" s="128"/>
      <c r="DB893" s="128"/>
      <c r="DC893" s="128"/>
      <c r="DD893" s="128"/>
    </row>
    <row r="894" spans="1:108" ht="15" customHeight="1">
      <c r="B894" s="506" t="s">
        <v>195</v>
      </c>
      <c r="C894" s="127" t="s">
        <v>468</v>
      </c>
      <c r="D894" s="144" t="s">
        <v>1784</v>
      </c>
      <c r="E894" s="506">
        <v>24</v>
      </c>
      <c r="F894" s="12">
        <v>0.4</v>
      </c>
      <c r="G894" s="211">
        <v>900</v>
      </c>
      <c r="H894" s="211">
        <f t="shared" ref="H894" si="304">G894*(1+F894)</f>
        <v>1260</v>
      </c>
      <c r="AF894" s="141"/>
      <c r="AG894" s="141"/>
      <c r="AH894" s="137"/>
      <c r="AI894" s="484"/>
      <c r="AJ894" s="137">
        <f t="shared" si="297"/>
        <v>0.21875</v>
      </c>
      <c r="AU894" s="211">
        <v>0</v>
      </c>
      <c r="AV894" s="211">
        <v>0</v>
      </c>
      <c r="AW894" s="211">
        <v>0</v>
      </c>
      <c r="AX894" s="211">
        <v>1125</v>
      </c>
      <c r="AY894" s="160">
        <v>225</v>
      </c>
      <c r="CL894" s="211">
        <v>500</v>
      </c>
      <c r="CM894" s="160">
        <f>CL894</f>
        <v>500</v>
      </c>
    </row>
    <row r="895" spans="1:108" ht="15" customHeight="1">
      <c r="B895" s="506" t="s">
        <v>143</v>
      </c>
      <c r="C895" s="127" t="s">
        <v>466</v>
      </c>
      <c r="D895" s="144" t="s">
        <v>1785</v>
      </c>
      <c r="E895" s="506">
        <v>24</v>
      </c>
      <c r="F895" s="12">
        <v>0.4</v>
      </c>
      <c r="G895" s="101">
        <v>3600</v>
      </c>
      <c r="H895" s="101">
        <f>G895*(1+F895)</f>
        <v>5040</v>
      </c>
      <c r="AF895" s="141"/>
      <c r="AG895" s="141"/>
      <c r="AH895" s="137"/>
      <c r="AI895" s="484"/>
      <c r="AJ895" s="137">
        <f t="shared" si="297"/>
        <v>0.21875</v>
      </c>
      <c r="AU895" s="101">
        <v>0</v>
      </c>
      <c r="AV895" s="101">
        <v>0</v>
      </c>
      <c r="AW895" s="101">
        <v>0</v>
      </c>
      <c r="AX895" s="101">
        <v>4500</v>
      </c>
      <c r="AY895" s="100">
        <v>900</v>
      </c>
    </row>
    <row r="896" spans="1:108" ht="15" customHeight="1">
      <c r="B896" s="506" t="s">
        <v>145</v>
      </c>
      <c r="C896" s="146" t="s">
        <v>151</v>
      </c>
      <c r="D896" s="145">
        <v>1.8159722222222219E-2</v>
      </c>
      <c r="E896" s="506">
        <v>24</v>
      </c>
      <c r="AF896" s="141"/>
      <c r="AG896" s="141"/>
      <c r="AH896" s="137"/>
      <c r="AI896" s="484"/>
      <c r="AJ896" s="137">
        <f t="shared" si="297"/>
        <v>0.21875</v>
      </c>
      <c r="AW896" s="2">
        <v>1000</v>
      </c>
    </row>
    <row r="897" spans="2:91" ht="15" customHeight="1">
      <c r="B897" s="506" t="s">
        <v>195</v>
      </c>
      <c r="C897" s="127" t="s">
        <v>468</v>
      </c>
      <c r="D897" s="144" t="s">
        <v>1786</v>
      </c>
      <c r="E897" s="506">
        <v>24</v>
      </c>
      <c r="F897" s="12">
        <v>0.4</v>
      </c>
      <c r="G897" s="211">
        <v>3600</v>
      </c>
      <c r="H897" s="211">
        <f t="shared" ref="H897" si="305">G897*(1+F897)</f>
        <v>5040</v>
      </c>
      <c r="AF897" s="141"/>
      <c r="AG897" s="141"/>
      <c r="AH897" s="137"/>
      <c r="AI897" s="484"/>
      <c r="AJ897" s="137">
        <f t="shared" si="297"/>
        <v>0.21875</v>
      </c>
      <c r="AU897" s="211">
        <v>9000</v>
      </c>
      <c r="AV897" s="211">
        <v>0</v>
      </c>
      <c r="AW897" s="211">
        <v>0</v>
      </c>
      <c r="AX897" s="211">
        <v>9000</v>
      </c>
      <c r="AY897" s="160">
        <v>0</v>
      </c>
      <c r="CL897" s="211">
        <v>2000</v>
      </c>
      <c r="CM897" s="160">
        <f>CL897</f>
        <v>2000</v>
      </c>
    </row>
    <row r="898" spans="2:91" ht="15" customHeight="1">
      <c r="B898" s="506" t="s">
        <v>143</v>
      </c>
      <c r="C898" s="127" t="s">
        <v>466</v>
      </c>
      <c r="D898" s="144" t="s">
        <v>1787</v>
      </c>
      <c r="E898" s="506">
        <v>24</v>
      </c>
      <c r="F898" s="12">
        <v>0.4</v>
      </c>
      <c r="G898" s="101">
        <v>900</v>
      </c>
      <c r="H898" s="101">
        <f>G898*(1+F898)</f>
        <v>1260</v>
      </c>
      <c r="AF898" s="141"/>
      <c r="AG898" s="141"/>
      <c r="AH898" s="137"/>
      <c r="AI898" s="484"/>
      <c r="AJ898" s="137">
        <f t="shared" si="297"/>
        <v>0.21875</v>
      </c>
      <c r="AU898" s="101">
        <v>0</v>
      </c>
      <c r="AV898" s="101">
        <v>0</v>
      </c>
      <c r="AW898" s="101">
        <v>1125</v>
      </c>
      <c r="AX898" s="101">
        <v>0</v>
      </c>
      <c r="AY898" s="100">
        <v>225</v>
      </c>
    </row>
    <row r="899" spans="2:91" ht="15" customHeight="1">
      <c r="B899" s="506" t="s">
        <v>195</v>
      </c>
      <c r="C899" s="127" t="s">
        <v>468</v>
      </c>
      <c r="D899" s="144" t="s">
        <v>1788</v>
      </c>
      <c r="E899" s="506">
        <v>24</v>
      </c>
      <c r="F899" s="12">
        <v>0.4</v>
      </c>
      <c r="G899" s="211">
        <v>900</v>
      </c>
      <c r="H899" s="211">
        <f t="shared" ref="H899" si="306">G899*(1+F899)</f>
        <v>1260</v>
      </c>
      <c r="AF899" s="141"/>
      <c r="AG899" s="141"/>
      <c r="AH899" s="137"/>
      <c r="AI899" s="484"/>
      <c r="AJ899" s="137">
        <f t="shared" si="297"/>
        <v>0.21875</v>
      </c>
      <c r="AU899" s="211">
        <v>2250</v>
      </c>
      <c r="AV899" s="211">
        <v>0</v>
      </c>
      <c r="AW899" s="211">
        <v>0</v>
      </c>
      <c r="AX899" s="211">
        <v>0</v>
      </c>
      <c r="AY899" s="160">
        <v>450</v>
      </c>
      <c r="CL899" s="211">
        <v>500</v>
      </c>
      <c r="CM899" s="160">
        <f>CL899</f>
        <v>500</v>
      </c>
    </row>
    <row r="900" spans="2:91" ht="15" customHeight="1">
      <c r="B900" s="506" t="s">
        <v>624</v>
      </c>
      <c r="C900" s="127" t="s">
        <v>670</v>
      </c>
      <c r="D900" s="144" t="s">
        <v>1789</v>
      </c>
      <c r="E900" s="506">
        <v>24</v>
      </c>
      <c r="H900" s="30">
        <v>1240</v>
      </c>
      <c r="J900" s="31">
        <v>-360</v>
      </c>
      <c r="AF900" s="141"/>
      <c r="AG900" s="141"/>
      <c r="AH900" s="137"/>
      <c r="AI900" s="484"/>
      <c r="AJ900" s="137">
        <f t="shared" si="297"/>
        <v>0.21875</v>
      </c>
      <c r="AU900" s="30">
        <v>0</v>
      </c>
      <c r="AV900" s="30">
        <v>0</v>
      </c>
      <c r="AW900" s="30">
        <v>0</v>
      </c>
      <c r="AX900" s="30">
        <v>16560</v>
      </c>
      <c r="AY900" s="31">
        <v>15520</v>
      </c>
    </row>
    <row r="901" spans="2:91" ht="15" customHeight="1">
      <c r="B901" s="506" t="s">
        <v>143</v>
      </c>
      <c r="C901" s="127" t="s">
        <v>150</v>
      </c>
      <c r="D901" s="144" t="s">
        <v>1790</v>
      </c>
      <c r="E901" s="506">
        <v>24</v>
      </c>
      <c r="F901" s="12">
        <v>0.4</v>
      </c>
      <c r="G901" s="101">
        <v>20000</v>
      </c>
      <c r="H901" s="101">
        <f>G901*(1+F901)</f>
        <v>28000</v>
      </c>
      <c r="J901" s="103">
        <v>700</v>
      </c>
      <c r="AF901" s="141"/>
      <c r="AG901" s="141"/>
      <c r="AH901" s="137"/>
      <c r="AI901" s="484"/>
      <c r="AJ901" s="137">
        <f t="shared" si="297"/>
        <v>0.21875</v>
      </c>
      <c r="AU901" s="101">
        <v>10000</v>
      </c>
      <c r="AV901" s="101">
        <v>10000</v>
      </c>
      <c r="AW901" s="101">
        <v>10000</v>
      </c>
      <c r="AX901" s="101">
        <v>12500</v>
      </c>
      <c r="AY901" s="100">
        <v>1000</v>
      </c>
    </row>
    <row r="902" spans="2:91" ht="15" customHeight="1">
      <c r="B902" s="506" t="s">
        <v>624</v>
      </c>
      <c r="C902" s="127" t="s">
        <v>670</v>
      </c>
      <c r="D902" s="144" t="s">
        <v>1789</v>
      </c>
      <c r="E902" s="506">
        <v>24</v>
      </c>
      <c r="H902" s="30">
        <v>1235</v>
      </c>
      <c r="J902" s="31">
        <v>-212</v>
      </c>
      <c r="AF902" s="141"/>
      <c r="AG902" s="141"/>
      <c r="AH902" s="137"/>
      <c r="AI902" s="484"/>
      <c r="AJ902" s="137">
        <f t="shared" si="297"/>
        <v>0.21875</v>
      </c>
      <c r="AU902" s="30">
        <v>0</v>
      </c>
      <c r="AV902" s="30">
        <v>0</v>
      </c>
      <c r="AW902" s="30">
        <v>0</v>
      </c>
      <c r="AX902" s="30">
        <v>3260</v>
      </c>
      <c r="AY902" s="31">
        <v>14</v>
      </c>
    </row>
    <row r="903" spans="2:91" ht="15" customHeight="1">
      <c r="B903" s="506" t="s">
        <v>624</v>
      </c>
      <c r="C903" s="127" t="s">
        <v>669</v>
      </c>
      <c r="E903" s="506">
        <v>24</v>
      </c>
      <c r="AF903" s="141"/>
      <c r="AG903" s="141"/>
      <c r="AH903" s="137"/>
      <c r="AI903" s="484"/>
      <c r="AJ903" s="137">
        <f t="shared" si="297"/>
        <v>0.21875</v>
      </c>
      <c r="AY903" s="31">
        <v>-1200</v>
      </c>
    </row>
    <row r="904" spans="2:91" ht="15" customHeight="1">
      <c r="B904" s="506" t="s">
        <v>624</v>
      </c>
      <c r="C904" s="127" t="s">
        <v>670</v>
      </c>
      <c r="D904" s="144" t="s">
        <v>1789</v>
      </c>
      <c r="E904" s="506">
        <v>24</v>
      </c>
      <c r="H904" s="30">
        <v>1040</v>
      </c>
      <c r="J904" s="31">
        <v>-54</v>
      </c>
      <c r="AF904" s="141"/>
      <c r="AG904" s="141"/>
      <c r="AH904" s="137"/>
      <c r="AI904" s="484"/>
      <c r="AJ904" s="137">
        <f t="shared" si="297"/>
        <v>0.21875</v>
      </c>
      <c r="AU904" s="30">
        <v>0</v>
      </c>
      <c r="AV904" s="30">
        <v>0</v>
      </c>
      <c r="AW904" s="30">
        <v>0</v>
      </c>
      <c r="AX904" s="30">
        <v>287</v>
      </c>
      <c r="AY904" s="31">
        <v>7</v>
      </c>
    </row>
    <row r="905" spans="2:91" ht="15" customHeight="1">
      <c r="B905" s="506" t="s">
        <v>624</v>
      </c>
      <c r="C905" s="127" t="s">
        <v>670</v>
      </c>
      <c r="D905" s="144" t="s">
        <v>1789</v>
      </c>
      <c r="E905" s="506">
        <v>24</v>
      </c>
      <c r="H905" s="30">
        <v>203</v>
      </c>
      <c r="J905" s="31">
        <v>0</v>
      </c>
      <c r="AF905" s="141"/>
      <c r="AG905" s="141"/>
      <c r="AH905" s="137"/>
      <c r="AI905" s="484"/>
      <c r="AJ905" s="137">
        <f t="shared" si="297"/>
        <v>0.21875</v>
      </c>
      <c r="AU905" s="30">
        <v>0</v>
      </c>
      <c r="AV905" s="30">
        <v>0</v>
      </c>
      <c r="AW905" s="30">
        <v>0</v>
      </c>
      <c r="AX905" s="30">
        <v>372</v>
      </c>
      <c r="AY905" s="31">
        <v>8</v>
      </c>
    </row>
    <row r="906" spans="2:91" ht="15" customHeight="1">
      <c r="B906" s="506" t="s">
        <v>958</v>
      </c>
      <c r="C906" s="127" t="s">
        <v>1791</v>
      </c>
      <c r="D906" s="144" t="s">
        <v>1792</v>
      </c>
      <c r="E906" s="506">
        <v>24</v>
      </c>
      <c r="F906" s="12">
        <v>0.4</v>
      </c>
      <c r="G906" s="337">
        <v>5600</v>
      </c>
      <c r="H906" s="337">
        <f t="shared" ref="H906" si="307">G906*(1+F906)</f>
        <v>7839.9999999999991</v>
      </c>
      <c r="AF906" s="141"/>
      <c r="AG906" s="141"/>
      <c r="AH906" s="137"/>
      <c r="AI906" s="484"/>
      <c r="AJ906" s="137">
        <f t="shared" si="297"/>
        <v>0.21875</v>
      </c>
      <c r="AY906" s="336">
        <v>-71800</v>
      </c>
    </row>
    <row r="907" spans="2:91" ht="15" customHeight="1">
      <c r="B907" s="506" t="s">
        <v>624</v>
      </c>
      <c r="C907" s="127" t="s">
        <v>670</v>
      </c>
      <c r="D907" s="144" t="s">
        <v>1789</v>
      </c>
      <c r="E907" s="506">
        <v>24</v>
      </c>
      <c r="H907" s="30">
        <v>0</v>
      </c>
      <c r="J907" s="31">
        <v>0</v>
      </c>
      <c r="AF907" s="141"/>
      <c r="AG907" s="141"/>
      <c r="AH907" s="137"/>
      <c r="AI907" s="484"/>
      <c r="AJ907" s="137">
        <f t="shared" si="297"/>
        <v>0.21875</v>
      </c>
      <c r="AU907" s="30">
        <v>0</v>
      </c>
      <c r="AV907" s="30">
        <v>0</v>
      </c>
      <c r="AW907" s="30">
        <v>0</v>
      </c>
      <c r="AX907" s="30">
        <v>0</v>
      </c>
      <c r="AY907" s="31">
        <v>34440</v>
      </c>
    </row>
    <row r="908" spans="2:91" ht="15" customHeight="1">
      <c r="B908" s="506" t="s">
        <v>624</v>
      </c>
      <c r="C908" s="127" t="s">
        <v>670</v>
      </c>
      <c r="D908" s="144" t="s">
        <v>1789</v>
      </c>
      <c r="E908" s="506">
        <v>24</v>
      </c>
      <c r="H908" s="30">
        <v>0</v>
      </c>
      <c r="J908" s="31">
        <v>0</v>
      </c>
      <c r="AF908" s="141"/>
      <c r="AG908" s="141"/>
      <c r="AH908" s="137"/>
      <c r="AI908" s="484"/>
      <c r="AJ908" s="137">
        <f t="shared" si="297"/>
        <v>0.21875</v>
      </c>
      <c r="AU908" s="30">
        <v>0</v>
      </c>
      <c r="AV908" s="30">
        <v>0</v>
      </c>
      <c r="AW908" s="30">
        <v>0</v>
      </c>
      <c r="AX908" s="30">
        <v>0</v>
      </c>
      <c r="AY908" s="31">
        <v>34440</v>
      </c>
    </row>
    <row r="909" spans="2:91" ht="15" customHeight="1">
      <c r="B909" s="506" t="s">
        <v>624</v>
      </c>
      <c r="C909" s="127" t="s">
        <v>670</v>
      </c>
      <c r="D909" s="144" t="s">
        <v>1789</v>
      </c>
      <c r="E909" s="506">
        <v>24</v>
      </c>
      <c r="H909" s="30">
        <v>0</v>
      </c>
      <c r="J909" s="31">
        <v>0</v>
      </c>
      <c r="AF909" s="141"/>
      <c r="AG909" s="141"/>
      <c r="AH909" s="137"/>
      <c r="AI909" s="484"/>
      <c r="AJ909" s="137">
        <f t="shared" si="297"/>
        <v>0.21875</v>
      </c>
      <c r="AU909" s="30">
        <v>0</v>
      </c>
      <c r="AV909" s="30">
        <v>0</v>
      </c>
      <c r="AW909" s="30">
        <v>0</v>
      </c>
      <c r="AX909" s="30">
        <v>0</v>
      </c>
      <c r="AY909" s="31">
        <v>34440</v>
      </c>
    </row>
    <row r="910" spans="2:91" ht="15" customHeight="1">
      <c r="B910" s="506" t="s">
        <v>624</v>
      </c>
      <c r="C910" s="127" t="s">
        <v>670</v>
      </c>
      <c r="D910" s="144" t="s">
        <v>1789</v>
      </c>
      <c r="E910" s="506">
        <v>24</v>
      </c>
      <c r="H910" s="30">
        <v>0</v>
      </c>
      <c r="J910" s="31">
        <v>0</v>
      </c>
      <c r="AF910" s="141"/>
      <c r="AG910" s="141"/>
      <c r="AH910" s="137"/>
      <c r="AI910" s="484"/>
      <c r="AJ910" s="137">
        <f t="shared" si="297"/>
        <v>0.21875</v>
      </c>
      <c r="AU910" s="30">
        <v>0</v>
      </c>
      <c r="AV910" s="30">
        <v>0</v>
      </c>
      <c r="AW910" s="30">
        <v>0</v>
      </c>
      <c r="AX910" s="30">
        <v>0</v>
      </c>
      <c r="AY910" s="31">
        <v>19140</v>
      </c>
    </row>
    <row r="911" spans="2:91" ht="15" customHeight="1">
      <c r="B911" s="506" t="s">
        <v>144</v>
      </c>
      <c r="C911" s="127" t="s">
        <v>138</v>
      </c>
      <c r="D911" s="144" t="s">
        <v>1793</v>
      </c>
      <c r="E911" s="506">
        <v>24</v>
      </c>
      <c r="F911" s="12">
        <v>0.4</v>
      </c>
      <c r="G911" s="94">
        <f>VLOOKUP($D911,Construction!$B:$E,(COLUMN(Construction_BuildingReward_HeroXP)-COLUMN(Construction_Name_and_Level)+1),FALSE)</f>
        <v>5000</v>
      </c>
      <c r="H911" s="94">
        <f>G911*(1+F911)</f>
        <v>7000</v>
      </c>
      <c r="J911" s="95">
        <f>VLOOKUP($D911,Construction!$B:$F,(COLUMN(Construction_BuildingReward_Power)-COLUMN(Construction_Name_and_Level)+1),FALSE)</f>
        <v>1140</v>
      </c>
      <c r="Q911" s="139">
        <v>3.472222222222222E-3</v>
      </c>
      <c r="R911" s="289">
        <v>9.0277777777777787E-3</v>
      </c>
      <c r="W911" s="11">
        <v>-2</v>
      </c>
      <c r="Y911" s="11">
        <v>-1</v>
      </c>
      <c r="AF911" s="141"/>
      <c r="AG911" s="141"/>
      <c r="AH911" s="137"/>
      <c r="AI911" s="484">
        <f>(-1)*($S$3*$S911+$T$3*$T911+$U$3*$U911+$V$3*$V911+$W$3*$W911+$X$3*$X911+$Y$3*$Y911+$Z$3*$Z911+$AA$3*$AA911+$AB$3*$AB911+$AC$3*$AC911)</f>
        <v>0.14583333333333334</v>
      </c>
      <c r="AJ911" s="137">
        <f t="shared" si="297"/>
        <v>7.2916666666666657E-2</v>
      </c>
      <c r="AK911" s="339">
        <v>0.51500000000000001</v>
      </c>
      <c r="AL911" s="138">
        <f>VLOOKUP($D911,Construction!$B:$C,(COLUMN(Construction_Time)-COLUMN(Construction_Name_and_Level)+1),FALSE)</f>
        <v>0.31111111111111112</v>
      </c>
      <c r="AM911" s="138">
        <f t="shared" ref="AM911" si="308">AL911/(1+AK911)</f>
        <v>0.20535386872020533</v>
      </c>
      <c r="AN911" s="138">
        <f>(S$3*S911+T$3*T911+V$3*V911+W$3*W911+X$3*X911+Y$3*Y911+Z$3*Z911+AA$3*AA911+AB$3*AB911+AC$3*AC911)*(-1)</f>
        <v>0.14583333333333334</v>
      </c>
      <c r="AO911" s="139">
        <f>IF((AM911-Q911-R911-AN911)&gt;=0,AM911-Q911-R911-AN911,0)</f>
        <v>4.7020535386872009E-2</v>
      </c>
      <c r="AU911" s="94">
        <f>VLOOKUP($D911,Construction!$B:$J,(COLUMN(Construction_BuildingCost_Stone)-COLUMN(Construction_Name_and_Level)+1),FALSE)*(-1)</f>
        <v>-167968</v>
      </c>
      <c r="AV911" s="94">
        <f>VLOOKUP($D911,Construction!$B:$J,(COLUMN(Construction_BuildingCost_Wood)-COLUMN(Construction_Name_and_Level)+1),FALSE)*(-1)</f>
        <v>-134384</v>
      </c>
      <c r="AW911" s="94">
        <f>VLOOKUP($D911,Construction!$B:$J,(COLUMN(Construction_BuildingCost_Ore)-COLUMN(Construction_Name_and_Level)+1),FALSE)*(-1)</f>
        <v>-50400</v>
      </c>
      <c r="AX911" s="94">
        <f>VLOOKUP($D911,Construction!$B:$J,(COLUMN(Construction_BuildingCost_Food)-COLUMN(Construction_Name_and_Level)+1),FALSE)*(-1)</f>
        <v>-83984</v>
      </c>
    </row>
    <row r="912" spans="2:91" ht="15" customHeight="1">
      <c r="B912" s="506" t="s">
        <v>143</v>
      </c>
      <c r="C912" s="127" t="s">
        <v>142</v>
      </c>
      <c r="D912" s="144" t="s">
        <v>1793</v>
      </c>
      <c r="E912" s="506">
        <v>24</v>
      </c>
      <c r="F912" s="346">
        <v>0.4</v>
      </c>
      <c r="G912" s="101">
        <f>VLOOKUP($D912,Construction!$B:$L,(COLUMN(Construction_QuestReward_HeroXP)-COLUMN(Construction_Name_and_Level)+1),FALSE)</f>
        <v>60000</v>
      </c>
      <c r="H912" s="101">
        <f>G912*(1+F912)</f>
        <v>84000</v>
      </c>
      <c r="J912" s="100">
        <f>VLOOKUP($D912,Construction!$B:$L,(COLUMN(Construction_QuestReward_Power)-COLUMN(Construction_Name_and_Level)+1),FALSE)</f>
        <v>650</v>
      </c>
      <c r="AF912" s="141"/>
      <c r="AG912" s="141"/>
      <c r="AH912" s="137"/>
      <c r="AI912" s="484"/>
      <c r="AJ912" s="137">
        <f t="shared" si="297"/>
        <v>7.2916666666666657E-2</v>
      </c>
      <c r="AU912" s="101">
        <f>VLOOKUP($D912,Construction!$B:$Q,(COLUMN(Construction_QuestReward_Stone)-COLUMN(Construction_Name_and_Level)+1),FALSE)</f>
        <v>93300</v>
      </c>
      <c r="AV912" s="101">
        <f>VLOOKUP($D912,Construction!$B:$Q,(COLUMN(Construction_QuestReward_Wood)-COLUMN(Construction_Name_and_Level)+1),FALSE)</f>
        <v>74600</v>
      </c>
      <c r="AW912" s="101">
        <f>VLOOKUP($D912,Construction!$B:$Q,(COLUMN(Construction_QuestReward_Ore)-COLUMN(Construction_Name_and_Level)+1),FALSE)</f>
        <v>28000</v>
      </c>
      <c r="AX912" s="101">
        <f>VLOOKUP($D912,Construction!$B:$Q,(COLUMN(Construction_QuestReward_Food)-COLUMN(Construction_Name_and_Level)+1),FALSE)</f>
        <v>46600</v>
      </c>
      <c r="AY912" s="100">
        <f>VLOOKUP($D912,Construction!$B:$Q,(COLUMN(Construction_QuestReward_Silver)-COLUMN(Construction_Name_and_Level)+1),FALSE)</f>
        <v>850</v>
      </c>
    </row>
    <row r="913" spans="2:108" ht="15" customHeight="1">
      <c r="B913" s="506" t="s">
        <v>195</v>
      </c>
      <c r="C913" s="127" t="s">
        <v>468</v>
      </c>
      <c r="D913" s="144" t="s">
        <v>1794</v>
      </c>
      <c r="E913" s="506">
        <v>24</v>
      </c>
      <c r="F913" s="12">
        <v>0.4</v>
      </c>
      <c r="G913" s="211">
        <v>3600</v>
      </c>
      <c r="H913" s="211">
        <f t="shared" ref="H913" si="309">G913*(1+F913)</f>
        <v>5040</v>
      </c>
      <c r="AF913" s="141"/>
      <c r="AG913" s="141"/>
      <c r="AH913" s="137"/>
      <c r="AI913" s="484"/>
      <c r="AJ913" s="137">
        <f t="shared" si="297"/>
        <v>7.2916666666666657E-2</v>
      </c>
      <c r="AU913" s="211">
        <v>1800</v>
      </c>
      <c r="AV913" s="213">
        <v>1800</v>
      </c>
      <c r="AW913" s="213">
        <v>1800</v>
      </c>
      <c r="AX913" s="213">
        <v>1800</v>
      </c>
      <c r="AY913" s="160">
        <v>1800</v>
      </c>
      <c r="CL913" s="211">
        <v>2000</v>
      </c>
      <c r="CM913" s="160">
        <f>CL913</f>
        <v>2000</v>
      </c>
    </row>
    <row r="914" spans="2:108" ht="15" customHeight="1">
      <c r="B914" s="506" t="s">
        <v>195</v>
      </c>
      <c r="C914" s="127" t="s">
        <v>1750</v>
      </c>
      <c r="D914" s="144" t="s">
        <v>1752</v>
      </c>
      <c r="E914" s="506">
        <v>24</v>
      </c>
      <c r="AJ914" s="137">
        <f t="shared" si="297"/>
        <v>7.2916666666666657E-2</v>
      </c>
      <c r="AV914" s="213">
        <v>10000</v>
      </c>
    </row>
    <row r="915" spans="2:108" ht="15" customHeight="1">
      <c r="B915" s="506" t="s">
        <v>195</v>
      </c>
      <c r="C915" s="127" t="s">
        <v>468</v>
      </c>
      <c r="D915" s="144" t="s">
        <v>1795</v>
      </c>
      <c r="E915" s="506">
        <v>24</v>
      </c>
      <c r="F915" s="12">
        <v>0.4</v>
      </c>
      <c r="G915" s="211">
        <v>900</v>
      </c>
      <c r="H915" s="211">
        <f t="shared" ref="H915" si="310">G915*(1+F915)</f>
        <v>1260</v>
      </c>
      <c r="AF915" s="141"/>
      <c r="AG915" s="141"/>
      <c r="AH915" s="137"/>
      <c r="AI915" s="484"/>
      <c r="AJ915" s="137">
        <f t="shared" si="297"/>
        <v>7.2916666666666657E-2</v>
      </c>
      <c r="AU915" s="211">
        <v>675</v>
      </c>
      <c r="AV915" s="213">
        <v>675</v>
      </c>
      <c r="AW915" s="213">
        <v>0</v>
      </c>
      <c r="AX915" s="213">
        <v>0</v>
      </c>
      <c r="AY915" s="160">
        <v>135</v>
      </c>
      <c r="CL915" s="211">
        <v>500</v>
      </c>
      <c r="CM915" s="160">
        <f>CL915</f>
        <v>500</v>
      </c>
    </row>
    <row r="916" spans="2:108" ht="15" customHeight="1">
      <c r="B916" s="506" t="s">
        <v>144</v>
      </c>
      <c r="C916" s="127" t="s">
        <v>138</v>
      </c>
      <c r="D916" s="144" t="s">
        <v>1796</v>
      </c>
      <c r="E916" s="506">
        <v>24</v>
      </c>
      <c r="F916" s="12">
        <v>0.4</v>
      </c>
      <c r="G916" s="94">
        <f>VLOOKUP($D916,Construction!$B:$E,(COLUMN(Construction_BuildingReward_HeroXP)-COLUMN(Construction_Name_and_Level)+1),FALSE)</f>
        <v>500</v>
      </c>
      <c r="H916" s="94">
        <f>G916*(1+F916)</f>
        <v>700</v>
      </c>
      <c r="J916" s="95">
        <f>VLOOKUP($D916,Construction!$B:$F,(COLUMN(Construction_BuildingReward_Power)-COLUMN(Construction_Name_and_Level)+1),FALSE)</f>
        <v>500</v>
      </c>
      <c r="Q916" s="139">
        <v>3.472222222222222E-3</v>
      </c>
      <c r="R916" s="289">
        <v>9.0277777777777787E-3</v>
      </c>
      <c r="W916" s="11">
        <v>-7</v>
      </c>
      <c r="AF916" s="141"/>
      <c r="AG916" s="141"/>
      <c r="AH916" s="137"/>
      <c r="AI916" s="484">
        <f>(-1)*($S$3*$S916+$T$3*$T916+$U$3*$U916+$V$3*$V916+$W$3*$W916+$X$3*$X916+$Y$3*$Y916+$Z$3*$Z916+$AA$3*$AA916+$AB$3*$AB916+$AC$3*$AC916)</f>
        <v>7.2916666666666657E-2</v>
      </c>
      <c r="AJ916" s="137">
        <f t="shared" si="297"/>
        <v>0</v>
      </c>
      <c r="AK916" s="339">
        <v>0.51500000000000001</v>
      </c>
      <c r="AL916" s="138">
        <f>VLOOKUP($D916,Construction!$B:$C,(COLUMN(Construction_Time)-COLUMN(Construction_Name_and_Level)+1),FALSE)</f>
        <v>0.13333333333333333</v>
      </c>
      <c r="AM916" s="138">
        <f t="shared" ref="AM916" si="311">AL916/(1+AK916)</f>
        <v>8.8008800880088001E-2</v>
      </c>
      <c r="AN916" s="138">
        <f>(S$3*S916+T$3*T916+V$3*V916+W$3*W916+X$3*X916+Y$3*Y916+Z$3*Z916+AA$3*AA916+AB$3*AB916+AC$3*AC916)*(-1)</f>
        <v>7.2916666666666657E-2</v>
      </c>
      <c r="AO916" s="139">
        <f>IF((AM916-Q916-R916-AN916)&gt;=0,AM916-Q916-R916-AN916,0)</f>
        <v>2.592134213421346E-3</v>
      </c>
      <c r="AU916" s="94">
        <f>VLOOKUP($D916,Construction!$B:$J,(COLUMN(Construction_BuildingCost_Stone)-COLUMN(Construction_Name_and_Level)+1),FALSE)*(-1)</f>
        <v>-33416</v>
      </c>
      <c r="AV916" s="94">
        <f>VLOOKUP($D916,Construction!$B:$J,(COLUMN(Construction_BuildingCost_Wood)-COLUMN(Construction_Name_and_Level)+1),FALSE)*(-1)</f>
        <v>-26744</v>
      </c>
      <c r="AW916" s="94">
        <f>VLOOKUP($D916,Construction!$B:$J,(COLUMN(Construction_BuildingCost_Ore)-COLUMN(Construction_Name_and_Level)+1),FALSE)*(-1)</f>
        <v>-20048</v>
      </c>
      <c r="AX916" s="94">
        <f>VLOOKUP($D916,Construction!$B:$J,(COLUMN(Construction_BuildingCost_Food)-COLUMN(Construction_Name_and_Level)+1),FALSE)*(-1)</f>
        <v>-16728</v>
      </c>
    </row>
    <row r="917" spans="2:108" ht="15" customHeight="1">
      <c r="B917" s="506" t="s">
        <v>143</v>
      </c>
      <c r="C917" s="127" t="s">
        <v>142</v>
      </c>
      <c r="D917" s="144" t="s">
        <v>1796</v>
      </c>
      <c r="E917" s="506">
        <v>24</v>
      </c>
      <c r="F917" s="346">
        <v>0.4</v>
      </c>
      <c r="G917" s="101">
        <f>VLOOKUP($D917,Construction!$B:$L,(COLUMN(Construction_QuestReward_HeroXP)-COLUMN(Construction_Name_and_Level)+1),FALSE)</f>
        <v>10000</v>
      </c>
      <c r="H917" s="101">
        <f>G917*(1+F917)</f>
        <v>14000</v>
      </c>
      <c r="J917" s="100">
        <f>VLOOKUP($D917,Construction!$B:$L,(COLUMN(Construction_QuestReward_Power)-COLUMN(Construction_Name_and_Level)+1),FALSE)</f>
        <v>275</v>
      </c>
      <c r="AF917" s="141"/>
      <c r="AG917" s="141"/>
      <c r="AH917" s="137"/>
      <c r="AI917" s="484"/>
      <c r="AJ917" s="137">
        <f t="shared" si="297"/>
        <v>0</v>
      </c>
      <c r="AU917" s="101">
        <f>VLOOKUP($D917,Construction!$B:$Q,(COLUMN(Construction_QuestReward_Stone)-COLUMN(Construction_Name_and_Level)+1),FALSE)</f>
        <v>20800</v>
      </c>
      <c r="AV917" s="101">
        <f>VLOOKUP($D917,Construction!$B:$Q,(COLUMN(Construction_QuestReward_Wood)-COLUMN(Construction_Name_and_Level)+1),FALSE)</f>
        <v>16700</v>
      </c>
      <c r="AW917" s="101">
        <f>VLOOKUP($D917,Construction!$B:$Q,(COLUMN(Construction_QuestReward_Ore)-COLUMN(Construction_Name_and_Level)+1),FALSE)</f>
        <v>12500</v>
      </c>
      <c r="AX917" s="101">
        <f>VLOOKUP($D917,Construction!$B:$Q,(COLUMN(Construction_QuestReward_Food)-COLUMN(Construction_Name_and_Level)+1),FALSE)</f>
        <v>10400</v>
      </c>
      <c r="AY917" s="100">
        <f>VLOOKUP($D917,Construction!$B:$Q,(COLUMN(Construction_QuestReward_Silver)-COLUMN(Construction_Name_and_Level)+1),FALSE)</f>
        <v>350</v>
      </c>
    </row>
    <row r="918" spans="2:108" ht="15" customHeight="1">
      <c r="B918" s="506" t="s">
        <v>195</v>
      </c>
      <c r="C918" s="127" t="s">
        <v>468</v>
      </c>
      <c r="D918" s="144" t="s">
        <v>1797</v>
      </c>
      <c r="E918" s="506">
        <v>24</v>
      </c>
      <c r="F918" s="12">
        <v>0.4</v>
      </c>
      <c r="G918" s="211">
        <v>900</v>
      </c>
      <c r="H918" s="211">
        <f t="shared" ref="H918" si="312">G918*(1+F918)</f>
        <v>1260</v>
      </c>
      <c r="AF918" s="141"/>
      <c r="AG918" s="141"/>
      <c r="AH918" s="137"/>
      <c r="AI918" s="484"/>
      <c r="AJ918" s="137">
        <f t="shared" si="297"/>
        <v>0</v>
      </c>
      <c r="AU918" s="211">
        <v>2250</v>
      </c>
      <c r="AV918" s="213">
        <v>0</v>
      </c>
      <c r="AW918" s="213">
        <v>0</v>
      </c>
      <c r="AX918" s="213">
        <v>0</v>
      </c>
      <c r="AY918" s="160">
        <v>450</v>
      </c>
      <c r="CL918" s="211">
        <v>500</v>
      </c>
      <c r="CM918" s="160">
        <f>CL918</f>
        <v>500</v>
      </c>
    </row>
    <row r="919" spans="2:108" ht="15" customHeight="1">
      <c r="B919" s="506" t="s">
        <v>195</v>
      </c>
      <c r="C919" s="127" t="s">
        <v>878</v>
      </c>
      <c r="D919" s="144" t="s">
        <v>1688</v>
      </c>
      <c r="E919" s="506">
        <v>24</v>
      </c>
      <c r="Y919" s="11">
        <v>1</v>
      </c>
      <c r="AF919" s="141">
        <f>$S$3*$S919+$T$3*$T919+$U$3*$U919+$V$3*$V919+$W$3*$W919+$X$3*$X919+$Y$3*$Y919+$Z$3*$Z919+$AA$3*$AA919+$AB$3*$AB919+$AC$3*$AC919</f>
        <v>0.125</v>
      </c>
      <c r="AG919" s="141"/>
      <c r="AH919" s="137"/>
      <c r="AI919" s="484"/>
      <c r="AJ919" s="137">
        <f t="shared" si="297"/>
        <v>0.125</v>
      </c>
      <c r="CL919" s="211">
        <v>-150000</v>
      </c>
    </row>
    <row r="920" spans="2:108" ht="15" customHeight="1">
      <c r="B920" s="506" t="s">
        <v>144</v>
      </c>
      <c r="C920" s="127" t="s">
        <v>138</v>
      </c>
      <c r="D920" s="144" t="s">
        <v>1798</v>
      </c>
      <c r="E920" s="506">
        <v>24</v>
      </c>
      <c r="F920" s="12">
        <v>0.4</v>
      </c>
      <c r="G920" s="94">
        <f>VLOOKUP($D920,Construction!$B:$E,(COLUMN(Construction_BuildingReward_HeroXP)-COLUMN(Construction_Name_and_Level)+1),FALSE)</f>
        <v>500</v>
      </c>
      <c r="H920" s="94">
        <f>G920*(1+F920)</f>
        <v>700</v>
      </c>
      <c r="J920" s="95">
        <f>VLOOKUP($D920,Construction!$B:$F,(COLUMN(Construction_BuildingReward_Power)-COLUMN(Construction_Name_and_Level)+1),FALSE)</f>
        <v>760</v>
      </c>
      <c r="Q920" s="139">
        <v>3.472222222222222E-3</v>
      </c>
      <c r="R920" s="289">
        <v>9.0277777777777787E-3</v>
      </c>
      <c r="Y920" s="11">
        <v>-1</v>
      </c>
      <c r="AF920" s="141"/>
      <c r="AG920" s="141"/>
      <c r="AH920" s="137"/>
      <c r="AI920" s="484">
        <f>(-1)*($S$3*$S920+$T$3*$T920+$U$3*$U920+$V$3*$V920+$W$3*$W920+$X$3*$X920+$Y$3*$Y920+$Z$3*$Z920+$AA$3*$AA920+$AB$3*$AB920+$AC$3*$AC920)</f>
        <v>0.125</v>
      </c>
      <c r="AJ920" s="137">
        <f t="shared" si="297"/>
        <v>0</v>
      </c>
      <c r="AK920" s="339">
        <v>0.51500000000000001</v>
      </c>
      <c r="AL920" s="138">
        <f>VLOOKUP($D920,Construction!$B:$C,(COLUMN(Construction_Time)-COLUMN(Construction_Name_and_Level)+1),FALSE)</f>
        <v>0.26666666666666666</v>
      </c>
      <c r="AM920" s="138">
        <f t="shared" ref="AM920" si="313">AL920/(1+AK920)</f>
        <v>0.176017601760176</v>
      </c>
      <c r="AN920" s="138">
        <f>(S$3*S920+T$3*T920+V$3*V920+W$3*W920+X$3*X920+Y$3*Y920+Z$3*Z920+AA$3*AA920+AB$3*AB920+AC$3*AC920)*(-1)</f>
        <v>0.125</v>
      </c>
      <c r="AO920" s="139">
        <f>IF((AM920-Q920-R920-AN920)&gt;=0,AM920-Q920-R920-AN920,0)</f>
        <v>3.8517601760176018E-2</v>
      </c>
      <c r="AU920" s="94">
        <f>VLOOKUP($D920,Construction!$B:$J,(COLUMN(Construction_BuildingCost_Stone)-COLUMN(Construction_Name_and_Level)+1),FALSE)*(-1)</f>
        <v>-66832</v>
      </c>
      <c r="AV920" s="94">
        <f>VLOOKUP($D920,Construction!$B:$J,(COLUMN(Construction_BuildingCost_Wood)-COLUMN(Construction_Name_and_Level)+1),FALSE)*(-1)</f>
        <v>-53488</v>
      </c>
      <c r="AW920" s="94">
        <f>VLOOKUP($D920,Construction!$B:$J,(COLUMN(Construction_BuildingCost_Ore)-COLUMN(Construction_Name_and_Level)+1),FALSE)*(-1)</f>
        <v>-40096</v>
      </c>
      <c r="AX920" s="94">
        <f>VLOOKUP($D920,Construction!$B:$J,(COLUMN(Construction_BuildingCost_Food)-COLUMN(Construction_Name_and_Level)+1),FALSE)*(-1)</f>
        <v>-33456</v>
      </c>
    </row>
    <row r="921" spans="2:108" ht="15" customHeight="1">
      <c r="B921" s="506" t="s">
        <v>143</v>
      </c>
      <c r="C921" s="127" t="s">
        <v>142</v>
      </c>
      <c r="D921" s="144" t="s">
        <v>1798</v>
      </c>
      <c r="E921" s="506">
        <v>24</v>
      </c>
      <c r="F921" s="346">
        <v>0.4</v>
      </c>
      <c r="G921" s="101">
        <f>VLOOKUP($D921,Construction!$B:$L,(COLUMN(Construction_QuestReward_HeroXP)-COLUMN(Construction_Name_and_Level)+1),FALSE)</f>
        <v>30000</v>
      </c>
      <c r="H921" s="101">
        <f>G921*(1+F921)</f>
        <v>42000</v>
      </c>
      <c r="J921" s="100">
        <f>VLOOKUP($D921,Construction!$B:$L,(COLUMN(Construction_QuestReward_Power)-COLUMN(Construction_Name_and_Level)+1),FALSE)</f>
        <v>425</v>
      </c>
      <c r="AF921" s="141"/>
      <c r="AG921" s="141"/>
      <c r="AH921" s="137"/>
      <c r="AI921" s="484"/>
      <c r="AJ921" s="137">
        <f t="shared" si="297"/>
        <v>0</v>
      </c>
      <c r="AU921" s="101">
        <f>VLOOKUP($D921,Construction!$B:$Q,(COLUMN(Construction_QuestReward_Stone)-COLUMN(Construction_Name_and_Level)+1),FALSE)</f>
        <v>37100</v>
      </c>
      <c r="AV921" s="101">
        <f>VLOOKUP($D921,Construction!$B:$Q,(COLUMN(Construction_QuestReward_Wood)-COLUMN(Construction_Name_and_Level)+1),FALSE)</f>
        <v>29700</v>
      </c>
      <c r="AW921" s="101">
        <f>VLOOKUP($D921,Construction!$B:$Q,(COLUMN(Construction_QuestReward_Ore)-COLUMN(Construction_Name_and_Level)+1),FALSE)</f>
        <v>22200</v>
      </c>
      <c r="AX921" s="101">
        <f>VLOOKUP($D921,Construction!$B:$Q,(COLUMN(Construction_QuestReward_Food)-COLUMN(Construction_Name_and_Level)+1),FALSE)</f>
        <v>18500</v>
      </c>
      <c r="AY921" s="100">
        <f>VLOOKUP($D921,Construction!$B:$Q,(COLUMN(Construction_QuestReward_Silver)-COLUMN(Construction_Name_and_Level)+1),FALSE)</f>
        <v>450</v>
      </c>
    </row>
    <row r="922" spans="2:108" ht="15" customHeight="1">
      <c r="B922" s="506" t="s">
        <v>146</v>
      </c>
      <c r="C922" s="127" t="s">
        <v>138</v>
      </c>
      <c r="D922" s="144" t="s">
        <v>1799</v>
      </c>
      <c r="E922" s="506">
        <v>24</v>
      </c>
      <c r="F922" s="12">
        <v>0.4</v>
      </c>
      <c r="G922" s="111">
        <f>VLOOKUP($D922,Research!$C:$F,(COLUMN(Research_ResearchReward_HeroXP)-COLUMN(Research_Name_and_Level)+1),FALSE)</f>
        <v>150000</v>
      </c>
      <c r="H922" s="111">
        <f t="shared" ref="H922" si="314">G922*(1+F922)</f>
        <v>210000</v>
      </c>
      <c r="J922" s="115">
        <f>VLOOKUP($D922,Research!$C:$G,(COLUMN(Research_ResearchReward_Power)-COLUMN(Research_Name_and_Level)+1),FALSE)</f>
        <v>9000</v>
      </c>
      <c r="R922" s="148">
        <v>9.7222222222222224E-3</v>
      </c>
      <c r="AF922" s="141"/>
      <c r="AG922" s="141"/>
      <c r="AH922" s="137"/>
      <c r="AI922" s="484"/>
      <c r="AJ922" s="137">
        <f t="shared" si="297"/>
        <v>0</v>
      </c>
      <c r="AP922" s="256">
        <v>0.49</v>
      </c>
      <c r="AQ922" s="147">
        <f>VLOOKUP($D922,Research!$C:$D,(COLUMN(Research_Time)-COLUMN(Research_Name_and_Level)+1),FALSE)</f>
        <v>2.5</v>
      </c>
      <c r="AR922" s="147">
        <f>AQ922/(1+AP922)</f>
        <v>1.6778523489932886</v>
      </c>
      <c r="AS922" s="147">
        <f>(S$3*S922+T$3*T922+V$3*V922+W$3*W922+X$3*X922+Y$3*Y922+Z$3*Z922+AA$3*AA922+AB$3*AB922+AC$3*AC922)*(-1)</f>
        <v>0</v>
      </c>
      <c r="AT922" s="148">
        <f>IF(AR922-R922-AS922&gt;=0,AR922-R922-AS922,0)</f>
        <v>1.6681301267710664</v>
      </c>
      <c r="AU922" s="111">
        <f>VLOOKUP($D922,Research!$C:$L,(COLUMN(Research_ResearchCost_Stone)-COLUMN(Research_Name_and_Level)+1),FALSE)*(-1)</f>
        <v>0</v>
      </c>
      <c r="AV922" s="111">
        <f>VLOOKUP($D922,Research!$C:$L,(COLUMN(Research_ResearchCost_Wood)-COLUMN(Research_Name_and_Level)+1),FALSE)*(-1)</f>
        <v>-100000</v>
      </c>
      <c r="AW922" s="111">
        <f>VLOOKUP($D922,Research!$C:$L,(COLUMN(Research_ResearchCost_Ore)-COLUMN(Research_Name_and_Level)+1),FALSE)*(-1)</f>
        <v>-75000</v>
      </c>
      <c r="AX922" s="111">
        <f>VLOOKUP($D922,Research!$C:$L,(COLUMN(Research_ResearchCost_Food)-COLUMN(Research_Name_and_Level)+1),FALSE)*(-1)</f>
        <v>-100000</v>
      </c>
      <c r="AY922" s="112">
        <f>VLOOKUP($D922,Research!$C:$L,(COLUMN(Research_ResearchCost_Silver)-COLUMN(Research_Name_and_Level)+1),FALSE)*(-1)</f>
        <v>-180000</v>
      </c>
    </row>
    <row r="923" spans="2:108" ht="15" customHeight="1">
      <c r="B923" s="506" t="s">
        <v>144</v>
      </c>
      <c r="C923" s="127" t="s">
        <v>138</v>
      </c>
      <c r="D923" s="144" t="s">
        <v>1800</v>
      </c>
      <c r="E923" s="506">
        <v>24</v>
      </c>
      <c r="F923" s="12">
        <v>0.4</v>
      </c>
      <c r="G923" s="94">
        <f>VLOOKUP($D923,Construction!$B:$E,(COLUMN(Construction_BuildingReward_HeroXP)-COLUMN(Construction_Name_and_Level)+1),FALSE)</f>
        <v>10000</v>
      </c>
      <c r="H923" s="94">
        <f>G923*(1+F923)</f>
        <v>14000</v>
      </c>
      <c r="J923" s="95">
        <f>VLOOKUP($D923,Construction!$B:$F,(COLUMN(Construction_BuildingReward_Power)-COLUMN(Construction_Name_and_Level)+1),FALSE)</f>
        <v>2850</v>
      </c>
      <c r="Q923" s="139">
        <v>3.472222222222222E-3</v>
      </c>
      <c r="R923" s="159">
        <v>9.7222222222222224E-3</v>
      </c>
      <c r="AF923" s="141"/>
      <c r="AG923" s="141"/>
      <c r="AH923" s="137"/>
      <c r="AI923" s="484"/>
      <c r="AJ923" s="137">
        <f t="shared" si="297"/>
        <v>0</v>
      </c>
      <c r="AK923" s="339">
        <v>0.51500000000000001</v>
      </c>
      <c r="AL923" s="138">
        <f>VLOOKUP($D923,Construction!$B:$C,(COLUMN(Construction_Time)-COLUMN(Construction_Name_and_Level)+1),FALSE)</f>
        <v>1.7777777777777777</v>
      </c>
      <c r="AM923" s="138">
        <f t="shared" ref="AM923" si="315">AL923/(1+AK923)</f>
        <v>1.1734506784011733</v>
      </c>
      <c r="AN923" s="138">
        <f>(S$3*S923+T$3*T923+V$3*V923+W$3*W923+X$3*X923+Y$3*Y923+Z$3*Z923+AA$3*AA923+AB$3*AB923+AC$3*AC923)*(-1)</f>
        <v>0</v>
      </c>
      <c r="AO923" s="139">
        <f>IF((AM923-Q923-R923-AN923)&gt;=0,AM923-Q923-R923-AN923,0)</f>
        <v>1.1602562339567288</v>
      </c>
      <c r="AU923" s="94">
        <f>VLOOKUP($D923,Construction!$B:$J,(COLUMN(Construction_BuildingCost_Stone)-COLUMN(Construction_Name_and_Level)+1),FALSE)*(-1)</f>
        <v>-251952</v>
      </c>
      <c r="AV923" s="94">
        <f>VLOOKUP($D923,Construction!$B:$J,(COLUMN(Construction_BuildingCost_Wood)-COLUMN(Construction_Name_and_Level)+1),FALSE)*(-1)</f>
        <v>-251952</v>
      </c>
      <c r="AW923" s="94">
        <f>VLOOKUP($D923,Construction!$B:$J,(COLUMN(Construction_BuildingCost_Ore)-COLUMN(Construction_Name_and_Level)+1),FALSE)*(-1)</f>
        <v>-100800</v>
      </c>
      <c r="AX923" s="94">
        <f>VLOOKUP($D923,Construction!$B:$J,(COLUMN(Construction_BuildingCost_Food)-COLUMN(Construction_Name_and_Level)+1),FALSE)*(-1)</f>
        <v>-125976</v>
      </c>
    </row>
    <row r="924" spans="2:108" ht="15" customHeight="1">
      <c r="B924" s="506" t="s">
        <v>1457</v>
      </c>
      <c r="C924" s="127" t="s">
        <v>172</v>
      </c>
      <c r="D924" s="145" t="s">
        <v>1801</v>
      </c>
      <c r="E924" s="506">
        <v>24</v>
      </c>
      <c r="H924" s="7"/>
      <c r="J924" s="19"/>
      <c r="X924" s="11">
        <v>1</v>
      </c>
      <c r="AF924" s="141">
        <f>$S$3*$S924+$T$3*$T924+$U$3*$U924+$V$3*$V924+$W$3*$W924+$X$3*$X924+$Y$3*$Y924+$Z$3*$Z924+$AA$3*$AA924+$AB$3*$AB924+$AC$3*$AC924</f>
        <v>4.1666666666666664E-2</v>
      </c>
      <c r="AG924" s="141"/>
      <c r="AH924" s="137"/>
      <c r="AI924" s="484"/>
      <c r="AJ924" s="137">
        <f t="shared" si="297"/>
        <v>4.1666666666666664E-2</v>
      </c>
      <c r="AU924" s="2">
        <v>15000</v>
      </c>
      <c r="AV924" s="2">
        <v>15000</v>
      </c>
      <c r="AW924" s="2">
        <v>15000</v>
      </c>
      <c r="AX924" s="2">
        <v>16400</v>
      </c>
      <c r="AY924" s="5">
        <v>15200</v>
      </c>
      <c r="CZ924" s="127"/>
      <c r="DA924" s="127"/>
      <c r="DB924" s="127"/>
      <c r="DC924" s="127"/>
      <c r="DD924" s="127"/>
    </row>
    <row r="925" spans="2:108" ht="15" customHeight="1">
      <c r="B925" s="506" t="s">
        <v>145</v>
      </c>
      <c r="C925" s="127" t="s">
        <v>152</v>
      </c>
      <c r="D925" s="145" t="s">
        <v>1802</v>
      </c>
      <c r="E925" s="506">
        <v>24</v>
      </c>
      <c r="J925" s="19"/>
      <c r="X925" s="11">
        <v>1</v>
      </c>
      <c r="AF925" s="141">
        <f>$S$3*$S925+$T$3*$T925+$U$3*$U925+$V$3*$V925+$W$3*$W925+$X$3*$X925+$Y$3*$Y925+$Z$3*$Z925+$AA$3*$AA925+$AB$3*$AB925+$AC$3*$AC925</f>
        <v>4.1666666666666664E-2</v>
      </c>
      <c r="AG925" s="141"/>
      <c r="AH925" s="137"/>
      <c r="AI925" s="484"/>
      <c r="AJ925" s="137">
        <f t="shared" si="297"/>
        <v>8.3333333333333329E-2</v>
      </c>
      <c r="AU925" s="7"/>
      <c r="AV925" s="7"/>
      <c r="AW925" s="7"/>
      <c r="AX925" s="7"/>
      <c r="AY925" s="19"/>
      <c r="CN925" s="5">
        <v>7000</v>
      </c>
      <c r="CZ925" s="127"/>
      <c r="DA925" s="127"/>
      <c r="DB925" s="127"/>
      <c r="DC925" s="127"/>
      <c r="DD925" s="127"/>
    </row>
    <row r="926" spans="2:108" ht="15" customHeight="1">
      <c r="B926" s="506" t="s">
        <v>143</v>
      </c>
      <c r="C926" s="127" t="s">
        <v>142</v>
      </c>
      <c r="D926" s="144" t="s">
        <v>1800</v>
      </c>
      <c r="E926" s="506">
        <v>24</v>
      </c>
      <c r="F926" s="346">
        <v>0.4</v>
      </c>
      <c r="G926" s="101">
        <f>VLOOKUP($D926,Construction!$B:$L,(COLUMN(Construction_QuestReward_HeroXP)-COLUMN(Construction_Name_and_Level)+1),FALSE)</f>
        <v>90000</v>
      </c>
      <c r="H926" s="101">
        <f>G926*(1+F926)</f>
        <v>125999.99999999999</v>
      </c>
      <c r="J926" s="100">
        <f>VLOOKUP($D926,Construction!$B:$L,(COLUMN(Construction_QuestReward_Power)-COLUMN(Construction_Name_and_Level)+1),FALSE)</f>
        <v>1650</v>
      </c>
      <c r="AF926" s="141"/>
      <c r="AG926" s="141"/>
      <c r="AH926" s="137"/>
      <c r="AI926" s="484"/>
      <c r="AJ926" s="137">
        <f t="shared" si="297"/>
        <v>8.3333333333333329E-2</v>
      </c>
      <c r="AU926" s="101">
        <f>VLOOKUP($D926,Construction!$B:$Q,(COLUMN(Construction_QuestReward_Stone)-COLUMN(Construction_Name_and_Level)+1),FALSE)</f>
        <v>50390</v>
      </c>
      <c r="AV926" s="101">
        <f>VLOOKUP($D926,Construction!$B:$Q,(COLUMN(Construction_QuestReward_Wood)-COLUMN(Construction_Name_and_Level)+1),FALSE)</f>
        <v>50390</v>
      </c>
      <c r="AW926" s="101">
        <f>VLOOKUP($D926,Construction!$B:$Q,(COLUMN(Construction_QuestReward_Ore)-COLUMN(Construction_Name_and_Level)+1),FALSE)</f>
        <v>20160</v>
      </c>
      <c r="AX926" s="101">
        <f>VLOOKUP($D926,Construction!$B:$Q,(COLUMN(Construction_QuestReward_Food)-COLUMN(Construction_Name_and_Level)+1),FALSE)</f>
        <v>25195</v>
      </c>
      <c r="AY926" s="100">
        <f>VLOOKUP($D926,Construction!$B:$Q,(COLUMN(Construction_QuestReward_Silver)-COLUMN(Construction_Name_and_Level)+1),FALSE)</f>
        <v>840</v>
      </c>
    </row>
    <row r="927" spans="2:108" ht="15" customHeight="1">
      <c r="B927" s="113" t="s">
        <v>1483</v>
      </c>
      <c r="C927" s="127" t="s">
        <v>158</v>
      </c>
      <c r="D927" s="127">
        <v>1300</v>
      </c>
      <c r="E927" s="506">
        <v>24</v>
      </c>
      <c r="G927" s="7"/>
      <c r="H927" s="7"/>
      <c r="J927" s="114">
        <f>VLOOKUP($C927,Troop!$B:$AK,(COLUMN(Troop_TrainingReward_Power)-COLUMN(Troop_Name)+1),FALSE)*$D927</f>
        <v>10400</v>
      </c>
      <c r="AF927" s="141"/>
      <c r="AG927" s="141"/>
      <c r="AH927" s="137"/>
      <c r="AI927" s="484"/>
      <c r="AJ927" s="137">
        <f t="shared" si="297"/>
        <v>8.3333333333333329E-2</v>
      </c>
      <c r="AU927" s="296">
        <f>VLOOKUP($C927,Troop!$B:$P,(COLUMN(Troop_TrainingCost_Stone)-COLUMN(Troop_Name)+1),FALSE)*$D927*(-1)</f>
        <v>0</v>
      </c>
      <c r="AV927" s="296">
        <f>VLOOKUP($C927,Troop!$B:$P,(COLUMN(Troop_TrainingCost_Wood)-COLUMN(Troop_Name)+1),FALSE)*$D927*(-1)</f>
        <v>-130000</v>
      </c>
      <c r="AW927" s="296">
        <f>VLOOKUP($C927,Troop!$B:$P,(COLUMN(Troop_TrainingCost_Ore)-COLUMN(Troop_Name)+1),FALSE)*$D927*(-1)</f>
        <v>-97500</v>
      </c>
      <c r="AX927" s="296">
        <f>VLOOKUP($C927,Troop!$B:$P,(COLUMN(Troop_TrainingCost_Food)-COLUMN(Troop_Name)+1),FALSE)*$D927*(-1)</f>
        <v>-130000</v>
      </c>
      <c r="AY927" s="114">
        <f>VLOOKUP($C927,Troop!$B:$P,(COLUMN(Troop_TrainingCost_Silver)-COLUMN(Troop_Name)+1),FALSE)*$D927*(-1)</f>
        <v>-6500</v>
      </c>
      <c r="CT927" s="128"/>
      <c r="CU927" s="128"/>
      <c r="CV927" s="128"/>
      <c r="CW927" s="128"/>
      <c r="CX927" s="128"/>
      <c r="CY927" s="128"/>
      <c r="CZ927" s="128"/>
      <c r="DA927" s="128"/>
      <c r="DB927" s="128"/>
      <c r="DC927" s="128"/>
      <c r="DD927" s="128"/>
    </row>
    <row r="928" spans="2:108" ht="15" customHeight="1">
      <c r="B928" s="506" t="s">
        <v>143</v>
      </c>
      <c r="C928" s="127" t="s">
        <v>466</v>
      </c>
      <c r="D928" s="144" t="s">
        <v>1803</v>
      </c>
      <c r="E928" s="506">
        <v>24</v>
      </c>
      <c r="F928" s="12">
        <v>0.4</v>
      </c>
      <c r="G928" s="101">
        <v>900</v>
      </c>
      <c r="H928" s="101">
        <f>G928*(1+F928)</f>
        <v>1260</v>
      </c>
      <c r="AF928" s="141"/>
      <c r="AG928" s="141"/>
      <c r="AH928" s="137"/>
      <c r="AI928" s="484"/>
      <c r="AJ928" s="137">
        <f t="shared" si="297"/>
        <v>8.3333333333333329E-2</v>
      </c>
      <c r="AU928" s="101">
        <v>0</v>
      </c>
      <c r="AV928" s="101">
        <v>0</v>
      </c>
      <c r="AW928" s="101">
        <v>0</v>
      </c>
      <c r="AX928" s="101">
        <v>0</v>
      </c>
      <c r="AY928" s="100">
        <v>450</v>
      </c>
    </row>
    <row r="929" spans="1:97" ht="15" customHeight="1">
      <c r="B929" s="506" t="s">
        <v>143</v>
      </c>
      <c r="C929" s="127" t="s">
        <v>466</v>
      </c>
      <c r="D929" s="144" t="s">
        <v>1804</v>
      </c>
      <c r="E929" s="506">
        <v>24</v>
      </c>
      <c r="F929" s="12">
        <v>0.4</v>
      </c>
      <c r="G929" s="101">
        <v>15000</v>
      </c>
      <c r="H929" s="101">
        <f>G929*(1+F929)</f>
        <v>21000</v>
      </c>
      <c r="AF929" s="141"/>
      <c r="AG929" s="141"/>
      <c r="AH929" s="137"/>
      <c r="AI929" s="484"/>
      <c r="AJ929" s="137">
        <f t="shared" si="297"/>
        <v>8.3333333333333329E-2</v>
      </c>
      <c r="AU929" s="101">
        <v>0</v>
      </c>
      <c r="AV929" s="101">
        <v>0</v>
      </c>
      <c r="AW929" s="101">
        <v>0</v>
      </c>
      <c r="AX929" s="101">
        <v>18750</v>
      </c>
      <c r="AY929" s="100">
        <v>3750</v>
      </c>
    </row>
    <row r="930" spans="1:97" ht="15" customHeight="1">
      <c r="B930" s="506" t="s">
        <v>195</v>
      </c>
      <c r="C930" s="127" t="s">
        <v>468</v>
      </c>
      <c r="D930" s="144" t="s">
        <v>1805</v>
      </c>
      <c r="E930" s="506">
        <v>24</v>
      </c>
      <c r="F930" s="12">
        <v>0.4</v>
      </c>
      <c r="G930" s="211">
        <v>4000</v>
      </c>
      <c r="H930" s="211">
        <f t="shared" ref="H930" si="316">G930*(1+F930)</f>
        <v>5600</v>
      </c>
      <c r="AF930" s="141"/>
      <c r="AG930" s="141"/>
      <c r="AH930" s="137"/>
      <c r="AI930" s="484"/>
      <c r="AJ930" s="137">
        <f t="shared" si="297"/>
        <v>8.3333333333333329E-2</v>
      </c>
      <c r="AU930" s="211">
        <v>2000</v>
      </c>
      <c r="AV930" s="213">
        <v>2000</v>
      </c>
      <c r="AW930" s="213">
        <v>2000</v>
      </c>
      <c r="AX930" s="213">
        <v>2000</v>
      </c>
      <c r="AY930" s="160">
        <v>0</v>
      </c>
      <c r="CL930" s="211">
        <v>2000</v>
      </c>
      <c r="CM930" s="160">
        <f>CL930</f>
        <v>2000</v>
      </c>
    </row>
    <row r="931" spans="1:97" ht="15" customHeight="1">
      <c r="B931" s="506" t="s">
        <v>195</v>
      </c>
      <c r="C931" s="127" t="s">
        <v>468</v>
      </c>
      <c r="D931" s="144" t="s">
        <v>1806</v>
      </c>
      <c r="E931" s="506">
        <v>24</v>
      </c>
      <c r="F931" s="12">
        <v>0.4</v>
      </c>
      <c r="G931" s="211">
        <v>4000</v>
      </c>
      <c r="H931" s="211">
        <f t="shared" ref="H931" si="317">G931*(1+F931)</f>
        <v>5600</v>
      </c>
      <c r="AF931" s="141"/>
      <c r="AG931" s="141"/>
      <c r="AH931" s="137"/>
      <c r="AI931" s="484"/>
      <c r="AJ931" s="137">
        <f t="shared" si="297"/>
        <v>8.3333333333333329E-2</v>
      </c>
      <c r="AU931" s="211">
        <v>0</v>
      </c>
      <c r="AV931" s="213">
        <v>0</v>
      </c>
      <c r="AW931" s="213">
        <v>10000</v>
      </c>
      <c r="AX931" s="213">
        <v>10000</v>
      </c>
      <c r="AY931" s="160">
        <v>0</v>
      </c>
      <c r="CL931" s="211">
        <v>2000</v>
      </c>
      <c r="CM931" s="160">
        <f>CL931</f>
        <v>2000</v>
      </c>
    </row>
    <row r="932" spans="1:97" ht="15" customHeight="1">
      <c r="B932" s="506" t="s">
        <v>195</v>
      </c>
      <c r="C932" s="127" t="s">
        <v>468</v>
      </c>
      <c r="D932" s="144" t="s">
        <v>1807</v>
      </c>
      <c r="E932" s="506">
        <v>24</v>
      </c>
      <c r="F932" s="12">
        <v>0.4</v>
      </c>
      <c r="G932" s="211">
        <v>4000</v>
      </c>
      <c r="H932" s="211">
        <f t="shared" ref="H932" si="318">G932*(1+F932)</f>
        <v>5600</v>
      </c>
      <c r="AF932" s="141"/>
      <c r="AG932" s="141"/>
      <c r="AH932" s="137"/>
      <c r="AI932" s="484"/>
      <c r="AJ932" s="137">
        <f t="shared" si="297"/>
        <v>8.3333333333333329E-2</v>
      </c>
      <c r="AU932" s="211">
        <v>0</v>
      </c>
      <c r="AV932" s="213">
        <v>0</v>
      </c>
      <c r="AW932" s="213">
        <v>10000</v>
      </c>
      <c r="AX932" s="213">
        <v>0</v>
      </c>
      <c r="AY932" s="160">
        <v>0</v>
      </c>
      <c r="CL932" s="211">
        <v>2000</v>
      </c>
      <c r="CM932" s="160">
        <f>CL932</f>
        <v>2000</v>
      </c>
    </row>
    <row r="933" spans="1:97" ht="15" customHeight="1">
      <c r="B933" s="506" t="s">
        <v>144</v>
      </c>
      <c r="C933" s="127" t="s">
        <v>138</v>
      </c>
      <c r="D933" s="144" t="s">
        <v>1808</v>
      </c>
      <c r="E933" s="506">
        <v>24</v>
      </c>
      <c r="F933" s="12">
        <v>0.4</v>
      </c>
      <c r="G933" s="94">
        <f>VLOOKUP($D933,Construction!$B:$E,(COLUMN(Construction_BuildingReward_HeroXP)-COLUMN(Construction_Name_and_Level)+1),FALSE)</f>
        <v>500</v>
      </c>
      <c r="H933" s="94">
        <f>G933*(1+F933)</f>
        <v>700</v>
      </c>
      <c r="J933" s="95">
        <f>VLOOKUP($D933,Construction!$B:$F,(COLUMN(Construction_BuildingReward_Power)-COLUMN(Construction_Name_and_Level)+1),FALSE)</f>
        <v>1995</v>
      </c>
      <c r="Q933" s="139">
        <v>3.472222222222222E-3</v>
      </c>
      <c r="R933" s="289">
        <v>9.7222222222222224E-3</v>
      </c>
      <c r="AF933" s="141"/>
      <c r="AG933" s="141"/>
      <c r="AH933" s="137"/>
      <c r="AI933" s="484"/>
      <c r="AJ933" s="137">
        <f t="shared" si="297"/>
        <v>8.3333333333333329E-2</v>
      </c>
      <c r="AK933" s="339">
        <v>0.51500000000000001</v>
      </c>
      <c r="AL933" s="138">
        <f>VLOOKUP($D933,Construction!$B:$C,(COLUMN(Construction_Time)-COLUMN(Construction_Name_and_Level)+1),FALSE)</f>
        <v>0.59259259259259256</v>
      </c>
      <c r="AM933" s="138">
        <f t="shared" ref="AM933" si="319">AL933/(1+AK933)</f>
        <v>0.39115022613372441</v>
      </c>
      <c r="AN933" s="138">
        <f>(S$3*S933+T$3*T933+V$3*V933+W$3*W933+X$3*X933+Y$3*Y933+Z$3*Z933+AA$3*AA933+AB$3*AB933+AC$3*AC933)*(-1)</f>
        <v>0</v>
      </c>
      <c r="AO933" s="139">
        <f>IF((AM933-Q933-R933-AN933)&gt;=0,AM933-Q933-R933-AN933,0)</f>
        <v>0.37795578168927996</v>
      </c>
      <c r="AP933" s="261">
        <v>0.5</v>
      </c>
      <c r="AU933" s="94">
        <f>VLOOKUP($D933,Construction!$B:$J,(COLUMN(Construction_BuildingCost_Stone)-COLUMN(Construction_Name_and_Level)+1),FALSE)*(-1)</f>
        <v>-125976</v>
      </c>
      <c r="AV933" s="94">
        <f>VLOOKUP($D933,Construction!$B:$J,(COLUMN(Construction_BuildingCost_Wood)-COLUMN(Construction_Name_and_Level)+1),FALSE)*(-1)</f>
        <v>-125976</v>
      </c>
      <c r="AW933" s="94">
        <f>VLOOKUP($D933,Construction!$B:$J,(COLUMN(Construction_BuildingCost_Ore)-COLUMN(Construction_Name_and_Level)+1),FALSE)*(-1)</f>
        <v>-50424</v>
      </c>
      <c r="AX933" s="94">
        <f>VLOOKUP($D933,Construction!$B:$J,(COLUMN(Construction_BuildingCost_Food)-COLUMN(Construction_Name_and_Level)+1),FALSE)*(-1)</f>
        <v>-75600</v>
      </c>
    </row>
    <row r="934" spans="1:97" ht="15" customHeight="1">
      <c r="B934" s="506" t="s">
        <v>146</v>
      </c>
      <c r="C934" s="127" t="s">
        <v>138</v>
      </c>
      <c r="D934" s="144" t="s">
        <v>1809</v>
      </c>
      <c r="E934" s="506">
        <v>24</v>
      </c>
      <c r="F934" s="12">
        <v>0.4</v>
      </c>
      <c r="G934" s="111">
        <f>VLOOKUP($D934,Research!$C:$F,(COLUMN(Research_ResearchReward_HeroXP)-COLUMN(Research_Name_and_Level)+1),FALSE)</f>
        <v>90000</v>
      </c>
      <c r="H934" s="111">
        <f t="shared" ref="H934" si="320">G934*(1+F934)</f>
        <v>125999.99999999999</v>
      </c>
      <c r="J934" s="115">
        <f>VLOOKUP($D934,Research!$C:$G,(COLUMN(Research_ResearchReward_Power)-COLUMN(Research_Name_and_Level)+1),FALSE)</f>
        <v>4000</v>
      </c>
      <c r="R934" s="148">
        <v>9.7222222222222224E-3</v>
      </c>
      <c r="AF934" s="141"/>
      <c r="AG934" s="141"/>
      <c r="AH934" s="137"/>
      <c r="AI934" s="484"/>
      <c r="AJ934" s="137">
        <f t="shared" si="297"/>
        <v>8.3333333333333329E-2</v>
      </c>
      <c r="AP934" s="256">
        <v>0.5</v>
      </c>
      <c r="AQ934" s="147">
        <f>VLOOKUP($D934,Research!$C:$D,(COLUMN(Research_Time)-COLUMN(Research_Name_and_Level)+1),FALSE)</f>
        <v>0.60300925925925919</v>
      </c>
      <c r="AR934" s="147">
        <f>AQ934/(1+AP934)</f>
        <v>0.40200617283950613</v>
      </c>
      <c r="AS934" s="147">
        <f>(S$3*S934+T$3*T934+V$3*V934+W$3*W934+X$3*X934+Y$3*Y934+Z$3*Z934+AA$3*AA934+AB$3*AB934+AC$3*AC934)*(-1)</f>
        <v>0</v>
      </c>
      <c r="AT934" s="148">
        <f>IF(AR934-R934-AS934&gt;=0,AR934-R934-AS934,0)</f>
        <v>0.39228395061728388</v>
      </c>
      <c r="AU934" s="111">
        <f>VLOOKUP($D934,Research!$C:$L,(COLUMN(Research_ResearchCost_Stone)-COLUMN(Research_Name_and_Level)+1),FALSE)*(-1)</f>
        <v>-40000</v>
      </c>
      <c r="AV934" s="111">
        <f>VLOOKUP($D934,Research!$C:$L,(COLUMN(Research_ResearchCost_Wood)-COLUMN(Research_Name_and_Level)+1),FALSE)*(-1)</f>
        <v>-40000</v>
      </c>
      <c r="AW934" s="111">
        <f>VLOOKUP($D934,Research!$C:$L,(COLUMN(Research_ResearchCost_Ore)-COLUMN(Research_Name_and_Level)+1),FALSE)*(-1)</f>
        <v>-30000</v>
      </c>
      <c r="AX934" s="111">
        <f>VLOOKUP($D934,Research!$C:$L,(COLUMN(Research_ResearchCost_Food)-COLUMN(Research_Name_and_Level)+1),FALSE)*(-1)</f>
        <v>-40000</v>
      </c>
      <c r="AY934" s="112">
        <f>VLOOKUP($D934,Research!$C:$L,(COLUMN(Research_ResearchCost_Silver)-COLUMN(Research_Name_and_Level)+1),FALSE)*(-1)</f>
        <v>-80000</v>
      </c>
    </row>
    <row r="935" spans="1:97" ht="15" customHeight="1">
      <c r="B935" s="506" t="s">
        <v>195</v>
      </c>
      <c r="C935" s="127" t="s">
        <v>1750</v>
      </c>
      <c r="D935" s="144" t="s">
        <v>1752</v>
      </c>
      <c r="E935" s="506">
        <v>24</v>
      </c>
      <c r="AJ935" s="137">
        <f t="shared" si="297"/>
        <v>8.3333333333333329E-2</v>
      </c>
      <c r="AV935" s="213">
        <v>10000</v>
      </c>
    </row>
    <row r="936" spans="1:97" ht="15" customHeight="1">
      <c r="B936" s="506" t="s">
        <v>195</v>
      </c>
      <c r="C936" s="127" t="s">
        <v>1750</v>
      </c>
      <c r="D936" s="144" t="s">
        <v>1752</v>
      </c>
      <c r="E936" s="506">
        <v>24</v>
      </c>
      <c r="AJ936" s="137">
        <f t="shared" si="297"/>
        <v>8.3333333333333329E-2</v>
      </c>
      <c r="AV936" s="213">
        <v>10000</v>
      </c>
    </row>
    <row r="937" spans="1:97" ht="15" customHeight="1">
      <c r="B937" s="506" t="s">
        <v>195</v>
      </c>
      <c r="C937" s="127" t="s">
        <v>1750</v>
      </c>
      <c r="D937" s="144" t="s">
        <v>1752</v>
      </c>
      <c r="E937" s="506">
        <v>24</v>
      </c>
      <c r="AJ937" s="137">
        <f t="shared" si="297"/>
        <v>8.3333333333333329E-2</v>
      </c>
      <c r="CL937" s="211">
        <v>2000</v>
      </c>
      <c r="CM937" s="160">
        <f>CL937</f>
        <v>2000</v>
      </c>
    </row>
    <row r="938" spans="1:97" ht="15" customHeight="1">
      <c r="B938" s="506" t="s">
        <v>143</v>
      </c>
      <c r="C938" s="127" t="s">
        <v>466</v>
      </c>
      <c r="D938" s="144" t="s">
        <v>1804</v>
      </c>
      <c r="E938" s="506">
        <v>24</v>
      </c>
      <c r="F938" s="12">
        <v>0.4</v>
      </c>
      <c r="G938" s="101">
        <v>15000</v>
      </c>
      <c r="H938" s="101">
        <f>G938*(1+F938)</f>
        <v>21000</v>
      </c>
      <c r="AF938" s="141"/>
      <c r="AG938" s="141"/>
      <c r="AH938" s="137"/>
      <c r="AI938" s="484"/>
      <c r="AJ938" s="137">
        <f t="shared" si="297"/>
        <v>8.3333333333333329E-2</v>
      </c>
      <c r="AU938" s="101">
        <v>0</v>
      </c>
      <c r="AV938" s="101">
        <v>0</v>
      </c>
      <c r="AW938" s="101">
        <v>0</v>
      </c>
      <c r="AX938" s="101">
        <v>18750</v>
      </c>
      <c r="AY938" s="100">
        <v>3750</v>
      </c>
    </row>
    <row r="939" spans="1:97" ht="15" customHeight="1">
      <c r="B939" s="506" t="s">
        <v>148</v>
      </c>
      <c r="E939" s="506">
        <v>24</v>
      </c>
      <c r="AF939" s="141"/>
      <c r="AJ939" s="137">
        <f t="shared" si="297"/>
        <v>8.3333333333333329E-2</v>
      </c>
      <c r="AV939" s="142">
        <v>8250</v>
      </c>
    </row>
    <row r="940" spans="1:97" ht="15" customHeight="1">
      <c r="B940" s="506" t="s">
        <v>148</v>
      </c>
      <c r="E940" s="506">
        <v>24</v>
      </c>
      <c r="AF940" s="141"/>
      <c r="AJ940" s="137">
        <f t="shared" ref="AJ940:AJ941" si="321">AJ939+(S$3*S940+T$3*T940+U$3*U940+V$3*V940+W$3*W940+X$3*X940+Y$3*Y940+Z$3*Z940+AA$3*AA940+AB$3*AB940+AC$3*AC940)</f>
        <v>8.3333333333333329E-2</v>
      </c>
      <c r="AV940" s="142">
        <v>3000</v>
      </c>
    </row>
    <row r="941" spans="1:97" ht="15" customHeight="1">
      <c r="B941" s="126" t="s">
        <v>1457</v>
      </c>
      <c r="C941" s="127" t="s">
        <v>147</v>
      </c>
      <c r="D941" s="144" t="s">
        <v>1810</v>
      </c>
      <c r="E941" s="506">
        <v>25</v>
      </c>
      <c r="I941" s="5">
        <v>4</v>
      </c>
      <c r="J941" s="5">
        <v>3223</v>
      </c>
      <c r="Q941" s="149"/>
      <c r="AF941" s="141"/>
      <c r="AG941" s="141"/>
      <c r="AH941" s="137"/>
      <c r="AI941" s="484"/>
      <c r="AJ941" s="137">
        <f t="shared" si="321"/>
        <v>8.3333333333333329E-2</v>
      </c>
      <c r="AX941" s="11"/>
    </row>
    <row r="942" spans="1:97" s="420" customFormat="1" ht="15" customHeight="1">
      <c r="A942" s="487"/>
      <c r="B942" s="411" t="s">
        <v>171</v>
      </c>
      <c r="C942" s="412"/>
      <c r="D942" s="412" t="s">
        <v>1811</v>
      </c>
      <c r="E942" s="411">
        <v>25</v>
      </c>
      <c r="F942" s="413">
        <v>0.4</v>
      </c>
      <c r="G942" s="414" t="s">
        <v>1453</v>
      </c>
      <c r="H942" s="414">
        <v>6764006</v>
      </c>
      <c r="I942" s="415">
        <v>68</v>
      </c>
      <c r="J942" s="415">
        <v>172572</v>
      </c>
      <c r="K942" s="414">
        <v>5</v>
      </c>
      <c r="L942" s="414">
        <v>3710</v>
      </c>
      <c r="M942" s="416">
        <v>8.3333333333333329E-2</v>
      </c>
      <c r="N942" s="417">
        <v>630</v>
      </c>
      <c r="O942" s="109">
        <f>SUMIF($B$4:$B941,"&lt;&gt;"&amp;$CS$13,O$4:O941)</f>
        <v>-300</v>
      </c>
      <c r="P942" s="108">
        <f>SUMIF($B$4:$B941,"&lt;&gt;"&amp;$CS$13,N$4:N941)</f>
        <v>930</v>
      </c>
      <c r="Q942" s="416">
        <v>3.472222222222222E-3</v>
      </c>
      <c r="R942" s="416">
        <v>9.7222222222222224E-3</v>
      </c>
      <c r="S942" s="414">
        <v>0</v>
      </c>
      <c r="T942" s="414">
        <v>0</v>
      </c>
      <c r="U942" s="414">
        <v>0</v>
      </c>
      <c r="V942" s="414">
        <v>0</v>
      </c>
      <c r="W942" s="417">
        <v>0</v>
      </c>
      <c r="X942" s="417">
        <v>2</v>
      </c>
      <c r="Y942" s="417">
        <v>0</v>
      </c>
      <c r="Z942" s="417">
        <v>0</v>
      </c>
      <c r="AA942" s="417">
        <v>0</v>
      </c>
      <c r="AB942" s="417">
        <v>0</v>
      </c>
      <c r="AC942" s="417">
        <v>0</v>
      </c>
      <c r="AD942" s="417">
        <v>0</v>
      </c>
      <c r="AE942" s="415">
        <v>0</v>
      </c>
      <c r="AF942" s="419">
        <f>SUMIF($B$4:$B941,"&lt;&gt;"&amp;$CS$13,AF$4:AF941)</f>
        <v>1.2951388888888893</v>
      </c>
      <c r="AG942" s="419">
        <f>SUMIF($B$4:$B941,"&lt;&gt;"&amp;$CS$13,AG$4:AG941)</f>
        <v>0</v>
      </c>
      <c r="AH942" s="416">
        <f>AF942+AG942</f>
        <v>1.2951388888888893</v>
      </c>
      <c r="AI942" s="485">
        <f>SUMIF($B$4:$B941,"&lt;&gt;"&amp;$CS$13,AI$4:AI941)</f>
        <v>1.2118055555555556</v>
      </c>
      <c r="AJ942" s="416">
        <f>S$3*S942+T$3*T942+U$3*U942+V$3*V942+W$3*W942+X$3*X942+Y$3*Y942+Z$3*Z942+AA$3*AA942+AB$3*AB942+AC$3*AC942</f>
        <v>8.3333333333333329E-2</v>
      </c>
      <c r="AK942" s="418">
        <v>0.51500000000000001</v>
      </c>
      <c r="AL942" s="419" t="s">
        <v>1453</v>
      </c>
      <c r="AM942" s="419" t="s">
        <v>1453</v>
      </c>
      <c r="AN942" s="419" t="s">
        <v>1453</v>
      </c>
      <c r="AO942" s="416" t="s">
        <v>1453</v>
      </c>
      <c r="AP942" s="284">
        <v>0.5</v>
      </c>
      <c r="AQ942" s="419" t="s">
        <v>1453</v>
      </c>
      <c r="AR942" s="419" t="s">
        <v>1453</v>
      </c>
      <c r="AS942" s="419" t="s">
        <v>1453</v>
      </c>
      <c r="AT942" s="416" t="s">
        <v>1453</v>
      </c>
      <c r="AU942" s="414">
        <v>424400</v>
      </c>
      <c r="AV942" s="414">
        <v>398200</v>
      </c>
      <c r="AW942" s="414">
        <v>351600</v>
      </c>
      <c r="AX942" s="417">
        <v>304700</v>
      </c>
      <c r="AY942" s="415">
        <v>295500</v>
      </c>
      <c r="AZ942" s="414">
        <v>10032</v>
      </c>
      <c r="BA942" s="414">
        <v>8779</v>
      </c>
      <c r="BB942" s="414">
        <v>5946</v>
      </c>
      <c r="BC942" s="414">
        <v>11100</v>
      </c>
      <c r="BD942" s="415">
        <v>4422</v>
      </c>
      <c r="BE942" s="415">
        <v>-10306</v>
      </c>
      <c r="BF942" s="414">
        <v>423000</v>
      </c>
      <c r="BG942" s="414">
        <v>507000</v>
      </c>
      <c r="BH942" s="414">
        <v>387000</v>
      </c>
      <c r="BI942" s="414">
        <v>450000</v>
      </c>
      <c r="BJ942" s="415">
        <v>291000</v>
      </c>
      <c r="BK942" s="414">
        <v>10</v>
      </c>
      <c r="BL942" s="415">
        <v>9</v>
      </c>
      <c r="BM942" s="415">
        <v>9</v>
      </c>
      <c r="BN942" s="414">
        <v>9</v>
      </c>
      <c r="BO942" s="415">
        <v>6</v>
      </c>
      <c r="BP942" s="414">
        <v>8</v>
      </c>
      <c r="BQ942" s="415">
        <v>6</v>
      </c>
      <c r="BR942" s="414">
        <v>9</v>
      </c>
      <c r="BS942" s="415">
        <v>6</v>
      </c>
      <c r="BT942" s="414">
        <v>9</v>
      </c>
      <c r="BU942" s="415">
        <v>6</v>
      </c>
      <c r="BV942" s="414">
        <v>8</v>
      </c>
      <c r="BW942" s="415">
        <v>6</v>
      </c>
      <c r="BX942" s="414">
        <v>9</v>
      </c>
      <c r="BY942" s="415">
        <v>5</v>
      </c>
      <c r="BZ942" s="414">
        <v>6</v>
      </c>
      <c r="CA942" s="415">
        <v>4</v>
      </c>
      <c r="CB942" s="415">
        <v>6</v>
      </c>
      <c r="CC942" s="415">
        <v>10</v>
      </c>
      <c r="CD942" s="415">
        <v>9</v>
      </c>
      <c r="CE942" s="414">
        <v>9</v>
      </c>
      <c r="CF942" s="414">
        <v>3</v>
      </c>
      <c r="CG942" s="415">
        <v>1</v>
      </c>
      <c r="CH942" s="414">
        <v>8</v>
      </c>
      <c r="CI942" s="414">
        <v>0</v>
      </c>
      <c r="CJ942" s="415">
        <v>0</v>
      </c>
      <c r="CK942" s="415">
        <v>1</v>
      </c>
      <c r="CL942" s="414">
        <v>12200</v>
      </c>
      <c r="CM942" s="415" t="s">
        <v>1453</v>
      </c>
      <c r="CN942" s="415" t="s">
        <v>1208</v>
      </c>
      <c r="CS942" s="421"/>
    </row>
    <row r="943" spans="1:97" ht="15" customHeight="1">
      <c r="B943" s="506" t="s">
        <v>195</v>
      </c>
      <c r="C943" s="127" t="s">
        <v>1750</v>
      </c>
      <c r="D943" s="144" t="s">
        <v>1752</v>
      </c>
      <c r="E943" s="506">
        <v>25</v>
      </c>
      <c r="N943" s="213">
        <v>40</v>
      </c>
      <c r="AJ943" s="137">
        <f t="shared" ref="AJ943:AJ946" si="322">AJ942+(S$3*S943+T$3*T943+U$3*U943+V$3*V943+W$3*W943+X$3*X943+Y$3*Y943+Z$3*Z943+AA$3*AA943+AB$3*AB943+AC$3*AC943)</f>
        <v>8.3333333333333329E-2</v>
      </c>
    </row>
    <row r="944" spans="1:97" ht="15" customHeight="1">
      <c r="B944" s="506" t="s">
        <v>850</v>
      </c>
      <c r="C944" s="127" t="s">
        <v>851</v>
      </c>
      <c r="D944" s="144" t="s">
        <v>1812</v>
      </c>
      <c r="E944" s="506">
        <v>25</v>
      </c>
      <c r="O944" s="547">
        <v>-650</v>
      </c>
      <c r="Z944" s="11">
        <v>1</v>
      </c>
      <c r="AF944" s="141">
        <f>$S$3*$S944+$T$3*$T944+$U$3*$U944+$V$3*$V944+$W$3*$W944+$X$3*$X944+$Y$3*$Y944+$Z$3*$Z944+$AA$3*$AA944+$AB$3*$AB944+$AC$3*$AC944</f>
        <v>0.33333333333333331</v>
      </c>
      <c r="AG944" s="141"/>
      <c r="AH944" s="137"/>
      <c r="AI944" s="484"/>
      <c r="AJ944" s="137">
        <f t="shared" si="322"/>
        <v>0.41666666666666663</v>
      </c>
    </row>
    <row r="945" spans="2:108" ht="15" customHeight="1">
      <c r="B945" s="102" t="s">
        <v>1455</v>
      </c>
      <c r="C945" s="127" t="s">
        <v>170</v>
      </c>
      <c r="D945" s="144" t="s">
        <v>1799</v>
      </c>
      <c r="E945" s="506">
        <v>25</v>
      </c>
      <c r="F945" s="12">
        <v>0.4</v>
      </c>
      <c r="G945" s="101">
        <f>VLOOKUP($D945,Research!$C:$M,(COLUMN(Research_QuestReward_HeroXP)-COLUMN(Research_Name_and_Level)+1),FALSE)</f>
        <v>60000</v>
      </c>
      <c r="H945" s="101">
        <f t="shared" ref="H945" si="323">G945*(1+F945)</f>
        <v>84000</v>
      </c>
      <c r="J945" s="103">
        <f>VLOOKUP($D945,Research!$C:$N,(COLUMN(Research_QuestReward_Power)-COLUMN(Research_Name_and_Level)+1),FALSE)</f>
        <v>2500</v>
      </c>
      <c r="AF945" s="141"/>
      <c r="AG945" s="141"/>
      <c r="AH945" s="137"/>
      <c r="AI945" s="484"/>
      <c r="AJ945" s="137">
        <f t="shared" si="322"/>
        <v>0.41666666666666663</v>
      </c>
      <c r="AU945" s="101">
        <f>VLOOKUP($D945,Research!$C:$S,(COLUMN(Research_QuestReward_Stone)-COLUMN(Research_Name_and_Level)+1),FALSE)</f>
        <v>0</v>
      </c>
      <c r="AV945" s="101">
        <f>VLOOKUP($D945,Research!$C:$S,(COLUMN(Research_QuestReward_Wood)-COLUMN(Research_Name_and_Level)+1),FALSE)</f>
        <v>200000</v>
      </c>
      <c r="AW945" s="101">
        <f>VLOOKUP($D945,Research!$C:$S,(COLUMN(Research_QuestReward_Ore)-COLUMN(Research_Name_and_Level)+1),FALSE)</f>
        <v>150000</v>
      </c>
      <c r="AX945" s="101">
        <f>VLOOKUP($D945,Research!$C:$S,(COLUMN(Research_QuestReward_Food)-COLUMN(Research_Name_and_Level)+1),FALSE)</f>
        <v>200000</v>
      </c>
      <c r="AY945" s="100">
        <f>VLOOKUP($D945,Research!$C:$S,(COLUMN(Research_QuestReward_Silver)-COLUMN(Research_Name_and_Level)+1),FALSE)</f>
        <v>180000</v>
      </c>
      <c r="CT945" s="127"/>
      <c r="CU945" s="127"/>
      <c r="CV945" s="127"/>
      <c r="CW945" s="127"/>
      <c r="CX945" s="127"/>
      <c r="CY945" s="127"/>
      <c r="CZ945" s="127"/>
      <c r="DA945" s="127"/>
      <c r="DB945" s="127"/>
      <c r="DC945" s="127"/>
      <c r="DD945" s="127"/>
    </row>
    <row r="946" spans="2:108" ht="15" customHeight="1">
      <c r="B946" s="102" t="s">
        <v>1455</v>
      </c>
      <c r="C946" s="127" t="s">
        <v>141</v>
      </c>
      <c r="D946" s="144" t="s">
        <v>1813</v>
      </c>
      <c r="E946" s="506">
        <v>25</v>
      </c>
      <c r="F946" s="12">
        <v>0.4</v>
      </c>
      <c r="G946" s="101">
        <v>10000</v>
      </c>
      <c r="H946" s="101">
        <f t="shared" ref="H946:H947" si="324">G946*(1+F946)</f>
        <v>14000</v>
      </c>
      <c r="J946" s="103">
        <v>500</v>
      </c>
      <c r="K946" s="7"/>
      <c r="L946" s="7"/>
      <c r="M946" s="221"/>
      <c r="AJ946" s="137">
        <f t="shared" si="322"/>
        <v>0.41666666666666663</v>
      </c>
      <c r="AU946" s="101">
        <v>0</v>
      </c>
      <c r="AV946" s="101">
        <v>7500</v>
      </c>
      <c r="AW946" s="101">
        <v>5625</v>
      </c>
      <c r="AX946" s="101">
        <v>7500</v>
      </c>
      <c r="AY946" s="100">
        <v>75</v>
      </c>
    </row>
    <row r="947" spans="2:108" ht="15" customHeight="1">
      <c r="B947" s="102" t="s">
        <v>1455</v>
      </c>
      <c r="C947" s="127" t="s">
        <v>170</v>
      </c>
      <c r="D947" s="144" t="s">
        <v>1809</v>
      </c>
      <c r="E947" s="506">
        <v>25</v>
      </c>
      <c r="F947" s="12">
        <v>0.4</v>
      </c>
      <c r="G947" s="101">
        <f>VLOOKUP($D947,Research!$C:$M,(COLUMN(Research_QuestReward_HeroXP)-COLUMN(Research_Name_and_Level)+1),FALSE)</f>
        <v>40000</v>
      </c>
      <c r="H947" s="101">
        <f t="shared" si="324"/>
        <v>56000</v>
      </c>
      <c r="J947" s="103">
        <f>VLOOKUP($D947,Research!$C:$N,(COLUMN(Research_QuestReward_Power)-COLUMN(Research_Name_and_Level)+1),FALSE)</f>
        <v>110</v>
      </c>
      <c r="AF947" s="141"/>
      <c r="AG947" s="141"/>
      <c r="AH947" s="137"/>
      <c r="AI947" s="484"/>
      <c r="AJ947" s="137">
        <f>AJ946+(S$3*S947+T$3*T947+U$3*U947+V$3*V947+W$3*W947+X$3*X947+Y$3*Y947+Z$3*Z947+AA$3*AA947+AB$3*AB947+AC$3*AC947)</f>
        <v>0.41666666666666663</v>
      </c>
      <c r="AU947" s="101">
        <f>VLOOKUP($D947,Research!$C:$S,(COLUMN(Research_QuestReward_Stone)-COLUMN(Research_Name_and_Level)+1),FALSE)</f>
        <v>80000</v>
      </c>
      <c r="AV947" s="101">
        <f>VLOOKUP($D947,Research!$C:$S,(COLUMN(Research_QuestReward_Wood)-COLUMN(Research_Name_and_Level)+1),FALSE)</f>
        <v>80000</v>
      </c>
      <c r="AW947" s="101">
        <f>VLOOKUP($D947,Research!$C:$S,(COLUMN(Research_QuestReward_Ore)-COLUMN(Research_Name_and_Level)+1),FALSE)</f>
        <v>60000</v>
      </c>
      <c r="AX947" s="101">
        <f>VLOOKUP($D947,Research!$C:$S,(COLUMN(Research_QuestReward_Food)-COLUMN(Research_Name_and_Level)+1),FALSE)</f>
        <v>80000</v>
      </c>
      <c r="AY947" s="100">
        <f>VLOOKUP($D947,Research!$C:$S,(COLUMN(Research_QuestReward_Silver)-COLUMN(Research_Name_and_Level)+1),FALSE)</f>
        <v>80000</v>
      </c>
      <c r="CT947" s="127"/>
      <c r="CU947" s="127"/>
      <c r="CV947" s="127"/>
      <c r="CW947" s="127"/>
      <c r="CX947" s="127"/>
      <c r="CY947" s="127"/>
      <c r="CZ947" s="127"/>
      <c r="DA947" s="127"/>
      <c r="DB947" s="127"/>
      <c r="DC947" s="127"/>
      <c r="DD947" s="127"/>
    </row>
    <row r="948" spans="2:108" ht="15" customHeight="1">
      <c r="B948" s="506" t="s">
        <v>143</v>
      </c>
      <c r="C948" s="127" t="s">
        <v>142</v>
      </c>
      <c r="D948" s="144" t="s">
        <v>1808</v>
      </c>
      <c r="E948" s="506">
        <v>25</v>
      </c>
      <c r="F948" s="346">
        <v>0.4</v>
      </c>
      <c r="G948" s="101">
        <f>VLOOKUP($D948,Construction!$B:$L,(COLUMN(Construction_QuestReward_HeroXP)-COLUMN(Construction_Name_and_Level)+1),FALSE)</f>
        <v>60000</v>
      </c>
      <c r="H948" s="101">
        <f>G948*(1+F948)</f>
        <v>84000</v>
      </c>
      <c r="J948" s="100">
        <f>VLOOKUP($D948,Construction!$B:$L,(COLUMN(Construction_QuestReward_Power)-COLUMN(Construction_Name_and_Level)+1),FALSE)</f>
        <v>1150</v>
      </c>
      <c r="AF948" s="141"/>
      <c r="AG948" s="141"/>
      <c r="AH948" s="137"/>
      <c r="AI948" s="484"/>
      <c r="AJ948" s="137">
        <f t="shared" ref="AJ948:AJ982" si="325">AJ947+(S$3*S948+T$3*T948+U$3*U948+V$3*V948+W$3*W948+X$3*X948+Y$3*Y948+Z$3*Z948+AA$3*AA948+AB$3*AB948+AC$3*AC948)</f>
        <v>0.41666666666666663</v>
      </c>
      <c r="AU948" s="101">
        <f>VLOOKUP($D948,Construction!$B:$Q,(COLUMN(Construction_QuestReward_Stone)-COLUMN(Construction_Name_and_Level)+1),FALSE)</f>
        <v>25195</v>
      </c>
      <c r="AV948" s="101">
        <f>VLOOKUP($D948,Construction!$B:$Q,(COLUMN(Construction_QuestReward_Wood)-COLUMN(Construction_Name_and_Level)+1),FALSE)</f>
        <v>25195</v>
      </c>
      <c r="AW948" s="101">
        <f>VLOOKUP($D948,Construction!$B:$Q,(COLUMN(Construction_QuestReward_Ore)-COLUMN(Construction_Name_and_Level)+1),FALSE)</f>
        <v>10084</v>
      </c>
      <c r="AX948" s="101">
        <f>VLOOKUP($D948,Construction!$B:$Q,(COLUMN(Construction_QuestReward_Food)-COLUMN(Construction_Name_and_Level)+1),FALSE)</f>
        <v>15120</v>
      </c>
      <c r="AY948" s="100">
        <f>VLOOKUP($D948,Construction!$B:$Q,(COLUMN(Construction_QuestReward_Silver)-COLUMN(Construction_Name_and_Level)+1),FALSE)</f>
        <v>550</v>
      </c>
    </row>
    <row r="949" spans="2:108" ht="15" customHeight="1">
      <c r="B949" s="506" t="s">
        <v>143</v>
      </c>
      <c r="C949" s="127" t="s">
        <v>467</v>
      </c>
      <c r="D949" s="144" t="s">
        <v>1811</v>
      </c>
      <c r="E949" s="506">
        <v>25</v>
      </c>
      <c r="F949" s="346">
        <v>0.4</v>
      </c>
      <c r="G949" s="101">
        <v>50000</v>
      </c>
      <c r="H949" s="101">
        <f>G949*(1+F949)</f>
        <v>70000</v>
      </c>
      <c r="J949" s="100">
        <v>1750</v>
      </c>
      <c r="K949" s="7"/>
      <c r="L949" s="7"/>
      <c r="M949" s="221"/>
      <c r="AJ949" s="137">
        <f t="shared" si="325"/>
        <v>0.41666666666666663</v>
      </c>
      <c r="AU949" s="101">
        <v>0</v>
      </c>
      <c r="AV949" s="101">
        <v>0</v>
      </c>
      <c r="AW949" s="101">
        <v>0</v>
      </c>
      <c r="AX949" s="101">
        <v>0</v>
      </c>
      <c r="AY949" s="100">
        <v>6250</v>
      </c>
    </row>
    <row r="950" spans="2:108" ht="15" customHeight="1">
      <c r="B950" s="506" t="s">
        <v>195</v>
      </c>
      <c r="C950" s="127" t="s">
        <v>468</v>
      </c>
      <c r="D950" s="144" t="s">
        <v>1814</v>
      </c>
      <c r="E950" s="506">
        <v>25</v>
      </c>
      <c r="F950" s="12">
        <v>0.4</v>
      </c>
      <c r="G950" s="211">
        <v>4000</v>
      </c>
      <c r="H950" s="211">
        <f t="shared" ref="H950" si="326">G950*(1+F950)</f>
        <v>5600</v>
      </c>
      <c r="AF950" s="141"/>
      <c r="AG950" s="141"/>
      <c r="AH950" s="137"/>
      <c r="AI950" s="484"/>
      <c r="AJ950" s="137">
        <f t="shared" si="325"/>
        <v>0.41666666666666663</v>
      </c>
      <c r="AU950" s="211">
        <v>10000</v>
      </c>
      <c r="AV950" s="213">
        <v>0</v>
      </c>
      <c r="AW950" s="213">
        <v>0</v>
      </c>
      <c r="AX950" s="213">
        <v>0</v>
      </c>
      <c r="AY950" s="160">
        <v>2000</v>
      </c>
      <c r="CL950" s="211">
        <v>2000</v>
      </c>
      <c r="CM950" s="160">
        <f>CL950</f>
        <v>2000</v>
      </c>
    </row>
    <row r="951" spans="2:108" ht="15" customHeight="1">
      <c r="B951" s="506" t="s">
        <v>143</v>
      </c>
      <c r="C951" s="127" t="s">
        <v>466</v>
      </c>
      <c r="D951" s="144" t="s">
        <v>1815</v>
      </c>
      <c r="E951" s="506">
        <v>25</v>
      </c>
      <c r="F951" s="12">
        <v>0.4</v>
      </c>
      <c r="G951" s="101">
        <v>1000</v>
      </c>
      <c r="H951" s="101">
        <f>G951*(1+F951)</f>
        <v>1400</v>
      </c>
      <c r="AF951" s="141"/>
      <c r="AG951" s="141"/>
      <c r="AH951" s="137"/>
      <c r="AI951" s="484"/>
      <c r="AJ951" s="137">
        <f t="shared" si="325"/>
        <v>0.41666666666666663</v>
      </c>
      <c r="AU951" s="101">
        <v>1250</v>
      </c>
      <c r="AV951" s="101">
        <v>0</v>
      </c>
      <c r="AW951" s="101">
        <v>0</v>
      </c>
      <c r="AX951" s="101">
        <v>0</v>
      </c>
      <c r="AY951" s="100">
        <v>250</v>
      </c>
    </row>
    <row r="952" spans="2:108" ht="15" customHeight="1">
      <c r="B952" s="506" t="s">
        <v>144</v>
      </c>
      <c r="C952" s="127" t="s">
        <v>138</v>
      </c>
      <c r="D952" s="144" t="s">
        <v>1816</v>
      </c>
      <c r="E952" s="506">
        <v>25</v>
      </c>
      <c r="F952" s="12">
        <v>0.4</v>
      </c>
      <c r="G952" s="94">
        <f>VLOOKUP($D952,Construction!$B:$E,(COLUMN(Construction_BuildingReward_HeroXP)-COLUMN(Construction_Name_and_Level)+1),FALSE)</f>
        <v>500</v>
      </c>
      <c r="H952" s="94">
        <f>G952*(1+F952)</f>
        <v>700</v>
      </c>
      <c r="J952" s="95">
        <f>VLOOKUP($D952,Construction!$B:$F,(COLUMN(Construction_BuildingReward_Power)-COLUMN(Construction_Name_and_Level)+1),FALSE)</f>
        <v>285</v>
      </c>
      <c r="Q952" s="139">
        <v>3.472222222222222E-3</v>
      </c>
      <c r="R952" s="289">
        <v>9.7222222222222224E-3</v>
      </c>
      <c r="AF952" s="141"/>
      <c r="AG952" s="141"/>
      <c r="AH952" s="137"/>
      <c r="AI952" s="484"/>
      <c r="AJ952" s="137">
        <f t="shared" si="325"/>
        <v>0.41666666666666663</v>
      </c>
      <c r="AK952" s="339">
        <v>0.51500000000000001</v>
      </c>
      <c r="AL952" s="138">
        <f>VLOOKUP($D952,Construction!$B:$C,(COLUMN(Construction_Time)-COLUMN(Construction_Name_and_Level)+1),FALSE)</f>
        <v>0.47407407407407409</v>
      </c>
      <c r="AM952" s="138">
        <f t="shared" ref="AM952" si="327">AL952/(1+AK952)</f>
        <v>0.31292018090697959</v>
      </c>
      <c r="AN952" s="138">
        <f>(S$3*S952+T$3*T952+V$3*V952+W$3*W952+X$3*X952+Y$3*Y952+Z$3*Z952+AA$3*AA952+AB$3*AB952+AC$3*AC952)*(-1)</f>
        <v>0</v>
      </c>
      <c r="AO952" s="139">
        <f>IF((AM952-Q952-R952-AN952)&gt;=0,AM952-Q952-R952-AN952,0)</f>
        <v>0.29972573646253514</v>
      </c>
      <c r="AU952" s="94">
        <f>VLOOKUP($D952,Construction!$B:$J,(COLUMN(Construction_BuildingCost_Stone)-COLUMN(Construction_Name_and_Level)+1),FALSE)*(-1)</f>
        <v>-20088</v>
      </c>
      <c r="AV952" s="94">
        <f>VLOOKUP($D952,Construction!$B:$J,(COLUMN(Construction_BuildingCost_Wood)-COLUMN(Construction_Name_and_Level)+1),FALSE)*(-1)</f>
        <v>-20088</v>
      </c>
      <c r="AW952" s="94">
        <f>VLOOKUP($D952,Construction!$B:$J,(COLUMN(Construction_BuildingCost_Ore)-COLUMN(Construction_Name_and_Level)+1),FALSE)*(-1)</f>
        <v>0</v>
      </c>
      <c r="AX952" s="94">
        <f>VLOOKUP($D952,Construction!$B:$J,(COLUMN(Construction_BuildingCost_Food)-COLUMN(Construction_Name_and_Level)+1),FALSE)*(-1)</f>
        <v>-20088</v>
      </c>
    </row>
    <row r="953" spans="2:108" ht="15" customHeight="1">
      <c r="B953" s="506" t="s">
        <v>143</v>
      </c>
      <c r="C953" s="127" t="s">
        <v>142</v>
      </c>
      <c r="D953" s="144" t="s">
        <v>1816</v>
      </c>
      <c r="E953" s="506">
        <v>25</v>
      </c>
      <c r="F953" s="346">
        <v>0.4</v>
      </c>
      <c r="G953" s="101">
        <f>VLOOKUP($D953,Construction!$B:$L,(COLUMN(Construction_QuestReward_HeroXP)-COLUMN(Construction_Name_and_Level)+1),FALSE)</f>
        <v>10000</v>
      </c>
      <c r="H953" s="101">
        <f>G953*(1+F953)</f>
        <v>14000</v>
      </c>
      <c r="J953" s="100">
        <f>VLOOKUP($D953,Construction!$B:$L,(COLUMN(Construction_QuestReward_Power)-COLUMN(Construction_Name_and_Level)+1),FALSE)</f>
        <v>165</v>
      </c>
      <c r="AF953" s="141"/>
      <c r="AG953" s="141"/>
      <c r="AH953" s="137"/>
      <c r="AI953" s="484"/>
      <c r="AJ953" s="137">
        <f t="shared" si="325"/>
        <v>0.41666666666666663</v>
      </c>
      <c r="AU953" s="101">
        <f>VLOOKUP($D953,Construction!$B:$Q,(COLUMN(Construction_QuestReward_Stone)-COLUMN(Construction_Name_and_Level)+1),FALSE)</f>
        <v>4017</v>
      </c>
      <c r="AV953" s="101">
        <f>VLOOKUP($D953,Construction!$B:$Q,(COLUMN(Construction_QuestReward_Wood)-COLUMN(Construction_Name_and_Level)+1),FALSE)</f>
        <v>4017</v>
      </c>
      <c r="AW953" s="101">
        <f>VLOOKUP($D953,Construction!$B:$Q,(COLUMN(Construction_QuestReward_Ore)-COLUMN(Construction_Name_and_Level)+1),FALSE)</f>
        <v>0</v>
      </c>
      <c r="AX953" s="101">
        <f>VLOOKUP($D953,Construction!$B:$Q,(COLUMN(Construction_QuestReward_Food)-COLUMN(Construction_Name_and_Level)+1),FALSE)</f>
        <v>4017</v>
      </c>
      <c r="AY953" s="100">
        <f>VLOOKUP($D953,Construction!$B:$Q,(COLUMN(Construction_QuestReward_Silver)-COLUMN(Construction_Name_and_Level)+1),FALSE)</f>
        <v>100</v>
      </c>
    </row>
    <row r="954" spans="2:108" ht="15" customHeight="1">
      <c r="B954" s="113" t="s">
        <v>1483</v>
      </c>
      <c r="C954" s="127" t="s">
        <v>158</v>
      </c>
      <c r="D954" s="127">
        <v>1300</v>
      </c>
      <c r="E954" s="506">
        <v>25</v>
      </c>
      <c r="G954" s="7"/>
      <c r="H954" s="7"/>
      <c r="J954" s="114">
        <f>VLOOKUP($C954,Troop!$B:$AK,(COLUMN(Troop_TrainingReward_Power)-COLUMN(Troop_Name)+1),FALSE)*$D954</f>
        <v>10400</v>
      </c>
      <c r="AF954" s="141"/>
      <c r="AG954" s="141"/>
      <c r="AH954" s="137"/>
      <c r="AI954" s="484"/>
      <c r="AJ954" s="137">
        <f t="shared" si="325"/>
        <v>0.41666666666666663</v>
      </c>
      <c r="AU954" s="296">
        <f>VLOOKUP($C954,Troop!$B:$P,(COLUMN(Troop_TrainingCost_Stone)-COLUMN(Troop_Name)+1),FALSE)*$D954*(-1)</f>
        <v>0</v>
      </c>
      <c r="AV954" s="296">
        <f>VLOOKUP($C954,Troop!$B:$P,(COLUMN(Troop_TrainingCost_Wood)-COLUMN(Troop_Name)+1),FALSE)*$D954*(-1)</f>
        <v>-130000</v>
      </c>
      <c r="AW954" s="296">
        <f>VLOOKUP($C954,Troop!$B:$P,(COLUMN(Troop_TrainingCost_Ore)-COLUMN(Troop_Name)+1),FALSE)*$D954*(-1)</f>
        <v>-97500</v>
      </c>
      <c r="AX954" s="296">
        <f>VLOOKUP($C954,Troop!$B:$P,(COLUMN(Troop_TrainingCost_Food)-COLUMN(Troop_Name)+1),FALSE)*$D954*(-1)</f>
        <v>-130000</v>
      </c>
      <c r="AY954" s="114">
        <f>VLOOKUP($C954,Troop!$B:$P,(COLUMN(Troop_TrainingCost_Silver)-COLUMN(Troop_Name)+1),FALSE)*$D954*(-1)</f>
        <v>-6500</v>
      </c>
      <c r="CT954" s="128"/>
      <c r="CU954" s="128"/>
      <c r="CV954" s="128"/>
      <c r="CW954" s="128"/>
      <c r="CX954" s="128"/>
      <c r="CY954" s="128"/>
      <c r="CZ954" s="128"/>
      <c r="DA954" s="128"/>
      <c r="DB954" s="128"/>
      <c r="DC954" s="128"/>
      <c r="DD954" s="128"/>
    </row>
    <row r="955" spans="2:108" ht="15" customHeight="1">
      <c r="B955" s="113" t="s">
        <v>1483</v>
      </c>
      <c r="C955" s="127" t="s">
        <v>592</v>
      </c>
      <c r="D955" s="127">
        <v>1000</v>
      </c>
      <c r="E955" s="506">
        <v>25</v>
      </c>
      <c r="G955" s="7"/>
      <c r="H955" s="7"/>
      <c r="J955" s="114">
        <f>VLOOKUP($C955,Troop!$B:$AK,(COLUMN(Troop_TrainingReward_Power)-COLUMN(Troop_Name)+1),FALSE)*$D955</f>
        <v>1000</v>
      </c>
      <c r="AF955" s="141"/>
      <c r="AG955" s="141"/>
      <c r="AH955" s="137"/>
      <c r="AI955" s="484"/>
      <c r="AJ955" s="137">
        <f t="shared" si="325"/>
        <v>0.41666666666666663</v>
      </c>
      <c r="AU955" s="296">
        <f>VLOOKUP($C955,Troop!$B:$P,(COLUMN(Troop_TrainingCost_Stone)-COLUMN(Troop_Name)+1),FALSE)*$D955*(-1)</f>
        <v>-10000</v>
      </c>
      <c r="AV955" s="296">
        <f>VLOOKUP($C955,Troop!$B:$P,(COLUMN(Troop_TrainingCost_Wood)-COLUMN(Troop_Name)+1),FALSE)*$D955*(-1)</f>
        <v>0</v>
      </c>
      <c r="AW955" s="296">
        <f>VLOOKUP($C955,Troop!$B:$P,(COLUMN(Troop_TrainingCost_Ore)-COLUMN(Troop_Name)+1),FALSE)*$D955*(-1)</f>
        <v>0</v>
      </c>
      <c r="AX955" s="296">
        <f>VLOOKUP($C955,Troop!$B:$P,(COLUMN(Troop_TrainingCost_Food)-COLUMN(Troop_Name)+1),FALSE)*$D955*(-1)</f>
        <v>-10000</v>
      </c>
      <c r="AY955" s="114">
        <f>VLOOKUP($C955,Troop!$B:$P,(COLUMN(Troop_TrainingCost_Silver)-COLUMN(Troop_Name)+1),FALSE)*$D955*(-1)</f>
        <v>0</v>
      </c>
      <c r="CT955" s="128"/>
      <c r="CU955" s="128"/>
      <c r="CV955" s="128"/>
      <c r="CW955" s="128"/>
      <c r="CX955" s="128"/>
      <c r="CY955" s="128"/>
      <c r="CZ955" s="128"/>
      <c r="DA955" s="128"/>
      <c r="DB955" s="128"/>
      <c r="DC955" s="128"/>
      <c r="DD955" s="128"/>
    </row>
    <row r="956" spans="2:108" ht="15" customHeight="1">
      <c r="B956" s="506" t="s">
        <v>146</v>
      </c>
      <c r="C956" s="127" t="s">
        <v>138</v>
      </c>
      <c r="D956" s="144" t="s">
        <v>1817</v>
      </c>
      <c r="E956" s="506">
        <v>25</v>
      </c>
      <c r="F956" s="12">
        <v>0.4</v>
      </c>
      <c r="G956" s="111">
        <f>VLOOKUP($D956,Research!$C:$F,(COLUMN(Research_ResearchReward_HeroXP)-COLUMN(Research_Name_and_Level)+1),FALSE)</f>
        <v>250000</v>
      </c>
      <c r="H956" s="111">
        <f t="shared" ref="H956:H957" si="328">G956*(1+F956)</f>
        <v>350000</v>
      </c>
      <c r="J956" s="115">
        <f>VLOOKUP($D956,Research!$C:$G,(COLUMN(Research_ResearchReward_Power)-COLUMN(Research_Name_and_Level)+1),FALSE)</f>
        <v>16000</v>
      </c>
      <c r="R956" s="148">
        <v>9.7222222222222224E-3</v>
      </c>
      <c r="AF956" s="141"/>
      <c r="AG956" s="141"/>
      <c r="AH956" s="137"/>
      <c r="AI956" s="484"/>
      <c r="AJ956" s="137">
        <f t="shared" si="325"/>
        <v>0.41666666666666663</v>
      </c>
      <c r="AK956" s="342">
        <v>0.56499999999999995</v>
      </c>
      <c r="AP956" s="256">
        <v>0.5</v>
      </c>
      <c r="AQ956" s="147">
        <f>VLOOKUP($D956,Research!$C:$D,(COLUMN(Research_Time)-COLUMN(Research_Name_and_Level)+1),FALSE)</f>
        <v>2</v>
      </c>
      <c r="AR956" s="147">
        <f>AQ956/(1+AP956)</f>
        <v>1.3333333333333333</v>
      </c>
      <c r="AS956" s="147">
        <f>(S$3*S956+T$3*T956+V$3*V956+W$3*W956+X$3*X956+Y$3*Y956+Z$3*Z956+AA$3*AA956+AB$3*AB956+AC$3*AC956)*(-1)</f>
        <v>0</v>
      </c>
      <c r="AT956" s="148">
        <f>IF(AR956-R956-AS956&gt;=0,AR956-R956-AS956,0)</f>
        <v>1.3236111111111111</v>
      </c>
      <c r="AU956" s="111">
        <f>VLOOKUP($D956,Research!$C:$L,(COLUMN(Research_ResearchCost_Stone)-COLUMN(Research_Name_and_Level)+1),FALSE)*(-1)</f>
        <v>-320000</v>
      </c>
      <c r="AV956" s="111">
        <f>VLOOKUP($D956,Research!$C:$L,(COLUMN(Research_ResearchCost_Wood)-COLUMN(Research_Name_and_Level)+1),FALSE)*(-1)</f>
        <v>-320000</v>
      </c>
      <c r="AW956" s="111">
        <f>VLOOKUP($D956,Research!$C:$L,(COLUMN(Research_ResearchCost_Ore)-COLUMN(Research_Name_and_Level)+1),FALSE)*(-1)</f>
        <v>-320000</v>
      </c>
      <c r="AX956" s="111">
        <f>VLOOKUP($D956,Research!$C:$L,(COLUMN(Research_ResearchCost_Food)-COLUMN(Research_Name_and_Level)+1),FALSE)*(-1)</f>
        <v>-320000</v>
      </c>
      <c r="AY956" s="112">
        <f>VLOOKUP($D956,Research!$C:$L,(COLUMN(Research_ResearchCost_Silver)-COLUMN(Research_Name_and_Level)+1),FALSE)*(-1)</f>
        <v>-320000</v>
      </c>
    </row>
    <row r="957" spans="2:108" ht="15" customHeight="1">
      <c r="B957" s="102" t="s">
        <v>1455</v>
      </c>
      <c r="C957" s="127" t="s">
        <v>170</v>
      </c>
      <c r="D957" s="144" t="s">
        <v>1817</v>
      </c>
      <c r="E957" s="506">
        <v>25</v>
      </c>
      <c r="F957" s="12">
        <v>0.4</v>
      </c>
      <c r="G957" s="101">
        <f>VLOOKUP($D957,Research!$C:$M,(COLUMN(Research_QuestReward_HeroXP)-COLUMN(Research_Name_and_Level)+1),FALSE)</f>
        <v>106000</v>
      </c>
      <c r="H957" s="101">
        <f t="shared" si="328"/>
        <v>148400</v>
      </c>
      <c r="J957" s="103">
        <f>VLOOKUP($D957,Research!$C:$N,(COLUMN(Research_QuestReward_Power)-COLUMN(Research_Name_and_Level)+1),FALSE)</f>
        <v>700</v>
      </c>
      <c r="AF957" s="141"/>
      <c r="AG957" s="141"/>
      <c r="AH957" s="137"/>
      <c r="AI957" s="484"/>
      <c r="AJ957" s="137">
        <f t="shared" si="325"/>
        <v>0.41666666666666663</v>
      </c>
      <c r="AU957" s="101">
        <f>VLOOKUP($D957,Research!$C:$S,(COLUMN(Research_QuestReward_Stone)-COLUMN(Research_Name_and_Level)+1),FALSE)</f>
        <v>160000</v>
      </c>
      <c r="AV957" s="101">
        <f>VLOOKUP($D957,Research!$C:$S,(COLUMN(Research_QuestReward_Wood)-COLUMN(Research_Name_and_Level)+1),FALSE)</f>
        <v>160000</v>
      </c>
      <c r="AW957" s="101">
        <f>VLOOKUP($D957,Research!$C:$S,(COLUMN(Research_QuestReward_Ore)-COLUMN(Research_Name_and_Level)+1),FALSE)</f>
        <v>160000</v>
      </c>
      <c r="AX957" s="101">
        <f>VLOOKUP($D957,Research!$C:$S,(COLUMN(Research_QuestReward_Food)-COLUMN(Research_Name_and_Level)+1),FALSE)</f>
        <v>160000</v>
      </c>
      <c r="AY957" s="100">
        <f>VLOOKUP($D957,Research!$C:$S,(COLUMN(Research_QuestReward_Silver)-COLUMN(Research_Name_and_Level)+1),FALSE)</f>
        <v>80000</v>
      </c>
      <c r="CT957" s="127"/>
      <c r="CU957" s="127"/>
      <c r="CV957" s="127"/>
      <c r="CW957" s="127"/>
      <c r="CX957" s="127"/>
      <c r="CY957" s="127"/>
      <c r="CZ957" s="127"/>
      <c r="DA957" s="127"/>
      <c r="DB957" s="127"/>
      <c r="DC957" s="127"/>
      <c r="DD957" s="127"/>
    </row>
    <row r="958" spans="2:108" ht="15" customHeight="1">
      <c r="B958" s="506" t="s">
        <v>195</v>
      </c>
      <c r="C958" s="127" t="s">
        <v>468</v>
      </c>
      <c r="D958" s="144" t="s">
        <v>1818</v>
      </c>
      <c r="E958" s="506">
        <v>25</v>
      </c>
      <c r="F958" s="12">
        <v>0.4</v>
      </c>
      <c r="G958" s="211">
        <v>1000</v>
      </c>
      <c r="H958" s="211">
        <f t="shared" ref="H958" si="329">G958*(1+F958)</f>
        <v>1400</v>
      </c>
      <c r="AF958" s="141"/>
      <c r="AG958" s="141"/>
      <c r="AH958" s="137"/>
      <c r="AI958" s="484"/>
      <c r="AJ958" s="137">
        <f t="shared" si="325"/>
        <v>0.41666666666666663</v>
      </c>
      <c r="AU958" s="211">
        <v>0</v>
      </c>
      <c r="AV958" s="213">
        <v>0</v>
      </c>
      <c r="AW958" s="213">
        <v>0</v>
      </c>
      <c r="AX958" s="213">
        <v>5000</v>
      </c>
      <c r="AY958" s="160">
        <v>500</v>
      </c>
      <c r="CL958" s="211">
        <v>500</v>
      </c>
      <c r="CM958" s="160">
        <f>CL958</f>
        <v>500</v>
      </c>
    </row>
    <row r="959" spans="2:108" ht="15" customHeight="1">
      <c r="B959" s="506" t="s">
        <v>143</v>
      </c>
      <c r="C959" s="127" t="s">
        <v>466</v>
      </c>
      <c r="D959" s="144" t="s">
        <v>1819</v>
      </c>
      <c r="E959" s="506">
        <v>25</v>
      </c>
      <c r="F959" s="12">
        <v>0.4</v>
      </c>
      <c r="G959" s="101">
        <v>4000</v>
      </c>
      <c r="H959" s="101">
        <f>G959*(1+F959)</f>
        <v>5600</v>
      </c>
      <c r="AF959" s="141"/>
      <c r="AG959" s="141"/>
      <c r="AH959" s="137"/>
      <c r="AI959" s="484"/>
      <c r="AJ959" s="137">
        <f t="shared" si="325"/>
        <v>0.41666666666666663</v>
      </c>
      <c r="AU959" s="101">
        <v>4000</v>
      </c>
      <c r="AV959" s="101">
        <v>4000</v>
      </c>
      <c r="AW959" s="101">
        <v>4000</v>
      </c>
      <c r="AX959" s="101">
        <v>0</v>
      </c>
      <c r="AY959" s="100">
        <v>0</v>
      </c>
    </row>
    <row r="960" spans="2:108" ht="15" customHeight="1">
      <c r="B960" s="506" t="s">
        <v>624</v>
      </c>
      <c r="C960" s="127" t="s">
        <v>1147</v>
      </c>
      <c r="D960" s="144" t="s">
        <v>1820</v>
      </c>
      <c r="E960" s="506">
        <v>25</v>
      </c>
      <c r="H960" s="30">
        <v>0</v>
      </c>
      <c r="J960" s="31">
        <v>-38570</v>
      </c>
      <c r="AF960" s="141"/>
      <c r="AG960" s="141"/>
      <c r="AH960" s="137"/>
      <c r="AI960" s="484"/>
      <c r="AJ960" s="137">
        <f t="shared" si="325"/>
        <v>0.41666666666666663</v>
      </c>
      <c r="AU960" s="30">
        <v>0</v>
      </c>
      <c r="AV960" s="30">
        <v>0</v>
      </c>
      <c r="AW960" s="30">
        <v>0</v>
      </c>
      <c r="AX960" s="30">
        <v>0</v>
      </c>
      <c r="AY960" s="31">
        <v>-240000</v>
      </c>
    </row>
    <row r="961" spans="2:91" ht="15" customHeight="1">
      <c r="B961" s="506" t="s">
        <v>195</v>
      </c>
      <c r="C961" s="127" t="s">
        <v>775</v>
      </c>
      <c r="D961" s="144" t="s">
        <v>1821</v>
      </c>
      <c r="E961" s="506">
        <v>25</v>
      </c>
      <c r="AF961" s="141"/>
      <c r="AG961" s="141"/>
      <c r="AH961" s="137"/>
      <c r="AI961" s="484"/>
      <c r="AJ961" s="137">
        <f t="shared" si="325"/>
        <v>0.41666666666666663</v>
      </c>
      <c r="AX961" s="211">
        <v>147900</v>
      </c>
    </row>
    <row r="962" spans="2:91" ht="15" customHeight="1">
      <c r="B962" s="506" t="s">
        <v>624</v>
      </c>
      <c r="C962" s="127" t="s">
        <v>670</v>
      </c>
      <c r="D962" s="144" t="s">
        <v>1789</v>
      </c>
      <c r="E962" s="506">
        <v>25</v>
      </c>
      <c r="H962" s="30">
        <v>0</v>
      </c>
      <c r="J962" s="31">
        <v>0</v>
      </c>
      <c r="AF962" s="141"/>
      <c r="AG962" s="141"/>
      <c r="AH962" s="137"/>
      <c r="AI962" s="484"/>
      <c r="AJ962" s="137">
        <f t="shared" si="325"/>
        <v>0.41666666666666663</v>
      </c>
      <c r="AU962" s="30">
        <v>0</v>
      </c>
      <c r="AV962" s="30">
        <v>0</v>
      </c>
      <c r="AW962" s="30">
        <v>0</v>
      </c>
      <c r="AX962" s="30">
        <v>0</v>
      </c>
      <c r="AY962" s="31">
        <v>29200</v>
      </c>
    </row>
    <row r="963" spans="2:91" ht="15" customHeight="1">
      <c r="B963" s="506" t="s">
        <v>624</v>
      </c>
      <c r="C963" s="127" t="s">
        <v>1148</v>
      </c>
      <c r="D963" s="144" t="s">
        <v>1822</v>
      </c>
      <c r="E963" s="506">
        <v>25</v>
      </c>
      <c r="H963" s="30">
        <v>0</v>
      </c>
      <c r="J963" s="31">
        <v>27770</v>
      </c>
      <c r="AF963" s="141"/>
      <c r="AG963" s="141"/>
      <c r="AH963" s="137"/>
      <c r="AI963" s="484"/>
      <c r="AJ963" s="137">
        <f t="shared" si="325"/>
        <v>0.41666666666666663</v>
      </c>
      <c r="AU963" s="30">
        <v>-83457</v>
      </c>
      <c r="AV963" s="30">
        <v>-153887</v>
      </c>
      <c r="AW963" s="30">
        <v>-116199</v>
      </c>
      <c r="AX963" s="30">
        <v>-200142</v>
      </c>
      <c r="AY963" s="31">
        <v>-30000</v>
      </c>
    </row>
    <row r="964" spans="2:91" ht="15" customHeight="1">
      <c r="B964" s="506" t="s">
        <v>624</v>
      </c>
      <c r="C964" s="127" t="s">
        <v>670</v>
      </c>
      <c r="D964" s="144" t="s">
        <v>1789</v>
      </c>
      <c r="E964" s="506">
        <v>25</v>
      </c>
      <c r="H964" s="30">
        <v>0</v>
      </c>
      <c r="J964" s="31">
        <v>0</v>
      </c>
      <c r="AF964" s="141"/>
      <c r="AG964" s="141"/>
      <c r="AH964" s="137"/>
      <c r="AI964" s="484"/>
      <c r="AJ964" s="137">
        <f t="shared" si="325"/>
        <v>0.41666666666666663</v>
      </c>
      <c r="AU964" s="30">
        <v>0</v>
      </c>
      <c r="AV964" s="30">
        <v>0</v>
      </c>
      <c r="AW964" s="30">
        <v>0</v>
      </c>
      <c r="AX964" s="30">
        <v>0</v>
      </c>
      <c r="AY964" s="31">
        <v>42630</v>
      </c>
    </row>
    <row r="965" spans="2:91" ht="15" customHeight="1">
      <c r="B965" s="506" t="s">
        <v>624</v>
      </c>
      <c r="C965" s="127" t="s">
        <v>623</v>
      </c>
      <c r="D965" s="144" t="s">
        <v>1422</v>
      </c>
      <c r="E965" s="506">
        <v>25</v>
      </c>
      <c r="AF965" s="141"/>
      <c r="AG965" s="141"/>
      <c r="AH965" s="137"/>
      <c r="AI965" s="484"/>
      <c r="AJ965" s="137">
        <f t="shared" si="325"/>
        <v>0.41666666666666663</v>
      </c>
      <c r="AU965" s="30">
        <v>0</v>
      </c>
      <c r="AV965" s="30">
        <v>0</v>
      </c>
      <c r="AW965" s="30">
        <v>0</v>
      </c>
      <c r="AX965" s="30">
        <v>60907</v>
      </c>
      <c r="AY965" s="31">
        <v>0</v>
      </c>
    </row>
    <row r="966" spans="2:91" ht="15" customHeight="1">
      <c r="B966" s="506" t="s">
        <v>143</v>
      </c>
      <c r="C966" s="127" t="s">
        <v>466</v>
      </c>
      <c r="D966" s="144" t="s">
        <v>1823</v>
      </c>
      <c r="E966" s="506">
        <v>25</v>
      </c>
      <c r="F966" s="12">
        <v>0.4</v>
      </c>
      <c r="G966" s="101">
        <v>4000</v>
      </c>
      <c r="H966" s="101">
        <f>G966*(1+F966)</f>
        <v>5600</v>
      </c>
      <c r="AF966" s="141"/>
      <c r="AG966" s="141"/>
      <c r="AH966" s="137"/>
      <c r="AI966" s="484"/>
      <c r="AJ966" s="137">
        <f t="shared" si="325"/>
        <v>0.41666666666666663</v>
      </c>
      <c r="AU966" s="101">
        <v>0</v>
      </c>
      <c r="AV966" s="101">
        <v>0</v>
      </c>
      <c r="AW966" s="101">
        <v>0</v>
      </c>
      <c r="AX966" s="101">
        <v>10000</v>
      </c>
      <c r="AY966" s="100">
        <v>0</v>
      </c>
    </row>
    <row r="967" spans="2:91" ht="15" customHeight="1">
      <c r="B967" s="506" t="s">
        <v>195</v>
      </c>
      <c r="C967" s="127" t="s">
        <v>468</v>
      </c>
      <c r="D967" s="144" t="s">
        <v>1824</v>
      </c>
      <c r="E967" s="506">
        <v>25</v>
      </c>
      <c r="F967" s="12">
        <v>0.4</v>
      </c>
      <c r="G967" s="211">
        <v>50000</v>
      </c>
      <c r="H967" s="211">
        <f t="shared" ref="H967" si="330">G967*(1+F967)</f>
        <v>70000</v>
      </c>
      <c r="AF967" s="141"/>
      <c r="AG967" s="141"/>
      <c r="AH967" s="137"/>
      <c r="AI967" s="484"/>
      <c r="AJ967" s="137">
        <f t="shared" si="325"/>
        <v>0.41666666666666663</v>
      </c>
      <c r="AU967" s="211">
        <v>50000</v>
      </c>
      <c r="AV967" s="213">
        <v>50000</v>
      </c>
      <c r="AW967" s="213">
        <v>50000</v>
      </c>
      <c r="AX967" s="213">
        <v>0</v>
      </c>
      <c r="AY967" s="160">
        <v>2000</v>
      </c>
      <c r="CL967" s="211">
        <v>25000</v>
      </c>
      <c r="CM967" s="160">
        <f>CL967</f>
        <v>25000</v>
      </c>
    </row>
    <row r="968" spans="2:91" ht="15" customHeight="1">
      <c r="B968" s="506" t="s">
        <v>143</v>
      </c>
      <c r="C968" s="127" t="s">
        <v>466</v>
      </c>
      <c r="D968" s="144" t="s">
        <v>1825</v>
      </c>
      <c r="E968" s="506">
        <v>25</v>
      </c>
      <c r="F968" s="12">
        <v>0.4</v>
      </c>
      <c r="G968" s="101">
        <v>15000</v>
      </c>
      <c r="H968" s="101">
        <f>G968*(1+F968)</f>
        <v>21000</v>
      </c>
      <c r="AF968" s="141"/>
      <c r="AG968" s="141"/>
      <c r="AH968" s="137"/>
      <c r="AI968" s="484"/>
      <c r="AJ968" s="137">
        <f t="shared" si="325"/>
        <v>0.41666666666666663</v>
      </c>
      <c r="AU968" s="101">
        <v>18750</v>
      </c>
      <c r="AV968" s="101">
        <v>0</v>
      </c>
      <c r="AW968" s="101">
        <v>0</v>
      </c>
      <c r="AX968" s="101">
        <v>0</v>
      </c>
      <c r="AY968" s="100">
        <v>3750</v>
      </c>
    </row>
    <row r="969" spans="2:91" ht="15" customHeight="1">
      <c r="B969" s="506" t="s">
        <v>195</v>
      </c>
      <c r="C969" s="127" t="s">
        <v>468</v>
      </c>
      <c r="D969" s="144" t="s">
        <v>1826</v>
      </c>
      <c r="E969" s="506">
        <v>25</v>
      </c>
      <c r="F969" s="12">
        <v>0.4</v>
      </c>
      <c r="G969" s="211">
        <v>4000</v>
      </c>
      <c r="H969" s="211">
        <f t="shared" ref="H969" si="331">G969*(1+F969)</f>
        <v>5600</v>
      </c>
      <c r="AF969" s="141"/>
      <c r="AG969" s="141"/>
      <c r="AH969" s="137"/>
      <c r="AI969" s="484"/>
      <c r="AJ969" s="137">
        <f t="shared" si="325"/>
        <v>0.41666666666666663</v>
      </c>
      <c r="AU969" s="211">
        <v>0</v>
      </c>
      <c r="AV969" s="213">
        <v>0</v>
      </c>
      <c r="AW969" s="213">
        <v>10000</v>
      </c>
      <c r="AX969" s="213">
        <v>0</v>
      </c>
      <c r="AY969" s="160">
        <v>2000</v>
      </c>
      <c r="CL969" s="211">
        <v>2000</v>
      </c>
      <c r="CM969" s="160">
        <f>CL969</f>
        <v>2000</v>
      </c>
    </row>
    <row r="970" spans="2:91" ht="15" customHeight="1">
      <c r="B970" s="506" t="s">
        <v>143</v>
      </c>
      <c r="C970" s="127" t="s">
        <v>466</v>
      </c>
      <c r="D970" s="144" t="s">
        <v>1827</v>
      </c>
      <c r="E970" s="506">
        <v>25</v>
      </c>
      <c r="F970" s="12">
        <v>0.4</v>
      </c>
      <c r="G970" s="101">
        <v>4000</v>
      </c>
      <c r="H970" s="101">
        <f>G970*(1+F970)</f>
        <v>5600</v>
      </c>
      <c r="AF970" s="141"/>
      <c r="AG970" s="141"/>
      <c r="AH970" s="137"/>
      <c r="AI970" s="484"/>
      <c r="AJ970" s="137">
        <f t="shared" si="325"/>
        <v>0.41666666666666663</v>
      </c>
      <c r="AU970" s="101">
        <v>0</v>
      </c>
      <c r="AV970" s="101">
        <v>5000</v>
      </c>
      <c r="AW970" s="101">
        <v>0</v>
      </c>
      <c r="AX970" s="101">
        <v>0</v>
      </c>
      <c r="AY970" s="100">
        <v>1000</v>
      </c>
    </row>
    <row r="971" spans="2:91" ht="15" customHeight="1">
      <c r="B971" s="506" t="s">
        <v>144</v>
      </c>
      <c r="C971" s="127" t="s">
        <v>138</v>
      </c>
      <c r="D971" s="144" t="s">
        <v>1828</v>
      </c>
      <c r="E971" s="506">
        <v>25</v>
      </c>
      <c r="F971" s="12">
        <v>0.4</v>
      </c>
      <c r="G971" s="94">
        <f>VLOOKUP($D971,Construction!$B:$E,(COLUMN(Construction_BuildingReward_HeroXP)-COLUMN(Construction_Name_and_Level)+1),FALSE)</f>
        <v>500</v>
      </c>
      <c r="H971" s="94">
        <f>G971*(1+F971)</f>
        <v>700</v>
      </c>
      <c r="J971" s="95">
        <f>VLOOKUP($D971,Construction!$B:$F,(COLUMN(Construction_BuildingReward_Power)-COLUMN(Construction_Name_and_Level)+1),FALSE)</f>
        <v>190</v>
      </c>
      <c r="Q971" s="139">
        <v>3.472222222222222E-3</v>
      </c>
      <c r="R971" s="289">
        <v>9.7222222222222224E-3</v>
      </c>
      <c r="AF971" s="141"/>
      <c r="AG971" s="141"/>
      <c r="AH971" s="137"/>
      <c r="AI971" s="484"/>
      <c r="AJ971" s="137">
        <f t="shared" si="325"/>
        <v>0.41666666666666663</v>
      </c>
      <c r="AK971" s="339">
        <v>0.56499999999999995</v>
      </c>
      <c r="AL971" s="138">
        <f>VLOOKUP($D971,Construction!$B:$C,(COLUMN(Construction_Time)-COLUMN(Construction_Name_and_Level)+1),FALSE)</f>
        <v>0.17777777777777778</v>
      </c>
      <c r="AM971" s="138">
        <f t="shared" ref="AM971" si="332">AL971/(1+AK971)</f>
        <v>0.11359602413915514</v>
      </c>
      <c r="AN971" s="138">
        <f>(S$3*S971+T$3*T971+V$3*V971+W$3*W971+X$3*X971+Y$3*Y971+Z$3*Z971+AA$3*AA971+AB$3*AB971+AC$3*AC971)*(-1)</f>
        <v>0</v>
      </c>
      <c r="AO971" s="139">
        <f>IF((AM971-Q971-R971-AN971)&gt;=0,AM971-Q971-R971-AN971,0)</f>
        <v>0.1004015796947107</v>
      </c>
      <c r="AU971" s="94">
        <f>VLOOKUP($D971,Construction!$B:$J,(COLUMN(Construction_BuildingCost_Stone)-COLUMN(Construction_Name_and_Level)+1),FALSE)*(-1)</f>
        <v>-13392</v>
      </c>
      <c r="AV971" s="94">
        <f>VLOOKUP($D971,Construction!$B:$J,(COLUMN(Construction_BuildingCost_Wood)-COLUMN(Construction_Name_and_Level)+1),FALSE)*(-1)</f>
        <v>0</v>
      </c>
      <c r="AW971" s="94">
        <f>VLOOKUP($D971,Construction!$B:$J,(COLUMN(Construction_BuildingCost_Ore)-COLUMN(Construction_Name_and_Level)+1),FALSE)*(-1)</f>
        <v>-13392</v>
      </c>
      <c r="AX971" s="94">
        <f>VLOOKUP($D971,Construction!$B:$J,(COLUMN(Construction_BuildingCost_Food)-COLUMN(Construction_Name_and_Level)+1),FALSE)*(-1)</f>
        <v>-13392</v>
      </c>
    </row>
    <row r="972" spans="2:91" ht="15" customHeight="1">
      <c r="B972" s="506" t="s">
        <v>143</v>
      </c>
      <c r="C972" s="127" t="s">
        <v>142</v>
      </c>
      <c r="D972" s="144" t="s">
        <v>1828</v>
      </c>
      <c r="E972" s="506">
        <v>25</v>
      </c>
      <c r="F972" s="346">
        <v>0.4</v>
      </c>
      <c r="G972" s="101">
        <f>VLOOKUP($D972,Construction!$B:$L,(COLUMN(Construction_QuestReward_HeroXP)-COLUMN(Construction_Name_and_Level)+1),FALSE)</f>
        <v>10000</v>
      </c>
      <c r="H972" s="101">
        <f>G972*(1+F972)</f>
        <v>14000</v>
      </c>
      <c r="J972" s="100">
        <f>VLOOKUP($D972,Construction!$B:$L,(COLUMN(Construction_QuestReward_Power)-COLUMN(Construction_Name_and_Level)+1),FALSE)</f>
        <v>107</v>
      </c>
      <c r="AF972" s="141"/>
      <c r="AG972" s="141"/>
      <c r="AH972" s="137"/>
      <c r="AI972" s="484"/>
      <c r="AJ972" s="137">
        <f t="shared" si="325"/>
        <v>0.41666666666666663</v>
      </c>
      <c r="AU972" s="101">
        <f>VLOOKUP($D972,Construction!$B:$Q,(COLUMN(Construction_QuestReward_Stone)-COLUMN(Construction_Name_and_Level)+1),FALSE)</f>
        <v>7400</v>
      </c>
      <c r="AV972" s="101">
        <f>VLOOKUP($D972,Construction!$B:$Q,(COLUMN(Construction_QuestReward_Wood)-COLUMN(Construction_Name_and_Level)+1),FALSE)</f>
        <v>0</v>
      </c>
      <c r="AW972" s="101">
        <f>VLOOKUP($D972,Construction!$B:$Q,(COLUMN(Construction_QuestReward_Ore)-COLUMN(Construction_Name_and_Level)+1),FALSE)</f>
        <v>7400</v>
      </c>
      <c r="AX972" s="101">
        <f>VLOOKUP($D972,Construction!$B:$Q,(COLUMN(Construction_QuestReward_Food)-COLUMN(Construction_Name_and_Level)+1),FALSE)</f>
        <v>7400</v>
      </c>
      <c r="AY972" s="100">
        <f>VLOOKUP($D972,Construction!$B:$Q,(COLUMN(Construction_QuestReward_Silver)-COLUMN(Construction_Name_and_Level)+1),FALSE)</f>
        <v>150</v>
      </c>
    </row>
    <row r="973" spans="2:91" ht="15" customHeight="1">
      <c r="B973" s="506" t="s">
        <v>148</v>
      </c>
      <c r="E973" s="506">
        <v>25</v>
      </c>
      <c r="AJ973" s="137">
        <f t="shared" si="325"/>
        <v>0.41666666666666663</v>
      </c>
      <c r="AU973" s="142">
        <v>8250</v>
      </c>
    </row>
    <row r="974" spans="2:91" ht="15" customHeight="1">
      <c r="B974" s="506" t="s">
        <v>144</v>
      </c>
      <c r="C974" s="127" t="s">
        <v>138</v>
      </c>
      <c r="D974" s="144" t="s">
        <v>1829</v>
      </c>
      <c r="E974" s="506">
        <v>25</v>
      </c>
      <c r="F974" s="12">
        <v>0.4</v>
      </c>
      <c r="G974" s="94">
        <f>VLOOKUP($D974,Construction!$B:$E,(COLUMN(Construction_BuildingReward_HeroXP)-COLUMN(Construction_Name_and_Level)+1),FALSE)</f>
        <v>500</v>
      </c>
      <c r="H974" s="94">
        <f>G974*(1+F974)</f>
        <v>700</v>
      </c>
      <c r="J974" s="95">
        <f>VLOOKUP($D974,Construction!$B:$F,(COLUMN(Construction_BuildingReward_Power)-COLUMN(Construction_Name_and_Level)+1),FALSE)</f>
        <v>285</v>
      </c>
      <c r="Q974" s="139">
        <v>3.472222222222222E-3</v>
      </c>
      <c r="R974" s="289">
        <v>9.7222222222222224E-3</v>
      </c>
      <c r="AF974" s="141"/>
      <c r="AG974" s="141"/>
      <c r="AH974" s="137"/>
      <c r="AI974" s="484"/>
      <c r="AJ974" s="137">
        <f t="shared" si="325"/>
        <v>0.41666666666666663</v>
      </c>
      <c r="AK974" s="339">
        <v>0.56499999999999995</v>
      </c>
      <c r="AL974" s="138">
        <f>VLOOKUP($D974,Construction!$B:$C,(COLUMN(Construction_Time)-COLUMN(Construction_Name_and_Level)+1),FALSE)</f>
        <v>0.4148148148148148</v>
      </c>
      <c r="AM974" s="138">
        <f t="shared" ref="AM974" si="333">AL974/(1+AK974)</f>
        <v>0.26505738965802866</v>
      </c>
      <c r="AN974" s="138">
        <f>(S$3*S974+T$3*T974+V$3*V974+W$3*W974+X$3*X974+Y$3*Y974+Z$3*Z974+AA$3*AA974+AB$3*AB974+AC$3*AC974)*(-1)</f>
        <v>0</v>
      </c>
      <c r="AO974" s="139">
        <f>IF((AM974-Q974-R974-AN974)&gt;=0,AM974-Q974-R974-AN974,0)</f>
        <v>0.25186294521358421</v>
      </c>
      <c r="AU974" s="94">
        <f>VLOOKUP($D974,Construction!$B:$J,(COLUMN(Construction_BuildingCost_Stone)-COLUMN(Construction_Name_and_Level)+1),FALSE)*(-1)</f>
        <v>0</v>
      </c>
      <c r="AV974" s="94">
        <f>VLOOKUP($D974,Construction!$B:$J,(COLUMN(Construction_BuildingCost_Wood)-COLUMN(Construction_Name_and_Level)+1),FALSE)*(-1)</f>
        <v>-20088</v>
      </c>
      <c r="AW974" s="94">
        <f>VLOOKUP($D974,Construction!$B:$J,(COLUMN(Construction_BuildingCost_Ore)-COLUMN(Construction_Name_and_Level)+1),FALSE)*(-1)</f>
        <v>-20088</v>
      </c>
      <c r="AX974" s="94">
        <f>VLOOKUP($D974,Construction!$B:$J,(COLUMN(Construction_BuildingCost_Food)-COLUMN(Construction_Name_and_Level)+1),FALSE)*(-1)</f>
        <v>-20088</v>
      </c>
    </row>
    <row r="975" spans="2:91" ht="15" customHeight="1">
      <c r="B975" s="506" t="s">
        <v>143</v>
      </c>
      <c r="C975" s="127" t="s">
        <v>142</v>
      </c>
      <c r="D975" s="144" t="s">
        <v>1829</v>
      </c>
      <c r="E975" s="506">
        <v>25</v>
      </c>
      <c r="F975" s="346">
        <v>0.4</v>
      </c>
      <c r="G975" s="101">
        <f>VLOOKUP($D975,Construction!$B:$L,(COLUMN(Construction_QuestReward_HeroXP)-COLUMN(Construction_Name_and_Level)+1),FALSE)</f>
        <v>10000</v>
      </c>
      <c r="H975" s="101">
        <f>G975*(1+F975)</f>
        <v>14000</v>
      </c>
      <c r="J975" s="100">
        <f>VLOOKUP($D975,Construction!$B:$L,(COLUMN(Construction_QuestReward_Power)-COLUMN(Construction_Name_and_Level)+1),FALSE)</f>
        <v>165</v>
      </c>
      <c r="AF975" s="141"/>
      <c r="AG975" s="141"/>
      <c r="AH975" s="137"/>
      <c r="AI975" s="484"/>
      <c r="AJ975" s="137">
        <f t="shared" si="325"/>
        <v>0.41666666666666663</v>
      </c>
      <c r="AU975" s="101">
        <f>VLOOKUP($D975,Construction!$B:$Q,(COLUMN(Construction_QuestReward_Stone)-COLUMN(Construction_Name_and_Level)+1),FALSE)</f>
        <v>0</v>
      </c>
      <c r="AV975" s="101">
        <f>VLOOKUP($D975,Construction!$B:$Q,(COLUMN(Construction_QuestReward_Wood)-COLUMN(Construction_Name_and_Level)+1),FALSE)</f>
        <v>4017</v>
      </c>
      <c r="AW975" s="101">
        <f>VLOOKUP($D975,Construction!$B:$Q,(COLUMN(Construction_QuestReward_Ore)-COLUMN(Construction_Name_and_Level)+1),FALSE)</f>
        <v>4017</v>
      </c>
      <c r="AX975" s="101">
        <f>VLOOKUP($D975,Construction!$B:$Q,(COLUMN(Construction_QuestReward_Food)-COLUMN(Construction_Name_and_Level)+1),FALSE)</f>
        <v>4017</v>
      </c>
      <c r="AY975" s="100">
        <f>VLOOKUP($D975,Construction!$B:$Q,(COLUMN(Construction_QuestReward_Silver)-COLUMN(Construction_Name_and_Level)+1),FALSE)</f>
        <v>100</v>
      </c>
    </row>
    <row r="976" spans="2:91" ht="15" customHeight="1">
      <c r="B976" s="506" t="s">
        <v>195</v>
      </c>
      <c r="C976" s="127" t="s">
        <v>468</v>
      </c>
      <c r="D976" s="144" t="s">
        <v>1814</v>
      </c>
      <c r="E976" s="506">
        <v>25</v>
      </c>
      <c r="F976" s="12">
        <v>0.4</v>
      </c>
      <c r="G976" s="211">
        <v>4000</v>
      </c>
      <c r="H976" s="211">
        <f t="shared" ref="H976" si="334">G976*(1+F976)</f>
        <v>5600</v>
      </c>
      <c r="AF976" s="141"/>
      <c r="AG976" s="141"/>
      <c r="AH976" s="137"/>
      <c r="AI976" s="484"/>
      <c r="AJ976" s="137">
        <f t="shared" si="325"/>
        <v>0.41666666666666663</v>
      </c>
      <c r="AU976" s="211">
        <v>0</v>
      </c>
      <c r="AV976" s="213">
        <v>0</v>
      </c>
      <c r="AW976" s="213">
        <v>0</v>
      </c>
      <c r="AX976" s="213">
        <v>5000</v>
      </c>
      <c r="AY976" s="160">
        <v>1000</v>
      </c>
      <c r="CL976" s="211">
        <v>2000</v>
      </c>
      <c r="CM976" s="160">
        <f>CL976</f>
        <v>2000</v>
      </c>
    </row>
    <row r="977" spans="1:108" ht="15" customHeight="1">
      <c r="B977" s="506" t="s">
        <v>143</v>
      </c>
      <c r="C977" s="127" t="s">
        <v>466</v>
      </c>
      <c r="D977" s="144" t="s">
        <v>1827</v>
      </c>
      <c r="E977" s="506">
        <v>25</v>
      </c>
      <c r="F977" s="12">
        <v>0.4</v>
      </c>
      <c r="G977" s="101">
        <v>4000</v>
      </c>
      <c r="H977" s="101">
        <f>G977*(1+F977)</f>
        <v>5600</v>
      </c>
      <c r="AF977" s="141"/>
      <c r="AG977" s="141"/>
      <c r="AH977" s="137"/>
      <c r="AI977" s="484"/>
      <c r="AJ977" s="137">
        <f t="shared" si="325"/>
        <v>0.41666666666666663</v>
      </c>
      <c r="AU977" s="101">
        <v>0</v>
      </c>
      <c r="AV977" s="101">
        <v>5000</v>
      </c>
      <c r="AW977" s="101">
        <v>0</v>
      </c>
      <c r="AX977" s="101">
        <v>0</v>
      </c>
      <c r="AY977" s="100">
        <v>1000</v>
      </c>
    </row>
    <row r="978" spans="1:108" ht="15" customHeight="1">
      <c r="B978" s="506" t="s">
        <v>144</v>
      </c>
      <c r="C978" s="127" t="s">
        <v>138</v>
      </c>
      <c r="D978" s="144" t="s">
        <v>1830</v>
      </c>
      <c r="E978" s="506">
        <v>25</v>
      </c>
      <c r="F978" s="12">
        <v>0.4</v>
      </c>
      <c r="G978" s="94">
        <f>VLOOKUP($D978,Construction!$B:$E,(COLUMN(Construction_BuildingReward_HeroXP)-COLUMN(Construction_Name_and_Level)+1),FALSE)</f>
        <v>500</v>
      </c>
      <c r="H978" s="94">
        <f>G978*(1+F978)</f>
        <v>700</v>
      </c>
      <c r="J978" s="95">
        <f>VLOOKUP($D978,Construction!$B:$F,(COLUMN(Construction_BuildingReward_Power)-COLUMN(Construction_Name_and_Level)+1),FALSE)</f>
        <v>285</v>
      </c>
      <c r="Q978" s="139">
        <v>3.472222222222222E-3</v>
      </c>
      <c r="R978" s="289">
        <v>9.7222222222222224E-3</v>
      </c>
      <c r="X978" s="11">
        <v>-2</v>
      </c>
      <c r="AF978" s="141"/>
      <c r="AG978" s="141"/>
      <c r="AH978" s="137"/>
      <c r="AI978" s="484">
        <f>(-1)*($S$3*$S978+$T$3*$T978+$U$3*$U978+$V$3*$V978+$W$3*$W978+$X$3*$X978+$Y$3*$Y978+$Z$3*$Z978+$AA$3*$AA978+$AB$3*$AB978+$AC$3*$AC978)</f>
        <v>8.3333333333333329E-2</v>
      </c>
      <c r="AJ978" s="137">
        <f t="shared" si="325"/>
        <v>0.33333333333333331</v>
      </c>
      <c r="AK978" s="339">
        <v>0.56499999999999995</v>
      </c>
      <c r="AL978" s="138">
        <f>VLOOKUP($D978,Construction!$B:$C,(COLUMN(Construction_Time)-COLUMN(Construction_Name_and_Level)+1),FALSE)</f>
        <v>0.29629629629629628</v>
      </c>
      <c r="AM978" s="138">
        <f t="shared" ref="AM978" si="335">AL978/(1+AK978)</f>
        <v>0.18932670689859188</v>
      </c>
      <c r="AN978" s="138">
        <f>(S$3*S978+T$3*T978+V$3*V978+W$3*W978+X$3*X978+Y$3*Y978+Z$3*Z978+AA$3*AA978+AB$3*AB978+AC$3*AC978)*(-1)</f>
        <v>8.3333333333333329E-2</v>
      </c>
      <c r="AO978" s="139">
        <f>IF((AM978-Q978-R978-AN978)&gt;=0,AM978-Q978-R978-AN978,0)</f>
        <v>9.2798929120814125E-2</v>
      </c>
      <c r="AU978" s="94">
        <f>VLOOKUP($D978,Construction!$B:$J,(COLUMN(Construction_BuildingCost_Stone)-COLUMN(Construction_Name_and_Level)+1),FALSE)*(-1)</f>
        <v>-20088</v>
      </c>
      <c r="AV978" s="94">
        <f>VLOOKUP($D978,Construction!$B:$J,(COLUMN(Construction_BuildingCost_Wood)-COLUMN(Construction_Name_and_Level)+1),FALSE)*(-1)</f>
        <v>-20088</v>
      </c>
      <c r="AW978" s="94">
        <f>VLOOKUP($D978,Construction!$B:$J,(COLUMN(Construction_BuildingCost_Ore)-COLUMN(Construction_Name_and_Level)+1),FALSE)*(-1)</f>
        <v>-20088</v>
      </c>
      <c r="AX978" s="94">
        <f>VLOOKUP($D978,Construction!$B:$J,(COLUMN(Construction_BuildingCost_Food)-COLUMN(Construction_Name_and_Level)+1),FALSE)*(-1)</f>
        <v>0</v>
      </c>
    </row>
    <row r="979" spans="1:108" ht="15" customHeight="1">
      <c r="B979" s="506" t="s">
        <v>143</v>
      </c>
      <c r="C979" s="127" t="s">
        <v>142</v>
      </c>
      <c r="D979" s="144" t="s">
        <v>1830</v>
      </c>
      <c r="E979" s="506">
        <v>25</v>
      </c>
      <c r="F979" s="346">
        <v>0.4</v>
      </c>
      <c r="G979" s="101">
        <f>VLOOKUP($D979,Construction!$B:$L,(COLUMN(Construction_QuestReward_HeroXP)-COLUMN(Construction_Name_and_Level)+1),FALSE)</f>
        <v>10000</v>
      </c>
      <c r="H979" s="101">
        <f>G979*(1+F979)</f>
        <v>14000</v>
      </c>
      <c r="J979" s="100">
        <f>VLOOKUP($D979,Construction!$B:$L,(COLUMN(Construction_QuestReward_Power)-COLUMN(Construction_Name_and_Level)+1),FALSE)</f>
        <v>165</v>
      </c>
      <c r="AF979" s="141"/>
      <c r="AG979" s="141"/>
      <c r="AH979" s="137"/>
      <c r="AI979" s="484"/>
      <c r="AJ979" s="137">
        <f t="shared" si="325"/>
        <v>0.33333333333333331</v>
      </c>
      <c r="AU979" s="101">
        <f>VLOOKUP($D979,Construction!$B:$Q,(COLUMN(Construction_QuestReward_Stone)-COLUMN(Construction_Name_and_Level)+1),FALSE)</f>
        <v>4017</v>
      </c>
      <c r="AV979" s="101">
        <f>VLOOKUP($D979,Construction!$B:$Q,(COLUMN(Construction_QuestReward_Wood)-COLUMN(Construction_Name_and_Level)+1),FALSE)</f>
        <v>4017</v>
      </c>
      <c r="AW979" s="101">
        <f>VLOOKUP($D979,Construction!$B:$Q,(COLUMN(Construction_QuestReward_Ore)-COLUMN(Construction_Name_and_Level)+1),FALSE)</f>
        <v>4017</v>
      </c>
      <c r="AX979" s="101">
        <f>VLOOKUP($D979,Construction!$B:$Q,(COLUMN(Construction_QuestReward_Food)-COLUMN(Construction_Name_and_Level)+1),FALSE)</f>
        <v>0</v>
      </c>
      <c r="AY979" s="100">
        <f>VLOOKUP($D979,Construction!$B:$Q,(COLUMN(Construction_QuestReward_Silver)-COLUMN(Construction_Name_and_Level)+1),FALSE)</f>
        <v>100</v>
      </c>
    </row>
    <row r="980" spans="1:108" ht="15" customHeight="1">
      <c r="B980" s="506" t="s">
        <v>195</v>
      </c>
      <c r="C980" s="127" t="s">
        <v>1750</v>
      </c>
      <c r="D980" s="144" t="s">
        <v>1752</v>
      </c>
      <c r="E980" s="506">
        <v>25</v>
      </c>
      <c r="AJ980" s="137">
        <f t="shared" si="325"/>
        <v>0.33333333333333331</v>
      </c>
      <c r="AX980" s="213">
        <v>30000</v>
      </c>
    </row>
    <row r="981" spans="1:108" ht="15" customHeight="1">
      <c r="B981" s="506" t="s">
        <v>195</v>
      </c>
      <c r="C981" s="127" t="s">
        <v>468</v>
      </c>
      <c r="D981" s="144" t="s">
        <v>1819</v>
      </c>
      <c r="E981" s="506">
        <v>25</v>
      </c>
      <c r="F981" s="12">
        <v>0.4</v>
      </c>
      <c r="G981" s="211">
        <v>4000</v>
      </c>
      <c r="H981" s="211">
        <f t="shared" ref="H981" si="336">G981*(1+F981)</f>
        <v>5600</v>
      </c>
      <c r="AF981" s="141"/>
      <c r="AG981" s="141"/>
      <c r="AH981" s="137"/>
      <c r="AI981" s="484"/>
      <c r="AJ981" s="137">
        <f t="shared" si="325"/>
        <v>0.33333333333333331</v>
      </c>
      <c r="AU981" s="211">
        <v>0</v>
      </c>
      <c r="AV981" s="213">
        <v>0</v>
      </c>
      <c r="AW981" s="213">
        <v>10000</v>
      </c>
      <c r="AX981" s="213">
        <v>10000</v>
      </c>
      <c r="AY981" s="160">
        <v>0</v>
      </c>
      <c r="CL981" s="211">
        <v>2000</v>
      </c>
      <c r="CM981" s="160">
        <f>CL981</f>
        <v>2000</v>
      </c>
    </row>
    <row r="982" spans="1:108" ht="15" customHeight="1">
      <c r="B982" s="506" t="s">
        <v>143</v>
      </c>
      <c r="C982" s="127" t="s">
        <v>466</v>
      </c>
      <c r="D982" s="144" t="s">
        <v>1814</v>
      </c>
      <c r="E982" s="506">
        <v>25</v>
      </c>
      <c r="F982" s="12">
        <v>0.4</v>
      </c>
      <c r="G982" s="101">
        <v>4000</v>
      </c>
      <c r="H982" s="101">
        <f>G982*(1+F982)</f>
        <v>5600</v>
      </c>
      <c r="AF982" s="141"/>
      <c r="AG982" s="141"/>
      <c r="AH982" s="137"/>
      <c r="AI982" s="484"/>
      <c r="AJ982" s="137">
        <f t="shared" si="325"/>
        <v>0.33333333333333331</v>
      </c>
      <c r="AU982" s="101">
        <v>2000</v>
      </c>
      <c r="AV982" s="101">
        <v>2000</v>
      </c>
      <c r="AW982" s="101">
        <v>2000</v>
      </c>
      <c r="AX982" s="101">
        <v>2000</v>
      </c>
      <c r="AY982" s="100">
        <v>0</v>
      </c>
    </row>
    <row r="983" spans="1:108" ht="15" customHeight="1">
      <c r="B983" s="126" t="s">
        <v>1457</v>
      </c>
      <c r="C983" s="127" t="s">
        <v>147</v>
      </c>
      <c r="D983" s="144" t="s">
        <v>1831</v>
      </c>
      <c r="E983" s="506">
        <v>26</v>
      </c>
      <c r="I983" s="5">
        <v>4</v>
      </c>
      <c r="J983" s="5">
        <v>4071</v>
      </c>
      <c r="Q983" s="149"/>
      <c r="AF983" s="141"/>
      <c r="AG983" s="141"/>
      <c r="AH983" s="137"/>
      <c r="AI983" s="484"/>
      <c r="AJ983" s="137">
        <f>AJ982+(S$3*S983+T$3*T983+U$3*U983+V$3*V983+W$3*W983+X$3*X983+Y$3*Y983+Z$3*Z983+AA$3*AA983+AB$3*AB983+AC$3*AC983)</f>
        <v>0.33333333333333331</v>
      </c>
      <c r="AX983" s="11"/>
    </row>
    <row r="984" spans="1:108" s="420" customFormat="1" ht="15" customHeight="1">
      <c r="A984" s="487"/>
      <c r="B984" s="411" t="s">
        <v>171</v>
      </c>
      <c r="C984" s="412"/>
      <c r="D984" s="412" t="s">
        <v>1832</v>
      </c>
      <c r="E984" s="411">
        <v>26</v>
      </c>
      <c r="F984" s="413">
        <v>0.4</v>
      </c>
      <c r="G984" s="414" t="s">
        <v>1453</v>
      </c>
      <c r="H984" s="414">
        <v>7773406</v>
      </c>
      <c r="I984" s="415">
        <v>72</v>
      </c>
      <c r="J984" s="415">
        <v>201600</v>
      </c>
      <c r="K984" s="414">
        <v>6</v>
      </c>
      <c r="L984" s="414">
        <v>4010</v>
      </c>
      <c r="M984" s="416">
        <v>8.3333333333333329E-2</v>
      </c>
      <c r="N984" s="417">
        <v>20</v>
      </c>
      <c r="O984" s="109">
        <f>SUMIF($B$4:$B983,"&lt;&gt;"&amp;$CS$13,O$4:O983)</f>
        <v>-950</v>
      </c>
      <c r="P984" s="108">
        <f>SUMIF($B$4:$B983,"&lt;&gt;"&amp;$CS$13,N$4:N983)</f>
        <v>970</v>
      </c>
      <c r="Q984" s="416">
        <v>3.472222222222222E-3</v>
      </c>
      <c r="R984" s="416">
        <v>9.7222222222222224E-3</v>
      </c>
      <c r="S984" s="414">
        <v>0</v>
      </c>
      <c r="T984" s="414">
        <v>0</v>
      </c>
      <c r="U984" s="414">
        <v>0</v>
      </c>
      <c r="V984" s="414">
        <v>0</v>
      </c>
      <c r="W984" s="417">
        <v>0</v>
      </c>
      <c r="X984" s="417">
        <v>0</v>
      </c>
      <c r="Y984" s="417">
        <v>0</v>
      </c>
      <c r="Z984" s="417">
        <v>1</v>
      </c>
      <c r="AA984" s="417">
        <v>0</v>
      </c>
      <c r="AB984" s="417">
        <v>0</v>
      </c>
      <c r="AC984" s="417">
        <v>0</v>
      </c>
      <c r="AD984" s="417">
        <v>0</v>
      </c>
      <c r="AE984" s="415">
        <v>0</v>
      </c>
      <c r="AF984" s="419">
        <f>SUMIF($B$4:$B983,"&lt;&gt;"&amp;$CS$13,AF$4:AF983)</f>
        <v>1.6284722222222225</v>
      </c>
      <c r="AG984" s="419">
        <f>SUMIF($B$4:$B983,"&lt;&gt;"&amp;$CS$13,AG$4:AG983)</f>
        <v>0</v>
      </c>
      <c r="AH984" s="416">
        <f>AF984+AG984</f>
        <v>1.6284722222222225</v>
      </c>
      <c r="AI984" s="485">
        <f>SUMIF($B$4:$B983,"&lt;&gt;"&amp;$CS$13,AI$4:AI983)</f>
        <v>1.2951388888888888</v>
      </c>
      <c r="AJ984" s="416">
        <f>S$3*S984+T$3*T984+U$3*U984+V$3*V984+W$3*W984+X$3*X984+Y$3*Y984+Z$3*Z984+AA$3*AA984+AB$3*AB984+AC$3*AC984</f>
        <v>0.33333333333333331</v>
      </c>
      <c r="AK984" s="418">
        <v>0.56499999999999995</v>
      </c>
      <c r="AL984" s="419" t="s">
        <v>1453</v>
      </c>
      <c r="AM984" s="419" t="s">
        <v>1453</v>
      </c>
      <c r="AN984" s="419" t="s">
        <v>1453</v>
      </c>
      <c r="AO984" s="416" t="s">
        <v>1453</v>
      </c>
      <c r="AP984" s="284">
        <v>0.5</v>
      </c>
      <c r="AQ984" s="419" t="s">
        <v>1453</v>
      </c>
      <c r="AR984" s="419" t="s">
        <v>1453</v>
      </c>
      <c r="AS984" s="419" t="s">
        <v>1453</v>
      </c>
      <c r="AT984" s="416" t="s">
        <v>1453</v>
      </c>
      <c r="AU984" s="414">
        <v>507700</v>
      </c>
      <c r="AV984" s="414">
        <v>431100</v>
      </c>
      <c r="AW984" s="414">
        <v>348100</v>
      </c>
      <c r="AX984" s="417">
        <v>281100</v>
      </c>
      <c r="AY984" s="415">
        <v>273700</v>
      </c>
      <c r="AZ984" s="414">
        <v>10150</v>
      </c>
      <c r="BA984" s="414">
        <v>9760</v>
      </c>
      <c r="BB984" s="414">
        <v>6110</v>
      </c>
      <c r="BC984" s="414">
        <v>11310</v>
      </c>
      <c r="BD984" s="415">
        <v>4400</v>
      </c>
      <c r="BE984" s="415">
        <v>-12906</v>
      </c>
      <c r="BF984" s="414">
        <v>463000</v>
      </c>
      <c r="BG984" s="414">
        <v>543000</v>
      </c>
      <c r="BH984" s="414">
        <v>417000</v>
      </c>
      <c r="BI984" s="414">
        <v>500000</v>
      </c>
      <c r="BJ984" s="415">
        <v>291000</v>
      </c>
      <c r="BK984" s="414">
        <v>10</v>
      </c>
      <c r="BL984" s="415">
        <v>9</v>
      </c>
      <c r="BM984" s="415">
        <v>9</v>
      </c>
      <c r="BN984" s="414">
        <v>10</v>
      </c>
      <c r="BO984" s="415">
        <v>6</v>
      </c>
      <c r="BP984" s="414">
        <v>9</v>
      </c>
      <c r="BQ984" s="415">
        <v>6</v>
      </c>
      <c r="BR984" s="414">
        <v>10</v>
      </c>
      <c r="BS984" s="415">
        <v>6</v>
      </c>
      <c r="BT984" s="414">
        <v>10</v>
      </c>
      <c r="BU984" s="415">
        <v>6</v>
      </c>
      <c r="BV984" s="414">
        <v>8</v>
      </c>
      <c r="BW984" s="415">
        <v>6</v>
      </c>
      <c r="BX984" s="414">
        <v>9</v>
      </c>
      <c r="BY984" s="415">
        <v>5</v>
      </c>
      <c r="BZ984" s="414">
        <v>6</v>
      </c>
      <c r="CA984" s="415">
        <v>4</v>
      </c>
      <c r="CB984" s="415">
        <v>6</v>
      </c>
      <c r="CC984" s="415">
        <v>10</v>
      </c>
      <c r="CD984" s="415">
        <v>9</v>
      </c>
      <c r="CE984" s="414">
        <v>9</v>
      </c>
      <c r="CF984" s="414">
        <v>3</v>
      </c>
      <c r="CG984" s="415">
        <v>1</v>
      </c>
      <c r="CH984" s="414">
        <v>8</v>
      </c>
      <c r="CI984" s="414">
        <v>0</v>
      </c>
      <c r="CJ984" s="415">
        <v>0</v>
      </c>
      <c r="CK984" s="415">
        <v>1</v>
      </c>
      <c r="CL984" s="414">
        <v>54300</v>
      </c>
      <c r="CM984" s="415" t="s">
        <v>1453</v>
      </c>
      <c r="CN984" s="415" t="s">
        <v>1208</v>
      </c>
      <c r="CS984" s="421"/>
    </row>
    <row r="985" spans="1:108" ht="15" customHeight="1">
      <c r="B985" s="506" t="s">
        <v>144</v>
      </c>
      <c r="C985" s="127" t="s">
        <v>138</v>
      </c>
      <c r="D985" s="144" t="s">
        <v>1833</v>
      </c>
      <c r="E985" s="506">
        <v>26</v>
      </c>
      <c r="F985" s="12">
        <v>0.4</v>
      </c>
      <c r="G985" s="94">
        <f>VLOOKUP($D985,Construction!$B:$E,(COLUMN(Construction_BuildingReward_HeroXP)-COLUMN(Construction_Name_and_Level)+1),FALSE)</f>
        <v>500</v>
      </c>
      <c r="H985" s="94">
        <f>G985*(1+F985)</f>
        <v>700</v>
      </c>
      <c r="J985" s="95">
        <f>VLOOKUP($D985,Construction!$B:$F,(COLUMN(Construction_BuildingReward_Power)-COLUMN(Construction_Name_and_Level)+1),FALSE)</f>
        <v>570</v>
      </c>
      <c r="Q985" s="139">
        <v>3.472222222222222E-3</v>
      </c>
      <c r="R985" s="289">
        <v>9.7222222222222224E-3</v>
      </c>
      <c r="AF985" s="141"/>
      <c r="AG985" s="141"/>
      <c r="AH985" s="137"/>
      <c r="AI985" s="484"/>
      <c r="AJ985" s="137">
        <f>AJ984+(S$3*S985+T$3*T985+U$3*U985+V$3*V985+W$3*W985+X$3*X985+Y$3*Y985+Z$3*Z985+AA$3*AA985+AB$3*AB985+AC$3*AC985)</f>
        <v>0.33333333333333331</v>
      </c>
      <c r="AK985" s="339">
        <v>0.56499999999999995</v>
      </c>
      <c r="AL985" s="138">
        <f>VLOOKUP($D985,Construction!$B:$C,(COLUMN(Construction_Time)-COLUMN(Construction_Name_and_Level)+1),FALSE)</f>
        <v>0.35555555555555557</v>
      </c>
      <c r="AM985" s="138">
        <f t="shared" ref="AM985" si="337">AL985/(1+AK985)</f>
        <v>0.22719204827831027</v>
      </c>
      <c r="AN985" s="138">
        <f>(S$3*S985+T$3*T985+V$3*V985+W$3*W985+X$3*X985+Y$3*Y985+Z$3*Z985+AA$3*AA985+AB$3*AB985+AC$3*AC985)*(-1)</f>
        <v>0</v>
      </c>
      <c r="AO985" s="139">
        <f>IF((AM985-Q985-R985-AN985)&gt;=0,AM985-Q985-R985-AN985,0)</f>
        <v>0.21399760383386585</v>
      </c>
      <c r="AU985" s="94">
        <f>VLOOKUP($D985,Construction!$B:$J,(COLUMN(Construction_BuildingCost_Stone)-COLUMN(Construction_Name_and_Level)+1),FALSE)*(-1)</f>
        <v>-80232</v>
      </c>
      <c r="AV985" s="94">
        <f>VLOOKUP($D985,Construction!$B:$J,(COLUMN(Construction_BuildingCost_Wood)-COLUMN(Construction_Name_and_Level)+1),FALSE)*(-1)</f>
        <v>-80232</v>
      </c>
      <c r="AW985" s="94">
        <f>VLOOKUP($D985,Construction!$B:$J,(COLUMN(Construction_BuildingCost_Ore)-COLUMN(Construction_Name_and_Level)+1),FALSE)*(-1)</f>
        <v>-60144</v>
      </c>
      <c r="AX985" s="94">
        <f>VLOOKUP($D985,Construction!$B:$J,(COLUMN(Construction_BuildingCost_Food)-COLUMN(Construction_Name_and_Level)+1),FALSE)*(-1)</f>
        <v>-40128</v>
      </c>
    </row>
    <row r="986" spans="1:108" ht="15" customHeight="1">
      <c r="B986" s="506" t="s">
        <v>143</v>
      </c>
      <c r="C986" s="127" t="s">
        <v>142</v>
      </c>
      <c r="D986" s="144" t="s">
        <v>1833</v>
      </c>
      <c r="E986" s="506">
        <v>26</v>
      </c>
      <c r="F986" s="346">
        <v>0.4</v>
      </c>
      <c r="G986" s="101">
        <f>VLOOKUP($D986,Construction!$B:$L,(COLUMN(Construction_QuestReward_HeroXP)-COLUMN(Construction_Name_and_Level)+1),FALSE)</f>
        <v>30000</v>
      </c>
      <c r="H986" s="101">
        <f>G986*(1+F986)</f>
        <v>42000</v>
      </c>
      <c r="J986" s="100">
        <f>VLOOKUP($D986,Construction!$B:$L,(COLUMN(Construction_QuestReward_Power)-COLUMN(Construction_Name_and_Level)+1),FALSE)</f>
        <v>325</v>
      </c>
      <c r="AF986" s="141"/>
      <c r="AG986" s="141"/>
      <c r="AH986" s="137"/>
      <c r="AI986" s="484"/>
      <c r="AJ986" s="137">
        <f>AJ985+(S$3*S986+T$3*T986+U$3*U986+V$3*V986+W$3*W986+X$3*X986+Y$3*Y986+Z$3*Z986+AA$3*AA986+AB$3*AB986+AC$3*AC986)</f>
        <v>0.33333333333333331</v>
      </c>
      <c r="AU986" s="101">
        <f>VLOOKUP($D986,Construction!$B:$Q,(COLUMN(Construction_QuestReward_Stone)-COLUMN(Construction_Name_and_Level)+1),FALSE)</f>
        <v>16046</v>
      </c>
      <c r="AV986" s="101">
        <f>VLOOKUP($D986,Construction!$B:$Q,(COLUMN(Construction_QuestReward_Wood)-COLUMN(Construction_Name_and_Level)+1),FALSE)</f>
        <v>16046</v>
      </c>
      <c r="AW986" s="101">
        <f>VLOOKUP($D986,Construction!$B:$Q,(COLUMN(Construction_QuestReward_Ore)-COLUMN(Construction_Name_and_Level)+1),FALSE)</f>
        <v>12028</v>
      </c>
      <c r="AX986" s="101">
        <f>VLOOKUP($D986,Construction!$B:$Q,(COLUMN(Construction_QuestReward_Food)-COLUMN(Construction_Name_and_Level)+1),FALSE)</f>
        <v>8025</v>
      </c>
      <c r="AY986" s="100">
        <f>VLOOKUP($D986,Construction!$B:$Q,(COLUMN(Construction_QuestReward_Silver)-COLUMN(Construction_Name_and_Level)+1),FALSE)</f>
        <v>325</v>
      </c>
    </row>
    <row r="987" spans="1:108" ht="15" customHeight="1">
      <c r="B987" s="113" t="s">
        <v>1483</v>
      </c>
      <c r="C987" s="127" t="s">
        <v>158</v>
      </c>
      <c r="D987" s="127">
        <v>500</v>
      </c>
      <c r="E987" s="506">
        <v>26</v>
      </c>
      <c r="G987" s="7"/>
      <c r="H987" s="7"/>
      <c r="J987" s="114">
        <f>VLOOKUP($C987,Troop!$B:$AK,(COLUMN(Troop_TrainingReward_Power)-COLUMN(Troop_Name)+1),FALSE)*$D987</f>
        <v>4000</v>
      </c>
      <c r="AF987" s="141"/>
      <c r="AG987" s="141"/>
      <c r="AH987" s="137"/>
      <c r="AI987" s="484"/>
      <c r="AJ987" s="137">
        <f t="shared" ref="AJ987:AJ1027" si="338">AJ986+(S$3*S987+T$3*T987+U$3*U987+V$3*V987+W$3*W987+X$3*X987+Y$3*Y987+Z$3*Z987+AA$3*AA987+AB$3*AB987+AC$3*AC987)</f>
        <v>0.33333333333333331</v>
      </c>
      <c r="AU987" s="296">
        <f>VLOOKUP($C987,Troop!$B:$P,(COLUMN(Troop_TrainingCost_Stone)-COLUMN(Troop_Name)+1),FALSE)*$D987*(-1)</f>
        <v>0</v>
      </c>
      <c r="AV987" s="296">
        <f>VLOOKUP($C987,Troop!$B:$P,(COLUMN(Troop_TrainingCost_Wood)-COLUMN(Troop_Name)+1),FALSE)*$D987*(-1)</f>
        <v>-50000</v>
      </c>
      <c r="AW987" s="296">
        <f>VLOOKUP($C987,Troop!$B:$P,(COLUMN(Troop_TrainingCost_Ore)-COLUMN(Troop_Name)+1),FALSE)*$D987*(-1)</f>
        <v>-37500</v>
      </c>
      <c r="AX987" s="296">
        <f>VLOOKUP($C987,Troop!$B:$P,(COLUMN(Troop_TrainingCost_Food)-COLUMN(Troop_Name)+1),FALSE)*$D987*(-1)</f>
        <v>-50000</v>
      </c>
      <c r="AY987" s="114">
        <f>VLOOKUP($C987,Troop!$B:$P,(COLUMN(Troop_TrainingCost_Silver)-COLUMN(Troop_Name)+1),FALSE)*$D987*(-1)</f>
        <v>-2500</v>
      </c>
      <c r="CT987" s="128"/>
      <c r="CU987" s="128"/>
      <c r="CV987" s="128"/>
      <c r="CW987" s="128"/>
      <c r="CX987" s="128"/>
      <c r="CY987" s="128"/>
      <c r="CZ987" s="128"/>
      <c r="DA987" s="128"/>
      <c r="DB987" s="128"/>
      <c r="DC987" s="128"/>
      <c r="DD987" s="128"/>
    </row>
    <row r="988" spans="1:108" ht="15" customHeight="1">
      <c r="B988" s="113" t="s">
        <v>1483</v>
      </c>
      <c r="C988" s="127" t="s">
        <v>845</v>
      </c>
      <c r="D988" s="127">
        <v>500</v>
      </c>
      <c r="E988" s="506">
        <v>26</v>
      </c>
      <c r="G988" s="7"/>
      <c r="H988" s="7"/>
      <c r="J988" s="114">
        <f>VLOOKUP($C988,Troop!$B:$AK,(COLUMN(Troop_TrainingReward_Power)-COLUMN(Troop_Name)+1),FALSE)*$D988</f>
        <v>1000</v>
      </c>
      <c r="AF988" s="141"/>
      <c r="AG988" s="141"/>
      <c r="AH988" s="137"/>
      <c r="AI988" s="484"/>
      <c r="AJ988" s="137">
        <f t="shared" si="338"/>
        <v>0.33333333333333331</v>
      </c>
      <c r="AU988" s="296">
        <f>VLOOKUP($C988,Troop!$B:$P,(COLUMN(Troop_TrainingCost_Stone)-COLUMN(Troop_Name)+1),FALSE)*$D988*(-1)</f>
        <v>0</v>
      </c>
      <c r="AV988" s="296">
        <f>VLOOKUP($C988,Troop!$B:$P,(COLUMN(Troop_TrainingCost_Wood)-COLUMN(Troop_Name)+1),FALSE)*$D988*(-1)</f>
        <v>-50000</v>
      </c>
      <c r="AW988" s="296">
        <f>VLOOKUP($C988,Troop!$B:$P,(COLUMN(Troop_TrainingCost_Ore)-COLUMN(Troop_Name)+1),FALSE)*$D988*(-1)</f>
        <v>-37500</v>
      </c>
      <c r="AX988" s="296">
        <f>VLOOKUP($C988,Troop!$B:$P,(COLUMN(Troop_TrainingCost_Food)-COLUMN(Troop_Name)+1),FALSE)*$D988*(-1)</f>
        <v>-50000</v>
      </c>
      <c r="AY988" s="114">
        <f>VLOOKUP($C988,Troop!$B:$P,(COLUMN(Troop_TrainingCost_Silver)-COLUMN(Troop_Name)+1),FALSE)*$D988*(-1)</f>
        <v>0</v>
      </c>
      <c r="CT988" s="128"/>
      <c r="CU988" s="128"/>
      <c r="CV988" s="128"/>
      <c r="CW988" s="128"/>
      <c r="CX988" s="128"/>
      <c r="CY988" s="128"/>
      <c r="CZ988" s="128"/>
      <c r="DA988" s="128"/>
      <c r="DB988" s="128"/>
      <c r="DC988" s="128"/>
      <c r="DD988" s="128"/>
    </row>
    <row r="989" spans="1:108" ht="15" customHeight="1">
      <c r="B989" s="506" t="s">
        <v>624</v>
      </c>
      <c r="C989" s="127" t="s">
        <v>623</v>
      </c>
      <c r="D989" s="144" t="s">
        <v>1422</v>
      </c>
      <c r="E989" s="506">
        <v>26</v>
      </c>
      <c r="AF989" s="141"/>
      <c r="AG989" s="141"/>
      <c r="AH989" s="137"/>
      <c r="AI989" s="484"/>
      <c r="AJ989" s="137">
        <f t="shared" si="338"/>
        <v>0.33333333333333331</v>
      </c>
      <c r="AU989" s="30">
        <v>0</v>
      </c>
      <c r="AV989" s="30">
        <v>0</v>
      </c>
      <c r="AW989" s="30">
        <v>0</v>
      </c>
      <c r="AX989" s="30">
        <v>56789</v>
      </c>
      <c r="AY989" s="31">
        <v>0</v>
      </c>
    </row>
    <row r="990" spans="1:108" ht="15" customHeight="1">
      <c r="B990" s="506" t="s">
        <v>143</v>
      </c>
      <c r="C990" s="127" t="s">
        <v>466</v>
      </c>
      <c r="D990" s="144" t="s">
        <v>1834</v>
      </c>
      <c r="E990" s="506">
        <v>26</v>
      </c>
      <c r="F990" s="12">
        <v>0.4</v>
      </c>
      <c r="G990" s="101">
        <v>15000</v>
      </c>
      <c r="H990" s="101">
        <f>G990*(1+F990)</f>
        <v>21000</v>
      </c>
      <c r="AF990" s="141"/>
      <c r="AG990" s="141"/>
      <c r="AH990" s="137"/>
      <c r="AI990" s="484"/>
      <c r="AJ990" s="137">
        <f t="shared" si="338"/>
        <v>0.33333333333333331</v>
      </c>
      <c r="AU990" s="101">
        <v>0</v>
      </c>
      <c r="AV990" s="101">
        <v>0</v>
      </c>
      <c r="AW990" s="101">
        <v>0</v>
      </c>
      <c r="AX990" s="101">
        <v>0</v>
      </c>
      <c r="AY990" s="100">
        <v>7500</v>
      </c>
    </row>
    <row r="991" spans="1:108" ht="15" customHeight="1">
      <c r="B991" s="506" t="s">
        <v>195</v>
      </c>
      <c r="C991" s="127" t="s">
        <v>468</v>
      </c>
      <c r="D991" s="144" t="s">
        <v>1835</v>
      </c>
      <c r="E991" s="506">
        <v>26</v>
      </c>
      <c r="F991" s="12">
        <v>0.4</v>
      </c>
      <c r="G991" s="211">
        <v>4000</v>
      </c>
      <c r="H991" s="211">
        <f t="shared" ref="H991" si="339">G991*(1+F991)</f>
        <v>5600</v>
      </c>
      <c r="AF991" s="141"/>
      <c r="AG991" s="141"/>
      <c r="AH991" s="137"/>
      <c r="AI991" s="484"/>
      <c r="AJ991" s="137">
        <f t="shared" si="338"/>
        <v>0.33333333333333331</v>
      </c>
      <c r="AU991" s="211">
        <v>0</v>
      </c>
      <c r="AV991" s="213">
        <v>10000</v>
      </c>
      <c r="AW991" s="213">
        <v>0</v>
      </c>
      <c r="AX991" s="213">
        <v>0</v>
      </c>
      <c r="AY991" s="160">
        <v>2000</v>
      </c>
      <c r="CL991" s="211">
        <v>2000</v>
      </c>
      <c r="CM991" s="160">
        <f>CL991</f>
        <v>2000</v>
      </c>
    </row>
    <row r="992" spans="1:108" ht="15" customHeight="1">
      <c r="B992" s="506" t="s">
        <v>195</v>
      </c>
      <c r="C992" s="127" t="s">
        <v>775</v>
      </c>
      <c r="D992" s="144" t="s">
        <v>1836</v>
      </c>
      <c r="E992" s="506">
        <v>26</v>
      </c>
      <c r="AF992" s="141"/>
      <c r="AG992" s="141"/>
      <c r="AH992" s="137"/>
      <c r="AI992" s="484"/>
      <c r="AJ992" s="137">
        <f t="shared" si="338"/>
        <v>0.33333333333333331</v>
      </c>
      <c r="AX992" s="211">
        <v>-50000</v>
      </c>
      <c r="AY992" s="160">
        <v>-50000</v>
      </c>
    </row>
    <row r="993" spans="2:91" ht="15" customHeight="1">
      <c r="B993" s="506" t="s">
        <v>143</v>
      </c>
      <c r="C993" s="127" t="s">
        <v>466</v>
      </c>
      <c r="D993" s="144" t="s">
        <v>1837</v>
      </c>
      <c r="E993" s="506">
        <v>26</v>
      </c>
      <c r="F993" s="12">
        <v>0.4</v>
      </c>
      <c r="G993" s="101">
        <v>4000</v>
      </c>
      <c r="H993" s="101">
        <f>G993*(1+F993)</f>
        <v>5600</v>
      </c>
      <c r="AF993" s="141"/>
      <c r="AG993" s="141"/>
      <c r="AH993" s="137"/>
      <c r="AI993" s="484"/>
      <c r="AJ993" s="137">
        <f t="shared" si="338"/>
        <v>0.33333333333333331</v>
      </c>
      <c r="AU993" s="101">
        <v>0</v>
      </c>
      <c r="AV993" s="101">
        <v>0</v>
      </c>
      <c r="AW993" s="101">
        <v>0</v>
      </c>
      <c r="AX993" s="101">
        <v>5000</v>
      </c>
      <c r="AY993" s="100">
        <v>1000</v>
      </c>
    </row>
    <row r="994" spans="2:91" ht="15" customHeight="1">
      <c r="B994" s="506" t="s">
        <v>195</v>
      </c>
      <c r="C994" s="127" t="s">
        <v>468</v>
      </c>
      <c r="D994" s="144" t="s">
        <v>1838</v>
      </c>
      <c r="E994" s="506">
        <v>26</v>
      </c>
      <c r="F994" s="12">
        <v>0.4</v>
      </c>
      <c r="G994" s="211">
        <v>4000</v>
      </c>
      <c r="H994" s="211">
        <f t="shared" ref="H994" si="340">G994*(1+F994)</f>
        <v>5600</v>
      </c>
      <c r="AF994" s="141"/>
      <c r="AG994" s="141"/>
      <c r="AH994" s="137"/>
      <c r="AI994" s="484"/>
      <c r="AJ994" s="137">
        <f t="shared" si="338"/>
        <v>0.33333333333333331</v>
      </c>
      <c r="AU994" s="211">
        <v>0</v>
      </c>
      <c r="AV994" s="213">
        <v>10000</v>
      </c>
      <c r="AW994" s="213">
        <v>0</v>
      </c>
      <c r="AX994" s="213">
        <v>0</v>
      </c>
      <c r="AY994" s="160">
        <v>2000</v>
      </c>
      <c r="CL994" s="211">
        <v>2000</v>
      </c>
      <c r="CM994" s="160">
        <f>CL994</f>
        <v>2000</v>
      </c>
    </row>
    <row r="995" spans="2:91" ht="15" customHeight="1">
      <c r="B995" s="506" t="s">
        <v>624</v>
      </c>
      <c r="C995" s="127" t="s">
        <v>623</v>
      </c>
      <c r="D995" s="144" t="s">
        <v>1422</v>
      </c>
      <c r="E995" s="506">
        <v>26</v>
      </c>
      <c r="AF995" s="141"/>
      <c r="AG995" s="141"/>
      <c r="AH995" s="137"/>
      <c r="AI995" s="484"/>
      <c r="AJ995" s="137">
        <f t="shared" si="338"/>
        <v>0.33333333333333331</v>
      </c>
      <c r="AU995" s="30">
        <v>0</v>
      </c>
      <c r="AV995" s="30">
        <v>0</v>
      </c>
      <c r="AW995" s="30">
        <v>0</v>
      </c>
      <c r="AX995" s="30">
        <v>77107</v>
      </c>
      <c r="AY995" s="31">
        <v>0</v>
      </c>
    </row>
    <row r="996" spans="2:91" ht="15" customHeight="1">
      <c r="B996" s="506" t="s">
        <v>144</v>
      </c>
      <c r="C996" s="127" t="s">
        <v>138</v>
      </c>
      <c r="D996" s="144" t="s">
        <v>1839</v>
      </c>
      <c r="E996" s="506">
        <v>26</v>
      </c>
      <c r="F996" s="12">
        <v>0.4</v>
      </c>
      <c r="G996" s="94">
        <f>VLOOKUP($D996,Construction!$B:$E,(COLUMN(Construction_BuildingReward_HeroXP)-COLUMN(Construction_Name_and_Level)+1),FALSE)</f>
        <v>500</v>
      </c>
      <c r="H996" s="94">
        <f t="shared" ref="H996:H1001" si="341">G996*(1+F996)</f>
        <v>700</v>
      </c>
      <c r="J996" s="95">
        <f>VLOOKUP($D996,Construction!$B:$F,(COLUMN(Construction_BuildingReward_Power)-COLUMN(Construction_Name_and_Level)+1),FALSE)</f>
        <v>285</v>
      </c>
      <c r="Q996" s="139">
        <v>3.472222222222222E-3</v>
      </c>
      <c r="R996" s="289">
        <v>9.7222222222222224E-3</v>
      </c>
      <c r="AF996" s="141"/>
      <c r="AG996" s="141"/>
      <c r="AH996" s="137"/>
      <c r="AI996" s="484"/>
      <c r="AJ996" s="137">
        <f t="shared" si="338"/>
        <v>0.33333333333333331</v>
      </c>
      <c r="AK996" s="339">
        <v>0.56499999999999995</v>
      </c>
      <c r="AL996" s="138">
        <f>VLOOKUP($D996,Construction!$B:$C,(COLUMN(Construction_Time)-COLUMN(Construction_Name_and_Level)+1),FALSE)</f>
        <v>0.35555555555555557</v>
      </c>
      <c r="AM996" s="138">
        <f t="shared" ref="AM996" si="342">AL996/(1+AK996)</f>
        <v>0.22719204827831027</v>
      </c>
      <c r="AN996" s="138">
        <f>(S$3*S996+T$3*T996+V$3*V996+W$3*W996+X$3*X996+Y$3*Y996+Z$3*Z996+AA$3*AA996+AB$3*AB996+AC$3*AC996)*(-1)</f>
        <v>0</v>
      </c>
      <c r="AO996" s="139">
        <f>IF((AM996-Q996-R996-AN996)&gt;=0,AM996-Q996-R996-AN996,0)</f>
        <v>0.21399760383386585</v>
      </c>
      <c r="AU996" s="94">
        <f>VLOOKUP($D996,Construction!$B:$J,(COLUMN(Construction_BuildingCost_Stone)-COLUMN(Construction_Name_and_Level)+1),FALSE)*(-1)</f>
        <v>-20088</v>
      </c>
      <c r="AV996" s="94">
        <f>VLOOKUP($D996,Construction!$B:$J,(COLUMN(Construction_BuildingCost_Wood)-COLUMN(Construction_Name_and_Level)+1),FALSE)*(-1)</f>
        <v>0</v>
      </c>
      <c r="AW996" s="94">
        <f>VLOOKUP($D996,Construction!$B:$J,(COLUMN(Construction_BuildingCost_Ore)-COLUMN(Construction_Name_and_Level)+1),FALSE)*(-1)</f>
        <v>-20088</v>
      </c>
      <c r="AX996" s="94">
        <f>VLOOKUP($D996,Construction!$B:$J,(COLUMN(Construction_BuildingCost_Food)-COLUMN(Construction_Name_and_Level)+1),FALSE)*(-1)</f>
        <v>-20088</v>
      </c>
    </row>
    <row r="997" spans="2:91" ht="15" customHeight="1">
      <c r="B997" s="506" t="s">
        <v>143</v>
      </c>
      <c r="C997" s="127" t="s">
        <v>142</v>
      </c>
      <c r="D997" s="144" t="s">
        <v>1839</v>
      </c>
      <c r="E997" s="506">
        <v>26</v>
      </c>
      <c r="F997" s="346">
        <v>0.4</v>
      </c>
      <c r="G997" s="101">
        <f>VLOOKUP($D997,Construction!$B:$L,(COLUMN(Construction_QuestReward_HeroXP)-COLUMN(Construction_Name_and_Level)+1),FALSE)</f>
        <v>10000</v>
      </c>
      <c r="H997" s="101">
        <f t="shared" si="341"/>
        <v>14000</v>
      </c>
      <c r="J997" s="100">
        <f>VLOOKUP($D997,Construction!$B:$L,(COLUMN(Construction_QuestReward_Power)-COLUMN(Construction_Name_and_Level)+1),FALSE)</f>
        <v>165</v>
      </c>
      <c r="AF997" s="141"/>
      <c r="AG997" s="141"/>
      <c r="AH997" s="137"/>
      <c r="AI997" s="484"/>
      <c r="AJ997" s="137">
        <f t="shared" si="338"/>
        <v>0.33333333333333331</v>
      </c>
      <c r="AU997" s="101">
        <f>VLOOKUP($D997,Construction!$B:$Q,(COLUMN(Construction_QuestReward_Stone)-COLUMN(Construction_Name_and_Level)+1),FALSE)</f>
        <v>4017</v>
      </c>
      <c r="AV997" s="101">
        <f>VLOOKUP($D997,Construction!$B:$Q,(COLUMN(Construction_QuestReward_Wood)-COLUMN(Construction_Name_and_Level)+1),FALSE)</f>
        <v>0</v>
      </c>
      <c r="AW997" s="101">
        <f>VLOOKUP($D997,Construction!$B:$Q,(COLUMN(Construction_QuestReward_Ore)-COLUMN(Construction_Name_and_Level)+1),FALSE)</f>
        <v>4017</v>
      </c>
      <c r="AX997" s="101">
        <f>VLOOKUP($D997,Construction!$B:$Q,(COLUMN(Construction_QuestReward_Food)-COLUMN(Construction_Name_and_Level)+1),FALSE)</f>
        <v>4017</v>
      </c>
      <c r="AY997" s="100">
        <f>VLOOKUP($D997,Construction!$B:$Q,(COLUMN(Construction_QuestReward_Silver)-COLUMN(Construction_Name_and_Level)+1),FALSE)</f>
        <v>100</v>
      </c>
    </row>
    <row r="998" spans="2:91" ht="15" customHeight="1">
      <c r="B998" s="506" t="s">
        <v>144</v>
      </c>
      <c r="C998" s="127" t="s">
        <v>138</v>
      </c>
      <c r="D998" s="144" t="s">
        <v>1840</v>
      </c>
      <c r="E998" s="506">
        <v>26</v>
      </c>
      <c r="F998" s="12">
        <v>0.4</v>
      </c>
      <c r="G998" s="94">
        <f>VLOOKUP($D998,Construction!$B:$E,(COLUMN(Construction_BuildingReward_HeroXP)-COLUMN(Construction_Name_and_Level)+1),FALSE)</f>
        <v>200</v>
      </c>
      <c r="H998" s="94">
        <f t="shared" si="341"/>
        <v>280</v>
      </c>
      <c r="J998" s="95">
        <f>VLOOKUP($D998,Construction!$B:$F,(COLUMN(Construction_BuildingReward_Power)-COLUMN(Construction_Name_and_Level)+1),FALSE)</f>
        <v>60</v>
      </c>
      <c r="Q998" s="139">
        <v>3.472222222222222E-3</v>
      </c>
      <c r="R998" s="289">
        <v>9.7222222222222224E-3</v>
      </c>
      <c r="AF998" s="141"/>
      <c r="AG998" s="141"/>
      <c r="AH998" s="137"/>
      <c r="AI998" s="484"/>
      <c r="AJ998" s="137">
        <f t="shared" si="338"/>
        <v>0.33333333333333331</v>
      </c>
      <c r="AK998" s="339">
        <v>0.56499999999999995</v>
      </c>
      <c r="AL998" s="138">
        <f>VLOOKUP($D998,Construction!$B:$C,(COLUMN(Construction_Time)-COLUMN(Construction_Name_and_Level)+1),FALSE)</f>
        <v>6.9444444444444441E-3</v>
      </c>
      <c r="AM998" s="138">
        <f t="shared" ref="AM998" si="343">AL998/(1+AK998)</f>
        <v>4.4373446929357472E-3</v>
      </c>
      <c r="AN998" s="138">
        <f>(S$3*S998+T$3*T998+V$3*V998+W$3*W998+X$3*X998+Y$3*Y998+Z$3*Z998+AA$3*AA998+AB$3*AB998+AC$3*AC998)*(-1)</f>
        <v>0</v>
      </c>
      <c r="AO998" s="139">
        <f>IF((AM998-Q998-R998-AN998)&gt;=0,AM998-Q998-R998-AN998,0)</f>
        <v>0</v>
      </c>
      <c r="AU998" s="94">
        <f>VLOOKUP($D998,Construction!$B:$J,(COLUMN(Construction_BuildingCost_Stone)-COLUMN(Construction_Name_and_Level)+1),FALSE)*(-1)</f>
        <v>-2948</v>
      </c>
      <c r="AV998" s="94">
        <f>VLOOKUP($D998,Construction!$B:$J,(COLUMN(Construction_BuildingCost_Wood)-COLUMN(Construction_Name_and_Level)+1),FALSE)*(-1)</f>
        <v>-2948</v>
      </c>
      <c r="AW998" s="94">
        <f>VLOOKUP($D998,Construction!$B:$J,(COLUMN(Construction_BuildingCost_Ore)-COLUMN(Construction_Name_and_Level)+1),FALSE)*(-1)</f>
        <v>-1474</v>
      </c>
      <c r="AX998" s="94">
        <f>VLOOKUP($D998,Construction!$B:$J,(COLUMN(Construction_BuildingCost_Food)-COLUMN(Construction_Name_and_Level)+1),FALSE)*(-1)</f>
        <v>-1966</v>
      </c>
    </row>
    <row r="999" spans="2:91" ht="15" customHeight="1">
      <c r="B999" s="506" t="s">
        <v>143</v>
      </c>
      <c r="C999" s="127" t="s">
        <v>142</v>
      </c>
      <c r="D999" s="144" t="s">
        <v>1840</v>
      </c>
      <c r="E999" s="506">
        <v>26</v>
      </c>
      <c r="F999" s="346">
        <v>0.4</v>
      </c>
      <c r="G999" s="101">
        <f>VLOOKUP($D999,Construction!$B:$L,(COLUMN(Construction_QuestReward_HeroXP)-COLUMN(Construction_Name_and_Level)+1),FALSE)</f>
        <v>2650</v>
      </c>
      <c r="H999" s="101">
        <f t="shared" si="341"/>
        <v>3709.9999999999995</v>
      </c>
      <c r="J999" s="100">
        <f>VLOOKUP($D999,Construction!$B:$L,(COLUMN(Construction_QuestReward_Power)-COLUMN(Construction_Name_and_Level)+1),FALSE)</f>
        <v>25</v>
      </c>
      <c r="AF999" s="141"/>
      <c r="AG999" s="141"/>
      <c r="AH999" s="137"/>
      <c r="AI999" s="484"/>
      <c r="AJ999" s="137">
        <f t="shared" si="338"/>
        <v>0.33333333333333331</v>
      </c>
      <c r="AU999" s="101">
        <f>VLOOKUP($D999,Construction!$B:$Q,(COLUMN(Construction_QuestReward_Stone)-COLUMN(Construction_Name_and_Level)+1),FALSE)</f>
        <v>3600</v>
      </c>
      <c r="AV999" s="101">
        <f>VLOOKUP($D999,Construction!$B:$Q,(COLUMN(Construction_QuestReward_Wood)-COLUMN(Construction_Name_and_Level)+1),FALSE)</f>
        <v>3600</v>
      </c>
      <c r="AW999" s="101">
        <f>VLOOKUP($D999,Construction!$B:$Q,(COLUMN(Construction_QuestReward_Ore)-COLUMN(Construction_Name_and_Level)+1),FALSE)</f>
        <v>1800</v>
      </c>
      <c r="AX999" s="101">
        <f>VLOOKUP($D999,Construction!$B:$Q,(COLUMN(Construction_QuestReward_Food)-COLUMN(Construction_Name_and_Level)+1),FALSE)</f>
        <v>2400</v>
      </c>
      <c r="AY999" s="100">
        <f>VLOOKUP($D999,Construction!$B:$Q,(COLUMN(Construction_QuestReward_Silver)-COLUMN(Construction_Name_and_Level)+1),FALSE)</f>
        <v>150</v>
      </c>
    </row>
    <row r="1000" spans="2:91" ht="15" customHeight="1">
      <c r="B1000" s="506" t="s">
        <v>144</v>
      </c>
      <c r="C1000" s="127" t="s">
        <v>138</v>
      </c>
      <c r="D1000" s="144" t="s">
        <v>794</v>
      </c>
      <c r="E1000" s="506">
        <v>26</v>
      </c>
      <c r="F1000" s="12">
        <v>0.4</v>
      </c>
      <c r="G1000" s="94">
        <f>VLOOKUP($D1000,Construction!$B:$E,(COLUMN(Construction_BuildingReward_HeroXP)-COLUMN(Construction_Name_and_Level)+1),FALSE)</f>
        <v>400</v>
      </c>
      <c r="H1000" s="94">
        <f t="shared" si="341"/>
        <v>560</v>
      </c>
      <c r="J1000" s="95">
        <f>VLOOKUP($D1000,Construction!$B:$F,(COLUMN(Construction_BuildingReward_Power)-COLUMN(Construction_Name_and_Level)+1),FALSE)</f>
        <v>90</v>
      </c>
      <c r="Q1000" s="139">
        <v>3.472222222222222E-3</v>
      </c>
      <c r="R1000" s="289">
        <v>9.7222222222222224E-3</v>
      </c>
      <c r="AF1000" s="141"/>
      <c r="AG1000" s="141"/>
      <c r="AH1000" s="137"/>
      <c r="AI1000" s="484"/>
      <c r="AJ1000" s="137">
        <f t="shared" si="338"/>
        <v>0.33333333333333331</v>
      </c>
      <c r="AK1000" s="339">
        <v>0.56499999999999995</v>
      </c>
      <c r="AL1000" s="138">
        <f>VLOOKUP($D1000,Construction!$B:$C,(COLUMN(Construction_Time)-COLUMN(Construction_Name_and_Level)+1),FALSE)</f>
        <v>1.3888888888888888E-2</v>
      </c>
      <c r="AM1000" s="138">
        <f t="shared" ref="AM1000" si="344">AL1000/(1+AK1000)</f>
        <v>8.8746893858714943E-3</v>
      </c>
      <c r="AN1000" s="138">
        <f>(S$3*S1000+T$3*T1000+V$3*V1000+W$3*W1000+X$3*X1000+Y$3*Y1000+Z$3*Z1000+AA$3*AA1000+AB$3*AB1000+AC$3*AC1000)*(-1)</f>
        <v>0</v>
      </c>
      <c r="AO1000" s="139">
        <f>IF((AM1000-Q1000-R1000-AN1000)&gt;=0,AM1000-Q1000-R1000-AN1000,0)</f>
        <v>0</v>
      </c>
      <c r="AU1000" s="94">
        <f>VLOOKUP($D1000,Construction!$B:$J,(COLUMN(Construction_BuildingCost_Stone)-COLUMN(Construction_Name_and_Level)+1),FALSE)*(-1)</f>
        <v>-5012</v>
      </c>
      <c r="AV1000" s="94">
        <f>VLOOKUP($D1000,Construction!$B:$J,(COLUMN(Construction_BuildingCost_Wood)-COLUMN(Construction_Name_and_Level)+1),FALSE)*(-1)</f>
        <v>-5012</v>
      </c>
      <c r="AW1000" s="94">
        <f>VLOOKUP($D1000,Construction!$B:$J,(COLUMN(Construction_BuildingCost_Ore)-COLUMN(Construction_Name_and_Level)+1),FALSE)*(-1)</f>
        <v>-2506</v>
      </c>
      <c r="AX1000" s="94">
        <f>VLOOKUP($D1000,Construction!$B:$J,(COLUMN(Construction_BuildingCost_Food)-COLUMN(Construction_Name_and_Level)+1),FALSE)*(-1)</f>
        <v>-3343</v>
      </c>
    </row>
    <row r="1001" spans="2:91" ht="15" customHeight="1">
      <c r="B1001" s="506" t="s">
        <v>143</v>
      </c>
      <c r="C1001" s="127" t="s">
        <v>142</v>
      </c>
      <c r="D1001" s="144" t="s">
        <v>794</v>
      </c>
      <c r="E1001" s="506">
        <v>26</v>
      </c>
      <c r="F1001" s="346">
        <v>0.4</v>
      </c>
      <c r="G1001" s="101">
        <f>VLOOKUP($D1001,Construction!$B:$L,(COLUMN(Construction_QuestReward_HeroXP)-COLUMN(Construction_Name_and_Level)+1),FALSE)</f>
        <v>10175</v>
      </c>
      <c r="H1001" s="101">
        <f t="shared" si="341"/>
        <v>14245</v>
      </c>
      <c r="J1001" s="100">
        <f>VLOOKUP($D1001,Construction!$B:$L,(COLUMN(Construction_QuestReward_Power)-COLUMN(Construction_Name_and_Level)+1),FALSE)</f>
        <v>45</v>
      </c>
      <c r="AF1001" s="141"/>
      <c r="AG1001" s="141"/>
      <c r="AH1001" s="137"/>
      <c r="AI1001" s="484"/>
      <c r="AJ1001" s="137">
        <f t="shared" si="338"/>
        <v>0.33333333333333331</v>
      </c>
      <c r="AU1001" s="101">
        <f>VLOOKUP($D1001,Construction!$B:$Q,(COLUMN(Construction_QuestReward_Stone)-COLUMN(Construction_Name_and_Level)+1),FALSE)</f>
        <v>5000</v>
      </c>
      <c r="AV1001" s="101">
        <f>VLOOKUP($D1001,Construction!$B:$Q,(COLUMN(Construction_QuestReward_Wood)-COLUMN(Construction_Name_and_Level)+1),FALSE)</f>
        <v>5000</v>
      </c>
      <c r="AW1001" s="101">
        <f>VLOOKUP($D1001,Construction!$B:$Q,(COLUMN(Construction_QuestReward_Ore)-COLUMN(Construction_Name_and_Level)+1),FALSE)</f>
        <v>2500</v>
      </c>
      <c r="AX1001" s="101">
        <f>VLOOKUP($D1001,Construction!$B:$Q,(COLUMN(Construction_QuestReward_Food)-COLUMN(Construction_Name_and_Level)+1),FALSE)</f>
        <v>3300</v>
      </c>
      <c r="AY1001" s="100">
        <f>VLOOKUP($D1001,Construction!$B:$Q,(COLUMN(Construction_QuestReward_Silver)-COLUMN(Construction_Name_and_Level)+1),FALSE)</f>
        <v>250</v>
      </c>
    </row>
    <row r="1002" spans="2:91" ht="15" customHeight="1">
      <c r="B1002" s="506" t="s">
        <v>148</v>
      </c>
      <c r="E1002" s="506">
        <v>26</v>
      </c>
      <c r="AJ1002" s="137">
        <f t="shared" si="338"/>
        <v>0.33333333333333331</v>
      </c>
      <c r="AU1002" s="142">
        <v>8250</v>
      </c>
    </row>
    <row r="1003" spans="2:91" ht="15" customHeight="1">
      <c r="B1003" s="506" t="s">
        <v>143</v>
      </c>
      <c r="C1003" s="127" t="s">
        <v>466</v>
      </c>
      <c r="D1003" s="144" t="s">
        <v>1841</v>
      </c>
      <c r="E1003" s="506">
        <v>26</v>
      </c>
      <c r="F1003" s="12">
        <v>0.4</v>
      </c>
      <c r="G1003" s="101">
        <v>15000</v>
      </c>
      <c r="H1003" s="101">
        <f>G1003*(1+F1003)</f>
        <v>21000</v>
      </c>
      <c r="AF1003" s="141"/>
      <c r="AG1003" s="141"/>
      <c r="AH1003" s="137"/>
      <c r="AI1003" s="484"/>
      <c r="AJ1003" s="137">
        <f t="shared" si="338"/>
        <v>0.33333333333333331</v>
      </c>
      <c r="AU1003" s="101">
        <v>0</v>
      </c>
      <c r="AV1003" s="101">
        <v>0</v>
      </c>
      <c r="AW1003" s="101">
        <v>0</v>
      </c>
      <c r="AX1003" s="101">
        <v>18750</v>
      </c>
      <c r="AY1003" s="100">
        <v>3750</v>
      </c>
    </row>
    <row r="1004" spans="2:91" ht="15" customHeight="1">
      <c r="B1004" s="506" t="s">
        <v>195</v>
      </c>
      <c r="C1004" s="127" t="s">
        <v>468</v>
      </c>
      <c r="D1004" s="144" t="s">
        <v>1842</v>
      </c>
      <c r="E1004" s="506">
        <v>26</v>
      </c>
      <c r="F1004" s="12">
        <v>0.4</v>
      </c>
      <c r="G1004" s="211">
        <v>4000</v>
      </c>
      <c r="H1004" s="211">
        <f t="shared" ref="H1004" si="345">G1004*(1+F1004)</f>
        <v>5600</v>
      </c>
      <c r="AF1004" s="141"/>
      <c r="AG1004" s="141"/>
      <c r="AH1004" s="137"/>
      <c r="AI1004" s="484"/>
      <c r="AJ1004" s="137">
        <f t="shared" si="338"/>
        <v>0.33333333333333331</v>
      </c>
      <c r="AU1004" s="211">
        <v>0</v>
      </c>
      <c r="AV1004" s="213">
        <v>0</v>
      </c>
      <c r="AW1004" s="213">
        <v>0</v>
      </c>
      <c r="AX1004" s="213">
        <v>20000</v>
      </c>
      <c r="AY1004" s="160">
        <v>2000</v>
      </c>
      <c r="CL1004" s="211">
        <v>2000</v>
      </c>
      <c r="CM1004" s="160">
        <f>CL1004</f>
        <v>2000</v>
      </c>
    </row>
    <row r="1005" spans="2:91" ht="15" customHeight="1">
      <c r="B1005" s="506" t="s">
        <v>195</v>
      </c>
      <c r="C1005" s="127" t="s">
        <v>1750</v>
      </c>
      <c r="D1005" s="144" t="s">
        <v>1757</v>
      </c>
      <c r="E1005" s="506">
        <v>26</v>
      </c>
      <c r="T1005" s="211">
        <v>1</v>
      </c>
      <c r="AF1005" s="141">
        <f>$S$3*$S1005+$T$3*$T1005+$U$3*$U1005+$V$3*$V1005+$W$3*$W1005+$X$3*$X1005+$Y$3*$Y1005+$Z$3*$Z1005+$AA$3*$AA1005+$AB$3*$AB1005+$AC$3*$AC1005</f>
        <v>2.0833333333333333E-3</v>
      </c>
      <c r="AJ1005" s="137">
        <f t="shared" si="338"/>
        <v>0.33541666666666664</v>
      </c>
    </row>
    <row r="1006" spans="2:91" ht="15" customHeight="1">
      <c r="B1006" s="506" t="s">
        <v>144</v>
      </c>
      <c r="C1006" s="127" t="s">
        <v>138</v>
      </c>
      <c r="D1006" s="144" t="s">
        <v>1843</v>
      </c>
      <c r="E1006" s="506">
        <v>26</v>
      </c>
      <c r="F1006" s="12">
        <v>0.4</v>
      </c>
      <c r="G1006" s="94">
        <f>VLOOKUP($D1006,Construction!$B:$E,(COLUMN(Construction_BuildingReward_HeroXP)-COLUMN(Construction_Name_and_Level)+1),FALSE)</f>
        <v>500</v>
      </c>
      <c r="H1006" s="94">
        <f>G1006*(1+F1006)</f>
        <v>700</v>
      </c>
      <c r="J1006" s="95">
        <f>VLOOKUP($D1006,Construction!$B:$F,(COLUMN(Construction_BuildingReward_Power)-COLUMN(Construction_Name_and_Level)+1),FALSE)</f>
        <v>475</v>
      </c>
      <c r="Q1006" s="139">
        <v>3.472222222222222E-3</v>
      </c>
      <c r="R1006" s="289">
        <v>9.7222222222222224E-3</v>
      </c>
      <c r="T1006" s="2">
        <v>-1</v>
      </c>
      <c r="AF1006" s="141"/>
      <c r="AG1006" s="141"/>
      <c r="AH1006" s="137"/>
      <c r="AI1006" s="484">
        <f>(-1)*($S$3*$S1006+$T$3*$T1006+$U$3*$U1006+$V$3*$V1006+$W$3*$W1006+$X$3*$X1006+$Y$3*$Y1006+$Z$3*$Z1006+$AA$3*$AA1006+$AB$3*$AB1006+$AC$3*$AC1006)</f>
        <v>2.0833333333333333E-3</v>
      </c>
      <c r="AJ1006" s="137">
        <f t="shared" si="338"/>
        <v>0.33333333333333331</v>
      </c>
      <c r="AK1006" s="339">
        <v>0.56499999999999995</v>
      </c>
      <c r="AL1006" s="138">
        <f>VLOOKUP($D1006,Construction!$B:$C,(COLUMN(Construction_Time)-COLUMN(Construction_Name_and_Level)+1),FALSE)</f>
        <v>0.14814814814814814</v>
      </c>
      <c r="AM1006" s="138">
        <f t="shared" ref="AM1006" si="346">AL1006/(1+AK1006)</f>
        <v>9.4663353449295939E-2</v>
      </c>
      <c r="AN1006" s="138">
        <f>(S$3*S1006+T$3*T1006+V$3*V1006+W$3*W1006+X$3*X1006+Y$3*Y1006+Z$3*Z1006+AA$3*AA1006+AB$3*AB1006+AC$3*AC1006)*(-1)</f>
        <v>2.0833333333333333E-3</v>
      </c>
      <c r="AO1006" s="139">
        <f>IF((AM1006-Q1006-R1006-AN1006)&gt;=0,AM1006-Q1006-R1006-AN1006,0)</f>
        <v>7.9385575671518147E-2</v>
      </c>
      <c r="AU1006" s="94">
        <f>VLOOKUP($D1006,Construction!$B:$J,(COLUMN(Construction_BuildingCost_Stone)-COLUMN(Construction_Name_and_Level)+1),FALSE)*(-1)</f>
        <v>-26752</v>
      </c>
      <c r="AV1006" s="94">
        <f>VLOOKUP($D1006,Construction!$B:$J,(COLUMN(Construction_BuildingCost_Wood)-COLUMN(Construction_Name_and_Level)+1),FALSE)*(-1)</f>
        <v>-26752</v>
      </c>
      <c r="AW1006" s="94">
        <f>VLOOKUP($D1006,Construction!$B:$J,(COLUMN(Construction_BuildingCost_Ore)-COLUMN(Construction_Name_and_Level)+1),FALSE)*(-1)</f>
        <v>-6720</v>
      </c>
      <c r="AX1006" s="94">
        <f>VLOOKUP($D1006,Construction!$B:$J,(COLUMN(Construction_BuildingCost_Food)-COLUMN(Construction_Name_and_Level)+1),FALSE)*(-1)</f>
        <v>-66832</v>
      </c>
    </row>
    <row r="1007" spans="2:91" ht="15" customHeight="1">
      <c r="B1007" s="506" t="s">
        <v>143</v>
      </c>
      <c r="C1007" s="127" t="s">
        <v>142</v>
      </c>
      <c r="D1007" s="144" t="s">
        <v>1843</v>
      </c>
      <c r="E1007" s="506">
        <v>26</v>
      </c>
      <c r="F1007" s="346">
        <v>0.4</v>
      </c>
      <c r="G1007" s="101">
        <f>VLOOKUP($D1007,Construction!$B:$L,(COLUMN(Construction_QuestReward_HeroXP)-COLUMN(Construction_Name_and_Level)+1),FALSE)</f>
        <v>10000</v>
      </c>
      <c r="H1007" s="101">
        <f>G1007*(1+F1007)</f>
        <v>14000</v>
      </c>
      <c r="J1007" s="100">
        <f>VLOOKUP($D1007,Construction!$B:$L,(COLUMN(Construction_QuestReward_Power)-COLUMN(Construction_Name_and_Level)+1),FALSE)</f>
        <v>250</v>
      </c>
      <c r="AF1007" s="141"/>
      <c r="AG1007" s="141"/>
      <c r="AH1007" s="137"/>
      <c r="AI1007" s="484"/>
      <c r="AJ1007" s="137">
        <f t="shared" si="338"/>
        <v>0.33333333333333331</v>
      </c>
      <c r="AU1007" s="101">
        <f>VLOOKUP($D1007,Construction!$B:$Q,(COLUMN(Construction_QuestReward_Stone)-COLUMN(Construction_Name_and_Level)+1),FALSE)</f>
        <v>14800</v>
      </c>
      <c r="AV1007" s="101">
        <f>VLOOKUP($D1007,Construction!$B:$Q,(COLUMN(Construction_QuestReward_Wood)-COLUMN(Construction_Name_and_Level)+1),FALSE)</f>
        <v>14800</v>
      </c>
      <c r="AW1007" s="101">
        <f>VLOOKUP($D1007,Construction!$B:$Q,(COLUMN(Construction_QuestReward_Ore)-COLUMN(Construction_Name_and_Level)+1),FALSE)</f>
        <v>3700</v>
      </c>
      <c r="AX1007" s="101">
        <f>VLOOKUP($D1007,Construction!$B:$Q,(COLUMN(Construction_QuestReward_Food)-COLUMN(Construction_Name_and_Level)+1),FALSE)</f>
        <v>37100</v>
      </c>
      <c r="AY1007" s="100">
        <f>VLOOKUP($D1007,Construction!$B:$Q,(COLUMN(Construction_QuestReward_Silver)-COLUMN(Construction_Name_and_Level)+1),FALSE)</f>
        <v>150</v>
      </c>
    </row>
    <row r="1008" spans="2:91" ht="15" customHeight="1">
      <c r="B1008" s="506" t="s">
        <v>146</v>
      </c>
      <c r="C1008" s="127" t="s">
        <v>138</v>
      </c>
      <c r="D1008" s="144" t="s">
        <v>1844</v>
      </c>
      <c r="E1008" s="506">
        <v>26</v>
      </c>
      <c r="F1008" s="12">
        <v>0.4</v>
      </c>
      <c r="G1008" s="111">
        <f>VLOOKUP($D1008,Research!$C:$F,(COLUMN(Research_ResearchReward_HeroXP)-COLUMN(Research_Name_and_Level)+1),FALSE)</f>
        <v>150000</v>
      </c>
      <c r="H1008" s="111">
        <f t="shared" ref="H1008:H1009" si="347">G1008*(1+F1008)</f>
        <v>210000</v>
      </c>
      <c r="J1008" s="115">
        <f>VLOOKUP($D1008,Research!$C:$G,(COLUMN(Research_ResearchReward_Power)-COLUMN(Research_Name_and_Level)+1),FALSE)</f>
        <v>9000</v>
      </c>
      <c r="R1008" s="148">
        <v>9.7222222222222224E-3</v>
      </c>
      <c r="AF1008" s="141"/>
      <c r="AG1008" s="141"/>
      <c r="AH1008" s="137"/>
      <c r="AI1008" s="484"/>
      <c r="AJ1008" s="137">
        <f t="shared" si="338"/>
        <v>0.33333333333333331</v>
      </c>
      <c r="AP1008" s="256">
        <v>0.5</v>
      </c>
      <c r="AQ1008" s="147">
        <f>VLOOKUP($D1008,Research!$C:$D,(COLUMN(Research_Time)-COLUMN(Research_Name_and_Level)+1),FALSE)</f>
        <v>2.5</v>
      </c>
      <c r="AR1008" s="147">
        <f>AQ1008/(1+AP1008)</f>
        <v>1.6666666666666667</v>
      </c>
      <c r="AS1008" s="147">
        <f>(S$3*S1008+T$3*T1008+V$3*V1008+W$3*W1008+X$3*X1008+Y$3*Y1008+Z$3*Z1008+AA$3*AA1008+AB$3*AB1008+AC$3*AC1008)*(-1)</f>
        <v>0</v>
      </c>
      <c r="AT1008" s="148">
        <f>IF(AR1008-R1008-AS1008&gt;=0,AR1008-R1008-AS1008,0)</f>
        <v>1.6569444444444446</v>
      </c>
      <c r="AU1008" s="111">
        <f>VLOOKUP($D1008,Research!$C:$L,(COLUMN(Research_ResearchCost_Stone)-COLUMN(Research_Name_and_Level)+1),FALSE)*(-1)</f>
        <v>-100000</v>
      </c>
      <c r="AV1008" s="111">
        <f>VLOOKUP($D1008,Research!$C:$L,(COLUMN(Research_ResearchCost_Wood)-COLUMN(Research_Name_and_Level)+1),FALSE)*(-1)</f>
        <v>-100000</v>
      </c>
      <c r="AW1008" s="111">
        <f>VLOOKUP($D1008,Research!$C:$L,(COLUMN(Research_ResearchCost_Ore)-COLUMN(Research_Name_and_Level)+1),FALSE)*(-1)</f>
        <v>0</v>
      </c>
      <c r="AX1008" s="111">
        <f>VLOOKUP($D1008,Research!$C:$L,(COLUMN(Research_ResearchCost_Food)-COLUMN(Research_Name_and_Level)+1),FALSE)*(-1)</f>
        <v>-100000</v>
      </c>
      <c r="AY1008" s="112">
        <f>VLOOKUP($D1008,Research!$C:$L,(COLUMN(Research_ResearchCost_Silver)-COLUMN(Research_Name_and_Level)+1),FALSE)*(-1)</f>
        <v>-180000</v>
      </c>
    </row>
    <row r="1009" spans="2:92" ht="15" customHeight="1">
      <c r="B1009" s="506" t="s">
        <v>195</v>
      </c>
      <c r="C1009" s="127" t="s">
        <v>468</v>
      </c>
      <c r="D1009" s="144" t="s">
        <v>1845</v>
      </c>
      <c r="E1009" s="506">
        <v>26</v>
      </c>
      <c r="F1009" s="12">
        <v>0.4</v>
      </c>
      <c r="G1009" s="211">
        <v>4000</v>
      </c>
      <c r="H1009" s="211">
        <f t="shared" si="347"/>
        <v>5600</v>
      </c>
      <c r="AF1009" s="141"/>
      <c r="AG1009" s="141"/>
      <c r="AH1009" s="137"/>
      <c r="AI1009" s="484"/>
      <c r="AJ1009" s="137">
        <f t="shared" si="338"/>
        <v>0.33333333333333331</v>
      </c>
      <c r="AU1009" s="211">
        <v>3000</v>
      </c>
      <c r="AV1009" s="213">
        <v>3000</v>
      </c>
      <c r="AW1009" s="213">
        <v>0</v>
      </c>
      <c r="AX1009" s="213">
        <v>0</v>
      </c>
      <c r="AY1009" s="160">
        <v>600</v>
      </c>
      <c r="CL1009" s="211">
        <v>2000</v>
      </c>
      <c r="CM1009" s="160">
        <f>CL1009</f>
        <v>2000</v>
      </c>
    </row>
    <row r="1010" spans="2:92" ht="15" customHeight="1">
      <c r="B1010" s="506" t="s">
        <v>143</v>
      </c>
      <c r="C1010" s="127" t="s">
        <v>466</v>
      </c>
      <c r="D1010" s="144" t="s">
        <v>1842</v>
      </c>
      <c r="E1010" s="506">
        <v>26</v>
      </c>
      <c r="F1010" s="12">
        <v>0.4</v>
      </c>
      <c r="G1010" s="101">
        <v>4000</v>
      </c>
      <c r="H1010" s="101">
        <f>G1010*(1+F1010)</f>
        <v>5600</v>
      </c>
      <c r="AF1010" s="141"/>
      <c r="AG1010" s="141"/>
      <c r="AH1010" s="137"/>
      <c r="AI1010" s="484"/>
      <c r="AJ1010" s="137">
        <f t="shared" si="338"/>
        <v>0.33333333333333331</v>
      </c>
      <c r="AU1010" s="101">
        <v>0</v>
      </c>
      <c r="AV1010" s="101">
        <v>0</v>
      </c>
      <c r="AW1010" s="101">
        <v>0</v>
      </c>
      <c r="AX1010" s="101">
        <v>0</v>
      </c>
      <c r="AY1010" s="100">
        <v>2000</v>
      </c>
    </row>
    <row r="1011" spans="2:92" ht="15" customHeight="1">
      <c r="B1011" s="506" t="s">
        <v>624</v>
      </c>
      <c r="C1011" s="127" t="s">
        <v>623</v>
      </c>
      <c r="D1011" s="144" t="s">
        <v>1422</v>
      </c>
      <c r="E1011" s="506">
        <v>26</v>
      </c>
      <c r="AF1011" s="141"/>
      <c r="AG1011" s="141"/>
      <c r="AH1011" s="137"/>
      <c r="AI1011" s="484"/>
      <c r="AJ1011" s="137">
        <f t="shared" si="338"/>
        <v>0.33333333333333331</v>
      </c>
      <c r="AU1011" s="30">
        <v>0</v>
      </c>
      <c r="AV1011" s="30">
        <v>0</v>
      </c>
      <c r="AW1011" s="30">
        <v>0</v>
      </c>
      <c r="AX1011" s="30">
        <v>77107</v>
      </c>
      <c r="AY1011" s="31">
        <v>0</v>
      </c>
    </row>
    <row r="1012" spans="2:92" ht="15" customHeight="1">
      <c r="B1012" s="506" t="s">
        <v>195</v>
      </c>
      <c r="C1012" s="127" t="s">
        <v>468</v>
      </c>
      <c r="D1012" s="144" t="s">
        <v>1846</v>
      </c>
      <c r="E1012" s="506">
        <v>26</v>
      </c>
      <c r="F1012" s="12">
        <v>0.4</v>
      </c>
      <c r="G1012" s="211">
        <v>4000</v>
      </c>
      <c r="H1012" s="211">
        <f t="shared" ref="H1012:H1013" si="348">G1012*(1+F1012)</f>
        <v>5600</v>
      </c>
      <c r="AF1012" s="141"/>
      <c r="AG1012" s="141"/>
      <c r="AH1012" s="137"/>
      <c r="AI1012" s="484"/>
      <c r="AJ1012" s="137">
        <f t="shared" si="338"/>
        <v>0.33333333333333331</v>
      </c>
      <c r="AU1012" s="211">
        <v>0</v>
      </c>
      <c r="AV1012" s="213">
        <v>0</v>
      </c>
      <c r="AW1012" s="213">
        <v>0</v>
      </c>
      <c r="AX1012" s="213">
        <v>20000</v>
      </c>
      <c r="AY1012" s="160">
        <v>2000</v>
      </c>
      <c r="CL1012" s="211">
        <v>2000</v>
      </c>
      <c r="CM1012" s="160">
        <f>CL1012</f>
        <v>2000</v>
      </c>
    </row>
    <row r="1013" spans="2:92" ht="15" customHeight="1">
      <c r="B1013" s="506" t="s">
        <v>195</v>
      </c>
      <c r="C1013" s="127" t="s">
        <v>468</v>
      </c>
      <c r="D1013" s="144" t="s">
        <v>1838</v>
      </c>
      <c r="E1013" s="506">
        <v>26</v>
      </c>
      <c r="F1013" s="12">
        <v>0.4</v>
      </c>
      <c r="G1013" s="211">
        <v>4000</v>
      </c>
      <c r="H1013" s="211">
        <f t="shared" si="348"/>
        <v>5600</v>
      </c>
      <c r="AF1013" s="141"/>
      <c r="AG1013" s="141"/>
      <c r="AH1013" s="137"/>
      <c r="AI1013" s="484"/>
      <c r="AJ1013" s="137">
        <f t="shared" si="338"/>
        <v>0.33333333333333331</v>
      </c>
      <c r="AU1013" s="211">
        <v>0</v>
      </c>
      <c r="AV1013" s="213">
        <v>10000</v>
      </c>
      <c r="AW1013" s="213">
        <v>0</v>
      </c>
      <c r="AX1013" s="213">
        <v>0</v>
      </c>
      <c r="AY1013" s="160">
        <v>2000</v>
      </c>
      <c r="CL1013" s="211">
        <v>2000</v>
      </c>
      <c r="CM1013" s="160">
        <f>CL1013</f>
        <v>2000</v>
      </c>
    </row>
    <row r="1014" spans="2:92" ht="15" customHeight="1">
      <c r="B1014" s="506" t="s">
        <v>143</v>
      </c>
      <c r="C1014" s="127" t="s">
        <v>466</v>
      </c>
      <c r="D1014" s="144" t="s">
        <v>1847</v>
      </c>
      <c r="E1014" s="506">
        <v>26</v>
      </c>
      <c r="F1014" s="12">
        <v>0.4</v>
      </c>
      <c r="G1014" s="101">
        <v>4000</v>
      </c>
      <c r="H1014" s="101">
        <f>G1014*(1+F1014)</f>
        <v>5600</v>
      </c>
      <c r="AF1014" s="141"/>
      <c r="AG1014" s="141"/>
      <c r="AH1014" s="137"/>
      <c r="AI1014" s="484"/>
      <c r="AJ1014" s="137">
        <f t="shared" si="338"/>
        <v>0.33333333333333331</v>
      </c>
      <c r="AU1014" s="101">
        <v>0</v>
      </c>
      <c r="AV1014" s="101">
        <v>0</v>
      </c>
      <c r="AW1014" s="101">
        <v>0</v>
      </c>
      <c r="AX1014" s="101">
        <v>10000</v>
      </c>
      <c r="AY1014" s="100">
        <v>0</v>
      </c>
    </row>
    <row r="1015" spans="2:92" ht="15" customHeight="1">
      <c r="B1015" s="506" t="s">
        <v>624</v>
      </c>
      <c r="C1015" s="127" t="s">
        <v>623</v>
      </c>
      <c r="D1015" s="144" t="s">
        <v>1422</v>
      </c>
      <c r="E1015" s="506">
        <v>26</v>
      </c>
      <c r="AF1015" s="141"/>
      <c r="AG1015" s="141"/>
      <c r="AH1015" s="137"/>
      <c r="AI1015" s="484"/>
      <c r="AJ1015" s="137">
        <f t="shared" si="338"/>
        <v>0.33333333333333331</v>
      </c>
      <c r="AU1015" s="30">
        <v>0</v>
      </c>
      <c r="AV1015" s="30">
        <v>0</v>
      </c>
      <c r="AW1015" s="30">
        <v>0</v>
      </c>
      <c r="AX1015" s="30">
        <v>77107</v>
      </c>
      <c r="AY1015" s="31">
        <v>0</v>
      </c>
    </row>
    <row r="1016" spans="2:92" ht="15" customHeight="1">
      <c r="B1016" s="506" t="s">
        <v>148</v>
      </c>
      <c r="E1016" s="506">
        <v>26</v>
      </c>
      <c r="AJ1016" s="137">
        <f t="shared" si="338"/>
        <v>0.33333333333333331</v>
      </c>
      <c r="CN1016" s="283">
        <v>10000</v>
      </c>
    </row>
    <row r="1017" spans="2:92" ht="15" customHeight="1">
      <c r="B1017" s="506" t="s">
        <v>148</v>
      </c>
      <c r="E1017" s="506">
        <v>26</v>
      </c>
      <c r="AJ1017" s="137">
        <f t="shared" si="338"/>
        <v>0.33333333333333331</v>
      </c>
      <c r="AV1017" s="142">
        <v>8250</v>
      </c>
    </row>
    <row r="1018" spans="2:92" ht="15" customHeight="1">
      <c r="B1018" s="506" t="s">
        <v>148</v>
      </c>
      <c r="E1018" s="506">
        <v>26</v>
      </c>
      <c r="AJ1018" s="137">
        <f t="shared" si="338"/>
        <v>0.33333333333333331</v>
      </c>
      <c r="CN1018" s="283">
        <v>10000</v>
      </c>
    </row>
    <row r="1019" spans="2:92" ht="15" customHeight="1">
      <c r="B1019" s="506" t="s">
        <v>148</v>
      </c>
      <c r="E1019" s="506">
        <v>26</v>
      </c>
      <c r="AJ1019" s="137">
        <f t="shared" si="338"/>
        <v>0.33333333333333331</v>
      </c>
      <c r="AX1019" s="142">
        <v>27500</v>
      </c>
    </row>
    <row r="1020" spans="2:92" ht="15" customHeight="1">
      <c r="B1020" s="506" t="s">
        <v>148</v>
      </c>
      <c r="E1020" s="506">
        <v>26</v>
      </c>
      <c r="AJ1020" s="137">
        <f t="shared" si="338"/>
        <v>0.33333333333333331</v>
      </c>
      <c r="AV1020" s="142">
        <v>8250</v>
      </c>
    </row>
    <row r="1021" spans="2:92" ht="15" customHeight="1">
      <c r="B1021" s="506" t="s">
        <v>144</v>
      </c>
      <c r="C1021" s="127" t="s">
        <v>138</v>
      </c>
      <c r="D1021" s="144" t="s">
        <v>1698</v>
      </c>
      <c r="E1021" s="506">
        <v>26</v>
      </c>
      <c r="F1021" s="12">
        <v>0.4</v>
      </c>
      <c r="G1021" s="94">
        <f>VLOOKUP($D1021,Construction!$B:$E,(COLUMN(Construction_BuildingReward_HeroXP)-COLUMN(Construction_Name_and_Level)+1),FALSE)</f>
        <v>500</v>
      </c>
      <c r="H1021" s="94">
        <f>G1021*(1+F1021)</f>
        <v>700</v>
      </c>
      <c r="J1021" s="95">
        <f>VLOOKUP($D1021,Construction!$B:$F,(COLUMN(Construction_BuildingReward_Power)-COLUMN(Construction_Name_and_Level)+1),FALSE)</f>
        <v>85</v>
      </c>
      <c r="Q1021" s="139">
        <v>3.472222222222222E-3</v>
      </c>
      <c r="R1021" s="289">
        <v>9.7222222222222224E-3</v>
      </c>
      <c r="AF1021" s="141"/>
      <c r="AG1021" s="141"/>
      <c r="AH1021" s="137"/>
      <c r="AI1021" s="484"/>
      <c r="AJ1021" s="137">
        <f t="shared" si="338"/>
        <v>0.33333333333333331</v>
      </c>
      <c r="AK1021" s="339">
        <v>0.56499999999999995</v>
      </c>
      <c r="AL1021" s="138">
        <f>VLOOKUP($D1021,Construction!$B:$C,(COLUMN(Construction_Time)-COLUMN(Construction_Name_and_Level)+1),FALSE)</f>
        <v>3.7037037037037042E-2</v>
      </c>
      <c r="AM1021" s="138">
        <f t="shared" ref="AM1021:AM1022" si="349">AL1021/(1+AK1021)</f>
        <v>2.3665838362323988E-2</v>
      </c>
      <c r="AN1021" s="138">
        <f>(S$3*S1021+T$3*T1021+V$3*V1021+W$3*W1021+X$3*X1021+Y$3*Y1021+Z$3*Z1021+AA$3*AA1021+AB$3*AB1021+AC$3*AC1021)*(-1)</f>
        <v>0</v>
      </c>
      <c r="AO1021" s="139">
        <f>IF((AM1021-Q1021-R1021-AN1021)&gt;=0,AM1021-Q1021-R1021-AN1021,0)</f>
        <v>1.0471393917879546E-2</v>
      </c>
      <c r="AU1021" s="94">
        <f>VLOOKUP($D1021,Construction!$B:$J,(COLUMN(Construction_BuildingCost_Stone)-COLUMN(Construction_Name_and_Level)+1),FALSE)*(-1)</f>
        <v>-3348</v>
      </c>
      <c r="AV1021" s="94">
        <f>VLOOKUP($D1021,Construction!$B:$J,(COLUMN(Construction_BuildingCost_Wood)-COLUMN(Construction_Name_and_Level)+1),FALSE)*(-1)</f>
        <v>-3348</v>
      </c>
      <c r="AW1021" s="94">
        <f>VLOOKUP($D1021,Construction!$B:$J,(COLUMN(Construction_BuildingCost_Ore)-COLUMN(Construction_Name_and_Level)+1),FALSE)*(-1)</f>
        <v>-3348</v>
      </c>
      <c r="AX1021" s="94">
        <f>VLOOKUP($D1021,Construction!$B:$J,(COLUMN(Construction_BuildingCost_Food)-COLUMN(Construction_Name_and_Level)+1),FALSE)*(-1)</f>
        <v>0</v>
      </c>
    </row>
    <row r="1022" spans="2:92" ht="15" customHeight="1">
      <c r="B1022" s="506" t="s">
        <v>144</v>
      </c>
      <c r="C1022" s="127" t="s">
        <v>138</v>
      </c>
      <c r="D1022" s="144" t="s">
        <v>1848</v>
      </c>
      <c r="E1022" s="506">
        <v>26</v>
      </c>
      <c r="F1022" s="12">
        <v>0.4</v>
      </c>
      <c r="G1022" s="94">
        <f>VLOOKUP($D1022,Construction!$B:$E,(COLUMN(Construction_BuildingReward_HeroXP)-COLUMN(Construction_Name_and_Level)+1),FALSE)</f>
        <v>500</v>
      </c>
      <c r="H1022" s="94">
        <f>G1022*(1+F1022)</f>
        <v>700</v>
      </c>
      <c r="J1022" s="95">
        <f>VLOOKUP($D1022,Construction!$B:$F,(COLUMN(Construction_BuildingReward_Power)-COLUMN(Construction_Name_and_Level)+1),FALSE)</f>
        <v>570</v>
      </c>
      <c r="Q1022" s="139">
        <v>3.472222222222222E-3</v>
      </c>
      <c r="R1022" s="289">
        <v>9.7222222222222224E-3</v>
      </c>
      <c r="AF1022" s="141"/>
      <c r="AG1022" s="141"/>
      <c r="AH1022" s="137"/>
      <c r="AI1022" s="484"/>
      <c r="AJ1022" s="137">
        <f t="shared" si="338"/>
        <v>0.33333333333333331</v>
      </c>
      <c r="AK1022" s="339">
        <v>0.56499999999999995</v>
      </c>
      <c r="AL1022" s="138">
        <f>VLOOKUP($D1022,Construction!$B:$C,(COLUMN(Construction_Time)-COLUMN(Construction_Name_and_Level)+1),FALSE)</f>
        <v>0.4148148148148148</v>
      </c>
      <c r="AM1022" s="138">
        <f t="shared" si="349"/>
        <v>0.26505738965802866</v>
      </c>
      <c r="AN1022" s="138">
        <f>(S$3*S1022+T$3*T1022+V$3*V1022+W$3*W1022+X$3*X1022+Y$3*Y1022+Z$3*Z1022+AA$3*AA1022+AB$3*AB1022+AC$3*AC1022)*(-1)</f>
        <v>0</v>
      </c>
      <c r="AO1022" s="139">
        <f>IF((AM1022-Q1022-R1022-AN1022)&gt;=0,AM1022-Q1022-R1022-AN1022,0)</f>
        <v>0.25186294521358421</v>
      </c>
      <c r="AU1022" s="94">
        <f>VLOOKUP($D1022,Construction!$B:$J,(COLUMN(Construction_BuildingCost_Stone)-COLUMN(Construction_Name_and_Level)+1),FALSE)*(-1)</f>
        <v>-88224</v>
      </c>
      <c r="AV1022" s="94">
        <f>VLOOKUP($D1022,Construction!$B:$J,(COLUMN(Construction_BuildingCost_Wood)-COLUMN(Construction_Name_and_Level)+1),FALSE)*(-1)</f>
        <v>-125976</v>
      </c>
      <c r="AW1022" s="94">
        <f>VLOOKUP($D1022,Construction!$B:$J,(COLUMN(Construction_BuildingCost_Ore)-COLUMN(Construction_Name_and_Level)+1),FALSE)*(-1)</f>
        <v>-50424</v>
      </c>
      <c r="AX1022" s="94">
        <f>VLOOKUP($D1022,Construction!$B:$J,(COLUMN(Construction_BuildingCost_Food)-COLUMN(Construction_Name_and_Level)+1),FALSE)*(-1)</f>
        <v>-63000</v>
      </c>
    </row>
    <row r="1023" spans="2:92" ht="15" customHeight="1">
      <c r="B1023" s="506" t="s">
        <v>143</v>
      </c>
      <c r="C1023" s="127" t="s">
        <v>142</v>
      </c>
      <c r="D1023" s="144" t="s">
        <v>1848</v>
      </c>
      <c r="E1023" s="506">
        <v>26</v>
      </c>
      <c r="F1023" s="346">
        <v>0.4</v>
      </c>
      <c r="G1023" s="101">
        <f>VLOOKUP($D1023,Construction!$B:$L,(COLUMN(Construction_QuestReward_HeroXP)-COLUMN(Construction_Name_and_Level)+1),FALSE)</f>
        <v>30000</v>
      </c>
      <c r="H1023" s="101">
        <f>G1023*(1+F1023)</f>
        <v>42000</v>
      </c>
      <c r="J1023" s="100">
        <f>VLOOKUP($D1023,Construction!$B:$L,(COLUMN(Construction_QuestReward_Power)-COLUMN(Construction_Name_and_Level)+1),FALSE)</f>
        <v>325</v>
      </c>
      <c r="AF1023" s="141"/>
      <c r="AG1023" s="141"/>
      <c r="AH1023" s="137"/>
      <c r="AI1023" s="484"/>
      <c r="AJ1023" s="137">
        <f t="shared" si="338"/>
        <v>0.33333333333333331</v>
      </c>
      <c r="AU1023" s="101">
        <f>VLOOKUP($D1023,Construction!$B:$Q,(COLUMN(Construction_QuestReward_Stone)-COLUMN(Construction_Name_and_Level)+1),FALSE)</f>
        <v>17644</v>
      </c>
      <c r="AV1023" s="101">
        <f>VLOOKUP($D1023,Construction!$B:$Q,(COLUMN(Construction_QuestReward_Wood)-COLUMN(Construction_Name_and_Level)+1),FALSE)</f>
        <v>25195</v>
      </c>
      <c r="AW1023" s="101">
        <f>VLOOKUP($D1023,Construction!$B:$Q,(COLUMN(Construction_QuestReward_Ore)-COLUMN(Construction_Name_and_Level)+1),FALSE)</f>
        <v>10084</v>
      </c>
      <c r="AX1023" s="101">
        <f>VLOOKUP($D1023,Construction!$B:$Q,(COLUMN(Construction_QuestReward_Food)-COLUMN(Construction_Name_and_Level)+1),FALSE)</f>
        <v>12600</v>
      </c>
      <c r="AY1023" s="100">
        <f>VLOOKUP($D1023,Construction!$B:$Q,(COLUMN(Construction_QuestReward_Silver)-COLUMN(Construction_Name_and_Level)+1),FALSE)</f>
        <v>335</v>
      </c>
    </row>
    <row r="1024" spans="2:92" ht="15" customHeight="1">
      <c r="B1024" s="126" t="s">
        <v>1457</v>
      </c>
      <c r="C1024" s="127" t="s">
        <v>147</v>
      </c>
      <c r="D1024" s="144" t="s">
        <v>1849</v>
      </c>
      <c r="E1024" s="506">
        <v>27</v>
      </c>
      <c r="I1024" s="5">
        <v>4</v>
      </c>
      <c r="J1024" s="5">
        <v>5139</v>
      </c>
      <c r="Q1024" s="149"/>
      <c r="AF1024" s="141"/>
      <c r="AG1024" s="141"/>
      <c r="AH1024" s="137"/>
      <c r="AI1024" s="484"/>
      <c r="AJ1024" s="137">
        <f t="shared" si="338"/>
        <v>0.33333333333333331</v>
      </c>
      <c r="AX1024" s="11"/>
    </row>
    <row r="1025" spans="1:108" s="420" customFormat="1" ht="15" customHeight="1">
      <c r="A1025" s="487"/>
      <c r="B1025" s="411" t="s">
        <v>171</v>
      </c>
      <c r="C1025" s="412"/>
      <c r="D1025" s="412" t="s">
        <v>1850</v>
      </c>
      <c r="E1025" s="411">
        <v>27</v>
      </c>
      <c r="F1025" s="413">
        <v>0.4</v>
      </c>
      <c r="G1025" s="414" t="s">
        <v>1453</v>
      </c>
      <c r="H1025" s="414">
        <v>8210101</v>
      </c>
      <c r="I1025" s="415">
        <v>76</v>
      </c>
      <c r="J1025" s="415">
        <v>224009</v>
      </c>
      <c r="K1025" s="414">
        <v>6</v>
      </c>
      <c r="L1025" s="414">
        <v>4640</v>
      </c>
      <c r="M1025" s="416">
        <v>8.3333333333333329E-2</v>
      </c>
      <c r="N1025" s="417">
        <v>20</v>
      </c>
      <c r="O1025" s="109">
        <f>SUMIF($B$4:$B1024,"&lt;&gt;"&amp;$CS$13,O$4:O1024)</f>
        <v>-950</v>
      </c>
      <c r="P1025" s="108">
        <f>SUMIF($B$4:$B1024,"&lt;&gt;"&amp;$CS$13,N$4:N1024)</f>
        <v>970</v>
      </c>
      <c r="Q1025" s="416">
        <v>3.472222222222222E-3</v>
      </c>
      <c r="R1025" s="416">
        <v>9.7222222222222224E-3</v>
      </c>
      <c r="S1025" s="414">
        <v>0</v>
      </c>
      <c r="T1025" s="414">
        <v>0</v>
      </c>
      <c r="U1025" s="414">
        <v>0</v>
      </c>
      <c r="V1025" s="414">
        <v>0</v>
      </c>
      <c r="W1025" s="417">
        <v>0</v>
      </c>
      <c r="X1025" s="417">
        <v>0</v>
      </c>
      <c r="Y1025" s="417">
        <v>0</v>
      </c>
      <c r="Z1025" s="417">
        <v>1</v>
      </c>
      <c r="AA1025" s="417">
        <v>0</v>
      </c>
      <c r="AB1025" s="417">
        <v>0</v>
      </c>
      <c r="AC1025" s="417">
        <v>0</v>
      </c>
      <c r="AD1025" s="417">
        <v>0</v>
      </c>
      <c r="AE1025" s="415">
        <v>0</v>
      </c>
      <c r="AF1025" s="419">
        <f>SUMIF($B$4:$B1024,"&lt;&gt;"&amp;$CS$13,AF$4:AF1024)</f>
        <v>1.630555555555556</v>
      </c>
      <c r="AG1025" s="419">
        <f>SUMIF($B$4:$B1024,"&lt;&gt;"&amp;$CS$13,AG$4:AG1024)</f>
        <v>0</v>
      </c>
      <c r="AH1025" s="416">
        <f>AF1025+AG1025</f>
        <v>1.630555555555556</v>
      </c>
      <c r="AI1025" s="485">
        <f>SUMIF($B$4:$B1024,"&lt;&gt;"&amp;$CS$13,AI$4:AI1024)</f>
        <v>1.2972222222222223</v>
      </c>
      <c r="AJ1025" s="416">
        <f>S$3*S1025+T$3*T1025+U$3*U1025+V$3*V1025+W$3*W1025+X$3*X1025+Y$3*Y1025+Z$3*Z1025+AA$3*AA1025+AB$3*AB1025+AC$3*AC1025</f>
        <v>0.33333333333333331</v>
      </c>
      <c r="AK1025" s="418">
        <v>0.56499999999999995</v>
      </c>
      <c r="AL1025" s="419" t="s">
        <v>1453</v>
      </c>
      <c r="AM1025" s="419" t="s">
        <v>1453</v>
      </c>
      <c r="AN1025" s="419" t="s">
        <v>1453</v>
      </c>
      <c r="AO1025" s="416" t="s">
        <v>1453</v>
      </c>
      <c r="AP1025" s="284">
        <v>0.5</v>
      </c>
      <c r="AQ1025" s="419" t="s">
        <v>1453</v>
      </c>
      <c r="AR1025" s="419" t="s">
        <v>1453</v>
      </c>
      <c r="AS1025" s="419" t="s">
        <v>1453</v>
      </c>
      <c r="AT1025" s="416" t="s">
        <v>1453</v>
      </c>
      <c r="AU1025" s="414">
        <v>703600</v>
      </c>
      <c r="AV1025" s="414">
        <v>826100</v>
      </c>
      <c r="AW1025" s="414">
        <v>418800</v>
      </c>
      <c r="AX1025" s="417">
        <v>458600</v>
      </c>
      <c r="AY1025" s="415">
        <v>469700</v>
      </c>
      <c r="AZ1025" s="414">
        <v>10640</v>
      </c>
      <c r="BA1025" s="414">
        <v>12136</v>
      </c>
      <c r="BB1025" s="414">
        <v>6323</v>
      </c>
      <c r="BC1025" s="414">
        <v>12358</v>
      </c>
      <c r="BD1025" s="415">
        <v>4620</v>
      </c>
      <c r="BE1025" s="415">
        <v>-13906</v>
      </c>
      <c r="BF1025" s="414">
        <v>463000</v>
      </c>
      <c r="BG1025" s="414">
        <v>583000</v>
      </c>
      <c r="BH1025" s="414">
        <v>417000</v>
      </c>
      <c r="BI1025" s="414">
        <v>535000</v>
      </c>
      <c r="BJ1025" s="415">
        <v>209000</v>
      </c>
      <c r="BK1025" s="414">
        <v>10</v>
      </c>
      <c r="BL1025" s="415">
        <v>9</v>
      </c>
      <c r="BM1025" s="415">
        <v>10</v>
      </c>
      <c r="BN1025" s="414">
        <v>10</v>
      </c>
      <c r="BO1025" s="415">
        <v>6</v>
      </c>
      <c r="BP1025" s="414">
        <v>10</v>
      </c>
      <c r="BQ1025" s="415">
        <v>6</v>
      </c>
      <c r="BR1025" s="414">
        <v>10</v>
      </c>
      <c r="BS1025" s="415">
        <v>6</v>
      </c>
      <c r="BT1025" s="414">
        <v>10</v>
      </c>
      <c r="BU1025" s="415">
        <v>6</v>
      </c>
      <c r="BV1025" s="414">
        <v>9</v>
      </c>
      <c r="BW1025" s="415">
        <v>6</v>
      </c>
      <c r="BX1025" s="414">
        <v>9</v>
      </c>
      <c r="BY1025" s="415">
        <v>5</v>
      </c>
      <c r="BZ1025" s="414">
        <v>6</v>
      </c>
      <c r="CA1025" s="415">
        <v>4</v>
      </c>
      <c r="CB1025" s="415">
        <v>6</v>
      </c>
      <c r="CC1025" s="415">
        <v>10</v>
      </c>
      <c r="CD1025" s="415">
        <v>9</v>
      </c>
      <c r="CE1025" s="414">
        <v>10</v>
      </c>
      <c r="CF1025" s="414">
        <v>5</v>
      </c>
      <c r="CG1025" s="415">
        <v>1</v>
      </c>
      <c r="CH1025" s="414">
        <v>8</v>
      </c>
      <c r="CI1025" s="414">
        <v>0</v>
      </c>
      <c r="CJ1025" s="415">
        <v>0</v>
      </c>
      <c r="CK1025" s="415">
        <v>1</v>
      </c>
      <c r="CL1025" s="414">
        <v>73800</v>
      </c>
      <c r="CM1025" s="415" t="s">
        <v>1453</v>
      </c>
      <c r="CN1025" s="415" t="s">
        <v>1208</v>
      </c>
      <c r="CS1025" s="421"/>
    </row>
    <row r="1026" spans="1:108" ht="15" customHeight="1">
      <c r="B1026" s="102" t="s">
        <v>1455</v>
      </c>
      <c r="C1026" s="127" t="s">
        <v>170</v>
      </c>
      <c r="D1026" s="144" t="s">
        <v>1844</v>
      </c>
      <c r="E1026" s="506">
        <v>27</v>
      </c>
      <c r="F1026" s="12">
        <v>0.4</v>
      </c>
      <c r="G1026" s="101">
        <f>VLOOKUP($D1026,Research!$C:$M,(COLUMN(Research_QuestReward_HeroXP)-COLUMN(Research_Name_and_Level)+1),FALSE)</f>
        <v>60000</v>
      </c>
      <c r="H1026" s="101">
        <f>G1026*(1+F1026)</f>
        <v>84000</v>
      </c>
      <c r="J1026" s="103">
        <f>VLOOKUP($D1026,Research!$C:$N,(COLUMN(Research_QuestReward_Power)-COLUMN(Research_Name_and_Level)+1),FALSE)</f>
        <v>2500</v>
      </c>
      <c r="AF1026" s="141"/>
      <c r="AG1026" s="141"/>
      <c r="AH1026" s="137"/>
      <c r="AI1026" s="484"/>
      <c r="AJ1026" s="137">
        <f t="shared" si="338"/>
        <v>0.33333333333333331</v>
      </c>
      <c r="AU1026" s="101">
        <f>VLOOKUP($D1026,Research!$C:$S,(COLUMN(Research_QuestReward_Stone)-COLUMN(Research_Name_and_Level)+1),FALSE)</f>
        <v>200000</v>
      </c>
      <c r="AV1026" s="101">
        <f>VLOOKUP($D1026,Research!$C:$S,(COLUMN(Research_QuestReward_Wood)-COLUMN(Research_Name_and_Level)+1),FALSE)</f>
        <v>200000</v>
      </c>
      <c r="AW1026" s="101">
        <f>VLOOKUP($D1026,Research!$C:$S,(COLUMN(Research_QuestReward_Ore)-COLUMN(Research_Name_and_Level)+1),FALSE)</f>
        <v>0</v>
      </c>
      <c r="AX1026" s="101">
        <f>VLOOKUP($D1026,Research!$C:$S,(COLUMN(Research_QuestReward_Food)-COLUMN(Research_Name_and_Level)+1),FALSE)</f>
        <v>200000</v>
      </c>
      <c r="AY1026" s="100">
        <f>VLOOKUP($D1026,Research!$C:$S,(COLUMN(Research_QuestReward_Silver)-COLUMN(Research_Name_and_Level)+1),FALSE)</f>
        <v>180000</v>
      </c>
      <c r="BK1026" s="7"/>
      <c r="BL1026" s="19"/>
      <c r="CT1026" s="127"/>
      <c r="CU1026" s="127"/>
      <c r="CV1026" s="127"/>
      <c r="CW1026" s="127"/>
      <c r="CX1026" s="127"/>
      <c r="CY1026" s="127"/>
      <c r="CZ1026" s="127"/>
      <c r="DA1026" s="127"/>
      <c r="DB1026" s="127"/>
      <c r="DC1026" s="127"/>
      <c r="DD1026" s="127"/>
    </row>
    <row r="1027" spans="1:108" ht="15" customHeight="1">
      <c r="B1027" s="506" t="s">
        <v>144</v>
      </c>
      <c r="C1027" s="127" t="s">
        <v>138</v>
      </c>
      <c r="D1027" s="144" t="s">
        <v>1779</v>
      </c>
      <c r="E1027" s="506">
        <v>27</v>
      </c>
      <c r="F1027" s="12">
        <v>0.4</v>
      </c>
      <c r="G1027" s="94">
        <f>VLOOKUP($D1027,Construction!$B:$E,(COLUMN(Construction_BuildingReward_HeroXP)-COLUMN(Construction_Name_and_Level)+1),FALSE)</f>
        <v>500</v>
      </c>
      <c r="H1027" s="94">
        <f>G1027*(1+F1027)</f>
        <v>700</v>
      </c>
      <c r="J1027" s="95">
        <f>VLOOKUP($D1027,Construction!$B:$F,(COLUMN(Construction_BuildingReward_Power)-COLUMN(Construction_Name_and_Level)+1),FALSE)</f>
        <v>190</v>
      </c>
      <c r="Q1027" s="139">
        <v>3.472222222222222E-3</v>
      </c>
      <c r="R1027" s="289">
        <v>9.7222222222222224E-3</v>
      </c>
      <c r="AF1027" s="141"/>
      <c r="AG1027" s="141"/>
      <c r="AH1027" s="137"/>
      <c r="AI1027" s="484"/>
      <c r="AJ1027" s="137">
        <f t="shared" si="338"/>
        <v>0.33333333333333331</v>
      </c>
      <c r="AK1027" s="339">
        <v>0.56499999999999995</v>
      </c>
      <c r="AL1027" s="138">
        <f>VLOOKUP($D1027,Construction!$B:$C,(COLUMN(Construction_Time)-COLUMN(Construction_Name_and_Level)+1),FALSE)</f>
        <v>0.2074074074074074</v>
      </c>
      <c r="AM1027" s="138">
        <f t="shared" ref="AM1027" si="350">AL1027/(1+AK1027)</f>
        <v>0.13252869482901433</v>
      </c>
      <c r="AN1027" s="138">
        <f>(S$3*S1027+T$3*T1027+V$3*V1027+W$3*W1027+X$3*X1027+Y$3*Y1027+Z$3*Z1027+AA$3*AA1027+AB$3*AB1027+AC$3*AC1027)*(-1)</f>
        <v>0</v>
      </c>
      <c r="AO1027" s="139">
        <f>IF((AM1027-Q1027-R1027-AN1027)&gt;=0,AM1027-Q1027-R1027-AN1027,0)</f>
        <v>0.11933425038456991</v>
      </c>
      <c r="AU1027" s="94">
        <f>VLOOKUP($D1027,Construction!$B:$J,(COLUMN(Construction_BuildingCost_Stone)-COLUMN(Construction_Name_and_Level)+1),FALSE)*(-1)</f>
        <v>0</v>
      </c>
      <c r="AV1027" s="94">
        <f>VLOOKUP($D1027,Construction!$B:$J,(COLUMN(Construction_BuildingCost_Wood)-COLUMN(Construction_Name_and_Level)+1),FALSE)*(-1)</f>
        <v>-13392</v>
      </c>
      <c r="AW1027" s="94">
        <f>VLOOKUP($D1027,Construction!$B:$J,(COLUMN(Construction_BuildingCost_Ore)-COLUMN(Construction_Name_and_Level)+1),FALSE)*(-1)</f>
        <v>-13392</v>
      </c>
      <c r="AX1027" s="94">
        <f>VLOOKUP($D1027,Construction!$B:$J,(COLUMN(Construction_BuildingCost_Food)-COLUMN(Construction_Name_and_Level)+1),FALSE)*(-1)</f>
        <v>-13392</v>
      </c>
      <c r="BK1027" s="7"/>
      <c r="BL1027" s="19"/>
    </row>
    <row r="1028" spans="1:108" ht="15" customHeight="1">
      <c r="B1028" s="506" t="s">
        <v>146</v>
      </c>
      <c r="C1028" s="127" t="s">
        <v>138</v>
      </c>
      <c r="D1028" s="144" t="s">
        <v>1851</v>
      </c>
      <c r="E1028" s="506">
        <v>27</v>
      </c>
      <c r="F1028" s="12">
        <v>0.4</v>
      </c>
      <c r="G1028" s="111">
        <f>VLOOKUP($D1028,Research!$C:$F,(COLUMN(Research_ResearchReward_HeroXP)-COLUMN(Research_Name_and_Level)+1),FALSE)</f>
        <v>150000</v>
      </c>
      <c r="H1028" s="111">
        <f t="shared" ref="H1028" si="351">G1028*(1+F1028)</f>
        <v>210000</v>
      </c>
      <c r="J1028" s="115">
        <f>VLOOKUP($D1028,Research!$C:$G,(COLUMN(Research_ResearchReward_Power)-COLUMN(Research_Name_and_Level)+1),FALSE)</f>
        <v>9000</v>
      </c>
      <c r="R1028" s="148">
        <v>9.7222222222222224E-3</v>
      </c>
      <c r="AF1028" s="141"/>
      <c r="AG1028" s="141"/>
      <c r="AH1028" s="137"/>
      <c r="AI1028" s="484"/>
      <c r="AJ1028" s="137">
        <f t="shared" ref="AJ1028:AJ1029" si="352">AJ1027+(S$3*S1028+T$3*T1028+U$3*U1028+V$3*V1028+W$3*W1028+X$3*X1028+Y$3*Y1028+Z$3*Z1028+AA$3*AA1028+AB$3*AB1028+AC$3*AC1028)</f>
        <v>0.33333333333333331</v>
      </c>
      <c r="AP1028" s="256">
        <v>0.5</v>
      </c>
      <c r="AQ1028" s="147">
        <f>VLOOKUP($D1028,Research!$C:$D,(COLUMN(Research_Time)-COLUMN(Research_Name_and_Level)+1),FALSE)</f>
        <v>2.5</v>
      </c>
      <c r="AR1028" s="147">
        <f>AQ1028/(1+AP1028)</f>
        <v>1.6666666666666667</v>
      </c>
      <c r="AS1028" s="147">
        <f>(S$3*S1028+T$3*T1028+V$3*V1028+W$3*W1028+X$3*X1028+Y$3*Y1028+Z$3*Z1028+AA$3*AA1028+AB$3*AB1028+AC$3*AC1028)*(-1)</f>
        <v>0</v>
      </c>
      <c r="AT1028" s="148">
        <f>IF(AR1028-R1028-AS1028&gt;=0,AR1028-R1028-AS1028,0)</f>
        <v>1.6569444444444446</v>
      </c>
      <c r="AU1028" s="111">
        <f>VLOOKUP($D1028,Research!$C:$L,(COLUMN(Research_ResearchCost_Stone)-COLUMN(Research_Name_and_Level)+1),FALSE)*(-1)</f>
        <v>-100000</v>
      </c>
      <c r="AV1028" s="111">
        <f>VLOOKUP($D1028,Research!$C:$L,(COLUMN(Research_ResearchCost_Wood)-COLUMN(Research_Name_and_Level)+1),FALSE)*(-1)</f>
        <v>0</v>
      </c>
      <c r="AW1028" s="111">
        <f>VLOOKUP($D1028,Research!$C:$L,(COLUMN(Research_ResearchCost_Ore)-COLUMN(Research_Name_and_Level)+1),FALSE)*(-1)</f>
        <v>-75000</v>
      </c>
      <c r="AX1028" s="111">
        <f>VLOOKUP($D1028,Research!$C:$L,(COLUMN(Research_ResearchCost_Food)-COLUMN(Research_Name_and_Level)+1),FALSE)*(-1)</f>
        <v>-100000</v>
      </c>
      <c r="AY1028" s="112">
        <f>VLOOKUP($D1028,Research!$C:$L,(COLUMN(Research_ResearchCost_Silver)-COLUMN(Research_Name_and_Level)+1),FALSE)*(-1)</f>
        <v>-180000</v>
      </c>
      <c r="BK1028" s="7"/>
      <c r="BL1028" s="19"/>
    </row>
    <row r="1029" spans="1:108" ht="15" customHeight="1">
      <c r="B1029" s="506" t="s">
        <v>195</v>
      </c>
      <c r="C1029" s="127" t="s">
        <v>1750</v>
      </c>
      <c r="D1029" s="144" t="s">
        <v>1852</v>
      </c>
      <c r="E1029" s="506">
        <v>27</v>
      </c>
      <c r="AF1029" s="141"/>
      <c r="AJ1029" s="137">
        <f t="shared" si="352"/>
        <v>0.33333333333333331</v>
      </c>
      <c r="CL1029" s="211">
        <v>20000</v>
      </c>
      <c r="CM1029" s="160">
        <f>CL1029</f>
        <v>20000</v>
      </c>
    </row>
    <row r="1030" spans="1:108" ht="15" customHeight="1">
      <c r="B1030" s="506" t="s">
        <v>195</v>
      </c>
      <c r="C1030" s="127" t="s">
        <v>1750</v>
      </c>
      <c r="D1030" s="144" t="s">
        <v>1852</v>
      </c>
      <c r="E1030" s="506">
        <v>27</v>
      </c>
      <c r="AF1030" s="141"/>
      <c r="AJ1030" s="137">
        <f t="shared" ref="AJ1030:AJ1033" si="353">AJ1029+(S$3*S1030+T$3*T1030+U$3*U1030+V$3*V1030+W$3*W1030+X$3*X1030+Y$3*Y1030+Z$3*Z1030+AA$3*AA1030+AB$3*AB1030+AC$3*AC1030)</f>
        <v>0.33333333333333331</v>
      </c>
      <c r="CN1030" s="283">
        <v>30000</v>
      </c>
    </row>
    <row r="1031" spans="1:108" ht="15" customHeight="1">
      <c r="B1031" s="506" t="s">
        <v>143</v>
      </c>
      <c r="C1031" s="127" t="s">
        <v>466</v>
      </c>
      <c r="D1031" s="144" t="s">
        <v>1853</v>
      </c>
      <c r="E1031" s="506">
        <v>27</v>
      </c>
      <c r="F1031" s="12">
        <v>0.4</v>
      </c>
      <c r="G1031" s="101">
        <v>200000</v>
      </c>
      <c r="H1031" s="101">
        <f>G1031*(1+F1031)</f>
        <v>280000</v>
      </c>
      <c r="AF1031" s="141"/>
      <c r="AG1031" s="141"/>
      <c r="AH1031" s="137"/>
      <c r="AI1031" s="484"/>
      <c r="AJ1031" s="137">
        <f t="shared" si="353"/>
        <v>0.33333333333333331</v>
      </c>
      <c r="AU1031" s="101">
        <v>100000</v>
      </c>
      <c r="AV1031" s="101">
        <v>100000</v>
      </c>
      <c r="AW1031" s="101">
        <v>100000</v>
      </c>
      <c r="AX1031" s="101">
        <v>100000</v>
      </c>
      <c r="AY1031" s="100">
        <v>0</v>
      </c>
    </row>
    <row r="1032" spans="1:108" ht="15" customHeight="1">
      <c r="B1032" s="506" t="s">
        <v>195</v>
      </c>
      <c r="C1032" s="127" t="s">
        <v>468</v>
      </c>
      <c r="D1032" s="144" t="s">
        <v>1854</v>
      </c>
      <c r="E1032" s="506">
        <v>27</v>
      </c>
      <c r="F1032" s="12">
        <v>0.4</v>
      </c>
      <c r="G1032" s="211">
        <v>1000</v>
      </c>
      <c r="H1032" s="211">
        <f t="shared" ref="H1032" si="354">G1032*(1+F1032)</f>
        <v>1400</v>
      </c>
      <c r="AF1032" s="141"/>
      <c r="AG1032" s="141"/>
      <c r="AH1032" s="137"/>
      <c r="AI1032" s="484"/>
      <c r="AJ1032" s="137">
        <f t="shared" si="353"/>
        <v>0.33333333333333331</v>
      </c>
      <c r="AU1032" s="211">
        <v>0</v>
      </c>
      <c r="AV1032" s="213">
        <v>0</v>
      </c>
      <c r="AW1032" s="213">
        <v>0</v>
      </c>
      <c r="AX1032" s="213">
        <v>5000</v>
      </c>
      <c r="AY1032" s="160">
        <v>500</v>
      </c>
      <c r="CL1032" s="211">
        <v>500</v>
      </c>
      <c r="CM1032" s="160">
        <f>CL1032</f>
        <v>500</v>
      </c>
    </row>
    <row r="1033" spans="1:108" ht="15" customHeight="1">
      <c r="B1033" s="506" t="s">
        <v>148</v>
      </c>
      <c r="E1033" s="506">
        <v>27</v>
      </c>
      <c r="AJ1033" s="137">
        <f t="shared" si="353"/>
        <v>0.33333333333333331</v>
      </c>
      <c r="AX1033" s="142">
        <v>27500</v>
      </c>
    </row>
    <row r="1034" spans="1:108" ht="15" customHeight="1">
      <c r="B1034" s="506" t="s">
        <v>148</v>
      </c>
      <c r="E1034" s="506">
        <v>27</v>
      </c>
      <c r="AJ1034" s="137">
        <f t="shared" ref="AJ1034" si="355">AJ1033+(S$3*S1034+T$3*T1034+U$3*U1034+V$3*V1034+W$3*W1034+X$3*X1034+Y$3*Y1034+Z$3*Z1034+AA$3*AA1034+AB$3*AB1034+AC$3*AC1034)</f>
        <v>0.33333333333333331</v>
      </c>
      <c r="AX1034" s="142">
        <v>10000</v>
      </c>
    </row>
    <row r="1035" spans="1:108" ht="15" customHeight="1">
      <c r="B1035" s="506" t="s">
        <v>148</v>
      </c>
      <c r="E1035" s="506">
        <v>27</v>
      </c>
      <c r="AF1035" s="265"/>
      <c r="AJ1035" s="137">
        <f t="shared" ref="AJ1035" si="356">AJ1034+(S$3*S1035+T$3*T1035+U$3*U1035+V$3*V1035+W$3*W1035+X$3*X1035+Y$3*Y1035+Z$3*Z1035+AA$3*AA1035+AB$3*AB1035+AC$3*AC1035)</f>
        <v>0.33333333333333331</v>
      </c>
      <c r="AU1035" s="142">
        <v>8250</v>
      </c>
    </row>
    <row r="1036" spans="1:108" ht="15" customHeight="1">
      <c r="B1036" s="506" t="s">
        <v>148</v>
      </c>
      <c r="E1036" s="506">
        <v>27</v>
      </c>
      <c r="AF1036" s="265"/>
      <c r="AJ1036" s="137">
        <f t="shared" ref="AJ1036:AJ1037" si="357">AJ1035+(S$3*S1036+T$3*T1036+U$3*U1036+V$3*V1036+W$3*W1036+X$3*X1036+Y$3*Y1036+Z$3*Z1036+AA$3*AA1036+AB$3*AB1036+AC$3*AC1036)</f>
        <v>0.33333333333333331</v>
      </c>
      <c r="CN1036" s="283">
        <v>10000</v>
      </c>
    </row>
    <row r="1037" spans="1:108" ht="15" customHeight="1">
      <c r="B1037" s="506" t="s">
        <v>148</v>
      </c>
      <c r="E1037" s="506">
        <v>27</v>
      </c>
      <c r="AF1037" s="265"/>
      <c r="AJ1037" s="137">
        <f t="shared" si="357"/>
        <v>0.33333333333333331</v>
      </c>
      <c r="AU1037" s="142">
        <v>8250</v>
      </c>
    </row>
    <row r="1038" spans="1:108" ht="15" customHeight="1">
      <c r="B1038" s="506" t="s">
        <v>148</v>
      </c>
      <c r="E1038" s="506">
        <v>27</v>
      </c>
      <c r="W1038" s="250">
        <v>2</v>
      </c>
      <c r="AF1038" s="141">
        <f>$S$3*$S1038+$T$3*$T1038+$U$3*$U1038+$V$3*$V1038+$W$3*$W1038+$X$3*$X1038+$Y$3*$Y1038+$Z$3*$Z1038+$AA$3*$AA1038+$AB$3*$AB1038+$AC$3*$AC1038</f>
        <v>2.0833333333333332E-2</v>
      </c>
      <c r="AJ1038" s="137">
        <f t="shared" ref="AJ1038:AJ1041" si="358">AJ1037+(S$3*S1038+T$3*T1038+U$3*U1038+V$3*V1038+W$3*W1038+X$3*X1038+Y$3*Y1038+Z$3*Z1038+AA$3*AA1038+AB$3*AB1038+AC$3*AC1038)</f>
        <v>0.35416666666666663</v>
      </c>
    </row>
    <row r="1039" spans="1:108" ht="15" customHeight="1">
      <c r="B1039" s="506" t="s">
        <v>148</v>
      </c>
      <c r="E1039" s="506">
        <v>27</v>
      </c>
      <c r="AF1039" s="265"/>
      <c r="AJ1039" s="137">
        <f t="shared" si="358"/>
        <v>0.35416666666666663</v>
      </c>
      <c r="AW1039" s="142">
        <v>8250</v>
      </c>
    </row>
    <row r="1040" spans="1:108" ht="15" customHeight="1">
      <c r="B1040" s="113" t="s">
        <v>1483</v>
      </c>
      <c r="C1040" s="127" t="s">
        <v>1855</v>
      </c>
      <c r="D1040" s="127">
        <v>1300</v>
      </c>
      <c r="E1040" s="506">
        <v>27</v>
      </c>
      <c r="G1040" s="7"/>
      <c r="H1040" s="7"/>
      <c r="J1040" s="114">
        <f>VLOOKUP($C1040,Troop!$B:$AK,(COLUMN(Troop_TrainingReward_Power)-COLUMN(Troop_Name)+1),FALSE)*$D1040</f>
        <v>10400</v>
      </c>
      <c r="AF1040" s="141"/>
      <c r="AG1040" s="141"/>
      <c r="AH1040" s="137"/>
      <c r="AI1040" s="484"/>
      <c r="AJ1040" s="137">
        <f t="shared" si="358"/>
        <v>0.35416666666666663</v>
      </c>
      <c r="AU1040" s="296">
        <f>VLOOKUP($C1040,Troop!$B:$P,(COLUMN(Troop_TrainingCost_Stone)-COLUMN(Troop_Name)+1),FALSE)*$D1040*(-1)</f>
        <v>-130000</v>
      </c>
      <c r="AV1040" s="296">
        <f>VLOOKUP($C1040,Troop!$B:$P,(COLUMN(Troop_TrainingCost_Wood)-COLUMN(Troop_Name)+1),FALSE)*$D1040*(-1)</f>
        <v>-130000</v>
      </c>
      <c r="AW1040" s="296">
        <f>VLOOKUP($C1040,Troop!$B:$P,(COLUMN(Troop_TrainingCost_Ore)-COLUMN(Troop_Name)+1),FALSE)*$D1040*(-1)</f>
        <v>0</v>
      </c>
      <c r="AX1040" s="296">
        <f>VLOOKUP($C1040,Troop!$B:$P,(COLUMN(Troop_TrainingCost_Food)-COLUMN(Troop_Name)+1),FALSE)*$D1040*(-1)</f>
        <v>-130000</v>
      </c>
      <c r="AY1040" s="114">
        <f>VLOOKUP($C1040,Troop!$B:$P,(COLUMN(Troop_TrainingCost_Silver)-COLUMN(Troop_Name)+1),FALSE)*$D1040*(-1)</f>
        <v>-6500</v>
      </c>
      <c r="CT1040" s="128"/>
      <c r="CU1040" s="128"/>
      <c r="CV1040" s="128"/>
      <c r="CW1040" s="128"/>
      <c r="CX1040" s="128"/>
      <c r="CY1040" s="128"/>
      <c r="CZ1040" s="128"/>
      <c r="DA1040" s="128"/>
      <c r="DB1040" s="128"/>
      <c r="DC1040" s="128"/>
      <c r="DD1040" s="128"/>
    </row>
    <row r="1041" spans="2:108" ht="15" customHeight="1">
      <c r="B1041" s="506" t="s">
        <v>624</v>
      </c>
      <c r="C1041" s="127" t="s">
        <v>670</v>
      </c>
      <c r="D1041" s="144" t="s">
        <v>1789</v>
      </c>
      <c r="E1041" s="506">
        <v>27</v>
      </c>
      <c r="H1041" s="30">
        <v>0</v>
      </c>
      <c r="J1041" s="31">
        <v>0</v>
      </c>
      <c r="AF1041" s="141"/>
      <c r="AG1041" s="141"/>
      <c r="AH1041" s="137"/>
      <c r="AI1041" s="484"/>
      <c r="AJ1041" s="137">
        <f t="shared" si="358"/>
        <v>0.35416666666666663</v>
      </c>
      <c r="AU1041" s="30">
        <v>0</v>
      </c>
      <c r="AV1041" s="30">
        <v>0</v>
      </c>
      <c r="AW1041" s="30">
        <v>0</v>
      </c>
      <c r="AX1041" s="30">
        <v>0</v>
      </c>
      <c r="AY1041" s="31">
        <v>53970</v>
      </c>
    </row>
    <row r="1042" spans="2:108" ht="15" customHeight="1">
      <c r="B1042" s="506" t="s">
        <v>624</v>
      </c>
      <c r="C1042" s="127" t="s">
        <v>670</v>
      </c>
      <c r="D1042" s="144" t="s">
        <v>1789</v>
      </c>
      <c r="E1042" s="506">
        <v>27</v>
      </c>
      <c r="H1042" s="30">
        <v>0</v>
      </c>
      <c r="J1042" s="31">
        <v>0</v>
      </c>
      <c r="AF1042" s="141"/>
      <c r="AG1042" s="141"/>
      <c r="AH1042" s="137"/>
      <c r="AI1042" s="484"/>
      <c r="AJ1042" s="137">
        <f t="shared" ref="AJ1042:AJ1046" si="359">AJ1041+(S$3*S1042+T$3*T1042+U$3*U1042+V$3*V1042+W$3*W1042+X$3*X1042+Y$3*Y1042+Z$3*Z1042+AA$3*AA1042+AB$3*AB1042+AC$3*AC1042)</f>
        <v>0.35416666666666663</v>
      </c>
      <c r="AU1042" s="30">
        <v>0</v>
      </c>
      <c r="AV1042" s="30">
        <v>0</v>
      </c>
      <c r="AW1042" s="30">
        <v>0</v>
      </c>
      <c r="AX1042" s="30">
        <v>0</v>
      </c>
      <c r="AY1042" s="31">
        <v>53900</v>
      </c>
    </row>
    <row r="1043" spans="2:108" ht="15" customHeight="1">
      <c r="B1043" s="506" t="s">
        <v>624</v>
      </c>
      <c r="C1043" s="127" t="s">
        <v>623</v>
      </c>
      <c r="D1043" s="144" t="s">
        <v>1422</v>
      </c>
      <c r="E1043" s="506">
        <v>27</v>
      </c>
      <c r="AF1043" s="141"/>
      <c r="AG1043" s="141"/>
      <c r="AH1043" s="137"/>
      <c r="AI1043" s="484"/>
      <c r="AJ1043" s="137">
        <f t="shared" si="359"/>
        <v>0.35416666666666663</v>
      </c>
      <c r="AU1043" s="30">
        <v>0</v>
      </c>
      <c r="AV1043" s="30">
        <v>0</v>
      </c>
      <c r="AW1043" s="30">
        <v>0</v>
      </c>
      <c r="AX1043" s="30">
        <v>77107</v>
      </c>
      <c r="AY1043" s="31">
        <v>0</v>
      </c>
    </row>
    <row r="1044" spans="2:108" ht="15" customHeight="1">
      <c r="B1044" s="102" t="s">
        <v>1455</v>
      </c>
      <c r="C1044" s="127" t="s">
        <v>141</v>
      </c>
      <c r="D1044" s="144" t="s">
        <v>1856</v>
      </c>
      <c r="E1044" s="506">
        <v>27</v>
      </c>
      <c r="F1044" s="12">
        <v>0.4</v>
      </c>
      <c r="G1044" s="101">
        <v>10000</v>
      </c>
      <c r="H1044" s="101">
        <f t="shared" ref="H1044" si="360">G1044*(1+F1044)</f>
        <v>14000</v>
      </c>
      <c r="J1044" s="100">
        <v>500</v>
      </c>
      <c r="AF1044" s="141"/>
      <c r="AG1044" s="141"/>
      <c r="AH1044" s="137"/>
      <c r="AI1044" s="484"/>
      <c r="AJ1044" s="137">
        <f t="shared" si="359"/>
        <v>0.35416666666666663</v>
      </c>
      <c r="AU1044" s="101">
        <v>7500</v>
      </c>
      <c r="AV1044" s="101">
        <v>7500</v>
      </c>
      <c r="AW1044" s="101">
        <v>0</v>
      </c>
      <c r="AX1044" s="101">
        <v>7500</v>
      </c>
      <c r="AY1044" s="100">
        <v>75</v>
      </c>
      <c r="CT1044" s="128"/>
      <c r="CU1044" s="128"/>
      <c r="CV1044" s="128"/>
      <c r="CW1044" s="128"/>
      <c r="CX1044" s="128"/>
      <c r="CY1044" s="128"/>
      <c r="CZ1044" s="128"/>
      <c r="DA1044" s="128"/>
      <c r="DB1044" s="128"/>
      <c r="DC1044" s="128"/>
      <c r="DD1044" s="128"/>
    </row>
    <row r="1045" spans="2:108" ht="15" customHeight="1">
      <c r="B1045" s="506" t="s">
        <v>144</v>
      </c>
      <c r="C1045" s="127" t="s">
        <v>138</v>
      </c>
      <c r="D1045" s="144" t="s">
        <v>1857</v>
      </c>
      <c r="E1045" s="506">
        <v>27</v>
      </c>
      <c r="F1045" s="12">
        <v>0.4</v>
      </c>
      <c r="G1045" s="94">
        <f>VLOOKUP($D1045,Construction!$B:$E,(COLUMN(Construction_BuildingReward_HeroXP)-COLUMN(Construction_Name_and_Level)+1),FALSE)</f>
        <v>500</v>
      </c>
      <c r="H1045" s="94">
        <f>G1045*(1+F1045)</f>
        <v>700</v>
      </c>
      <c r="J1045" s="95">
        <f>VLOOKUP($D1045,Construction!$B:$F,(COLUMN(Construction_BuildingReward_Power)-COLUMN(Construction_Name_and_Level)+1),FALSE)</f>
        <v>715</v>
      </c>
      <c r="Q1045" s="139">
        <v>3.472222222222222E-3</v>
      </c>
      <c r="R1045" s="289">
        <v>9.7222222222222224E-3</v>
      </c>
      <c r="AF1045" s="141"/>
      <c r="AG1045" s="141"/>
      <c r="AH1045" s="137"/>
      <c r="AI1045" s="484"/>
      <c r="AJ1045" s="137">
        <f t="shared" si="359"/>
        <v>0.35416666666666663</v>
      </c>
      <c r="AK1045" s="339">
        <v>0.56499999999999995</v>
      </c>
      <c r="AL1045" s="138">
        <f>VLOOKUP($D1045,Construction!$B:$C,(COLUMN(Construction_Time)-COLUMN(Construction_Name_and_Level)+1),FALSE)</f>
        <v>0.44444444444444442</v>
      </c>
      <c r="AM1045" s="138">
        <f t="shared" ref="AM1045" si="361">AL1045/(1+AK1045)</f>
        <v>0.28399006034788782</v>
      </c>
      <c r="AN1045" s="138">
        <f>(S$3*S1045+T$3*T1045+V$3*V1045+W$3*W1045+X$3*X1045+Y$3*Y1045+Z$3*Z1045+AA$3*AA1045+AB$3*AB1045+AC$3*AC1045)*(-1)</f>
        <v>0</v>
      </c>
      <c r="AO1045" s="139">
        <f>IF((AM1045-Q1045-R1045-AN1045)&gt;=0,AM1045-Q1045-R1045-AN1045,0)</f>
        <v>0.27079561590344337</v>
      </c>
      <c r="AU1045" s="94">
        <f>VLOOKUP($D1045,Construction!$B:$J,(COLUMN(Construction_BuildingCost_Stone)-COLUMN(Construction_Name_and_Level)+1),FALSE)*(-1)</f>
        <v>-60144</v>
      </c>
      <c r="AV1045" s="94">
        <f>VLOOKUP($D1045,Construction!$B:$J,(COLUMN(Construction_BuildingCost_Wood)-COLUMN(Construction_Name_and_Level)+1),FALSE)*(-1)</f>
        <v>-80232</v>
      </c>
      <c r="AW1045" s="94">
        <f>VLOOKUP($D1045,Construction!$B:$J,(COLUMN(Construction_BuildingCost_Ore)-COLUMN(Construction_Name_and_Level)+1),FALSE)*(-1)</f>
        <v>-160392</v>
      </c>
      <c r="AX1045" s="94">
        <f>VLOOKUP($D1045,Construction!$B:$J,(COLUMN(Construction_BuildingCost_Food)-COLUMN(Construction_Name_and_Level)+1),FALSE)*(-1)</f>
        <v>-60144</v>
      </c>
      <c r="BK1045" s="7"/>
      <c r="BL1045" s="19"/>
    </row>
    <row r="1046" spans="2:108" ht="15" customHeight="1">
      <c r="B1046" s="506" t="s">
        <v>143</v>
      </c>
      <c r="C1046" s="127" t="s">
        <v>142</v>
      </c>
      <c r="D1046" s="144" t="s">
        <v>1857</v>
      </c>
      <c r="E1046" s="506">
        <v>27</v>
      </c>
      <c r="F1046" s="346">
        <v>0.4</v>
      </c>
      <c r="G1046" s="101">
        <f>VLOOKUP($D1046,Construction!$B:$L,(COLUMN(Construction_QuestReward_HeroXP)-COLUMN(Construction_Name_and_Level)+1),FALSE)</f>
        <v>60000</v>
      </c>
      <c r="H1046" s="101">
        <f>G1046*(1+F1046)</f>
        <v>84000</v>
      </c>
      <c r="J1046" s="100">
        <f>VLOOKUP($D1046,Construction!$B:$L,(COLUMN(Construction_QuestReward_Power)-COLUMN(Construction_Name_and_Level)+1),FALSE)</f>
        <v>400</v>
      </c>
      <c r="AF1046" s="141"/>
      <c r="AG1046" s="141"/>
      <c r="AH1046" s="137"/>
      <c r="AI1046" s="484"/>
      <c r="AJ1046" s="137">
        <f t="shared" si="359"/>
        <v>0.35416666666666663</v>
      </c>
      <c r="AU1046" s="101">
        <f>VLOOKUP($D1046,Construction!$B:$Q,(COLUMN(Construction_QuestReward_Stone)-COLUMN(Construction_Name_and_Level)+1),FALSE)</f>
        <v>12028</v>
      </c>
      <c r="AV1046" s="101">
        <f>VLOOKUP($D1046,Construction!$B:$Q,(COLUMN(Construction_QuestReward_Wood)-COLUMN(Construction_Name_and_Level)+1),FALSE)</f>
        <v>16046</v>
      </c>
      <c r="AW1046" s="101">
        <f>VLOOKUP($D1046,Construction!$B:$Q,(COLUMN(Construction_QuestReward_Ore)-COLUMN(Construction_Name_and_Level)+1),FALSE)</f>
        <v>32078</v>
      </c>
      <c r="AX1046" s="101">
        <f>VLOOKUP($D1046,Construction!$B:$Q,(COLUMN(Construction_QuestReward_Food)-COLUMN(Construction_Name_and_Level)+1),FALSE)</f>
        <v>12028</v>
      </c>
      <c r="AY1046" s="100">
        <f>VLOOKUP($D1046,Construction!$B:$Q,(COLUMN(Construction_QuestReward_Silver)-COLUMN(Construction_Name_and_Level)+1),FALSE)</f>
        <v>560</v>
      </c>
    </row>
    <row r="1047" spans="2:108" ht="15" customHeight="1">
      <c r="B1047" s="506" t="s">
        <v>624</v>
      </c>
      <c r="C1047" s="127" t="s">
        <v>623</v>
      </c>
      <c r="D1047" s="144" t="s">
        <v>1422</v>
      </c>
      <c r="E1047" s="506">
        <v>27</v>
      </c>
      <c r="AF1047" s="141"/>
      <c r="AG1047" s="141"/>
      <c r="AH1047" s="137"/>
      <c r="AI1047" s="484"/>
      <c r="AJ1047" s="137">
        <f t="shared" ref="AJ1047:AJ1053" si="362">AJ1046+(S$3*S1047+T$3*T1047+U$3*U1047+V$3*V1047+W$3*W1047+X$3*X1047+Y$3*Y1047+Z$3*Z1047+AA$3*AA1047+AB$3*AB1047+AC$3*AC1047)</f>
        <v>0.35416666666666663</v>
      </c>
      <c r="AU1047" s="30">
        <v>0</v>
      </c>
      <c r="AV1047" s="30">
        <v>0</v>
      </c>
      <c r="AW1047" s="30">
        <v>0</v>
      </c>
      <c r="AX1047" s="30">
        <v>87507</v>
      </c>
      <c r="AY1047" s="31">
        <v>0</v>
      </c>
    </row>
    <row r="1048" spans="2:108" ht="15" customHeight="1">
      <c r="B1048" s="506" t="s">
        <v>195</v>
      </c>
      <c r="C1048" s="127" t="s">
        <v>468</v>
      </c>
      <c r="D1048" s="144" t="s">
        <v>1803</v>
      </c>
      <c r="E1048" s="506">
        <v>27</v>
      </c>
      <c r="F1048" s="12">
        <v>0.4</v>
      </c>
      <c r="G1048" s="211">
        <v>1000</v>
      </c>
      <c r="H1048" s="211">
        <f t="shared" ref="H1048" si="363">G1048*(1+F1048)</f>
        <v>1400</v>
      </c>
      <c r="AF1048" s="141"/>
      <c r="AG1048" s="141"/>
      <c r="AH1048" s="137"/>
      <c r="AI1048" s="484"/>
      <c r="AJ1048" s="137">
        <f t="shared" si="362"/>
        <v>0.35416666666666663</v>
      </c>
      <c r="AU1048" s="211">
        <v>0</v>
      </c>
      <c r="AV1048" s="213">
        <v>1250</v>
      </c>
      <c r="AW1048" s="213">
        <v>0</v>
      </c>
      <c r="AX1048" s="213">
        <v>0</v>
      </c>
      <c r="AY1048" s="160">
        <v>250</v>
      </c>
      <c r="CL1048" s="211">
        <v>500</v>
      </c>
      <c r="CM1048" s="160">
        <f>CL1048</f>
        <v>500</v>
      </c>
    </row>
    <row r="1049" spans="2:108" ht="15" customHeight="1">
      <c r="B1049" s="113" t="s">
        <v>1483</v>
      </c>
      <c r="C1049" s="127" t="s">
        <v>619</v>
      </c>
      <c r="D1049" s="127">
        <v>1000</v>
      </c>
      <c r="E1049" s="506">
        <v>27</v>
      </c>
      <c r="G1049" s="7"/>
      <c r="H1049" s="7"/>
      <c r="J1049" s="114">
        <f>VLOOKUP($C1049,Troop!$B:$AK,(COLUMN(Troop_TrainingReward_Power)-COLUMN(Troop_Name)+1),FALSE)*$D1049</f>
        <v>2000</v>
      </c>
      <c r="AF1049" s="141"/>
      <c r="AG1049" s="141"/>
      <c r="AH1049" s="137"/>
      <c r="AI1049" s="484"/>
      <c r="AJ1049" s="137">
        <f t="shared" si="362"/>
        <v>0.35416666666666663</v>
      </c>
      <c r="AU1049" s="296">
        <f>VLOOKUP($C1049,Troop!$B:$P,(COLUMN(Troop_TrainingCost_Stone)-COLUMN(Troop_Name)+1),FALSE)*$D1049*(-1)</f>
        <v>-100000</v>
      </c>
      <c r="AV1049" s="296">
        <f>VLOOKUP($C1049,Troop!$B:$P,(COLUMN(Troop_TrainingCost_Wood)-COLUMN(Troop_Name)+1),FALSE)*$D1049*(-1)</f>
        <v>-100000</v>
      </c>
      <c r="AW1049" s="296">
        <f>VLOOKUP($C1049,Troop!$B:$P,(COLUMN(Troop_TrainingCost_Ore)-COLUMN(Troop_Name)+1),FALSE)*$D1049*(-1)</f>
        <v>0</v>
      </c>
      <c r="AX1049" s="296">
        <f>VLOOKUP($C1049,Troop!$B:$P,(COLUMN(Troop_TrainingCost_Food)-COLUMN(Troop_Name)+1),FALSE)*$D1049*(-1)</f>
        <v>-100000</v>
      </c>
      <c r="AY1049" s="114">
        <f>VLOOKUP($C1049,Troop!$B:$P,(COLUMN(Troop_TrainingCost_Silver)-COLUMN(Troop_Name)+1),FALSE)*$D1049*(-1)</f>
        <v>0</v>
      </c>
      <c r="CT1049" s="128"/>
      <c r="CU1049" s="128"/>
      <c r="CV1049" s="128"/>
      <c r="CW1049" s="128"/>
      <c r="CX1049" s="128"/>
      <c r="CY1049" s="128"/>
      <c r="CZ1049" s="128"/>
      <c r="DA1049" s="128"/>
      <c r="DB1049" s="128"/>
      <c r="DC1049" s="128"/>
      <c r="DD1049" s="128"/>
    </row>
    <row r="1050" spans="2:108" ht="15" customHeight="1">
      <c r="B1050" s="506" t="s">
        <v>624</v>
      </c>
      <c r="C1050" s="127" t="s">
        <v>1147</v>
      </c>
      <c r="D1050" s="144" t="s">
        <v>1820</v>
      </c>
      <c r="E1050" s="506">
        <v>27</v>
      </c>
      <c r="H1050" s="30">
        <v>0</v>
      </c>
      <c r="J1050" s="31">
        <v>-56574</v>
      </c>
      <c r="AF1050" s="141"/>
      <c r="AG1050" s="141"/>
      <c r="AH1050" s="137"/>
      <c r="AI1050" s="484"/>
      <c r="AJ1050" s="137">
        <f t="shared" si="362"/>
        <v>0.35416666666666663</v>
      </c>
      <c r="AU1050" s="30">
        <v>0</v>
      </c>
      <c r="AV1050" s="30">
        <v>-73370</v>
      </c>
      <c r="AW1050" s="30">
        <v>0</v>
      </c>
      <c r="AX1050" s="30">
        <v>0</v>
      </c>
      <c r="AY1050" s="31">
        <v>-392500</v>
      </c>
    </row>
    <row r="1051" spans="2:108" ht="15" customHeight="1">
      <c r="B1051" s="506" t="s">
        <v>144</v>
      </c>
      <c r="C1051" s="127" t="s">
        <v>138</v>
      </c>
      <c r="D1051" s="144" t="s">
        <v>1641</v>
      </c>
      <c r="E1051" s="506">
        <v>27</v>
      </c>
      <c r="F1051" s="12">
        <v>0.4</v>
      </c>
      <c r="G1051" s="94">
        <f>VLOOKUP($D1051,Construction!$B:$E,(COLUMN(Construction_BuildingReward_HeroXP)-COLUMN(Construction_Name_and_Level)+1),FALSE)</f>
        <v>500</v>
      </c>
      <c r="H1051" s="94">
        <f>G1051*(1+F1051)</f>
        <v>700</v>
      </c>
      <c r="J1051" s="95">
        <f>VLOOKUP($D1051,Construction!$B:$F,(COLUMN(Construction_BuildingReward_Power)-COLUMN(Construction_Name_and_Level)+1),FALSE)</f>
        <v>110</v>
      </c>
      <c r="Q1051" s="139">
        <v>3.472222222222222E-3</v>
      </c>
      <c r="R1051" s="289">
        <v>9.7222222222222224E-3</v>
      </c>
      <c r="W1051" s="11">
        <v>-2</v>
      </c>
      <c r="AF1051" s="141"/>
      <c r="AG1051" s="141"/>
      <c r="AH1051" s="137"/>
      <c r="AI1051" s="484">
        <f>(-1)*($S$3*$S1051+$T$3*$T1051+$U$3*$U1051+$V$3*$V1051+$W$3*$W1051+$X$3*$X1051+$Y$3*$Y1051+$Z$3*$Z1051+$AA$3*$AA1051+$AB$3*$AB1051+$AC$3*$AC1051)</f>
        <v>2.0833333333333332E-2</v>
      </c>
      <c r="AJ1051" s="137">
        <f t="shared" si="362"/>
        <v>0.33333333333333331</v>
      </c>
      <c r="AK1051" s="339">
        <v>0.56499999999999995</v>
      </c>
      <c r="AL1051" s="138">
        <f>VLOOKUP($D1051,Construction!$B:$C,(COLUMN(Construction_Time)-COLUMN(Construction_Name_and_Level)+1),FALSE)</f>
        <v>3.1666666666666669E-2</v>
      </c>
      <c r="AM1051" s="138">
        <f t="shared" ref="AM1051" si="364">AL1051/(1+AK1051)</f>
        <v>2.0234291799787009E-2</v>
      </c>
      <c r="AN1051" s="138">
        <f>(S$3*S1051+T$3*T1051+V$3*V1051+W$3*W1051+X$3*X1051+Y$3*Y1051+Z$3*Z1051+AA$3*AA1051+AB$3*AB1051+AC$3*AC1051)*(-1)</f>
        <v>2.0833333333333332E-2</v>
      </c>
      <c r="AO1051" s="139">
        <f>IF((AM1051-Q1051-R1051-AN1051)&gt;=0,AM1051-Q1051-R1051-AN1051,0)</f>
        <v>0</v>
      </c>
      <c r="AU1051" s="94">
        <f>VLOOKUP($D1051,Construction!$B:$J,(COLUMN(Construction_BuildingCost_Stone)-COLUMN(Construction_Name_and_Level)+1),FALSE)*(-1)</f>
        <v>-8354</v>
      </c>
      <c r="AV1051" s="94">
        <f>VLOOKUP($D1051,Construction!$B:$J,(COLUMN(Construction_BuildingCost_Wood)-COLUMN(Construction_Name_and_Level)+1),FALSE)*(-1)</f>
        <v>-6686</v>
      </c>
      <c r="AW1051" s="94">
        <f>VLOOKUP($D1051,Construction!$B:$J,(COLUMN(Construction_BuildingCost_Ore)-COLUMN(Construction_Name_and_Level)+1),FALSE)*(-1)</f>
        <v>-5012</v>
      </c>
      <c r="AX1051" s="94">
        <f>VLOOKUP($D1051,Construction!$B:$J,(COLUMN(Construction_BuildingCost_Food)-COLUMN(Construction_Name_and_Level)+1),FALSE)*(-1)</f>
        <v>-4182</v>
      </c>
      <c r="BK1051" s="7"/>
      <c r="BL1051" s="19"/>
    </row>
    <row r="1052" spans="2:108" ht="15" customHeight="1">
      <c r="B1052" s="506" t="s">
        <v>148</v>
      </c>
      <c r="E1052" s="506">
        <v>27</v>
      </c>
      <c r="AF1052" s="265"/>
      <c r="AJ1052" s="137">
        <f t="shared" si="362"/>
        <v>0.33333333333333331</v>
      </c>
      <c r="AX1052" s="142">
        <v>27500</v>
      </c>
    </row>
    <row r="1053" spans="2:108" ht="15" customHeight="1">
      <c r="B1053" s="506" t="s">
        <v>624</v>
      </c>
      <c r="C1053" s="127" t="s">
        <v>1148</v>
      </c>
      <c r="D1053" s="144" t="s">
        <v>1858</v>
      </c>
      <c r="E1053" s="506">
        <v>27</v>
      </c>
      <c r="H1053" s="30">
        <v>0</v>
      </c>
      <c r="J1053" s="31">
        <v>51362</v>
      </c>
      <c r="AF1053" s="141"/>
      <c r="AG1053" s="141"/>
      <c r="AH1053" s="137"/>
      <c r="AI1053" s="484"/>
      <c r="AJ1053" s="137">
        <f t="shared" si="362"/>
        <v>0.33333333333333331</v>
      </c>
      <c r="AU1053" s="30">
        <v>-147700</v>
      </c>
      <c r="AV1053" s="30">
        <v>-279700</v>
      </c>
      <c r="AW1053" s="30">
        <v>-171000</v>
      </c>
      <c r="AX1053" s="30">
        <v>-337600</v>
      </c>
      <c r="AY1053" s="31">
        <v>-8800</v>
      </c>
    </row>
    <row r="1054" spans="2:108" ht="15" customHeight="1">
      <c r="B1054" s="506" t="s">
        <v>144</v>
      </c>
      <c r="C1054" s="127" t="s">
        <v>138</v>
      </c>
      <c r="D1054" s="144" t="s">
        <v>1698</v>
      </c>
      <c r="E1054" s="506">
        <v>27</v>
      </c>
      <c r="F1054" s="12">
        <v>0.4</v>
      </c>
      <c r="G1054" s="94">
        <f>VLOOKUP($D1054,Construction!$B:$E,(COLUMN(Construction_BuildingReward_HeroXP)-COLUMN(Construction_Name_and_Level)+1),FALSE)</f>
        <v>500</v>
      </c>
      <c r="H1054" s="94">
        <f>G1054*(1+F1054)</f>
        <v>700</v>
      </c>
      <c r="J1054" s="95">
        <f>VLOOKUP($D1054,Construction!$B:$F,(COLUMN(Construction_BuildingReward_Power)-COLUMN(Construction_Name_and_Level)+1),FALSE)</f>
        <v>85</v>
      </c>
      <c r="Q1054" s="139">
        <v>3.472222222222222E-3</v>
      </c>
      <c r="R1054" s="289">
        <v>9.7222222222222224E-3</v>
      </c>
      <c r="AF1054" s="141"/>
      <c r="AG1054" s="141"/>
      <c r="AH1054" s="137"/>
      <c r="AI1054" s="484"/>
      <c r="AJ1054" s="137">
        <f t="shared" ref="AJ1054:AJ1056" si="365">AJ1053+(S$3*S1054+T$3*T1054+U$3*U1054+V$3*V1054+W$3*W1054+X$3*X1054+Y$3*Y1054+Z$3*Z1054+AA$3*AA1054+AB$3*AB1054+AC$3*AC1054)</f>
        <v>0.33333333333333331</v>
      </c>
      <c r="AK1054" s="339">
        <v>0.56499999999999995</v>
      </c>
      <c r="AL1054" s="138">
        <f>VLOOKUP($D1054,Construction!$B:$C,(COLUMN(Construction_Time)-COLUMN(Construction_Name_and_Level)+1),FALSE)</f>
        <v>3.7037037037037042E-2</v>
      </c>
      <c r="AM1054" s="138">
        <f t="shared" ref="AM1054" si="366">AL1054/(1+AK1054)</f>
        <v>2.3665838362323988E-2</v>
      </c>
      <c r="AN1054" s="138">
        <f>(S$3*S1054+T$3*T1054+V$3*V1054+W$3*W1054+X$3*X1054+Y$3*Y1054+Z$3*Z1054+AA$3*AA1054+AB$3*AB1054+AC$3*AC1054)*(-1)</f>
        <v>0</v>
      </c>
      <c r="AO1054" s="139">
        <f>IF((AM1054-Q1054-R1054-AN1054)&gt;=0,AM1054-Q1054-R1054-AN1054,0)</f>
        <v>1.0471393917879546E-2</v>
      </c>
      <c r="AU1054" s="94">
        <f>VLOOKUP($D1054,Construction!$B:$J,(COLUMN(Construction_BuildingCost_Stone)-COLUMN(Construction_Name_and_Level)+1),FALSE)*(-1)</f>
        <v>-3348</v>
      </c>
      <c r="AV1054" s="94">
        <f>VLOOKUP($D1054,Construction!$B:$J,(COLUMN(Construction_BuildingCost_Wood)-COLUMN(Construction_Name_and_Level)+1),FALSE)*(-1)</f>
        <v>-3348</v>
      </c>
      <c r="AW1054" s="94">
        <f>VLOOKUP($D1054,Construction!$B:$J,(COLUMN(Construction_BuildingCost_Ore)-COLUMN(Construction_Name_and_Level)+1),FALSE)*(-1)</f>
        <v>-3348</v>
      </c>
      <c r="AX1054" s="94">
        <f>VLOOKUP($D1054,Construction!$B:$J,(COLUMN(Construction_BuildingCost_Food)-COLUMN(Construction_Name_and_Level)+1),FALSE)*(-1)</f>
        <v>0</v>
      </c>
      <c r="BK1054" s="7"/>
      <c r="BL1054" s="19"/>
    </row>
    <row r="1055" spans="2:108" ht="15" customHeight="1">
      <c r="B1055" s="506" t="s">
        <v>195</v>
      </c>
      <c r="C1055" s="127" t="s">
        <v>468</v>
      </c>
      <c r="D1055" s="144" t="s">
        <v>1859</v>
      </c>
      <c r="E1055" s="506">
        <v>27</v>
      </c>
      <c r="F1055" s="12">
        <v>0.4</v>
      </c>
      <c r="G1055" s="211">
        <v>4000</v>
      </c>
      <c r="H1055" s="211">
        <f t="shared" ref="H1055" si="367">G1055*(1+F1055)</f>
        <v>5600</v>
      </c>
      <c r="AF1055" s="141"/>
      <c r="AG1055" s="141"/>
      <c r="AH1055" s="137"/>
      <c r="AI1055" s="484"/>
      <c r="AJ1055" s="137">
        <f t="shared" si="365"/>
        <v>0.33333333333333331</v>
      </c>
      <c r="AU1055" s="211">
        <v>4000</v>
      </c>
      <c r="AV1055" s="213">
        <v>4000</v>
      </c>
      <c r="AW1055" s="213">
        <v>4000</v>
      </c>
      <c r="AX1055" s="213">
        <v>0</v>
      </c>
      <c r="AY1055" s="160">
        <v>0</v>
      </c>
      <c r="CL1055" s="211">
        <v>2000</v>
      </c>
      <c r="CM1055" s="160">
        <f>CL1055</f>
        <v>2000</v>
      </c>
    </row>
    <row r="1056" spans="2:108" ht="15" customHeight="1">
      <c r="B1056" s="506" t="s">
        <v>195</v>
      </c>
      <c r="C1056" s="127" t="s">
        <v>1750</v>
      </c>
      <c r="D1056" s="144" t="s">
        <v>1752</v>
      </c>
      <c r="E1056" s="506">
        <v>27</v>
      </c>
      <c r="AF1056" s="141"/>
      <c r="AJ1056" s="137">
        <f t="shared" si="365"/>
        <v>0.33333333333333331</v>
      </c>
      <c r="AV1056" s="211">
        <v>10000</v>
      </c>
    </row>
    <row r="1057" spans="2:91" ht="15" customHeight="1">
      <c r="B1057" s="506" t="s">
        <v>195</v>
      </c>
      <c r="C1057" s="127" t="s">
        <v>468</v>
      </c>
      <c r="D1057" s="144" t="s">
        <v>1719</v>
      </c>
      <c r="E1057" s="506">
        <v>27</v>
      </c>
      <c r="F1057" s="12">
        <v>0.4</v>
      </c>
      <c r="G1057" s="211">
        <v>4000</v>
      </c>
      <c r="H1057" s="211">
        <f t="shared" ref="H1057" si="368">G1057*(1+F1057)</f>
        <v>5600</v>
      </c>
      <c r="AF1057" s="141"/>
      <c r="AG1057" s="141"/>
      <c r="AH1057" s="137"/>
      <c r="AI1057" s="484"/>
      <c r="AJ1057" s="137">
        <f t="shared" ref="AJ1057:AJ1061" si="369">AJ1056+(S$3*S1057+T$3*T1057+U$3*U1057+V$3*V1057+W$3*W1057+X$3*X1057+Y$3*Y1057+Z$3*Z1057+AA$3*AA1057+AB$3*AB1057+AC$3*AC1057)</f>
        <v>0.33333333333333331</v>
      </c>
      <c r="AU1057" s="211">
        <v>0</v>
      </c>
      <c r="AV1057" s="213">
        <v>0</v>
      </c>
      <c r="AW1057" s="213">
        <v>0</v>
      </c>
      <c r="AX1057" s="213">
        <v>20000</v>
      </c>
      <c r="AY1057" s="160">
        <v>2000</v>
      </c>
      <c r="CL1057" s="211">
        <v>2000</v>
      </c>
      <c r="CM1057" s="160">
        <f>CL1057</f>
        <v>2000</v>
      </c>
    </row>
    <row r="1058" spans="2:91" ht="15" customHeight="1">
      <c r="B1058" s="506" t="s">
        <v>144</v>
      </c>
      <c r="C1058" s="127" t="s">
        <v>138</v>
      </c>
      <c r="D1058" s="144" t="s">
        <v>1715</v>
      </c>
      <c r="E1058" s="506">
        <v>27</v>
      </c>
      <c r="F1058" s="12">
        <v>0.4</v>
      </c>
      <c r="G1058" s="94">
        <f>VLOOKUP($D1058,Construction!$B:$E,(COLUMN(Construction_BuildingReward_HeroXP)-COLUMN(Construction_Name_and_Level)+1),FALSE)</f>
        <v>500</v>
      </c>
      <c r="H1058" s="94">
        <f>G1058*(1+F1058)</f>
        <v>700</v>
      </c>
      <c r="J1058" s="95">
        <f>VLOOKUP($D1058,Construction!$B:$F,(COLUMN(Construction_BuildingReward_Power)-COLUMN(Construction_Name_and_Level)+1),FALSE)</f>
        <v>125</v>
      </c>
      <c r="Q1058" s="139">
        <v>3.472222222222222E-3</v>
      </c>
      <c r="R1058" s="289">
        <v>9.7222222222222224E-3</v>
      </c>
      <c r="AF1058" s="141"/>
      <c r="AG1058" s="141"/>
      <c r="AH1058" s="137"/>
      <c r="AI1058" s="484"/>
      <c r="AJ1058" s="137">
        <f t="shared" si="369"/>
        <v>0.33333333333333331</v>
      </c>
      <c r="AK1058" s="339">
        <v>0.56499999999999995</v>
      </c>
      <c r="AL1058" s="138">
        <f>VLOOKUP($D1058,Construction!$B:$C,(COLUMN(Construction_Time)-COLUMN(Construction_Name_and_Level)+1),FALSE)</f>
        <v>7.407407407407407E-2</v>
      </c>
      <c r="AM1058" s="138">
        <f t="shared" ref="AM1058" si="370">AL1058/(1+AK1058)</f>
        <v>4.733167672464797E-2</v>
      </c>
      <c r="AN1058" s="138">
        <f>(S$3*S1058+T$3*T1058+V$3*V1058+W$3*W1058+X$3*X1058+Y$3*Y1058+Z$3*Z1058+AA$3*AA1058+AB$3*AB1058+AC$3*AC1058)*(-1)</f>
        <v>0</v>
      </c>
      <c r="AO1058" s="139">
        <f>IF((AM1058-Q1058-R1058-AN1058)&gt;=0,AM1058-Q1058-R1058-AN1058,0)</f>
        <v>3.4137232280203524E-2</v>
      </c>
      <c r="AU1058" s="94">
        <f>VLOOKUP($D1058,Construction!$B:$J,(COLUMN(Construction_BuildingCost_Stone)-COLUMN(Construction_Name_and_Level)+1),FALSE)*(-1)</f>
        <v>-6696</v>
      </c>
      <c r="AV1058" s="94">
        <f>VLOOKUP($D1058,Construction!$B:$J,(COLUMN(Construction_BuildingCost_Wood)-COLUMN(Construction_Name_and_Level)+1),FALSE)*(-1)</f>
        <v>-6696</v>
      </c>
      <c r="AW1058" s="94">
        <f>VLOOKUP($D1058,Construction!$B:$J,(COLUMN(Construction_BuildingCost_Ore)-COLUMN(Construction_Name_and_Level)+1),FALSE)*(-1)</f>
        <v>-6696</v>
      </c>
      <c r="AX1058" s="94">
        <f>VLOOKUP($D1058,Construction!$B:$J,(COLUMN(Construction_BuildingCost_Food)-COLUMN(Construction_Name_and_Level)+1),FALSE)*(-1)</f>
        <v>0</v>
      </c>
      <c r="BK1058" s="7"/>
      <c r="BL1058" s="19"/>
    </row>
    <row r="1059" spans="2:91" ht="15" customHeight="1">
      <c r="B1059" s="506" t="s">
        <v>195</v>
      </c>
      <c r="C1059" s="127" t="s">
        <v>1750</v>
      </c>
      <c r="D1059" s="144" t="s">
        <v>1860</v>
      </c>
      <c r="E1059" s="506">
        <v>27</v>
      </c>
      <c r="X1059" s="213">
        <v>1</v>
      </c>
      <c r="AF1059" s="141">
        <f>$S$3*$S1059+$T$3*$T1059+$U$3*$U1059+$V$3*$V1059+$W$3*$W1059+$X$3*$X1059+$Y$3*$Y1059+$Z$3*$Z1059+$AA$3*$AA1059+$AB$3*$AB1059+$AC$3*$AC1059</f>
        <v>4.1666666666666664E-2</v>
      </c>
      <c r="AJ1059" s="137">
        <f t="shared" si="369"/>
        <v>0.375</v>
      </c>
    </row>
    <row r="1060" spans="2:91" ht="15" customHeight="1">
      <c r="B1060" s="506" t="s">
        <v>145</v>
      </c>
      <c r="C1060" s="146" t="s">
        <v>151</v>
      </c>
      <c r="D1060" s="145">
        <v>2.0706018518518519E-2</v>
      </c>
      <c r="E1060" s="506">
        <v>27</v>
      </c>
      <c r="M1060" s="135">
        <v>2.0833333333333332E-2</v>
      </c>
      <c r="AF1060" s="141"/>
      <c r="AG1060" s="141"/>
      <c r="AH1060" s="137"/>
      <c r="AI1060" s="484"/>
      <c r="AJ1060" s="137">
        <f t="shared" si="369"/>
        <v>0.375</v>
      </c>
    </row>
    <row r="1061" spans="2:91" ht="15" customHeight="1">
      <c r="B1061" s="506" t="s">
        <v>624</v>
      </c>
      <c r="C1061" s="127" t="s">
        <v>623</v>
      </c>
      <c r="D1061" s="144" t="s">
        <v>1422</v>
      </c>
      <c r="E1061" s="506">
        <v>27</v>
      </c>
      <c r="AF1061" s="141"/>
      <c r="AG1061" s="141"/>
      <c r="AH1061" s="137"/>
      <c r="AI1061" s="484"/>
      <c r="AJ1061" s="137">
        <f t="shared" si="369"/>
        <v>0.375</v>
      </c>
      <c r="AU1061" s="30">
        <v>0</v>
      </c>
      <c r="AV1061" s="30">
        <v>0</v>
      </c>
      <c r="AW1061" s="30">
        <v>0</v>
      </c>
      <c r="AX1061" s="30">
        <v>58059</v>
      </c>
      <c r="AY1061" s="31">
        <v>0</v>
      </c>
    </row>
    <row r="1062" spans="2:91" ht="15" customHeight="1">
      <c r="B1062" s="506" t="s">
        <v>624</v>
      </c>
      <c r="C1062" s="127" t="s">
        <v>1147</v>
      </c>
      <c r="D1062" s="144" t="s">
        <v>1861</v>
      </c>
      <c r="E1062" s="506">
        <v>27</v>
      </c>
      <c r="H1062" s="30">
        <v>0</v>
      </c>
      <c r="J1062" s="31">
        <v>-9158</v>
      </c>
      <c r="AF1062" s="141"/>
      <c r="AG1062" s="141"/>
      <c r="AH1062" s="137"/>
      <c r="AI1062" s="484"/>
      <c r="AJ1062" s="137">
        <f>AJ1061+(S$3*S1062+T$3*T1062+U$3*U1062+V$3*V1062+W$3*W1062+X$3*X1062+Y$3*Y1062+Z$3*Z1062+AA$3*AA1062+AB$3*AB1062+AC$3*AC1062)</f>
        <v>0.375</v>
      </c>
      <c r="AU1062" s="30">
        <v>0</v>
      </c>
      <c r="AV1062" s="30">
        <v>0</v>
      </c>
      <c r="AW1062" s="30">
        <v>0</v>
      </c>
      <c r="AX1062" s="30">
        <v>0</v>
      </c>
      <c r="AY1062" s="31">
        <v>0</v>
      </c>
    </row>
    <row r="1063" spans="2:91" ht="15" customHeight="1">
      <c r="B1063" s="506" t="s">
        <v>144</v>
      </c>
      <c r="C1063" s="127" t="s">
        <v>138</v>
      </c>
      <c r="D1063" s="144" t="s">
        <v>1765</v>
      </c>
      <c r="E1063" s="506">
        <v>27</v>
      </c>
      <c r="F1063" s="12">
        <v>0.4</v>
      </c>
      <c r="G1063" s="94">
        <f>VLOOKUP($D1063,Construction!$B:$E,(COLUMN(Construction_BuildingReward_HeroXP)-COLUMN(Construction_Name_and_Level)+1),FALSE)</f>
        <v>500</v>
      </c>
      <c r="H1063" s="94">
        <f>G1063*(1+F1063)</f>
        <v>700</v>
      </c>
      <c r="J1063" s="95">
        <f>VLOOKUP($D1063,Construction!$B:$F,(COLUMN(Construction_BuildingReward_Power)-COLUMN(Construction_Name_and_Level)+1),FALSE)</f>
        <v>190</v>
      </c>
      <c r="Q1063" s="139">
        <v>3.472222222222222E-3</v>
      </c>
      <c r="R1063" s="289">
        <v>9.7222222222222224E-3</v>
      </c>
      <c r="AF1063" s="141"/>
      <c r="AG1063" s="141"/>
      <c r="AH1063" s="137"/>
      <c r="AI1063" s="484"/>
      <c r="AJ1063" s="137">
        <f t="shared" ref="AJ1063:AJ1126" si="371">AJ1062+(S$3*S1063+T$3*T1063+U$3*U1063+V$3*V1063+W$3*W1063+X$3*X1063+Y$3*Y1063+Z$3*Z1063+AA$3*AA1063+AB$3*AB1063+AC$3*AC1063)</f>
        <v>0.375</v>
      </c>
      <c r="AK1063" s="339">
        <v>0.56499999999999995</v>
      </c>
      <c r="AL1063" s="138">
        <f>VLOOKUP($D1063,Construction!$B:$C,(COLUMN(Construction_Time)-COLUMN(Construction_Name_and_Level)+1),FALSE)</f>
        <v>0.14814814814814814</v>
      </c>
      <c r="AM1063" s="138">
        <f t="shared" ref="AM1063" si="372">AL1063/(1+AK1063)</f>
        <v>9.4663353449295939E-2</v>
      </c>
      <c r="AN1063" s="138">
        <f>(S$3*S1063+T$3*T1063+V$3*V1063+W$3*W1063+X$3*X1063+Y$3*Y1063+Z$3*Z1063+AA$3*AA1063+AB$3*AB1063+AC$3*AC1063)*(-1)</f>
        <v>0</v>
      </c>
      <c r="AO1063" s="139">
        <f>IF((AM1063-Q1063-R1063-AN1063)&gt;=0,AM1063-Q1063-R1063-AN1063,0)</f>
        <v>8.1468909004851486E-2</v>
      </c>
      <c r="AU1063" s="94">
        <f>VLOOKUP($D1063,Construction!$B:$J,(COLUMN(Construction_BuildingCost_Stone)-COLUMN(Construction_Name_and_Level)+1),FALSE)*(-1)</f>
        <v>-13392</v>
      </c>
      <c r="AV1063" s="94">
        <f>VLOOKUP($D1063,Construction!$B:$J,(COLUMN(Construction_BuildingCost_Wood)-COLUMN(Construction_Name_and_Level)+1),FALSE)*(-1)</f>
        <v>-13392</v>
      </c>
      <c r="AW1063" s="94">
        <f>VLOOKUP($D1063,Construction!$B:$J,(COLUMN(Construction_BuildingCost_Ore)-COLUMN(Construction_Name_and_Level)+1),FALSE)*(-1)</f>
        <v>-13392</v>
      </c>
      <c r="AX1063" s="94">
        <f>VLOOKUP($D1063,Construction!$B:$J,(COLUMN(Construction_BuildingCost_Food)-COLUMN(Construction_Name_and_Level)+1),FALSE)*(-1)</f>
        <v>0</v>
      </c>
      <c r="BK1063" s="7"/>
      <c r="BL1063" s="19"/>
    </row>
    <row r="1064" spans="2:91" ht="15" customHeight="1">
      <c r="B1064" s="506" t="s">
        <v>146</v>
      </c>
      <c r="C1064" s="127" t="s">
        <v>138</v>
      </c>
      <c r="D1064" s="144" t="s">
        <v>1862</v>
      </c>
      <c r="E1064" s="506">
        <v>27</v>
      </c>
      <c r="F1064" s="12">
        <v>0.4</v>
      </c>
      <c r="G1064" s="111">
        <f>VLOOKUP($D1064,Research!$C:$F,(COLUMN(Research_ResearchReward_HeroXP)-COLUMN(Research_Name_and_Level)+1),FALSE)</f>
        <v>240000</v>
      </c>
      <c r="H1064" s="111">
        <f t="shared" ref="H1064" si="373">G1064*(1+F1064)</f>
        <v>336000</v>
      </c>
      <c r="J1064" s="115">
        <f>VLOOKUP($D1064,Research!$C:$G,(COLUMN(Research_ResearchReward_Power)-COLUMN(Research_Name_and_Level)+1),FALSE)</f>
        <v>911</v>
      </c>
      <c r="R1064" s="148">
        <v>9.7222222222222224E-3</v>
      </c>
      <c r="AF1064" s="141"/>
      <c r="AG1064" s="141"/>
      <c r="AH1064" s="137"/>
      <c r="AI1064" s="484"/>
      <c r="AJ1064" s="137">
        <f t="shared" si="371"/>
        <v>0.375</v>
      </c>
      <c r="AP1064" s="256">
        <v>0.5</v>
      </c>
      <c r="AQ1064" s="147">
        <f>VLOOKUP($D1064,Research!$C:$D,(COLUMN(Research_Time)-COLUMN(Research_Name_and_Level)+1),FALSE)</f>
        <v>1.6875</v>
      </c>
      <c r="AR1064" s="147">
        <f>AQ1064/(1+AP1064)</f>
        <v>1.125</v>
      </c>
      <c r="AS1064" s="147">
        <f>(S$3*S1064+T$3*T1064+V$3*V1064+W$3*W1064+X$3*X1064+Y$3*Y1064+Z$3*Z1064+AA$3*AA1064+AB$3*AB1064+AC$3*AC1064)*(-1)</f>
        <v>0</v>
      </c>
      <c r="AT1064" s="148">
        <f>IF(AR1064-R1064-AS1064&gt;=0,AR1064-R1064-AS1064,0)</f>
        <v>1.1152777777777778</v>
      </c>
      <c r="AU1064" s="111">
        <f>VLOOKUP($D1064,Research!$C:$L,(COLUMN(Research_ResearchCost_Stone)-COLUMN(Research_Name_and_Level)+1),FALSE)*(-1)</f>
        <v>0</v>
      </c>
      <c r="AV1064" s="111">
        <f>VLOOKUP($D1064,Research!$C:$L,(COLUMN(Research_ResearchCost_Wood)-COLUMN(Research_Name_and_Level)+1),FALSE)*(-1)</f>
        <v>0</v>
      </c>
      <c r="AW1064" s="111">
        <f>VLOOKUP($D1064,Research!$C:$L,(COLUMN(Research_ResearchCost_Ore)-COLUMN(Research_Name_and_Level)+1),FALSE)*(-1)</f>
        <v>0</v>
      </c>
      <c r="AX1064" s="111">
        <f>VLOOKUP($D1064,Research!$C:$L,(COLUMN(Research_ResearchCost_Food)-COLUMN(Research_Name_and_Level)+1),FALSE)*(-1)</f>
        <v>0</v>
      </c>
      <c r="AY1064" s="112">
        <f>VLOOKUP($D1064,Research!$C:$L,(COLUMN(Research_ResearchCost_Silver)-COLUMN(Research_Name_and_Level)+1),FALSE)*(-1)</f>
        <v>-18225</v>
      </c>
      <c r="BK1064" s="7"/>
      <c r="BL1064" s="19"/>
    </row>
    <row r="1065" spans="2:91" ht="15" customHeight="1">
      <c r="B1065" s="506" t="s">
        <v>143</v>
      </c>
      <c r="C1065" s="127" t="s">
        <v>466</v>
      </c>
      <c r="D1065" s="144" t="s">
        <v>1863</v>
      </c>
      <c r="E1065" s="506">
        <v>27</v>
      </c>
      <c r="F1065" s="12">
        <v>0.4</v>
      </c>
      <c r="G1065" s="101">
        <v>15000</v>
      </c>
      <c r="H1065" s="101">
        <f>G1065*(1+F1065)</f>
        <v>21000</v>
      </c>
      <c r="AF1065" s="141"/>
      <c r="AG1065" s="141"/>
      <c r="AH1065" s="137"/>
      <c r="AI1065" s="484"/>
      <c r="AJ1065" s="137">
        <f t="shared" si="371"/>
        <v>0.375</v>
      </c>
      <c r="AU1065" s="101">
        <v>0</v>
      </c>
      <c r="AV1065" s="101">
        <v>0</v>
      </c>
      <c r="AW1065" s="101">
        <v>11250</v>
      </c>
      <c r="AX1065" s="101">
        <v>11250</v>
      </c>
      <c r="AY1065" s="100">
        <v>2250</v>
      </c>
    </row>
    <row r="1066" spans="2:91" ht="15" customHeight="1">
      <c r="B1066" s="506" t="s">
        <v>195</v>
      </c>
      <c r="C1066" s="127" t="s">
        <v>468</v>
      </c>
      <c r="D1066" s="144" t="s">
        <v>1864</v>
      </c>
      <c r="E1066" s="506">
        <v>27</v>
      </c>
      <c r="F1066" s="12">
        <v>0.4</v>
      </c>
      <c r="G1066" s="211">
        <v>4000</v>
      </c>
      <c r="H1066" s="211">
        <f t="shared" ref="H1066" si="374">G1066*(1+F1066)</f>
        <v>5600</v>
      </c>
      <c r="AF1066" s="141"/>
      <c r="AG1066" s="141"/>
      <c r="AH1066" s="137"/>
      <c r="AI1066" s="484"/>
      <c r="AJ1066" s="137">
        <f t="shared" si="371"/>
        <v>0.375</v>
      </c>
      <c r="AU1066" s="211">
        <v>10000</v>
      </c>
      <c r="AV1066" s="213">
        <v>0</v>
      </c>
      <c r="AW1066" s="213">
        <v>0</v>
      </c>
      <c r="AX1066" s="213">
        <v>0</v>
      </c>
      <c r="AY1066" s="160">
        <v>2000</v>
      </c>
      <c r="CL1066" s="211">
        <v>2000</v>
      </c>
      <c r="CM1066" s="160">
        <f>CL1066</f>
        <v>2000</v>
      </c>
    </row>
    <row r="1067" spans="2:91" ht="15" customHeight="1">
      <c r="B1067" s="506" t="s">
        <v>195</v>
      </c>
      <c r="C1067" s="127" t="s">
        <v>468</v>
      </c>
      <c r="D1067" s="144" t="s">
        <v>1865</v>
      </c>
      <c r="E1067" s="506">
        <v>27</v>
      </c>
      <c r="F1067" s="12">
        <v>0.4</v>
      </c>
      <c r="G1067" s="211">
        <v>4000</v>
      </c>
      <c r="H1067" s="211">
        <f t="shared" ref="H1067" si="375">G1067*(1+F1067)</f>
        <v>5600</v>
      </c>
      <c r="AF1067" s="141"/>
      <c r="AG1067" s="141"/>
      <c r="AH1067" s="137"/>
      <c r="AI1067" s="484"/>
      <c r="AJ1067" s="137">
        <f t="shared" si="371"/>
        <v>0.375</v>
      </c>
      <c r="AU1067" s="211">
        <v>0</v>
      </c>
      <c r="AV1067" s="213">
        <v>0</v>
      </c>
      <c r="AW1067" s="213">
        <v>10000</v>
      </c>
      <c r="AX1067" s="213">
        <v>0</v>
      </c>
      <c r="AY1067" s="160">
        <v>2000</v>
      </c>
      <c r="CL1067" s="211">
        <v>2000</v>
      </c>
      <c r="CM1067" s="160">
        <f>CL1067</f>
        <v>2000</v>
      </c>
    </row>
    <row r="1068" spans="2:91" ht="15" customHeight="1">
      <c r="B1068" s="506" t="s">
        <v>195</v>
      </c>
      <c r="C1068" s="127" t="s">
        <v>468</v>
      </c>
      <c r="D1068" s="144" t="s">
        <v>1866</v>
      </c>
      <c r="E1068" s="506">
        <v>27</v>
      </c>
      <c r="F1068" s="12">
        <v>0.4</v>
      </c>
      <c r="G1068" s="211">
        <v>4000</v>
      </c>
      <c r="H1068" s="211">
        <f t="shared" ref="H1068" si="376">G1068*(1+F1068)</f>
        <v>5600</v>
      </c>
      <c r="AF1068" s="141"/>
      <c r="AG1068" s="141"/>
      <c r="AH1068" s="137"/>
      <c r="AI1068" s="484"/>
      <c r="AJ1068" s="137">
        <f t="shared" si="371"/>
        <v>0.375</v>
      </c>
      <c r="AU1068" s="211">
        <v>0</v>
      </c>
      <c r="AV1068" s="213">
        <v>10000</v>
      </c>
      <c r="AW1068" s="213">
        <v>0</v>
      </c>
      <c r="AX1068" s="213">
        <v>10000</v>
      </c>
      <c r="AY1068" s="160">
        <v>0</v>
      </c>
      <c r="CL1068" s="211">
        <v>2000</v>
      </c>
      <c r="CM1068" s="160">
        <f>CL1068</f>
        <v>2000</v>
      </c>
    </row>
    <row r="1069" spans="2:91" ht="15" customHeight="1">
      <c r="B1069" s="506" t="s">
        <v>144</v>
      </c>
      <c r="C1069" s="127" t="s">
        <v>138</v>
      </c>
      <c r="D1069" s="144" t="s">
        <v>1830</v>
      </c>
      <c r="E1069" s="506">
        <v>27</v>
      </c>
      <c r="F1069" s="12">
        <v>0.4</v>
      </c>
      <c r="G1069" s="94">
        <f>VLOOKUP($D1069,Construction!$B:$E,(COLUMN(Construction_BuildingReward_HeroXP)-COLUMN(Construction_Name_and_Level)+1),FALSE)</f>
        <v>500</v>
      </c>
      <c r="H1069" s="94">
        <f>G1069*(1+F1069)</f>
        <v>700</v>
      </c>
      <c r="J1069" s="95">
        <f>VLOOKUP($D1069,Construction!$B:$F,(COLUMN(Construction_BuildingReward_Power)-COLUMN(Construction_Name_and_Level)+1),FALSE)</f>
        <v>285</v>
      </c>
      <c r="Q1069" s="139">
        <v>3.472222222222222E-3</v>
      </c>
      <c r="R1069" s="289">
        <v>9.7222222222222224E-3</v>
      </c>
      <c r="AF1069" s="141"/>
      <c r="AG1069" s="141"/>
      <c r="AH1069" s="137"/>
      <c r="AI1069" s="484"/>
      <c r="AJ1069" s="137">
        <f t="shared" si="371"/>
        <v>0.375</v>
      </c>
      <c r="AK1069" s="339">
        <v>0.56499999999999995</v>
      </c>
      <c r="AL1069" s="138">
        <f>VLOOKUP($D1069,Construction!$B:$C,(COLUMN(Construction_Time)-COLUMN(Construction_Name_and_Level)+1),FALSE)</f>
        <v>0.29629629629629628</v>
      </c>
      <c r="AM1069" s="138">
        <f t="shared" ref="AM1069" si="377">AL1069/(1+AK1069)</f>
        <v>0.18932670689859188</v>
      </c>
      <c r="AN1069" s="138">
        <f>(S$3*S1069+T$3*T1069+V$3*V1069+W$3*W1069+X$3*X1069+Y$3*Y1069+Z$3*Z1069+AA$3*AA1069+AB$3*AB1069+AC$3*AC1069)*(-1)</f>
        <v>0</v>
      </c>
      <c r="AO1069" s="139">
        <f>IF((AM1069-Q1069-R1069-AN1069)&gt;=0,AM1069-Q1069-R1069-AN1069,0)</f>
        <v>0.17613226245414745</v>
      </c>
      <c r="AU1069" s="94">
        <f>VLOOKUP($D1069,Construction!$B:$J,(COLUMN(Construction_BuildingCost_Stone)-COLUMN(Construction_Name_and_Level)+1),FALSE)*(-1)</f>
        <v>-20088</v>
      </c>
      <c r="AV1069" s="94">
        <f>VLOOKUP($D1069,Construction!$B:$J,(COLUMN(Construction_BuildingCost_Wood)-COLUMN(Construction_Name_and_Level)+1),FALSE)*(-1)</f>
        <v>-20088</v>
      </c>
      <c r="AW1069" s="94">
        <f>VLOOKUP($D1069,Construction!$B:$J,(COLUMN(Construction_BuildingCost_Ore)-COLUMN(Construction_Name_and_Level)+1),FALSE)*(-1)</f>
        <v>-20088</v>
      </c>
      <c r="AX1069" s="94">
        <f>VLOOKUP($D1069,Construction!$B:$J,(COLUMN(Construction_BuildingCost_Food)-COLUMN(Construction_Name_and_Level)+1),FALSE)*(-1)</f>
        <v>0</v>
      </c>
      <c r="BK1069" s="7"/>
      <c r="BL1069" s="19"/>
    </row>
    <row r="1070" spans="2:91" ht="15" customHeight="1">
      <c r="B1070" s="506" t="s">
        <v>195</v>
      </c>
      <c r="C1070" s="127" t="s">
        <v>468</v>
      </c>
      <c r="D1070" s="144" t="s">
        <v>1867</v>
      </c>
      <c r="E1070" s="506">
        <v>27</v>
      </c>
      <c r="F1070" s="12">
        <v>0.4</v>
      </c>
      <c r="G1070" s="211">
        <v>15000</v>
      </c>
      <c r="H1070" s="211">
        <f t="shared" ref="H1070" si="378">G1070*(1+F1070)</f>
        <v>21000</v>
      </c>
      <c r="AF1070" s="141"/>
      <c r="AG1070" s="141"/>
      <c r="AH1070" s="137"/>
      <c r="AI1070" s="484"/>
      <c r="AJ1070" s="137">
        <f t="shared" si="371"/>
        <v>0.375</v>
      </c>
      <c r="AU1070" s="211">
        <v>0</v>
      </c>
      <c r="AV1070" s="213">
        <v>0</v>
      </c>
      <c r="AW1070" s="213">
        <v>0</v>
      </c>
      <c r="AX1070" s="213">
        <v>18750</v>
      </c>
      <c r="AY1070" s="160">
        <v>3750</v>
      </c>
      <c r="CL1070" s="211">
        <v>7500</v>
      </c>
      <c r="CM1070" s="160">
        <f>CL1070</f>
        <v>7500</v>
      </c>
    </row>
    <row r="1071" spans="2:91" ht="15" customHeight="1">
      <c r="B1071" s="506" t="s">
        <v>143</v>
      </c>
      <c r="C1071" s="127" t="s">
        <v>466</v>
      </c>
      <c r="D1071" s="144" t="s">
        <v>1868</v>
      </c>
      <c r="E1071" s="506">
        <v>27</v>
      </c>
      <c r="F1071" s="12">
        <v>0.4</v>
      </c>
      <c r="G1071" s="101">
        <v>15000</v>
      </c>
      <c r="H1071" s="101">
        <f>G1071*(1+F1071)</f>
        <v>21000</v>
      </c>
      <c r="AF1071" s="141"/>
      <c r="AG1071" s="141"/>
      <c r="AH1071" s="137"/>
      <c r="AI1071" s="484"/>
      <c r="AJ1071" s="137">
        <f t="shared" si="371"/>
        <v>0.375</v>
      </c>
      <c r="AU1071" s="101">
        <v>15000</v>
      </c>
      <c r="AV1071" s="101">
        <v>15000</v>
      </c>
      <c r="AW1071" s="101">
        <v>15000</v>
      </c>
      <c r="AX1071" s="101">
        <v>0</v>
      </c>
      <c r="AY1071" s="100">
        <v>0</v>
      </c>
    </row>
    <row r="1072" spans="2:91" ht="15" customHeight="1">
      <c r="B1072" s="506" t="s">
        <v>148</v>
      </c>
      <c r="E1072" s="506">
        <v>27</v>
      </c>
      <c r="X1072" s="250">
        <v>1</v>
      </c>
      <c r="AF1072" s="141">
        <f>$S$3*$S1072+$T$3*$T1072+$U$3*$U1072+$V$3*$V1072+$W$3*$W1072+$X$3*$X1072+$Y$3*$Y1072+$Z$3*$Z1072+$AA$3*$AA1072+$AB$3*$AB1072+$AC$3*$AC1072</f>
        <v>4.1666666666666664E-2</v>
      </c>
      <c r="AJ1072" s="137">
        <f t="shared" si="371"/>
        <v>0.41666666666666669</v>
      </c>
    </row>
    <row r="1073" spans="2:91" ht="15" customHeight="1">
      <c r="B1073" s="506" t="s">
        <v>144</v>
      </c>
      <c r="C1073" s="127" t="s">
        <v>138</v>
      </c>
      <c r="D1073" s="144" t="s">
        <v>1829</v>
      </c>
      <c r="E1073" s="506">
        <v>27</v>
      </c>
      <c r="F1073" s="12">
        <v>0.4</v>
      </c>
      <c r="G1073" s="94">
        <f>VLOOKUP($D1073,Construction!$B:$E,(COLUMN(Construction_BuildingReward_HeroXP)-COLUMN(Construction_Name_and_Level)+1),FALSE)</f>
        <v>500</v>
      </c>
      <c r="H1073" s="94">
        <f>G1073*(1+F1073)</f>
        <v>700</v>
      </c>
      <c r="J1073" s="95">
        <f>VLOOKUP($D1073,Construction!$B:$F,(COLUMN(Construction_BuildingReward_Power)-COLUMN(Construction_Name_and_Level)+1),FALSE)</f>
        <v>285</v>
      </c>
      <c r="Q1073" s="139">
        <v>3.472222222222222E-3</v>
      </c>
      <c r="R1073" s="289">
        <v>9.7222222222222224E-3</v>
      </c>
      <c r="AF1073" s="141"/>
      <c r="AG1073" s="141"/>
      <c r="AH1073" s="137"/>
      <c r="AI1073" s="484"/>
      <c r="AJ1073" s="137">
        <f t="shared" si="371"/>
        <v>0.41666666666666669</v>
      </c>
      <c r="AK1073" s="339">
        <v>0.56499999999999995</v>
      </c>
      <c r="AL1073" s="138">
        <f>VLOOKUP($D1073,Construction!$B:$C,(COLUMN(Construction_Time)-COLUMN(Construction_Name_and_Level)+1),FALSE)</f>
        <v>0.4148148148148148</v>
      </c>
      <c r="AM1073" s="138">
        <f t="shared" ref="AM1073" si="379">AL1073/(1+AK1073)</f>
        <v>0.26505738965802866</v>
      </c>
      <c r="AN1073" s="138">
        <f>(S$3*S1073+T$3*T1073+V$3*V1073+W$3*W1073+X$3*X1073+Y$3*Y1073+Z$3*Z1073+AA$3*AA1073+AB$3*AB1073+AC$3*AC1073)*(-1)</f>
        <v>0</v>
      </c>
      <c r="AO1073" s="139">
        <f>IF((AM1073-Q1073-R1073-AN1073)&gt;=0,AM1073-Q1073-R1073-AN1073,0)</f>
        <v>0.25186294521358421</v>
      </c>
      <c r="AU1073" s="94">
        <f>VLOOKUP($D1073,Construction!$B:$J,(COLUMN(Construction_BuildingCost_Stone)-COLUMN(Construction_Name_and_Level)+1),FALSE)*(-1)</f>
        <v>0</v>
      </c>
      <c r="AV1073" s="94">
        <f>VLOOKUP($D1073,Construction!$B:$J,(COLUMN(Construction_BuildingCost_Wood)-COLUMN(Construction_Name_and_Level)+1),FALSE)*(-1)</f>
        <v>-20088</v>
      </c>
      <c r="AW1073" s="94">
        <f>VLOOKUP($D1073,Construction!$B:$J,(COLUMN(Construction_BuildingCost_Ore)-COLUMN(Construction_Name_and_Level)+1),FALSE)*(-1)</f>
        <v>-20088</v>
      </c>
      <c r="AX1073" s="94">
        <f>VLOOKUP($D1073,Construction!$B:$J,(COLUMN(Construction_BuildingCost_Food)-COLUMN(Construction_Name_and_Level)+1),FALSE)*(-1)</f>
        <v>-20088</v>
      </c>
    </row>
    <row r="1074" spans="2:91" ht="15" customHeight="1">
      <c r="B1074" s="506" t="s">
        <v>146</v>
      </c>
      <c r="C1074" s="127" t="s">
        <v>138</v>
      </c>
      <c r="D1074" s="144" t="s">
        <v>1869</v>
      </c>
      <c r="E1074" s="506">
        <v>27</v>
      </c>
      <c r="F1074" s="12">
        <v>0.4</v>
      </c>
      <c r="G1074" s="111">
        <f>VLOOKUP($D1074,Research!$C:$F,(COLUMN(Research_ResearchReward_HeroXP)-COLUMN(Research_Name_and_Level)+1),FALSE)</f>
        <v>48000</v>
      </c>
      <c r="H1074" s="111">
        <f t="shared" ref="H1074" si="380">G1074*(1+F1074)</f>
        <v>67200</v>
      </c>
      <c r="J1074" s="115">
        <f>VLOOKUP($D1074,Research!$C:$G,(COLUMN(Research_ResearchReward_Power)-COLUMN(Research_Name_and_Level)+1),FALSE)</f>
        <v>2500</v>
      </c>
      <c r="R1074" s="148">
        <v>9.7222222222222224E-3</v>
      </c>
      <c r="AF1074" s="141"/>
      <c r="AG1074" s="141"/>
      <c r="AH1074" s="137"/>
      <c r="AI1074" s="484"/>
      <c r="AJ1074" s="137">
        <f t="shared" si="371"/>
        <v>0.41666666666666669</v>
      </c>
      <c r="AP1074" s="256">
        <v>0.5</v>
      </c>
      <c r="AQ1074" s="147">
        <f>VLOOKUP($D1074,Research!$C:$D,(COLUMN(Research_Time)-COLUMN(Research_Name_and_Level)+1),FALSE)</f>
        <v>0.5625</v>
      </c>
      <c r="AR1074" s="147">
        <f>AQ1074/(1+AP1074)</f>
        <v>0.375</v>
      </c>
      <c r="AS1074" s="147">
        <f>(S$3*S1074+T$3*T1074+V$3*V1074+W$3*W1074+X$3*X1074+Y$3*Y1074+Z$3*Z1074+AA$3*AA1074+AB$3*AB1074+AC$3*AC1074)*(-1)</f>
        <v>0</v>
      </c>
      <c r="AT1074" s="148">
        <f>IF(AR1074-R1074-AS1074&gt;=0,AR1074-R1074-AS1074,0)</f>
        <v>0.36527777777777776</v>
      </c>
      <c r="AU1074" s="111">
        <f>VLOOKUP($D1074,Research!$C:$L,(COLUMN(Research_ResearchCost_Stone)-COLUMN(Research_Name_and_Level)+1),FALSE)*(-1)</f>
        <v>-2400</v>
      </c>
      <c r="AV1074" s="111">
        <f>VLOOKUP($D1074,Research!$C:$L,(COLUMN(Research_ResearchCost_Wood)-COLUMN(Research_Name_and_Level)+1),FALSE)*(-1)</f>
        <v>-4000</v>
      </c>
      <c r="AW1074" s="111">
        <f>VLOOKUP($D1074,Research!$C:$L,(COLUMN(Research_ResearchCost_Ore)-COLUMN(Research_Name_and_Level)+1),FALSE)*(-1)</f>
        <v>-200</v>
      </c>
      <c r="AX1074" s="111">
        <f>VLOOKUP($D1074,Research!$C:$L,(COLUMN(Research_ResearchCost_Food)-COLUMN(Research_Name_and_Level)+1),FALSE)*(-1)</f>
        <v>-3200</v>
      </c>
      <c r="AY1074" s="112">
        <f>VLOOKUP($D1074,Research!$C:$L,(COLUMN(Research_ResearchCost_Silver)-COLUMN(Research_Name_and_Level)+1),FALSE)*(-1)</f>
        <v>-50000</v>
      </c>
      <c r="BK1074" s="7"/>
      <c r="BL1074" s="19"/>
    </row>
    <row r="1075" spans="2:91" ht="15" customHeight="1">
      <c r="B1075" s="506" t="s">
        <v>195</v>
      </c>
      <c r="C1075" s="127" t="s">
        <v>1750</v>
      </c>
      <c r="D1075" s="144" t="s">
        <v>1752</v>
      </c>
      <c r="E1075" s="506">
        <v>27</v>
      </c>
      <c r="AF1075" s="141"/>
      <c r="AJ1075" s="137">
        <f t="shared" si="371"/>
        <v>0.41666666666666669</v>
      </c>
      <c r="AW1075" s="211">
        <v>10000</v>
      </c>
    </row>
    <row r="1076" spans="2:91" ht="15" customHeight="1">
      <c r="B1076" s="506" t="s">
        <v>195</v>
      </c>
      <c r="C1076" s="127" t="s">
        <v>1750</v>
      </c>
      <c r="D1076" s="144" t="s">
        <v>1752</v>
      </c>
      <c r="E1076" s="506">
        <v>27</v>
      </c>
      <c r="AF1076" s="141"/>
      <c r="AJ1076" s="137">
        <f t="shared" si="371"/>
        <v>0.41666666666666669</v>
      </c>
      <c r="AY1076" s="160">
        <v>3000</v>
      </c>
    </row>
    <row r="1077" spans="2:91" ht="15" customHeight="1">
      <c r="B1077" s="506" t="s">
        <v>195</v>
      </c>
      <c r="C1077" s="127" t="s">
        <v>1750</v>
      </c>
      <c r="D1077" s="144" t="s">
        <v>1752</v>
      </c>
      <c r="E1077" s="506">
        <v>27</v>
      </c>
      <c r="W1077" s="213">
        <v>1</v>
      </c>
      <c r="AF1077" s="141">
        <f>$S$3*$S1077+$T$3*$T1077+$U$3*$U1077+$V$3*$V1077+$W$3*$W1077+$X$3*$X1077+$Y$3*$Y1077+$Z$3*$Z1077+$AA$3*$AA1077+$AB$3*$AB1077+$AC$3*$AC1077</f>
        <v>1.0416666666666666E-2</v>
      </c>
      <c r="AJ1077" s="137">
        <f t="shared" si="371"/>
        <v>0.42708333333333337</v>
      </c>
    </row>
    <row r="1078" spans="2:91" ht="15" customHeight="1">
      <c r="B1078" s="506" t="s">
        <v>195</v>
      </c>
      <c r="C1078" s="127" t="s">
        <v>468</v>
      </c>
      <c r="D1078" s="144" t="s">
        <v>1870</v>
      </c>
      <c r="E1078" s="506">
        <v>27</v>
      </c>
      <c r="F1078" s="12">
        <v>0.4</v>
      </c>
      <c r="G1078" s="211">
        <v>4000</v>
      </c>
      <c r="H1078" s="211">
        <f t="shared" ref="H1078" si="381">G1078*(1+F1078)</f>
        <v>5600</v>
      </c>
      <c r="AF1078" s="141"/>
      <c r="AG1078" s="141"/>
      <c r="AH1078" s="137"/>
      <c r="AI1078" s="484"/>
      <c r="AJ1078" s="137">
        <f t="shared" si="371"/>
        <v>0.42708333333333337</v>
      </c>
      <c r="AU1078" s="211">
        <v>10000</v>
      </c>
      <c r="AV1078" s="213">
        <v>0</v>
      </c>
      <c r="AW1078" s="213">
        <v>0</v>
      </c>
      <c r="AX1078" s="213">
        <v>0</v>
      </c>
      <c r="AY1078" s="160">
        <v>2000</v>
      </c>
      <c r="CL1078" s="211">
        <v>2000</v>
      </c>
      <c r="CM1078" s="160">
        <f>CL1078</f>
        <v>2000</v>
      </c>
    </row>
    <row r="1079" spans="2:91" ht="15" customHeight="1">
      <c r="B1079" s="506" t="s">
        <v>624</v>
      </c>
      <c r="C1079" s="127" t="s">
        <v>1174</v>
      </c>
      <c r="D1079" s="144" t="s">
        <v>1871</v>
      </c>
      <c r="E1079" s="506">
        <v>27</v>
      </c>
      <c r="H1079" s="30">
        <v>-726600</v>
      </c>
      <c r="AF1079" s="141"/>
      <c r="AG1079" s="141"/>
      <c r="AH1079" s="137"/>
      <c r="AI1079" s="484"/>
      <c r="AJ1079" s="137">
        <f t="shared" si="371"/>
        <v>0.42708333333333337</v>
      </c>
    </row>
    <row r="1080" spans="2:91" ht="15" customHeight="1">
      <c r="B1080" s="506" t="s">
        <v>146</v>
      </c>
      <c r="C1080" s="127" t="s">
        <v>138</v>
      </c>
      <c r="D1080" s="144" t="s">
        <v>1872</v>
      </c>
      <c r="E1080" s="506">
        <v>27</v>
      </c>
      <c r="F1080" s="12">
        <v>0.4</v>
      </c>
      <c r="G1080" s="111">
        <f>VLOOKUP($D1080,Research!$C:$F,(COLUMN(Research_ResearchReward_HeroXP)-COLUMN(Research_Name_and_Level)+1),FALSE)</f>
        <v>60000</v>
      </c>
      <c r="H1080" s="111">
        <f t="shared" ref="H1080" si="382">G1080*(1+F1080)</f>
        <v>84000</v>
      </c>
      <c r="J1080" s="115">
        <f>VLOOKUP($D1080,Research!$C:$G,(COLUMN(Research_ResearchReward_Power)-COLUMN(Research_Name_and_Level)+1),FALSE)</f>
        <v>5250</v>
      </c>
      <c r="R1080" s="148">
        <v>9.7222222222222224E-3</v>
      </c>
      <c r="AF1080" s="141"/>
      <c r="AG1080" s="141"/>
      <c r="AH1080" s="137"/>
      <c r="AI1080" s="484"/>
      <c r="AJ1080" s="137">
        <f t="shared" si="371"/>
        <v>0.42708333333333337</v>
      </c>
      <c r="AP1080" s="256">
        <v>0.5</v>
      </c>
      <c r="AQ1080" s="147">
        <f>VLOOKUP($D1080,Research!$C:$D,(COLUMN(Research_Time)-COLUMN(Research_Name_and_Level)+1),FALSE)</f>
        <v>0.9375</v>
      </c>
      <c r="AR1080" s="147">
        <f>AQ1080/(1+AP1080)</f>
        <v>0.625</v>
      </c>
      <c r="AS1080" s="147">
        <f>(S$3*S1080+T$3*T1080+V$3*V1080+W$3*W1080+X$3*X1080+Y$3*Y1080+Z$3*Z1080+AA$3*AA1080+AB$3*AB1080+AC$3*AC1080)*(-1)</f>
        <v>0</v>
      </c>
      <c r="AT1080" s="148">
        <f>IF(AR1080-R1080-AS1080&gt;=0,AR1080-R1080-AS1080,0)</f>
        <v>0.61527777777777781</v>
      </c>
      <c r="AU1080" s="111">
        <f>VLOOKUP($D1080,Research!$C:$L,(COLUMN(Research_ResearchCost_Stone)-COLUMN(Research_Name_and_Level)+1),FALSE)*(-1)</f>
        <v>-400</v>
      </c>
      <c r="AV1080" s="111">
        <f>VLOOKUP($D1080,Research!$C:$L,(COLUMN(Research_ResearchCost_Wood)-COLUMN(Research_Name_and_Level)+1),FALSE)*(-1)</f>
        <v>-6400</v>
      </c>
      <c r="AW1080" s="111">
        <f>VLOOKUP($D1080,Research!$C:$L,(COLUMN(Research_ResearchCost_Ore)-COLUMN(Research_Name_and_Level)+1),FALSE)*(-1)</f>
        <v>-8000</v>
      </c>
      <c r="AX1080" s="111">
        <f>VLOOKUP($D1080,Research!$C:$L,(COLUMN(Research_ResearchCost_Food)-COLUMN(Research_Name_and_Level)+1),FALSE)*(-1)</f>
        <v>-4800</v>
      </c>
      <c r="AY1080" s="112">
        <f>VLOOKUP($D1080,Research!$C:$L,(COLUMN(Research_ResearchCost_Silver)-COLUMN(Research_Name_and_Level)+1),FALSE)*(-1)</f>
        <v>-105000</v>
      </c>
      <c r="BK1080" s="7"/>
      <c r="BL1080" s="19"/>
    </row>
    <row r="1081" spans="2:91" ht="15" customHeight="1">
      <c r="B1081" s="506" t="s">
        <v>144</v>
      </c>
      <c r="C1081" s="127" t="s">
        <v>138</v>
      </c>
      <c r="D1081" s="144" t="s">
        <v>1873</v>
      </c>
      <c r="E1081" s="506">
        <v>27</v>
      </c>
      <c r="F1081" s="12">
        <v>0.4</v>
      </c>
      <c r="G1081" s="94">
        <f>VLOOKUP($D1081,Construction!$B:$E,(COLUMN(Construction_BuildingReward_HeroXP)-COLUMN(Construction_Name_and_Level)+1),FALSE)</f>
        <v>500</v>
      </c>
      <c r="H1081" s="94">
        <f>G1081*(1+F1081)</f>
        <v>700</v>
      </c>
      <c r="J1081" s="95">
        <f>VLOOKUP($D1081,Construction!$B:$F,(COLUMN(Construction_BuildingReward_Power)-COLUMN(Construction_Name_and_Level)+1),FALSE)</f>
        <v>715</v>
      </c>
      <c r="Q1081" s="139">
        <v>3.472222222222222E-3</v>
      </c>
      <c r="R1081" s="289">
        <v>9.7222222222222224E-3</v>
      </c>
      <c r="AF1081" s="141"/>
      <c r="AG1081" s="141"/>
      <c r="AH1081" s="137"/>
      <c r="AI1081" s="484"/>
      <c r="AJ1081" s="137">
        <f t="shared" si="371"/>
        <v>0.42708333333333337</v>
      </c>
      <c r="AK1081" s="339">
        <v>0.56499999999999995</v>
      </c>
      <c r="AL1081" s="138">
        <f>VLOOKUP($D1081,Construction!$B:$C,(COLUMN(Construction_Time)-COLUMN(Construction_Name_and_Level)+1),FALSE)</f>
        <v>0.29629629629629628</v>
      </c>
      <c r="AM1081" s="138">
        <f t="shared" ref="AM1081" si="383">AL1081/(1+AK1081)</f>
        <v>0.18932670689859188</v>
      </c>
      <c r="AN1081" s="138">
        <f>(S$3*S1081+T$3*T1081+V$3*V1081+W$3*W1081+X$3*X1081+Y$3*Y1081+Z$3*Z1081+AA$3*AA1081+AB$3*AB1081+AC$3*AC1081)*(-1)</f>
        <v>0</v>
      </c>
      <c r="AO1081" s="139">
        <f>IF((AM1081-Q1081-R1081-AN1081)&gt;=0,AM1081-Q1081-R1081-AN1081,0)</f>
        <v>0.17613226245414745</v>
      </c>
      <c r="AU1081" s="94">
        <f>VLOOKUP($D1081,Construction!$B:$J,(COLUMN(Construction_BuildingCost_Stone)-COLUMN(Construction_Name_and_Level)+1),FALSE)*(-1)</f>
        <v>-40128</v>
      </c>
      <c r="AV1081" s="94">
        <f>VLOOKUP($D1081,Construction!$B:$J,(COLUMN(Construction_BuildingCost_Wood)-COLUMN(Construction_Name_and_Level)+1),FALSE)*(-1)</f>
        <v>-40128</v>
      </c>
      <c r="AW1081" s="94">
        <f>VLOOKUP($D1081,Construction!$B:$J,(COLUMN(Construction_BuildingCost_Ore)-COLUMN(Construction_Name_and_Level)+1),FALSE)*(-1)</f>
        <v>-10080</v>
      </c>
      <c r="AX1081" s="94">
        <f>VLOOKUP($D1081,Construction!$B:$J,(COLUMN(Construction_BuildingCost_Food)-COLUMN(Construction_Name_and_Level)+1),FALSE)*(-1)</f>
        <v>-100248</v>
      </c>
      <c r="BK1081" s="7"/>
      <c r="BL1081" s="19"/>
    </row>
    <row r="1082" spans="2:91" ht="15" customHeight="1">
      <c r="B1082" s="506" t="s">
        <v>195</v>
      </c>
      <c r="C1082" s="127" t="s">
        <v>1750</v>
      </c>
      <c r="D1082" s="144" t="s">
        <v>1751</v>
      </c>
      <c r="E1082" s="506">
        <v>27</v>
      </c>
      <c r="N1082" s="213">
        <v>80</v>
      </c>
      <c r="AF1082" s="141"/>
      <c r="AJ1082" s="137">
        <f t="shared" si="371"/>
        <v>0.42708333333333337</v>
      </c>
    </row>
    <row r="1083" spans="2:91" ht="15" customHeight="1">
      <c r="B1083" s="506" t="s">
        <v>146</v>
      </c>
      <c r="C1083" s="127" t="s">
        <v>138</v>
      </c>
      <c r="D1083" s="144" t="s">
        <v>1874</v>
      </c>
      <c r="E1083" s="506">
        <v>27</v>
      </c>
      <c r="F1083" s="12">
        <v>0.4</v>
      </c>
      <c r="G1083" s="111">
        <f>VLOOKUP($D1083,Research!$C:$F,(COLUMN(Research_ResearchReward_HeroXP)-COLUMN(Research_Name_and_Level)+1),FALSE)</f>
        <v>48000</v>
      </c>
      <c r="H1083" s="111">
        <f t="shared" ref="H1083" si="384">G1083*(1+F1083)</f>
        <v>67200</v>
      </c>
      <c r="J1083" s="115">
        <f>VLOOKUP($D1083,Research!$C:$G,(COLUMN(Research_ResearchReward_Power)-COLUMN(Research_Name_and_Level)+1),FALSE)</f>
        <v>1850</v>
      </c>
      <c r="R1083" s="148">
        <v>9.7222222222222224E-3</v>
      </c>
      <c r="AF1083" s="141"/>
      <c r="AG1083" s="141"/>
      <c r="AH1083" s="137"/>
      <c r="AI1083" s="484"/>
      <c r="AJ1083" s="137">
        <f t="shared" si="371"/>
        <v>0.42708333333333337</v>
      </c>
      <c r="AP1083" s="256">
        <v>0.5</v>
      </c>
      <c r="AQ1083" s="147">
        <f>VLOOKUP($D1083,Research!$C:$D,(COLUMN(Research_Time)-COLUMN(Research_Name_and_Level)+1),FALSE)</f>
        <v>0.375</v>
      </c>
      <c r="AR1083" s="147">
        <f>AQ1083/(1+AP1083)</f>
        <v>0.25</v>
      </c>
      <c r="AS1083" s="147">
        <f>(S$3*S1083+T$3*T1083+V$3*V1083+W$3*W1083+X$3*X1083+Y$3*Y1083+Z$3*Z1083+AA$3*AA1083+AB$3*AB1083+AC$3*AC1083)*(-1)</f>
        <v>0</v>
      </c>
      <c r="AT1083" s="148">
        <f>IF(AR1083-R1083-AS1083&gt;=0,AR1083-R1083-AS1083,0)</f>
        <v>0.24027777777777778</v>
      </c>
      <c r="AU1083" s="111">
        <f>VLOOKUP($D1083,Research!$C:$L,(COLUMN(Research_ResearchCost_Stone)-COLUMN(Research_Name_and_Level)+1),FALSE)*(-1)</f>
        <v>-2400</v>
      </c>
      <c r="AV1083" s="111">
        <f>VLOOKUP($D1083,Research!$C:$L,(COLUMN(Research_ResearchCost_Wood)-COLUMN(Research_Name_and_Level)+1),FALSE)*(-1)</f>
        <v>-200</v>
      </c>
      <c r="AW1083" s="111">
        <f>VLOOKUP($D1083,Research!$C:$L,(COLUMN(Research_ResearchCost_Ore)-COLUMN(Research_Name_and_Level)+1),FALSE)*(-1)</f>
        <v>-3200</v>
      </c>
      <c r="AX1083" s="111">
        <f>VLOOKUP($D1083,Research!$C:$L,(COLUMN(Research_ResearchCost_Food)-COLUMN(Research_Name_and_Level)+1),FALSE)*(-1)</f>
        <v>-4000</v>
      </c>
      <c r="AY1083" s="112">
        <f>VLOOKUP($D1083,Research!$C:$L,(COLUMN(Research_ResearchCost_Silver)-COLUMN(Research_Name_and_Level)+1),FALSE)*(-1)</f>
        <v>-37000</v>
      </c>
      <c r="BK1083" s="7"/>
      <c r="BL1083" s="19"/>
    </row>
    <row r="1084" spans="2:91" ht="15" customHeight="1">
      <c r="B1084" s="506" t="s">
        <v>144</v>
      </c>
      <c r="C1084" s="127" t="s">
        <v>138</v>
      </c>
      <c r="D1084" s="144" t="s">
        <v>1715</v>
      </c>
      <c r="E1084" s="506">
        <v>27</v>
      </c>
      <c r="F1084" s="12">
        <v>0.4</v>
      </c>
      <c r="G1084" s="94">
        <f>VLOOKUP($D1084,Construction!$B:$E,(COLUMN(Construction_BuildingReward_HeroXP)-COLUMN(Construction_Name_and_Level)+1),FALSE)</f>
        <v>500</v>
      </c>
      <c r="H1084" s="94">
        <f>G1084*(1+F1084)</f>
        <v>700</v>
      </c>
      <c r="J1084" s="95">
        <f>VLOOKUP($D1084,Construction!$B:$F,(COLUMN(Construction_BuildingReward_Power)-COLUMN(Construction_Name_and_Level)+1),FALSE)</f>
        <v>125</v>
      </c>
      <c r="Q1084" s="139">
        <v>3.472222222222222E-3</v>
      </c>
      <c r="R1084" s="289">
        <v>9.7222222222222224E-3</v>
      </c>
      <c r="AF1084" s="141"/>
      <c r="AG1084" s="141"/>
      <c r="AH1084" s="137"/>
      <c r="AI1084" s="484"/>
      <c r="AJ1084" s="137">
        <f t="shared" si="371"/>
        <v>0.42708333333333337</v>
      </c>
      <c r="AK1084" s="339">
        <v>0.56499999999999995</v>
      </c>
      <c r="AL1084" s="138">
        <f>VLOOKUP($D1084,Construction!$B:$C,(COLUMN(Construction_Time)-COLUMN(Construction_Name_and_Level)+1),FALSE)</f>
        <v>7.407407407407407E-2</v>
      </c>
      <c r="AM1084" s="138">
        <f t="shared" ref="AM1084" si="385">AL1084/(1+AK1084)</f>
        <v>4.733167672464797E-2</v>
      </c>
      <c r="AN1084" s="138">
        <f>(S$3*S1084+T$3*T1084+V$3*V1084+W$3*W1084+X$3*X1084+Y$3*Y1084+Z$3*Z1084+AA$3*AA1084+AB$3*AB1084+AC$3*AC1084)*(-1)</f>
        <v>0</v>
      </c>
      <c r="AO1084" s="139">
        <f>IF((AM1084-Q1084-R1084-AN1084)&gt;=0,AM1084-Q1084-R1084-AN1084,0)</f>
        <v>3.4137232280203524E-2</v>
      </c>
      <c r="AU1084" s="94">
        <f>VLOOKUP($D1084,Construction!$B:$J,(COLUMN(Construction_BuildingCost_Stone)-COLUMN(Construction_Name_and_Level)+1),FALSE)*(-1)</f>
        <v>-6696</v>
      </c>
      <c r="AV1084" s="94">
        <f>VLOOKUP($D1084,Construction!$B:$J,(COLUMN(Construction_BuildingCost_Wood)-COLUMN(Construction_Name_and_Level)+1),FALSE)*(-1)</f>
        <v>-6696</v>
      </c>
      <c r="AW1084" s="94">
        <f>VLOOKUP($D1084,Construction!$B:$J,(COLUMN(Construction_BuildingCost_Ore)-COLUMN(Construction_Name_and_Level)+1),FALSE)*(-1)</f>
        <v>-6696</v>
      </c>
      <c r="AX1084" s="94">
        <f>VLOOKUP($D1084,Construction!$B:$J,(COLUMN(Construction_BuildingCost_Food)-COLUMN(Construction_Name_and_Level)+1),FALSE)*(-1)</f>
        <v>0</v>
      </c>
      <c r="BK1084" s="7"/>
      <c r="BL1084" s="19"/>
    </row>
    <row r="1085" spans="2:91" ht="15" customHeight="1">
      <c r="B1085" s="506" t="s">
        <v>144</v>
      </c>
      <c r="C1085" s="127" t="s">
        <v>138</v>
      </c>
      <c r="D1085" s="144" t="s">
        <v>1875</v>
      </c>
      <c r="E1085" s="506">
        <v>27</v>
      </c>
      <c r="F1085" s="12">
        <v>0.4</v>
      </c>
      <c r="G1085" s="94">
        <f>VLOOKUP($D1085,Construction!$B:$E,(COLUMN(Construction_BuildingReward_HeroXP)-COLUMN(Construction_Name_and_Level)+1),FALSE)</f>
        <v>5000</v>
      </c>
      <c r="H1085" s="94">
        <f>G1085*(1+F1085)</f>
        <v>7000</v>
      </c>
      <c r="J1085" s="95">
        <f>VLOOKUP($D1085,Construction!$B:$F,(COLUMN(Construction_BuildingReward_Power)-COLUMN(Construction_Name_and_Level)+1),FALSE)</f>
        <v>1710</v>
      </c>
      <c r="Q1085" s="139">
        <v>3.472222222222222E-3</v>
      </c>
      <c r="R1085" s="289">
        <v>9.7222222222222224E-3</v>
      </c>
      <c r="AF1085" s="141"/>
      <c r="AG1085" s="141"/>
      <c r="AH1085" s="137"/>
      <c r="AI1085" s="484"/>
      <c r="AJ1085" s="137">
        <f t="shared" si="371"/>
        <v>0.42708333333333337</v>
      </c>
      <c r="AK1085" s="339">
        <v>0.56499999999999995</v>
      </c>
      <c r="AL1085" s="138">
        <f>VLOOKUP($D1085,Construction!$B:$C,(COLUMN(Construction_Time)-COLUMN(Construction_Name_and_Level)+1),FALSE)</f>
        <v>0.62222222222222223</v>
      </c>
      <c r="AM1085" s="138">
        <f t="shared" ref="AM1085" si="386">AL1085/(1+AK1085)</f>
        <v>0.39758608448704297</v>
      </c>
      <c r="AN1085" s="138">
        <f>(S$3*S1085+T$3*T1085+V$3*V1085+W$3*W1085+X$3*X1085+Y$3*Y1085+Z$3*Z1085+AA$3*AA1085+AB$3*AB1085+AC$3*AC1085)*(-1)</f>
        <v>0</v>
      </c>
      <c r="AO1085" s="139">
        <f>IF((AM1085-Q1085-R1085-AN1085)&gt;=0,AM1085-Q1085-R1085-AN1085,0)</f>
        <v>0.38439164004259851</v>
      </c>
      <c r="AU1085" s="94">
        <f>VLOOKUP($D1085,Construction!$B:$J,(COLUMN(Construction_BuildingCost_Stone)-COLUMN(Construction_Name_and_Level)+1),FALSE)*(-1)</f>
        <v>-251952</v>
      </c>
      <c r="AV1085" s="94">
        <f>VLOOKUP($D1085,Construction!$B:$J,(COLUMN(Construction_BuildingCost_Wood)-COLUMN(Construction_Name_and_Level)+1),FALSE)*(-1)</f>
        <v>-201576</v>
      </c>
      <c r="AW1085" s="94">
        <f>VLOOKUP($D1085,Construction!$B:$J,(COLUMN(Construction_BuildingCost_Ore)-COLUMN(Construction_Name_and_Level)+1),FALSE)*(-1)</f>
        <v>-75600</v>
      </c>
      <c r="AX1085" s="94">
        <f>VLOOKUP($D1085,Construction!$B:$J,(COLUMN(Construction_BuildingCost_Food)-COLUMN(Construction_Name_and_Level)+1),FALSE)*(-1)</f>
        <v>-125976</v>
      </c>
      <c r="BK1085" s="7"/>
      <c r="BL1085" s="19"/>
    </row>
    <row r="1086" spans="2:91" ht="15" customHeight="1">
      <c r="B1086" s="506" t="s">
        <v>146</v>
      </c>
      <c r="C1086" s="127" t="s">
        <v>138</v>
      </c>
      <c r="D1086" s="144" t="s">
        <v>1876</v>
      </c>
      <c r="E1086" s="506">
        <v>27</v>
      </c>
      <c r="F1086" s="12">
        <v>0.4</v>
      </c>
      <c r="G1086" s="111">
        <f>VLOOKUP($D1086,Research!$C:$F,(COLUMN(Research_ResearchReward_HeroXP)-COLUMN(Research_Name_and_Level)+1),FALSE)</f>
        <v>60000</v>
      </c>
      <c r="H1086" s="111">
        <f t="shared" ref="H1086" si="387">G1086*(1+F1086)</f>
        <v>84000</v>
      </c>
      <c r="J1086" s="115">
        <f>VLOOKUP($D1086,Research!$C:$G,(COLUMN(Research_ResearchReward_Power)-COLUMN(Research_Name_and_Level)+1),FALSE)</f>
        <v>4600</v>
      </c>
      <c r="R1086" s="148">
        <v>9.7222222222222224E-3</v>
      </c>
      <c r="AF1086" s="141"/>
      <c r="AG1086" s="141"/>
      <c r="AH1086" s="137"/>
      <c r="AI1086" s="484"/>
      <c r="AJ1086" s="137">
        <f t="shared" si="371"/>
        <v>0.42708333333333337</v>
      </c>
      <c r="AP1086" s="256">
        <v>0.5</v>
      </c>
      <c r="AQ1086" s="147">
        <f>VLOOKUP($D1086,Research!$C:$D,(COLUMN(Research_Time)-COLUMN(Research_Name_and_Level)+1),FALSE)</f>
        <v>0.5625</v>
      </c>
      <c r="AR1086" s="147">
        <f>AQ1086/(1+AP1086)</f>
        <v>0.375</v>
      </c>
      <c r="AS1086" s="147">
        <f>(S$3*S1086+T$3*T1086+V$3*V1086+W$3*W1086+X$3*X1086+Y$3*Y1086+Z$3*Z1086+AA$3*AA1086+AB$3*AB1086+AC$3*AC1086)*(-1)</f>
        <v>0</v>
      </c>
      <c r="AT1086" s="148">
        <f>IF(AR1086-R1086-AS1086&gt;=0,AR1086-R1086-AS1086,0)</f>
        <v>0.36527777777777776</v>
      </c>
      <c r="AU1086" s="111">
        <f>VLOOKUP($D1086,Research!$C:$L,(COLUMN(Research_ResearchCost_Stone)-COLUMN(Research_Name_and_Level)+1),FALSE)*(-1)</f>
        <v>-4800</v>
      </c>
      <c r="AV1086" s="111">
        <f>VLOOKUP($D1086,Research!$C:$L,(COLUMN(Research_ResearchCost_Wood)-COLUMN(Research_Name_and_Level)+1),FALSE)*(-1)</f>
        <v>-8000</v>
      </c>
      <c r="AW1086" s="111">
        <f>VLOOKUP($D1086,Research!$C:$L,(COLUMN(Research_ResearchCost_Ore)-COLUMN(Research_Name_and_Level)+1),FALSE)*(-1)</f>
        <v>-6400</v>
      </c>
      <c r="AX1086" s="111">
        <f>VLOOKUP($D1086,Research!$C:$L,(COLUMN(Research_ResearchCost_Food)-COLUMN(Research_Name_and_Level)+1),FALSE)*(-1)</f>
        <v>-400</v>
      </c>
      <c r="AY1086" s="112">
        <f>VLOOKUP($D1086,Research!$C:$L,(COLUMN(Research_ResearchCost_Silver)-COLUMN(Research_Name_and_Level)+1),FALSE)*(-1)</f>
        <v>-92000</v>
      </c>
      <c r="BK1086" s="7"/>
      <c r="BL1086" s="19"/>
    </row>
    <row r="1087" spans="2:91" ht="15" customHeight="1">
      <c r="B1087" s="506" t="s">
        <v>624</v>
      </c>
      <c r="C1087" s="127" t="s">
        <v>1147</v>
      </c>
      <c r="D1087" s="144" t="s">
        <v>1820</v>
      </c>
      <c r="E1087" s="506">
        <v>27</v>
      </c>
      <c r="H1087" s="30">
        <v>0</v>
      </c>
      <c r="J1087" s="31">
        <v>-42200</v>
      </c>
      <c r="AF1087" s="141"/>
      <c r="AG1087" s="141"/>
      <c r="AH1087" s="137"/>
      <c r="AI1087" s="484"/>
      <c r="AJ1087" s="137">
        <f t="shared" si="371"/>
        <v>0.42708333333333337</v>
      </c>
      <c r="AU1087" s="30">
        <v>0</v>
      </c>
      <c r="AV1087" s="30">
        <v>0</v>
      </c>
      <c r="AW1087" s="30">
        <v>0</v>
      </c>
      <c r="AX1087" s="30">
        <v>0</v>
      </c>
      <c r="AY1087" s="31">
        <v>-216300</v>
      </c>
    </row>
    <row r="1088" spans="2:91" ht="15" customHeight="1">
      <c r="B1088" s="506" t="s">
        <v>624</v>
      </c>
      <c r="C1088" s="127" t="s">
        <v>1148</v>
      </c>
      <c r="D1088" s="144" t="s">
        <v>1877</v>
      </c>
      <c r="E1088" s="506">
        <v>27</v>
      </c>
      <c r="H1088" s="30">
        <v>0</v>
      </c>
      <c r="J1088" s="31">
        <v>42200</v>
      </c>
      <c r="AF1088" s="141"/>
      <c r="AG1088" s="141"/>
      <c r="AH1088" s="137"/>
      <c r="AI1088" s="484"/>
      <c r="AJ1088" s="137">
        <f t="shared" si="371"/>
        <v>0.42708333333333337</v>
      </c>
      <c r="AU1088" s="30">
        <v>-93480</v>
      </c>
      <c r="AV1088" s="30">
        <v>-221300</v>
      </c>
      <c r="AW1088" s="30">
        <v>-127400</v>
      </c>
      <c r="AX1088" s="30">
        <v>-246000</v>
      </c>
      <c r="AY1088" s="31">
        <v>-8800</v>
      </c>
    </row>
    <row r="1089" spans="1:97" ht="15" customHeight="1">
      <c r="B1089" s="506" t="s">
        <v>144</v>
      </c>
      <c r="C1089" s="127" t="s">
        <v>138</v>
      </c>
      <c r="D1089" s="144" t="s">
        <v>1878</v>
      </c>
      <c r="E1089" s="506">
        <v>27</v>
      </c>
      <c r="F1089" s="12">
        <v>0.4</v>
      </c>
      <c r="G1089" s="94">
        <f>VLOOKUP($D1089,Construction!$B:$E,(COLUMN(Construction_BuildingReward_HeroXP)-COLUMN(Construction_Name_and_Level)+1),FALSE)</f>
        <v>500</v>
      </c>
      <c r="H1089" s="94">
        <f>G1089*(1+F1089)</f>
        <v>700</v>
      </c>
      <c r="J1089" s="95">
        <f>VLOOKUP($D1089,Construction!$B:$F,(COLUMN(Construction_BuildingReward_Power)-COLUMN(Construction_Name_and_Level)+1),FALSE)</f>
        <v>475</v>
      </c>
      <c r="Q1089" s="139">
        <v>3.472222222222222E-3</v>
      </c>
      <c r="R1089" s="289">
        <v>9.7222222222222224E-3</v>
      </c>
      <c r="AF1089" s="141"/>
      <c r="AG1089" s="141"/>
      <c r="AH1089" s="137"/>
      <c r="AI1089" s="484"/>
      <c r="AJ1089" s="137">
        <f t="shared" si="371"/>
        <v>0.42708333333333337</v>
      </c>
      <c r="AK1089" s="339">
        <v>0.56499999999999995</v>
      </c>
      <c r="AL1089" s="138">
        <f>VLOOKUP($D1089,Construction!$B:$C,(COLUMN(Construction_Time)-COLUMN(Construction_Name_and_Level)+1),FALSE)</f>
        <v>0.29629629629629628</v>
      </c>
      <c r="AM1089" s="138">
        <f t="shared" ref="AM1089" si="388">AL1089/(1+AK1089)</f>
        <v>0.18932670689859188</v>
      </c>
      <c r="AN1089" s="138">
        <f>(S$3*S1089+T$3*T1089+V$3*V1089+W$3*W1089+X$3*X1089+Y$3*Y1089+Z$3*Z1089+AA$3*AA1089+AB$3*AB1089+AC$3*AC1089)*(-1)</f>
        <v>0</v>
      </c>
      <c r="AO1089" s="139">
        <f>IF((AM1089-Q1089-R1089-AN1089)&gt;=0,AM1089-Q1089-R1089-AN1089,0)</f>
        <v>0.17613226245414745</v>
      </c>
      <c r="AU1089" s="94">
        <f>VLOOKUP($D1089,Construction!$B:$J,(COLUMN(Construction_BuildingCost_Stone)-COLUMN(Construction_Name_and_Level)+1),FALSE)*(-1)</f>
        <v>-33616</v>
      </c>
      <c r="AV1089" s="94">
        <f>VLOOKUP($D1089,Construction!$B:$J,(COLUMN(Construction_BuildingCost_Wood)-COLUMN(Construction_Name_and_Level)+1),FALSE)*(-1)</f>
        <v>-16832</v>
      </c>
      <c r="AW1089" s="94">
        <f>VLOOKUP($D1089,Construction!$B:$J,(COLUMN(Construction_BuildingCost_Ore)-COLUMN(Construction_Name_and_Level)+1),FALSE)*(-1)</f>
        <v>-16832</v>
      </c>
      <c r="AX1089" s="94">
        <f>VLOOKUP($D1089,Construction!$B:$J,(COLUMN(Construction_BuildingCost_Food)-COLUMN(Construction_Name_and_Level)+1),FALSE)*(-1)</f>
        <v>-50400</v>
      </c>
      <c r="BK1089" s="7"/>
      <c r="BL1089" s="19"/>
    </row>
    <row r="1090" spans="1:97" ht="15" customHeight="1">
      <c r="B1090" s="506" t="s">
        <v>143</v>
      </c>
      <c r="C1090" s="127" t="s">
        <v>142</v>
      </c>
      <c r="D1090" s="144" t="s">
        <v>1878</v>
      </c>
      <c r="E1090" s="506">
        <v>27</v>
      </c>
      <c r="F1090" s="222">
        <v>0.45</v>
      </c>
      <c r="G1090" s="101">
        <f>VLOOKUP($D1090,Construction!$B:$L,(COLUMN(Construction_QuestReward_HeroXP)-COLUMN(Construction_Name_and_Level)+1),FALSE)</f>
        <v>30000</v>
      </c>
      <c r="H1090" s="101">
        <f>G1090*(1+F1090)</f>
        <v>43500</v>
      </c>
      <c r="J1090" s="100">
        <f>VLOOKUP($D1090,Construction!$B:$L,(COLUMN(Construction_QuestReward_Power)-COLUMN(Construction_Name_and_Level)+1),FALSE)</f>
        <v>250</v>
      </c>
      <c r="AF1090" s="141"/>
      <c r="AG1090" s="141"/>
      <c r="AH1090" s="137"/>
      <c r="AI1090" s="484"/>
      <c r="AJ1090" s="137">
        <f t="shared" si="371"/>
        <v>0.42708333333333337</v>
      </c>
      <c r="AU1090" s="101">
        <f>VLOOKUP($D1090,Construction!$B:$Q,(COLUMN(Construction_QuestReward_Stone)-COLUMN(Construction_Name_and_Level)+1),FALSE)</f>
        <v>14800</v>
      </c>
      <c r="AV1090" s="101">
        <f>VLOOKUP($D1090,Construction!$B:$Q,(COLUMN(Construction_QuestReward_Wood)-COLUMN(Construction_Name_and_Level)+1),FALSE)</f>
        <v>14800</v>
      </c>
      <c r="AW1090" s="101">
        <f>VLOOKUP($D1090,Construction!$B:$Q,(COLUMN(Construction_QuestReward_Ore)-COLUMN(Construction_Name_and_Level)+1),FALSE)</f>
        <v>3700</v>
      </c>
      <c r="AX1090" s="101">
        <f>VLOOKUP($D1090,Construction!$B:$Q,(COLUMN(Construction_QuestReward_Food)-COLUMN(Construction_Name_and_Level)+1),FALSE)</f>
        <v>37100</v>
      </c>
      <c r="AY1090" s="100">
        <f>VLOOKUP($D1090,Construction!$B:$Q,(COLUMN(Construction_QuestReward_Silver)-COLUMN(Construction_Name_and_Level)+1),FALSE)</f>
        <v>450</v>
      </c>
    </row>
    <row r="1091" spans="1:97" ht="15" customHeight="1">
      <c r="B1091" s="506" t="s">
        <v>624</v>
      </c>
      <c r="C1091" s="127" t="s">
        <v>623</v>
      </c>
      <c r="D1091" s="144" t="s">
        <v>1422</v>
      </c>
      <c r="E1091" s="506">
        <v>27</v>
      </c>
      <c r="AF1091" s="141"/>
      <c r="AG1091" s="141"/>
      <c r="AH1091" s="137"/>
      <c r="AI1091" s="484"/>
      <c r="AJ1091" s="137">
        <f t="shared" si="371"/>
        <v>0.42708333333333337</v>
      </c>
      <c r="AU1091" s="30">
        <v>0</v>
      </c>
      <c r="AV1091" s="30">
        <v>0</v>
      </c>
      <c r="AW1091" s="30">
        <v>0</v>
      </c>
      <c r="AX1091" s="30">
        <v>58059</v>
      </c>
      <c r="AY1091" s="31">
        <v>0</v>
      </c>
    </row>
    <row r="1092" spans="1:97" ht="15" customHeight="1">
      <c r="B1092" s="506" t="s">
        <v>624</v>
      </c>
      <c r="C1092" s="127" t="s">
        <v>623</v>
      </c>
      <c r="D1092" s="144" t="s">
        <v>1422</v>
      </c>
      <c r="E1092" s="506">
        <v>27</v>
      </c>
      <c r="AF1092" s="141"/>
      <c r="AG1092" s="141"/>
      <c r="AH1092" s="137"/>
      <c r="AI1092" s="484"/>
      <c r="AJ1092" s="137">
        <f t="shared" si="371"/>
        <v>0.42708333333333337</v>
      </c>
      <c r="AU1092" s="30">
        <v>0</v>
      </c>
      <c r="AV1092" s="30">
        <v>0</v>
      </c>
      <c r="AW1092" s="30">
        <v>0</v>
      </c>
      <c r="AX1092" s="30">
        <v>58059</v>
      </c>
      <c r="AY1092" s="31">
        <v>0</v>
      </c>
    </row>
    <row r="1093" spans="1:97" ht="15" customHeight="1">
      <c r="B1093" s="506" t="s">
        <v>624</v>
      </c>
      <c r="C1093" s="127" t="s">
        <v>623</v>
      </c>
      <c r="D1093" s="144" t="s">
        <v>1422</v>
      </c>
      <c r="E1093" s="506">
        <v>27</v>
      </c>
      <c r="AF1093" s="141"/>
      <c r="AG1093" s="141"/>
      <c r="AH1093" s="137"/>
      <c r="AI1093" s="484"/>
      <c r="AJ1093" s="137">
        <f t="shared" si="371"/>
        <v>0.42708333333333337</v>
      </c>
      <c r="AU1093" s="30">
        <v>0</v>
      </c>
      <c r="AV1093" s="30">
        <v>0</v>
      </c>
      <c r="AW1093" s="30">
        <v>0</v>
      </c>
      <c r="AX1093" s="30">
        <v>58059</v>
      </c>
      <c r="AY1093" s="31">
        <v>0</v>
      </c>
    </row>
    <row r="1094" spans="1:97" ht="15" customHeight="1">
      <c r="B1094" s="506" t="s">
        <v>148</v>
      </c>
      <c r="E1094" s="506">
        <v>27</v>
      </c>
      <c r="N1094" s="250">
        <v>160</v>
      </c>
      <c r="AF1094" s="141"/>
      <c r="AJ1094" s="137">
        <f t="shared" si="371"/>
        <v>0.42708333333333337</v>
      </c>
    </row>
    <row r="1095" spans="1:97" ht="15" customHeight="1">
      <c r="B1095" s="506" t="s">
        <v>143</v>
      </c>
      <c r="C1095" s="127" t="s">
        <v>466</v>
      </c>
      <c r="D1095" s="144" t="s">
        <v>1879</v>
      </c>
      <c r="E1095" s="506">
        <v>27</v>
      </c>
      <c r="F1095" s="12">
        <v>0.45</v>
      </c>
      <c r="G1095" s="101">
        <v>50000</v>
      </c>
      <c r="H1095" s="101">
        <f>G1095*(1+F1095)</f>
        <v>72500</v>
      </c>
      <c r="AF1095" s="141"/>
      <c r="AG1095" s="141"/>
      <c r="AH1095" s="137"/>
      <c r="AI1095" s="484"/>
      <c r="AJ1095" s="137">
        <f t="shared" si="371"/>
        <v>0.42708333333333337</v>
      </c>
      <c r="AU1095" s="101">
        <v>0</v>
      </c>
      <c r="AV1095" s="101">
        <v>0</v>
      </c>
      <c r="AW1095" s="101">
        <v>125000</v>
      </c>
      <c r="AX1095" s="101">
        <v>0</v>
      </c>
      <c r="AY1095" s="100">
        <v>0</v>
      </c>
    </row>
    <row r="1096" spans="1:97" ht="15" customHeight="1">
      <c r="B1096" s="126" t="s">
        <v>1457</v>
      </c>
      <c r="C1096" s="127" t="s">
        <v>147</v>
      </c>
      <c r="D1096" s="144" t="s">
        <v>1880</v>
      </c>
      <c r="E1096" s="506">
        <v>28</v>
      </c>
      <c r="I1096" s="5">
        <v>4</v>
      </c>
      <c r="J1096" s="5">
        <v>6488</v>
      </c>
      <c r="Q1096" s="149"/>
      <c r="AF1096" s="141"/>
      <c r="AG1096" s="141"/>
      <c r="AH1096" s="137"/>
      <c r="AI1096" s="484"/>
      <c r="AJ1096" s="137">
        <f t="shared" si="371"/>
        <v>0.42708333333333337</v>
      </c>
      <c r="AX1096" s="11"/>
    </row>
    <row r="1097" spans="1:97" s="420" customFormat="1" ht="15" customHeight="1">
      <c r="A1097" s="487"/>
      <c r="B1097" s="411" t="s">
        <v>171</v>
      </c>
      <c r="C1097" s="412"/>
      <c r="D1097" s="412" t="s">
        <v>1881</v>
      </c>
      <c r="E1097" s="411">
        <v>28</v>
      </c>
      <c r="F1097" s="413">
        <v>0.45</v>
      </c>
      <c r="G1097" s="414" t="s">
        <v>1453</v>
      </c>
      <c r="H1097" s="414">
        <v>9024001</v>
      </c>
      <c r="I1097" s="415">
        <v>80</v>
      </c>
      <c r="J1097" s="415">
        <v>261298</v>
      </c>
      <c r="K1097" s="414">
        <v>6</v>
      </c>
      <c r="L1097" s="414">
        <v>6140</v>
      </c>
      <c r="M1097" s="416">
        <v>0.10416666666666667</v>
      </c>
      <c r="N1097" s="417">
        <v>260</v>
      </c>
      <c r="O1097" s="109">
        <f>SUMIF($B$4:$B1096,"&lt;&gt;"&amp;$CS$13,O$4:O1096)</f>
        <v>-950</v>
      </c>
      <c r="P1097" s="108">
        <f>SUMIF($B$4:$B1096,"&lt;&gt;"&amp;$CS$13,N$4:N1096)</f>
        <v>1210</v>
      </c>
      <c r="Q1097" s="416">
        <v>3.472222222222222E-3</v>
      </c>
      <c r="R1097" s="416">
        <v>9.7222222222222224E-3</v>
      </c>
      <c r="S1097" s="414">
        <v>0</v>
      </c>
      <c r="T1097" s="414">
        <v>0</v>
      </c>
      <c r="U1097" s="414">
        <v>0</v>
      </c>
      <c r="V1097" s="414">
        <v>0</v>
      </c>
      <c r="W1097" s="417">
        <v>1</v>
      </c>
      <c r="X1097" s="417">
        <v>2</v>
      </c>
      <c r="Y1097" s="417">
        <v>0</v>
      </c>
      <c r="Z1097" s="417">
        <v>1</v>
      </c>
      <c r="AA1097" s="417">
        <v>0</v>
      </c>
      <c r="AB1097" s="417">
        <v>0</v>
      </c>
      <c r="AC1097" s="417">
        <v>0</v>
      </c>
      <c r="AD1097" s="417">
        <v>0</v>
      </c>
      <c r="AE1097" s="415">
        <v>0</v>
      </c>
      <c r="AF1097" s="419">
        <f>SUMIF($B$4:$B1096,"&lt;&gt;"&amp;$CS$13,AF$4:AF1096)</f>
        <v>1.7451388888888895</v>
      </c>
      <c r="AG1097" s="419">
        <f>SUMIF($B$4:$B1096,"&lt;&gt;"&amp;$CS$13,AG$4:AG1096)</f>
        <v>0</v>
      </c>
      <c r="AH1097" s="416">
        <f>AF1097+AG1097</f>
        <v>1.7451388888888895</v>
      </c>
      <c r="AI1097" s="485">
        <f>SUMIF($B$4:$B1096,"&lt;&gt;"&amp;$CS$13,AI$4:AI1096)</f>
        <v>1.3180555555555555</v>
      </c>
      <c r="AJ1097" s="416">
        <f>S$3*S1097+T$3*T1097+U$3*U1097+V$3*V1097+W$3*W1097+X$3*X1097+Y$3*Y1097+Z$3*Z1097+AA$3*AA1097+AB$3*AB1097+AC$3*AC1097</f>
        <v>0.42708333333333331</v>
      </c>
      <c r="AK1097" s="418">
        <v>0.56499999999999995</v>
      </c>
      <c r="AL1097" s="419" t="s">
        <v>1453</v>
      </c>
      <c r="AM1097" s="419" t="s">
        <v>1453</v>
      </c>
      <c r="AN1097" s="419" t="s">
        <v>1453</v>
      </c>
      <c r="AO1097" s="416" t="s">
        <v>1453</v>
      </c>
      <c r="AP1097" s="284">
        <v>0.5</v>
      </c>
      <c r="AQ1097" s="419" t="s">
        <v>1453</v>
      </c>
      <c r="AR1097" s="419" t="s">
        <v>1453</v>
      </c>
      <c r="AS1097" s="419" t="s">
        <v>1453</v>
      </c>
      <c r="AT1097" s="416" t="s">
        <v>1453</v>
      </c>
      <c r="AU1097" s="414">
        <v>444900</v>
      </c>
      <c r="AV1097" s="414">
        <v>430500</v>
      </c>
      <c r="AW1097" s="414">
        <v>466900</v>
      </c>
      <c r="AX1097" s="417">
        <v>118600</v>
      </c>
      <c r="AY1097" s="415">
        <v>74720</v>
      </c>
      <c r="AZ1097" s="414">
        <v>12183</v>
      </c>
      <c r="BA1097" s="414">
        <v>12464</v>
      </c>
      <c r="BB1097" s="414">
        <v>6855</v>
      </c>
      <c r="BC1097" s="414">
        <v>15988</v>
      </c>
      <c r="BD1097" s="415">
        <v>4840</v>
      </c>
      <c r="BE1097" s="415">
        <v>-11940</v>
      </c>
      <c r="BF1097" s="414">
        <v>539000</v>
      </c>
      <c r="BG1097" s="414">
        <v>583000</v>
      </c>
      <c r="BH1097" s="414">
        <v>417000</v>
      </c>
      <c r="BI1097" s="414">
        <v>745000</v>
      </c>
      <c r="BJ1097" s="415">
        <v>329000</v>
      </c>
      <c r="BK1097" s="414">
        <v>10</v>
      </c>
      <c r="BL1097" s="415">
        <v>10</v>
      </c>
      <c r="BM1097" s="415">
        <v>10</v>
      </c>
      <c r="BN1097" s="414">
        <v>10</v>
      </c>
      <c r="BO1097" s="415">
        <v>6</v>
      </c>
      <c r="BP1097" s="414">
        <v>10</v>
      </c>
      <c r="BQ1097" s="415">
        <v>6</v>
      </c>
      <c r="BR1097" s="414">
        <v>10</v>
      </c>
      <c r="BS1097" s="415">
        <v>6</v>
      </c>
      <c r="BT1097" s="414">
        <v>10</v>
      </c>
      <c r="BU1097" s="415">
        <v>6</v>
      </c>
      <c r="BV1097" s="414">
        <v>10</v>
      </c>
      <c r="BW1097" s="415">
        <v>6</v>
      </c>
      <c r="BX1097" s="414">
        <v>9</v>
      </c>
      <c r="BY1097" s="415">
        <v>5</v>
      </c>
      <c r="BZ1097" s="414">
        <v>6</v>
      </c>
      <c r="CA1097" s="415">
        <v>4</v>
      </c>
      <c r="CB1097" s="415">
        <v>6</v>
      </c>
      <c r="CC1097" s="415">
        <v>10</v>
      </c>
      <c r="CD1097" s="415">
        <v>10</v>
      </c>
      <c r="CE1097" s="414">
        <v>10</v>
      </c>
      <c r="CF1097" s="414">
        <v>5</v>
      </c>
      <c r="CG1097" s="415">
        <v>1</v>
      </c>
      <c r="CH1097" s="414">
        <v>9</v>
      </c>
      <c r="CI1097" s="414">
        <v>0</v>
      </c>
      <c r="CJ1097" s="415">
        <v>0</v>
      </c>
      <c r="CK1097" s="415">
        <v>1</v>
      </c>
      <c r="CL1097" s="414">
        <v>125900</v>
      </c>
      <c r="CM1097" s="415" t="s">
        <v>1453</v>
      </c>
      <c r="CN1097" s="415" t="s">
        <v>1208</v>
      </c>
      <c r="CS1097" s="421"/>
    </row>
    <row r="1098" spans="1:97" ht="15" customHeight="1">
      <c r="B1098" s="506" t="s">
        <v>146</v>
      </c>
      <c r="C1098" s="127" t="s">
        <v>138</v>
      </c>
      <c r="D1098" s="144" t="s">
        <v>1882</v>
      </c>
      <c r="E1098" s="506">
        <v>28</v>
      </c>
      <c r="F1098" s="12">
        <v>0.45</v>
      </c>
      <c r="G1098" s="111">
        <f>VLOOKUP($D1098,Research!$C:$F,(COLUMN(Research_ResearchReward_HeroXP)-COLUMN(Research_Name_and_Level)+1),FALSE)</f>
        <v>90000</v>
      </c>
      <c r="H1098" s="111">
        <f t="shared" ref="H1098" si="389">G1098*(1+F1098)</f>
        <v>130500</v>
      </c>
      <c r="J1098" s="115">
        <f>VLOOKUP($D1098,Research!$C:$G,(COLUMN(Research_ResearchReward_Power)-COLUMN(Research_Name_and_Level)+1),FALSE)</f>
        <v>1875</v>
      </c>
      <c r="R1098" s="148">
        <v>9.7222222222222224E-3</v>
      </c>
      <c r="AF1098" s="141"/>
      <c r="AG1098" s="141"/>
      <c r="AH1098" s="137"/>
      <c r="AI1098" s="484"/>
      <c r="AJ1098" s="137">
        <f t="shared" si="371"/>
        <v>0.42708333333333331</v>
      </c>
      <c r="AP1098" s="256">
        <v>0.5</v>
      </c>
      <c r="AQ1098" s="147">
        <f>VLOOKUP($D1098,Research!$C:$D,(COLUMN(Research_Time)-COLUMN(Research_Name_and_Level)+1),FALSE)</f>
        <v>0.60300925925925919</v>
      </c>
      <c r="AR1098" s="147">
        <f>AQ1098/(1+AP1098)</f>
        <v>0.40200617283950613</v>
      </c>
      <c r="AS1098" s="147">
        <f>(S$3*S1098+T$3*T1098+V$3*V1098+W$3*W1098+X$3*X1098+Y$3*Y1098+Z$3*Z1098+AA$3*AA1098+AB$3*AB1098+AC$3*AC1098)*(-1)</f>
        <v>0</v>
      </c>
      <c r="AT1098" s="148">
        <f>IF(AR1098-R1098-AS1098&gt;=0,AR1098-R1098-AS1098,0)</f>
        <v>0.39228395061728388</v>
      </c>
      <c r="AU1098" s="111">
        <f>VLOOKUP($D1098,Research!$C:$L,(COLUMN(Research_ResearchCost_Stone)-COLUMN(Research_Name_and_Level)+1),FALSE)*(-1)</f>
        <v>0</v>
      </c>
      <c r="AV1098" s="111">
        <f>VLOOKUP($D1098,Research!$C:$L,(COLUMN(Research_ResearchCost_Wood)-COLUMN(Research_Name_and_Level)+1),FALSE)*(-1)</f>
        <v>-20000</v>
      </c>
      <c r="AW1098" s="111">
        <f>VLOOKUP($D1098,Research!$C:$L,(COLUMN(Research_ResearchCost_Ore)-COLUMN(Research_Name_and_Level)+1),FALSE)*(-1)</f>
        <v>-15000</v>
      </c>
      <c r="AX1098" s="111">
        <f>VLOOKUP($D1098,Research!$C:$L,(COLUMN(Research_ResearchCost_Food)-COLUMN(Research_Name_and_Level)+1),FALSE)*(-1)</f>
        <v>-20000</v>
      </c>
      <c r="AY1098" s="112">
        <f>VLOOKUP($D1098,Research!$C:$L,(COLUMN(Research_ResearchCost_Silver)-COLUMN(Research_Name_and_Level)+1),FALSE)*(-1)</f>
        <v>-37500</v>
      </c>
      <c r="BK1098" s="7"/>
      <c r="BL1098" s="19"/>
    </row>
    <row r="1099" spans="1:97" ht="15" customHeight="1">
      <c r="B1099" s="506" t="s">
        <v>146</v>
      </c>
      <c r="C1099" s="127" t="s">
        <v>138</v>
      </c>
      <c r="D1099" s="144" t="s">
        <v>1883</v>
      </c>
      <c r="E1099" s="506">
        <v>28</v>
      </c>
      <c r="F1099" s="12">
        <v>0.45</v>
      </c>
      <c r="G1099" s="111">
        <f>VLOOKUP($D1099,Research!$C:$F,(COLUMN(Research_ResearchReward_HeroXP)-COLUMN(Research_Name_and_Level)+1),FALSE)</f>
        <v>90000</v>
      </c>
      <c r="H1099" s="111">
        <f t="shared" ref="H1099" si="390">G1099*(1+F1099)</f>
        <v>130500</v>
      </c>
      <c r="J1099" s="115">
        <f>VLOOKUP($D1099,Research!$C:$G,(COLUMN(Research_ResearchReward_Power)-COLUMN(Research_Name_and_Level)+1),FALSE)</f>
        <v>1875</v>
      </c>
      <c r="R1099" s="148">
        <v>9.7222222222222224E-3</v>
      </c>
      <c r="AF1099" s="141"/>
      <c r="AG1099" s="141"/>
      <c r="AH1099" s="137"/>
      <c r="AI1099" s="484"/>
      <c r="AJ1099" s="137">
        <f t="shared" si="371"/>
        <v>0.42708333333333331</v>
      </c>
      <c r="AP1099" s="256">
        <v>0.5</v>
      </c>
      <c r="AQ1099" s="147">
        <f>VLOOKUP($D1099,Research!$C:$D,(COLUMN(Research_Time)-COLUMN(Research_Name_and_Level)+1),FALSE)</f>
        <v>0.60300925925925919</v>
      </c>
      <c r="AR1099" s="147">
        <f>AQ1099/(1+AP1099)</f>
        <v>0.40200617283950613</v>
      </c>
      <c r="AS1099" s="147">
        <f>(S$3*S1099+T$3*T1099+V$3*V1099+W$3*W1099+X$3*X1099+Y$3*Y1099+Z$3*Z1099+AA$3*AA1099+AB$3*AB1099+AC$3*AC1099)*(-1)</f>
        <v>0</v>
      </c>
      <c r="AT1099" s="148">
        <f>IF(AR1099-R1099-AS1099&gt;=0,AR1099-R1099-AS1099,0)</f>
        <v>0.39228395061728388</v>
      </c>
      <c r="AU1099" s="111">
        <f>VLOOKUP($D1099,Research!$C:$L,(COLUMN(Research_ResearchCost_Stone)-COLUMN(Research_Name_and_Level)+1),FALSE)*(-1)</f>
        <v>-20000</v>
      </c>
      <c r="AV1099" s="111">
        <f>VLOOKUP($D1099,Research!$C:$L,(COLUMN(Research_ResearchCost_Wood)-COLUMN(Research_Name_and_Level)+1),FALSE)*(-1)</f>
        <v>0</v>
      </c>
      <c r="AW1099" s="111">
        <f>VLOOKUP($D1099,Research!$C:$L,(COLUMN(Research_ResearchCost_Ore)-COLUMN(Research_Name_and_Level)+1),FALSE)*(-1)</f>
        <v>-15000</v>
      </c>
      <c r="AX1099" s="111">
        <f>VLOOKUP($D1099,Research!$C:$L,(COLUMN(Research_ResearchCost_Food)-COLUMN(Research_Name_and_Level)+1),FALSE)*(-1)</f>
        <v>-20000</v>
      </c>
      <c r="AY1099" s="112">
        <f>VLOOKUP($D1099,Research!$C:$L,(COLUMN(Research_ResearchCost_Silver)-COLUMN(Research_Name_and_Level)+1),FALSE)*(-1)</f>
        <v>-37500</v>
      </c>
      <c r="BK1099" s="7"/>
      <c r="BL1099" s="19"/>
    </row>
    <row r="1100" spans="1:97" ht="15" customHeight="1">
      <c r="B1100" s="506" t="s">
        <v>146</v>
      </c>
      <c r="C1100" s="127" t="s">
        <v>138</v>
      </c>
      <c r="D1100" s="144" t="s">
        <v>1884</v>
      </c>
      <c r="E1100" s="506">
        <v>28</v>
      </c>
      <c r="F1100" s="12">
        <v>0.45</v>
      </c>
      <c r="G1100" s="111">
        <f>VLOOKUP($D1100,Research!$C:$F,(COLUMN(Research_ResearchReward_HeroXP)-COLUMN(Research_Name_and_Level)+1),FALSE)</f>
        <v>90000</v>
      </c>
      <c r="H1100" s="111">
        <f t="shared" ref="H1100" si="391">G1100*(1+F1100)</f>
        <v>130500</v>
      </c>
      <c r="J1100" s="115">
        <f>VLOOKUP($D1100,Research!$C:$G,(COLUMN(Research_ResearchReward_Power)-COLUMN(Research_Name_and_Level)+1),FALSE)</f>
        <v>1875</v>
      </c>
      <c r="R1100" s="148">
        <v>9.7222222222222224E-3</v>
      </c>
      <c r="AF1100" s="141"/>
      <c r="AG1100" s="141"/>
      <c r="AH1100" s="137"/>
      <c r="AI1100" s="484"/>
      <c r="AJ1100" s="137">
        <f t="shared" si="371"/>
        <v>0.42708333333333331</v>
      </c>
      <c r="AP1100" s="256">
        <v>0.5</v>
      </c>
      <c r="AQ1100" s="147">
        <f>VLOOKUP($D1100,Research!$C:$D,(COLUMN(Research_Time)-COLUMN(Research_Name_and_Level)+1),FALSE)</f>
        <v>0.60300925925925919</v>
      </c>
      <c r="AR1100" s="147">
        <f>AQ1100/(1+AP1100)</f>
        <v>0.40200617283950613</v>
      </c>
      <c r="AS1100" s="147">
        <f>(S$3*S1100+T$3*T1100+V$3*V1100+W$3*W1100+X$3*X1100+Y$3*Y1100+Z$3*Z1100+AA$3*AA1100+AB$3*AB1100+AC$3*AC1100)*(-1)</f>
        <v>0</v>
      </c>
      <c r="AT1100" s="148">
        <f>IF(AR1100-R1100-AS1100&gt;=0,AR1100-R1100-AS1100,0)</f>
        <v>0.39228395061728388</v>
      </c>
      <c r="AU1100" s="111">
        <f>VLOOKUP($D1100,Research!$C:$L,(COLUMN(Research_ResearchCost_Stone)-COLUMN(Research_Name_and_Level)+1),FALSE)*(-1)</f>
        <v>-20000</v>
      </c>
      <c r="AV1100" s="111">
        <f>VLOOKUP($D1100,Research!$C:$L,(COLUMN(Research_ResearchCost_Wood)-COLUMN(Research_Name_and_Level)+1),FALSE)*(-1)</f>
        <v>-20000</v>
      </c>
      <c r="AW1100" s="111">
        <f>VLOOKUP($D1100,Research!$C:$L,(COLUMN(Research_ResearchCost_Ore)-COLUMN(Research_Name_and_Level)+1),FALSE)*(-1)</f>
        <v>0</v>
      </c>
      <c r="AX1100" s="111">
        <f>VLOOKUP($D1100,Research!$C:$L,(COLUMN(Research_ResearchCost_Food)-COLUMN(Research_Name_and_Level)+1),FALSE)*(-1)</f>
        <v>-20000</v>
      </c>
      <c r="AY1100" s="112">
        <f>VLOOKUP($D1100,Research!$C:$L,(COLUMN(Research_ResearchCost_Silver)-COLUMN(Research_Name_and_Level)+1),FALSE)*(-1)</f>
        <v>-37500</v>
      </c>
      <c r="BK1100" s="7"/>
      <c r="BL1100" s="19"/>
    </row>
    <row r="1101" spans="1:97" ht="15" customHeight="1">
      <c r="B1101" s="506" t="s">
        <v>195</v>
      </c>
      <c r="C1101" s="127" t="s">
        <v>1750</v>
      </c>
      <c r="D1101" s="144" t="s">
        <v>1752</v>
      </c>
      <c r="E1101" s="506">
        <v>28</v>
      </c>
      <c r="F1101" s="12">
        <v>0.45</v>
      </c>
      <c r="G1101" s="211">
        <v>50000</v>
      </c>
      <c r="H1101" s="211">
        <f t="shared" ref="H1101" si="392">G1101*(1+F1101)</f>
        <v>72500</v>
      </c>
      <c r="AF1101" s="141"/>
      <c r="AJ1101" s="137">
        <f t="shared" si="371"/>
        <v>0.42708333333333331</v>
      </c>
    </row>
    <row r="1102" spans="1:97" ht="15" customHeight="1">
      <c r="B1102" s="506" t="s">
        <v>144</v>
      </c>
      <c r="C1102" s="127" t="s">
        <v>138</v>
      </c>
      <c r="D1102" s="144" t="s">
        <v>1765</v>
      </c>
      <c r="E1102" s="506">
        <v>28</v>
      </c>
      <c r="F1102" s="12">
        <v>0.45</v>
      </c>
      <c r="G1102" s="94">
        <f>VLOOKUP($D1102,Construction!$B:$E,(COLUMN(Construction_BuildingReward_HeroXP)-COLUMN(Construction_Name_and_Level)+1),FALSE)</f>
        <v>500</v>
      </c>
      <c r="H1102" s="94">
        <f>G1102*(1+F1102)</f>
        <v>725</v>
      </c>
      <c r="J1102" s="95">
        <f>VLOOKUP($D1102,Construction!$B:$F,(COLUMN(Construction_BuildingReward_Power)-COLUMN(Construction_Name_and_Level)+1),FALSE)</f>
        <v>190</v>
      </c>
      <c r="Q1102" s="139">
        <v>3.472222222222222E-3</v>
      </c>
      <c r="R1102" s="289">
        <v>9.7222222222222224E-3</v>
      </c>
      <c r="W1102" s="11">
        <v>-1</v>
      </c>
      <c r="X1102" s="11">
        <v>-2</v>
      </c>
      <c r="AF1102" s="141"/>
      <c r="AG1102" s="141"/>
      <c r="AH1102" s="137"/>
      <c r="AI1102" s="484">
        <f>(-1)*($S$3*$S1102+$T$3*$T1102+$U$3*$U1102+$V$3*$V1102+$W$3*$W1102+$X$3*$X1102+$Y$3*$Y1102+$Z$3*$Z1102+$AA$3*$AA1102+$AB$3*$AB1102+$AC$3*$AC1102)</f>
        <v>9.375E-2</v>
      </c>
      <c r="AJ1102" s="137">
        <f t="shared" si="371"/>
        <v>0.33333333333333331</v>
      </c>
      <c r="AK1102" s="339">
        <v>0.56499999999999995</v>
      </c>
      <c r="AL1102" s="138">
        <f>VLOOKUP($D1102,Construction!$B:$C,(COLUMN(Construction_Time)-COLUMN(Construction_Name_and_Level)+1),FALSE)</f>
        <v>0.14814814814814814</v>
      </c>
      <c r="AM1102" s="138">
        <f t="shared" ref="AM1102" si="393">AL1102/(1+AK1102)</f>
        <v>9.4663353449295939E-2</v>
      </c>
      <c r="AN1102" s="138">
        <f>(S$3*S1102+T$3*T1102+V$3*V1102+W$3*W1102+X$3*X1102+Y$3*Y1102+Z$3*Z1102+AA$3*AA1102+AB$3*AB1102+AC$3*AC1102)*(-1)</f>
        <v>9.375E-2</v>
      </c>
      <c r="AO1102" s="139">
        <f>IF((AM1102-Q1102-R1102-AN1102)&gt;=0,AM1102-Q1102-R1102-AN1102,0)</f>
        <v>0</v>
      </c>
      <c r="AU1102" s="94">
        <f>VLOOKUP($D1102,Construction!$B:$J,(COLUMN(Construction_BuildingCost_Stone)-COLUMN(Construction_Name_and_Level)+1),FALSE)*(-1)</f>
        <v>-13392</v>
      </c>
      <c r="AV1102" s="94">
        <f>VLOOKUP($D1102,Construction!$B:$J,(COLUMN(Construction_BuildingCost_Wood)-COLUMN(Construction_Name_and_Level)+1),FALSE)*(-1)</f>
        <v>-13392</v>
      </c>
      <c r="AW1102" s="94">
        <f>VLOOKUP($D1102,Construction!$B:$J,(COLUMN(Construction_BuildingCost_Ore)-COLUMN(Construction_Name_and_Level)+1),FALSE)*(-1)</f>
        <v>-13392</v>
      </c>
      <c r="AX1102" s="94">
        <f>VLOOKUP($D1102,Construction!$B:$J,(COLUMN(Construction_BuildingCost_Food)-COLUMN(Construction_Name_and_Level)+1),FALSE)*(-1)</f>
        <v>0</v>
      </c>
      <c r="BK1102" s="7"/>
      <c r="BL1102" s="19"/>
    </row>
    <row r="1103" spans="1:97" ht="15" customHeight="1">
      <c r="B1103" s="506" t="s">
        <v>144</v>
      </c>
      <c r="C1103" s="127" t="s">
        <v>138</v>
      </c>
      <c r="D1103" s="144" t="s">
        <v>1830</v>
      </c>
      <c r="E1103" s="506">
        <v>28</v>
      </c>
      <c r="F1103" s="12">
        <v>0.45</v>
      </c>
      <c r="G1103" s="94">
        <f>VLOOKUP($D1103,Construction!$B:$E,(COLUMN(Construction_BuildingReward_HeroXP)-COLUMN(Construction_Name_and_Level)+1),FALSE)</f>
        <v>500</v>
      </c>
      <c r="H1103" s="94">
        <f>G1103*(1+F1103)</f>
        <v>725</v>
      </c>
      <c r="J1103" s="95">
        <f>VLOOKUP($D1103,Construction!$B:$F,(COLUMN(Construction_BuildingReward_Power)-COLUMN(Construction_Name_and_Level)+1),FALSE)</f>
        <v>285</v>
      </c>
      <c r="Q1103" s="139">
        <v>3.472222222222222E-3</v>
      </c>
      <c r="R1103" s="289">
        <v>9.7222222222222224E-3</v>
      </c>
      <c r="AF1103" s="141"/>
      <c r="AG1103" s="141"/>
      <c r="AH1103" s="137"/>
      <c r="AI1103" s="484"/>
      <c r="AJ1103" s="137">
        <f t="shared" si="371"/>
        <v>0.33333333333333331</v>
      </c>
      <c r="AK1103" s="339">
        <v>0.56499999999999995</v>
      </c>
      <c r="AL1103" s="138">
        <f>VLOOKUP($D1103,Construction!$B:$C,(COLUMN(Construction_Time)-COLUMN(Construction_Name_and_Level)+1),FALSE)</f>
        <v>0.29629629629629628</v>
      </c>
      <c r="AM1103" s="138">
        <f t="shared" ref="AM1103" si="394">AL1103/(1+AK1103)</f>
        <v>0.18932670689859188</v>
      </c>
      <c r="AN1103" s="138">
        <f>(S$3*S1103+T$3*T1103+V$3*V1103+W$3*W1103+X$3*X1103+Y$3*Y1103+Z$3*Z1103+AA$3*AA1103+AB$3*AB1103+AC$3*AC1103)*(-1)</f>
        <v>0</v>
      </c>
      <c r="AO1103" s="139">
        <f>IF((AM1103-Q1103-R1103-AN1103)&gt;=0,AM1103-Q1103-R1103-AN1103,0)</f>
        <v>0.17613226245414745</v>
      </c>
      <c r="AU1103" s="94">
        <f>VLOOKUP($D1103,Construction!$B:$J,(COLUMN(Construction_BuildingCost_Stone)-COLUMN(Construction_Name_and_Level)+1),FALSE)*(-1)</f>
        <v>-20088</v>
      </c>
      <c r="AV1103" s="94">
        <f>VLOOKUP($D1103,Construction!$B:$J,(COLUMN(Construction_BuildingCost_Wood)-COLUMN(Construction_Name_and_Level)+1),FALSE)*(-1)</f>
        <v>-20088</v>
      </c>
      <c r="AW1103" s="94">
        <f>VLOOKUP($D1103,Construction!$B:$J,(COLUMN(Construction_BuildingCost_Ore)-COLUMN(Construction_Name_and_Level)+1),FALSE)*(-1)</f>
        <v>-20088</v>
      </c>
      <c r="AX1103" s="94">
        <f>VLOOKUP($D1103,Construction!$B:$J,(COLUMN(Construction_BuildingCost_Food)-COLUMN(Construction_Name_and_Level)+1),FALSE)*(-1)</f>
        <v>0</v>
      </c>
      <c r="BK1103" s="7"/>
      <c r="BL1103" s="19"/>
    </row>
    <row r="1104" spans="1:97" ht="15" customHeight="1">
      <c r="B1104" s="506" t="s">
        <v>146</v>
      </c>
      <c r="C1104" s="127" t="s">
        <v>138</v>
      </c>
      <c r="D1104" s="144" t="s">
        <v>1885</v>
      </c>
      <c r="E1104" s="506">
        <v>28</v>
      </c>
      <c r="F1104" s="12">
        <v>0.45</v>
      </c>
      <c r="G1104" s="111">
        <f>VLOOKUP($D1104,Research!$C:$F,(COLUMN(Research_ResearchReward_HeroXP)-COLUMN(Research_Name_and_Level)+1),FALSE)</f>
        <v>60000</v>
      </c>
      <c r="H1104" s="111">
        <f>G1104*(1+F1104)</f>
        <v>87000</v>
      </c>
      <c r="J1104" s="115">
        <f>VLOOKUP($D1104,Research!$C:$G,(COLUMN(Research_ResearchReward_Power)-COLUMN(Research_Name_and_Level)+1),FALSE)</f>
        <v>6250</v>
      </c>
      <c r="R1104" s="148">
        <v>9.7222222222222224E-3</v>
      </c>
      <c r="AF1104" s="141"/>
      <c r="AG1104" s="141"/>
      <c r="AH1104" s="137"/>
      <c r="AI1104" s="484"/>
      <c r="AJ1104" s="137">
        <f t="shared" si="371"/>
        <v>0.33333333333333331</v>
      </c>
      <c r="AP1104" s="256">
        <v>0.5</v>
      </c>
      <c r="AQ1104" s="147">
        <f>VLOOKUP($D1104,Research!$C:$D,(COLUMN(Research_Time)-COLUMN(Research_Name_and_Level)+1),FALSE)</f>
        <v>1.125</v>
      </c>
      <c r="AR1104" s="147">
        <f>AQ1104/(1+AP1104)</f>
        <v>0.75</v>
      </c>
      <c r="AS1104" s="147">
        <f>(S$3*S1104+T$3*T1104+V$3*V1104+W$3*W1104+X$3*X1104+Y$3*Y1104+Z$3*Z1104+AA$3*AA1104+AB$3*AB1104+AC$3*AC1104)*(-1)</f>
        <v>0</v>
      </c>
      <c r="AT1104" s="148">
        <f>IF(AR1104-R1104-AS1104&gt;=0,AR1104-R1104-AS1104,0)</f>
        <v>0.74027777777777781</v>
      </c>
      <c r="AU1104" s="111">
        <f>VLOOKUP($D1104,Research!$C:$L,(COLUMN(Research_ResearchCost_Stone)-COLUMN(Research_Name_and_Level)+1),FALSE)*(-1)</f>
        <v>-4800</v>
      </c>
      <c r="AV1104" s="111">
        <f>VLOOKUP($D1104,Research!$C:$L,(COLUMN(Research_ResearchCost_Wood)-COLUMN(Research_Name_and_Level)+1),FALSE)*(-1)</f>
        <v>-8000</v>
      </c>
      <c r="AW1104" s="111">
        <f>VLOOKUP($D1104,Research!$C:$L,(COLUMN(Research_ResearchCost_Ore)-COLUMN(Research_Name_and_Level)+1),FALSE)*(-1)</f>
        <v>-400</v>
      </c>
      <c r="AX1104" s="111">
        <f>VLOOKUP($D1104,Research!$C:$L,(COLUMN(Research_ResearchCost_Food)-COLUMN(Research_Name_and_Level)+1),FALSE)*(-1)</f>
        <v>-6400</v>
      </c>
      <c r="AY1104" s="112">
        <f>VLOOKUP($D1104,Research!$C:$L,(COLUMN(Research_ResearchCost_Silver)-COLUMN(Research_Name_and_Level)+1),FALSE)*(-1)</f>
        <v>-125000</v>
      </c>
      <c r="BK1104" s="7"/>
      <c r="BL1104" s="19"/>
    </row>
    <row r="1105" spans="2:108" ht="15" customHeight="1">
      <c r="B1105" s="506" t="s">
        <v>143</v>
      </c>
      <c r="C1105" s="127" t="s">
        <v>466</v>
      </c>
      <c r="D1105" s="144" t="s">
        <v>1886</v>
      </c>
      <c r="E1105" s="506">
        <v>28</v>
      </c>
      <c r="F1105" s="12">
        <v>0.45</v>
      </c>
      <c r="G1105" s="101">
        <v>15000</v>
      </c>
      <c r="H1105" s="101">
        <f>G1105*(1+F1105)</f>
        <v>21750</v>
      </c>
      <c r="AF1105" s="141"/>
      <c r="AG1105" s="141"/>
      <c r="AH1105" s="137"/>
      <c r="AI1105" s="484"/>
      <c r="AJ1105" s="137">
        <f t="shared" si="371"/>
        <v>0.33333333333333331</v>
      </c>
      <c r="AU1105" s="101">
        <v>37500</v>
      </c>
      <c r="AV1105" s="101">
        <v>0</v>
      </c>
      <c r="AW1105" s="101">
        <v>0</v>
      </c>
      <c r="AX1105" s="101">
        <v>0</v>
      </c>
      <c r="AY1105" s="100">
        <v>0</v>
      </c>
    </row>
    <row r="1106" spans="2:108" ht="15" customHeight="1">
      <c r="B1106" s="506" t="s">
        <v>195</v>
      </c>
      <c r="C1106" s="127" t="s">
        <v>468</v>
      </c>
      <c r="D1106" s="144" t="s">
        <v>1887</v>
      </c>
      <c r="E1106" s="506">
        <v>28</v>
      </c>
      <c r="F1106" s="12">
        <v>0.45</v>
      </c>
      <c r="G1106" s="211">
        <v>4000</v>
      </c>
      <c r="H1106" s="211">
        <f t="shared" ref="H1106" si="395">G1106*(1+F1106)</f>
        <v>5800</v>
      </c>
      <c r="AF1106" s="141"/>
      <c r="AG1106" s="141"/>
      <c r="AH1106" s="137"/>
      <c r="AI1106" s="484"/>
      <c r="AJ1106" s="137">
        <f t="shared" si="371"/>
        <v>0.33333333333333331</v>
      </c>
      <c r="AU1106" s="211">
        <v>10000</v>
      </c>
      <c r="AV1106" s="213">
        <v>0</v>
      </c>
      <c r="AW1106" s="213">
        <v>0</v>
      </c>
      <c r="AX1106" s="213">
        <v>10000</v>
      </c>
      <c r="AY1106" s="160">
        <v>0</v>
      </c>
      <c r="CL1106" s="211">
        <v>2000</v>
      </c>
      <c r="CM1106" s="160">
        <f>CL1106</f>
        <v>2000</v>
      </c>
    </row>
    <row r="1107" spans="2:108" ht="15" customHeight="1">
      <c r="B1107" s="506" t="s">
        <v>144</v>
      </c>
      <c r="C1107" s="127" t="s">
        <v>138</v>
      </c>
      <c r="D1107" s="144" t="s">
        <v>1888</v>
      </c>
      <c r="E1107" s="506">
        <v>28</v>
      </c>
      <c r="F1107" s="12">
        <v>0.45</v>
      </c>
      <c r="G1107" s="94">
        <f>VLOOKUP($D1107,Construction!$B:$E,(COLUMN(Construction_BuildingReward_HeroXP)-COLUMN(Construction_Name_and_Level)+1),FALSE)</f>
        <v>500</v>
      </c>
      <c r="H1107" s="94">
        <f>G1107*(1+F1107)</f>
        <v>725</v>
      </c>
      <c r="J1107" s="95">
        <f>VLOOKUP($D1107,Construction!$B:$F,(COLUMN(Construction_BuildingReward_Power)-COLUMN(Construction_Name_and_Level)+1),FALSE)</f>
        <v>715</v>
      </c>
      <c r="Q1107" s="139">
        <v>3.472222222222222E-3</v>
      </c>
      <c r="R1107" s="289">
        <v>9.7222222222222224E-3</v>
      </c>
      <c r="AF1107" s="141"/>
      <c r="AG1107" s="141"/>
      <c r="AH1107" s="137"/>
      <c r="AI1107" s="484"/>
      <c r="AJ1107" s="137">
        <f t="shared" si="371"/>
        <v>0.33333333333333331</v>
      </c>
      <c r="AK1107" s="339">
        <v>0.56499999999999995</v>
      </c>
      <c r="AL1107" s="138">
        <f>VLOOKUP($D1107,Construction!$B:$C,(COLUMN(Construction_Time)-COLUMN(Construction_Name_and_Level)+1),FALSE)</f>
        <v>0.59259259259259256</v>
      </c>
      <c r="AM1107" s="138">
        <f t="shared" ref="AM1107" si="396">AL1107/(1+AK1107)</f>
        <v>0.37865341379718376</v>
      </c>
      <c r="AN1107" s="138">
        <f>(S$3*S1107+T$3*T1107+V$3*V1107+W$3*W1107+X$3*X1107+Y$3*Y1107+Z$3*Z1107+AA$3*AA1107+AB$3*AB1107+AC$3*AC1107)*(-1)</f>
        <v>0</v>
      </c>
      <c r="AO1107" s="139">
        <f>IF((AM1107-Q1107-R1107-AN1107)&gt;=0,AM1107-Q1107-R1107-AN1107,0)</f>
        <v>0.3654589693527393</v>
      </c>
      <c r="AU1107" s="94">
        <f>VLOOKUP($D1107,Construction!$B:$J,(COLUMN(Construction_BuildingCost_Stone)-COLUMN(Construction_Name_and_Level)+1),FALSE)*(-1)</f>
        <v>-50424</v>
      </c>
      <c r="AV1107" s="94">
        <f>VLOOKUP($D1107,Construction!$B:$J,(COLUMN(Construction_BuildingCost_Wood)-COLUMN(Construction_Name_and_Level)+1),FALSE)*(-1)</f>
        <v>-25248</v>
      </c>
      <c r="AW1107" s="94">
        <f>VLOOKUP($D1107,Construction!$B:$J,(COLUMN(Construction_BuildingCost_Ore)-COLUMN(Construction_Name_and_Level)+1),FALSE)*(-1)</f>
        <v>-25248</v>
      </c>
      <c r="AX1107" s="94">
        <f>VLOOKUP($D1107,Construction!$B:$J,(COLUMN(Construction_BuildingCost_Food)-COLUMN(Construction_Name_and_Level)+1),FALSE)*(-1)</f>
        <v>-75600</v>
      </c>
      <c r="BK1107" s="7"/>
      <c r="BL1107" s="19"/>
    </row>
    <row r="1108" spans="2:108" ht="15" customHeight="1">
      <c r="B1108" s="506" t="s">
        <v>144</v>
      </c>
      <c r="C1108" s="127" t="s">
        <v>138</v>
      </c>
      <c r="D1108" s="144" t="s">
        <v>1889</v>
      </c>
      <c r="E1108" s="506">
        <v>28</v>
      </c>
      <c r="F1108" s="222">
        <v>0.5</v>
      </c>
      <c r="G1108" s="94">
        <f>VLOOKUP($D1108,Construction!$B:$E,(COLUMN(Construction_BuildingReward_HeroXP)-COLUMN(Construction_Name_and_Level)+1),FALSE)</f>
        <v>500</v>
      </c>
      <c r="H1108" s="94">
        <f>G1108*(1+F1108)</f>
        <v>750</v>
      </c>
      <c r="J1108" s="95">
        <f>VLOOKUP($D1108,Construction!$B:$F,(COLUMN(Construction_BuildingReward_Power)-COLUMN(Construction_Name_and_Level)+1),FALSE)</f>
        <v>1140</v>
      </c>
      <c r="Q1108" s="139">
        <v>3.472222222222222E-3</v>
      </c>
      <c r="R1108" s="289">
        <v>9.7222222222222224E-3</v>
      </c>
      <c r="AF1108" s="141"/>
      <c r="AG1108" s="141"/>
      <c r="AH1108" s="137"/>
      <c r="AI1108" s="484"/>
      <c r="AJ1108" s="137">
        <f t="shared" si="371"/>
        <v>0.33333333333333331</v>
      </c>
      <c r="AK1108" s="339">
        <v>0.56499999999999995</v>
      </c>
      <c r="AL1108" s="138">
        <f>VLOOKUP($D1108,Construction!$B:$C,(COLUMN(Construction_Time)-COLUMN(Construction_Name_and_Level)+1),FALSE)</f>
        <v>0.53333333333333333</v>
      </c>
      <c r="AM1108" s="138">
        <f t="shared" ref="AM1108" si="397">AL1108/(1+AK1108)</f>
        <v>0.34078807241746539</v>
      </c>
      <c r="AN1108" s="138">
        <f>(S$3*S1108+T$3*T1108+V$3*V1108+W$3*W1108+X$3*X1108+Y$3*Y1108+Z$3*Z1108+AA$3*AA1108+AB$3*AB1108+AC$3*AC1108)*(-1)</f>
        <v>0</v>
      </c>
      <c r="AO1108" s="139">
        <f>IF((AM1108-Q1108-R1108-AN1108)&gt;=0,AM1108-Q1108-R1108-AN1108,0)</f>
        <v>0.32759362797302094</v>
      </c>
      <c r="AU1108" s="94">
        <f>VLOOKUP($D1108,Construction!$B:$J,(COLUMN(Construction_BuildingCost_Stone)-COLUMN(Construction_Name_and_Level)+1),FALSE)*(-1)</f>
        <v>-100248</v>
      </c>
      <c r="AV1108" s="94">
        <f>VLOOKUP($D1108,Construction!$B:$J,(COLUMN(Construction_BuildingCost_Wood)-COLUMN(Construction_Name_and_Level)+1),FALSE)*(-1)</f>
        <v>-80232</v>
      </c>
      <c r="AW1108" s="94">
        <f>VLOOKUP($D1108,Construction!$B:$J,(COLUMN(Construction_BuildingCost_Ore)-COLUMN(Construction_Name_and_Level)+1),FALSE)*(-1)</f>
        <v>-60144</v>
      </c>
      <c r="AX1108" s="94">
        <f>VLOOKUP($D1108,Construction!$B:$J,(COLUMN(Construction_BuildingCost_Food)-COLUMN(Construction_Name_and_Level)+1),FALSE)*(-1)</f>
        <v>-50184</v>
      </c>
      <c r="BK1108" s="7"/>
      <c r="BL1108" s="19"/>
    </row>
    <row r="1109" spans="2:108" ht="15" customHeight="1">
      <c r="B1109" s="506" t="s">
        <v>148</v>
      </c>
      <c r="E1109" s="506">
        <v>28</v>
      </c>
      <c r="W1109" s="250">
        <v>2</v>
      </c>
      <c r="AF1109" s="141">
        <f>$S$3*$S1109+$T$3*$T1109+$U$3*$U1109+$V$3*$V1109+$W$3*$W1109+$X$3*$X1109+$Y$3*$Y1109+$Z$3*$Z1109+$AA$3*$AA1109+$AB$3*$AB1109+$AC$3*$AC1109</f>
        <v>2.0833333333333332E-2</v>
      </c>
      <c r="AJ1109" s="137">
        <f t="shared" si="371"/>
        <v>0.35416666666666663</v>
      </c>
    </row>
    <row r="1110" spans="2:108" ht="15" customHeight="1">
      <c r="B1110" s="506" t="s">
        <v>195</v>
      </c>
      <c r="C1110" s="127" t="s">
        <v>468</v>
      </c>
      <c r="D1110" s="144" t="s">
        <v>1890</v>
      </c>
      <c r="E1110" s="506">
        <v>28</v>
      </c>
      <c r="F1110" s="12">
        <v>0.5</v>
      </c>
      <c r="G1110" s="211">
        <v>4000</v>
      </c>
      <c r="H1110" s="211">
        <f t="shared" ref="H1110" si="398">G1110*(1+F1110)</f>
        <v>6000</v>
      </c>
      <c r="AF1110" s="141"/>
      <c r="AG1110" s="141"/>
      <c r="AH1110" s="137"/>
      <c r="AI1110" s="484"/>
      <c r="AJ1110" s="137">
        <f t="shared" si="371"/>
        <v>0.35416666666666663</v>
      </c>
      <c r="AU1110" s="211">
        <v>0</v>
      </c>
      <c r="AV1110" s="213">
        <v>0</v>
      </c>
      <c r="AW1110" s="213">
        <v>0</v>
      </c>
      <c r="AX1110" s="213">
        <v>0</v>
      </c>
      <c r="AY1110" s="160">
        <v>2000</v>
      </c>
      <c r="CL1110" s="211">
        <v>2000</v>
      </c>
      <c r="CM1110" s="160">
        <f>CL1110</f>
        <v>2000</v>
      </c>
    </row>
    <row r="1111" spans="2:108" ht="15" customHeight="1">
      <c r="B1111" s="506" t="s">
        <v>144</v>
      </c>
      <c r="C1111" s="127" t="s">
        <v>138</v>
      </c>
      <c r="D1111" s="144" t="s">
        <v>1828</v>
      </c>
      <c r="E1111" s="506">
        <v>28</v>
      </c>
      <c r="F1111" s="12">
        <v>0.5</v>
      </c>
      <c r="G1111" s="94">
        <f>VLOOKUP($D1111,Construction!$B:$E,(COLUMN(Construction_BuildingReward_HeroXP)-COLUMN(Construction_Name_and_Level)+1),FALSE)</f>
        <v>500</v>
      </c>
      <c r="H1111" s="94">
        <f>G1111*(1+F1111)</f>
        <v>750</v>
      </c>
      <c r="J1111" s="95">
        <f>VLOOKUP($D1111,Construction!$B:$F,(COLUMN(Construction_BuildingReward_Power)-COLUMN(Construction_Name_and_Level)+1),FALSE)</f>
        <v>190</v>
      </c>
      <c r="Q1111" s="139">
        <v>3.472222222222222E-3</v>
      </c>
      <c r="R1111" s="289">
        <v>9.7222222222222224E-3</v>
      </c>
      <c r="AF1111" s="141"/>
      <c r="AG1111" s="141"/>
      <c r="AH1111" s="137"/>
      <c r="AI1111" s="484"/>
      <c r="AJ1111" s="137">
        <f t="shared" si="371"/>
        <v>0.35416666666666663</v>
      </c>
      <c r="AK1111" s="339">
        <v>0.56499999999999995</v>
      </c>
      <c r="AL1111" s="138">
        <f>VLOOKUP($D1111,Construction!$B:$C,(COLUMN(Construction_Time)-COLUMN(Construction_Name_and_Level)+1),FALSE)</f>
        <v>0.17777777777777778</v>
      </c>
      <c r="AM1111" s="138">
        <f t="shared" ref="AM1111" si="399">AL1111/(1+AK1111)</f>
        <v>0.11359602413915514</v>
      </c>
      <c r="AN1111" s="138">
        <f>(S$3*S1111+T$3*T1111+V$3*V1111+W$3*W1111+X$3*X1111+Y$3*Y1111+Z$3*Z1111+AA$3*AA1111+AB$3*AB1111+AC$3*AC1111)*(-1)</f>
        <v>0</v>
      </c>
      <c r="AO1111" s="139">
        <f>IF((AM1111-Q1111-R1111-AN1111)&gt;=0,AM1111-Q1111-R1111-AN1111,0)</f>
        <v>0.1004015796947107</v>
      </c>
      <c r="AU1111" s="94">
        <f>VLOOKUP($D1111,Construction!$B:$J,(COLUMN(Construction_BuildingCost_Stone)-COLUMN(Construction_Name_and_Level)+1),FALSE)*(-1)</f>
        <v>-13392</v>
      </c>
      <c r="AV1111" s="94">
        <f>VLOOKUP($D1111,Construction!$B:$J,(COLUMN(Construction_BuildingCost_Wood)-COLUMN(Construction_Name_and_Level)+1),FALSE)*(-1)</f>
        <v>0</v>
      </c>
      <c r="AW1111" s="94">
        <f>VLOOKUP($D1111,Construction!$B:$J,(COLUMN(Construction_BuildingCost_Ore)-COLUMN(Construction_Name_and_Level)+1),FALSE)*(-1)</f>
        <v>-13392</v>
      </c>
      <c r="AX1111" s="94">
        <f>VLOOKUP($D1111,Construction!$B:$J,(COLUMN(Construction_BuildingCost_Food)-COLUMN(Construction_Name_and_Level)+1),FALSE)*(-1)</f>
        <v>-13392</v>
      </c>
      <c r="BK1111" s="7"/>
      <c r="BL1111" s="19"/>
    </row>
    <row r="1112" spans="2:108" ht="15" customHeight="1">
      <c r="B1112" s="506" t="s">
        <v>144</v>
      </c>
      <c r="C1112" s="127" t="s">
        <v>138</v>
      </c>
      <c r="D1112" s="144" t="s">
        <v>1873</v>
      </c>
      <c r="E1112" s="506">
        <v>28</v>
      </c>
      <c r="F1112" s="12">
        <v>0.5</v>
      </c>
      <c r="G1112" s="94">
        <f>VLOOKUP($D1112,Construction!$B:$E,(COLUMN(Construction_BuildingReward_HeroXP)-COLUMN(Construction_Name_and_Level)+1),FALSE)</f>
        <v>500</v>
      </c>
      <c r="H1112" s="94">
        <f>G1112*(1+F1112)</f>
        <v>750</v>
      </c>
      <c r="J1112" s="95">
        <f>VLOOKUP($D1112,Construction!$B:$F,(COLUMN(Construction_BuildingReward_Power)-COLUMN(Construction_Name_and_Level)+1),FALSE)</f>
        <v>715</v>
      </c>
      <c r="Q1112" s="139">
        <v>3.472222222222222E-3</v>
      </c>
      <c r="R1112" s="289">
        <v>9.7222222222222224E-3</v>
      </c>
      <c r="AF1112" s="141"/>
      <c r="AG1112" s="141"/>
      <c r="AH1112" s="137"/>
      <c r="AI1112" s="484"/>
      <c r="AJ1112" s="137">
        <f t="shared" si="371"/>
        <v>0.35416666666666663</v>
      </c>
      <c r="AK1112" s="339">
        <v>0.56499999999999995</v>
      </c>
      <c r="AL1112" s="138">
        <f>VLOOKUP($D1112,Construction!$B:$C,(COLUMN(Construction_Time)-COLUMN(Construction_Name_and_Level)+1),FALSE)</f>
        <v>0.29629629629629628</v>
      </c>
      <c r="AM1112" s="138">
        <f t="shared" ref="AM1112" si="400">AL1112/(1+AK1112)</f>
        <v>0.18932670689859188</v>
      </c>
      <c r="AN1112" s="138">
        <f>(S$3*S1112+T$3*T1112+V$3*V1112+W$3*W1112+X$3*X1112+Y$3*Y1112+Z$3*Z1112+AA$3*AA1112+AB$3*AB1112+AC$3*AC1112)*(-1)</f>
        <v>0</v>
      </c>
      <c r="AO1112" s="139">
        <f>IF((AM1112-Q1112-R1112-AN1112)&gt;=0,AM1112-Q1112-R1112-AN1112,0)</f>
        <v>0.17613226245414745</v>
      </c>
      <c r="AU1112" s="94">
        <f>VLOOKUP($D1112,Construction!$B:$J,(COLUMN(Construction_BuildingCost_Stone)-COLUMN(Construction_Name_and_Level)+1),FALSE)*(-1)</f>
        <v>-40128</v>
      </c>
      <c r="AV1112" s="94">
        <f>VLOOKUP($D1112,Construction!$B:$J,(COLUMN(Construction_BuildingCost_Wood)-COLUMN(Construction_Name_and_Level)+1),FALSE)*(-1)</f>
        <v>-40128</v>
      </c>
      <c r="AW1112" s="94">
        <f>VLOOKUP($D1112,Construction!$B:$J,(COLUMN(Construction_BuildingCost_Ore)-COLUMN(Construction_Name_and_Level)+1),FALSE)*(-1)</f>
        <v>-10080</v>
      </c>
      <c r="AX1112" s="94">
        <f>VLOOKUP($D1112,Construction!$B:$J,(COLUMN(Construction_BuildingCost_Food)-COLUMN(Construction_Name_and_Level)+1),FALSE)*(-1)</f>
        <v>-100248</v>
      </c>
      <c r="BK1112" s="7"/>
      <c r="BL1112" s="19"/>
    </row>
    <row r="1113" spans="2:108" ht="15" customHeight="1">
      <c r="B1113" s="506" t="s">
        <v>144</v>
      </c>
      <c r="C1113" s="127" t="s">
        <v>138</v>
      </c>
      <c r="D1113" s="144" t="s">
        <v>1891</v>
      </c>
      <c r="E1113" s="506">
        <v>28</v>
      </c>
      <c r="F1113" s="12">
        <v>0.5</v>
      </c>
      <c r="G1113" s="94">
        <f>VLOOKUP($D1113,Construction!$B:$E,(COLUMN(Construction_BuildingReward_HeroXP)-COLUMN(Construction_Name_and_Level)+1),FALSE)</f>
        <v>10000</v>
      </c>
      <c r="H1113" s="94">
        <f>G1113*(1+F1113)</f>
        <v>15000</v>
      </c>
      <c r="J1113" s="95">
        <f>VLOOKUP($D1113,Construction!$B:$F,(COLUMN(Construction_BuildingReward_Power)-COLUMN(Construction_Name_and_Level)+1),FALSE)</f>
        <v>4300</v>
      </c>
      <c r="Q1113" s="139">
        <v>3.472222222222222E-3</v>
      </c>
      <c r="R1113" s="159">
        <v>1.0416666666666666E-2</v>
      </c>
      <c r="AF1113" s="141"/>
      <c r="AG1113" s="141"/>
      <c r="AH1113" s="137"/>
      <c r="AI1113" s="484"/>
      <c r="AJ1113" s="137">
        <f t="shared" si="371"/>
        <v>0.35416666666666663</v>
      </c>
      <c r="AK1113" s="339">
        <v>0.56499999999999995</v>
      </c>
      <c r="AL1113" s="138">
        <f>VLOOKUP($D1113,Construction!$B:$C,(COLUMN(Construction_Time)-COLUMN(Construction_Name_and_Level)+1),FALSE)</f>
        <v>2.1333333333333333</v>
      </c>
      <c r="AM1113" s="138">
        <f t="shared" ref="AM1113" si="401">AL1113/(1+AK1113)</f>
        <v>1.3631522896698616</v>
      </c>
      <c r="AN1113" s="138">
        <f>(S$3*S1113+T$3*T1113+V$3*V1113+W$3*W1113+X$3*X1113+Y$3*Y1113+Z$3*Z1113+AA$3*AA1113+AB$3*AB1113+AC$3*AC1113)*(-1)</f>
        <v>0</v>
      </c>
      <c r="AO1113" s="139">
        <f>IF((AM1113-Q1113-R1113-AN1113)&gt;=0,AM1113-Q1113-R1113-AN1113,0)</f>
        <v>1.3492634007809725</v>
      </c>
      <c r="AU1113" s="94">
        <f>VLOOKUP($D1113,Construction!$B:$J,(COLUMN(Construction_BuildingCost_Stone)-COLUMN(Construction_Name_and_Level)+1),FALSE)*(-1)</f>
        <v>-377928</v>
      </c>
      <c r="AV1113" s="94">
        <f>VLOOKUP($D1113,Construction!$B:$J,(COLUMN(Construction_BuildingCost_Wood)-COLUMN(Construction_Name_and_Level)+1),FALSE)*(-1)</f>
        <v>-377928</v>
      </c>
      <c r="AW1113" s="94">
        <f>VLOOKUP($D1113,Construction!$B:$J,(COLUMN(Construction_BuildingCost_Ore)-COLUMN(Construction_Name_and_Level)+1),FALSE)*(-1)</f>
        <v>-151200</v>
      </c>
      <c r="AX1113" s="94">
        <f>VLOOKUP($D1113,Construction!$B:$J,(COLUMN(Construction_BuildingCost_Food)-COLUMN(Construction_Name_and_Level)+1),FALSE)*(-1)</f>
        <v>-188964</v>
      </c>
    </row>
    <row r="1114" spans="2:108" ht="15" customHeight="1">
      <c r="B1114" s="506" t="s">
        <v>1457</v>
      </c>
      <c r="C1114" s="127" t="s">
        <v>172</v>
      </c>
      <c r="D1114" s="145" t="s">
        <v>1892</v>
      </c>
      <c r="E1114" s="506">
        <v>28</v>
      </c>
      <c r="F1114" s="274"/>
      <c r="G1114" s="7"/>
      <c r="H1114" s="7"/>
      <c r="I1114" s="19"/>
      <c r="J1114" s="19"/>
      <c r="X1114" s="11">
        <v>1</v>
      </c>
      <c r="AF1114" s="141">
        <f>$S$3*$S1114+$T$3*$T1114+$U$3*$U1114+$V$3*$V1114+$W$3*$W1114+$X$3*$X1114+$Y$3*$Y1114+$Z$3*$Z1114+$AA$3*$AA1114+$AB$3*$AB1114+$AC$3*$AC1114</f>
        <v>4.1666666666666664E-2</v>
      </c>
      <c r="AG1114" s="141"/>
      <c r="AH1114" s="137"/>
      <c r="AI1114" s="484"/>
      <c r="AJ1114" s="137">
        <f t="shared" si="371"/>
        <v>0.39583333333333331</v>
      </c>
      <c r="AU1114" s="2">
        <v>18000</v>
      </c>
      <c r="AV1114" s="2">
        <v>18000</v>
      </c>
      <c r="AW1114" s="2">
        <v>18000</v>
      </c>
      <c r="AX1114" s="2">
        <v>19500</v>
      </c>
      <c r="AY1114" s="5">
        <v>18500</v>
      </c>
      <c r="CZ1114" s="127"/>
      <c r="DA1114" s="127"/>
      <c r="DB1114" s="127"/>
      <c r="DC1114" s="127"/>
      <c r="DD1114" s="127"/>
    </row>
    <row r="1115" spans="2:108" ht="15" customHeight="1">
      <c r="B1115" s="506" t="s">
        <v>145</v>
      </c>
      <c r="C1115" s="127" t="s">
        <v>152</v>
      </c>
      <c r="D1115" s="145" t="s">
        <v>1893</v>
      </c>
      <c r="E1115" s="506">
        <v>28</v>
      </c>
      <c r="F1115" s="12">
        <v>0.5</v>
      </c>
      <c r="G1115" s="211">
        <v>50000</v>
      </c>
      <c r="H1115" s="211">
        <f t="shared" ref="H1115" si="402">G1115*(1+F1115)</f>
        <v>75000</v>
      </c>
      <c r="I1115" s="19"/>
      <c r="J1115" s="19"/>
      <c r="X1115" s="11">
        <v>1</v>
      </c>
      <c r="AF1115" s="141">
        <f>$S$3*$S1115+$T$3*$T1115+$U$3*$U1115+$V$3*$V1115+$W$3*$W1115+$X$3*$X1115+$Y$3*$Y1115+$Z$3*$Z1115+$AA$3*$AA1115+$AB$3*$AB1115+$AC$3*$AC1115</f>
        <v>4.1666666666666664E-2</v>
      </c>
      <c r="AG1115" s="141"/>
      <c r="AH1115" s="137"/>
      <c r="AI1115" s="484"/>
      <c r="AJ1115" s="137">
        <f t="shared" si="371"/>
        <v>0.4375</v>
      </c>
      <c r="AU1115" s="7"/>
      <c r="AV1115" s="7"/>
      <c r="AW1115" s="7"/>
      <c r="AX1115" s="7"/>
      <c r="AY1115" s="19"/>
      <c r="CN1115" s="5">
        <v>7000</v>
      </c>
      <c r="CZ1115" s="127"/>
      <c r="DA1115" s="127"/>
      <c r="DB1115" s="127"/>
      <c r="DC1115" s="127"/>
      <c r="DD1115" s="127"/>
    </row>
    <row r="1116" spans="2:108" ht="15" customHeight="1">
      <c r="B1116" s="506" t="s">
        <v>624</v>
      </c>
      <c r="C1116" s="127" t="s">
        <v>623</v>
      </c>
      <c r="D1116" s="144" t="s">
        <v>1422</v>
      </c>
      <c r="E1116" s="506">
        <v>28</v>
      </c>
      <c r="AF1116" s="141"/>
      <c r="AG1116" s="141"/>
      <c r="AH1116" s="137"/>
      <c r="AI1116" s="484"/>
      <c r="AJ1116" s="137">
        <f t="shared" si="371"/>
        <v>0.4375</v>
      </c>
      <c r="AU1116" s="30">
        <v>0</v>
      </c>
      <c r="AV1116" s="30">
        <v>0</v>
      </c>
      <c r="AW1116" s="30">
        <v>0</v>
      </c>
      <c r="AX1116" s="30">
        <v>58059</v>
      </c>
      <c r="AY1116" s="31">
        <v>0</v>
      </c>
    </row>
    <row r="1117" spans="2:108" ht="15" customHeight="1">
      <c r="B1117" s="506" t="s">
        <v>624</v>
      </c>
      <c r="C1117" s="127" t="s">
        <v>623</v>
      </c>
      <c r="D1117" s="144" t="s">
        <v>1422</v>
      </c>
      <c r="E1117" s="506">
        <v>28</v>
      </c>
      <c r="AF1117" s="141"/>
      <c r="AG1117" s="141"/>
      <c r="AH1117" s="137"/>
      <c r="AI1117" s="484"/>
      <c r="AJ1117" s="137">
        <f t="shared" si="371"/>
        <v>0.4375</v>
      </c>
      <c r="AU1117" s="30">
        <v>0</v>
      </c>
      <c r="AV1117" s="30">
        <v>0</v>
      </c>
      <c r="AW1117" s="30">
        <v>0</v>
      </c>
      <c r="AX1117" s="30">
        <v>58059</v>
      </c>
      <c r="AY1117" s="31">
        <v>0</v>
      </c>
    </row>
    <row r="1118" spans="2:108" ht="15" customHeight="1">
      <c r="B1118" s="506" t="s">
        <v>624</v>
      </c>
      <c r="C1118" s="127" t="s">
        <v>623</v>
      </c>
      <c r="D1118" s="144" t="s">
        <v>1422</v>
      </c>
      <c r="E1118" s="506">
        <v>28</v>
      </c>
      <c r="AF1118" s="141"/>
      <c r="AG1118" s="141"/>
      <c r="AH1118" s="137"/>
      <c r="AI1118" s="484"/>
      <c r="AJ1118" s="137">
        <f t="shared" si="371"/>
        <v>0.4375</v>
      </c>
      <c r="AU1118" s="30">
        <v>0</v>
      </c>
      <c r="AV1118" s="30">
        <v>0</v>
      </c>
      <c r="AW1118" s="30">
        <v>0</v>
      </c>
      <c r="AX1118" s="30">
        <v>58059</v>
      </c>
      <c r="AY1118" s="31">
        <v>0</v>
      </c>
    </row>
    <row r="1119" spans="2:108" ht="15" customHeight="1">
      <c r="B1119" s="506" t="s">
        <v>148</v>
      </c>
      <c r="E1119" s="506">
        <v>28</v>
      </c>
      <c r="F1119" s="274"/>
      <c r="G1119" s="7"/>
      <c r="H1119" s="7"/>
      <c r="I1119" s="19"/>
      <c r="J1119" s="19"/>
      <c r="N1119" s="250">
        <v>160</v>
      </c>
      <c r="AF1119" s="141"/>
      <c r="AJ1119" s="137">
        <f t="shared" si="371"/>
        <v>0.4375</v>
      </c>
    </row>
    <row r="1120" spans="2:108" ht="15" customHeight="1">
      <c r="B1120" s="506" t="s">
        <v>148</v>
      </c>
      <c r="E1120" s="506">
        <v>28</v>
      </c>
      <c r="X1120" s="250">
        <v>1</v>
      </c>
      <c r="AF1120" s="141">
        <f>$S$3*$S1120+$T$3*$T1120+$U$3*$U1120+$V$3*$V1120+$W$3*$W1120+$X$3*$X1120+$Y$3*$Y1120+$Z$3*$Z1120+$AA$3*$AA1120+$AB$3*$AB1120+$AC$3*$AC1120</f>
        <v>4.1666666666666664E-2</v>
      </c>
      <c r="AJ1120" s="137">
        <f t="shared" si="371"/>
        <v>0.47916666666666669</v>
      </c>
    </row>
    <row r="1121" spans="1:108" ht="15" customHeight="1">
      <c r="B1121" s="506" t="s">
        <v>195</v>
      </c>
      <c r="C1121" s="127" t="s">
        <v>468</v>
      </c>
      <c r="D1121" s="144" t="s">
        <v>1894</v>
      </c>
      <c r="E1121" s="506">
        <v>28</v>
      </c>
      <c r="F1121" s="12">
        <v>0.5</v>
      </c>
      <c r="G1121" s="211">
        <v>200000</v>
      </c>
      <c r="H1121" s="211">
        <f t="shared" ref="H1121" si="403">G1121*(1+F1121)</f>
        <v>300000</v>
      </c>
      <c r="AF1121" s="141"/>
      <c r="AG1121" s="141"/>
      <c r="AH1121" s="137"/>
      <c r="AI1121" s="484"/>
      <c r="AJ1121" s="137">
        <f t="shared" si="371"/>
        <v>0.47916666666666669</v>
      </c>
      <c r="AU1121" s="211">
        <v>0</v>
      </c>
      <c r="AV1121" s="213">
        <v>500000</v>
      </c>
      <c r="AW1121" s="213">
        <v>0</v>
      </c>
      <c r="AX1121" s="213">
        <v>0</v>
      </c>
      <c r="AY1121" s="160">
        <v>100000</v>
      </c>
      <c r="CL1121" s="211">
        <v>100000</v>
      </c>
      <c r="CM1121" s="160">
        <f>CL1121</f>
        <v>100000</v>
      </c>
    </row>
    <row r="1122" spans="1:108" ht="15" customHeight="1">
      <c r="B1122" s="126" t="s">
        <v>1457</v>
      </c>
      <c r="C1122" s="127" t="s">
        <v>147</v>
      </c>
      <c r="D1122" s="144" t="s">
        <v>1895</v>
      </c>
      <c r="E1122" s="506">
        <v>29</v>
      </c>
      <c r="I1122" s="5">
        <v>4</v>
      </c>
      <c r="J1122" s="5">
        <v>8193</v>
      </c>
      <c r="K1122" s="423" t="s">
        <v>1896</v>
      </c>
      <c r="Q1122" s="149"/>
      <c r="AF1122" s="141"/>
      <c r="AG1122" s="141"/>
      <c r="AH1122" s="137"/>
      <c r="AI1122" s="484"/>
      <c r="AJ1122" s="137">
        <f t="shared" si="371"/>
        <v>0.47916666666666669</v>
      </c>
      <c r="AX1122" s="11"/>
    </row>
    <row r="1123" spans="1:108" s="420" customFormat="1" ht="15" customHeight="1">
      <c r="A1123" s="487"/>
      <c r="B1123" s="411" t="s">
        <v>171</v>
      </c>
      <c r="C1123" s="412"/>
      <c r="D1123" s="412" t="s">
        <v>1897</v>
      </c>
      <c r="E1123" s="411">
        <v>29</v>
      </c>
      <c r="F1123" s="413">
        <v>0.5</v>
      </c>
      <c r="G1123" s="414" t="s">
        <v>1453</v>
      </c>
      <c r="H1123" s="414">
        <v>10002976</v>
      </c>
      <c r="I1123" s="415">
        <v>84</v>
      </c>
      <c r="J1123" s="415">
        <v>289186</v>
      </c>
      <c r="K1123" s="414">
        <v>6</v>
      </c>
      <c r="L1123" s="414">
        <v>6710</v>
      </c>
      <c r="M1123" s="416">
        <v>0.10416666666666667</v>
      </c>
      <c r="N1123" s="417">
        <v>420</v>
      </c>
      <c r="O1123" s="109">
        <f>SUMIF($B$4:$B1122,"&lt;&gt;"&amp;$CS$13,O$4:O1122)</f>
        <v>-950</v>
      </c>
      <c r="P1123" s="108">
        <f>SUMIF($B$4:$B1122,"&lt;&gt;"&amp;$CS$13,N$4:N1122)</f>
        <v>1370</v>
      </c>
      <c r="Q1123" s="416">
        <v>3.472222222222222E-3</v>
      </c>
      <c r="R1123" s="416">
        <v>1.0416666666666666E-2</v>
      </c>
      <c r="S1123" s="414">
        <v>0</v>
      </c>
      <c r="T1123" s="414">
        <v>0</v>
      </c>
      <c r="U1123" s="414">
        <v>0</v>
      </c>
      <c r="V1123" s="414">
        <v>0</v>
      </c>
      <c r="W1123" s="417">
        <v>2</v>
      </c>
      <c r="X1123" s="417">
        <v>3</v>
      </c>
      <c r="Y1123" s="417">
        <v>0</v>
      </c>
      <c r="Z1123" s="417">
        <v>1</v>
      </c>
      <c r="AA1123" s="417">
        <v>0</v>
      </c>
      <c r="AB1123" s="417">
        <v>0</v>
      </c>
      <c r="AC1123" s="417">
        <v>0</v>
      </c>
      <c r="AD1123" s="417">
        <v>0</v>
      </c>
      <c r="AE1123" s="415">
        <v>0</v>
      </c>
      <c r="AF1123" s="419">
        <f>SUMIF($B$4:$B1122,"&lt;&gt;"&amp;$CS$13,AF$4:AF1122)</f>
        <v>1.8909722222222229</v>
      </c>
      <c r="AG1123" s="419">
        <f>SUMIF($B$4:$B1122,"&lt;&gt;"&amp;$CS$13,AG$4:AG1122)</f>
        <v>0</v>
      </c>
      <c r="AH1123" s="416">
        <f>AF1123+AG1123</f>
        <v>1.8909722222222229</v>
      </c>
      <c r="AI1123" s="485">
        <f>SUMIF($B$4:$B1122,"&lt;&gt;"&amp;$CS$13,AI$4:AI1122)</f>
        <v>1.4118055555555555</v>
      </c>
      <c r="AJ1123" s="416">
        <f>S$3*S1123+T$3*T1123+U$3*U1123+V$3*V1123+W$3*W1123+X$3*X1123+Y$3*Y1123+Z$3*Z1123+AA$3*AA1123+AB$3*AB1123+AC$3*AC1123</f>
        <v>0.47916666666666663</v>
      </c>
      <c r="AK1123" s="418">
        <v>0.56499999999999995</v>
      </c>
      <c r="AL1123" s="419" t="s">
        <v>1453</v>
      </c>
      <c r="AM1123" s="419" t="s">
        <v>1453</v>
      </c>
      <c r="AN1123" s="419" t="s">
        <v>1453</v>
      </c>
      <c r="AO1123" s="416" t="s">
        <v>1453</v>
      </c>
      <c r="AP1123" s="284">
        <v>0.5</v>
      </c>
      <c r="AQ1123" s="419" t="s">
        <v>1453</v>
      </c>
      <c r="AR1123" s="419" t="s">
        <v>1453</v>
      </c>
      <c r="AS1123" s="419" t="s">
        <v>1453</v>
      </c>
      <c r="AT1123" s="416" t="s">
        <v>1453</v>
      </c>
      <c r="AU1123" s="414">
        <v>665300</v>
      </c>
      <c r="AV1123" s="414">
        <v>1204500</v>
      </c>
      <c r="AW1123" s="414">
        <v>415200</v>
      </c>
      <c r="AX1123" s="417">
        <v>248800</v>
      </c>
      <c r="AY1123" s="415">
        <v>326500</v>
      </c>
      <c r="AZ1123" s="414">
        <v>12183</v>
      </c>
      <c r="BA1123" s="414">
        <v>12464</v>
      </c>
      <c r="BB1123" s="414">
        <v>7683</v>
      </c>
      <c r="BC1123" s="414">
        <v>17442</v>
      </c>
      <c r="BD1123" s="415">
        <v>5258</v>
      </c>
      <c r="BE1123" s="415">
        <v>-11940</v>
      </c>
      <c r="BF1123" s="414">
        <v>539000</v>
      </c>
      <c r="BG1123" s="414">
        <v>583000</v>
      </c>
      <c r="BH1123" s="414">
        <v>417000</v>
      </c>
      <c r="BI1123" s="414">
        <v>840000</v>
      </c>
      <c r="BJ1123" s="415">
        <v>367000</v>
      </c>
      <c r="BK1123" s="414">
        <v>11</v>
      </c>
      <c r="BL1123" s="415">
        <v>10</v>
      </c>
      <c r="BM1123" s="415">
        <v>10</v>
      </c>
      <c r="BN1123" s="414">
        <v>10</v>
      </c>
      <c r="BO1123" s="415">
        <v>6</v>
      </c>
      <c r="BP1123" s="414">
        <v>10</v>
      </c>
      <c r="BQ1123" s="415">
        <v>6</v>
      </c>
      <c r="BR1123" s="414">
        <v>10</v>
      </c>
      <c r="BS1123" s="415">
        <v>6</v>
      </c>
      <c r="BT1123" s="414">
        <v>10</v>
      </c>
      <c r="BU1123" s="415">
        <v>6</v>
      </c>
      <c r="BV1123" s="414">
        <v>10</v>
      </c>
      <c r="BW1123" s="415">
        <v>6</v>
      </c>
      <c r="BX1123" s="414">
        <v>10</v>
      </c>
      <c r="BY1123" s="415">
        <v>5</v>
      </c>
      <c r="BZ1123" s="414">
        <v>6</v>
      </c>
      <c r="CA1123" s="415">
        <v>4</v>
      </c>
      <c r="CB1123" s="415">
        <v>6</v>
      </c>
      <c r="CC1123" s="415">
        <v>10</v>
      </c>
      <c r="CD1123" s="415">
        <v>10</v>
      </c>
      <c r="CE1123" s="414">
        <v>10</v>
      </c>
      <c r="CF1123" s="414">
        <v>5</v>
      </c>
      <c r="CG1123" s="415">
        <v>1</v>
      </c>
      <c r="CH1123" s="414">
        <v>10</v>
      </c>
      <c r="CI1123" s="414">
        <v>0</v>
      </c>
      <c r="CJ1123" s="415">
        <v>0</v>
      </c>
      <c r="CK1123" s="415">
        <v>1</v>
      </c>
      <c r="CL1123" s="414">
        <v>237200</v>
      </c>
      <c r="CM1123" s="415" t="s">
        <v>1453</v>
      </c>
      <c r="CN1123" s="415" t="s">
        <v>1208</v>
      </c>
      <c r="CS1123" s="421"/>
    </row>
    <row r="1124" spans="1:108" ht="15" customHeight="1">
      <c r="B1124" s="506" t="s">
        <v>195</v>
      </c>
      <c r="C1124" s="127" t="s">
        <v>468</v>
      </c>
      <c r="D1124" s="144" t="s">
        <v>1898</v>
      </c>
      <c r="E1124" s="506">
        <v>29</v>
      </c>
      <c r="F1124" s="12">
        <v>0.5</v>
      </c>
      <c r="G1124" s="211">
        <v>16500</v>
      </c>
      <c r="H1124" s="211">
        <f t="shared" ref="H1124" si="404">G1124*(1+F1124)</f>
        <v>24750</v>
      </c>
      <c r="AF1124" s="141"/>
      <c r="AG1124" s="141"/>
      <c r="AH1124" s="137"/>
      <c r="AI1124" s="484"/>
      <c r="AJ1124" s="137">
        <f t="shared" si="371"/>
        <v>0.47916666666666663</v>
      </c>
      <c r="AU1124" s="211">
        <v>41250</v>
      </c>
      <c r="AV1124" s="213">
        <v>0</v>
      </c>
      <c r="AW1124" s="213">
        <v>0</v>
      </c>
      <c r="AX1124" s="213">
        <v>0</v>
      </c>
      <c r="AY1124" s="160">
        <v>8250</v>
      </c>
      <c r="CL1124" s="211">
        <v>7500</v>
      </c>
      <c r="CM1124" s="160">
        <f>CL1124</f>
        <v>7500</v>
      </c>
    </row>
    <row r="1125" spans="1:108" ht="15" customHeight="1">
      <c r="B1125" s="506" t="s">
        <v>143</v>
      </c>
      <c r="C1125" s="127" t="s">
        <v>466</v>
      </c>
      <c r="D1125" s="144" t="s">
        <v>1899</v>
      </c>
      <c r="E1125" s="506">
        <v>29</v>
      </c>
      <c r="F1125" s="12">
        <v>0.5</v>
      </c>
      <c r="G1125" s="101">
        <v>4400</v>
      </c>
      <c r="H1125" s="101">
        <f>G1125*(1+F1125)</f>
        <v>6600</v>
      </c>
      <c r="AF1125" s="141"/>
      <c r="AG1125" s="141"/>
      <c r="AH1125" s="137"/>
      <c r="AI1125" s="484"/>
      <c r="AJ1125" s="137">
        <f t="shared" si="371"/>
        <v>0.47916666666666663</v>
      </c>
      <c r="AU1125" s="101">
        <v>11000</v>
      </c>
      <c r="AV1125" s="101">
        <v>0</v>
      </c>
      <c r="AW1125" s="101">
        <v>0</v>
      </c>
      <c r="AX1125" s="101">
        <v>0</v>
      </c>
      <c r="AY1125" s="100">
        <v>0</v>
      </c>
    </row>
    <row r="1126" spans="1:108" ht="15" customHeight="1">
      <c r="B1126" s="506" t="s">
        <v>144</v>
      </c>
      <c r="C1126" s="127" t="s">
        <v>138</v>
      </c>
      <c r="D1126" s="144" t="s">
        <v>1900</v>
      </c>
      <c r="E1126" s="506">
        <v>29</v>
      </c>
      <c r="F1126" s="12">
        <v>0.5</v>
      </c>
      <c r="G1126" s="94">
        <f>VLOOKUP($D1126,Construction!$B:$E,(COLUMN(Construction_BuildingReward_HeroXP)-COLUMN(Construction_Name_and_Level)+1),FALSE)</f>
        <v>500</v>
      </c>
      <c r="H1126" s="94">
        <f>G1126*(1+F1126)</f>
        <v>750</v>
      </c>
      <c r="J1126" s="95">
        <f>VLOOKUP($D1126,Construction!$B:$F,(COLUMN(Construction_BuildingReward_Power)-COLUMN(Construction_Name_and_Level)+1),FALSE)</f>
        <v>430</v>
      </c>
      <c r="Q1126" s="139">
        <v>3.472222222222222E-3</v>
      </c>
      <c r="R1126" s="289">
        <v>1.0416666666666666E-2</v>
      </c>
      <c r="AF1126" s="141"/>
      <c r="AG1126" s="141"/>
      <c r="AH1126" s="137"/>
      <c r="AI1126" s="484"/>
      <c r="AJ1126" s="137">
        <f t="shared" si="371"/>
        <v>0.47916666666666663</v>
      </c>
      <c r="AK1126" s="339">
        <v>0.56499999999999995</v>
      </c>
      <c r="AL1126" s="138">
        <f>VLOOKUP($D1126,Construction!$B:$C,(COLUMN(Construction_Time)-COLUMN(Construction_Name_and_Level)+1),FALSE)</f>
        <v>0.35555555555555557</v>
      </c>
      <c r="AM1126" s="138">
        <f t="shared" ref="AM1126" si="405">AL1126/(1+AK1126)</f>
        <v>0.22719204827831027</v>
      </c>
      <c r="AN1126" s="138">
        <f>(S$3*S1126+T$3*T1126+V$3*V1126+W$3*W1126+X$3*X1126+Y$3*Y1126+Z$3*Z1126+AA$3*AA1126+AB$3*AB1126+AC$3*AC1126)*(-1)</f>
        <v>0</v>
      </c>
      <c r="AO1126" s="139">
        <f>IF((AM1126-Q1126-R1126-AN1126)&gt;=0,AM1126-Q1126-R1126-AN1126,0)</f>
        <v>0.2133031593894214</v>
      </c>
      <c r="AU1126" s="94">
        <f>VLOOKUP($D1126,Construction!$B:$J,(COLUMN(Construction_BuildingCost_Stone)-COLUMN(Construction_Name_and_Level)+1),FALSE)*(-1)</f>
        <v>-30132</v>
      </c>
      <c r="AV1126" s="94">
        <f>VLOOKUP($D1126,Construction!$B:$J,(COLUMN(Construction_BuildingCost_Wood)-COLUMN(Construction_Name_and_Level)+1),FALSE)*(-1)</f>
        <v>-30132</v>
      </c>
      <c r="AW1126" s="94">
        <f>VLOOKUP($D1126,Construction!$B:$J,(COLUMN(Construction_BuildingCost_Ore)-COLUMN(Construction_Name_and_Level)+1),FALSE)*(-1)</f>
        <v>-30132</v>
      </c>
      <c r="AX1126" s="94">
        <f>VLOOKUP($D1126,Construction!$B:$J,(COLUMN(Construction_BuildingCost_Food)-COLUMN(Construction_Name_and_Level)+1),FALSE)*(-1)</f>
        <v>0</v>
      </c>
      <c r="BK1126" s="7"/>
      <c r="BL1126" s="19"/>
    </row>
    <row r="1127" spans="1:108" ht="15" customHeight="1">
      <c r="B1127" s="506" t="s">
        <v>146</v>
      </c>
      <c r="C1127" s="127" t="s">
        <v>138</v>
      </c>
      <c r="D1127" s="144" t="s">
        <v>1901</v>
      </c>
      <c r="E1127" s="506">
        <v>29</v>
      </c>
      <c r="F1127" s="12">
        <v>0.5</v>
      </c>
      <c r="G1127" s="111">
        <f>VLOOKUP($D1127,Research!$C:$F,(COLUMN(Research_ResearchReward_HeroXP)-COLUMN(Research_Name_and_Level)+1),FALSE)</f>
        <v>120000</v>
      </c>
      <c r="H1127" s="111">
        <f t="shared" ref="H1127" si="406">G1127*(1+F1127)</f>
        <v>180000</v>
      </c>
      <c r="J1127" s="115">
        <f>VLOOKUP($D1127,Research!$C:$G,(COLUMN(Research_ResearchReward_Power)-COLUMN(Research_Name_and_Level)+1),FALSE)</f>
        <v>4685</v>
      </c>
      <c r="R1127" s="148">
        <v>1.0416666666666666E-2</v>
      </c>
      <c r="AF1127" s="141"/>
      <c r="AG1127" s="141"/>
      <c r="AH1127" s="137"/>
      <c r="AI1127" s="484"/>
      <c r="AJ1127" s="137">
        <f t="shared" ref="AJ1127:AJ1152" si="407">AJ1126+(S$3*S1127+T$3*T1127+U$3*U1127+V$3*V1127+W$3*W1127+X$3*X1127+Y$3*Y1127+Z$3*Z1127+AA$3*AA1127+AB$3*AB1127+AC$3*AC1127)</f>
        <v>0.47916666666666663</v>
      </c>
      <c r="AP1127" s="256">
        <v>0.5</v>
      </c>
      <c r="AQ1127" s="147">
        <f>VLOOKUP($D1127,Research!$C:$D,(COLUMN(Research_Time)-COLUMN(Research_Name_and_Level)+1),FALSE)</f>
        <v>1.3263888888888888</v>
      </c>
      <c r="AR1127" s="147">
        <f>AQ1127/(1+AP1127)</f>
        <v>0.88425925925925919</v>
      </c>
      <c r="AS1127" s="147">
        <f>(S$3*S1127+T$3*T1127+V$3*V1127+W$3*W1127+X$3*X1127+Y$3*Y1127+Z$3*Z1127+AA$3*AA1127+AB$3*AB1127+AC$3*AC1127)*(-1)</f>
        <v>0</v>
      </c>
      <c r="AT1127" s="148">
        <f>IF(AR1127-R1127-AS1127&gt;=0,AR1127-R1127-AS1127,0)</f>
        <v>0.87384259259259256</v>
      </c>
      <c r="AU1127" s="111">
        <f>VLOOKUP($D1127,Research!$C:$L,(COLUMN(Research_ResearchCost_Stone)-COLUMN(Research_Name_and_Level)+1),FALSE)*(-1)</f>
        <v>0</v>
      </c>
      <c r="AV1127" s="111">
        <f>VLOOKUP($D1127,Research!$C:$L,(COLUMN(Research_ResearchCost_Wood)-COLUMN(Research_Name_and_Level)+1),FALSE)*(-1)</f>
        <v>-40000</v>
      </c>
      <c r="AW1127" s="111">
        <f>VLOOKUP($D1127,Research!$C:$L,(COLUMN(Research_ResearchCost_Ore)-COLUMN(Research_Name_and_Level)+1),FALSE)*(-1)</f>
        <v>-30000</v>
      </c>
      <c r="AX1127" s="111">
        <f>VLOOKUP($D1127,Research!$C:$L,(COLUMN(Research_ResearchCost_Food)-COLUMN(Research_Name_and_Level)+1),FALSE)*(-1)</f>
        <v>-40000</v>
      </c>
      <c r="AY1127" s="112">
        <f>VLOOKUP($D1127,Research!$C:$L,(COLUMN(Research_ResearchCost_Silver)-COLUMN(Research_Name_and_Level)+1),FALSE)*(-1)</f>
        <v>-93700</v>
      </c>
      <c r="BK1127" s="7"/>
      <c r="BL1127" s="19"/>
    </row>
    <row r="1128" spans="1:108" ht="15" customHeight="1">
      <c r="B1128" s="506" t="s">
        <v>624</v>
      </c>
      <c r="C1128" s="127" t="s">
        <v>623</v>
      </c>
      <c r="D1128" s="144" t="s">
        <v>1422</v>
      </c>
      <c r="E1128" s="506">
        <v>29</v>
      </c>
      <c r="AF1128" s="141"/>
      <c r="AG1128" s="141"/>
      <c r="AH1128" s="137"/>
      <c r="AI1128" s="484"/>
      <c r="AJ1128" s="137">
        <f t="shared" si="407"/>
        <v>0.47916666666666663</v>
      </c>
      <c r="AU1128" s="30">
        <v>0</v>
      </c>
      <c r="AV1128" s="30">
        <v>0</v>
      </c>
      <c r="AW1128" s="30">
        <v>0</v>
      </c>
      <c r="AX1128" s="30">
        <v>58059</v>
      </c>
      <c r="AY1128" s="31">
        <v>0</v>
      </c>
    </row>
    <row r="1129" spans="1:108" ht="15" customHeight="1">
      <c r="B1129" s="506" t="s">
        <v>143</v>
      </c>
      <c r="C1129" s="127" t="s">
        <v>142</v>
      </c>
      <c r="D1129" s="144" t="s">
        <v>1873</v>
      </c>
      <c r="E1129" s="506">
        <v>29</v>
      </c>
      <c r="F1129" s="12">
        <v>0.5</v>
      </c>
      <c r="G1129" s="101">
        <f>VLOOKUP($D1129,Construction!$B:$L,(COLUMN(Construction_QuestReward_HeroXP)-COLUMN(Construction_Name_and_Level)+1),FALSE)</f>
        <v>10000</v>
      </c>
      <c r="H1129" s="101">
        <f>G1129*(1+F1129)</f>
        <v>15000</v>
      </c>
      <c r="J1129" s="100">
        <f>VLOOKUP($D1129,Construction!$B:$L,(COLUMN(Construction_QuestReward_Power)-COLUMN(Construction_Name_and_Level)+1),FALSE)</f>
        <v>400</v>
      </c>
      <c r="AF1129" s="141"/>
      <c r="AG1129" s="141"/>
      <c r="AH1129" s="137"/>
      <c r="AI1129" s="484"/>
      <c r="AJ1129" s="137">
        <f t="shared" si="407"/>
        <v>0.47916666666666663</v>
      </c>
      <c r="AU1129" s="101">
        <f>VLOOKUP($D1129,Construction!$B:$Q,(COLUMN(Construction_QuestReward_Stone)-COLUMN(Construction_Name_and_Level)+1),FALSE)</f>
        <v>8025</v>
      </c>
      <c r="AV1129" s="101">
        <f>VLOOKUP($D1129,Construction!$B:$Q,(COLUMN(Construction_QuestReward_Wood)-COLUMN(Construction_Name_and_Level)+1),FALSE)</f>
        <v>8025</v>
      </c>
      <c r="AW1129" s="101">
        <f>VLOOKUP($D1129,Construction!$B:$Q,(COLUMN(Construction_QuestReward_Ore)-COLUMN(Construction_Name_and_Level)+1),FALSE)</f>
        <v>2016</v>
      </c>
      <c r="AX1129" s="101">
        <f>VLOOKUP($D1129,Construction!$B:$Q,(COLUMN(Construction_QuestReward_Food)-COLUMN(Construction_Name_and_Level)+1),FALSE)</f>
        <v>20049</v>
      </c>
      <c r="AY1129" s="100">
        <f>VLOOKUP($D1129,Construction!$B:$Q,(COLUMN(Construction_QuestReward_Silver)-COLUMN(Construction_Name_and_Level)+1),FALSE)</f>
        <v>100</v>
      </c>
    </row>
    <row r="1130" spans="1:108" ht="15" customHeight="1">
      <c r="B1130" s="506" t="s">
        <v>143</v>
      </c>
      <c r="C1130" s="127" t="s">
        <v>142</v>
      </c>
      <c r="D1130" s="144" t="s">
        <v>1889</v>
      </c>
      <c r="E1130" s="506">
        <v>29</v>
      </c>
      <c r="F1130" s="12">
        <v>0.5</v>
      </c>
      <c r="G1130" s="101">
        <f>VLOOKUP($D1130,Construction!$B:$L,(COLUMN(Construction_QuestReward_HeroXP)-COLUMN(Construction_Name_and_Level)+1),FALSE)</f>
        <v>30000</v>
      </c>
      <c r="H1130" s="101">
        <f>G1130*(1+F1130)</f>
        <v>45000</v>
      </c>
      <c r="J1130" s="100">
        <f>VLOOKUP($D1130,Construction!$B:$L,(COLUMN(Construction_QuestReward_Power)-COLUMN(Construction_Name_and_Level)+1),FALSE)</f>
        <v>650</v>
      </c>
      <c r="AF1130" s="141"/>
      <c r="AG1130" s="141"/>
      <c r="AH1130" s="137"/>
      <c r="AI1130" s="484"/>
      <c r="AJ1130" s="137">
        <f t="shared" si="407"/>
        <v>0.47916666666666663</v>
      </c>
      <c r="AU1130" s="101">
        <f>VLOOKUP($D1130,Construction!$B:$Q,(COLUMN(Construction_QuestReward_Stone)-COLUMN(Construction_Name_and_Level)+1),FALSE)</f>
        <v>20049</v>
      </c>
      <c r="AV1130" s="101">
        <f>VLOOKUP($D1130,Construction!$B:$Q,(COLUMN(Construction_QuestReward_Wood)-COLUMN(Construction_Name_and_Level)+1),FALSE)</f>
        <v>16046</v>
      </c>
      <c r="AW1130" s="101">
        <f>VLOOKUP($D1130,Construction!$B:$Q,(COLUMN(Construction_QuestReward_Ore)-COLUMN(Construction_Name_and_Level)+1),FALSE)</f>
        <v>12028</v>
      </c>
      <c r="AX1130" s="101">
        <f>VLOOKUP($D1130,Construction!$B:$Q,(COLUMN(Construction_QuestReward_Food)-COLUMN(Construction_Name_and_Level)+1),FALSE)</f>
        <v>10036</v>
      </c>
      <c r="AY1130" s="100">
        <f>VLOOKUP($D1130,Construction!$B:$Q,(COLUMN(Construction_QuestReward_Silver)-COLUMN(Construction_Name_and_Level)+1),FALSE)</f>
        <v>335</v>
      </c>
    </row>
    <row r="1131" spans="1:108" ht="15" customHeight="1">
      <c r="B1131" s="506" t="s">
        <v>143</v>
      </c>
      <c r="C1131" s="127" t="s">
        <v>142</v>
      </c>
      <c r="D1131" s="144" t="s">
        <v>1888</v>
      </c>
      <c r="E1131" s="506">
        <v>29</v>
      </c>
      <c r="F1131" s="12">
        <v>0.5</v>
      </c>
      <c r="G1131" s="101">
        <f>VLOOKUP($D1131,Construction!$B:$L,(COLUMN(Construction_QuestReward_HeroXP)-COLUMN(Construction_Name_and_Level)+1),FALSE)</f>
        <v>30000</v>
      </c>
      <c r="H1131" s="101">
        <f>G1131*(1+F1131)</f>
        <v>45000</v>
      </c>
      <c r="J1131" s="100">
        <f>VLOOKUP($D1131,Construction!$B:$L,(COLUMN(Construction_QuestReward_Power)-COLUMN(Construction_Name_and_Level)+1),FALSE)</f>
        <v>400</v>
      </c>
      <c r="AF1131" s="141"/>
      <c r="AG1131" s="141"/>
      <c r="AH1131" s="137"/>
      <c r="AI1131" s="484"/>
      <c r="AJ1131" s="137">
        <f t="shared" si="407"/>
        <v>0.47916666666666663</v>
      </c>
      <c r="AU1131" s="101">
        <f>VLOOKUP($D1131,Construction!$B:$Q,(COLUMN(Construction_QuestReward_Stone)-COLUMN(Construction_Name_and_Level)+1),FALSE)</f>
        <v>10084</v>
      </c>
      <c r="AV1131" s="101">
        <f>VLOOKUP($D1131,Construction!$B:$Q,(COLUMN(Construction_QuestReward_Wood)-COLUMN(Construction_Name_and_Level)+1),FALSE)</f>
        <v>5049</v>
      </c>
      <c r="AW1131" s="101">
        <f>VLOOKUP($D1131,Construction!$B:$Q,(COLUMN(Construction_QuestReward_Ore)-COLUMN(Construction_Name_and_Level)+1),FALSE)</f>
        <v>5049</v>
      </c>
      <c r="AX1131" s="101">
        <f>VLOOKUP($D1131,Construction!$B:$Q,(COLUMN(Construction_QuestReward_Food)-COLUMN(Construction_Name_and_Level)+1),FALSE)</f>
        <v>15120</v>
      </c>
      <c r="AY1131" s="100">
        <f>VLOOKUP($D1131,Construction!$B:$Q,(COLUMN(Construction_QuestReward_Silver)-COLUMN(Construction_Name_and_Level)+1),FALSE)</f>
        <v>325</v>
      </c>
    </row>
    <row r="1132" spans="1:108" ht="15" customHeight="1">
      <c r="B1132" s="506" t="s">
        <v>143</v>
      </c>
      <c r="C1132" s="127" t="s">
        <v>142</v>
      </c>
      <c r="D1132" s="144" t="s">
        <v>1875</v>
      </c>
      <c r="E1132" s="506">
        <v>29</v>
      </c>
      <c r="F1132" s="12">
        <v>0.5</v>
      </c>
      <c r="G1132" s="101">
        <f>VLOOKUP($D1132,Construction!$B:$L,(COLUMN(Construction_QuestReward_HeroXP)-COLUMN(Construction_Name_and_Level)+1),FALSE)</f>
        <v>70000</v>
      </c>
      <c r="H1132" s="101">
        <f>G1132*(1+F1132)</f>
        <v>105000</v>
      </c>
      <c r="J1132" s="100">
        <f>VLOOKUP($D1132,Construction!$B:$L,(COLUMN(Construction_QuestReward_Power)-COLUMN(Construction_Name_and_Level)+1),FALSE)</f>
        <v>975</v>
      </c>
      <c r="AF1132" s="141"/>
      <c r="AG1132" s="141"/>
      <c r="AH1132" s="137"/>
      <c r="AI1132" s="484"/>
      <c r="AJ1132" s="137">
        <f t="shared" si="407"/>
        <v>0.47916666666666663</v>
      </c>
      <c r="AU1132" s="101">
        <f>VLOOKUP($D1132,Construction!$B:$Q,(COLUMN(Construction_QuestReward_Stone)-COLUMN(Construction_Name_and_Level)+1),FALSE)</f>
        <v>50390</v>
      </c>
      <c r="AV1132" s="101">
        <f>VLOOKUP($D1132,Construction!$B:$Q,(COLUMN(Construction_QuestReward_Wood)-COLUMN(Construction_Name_and_Level)+1),FALSE)</f>
        <v>40315</v>
      </c>
      <c r="AW1132" s="101">
        <f>VLOOKUP($D1132,Construction!$B:$Q,(COLUMN(Construction_QuestReward_Ore)-COLUMN(Construction_Name_and_Level)+1),FALSE)</f>
        <v>15120</v>
      </c>
      <c r="AX1132" s="101">
        <f>VLOOKUP($D1132,Construction!$B:$Q,(COLUMN(Construction_QuestReward_Food)-COLUMN(Construction_Name_and_Level)+1),FALSE)</f>
        <v>25195</v>
      </c>
      <c r="AY1132" s="100">
        <f>VLOOKUP($D1132,Construction!$B:$Q,(COLUMN(Construction_QuestReward_Silver)-COLUMN(Construction_Name_and_Level)+1),FALSE)</f>
        <v>675</v>
      </c>
    </row>
    <row r="1133" spans="1:108" ht="15" customHeight="1">
      <c r="B1133" s="506" t="s">
        <v>143</v>
      </c>
      <c r="C1133" s="127" t="s">
        <v>142</v>
      </c>
      <c r="D1133" s="144" t="s">
        <v>1891</v>
      </c>
      <c r="E1133" s="506">
        <v>29</v>
      </c>
      <c r="F1133" s="12">
        <v>0.5</v>
      </c>
      <c r="G1133" s="101">
        <f>VLOOKUP($D1133,Construction!$B:$L,(COLUMN(Construction_QuestReward_HeroXP)-COLUMN(Construction_Name_and_Level)+1),FALSE)</f>
        <v>150000</v>
      </c>
      <c r="H1133" s="101">
        <f>G1133*(1+F1133)</f>
        <v>225000</v>
      </c>
      <c r="J1133" s="100">
        <f>VLOOKUP($D1133,Construction!$B:$L,(COLUMN(Construction_QuestReward_Power)-COLUMN(Construction_Name_and_Level)+1),FALSE)</f>
        <v>2500</v>
      </c>
      <c r="AF1133" s="141"/>
      <c r="AG1133" s="141"/>
      <c r="AH1133" s="137"/>
      <c r="AI1133" s="484"/>
      <c r="AJ1133" s="137">
        <f t="shared" si="407"/>
        <v>0.47916666666666663</v>
      </c>
      <c r="AU1133" s="101">
        <f>VLOOKUP($D1133,Construction!$B:$Q,(COLUMN(Construction_QuestReward_Stone)-COLUMN(Construction_Name_and_Level)+1),FALSE)</f>
        <v>68714</v>
      </c>
      <c r="AV1133" s="101">
        <f>VLOOKUP($D1133,Construction!$B:$Q,(COLUMN(Construction_QuestReward_Wood)-COLUMN(Construction_Name_and_Level)+1),FALSE)</f>
        <v>68714</v>
      </c>
      <c r="AW1133" s="101">
        <f>VLOOKUP($D1133,Construction!$B:$Q,(COLUMN(Construction_QuestReward_Ore)-COLUMN(Construction_Name_and_Level)+1),FALSE)</f>
        <v>27490</v>
      </c>
      <c r="AX1133" s="101">
        <f>VLOOKUP($D1133,Construction!$B:$Q,(COLUMN(Construction_QuestReward_Food)-COLUMN(Construction_Name_and_Level)+1),FALSE)</f>
        <v>34357</v>
      </c>
      <c r="AY1133" s="100">
        <f>VLOOKUP($D1133,Construction!$B:$Q,(COLUMN(Construction_QuestReward_Silver)-COLUMN(Construction_Name_and_Level)+1),FALSE)</f>
        <v>600</v>
      </c>
    </row>
    <row r="1134" spans="1:108" ht="15" customHeight="1">
      <c r="B1134" s="102" t="s">
        <v>1455</v>
      </c>
      <c r="C1134" s="127" t="s">
        <v>170</v>
      </c>
      <c r="D1134" s="144" t="s">
        <v>1851</v>
      </c>
      <c r="E1134" s="506">
        <v>29</v>
      </c>
      <c r="F1134" s="12">
        <v>0.5</v>
      </c>
      <c r="G1134" s="101">
        <f>VLOOKUP($D1134,Research!$C:$M,(COLUMN(Research_QuestReward_HeroXP)-COLUMN(Research_Name_and_Level)+1),FALSE)</f>
        <v>60000</v>
      </c>
      <c r="H1134" s="101">
        <f t="shared" ref="H1134" si="408">G1134*(1+F1134)</f>
        <v>90000</v>
      </c>
      <c r="J1134" s="103">
        <f>VLOOKUP($D1134,Research!$C:$N,(COLUMN(Research_QuestReward_Power)-COLUMN(Research_Name_and_Level)+1),FALSE)</f>
        <v>2500</v>
      </c>
      <c r="AF1134" s="141"/>
      <c r="AG1134" s="141"/>
      <c r="AH1134" s="137"/>
      <c r="AI1134" s="484"/>
      <c r="AJ1134" s="137">
        <f t="shared" si="407"/>
        <v>0.47916666666666663</v>
      </c>
      <c r="AU1134" s="101">
        <f>VLOOKUP($D1134,Research!$C:$S,(COLUMN(Research_QuestReward_Stone)-COLUMN(Research_Name_and_Level)+1),FALSE)</f>
        <v>200000</v>
      </c>
      <c r="AV1134" s="101">
        <f>VLOOKUP($D1134,Research!$C:$S,(COLUMN(Research_QuestReward_Wood)-COLUMN(Research_Name_and_Level)+1),FALSE)</f>
        <v>0</v>
      </c>
      <c r="AW1134" s="101">
        <f>VLOOKUP($D1134,Research!$C:$S,(COLUMN(Research_QuestReward_Ore)-COLUMN(Research_Name_and_Level)+1),FALSE)</f>
        <v>150000</v>
      </c>
      <c r="AX1134" s="101">
        <f>VLOOKUP($D1134,Research!$C:$S,(COLUMN(Research_QuestReward_Food)-COLUMN(Research_Name_and_Level)+1),FALSE)</f>
        <v>200000</v>
      </c>
      <c r="AY1134" s="100">
        <f>VLOOKUP($D1134,Research!$C:$S,(COLUMN(Research_QuestReward_Silver)-COLUMN(Research_Name_and_Level)+1),FALSE)</f>
        <v>180000</v>
      </c>
      <c r="CT1134" s="127"/>
      <c r="CU1134" s="127"/>
      <c r="CV1134" s="127"/>
      <c r="CW1134" s="127"/>
      <c r="CX1134" s="127"/>
      <c r="CY1134" s="127"/>
      <c r="CZ1134" s="127"/>
      <c r="DA1134" s="127"/>
      <c r="DB1134" s="127"/>
      <c r="DC1134" s="127"/>
      <c r="DD1134" s="127"/>
    </row>
    <row r="1135" spans="1:108" ht="15" customHeight="1">
      <c r="B1135" s="126" t="s">
        <v>1457</v>
      </c>
      <c r="C1135" s="127" t="s">
        <v>147</v>
      </c>
      <c r="D1135" s="144" t="s">
        <v>1902</v>
      </c>
      <c r="E1135" s="506">
        <v>30</v>
      </c>
      <c r="I1135" s="5">
        <v>5</v>
      </c>
      <c r="J1135" s="5">
        <v>10345</v>
      </c>
      <c r="K1135" s="423"/>
      <c r="Q1135" s="149"/>
      <c r="AF1135" s="141"/>
      <c r="AG1135" s="141"/>
      <c r="AH1135" s="137"/>
      <c r="AI1135" s="484"/>
      <c r="AJ1135" s="137">
        <f t="shared" si="407"/>
        <v>0.47916666666666663</v>
      </c>
      <c r="AX1135" s="11"/>
    </row>
    <row r="1136" spans="1:108" s="420" customFormat="1" ht="15" customHeight="1">
      <c r="A1136" s="487"/>
      <c r="B1136" s="411" t="s">
        <v>171</v>
      </c>
      <c r="C1136" s="412"/>
      <c r="D1136" s="412" t="s">
        <v>1903</v>
      </c>
      <c r="E1136" s="411">
        <v>30</v>
      </c>
      <c r="F1136" s="413">
        <v>0.5</v>
      </c>
      <c r="G1136" s="414" t="s">
        <v>1453</v>
      </c>
      <c r="H1136" s="414">
        <v>10740076</v>
      </c>
      <c r="I1136" s="415">
        <v>89</v>
      </c>
      <c r="J1136" s="415">
        <v>312071</v>
      </c>
      <c r="K1136" s="414">
        <v>6</v>
      </c>
      <c r="L1136" s="414">
        <v>7140</v>
      </c>
      <c r="M1136" s="416">
        <v>0.10416666666666667</v>
      </c>
      <c r="N1136" s="417">
        <v>420</v>
      </c>
      <c r="O1136" s="109">
        <f>SUMIF($B$4:$B1135,"&lt;&gt;"&amp;$CS$13,O$4:O1135)</f>
        <v>-950</v>
      </c>
      <c r="P1136" s="108">
        <f>SUMIF($B$4:$B1135,"&lt;&gt;"&amp;$CS$13,N$4:N1135)</f>
        <v>1370</v>
      </c>
      <c r="Q1136" s="416">
        <v>3.472222222222222E-3</v>
      </c>
      <c r="R1136" s="416">
        <v>1.0416666666666666E-2</v>
      </c>
      <c r="S1136" s="414">
        <v>0</v>
      </c>
      <c r="T1136" s="414">
        <v>0</v>
      </c>
      <c r="U1136" s="414">
        <v>0</v>
      </c>
      <c r="V1136" s="414">
        <v>0</v>
      </c>
      <c r="W1136" s="417">
        <v>2</v>
      </c>
      <c r="X1136" s="417">
        <v>3</v>
      </c>
      <c r="Y1136" s="417">
        <v>0</v>
      </c>
      <c r="Z1136" s="417">
        <v>1</v>
      </c>
      <c r="AA1136" s="417">
        <v>0</v>
      </c>
      <c r="AB1136" s="417">
        <v>0</v>
      </c>
      <c r="AC1136" s="417">
        <v>0</v>
      </c>
      <c r="AD1136" s="417">
        <v>0</v>
      </c>
      <c r="AE1136" s="415">
        <v>0</v>
      </c>
      <c r="AF1136" s="419">
        <f>SUMIF($B$4:$B1135,"&lt;&gt;"&amp;$CS$13,AF$4:AF1135)</f>
        <v>1.8909722222222229</v>
      </c>
      <c r="AG1136" s="419">
        <f>SUMIF($B$4:$B1135,"&lt;&gt;"&amp;$CS$13,AG$4:AG1135)</f>
        <v>0</v>
      </c>
      <c r="AH1136" s="416">
        <f>AF1136+AG1136</f>
        <v>1.8909722222222229</v>
      </c>
      <c r="AI1136" s="485">
        <f>SUMIF($B$4:$B1135,"&lt;&gt;"&amp;$CS$13,AI$4:AI1135)</f>
        <v>1.4118055555555555</v>
      </c>
      <c r="AJ1136" s="416">
        <f>S$3*S1136+T$3*T1136+U$3*U1136+V$3*V1136+W$3*W1136+X$3*X1136+Y$3*Y1136+Z$3*Z1136+AA$3*AA1136+AB$3*AB1136+AC$3*AC1136</f>
        <v>0.47916666666666663</v>
      </c>
      <c r="AK1136" s="418">
        <v>0.56499999999999995</v>
      </c>
      <c r="AL1136" s="419" t="s">
        <v>1453</v>
      </c>
      <c r="AM1136" s="419" t="s">
        <v>1453</v>
      </c>
      <c r="AN1136" s="419" t="s">
        <v>1453</v>
      </c>
      <c r="AO1136" s="416" t="s">
        <v>1453</v>
      </c>
      <c r="AP1136" s="284">
        <v>0.5</v>
      </c>
      <c r="AQ1136" s="419" t="s">
        <v>1453</v>
      </c>
      <c r="AR1136" s="419" t="s">
        <v>1453</v>
      </c>
      <c r="AS1136" s="419" t="s">
        <v>1453</v>
      </c>
      <c r="AT1136" s="416" t="s">
        <v>1453</v>
      </c>
      <c r="AU1136" s="414">
        <v>1076900</v>
      </c>
      <c r="AV1136" s="414">
        <v>1355700</v>
      </c>
      <c r="AW1136" s="414">
        <v>629700</v>
      </c>
      <c r="AX1136" s="417">
        <v>808800</v>
      </c>
      <c r="AY1136" s="415">
        <v>557300</v>
      </c>
      <c r="AZ1136" s="414">
        <v>12183</v>
      </c>
      <c r="BA1136" s="414">
        <v>12464</v>
      </c>
      <c r="BB1136" s="414">
        <v>8687</v>
      </c>
      <c r="BC1136" s="414">
        <v>18283</v>
      </c>
      <c r="BD1136" s="415">
        <v>5258</v>
      </c>
      <c r="BE1136" s="415">
        <v>-11940</v>
      </c>
      <c r="BF1136" s="414">
        <v>539000</v>
      </c>
      <c r="BG1136" s="414">
        <v>583000</v>
      </c>
      <c r="BH1136" s="414">
        <v>417000</v>
      </c>
      <c r="BI1136" s="414">
        <v>895000</v>
      </c>
      <c r="BJ1136" s="415">
        <v>367000</v>
      </c>
      <c r="BK1136" s="414">
        <v>11</v>
      </c>
      <c r="BL1136" s="415">
        <v>10</v>
      </c>
      <c r="BM1136" s="415">
        <v>10</v>
      </c>
      <c r="BN1136" s="414">
        <v>11</v>
      </c>
      <c r="BO1136" s="415">
        <v>6</v>
      </c>
      <c r="BP1136" s="414">
        <v>10</v>
      </c>
      <c r="BQ1136" s="415">
        <v>6</v>
      </c>
      <c r="BR1136" s="414">
        <v>10</v>
      </c>
      <c r="BS1136" s="415">
        <v>6</v>
      </c>
      <c r="BT1136" s="414">
        <v>10</v>
      </c>
      <c r="BU1136" s="415">
        <v>6</v>
      </c>
      <c r="BV1136" s="414">
        <v>10</v>
      </c>
      <c r="BW1136" s="415">
        <v>6</v>
      </c>
      <c r="BX1136" s="414">
        <v>10</v>
      </c>
      <c r="BY1136" s="415">
        <v>5</v>
      </c>
      <c r="BZ1136" s="414">
        <v>6</v>
      </c>
      <c r="CA1136" s="415">
        <v>4</v>
      </c>
      <c r="CB1136" s="415">
        <v>6</v>
      </c>
      <c r="CC1136" s="415">
        <v>10</v>
      </c>
      <c r="CD1136" s="415">
        <v>10</v>
      </c>
      <c r="CE1136" s="414">
        <v>10</v>
      </c>
      <c r="CF1136" s="414">
        <v>5</v>
      </c>
      <c r="CG1136" s="415">
        <v>1</v>
      </c>
      <c r="CH1136" s="414">
        <v>10</v>
      </c>
      <c r="CI1136" s="414">
        <v>0</v>
      </c>
      <c r="CJ1136" s="415">
        <v>0</v>
      </c>
      <c r="CK1136" s="415">
        <v>1</v>
      </c>
      <c r="CL1136" s="414">
        <v>246700</v>
      </c>
      <c r="CM1136" s="415" t="s">
        <v>1453</v>
      </c>
      <c r="CN1136" s="415" t="s">
        <v>1208</v>
      </c>
      <c r="CS1136" s="421"/>
    </row>
    <row r="1137" spans="2:108" ht="15" customHeight="1">
      <c r="B1137" s="506" t="s">
        <v>195</v>
      </c>
      <c r="C1137" s="127" t="s">
        <v>1750</v>
      </c>
      <c r="D1137" s="144" t="s">
        <v>1860</v>
      </c>
      <c r="E1137" s="506">
        <v>30</v>
      </c>
      <c r="Y1137" s="213">
        <v>1</v>
      </c>
      <c r="AF1137" s="141">
        <f>$S$3*$S1137+$T$3*$T1137+$U$3*$U1137+$V$3*$V1137+$W$3*$W1137+$X$3*$X1137+$Y$3*$Y1137+$Z$3*$Z1137+$AA$3*$AA1137+$AB$3*$AB1137+$AC$3*$AC1137</f>
        <v>0.125</v>
      </c>
      <c r="AJ1137" s="137">
        <f t="shared" si="407"/>
        <v>0.60416666666666663</v>
      </c>
    </row>
    <row r="1138" spans="2:108" ht="15" customHeight="1">
      <c r="B1138" s="506" t="s">
        <v>143</v>
      </c>
      <c r="C1138" s="127" t="s">
        <v>142</v>
      </c>
      <c r="D1138" s="144" t="s">
        <v>1900</v>
      </c>
      <c r="E1138" s="506">
        <v>30</v>
      </c>
      <c r="F1138" s="12">
        <v>0.5</v>
      </c>
      <c r="G1138" s="101">
        <f>VLOOKUP($D1138,Construction!$B:$L,(COLUMN(Construction_QuestReward_HeroXP)-COLUMN(Construction_Name_and_Level)+1),FALSE)</f>
        <v>20000</v>
      </c>
      <c r="H1138" s="101">
        <f>G1138*(1+F1138)</f>
        <v>30000</v>
      </c>
      <c r="J1138" s="100">
        <f>VLOOKUP($D1138,Construction!$B:$L,(COLUMN(Construction_QuestReward_Power)-COLUMN(Construction_Name_and_Level)+1),FALSE)</f>
        <v>250</v>
      </c>
      <c r="AF1138" s="141"/>
      <c r="AG1138" s="141"/>
      <c r="AH1138" s="137"/>
      <c r="AI1138" s="484"/>
      <c r="AJ1138" s="137">
        <f t="shared" si="407"/>
        <v>0.60416666666666663</v>
      </c>
      <c r="AU1138" s="101">
        <f>VLOOKUP($D1138,Construction!$B:$Q,(COLUMN(Construction_QuestReward_Stone)-COLUMN(Construction_Name_and_Level)+1),FALSE)</f>
        <v>5478</v>
      </c>
      <c r="AV1138" s="101">
        <f>VLOOKUP($D1138,Construction!$B:$Q,(COLUMN(Construction_QuestReward_Wood)-COLUMN(Construction_Name_and_Level)+1),FALSE)</f>
        <v>5478</v>
      </c>
      <c r="AW1138" s="101">
        <f>VLOOKUP($D1138,Construction!$B:$Q,(COLUMN(Construction_QuestReward_Ore)-COLUMN(Construction_Name_and_Level)+1),FALSE)</f>
        <v>5478</v>
      </c>
      <c r="AX1138" s="101">
        <f>VLOOKUP($D1138,Construction!$B:$Q,(COLUMN(Construction_QuestReward_Food)-COLUMN(Construction_Name_and_Level)+1),FALSE)</f>
        <v>0</v>
      </c>
      <c r="AY1138" s="100">
        <f>VLOOKUP($D1138,Construction!$B:$Q,(COLUMN(Construction_QuestReward_Silver)-COLUMN(Construction_Name_and_Level)+1),FALSE)</f>
        <v>80</v>
      </c>
    </row>
    <row r="1139" spans="2:108" ht="15" customHeight="1">
      <c r="B1139" s="102" t="s">
        <v>1455</v>
      </c>
      <c r="C1139" s="127" t="s">
        <v>170</v>
      </c>
      <c r="D1139" s="144" t="s">
        <v>1884</v>
      </c>
      <c r="E1139" s="506">
        <v>30</v>
      </c>
      <c r="F1139" s="12">
        <v>0.5</v>
      </c>
      <c r="G1139" s="101">
        <f>VLOOKUP($D1139,Research!$C:$M,(COLUMN(Research_QuestReward_HeroXP)-COLUMN(Research_Name_and_Level)+1),FALSE)</f>
        <v>18000</v>
      </c>
      <c r="H1139" s="101">
        <f t="shared" ref="H1139" si="409">G1139*(1+F1139)</f>
        <v>27000</v>
      </c>
      <c r="J1139" s="103">
        <f>VLOOKUP($D1139,Research!$C:$N,(COLUMN(Research_QuestReward_Power)-COLUMN(Research_Name_and_Level)+1),FALSE)</f>
        <v>125</v>
      </c>
      <c r="AF1139" s="141"/>
      <c r="AG1139" s="141"/>
      <c r="AH1139" s="137"/>
      <c r="AI1139" s="484"/>
      <c r="AJ1139" s="137">
        <f t="shared" si="407"/>
        <v>0.60416666666666663</v>
      </c>
      <c r="AU1139" s="101">
        <f>VLOOKUP($D1139,Research!$C:$S,(COLUMN(Research_QuestReward_Stone)-COLUMN(Research_Name_and_Level)+1),FALSE)</f>
        <v>40000</v>
      </c>
      <c r="AV1139" s="101">
        <f>VLOOKUP($D1139,Research!$C:$S,(COLUMN(Research_QuestReward_Wood)-COLUMN(Research_Name_and_Level)+1),FALSE)</f>
        <v>40000</v>
      </c>
      <c r="AW1139" s="101">
        <f>VLOOKUP($D1139,Research!$C:$S,(COLUMN(Research_QuestReward_Ore)-COLUMN(Research_Name_and_Level)+1),FALSE)</f>
        <v>0</v>
      </c>
      <c r="AX1139" s="101">
        <f>VLOOKUP($D1139,Research!$C:$S,(COLUMN(Research_QuestReward_Food)-COLUMN(Research_Name_and_Level)+1),FALSE)</f>
        <v>40000</v>
      </c>
      <c r="AY1139" s="100">
        <f>VLOOKUP($D1139,Research!$C:$S,(COLUMN(Research_QuestReward_Silver)-COLUMN(Research_Name_and_Level)+1),FALSE)</f>
        <v>37500</v>
      </c>
      <c r="CT1139" s="127"/>
      <c r="CU1139" s="127"/>
      <c r="CV1139" s="127"/>
      <c r="CW1139" s="127"/>
      <c r="CX1139" s="127"/>
      <c r="CY1139" s="127"/>
      <c r="CZ1139" s="127"/>
      <c r="DA1139" s="127"/>
      <c r="DB1139" s="127"/>
      <c r="DC1139" s="127"/>
      <c r="DD1139" s="127"/>
    </row>
    <row r="1140" spans="2:108" ht="15" customHeight="1">
      <c r="B1140" s="102" t="s">
        <v>1455</v>
      </c>
      <c r="C1140" s="127" t="s">
        <v>170</v>
      </c>
      <c r="D1140" s="144" t="s">
        <v>1882</v>
      </c>
      <c r="E1140" s="506">
        <v>30</v>
      </c>
      <c r="F1140" s="12">
        <v>0.5</v>
      </c>
      <c r="G1140" s="101">
        <f>VLOOKUP($D1140,Research!$C:$M,(COLUMN(Research_QuestReward_HeroXP)-COLUMN(Research_Name_and_Level)+1),FALSE)</f>
        <v>18000</v>
      </c>
      <c r="H1140" s="101">
        <f t="shared" ref="H1140" si="410">G1140*(1+F1140)</f>
        <v>27000</v>
      </c>
      <c r="J1140" s="103">
        <f>VLOOKUP($D1140,Research!$C:$N,(COLUMN(Research_QuestReward_Power)-COLUMN(Research_Name_and_Level)+1),FALSE)</f>
        <v>125</v>
      </c>
      <c r="AF1140" s="141"/>
      <c r="AG1140" s="141"/>
      <c r="AH1140" s="137"/>
      <c r="AI1140" s="484"/>
      <c r="AJ1140" s="137">
        <f t="shared" si="407"/>
        <v>0.60416666666666663</v>
      </c>
      <c r="AU1140" s="101">
        <f>VLOOKUP($D1140,Research!$C:$S,(COLUMN(Research_QuestReward_Stone)-COLUMN(Research_Name_and_Level)+1),FALSE)</f>
        <v>0</v>
      </c>
      <c r="AV1140" s="101">
        <f>VLOOKUP($D1140,Research!$C:$S,(COLUMN(Research_QuestReward_Wood)-COLUMN(Research_Name_and_Level)+1),FALSE)</f>
        <v>40000</v>
      </c>
      <c r="AW1140" s="101">
        <f>VLOOKUP($D1140,Research!$C:$S,(COLUMN(Research_QuestReward_Ore)-COLUMN(Research_Name_and_Level)+1),FALSE)</f>
        <v>30000</v>
      </c>
      <c r="AX1140" s="101">
        <f>VLOOKUP($D1140,Research!$C:$S,(COLUMN(Research_QuestReward_Food)-COLUMN(Research_Name_and_Level)+1),FALSE)</f>
        <v>40000</v>
      </c>
      <c r="AY1140" s="100">
        <f>VLOOKUP($D1140,Research!$C:$S,(COLUMN(Research_QuestReward_Silver)-COLUMN(Research_Name_and_Level)+1),FALSE)</f>
        <v>37500</v>
      </c>
      <c r="CT1140" s="127"/>
      <c r="CU1140" s="127"/>
      <c r="CV1140" s="127"/>
      <c r="CW1140" s="127"/>
      <c r="CX1140" s="127"/>
      <c r="CY1140" s="127"/>
      <c r="CZ1140" s="127"/>
      <c r="DA1140" s="127"/>
      <c r="DB1140" s="127"/>
      <c r="DC1140" s="127"/>
      <c r="DD1140" s="127"/>
    </row>
    <row r="1141" spans="2:108" ht="15" customHeight="1">
      <c r="B1141" s="102" t="s">
        <v>1455</v>
      </c>
      <c r="C1141" s="127" t="s">
        <v>170</v>
      </c>
      <c r="D1141" s="144" t="s">
        <v>1883</v>
      </c>
      <c r="E1141" s="506">
        <v>30</v>
      </c>
      <c r="F1141" s="12">
        <v>0.5</v>
      </c>
      <c r="G1141" s="101">
        <f>VLOOKUP($D1141,Research!$C:$M,(COLUMN(Research_QuestReward_HeroXP)-COLUMN(Research_Name_and_Level)+1),FALSE)</f>
        <v>18000</v>
      </c>
      <c r="H1141" s="101">
        <f t="shared" ref="H1141:H1142" si="411">G1141*(1+F1141)</f>
        <v>27000</v>
      </c>
      <c r="J1141" s="103">
        <f>VLOOKUP($D1141,Research!$C:$N,(COLUMN(Research_QuestReward_Power)-COLUMN(Research_Name_and_Level)+1),FALSE)</f>
        <v>110</v>
      </c>
      <c r="AF1141" s="141"/>
      <c r="AG1141" s="141"/>
      <c r="AH1141" s="137"/>
      <c r="AI1141" s="484"/>
      <c r="AJ1141" s="137">
        <f t="shared" si="407"/>
        <v>0.60416666666666663</v>
      </c>
      <c r="AU1141" s="101">
        <f>VLOOKUP($D1141,Research!$C:$S,(COLUMN(Research_QuestReward_Stone)-COLUMN(Research_Name_and_Level)+1),FALSE)</f>
        <v>40000</v>
      </c>
      <c r="AV1141" s="101">
        <f>VLOOKUP($D1141,Research!$C:$S,(COLUMN(Research_QuestReward_Wood)-COLUMN(Research_Name_and_Level)+1),FALSE)</f>
        <v>0</v>
      </c>
      <c r="AW1141" s="101">
        <f>VLOOKUP($D1141,Research!$C:$S,(COLUMN(Research_QuestReward_Ore)-COLUMN(Research_Name_and_Level)+1),FALSE)</f>
        <v>30000</v>
      </c>
      <c r="AX1141" s="101">
        <f>VLOOKUP($D1141,Research!$C:$S,(COLUMN(Research_QuestReward_Food)-COLUMN(Research_Name_and_Level)+1),FALSE)</f>
        <v>40000</v>
      </c>
      <c r="AY1141" s="100">
        <f>VLOOKUP($D1141,Research!$C:$S,(COLUMN(Research_QuestReward_Silver)-COLUMN(Research_Name_and_Level)+1),FALSE)</f>
        <v>37500</v>
      </c>
      <c r="CT1141" s="127"/>
      <c r="CU1141" s="127"/>
      <c r="CV1141" s="127"/>
      <c r="CW1141" s="127"/>
      <c r="CX1141" s="127"/>
      <c r="CY1141" s="127"/>
      <c r="CZ1141" s="127"/>
      <c r="DA1141" s="127"/>
      <c r="DB1141" s="127"/>
      <c r="DC1141" s="127"/>
      <c r="DD1141" s="127"/>
    </row>
    <row r="1142" spans="2:108" ht="15" customHeight="1">
      <c r="B1142" s="102" t="s">
        <v>1455</v>
      </c>
      <c r="C1142" s="127" t="s">
        <v>170</v>
      </c>
      <c r="D1142" s="144" t="s">
        <v>1901</v>
      </c>
      <c r="E1142" s="506">
        <v>30</v>
      </c>
      <c r="F1142" s="12">
        <v>0.5</v>
      </c>
      <c r="G1142" s="101">
        <f>VLOOKUP($D1142,Research!$C:$M,(COLUMN(Research_QuestReward_HeroXP)-COLUMN(Research_Name_and_Level)+1),FALSE)</f>
        <v>35000</v>
      </c>
      <c r="H1142" s="101">
        <f t="shared" si="411"/>
        <v>52500</v>
      </c>
      <c r="J1142" s="103">
        <f>VLOOKUP($D1142,Research!$C:$N,(COLUMN(Research_QuestReward_Power)-COLUMN(Research_Name_and_Level)+1),FALSE)</f>
        <v>275</v>
      </c>
      <c r="AF1142" s="141"/>
      <c r="AG1142" s="141"/>
      <c r="AH1142" s="137"/>
      <c r="AI1142" s="484"/>
      <c r="AJ1142" s="137">
        <f t="shared" si="407"/>
        <v>0.60416666666666663</v>
      </c>
      <c r="AU1142" s="101">
        <f>VLOOKUP($D1142,Research!$C:$S,(COLUMN(Research_QuestReward_Stone)-COLUMN(Research_Name_and_Level)+1),FALSE)</f>
        <v>0</v>
      </c>
      <c r="AV1142" s="101">
        <f>VLOOKUP($D1142,Research!$C:$S,(COLUMN(Research_QuestReward_Wood)-COLUMN(Research_Name_and_Level)+1),FALSE)</f>
        <v>26000</v>
      </c>
      <c r="AW1142" s="101">
        <f>VLOOKUP($D1142,Research!$C:$S,(COLUMN(Research_QuestReward_Ore)-COLUMN(Research_Name_and_Level)+1),FALSE)</f>
        <v>20000</v>
      </c>
      <c r="AX1142" s="101">
        <f>VLOOKUP($D1142,Research!$C:$S,(COLUMN(Research_QuestReward_Food)-COLUMN(Research_Name_and_Level)+1),FALSE)</f>
        <v>26000</v>
      </c>
      <c r="AY1142" s="100">
        <f>VLOOKUP($D1142,Research!$C:$S,(COLUMN(Research_QuestReward_Silver)-COLUMN(Research_Name_and_Level)+1),FALSE)</f>
        <v>31000</v>
      </c>
      <c r="CT1142" s="127"/>
      <c r="CU1142" s="127"/>
      <c r="CV1142" s="127"/>
      <c r="CW1142" s="127"/>
      <c r="CX1142" s="127"/>
      <c r="CY1142" s="127"/>
      <c r="CZ1142" s="127"/>
      <c r="DA1142" s="127"/>
      <c r="DB1142" s="127"/>
      <c r="DC1142" s="127"/>
      <c r="DD1142" s="127"/>
    </row>
    <row r="1143" spans="2:108" ht="15" customHeight="1">
      <c r="B1143" s="102" t="s">
        <v>1455</v>
      </c>
      <c r="C1143" s="127" t="s">
        <v>170</v>
      </c>
      <c r="D1143" s="144" t="s">
        <v>1862</v>
      </c>
      <c r="E1143" s="506">
        <v>30</v>
      </c>
      <c r="F1143" s="12">
        <v>0.5</v>
      </c>
      <c r="G1143" s="101">
        <f>VLOOKUP($D1143,Research!$C:$M,(COLUMN(Research_QuestReward_HeroXP)-COLUMN(Research_Name_and_Level)+1),FALSE)</f>
        <v>6000</v>
      </c>
      <c r="H1143" s="101">
        <f t="shared" ref="H1143" si="412">G1143*(1+F1143)</f>
        <v>9000</v>
      </c>
      <c r="J1143" s="103">
        <f>VLOOKUP($D1143,Research!$C:$N,(COLUMN(Research_QuestReward_Power)-COLUMN(Research_Name_and_Level)+1),FALSE)</f>
        <v>700</v>
      </c>
      <c r="AF1143" s="141"/>
      <c r="AG1143" s="141"/>
      <c r="AH1143" s="137"/>
      <c r="AI1143" s="484"/>
      <c r="AJ1143" s="137">
        <f t="shared" si="407"/>
        <v>0.60416666666666663</v>
      </c>
      <c r="AU1143" s="101">
        <f>VLOOKUP($D1143,Research!$C:$S,(COLUMN(Research_QuestReward_Stone)-COLUMN(Research_Name_and_Level)+1),FALSE)</f>
        <v>0</v>
      </c>
      <c r="AV1143" s="101">
        <f>VLOOKUP($D1143,Research!$C:$S,(COLUMN(Research_QuestReward_Wood)-COLUMN(Research_Name_and_Level)+1),FALSE)</f>
        <v>0</v>
      </c>
      <c r="AW1143" s="101">
        <f>VLOOKUP($D1143,Research!$C:$S,(COLUMN(Research_QuestReward_Ore)-COLUMN(Research_Name_and_Level)+1),FALSE)</f>
        <v>0</v>
      </c>
      <c r="AX1143" s="101">
        <f>VLOOKUP($D1143,Research!$C:$S,(COLUMN(Research_QuestReward_Food)-COLUMN(Research_Name_and_Level)+1),FALSE)</f>
        <v>0</v>
      </c>
      <c r="AY1143" s="100">
        <f>VLOOKUP($D1143,Research!$C:$S,(COLUMN(Research_QuestReward_Silver)-COLUMN(Research_Name_and_Level)+1),FALSE)</f>
        <v>6000</v>
      </c>
      <c r="CT1143" s="127"/>
      <c r="CU1143" s="127"/>
      <c r="CV1143" s="127"/>
      <c r="CW1143" s="127"/>
      <c r="CX1143" s="127"/>
      <c r="CY1143" s="127"/>
      <c r="CZ1143" s="127"/>
      <c r="DA1143" s="127"/>
      <c r="DB1143" s="127"/>
      <c r="DC1143" s="127"/>
      <c r="DD1143" s="127"/>
    </row>
    <row r="1144" spans="2:108" ht="15" customHeight="1">
      <c r="B1144" s="102" t="s">
        <v>1455</v>
      </c>
      <c r="C1144" s="127" t="s">
        <v>170</v>
      </c>
      <c r="D1144" s="144" t="s">
        <v>1876</v>
      </c>
      <c r="E1144" s="506">
        <v>30</v>
      </c>
      <c r="F1144" s="12">
        <v>0.5</v>
      </c>
      <c r="G1144" s="101">
        <f>VLOOKUP($D1144,Research!$C:$M,(COLUMN(Research_QuestReward_HeroXP)-COLUMN(Research_Name_and_Level)+1),FALSE)</f>
        <v>34000</v>
      </c>
      <c r="H1144" s="101">
        <f t="shared" ref="H1144" si="413">G1144*(1+F1144)</f>
        <v>51000</v>
      </c>
      <c r="J1144" s="103">
        <f>VLOOKUP($D1144,Research!$C:$N,(COLUMN(Research_QuestReward_Power)-COLUMN(Research_Name_and_Level)+1),FALSE)</f>
        <v>700</v>
      </c>
      <c r="AF1144" s="141"/>
      <c r="AG1144" s="141"/>
      <c r="AH1144" s="137"/>
      <c r="AI1144" s="484"/>
      <c r="AJ1144" s="137">
        <f t="shared" si="407"/>
        <v>0.60416666666666663</v>
      </c>
      <c r="AU1144" s="101">
        <f>VLOOKUP($D1144,Research!$C:$S,(COLUMN(Research_QuestReward_Stone)-COLUMN(Research_Name_and_Level)+1),FALSE)</f>
        <v>3000</v>
      </c>
      <c r="AV1144" s="101">
        <f>VLOOKUP($D1144,Research!$C:$S,(COLUMN(Research_QuestReward_Wood)-COLUMN(Research_Name_and_Level)+1),FALSE)</f>
        <v>5000</v>
      </c>
      <c r="AW1144" s="101">
        <f>VLOOKUP($D1144,Research!$C:$S,(COLUMN(Research_QuestReward_Ore)-COLUMN(Research_Name_and_Level)+1),FALSE)</f>
        <v>4000</v>
      </c>
      <c r="AX1144" s="101">
        <f>VLOOKUP($D1144,Research!$C:$S,(COLUMN(Research_QuestReward_Food)-COLUMN(Research_Name_and_Level)+1),FALSE)</f>
        <v>0</v>
      </c>
      <c r="AY1144" s="100">
        <f>VLOOKUP($D1144,Research!$C:$S,(COLUMN(Research_QuestReward_Silver)-COLUMN(Research_Name_and_Level)+1),FALSE)</f>
        <v>30500</v>
      </c>
      <c r="CT1144" s="127"/>
      <c r="CU1144" s="127"/>
      <c r="CV1144" s="127"/>
      <c r="CW1144" s="127"/>
      <c r="CX1144" s="127"/>
      <c r="CY1144" s="127"/>
      <c r="CZ1144" s="127"/>
      <c r="DA1144" s="127"/>
      <c r="DB1144" s="127"/>
      <c r="DC1144" s="127"/>
      <c r="DD1144" s="127"/>
    </row>
    <row r="1145" spans="2:108" ht="15" customHeight="1">
      <c r="B1145" s="102" t="s">
        <v>1455</v>
      </c>
      <c r="C1145" s="127" t="s">
        <v>170</v>
      </c>
      <c r="D1145" s="144" t="s">
        <v>1869</v>
      </c>
      <c r="E1145" s="506">
        <v>30</v>
      </c>
      <c r="F1145" s="12">
        <v>0.5</v>
      </c>
      <c r="G1145" s="101">
        <f>VLOOKUP($D1145,Research!$C:$M,(COLUMN(Research_QuestReward_HeroXP)-COLUMN(Research_Name_and_Level)+1),FALSE)</f>
        <v>25000</v>
      </c>
      <c r="H1145" s="101">
        <f t="shared" ref="H1145" si="414">G1145*(1+F1145)</f>
        <v>37500</v>
      </c>
      <c r="J1145" s="103">
        <f>VLOOKUP($D1145,Research!$C:$N,(COLUMN(Research_QuestReward_Power)-COLUMN(Research_Name_and_Level)+1),FALSE)</f>
        <v>275</v>
      </c>
      <c r="AF1145" s="141"/>
      <c r="AG1145" s="141"/>
      <c r="AH1145" s="137"/>
      <c r="AI1145" s="484"/>
      <c r="AJ1145" s="137">
        <f t="shared" si="407"/>
        <v>0.60416666666666663</v>
      </c>
      <c r="AU1145" s="101">
        <f>VLOOKUP($D1145,Research!$C:$S,(COLUMN(Research_QuestReward_Stone)-COLUMN(Research_Name_and_Level)+1),FALSE)</f>
        <v>4000</v>
      </c>
      <c r="AV1145" s="101">
        <f>VLOOKUP($D1145,Research!$C:$S,(COLUMN(Research_QuestReward_Wood)-COLUMN(Research_Name_and_Level)+1),FALSE)</f>
        <v>8000</v>
      </c>
      <c r="AW1145" s="101">
        <f>VLOOKUP($D1145,Research!$C:$S,(COLUMN(Research_QuestReward_Ore)-COLUMN(Research_Name_and_Level)+1),FALSE)</f>
        <v>0</v>
      </c>
      <c r="AX1145" s="101">
        <f>VLOOKUP($D1145,Research!$C:$S,(COLUMN(Research_QuestReward_Food)-COLUMN(Research_Name_and_Level)+1),FALSE)</f>
        <v>6000</v>
      </c>
      <c r="AY1145" s="100">
        <f>VLOOKUP($D1145,Research!$C:$S,(COLUMN(Research_QuestReward_Silver)-COLUMN(Research_Name_and_Level)+1),FALSE)</f>
        <v>50000</v>
      </c>
      <c r="CT1145" s="127"/>
      <c r="CU1145" s="127"/>
      <c r="CV1145" s="127"/>
      <c r="CW1145" s="127"/>
      <c r="CX1145" s="127"/>
      <c r="CY1145" s="127"/>
      <c r="CZ1145" s="127"/>
      <c r="DA1145" s="127"/>
      <c r="DB1145" s="127"/>
      <c r="DC1145" s="127"/>
      <c r="DD1145" s="127"/>
    </row>
    <row r="1146" spans="2:108" ht="15" customHeight="1">
      <c r="B1146" s="102" t="s">
        <v>1455</v>
      </c>
      <c r="C1146" s="127" t="s">
        <v>170</v>
      </c>
      <c r="D1146" s="145" t="s">
        <v>1885</v>
      </c>
      <c r="E1146" s="506">
        <v>30</v>
      </c>
      <c r="F1146" s="12">
        <v>0.5</v>
      </c>
      <c r="G1146" s="101">
        <f>VLOOKUP($D1146,Research!$C:$M,(COLUMN(Research_QuestReward_HeroXP)-COLUMN(Research_Name_and_Level)+1),FALSE)</f>
        <v>46000</v>
      </c>
      <c r="H1146" s="101">
        <f t="shared" ref="H1146:H1147" si="415">G1146*(1+F1146)</f>
        <v>69000</v>
      </c>
      <c r="J1146" s="103">
        <f>VLOOKUP($D1146,Research!$C:$N,(COLUMN(Research_QuestReward_Power)-COLUMN(Research_Name_and_Level)+1),FALSE)</f>
        <v>700</v>
      </c>
      <c r="AF1146" s="141"/>
      <c r="AG1146" s="141"/>
      <c r="AH1146" s="137"/>
      <c r="AI1146" s="484"/>
      <c r="AJ1146" s="137">
        <f t="shared" si="407"/>
        <v>0.60416666666666663</v>
      </c>
      <c r="AU1146" s="101">
        <f>VLOOKUP($D1146,Research!$C:$S,(COLUMN(Research_QuestReward_Stone)-COLUMN(Research_Name_and_Level)+1),FALSE)</f>
        <v>3000</v>
      </c>
      <c r="AV1146" s="101">
        <f>VLOOKUP($D1146,Research!$C:$S,(COLUMN(Research_QuestReward_Wood)-COLUMN(Research_Name_and_Level)+1),FALSE)</f>
        <v>5000</v>
      </c>
      <c r="AW1146" s="101">
        <f>VLOOKUP($D1146,Research!$C:$S,(COLUMN(Research_QuestReward_Ore)-COLUMN(Research_Name_and_Level)+1),FALSE)</f>
        <v>0</v>
      </c>
      <c r="AX1146" s="101">
        <f>VLOOKUP($D1146,Research!$C:$S,(COLUMN(Research_QuestReward_Food)-COLUMN(Research_Name_and_Level)+1),FALSE)</f>
        <v>4000</v>
      </c>
      <c r="AY1146" s="100">
        <f>VLOOKUP($D1146,Research!$C:$S,(COLUMN(Research_QuestReward_Silver)-COLUMN(Research_Name_and_Level)+1),FALSE)</f>
        <v>41500</v>
      </c>
      <c r="CT1146" s="127"/>
      <c r="CU1146" s="127"/>
      <c r="CV1146" s="127"/>
      <c r="CW1146" s="127"/>
      <c r="CX1146" s="127"/>
      <c r="CY1146" s="127"/>
      <c r="CZ1146" s="127"/>
      <c r="DA1146" s="127"/>
      <c r="DB1146" s="127"/>
      <c r="DC1146" s="127"/>
      <c r="DD1146" s="127"/>
    </row>
    <row r="1147" spans="2:108" ht="15" customHeight="1">
      <c r="B1147" s="102" t="s">
        <v>1455</v>
      </c>
      <c r="C1147" s="127" t="s">
        <v>170</v>
      </c>
      <c r="D1147" s="144" t="s">
        <v>1874</v>
      </c>
      <c r="E1147" s="506">
        <v>30</v>
      </c>
      <c r="F1147" s="12">
        <v>0.5</v>
      </c>
      <c r="G1147" s="101">
        <f>VLOOKUP($D1147,Research!$C:$M,(COLUMN(Research_QuestReward_HeroXP)-COLUMN(Research_Name_and_Level)+1),FALSE)</f>
        <v>18000</v>
      </c>
      <c r="H1147" s="101">
        <f t="shared" si="415"/>
        <v>27000</v>
      </c>
      <c r="J1147" s="103">
        <f>VLOOKUP($D1147,Research!$C:$N,(COLUMN(Research_QuestReward_Power)-COLUMN(Research_Name_and_Level)+1),FALSE)</f>
        <v>275</v>
      </c>
      <c r="AF1147" s="141"/>
      <c r="AG1147" s="141"/>
      <c r="AH1147" s="137"/>
      <c r="AI1147" s="484"/>
      <c r="AJ1147" s="137">
        <f t="shared" si="407"/>
        <v>0.60416666666666663</v>
      </c>
      <c r="AU1147" s="101">
        <f>VLOOKUP($D1147,Research!$C:$S,(COLUMN(Research_QuestReward_Stone)-COLUMN(Research_Name_and_Level)+1),FALSE)</f>
        <v>4000</v>
      </c>
      <c r="AV1147" s="101">
        <f>VLOOKUP($D1147,Research!$C:$S,(COLUMN(Research_QuestReward_Wood)-COLUMN(Research_Name_and_Level)+1),FALSE)</f>
        <v>0</v>
      </c>
      <c r="AW1147" s="101">
        <f>VLOOKUP($D1147,Research!$C:$S,(COLUMN(Research_QuestReward_Ore)-COLUMN(Research_Name_and_Level)+1),FALSE)</f>
        <v>6000</v>
      </c>
      <c r="AX1147" s="101">
        <f>VLOOKUP($D1147,Research!$C:$S,(COLUMN(Research_QuestReward_Food)-COLUMN(Research_Name_and_Level)+1),FALSE)</f>
        <v>8000</v>
      </c>
      <c r="AY1147" s="100">
        <f>VLOOKUP($D1147,Research!$C:$S,(COLUMN(Research_QuestReward_Silver)-COLUMN(Research_Name_and_Level)+1),FALSE)</f>
        <v>37000</v>
      </c>
      <c r="CT1147" s="127"/>
      <c r="CU1147" s="127"/>
      <c r="CV1147" s="127"/>
      <c r="CW1147" s="127"/>
      <c r="CX1147" s="127"/>
      <c r="CY1147" s="127"/>
      <c r="CZ1147" s="127"/>
      <c r="DA1147" s="127"/>
      <c r="DB1147" s="127"/>
      <c r="DC1147" s="127"/>
      <c r="DD1147" s="127"/>
    </row>
    <row r="1148" spans="2:108" ht="15" customHeight="1">
      <c r="B1148" s="102" t="s">
        <v>1455</v>
      </c>
      <c r="C1148" s="127" t="s">
        <v>170</v>
      </c>
      <c r="D1148" s="145" t="s">
        <v>1872</v>
      </c>
      <c r="E1148" s="506">
        <v>30</v>
      </c>
      <c r="F1148" s="12">
        <v>0.5</v>
      </c>
      <c r="G1148" s="101">
        <f>VLOOKUP($D1148,Research!$C:$M,(COLUMN(Research_QuestReward_HeroXP)-COLUMN(Research_Name_and_Level)+1),FALSE)</f>
        <v>39000</v>
      </c>
      <c r="H1148" s="101">
        <f t="shared" ref="H1148" si="416">G1148*(1+F1148)</f>
        <v>58500</v>
      </c>
      <c r="J1148" s="103">
        <f>VLOOKUP($D1148,Research!$C:$N,(COLUMN(Research_QuestReward_Power)-COLUMN(Research_Name_and_Level)+1),FALSE)</f>
        <v>700</v>
      </c>
      <c r="AF1148" s="141"/>
      <c r="AG1148" s="141"/>
      <c r="AH1148" s="137"/>
      <c r="AI1148" s="484"/>
      <c r="AJ1148" s="137">
        <f t="shared" si="407"/>
        <v>0.60416666666666663</v>
      </c>
      <c r="AU1148" s="101">
        <f>VLOOKUP($D1148,Research!$C:$S,(COLUMN(Research_QuestReward_Stone)-COLUMN(Research_Name_and_Level)+1),FALSE)</f>
        <v>0</v>
      </c>
      <c r="AV1148" s="101">
        <f>VLOOKUP($D1148,Research!$C:$S,(COLUMN(Research_QuestReward_Wood)-COLUMN(Research_Name_and_Level)+1),FALSE)</f>
        <v>4000</v>
      </c>
      <c r="AW1148" s="101">
        <f>VLOOKUP($D1148,Research!$C:$S,(COLUMN(Research_QuestReward_Ore)-COLUMN(Research_Name_and_Level)+1),FALSE)</f>
        <v>5000</v>
      </c>
      <c r="AX1148" s="101">
        <f>VLOOKUP($D1148,Research!$C:$S,(COLUMN(Research_QuestReward_Food)-COLUMN(Research_Name_and_Level)+1),FALSE)</f>
        <v>3000</v>
      </c>
      <c r="AY1148" s="100">
        <f>VLOOKUP($D1148,Research!$C:$S,(COLUMN(Research_QuestReward_Silver)-COLUMN(Research_Name_and_Level)+1),FALSE)</f>
        <v>35000</v>
      </c>
      <c r="CT1148" s="127"/>
      <c r="CU1148" s="127"/>
      <c r="CV1148" s="127"/>
      <c r="CW1148" s="127"/>
      <c r="CX1148" s="127"/>
      <c r="CY1148" s="127"/>
      <c r="CZ1148" s="127"/>
      <c r="DA1148" s="127"/>
      <c r="DB1148" s="127"/>
      <c r="DC1148" s="127"/>
      <c r="DD1148" s="127"/>
    </row>
    <row r="1149" spans="2:108" ht="15" customHeight="1">
      <c r="B1149" s="102" t="s">
        <v>1455</v>
      </c>
      <c r="C1149" s="127" t="s">
        <v>150</v>
      </c>
      <c r="D1149" s="145" t="s">
        <v>1904</v>
      </c>
      <c r="E1149" s="506">
        <v>30</v>
      </c>
      <c r="F1149" s="12">
        <v>0.5</v>
      </c>
      <c r="G1149" s="101">
        <v>60000</v>
      </c>
      <c r="H1149" s="101">
        <f t="shared" ref="H1149" si="417">G1149*(1+F1149)</f>
        <v>90000</v>
      </c>
      <c r="J1149" s="103">
        <v>700</v>
      </c>
      <c r="AJ1149" s="137">
        <f t="shared" si="407"/>
        <v>0.60416666666666663</v>
      </c>
      <c r="AU1149" s="101">
        <v>7500</v>
      </c>
      <c r="AV1149" s="101">
        <v>7500</v>
      </c>
      <c r="AW1149" s="101">
        <v>7500</v>
      </c>
      <c r="AX1149" s="101">
        <v>7500</v>
      </c>
      <c r="AY1149" s="100">
        <v>1500</v>
      </c>
    </row>
    <row r="1150" spans="2:108" ht="15" customHeight="1">
      <c r="B1150" s="506" t="s">
        <v>145</v>
      </c>
      <c r="C1150" s="146" t="s">
        <v>151</v>
      </c>
      <c r="D1150" s="145">
        <v>3.4328703703703702E-2</v>
      </c>
      <c r="E1150" s="506">
        <v>30</v>
      </c>
      <c r="M1150" s="135">
        <v>2.0833333333333332E-2</v>
      </c>
      <c r="AF1150" s="141"/>
      <c r="AG1150" s="141"/>
      <c r="AH1150" s="137"/>
      <c r="AI1150" s="484"/>
      <c r="AJ1150" s="137">
        <f t="shared" si="407"/>
        <v>0.60416666666666663</v>
      </c>
    </row>
    <row r="1151" spans="2:108" ht="15" customHeight="1">
      <c r="B1151" s="506" t="s">
        <v>850</v>
      </c>
      <c r="C1151" s="127" t="s">
        <v>851</v>
      </c>
      <c r="D1151" s="144" t="s">
        <v>1678</v>
      </c>
      <c r="E1151" s="506">
        <v>30</v>
      </c>
      <c r="O1151" s="547">
        <v>-300</v>
      </c>
      <c r="Y1151" s="11">
        <v>1</v>
      </c>
      <c r="AF1151" s="141">
        <f>$S$3*$S1151+$T$3*$T1151+$U$3*$U1151+$V$3*$V1151+$W$3*$W1151+$X$3*$X1151+$Y$3*$Y1151+$Z$3*$Z1151+$AA$3*$AA1151+$AB$3*$AB1151+$AC$3*$AC1151</f>
        <v>0.125</v>
      </c>
      <c r="AG1151" s="141"/>
      <c r="AH1151" s="137"/>
      <c r="AI1151" s="484"/>
      <c r="AJ1151" s="137">
        <f t="shared" si="407"/>
        <v>0.72916666666666663</v>
      </c>
    </row>
    <row r="1152" spans="2:108" ht="15" customHeight="1">
      <c r="B1152" s="506" t="s">
        <v>144</v>
      </c>
      <c r="C1152" s="127" t="s">
        <v>138</v>
      </c>
      <c r="D1152" s="144" t="s">
        <v>1905</v>
      </c>
      <c r="E1152" s="506">
        <v>30</v>
      </c>
      <c r="F1152" s="12">
        <v>0.5</v>
      </c>
      <c r="G1152" s="94">
        <f>VLOOKUP($D1152,Construction!$B:$E,(COLUMN(Construction_BuildingReward_HeroXP)-COLUMN(Construction_Name_and_Level)+1),FALSE)</f>
        <v>500</v>
      </c>
      <c r="H1152" s="94">
        <f>G1152*(1+F1152)</f>
        <v>750</v>
      </c>
      <c r="J1152" s="95">
        <f>VLOOKUP($D1152,Construction!$B:$F,(COLUMN(Construction_BuildingReward_Power)-COLUMN(Construction_Name_and_Level)+1),FALSE)</f>
        <v>860</v>
      </c>
      <c r="Q1152" s="139">
        <v>3.472222222222222E-3</v>
      </c>
      <c r="R1152" s="289">
        <v>1.0416666666666666E-2</v>
      </c>
      <c r="W1152" s="11">
        <v>-1</v>
      </c>
      <c r="Y1152" s="11">
        <v>-2</v>
      </c>
      <c r="AF1152" s="141"/>
      <c r="AG1152" s="141"/>
      <c r="AH1152" s="137"/>
      <c r="AI1152" s="484">
        <f>(-1)*($S$3*$S1152+$T$3*$T1152+$U$3*$U1152+$V$3*$V1152+$W$3*$W1152+$X$3*$X1152+$Y$3*$Y1152+$Z$3*$Z1152+$AA$3*$AA1152+$AB$3*$AB1152+$AC$3*$AC1152)</f>
        <v>0.26041666666666669</v>
      </c>
      <c r="AJ1152" s="137">
        <f t="shared" si="407"/>
        <v>0.46874999999999994</v>
      </c>
      <c r="AK1152" s="339">
        <v>0.56499999999999995</v>
      </c>
      <c r="AL1152" s="138">
        <f>VLOOKUP($D1152,Construction!$B:$C,(COLUMN(Construction_Time)-COLUMN(Construction_Name_and_Level)+1),FALSE)</f>
        <v>0.42666666666666669</v>
      </c>
      <c r="AM1152" s="138">
        <f t="shared" ref="AM1152:AM1153" si="418">AL1152/(1+AK1152)</f>
        <v>0.27263045793397234</v>
      </c>
      <c r="AN1152" s="138">
        <f>(S$3*S1152+T$3*T1152+V$3*V1152+W$3*W1152+X$3*X1152+Y$3*Y1152+Z$3*Z1152+AA$3*AA1152+AB$3*AB1152+AC$3*AC1152)*(-1)</f>
        <v>0.26041666666666669</v>
      </c>
      <c r="AO1152" s="139">
        <f>IF((AM1152-Q1152-R1152-AN1152)&gt;=0,AM1152-Q1152-R1152-AN1152,0)</f>
        <v>0</v>
      </c>
      <c r="AU1152" s="94">
        <f>VLOOKUP($D1152,Construction!$B:$J,(COLUMN(Construction_BuildingCost_Stone)-COLUMN(Construction_Name_and_Level)+1),FALSE)*(-1)</f>
        <v>-120348</v>
      </c>
      <c r="AV1152" s="94">
        <f>VLOOKUP($D1152,Construction!$B:$J,(COLUMN(Construction_BuildingCost_Wood)-COLUMN(Construction_Name_and_Level)+1),FALSE)*(-1)</f>
        <v>-120348</v>
      </c>
      <c r="AW1152" s="94">
        <f>VLOOKUP($D1152,Construction!$B:$J,(COLUMN(Construction_BuildingCost_Ore)-COLUMN(Construction_Name_and_Level)+1),FALSE)*(-1)</f>
        <v>-90216</v>
      </c>
      <c r="AX1152" s="94">
        <f>VLOOKUP($D1152,Construction!$B:$J,(COLUMN(Construction_BuildingCost_Food)-COLUMN(Construction_Name_and_Level)+1),FALSE)*(-1)</f>
        <v>-60192</v>
      </c>
      <c r="BK1152" s="7"/>
      <c r="BL1152" s="19"/>
    </row>
    <row r="1153" spans="2:108" ht="15" customHeight="1">
      <c r="B1153" s="506" t="s">
        <v>144</v>
      </c>
      <c r="C1153" s="127" t="s">
        <v>138</v>
      </c>
      <c r="D1153" s="144" t="s">
        <v>1906</v>
      </c>
      <c r="E1153" s="506">
        <v>30</v>
      </c>
      <c r="F1153" s="12">
        <v>0.5</v>
      </c>
      <c r="G1153" s="94">
        <f>VLOOKUP($D1153,Construction!$B:$E,(COLUMN(Construction_BuildingReward_HeroXP)-COLUMN(Construction_Name_and_Level)+1),FALSE)</f>
        <v>500</v>
      </c>
      <c r="H1153" s="94">
        <f>G1153*(1+F1153)</f>
        <v>750</v>
      </c>
      <c r="J1153" s="95">
        <f>VLOOKUP($D1153,Construction!$B:$F,(COLUMN(Construction_BuildingReward_Power)-COLUMN(Construction_Name_and_Level)+1),FALSE)</f>
        <v>3010</v>
      </c>
      <c r="Q1153" s="139">
        <v>3.472222222222222E-3</v>
      </c>
      <c r="R1153" s="289">
        <v>1.0416666666666666E-2</v>
      </c>
      <c r="X1153" s="11">
        <v>-3</v>
      </c>
      <c r="Z1153" s="11">
        <v>-1</v>
      </c>
      <c r="AF1153" s="141"/>
      <c r="AG1153" s="141"/>
      <c r="AH1153" s="137"/>
      <c r="AI1153" s="484">
        <f>(-1)*($S$3*$S1153+$T$3*$T1153+$U$3*$U1153+$V$3*$V1153+$W$3*$W1153+$X$3*$X1153+$Y$3*$Y1153+$Z$3*$Z1153+$AA$3*$AA1153+$AB$3*$AB1153+$AC$3*$AC1153)</f>
        <v>0.45833333333333331</v>
      </c>
      <c r="AJ1153" s="137">
        <f>AJ1152+(S$3*S1153+T$3*T1153+U$3*U1153+V$3*V1153+W$3*W1153+X$3*X1153+Y$3*Y1153+Z$3*Z1153+AA$3*AA1153+AB$3*AB1153+AC$3*AC1153)</f>
        <v>1.041666666666663E-2</v>
      </c>
      <c r="AK1153" s="339">
        <v>0.56499999999999995</v>
      </c>
      <c r="AL1153" s="138">
        <f>VLOOKUP($D1153,Construction!$B:$C,(COLUMN(Construction_Time)-COLUMN(Construction_Name_and_Level)+1),FALSE)</f>
        <v>0.71111111111111114</v>
      </c>
      <c r="AM1153" s="138">
        <f t="shared" si="418"/>
        <v>0.45438409655662054</v>
      </c>
      <c r="AN1153" s="138">
        <f>(S$3*S1153+T$3*T1153+V$3*V1153+W$3*W1153+X$3*X1153+Y$3*Y1153+Z$3*Z1153+AA$3*AA1153+AB$3*AB1153+AC$3*AC1153)*(-1)</f>
        <v>0.45833333333333331</v>
      </c>
      <c r="AO1153" s="139">
        <f>IF((AM1153-Q1153-R1153-AN1153)&gt;=0,AM1153-Q1153-R1153-AN1153,0)</f>
        <v>0</v>
      </c>
      <c r="AP1153" s="261">
        <v>0.51</v>
      </c>
      <c r="AU1153" s="94">
        <f>VLOOKUP($D1153,Construction!$B:$J,(COLUMN(Construction_BuildingCost_Stone)-COLUMN(Construction_Name_and_Level)+1),FALSE)*(-1)</f>
        <v>-188964</v>
      </c>
      <c r="AV1153" s="94">
        <f>VLOOKUP($D1153,Construction!$B:$J,(COLUMN(Construction_BuildingCost_Wood)-COLUMN(Construction_Name_and_Level)+1),FALSE)*(-1)</f>
        <v>-188964</v>
      </c>
      <c r="AW1153" s="94">
        <f>VLOOKUP($D1153,Construction!$B:$J,(COLUMN(Construction_BuildingCost_Ore)-COLUMN(Construction_Name_and_Level)+1),FALSE)*(-1)</f>
        <v>-75636</v>
      </c>
      <c r="AX1153" s="94">
        <f>VLOOKUP($D1153,Construction!$B:$J,(COLUMN(Construction_BuildingCost_Food)-COLUMN(Construction_Name_and_Level)+1),FALSE)*(-1)</f>
        <v>-113400</v>
      </c>
    </row>
    <row r="1154" spans="2:108" ht="15" customHeight="1">
      <c r="B1154" s="506" t="s">
        <v>143</v>
      </c>
      <c r="C1154" s="127" t="s">
        <v>142</v>
      </c>
      <c r="D1154" s="144" t="s">
        <v>1905</v>
      </c>
      <c r="E1154" s="506">
        <v>30</v>
      </c>
      <c r="F1154" s="12">
        <v>0.5</v>
      </c>
      <c r="G1154" s="101">
        <f>VLOOKUP($D1154,Construction!$B:$L,(COLUMN(Construction_QuestReward_HeroXP)-COLUMN(Construction_Name_and_Level)+1),FALSE)</f>
        <v>60000</v>
      </c>
      <c r="H1154" s="101">
        <f>G1154*(1+F1154)</f>
        <v>90000</v>
      </c>
      <c r="J1154" s="100">
        <f>VLOOKUP($D1154,Construction!$B:$L,(COLUMN(Construction_QuestReward_Power)-COLUMN(Construction_Name_and_Level)+1),FALSE)</f>
        <v>500</v>
      </c>
      <c r="AF1154" s="141"/>
      <c r="AG1154" s="141"/>
      <c r="AH1154" s="137"/>
      <c r="AI1154" s="484"/>
      <c r="AJ1154" s="137">
        <f t="shared" ref="AJ1154" si="419">AJ1153+(S$3*S1154+T$3*T1154+U$3*U1154+V$3*V1154+W$3*W1154+X$3*X1154+Y$3*Y1154+Z$3*Z1154+AA$3*AA1154+AB$3*AB1154+AC$3*AC1154)</f>
        <v>1.041666666666663E-2</v>
      </c>
      <c r="AU1154" s="101">
        <f>VLOOKUP($D1154,Construction!$B:$Q,(COLUMN(Construction_QuestReward_Stone)-COLUMN(Construction_Name_and_Level)+1),FALSE)</f>
        <v>21881</v>
      </c>
      <c r="AV1154" s="101">
        <f>VLOOKUP($D1154,Construction!$B:$Q,(COLUMN(Construction_QuestReward_Wood)-COLUMN(Construction_Name_and_Level)+1),FALSE)</f>
        <v>21881</v>
      </c>
      <c r="AW1154" s="101">
        <f>VLOOKUP($D1154,Construction!$B:$Q,(COLUMN(Construction_QuestReward_Ore)-COLUMN(Construction_Name_and_Level)+1),FALSE)</f>
        <v>16402</v>
      </c>
      <c r="AX1154" s="101">
        <f>VLOOKUP($D1154,Construction!$B:$Q,(COLUMN(Construction_QuestReward_Food)-COLUMN(Construction_Name_and_Level)+1),FALSE)</f>
        <v>10944</v>
      </c>
      <c r="AY1154" s="100">
        <f>VLOOKUP($D1154,Construction!$B:$Q,(COLUMN(Construction_QuestReward_Silver)-COLUMN(Construction_Name_and_Level)+1),FALSE)</f>
        <v>235</v>
      </c>
    </row>
    <row r="1155" spans="2:108" ht="15" customHeight="1">
      <c r="B1155" s="506" t="s">
        <v>143</v>
      </c>
      <c r="C1155" s="127" t="s">
        <v>142</v>
      </c>
      <c r="D1155" s="144" t="s">
        <v>1906</v>
      </c>
      <c r="E1155" s="506">
        <v>30</v>
      </c>
      <c r="F1155" s="12">
        <v>0.5</v>
      </c>
      <c r="G1155" s="101">
        <f>VLOOKUP($D1155,Construction!$B:$L,(COLUMN(Construction_QuestReward_HeroXP)-COLUMN(Construction_Name_and_Level)+1),FALSE)</f>
        <v>100000</v>
      </c>
      <c r="H1155" s="101">
        <f>G1155*(1+F1155)</f>
        <v>150000</v>
      </c>
      <c r="J1155" s="100">
        <f>VLOOKUP($D1155,Construction!$B:$L,(COLUMN(Construction_QuestReward_Power)-COLUMN(Construction_Name_and_Level)+1),FALSE)</f>
        <v>1750</v>
      </c>
      <c r="AF1155" s="141"/>
      <c r="AG1155" s="141"/>
      <c r="AH1155" s="137"/>
      <c r="AI1155" s="484"/>
      <c r="AJ1155" s="137">
        <f t="shared" ref="AJ1155:AJ1156" si="420">AJ1154+(S$3*S1155+T$3*T1155+U$3*U1155+V$3*V1155+W$3*W1155+X$3*X1155+Y$3*Y1155+Z$3*Z1155+AA$3*AA1155+AB$3*AB1155+AC$3*AC1155)</f>
        <v>1.041666666666663E-2</v>
      </c>
      <c r="AU1155" s="101">
        <f>VLOOKUP($D1155,Construction!$B:$Q,(COLUMN(Construction_QuestReward_Stone)-COLUMN(Construction_Name_and_Level)+1),FALSE)</f>
        <v>34357</v>
      </c>
      <c r="AV1155" s="101">
        <f>VLOOKUP($D1155,Construction!$B:$Q,(COLUMN(Construction_QuestReward_Wood)-COLUMN(Construction_Name_and_Level)+1),FALSE)</f>
        <v>34357</v>
      </c>
      <c r="AW1155" s="101">
        <f>VLOOKUP($D1155,Construction!$B:$Q,(COLUMN(Construction_QuestReward_Ore)-COLUMN(Construction_Name_and_Level)+1),FALSE)</f>
        <v>13752</v>
      </c>
      <c r="AX1155" s="101">
        <f>VLOOKUP($D1155,Construction!$B:$Q,(COLUMN(Construction_QuestReward_Food)-COLUMN(Construction_Name_and_Level)+1),FALSE)</f>
        <v>20618</v>
      </c>
      <c r="AY1155" s="100">
        <f>VLOOKUP($D1155,Construction!$B:$Q,(COLUMN(Construction_QuestReward_Silver)-COLUMN(Construction_Name_and_Level)+1),FALSE)</f>
        <v>400</v>
      </c>
    </row>
    <row r="1156" spans="2:108" ht="15" customHeight="1">
      <c r="B1156" s="506" t="s">
        <v>146</v>
      </c>
      <c r="C1156" s="127" t="s">
        <v>138</v>
      </c>
      <c r="D1156" s="144" t="s">
        <v>1907</v>
      </c>
      <c r="E1156" s="506">
        <v>30</v>
      </c>
      <c r="F1156" s="12">
        <v>0.5</v>
      </c>
      <c r="G1156" s="111">
        <f>VLOOKUP($D1156,Research!$C:$F,(COLUMN(Research_ResearchReward_HeroXP)-COLUMN(Research_Name_and_Level)+1),FALSE)</f>
        <v>300000</v>
      </c>
      <c r="H1156" s="111">
        <f t="shared" ref="H1156" si="421">G1156*(1+F1156)</f>
        <v>450000</v>
      </c>
      <c r="J1156" s="115">
        <f>VLOOKUP($D1156,Research!$C:$G,(COLUMN(Research_ResearchReward_Power)-COLUMN(Research_Name_and_Level)+1),FALSE)</f>
        <v>32000</v>
      </c>
      <c r="R1156" s="148">
        <v>1.0416666666666666E-2</v>
      </c>
      <c r="AF1156" s="141"/>
      <c r="AG1156" s="141"/>
      <c r="AH1156" s="137"/>
      <c r="AI1156" s="484"/>
      <c r="AJ1156" s="137">
        <f t="shared" si="420"/>
        <v>1.041666666666663E-2</v>
      </c>
      <c r="AK1156" s="342">
        <v>0.625</v>
      </c>
      <c r="AP1156" s="256">
        <v>0.51</v>
      </c>
      <c r="AQ1156" s="147">
        <f>VLOOKUP($D1156,Research!$C:$D,(COLUMN(Research_Time)-COLUMN(Research_Name_and_Level)+1),FALSE)</f>
        <v>4</v>
      </c>
      <c r="AR1156" s="147">
        <f>AQ1156/(1+AP1156)</f>
        <v>2.6490066225165565</v>
      </c>
      <c r="AS1156" s="147">
        <f>(S$3*S1156+T$3*T1156+V$3*V1156+W$3*W1156+X$3*X1156+Y$3*Y1156+Z$3*Z1156+AA$3*AA1156+AB$3*AB1156+AC$3*AC1156)*(-1)</f>
        <v>0</v>
      </c>
      <c r="AT1156" s="148">
        <f>IF(AR1156-R1156-AS1156&gt;=0,AR1156-R1156-AS1156,0)</f>
        <v>2.63858995584989</v>
      </c>
      <c r="AU1156" s="111">
        <f>VLOOKUP($D1156,Research!$C:$L,(COLUMN(Research_ResearchCost_Stone)-COLUMN(Research_Name_and_Level)+1),FALSE)*(-1)</f>
        <v>-640000</v>
      </c>
      <c r="AV1156" s="111">
        <f>VLOOKUP($D1156,Research!$C:$L,(COLUMN(Research_ResearchCost_Wood)-COLUMN(Research_Name_and_Level)+1),FALSE)*(-1)</f>
        <v>-640000</v>
      </c>
      <c r="AW1156" s="111">
        <f>VLOOKUP($D1156,Research!$C:$L,(COLUMN(Research_ResearchCost_Ore)-COLUMN(Research_Name_and_Level)+1),FALSE)*(-1)</f>
        <v>-640000</v>
      </c>
      <c r="AX1156" s="111">
        <f>VLOOKUP($D1156,Research!$C:$L,(COLUMN(Research_ResearchCost_Food)-COLUMN(Research_Name_and_Level)+1),FALSE)*(-1)</f>
        <v>-640000</v>
      </c>
      <c r="AY1156" s="112">
        <f>VLOOKUP($D1156,Research!$C:$L,(COLUMN(Research_ResearchCost_Silver)-COLUMN(Research_Name_and_Level)+1),FALSE)*(-1)</f>
        <v>-640000</v>
      </c>
      <c r="BK1156" s="7"/>
      <c r="BL1156" s="19"/>
    </row>
    <row r="1157" spans="2:108" ht="15" customHeight="1">
      <c r="B1157" s="506" t="s">
        <v>144</v>
      </c>
      <c r="C1157" s="127" t="s">
        <v>138</v>
      </c>
      <c r="D1157" s="144" t="s">
        <v>1908</v>
      </c>
      <c r="E1157" s="506">
        <v>30</v>
      </c>
      <c r="F1157" s="12">
        <v>0.5</v>
      </c>
      <c r="G1157" s="94">
        <f>VLOOKUP($D1157,Construction!$B:$E,(COLUMN(Construction_BuildingReward_HeroXP)-COLUMN(Construction_Name_and_Level)+1),FALSE)</f>
        <v>500</v>
      </c>
      <c r="H1157" s="94">
        <f>G1157*(1+F1157)</f>
        <v>750</v>
      </c>
      <c r="J1157" s="95">
        <f>VLOOKUP($D1157,Construction!$B:$F,(COLUMN(Construction_BuildingReward_Power)-COLUMN(Construction_Name_and_Level)+1),FALSE)</f>
        <v>430</v>
      </c>
      <c r="Q1157" s="139">
        <v>3.472222222222222E-3</v>
      </c>
      <c r="R1157" s="289">
        <v>1.0416666666666666E-2</v>
      </c>
      <c r="W1157" s="11">
        <v>-1</v>
      </c>
      <c r="AF1157" s="141"/>
      <c r="AG1157" s="141"/>
      <c r="AH1157" s="137"/>
      <c r="AI1157" s="484">
        <f>(-1)*($S$3*$S1157+$T$3*$T1157+$U$3*$U1157+$V$3*$V1157+$W$3*$W1157+$X$3*$X1157+$Y$3*$Y1157+$Z$3*$Z1157+$AA$3*$AA1157+$AB$3*$AB1157+$AC$3*$AC1157)</f>
        <v>1.0416666666666666E-2</v>
      </c>
      <c r="AJ1157" s="137">
        <v>0</v>
      </c>
      <c r="AK1157" s="339">
        <v>0.625</v>
      </c>
      <c r="AL1157" s="138">
        <f>VLOOKUP($D1157,Construction!$B:$C,(COLUMN(Construction_Time)-COLUMN(Construction_Name_and_Level)+1),FALSE)</f>
        <v>0.56888888888888889</v>
      </c>
      <c r="AM1157" s="138">
        <f t="shared" ref="AM1157" si="422">AL1157/(1+AK1157)</f>
        <v>0.35008547008547009</v>
      </c>
      <c r="AN1157" s="138">
        <f>(S$3*S1157+T$3*T1157+V$3*V1157+W$3*W1157+X$3*X1157+Y$3*Y1157+Z$3*Z1157+AA$3*AA1157+AB$3*AB1157+AC$3*AC1157)*(-1)</f>
        <v>1.0416666666666666E-2</v>
      </c>
      <c r="AO1157" s="139">
        <f>IF((AM1157-Q1157-R1157-AN1157)&gt;=0,AM1157-Q1157-R1157-AN1157,0)</f>
        <v>0.3257799145299145</v>
      </c>
      <c r="AU1157" s="94">
        <f>VLOOKUP($D1157,Construction!$B:$J,(COLUMN(Construction_BuildingCost_Stone)-COLUMN(Construction_Name_and_Level)+1),FALSE)*(-1)</f>
        <v>-30132</v>
      </c>
      <c r="AV1157" s="94">
        <f>VLOOKUP($D1157,Construction!$B:$J,(COLUMN(Construction_BuildingCost_Wood)-COLUMN(Construction_Name_and_Level)+1),FALSE)*(-1)</f>
        <v>-30132</v>
      </c>
      <c r="AW1157" s="94">
        <f>VLOOKUP($D1157,Construction!$B:$J,(COLUMN(Construction_BuildingCost_Ore)-COLUMN(Construction_Name_and_Level)+1),FALSE)*(-1)</f>
        <v>0</v>
      </c>
      <c r="AX1157" s="94">
        <f>VLOOKUP($D1157,Construction!$B:$J,(COLUMN(Construction_BuildingCost_Food)-COLUMN(Construction_Name_and_Level)+1),FALSE)*(-1)</f>
        <v>-30132</v>
      </c>
    </row>
    <row r="1158" spans="2:108" ht="15" customHeight="1">
      <c r="B1158" s="506" t="s">
        <v>195</v>
      </c>
      <c r="C1158" s="127" t="s">
        <v>468</v>
      </c>
      <c r="D1158" s="144" t="s">
        <v>1909</v>
      </c>
      <c r="E1158" s="506">
        <v>30</v>
      </c>
      <c r="F1158" s="12">
        <v>0.5</v>
      </c>
      <c r="G1158" s="211">
        <v>1100</v>
      </c>
      <c r="H1158" s="211">
        <f t="shared" ref="H1158" si="423">G1158*(1+F1158)</f>
        <v>1650</v>
      </c>
      <c r="AF1158" s="141"/>
      <c r="AG1158" s="141"/>
      <c r="AH1158" s="137"/>
      <c r="AI1158" s="484"/>
      <c r="AJ1158" s="137">
        <f>AJ1157+(S$3*S1158+T$3*T1158+U$3*U1158+V$3*V1158+W$3*W1158+X$3*X1158+Y$3*Y1158+Z$3*Z1158+AA$3*AA1158+AB$3*AB1158+AC$3*AC1158)</f>
        <v>0</v>
      </c>
      <c r="AU1158" s="211">
        <v>0</v>
      </c>
      <c r="AV1158" s="213">
        <v>0</v>
      </c>
      <c r="AW1158" s="213">
        <v>0</v>
      </c>
      <c r="AX1158" s="213">
        <v>0</v>
      </c>
      <c r="AY1158" s="160">
        <v>550</v>
      </c>
      <c r="CL1158" s="211">
        <v>500</v>
      </c>
      <c r="CM1158" s="160">
        <f>CL1158</f>
        <v>500</v>
      </c>
    </row>
    <row r="1159" spans="2:108" ht="15" customHeight="1">
      <c r="B1159" s="506" t="s">
        <v>143</v>
      </c>
      <c r="C1159" s="127" t="s">
        <v>466</v>
      </c>
      <c r="D1159" s="144" t="s">
        <v>1910</v>
      </c>
      <c r="E1159" s="506">
        <v>30</v>
      </c>
      <c r="F1159" s="12">
        <v>0.5</v>
      </c>
      <c r="G1159" s="101">
        <v>1100</v>
      </c>
      <c r="H1159" s="101">
        <f>G1159*(1+F1159)</f>
        <v>1650</v>
      </c>
      <c r="AF1159" s="141"/>
      <c r="AG1159" s="141"/>
      <c r="AH1159" s="137"/>
      <c r="AI1159" s="484"/>
      <c r="AJ1159" s="137">
        <f>AJ1158+(S$3*S1159+T$3*T1159+U$3*U1159+V$3*V1159+W$3*W1159+X$3*X1159+Y$3*Y1159+Z$3*Z1159+AA$3*AA1159+AB$3*AB1159+AC$3*AC1159)</f>
        <v>0</v>
      </c>
      <c r="AU1159" s="101">
        <v>0</v>
      </c>
      <c r="AV1159" s="101">
        <v>0</v>
      </c>
      <c r="AW1159" s="101">
        <v>0</v>
      </c>
      <c r="AX1159" s="101">
        <v>0</v>
      </c>
      <c r="AY1159" s="100">
        <v>550</v>
      </c>
    </row>
    <row r="1160" spans="2:108" ht="15" customHeight="1">
      <c r="B1160" s="113" t="s">
        <v>1483</v>
      </c>
      <c r="C1160" s="127" t="s">
        <v>159</v>
      </c>
      <c r="D1160" s="127">
        <v>1400</v>
      </c>
      <c r="E1160" s="506">
        <v>30</v>
      </c>
      <c r="G1160" s="7"/>
      <c r="H1160" s="7"/>
      <c r="J1160" s="114">
        <f>VLOOKUP($C1160,Troop!$B:$AK,(COLUMN(Troop_TrainingReward_Power)-COLUMN(Troop_Name)+1),FALSE)*$D1160</f>
        <v>11200</v>
      </c>
      <c r="AF1160" s="141"/>
      <c r="AG1160" s="141"/>
      <c r="AH1160" s="137"/>
      <c r="AI1160" s="484"/>
      <c r="AJ1160" s="137">
        <f t="shared" ref="AJ1160:AJ1167" si="424">AJ1159+(S$3*S1160+T$3*T1160+U$3*U1160+V$3*V1160+W$3*W1160+X$3*X1160+Y$3*Y1160+Z$3*Z1160+AA$3*AA1160+AB$3*AB1160+AC$3*AC1160)</f>
        <v>0</v>
      </c>
      <c r="AU1160" s="296">
        <f>VLOOKUP($C1160,Troop!$B:$P,(COLUMN(Troop_TrainingCost_Stone)-COLUMN(Troop_Name)+1),FALSE)*$D1160*(-1)</f>
        <v>-140000</v>
      </c>
      <c r="AV1160" s="296">
        <f>VLOOKUP($C1160,Troop!$B:$P,(COLUMN(Troop_TrainingCost_Wood)-COLUMN(Troop_Name)+1),FALSE)*$D1160*(-1)</f>
        <v>-140000</v>
      </c>
      <c r="AW1160" s="296">
        <f>VLOOKUP($C1160,Troop!$B:$P,(COLUMN(Troop_TrainingCost_Ore)-COLUMN(Troop_Name)+1),FALSE)*$D1160*(-1)</f>
        <v>0</v>
      </c>
      <c r="AX1160" s="296">
        <f>VLOOKUP($C1160,Troop!$B:$P,(COLUMN(Troop_TrainingCost_Food)-COLUMN(Troop_Name)+1),FALSE)*$D1160*(-1)</f>
        <v>-140000</v>
      </c>
      <c r="AY1160" s="114">
        <f>VLOOKUP($C1160,Troop!$B:$P,(COLUMN(Troop_TrainingCost_Silver)-COLUMN(Troop_Name)+1),FALSE)*$D1160*(-1)</f>
        <v>-7000</v>
      </c>
      <c r="CT1160" s="128"/>
      <c r="CU1160" s="128"/>
      <c r="CV1160" s="128"/>
      <c r="CW1160" s="128"/>
      <c r="CX1160" s="128"/>
      <c r="CY1160" s="128"/>
      <c r="CZ1160" s="128"/>
      <c r="DA1160" s="128"/>
      <c r="DB1160" s="128"/>
      <c r="DC1160" s="128"/>
      <c r="DD1160" s="128"/>
    </row>
    <row r="1161" spans="2:108" ht="15" customHeight="1">
      <c r="B1161" s="113" t="s">
        <v>1483</v>
      </c>
      <c r="C1161" s="127" t="s">
        <v>619</v>
      </c>
      <c r="D1161" s="127">
        <v>700</v>
      </c>
      <c r="E1161" s="506">
        <v>30</v>
      </c>
      <c r="G1161" s="7"/>
      <c r="H1161" s="7"/>
      <c r="J1161" s="114">
        <f>VLOOKUP($C1161,Troop!$B:$AK,(COLUMN(Troop_TrainingReward_Power)-COLUMN(Troop_Name)+1),FALSE)*$D1161</f>
        <v>1400</v>
      </c>
      <c r="AF1161" s="141"/>
      <c r="AG1161" s="141"/>
      <c r="AH1161" s="137"/>
      <c r="AI1161" s="484"/>
      <c r="AJ1161" s="137">
        <f t="shared" si="424"/>
        <v>0</v>
      </c>
      <c r="AU1161" s="296">
        <f>VLOOKUP($C1161,Troop!$B:$P,(COLUMN(Troop_TrainingCost_Stone)-COLUMN(Troop_Name)+1),FALSE)*$D1161*(-1)</f>
        <v>-70000</v>
      </c>
      <c r="AV1161" s="296">
        <f>VLOOKUP($C1161,Troop!$B:$P,(COLUMN(Troop_TrainingCost_Wood)-COLUMN(Troop_Name)+1),FALSE)*$D1161*(-1)</f>
        <v>-70000</v>
      </c>
      <c r="AW1161" s="296">
        <f>VLOOKUP($C1161,Troop!$B:$P,(COLUMN(Troop_TrainingCost_Ore)-COLUMN(Troop_Name)+1),FALSE)*$D1161*(-1)</f>
        <v>0</v>
      </c>
      <c r="AX1161" s="296">
        <f>VLOOKUP($C1161,Troop!$B:$P,(COLUMN(Troop_TrainingCost_Food)-COLUMN(Troop_Name)+1),FALSE)*$D1161*(-1)</f>
        <v>-70000</v>
      </c>
      <c r="AY1161" s="114">
        <f>VLOOKUP($C1161,Troop!$B:$P,(COLUMN(Troop_TrainingCost_Silver)-COLUMN(Troop_Name)+1),FALSE)*$D1161*(-1)</f>
        <v>0</v>
      </c>
      <c r="CT1161" s="128"/>
      <c r="CU1161" s="128"/>
      <c r="CV1161" s="128"/>
      <c r="CW1161" s="128"/>
      <c r="CX1161" s="128"/>
      <c r="CY1161" s="128"/>
      <c r="CZ1161" s="128"/>
      <c r="DA1161" s="128"/>
      <c r="DB1161" s="128"/>
      <c r="DC1161" s="128"/>
      <c r="DD1161" s="128"/>
    </row>
    <row r="1162" spans="2:108" ht="15" customHeight="1">
      <c r="B1162" s="506" t="s">
        <v>624</v>
      </c>
      <c r="C1162" s="127" t="s">
        <v>623</v>
      </c>
      <c r="D1162" s="144" t="s">
        <v>1422</v>
      </c>
      <c r="E1162" s="506">
        <v>30</v>
      </c>
      <c r="AF1162" s="141"/>
      <c r="AG1162" s="141"/>
      <c r="AH1162" s="137"/>
      <c r="AI1162" s="484"/>
      <c r="AJ1162" s="137">
        <f t="shared" si="424"/>
        <v>0</v>
      </c>
      <c r="AU1162" s="30">
        <v>0</v>
      </c>
      <c r="AV1162" s="30">
        <v>0</v>
      </c>
      <c r="AW1162" s="30">
        <v>0</v>
      </c>
      <c r="AX1162" s="30">
        <v>58059</v>
      </c>
      <c r="AY1162" s="31">
        <v>0</v>
      </c>
    </row>
    <row r="1163" spans="2:108" ht="15" customHeight="1">
      <c r="B1163" s="506" t="s">
        <v>195</v>
      </c>
      <c r="C1163" s="127" t="s">
        <v>468</v>
      </c>
      <c r="D1163" s="144" t="s">
        <v>1911</v>
      </c>
      <c r="E1163" s="506">
        <v>30</v>
      </c>
      <c r="F1163" s="12">
        <v>0.5</v>
      </c>
      <c r="G1163" s="211">
        <v>4400</v>
      </c>
      <c r="H1163" s="211">
        <f t="shared" ref="H1163" si="425">G1163*(1+F1163)</f>
        <v>6600</v>
      </c>
      <c r="AF1163" s="141"/>
      <c r="AG1163" s="141"/>
      <c r="AH1163" s="137"/>
      <c r="AI1163" s="484"/>
      <c r="AJ1163" s="137">
        <f>AJ1162+(S$3*S1163+T$3*T1163+U$3*U1163+V$3*V1163+W$3*W1163+X$3*X1163+Y$3*Y1163+Z$3*Z1163+AA$3*AA1163+AB$3*AB1163+AC$3*AC1163)</f>
        <v>0</v>
      </c>
      <c r="AU1163" s="211">
        <v>0</v>
      </c>
      <c r="AV1163" s="213">
        <v>0</v>
      </c>
      <c r="AW1163" s="213">
        <v>0</v>
      </c>
      <c r="AX1163" s="213">
        <v>22000</v>
      </c>
      <c r="AY1163" s="160">
        <v>2200</v>
      </c>
      <c r="CL1163" s="211">
        <v>2000</v>
      </c>
      <c r="CM1163" s="160">
        <f>CL1163</f>
        <v>2000</v>
      </c>
    </row>
    <row r="1164" spans="2:108" ht="15" customHeight="1">
      <c r="B1164" s="506" t="s">
        <v>143</v>
      </c>
      <c r="C1164" s="127" t="s">
        <v>466</v>
      </c>
      <c r="D1164" s="144" t="s">
        <v>1911</v>
      </c>
      <c r="E1164" s="506">
        <v>30</v>
      </c>
      <c r="F1164" s="12">
        <v>0.5</v>
      </c>
      <c r="G1164" s="101">
        <v>4400</v>
      </c>
      <c r="H1164" s="101">
        <f>G1164*(1+F1164)</f>
        <v>6600</v>
      </c>
      <c r="AF1164" s="141"/>
      <c r="AG1164" s="141"/>
      <c r="AH1164" s="137"/>
      <c r="AI1164" s="484"/>
      <c r="AJ1164" s="137">
        <f t="shared" si="424"/>
        <v>0</v>
      </c>
      <c r="AU1164" s="101">
        <v>0</v>
      </c>
      <c r="AV1164" s="101">
        <v>0</v>
      </c>
      <c r="AW1164" s="101">
        <v>0</v>
      </c>
      <c r="AX1164" s="101">
        <v>0</v>
      </c>
      <c r="AY1164" s="100">
        <v>2200</v>
      </c>
    </row>
    <row r="1165" spans="2:108" ht="15" customHeight="1">
      <c r="B1165" s="506" t="s">
        <v>195</v>
      </c>
      <c r="C1165" s="127" t="s">
        <v>468</v>
      </c>
      <c r="D1165" s="144" t="s">
        <v>1912</v>
      </c>
      <c r="E1165" s="506">
        <v>30</v>
      </c>
      <c r="F1165" s="12">
        <v>0.5</v>
      </c>
      <c r="G1165" s="211">
        <v>4400</v>
      </c>
      <c r="H1165" s="211">
        <f t="shared" ref="H1165" si="426">G1165*(1+F1165)</f>
        <v>6600</v>
      </c>
      <c r="AF1165" s="141"/>
      <c r="AG1165" s="141"/>
      <c r="AH1165" s="137"/>
      <c r="AI1165" s="484"/>
      <c r="AJ1165" s="137">
        <f t="shared" si="424"/>
        <v>0</v>
      </c>
      <c r="AU1165" s="211">
        <v>11000</v>
      </c>
      <c r="AV1165" s="213">
        <v>0</v>
      </c>
      <c r="AW1165" s="213">
        <v>0</v>
      </c>
      <c r="AX1165" s="213">
        <v>0</v>
      </c>
      <c r="AY1165" s="160">
        <v>2200</v>
      </c>
      <c r="CL1165" s="211">
        <v>2000</v>
      </c>
      <c r="CM1165" s="160">
        <f>CL1165</f>
        <v>2000</v>
      </c>
      <c r="CS1165" s="506"/>
    </row>
    <row r="1166" spans="2:108" ht="15" customHeight="1">
      <c r="B1166" s="506" t="s">
        <v>143</v>
      </c>
      <c r="C1166" s="127" t="s">
        <v>466</v>
      </c>
      <c r="D1166" s="144" t="s">
        <v>1913</v>
      </c>
      <c r="E1166" s="506">
        <v>30</v>
      </c>
      <c r="F1166" s="12">
        <v>0.5</v>
      </c>
      <c r="G1166" s="101">
        <v>4400</v>
      </c>
      <c r="H1166" s="101">
        <f>G1166*(1+F1166)</f>
        <v>6600</v>
      </c>
      <c r="AF1166" s="141"/>
      <c r="AG1166" s="141"/>
      <c r="AH1166" s="137"/>
      <c r="AI1166" s="484"/>
      <c r="AJ1166" s="137">
        <f t="shared" si="424"/>
        <v>0</v>
      </c>
      <c r="AU1166" s="101">
        <v>0</v>
      </c>
      <c r="AV1166" s="101">
        <v>0</v>
      </c>
      <c r="AW1166" s="101">
        <v>5500</v>
      </c>
      <c r="AX1166" s="101">
        <v>0</v>
      </c>
      <c r="AY1166" s="100">
        <v>1100</v>
      </c>
      <c r="CS1166" s="506"/>
    </row>
    <row r="1167" spans="2:108" ht="15" customHeight="1">
      <c r="B1167" s="506" t="s">
        <v>143</v>
      </c>
      <c r="C1167" s="127" t="s">
        <v>466</v>
      </c>
      <c r="D1167" s="144" t="s">
        <v>1914</v>
      </c>
      <c r="E1167" s="506">
        <v>30</v>
      </c>
      <c r="F1167" s="12">
        <v>0.5</v>
      </c>
      <c r="G1167" s="101">
        <v>16500</v>
      </c>
      <c r="H1167" s="101">
        <f>G1167*(1+F1167)</f>
        <v>24750</v>
      </c>
      <c r="AF1167" s="141"/>
      <c r="AG1167" s="141"/>
      <c r="AH1167" s="137"/>
      <c r="AI1167" s="484"/>
      <c r="AJ1167" s="137">
        <f t="shared" si="424"/>
        <v>0</v>
      </c>
      <c r="AU1167" s="101">
        <v>0</v>
      </c>
      <c r="AV1167" s="101">
        <v>0</v>
      </c>
      <c r="AW1167" s="101">
        <v>12375</v>
      </c>
      <c r="AX1167" s="101">
        <v>12375</v>
      </c>
      <c r="AY1167" s="100">
        <v>2475</v>
      </c>
      <c r="CS1167" s="506"/>
    </row>
    <row r="1168" spans="2:108" ht="15" customHeight="1">
      <c r="B1168" s="506" t="s">
        <v>195</v>
      </c>
      <c r="C1168" s="127" t="s">
        <v>468</v>
      </c>
      <c r="D1168" s="144" t="s">
        <v>1915</v>
      </c>
      <c r="E1168" s="506">
        <v>30</v>
      </c>
      <c r="F1168" s="12">
        <v>0.5</v>
      </c>
      <c r="G1168" s="211">
        <v>4400</v>
      </c>
      <c r="H1168" s="211">
        <f t="shared" ref="H1168" si="427">G1168*(1+F1168)</f>
        <v>6600</v>
      </c>
      <c r="AF1168" s="141"/>
      <c r="AG1168" s="141"/>
      <c r="AH1168" s="137"/>
      <c r="AI1168" s="484"/>
      <c r="AJ1168" s="137">
        <f t="shared" ref="AJ1168:AJ1169" si="428">AJ1167+(S$3*S1168+T$3*T1168+U$3*U1168+V$3*V1168+W$3*W1168+X$3*X1168+Y$3*Y1168+Z$3*Z1168+AA$3*AA1168+AB$3*AB1168+AC$3*AC1168)</f>
        <v>0</v>
      </c>
      <c r="AU1168" s="211">
        <v>0</v>
      </c>
      <c r="AV1168" s="213">
        <v>0</v>
      </c>
      <c r="AW1168" s="213">
        <v>0</v>
      </c>
      <c r="AX1168" s="213">
        <v>22000</v>
      </c>
      <c r="AY1168" s="160">
        <v>2200</v>
      </c>
      <c r="CL1168" s="211">
        <v>2000</v>
      </c>
      <c r="CM1168" s="160">
        <f>CL1168</f>
        <v>2000</v>
      </c>
      <c r="CS1168" s="506"/>
    </row>
    <row r="1169" spans="2:108" ht="15" customHeight="1">
      <c r="B1169" s="506" t="s">
        <v>143</v>
      </c>
      <c r="C1169" s="127" t="s">
        <v>466</v>
      </c>
      <c r="D1169" s="144" t="s">
        <v>1916</v>
      </c>
      <c r="E1169" s="506">
        <v>30</v>
      </c>
      <c r="F1169" s="12">
        <v>0.5</v>
      </c>
      <c r="G1169" s="101">
        <v>4400</v>
      </c>
      <c r="H1169" s="101">
        <f>G1169*(1+F1169)</f>
        <v>6600</v>
      </c>
      <c r="AF1169" s="141"/>
      <c r="AG1169" s="141"/>
      <c r="AH1169" s="137"/>
      <c r="AI1169" s="484"/>
      <c r="AJ1169" s="137">
        <f t="shared" si="428"/>
        <v>0</v>
      </c>
      <c r="AU1169" s="101">
        <v>0</v>
      </c>
      <c r="AV1169" s="101">
        <v>0</v>
      </c>
      <c r="AW1169" s="101">
        <v>11000</v>
      </c>
      <c r="AX1169" s="101">
        <v>0</v>
      </c>
      <c r="AY1169" s="100">
        <v>0</v>
      </c>
      <c r="CS1169" s="506"/>
    </row>
    <row r="1170" spans="2:108" ht="15" customHeight="1">
      <c r="B1170" s="506" t="s">
        <v>195</v>
      </c>
      <c r="C1170" s="127" t="s">
        <v>468</v>
      </c>
      <c r="D1170" s="144" t="s">
        <v>1917</v>
      </c>
      <c r="E1170" s="506">
        <v>30</v>
      </c>
      <c r="F1170" s="12">
        <v>0.5</v>
      </c>
      <c r="G1170" s="211">
        <v>16500</v>
      </c>
      <c r="H1170" s="211">
        <f t="shared" ref="H1170" si="429">G1170*(1+F1170)</f>
        <v>24750</v>
      </c>
      <c r="AF1170" s="141"/>
      <c r="AG1170" s="141"/>
      <c r="AH1170" s="137"/>
      <c r="AI1170" s="484"/>
      <c r="AJ1170" s="137">
        <f t="shared" ref="AJ1170" si="430">AJ1169+(S$3*S1170+T$3*T1170+U$3*U1170+V$3*V1170+W$3*W1170+X$3*X1170+Y$3*Y1170+Z$3*Z1170+AA$3*AA1170+AB$3*AB1170+AC$3*AC1170)</f>
        <v>0</v>
      </c>
      <c r="AU1170" s="211">
        <v>41250</v>
      </c>
      <c r="AV1170" s="213">
        <v>0</v>
      </c>
      <c r="AW1170" s="213">
        <v>0</v>
      </c>
      <c r="AX1170" s="213">
        <v>0</v>
      </c>
      <c r="AY1170" s="160">
        <v>0</v>
      </c>
      <c r="CL1170" s="211">
        <v>7500</v>
      </c>
      <c r="CM1170" s="160">
        <f>CL1170</f>
        <v>7500</v>
      </c>
      <c r="CS1170" s="506"/>
    </row>
    <row r="1171" spans="2:108" ht="15" customHeight="1">
      <c r="B1171" s="506" t="s">
        <v>144</v>
      </c>
      <c r="C1171" s="127" t="s">
        <v>138</v>
      </c>
      <c r="D1171" s="144" t="s">
        <v>1918</v>
      </c>
      <c r="E1171" s="506">
        <v>30</v>
      </c>
      <c r="F1171" s="12">
        <v>0.5</v>
      </c>
      <c r="G1171" s="94">
        <f>VLOOKUP($D1171,Construction!$B:$E,(COLUMN(Construction_BuildingReward_HeroXP)-COLUMN(Construction_Name_and_Level)+1),FALSE)</f>
        <v>500</v>
      </c>
      <c r="H1171" s="94">
        <f>G1171*(1+F1171)</f>
        <v>750</v>
      </c>
      <c r="J1171" s="95">
        <f>VLOOKUP($D1171,Construction!$B:$F,(COLUMN(Construction_BuildingReward_Power)-COLUMN(Construction_Name_and_Level)+1),FALSE)</f>
        <v>430</v>
      </c>
      <c r="Q1171" s="139">
        <v>3.472222222222222E-3</v>
      </c>
      <c r="R1171" s="289">
        <v>1.0416666666666666E-2</v>
      </c>
      <c r="AF1171" s="141"/>
      <c r="AG1171" s="141"/>
      <c r="AH1171" s="137"/>
      <c r="AI1171" s="484"/>
      <c r="AJ1171" s="137">
        <f>AJ1170+(S$3*S1171+T$3*T1171+U$3*U1171+V$3*V1171+W$3*W1171+X$3*X1171+Y$3*Y1171+Z$3*Z1171+AA$3*AA1171+AB$3*AB1171+AC$3*AC1171)</f>
        <v>0</v>
      </c>
      <c r="AK1171" s="339">
        <v>0.625</v>
      </c>
      <c r="AL1171" s="138">
        <f>VLOOKUP($D1171,Construction!$B:$C,(COLUMN(Construction_Time)-COLUMN(Construction_Name_and_Level)+1),FALSE)</f>
        <v>0.42666666666666669</v>
      </c>
      <c r="AM1171" s="138">
        <f t="shared" ref="AM1171" si="431">AL1171/(1+AK1171)</f>
        <v>0.26256410256410256</v>
      </c>
      <c r="AN1171" s="138">
        <f>(S$3*S1171+T$3*T1171+V$3*V1171+W$3*W1171+X$3*X1171+Y$3*Y1171+Z$3*Z1171+AA$3*AA1171+AB$3*AB1171+AC$3*AC1171)*(-1)</f>
        <v>0</v>
      </c>
      <c r="AO1171" s="139">
        <f>IF((AM1171-Q1171-R1171-AN1171)&gt;=0,AM1171-Q1171-R1171-AN1171,0)</f>
        <v>0.2486752136752137</v>
      </c>
      <c r="AU1171" s="94">
        <f>VLOOKUP($D1171,Construction!$B:$J,(COLUMN(Construction_BuildingCost_Stone)-COLUMN(Construction_Name_and_Level)+1),FALSE)*(-1)</f>
        <v>-30132</v>
      </c>
      <c r="AV1171" s="94">
        <f>VLOOKUP($D1171,Construction!$B:$J,(COLUMN(Construction_BuildingCost_Wood)-COLUMN(Construction_Name_and_Level)+1),FALSE)*(-1)</f>
        <v>0</v>
      </c>
      <c r="AW1171" s="94">
        <f>VLOOKUP($D1171,Construction!$B:$J,(COLUMN(Construction_BuildingCost_Ore)-COLUMN(Construction_Name_and_Level)+1),FALSE)*(-1)</f>
        <v>-30132</v>
      </c>
      <c r="AX1171" s="94">
        <f>VLOOKUP($D1171,Construction!$B:$J,(COLUMN(Construction_BuildingCost_Food)-COLUMN(Construction_Name_and_Level)+1),FALSE)*(-1)</f>
        <v>-30132</v>
      </c>
      <c r="CS1171" s="506"/>
    </row>
    <row r="1172" spans="2:108" ht="15" customHeight="1">
      <c r="B1172" s="113" t="s">
        <v>1483</v>
      </c>
      <c r="C1172" s="127" t="s">
        <v>160</v>
      </c>
      <c r="D1172" s="127">
        <v>1000</v>
      </c>
      <c r="E1172" s="506">
        <v>30</v>
      </c>
      <c r="G1172" s="7"/>
      <c r="H1172" s="7"/>
      <c r="J1172" s="114">
        <f>VLOOKUP($C1172,Troop!$B:$AK,(COLUMN(Troop_TrainingReward_Power)-COLUMN(Troop_Name)+1),FALSE)*$D1172</f>
        <v>8000</v>
      </c>
      <c r="AF1172" s="141"/>
      <c r="AG1172" s="141"/>
      <c r="AH1172" s="137"/>
      <c r="AI1172" s="484"/>
      <c r="AJ1172" s="137">
        <f t="shared" ref="AJ1172:AJ1183" si="432">AJ1171+(S$3*S1172+T$3*T1172+U$3*U1172+V$3*V1172+W$3*W1172+X$3*X1172+Y$3*Y1172+Z$3*Z1172+AA$3*AA1172+AB$3*AB1172+AC$3*AC1172)</f>
        <v>0</v>
      </c>
      <c r="AU1172" s="296">
        <f>VLOOKUP($C1172,Troop!$B:$P,(COLUMN(Troop_TrainingCost_Stone)-COLUMN(Troop_Name)+1),FALSE)*$D1172*(-1)</f>
        <v>-100000</v>
      </c>
      <c r="AV1172" s="296">
        <f>VLOOKUP($C1172,Troop!$B:$P,(COLUMN(Troop_TrainingCost_Wood)-COLUMN(Troop_Name)+1),FALSE)*$D1172*(-1)</f>
        <v>0</v>
      </c>
      <c r="AW1172" s="296">
        <f>VLOOKUP($C1172,Troop!$B:$P,(COLUMN(Troop_TrainingCost_Ore)-COLUMN(Troop_Name)+1),FALSE)*$D1172*(-1)</f>
        <v>-75000</v>
      </c>
      <c r="AX1172" s="296">
        <f>VLOOKUP($C1172,Troop!$B:$P,(COLUMN(Troop_TrainingCost_Food)-COLUMN(Troop_Name)+1),FALSE)*$D1172*(-1)</f>
        <v>-100000</v>
      </c>
      <c r="AY1172" s="114">
        <f>VLOOKUP($C1172,Troop!$B:$P,(COLUMN(Troop_TrainingCost_Silver)-COLUMN(Troop_Name)+1),FALSE)*$D1172*(-1)</f>
        <v>-5000</v>
      </c>
      <c r="CS1172" s="506"/>
      <c r="CT1172" s="128"/>
      <c r="CU1172" s="128"/>
      <c r="CV1172" s="128"/>
      <c r="CW1172" s="128"/>
      <c r="CX1172" s="128"/>
      <c r="CY1172" s="128"/>
      <c r="CZ1172" s="128"/>
      <c r="DA1172" s="128"/>
      <c r="DB1172" s="128"/>
      <c r="DC1172" s="128"/>
      <c r="DD1172" s="128"/>
    </row>
    <row r="1173" spans="2:108" ht="15" customHeight="1">
      <c r="B1173" s="506" t="s">
        <v>145</v>
      </c>
      <c r="C1173" s="146" t="s">
        <v>151</v>
      </c>
      <c r="D1173" s="145">
        <v>2.8472222222222222E-2</v>
      </c>
      <c r="E1173" s="506">
        <v>30</v>
      </c>
      <c r="V1173" s="2">
        <v>1</v>
      </c>
      <c r="AF1173" s="141">
        <f>$S$3*$S1173+$T$3*$T1173+$U$3*$U1173+$V$3*$V1173+$W$3*$W1173+$X$3*$X1173+$Y$3*$Y1173+$Z$3*$Z1173+$AA$3*$AA1173+$AB$3*$AB1173+$AC$3*$AC1173</f>
        <v>6.9444444444444441E-3</v>
      </c>
      <c r="AG1173" s="141"/>
      <c r="AH1173" s="137"/>
      <c r="AI1173" s="484"/>
      <c r="AJ1173" s="137">
        <f t="shared" si="432"/>
        <v>6.9444444444444441E-3</v>
      </c>
      <c r="CS1173" s="506"/>
    </row>
    <row r="1174" spans="2:108" ht="15" customHeight="1">
      <c r="B1174" s="506" t="s">
        <v>144</v>
      </c>
      <c r="C1174" s="127" t="s">
        <v>138</v>
      </c>
      <c r="D1174" s="144" t="s">
        <v>1919</v>
      </c>
      <c r="E1174" s="506">
        <v>30</v>
      </c>
      <c r="F1174" s="12">
        <v>0.5</v>
      </c>
      <c r="G1174" s="94">
        <f>VLOOKUP($D1174,Construction!$B:$E,(COLUMN(Construction_BuildingReward_HeroXP)-COLUMN(Construction_Name_and_Level)+1),FALSE)</f>
        <v>500</v>
      </c>
      <c r="H1174" s="94">
        <f>G1174*(1+F1174)</f>
        <v>750</v>
      </c>
      <c r="J1174" s="95">
        <f>VLOOKUP($D1174,Construction!$B:$F,(COLUMN(Construction_BuildingReward_Power)-COLUMN(Construction_Name_and_Level)+1),FALSE)</f>
        <v>430</v>
      </c>
      <c r="Q1174" s="139">
        <v>3.472222222222222E-3</v>
      </c>
      <c r="R1174" s="289">
        <v>1.0416666666666666E-2</v>
      </c>
      <c r="V1174" s="2">
        <v>-1</v>
      </c>
      <c r="AF1174" s="141"/>
      <c r="AG1174" s="141"/>
      <c r="AH1174" s="137"/>
      <c r="AI1174" s="484">
        <f>(-1)*($S$3*$S1174+$T$3*$T1174+$U$3*$U1174+$V$3*$V1174+$W$3*$W1174+$X$3*$X1174+$Y$3*$Y1174+$Z$3*$Z1174+$AA$3*$AA1174+$AB$3*$AB1174+$AC$3*$AC1174)</f>
        <v>6.9444444444444441E-3</v>
      </c>
      <c r="AJ1174" s="137">
        <f t="shared" si="432"/>
        <v>0</v>
      </c>
      <c r="AK1174" s="339">
        <v>0.625</v>
      </c>
      <c r="AL1174" s="138">
        <f>VLOOKUP($D1174,Construction!$B:$C,(COLUMN(Construction_Time)-COLUMN(Construction_Name_and_Level)+1),FALSE)</f>
        <v>0.49777777777777782</v>
      </c>
      <c r="AM1174" s="138">
        <f t="shared" ref="AM1174" si="433">AL1174/(1+AK1174)</f>
        <v>0.30632478632478632</v>
      </c>
      <c r="AN1174" s="138">
        <f>(S$3*S1174+T$3*T1174+V$3*V1174+W$3*W1174+X$3*X1174+Y$3*Y1174+Z$3*Z1174+AA$3*AA1174+AB$3*AB1174+AC$3*AC1174)*(-1)</f>
        <v>6.9444444444444441E-3</v>
      </c>
      <c r="AO1174" s="139">
        <f>IF((AM1174-Q1174-R1174-AN1174)&gt;=0,AM1174-Q1174-R1174-AN1174,0)</f>
        <v>0.28549145299145301</v>
      </c>
      <c r="AU1174" s="94">
        <f>VLOOKUP($D1174,Construction!$B:$J,(COLUMN(Construction_BuildingCost_Stone)-COLUMN(Construction_Name_and_Level)+1),FALSE)*(-1)</f>
        <v>0</v>
      </c>
      <c r="AV1174" s="94">
        <f>VLOOKUP($D1174,Construction!$B:$J,(COLUMN(Construction_BuildingCost_Wood)-COLUMN(Construction_Name_and_Level)+1),FALSE)*(-1)</f>
        <v>-30132</v>
      </c>
      <c r="AW1174" s="94">
        <f>VLOOKUP($D1174,Construction!$B:$J,(COLUMN(Construction_BuildingCost_Ore)-COLUMN(Construction_Name_and_Level)+1),FALSE)*(-1)</f>
        <v>-30132</v>
      </c>
      <c r="AX1174" s="94">
        <f>VLOOKUP($D1174,Construction!$B:$J,(COLUMN(Construction_BuildingCost_Food)-COLUMN(Construction_Name_and_Level)+1),FALSE)*(-1)</f>
        <v>-30132</v>
      </c>
      <c r="CS1174" s="506"/>
    </row>
    <row r="1175" spans="2:108" ht="15" customHeight="1">
      <c r="B1175" s="506" t="s">
        <v>143</v>
      </c>
      <c r="C1175" s="127" t="s">
        <v>466</v>
      </c>
      <c r="D1175" s="144" t="s">
        <v>1920</v>
      </c>
      <c r="E1175" s="506">
        <v>30</v>
      </c>
      <c r="F1175" s="12">
        <v>0.5</v>
      </c>
      <c r="G1175" s="101">
        <v>16500</v>
      </c>
      <c r="H1175" s="101">
        <f>G1175*(1+F1175)</f>
        <v>24750</v>
      </c>
      <c r="AF1175" s="141"/>
      <c r="AG1175" s="141"/>
      <c r="AH1175" s="137"/>
      <c r="AI1175" s="484"/>
      <c r="AJ1175" s="137">
        <f t="shared" si="432"/>
        <v>0</v>
      </c>
      <c r="AU1175" s="101">
        <v>0</v>
      </c>
      <c r="AV1175" s="101">
        <v>20625</v>
      </c>
      <c r="AW1175" s="101">
        <v>0</v>
      </c>
      <c r="AX1175" s="101">
        <v>20625</v>
      </c>
      <c r="AY1175" s="100">
        <v>0</v>
      </c>
      <c r="CS1175" s="506"/>
    </row>
    <row r="1176" spans="2:108" ht="15" customHeight="1">
      <c r="B1176" s="506" t="s">
        <v>195</v>
      </c>
      <c r="C1176" s="127" t="s">
        <v>468</v>
      </c>
      <c r="D1176" s="144" t="s">
        <v>1920</v>
      </c>
      <c r="E1176" s="506">
        <v>30</v>
      </c>
      <c r="F1176" s="12">
        <v>0.5</v>
      </c>
      <c r="G1176" s="211">
        <v>16500</v>
      </c>
      <c r="H1176" s="211">
        <f t="shared" ref="H1176" si="434">G1176*(1+F1176)</f>
        <v>24750</v>
      </c>
      <c r="AF1176" s="141"/>
      <c r="AG1176" s="141"/>
      <c r="AH1176" s="137"/>
      <c r="AI1176" s="484"/>
      <c r="AJ1176" s="137">
        <f t="shared" si="432"/>
        <v>0</v>
      </c>
      <c r="AU1176" s="211">
        <v>0</v>
      </c>
      <c r="AV1176" s="213">
        <v>41250</v>
      </c>
      <c r="AW1176" s="213">
        <v>0</v>
      </c>
      <c r="AX1176" s="213">
        <v>0</v>
      </c>
      <c r="AY1176" s="160">
        <v>8250</v>
      </c>
      <c r="CL1176" s="211">
        <v>7500</v>
      </c>
      <c r="CM1176" s="160">
        <f>CL1176</f>
        <v>7500</v>
      </c>
      <c r="CS1176" s="506"/>
    </row>
    <row r="1177" spans="2:108" ht="15" customHeight="1">
      <c r="B1177" s="506" t="s">
        <v>624</v>
      </c>
      <c r="C1177" s="127" t="s">
        <v>623</v>
      </c>
      <c r="D1177" s="144" t="s">
        <v>1422</v>
      </c>
      <c r="E1177" s="506">
        <v>30</v>
      </c>
      <c r="AF1177" s="141"/>
      <c r="AG1177" s="141"/>
      <c r="AH1177" s="137"/>
      <c r="AI1177" s="484"/>
      <c r="AJ1177" s="137">
        <f t="shared" si="432"/>
        <v>0</v>
      </c>
      <c r="AU1177" s="30">
        <v>0</v>
      </c>
      <c r="AV1177" s="30">
        <v>0</v>
      </c>
      <c r="AW1177" s="30">
        <v>0</v>
      </c>
      <c r="AX1177" s="30">
        <v>76259</v>
      </c>
      <c r="AY1177" s="31">
        <v>0</v>
      </c>
      <c r="CS1177" s="506"/>
    </row>
    <row r="1178" spans="2:108" ht="15" customHeight="1">
      <c r="B1178" s="506" t="s">
        <v>143</v>
      </c>
      <c r="C1178" s="127" t="s">
        <v>141</v>
      </c>
      <c r="D1178" s="144" t="s">
        <v>1921</v>
      </c>
      <c r="E1178" s="506">
        <v>30</v>
      </c>
      <c r="F1178" s="12">
        <v>0.5</v>
      </c>
      <c r="G1178" s="101">
        <v>20000</v>
      </c>
      <c r="H1178" s="101">
        <f>G1178*(1+F1178)</f>
        <v>30000</v>
      </c>
      <c r="J1178" s="100">
        <v>500</v>
      </c>
      <c r="AF1178" s="141"/>
      <c r="AG1178" s="141"/>
      <c r="AH1178" s="137"/>
      <c r="AI1178" s="484"/>
      <c r="AJ1178" s="137">
        <f t="shared" si="432"/>
        <v>0</v>
      </c>
      <c r="AU1178" s="101">
        <v>7500</v>
      </c>
      <c r="AV1178" s="101">
        <v>0</v>
      </c>
      <c r="AW1178" s="101">
        <v>5625</v>
      </c>
      <c r="AX1178" s="101">
        <v>7500</v>
      </c>
      <c r="AY1178" s="100">
        <v>75</v>
      </c>
      <c r="CS1178" s="506"/>
    </row>
    <row r="1179" spans="2:108" ht="15" customHeight="1">
      <c r="B1179" s="506" t="s">
        <v>143</v>
      </c>
      <c r="C1179" s="127" t="s">
        <v>142</v>
      </c>
      <c r="D1179" s="144" t="s">
        <v>1918</v>
      </c>
      <c r="E1179" s="506">
        <v>30</v>
      </c>
      <c r="F1179" s="12">
        <v>0.5</v>
      </c>
      <c r="G1179" s="101">
        <f>VLOOKUP($D1179,Construction!$B:$L,(COLUMN(Construction_QuestReward_HeroXP)-COLUMN(Construction_Name_and_Level)+1),FALSE)</f>
        <v>20000</v>
      </c>
      <c r="H1179" s="101">
        <f>G1179*(1+F1179)</f>
        <v>30000</v>
      </c>
      <c r="J1179" s="100">
        <f>VLOOKUP($D1179,Construction!$B:$L,(COLUMN(Construction_QuestReward_Power)-COLUMN(Construction_Name_and_Level)+1),FALSE)</f>
        <v>250</v>
      </c>
      <c r="AF1179" s="141"/>
      <c r="AG1179" s="141"/>
      <c r="AH1179" s="137"/>
      <c r="AI1179" s="484"/>
      <c r="AJ1179" s="137">
        <f t="shared" si="432"/>
        <v>0</v>
      </c>
      <c r="AU1179" s="101">
        <f>VLOOKUP($D1179,Construction!$B:$Q,(COLUMN(Construction_QuestReward_Stone)-COLUMN(Construction_Name_and_Level)+1),FALSE)</f>
        <v>5478</v>
      </c>
      <c r="AV1179" s="101">
        <f>VLOOKUP($D1179,Construction!$B:$Q,(COLUMN(Construction_QuestReward_Wood)-COLUMN(Construction_Name_and_Level)+1),FALSE)</f>
        <v>0</v>
      </c>
      <c r="AW1179" s="101">
        <f>VLOOKUP($D1179,Construction!$B:$Q,(COLUMN(Construction_QuestReward_Ore)-COLUMN(Construction_Name_and_Level)+1),FALSE)</f>
        <v>5478</v>
      </c>
      <c r="AX1179" s="101">
        <f>VLOOKUP($D1179,Construction!$B:$Q,(COLUMN(Construction_QuestReward_Food)-COLUMN(Construction_Name_and_Level)+1),FALSE)</f>
        <v>5478</v>
      </c>
      <c r="AY1179" s="100">
        <f>VLOOKUP($D1179,Construction!$B:$Q,(COLUMN(Construction_QuestReward_Silver)-COLUMN(Construction_Name_and_Level)+1),FALSE)</f>
        <v>80</v>
      </c>
      <c r="CS1179" s="506"/>
    </row>
    <row r="1180" spans="2:108" ht="15" customHeight="1">
      <c r="B1180" s="506" t="s">
        <v>143</v>
      </c>
      <c r="C1180" s="127" t="s">
        <v>142</v>
      </c>
      <c r="D1180" s="144" t="s">
        <v>1908</v>
      </c>
      <c r="E1180" s="506">
        <v>30</v>
      </c>
      <c r="F1180" s="12">
        <v>0.5</v>
      </c>
      <c r="G1180" s="101">
        <f>VLOOKUP($D1180,Construction!$B:$L,(COLUMN(Construction_QuestReward_HeroXP)-COLUMN(Construction_Name_and_Level)+1),FALSE)</f>
        <v>20000</v>
      </c>
      <c r="H1180" s="101">
        <f>G1180*(1+F1180)</f>
        <v>30000</v>
      </c>
      <c r="J1180" s="100">
        <f>VLOOKUP($D1180,Construction!$B:$L,(COLUMN(Construction_QuestReward_Power)-COLUMN(Construction_Name_and_Level)+1),FALSE)</f>
        <v>250</v>
      </c>
      <c r="AF1180" s="141"/>
      <c r="AG1180" s="141"/>
      <c r="AH1180" s="137"/>
      <c r="AI1180" s="484"/>
      <c r="AJ1180" s="137">
        <f t="shared" si="432"/>
        <v>0</v>
      </c>
      <c r="AU1180" s="101">
        <f>VLOOKUP($D1180,Construction!$B:$Q,(COLUMN(Construction_QuestReward_Stone)-COLUMN(Construction_Name_and_Level)+1),FALSE)</f>
        <v>5478</v>
      </c>
      <c r="AV1180" s="101">
        <f>VLOOKUP($D1180,Construction!$B:$Q,(COLUMN(Construction_QuestReward_Wood)-COLUMN(Construction_Name_and_Level)+1),FALSE)</f>
        <v>5478</v>
      </c>
      <c r="AW1180" s="101">
        <f>VLOOKUP($D1180,Construction!$B:$Q,(COLUMN(Construction_QuestReward_Ore)-COLUMN(Construction_Name_and_Level)+1),FALSE)</f>
        <v>0</v>
      </c>
      <c r="AX1180" s="101">
        <f>VLOOKUP($D1180,Construction!$B:$Q,(COLUMN(Construction_QuestReward_Food)-COLUMN(Construction_Name_and_Level)+1),FALSE)</f>
        <v>5478</v>
      </c>
      <c r="AY1180" s="100">
        <f>VLOOKUP($D1180,Construction!$B:$Q,(COLUMN(Construction_QuestReward_Silver)-COLUMN(Construction_Name_and_Level)+1),FALSE)</f>
        <v>80</v>
      </c>
      <c r="CS1180" s="506"/>
    </row>
    <row r="1181" spans="2:108" ht="15" customHeight="1">
      <c r="B1181" s="506" t="s">
        <v>148</v>
      </c>
      <c r="E1181" s="506">
        <v>30</v>
      </c>
      <c r="F1181" s="274"/>
      <c r="G1181" s="7"/>
      <c r="H1181" s="7"/>
      <c r="I1181" s="19"/>
      <c r="J1181" s="19"/>
      <c r="AF1181" s="141"/>
      <c r="AJ1181" s="137">
        <f t="shared" si="432"/>
        <v>0</v>
      </c>
      <c r="AX1181" s="142">
        <v>30000</v>
      </c>
      <c r="CS1181" s="506"/>
    </row>
    <row r="1182" spans="2:108" ht="15" customHeight="1">
      <c r="B1182" s="506" t="s">
        <v>144</v>
      </c>
      <c r="C1182" s="127" t="s">
        <v>138</v>
      </c>
      <c r="D1182" s="144" t="s">
        <v>1922</v>
      </c>
      <c r="E1182" s="506">
        <v>30</v>
      </c>
      <c r="F1182" s="12">
        <v>0.5</v>
      </c>
      <c r="G1182" s="94">
        <f>VLOOKUP($D1182,Construction!$B:$E,(COLUMN(Construction_BuildingReward_HeroXP)-COLUMN(Construction_Name_and_Level)+1),FALSE)</f>
        <v>500</v>
      </c>
      <c r="H1182" s="94">
        <f>G1182*(1+F1182)</f>
        <v>750</v>
      </c>
      <c r="J1182" s="95">
        <f>VLOOKUP($D1182,Construction!$B:$F,(COLUMN(Construction_BuildingReward_Power)-COLUMN(Construction_Name_and_Level)+1),FALSE)</f>
        <v>1075</v>
      </c>
      <c r="Q1182" s="139">
        <v>3.472222222222222E-3</v>
      </c>
      <c r="R1182" s="289">
        <v>1.0416666666666666E-2</v>
      </c>
      <c r="AF1182" s="141"/>
      <c r="AG1182" s="141"/>
      <c r="AH1182" s="137"/>
      <c r="AI1182" s="484"/>
      <c r="AJ1182" s="137">
        <f t="shared" si="432"/>
        <v>0</v>
      </c>
      <c r="AK1182" s="339">
        <v>0.625</v>
      </c>
      <c r="AL1182" s="138">
        <f>VLOOKUP($D1182,Construction!$B:$C,(COLUMN(Construction_Time)-COLUMN(Construction_Name_and_Level)+1),FALSE)</f>
        <v>0.35555555555555557</v>
      </c>
      <c r="AM1182" s="138">
        <f t="shared" ref="AM1182" si="435">AL1182/(1+AK1182)</f>
        <v>0.2188034188034188</v>
      </c>
      <c r="AN1182" s="138">
        <f>(S$3*S1182+T$3*T1182+V$3*V1182+W$3*W1182+X$3*X1182+Y$3*Y1182+Z$3*Z1182+AA$3*AA1182+AB$3*AB1182+AC$3*AC1182)*(-1)</f>
        <v>0</v>
      </c>
      <c r="AO1182" s="139">
        <f>IF((AM1182-Q1182-R1182-AN1182)&gt;=0,AM1182-Q1182-R1182-AN1182,0)</f>
        <v>0.20491452991452994</v>
      </c>
      <c r="AU1182" s="94">
        <f>VLOOKUP($D1182,Construction!$B:$J,(COLUMN(Construction_BuildingCost_Stone)-COLUMN(Construction_Name_and_Level)+1),FALSE)*(-1)</f>
        <v>-60192</v>
      </c>
      <c r="AV1182" s="94">
        <f>VLOOKUP($D1182,Construction!$B:$J,(COLUMN(Construction_BuildingCost_Wood)-COLUMN(Construction_Name_and_Level)+1),FALSE)*(-1)</f>
        <v>-60192</v>
      </c>
      <c r="AW1182" s="94">
        <f>VLOOKUP($D1182,Construction!$B:$J,(COLUMN(Construction_BuildingCost_Ore)-COLUMN(Construction_Name_and_Level)+1),FALSE)*(-1)</f>
        <v>-15120</v>
      </c>
      <c r="AX1182" s="94">
        <f>VLOOKUP($D1182,Construction!$B:$J,(COLUMN(Construction_BuildingCost_Food)-COLUMN(Construction_Name_and_Level)+1),FALSE)*(-1)</f>
        <v>-150372</v>
      </c>
      <c r="CS1182" s="506"/>
    </row>
    <row r="1183" spans="2:108" ht="15" customHeight="1">
      <c r="B1183" s="506" t="s">
        <v>144</v>
      </c>
      <c r="C1183" s="127" t="s">
        <v>138</v>
      </c>
      <c r="D1183" s="144" t="s">
        <v>1923</v>
      </c>
      <c r="E1183" s="506">
        <v>30</v>
      </c>
      <c r="F1183" s="12">
        <v>0.5</v>
      </c>
      <c r="G1183" s="94">
        <f>VLOOKUP($D1183,Construction!$B:$E,(COLUMN(Construction_BuildingReward_HeroXP)-COLUMN(Construction_Name_and_Level)+1),FALSE)</f>
        <v>500</v>
      </c>
      <c r="H1183" s="94">
        <f>G1183*(1+F1183)</f>
        <v>750</v>
      </c>
      <c r="J1183" s="95">
        <f>VLOOKUP($D1183,Construction!$B:$F,(COLUMN(Construction_BuildingReward_Power)-COLUMN(Construction_Name_and_Level)+1),FALSE)</f>
        <v>135</v>
      </c>
      <c r="Q1183" s="139">
        <v>3.472222222222222E-3</v>
      </c>
      <c r="R1183" s="289">
        <v>1.0416666666666666E-2</v>
      </c>
      <c r="AF1183" s="141"/>
      <c r="AG1183" s="141"/>
      <c r="AH1183" s="137"/>
      <c r="AI1183" s="484"/>
      <c r="AJ1183" s="137">
        <f t="shared" si="432"/>
        <v>0</v>
      </c>
      <c r="AK1183" s="339">
        <v>0.625</v>
      </c>
      <c r="AL1183" s="138">
        <f>VLOOKUP($D1183,Construction!$B:$C,(COLUMN(Construction_Time)-COLUMN(Construction_Name_and_Level)+1),FALSE)</f>
        <v>2.7777777777777776E-2</v>
      </c>
      <c r="AM1183" s="138">
        <f t="shared" ref="AM1183" si="436">AL1183/(1+AK1183)</f>
        <v>1.7094017094017092E-2</v>
      </c>
      <c r="AN1183" s="138">
        <f>(S$3*S1183+T$3*T1183+V$3*V1183+W$3*W1183+X$3*X1183+Y$3*Y1183+Z$3*Z1183+AA$3*AA1183+AB$3*AB1183+AC$3*AC1183)*(-1)</f>
        <v>0</v>
      </c>
      <c r="AO1183" s="139">
        <f>IF((AM1183-Q1183-R1183-AN1183)&gt;=0,AM1183-Q1183-R1183-AN1183,0)</f>
        <v>3.2051282051282041E-3</v>
      </c>
      <c r="AU1183" s="94">
        <f>VLOOKUP($D1183,Construction!$B:$J,(COLUMN(Construction_BuildingCost_Stone)-COLUMN(Construction_Name_and_Level)+1),FALSE)*(-1)</f>
        <v>-10024</v>
      </c>
      <c r="AV1183" s="94">
        <f>VLOOKUP($D1183,Construction!$B:$J,(COLUMN(Construction_BuildingCost_Wood)-COLUMN(Construction_Name_and_Level)+1),FALSE)*(-1)</f>
        <v>-10024</v>
      </c>
      <c r="AW1183" s="94">
        <f>VLOOKUP($D1183,Construction!$B:$J,(COLUMN(Construction_BuildingCost_Ore)-COLUMN(Construction_Name_and_Level)+1),FALSE)*(-1)</f>
        <v>-5012</v>
      </c>
      <c r="AX1183" s="94">
        <f>VLOOKUP($D1183,Construction!$B:$J,(COLUMN(Construction_BuildingCost_Food)-COLUMN(Construction_Name_and_Level)+1),FALSE)*(-1)</f>
        <v>-6686</v>
      </c>
      <c r="CS1183" s="506"/>
    </row>
    <row r="1184" spans="2:108" ht="15" customHeight="1">
      <c r="B1184" s="506" t="s">
        <v>145</v>
      </c>
      <c r="C1184" s="146" t="s">
        <v>151</v>
      </c>
      <c r="D1184" s="145">
        <v>1.6666666666666666E-2</v>
      </c>
      <c r="E1184" s="506">
        <v>30</v>
      </c>
      <c r="AF1184" s="141"/>
      <c r="AG1184" s="141"/>
      <c r="AH1184" s="137"/>
      <c r="AI1184" s="484"/>
      <c r="AJ1184" s="137">
        <f>AJ1183+(S$3*S1184+T$3*T1184+U$3*U1184+V$3*V1184+W$3*W1184+X$3*X1184+Y$3*Y1184+Z$3*Z1184+AA$3*AA1184+AB$3*AB1184+AC$3*AC1184)</f>
        <v>0</v>
      </c>
      <c r="AX1184" s="2">
        <v>10000</v>
      </c>
      <c r="CS1184" s="506"/>
    </row>
    <row r="1185" spans="2:97" ht="15" customHeight="1">
      <c r="B1185" s="506" t="s">
        <v>143</v>
      </c>
      <c r="C1185" s="127" t="s">
        <v>466</v>
      </c>
      <c r="D1185" s="144" t="s">
        <v>1924</v>
      </c>
      <c r="E1185" s="506">
        <v>30</v>
      </c>
      <c r="F1185" s="12">
        <v>0.5</v>
      </c>
      <c r="G1185" s="101">
        <v>16500</v>
      </c>
      <c r="H1185" s="101">
        <f t="shared" ref="H1185" si="437">G1185*(1+F1185)</f>
        <v>24750</v>
      </c>
      <c r="AF1185" s="141"/>
      <c r="AG1185" s="141"/>
      <c r="AH1185" s="137"/>
      <c r="AI1185" s="484"/>
      <c r="AJ1185" s="137">
        <f t="shared" ref="AJ1185:AJ1186" si="438">AJ1184+(S$3*S1185+T$3*T1185+U$3*U1185+V$3*V1185+W$3*W1185+X$3*X1185+Y$3*Y1185+Z$3*Z1185+AA$3*AA1185+AB$3*AB1185+AC$3*AC1185)</f>
        <v>0</v>
      </c>
      <c r="AU1185" s="101">
        <v>0</v>
      </c>
      <c r="AV1185" s="198">
        <v>0</v>
      </c>
      <c r="AW1185" s="198">
        <v>0</v>
      </c>
      <c r="AX1185" s="198">
        <v>0</v>
      </c>
      <c r="AY1185" s="100">
        <v>8250</v>
      </c>
      <c r="CS1185" s="506"/>
    </row>
    <row r="1186" spans="2:97" ht="15" customHeight="1">
      <c r="B1186" s="506" t="s">
        <v>143</v>
      </c>
      <c r="C1186" s="127" t="s">
        <v>142</v>
      </c>
      <c r="D1186" s="144" t="s">
        <v>1919</v>
      </c>
      <c r="E1186" s="506">
        <v>30</v>
      </c>
      <c r="F1186" s="12">
        <v>0.5</v>
      </c>
      <c r="G1186" s="101">
        <f>VLOOKUP($D1186,Construction!$B:$L,(COLUMN(Construction_QuestReward_HeroXP)-COLUMN(Construction_Name_and_Level)+1),FALSE)</f>
        <v>20000</v>
      </c>
      <c r="H1186" s="101">
        <f>G1186*(1+F1186)</f>
        <v>30000</v>
      </c>
      <c r="J1186" s="100">
        <f>VLOOKUP($D1186,Construction!$B:$L,(COLUMN(Construction_QuestReward_Power)-COLUMN(Construction_Name_and_Level)+1),FALSE)</f>
        <v>250</v>
      </c>
      <c r="AF1186" s="141"/>
      <c r="AG1186" s="141"/>
      <c r="AH1186" s="137"/>
      <c r="AI1186" s="484"/>
      <c r="AJ1186" s="137">
        <f t="shared" si="438"/>
        <v>0</v>
      </c>
      <c r="AU1186" s="101">
        <f>VLOOKUP($D1186,Construction!$B:$Q,(COLUMN(Construction_QuestReward_Stone)-COLUMN(Construction_Name_and_Level)+1),FALSE)</f>
        <v>0</v>
      </c>
      <c r="AV1186" s="101">
        <f>VLOOKUP($D1186,Construction!$B:$Q,(COLUMN(Construction_QuestReward_Wood)-COLUMN(Construction_Name_and_Level)+1),FALSE)</f>
        <v>5478</v>
      </c>
      <c r="AW1186" s="101">
        <f>VLOOKUP($D1186,Construction!$B:$Q,(COLUMN(Construction_QuestReward_Ore)-COLUMN(Construction_Name_and_Level)+1),FALSE)</f>
        <v>5478</v>
      </c>
      <c r="AX1186" s="101">
        <f>VLOOKUP($D1186,Construction!$B:$Q,(COLUMN(Construction_QuestReward_Food)-COLUMN(Construction_Name_and_Level)+1),FALSE)</f>
        <v>5478</v>
      </c>
      <c r="AY1186" s="100">
        <f>VLOOKUP($D1186,Construction!$B:$Q,(COLUMN(Construction_QuestReward_Silver)-COLUMN(Construction_Name_and_Level)+1),FALSE)</f>
        <v>80</v>
      </c>
      <c r="CS1186" s="506"/>
    </row>
    <row r="1187" spans="2:97" ht="15" customHeight="1">
      <c r="B1187" s="506" t="s">
        <v>143</v>
      </c>
      <c r="C1187" s="127" t="s">
        <v>142</v>
      </c>
      <c r="D1187" s="144" t="s">
        <v>1922</v>
      </c>
      <c r="E1187" s="506">
        <v>30</v>
      </c>
      <c r="F1187" s="12">
        <v>0.5</v>
      </c>
      <c r="G1187" s="101">
        <f>VLOOKUP($D1187,Construction!$B:$L,(COLUMN(Construction_QuestReward_HeroXP)-COLUMN(Construction_Name_and_Level)+1),FALSE)</f>
        <v>20000</v>
      </c>
      <c r="H1187" s="101">
        <f>G1187*(1+F1187)</f>
        <v>30000</v>
      </c>
      <c r="J1187" s="100">
        <f>VLOOKUP($D1187,Construction!$B:$L,(COLUMN(Construction_QuestReward_Power)-COLUMN(Construction_Name_and_Level)+1),FALSE)</f>
        <v>625</v>
      </c>
      <c r="AF1187" s="141"/>
      <c r="AG1187" s="141"/>
      <c r="AH1187" s="137"/>
      <c r="AI1187" s="484"/>
      <c r="AJ1187" s="137">
        <f t="shared" ref="AJ1187" si="439">AJ1186+(S$3*S1187+T$3*T1187+U$3*U1187+V$3*V1187+W$3*W1187+X$3*X1187+Y$3*Y1187+Z$3*Z1187+AA$3*AA1187+AB$3*AB1187+AC$3*AC1187)</f>
        <v>0</v>
      </c>
      <c r="AU1187" s="101">
        <f>VLOOKUP($D1187,Construction!$B:$Q,(COLUMN(Construction_QuestReward_Stone)-COLUMN(Construction_Name_and_Level)+1),FALSE)</f>
        <v>10944</v>
      </c>
      <c r="AV1187" s="101">
        <f>VLOOKUP($D1187,Construction!$B:$Q,(COLUMN(Construction_QuestReward_Wood)-COLUMN(Construction_Name_and_Level)+1),FALSE)</f>
        <v>10944</v>
      </c>
      <c r="AW1187" s="101">
        <f>VLOOKUP($D1187,Construction!$B:$Q,(COLUMN(Construction_QuestReward_Ore)-COLUMN(Construction_Name_and_Level)+1),FALSE)</f>
        <v>2749</v>
      </c>
      <c r="AX1187" s="101">
        <f>VLOOKUP($D1187,Construction!$B:$Q,(COLUMN(Construction_QuestReward_Food)-COLUMN(Construction_Name_and_Level)+1),FALSE)</f>
        <v>27340</v>
      </c>
      <c r="AY1187" s="100">
        <f>VLOOKUP($D1187,Construction!$B:$Q,(COLUMN(Construction_QuestReward_Silver)-COLUMN(Construction_Name_and_Level)+1),FALSE)</f>
        <v>80</v>
      </c>
      <c r="CS1187" s="506"/>
    </row>
    <row r="1188" spans="2:97" ht="15" customHeight="1">
      <c r="B1188" s="506" t="s">
        <v>143</v>
      </c>
      <c r="C1188" s="127" t="s">
        <v>142</v>
      </c>
      <c r="D1188" s="144" t="s">
        <v>1923</v>
      </c>
      <c r="E1188" s="506">
        <v>30</v>
      </c>
      <c r="F1188" s="12">
        <v>0.5</v>
      </c>
      <c r="G1188" s="101">
        <f>VLOOKUP($D1188,Construction!$B:$L,(COLUMN(Construction_QuestReward_HeroXP)-COLUMN(Construction_Name_and_Level)+1),FALSE)</f>
        <v>10000</v>
      </c>
      <c r="H1188" s="101">
        <f>G1188*(1+F1188)</f>
        <v>15000</v>
      </c>
      <c r="J1188" s="100">
        <f>VLOOKUP($D1188,Construction!$B:$L,(COLUMN(Construction_QuestReward_Power)-COLUMN(Construction_Name_and_Level)+1),FALSE)</f>
        <v>70</v>
      </c>
      <c r="AF1188" s="141"/>
      <c r="AG1188" s="141"/>
      <c r="AH1188" s="137"/>
      <c r="AI1188" s="484"/>
      <c r="AJ1188" s="137">
        <f t="shared" ref="AJ1188:AJ1191" si="440">AJ1187+(S$3*S1188+T$3*T1188+U$3*U1188+V$3*V1188+W$3*W1188+X$3*X1188+Y$3*Y1188+Z$3*Z1188+AA$3*AA1188+AB$3*AB1188+AC$3*AC1188)</f>
        <v>0</v>
      </c>
      <c r="AU1188" s="101">
        <f>VLOOKUP($D1188,Construction!$B:$Q,(COLUMN(Construction_QuestReward_Stone)-COLUMN(Construction_Name_and_Level)+1),FALSE)</f>
        <v>8300</v>
      </c>
      <c r="AV1188" s="101">
        <f>VLOOKUP($D1188,Construction!$B:$Q,(COLUMN(Construction_QuestReward_Wood)-COLUMN(Construction_Name_and_Level)+1),FALSE)</f>
        <v>8300</v>
      </c>
      <c r="AW1188" s="101">
        <f>VLOOKUP($D1188,Construction!$B:$Q,(COLUMN(Construction_QuestReward_Ore)-COLUMN(Construction_Name_and_Level)+1),FALSE)</f>
        <v>4100</v>
      </c>
      <c r="AX1188" s="101">
        <f>VLOOKUP($D1188,Construction!$B:$Q,(COLUMN(Construction_QuestReward_Food)-COLUMN(Construction_Name_and_Level)+1),FALSE)</f>
        <v>5500</v>
      </c>
      <c r="AY1188" s="100">
        <f>VLOOKUP($D1188,Construction!$B:$Q,(COLUMN(Construction_QuestReward_Silver)-COLUMN(Construction_Name_and_Level)+1),FALSE)</f>
        <v>300</v>
      </c>
      <c r="CS1188" s="506"/>
    </row>
    <row r="1189" spans="2:97" ht="15" customHeight="1">
      <c r="B1189" s="506" t="s">
        <v>624</v>
      </c>
      <c r="C1189" s="127" t="s">
        <v>623</v>
      </c>
      <c r="D1189" s="144" t="s">
        <v>1422</v>
      </c>
      <c r="E1189" s="506">
        <v>30</v>
      </c>
      <c r="AF1189" s="141"/>
      <c r="AG1189" s="141"/>
      <c r="AH1189" s="137"/>
      <c r="AI1189" s="484"/>
      <c r="AJ1189" s="137">
        <f t="shared" si="440"/>
        <v>0</v>
      </c>
      <c r="AU1189" s="30">
        <v>0</v>
      </c>
      <c r="AV1189" s="30">
        <v>0</v>
      </c>
      <c r="AW1189" s="30">
        <v>0</v>
      </c>
      <c r="AX1189" s="30">
        <v>76259</v>
      </c>
      <c r="AY1189" s="31">
        <v>0</v>
      </c>
      <c r="CS1189" s="506"/>
    </row>
    <row r="1190" spans="2:97" ht="15" customHeight="1">
      <c r="B1190" s="506" t="s">
        <v>195</v>
      </c>
      <c r="C1190" s="127" t="s">
        <v>468</v>
      </c>
      <c r="D1190" s="144" t="s">
        <v>1912</v>
      </c>
      <c r="E1190" s="506">
        <v>30</v>
      </c>
      <c r="F1190" s="12">
        <v>0.5</v>
      </c>
      <c r="G1190" s="211">
        <v>4400</v>
      </c>
      <c r="H1190" s="211">
        <f t="shared" ref="H1190" si="441">G1190*(1+F1190)</f>
        <v>6600</v>
      </c>
      <c r="AF1190" s="141"/>
      <c r="AG1190" s="141"/>
      <c r="AH1190" s="137"/>
      <c r="AI1190" s="484"/>
      <c r="AJ1190" s="137">
        <f t="shared" si="440"/>
        <v>0</v>
      </c>
      <c r="AU1190" s="211">
        <v>0</v>
      </c>
      <c r="AV1190" s="213">
        <v>5500</v>
      </c>
      <c r="AW1190" s="213">
        <v>0</v>
      </c>
      <c r="AX1190" s="213">
        <v>0</v>
      </c>
      <c r="AY1190" s="160">
        <v>5500</v>
      </c>
      <c r="CL1190" s="211">
        <v>2000</v>
      </c>
      <c r="CM1190" s="160">
        <f>CL1190</f>
        <v>2000</v>
      </c>
      <c r="CS1190" s="506"/>
    </row>
    <row r="1191" spans="2:97" ht="15" customHeight="1">
      <c r="B1191" s="506" t="s">
        <v>144</v>
      </c>
      <c r="C1191" s="127" t="s">
        <v>138</v>
      </c>
      <c r="D1191" s="144" t="s">
        <v>1698</v>
      </c>
      <c r="E1191" s="506">
        <v>30</v>
      </c>
      <c r="F1191" s="12">
        <v>0.5</v>
      </c>
      <c r="G1191" s="94">
        <f>VLOOKUP($D1191,Construction!$B:$E,(COLUMN(Construction_BuildingReward_HeroXP)-COLUMN(Construction_Name_and_Level)+1),FALSE)</f>
        <v>500</v>
      </c>
      <c r="H1191" s="94">
        <f>G1191*(1+F1191)</f>
        <v>750</v>
      </c>
      <c r="J1191" s="95">
        <f>VLOOKUP($D1191,Construction!$B:$F,(COLUMN(Construction_BuildingReward_Power)-COLUMN(Construction_Name_and_Level)+1),FALSE)</f>
        <v>85</v>
      </c>
      <c r="Q1191" s="139">
        <v>3.472222222222222E-3</v>
      </c>
      <c r="R1191" s="289">
        <v>1.0416666666666666E-2</v>
      </c>
      <c r="AF1191" s="141"/>
      <c r="AG1191" s="141"/>
      <c r="AH1191" s="137"/>
      <c r="AI1191" s="484"/>
      <c r="AJ1191" s="137">
        <f t="shared" si="440"/>
        <v>0</v>
      </c>
      <c r="AK1191" s="339">
        <v>0.625</v>
      </c>
      <c r="AL1191" s="138">
        <f>VLOOKUP($D1191,Construction!$B:$C,(COLUMN(Construction_Time)-COLUMN(Construction_Name_and_Level)+1),FALSE)</f>
        <v>3.7037037037037042E-2</v>
      </c>
      <c r="AM1191" s="138">
        <f t="shared" ref="AM1191" si="442">AL1191/(1+AK1191)</f>
        <v>2.2792022792022797E-2</v>
      </c>
      <c r="AN1191" s="138">
        <f>(S$3*S1191+T$3*T1191+V$3*V1191+W$3*W1191+X$3*X1191+Y$3*Y1191+Z$3*Z1191+AA$3*AA1191+AB$3*AB1191+AC$3*AC1191)*(-1)</f>
        <v>0</v>
      </c>
      <c r="AO1191" s="139">
        <f>IF((AM1191-Q1191-R1191-AN1191)&gt;=0,AM1191-Q1191-R1191-AN1191,0)</f>
        <v>8.9031339031339068E-3</v>
      </c>
      <c r="AU1191" s="94">
        <f>VLOOKUP($D1191,Construction!$B:$J,(COLUMN(Construction_BuildingCost_Stone)-COLUMN(Construction_Name_and_Level)+1),FALSE)*(-1)</f>
        <v>-3348</v>
      </c>
      <c r="AV1191" s="94">
        <f>VLOOKUP($D1191,Construction!$B:$J,(COLUMN(Construction_BuildingCost_Wood)-COLUMN(Construction_Name_and_Level)+1),FALSE)*(-1)</f>
        <v>-3348</v>
      </c>
      <c r="AW1191" s="94">
        <f>VLOOKUP($D1191,Construction!$B:$J,(COLUMN(Construction_BuildingCost_Ore)-COLUMN(Construction_Name_and_Level)+1),FALSE)*(-1)</f>
        <v>-3348</v>
      </c>
      <c r="AX1191" s="94">
        <f>VLOOKUP($D1191,Construction!$B:$J,(COLUMN(Construction_BuildingCost_Food)-COLUMN(Construction_Name_and_Level)+1),FALSE)*(-1)</f>
        <v>0</v>
      </c>
      <c r="CS1191" s="506"/>
    </row>
    <row r="1192" spans="2:97" ht="15" customHeight="1">
      <c r="B1192" s="506" t="s">
        <v>145</v>
      </c>
      <c r="C1192" s="146" t="s">
        <v>151</v>
      </c>
      <c r="D1192" s="144">
        <v>2.4999999999999998E-2</v>
      </c>
      <c r="E1192" s="506">
        <v>30</v>
      </c>
      <c r="U1192" s="2">
        <v>1</v>
      </c>
      <c r="AF1192" s="141">
        <f>$S$3*$S1192+$T$3*$T1192+$U$3*$U1192+$V$3*$V1192+$W$3*$W1192+$X$3*$X1192+$Y$3*$Y1192+$Z$3*$Z1192+$AA$3*$AA1192+$AB$3*$AB1192+$AC$3*$AC1192</f>
        <v>3.472222222222222E-3</v>
      </c>
      <c r="AG1192" s="141"/>
      <c r="AH1192" s="137"/>
      <c r="AI1192" s="484"/>
      <c r="AJ1192" s="137">
        <f>AJ1191+(S$3*S1192+T$3*T1192+U$3*U1192+V$3*V1192+W$3*W1192+X$3*X1192+Y$3*Y1192+Z$3*Z1192+AA$3*AA1192+AB$3*AB1192+AC$3*AC1192)</f>
        <v>3.472222222222222E-3</v>
      </c>
      <c r="AX1192" s="2">
        <v>10000</v>
      </c>
      <c r="CS1192" s="506"/>
    </row>
    <row r="1193" spans="2:97" ht="15" customHeight="1">
      <c r="B1193" s="506" t="s">
        <v>195</v>
      </c>
      <c r="C1193" s="127" t="s">
        <v>468</v>
      </c>
      <c r="D1193" s="144" t="s">
        <v>1925</v>
      </c>
      <c r="E1193" s="506">
        <v>30</v>
      </c>
      <c r="F1193" s="12">
        <v>0.5</v>
      </c>
      <c r="G1193" s="211">
        <v>4400</v>
      </c>
      <c r="H1193" s="211">
        <f t="shared" ref="H1193" si="443">G1193*(1+F1193)</f>
        <v>6600</v>
      </c>
      <c r="AF1193" s="141"/>
      <c r="AG1193" s="141"/>
      <c r="AH1193" s="137"/>
      <c r="AI1193" s="484"/>
      <c r="AJ1193" s="137">
        <f t="shared" ref="AJ1193" si="444">AJ1192+(S$3*S1193+T$3*T1193+U$3*U1193+V$3*V1193+W$3*W1193+X$3*X1193+Y$3*Y1193+Z$3*Z1193+AA$3*AA1193+AB$3*AB1193+AC$3*AC1193)</f>
        <v>3.472222222222222E-3</v>
      </c>
      <c r="AU1193" s="211">
        <v>0</v>
      </c>
      <c r="AV1193" s="213">
        <v>11000</v>
      </c>
      <c r="AW1193" s="213">
        <v>0</v>
      </c>
      <c r="AX1193" s="213">
        <v>0</v>
      </c>
      <c r="AY1193" s="160">
        <v>2200</v>
      </c>
      <c r="CL1193" s="211">
        <v>2000</v>
      </c>
      <c r="CM1193" s="160">
        <f>CL1193</f>
        <v>2000</v>
      </c>
      <c r="CS1193" s="506"/>
    </row>
    <row r="1194" spans="2:97" ht="15" customHeight="1">
      <c r="B1194" s="506" t="s">
        <v>145</v>
      </c>
      <c r="C1194" s="146" t="s">
        <v>151</v>
      </c>
      <c r="D1194" s="144">
        <v>1.2499999999999999E-2</v>
      </c>
      <c r="E1194" s="506">
        <v>30</v>
      </c>
      <c r="U1194" s="2">
        <v>1</v>
      </c>
      <c r="AF1194" s="141">
        <f>$S$3*$S1194+$T$3*$T1194+$U$3*$U1194+$V$3*$V1194+$W$3*$W1194+$X$3*$X1194+$Y$3*$Y1194+$Z$3*$Z1194+$AA$3*$AA1194+$AB$3*$AB1194+$AC$3*$AC1194</f>
        <v>3.472222222222222E-3</v>
      </c>
      <c r="AG1194" s="141"/>
      <c r="AH1194" s="137"/>
      <c r="AI1194" s="484"/>
      <c r="AJ1194" s="137">
        <f>AJ1193+(S$3*S1194+T$3*T1194+U$3*U1194+V$3*V1194+W$3*W1194+X$3*X1194+Y$3*Y1194+Z$3*Z1194+AA$3*AA1194+AB$3*AB1194+AC$3*AC1194)</f>
        <v>6.9444444444444441E-3</v>
      </c>
      <c r="AX1194" s="2">
        <v>10000</v>
      </c>
      <c r="CS1194" s="506"/>
    </row>
    <row r="1195" spans="2:97" ht="15" customHeight="1">
      <c r="B1195" s="506" t="s">
        <v>145</v>
      </c>
      <c r="C1195" s="146" t="s">
        <v>151</v>
      </c>
      <c r="D1195" s="602">
        <v>9.7222222222222224E-3</v>
      </c>
      <c r="E1195" s="506">
        <v>30</v>
      </c>
      <c r="V1195" s="2">
        <v>1</v>
      </c>
      <c r="AF1195" s="141">
        <f>$S$3*$S1195+$T$3*$T1195+$U$3*$U1195+$V$3*$V1195+$W$3*$W1195+$X$3*$X1195+$Y$3*$Y1195+$Z$3*$Z1195+$AA$3*$AA1195+$AB$3*$AB1195+$AC$3*$AC1195</f>
        <v>6.9444444444444441E-3</v>
      </c>
      <c r="AG1195" s="141"/>
      <c r="AH1195" s="137"/>
      <c r="AI1195" s="484"/>
      <c r="AJ1195" s="137">
        <f>AJ1194+(S$3*S1195+T$3*T1195+U$3*U1195+V$3*V1195+W$3*W1195+X$3*X1195+Y$3*Y1195+Z$3*Z1195+AA$3*AA1195+AB$3*AB1195+AC$3*AC1195)</f>
        <v>1.3888888888888888E-2</v>
      </c>
      <c r="AX1195" s="2">
        <v>10000</v>
      </c>
      <c r="CS1195" s="506"/>
    </row>
    <row r="1196" spans="2:97" ht="15" customHeight="1">
      <c r="B1196" s="506" t="s">
        <v>143</v>
      </c>
      <c r="C1196" s="127" t="s">
        <v>466</v>
      </c>
      <c r="D1196" s="144" t="s">
        <v>1314</v>
      </c>
      <c r="E1196" s="506">
        <v>30</v>
      </c>
      <c r="F1196" s="12">
        <v>0.5</v>
      </c>
      <c r="G1196" s="101">
        <v>4400</v>
      </c>
      <c r="H1196" s="101">
        <f>G1196*(1+F1196)</f>
        <v>6600</v>
      </c>
      <c r="AF1196" s="141"/>
      <c r="AG1196" s="141"/>
      <c r="AH1196" s="137"/>
      <c r="AI1196" s="484"/>
      <c r="AJ1196" s="137">
        <f t="shared" ref="AJ1196:AJ1199" si="445">AJ1195+(S$3*S1196+T$3*T1196+U$3*U1196+V$3*V1196+W$3*W1196+X$3*X1196+Y$3*Y1196+Z$3*Z1196+AA$3*AA1196+AB$3*AB1196+AC$3*AC1196)</f>
        <v>1.3888888888888888E-2</v>
      </c>
      <c r="AU1196" s="101">
        <v>0</v>
      </c>
      <c r="AV1196" s="101">
        <v>0</v>
      </c>
      <c r="AW1196" s="101">
        <v>0</v>
      </c>
      <c r="AX1196" s="101">
        <v>0</v>
      </c>
      <c r="AY1196" s="100">
        <v>2200</v>
      </c>
      <c r="CS1196" s="506"/>
    </row>
    <row r="1197" spans="2:97" ht="15" customHeight="1">
      <c r="B1197" s="506" t="s">
        <v>195</v>
      </c>
      <c r="C1197" s="127" t="s">
        <v>468</v>
      </c>
      <c r="D1197" s="144" t="s">
        <v>1926</v>
      </c>
      <c r="E1197" s="506">
        <v>30</v>
      </c>
      <c r="F1197" s="12">
        <v>0.5</v>
      </c>
      <c r="G1197" s="211">
        <v>1100</v>
      </c>
      <c r="H1197" s="211">
        <f t="shared" ref="H1197" si="446">G1197*(1+F1197)</f>
        <v>1650</v>
      </c>
      <c r="AF1197" s="141"/>
      <c r="AG1197" s="141"/>
      <c r="AH1197" s="137"/>
      <c r="AI1197" s="484"/>
      <c r="AJ1197" s="137">
        <f t="shared" si="445"/>
        <v>1.3888888888888888E-2</v>
      </c>
      <c r="AU1197" s="211">
        <v>825</v>
      </c>
      <c r="AV1197" s="213">
        <v>825</v>
      </c>
      <c r="AW1197" s="213">
        <v>0</v>
      </c>
      <c r="AX1197" s="213">
        <v>0</v>
      </c>
      <c r="AY1197" s="160">
        <v>165</v>
      </c>
      <c r="CL1197" s="211">
        <v>500</v>
      </c>
      <c r="CM1197" s="160">
        <f>CL1197</f>
        <v>500</v>
      </c>
      <c r="CS1197" s="506"/>
    </row>
    <row r="1198" spans="2:97" ht="15" customHeight="1">
      <c r="B1198" s="506" t="s">
        <v>624</v>
      </c>
      <c r="C1198" s="127" t="s">
        <v>623</v>
      </c>
      <c r="D1198" s="144" t="s">
        <v>1422</v>
      </c>
      <c r="E1198" s="506">
        <v>30</v>
      </c>
      <c r="AF1198" s="141"/>
      <c r="AG1198" s="141"/>
      <c r="AH1198" s="137"/>
      <c r="AI1198" s="484"/>
      <c r="AJ1198" s="137">
        <f t="shared" si="445"/>
        <v>1.3888888888888888E-2</v>
      </c>
      <c r="AU1198" s="30">
        <v>0</v>
      </c>
      <c r="AV1198" s="30">
        <v>0</v>
      </c>
      <c r="AW1198" s="30">
        <v>0</v>
      </c>
      <c r="AX1198" s="30">
        <v>76259</v>
      </c>
      <c r="AY1198" s="31">
        <v>0</v>
      </c>
      <c r="CS1198" s="506"/>
    </row>
    <row r="1199" spans="2:97" ht="15" customHeight="1">
      <c r="B1199" s="506" t="s">
        <v>195</v>
      </c>
      <c r="C1199" s="127" t="s">
        <v>1750</v>
      </c>
      <c r="D1199" s="144" t="s">
        <v>1927</v>
      </c>
      <c r="E1199" s="506">
        <v>30</v>
      </c>
      <c r="W1199" s="603">
        <v>1</v>
      </c>
      <c r="AF1199" s="141">
        <f>$S$3*$S1199+$T$3*$T1199+$U$3*$U1199+$V$3*$V1199+$W$3*$W1199+$X$3*$X1199+$Y$3*$Y1199+$Z$3*$Z1199+$AA$3*$AA1199+$AB$3*$AB1199+$AC$3*$AC1199</f>
        <v>1.0416666666666666E-2</v>
      </c>
      <c r="AJ1199" s="137">
        <f t="shared" si="445"/>
        <v>2.4305555555555552E-2</v>
      </c>
      <c r="CS1199" s="506"/>
    </row>
    <row r="1200" spans="2:97" ht="15" customHeight="1">
      <c r="B1200" s="506" t="s">
        <v>195</v>
      </c>
      <c r="C1200" s="127" t="s">
        <v>1750</v>
      </c>
      <c r="D1200" s="144" t="s">
        <v>1934</v>
      </c>
      <c r="E1200" s="506">
        <v>30</v>
      </c>
      <c r="W1200" s="2"/>
      <c r="AF1200" s="141"/>
      <c r="AJ1200" s="137">
        <f t="shared" ref="AJ1200" si="447">AJ1199+(S$3*S1200+T$3*T1200+U$3*U1200+V$3*V1200+W$3*W1200+X$3*X1200+Y$3*Y1200+Z$3*Z1200+AA$3*AA1200+AB$3*AB1200+AC$3*AC1200)</f>
        <v>2.4305555555555552E-2</v>
      </c>
      <c r="AW1200" s="213">
        <v>50000</v>
      </c>
      <c r="CS1200" s="506"/>
    </row>
    <row r="1201" spans="2:108" ht="15" customHeight="1">
      <c r="B1201" s="506" t="s">
        <v>195</v>
      </c>
      <c r="C1201" s="127" t="s">
        <v>1750</v>
      </c>
      <c r="D1201" s="144" t="s">
        <v>1929</v>
      </c>
      <c r="E1201" s="506">
        <v>30</v>
      </c>
      <c r="W1201" s="2"/>
      <c r="AF1201" s="141"/>
      <c r="AJ1201" s="137">
        <f t="shared" ref="AJ1201:AJ1205" si="448">AJ1200+(S$3*S1201+T$3*T1201+U$3*U1201+V$3*V1201+W$3*W1201+X$3*X1201+Y$3*Y1201+Z$3*Z1201+AA$3*AA1201+AB$3*AB1201+AC$3*AC1201)</f>
        <v>2.4305555555555552E-2</v>
      </c>
      <c r="AX1201" s="213">
        <v>30000</v>
      </c>
      <c r="CS1201" s="506"/>
    </row>
    <row r="1202" spans="2:108" ht="15" customHeight="1">
      <c r="B1202" s="506" t="s">
        <v>143</v>
      </c>
      <c r="C1202" s="127" t="s">
        <v>466</v>
      </c>
      <c r="D1202" s="144" t="s">
        <v>1314</v>
      </c>
      <c r="E1202" s="506">
        <v>30</v>
      </c>
      <c r="F1202" s="12">
        <v>0.5</v>
      </c>
      <c r="G1202" s="101">
        <v>4400</v>
      </c>
      <c r="H1202" s="101">
        <f>G1202*(1+F1202)</f>
        <v>6600</v>
      </c>
      <c r="AF1202" s="141"/>
      <c r="AG1202" s="141"/>
      <c r="AH1202" s="137"/>
      <c r="AI1202" s="484"/>
      <c r="AJ1202" s="137">
        <f t="shared" si="448"/>
        <v>2.4305555555555552E-2</v>
      </c>
      <c r="AU1202" s="101">
        <v>0</v>
      </c>
      <c r="AV1202" s="101">
        <v>0</v>
      </c>
      <c r="AW1202" s="101">
        <v>0</v>
      </c>
      <c r="AX1202" s="101">
        <v>5500</v>
      </c>
      <c r="AY1202" s="100">
        <v>1100</v>
      </c>
      <c r="CS1202" s="506"/>
    </row>
    <row r="1203" spans="2:108" ht="15" customHeight="1">
      <c r="B1203" s="506" t="s">
        <v>195</v>
      </c>
      <c r="C1203" s="127" t="s">
        <v>468</v>
      </c>
      <c r="D1203" s="144" t="s">
        <v>1286</v>
      </c>
      <c r="E1203" s="506">
        <v>30</v>
      </c>
      <c r="F1203" s="12">
        <v>0.5</v>
      </c>
      <c r="G1203" s="211">
        <v>1100</v>
      </c>
      <c r="H1203" s="211">
        <f t="shared" ref="H1203" si="449">G1203*(1+F1203)</f>
        <v>1650</v>
      </c>
      <c r="AF1203" s="141"/>
      <c r="AG1203" s="141"/>
      <c r="AH1203" s="137"/>
      <c r="AI1203" s="484"/>
      <c r="AJ1203" s="137">
        <f t="shared" si="448"/>
        <v>2.4305555555555552E-2</v>
      </c>
      <c r="AU1203" s="211">
        <v>0</v>
      </c>
      <c r="AV1203" s="213">
        <v>2750</v>
      </c>
      <c r="AW1203" s="213">
        <v>0</v>
      </c>
      <c r="AX1203" s="213">
        <v>0</v>
      </c>
      <c r="AY1203" s="160">
        <v>550</v>
      </c>
      <c r="CL1203" s="211">
        <v>500</v>
      </c>
      <c r="CM1203" s="160">
        <f>CL1203</f>
        <v>500</v>
      </c>
      <c r="CS1203" s="506"/>
    </row>
    <row r="1204" spans="2:108" ht="15" customHeight="1">
      <c r="B1204" s="506" t="s">
        <v>144</v>
      </c>
      <c r="C1204" s="127" t="s">
        <v>138</v>
      </c>
      <c r="D1204" s="144" t="s">
        <v>1935</v>
      </c>
      <c r="E1204" s="506">
        <v>30</v>
      </c>
      <c r="F1204" s="12">
        <v>0.5</v>
      </c>
      <c r="G1204" s="94">
        <f>VLOOKUP($D1204,Construction!$B:$E,(COLUMN(Construction_BuildingReward_HeroXP)-COLUMN(Construction_Name_and_Level)+1),FALSE)</f>
        <v>25</v>
      </c>
      <c r="H1204" s="94">
        <f>G1204*(1+F1204)</f>
        <v>37.5</v>
      </c>
      <c r="J1204" s="95">
        <f>VLOOKUP($D1204,Construction!$B:$F,(COLUMN(Construction_BuildingReward_Power)-COLUMN(Construction_Name_and_Level)+1),FALSE)</f>
        <v>70</v>
      </c>
      <c r="Q1204" s="139">
        <v>3.472222222222222E-3</v>
      </c>
      <c r="R1204" s="289">
        <v>1.0416666666666666E-2</v>
      </c>
      <c r="AF1204" s="141"/>
      <c r="AG1204" s="141"/>
      <c r="AH1204" s="137"/>
      <c r="AI1204" s="484"/>
      <c r="AJ1204" s="137">
        <f t="shared" si="448"/>
        <v>2.4305555555555552E-2</v>
      </c>
      <c r="AK1204" s="339">
        <v>0.625</v>
      </c>
      <c r="AL1204" s="138">
        <f>VLOOKUP($D1204,Construction!$B:$C,(COLUMN(Construction_Time)-COLUMN(Construction_Name_and_Level)+1),FALSE)</f>
        <v>2.6620370370370374E-3</v>
      </c>
      <c r="AM1204" s="138">
        <f t="shared" ref="AM1204" si="450">AL1204/(1+AK1204)</f>
        <v>1.6381766381766384E-3</v>
      </c>
      <c r="AN1204" s="138">
        <f>(S$3*S1204+T$3*T1204+V$3*V1204+W$3*W1204+X$3*X1204+Y$3*Y1204+Z$3*Z1204+AA$3*AA1204+AB$3*AB1204+AC$3*AC1204)*(-1)</f>
        <v>0</v>
      </c>
      <c r="AO1204" s="139">
        <f>IF((AM1204-Q1204-R1204-AN1204)&gt;=0,AM1204-Q1204-R1204-AN1204,0)</f>
        <v>0</v>
      </c>
      <c r="AU1204" s="94">
        <f>VLOOKUP($D1204,Construction!$B:$J,(COLUMN(Construction_BuildingCost_Stone)-COLUMN(Construction_Name_and_Level)+1),FALSE)*(-1)</f>
        <v>-190</v>
      </c>
      <c r="AV1204" s="94">
        <f>VLOOKUP($D1204,Construction!$B:$J,(COLUMN(Construction_BuildingCost_Wood)-COLUMN(Construction_Name_and_Level)+1),FALSE)*(-1)</f>
        <v>-190</v>
      </c>
      <c r="AW1204" s="94">
        <f>VLOOKUP($D1204,Construction!$B:$J,(COLUMN(Construction_BuildingCost_Ore)-COLUMN(Construction_Name_and_Level)+1),FALSE)*(-1)</f>
        <v>-190</v>
      </c>
      <c r="AX1204" s="94">
        <f>VLOOKUP($D1204,Construction!$B:$J,(COLUMN(Construction_BuildingCost_Food)-COLUMN(Construction_Name_and_Level)+1),FALSE)*(-1)</f>
        <v>-190</v>
      </c>
      <c r="CS1204" s="506"/>
    </row>
    <row r="1205" spans="2:108" ht="15" customHeight="1">
      <c r="B1205" s="506" t="s">
        <v>143</v>
      </c>
      <c r="C1205" s="127" t="s">
        <v>142</v>
      </c>
      <c r="D1205" s="144" t="s">
        <v>1935</v>
      </c>
      <c r="E1205" s="506">
        <v>30</v>
      </c>
      <c r="F1205" s="12">
        <v>0.5</v>
      </c>
      <c r="G1205" s="101">
        <f>VLOOKUP($D1205,Construction!$B:$L,(COLUMN(Construction_QuestReward_HeroXP)-COLUMN(Construction_Name_and_Level)+1),FALSE)</f>
        <v>2575</v>
      </c>
      <c r="H1205" s="101">
        <f>G1205*(1+F1205)</f>
        <v>3862.5</v>
      </c>
      <c r="J1205" s="100">
        <f>VLOOKUP($D1205,Construction!$B:$L,(COLUMN(Construction_QuestReward_Power)-COLUMN(Construction_Name_and_Level)+1),FALSE)</f>
        <v>20</v>
      </c>
      <c r="AF1205" s="141"/>
      <c r="AG1205" s="141"/>
      <c r="AH1205" s="137"/>
      <c r="AI1205" s="484"/>
      <c r="AJ1205" s="137">
        <f t="shared" si="448"/>
        <v>2.4305555555555552E-2</v>
      </c>
      <c r="AU1205" s="101">
        <f>VLOOKUP($D1205,Construction!$B:$Q,(COLUMN(Construction_QuestReward_Stone)-COLUMN(Construction_Name_and_Level)+1),FALSE)</f>
        <v>400</v>
      </c>
      <c r="AV1205" s="101">
        <f>VLOOKUP($D1205,Construction!$B:$Q,(COLUMN(Construction_QuestReward_Wood)-COLUMN(Construction_Name_and_Level)+1),FALSE)</f>
        <v>400</v>
      </c>
      <c r="AW1205" s="101">
        <f>VLOOKUP($D1205,Construction!$B:$Q,(COLUMN(Construction_QuestReward_Ore)-COLUMN(Construction_Name_and_Level)+1),FALSE)</f>
        <v>400</v>
      </c>
      <c r="AX1205" s="101">
        <f>VLOOKUP($D1205,Construction!$B:$Q,(COLUMN(Construction_QuestReward_Food)-COLUMN(Construction_Name_and_Level)+1),FALSE)</f>
        <v>400</v>
      </c>
      <c r="AY1205" s="100">
        <f>VLOOKUP($D1205,Construction!$B:$Q,(COLUMN(Construction_QuestReward_Silver)-COLUMN(Construction_Name_and_Level)+1),FALSE)</f>
        <v>100</v>
      </c>
      <c r="CS1205" s="506"/>
    </row>
    <row r="1206" spans="2:108" ht="15" customHeight="1">
      <c r="B1206" s="506" t="s">
        <v>144</v>
      </c>
      <c r="C1206" s="127" t="s">
        <v>138</v>
      </c>
      <c r="D1206" s="144" t="s">
        <v>1937</v>
      </c>
      <c r="E1206" s="506">
        <v>30</v>
      </c>
      <c r="F1206" s="12">
        <v>0.5</v>
      </c>
      <c r="G1206" s="94">
        <f>VLOOKUP($D1206,Construction!$B:$E,(COLUMN(Construction_BuildingReward_HeroXP)-COLUMN(Construction_Name_and_Level)+1),FALSE)</f>
        <v>50</v>
      </c>
      <c r="H1206" s="94">
        <f>G1206*(1+F1206)</f>
        <v>75</v>
      </c>
      <c r="J1206" s="95">
        <f>VLOOKUP($D1206,Construction!$B:$F,(COLUMN(Construction_BuildingReward_Power)-COLUMN(Construction_Name_and_Level)+1),FALSE)</f>
        <v>105</v>
      </c>
      <c r="Q1206" s="139">
        <v>3.472222222222222E-3</v>
      </c>
      <c r="R1206" s="289">
        <v>1.0416666666666666E-2</v>
      </c>
      <c r="AF1206" s="141"/>
      <c r="AG1206" s="141"/>
      <c r="AH1206" s="137"/>
      <c r="AI1206" s="484"/>
      <c r="AJ1206" s="137">
        <f t="shared" ref="AJ1206:AJ1210" si="451">AJ1205+(S$3*S1206+T$3*T1206+U$3*U1206+V$3*V1206+W$3*W1206+X$3*X1206+Y$3*Y1206+Z$3*Z1206+AA$3*AA1206+AB$3*AB1206+AC$3*AC1206)</f>
        <v>2.4305555555555552E-2</v>
      </c>
      <c r="AK1206" s="339">
        <v>0.625</v>
      </c>
      <c r="AL1206" s="138">
        <f>VLOOKUP($D1206,Construction!$B:$C,(COLUMN(Construction_Time)-COLUMN(Construction_Name_and_Level)+1),FALSE)</f>
        <v>5.3240740740740748E-3</v>
      </c>
      <c r="AM1206" s="138">
        <f t="shared" ref="AM1206" si="452">AL1206/(1+AK1206)</f>
        <v>3.2763532763532767E-3</v>
      </c>
      <c r="AN1206" s="138">
        <f>(S$3*S1206+T$3*T1206+V$3*V1206+W$3*W1206+X$3*X1206+Y$3*Y1206+Z$3*Z1206+AA$3*AA1206+AB$3*AB1206+AC$3*AC1206)*(-1)</f>
        <v>0</v>
      </c>
      <c r="AO1206" s="139">
        <f>IF((AM1206-Q1206-R1206-AN1206)&gt;=0,AM1206-Q1206-R1206-AN1206,0)</f>
        <v>0</v>
      </c>
      <c r="AU1206" s="94">
        <f>VLOOKUP($D1206,Construction!$B:$J,(COLUMN(Construction_BuildingCost_Stone)-COLUMN(Construction_Name_and_Level)+1),FALSE)*(-1)</f>
        <v>-361</v>
      </c>
      <c r="AV1206" s="94">
        <f>VLOOKUP($D1206,Construction!$B:$J,(COLUMN(Construction_BuildingCost_Wood)-COLUMN(Construction_Name_and_Level)+1),FALSE)*(-1)</f>
        <v>-361</v>
      </c>
      <c r="AW1206" s="94">
        <f>VLOOKUP($D1206,Construction!$B:$J,(COLUMN(Construction_BuildingCost_Ore)-COLUMN(Construction_Name_and_Level)+1),FALSE)*(-1)</f>
        <v>-361</v>
      </c>
      <c r="AX1206" s="94">
        <f>VLOOKUP($D1206,Construction!$B:$J,(COLUMN(Construction_BuildingCost_Food)-COLUMN(Construction_Name_and_Level)+1),FALSE)*(-1)</f>
        <v>-361</v>
      </c>
      <c r="CS1206" s="506"/>
    </row>
    <row r="1207" spans="2:108" ht="15" customHeight="1">
      <c r="B1207" s="506" t="s">
        <v>143</v>
      </c>
      <c r="C1207" s="127" t="s">
        <v>142</v>
      </c>
      <c r="D1207" s="144" t="s">
        <v>1937</v>
      </c>
      <c r="E1207" s="506">
        <v>30</v>
      </c>
      <c r="F1207" s="12">
        <v>0.5</v>
      </c>
      <c r="G1207" s="101">
        <f>VLOOKUP($D1207,Construction!$B:$L,(COLUMN(Construction_QuestReward_HeroXP)-COLUMN(Construction_Name_and_Level)+1),FALSE)</f>
        <v>2600</v>
      </c>
      <c r="H1207" s="101">
        <f>G1207*(1+F1207)</f>
        <v>3900</v>
      </c>
      <c r="J1207" s="100">
        <f>VLOOKUP($D1207,Construction!$B:$L,(COLUMN(Construction_QuestReward_Power)-COLUMN(Construction_Name_and_Level)+1),FALSE)</f>
        <v>40</v>
      </c>
      <c r="AF1207" s="141"/>
      <c r="AG1207" s="141"/>
      <c r="AH1207" s="137"/>
      <c r="AI1207" s="484"/>
      <c r="AJ1207" s="137">
        <f t="shared" si="451"/>
        <v>2.4305555555555552E-2</v>
      </c>
      <c r="AU1207" s="101">
        <f>VLOOKUP($D1207,Construction!$B:$Q,(COLUMN(Construction_QuestReward_Stone)-COLUMN(Construction_Name_and_Level)+1),FALSE)</f>
        <v>240</v>
      </c>
      <c r="AV1207" s="101">
        <f>VLOOKUP($D1207,Construction!$B:$Q,(COLUMN(Construction_QuestReward_Wood)-COLUMN(Construction_Name_and_Level)+1),FALSE)</f>
        <v>240</v>
      </c>
      <c r="AW1207" s="101">
        <f>VLOOKUP($D1207,Construction!$B:$Q,(COLUMN(Construction_QuestReward_Ore)-COLUMN(Construction_Name_and_Level)+1),FALSE)</f>
        <v>240</v>
      </c>
      <c r="AX1207" s="101">
        <f>VLOOKUP($D1207,Construction!$B:$Q,(COLUMN(Construction_QuestReward_Food)-COLUMN(Construction_Name_and_Level)+1),FALSE)</f>
        <v>240</v>
      </c>
      <c r="AY1207" s="100">
        <f>VLOOKUP($D1207,Construction!$B:$Q,(COLUMN(Construction_QuestReward_Silver)-COLUMN(Construction_Name_and_Level)+1),FALSE)</f>
        <v>60</v>
      </c>
      <c r="CS1207" s="506"/>
    </row>
    <row r="1208" spans="2:108" ht="15" customHeight="1">
      <c r="B1208" s="506" t="s">
        <v>143</v>
      </c>
      <c r="C1208" s="127" t="s">
        <v>466</v>
      </c>
      <c r="D1208" s="144" t="s">
        <v>1938</v>
      </c>
      <c r="E1208" s="506">
        <v>30</v>
      </c>
      <c r="F1208" s="12">
        <v>0.5</v>
      </c>
      <c r="G1208" s="101">
        <v>4400</v>
      </c>
      <c r="H1208" s="101">
        <f>G1208*(1+F1208)</f>
        <v>6600</v>
      </c>
      <c r="AF1208" s="141"/>
      <c r="AG1208" s="141"/>
      <c r="AH1208" s="137"/>
      <c r="AI1208" s="484"/>
      <c r="AJ1208" s="137">
        <f t="shared" si="451"/>
        <v>2.4305555555555552E-2</v>
      </c>
      <c r="AU1208" s="101">
        <v>0</v>
      </c>
      <c r="AV1208" s="101">
        <v>0</v>
      </c>
      <c r="AW1208" s="101">
        <v>0</v>
      </c>
      <c r="AX1208" s="101">
        <v>5500</v>
      </c>
      <c r="AY1208" s="100">
        <v>1100</v>
      </c>
      <c r="CS1208" s="506"/>
    </row>
    <row r="1209" spans="2:108" ht="15" customHeight="1">
      <c r="B1209" s="506" t="s">
        <v>624</v>
      </c>
      <c r="C1209" s="127" t="s">
        <v>623</v>
      </c>
      <c r="D1209" s="144" t="s">
        <v>1422</v>
      </c>
      <c r="E1209" s="506">
        <v>30</v>
      </c>
      <c r="AF1209" s="141"/>
      <c r="AG1209" s="141"/>
      <c r="AH1209" s="137"/>
      <c r="AI1209" s="484"/>
      <c r="AJ1209" s="137">
        <f t="shared" si="451"/>
        <v>2.4305555555555552E-2</v>
      </c>
      <c r="AU1209" s="30">
        <v>0</v>
      </c>
      <c r="AV1209" s="30">
        <v>0</v>
      </c>
      <c r="AW1209" s="30">
        <v>0</v>
      </c>
      <c r="AX1209" s="30">
        <v>76259</v>
      </c>
      <c r="AY1209" s="31">
        <v>0</v>
      </c>
      <c r="CS1209" s="506"/>
    </row>
    <row r="1210" spans="2:108" ht="15" customHeight="1">
      <c r="B1210" s="506" t="s">
        <v>144</v>
      </c>
      <c r="C1210" s="127" t="s">
        <v>138</v>
      </c>
      <c r="D1210" s="144" t="s">
        <v>886</v>
      </c>
      <c r="E1210" s="506">
        <v>30</v>
      </c>
      <c r="F1210" s="12">
        <v>0.5</v>
      </c>
      <c r="G1210" s="94">
        <f>VLOOKUP($D1210,Construction!$B:$E,(COLUMN(Construction_BuildingReward_HeroXP)-COLUMN(Construction_Name_and_Level)+1),FALSE)</f>
        <v>500</v>
      </c>
      <c r="H1210" s="94">
        <f>G1210*(1+F1210)</f>
        <v>750</v>
      </c>
      <c r="J1210" s="95">
        <f>VLOOKUP($D1210,Construction!$B:$F,(COLUMN(Construction_BuildingReward_Power)-COLUMN(Construction_Name_and_Level)+1),FALSE)</f>
        <v>85</v>
      </c>
      <c r="Q1210" s="139">
        <v>3.472222222222222E-3</v>
      </c>
      <c r="R1210" s="289">
        <v>1.0416666666666666E-2</v>
      </c>
      <c r="U1210" s="2">
        <v>-2</v>
      </c>
      <c r="V1210" s="2">
        <v>-1</v>
      </c>
      <c r="AF1210" s="141"/>
      <c r="AG1210" s="141"/>
      <c r="AH1210" s="137"/>
      <c r="AI1210" s="484">
        <f>(-1)*($S$3*$S1210+$T$3*$T1210+$U$3*$U1210+$V$3*$V1210+$W$3*$W1210+$X$3*$X1210+$Y$3*$Y1210+$Z$3*$Z1210+$AA$3*$AA1210+$AB$3*$AB1210+$AC$3*$AC1210)</f>
        <v>1.3888888888888888E-2</v>
      </c>
      <c r="AJ1210" s="137">
        <f t="shared" si="451"/>
        <v>1.0416666666666664E-2</v>
      </c>
      <c r="AK1210" s="339">
        <v>0.625</v>
      </c>
      <c r="AL1210" s="138">
        <f>VLOOKUP($D1210,Construction!$B:$C,(COLUMN(Construction_Time)-COLUMN(Construction_Name_and_Level)+1),FALSE)</f>
        <v>4.4444444444444446E-2</v>
      </c>
      <c r="AM1210" s="138">
        <f t="shared" ref="AM1210" si="453">AL1210/(1+AK1210)</f>
        <v>2.735042735042735E-2</v>
      </c>
      <c r="AN1210" s="138">
        <f>(S$3*S1210+T$3*T1210+V$3*V1210+W$3*W1210+X$3*X1210+Y$3*Y1210+Z$3*Z1210+AA$3*AA1210+AB$3*AB1210+AC$3*AC1210)*(-1)</f>
        <v>6.9444444444444441E-3</v>
      </c>
      <c r="AO1210" s="139">
        <f>IF((AM1210-Q1210-R1210-AN1210)&gt;=0,AM1210-Q1210-R1210-AN1210,0)</f>
        <v>6.5170940170940165E-3</v>
      </c>
      <c r="AU1210" s="94">
        <f>VLOOKUP($D1210,Construction!$B:$J,(COLUMN(Construction_BuildingCost_Stone)-COLUMN(Construction_Name_and_Level)+1),FALSE)*(-1)</f>
        <v>-3348</v>
      </c>
      <c r="AV1210" s="94">
        <f>VLOOKUP($D1210,Construction!$B:$J,(COLUMN(Construction_BuildingCost_Wood)-COLUMN(Construction_Name_and_Level)+1),FALSE)*(-1)</f>
        <v>0</v>
      </c>
      <c r="AW1210" s="94">
        <f>VLOOKUP($D1210,Construction!$B:$J,(COLUMN(Construction_BuildingCost_Ore)-COLUMN(Construction_Name_and_Level)+1),FALSE)*(-1)</f>
        <v>-3348</v>
      </c>
      <c r="AX1210" s="94">
        <f>VLOOKUP($D1210,Construction!$B:$J,(COLUMN(Construction_BuildingCost_Food)-COLUMN(Construction_Name_and_Level)+1),FALSE)*(-1)</f>
        <v>-3348</v>
      </c>
      <c r="CS1210" s="506"/>
    </row>
    <row r="1211" spans="2:108" ht="15" customHeight="1">
      <c r="B1211" s="506" t="s">
        <v>145</v>
      </c>
      <c r="C1211" s="146" t="s">
        <v>151</v>
      </c>
      <c r="D1211" s="602">
        <v>1.1458333333333334E-2</v>
      </c>
      <c r="E1211" s="506">
        <v>30</v>
      </c>
      <c r="V1211" s="2">
        <v>1</v>
      </c>
      <c r="AF1211" s="141">
        <f>$S$3*$S1211+$T$3*$T1211+$U$3*$U1211+$V$3*$V1211+$W$3*$W1211+$X$3*$X1211+$Y$3*$Y1211+$Z$3*$Z1211+$AA$3*$AA1211+$AB$3*$AB1211+$AC$3*$AC1211</f>
        <v>6.9444444444444441E-3</v>
      </c>
      <c r="AG1211" s="141"/>
      <c r="AH1211" s="137"/>
      <c r="AI1211" s="484"/>
      <c r="AJ1211" s="137">
        <f>AJ1210+(S$3*S1211+T$3*T1211+U$3*U1211+V$3*V1211+W$3*W1211+X$3*X1211+Y$3*Y1211+Z$3*Z1211+AA$3*AA1211+AB$3*AB1211+AC$3*AC1211)</f>
        <v>1.7361111111111108E-2</v>
      </c>
      <c r="AX1211" s="2">
        <v>10000</v>
      </c>
      <c r="CS1211" s="506"/>
    </row>
    <row r="1212" spans="2:108" ht="15" customHeight="1">
      <c r="B1212" s="506" t="s">
        <v>195</v>
      </c>
      <c r="C1212" s="127" t="s">
        <v>468</v>
      </c>
      <c r="D1212" s="144" t="s">
        <v>1940</v>
      </c>
      <c r="E1212" s="506">
        <v>30</v>
      </c>
      <c r="F1212" s="12">
        <v>0.5</v>
      </c>
      <c r="G1212" s="211">
        <v>1100</v>
      </c>
      <c r="H1212" s="211">
        <f t="shared" ref="H1212" si="454">G1212*(1+F1212)</f>
        <v>1650</v>
      </c>
      <c r="AF1212" s="141"/>
      <c r="AG1212" s="141"/>
      <c r="AH1212" s="137"/>
      <c r="AI1212" s="484"/>
      <c r="AJ1212" s="137">
        <f t="shared" ref="AJ1212:AJ1215" si="455">AJ1211+(S$3*S1212+T$3*T1212+U$3*U1212+V$3*V1212+W$3*W1212+X$3*X1212+Y$3*Y1212+Z$3*Z1212+AA$3*AA1212+AB$3*AB1212+AC$3*AC1212)</f>
        <v>1.7361111111111108E-2</v>
      </c>
      <c r="AU1212" s="211">
        <v>0</v>
      </c>
      <c r="AV1212" s="213">
        <v>0</v>
      </c>
      <c r="AW1212" s="213">
        <v>2750</v>
      </c>
      <c r="AX1212" s="213">
        <v>0</v>
      </c>
      <c r="AY1212" s="160">
        <v>0</v>
      </c>
      <c r="CL1212" s="211">
        <v>500</v>
      </c>
      <c r="CM1212" s="160">
        <f>CL1212</f>
        <v>500</v>
      </c>
      <c r="CS1212" s="506"/>
    </row>
    <row r="1213" spans="2:108" ht="15" customHeight="1">
      <c r="B1213" s="113" t="s">
        <v>1483</v>
      </c>
      <c r="C1213" s="127" t="s">
        <v>160</v>
      </c>
      <c r="D1213" s="127">
        <v>1400</v>
      </c>
      <c r="E1213" s="506">
        <v>30</v>
      </c>
      <c r="G1213" s="7"/>
      <c r="H1213" s="7"/>
      <c r="J1213" s="114">
        <f>VLOOKUP($C1213,Troop!$B:$AK,(COLUMN(Troop_TrainingReward_Power)-COLUMN(Troop_Name)+1),FALSE)*$D1213</f>
        <v>11200</v>
      </c>
      <c r="AF1213" s="141"/>
      <c r="AG1213" s="141"/>
      <c r="AH1213" s="137"/>
      <c r="AI1213" s="484"/>
      <c r="AJ1213" s="137">
        <f t="shared" si="455"/>
        <v>1.7361111111111108E-2</v>
      </c>
      <c r="AU1213" s="296">
        <f>VLOOKUP($C1213,Troop!$B:$P,(COLUMN(Troop_TrainingCost_Stone)-COLUMN(Troop_Name)+1),FALSE)*$D1213*(-1)</f>
        <v>-140000</v>
      </c>
      <c r="AV1213" s="296">
        <f>VLOOKUP($C1213,Troop!$B:$P,(COLUMN(Troop_TrainingCost_Wood)-COLUMN(Troop_Name)+1),FALSE)*$D1213*(-1)</f>
        <v>0</v>
      </c>
      <c r="AW1213" s="296">
        <f>VLOOKUP($C1213,Troop!$B:$P,(COLUMN(Troop_TrainingCost_Ore)-COLUMN(Troop_Name)+1),FALSE)*$D1213*(-1)</f>
        <v>-105000</v>
      </c>
      <c r="AX1213" s="296">
        <f>VLOOKUP($C1213,Troop!$B:$P,(COLUMN(Troop_TrainingCost_Food)-COLUMN(Troop_Name)+1),FALSE)*$D1213*(-1)</f>
        <v>-140000</v>
      </c>
      <c r="AY1213" s="114">
        <f>VLOOKUP($C1213,Troop!$B:$P,(COLUMN(Troop_TrainingCost_Silver)-COLUMN(Troop_Name)+1),FALSE)*$D1213*(-1)</f>
        <v>-7000</v>
      </c>
      <c r="CS1213" s="506"/>
      <c r="CT1213" s="128"/>
      <c r="CU1213" s="128"/>
      <c r="CV1213" s="128"/>
      <c r="CW1213" s="128"/>
      <c r="CX1213" s="128"/>
      <c r="CY1213" s="128"/>
      <c r="CZ1213" s="128"/>
      <c r="DA1213" s="128"/>
      <c r="DB1213" s="128"/>
      <c r="DC1213" s="128"/>
      <c r="DD1213" s="128"/>
    </row>
    <row r="1214" spans="2:108" ht="15" customHeight="1">
      <c r="B1214" s="524" t="s">
        <v>143</v>
      </c>
      <c r="C1214" s="127" t="s">
        <v>466</v>
      </c>
      <c r="D1214" s="144" t="s">
        <v>1941</v>
      </c>
      <c r="E1214" s="524">
        <v>30</v>
      </c>
      <c r="F1214" s="12">
        <v>0.5</v>
      </c>
      <c r="G1214" s="101">
        <v>4400</v>
      </c>
      <c r="H1214" s="101">
        <f>G1214*(1+F1214)</f>
        <v>6600</v>
      </c>
      <c r="AF1214" s="141"/>
      <c r="AG1214" s="141"/>
      <c r="AH1214" s="137"/>
      <c r="AI1214" s="484"/>
      <c r="AJ1214" s="137">
        <f t="shared" si="455"/>
        <v>1.7361111111111108E-2</v>
      </c>
      <c r="AU1214" s="101">
        <v>2200</v>
      </c>
      <c r="AV1214" s="101">
        <v>2200</v>
      </c>
      <c r="AW1214" s="101">
        <v>2200</v>
      </c>
      <c r="AX1214" s="101">
        <v>2200</v>
      </c>
      <c r="AY1214" s="100">
        <v>0</v>
      </c>
      <c r="CS1214" s="524"/>
    </row>
    <row r="1215" spans="2:108" ht="15" customHeight="1">
      <c r="B1215" s="524" t="s">
        <v>144</v>
      </c>
      <c r="C1215" s="127" t="s">
        <v>138</v>
      </c>
      <c r="D1215" s="144" t="s">
        <v>1699</v>
      </c>
      <c r="E1215" s="524">
        <v>30</v>
      </c>
      <c r="F1215" s="12">
        <v>0.5</v>
      </c>
      <c r="G1215" s="94">
        <f>VLOOKUP($D1215,Construction!$B:$E,(COLUMN(Construction_BuildingReward_HeroXP)-COLUMN(Construction_Name_and_Level)+1),FALSE)</f>
        <v>500</v>
      </c>
      <c r="H1215" s="94">
        <f>G1215*(1+F1215)</f>
        <v>750</v>
      </c>
      <c r="J1215" s="95">
        <f>VLOOKUP($D1215,Construction!$B:$F,(COLUMN(Construction_BuildingReward_Power)-COLUMN(Construction_Name_and_Level)+1),FALSE)</f>
        <v>215</v>
      </c>
      <c r="Q1215" s="139">
        <v>3.472222222222222E-3</v>
      </c>
      <c r="R1215" s="289">
        <v>1.0416666666666666E-2</v>
      </c>
      <c r="AF1215" s="141"/>
      <c r="AG1215" s="141"/>
      <c r="AH1215" s="137"/>
      <c r="AI1215" s="484"/>
      <c r="AJ1215" s="137">
        <f t="shared" si="455"/>
        <v>1.7361111111111108E-2</v>
      </c>
      <c r="AK1215" s="339">
        <v>0.625</v>
      </c>
      <c r="AL1215" s="138">
        <f>VLOOKUP($D1215,Construction!$B:$C,(COLUMN(Construction_Time)-COLUMN(Construction_Name_and_Level)+1),FALSE)</f>
        <v>3.7037037037037042E-2</v>
      </c>
      <c r="AM1215" s="138">
        <f t="shared" ref="AM1215" si="456">AL1215/(1+AK1215)</f>
        <v>2.2792022792022797E-2</v>
      </c>
      <c r="AN1215" s="138">
        <f>(S$3*S1215+T$3*T1215+V$3*V1215+W$3*W1215+X$3*X1215+Y$3*Y1215+Z$3*Z1215+AA$3*AA1215+AB$3*AB1215+AC$3*AC1215)*(-1)</f>
        <v>0</v>
      </c>
      <c r="AO1215" s="139">
        <f>IF((AM1215-Q1215-R1215-AN1215)&gt;=0,AM1215-Q1215-R1215-AN1215,0)</f>
        <v>8.9031339031339068E-3</v>
      </c>
      <c r="AU1215" s="94">
        <f>VLOOKUP($D1215,Construction!$B:$J,(COLUMN(Construction_BuildingCost_Stone)-COLUMN(Construction_Name_and_Level)+1),FALSE)*(-1)</f>
        <v>-6688</v>
      </c>
      <c r="AV1215" s="94">
        <f>VLOOKUP($D1215,Construction!$B:$J,(COLUMN(Construction_BuildingCost_Wood)-COLUMN(Construction_Name_and_Level)+1),FALSE)*(-1)</f>
        <v>-6688</v>
      </c>
      <c r="AW1215" s="94">
        <f>VLOOKUP($D1215,Construction!$B:$J,(COLUMN(Construction_BuildingCost_Ore)-COLUMN(Construction_Name_and_Level)+1),FALSE)*(-1)</f>
        <v>-1680</v>
      </c>
      <c r="AX1215" s="94">
        <f>VLOOKUP($D1215,Construction!$B:$J,(COLUMN(Construction_BuildingCost_Food)-COLUMN(Construction_Name_and_Level)+1),FALSE)*(-1)</f>
        <v>-16708</v>
      </c>
      <c r="CS1215" s="524"/>
    </row>
    <row r="1216" spans="2:108" ht="15" customHeight="1">
      <c r="B1216" s="524" t="s">
        <v>144</v>
      </c>
      <c r="C1216" s="127" t="s">
        <v>138</v>
      </c>
      <c r="D1216" s="144" t="s">
        <v>587</v>
      </c>
      <c r="E1216" s="524">
        <v>30</v>
      </c>
      <c r="F1216" s="12">
        <v>0.5</v>
      </c>
      <c r="G1216" s="94">
        <f>VLOOKUP($D1216,Construction!$B:$E,(COLUMN(Construction_BuildingReward_HeroXP)-COLUMN(Construction_Name_and_Level)+1),FALSE)</f>
        <v>500</v>
      </c>
      <c r="H1216" s="94">
        <f>G1216*(1+F1216)</f>
        <v>750</v>
      </c>
      <c r="J1216" s="95">
        <f>VLOOKUP($D1216,Construction!$B:$F,(COLUMN(Construction_BuildingReward_Power)-COLUMN(Construction_Name_and_Level)+1),FALSE)</f>
        <v>220</v>
      </c>
      <c r="Q1216" s="139">
        <v>3.472222222222222E-3</v>
      </c>
      <c r="R1216" s="289">
        <v>1.0416666666666666E-2</v>
      </c>
      <c r="AF1216" s="141"/>
      <c r="AG1216" s="141"/>
      <c r="AH1216" s="137"/>
      <c r="AI1216" s="484"/>
      <c r="AJ1216" s="137">
        <f t="shared" ref="AJ1216:AJ1218" si="457">AJ1215+(S$3*S1216+T$3*T1216+U$3*U1216+V$3*V1216+W$3*W1216+X$3*X1216+Y$3*Y1216+Z$3*Z1216+AA$3*AA1216+AB$3*AB1216+AC$3*AC1216)</f>
        <v>1.7361111111111108E-2</v>
      </c>
      <c r="AK1216" s="339">
        <v>0.625</v>
      </c>
      <c r="AL1216" s="138">
        <f>VLOOKUP($D1216,Construction!$B:$C,(COLUMN(Construction_Time)-COLUMN(Construction_Name_and_Level)+1),FALSE)</f>
        <v>3.3333333333333333E-2</v>
      </c>
      <c r="AM1216" s="138">
        <f t="shared" ref="AM1216" si="458">AL1216/(1+AK1216)</f>
        <v>2.0512820512820513E-2</v>
      </c>
      <c r="AN1216" s="138">
        <f>(S$3*S1216+T$3*T1216+V$3*V1216+W$3*W1216+X$3*X1216+Y$3*Y1216+Z$3*Z1216+AA$3*AA1216+AB$3*AB1216+AC$3*AC1216)*(-1)</f>
        <v>0</v>
      </c>
      <c r="AO1216" s="139">
        <f>IF((AM1216-Q1216-R1216-AN1216)&gt;=0,AM1216-Q1216-R1216-AN1216,0)</f>
        <v>6.6239316239316264E-3</v>
      </c>
      <c r="AU1216" s="94">
        <f>VLOOKUP($D1216,Construction!$B:$J,(COLUMN(Construction_BuildingCost_Stone)-COLUMN(Construction_Name_and_Level)+1),FALSE)*(-1)</f>
        <v>-8354</v>
      </c>
      <c r="AV1216" s="94">
        <f>VLOOKUP($D1216,Construction!$B:$J,(COLUMN(Construction_BuildingCost_Wood)-COLUMN(Construction_Name_and_Level)+1),FALSE)*(-1)</f>
        <v>-6686</v>
      </c>
      <c r="AW1216" s="94">
        <f>VLOOKUP($D1216,Construction!$B:$J,(COLUMN(Construction_BuildingCost_Ore)-COLUMN(Construction_Name_and_Level)+1),FALSE)*(-1)</f>
        <v>-5012</v>
      </c>
      <c r="AX1216" s="94">
        <f>VLOOKUP($D1216,Construction!$B:$J,(COLUMN(Construction_BuildingCost_Food)-COLUMN(Construction_Name_and_Level)+1),FALSE)*(-1)</f>
        <v>-4182</v>
      </c>
      <c r="CS1216" s="524"/>
    </row>
    <row r="1217" spans="1:108" ht="15" customHeight="1">
      <c r="B1217" s="524" t="s">
        <v>143</v>
      </c>
      <c r="C1217" s="127" t="s">
        <v>466</v>
      </c>
      <c r="D1217" s="144" t="s">
        <v>1867</v>
      </c>
      <c r="E1217" s="524">
        <v>30</v>
      </c>
      <c r="F1217" s="12">
        <v>0.5</v>
      </c>
      <c r="G1217" s="101">
        <v>16500</v>
      </c>
      <c r="H1217" s="101">
        <f>G1217*(1+F1217)</f>
        <v>24750</v>
      </c>
      <c r="AF1217" s="141"/>
      <c r="AG1217" s="141"/>
      <c r="AH1217" s="137"/>
      <c r="AI1217" s="484"/>
      <c r="AJ1217" s="137">
        <f t="shared" si="457"/>
        <v>1.7361111111111108E-2</v>
      </c>
      <c r="AU1217" s="101">
        <v>0</v>
      </c>
      <c r="AV1217" s="101">
        <v>0</v>
      </c>
      <c r="AW1217" s="101">
        <v>0</v>
      </c>
      <c r="AX1217" s="101">
        <v>0</v>
      </c>
      <c r="AY1217" s="100">
        <v>8250</v>
      </c>
      <c r="CS1217" s="524"/>
    </row>
    <row r="1218" spans="1:108" ht="15" customHeight="1">
      <c r="B1218" s="126" t="s">
        <v>1457</v>
      </c>
      <c r="C1218" s="127" t="s">
        <v>147</v>
      </c>
      <c r="D1218" s="144" t="s">
        <v>1942</v>
      </c>
      <c r="E1218" s="524">
        <v>31</v>
      </c>
      <c r="I1218" s="5">
        <v>5</v>
      </c>
      <c r="J1218" s="5">
        <v>13062</v>
      </c>
      <c r="K1218" s="423"/>
      <c r="Q1218" s="149"/>
      <c r="AF1218" s="141"/>
      <c r="AG1218" s="141"/>
      <c r="AH1218" s="137"/>
      <c r="AI1218" s="484"/>
      <c r="AJ1218" s="137">
        <f t="shared" si="457"/>
        <v>1.7361111111111108E-2</v>
      </c>
      <c r="AX1218" s="11"/>
      <c r="CS1218" s="524"/>
    </row>
    <row r="1219" spans="1:108" s="420" customFormat="1" ht="15" customHeight="1">
      <c r="A1219" s="487"/>
      <c r="B1219" s="411" t="s">
        <v>171</v>
      </c>
      <c r="C1219" s="412"/>
      <c r="D1219" s="412" t="s">
        <v>1943</v>
      </c>
      <c r="E1219" s="411">
        <v>31</v>
      </c>
      <c r="F1219" s="413">
        <v>0.5</v>
      </c>
      <c r="G1219" s="414" t="s">
        <v>284</v>
      </c>
      <c r="H1219" s="414">
        <f>11902652+450000</f>
        <v>12352652</v>
      </c>
      <c r="I1219" s="415">
        <v>94</v>
      </c>
      <c r="J1219" s="415">
        <v>405273</v>
      </c>
      <c r="K1219" s="414">
        <v>6</v>
      </c>
      <c r="L1219" s="414">
        <v>7910</v>
      </c>
      <c r="M1219" s="416">
        <v>0.125</v>
      </c>
      <c r="N1219" s="417">
        <v>120</v>
      </c>
      <c r="O1219" s="109">
        <f>SUMIF($B$4:$B1218,"&lt;&gt;"&amp;$CS$13,O$4:O1218)</f>
        <v>-1250</v>
      </c>
      <c r="P1219" s="108">
        <f>SUMIF($B$4:$B1218,"&lt;&gt;"&amp;$CS$13,N$4:N1218)</f>
        <v>1370</v>
      </c>
      <c r="Q1219" s="416">
        <v>3.472222222222222E-3</v>
      </c>
      <c r="R1219" s="416">
        <v>1.0416666666666666E-2</v>
      </c>
      <c r="S1219" s="414">
        <v>0</v>
      </c>
      <c r="T1219" s="414">
        <v>0</v>
      </c>
      <c r="U1219" s="414">
        <v>0</v>
      </c>
      <c r="V1219" s="414">
        <v>1</v>
      </c>
      <c r="W1219" s="417">
        <v>1</v>
      </c>
      <c r="X1219" s="417">
        <v>0</v>
      </c>
      <c r="Y1219" s="417">
        <v>0</v>
      </c>
      <c r="Z1219" s="417">
        <v>0</v>
      </c>
      <c r="AA1219" s="417">
        <v>0</v>
      </c>
      <c r="AB1219" s="417">
        <v>0</v>
      </c>
      <c r="AC1219" s="417">
        <v>0</v>
      </c>
      <c r="AD1219" s="417">
        <v>0</v>
      </c>
      <c r="AE1219" s="415">
        <v>0</v>
      </c>
      <c r="AF1219" s="419">
        <f>SUMIF($B$4:$B1218,"&lt;&gt;"&amp;$CS$13,AF$4:AF1218)</f>
        <v>2.179166666666668</v>
      </c>
      <c r="AG1219" s="419">
        <f>SUMIF($B$4:$B1218,"&lt;&gt;"&amp;$CS$13,AG$4:AG1218)</f>
        <v>0</v>
      </c>
      <c r="AH1219" s="416">
        <f>AF1219+AG1219</f>
        <v>2.179166666666668</v>
      </c>
      <c r="AI1219" s="485">
        <f>SUMIF($B$4:$B1218,"&lt;&gt;"&amp;$CS$13,AI$4:AI1218)</f>
        <v>2.1618055555555555</v>
      </c>
      <c r="AJ1219" s="416">
        <f>S$3*S1219+T$3*T1219+U$3*U1219+V$3*V1219+W$3*W1219+X$3*X1219+Y$3*Y1219+Z$3*Z1219+AA$3*AA1219+AB$3*AB1219+AC$3*AC1219</f>
        <v>1.7361111111111112E-2</v>
      </c>
      <c r="AK1219" s="418">
        <v>0.625</v>
      </c>
      <c r="AL1219" s="419" t="s">
        <v>284</v>
      </c>
      <c r="AM1219" s="419" t="s">
        <v>284</v>
      </c>
      <c r="AN1219" s="419" t="s">
        <v>284</v>
      </c>
      <c r="AO1219" s="416" t="s">
        <v>284</v>
      </c>
      <c r="AP1219" s="284">
        <v>0.51</v>
      </c>
      <c r="AQ1219" s="419" t="s">
        <v>284</v>
      </c>
      <c r="AR1219" s="419" t="s">
        <v>284</v>
      </c>
      <c r="AS1219" s="419" t="s">
        <v>284</v>
      </c>
      <c r="AT1219" s="416" t="s">
        <v>284</v>
      </c>
      <c r="AU1219" s="414">
        <v>465500</v>
      </c>
      <c r="AV1219" s="414">
        <v>732200</v>
      </c>
      <c r="AW1219" s="414">
        <v>347800</v>
      </c>
      <c r="AX1219" s="417">
        <v>291300</v>
      </c>
      <c r="AY1219" s="415">
        <v>417600</v>
      </c>
      <c r="AZ1219" s="414">
        <v>12873</v>
      </c>
      <c r="BA1219" s="414">
        <v>13558</v>
      </c>
      <c r="BB1219" s="414">
        <v>9796</v>
      </c>
      <c r="BC1219" s="414">
        <v>18819</v>
      </c>
      <c r="BD1219" s="415">
        <v>5859</v>
      </c>
      <c r="BE1219" s="415">
        <v>-16740</v>
      </c>
      <c r="BF1219" s="414">
        <v>583000</v>
      </c>
      <c r="BG1219" s="414">
        <v>655000</v>
      </c>
      <c r="BH1219" s="414">
        <v>450000</v>
      </c>
      <c r="BI1219" s="414">
        <v>930000</v>
      </c>
      <c r="BJ1219" s="415">
        <v>403000</v>
      </c>
      <c r="BK1219" s="414">
        <v>11</v>
      </c>
      <c r="BL1219" s="415">
        <v>10</v>
      </c>
      <c r="BM1219" s="415">
        <v>11</v>
      </c>
      <c r="BN1219" s="414">
        <v>11</v>
      </c>
      <c r="BO1219" s="415">
        <v>6</v>
      </c>
      <c r="BP1219" s="414">
        <v>11</v>
      </c>
      <c r="BQ1219" s="415">
        <v>6</v>
      </c>
      <c r="BR1219" s="414">
        <v>11</v>
      </c>
      <c r="BS1219" s="415">
        <v>6</v>
      </c>
      <c r="BT1219" s="414">
        <v>11</v>
      </c>
      <c r="BU1219" s="415">
        <v>6</v>
      </c>
      <c r="BV1219" s="414">
        <v>11</v>
      </c>
      <c r="BW1219" s="415">
        <v>6</v>
      </c>
      <c r="BX1219" s="414">
        <v>10</v>
      </c>
      <c r="BY1219" s="415">
        <v>5</v>
      </c>
      <c r="BZ1219" s="414">
        <v>6</v>
      </c>
      <c r="CA1219" s="415">
        <v>4</v>
      </c>
      <c r="CB1219" s="415">
        <v>6</v>
      </c>
      <c r="CC1219" s="415">
        <v>11</v>
      </c>
      <c r="CD1219" s="415">
        <v>10</v>
      </c>
      <c r="CE1219" s="414">
        <v>10</v>
      </c>
      <c r="CF1219" s="414">
        <v>6</v>
      </c>
      <c r="CG1219" s="415">
        <v>3</v>
      </c>
      <c r="CH1219" s="414">
        <v>10</v>
      </c>
      <c r="CI1219" s="414">
        <v>0</v>
      </c>
      <c r="CJ1219" s="415">
        <v>0</v>
      </c>
      <c r="CK1219" s="415">
        <v>1</v>
      </c>
      <c r="CL1219" s="414">
        <v>313000</v>
      </c>
      <c r="CM1219" s="415" t="s">
        <v>284</v>
      </c>
      <c r="CN1219" s="415" t="s">
        <v>1208</v>
      </c>
      <c r="CS1219" s="421"/>
    </row>
    <row r="1220" spans="1:108" ht="15" customHeight="1">
      <c r="B1220" s="524" t="s">
        <v>144</v>
      </c>
      <c r="C1220" s="127" t="s">
        <v>138</v>
      </c>
      <c r="D1220" s="144" t="s">
        <v>1944</v>
      </c>
      <c r="E1220" s="524">
        <v>31</v>
      </c>
      <c r="F1220" s="12">
        <v>0.5</v>
      </c>
      <c r="G1220" s="94">
        <f>VLOOKUP($D1220,Construction!$B:$E,(COLUMN(Construction_BuildingReward_HeroXP)-COLUMN(Construction_Name_and_Level)+1),FALSE)</f>
        <v>500</v>
      </c>
      <c r="H1220" s="94">
        <f>G1220*(1+F1220)</f>
        <v>750</v>
      </c>
      <c r="J1220" s="95">
        <f>VLOOKUP($D1220,Construction!$B:$F,(COLUMN(Construction_BuildingReward_Power)-COLUMN(Construction_Name_and_Level)+1),FALSE)</f>
        <v>1720</v>
      </c>
      <c r="Q1220" s="139">
        <v>3.472222222222222E-3</v>
      </c>
      <c r="R1220" s="289">
        <v>1.0416666666666666E-2</v>
      </c>
      <c r="AF1220" s="141"/>
      <c r="AG1220" s="141"/>
      <c r="AH1220" s="137"/>
      <c r="AI1220" s="484"/>
      <c r="AJ1220" s="137">
        <f t="shared" ref="AJ1220:AJ1228" si="459">AJ1219+(S$3*S1220+T$3*T1220+U$3*U1220+V$3*V1220+W$3*W1220+X$3*X1220+Y$3*Y1220+Z$3*Z1220+AA$3*AA1220+AB$3*AB1220+AC$3*AC1220)</f>
        <v>1.7361111111111112E-2</v>
      </c>
      <c r="AK1220" s="339">
        <v>0.625</v>
      </c>
      <c r="AL1220" s="138">
        <f>VLOOKUP($D1220,Construction!$B:$C,(COLUMN(Construction_Time)-COLUMN(Construction_Name_and_Level)+1),FALSE)</f>
        <v>0.64</v>
      </c>
      <c r="AM1220" s="138">
        <f t="shared" ref="AM1220" si="460">AL1220/(1+AK1220)</f>
        <v>0.39384615384615385</v>
      </c>
      <c r="AN1220" s="138">
        <f>(S$3*S1220+T$3*T1220+V$3*V1220+W$3*W1220+X$3*X1220+Y$3*Y1220+Z$3*Z1220+AA$3*AA1220+AB$3*AB1220+AC$3*AC1220)*(-1)</f>
        <v>0</v>
      </c>
      <c r="AO1220" s="139">
        <f>IF((AM1220-Q1220-R1220-AN1220)&gt;=0,AM1220-Q1220-R1220-AN1220,0)</f>
        <v>0.37995726495726495</v>
      </c>
      <c r="AU1220" s="94">
        <f>VLOOKUP($D1220,Construction!$B:$J,(COLUMN(Construction_BuildingCost_Stone)-COLUMN(Construction_Name_and_Level)+1),FALSE)*(-1)</f>
        <v>-150372</v>
      </c>
      <c r="AV1220" s="94">
        <f>VLOOKUP($D1220,Construction!$B:$J,(COLUMN(Construction_BuildingCost_Wood)-COLUMN(Construction_Name_and_Level)+1),FALSE)*(-1)</f>
        <v>-120348</v>
      </c>
      <c r="AW1220" s="94">
        <f>VLOOKUP($D1220,Construction!$B:$J,(COLUMN(Construction_BuildingCost_Ore)-COLUMN(Construction_Name_and_Level)+1),FALSE)*(-1)</f>
        <v>-90216</v>
      </c>
      <c r="AX1220" s="94">
        <f>VLOOKUP($D1220,Construction!$B:$J,(COLUMN(Construction_BuildingCost_Food)-COLUMN(Construction_Name_and_Level)+1),FALSE)*(-1)</f>
        <v>-75276</v>
      </c>
      <c r="CS1220" s="524"/>
    </row>
    <row r="1221" spans="1:108" ht="15" customHeight="1">
      <c r="B1221" s="113" t="s">
        <v>1483</v>
      </c>
      <c r="C1221" s="127" t="s">
        <v>592</v>
      </c>
      <c r="D1221" s="127">
        <v>10000</v>
      </c>
      <c r="E1221" s="524">
        <v>31</v>
      </c>
      <c r="G1221" s="7"/>
      <c r="H1221" s="7"/>
      <c r="J1221" s="114">
        <f>VLOOKUP($C1221,Troop!$B:$AK,(COLUMN(Troop_TrainingReward_Power)-COLUMN(Troop_Name)+1),FALSE)*$D1221</f>
        <v>10000</v>
      </c>
      <c r="AF1221" s="141"/>
      <c r="AG1221" s="141"/>
      <c r="AH1221" s="137"/>
      <c r="AI1221" s="484"/>
      <c r="AJ1221" s="137">
        <f t="shared" si="459"/>
        <v>1.7361111111111112E-2</v>
      </c>
      <c r="AU1221" s="296">
        <f>VLOOKUP($C1221,Troop!$B:$P,(COLUMN(Troop_TrainingCost_Stone)-COLUMN(Troop_Name)+1),FALSE)*$D1221*(-1)</f>
        <v>-100000</v>
      </c>
      <c r="AV1221" s="296">
        <f>VLOOKUP($C1221,Troop!$B:$P,(COLUMN(Troop_TrainingCost_Wood)-COLUMN(Troop_Name)+1),FALSE)*$D1221*(-1)</f>
        <v>0</v>
      </c>
      <c r="AW1221" s="296">
        <f>VLOOKUP($C1221,Troop!$B:$P,(COLUMN(Troop_TrainingCost_Ore)-COLUMN(Troop_Name)+1),FALSE)*$D1221*(-1)</f>
        <v>0</v>
      </c>
      <c r="AX1221" s="296">
        <f>VLOOKUP($C1221,Troop!$B:$P,(COLUMN(Troop_TrainingCost_Food)-COLUMN(Troop_Name)+1),FALSE)*$D1221*(-1)</f>
        <v>-100000</v>
      </c>
      <c r="AY1221" s="114">
        <f>VLOOKUP($C1221,Troop!$B:$P,(COLUMN(Troop_TrainingCost_Silver)-COLUMN(Troop_Name)+1),FALSE)*$D1221*(-1)</f>
        <v>0</v>
      </c>
      <c r="CS1221" s="524"/>
      <c r="CT1221" s="128"/>
      <c r="CU1221" s="128"/>
      <c r="CV1221" s="128"/>
      <c r="CW1221" s="128"/>
      <c r="CX1221" s="128"/>
      <c r="CY1221" s="128"/>
      <c r="CZ1221" s="128"/>
      <c r="DA1221" s="128"/>
      <c r="DB1221" s="128"/>
      <c r="DC1221" s="128"/>
      <c r="DD1221" s="128"/>
    </row>
    <row r="1222" spans="1:108" ht="15" customHeight="1">
      <c r="B1222" s="524" t="s">
        <v>195</v>
      </c>
      <c r="C1222" s="127" t="s">
        <v>468</v>
      </c>
      <c r="D1222" s="144" t="s">
        <v>1794</v>
      </c>
      <c r="E1222" s="524">
        <v>31</v>
      </c>
      <c r="F1222" s="12">
        <v>0.5</v>
      </c>
      <c r="G1222" s="211">
        <v>4400</v>
      </c>
      <c r="H1222" s="211">
        <f t="shared" ref="H1222" si="461">G1222*(1+F1222)</f>
        <v>6600</v>
      </c>
      <c r="AF1222" s="141"/>
      <c r="AG1222" s="141"/>
      <c r="AH1222" s="137"/>
      <c r="AI1222" s="484"/>
      <c r="AJ1222" s="137">
        <f t="shared" si="459"/>
        <v>1.7361111111111112E-2</v>
      </c>
      <c r="AU1222" s="211">
        <v>4400</v>
      </c>
      <c r="AV1222" s="213">
        <v>4400</v>
      </c>
      <c r="AW1222" s="213">
        <v>4400</v>
      </c>
      <c r="AX1222" s="213">
        <v>0</v>
      </c>
      <c r="AY1222" s="160">
        <v>0</v>
      </c>
      <c r="CL1222" s="211">
        <v>2000</v>
      </c>
      <c r="CM1222" s="160">
        <f>CL1222</f>
        <v>2000</v>
      </c>
      <c r="CS1222" s="524"/>
    </row>
    <row r="1223" spans="1:108" ht="15" customHeight="1">
      <c r="B1223" s="524" t="s">
        <v>143</v>
      </c>
      <c r="C1223" s="127" t="s">
        <v>466</v>
      </c>
      <c r="D1223" s="144" t="s">
        <v>1945</v>
      </c>
      <c r="E1223" s="524">
        <v>31</v>
      </c>
      <c r="F1223" s="12">
        <v>0.5</v>
      </c>
      <c r="G1223" s="101">
        <v>4400</v>
      </c>
      <c r="H1223" s="101">
        <f>G1223*(1+F1223)</f>
        <v>6600</v>
      </c>
      <c r="AF1223" s="141"/>
      <c r="AG1223" s="141"/>
      <c r="AH1223" s="137"/>
      <c r="AI1223" s="484"/>
      <c r="AJ1223" s="137">
        <f t="shared" si="459"/>
        <v>1.7361111111111112E-2</v>
      </c>
      <c r="AU1223" s="101">
        <v>5500</v>
      </c>
      <c r="AV1223" s="101">
        <v>0</v>
      </c>
      <c r="AW1223" s="101">
        <v>0</v>
      </c>
      <c r="AX1223" s="101">
        <v>0</v>
      </c>
      <c r="AY1223" s="100">
        <v>1100</v>
      </c>
      <c r="CS1223" s="524"/>
    </row>
    <row r="1224" spans="1:108" ht="15" customHeight="1">
      <c r="B1224" s="524" t="s">
        <v>148</v>
      </c>
      <c r="E1224" s="524">
        <v>31</v>
      </c>
      <c r="F1224" s="274"/>
      <c r="G1224" s="7"/>
      <c r="H1224" s="7"/>
      <c r="I1224" s="19"/>
      <c r="J1224" s="19"/>
      <c r="AF1224" s="141"/>
      <c r="AJ1224" s="137">
        <f t="shared" si="459"/>
        <v>1.7361111111111112E-2</v>
      </c>
      <c r="AV1224" s="142">
        <v>50000</v>
      </c>
      <c r="CS1224" s="524"/>
    </row>
    <row r="1225" spans="1:108" ht="15" customHeight="1">
      <c r="B1225" s="524" t="s">
        <v>624</v>
      </c>
      <c r="C1225" s="127" t="s">
        <v>623</v>
      </c>
      <c r="D1225" s="144" t="s">
        <v>1422</v>
      </c>
      <c r="E1225" s="524">
        <v>31</v>
      </c>
      <c r="AF1225" s="141"/>
      <c r="AG1225" s="141"/>
      <c r="AH1225" s="137"/>
      <c r="AI1225" s="484"/>
      <c r="AJ1225" s="137">
        <f t="shared" si="459"/>
        <v>1.7361111111111112E-2</v>
      </c>
      <c r="AU1225" s="30">
        <v>0</v>
      </c>
      <c r="AV1225" s="30">
        <v>0</v>
      </c>
      <c r="AW1225" s="30">
        <v>0</v>
      </c>
      <c r="AX1225" s="30">
        <v>76259</v>
      </c>
      <c r="AY1225" s="31">
        <v>0</v>
      </c>
      <c r="CS1225" s="524"/>
    </row>
    <row r="1226" spans="1:108" ht="15" customHeight="1">
      <c r="B1226" s="524" t="s">
        <v>195</v>
      </c>
      <c r="C1226" s="127" t="s">
        <v>1750</v>
      </c>
      <c r="D1226" s="144" t="s">
        <v>1951</v>
      </c>
      <c r="E1226" s="524">
        <v>31</v>
      </c>
      <c r="N1226" s="603">
        <v>160</v>
      </c>
      <c r="W1226" s="2"/>
      <c r="AF1226" s="141"/>
      <c r="AJ1226" s="137">
        <f t="shared" si="459"/>
        <v>1.7361111111111112E-2</v>
      </c>
      <c r="CS1226" s="524"/>
    </row>
    <row r="1227" spans="1:108" ht="15" customHeight="1">
      <c r="B1227" s="524" t="s">
        <v>195</v>
      </c>
      <c r="C1227" s="127" t="s">
        <v>1750</v>
      </c>
      <c r="D1227" s="144" t="s">
        <v>1950</v>
      </c>
      <c r="E1227" s="524">
        <v>31</v>
      </c>
      <c r="W1227" s="2"/>
      <c r="Z1227" s="603">
        <v>1</v>
      </c>
      <c r="AF1227" s="141">
        <f>$S$3*$S1227+$T$3*$T1227+$U$3*$U1227+$V$3*$V1227+$W$3*$W1227+$X$3*$X1227+$Y$3*$Y1227+$Z$3*$Z1227+$AA$3*$AA1227+$AB$3*$AB1227+$AC$3*$AC1227</f>
        <v>0.33333333333333331</v>
      </c>
      <c r="AJ1227" s="137">
        <f t="shared" si="459"/>
        <v>0.35069444444444442</v>
      </c>
      <c r="CS1227" s="524"/>
    </row>
    <row r="1228" spans="1:108" ht="15" customHeight="1">
      <c r="B1228" s="524" t="s">
        <v>195</v>
      </c>
      <c r="C1228" s="127" t="s">
        <v>1750</v>
      </c>
      <c r="D1228" s="144" t="s">
        <v>1950</v>
      </c>
      <c r="E1228" s="524">
        <v>31</v>
      </c>
      <c r="W1228" s="2"/>
      <c r="AF1228" s="141"/>
      <c r="AJ1228" s="137">
        <f t="shared" si="459"/>
        <v>0.35069444444444442</v>
      </c>
      <c r="AW1228" s="213">
        <v>150000</v>
      </c>
      <c r="CS1228" s="524"/>
    </row>
    <row r="1229" spans="1:108" ht="15" customHeight="1">
      <c r="B1229" s="524" t="s">
        <v>144</v>
      </c>
      <c r="C1229" s="127" t="s">
        <v>138</v>
      </c>
      <c r="D1229" s="144" t="s">
        <v>1922</v>
      </c>
      <c r="E1229" s="524">
        <v>31</v>
      </c>
      <c r="F1229" s="12">
        <v>0.5</v>
      </c>
      <c r="G1229" s="94">
        <f>VLOOKUP($D1229,Construction!$B:$E,(COLUMN(Construction_BuildingReward_HeroXP)-COLUMN(Construction_Name_and_Level)+1),FALSE)</f>
        <v>500</v>
      </c>
      <c r="H1229" s="94">
        <f>G1229*(1+F1229)</f>
        <v>750</v>
      </c>
      <c r="J1229" s="95">
        <f>VLOOKUP($D1229,Construction!$B:$F,(COLUMN(Construction_BuildingReward_Power)-COLUMN(Construction_Name_and_Level)+1),FALSE)</f>
        <v>1075</v>
      </c>
      <c r="Q1229" s="139">
        <v>3.472222222222222E-3</v>
      </c>
      <c r="R1229" s="289">
        <v>1.0416666666666666E-2</v>
      </c>
      <c r="AF1229" s="141"/>
      <c r="AG1229" s="141"/>
      <c r="AH1229" s="137"/>
      <c r="AI1229" s="484"/>
      <c r="AJ1229" s="137">
        <f t="shared" ref="AJ1229:AJ1231" si="462">AJ1228+(S$3*S1229+T$3*T1229+U$3*U1229+V$3*V1229+W$3*W1229+X$3*X1229+Y$3*Y1229+Z$3*Z1229+AA$3*AA1229+AB$3*AB1229+AC$3*AC1229)</f>
        <v>0.35069444444444442</v>
      </c>
      <c r="AK1229" s="339">
        <v>0.625</v>
      </c>
      <c r="AL1229" s="138">
        <f>VLOOKUP($D1229,Construction!$B:$C,(COLUMN(Construction_Time)-COLUMN(Construction_Name_and_Level)+1),FALSE)</f>
        <v>0.35555555555555557</v>
      </c>
      <c r="AM1229" s="138">
        <f t="shared" ref="AM1229" si="463">AL1229/(1+AK1229)</f>
        <v>0.2188034188034188</v>
      </c>
      <c r="AN1229" s="138">
        <f>(S$3*S1229+T$3*T1229+V$3*V1229+W$3*W1229+X$3*X1229+Y$3*Y1229+Z$3*Z1229+AA$3*AA1229+AB$3*AB1229+AC$3*AC1229)*(-1)</f>
        <v>0</v>
      </c>
      <c r="AO1229" s="139">
        <f>IF((AM1229-Q1229-R1229-AN1229)&gt;=0,AM1229-Q1229-R1229-AN1229,0)</f>
        <v>0.20491452991452994</v>
      </c>
      <c r="AU1229" s="94">
        <f>VLOOKUP($D1229,Construction!$B:$J,(COLUMN(Construction_BuildingCost_Stone)-COLUMN(Construction_Name_and_Level)+1),FALSE)*(-1)</f>
        <v>-60192</v>
      </c>
      <c r="AV1229" s="94">
        <f>VLOOKUP($D1229,Construction!$B:$J,(COLUMN(Construction_BuildingCost_Wood)-COLUMN(Construction_Name_and_Level)+1),FALSE)*(-1)</f>
        <v>-60192</v>
      </c>
      <c r="AW1229" s="94">
        <f>VLOOKUP($D1229,Construction!$B:$J,(COLUMN(Construction_BuildingCost_Ore)-COLUMN(Construction_Name_and_Level)+1),FALSE)*(-1)</f>
        <v>-15120</v>
      </c>
      <c r="AX1229" s="94">
        <f>VLOOKUP($D1229,Construction!$B:$J,(COLUMN(Construction_BuildingCost_Food)-COLUMN(Construction_Name_and_Level)+1),FALSE)*(-1)</f>
        <v>-150372</v>
      </c>
      <c r="CS1229" s="524"/>
    </row>
    <row r="1230" spans="1:108" ht="15" customHeight="1">
      <c r="B1230" s="524" t="s">
        <v>146</v>
      </c>
      <c r="C1230" s="127" t="s">
        <v>138</v>
      </c>
      <c r="D1230" s="144" t="s">
        <v>1953</v>
      </c>
      <c r="E1230" s="524">
        <v>31</v>
      </c>
      <c r="F1230" s="12">
        <v>0.5</v>
      </c>
      <c r="G1230" s="111">
        <f>VLOOKUP($D1230,Research!$C:$F,(COLUMN(Research_ResearchReward_HeroXP)-COLUMN(Research_Name_and_Level)+1),FALSE)</f>
        <v>72000</v>
      </c>
      <c r="H1230" s="111">
        <f t="shared" ref="H1230" si="464">G1230*(1+F1230)</f>
        <v>108000</v>
      </c>
      <c r="J1230" s="115">
        <f>VLOOKUP($D1230,Research!$C:$G,(COLUMN(Research_ResearchReward_Power)-COLUMN(Research_Name_and_Level)+1),FALSE)</f>
        <v>11500</v>
      </c>
      <c r="R1230" s="148">
        <v>1.0416666666666666E-2</v>
      </c>
      <c r="AF1230" s="141"/>
      <c r="AG1230" s="141"/>
      <c r="AH1230" s="137"/>
      <c r="AI1230" s="484"/>
      <c r="AJ1230" s="137">
        <f t="shared" si="462"/>
        <v>0.35069444444444442</v>
      </c>
      <c r="AK1230" s="605"/>
      <c r="AP1230" s="256">
        <v>0.51</v>
      </c>
      <c r="AQ1230" s="147">
        <f>VLOOKUP($D1230,Research!$C:$D,(COLUMN(Research_Time)-COLUMN(Research_Name_and_Level)+1),FALSE)</f>
        <v>1.125</v>
      </c>
      <c r="AR1230" s="147">
        <f>AQ1230/(1+AP1230)</f>
        <v>0.74503311258278149</v>
      </c>
      <c r="AS1230" s="147">
        <f>(S$3*S1230+T$3*T1230+V$3*V1230+W$3*W1230+X$3*X1230+Y$3*Y1230+Z$3*Z1230+AA$3*AA1230+AB$3*AB1230+AC$3*AC1230)*(-1)</f>
        <v>0</v>
      </c>
      <c r="AT1230" s="148">
        <f>IF(AR1230-R1230-AS1230&gt;=0,AR1230-R1230-AS1230,0)</f>
        <v>0.73461644591611486</v>
      </c>
      <c r="AU1230" s="111">
        <f>VLOOKUP($D1230,Research!$C:$L,(COLUMN(Research_ResearchCost_Stone)-COLUMN(Research_Name_and_Level)+1),FALSE)*(-1)</f>
        <v>-9600</v>
      </c>
      <c r="AV1230" s="111">
        <f>VLOOKUP($D1230,Research!$C:$L,(COLUMN(Research_ResearchCost_Wood)-COLUMN(Research_Name_and_Level)+1),FALSE)*(-1)</f>
        <v>-16000</v>
      </c>
      <c r="AW1230" s="111">
        <f>VLOOKUP($D1230,Research!$C:$L,(COLUMN(Research_ResearchCost_Ore)-COLUMN(Research_Name_and_Level)+1),FALSE)*(-1)</f>
        <v>-12800</v>
      </c>
      <c r="AX1230" s="111">
        <f>VLOOKUP($D1230,Research!$C:$L,(COLUMN(Research_ResearchCost_Food)-COLUMN(Research_Name_and_Level)+1),FALSE)*(-1)</f>
        <v>-800</v>
      </c>
      <c r="AY1230" s="112">
        <f>VLOOKUP($D1230,Research!$C:$L,(COLUMN(Research_ResearchCost_Silver)-COLUMN(Research_Name_and_Level)+1),FALSE)*(-1)</f>
        <v>-230000</v>
      </c>
      <c r="BK1230" s="7"/>
      <c r="BL1230" s="19"/>
      <c r="CS1230" s="524"/>
    </row>
    <row r="1231" spans="1:108" ht="15" customHeight="1">
      <c r="B1231" s="524" t="s">
        <v>143</v>
      </c>
      <c r="C1231" s="127" t="s">
        <v>466</v>
      </c>
      <c r="D1231" s="144" t="s">
        <v>1954</v>
      </c>
      <c r="E1231" s="524">
        <v>31</v>
      </c>
      <c r="F1231" s="12">
        <v>0.5</v>
      </c>
      <c r="G1231" s="101">
        <v>4400</v>
      </c>
      <c r="H1231" s="101">
        <f t="shared" ref="H1231:H1237" si="465">G1231*(1+F1231)</f>
        <v>6600</v>
      </c>
      <c r="AF1231" s="141"/>
      <c r="AG1231" s="141"/>
      <c r="AH1231" s="137"/>
      <c r="AI1231" s="484"/>
      <c r="AJ1231" s="137">
        <f t="shared" si="462"/>
        <v>0.35069444444444442</v>
      </c>
      <c r="AU1231" s="101">
        <v>0</v>
      </c>
      <c r="AV1231" s="101">
        <v>0</v>
      </c>
      <c r="AW1231" s="101">
        <v>3300</v>
      </c>
      <c r="AX1231" s="101">
        <v>3300</v>
      </c>
      <c r="AY1231" s="100">
        <v>660</v>
      </c>
      <c r="CS1231" s="524"/>
    </row>
    <row r="1232" spans="1:108" ht="15" customHeight="1">
      <c r="B1232" s="524" t="s">
        <v>143</v>
      </c>
      <c r="C1232" s="127" t="s">
        <v>466</v>
      </c>
      <c r="D1232" s="144" t="s">
        <v>1954</v>
      </c>
      <c r="E1232" s="524">
        <v>31</v>
      </c>
      <c r="F1232" s="12">
        <v>0.5</v>
      </c>
      <c r="G1232" s="101">
        <v>4400</v>
      </c>
      <c r="H1232" s="101">
        <f t="shared" si="465"/>
        <v>6600</v>
      </c>
      <c r="AF1232" s="141"/>
      <c r="AG1232" s="141"/>
      <c r="AH1232" s="137"/>
      <c r="AI1232" s="484"/>
      <c r="AJ1232" s="137">
        <f t="shared" ref="AJ1232" si="466">AJ1231+(S$3*S1232+T$3*T1232+U$3*U1232+V$3*V1232+W$3*W1232+X$3*X1232+Y$3*Y1232+Z$3*Z1232+AA$3*AA1232+AB$3*AB1232+AC$3*AC1232)</f>
        <v>0.35069444444444442</v>
      </c>
      <c r="AU1232" s="101">
        <v>11000</v>
      </c>
      <c r="AV1232" s="101">
        <v>0</v>
      </c>
      <c r="AW1232" s="101">
        <v>0</v>
      </c>
      <c r="AX1232" s="101">
        <v>0</v>
      </c>
      <c r="AY1232" s="100">
        <v>0</v>
      </c>
      <c r="CS1232" s="524"/>
    </row>
    <row r="1233" spans="1:108" ht="15" customHeight="1">
      <c r="B1233" s="524" t="s">
        <v>143</v>
      </c>
      <c r="C1233" s="127" t="s">
        <v>466</v>
      </c>
      <c r="D1233" s="144" t="s">
        <v>1954</v>
      </c>
      <c r="E1233" s="524">
        <v>31</v>
      </c>
      <c r="F1233" s="12">
        <v>0.5</v>
      </c>
      <c r="G1233" s="101">
        <v>4400</v>
      </c>
      <c r="H1233" s="101">
        <f t="shared" si="465"/>
        <v>6600</v>
      </c>
      <c r="AF1233" s="141"/>
      <c r="AG1233" s="141"/>
      <c r="AH1233" s="137"/>
      <c r="AI1233" s="484"/>
      <c r="AJ1233" s="137">
        <f t="shared" ref="AJ1233" si="467">AJ1232+(S$3*S1233+T$3*T1233+U$3*U1233+V$3*V1233+W$3*W1233+X$3*X1233+Y$3*Y1233+Z$3*Z1233+AA$3*AA1233+AB$3*AB1233+AC$3*AC1233)</f>
        <v>0.35069444444444442</v>
      </c>
      <c r="AU1233" s="101">
        <v>0</v>
      </c>
      <c r="AV1233" s="101">
        <v>0</v>
      </c>
      <c r="AW1233" s="101">
        <v>0</v>
      </c>
      <c r="AX1233" s="101">
        <v>5500</v>
      </c>
      <c r="AY1233" s="100">
        <v>1100</v>
      </c>
      <c r="CS1233" s="524"/>
    </row>
    <row r="1234" spans="1:108" ht="15" customHeight="1">
      <c r="B1234" s="524" t="s">
        <v>143</v>
      </c>
      <c r="C1234" s="127" t="s">
        <v>466</v>
      </c>
      <c r="D1234" s="144" t="s">
        <v>1954</v>
      </c>
      <c r="E1234" s="524">
        <v>31</v>
      </c>
      <c r="F1234" s="12">
        <v>0.5</v>
      </c>
      <c r="G1234" s="101">
        <v>4400</v>
      </c>
      <c r="H1234" s="101">
        <f t="shared" si="465"/>
        <v>6600</v>
      </c>
      <c r="AF1234" s="141"/>
      <c r="AG1234" s="141"/>
      <c r="AH1234" s="137"/>
      <c r="AI1234" s="484"/>
      <c r="AJ1234" s="137">
        <f t="shared" ref="AJ1234" si="468">AJ1233+(S$3*S1234+T$3*T1234+U$3*U1234+V$3*V1234+W$3*W1234+X$3*X1234+Y$3*Y1234+Z$3*Z1234+AA$3*AA1234+AB$3*AB1234+AC$3*AC1234)</f>
        <v>0.35069444444444442</v>
      </c>
      <c r="AU1234" s="101">
        <v>0</v>
      </c>
      <c r="AV1234" s="101">
        <v>0</v>
      </c>
      <c r="AW1234" s="101">
        <v>0</v>
      </c>
      <c r="AX1234" s="101">
        <v>0</v>
      </c>
      <c r="AY1234" s="100">
        <v>2200</v>
      </c>
      <c r="CS1234" s="524"/>
    </row>
    <row r="1235" spans="1:108" ht="15" customHeight="1">
      <c r="B1235" s="524" t="s">
        <v>143</v>
      </c>
      <c r="C1235" s="127" t="s">
        <v>466</v>
      </c>
      <c r="D1235" s="144" t="s">
        <v>1955</v>
      </c>
      <c r="E1235" s="524">
        <v>31</v>
      </c>
      <c r="F1235" s="12">
        <v>0.5</v>
      </c>
      <c r="G1235" s="101">
        <v>1100</v>
      </c>
      <c r="H1235" s="101">
        <f t="shared" si="465"/>
        <v>1650</v>
      </c>
      <c r="AF1235" s="141"/>
      <c r="AG1235" s="141"/>
      <c r="AH1235" s="137"/>
      <c r="AI1235" s="484"/>
      <c r="AJ1235" s="137">
        <f t="shared" ref="AJ1235" si="469">AJ1234+(S$3*S1235+T$3*T1235+U$3*U1235+V$3*V1235+W$3*W1235+X$3*X1235+Y$3*Y1235+Z$3*Z1235+AA$3*AA1235+AB$3*AB1235+AC$3*AC1235)</f>
        <v>0.35069444444444442</v>
      </c>
      <c r="AU1235" s="101">
        <v>550</v>
      </c>
      <c r="AV1235" s="101">
        <v>550</v>
      </c>
      <c r="AW1235" s="101">
        <v>550</v>
      </c>
      <c r="AX1235" s="101">
        <v>550</v>
      </c>
      <c r="AY1235" s="100">
        <v>0</v>
      </c>
      <c r="CS1235" s="524"/>
    </row>
    <row r="1236" spans="1:108" ht="15" customHeight="1">
      <c r="B1236" s="524" t="s">
        <v>143</v>
      </c>
      <c r="C1236" s="127" t="s">
        <v>466</v>
      </c>
      <c r="D1236" s="144" t="s">
        <v>1955</v>
      </c>
      <c r="E1236" s="524">
        <v>31</v>
      </c>
      <c r="F1236" s="12">
        <v>0.5</v>
      </c>
      <c r="G1236" s="101">
        <v>1100</v>
      </c>
      <c r="H1236" s="101">
        <f t="shared" si="465"/>
        <v>1650</v>
      </c>
      <c r="AF1236" s="141"/>
      <c r="AG1236" s="141"/>
      <c r="AH1236" s="137"/>
      <c r="AI1236" s="484"/>
      <c r="AJ1236" s="137">
        <f t="shared" ref="AJ1236:AJ1238" si="470">AJ1235+(S$3*S1236+T$3*T1236+U$3*U1236+V$3*V1236+W$3*W1236+X$3*X1236+Y$3*Y1236+Z$3*Z1236+AA$3*AA1236+AB$3*AB1236+AC$3*AC1236)</f>
        <v>0.35069444444444442</v>
      </c>
      <c r="AU1236" s="101">
        <v>550</v>
      </c>
      <c r="AV1236" s="101">
        <v>550</v>
      </c>
      <c r="AW1236" s="101">
        <v>550</v>
      </c>
      <c r="AX1236" s="101">
        <v>550</v>
      </c>
      <c r="AY1236" s="100">
        <v>0</v>
      </c>
      <c r="CS1236" s="524"/>
    </row>
    <row r="1237" spans="1:108" ht="15" customHeight="1">
      <c r="B1237" s="524" t="s">
        <v>143</v>
      </c>
      <c r="C1237" s="127" t="s">
        <v>466</v>
      </c>
      <c r="D1237" s="144" t="s">
        <v>1955</v>
      </c>
      <c r="E1237" s="524">
        <v>31</v>
      </c>
      <c r="F1237" s="12">
        <v>0.5</v>
      </c>
      <c r="G1237" s="101">
        <v>1100</v>
      </c>
      <c r="H1237" s="101">
        <f t="shared" si="465"/>
        <v>1650</v>
      </c>
      <c r="AF1237" s="141"/>
      <c r="AG1237" s="141"/>
      <c r="AH1237" s="137"/>
      <c r="AI1237" s="484"/>
      <c r="AJ1237" s="137">
        <f t="shared" si="470"/>
        <v>0.35069444444444442</v>
      </c>
      <c r="AU1237" s="101">
        <v>1100</v>
      </c>
      <c r="AV1237" s="101">
        <v>1100</v>
      </c>
      <c r="AW1237" s="101">
        <v>1100</v>
      </c>
      <c r="AX1237" s="101">
        <v>0</v>
      </c>
      <c r="AY1237" s="100">
        <v>0</v>
      </c>
      <c r="CS1237" s="524"/>
    </row>
    <row r="1238" spans="1:108" ht="15" customHeight="1">
      <c r="A1238" s="2"/>
      <c r="B1238" s="524" t="s">
        <v>195</v>
      </c>
      <c r="C1238" s="127" t="s">
        <v>468</v>
      </c>
      <c r="D1238" s="144" t="s">
        <v>1956</v>
      </c>
      <c r="E1238" s="524">
        <v>31</v>
      </c>
      <c r="F1238" s="12">
        <v>0.5</v>
      </c>
      <c r="G1238" s="211">
        <v>16500</v>
      </c>
      <c r="H1238" s="211">
        <f t="shared" ref="H1238" si="471">G1238*(1+F1238)</f>
        <v>24750</v>
      </c>
      <c r="AF1238" s="141"/>
      <c r="AG1238" s="141"/>
      <c r="AH1238" s="137"/>
      <c r="AI1238" s="484"/>
      <c r="AJ1238" s="137">
        <f t="shared" si="470"/>
        <v>0.35069444444444442</v>
      </c>
      <c r="AU1238" s="211">
        <v>0</v>
      </c>
      <c r="AV1238" s="213">
        <v>20625</v>
      </c>
      <c r="AW1238" s="213">
        <v>0</v>
      </c>
      <c r="AX1238" s="213">
        <v>0</v>
      </c>
      <c r="AY1238" s="160">
        <v>4125</v>
      </c>
      <c r="CL1238" s="211">
        <v>7500</v>
      </c>
      <c r="CM1238" s="160">
        <f>CL1238</f>
        <v>7500</v>
      </c>
      <c r="CS1238" s="524"/>
    </row>
    <row r="1239" spans="1:108" ht="15" customHeight="1">
      <c r="B1239" s="524" t="s">
        <v>145</v>
      </c>
      <c r="C1239" s="146" t="s">
        <v>151</v>
      </c>
      <c r="D1239" s="602">
        <v>1.7361111111111112E-2</v>
      </c>
      <c r="E1239" s="524">
        <v>31</v>
      </c>
      <c r="V1239" s="2">
        <v>1</v>
      </c>
      <c r="AF1239" s="141">
        <f>$S$3*$S1239+$T$3*$T1239+$U$3*$U1239+$V$3*$V1239+$W$3*$W1239+$X$3*$X1239+$Y$3*$Y1239+$Z$3*$Z1239+$AA$3*$AA1239+$AB$3*$AB1239+$AC$3*$AC1239</f>
        <v>6.9444444444444441E-3</v>
      </c>
      <c r="AG1239" s="141"/>
      <c r="AH1239" s="137"/>
      <c r="AI1239" s="484"/>
      <c r="AJ1239" s="137">
        <f>AJ1238+(S$3*S1239+T$3*T1239+U$3*U1239+V$3*V1239+W$3*W1239+X$3*X1239+Y$3*Y1239+Z$3*Z1239+AA$3*AA1239+AB$3*AB1239+AC$3*AC1239)</f>
        <v>0.35763888888888884</v>
      </c>
      <c r="AX1239" s="2">
        <v>10000</v>
      </c>
      <c r="CS1239" s="524"/>
    </row>
    <row r="1240" spans="1:108" ht="15" customHeight="1">
      <c r="B1240" s="604" t="s">
        <v>145</v>
      </c>
      <c r="C1240" s="146" t="s">
        <v>151</v>
      </c>
      <c r="D1240" s="602">
        <v>2.1527777777777781E-2</v>
      </c>
      <c r="E1240" s="604">
        <v>31</v>
      </c>
      <c r="AF1240" s="141"/>
      <c r="AG1240" s="141"/>
      <c r="AH1240" s="137"/>
      <c r="AI1240" s="484"/>
      <c r="AJ1240" s="137">
        <f>AJ1239+(S$3*S1240+T$3*T1240+U$3*U1240+V$3*V1240+W$3*W1240+X$3*X1240+Y$3*Y1240+Z$3*Z1240+AA$3*AA1240+AB$3*AB1240+AC$3*AC1240)</f>
        <v>0.35763888888888884</v>
      </c>
      <c r="AV1240" s="2">
        <v>10000</v>
      </c>
      <c r="CS1240" s="604"/>
    </row>
    <row r="1241" spans="1:108" ht="15" customHeight="1">
      <c r="B1241" s="604" t="s">
        <v>624</v>
      </c>
      <c r="C1241" s="127" t="s">
        <v>623</v>
      </c>
      <c r="D1241" s="144" t="s">
        <v>1422</v>
      </c>
      <c r="E1241" s="604">
        <v>31</v>
      </c>
      <c r="AF1241" s="141"/>
      <c r="AG1241" s="141"/>
      <c r="AH1241" s="137"/>
      <c r="AI1241" s="484"/>
      <c r="AJ1241" s="137">
        <f t="shared" ref="AJ1241:AJ1243" si="472">AJ1240+(S$3*S1241+T$3*T1241+U$3*U1241+V$3*V1241+W$3*W1241+X$3*X1241+Y$3*Y1241+Z$3*Z1241+AA$3*AA1241+AB$3*AB1241+AC$3*AC1241)</f>
        <v>0.35763888888888884</v>
      </c>
      <c r="AU1241" s="30">
        <v>0</v>
      </c>
      <c r="AV1241" s="30">
        <v>0</v>
      </c>
      <c r="AW1241" s="30">
        <v>0</v>
      </c>
      <c r="AX1241" s="30">
        <v>86059</v>
      </c>
      <c r="AY1241" s="31">
        <v>0</v>
      </c>
      <c r="CS1241" s="604"/>
    </row>
    <row r="1242" spans="1:108" ht="15" customHeight="1">
      <c r="A1242" s="2"/>
      <c r="B1242" s="604" t="s">
        <v>195</v>
      </c>
      <c r="C1242" s="127" t="s">
        <v>468</v>
      </c>
      <c r="D1242" s="144" t="s">
        <v>1957</v>
      </c>
      <c r="E1242" s="604">
        <v>31</v>
      </c>
      <c r="F1242" s="12">
        <v>0.5</v>
      </c>
      <c r="G1242" s="211">
        <v>16500</v>
      </c>
      <c r="H1242" s="211">
        <f t="shared" ref="H1242" si="473">G1242*(1+F1242)</f>
        <v>24750</v>
      </c>
      <c r="AF1242" s="141"/>
      <c r="AG1242" s="141"/>
      <c r="AH1242" s="137"/>
      <c r="AI1242" s="484"/>
      <c r="AJ1242" s="137">
        <f t="shared" si="472"/>
        <v>0.35763888888888884</v>
      </c>
      <c r="AU1242" s="211">
        <v>0</v>
      </c>
      <c r="AV1242" s="213">
        <v>41250</v>
      </c>
      <c r="AW1242" s="213">
        <v>0</v>
      </c>
      <c r="AX1242" s="213">
        <v>0</v>
      </c>
      <c r="AY1242" s="160">
        <v>8250</v>
      </c>
      <c r="CL1242" s="211">
        <v>7500</v>
      </c>
      <c r="CM1242" s="160">
        <f>CL1242</f>
        <v>7500</v>
      </c>
      <c r="CS1242" s="604"/>
    </row>
    <row r="1243" spans="1:108" ht="15" customHeight="1">
      <c r="B1243" s="113" t="s">
        <v>1483</v>
      </c>
      <c r="C1243" s="127" t="s">
        <v>159</v>
      </c>
      <c r="D1243" s="127">
        <v>1000</v>
      </c>
      <c r="E1243" s="604">
        <v>31</v>
      </c>
      <c r="G1243" s="7"/>
      <c r="H1243" s="7"/>
      <c r="J1243" s="114">
        <f>VLOOKUP($C1243,Troop!$B:$AK,(COLUMN(Troop_TrainingReward_Power)-COLUMN(Troop_Name)+1),FALSE)*$D1243</f>
        <v>8000</v>
      </c>
      <c r="AF1243" s="141"/>
      <c r="AG1243" s="141"/>
      <c r="AH1243" s="137"/>
      <c r="AI1243" s="484"/>
      <c r="AJ1243" s="137">
        <f t="shared" si="472"/>
        <v>0.35763888888888884</v>
      </c>
      <c r="AU1243" s="296">
        <f>VLOOKUP($C1243,Troop!$B:$P,(COLUMN(Troop_TrainingCost_Stone)-COLUMN(Troop_Name)+1),FALSE)*$D1243*(-1)</f>
        <v>-100000</v>
      </c>
      <c r="AV1243" s="296">
        <f>VLOOKUP($C1243,Troop!$B:$P,(COLUMN(Troop_TrainingCost_Wood)-COLUMN(Troop_Name)+1),FALSE)*$D1243*(-1)</f>
        <v>-100000</v>
      </c>
      <c r="AW1243" s="296">
        <f>VLOOKUP($C1243,Troop!$B:$P,(COLUMN(Troop_TrainingCost_Ore)-COLUMN(Troop_Name)+1),FALSE)*$D1243*(-1)</f>
        <v>0</v>
      </c>
      <c r="AX1243" s="296">
        <f>VLOOKUP($C1243,Troop!$B:$P,(COLUMN(Troop_TrainingCost_Food)-COLUMN(Troop_Name)+1),FALSE)*$D1243*(-1)</f>
        <v>-100000</v>
      </c>
      <c r="AY1243" s="114">
        <f>VLOOKUP($C1243,Troop!$B:$P,(COLUMN(Troop_TrainingCost_Silver)-COLUMN(Troop_Name)+1),FALSE)*$D1243*(-1)</f>
        <v>-5000</v>
      </c>
      <c r="CS1243" s="604"/>
      <c r="CT1243" s="128"/>
      <c r="CU1243" s="128"/>
      <c r="CV1243" s="128"/>
      <c r="CW1243" s="128"/>
      <c r="CX1243" s="128"/>
      <c r="CY1243" s="128"/>
      <c r="CZ1243" s="128"/>
      <c r="DA1243" s="128"/>
      <c r="DB1243" s="128"/>
      <c r="DC1243" s="128"/>
      <c r="DD1243" s="128"/>
    </row>
    <row r="1244" spans="1:108" ht="15" customHeight="1">
      <c r="B1244" s="609" t="s">
        <v>145</v>
      </c>
      <c r="C1244" s="127" t="s">
        <v>150</v>
      </c>
      <c r="D1244" s="144" t="s">
        <v>1967</v>
      </c>
      <c r="E1244" s="472">
        <v>31</v>
      </c>
      <c r="Z1244" s="11">
        <v>2</v>
      </c>
      <c r="AF1244" s="141">
        <f>$S$3*$S1244+$T$3*$T1244+$U$3*$U1244+$V$3*$V1244+$W$3*$W1244+$X$3*$X1244+$Y$3*$Y1244+$Z$3*$Z1244+$AA$3*$AA1244+$AB$3*$AB1244+$AC$3*$AC1244</f>
        <v>0.66666666666666663</v>
      </c>
      <c r="AJ1244" s="137">
        <f>AJ1243+(S$3*S1244+T$3*T1244+U$3*U1244+V$3*V1244+W$3*W1244+X$3*X1244+Y$3*Y1244+Z$3*Z1244+AA$3*AA1244+AB$3*AB1244+AC$3*AC1244)</f>
        <v>1.0243055555555554</v>
      </c>
    </row>
    <row r="1245" spans="1:108" ht="15" customHeight="1">
      <c r="B1245" s="624" t="s">
        <v>624</v>
      </c>
      <c r="C1245" s="127" t="s">
        <v>623</v>
      </c>
      <c r="D1245" s="144" t="s">
        <v>3</v>
      </c>
      <c r="E1245" s="624">
        <v>31</v>
      </c>
      <c r="AF1245" s="141"/>
      <c r="AG1245" s="141"/>
      <c r="AH1245" s="137"/>
      <c r="AI1245" s="484"/>
      <c r="AJ1245" s="137">
        <f t="shared" ref="AJ1245:AJ1248" si="474">AJ1244+(S$3*S1245+T$3*T1245+U$3*U1245+V$3*V1245+W$3*W1245+X$3*X1245+Y$3*Y1245+Z$3*Z1245+AA$3*AA1245+AB$3*AB1245+AC$3*AC1245)</f>
        <v>1.0243055555555554</v>
      </c>
      <c r="AU1245" s="30">
        <v>0</v>
      </c>
      <c r="AV1245" s="30">
        <v>0</v>
      </c>
      <c r="AW1245" s="30">
        <v>0</v>
      </c>
      <c r="AX1245" s="30">
        <v>86059</v>
      </c>
      <c r="AY1245" s="31">
        <v>0</v>
      </c>
      <c r="CS1245" s="624"/>
    </row>
    <row r="1246" spans="1:108" ht="15" customHeight="1">
      <c r="B1246" s="624" t="s">
        <v>148</v>
      </c>
      <c r="E1246" s="624">
        <v>31</v>
      </c>
      <c r="F1246" s="274"/>
      <c r="G1246" s="7"/>
      <c r="H1246" s="7"/>
      <c r="I1246" s="19"/>
      <c r="J1246" s="19"/>
      <c r="X1246" s="250">
        <v>1</v>
      </c>
      <c r="AF1246" s="141">
        <f>$S$3*$S1246+$T$3*$T1246+$U$3*$U1246+$V$3*$V1246+$W$3*$W1246+$X$3*$X1246+$Y$3*$Y1246+$Z$3*$Z1246+$AA$3*$AA1246+$AB$3*$AB1246+$AC$3*$AC1246</f>
        <v>4.1666666666666664E-2</v>
      </c>
      <c r="AJ1246" s="137">
        <f t="shared" si="474"/>
        <v>1.0659722222222221</v>
      </c>
      <c r="CS1246" s="624"/>
    </row>
    <row r="1247" spans="1:108" ht="15" customHeight="1">
      <c r="B1247" s="624" t="s">
        <v>624</v>
      </c>
      <c r="C1247" s="127" t="s">
        <v>1147</v>
      </c>
      <c r="D1247" s="144" t="s">
        <v>1861</v>
      </c>
      <c r="E1247" s="624">
        <v>31</v>
      </c>
      <c r="H1247" s="30">
        <v>9632</v>
      </c>
      <c r="J1247" s="31">
        <v>-61932</v>
      </c>
      <c r="AF1247" s="141"/>
      <c r="AG1247" s="141"/>
      <c r="AH1247" s="137"/>
      <c r="AI1247" s="484"/>
      <c r="AJ1247" s="137">
        <f t="shared" si="474"/>
        <v>1.0659722222222221</v>
      </c>
      <c r="AU1247" s="30">
        <v>0</v>
      </c>
      <c r="AV1247" s="30">
        <v>0</v>
      </c>
      <c r="AW1247" s="30">
        <v>0</v>
      </c>
      <c r="AX1247" s="30">
        <v>0</v>
      </c>
      <c r="AY1247" s="31">
        <v>-240000</v>
      </c>
      <c r="CS1247" s="624"/>
    </row>
    <row r="1248" spans="1:108" ht="15" customHeight="1">
      <c r="B1248" s="624" t="s">
        <v>195</v>
      </c>
      <c r="C1248" s="127" t="s">
        <v>1211</v>
      </c>
      <c r="D1248" s="144" t="s">
        <v>1927</v>
      </c>
      <c r="E1248" s="624">
        <v>31</v>
      </c>
      <c r="W1248" s="603">
        <v>1</v>
      </c>
      <c r="AF1248" s="141">
        <f>$S$3*$S1248+$T$3*$T1248+$U$3*$U1248+$V$3*$V1248+$W$3*$W1248+$X$3*$X1248+$Y$3*$Y1248+$Z$3*$Z1248+$AA$3*$AA1248+$AB$3*$AB1248+$AC$3*$AC1248</f>
        <v>1.0416666666666666E-2</v>
      </c>
      <c r="AJ1248" s="137">
        <f t="shared" si="474"/>
        <v>1.0763888888888888</v>
      </c>
      <c r="CS1248" s="624"/>
    </row>
    <row r="1249" spans="1:108" ht="15" customHeight="1">
      <c r="B1249" s="624" t="s">
        <v>195</v>
      </c>
      <c r="C1249" s="127" t="s">
        <v>1211</v>
      </c>
      <c r="D1249" s="144" t="s">
        <v>1970</v>
      </c>
      <c r="E1249" s="624">
        <v>31</v>
      </c>
      <c r="T1249" s="603">
        <v>1</v>
      </c>
      <c r="W1249" s="2"/>
      <c r="AF1249" s="141">
        <f>$S$3*$S1249+$T$3*$T1249+$U$3*$U1249+$V$3*$V1249+$W$3*$W1249+$X$3*$X1249+$Y$3*$Y1249+$Z$3*$Z1249+$AA$3*$AA1249+$AB$3*$AB1249+$AC$3*$AC1249</f>
        <v>2.0833333333333333E-3</v>
      </c>
      <c r="AJ1249" s="137">
        <f t="shared" ref="AJ1249:AJ1276" si="475">AJ1248+(S$3*S1249+T$3*T1249+U$3*U1249+V$3*V1249+W$3*W1249+X$3*X1249+Y$3*Y1249+Z$3*Z1249+AA$3*AA1249+AB$3*AB1249+AC$3*AC1249)</f>
        <v>1.0784722222222223</v>
      </c>
      <c r="CS1249" s="624"/>
    </row>
    <row r="1250" spans="1:108" ht="15" customHeight="1">
      <c r="B1250" s="624" t="s">
        <v>146</v>
      </c>
      <c r="C1250" s="127" t="s">
        <v>138</v>
      </c>
      <c r="D1250" s="144" t="s">
        <v>1971</v>
      </c>
      <c r="E1250" s="624">
        <v>31</v>
      </c>
      <c r="F1250" s="12">
        <v>0.5</v>
      </c>
      <c r="G1250" s="111">
        <f>VLOOKUP($D1250,Research!$C:$F,(COLUMN(Research_ResearchReward_HeroXP)-COLUMN(Research_Name_and_Level)+1),FALSE)</f>
        <v>60000</v>
      </c>
      <c r="H1250" s="111">
        <f t="shared" ref="H1250" si="476">G1250*(1+F1250)</f>
        <v>90000</v>
      </c>
      <c r="J1250" s="115">
        <f>VLOOKUP($D1250,Research!$C:$G,(COLUMN(Research_ResearchReward_Power)-COLUMN(Research_Name_and_Level)+1),FALSE)</f>
        <v>4600</v>
      </c>
      <c r="R1250" s="148">
        <v>1.0416666666666666E-2</v>
      </c>
      <c r="AF1250" s="141"/>
      <c r="AG1250" s="141"/>
      <c r="AH1250" s="137"/>
      <c r="AI1250" s="484"/>
      <c r="AJ1250" s="137">
        <f>AJ1249+(S$3*S1250+T$3*T1250+U$3*U1250+V$3*V1250+W$3*W1250+X$3*X1250+Y$3*Y1250+Z$3*Z1250+AA$3*AA1250+AB$3*AB1250+AC$3*AC1250)</f>
        <v>1.0784722222222223</v>
      </c>
      <c r="AK1250" s="605"/>
      <c r="AP1250" s="256">
        <v>0.51</v>
      </c>
      <c r="AQ1250" s="147">
        <f>VLOOKUP($D1250,Research!$C:$D,(COLUMN(Research_Time)-COLUMN(Research_Name_and_Level)+1),FALSE)</f>
        <v>0.75</v>
      </c>
      <c r="AR1250" s="147">
        <f>AQ1250/(1+AP1250)</f>
        <v>0.49668874172185429</v>
      </c>
      <c r="AS1250" s="147">
        <f>(S$3*S1250+T$3*T1250+V$3*V1250+W$3*W1250+X$3*X1250+Y$3*Y1250+Z$3*Z1250+AA$3*AA1250+AB$3*AB1250+AC$3*AC1250)*(-1)</f>
        <v>0</v>
      </c>
      <c r="AT1250" s="148">
        <f>IF(AR1250-R1250-AS1250&gt;=0,AR1250-R1250-AS1250,0)</f>
        <v>0.4862720750551876</v>
      </c>
      <c r="AU1250" s="111">
        <f>VLOOKUP($D1250,Research!$C:$L,(COLUMN(Research_ResearchCost_Stone)-COLUMN(Research_Name_and_Level)+1),FALSE)*(-1)</f>
        <v>-4800</v>
      </c>
      <c r="AV1250" s="111">
        <f>VLOOKUP($D1250,Research!$C:$L,(COLUMN(Research_ResearchCost_Wood)-COLUMN(Research_Name_and_Level)+1),FALSE)*(-1)</f>
        <v>-400</v>
      </c>
      <c r="AW1250" s="111">
        <f>VLOOKUP($D1250,Research!$C:$L,(COLUMN(Research_ResearchCost_Ore)-COLUMN(Research_Name_and_Level)+1),FALSE)*(-1)</f>
        <v>-6400</v>
      </c>
      <c r="AX1250" s="111">
        <f>VLOOKUP($D1250,Research!$C:$L,(COLUMN(Research_ResearchCost_Food)-COLUMN(Research_Name_and_Level)+1),FALSE)*(-1)</f>
        <v>-8000</v>
      </c>
      <c r="AY1250" s="112">
        <f>VLOOKUP($D1250,Research!$C:$L,(COLUMN(Research_ResearchCost_Silver)-COLUMN(Research_Name_and_Level)+1),FALSE)*(-1)</f>
        <v>-92000</v>
      </c>
      <c r="BK1250" s="7"/>
      <c r="BL1250" s="19"/>
      <c r="CS1250" s="624"/>
    </row>
    <row r="1251" spans="1:108" ht="15" customHeight="1">
      <c r="B1251" s="624" t="s">
        <v>144</v>
      </c>
      <c r="C1251" s="127" t="s">
        <v>138</v>
      </c>
      <c r="D1251" s="144" t="s">
        <v>1308</v>
      </c>
      <c r="E1251" s="624">
        <v>31</v>
      </c>
      <c r="F1251" s="12">
        <v>0.5</v>
      </c>
      <c r="G1251" s="94">
        <f>VLOOKUP($D1251,Construction!$B:$E,(COLUMN(Construction_BuildingReward_HeroXP)-COLUMN(Construction_Name_and_Level)+1),FALSE)</f>
        <v>500</v>
      </c>
      <c r="H1251" s="94">
        <f>G1251*(1+F1251)</f>
        <v>750</v>
      </c>
      <c r="J1251" s="95">
        <f>VLOOKUP($D1251,Construction!$B:$F,(COLUMN(Construction_BuildingReward_Power)-COLUMN(Construction_Name_and_Level)+1),FALSE)</f>
        <v>430</v>
      </c>
      <c r="Q1251" s="139">
        <v>3.472222222222222E-3</v>
      </c>
      <c r="R1251" s="289">
        <v>1.0416666666666666E-2</v>
      </c>
      <c r="AF1251" s="141"/>
      <c r="AG1251" s="141"/>
      <c r="AH1251" s="137"/>
      <c r="AI1251" s="484"/>
      <c r="AJ1251" s="137">
        <f t="shared" si="475"/>
        <v>1.0784722222222223</v>
      </c>
      <c r="AK1251" s="339">
        <v>0.625</v>
      </c>
      <c r="AL1251" s="138">
        <f>VLOOKUP($D1251,Construction!$B:$C,(COLUMN(Construction_Time)-COLUMN(Construction_Name_and_Level)+1),FALSE)</f>
        <v>0.35555555555555557</v>
      </c>
      <c r="AM1251" s="138">
        <f t="shared" ref="AM1251" si="477">AL1251/(1+AK1251)</f>
        <v>0.2188034188034188</v>
      </c>
      <c r="AN1251" s="138">
        <f>(S$3*S1251+T$3*T1251+V$3*V1251+W$3*W1251+X$3*X1251+Y$3*Y1251+Z$3*Z1251+AA$3*AA1251+AB$3*AB1251+AC$3*AC1251)*(-1)</f>
        <v>0</v>
      </c>
      <c r="AO1251" s="139">
        <f>IF((AM1251-Q1251-R1251-AN1251)&gt;=0,AM1251-Q1251-R1251-AN1251,0)</f>
        <v>0.20491452991452994</v>
      </c>
      <c r="AU1251" s="94">
        <f>VLOOKUP($D1251,Construction!$B:$J,(COLUMN(Construction_BuildingCost_Stone)-COLUMN(Construction_Name_and_Level)+1),FALSE)*(-1)</f>
        <v>-30132</v>
      </c>
      <c r="AV1251" s="94">
        <f>VLOOKUP($D1251,Construction!$B:$J,(COLUMN(Construction_BuildingCost_Wood)-COLUMN(Construction_Name_and_Level)+1),FALSE)*(-1)</f>
        <v>-30132</v>
      </c>
      <c r="AW1251" s="94">
        <f>VLOOKUP($D1251,Construction!$B:$J,(COLUMN(Construction_BuildingCost_Ore)-COLUMN(Construction_Name_and_Level)+1),FALSE)*(-1)</f>
        <v>-30132</v>
      </c>
      <c r="AX1251" s="94">
        <f>VLOOKUP($D1251,Construction!$B:$J,(COLUMN(Construction_BuildingCost_Food)-COLUMN(Construction_Name_and_Level)+1),FALSE)*(-1)</f>
        <v>0</v>
      </c>
      <c r="CS1251" s="624"/>
    </row>
    <row r="1252" spans="1:108" ht="15" customHeight="1">
      <c r="A1252" s="2"/>
      <c r="B1252" s="624" t="s">
        <v>195</v>
      </c>
      <c r="C1252" s="127" t="s">
        <v>468</v>
      </c>
      <c r="D1252" s="144" t="s">
        <v>1972</v>
      </c>
      <c r="E1252" s="624">
        <v>31</v>
      </c>
      <c r="F1252" s="12">
        <v>0.5</v>
      </c>
      <c r="G1252" s="211">
        <v>16500</v>
      </c>
      <c r="H1252" s="211">
        <f t="shared" ref="H1252:H1253" si="478">G1252*(1+F1252)</f>
        <v>24750</v>
      </c>
      <c r="AF1252" s="141"/>
      <c r="AG1252" s="141"/>
      <c r="AH1252" s="137"/>
      <c r="AI1252" s="484"/>
      <c r="AJ1252" s="137">
        <f t="shared" si="475"/>
        <v>1.0784722222222223</v>
      </c>
      <c r="AU1252" s="211">
        <v>0</v>
      </c>
      <c r="AV1252" s="213">
        <v>41250</v>
      </c>
      <c r="AW1252" s="213">
        <v>0</v>
      </c>
      <c r="AX1252" s="213">
        <v>0</v>
      </c>
      <c r="AY1252" s="160">
        <v>8250</v>
      </c>
      <c r="CL1252" s="211">
        <v>7500</v>
      </c>
      <c r="CM1252" s="160">
        <f>CL1252</f>
        <v>7500</v>
      </c>
      <c r="CS1252" s="624"/>
    </row>
    <row r="1253" spans="1:108" ht="15" customHeight="1">
      <c r="B1253" s="624" t="s">
        <v>143</v>
      </c>
      <c r="C1253" s="127" t="s">
        <v>466</v>
      </c>
      <c r="D1253" s="144" t="s">
        <v>1973</v>
      </c>
      <c r="E1253" s="624">
        <v>31</v>
      </c>
      <c r="F1253" s="12">
        <v>0.5</v>
      </c>
      <c r="G1253" s="101">
        <v>4400</v>
      </c>
      <c r="H1253" s="101">
        <f t="shared" si="478"/>
        <v>6600</v>
      </c>
      <c r="AF1253" s="141"/>
      <c r="AG1253" s="141"/>
      <c r="AH1253" s="137"/>
      <c r="AI1253" s="484"/>
      <c r="AJ1253" s="137">
        <f t="shared" si="475"/>
        <v>1.0784722222222223</v>
      </c>
      <c r="AU1253" s="101">
        <v>0</v>
      </c>
      <c r="AV1253" s="101">
        <v>0</v>
      </c>
      <c r="AW1253" s="101">
        <v>5500</v>
      </c>
      <c r="AX1253" s="101">
        <v>0</v>
      </c>
      <c r="AY1253" s="100">
        <v>1100</v>
      </c>
      <c r="CS1253" s="624"/>
    </row>
    <row r="1254" spans="1:108" ht="15" customHeight="1">
      <c r="B1254" s="113" t="s">
        <v>1198</v>
      </c>
      <c r="C1254" s="127" t="s">
        <v>771</v>
      </c>
      <c r="D1254" s="127">
        <v>884</v>
      </c>
      <c r="E1254" s="624">
        <v>31</v>
      </c>
      <c r="G1254" s="7"/>
      <c r="H1254" s="7"/>
      <c r="J1254" s="114">
        <f>VLOOKUP($C1254,Troop!$B:$AK,(COLUMN(Troop_TrainingReward_Power)-COLUMN(Troop_Name)+1),FALSE)*$D1254</f>
        <v>1768</v>
      </c>
      <c r="AF1254" s="141"/>
      <c r="AG1254" s="141"/>
      <c r="AH1254" s="137"/>
      <c r="AI1254" s="484"/>
      <c r="AJ1254" s="137">
        <f t="shared" si="475"/>
        <v>1.0784722222222223</v>
      </c>
      <c r="AU1254" s="296">
        <f>VLOOKUP($C1254,Troop!$B:$P,(COLUMN(Troop_TrainingCost_Stone)-COLUMN(Troop_Name)+1),FALSE)*$D1254*(-1)</f>
        <v>-88400</v>
      </c>
      <c r="AV1254" s="296">
        <f>VLOOKUP($C1254,Troop!$B:$P,(COLUMN(Troop_TrainingCost_Wood)-COLUMN(Troop_Name)+1),FALSE)*$D1254*(-1)</f>
        <v>0</v>
      </c>
      <c r="AW1254" s="296">
        <f>VLOOKUP($C1254,Troop!$B:$P,(COLUMN(Troop_TrainingCost_Ore)-COLUMN(Troop_Name)+1),FALSE)*$D1254*(-1)</f>
        <v>-66300</v>
      </c>
      <c r="AX1254" s="296">
        <f>VLOOKUP($C1254,Troop!$B:$P,(COLUMN(Troop_TrainingCost_Food)-COLUMN(Troop_Name)+1),FALSE)*$D1254*(-1)</f>
        <v>-88400</v>
      </c>
      <c r="AY1254" s="114">
        <f>VLOOKUP($C1254,Troop!$B:$P,(COLUMN(Troop_TrainingCost_Silver)-COLUMN(Troop_Name)+1),FALSE)*$D1254*(-1)</f>
        <v>0</v>
      </c>
      <c r="CS1254" s="624"/>
      <c r="CT1254" s="128"/>
      <c r="CU1254" s="128"/>
      <c r="CV1254" s="128"/>
      <c r="CW1254" s="128"/>
      <c r="CX1254" s="128"/>
      <c r="CY1254" s="128"/>
      <c r="CZ1254" s="128"/>
      <c r="DA1254" s="128"/>
      <c r="DB1254" s="128"/>
      <c r="DC1254" s="128"/>
      <c r="DD1254" s="128"/>
    </row>
    <row r="1255" spans="1:108" ht="15" customHeight="1">
      <c r="B1255" s="624" t="s">
        <v>624</v>
      </c>
      <c r="C1255" s="127" t="s">
        <v>623</v>
      </c>
      <c r="D1255" s="144" t="s">
        <v>3</v>
      </c>
      <c r="E1255" s="624">
        <v>31</v>
      </c>
      <c r="AF1255" s="141"/>
      <c r="AG1255" s="141"/>
      <c r="AH1255" s="137"/>
      <c r="AI1255" s="484"/>
      <c r="AJ1255" s="137">
        <f t="shared" si="475"/>
        <v>1.0784722222222223</v>
      </c>
      <c r="AU1255" s="30">
        <v>0</v>
      </c>
      <c r="AV1255" s="30">
        <v>0</v>
      </c>
      <c r="AW1255" s="30">
        <v>0</v>
      </c>
      <c r="AX1255" s="30">
        <v>18925</v>
      </c>
      <c r="AY1255" s="31">
        <v>0</v>
      </c>
      <c r="CS1255" s="624"/>
    </row>
    <row r="1256" spans="1:108" ht="15" customHeight="1">
      <c r="A1256" s="2"/>
      <c r="B1256" s="624" t="s">
        <v>195</v>
      </c>
      <c r="C1256" s="127" t="s">
        <v>468</v>
      </c>
      <c r="D1256" s="144" t="s">
        <v>1974</v>
      </c>
      <c r="E1256" s="624">
        <v>31</v>
      </c>
      <c r="F1256" s="12">
        <v>0.5</v>
      </c>
      <c r="G1256" s="211">
        <v>4400</v>
      </c>
      <c r="H1256" s="211">
        <f t="shared" ref="H1256" si="479">G1256*(1+F1256)</f>
        <v>6600</v>
      </c>
      <c r="AF1256" s="141"/>
      <c r="AG1256" s="141"/>
      <c r="AH1256" s="137"/>
      <c r="AI1256" s="484"/>
      <c r="AJ1256" s="137">
        <f t="shared" si="475"/>
        <v>1.0784722222222223</v>
      </c>
      <c r="AU1256" s="211">
        <v>0</v>
      </c>
      <c r="AV1256" s="213">
        <v>5500</v>
      </c>
      <c r="AW1256" s="213">
        <v>0</v>
      </c>
      <c r="AX1256" s="213">
        <v>5500</v>
      </c>
      <c r="AY1256" s="160">
        <v>0</v>
      </c>
      <c r="CL1256" s="211">
        <v>2000</v>
      </c>
      <c r="CM1256" s="160">
        <f>CL1256</f>
        <v>2000</v>
      </c>
      <c r="CS1256" s="624"/>
    </row>
    <row r="1257" spans="1:108" ht="15" customHeight="1">
      <c r="B1257" s="624" t="s">
        <v>144</v>
      </c>
      <c r="C1257" s="127" t="s">
        <v>138</v>
      </c>
      <c r="D1257" s="144" t="s">
        <v>1308</v>
      </c>
      <c r="E1257" s="624">
        <v>31</v>
      </c>
      <c r="F1257" s="12">
        <v>0.5</v>
      </c>
      <c r="G1257" s="94">
        <f>VLOOKUP($D1257,Construction!$B:$E,(COLUMN(Construction_BuildingReward_HeroXP)-COLUMN(Construction_Name_and_Level)+1),FALSE)</f>
        <v>500</v>
      </c>
      <c r="H1257" s="94">
        <f>G1257*(1+F1257)</f>
        <v>750</v>
      </c>
      <c r="J1257" s="95">
        <f>VLOOKUP($D1257,Construction!$B:$F,(COLUMN(Construction_BuildingReward_Power)-COLUMN(Construction_Name_and_Level)+1),FALSE)</f>
        <v>430</v>
      </c>
      <c r="Q1257" s="139">
        <v>3.472222222222222E-3</v>
      </c>
      <c r="R1257" s="289">
        <v>1.0416666666666666E-2</v>
      </c>
      <c r="T1257" s="2">
        <v>-1</v>
      </c>
      <c r="V1257" s="2">
        <v>-1</v>
      </c>
      <c r="AF1257" s="141"/>
      <c r="AG1257" s="141"/>
      <c r="AH1257" s="137"/>
      <c r="AI1257" s="484">
        <f>(-1)*($S$3*$S1257+$T$3*$T1257+$U$3*$U1257+$V$3*$V1257+$W$3*$W1257+$X$3*$X1257+$Y$3*$Y1257+$Z$3*$Z1257+$AA$3*$AA1257+$AB$3*$AB1257+$AC$3*$AC1257)</f>
        <v>9.0277777777777769E-3</v>
      </c>
      <c r="AJ1257" s="137">
        <f t="shared" si="475"/>
        <v>1.0694444444444444</v>
      </c>
      <c r="AK1257" s="339">
        <v>0.625</v>
      </c>
      <c r="AL1257" s="138">
        <f>VLOOKUP($D1257,Construction!$B:$C,(COLUMN(Construction_Time)-COLUMN(Construction_Name_and_Level)+1),FALSE)</f>
        <v>0.35555555555555557</v>
      </c>
      <c r="AM1257" s="138">
        <f t="shared" ref="AM1257" si="480">AL1257/(1+AK1257)</f>
        <v>0.2188034188034188</v>
      </c>
      <c r="AN1257" s="138">
        <f>(S$3*S1257+T$3*T1257+V$3*V1257+W$3*W1257+X$3*X1257+Y$3*Y1257+Z$3*Z1257+AA$3*AA1257+AB$3*AB1257+AC$3*AC1257)*(-1)</f>
        <v>9.0277777777777769E-3</v>
      </c>
      <c r="AO1257" s="139">
        <f>IF((AM1257-Q1257-R1257-AN1257)&gt;=0,AM1257-Q1257-R1257-AN1257,0)</f>
        <v>0.19588675213675216</v>
      </c>
      <c r="AU1257" s="94">
        <f>VLOOKUP($D1257,Construction!$B:$J,(COLUMN(Construction_BuildingCost_Stone)-COLUMN(Construction_Name_and_Level)+1),FALSE)*(-1)</f>
        <v>-30132</v>
      </c>
      <c r="AV1257" s="94">
        <f>VLOOKUP($D1257,Construction!$B:$J,(COLUMN(Construction_BuildingCost_Wood)-COLUMN(Construction_Name_and_Level)+1),FALSE)*(-1)</f>
        <v>-30132</v>
      </c>
      <c r="AW1257" s="94">
        <f>VLOOKUP($D1257,Construction!$B:$J,(COLUMN(Construction_BuildingCost_Ore)-COLUMN(Construction_Name_and_Level)+1),FALSE)*(-1)</f>
        <v>-30132</v>
      </c>
      <c r="AX1257" s="94">
        <f>VLOOKUP($D1257,Construction!$B:$J,(COLUMN(Construction_BuildingCost_Food)-COLUMN(Construction_Name_and_Level)+1),FALSE)*(-1)</f>
        <v>0</v>
      </c>
      <c r="CS1257" s="624"/>
    </row>
    <row r="1258" spans="1:108" ht="15" customHeight="1">
      <c r="B1258" s="624" t="s">
        <v>146</v>
      </c>
      <c r="C1258" s="127" t="s">
        <v>138</v>
      </c>
      <c r="D1258" s="144" t="s">
        <v>1987</v>
      </c>
      <c r="E1258" s="624">
        <v>31</v>
      </c>
      <c r="F1258" s="12">
        <v>0.5</v>
      </c>
      <c r="G1258" s="111">
        <f>VLOOKUP($D1258,Research!$C:$F,(COLUMN(Research_ResearchReward_HeroXP)-COLUMN(Research_Name_and_Level)+1),FALSE)</f>
        <v>25000</v>
      </c>
      <c r="H1258" s="111">
        <f t="shared" ref="H1258:H1259" si="481">G1258*(1+F1258)</f>
        <v>37500</v>
      </c>
      <c r="J1258" s="115">
        <f>VLOOKUP($D1258,Research!$C:$G,(COLUMN(Research_ResearchReward_Power)-COLUMN(Research_Name_and_Level)+1),FALSE)</f>
        <v>1000</v>
      </c>
      <c r="R1258" s="148">
        <v>1.0416666666666666E-2</v>
      </c>
      <c r="AF1258" s="141"/>
      <c r="AG1258" s="141"/>
      <c r="AH1258" s="137"/>
      <c r="AI1258" s="484"/>
      <c r="AJ1258" s="137">
        <f t="shared" si="475"/>
        <v>1.0694444444444444</v>
      </c>
      <c r="AK1258" s="605"/>
      <c r="AP1258" s="256">
        <v>0.51</v>
      </c>
      <c r="AQ1258" s="147">
        <f>VLOOKUP($D1258,Research!$C:$D,(COLUMN(Research_Time)-COLUMN(Research_Name_and_Level)+1),FALSE)</f>
        <v>8.3333333333333329E-2</v>
      </c>
      <c r="AR1258" s="147">
        <f>AQ1258/(1+AP1258)</f>
        <v>5.518763796909492E-2</v>
      </c>
      <c r="AS1258" s="147">
        <f>(S$3*S1258+T$3*T1258+V$3*V1258+W$3*W1258+X$3*X1258+Y$3*Y1258+Z$3*Z1258+AA$3*AA1258+AB$3*AB1258+AC$3*AC1258)*(-1)</f>
        <v>0</v>
      </c>
      <c r="AT1258" s="148">
        <f>IF(AR1258-R1258-AS1258&gt;=0,AR1258-R1258-AS1258,0)</f>
        <v>4.4770971302428256E-2</v>
      </c>
      <c r="AU1258" s="111">
        <f>VLOOKUP($D1258,Research!$C:$L,(COLUMN(Research_ResearchCost_Stone)-COLUMN(Research_Name_and_Level)+1),FALSE)*(-1)</f>
        <v>-10000</v>
      </c>
      <c r="AV1258" s="111">
        <f>VLOOKUP($D1258,Research!$C:$L,(COLUMN(Research_ResearchCost_Wood)-COLUMN(Research_Name_and_Level)+1),FALSE)*(-1)</f>
        <v>-10000</v>
      </c>
      <c r="AW1258" s="111">
        <f>VLOOKUP($D1258,Research!$C:$L,(COLUMN(Research_ResearchCost_Ore)-COLUMN(Research_Name_and_Level)+1),FALSE)*(-1)</f>
        <v>-7500</v>
      </c>
      <c r="AX1258" s="111">
        <f>VLOOKUP($D1258,Research!$C:$L,(COLUMN(Research_ResearchCost_Food)-COLUMN(Research_Name_and_Level)+1),FALSE)*(-1)</f>
        <v>-10000</v>
      </c>
      <c r="AY1258" s="112">
        <f>VLOOKUP($D1258,Research!$C:$L,(COLUMN(Research_ResearchCost_Silver)-COLUMN(Research_Name_and_Level)+1),FALSE)*(-1)</f>
        <v>-20000</v>
      </c>
      <c r="BK1258" s="7"/>
      <c r="BL1258" s="19"/>
      <c r="CS1258" s="624"/>
    </row>
    <row r="1259" spans="1:108" ht="15" customHeight="1">
      <c r="B1259" s="102" t="s">
        <v>1194</v>
      </c>
      <c r="C1259" s="127" t="s">
        <v>170</v>
      </c>
      <c r="D1259" s="144" t="s">
        <v>1987</v>
      </c>
      <c r="E1259" s="624">
        <v>31</v>
      </c>
      <c r="F1259" s="12">
        <v>0.5</v>
      </c>
      <c r="G1259" s="101">
        <f>VLOOKUP($D1259,Research!$C:$M,(COLUMN(Research_QuestReward_HeroXP)-COLUMN(Research_Name_and_Level)+1),FALSE)</f>
        <v>20000</v>
      </c>
      <c r="H1259" s="101">
        <f t="shared" si="481"/>
        <v>30000</v>
      </c>
      <c r="J1259" s="103">
        <f>VLOOKUP($D1259,Research!$C:$N,(COLUMN(Research_QuestReward_Power)-COLUMN(Research_Name_and_Level)+1),FALSE)</f>
        <v>30</v>
      </c>
      <c r="AF1259" s="141"/>
      <c r="AG1259" s="141"/>
      <c r="AH1259" s="137"/>
      <c r="AI1259" s="484"/>
      <c r="AJ1259" s="137">
        <f t="shared" si="475"/>
        <v>1.0694444444444444</v>
      </c>
      <c r="AU1259" s="101">
        <f>VLOOKUP($D1259,Research!$C:$S,(COLUMN(Research_QuestReward_Stone)-COLUMN(Research_Name_and_Level)+1),FALSE)</f>
        <v>16000</v>
      </c>
      <c r="AV1259" s="101">
        <f>VLOOKUP($D1259,Research!$C:$S,(COLUMN(Research_QuestReward_Wood)-COLUMN(Research_Name_and_Level)+1),FALSE)</f>
        <v>16000</v>
      </c>
      <c r="AW1259" s="101">
        <f>VLOOKUP($D1259,Research!$C:$S,(COLUMN(Research_QuestReward_Ore)-COLUMN(Research_Name_and_Level)+1),FALSE)</f>
        <v>16000</v>
      </c>
      <c r="AX1259" s="101">
        <f>VLOOKUP($D1259,Research!$C:$S,(COLUMN(Research_QuestReward_Food)-COLUMN(Research_Name_and_Level)+1),FALSE)</f>
        <v>16000</v>
      </c>
      <c r="AY1259" s="100">
        <f>VLOOKUP($D1259,Research!$C:$S,(COLUMN(Research_QuestReward_Silver)-COLUMN(Research_Name_and_Level)+1),FALSE)</f>
        <v>12000</v>
      </c>
      <c r="CS1259" s="624"/>
      <c r="CT1259" s="127"/>
      <c r="CU1259" s="127"/>
      <c r="CV1259" s="127"/>
      <c r="CW1259" s="127"/>
      <c r="CX1259" s="127"/>
      <c r="CY1259" s="127"/>
      <c r="CZ1259" s="127"/>
      <c r="DA1259" s="127"/>
      <c r="DB1259" s="127"/>
      <c r="DC1259" s="127"/>
      <c r="DD1259" s="127"/>
    </row>
    <row r="1260" spans="1:108" ht="15" customHeight="1">
      <c r="B1260" s="624" t="s">
        <v>143</v>
      </c>
      <c r="C1260" s="127" t="s">
        <v>142</v>
      </c>
      <c r="D1260" s="144" t="s">
        <v>1944</v>
      </c>
      <c r="E1260" s="624">
        <v>31</v>
      </c>
      <c r="F1260" s="12">
        <v>0.5</v>
      </c>
      <c r="G1260" s="101">
        <f>VLOOKUP($D1260,Construction!$B:$L,(COLUMN(Construction_QuestReward_HeroXP)-COLUMN(Construction_Name_and_Level)+1),FALSE)</f>
        <v>60000</v>
      </c>
      <c r="H1260" s="101">
        <f>G1260*(1+F1260)</f>
        <v>90000</v>
      </c>
      <c r="J1260" s="100">
        <f>VLOOKUP($D1260,Construction!$B:$L,(COLUMN(Construction_QuestReward_Power)-COLUMN(Construction_Name_and_Level)+1),FALSE)</f>
        <v>1000</v>
      </c>
      <c r="AF1260" s="141"/>
      <c r="AG1260" s="141"/>
      <c r="AH1260" s="137"/>
      <c r="AI1260" s="484"/>
      <c r="AJ1260" s="137">
        <f t="shared" si="475"/>
        <v>1.0694444444444444</v>
      </c>
      <c r="AU1260" s="101">
        <f>VLOOKUP($D1260,Construction!$B:$Q,(COLUMN(Construction_QuestReward_Stone)-COLUMN(Construction_Name_and_Level)+1),FALSE)</f>
        <v>27340</v>
      </c>
      <c r="AV1260" s="101">
        <f>VLOOKUP($D1260,Construction!$B:$Q,(COLUMN(Construction_QuestReward_Wood)-COLUMN(Construction_Name_and_Level)+1),FALSE)</f>
        <v>21881</v>
      </c>
      <c r="AW1260" s="101">
        <f>VLOOKUP($D1260,Construction!$B:$Q,(COLUMN(Construction_QuestReward_Ore)-COLUMN(Construction_Name_and_Level)+1),FALSE)</f>
        <v>16402</v>
      </c>
      <c r="AX1260" s="101">
        <f>VLOOKUP($D1260,Construction!$B:$Q,(COLUMN(Construction_QuestReward_Food)-COLUMN(Construction_Name_and_Level)+1),FALSE)</f>
        <v>13686</v>
      </c>
      <c r="AY1260" s="100">
        <f>VLOOKUP($D1260,Construction!$B:$Q,(COLUMN(Construction_QuestReward_Silver)-COLUMN(Construction_Name_and_Level)+1),FALSE)</f>
        <v>225</v>
      </c>
      <c r="CS1260" s="624"/>
    </row>
    <row r="1261" spans="1:108" ht="15" customHeight="1">
      <c r="B1261" s="102" t="s">
        <v>1194</v>
      </c>
      <c r="C1261" s="127" t="s">
        <v>170</v>
      </c>
      <c r="D1261" s="144" t="s">
        <v>1907</v>
      </c>
      <c r="E1261" s="624">
        <v>31</v>
      </c>
      <c r="F1261" s="12">
        <v>0.5</v>
      </c>
      <c r="G1261" s="101">
        <f>VLOOKUP($D1261,Research!$C:$M,(COLUMN(Research_QuestReward_HeroXP)-COLUMN(Research_Name_and_Level)+1),FALSE)</f>
        <v>174000</v>
      </c>
      <c r="H1261" s="101">
        <f t="shared" ref="H1261" si="482">G1261*(1+F1261)</f>
        <v>261000</v>
      </c>
      <c r="J1261" s="103">
        <f>VLOOKUP($D1261,Research!$C:$N,(COLUMN(Research_QuestReward_Power)-COLUMN(Research_Name_and_Level)+1),FALSE)</f>
        <v>1650</v>
      </c>
      <c r="AF1261" s="141"/>
      <c r="AG1261" s="141"/>
      <c r="AH1261" s="137"/>
      <c r="AI1261" s="484"/>
      <c r="AJ1261" s="137">
        <f t="shared" si="475"/>
        <v>1.0694444444444444</v>
      </c>
      <c r="AU1261" s="101">
        <f>VLOOKUP($D1261,Research!$C:$S,(COLUMN(Research_QuestReward_Stone)-COLUMN(Research_Name_and_Level)+1),FALSE)</f>
        <v>213000</v>
      </c>
      <c r="AV1261" s="101">
        <f>VLOOKUP($D1261,Research!$C:$S,(COLUMN(Research_QuestReward_Wood)-COLUMN(Research_Name_and_Level)+1),FALSE)</f>
        <v>213000</v>
      </c>
      <c r="AW1261" s="101">
        <f>VLOOKUP($D1261,Research!$C:$S,(COLUMN(Research_QuestReward_Ore)-COLUMN(Research_Name_and_Level)+1),FALSE)</f>
        <v>213000</v>
      </c>
      <c r="AX1261" s="101">
        <f>VLOOKUP($D1261,Research!$C:$S,(COLUMN(Research_QuestReward_Food)-COLUMN(Research_Name_and_Level)+1),FALSE)</f>
        <v>213000</v>
      </c>
      <c r="AY1261" s="100">
        <f>VLOOKUP($D1261,Research!$C:$S,(COLUMN(Research_QuestReward_Silver)-COLUMN(Research_Name_and_Level)+1),FALSE)</f>
        <v>106500</v>
      </c>
      <c r="CS1261" s="624"/>
      <c r="CT1261" s="127"/>
      <c r="CU1261" s="127"/>
      <c r="CV1261" s="127"/>
      <c r="CW1261" s="127"/>
      <c r="CX1261" s="127"/>
      <c r="CY1261" s="127"/>
      <c r="CZ1261" s="127"/>
      <c r="DA1261" s="127"/>
      <c r="DB1261" s="127"/>
      <c r="DC1261" s="127"/>
      <c r="DD1261" s="127"/>
    </row>
    <row r="1262" spans="1:108" ht="15" customHeight="1">
      <c r="B1262" s="102" t="s">
        <v>1194</v>
      </c>
      <c r="C1262" s="127" t="s">
        <v>170</v>
      </c>
      <c r="D1262" s="144" t="s">
        <v>1971</v>
      </c>
      <c r="E1262" s="624">
        <v>31</v>
      </c>
      <c r="F1262" s="12">
        <v>0.5</v>
      </c>
      <c r="G1262" s="101">
        <f>VLOOKUP($D1262,Research!$C:$M,(COLUMN(Research_QuestReward_HeroXP)-COLUMN(Research_Name_and_Level)+1),FALSE)</f>
        <v>34000</v>
      </c>
      <c r="H1262" s="101">
        <f t="shared" ref="H1262" si="483">G1262*(1+F1262)</f>
        <v>51000</v>
      </c>
      <c r="J1262" s="103">
        <f>VLOOKUP($D1262,Research!$C:$N,(COLUMN(Research_QuestReward_Power)-COLUMN(Research_Name_and_Level)+1),FALSE)</f>
        <v>700</v>
      </c>
      <c r="AF1262" s="141"/>
      <c r="AG1262" s="141"/>
      <c r="AH1262" s="137"/>
      <c r="AI1262" s="484"/>
      <c r="AJ1262" s="137">
        <f t="shared" si="475"/>
        <v>1.0694444444444444</v>
      </c>
      <c r="AU1262" s="101">
        <f>VLOOKUP($D1262,Research!$C:$S,(COLUMN(Research_QuestReward_Stone)-COLUMN(Research_Name_and_Level)+1),FALSE)</f>
        <v>3000</v>
      </c>
      <c r="AV1262" s="101">
        <f>VLOOKUP($D1262,Research!$C:$S,(COLUMN(Research_QuestReward_Wood)-COLUMN(Research_Name_and_Level)+1),FALSE)</f>
        <v>0</v>
      </c>
      <c r="AW1262" s="101">
        <f>VLOOKUP($D1262,Research!$C:$S,(COLUMN(Research_QuestReward_Ore)-COLUMN(Research_Name_and_Level)+1),FALSE)</f>
        <v>4000</v>
      </c>
      <c r="AX1262" s="101">
        <f>VLOOKUP($D1262,Research!$C:$S,(COLUMN(Research_QuestReward_Food)-COLUMN(Research_Name_and_Level)+1),FALSE)</f>
        <v>5000</v>
      </c>
      <c r="AY1262" s="100">
        <f>VLOOKUP($D1262,Research!$C:$S,(COLUMN(Research_QuestReward_Silver)-COLUMN(Research_Name_and_Level)+1),FALSE)</f>
        <v>30500</v>
      </c>
      <c r="CS1262" s="624"/>
      <c r="CT1262" s="127"/>
      <c r="CU1262" s="127"/>
      <c r="CV1262" s="127"/>
      <c r="CW1262" s="127"/>
      <c r="CX1262" s="127"/>
      <c r="CY1262" s="127"/>
      <c r="CZ1262" s="127"/>
      <c r="DA1262" s="127"/>
      <c r="DB1262" s="127"/>
      <c r="DC1262" s="127"/>
      <c r="DD1262" s="127"/>
    </row>
    <row r="1263" spans="1:108" ht="15" customHeight="1">
      <c r="B1263" s="102" t="s">
        <v>1194</v>
      </c>
      <c r="C1263" s="127" t="s">
        <v>170</v>
      </c>
      <c r="D1263" s="144" t="s">
        <v>1953</v>
      </c>
      <c r="E1263" s="624">
        <v>31</v>
      </c>
      <c r="F1263" s="12">
        <v>0.5</v>
      </c>
      <c r="G1263" s="101">
        <f>VLOOKUP($D1263,Research!$C:$M,(COLUMN(Research_QuestReward_HeroXP)-COLUMN(Research_Name_and_Level)+1),FALSE)</f>
        <v>62000</v>
      </c>
      <c r="H1263" s="101">
        <f t="shared" ref="H1263:H1264" si="484">G1263*(1+F1263)</f>
        <v>93000</v>
      </c>
      <c r="J1263" s="103">
        <f>VLOOKUP($D1263,Research!$C:$N,(COLUMN(Research_QuestReward_Power)-COLUMN(Research_Name_and_Level)+1),FALSE)</f>
        <v>1650</v>
      </c>
      <c r="AF1263" s="141"/>
      <c r="AG1263" s="141"/>
      <c r="AH1263" s="137"/>
      <c r="AI1263" s="484"/>
      <c r="AJ1263" s="137">
        <f t="shared" si="475"/>
        <v>1.0694444444444444</v>
      </c>
      <c r="AU1263" s="101">
        <f>VLOOKUP($D1263,Research!$C:$S,(COLUMN(Research_QuestReward_Stone)-COLUMN(Research_Name_and_Level)+1),FALSE)</f>
        <v>3000</v>
      </c>
      <c r="AV1263" s="101">
        <f>VLOOKUP($D1263,Research!$C:$S,(COLUMN(Research_QuestReward_Wood)-COLUMN(Research_Name_and_Level)+1),FALSE)</f>
        <v>5000</v>
      </c>
      <c r="AW1263" s="101">
        <f>VLOOKUP($D1263,Research!$C:$S,(COLUMN(Research_QuestReward_Ore)-COLUMN(Research_Name_and_Level)+1),FALSE)</f>
        <v>4000</v>
      </c>
      <c r="AX1263" s="101">
        <f>VLOOKUP($D1263,Research!$C:$S,(COLUMN(Research_QuestReward_Food)-COLUMN(Research_Name_and_Level)+1),FALSE)</f>
        <v>0</v>
      </c>
      <c r="AY1263" s="100">
        <f>VLOOKUP($D1263,Research!$C:$S,(COLUMN(Research_QuestReward_Silver)-COLUMN(Research_Name_and_Level)+1),FALSE)</f>
        <v>38000</v>
      </c>
      <c r="CS1263" s="624"/>
      <c r="CT1263" s="127"/>
      <c r="CU1263" s="127"/>
      <c r="CV1263" s="127"/>
      <c r="CW1263" s="127"/>
      <c r="CX1263" s="127"/>
      <c r="CY1263" s="127"/>
      <c r="CZ1263" s="127"/>
      <c r="DA1263" s="127"/>
      <c r="DB1263" s="127"/>
      <c r="DC1263" s="127"/>
      <c r="DD1263" s="127"/>
    </row>
    <row r="1264" spans="1:108" ht="15" customHeight="1">
      <c r="A1264" s="2"/>
      <c r="B1264" s="624" t="s">
        <v>195</v>
      </c>
      <c r="C1264" s="127" t="s">
        <v>468</v>
      </c>
      <c r="D1264" s="144" t="s">
        <v>1988</v>
      </c>
      <c r="E1264" s="624">
        <v>31</v>
      </c>
      <c r="F1264" s="12">
        <v>0.5</v>
      </c>
      <c r="G1264" s="211">
        <v>4400</v>
      </c>
      <c r="H1264" s="211">
        <f t="shared" si="484"/>
        <v>6600</v>
      </c>
      <c r="AF1264" s="141"/>
      <c r="AG1264" s="141"/>
      <c r="AH1264" s="137"/>
      <c r="AI1264" s="484"/>
      <c r="AJ1264" s="137">
        <f t="shared" si="475"/>
        <v>1.0694444444444444</v>
      </c>
      <c r="AU1264" s="211">
        <v>0</v>
      </c>
      <c r="AV1264" s="213">
        <v>0</v>
      </c>
      <c r="AW1264" s="213">
        <v>11000</v>
      </c>
      <c r="AX1264" s="213">
        <v>11000</v>
      </c>
      <c r="AY1264" s="160">
        <v>0</v>
      </c>
      <c r="CL1264" s="211">
        <v>2000</v>
      </c>
      <c r="CM1264" s="160">
        <f>CL1264</f>
        <v>2000</v>
      </c>
      <c r="CS1264" s="624"/>
    </row>
    <row r="1265" spans="1:108" ht="15" customHeight="1">
      <c r="B1265" s="113" t="s">
        <v>1198</v>
      </c>
      <c r="C1265" s="127" t="s">
        <v>160</v>
      </c>
      <c r="D1265" s="127">
        <v>1550</v>
      </c>
      <c r="E1265" s="624">
        <v>31</v>
      </c>
      <c r="G1265" s="7"/>
      <c r="H1265" s="7"/>
      <c r="J1265" s="114">
        <f>VLOOKUP($C1265,Troop!$B:$AK,(COLUMN(Troop_TrainingReward_Power)-COLUMN(Troop_Name)+1),FALSE)*$D1265</f>
        <v>12400</v>
      </c>
      <c r="AF1265" s="141"/>
      <c r="AG1265" s="141"/>
      <c r="AH1265" s="137"/>
      <c r="AI1265" s="484"/>
      <c r="AJ1265" s="137">
        <f t="shared" si="475"/>
        <v>1.0694444444444444</v>
      </c>
      <c r="AU1265" s="296">
        <f>VLOOKUP($C1265,Troop!$B:$P,(COLUMN(Troop_TrainingCost_Stone)-COLUMN(Troop_Name)+1),FALSE)*$D1265*(-1)</f>
        <v>-155000</v>
      </c>
      <c r="AV1265" s="296">
        <f>VLOOKUP($C1265,Troop!$B:$P,(COLUMN(Troop_TrainingCost_Wood)-COLUMN(Troop_Name)+1),FALSE)*$D1265*(-1)</f>
        <v>0</v>
      </c>
      <c r="AW1265" s="296">
        <f>VLOOKUP($C1265,Troop!$B:$P,(COLUMN(Troop_TrainingCost_Ore)-COLUMN(Troop_Name)+1),FALSE)*$D1265*(-1)</f>
        <v>-116250</v>
      </c>
      <c r="AX1265" s="296">
        <f>VLOOKUP($C1265,Troop!$B:$P,(COLUMN(Troop_TrainingCost_Food)-COLUMN(Troop_Name)+1),FALSE)*$D1265*(-1)</f>
        <v>-155000</v>
      </c>
      <c r="AY1265" s="114">
        <f>VLOOKUP($C1265,Troop!$B:$P,(COLUMN(Troop_TrainingCost_Silver)-COLUMN(Troop_Name)+1),FALSE)*$D1265*(-1)</f>
        <v>-7750</v>
      </c>
      <c r="CS1265" s="624"/>
      <c r="CT1265" s="128"/>
      <c r="CU1265" s="128"/>
      <c r="CV1265" s="128"/>
      <c r="CW1265" s="128"/>
      <c r="CX1265" s="128"/>
      <c r="CY1265" s="128"/>
      <c r="CZ1265" s="128"/>
      <c r="DA1265" s="128"/>
      <c r="DB1265" s="128"/>
      <c r="DC1265" s="128"/>
      <c r="DD1265" s="128"/>
    </row>
    <row r="1266" spans="1:108" ht="15" customHeight="1">
      <c r="B1266" s="113" t="s">
        <v>1198</v>
      </c>
      <c r="C1266" s="127" t="s">
        <v>845</v>
      </c>
      <c r="D1266" s="127">
        <v>1000</v>
      </c>
      <c r="E1266" s="624">
        <v>31</v>
      </c>
      <c r="G1266" s="7"/>
      <c r="H1266" s="7"/>
      <c r="J1266" s="114">
        <f>VLOOKUP($C1266,Troop!$B:$AK,(COLUMN(Troop_TrainingReward_Power)-COLUMN(Troop_Name)+1),FALSE)*$D1266</f>
        <v>2000</v>
      </c>
      <c r="AF1266" s="141"/>
      <c r="AG1266" s="141"/>
      <c r="AH1266" s="137"/>
      <c r="AI1266" s="484"/>
      <c r="AJ1266" s="137">
        <f t="shared" si="475"/>
        <v>1.0694444444444444</v>
      </c>
      <c r="AU1266" s="296">
        <f>VLOOKUP($C1266,Troop!$B:$P,(COLUMN(Troop_TrainingCost_Stone)-COLUMN(Troop_Name)+1),FALSE)*$D1266*(-1)</f>
        <v>0</v>
      </c>
      <c r="AV1266" s="296">
        <f>VLOOKUP($C1266,Troop!$B:$P,(COLUMN(Troop_TrainingCost_Wood)-COLUMN(Troop_Name)+1),FALSE)*$D1266*(-1)</f>
        <v>-100000</v>
      </c>
      <c r="AW1266" s="296">
        <f>VLOOKUP($C1266,Troop!$B:$P,(COLUMN(Troop_TrainingCost_Ore)-COLUMN(Troop_Name)+1),FALSE)*$D1266*(-1)</f>
        <v>-75000</v>
      </c>
      <c r="AX1266" s="296">
        <f>VLOOKUP($C1266,Troop!$B:$P,(COLUMN(Troop_TrainingCost_Food)-COLUMN(Troop_Name)+1),FALSE)*$D1266*(-1)</f>
        <v>-100000</v>
      </c>
      <c r="AY1266" s="114">
        <f>VLOOKUP($C1266,Troop!$B:$P,(COLUMN(Troop_TrainingCost_Silver)-COLUMN(Troop_Name)+1),FALSE)*$D1266*(-1)</f>
        <v>0</v>
      </c>
      <c r="CS1266" s="624"/>
      <c r="CT1266" s="128"/>
      <c r="CU1266" s="128"/>
      <c r="CV1266" s="128"/>
      <c r="CW1266" s="128"/>
      <c r="CX1266" s="128"/>
      <c r="CY1266" s="128"/>
      <c r="CZ1266" s="128"/>
      <c r="DA1266" s="128"/>
      <c r="DB1266" s="128"/>
      <c r="DC1266" s="128"/>
      <c r="DD1266" s="128"/>
    </row>
    <row r="1267" spans="1:108" ht="15" customHeight="1">
      <c r="B1267" s="624" t="s">
        <v>624</v>
      </c>
      <c r="C1267" s="127" t="s">
        <v>623</v>
      </c>
      <c r="D1267" s="144" t="s">
        <v>3</v>
      </c>
      <c r="E1267" s="624">
        <v>31</v>
      </c>
      <c r="AF1267" s="141"/>
      <c r="AG1267" s="141"/>
      <c r="AH1267" s="137"/>
      <c r="AI1267" s="484"/>
      <c r="AJ1267" s="137">
        <f t="shared" si="475"/>
        <v>1.0694444444444444</v>
      </c>
      <c r="AU1267" s="30">
        <v>0</v>
      </c>
      <c r="AV1267" s="30">
        <v>0</v>
      </c>
      <c r="AW1267" s="30">
        <v>0</v>
      </c>
      <c r="AX1267" s="30">
        <v>18925</v>
      </c>
      <c r="AY1267" s="31">
        <v>0</v>
      </c>
      <c r="CS1267" s="624"/>
    </row>
    <row r="1268" spans="1:108" ht="15" customHeight="1">
      <c r="B1268" s="624" t="s">
        <v>624</v>
      </c>
      <c r="C1268" s="127" t="s">
        <v>623</v>
      </c>
      <c r="D1268" s="144" t="s">
        <v>3</v>
      </c>
      <c r="E1268" s="624">
        <v>31</v>
      </c>
      <c r="AF1268" s="141"/>
      <c r="AG1268" s="141"/>
      <c r="AH1268" s="137"/>
      <c r="AI1268" s="484"/>
      <c r="AJ1268" s="137">
        <f t="shared" si="475"/>
        <v>1.0694444444444444</v>
      </c>
      <c r="AU1268" s="30">
        <v>0</v>
      </c>
      <c r="AV1268" s="30">
        <v>0</v>
      </c>
      <c r="AW1268" s="30">
        <v>0</v>
      </c>
      <c r="AX1268" s="30">
        <v>18925</v>
      </c>
      <c r="AY1268" s="31">
        <v>0</v>
      </c>
      <c r="CS1268" s="624"/>
    </row>
    <row r="1269" spans="1:108" ht="15" customHeight="1">
      <c r="B1269" s="624" t="s">
        <v>195</v>
      </c>
      <c r="C1269" s="127" t="s">
        <v>1211</v>
      </c>
      <c r="D1269" s="144" t="s">
        <v>1934</v>
      </c>
      <c r="E1269" s="624">
        <v>31</v>
      </c>
      <c r="N1269" s="603">
        <v>80</v>
      </c>
      <c r="AF1269" s="141"/>
      <c r="AJ1269" s="137">
        <f t="shared" si="475"/>
        <v>1.0694444444444444</v>
      </c>
      <c r="CS1269" s="624"/>
    </row>
    <row r="1270" spans="1:108" ht="15" customHeight="1">
      <c r="A1270" s="2"/>
      <c r="B1270" s="624" t="s">
        <v>195</v>
      </c>
      <c r="C1270" s="127" t="s">
        <v>468</v>
      </c>
      <c r="D1270" s="144" t="s">
        <v>2048</v>
      </c>
      <c r="E1270" s="624">
        <v>31</v>
      </c>
      <c r="F1270" s="12">
        <v>0.5</v>
      </c>
      <c r="G1270" s="211">
        <v>1100</v>
      </c>
      <c r="H1270" s="211">
        <f t="shared" ref="H1270" si="485">G1270*(1+F1270)</f>
        <v>1650</v>
      </c>
      <c r="AF1270" s="141"/>
      <c r="AG1270" s="141"/>
      <c r="AH1270" s="137"/>
      <c r="AI1270" s="484"/>
      <c r="AJ1270" s="137">
        <f t="shared" si="475"/>
        <v>1.0694444444444444</v>
      </c>
      <c r="AU1270" s="211">
        <v>1375</v>
      </c>
      <c r="AV1270" s="213">
        <v>0</v>
      </c>
      <c r="AW1270" s="213">
        <v>0</v>
      </c>
      <c r="AX1270" s="213">
        <v>0</v>
      </c>
      <c r="AY1270" s="160">
        <v>275</v>
      </c>
      <c r="CL1270" s="211">
        <v>500</v>
      </c>
      <c r="CM1270" s="160">
        <f>CL1270</f>
        <v>500</v>
      </c>
      <c r="CS1270" s="624"/>
    </row>
    <row r="1271" spans="1:108" ht="15" customHeight="1">
      <c r="A1271" s="2"/>
      <c r="B1271" s="624" t="s">
        <v>195</v>
      </c>
      <c r="C1271" s="127" t="s">
        <v>468</v>
      </c>
      <c r="D1271" s="144" t="s">
        <v>2049</v>
      </c>
      <c r="E1271" s="624">
        <v>31</v>
      </c>
      <c r="F1271" s="12">
        <v>0.5</v>
      </c>
      <c r="G1271" s="211">
        <v>1100</v>
      </c>
      <c r="H1271" s="211">
        <f t="shared" ref="H1271" si="486">G1271*(1+F1271)</f>
        <v>1650</v>
      </c>
      <c r="AF1271" s="141"/>
      <c r="AG1271" s="141"/>
      <c r="AH1271" s="137"/>
      <c r="AI1271" s="484"/>
      <c r="AJ1271" s="137">
        <f t="shared" si="475"/>
        <v>1.0694444444444444</v>
      </c>
      <c r="AU1271" s="211">
        <v>550</v>
      </c>
      <c r="AV1271" s="211">
        <v>550</v>
      </c>
      <c r="AW1271" s="211">
        <v>550</v>
      </c>
      <c r="AX1271" s="211">
        <v>550</v>
      </c>
      <c r="AY1271" s="160">
        <v>0</v>
      </c>
      <c r="CL1271" s="211">
        <v>500</v>
      </c>
      <c r="CM1271" s="160">
        <f>CL1271</f>
        <v>500</v>
      </c>
      <c r="CS1271" s="624"/>
    </row>
    <row r="1272" spans="1:108" ht="15" customHeight="1">
      <c r="A1272" s="2"/>
      <c r="B1272" s="624" t="s">
        <v>195</v>
      </c>
      <c r="C1272" s="127" t="s">
        <v>468</v>
      </c>
      <c r="D1272" s="144" t="s">
        <v>2049</v>
      </c>
      <c r="E1272" s="624">
        <v>31</v>
      </c>
      <c r="F1272" s="12">
        <v>0.5</v>
      </c>
      <c r="G1272" s="211">
        <v>1100</v>
      </c>
      <c r="H1272" s="211">
        <f t="shared" ref="H1272:H1273" si="487">G1272*(1+F1272)</f>
        <v>1650</v>
      </c>
      <c r="AF1272" s="141"/>
      <c r="AG1272" s="141"/>
      <c r="AH1272" s="137"/>
      <c r="AI1272" s="484"/>
      <c r="AJ1272" s="137">
        <f t="shared" si="475"/>
        <v>1.0694444444444444</v>
      </c>
      <c r="AU1272" s="211">
        <v>0</v>
      </c>
      <c r="AV1272" s="211">
        <v>0</v>
      </c>
      <c r="AW1272" s="211">
        <v>0</v>
      </c>
      <c r="AX1272" s="211">
        <v>550</v>
      </c>
      <c r="AY1272" s="160">
        <v>550</v>
      </c>
      <c r="CL1272" s="211">
        <v>500</v>
      </c>
      <c r="CM1272" s="160">
        <f>CL1272</f>
        <v>500</v>
      </c>
      <c r="CS1272" s="624"/>
    </row>
    <row r="1273" spans="1:108" ht="15" customHeight="1">
      <c r="B1273" s="624" t="s">
        <v>143</v>
      </c>
      <c r="C1273" s="127" t="s">
        <v>466</v>
      </c>
      <c r="D1273" s="144" t="s">
        <v>1956</v>
      </c>
      <c r="E1273" s="624">
        <v>31</v>
      </c>
      <c r="F1273" s="12">
        <v>0.5</v>
      </c>
      <c r="G1273" s="101">
        <v>16500</v>
      </c>
      <c r="H1273" s="101">
        <f t="shared" si="487"/>
        <v>24750</v>
      </c>
      <c r="AF1273" s="141"/>
      <c r="AG1273" s="141"/>
      <c r="AH1273" s="137"/>
      <c r="AI1273" s="484"/>
      <c r="AJ1273" s="137">
        <f t="shared" si="475"/>
        <v>1.0694444444444444</v>
      </c>
      <c r="AU1273" s="101">
        <v>0</v>
      </c>
      <c r="AV1273" s="101">
        <v>20625</v>
      </c>
      <c r="AW1273" s="101">
        <v>0</v>
      </c>
      <c r="AX1273" s="101">
        <v>0</v>
      </c>
      <c r="AY1273" s="100">
        <v>4125</v>
      </c>
      <c r="CS1273" s="624"/>
    </row>
    <row r="1274" spans="1:108" ht="15" customHeight="1">
      <c r="B1274" s="624" t="s">
        <v>624</v>
      </c>
      <c r="C1274" s="127" t="s">
        <v>623</v>
      </c>
      <c r="D1274" s="144" t="s">
        <v>3</v>
      </c>
      <c r="E1274" s="624">
        <v>31</v>
      </c>
      <c r="AF1274" s="141"/>
      <c r="AG1274" s="141"/>
      <c r="AH1274" s="137"/>
      <c r="AI1274" s="484"/>
      <c r="AJ1274" s="137">
        <f t="shared" si="475"/>
        <v>1.0694444444444444</v>
      </c>
      <c r="AU1274" s="30">
        <v>0</v>
      </c>
      <c r="AV1274" s="30">
        <v>0</v>
      </c>
      <c r="AW1274" s="30">
        <v>0</v>
      </c>
      <c r="AX1274" s="30">
        <v>18925</v>
      </c>
      <c r="AY1274" s="31">
        <v>0</v>
      </c>
      <c r="CS1274" s="624"/>
    </row>
    <row r="1275" spans="1:108" ht="15" customHeight="1">
      <c r="A1275" s="671"/>
      <c r="B1275" s="624" t="s">
        <v>146</v>
      </c>
      <c r="C1275" s="127" t="s">
        <v>138</v>
      </c>
      <c r="D1275" s="144" t="s">
        <v>2050</v>
      </c>
      <c r="E1275" s="624">
        <v>31</v>
      </c>
      <c r="F1275" s="12">
        <v>0.5</v>
      </c>
      <c r="G1275" s="111">
        <f>VLOOKUP($D1275,Research!$C:$F,(COLUMN(Research_ResearchReward_HeroXP)-COLUMN(Research_Name_and_Level)+1),FALSE)</f>
        <v>250000</v>
      </c>
      <c r="H1275" s="111">
        <f t="shared" ref="H1275:H1276" si="488">G1275*(1+F1275)</f>
        <v>375000</v>
      </c>
      <c r="J1275" s="115">
        <f>VLOOKUP($D1275,Research!$C:$G,(COLUMN(Research_ResearchReward_Power)-COLUMN(Research_Name_and_Level)+1),FALSE)</f>
        <v>16000</v>
      </c>
      <c r="R1275" s="148">
        <v>1.0416666666666666E-2</v>
      </c>
      <c r="AF1275" s="141"/>
      <c r="AG1275" s="141"/>
      <c r="AH1275" s="137"/>
      <c r="AI1275" s="484"/>
      <c r="AJ1275" s="137">
        <f t="shared" si="475"/>
        <v>1.0694444444444444</v>
      </c>
      <c r="AK1275" s="605"/>
      <c r="AP1275" s="256">
        <v>0.51</v>
      </c>
      <c r="AQ1275" s="147">
        <f>VLOOKUP($D1275,Research!$C:$D,(COLUMN(Research_Time)-COLUMN(Research_Name_and_Level)+1),FALSE)</f>
        <v>4</v>
      </c>
      <c r="AR1275" s="147">
        <f>AQ1275/(1+AP1275)</f>
        <v>2.6490066225165565</v>
      </c>
      <c r="AS1275" s="147">
        <f>(S$3*S1275+T$3*T1275+V$3*V1275+W$3*W1275+X$3*X1275+Y$3*Y1275+Z$3*Z1275+AA$3*AA1275+AB$3*AB1275+AC$3*AC1275)*(-1)</f>
        <v>0</v>
      </c>
      <c r="AT1275" s="148">
        <f>IF(AR1275-R1275-AS1275&gt;=0,AR1275-R1275-AS1275,0)</f>
        <v>2.63858995584989</v>
      </c>
      <c r="AU1275" s="111">
        <f>VLOOKUP($D1275,Research!$C:$L,(COLUMN(Research_ResearchCost_Stone)-COLUMN(Research_Name_and_Level)+1),FALSE)*(-1)</f>
        <v>-200000</v>
      </c>
      <c r="AV1275" s="111">
        <f>VLOOKUP($D1275,Research!$C:$L,(COLUMN(Research_ResearchCost_Wood)-COLUMN(Research_Name_and_Level)+1),FALSE)*(-1)</f>
        <v>-200000</v>
      </c>
      <c r="AW1275" s="111">
        <f>VLOOKUP($D1275,Research!$C:$L,(COLUMN(Research_ResearchCost_Ore)-COLUMN(Research_Name_and_Level)+1),FALSE)*(-1)</f>
        <v>-150000</v>
      </c>
      <c r="AX1275" s="111">
        <f>VLOOKUP($D1275,Research!$C:$L,(COLUMN(Research_ResearchCost_Food)-COLUMN(Research_Name_and_Level)+1),FALSE)*(-1)</f>
        <v>-200000</v>
      </c>
      <c r="AY1275" s="112">
        <f>VLOOKUP($D1275,Research!$C:$L,(COLUMN(Research_ResearchCost_Silver)-COLUMN(Research_Name_and_Level)+1),FALSE)*(-1)</f>
        <v>-320000</v>
      </c>
      <c r="BK1275" s="7"/>
      <c r="BL1275" s="19"/>
      <c r="CS1275" s="624"/>
    </row>
    <row r="1276" spans="1:108" ht="15" customHeight="1">
      <c r="B1276" s="624" t="s">
        <v>143</v>
      </c>
      <c r="C1276" s="127" t="s">
        <v>466</v>
      </c>
      <c r="D1276" s="144" t="s">
        <v>2052</v>
      </c>
      <c r="E1276" s="624">
        <v>31</v>
      </c>
      <c r="F1276" s="12">
        <v>0.5</v>
      </c>
      <c r="G1276" s="101">
        <v>4400</v>
      </c>
      <c r="H1276" s="101">
        <f t="shared" si="488"/>
        <v>6600</v>
      </c>
      <c r="AF1276" s="141"/>
      <c r="AG1276" s="141"/>
      <c r="AH1276" s="137"/>
      <c r="AI1276" s="484"/>
      <c r="AJ1276" s="137">
        <f t="shared" si="475"/>
        <v>1.0694444444444444</v>
      </c>
      <c r="AU1276" s="101">
        <v>0</v>
      </c>
      <c r="AV1276" s="101">
        <v>0</v>
      </c>
      <c r="AW1276" s="101">
        <v>0</v>
      </c>
      <c r="AX1276" s="101">
        <v>11000</v>
      </c>
      <c r="AY1276" s="100">
        <v>0</v>
      </c>
      <c r="CS1276" s="624"/>
    </row>
    <row r="1277" spans="1:108" ht="15" customHeight="1">
      <c r="B1277" s="624" t="s">
        <v>144</v>
      </c>
      <c r="C1277" s="127" t="s">
        <v>138</v>
      </c>
      <c r="D1277" s="144" t="s">
        <v>890</v>
      </c>
      <c r="E1277" s="624">
        <v>31</v>
      </c>
      <c r="F1277" s="12">
        <v>0.5</v>
      </c>
      <c r="G1277" s="94">
        <f>VLOOKUP($D1277,Construction!$B:$E,(COLUMN(Construction_BuildingReward_HeroXP)-COLUMN(Construction_Name_and_Level)+1),FALSE)</f>
        <v>500</v>
      </c>
      <c r="H1277" s="94">
        <f>G1277*(1+F1277)</f>
        <v>750</v>
      </c>
      <c r="J1277" s="95">
        <f>VLOOKUP($D1277,Construction!$B:$F,(COLUMN(Construction_BuildingReward_Power)-COLUMN(Construction_Name_and_Level)+1),FALSE)</f>
        <v>85</v>
      </c>
      <c r="Q1277" s="139">
        <v>3.472222222222222E-3</v>
      </c>
      <c r="R1277" s="289">
        <v>1.0416666666666666E-2</v>
      </c>
      <c r="V1277" s="2">
        <v>-1</v>
      </c>
      <c r="W1277" s="11">
        <v>-1</v>
      </c>
      <c r="AF1277" s="141"/>
      <c r="AG1277" s="141"/>
      <c r="AH1277" s="137"/>
      <c r="AI1277" s="484">
        <f>(-1)*($S$3*$S1277+$T$3*$T1277+$U$3*$U1277+$V$3*$V1277+$W$3*$W1277+$X$3*$X1277+$Y$3*$Y1277+$Z$3*$Z1277+$AA$3*$AA1277+$AB$3*$AB1277+$AC$3*$AC1277)</f>
        <v>1.7361111111111112E-2</v>
      </c>
      <c r="AJ1277" s="137">
        <f t="shared" ref="AJ1277" si="489">AJ1276+(S$3*S1277+T$3*T1277+U$3*U1277+V$3*V1277+W$3*W1277+X$3*X1277+Y$3*Y1277+Z$3*Z1277+AA$3*AA1277+AB$3*AB1277+AC$3*AC1277)</f>
        <v>1.0520833333333333</v>
      </c>
      <c r="AK1277" s="339">
        <v>0.625</v>
      </c>
      <c r="AL1277" s="138">
        <f>VLOOKUP($D1277,Construction!$B:$C,(COLUMN(Construction_Time)-COLUMN(Construction_Name_and_Level)+1),FALSE)</f>
        <v>3.7037037037037042E-2</v>
      </c>
      <c r="AM1277" s="138">
        <f t="shared" ref="AM1277" si="490">AL1277/(1+AK1277)</f>
        <v>2.2792022792022797E-2</v>
      </c>
      <c r="AN1277" s="138">
        <f>(S$3*S1277+T$3*T1277+V$3*V1277+W$3*W1277+X$3*X1277+Y$3*Y1277+Z$3*Z1277+AA$3*AA1277+AB$3*AB1277+AC$3*AC1277)*(-1)</f>
        <v>1.7361111111111112E-2</v>
      </c>
      <c r="AO1277" s="139">
        <f>IF((AM1277-Q1277-R1277-AN1277)&gt;=0,AM1277-Q1277-R1277-AN1277,0)</f>
        <v>0</v>
      </c>
      <c r="AU1277" s="94">
        <f>VLOOKUP($D1277,Construction!$B:$J,(COLUMN(Construction_BuildingCost_Stone)-COLUMN(Construction_Name_and_Level)+1),FALSE)*(-1)</f>
        <v>-3348</v>
      </c>
      <c r="AV1277" s="94">
        <f>VLOOKUP($D1277,Construction!$B:$J,(COLUMN(Construction_BuildingCost_Wood)-COLUMN(Construction_Name_and_Level)+1),FALSE)*(-1)</f>
        <v>-3348</v>
      </c>
      <c r="AW1277" s="94">
        <f>VLOOKUP($D1277,Construction!$B:$J,(COLUMN(Construction_BuildingCost_Ore)-COLUMN(Construction_Name_and_Level)+1),FALSE)*(-1)</f>
        <v>-3348</v>
      </c>
      <c r="AX1277" s="94">
        <f>VLOOKUP($D1277,Construction!$B:$J,(COLUMN(Construction_BuildingCost_Food)-COLUMN(Construction_Name_and_Level)+1),FALSE)*(-1)</f>
        <v>0</v>
      </c>
      <c r="CS1277" s="624"/>
    </row>
    <row r="1278" spans="1:108" ht="15" customHeight="1">
      <c r="B1278" s="624" t="s">
        <v>144</v>
      </c>
      <c r="C1278" s="127" t="s">
        <v>138</v>
      </c>
      <c r="D1278" s="144" t="s">
        <v>2053</v>
      </c>
      <c r="E1278" s="624">
        <v>31</v>
      </c>
      <c r="F1278" s="12">
        <v>0.5</v>
      </c>
      <c r="G1278" s="94">
        <f>VLOOKUP($D1278,Construction!$B:$E,(COLUMN(Construction_BuildingReward_HeroXP)-COLUMN(Construction_Name_and_Level)+1),FALSE)</f>
        <v>500</v>
      </c>
      <c r="H1278" s="94">
        <f>G1278*(1+F1278)</f>
        <v>750</v>
      </c>
      <c r="J1278" s="95">
        <f>VLOOKUP($D1278,Construction!$B:$F,(COLUMN(Construction_BuildingReward_Power)-COLUMN(Construction_Name_and_Level)+1),FALSE)</f>
        <v>1075</v>
      </c>
      <c r="Q1278" s="139">
        <v>3.472222222222222E-3</v>
      </c>
      <c r="R1278" s="289">
        <v>1.0416666666666666E-2</v>
      </c>
      <c r="Z1278" s="11">
        <v>-1</v>
      </c>
      <c r="AF1278" s="141"/>
      <c r="AG1278" s="141"/>
      <c r="AH1278" s="137"/>
      <c r="AI1278" s="484">
        <f>(-1)*($S$3*$S1278+$T$3*$T1278+$U$3*$U1278+$V$3*$V1278+$W$3*$W1278+$X$3*$X1278+$Y$3*$Y1278+$Z$3*$Z1278+$AA$3*$AA1278+$AB$3*$AB1278+$AC$3*$AC1278)</f>
        <v>0.33333333333333331</v>
      </c>
      <c r="AJ1278" s="137">
        <f t="shared" ref="AJ1278:AJ1280" si="491">AJ1277+(S$3*S1278+T$3*T1278+U$3*U1278+V$3*V1278+W$3*W1278+X$3*X1278+Y$3*Y1278+Z$3*Z1278+AA$3*AA1278+AB$3*AB1278+AC$3*AC1278)</f>
        <v>0.71875</v>
      </c>
      <c r="AK1278" s="339">
        <v>0.625</v>
      </c>
      <c r="AL1278" s="138">
        <f>VLOOKUP($D1278,Construction!$B:$C,(COLUMN(Construction_Time)-COLUMN(Construction_Name_and_Level)+1),FALSE)</f>
        <v>0.53333333333333333</v>
      </c>
      <c r="AM1278" s="138">
        <f t="shared" ref="AM1278" si="492">AL1278/(1+AK1278)</f>
        <v>0.3282051282051282</v>
      </c>
      <c r="AN1278" s="138">
        <f>(S$3*S1278+T$3*T1278+V$3*V1278+W$3*W1278+X$3*X1278+Y$3*Y1278+Z$3*Z1278+AA$3*AA1278+AB$3*AB1278+AC$3*AC1278)*(-1)</f>
        <v>0.33333333333333331</v>
      </c>
      <c r="AO1278" s="139">
        <f>IF((AM1278-Q1278-R1278-AN1278)&gt;=0,AM1278-Q1278-R1278-AN1278,0)</f>
        <v>0</v>
      </c>
      <c r="AU1278" s="94">
        <f>VLOOKUP($D1278,Construction!$B:$J,(COLUMN(Construction_BuildingCost_Stone)-COLUMN(Construction_Name_and_Level)+1),FALSE)*(-1)</f>
        <v>-90216</v>
      </c>
      <c r="AV1278" s="94">
        <f>VLOOKUP($D1278,Construction!$B:$J,(COLUMN(Construction_BuildingCost_Wood)-COLUMN(Construction_Name_and_Level)+1),FALSE)*(-1)</f>
        <v>-120348</v>
      </c>
      <c r="AW1278" s="94">
        <f>VLOOKUP($D1278,Construction!$B:$J,(COLUMN(Construction_BuildingCost_Ore)-COLUMN(Construction_Name_and_Level)+1),FALSE)*(-1)</f>
        <v>-240588</v>
      </c>
      <c r="AX1278" s="94">
        <f>VLOOKUP($D1278,Construction!$B:$J,(COLUMN(Construction_BuildingCost_Food)-COLUMN(Construction_Name_and_Level)+1),FALSE)*(-1)</f>
        <v>-90216</v>
      </c>
      <c r="CS1278" s="624"/>
    </row>
    <row r="1279" spans="1:108" ht="15" customHeight="1">
      <c r="B1279" s="624" t="s">
        <v>143</v>
      </c>
      <c r="C1279" s="127" t="s">
        <v>142</v>
      </c>
      <c r="D1279" s="144" t="s">
        <v>2053</v>
      </c>
      <c r="E1279" s="624">
        <v>31</v>
      </c>
      <c r="F1279" s="12">
        <v>0.5</v>
      </c>
      <c r="G1279" s="101">
        <f>VLOOKUP($D1279,Construction!$B:$L,(COLUMN(Construction_QuestReward_HeroXP)-COLUMN(Construction_Name_and_Level)+1),FALSE)</f>
        <v>100000</v>
      </c>
      <c r="H1279" s="101">
        <f>G1279*(1+F1279)</f>
        <v>150000</v>
      </c>
      <c r="J1279" s="100">
        <f>VLOOKUP($D1279,Construction!$B:$L,(COLUMN(Construction_QuestReward_Power)-COLUMN(Construction_Name_and_Level)+1),FALSE)</f>
        <v>625</v>
      </c>
      <c r="AF1279" s="141"/>
      <c r="AG1279" s="141"/>
      <c r="AH1279" s="137"/>
      <c r="AI1279" s="484"/>
      <c r="AJ1279" s="137">
        <f t="shared" si="491"/>
        <v>0.71875</v>
      </c>
      <c r="AU1279" s="101">
        <f>VLOOKUP($D1279,Construction!$B:$Q,(COLUMN(Construction_QuestReward_Stone)-COLUMN(Construction_Name_and_Level)+1),FALSE)</f>
        <v>16402</v>
      </c>
      <c r="AV1279" s="101">
        <f>VLOOKUP($D1279,Construction!$B:$Q,(COLUMN(Construction_QuestReward_Wood)-COLUMN(Construction_Name_and_Level)+1),FALSE)</f>
        <v>21881</v>
      </c>
      <c r="AW1279" s="101">
        <f>VLOOKUP($D1279,Construction!$B:$Q,(COLUMN(Construction_QuestReward_Ore)-COLUMN(Construction_Name_and_Level)+1),FALSE)</f>
        <v>43743</v>
      </c>
      <c r="AX1279" s="101">
        <f>VLOOKUP($D1279,Construction!$B:$Q,(COLUMN(Construction_QuestReward_Food)-COLUMN(Construction_Name_and_Level)+1),FALSE)</f>
        <v>16402</v>
      </c>
      <c r="AY1279" s="100">
        <f>VLOOKUP($D1279,Construction!$B:$Q,(COLUMN(Construction_QuestReward_Silver)-COLUMN(Construction_Name_and_Level)+1),FALSE)</f>
        <v>400</v>
      </c>
      <c r="CS1279" s="624"/>
    </row>
    <row r="1280" spans="1:108" ht="15" customHeight="1">
      <c r="B1280" s="126" t="s">
        <v>1195</v>
      </c>
      <c r="C1280" s="127" t="s">
        <v>147</v>
      </c>
      <c r="D1280" s="144" t="s">
        <v>2054</v>
      </c>
      <c r="E1280" s="624">
        <v>32</v>
      </c>
      <c r="I1280" s="5">
        <v>5</v>
      </c>
      <c r="J1280" s="5">
        <v>16491</v>
      </c>
      <c r="K1280" s="423"/>
      <c r="Q1280" s="149"/>
      <c r="AF1280" s="141"/>
      <c r="AG1280" s="141"/>
      <c r="AH1280" s="137"/>
      <c r="AI1280" s="484"/>
      <c r="AJ1280" s="137">
        <f t="shared" si="491"/>
        <v>0.71875</v>
      </c>
      <c r="AX1280" s="11"/>
      <c r="CS1280" s="624"/>
    </row>
    <row r="1281" spans="1:97" s="420" customFormat="1" ht="15" customHeight="1">
      <c r="A1281" s="487"/>
      <c r="B1281" s="411" t="s">
        <v>171</v>
      </c>
      <c r="C1281" s="412"/>
      <c r="D1281" s="412" t="s">
        <v>2055</v>
      </c>
      <c r="E1281" s="411">
        <v>32</v>
      </c>
      <c r="F1281" s="413">
        <v>0.5</v>
      </c>
      <c r="G1281" s="414" t="s">
        <v>25</v>
      </c>
      <c r="H1281" s="414">
        <v>13827184</v>
      </c>
      <c r="I1281" s="415">
        <v>99</v>
      </c>
      <c r="J1281" s="415">
        <v>437570</v>
      </c>
      <c r="K1281" s="414">
        <v>7</v>
      </c>
      <c r="L1281" s="414">
        <v>8690</v>
      </c>
      <c r="M1281" s="416">
        <v>0.125</v>
      </c>
      <c r="N1281" s="417">
        <v>360</v>
      </c>
      <c r="O1281" s="109">
        <f>SUMIF($B$4:$B1280,"&lt;&gt;"&amp;$CS$13,O$4:O1280)</f>
        <v>-1250</v>
      </c>
      <c r="P1281" s="108">
        <f>SUMIF($B$4:$B1280,"&lt;&gt;"&amp;$CS$13,N$4:N1280)</f>
        <v>1610</v>
      </c>
      <c r="Q1281" s="416">
        <v>3.472222222222222E-3</v>
      </c>
      <c r="R1281" s="416">
        <v>1.0416666666666666E-2</v>
      </c>
      <c r="S1281" s="414">
        <v>0</v>
      </c>
      <c r="T1281" s="414">
        <v>0</v>
      </c>
      <c r="U1281" s="414">
        <v>0</v>
      </c>
      <c r="V1281" s="414">
        <v>0</v>
      </c>
      <c r="W1281" s="417">
        <v>1</v>
      </c>
      <c r="X1281" s="417">
        <v>1</v>
      </c>
      <c r="Y1281" s="417">
        <v>0</v>
      </c>
      <c r="Z1281" s="417">
        <v>2</v>
      </c>
      <c r="AA1281" s="417">
        <v>0</v>
      </c>
      <c r="AB1281" s="417">
        <v>0</v>
      </c>
      <c r="AC1281" s="417">
        <v>0</v>
      </c>
      <c r="AD1281" s="417">
        <v>0</v>
      </c>
      <c r="AE1281" s="415">
        <v>0</v>
      </c>
      <c r="AF1281" s="419">
        <f>SUMIF($B$4:$B1280,"&lt;&gt;"&amp;$CS$13,AF$4:AF1280)</f>
        <v>3.2402777777777789</v>
      </c>
      <c r="AG1281" s="419">
        <f>SUMIF($B$4:$B1280,"&lt;&gt;"&amp;$CS$13,AG$4:AG1280)</f>
        <v>0</v>
      </c>
      <c r="AH1281" s="416">
        <f>AF1281+AG1281</f>
        <v>3.2402777777777789</v>
      </c>
      <c r="AI1281" s="485">
        <f>SUMIF($B$4:$B1280,"&lt;&gt;"&amp;$CS$13,AI$4:AI1280)</f>
        <v>2.521527777777778</v>
      </c>
      <c r="AJ1281" s="416">
        <f>S$3*S1281+T$3*T1281+U$3*U1281+V$3*V1281+W$3*W1281+X$3*X1281+Y$3*Y1281+Z$3*Z1281+AA$3*AA1281+AB$3*AB1281+AC$3*AC1281</f>
        <v>0.71875</v>
      </c>
      <c r="AK1281" s="418">
        <v>0.625</v>
      </c>
      <c r="AL1281" s="419" t="s">
        <v>25</v>
      </c>
      <c r="AM1281" s="419" t="s">
        <v>25</v>
      </c>
      <c r="AN1281" s="419" t="s">
        <v>25</v>
      </c>
      <c r="AO1281" s="416" t="s">
        <v>25</v>
      </c>
      <c r="AP1281" s="284">
        <v>0.51</v>
      </c>
      <c r="AQ1281" s="419" t="s">
        <v>25</v>
      </c>
      <c r="AR1281" s="419" t="s">
        <v>25</v>
      </c>
      <c r="AS1281" s="419" t="s">
        <v>25</v>
      </c>
      <c r="AT1281" s="416" t="s">
        <v>25</v>
      </c>
      <c r="AU1281" s="414">
        <v>400500</v>
      </c>
      <c r="AV1281" s="414">
        <v>572100</v>
      </c>
      <c r="AW1281" s="414">
        <v>160100</v>
      </c>
      <c r="AX1281" s="417">
        <v>26010</v>
      </c>
      <c r="AY1281" s="415">
        <v>306700</v>
      </c>
      <c r="AZ1281" s="414">
        <v>12873</v>
      </c>
      <c r="BA1281" s="414">
        <v>14004</v>
      </c>
      <c r="BB1281" s="414">
        <v>9796</v>
      </c>
      <c r="BC1281" s="414">
        <v>23100</v>
      </c>
      <c r="BD1281" s="415">
        <v>6217</v>
      </c>
      <c r="BE1281" s="415">
        <v>-4668</v>
      </c>
      <c r="BF1281" s="414">
        <v>583000</v>
      </c>
      <c r="BG1281" s="414">
        <v>655000</v>
      </c>
      <c r="BH1281" s="414">
        <v>450000</v>
      </c>
      <c r="BI1281" s="414">
        <v>1075000</v>
      </c>
      <c r="BJ1281" s="415">
        <v>425000</v>
      </c>
      <c r="BK1281" s="414">
        <v>11</v>
      </c>
      <c r="BL1281" s="415">
        <v>10</v>
      </c>
      <c r="BM1281" s="415">
        <v>11</v>
      </c>
      <c r="BN1281" s="414">
        <v>11</v>
      </c>
      <c r="BO1281" s="415">
        <v>6</v>
      </c>
      <c r="BP1281" s="414">
        <v>11</v>
      </c>
      <c r="BQ1281" s="415">
        <v>6</v>
      </c>
      <c r="BR1281" s="414">
        <v>11</v>
      </c>
      <c r="BS1281" s="415">
        <v>6</v>
      </c>
      <c r="BT1281" s="414">
        <v>11</v>
      </c>
      <c r="BU1281" s="415">
        <v>6</v>
      </c>
      <c r="BV1281" s="414">
        <v>11</v>
      </c>
      <c r="BW1281" s="415">
        <v>6</v>
      </c>
      <c r="BX1281" s="414">
        <v>11</v>
      </c>
      <c r="BY1281" s="415">
        <v>5</v>
      </c>
      <c r="BZ1281" s="414">
        <v>6</v>
      </c>
      <c r="CA1281" s="415">
        <v>4</v>
      </c>
      <c r="CB1281" s="415">
        <v>6</v>
      </c>
      <c r="CC1281" s="415">
        <v>11</v>
      </c>
      <c r="CD1281" s="415">
        <v>11</v>
      </c>
      <c r="CE1281" s="414">
        <v>10</v>
      </c>
      <c r="CF1281" s="414">
        <v>6</v>
      </c>
      <c r="CG1281" s="415">
        <v>3</v>
      </c>
      <c r="CH1281" s="414">
        <v>10</v>
      </c>
      <c r="CI1281" s="414">
        <v>0</v>
      </c>
      <c r="CJ1281" s="415">
        <v>0</v>
      </c>
      <c r="CK1281" s="415">
        <v>1</v>
      </c>
      <c r="CL1281" s="414">
        <v>349500</v>
      </c>
      <c r="CM1281" s="415" t="s">
        <v>25</v>
      </c>
      <c r="CN1281" s="415" t="s">
        <v>25</v>
      </c>
      <c r="CS1281" s="421"/>
    </row>
    <row r="1282" spans="1:97" ht="15" customHeight="1">
      <c r="B1282" s="624" t="s">
        <v>144</v>
      </c>
      <c r="C1282" s="127" t="s">
        <v>149</v>
      </c>
      <c r="D1282" s="144" t="s">
        <v>2060</v>
      </c>
      <c r="E1282" s="624">
        <v>32</v>
      </c>
      <c r="F1282" s="12">
        <v>0.5</v>
      </c>
      <c r="G1282" s="94">
        <f>VLOOKUP($D1282,Construction!$B:$E,(COLUMN(Construction_BuildingReward_HeroXP)-COLUMN(Construction_Name_and_Level)+1),FALSE)</f>
        <v>500</v>
      </c>
      <c r="H1282" s="94">
        <f>G1282*(1+F1282)</f>
        <v>750</v>
      </c>
      <c r="J1282" s="95">
        <f>VLOOKUP($D1282,Construction!$B:$F,(COLUMN(Construction_BuildingReward_Power)-COLUMN(Construction_Name_and_Level)+1),FALSE)</f>
        <v>170</v>
      </c>
      <c r="Q1282" s="139">
        <v>3.472222222222222E-3</v>
      </c>
      <c r="R1282" s="289">
        <v>1.0416666666666666E-2</v>
      </c>
      <c r="X1282" s="11">
        <v>-1</v>
      </c>
      <c r="AF1282" s="141"/>
      <c r="AG1282" s="141"/>
      <c r="AH1282" s="137"/>
      <c r="AI1282" s="484">
        <f>(-1)*($S$3*$S1282+$T$3*$T1282+$U$3*$U1282+$V$3*$V1282+$W$3*$W1282+$X$3*$X1282+$Y$3*$Y1282+$Z$3*$Z1282+$AA$3*$AA1282+$AB$3*$AB1282+$AC$3*$AC1282)</f>
        <v>4.1666666666666664E-2</v>
      </c>
      <c r="AJ1282" s="137">
        <f t="shared" ref="AJ1282:AJ1284" si="493">AJ1281+(S$3*S1282+T$3*T1282+U$3*U1282+V$3*V1282+W$3*W1282+X$3*X1282+Y$3*Y1282+Z$3*Z1282+AA$3*AA1282+AB$3*AB1282+AC$3*AC1282)</f>
        <v>0.67708333333333337</v>
      </c>
      <c r="AK1282" s="339">
        <v>0.625</v>
      </c>
      <c r="AL1282" s="138">
        <f>VLOOKUP($D1282,Construction!$B:$C,(COLUMN(Construction_Time)-COLUMN(Construction_Name_and_Level)+1),FALSE)</f>
        <v>5.7002314814814818E-2</v>
      </c>
      <c r="AM1282" s="138">
        <f t="shared" ref="AM1282" si="494">AL1282/(1+AK1282)</f>
        <v>3.5078347578347581E-2</v>
      </c>
      <c r="AN1282" s="138">
        <f>(S$3*S1282+T$3*T1282+V$3*V1282+W$3*W1282+X$3*X1282+Y$3*Y1282+Z$3*Z1282+AA$3*AA1282+AB$3*AB1282+AC$3*AC1282)*(-1)</f>
        <v>4.1666666666666664E-2</v>
      </c>
      <c r="AO1282" s="139">
        <f>IF((AM1282-Q1282-R1282-AN1282)&gt;=0,AM1282-Q1282-R1282-AN1282,0)</f>
        <v>0</v>
      </c>
      <c r="AU1282" s="94">
        <f>VLOOKUP($D1282,Construction!$B:$J,(COLUMN(Construction_BuildingCost_Stone)-COLUMN(Construction_Name_and_Level)+1),FALSE)*(-1)</f>
        <v>-16708</v>
      </c>
      <c r="AV1282" s="94">
        <f>VLOOKUP($D1282,Construction!$B:$J,(COLUMN(Construction_BuildingCost_Wood)-COLUMN(Construction_Name_and_Level)+1),FALSE)*(-1)</f>
        <v>-13372</v>
      </c>
      <c r="AW1282" s="94">
        <f>VLOOKUP($D1282,Construction!$B:$J,(COLUMN(Construction_BuildingCost_Ore)-COLUMN(Construction_Name_and_Level)+1),FALSE)*(-1)</f>
        <v>-10024</v>
      </c>
      <c r="AX1282" s="94">
        <f>VLOOKUP($D1282,Construction!$B:$J,(COLUMN(Construction_BuildingCost_Food)-COLUMN(Construction_Name_and_Level)+1),FALSE)*(-1)</f>
        <v>-8364</v>
      </c>
      <c r="CS1282" s="624"/>
    </row>
    <row r="1283" spans="1:97" ht="15" customHeight="1">
      <c r="B1283" s="624" t="s">
        <v>143</v>
      </c>
      <c r="C1283" s="127" t="s">
        <v>139</v>
      </c>
      <c r="D1283" s="144" t="s">
        <v>2060</v>
      </c>
      <c r="E1283" s="624">
        <v>32</v>
      </c>
      <c r="F1283" s="12">
        <v>0.5</v>
      </c>
      <c r="G1283" s="101">
        <f>VLOOKUP($D1283,Construction!$B:$L,(COLUMN(Construction_QuestReward_HeroXP)-COLUMN(Construction_Name_and_Level)+1),FALSE)</f>
        <v>10000</v>
      </c>
      <c r="H1283" s="101">
        <f>G1283*(1+F1283)</f>
        <v>15000</v>
      </c>
      <c r="J1283" s="100">
        <f>VLOOKUP($D1283,Construction!$B:$L,(COLUMN(Construction_QuestReward_Power)-COLUMN(Construction_Name_and_Level)+1),FALSE)</f>
        <v>182</v>
      </c>
      <c r="AF1283" s="141"/>
      <c r="AG1283" s="141"/>
      <c r="AH1283" s="137"/>
      <c r="AI1283" s="484"/>
      <c r="AJ1283" s="137">
        <f t="shared" si="493"/>
        <v>0.67708333333333337</v>
      </c>
      <c r="AU1283" s="101">
        <f>VLOOKUP($D1283,Construction!$B:$Q,(COLUMN(Construction_QuestReward_Stone)-COLUMN(Construction_Name_and_Level)+1),FALSE)</f>
        <v>7100</v>
      </c>
      <c r="AV1283" s="101">
        <f>VLOOKUP($D1283,Construction!$B:$Q,(COLUMN(Construction_QuestReward_Wood)-COLUMN(Construction_Name_and_Level)+1),FALSE)</f>
        <v>5700</v>
      </c>
      <c r="AW1283" s="101">
        <f>VLOOKUP($D1283,Construction!$B:$Q,(COLUMN(Construction_QuestReward_Ore)-COLUMN(Construction_Name_and_Level)+1),FALSE)</f>
        <v>4200</v>
      </c>
      <c r="AX1283" s="101">
        <f>VLOOKUP($D1283,Construction!$B:$Q,(COLUMN(Construction_QuestReward_Food)-COLUMN(Construction_Name_and_Level)+1),FALSE)</f>
        <v>3500</v>
      </c>
      <c r="AY1283" s="100">
        <f>VLOOKUP($D1283,Construction!$B:$Q,(COLUMN(Construction_QuestReward_Silver)-COLUMN(Construction_Name_and_Level)+1),FALSE)</f>
        <v>350</v>
      </c>
      <c r="CS1283" s="624"/>
    </row>
    <row r="1284" spans="1:97" ht="15" customHeight="1">
      <c r="B1284" s="624" t="s">
        <v>144</v>
      </c>
      <c r="C1284" s="127" t="s">
        <v>138</v>
      </c>
      <c r="D1284" s="144" t="s">
        <v>890</v>
      </c>
      <c r="E1284" s="624">
        <v>32</v>
      </c>
      <c r="F1284" s="12">
        <v>0.5</v>
      </c>
      <c r="G1284" s="94">
        <f>VLOOKUP($D1284,Construction!$B:$E,(COLUMN(Construction_BuildingReward_HeroXP)-COLUMN(Construction_Name_and_Level)+1),FALSE)</f>
        <v>500</v>
      </c>
      <c r="H1284" s="94">
        <f>G1284*(1+F1284)</f>
        <v>750</v>
      </c>
      <c r="J1284" s="95">
        <f>VLOOKUP($D1284,Construction!$B:$F,(COLUMN(Construction_BuildingReward_Power)-COLUMN(Construction_Name_and_Level)+1),FALSE)</f>
        <v>85</v>
      </c>
      <c r="Q1284" s="139">
        <v>3.472222222222222E-3</v>
      </c>
      <c r="R1284" s="289">
        <v>1.0416666666666666E-2</v>
      </c>
      <c r="W1284" s="11">
        <v>-1</v>
      </c>
      <c r="AF1284" s="141"/>
      <c r="AG1284" s="141"/>
      <c r="AH1284" s="137"/>
      <c r="AI1284" s="484">
        <f>(-1)*($S$3*$S1284+$T$3*$T1284+$U$3*$U1284+$V$3*$V1284+$W$3*$W1284+$X$3*$X1284+$Y$3*$Y1284+$Z$3*$Z1284+$AA$3*$AA1284+$AB$3*$AB1284+$AC$3*$AC1284)</f>
        <v>1.0416666666666666E-2</v>
      </c>
      <c r="AJ1284" s="137">
        <f t="shared" si="493"/>
        <v>0.66666666666666674</v>
      </c>
      <c r="AK1284" s="339">
        <v>0.625</v>
      </c>
      <c r="AL1284" s="138">
        <f>VLOOKUP($D1284,Construction!$B:$C,(COLUMN(Construction_Time)-COLUMN(Construction_Name_and_Level)+1),FALSE)</f>
        <v>3.7037037037037042E-2</v>
      </c>
      <c r="AM1284" s="138">
        <f t="shared" ref="AM1284" si="495">AL1284/(1+AK1284)</f>
        <v>2.2792022792022797E-2</v>
      </c>
      <c r="AN1284" s="138">
        <f>(S$3*S1284+T$3*T1284+V$3*V1284+W$3*W1284+X$3*X1284+Y$3*Y1284+Z$3*Z1284+AA$3*AA1284+AB$3*AB1284+AC$3*AC1284)*(-1)</f>
        <v>1.0416666666666666E-2</v>
      </c>
      <c r="AO1284" s="139">
        <f>IF((AM1284-Q1284-R1284-AN1284)&gt;=0,AM1284-Q1284-R1284-AN1284,0)</f>
        <v>0</v>
      </c>
      <c r="AU1284" s="94">
        <f>VLOOKUP($D1284,Construction!$B:$J,(COLUMN(Construction_BuildingCost_Stone)-COLUMN(Construction_Name_and_Level)+1),FALSE)*(-1)</f>
        <v>-3348</v>
      </c>
      <c r="AV1284" s="94">
        <f>VLOOKUP($D1284,Construction!$B:$J,(COLUMN(Construction_BuildingCost_Wood)-COLUMN(Construction_Name_and_Level)+1),FALSE)*(-1)</f>
        <v>-3348</v>
      </c>
      <c r="AW1284" s="94">
        <f>VLOOKUP($D1284,Construction!$B:$J,(COLUMN(Construction_BuildingCost_Ore)-COLUMN(Construction_Name_and_Level)+1),FALSE)*(-1)</f>
        <v>-3348</v>
      </c>
      <c r="AX1284" s="94">
        <f>VLOOKUP($D1284,Construction!$B:$J,(COLUMN(Construction_BuildingCost_Food)-COLUMN(Construction_Name_and_Level)+1),FALSE)*(-1)</f>
        <v>0</v>
      </c>
      <c r="CS1284" s="624"/>
    </row>
  </sheetData>
  <autoFilter ref="C3:C1284"/>
  <mergeCells count="30">
    <mergeCell ref="B2:B3"/>
    <mergeCell ref="D2:D3"/>
    <mergeCell ref="K2:M2"/>
    <mergeCell ref="AN2:AN3"/>
    <mergeCell ref="J2:J3"/>
    <mergeCell ref="E2:I2"/>
    <mergeCell ref="Q2:Q3"/>
    <mergeCell ref="R2:R3"/>
    <mergeCell ref="N2:P2"/>
    <mergeCell ref="AS2:AS3"/>
    <mergeCell ref="AT2:AT3"/>
    <mergeCell ref="AO2:AO3"/>
    <mergeCell ref="S2:AE2"/>
    <mergeCell ref="AK2:AM2"/>
    <mergeCell ref="AP2:AR2"/>
    <mergeCell ref="AI2:AI3"/>
    <mergeCell ref="AF2:AH2"/>
    <mergeCell ref="AJ2:AJ3"/>
    <mergeCell ref="BF2:BJ2"/>
    <mergeCell ref="CR2:CR3"/>
    <mergeCell ref="CS2:CS3"/>
    <mergeCell ref="CT2:DF2"/>
    <mergeCell ref="AU2:AY2"/>
    <mergeCell ref="BK2:BL2"/>
    <mergeCell ref="BM2:BW2"/>
    <mergeCell ref="BX2:CB2"/>
    <mergeCell ref="CE2:CG2"/>
    <mergeCell ref="CL2:CM2"/>
    <mergeCell ref="CH2:CJ2"/>
    <mergeCell ref="AZ2:BD2"/>
  </mergeCells>
  <phoneticPr fontId="1" type="noConversion"/>
  <conditionalFormatting sqref="B1:B1048576">
    <cfRule type="cellIs" dxfId="49" priority="129" stopIfTrue="1" operator="equal">
      <formula>$CS$4</formula>
    </cfRule>
    <cfRule type="cellIs" dxfId="48" priority="130" stopIfTrue="1" operator="equal">
      <formula>$CS$5</formula>
    </cfRule>
    <cfRule type="cellIs" dxfId="47" priority="131" stopIfTrue="1" operator="equal">
      <formula>$CS$6</formula>
    </cfRule>
    <cfRule type="cellIs" dxfId="46" priority="132" stopIfTrue="1" operator="equal">
      <formula>$CS$7</formula>
    </cfRule>
    <cfRule type="cellIs" dxfId="45" priority="133" stopIfTrue="1" operator="equal">
      <formula>$CS$8</formula>
    </cfRule>
    <cfRule type="cellIs" dxfId="44" priority="134" stopIfTrue="1" operator="equal">
      <formula>$CS$9</formula>
    </cfRule>
    <cfRule type="cellIs" dxfId="43" priority="135" stopIfTrue="1" operator="equal">
      <formula>$CS$10</formula>
    </cfRule>
    <cfRule type="cellIs" dxfId="42" priority="136" stopIfTrue="1" operator="equal">
      <formula>$CS$11</formula>
    </cfRule>
    <cfRule type="cellIs" dxfId="41" priority="137" stopIfTrue="1" operator="equal">
      <formula>$CS$12</formula>
    </cfRule>
    <cfRule type="cellIs" dxfId="40" priority="138" stopIfTrue="1" operator="equal">
      <formula>$CS$13</formula>
    </cfRule>
    <cfRule type="cellIs" dxfId="39" priority="139" stopIfTrue="1" operator="equal">
      <formula>$CS$14</formula>
    </cfRule>
    <cfRule type="cellIs" dxfId="38" priority="140" stopIfTrue="1" operator="equal">
      <formula>$CS$16</formula>
    </cfRule>
  </conditionalFormatting>
  <conditionalFormatting sqref="B1:B1048576">
    <cfRule type="cellIs" dxfId="37" priority="141" stopIfTrue="1" operator="equal">
      <formula>$CS$15</formula>
    </cfRule>
  </conditionalFormatting>
  <dataValidations count="2">
    <dataValidation type="list" allowBlank="1" showInputMessage="1" showErrorMessage="1" sqref="C1:C1048576">
      <formula1>INDIRECT($B1)</formula1>
    </dataValidation>
    <dataValidation type="list" allowBlank="1" showInputMessage="1" showErrorMessage="1" sqref="B1:B1048576">
      <formula1>CATEGORY</formula1>
    </dataValidation>
  </dataValidations>
  <pageMargins left="0.7" right="0.7" top="0.75" bottom="0.75" header="0.3" footer="0.3"/>
  <pageSetup paperSize="9" orientation="portrait" horizontalDpi="200" verticalDpi="200" r:id="rId1"/>
  <ignoredErrors>
    <ignoredError sqref="G108:G109 J108:J109 AU130:AX130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theme="0"/>
  </sheetPr>
  <dimension ref="A1:AO296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H33" sqref="H33"/>
    </sheetView>
  </sheetViews>
  <sheetFormatPr defaultColWidth="9" defaultRowHeight="15" customHeight="1"/>
  <cols>
    <col min="1" max="1" width="3.5703125" style="2" customWidth="1"/>
    <col min="2" max="2" width="12.5703125" style="293" customWidth="1"/>
    <col min="3" max="3" width="21.28515625" style="127" customWidth="1"/>
    <col min="4" max="4" width="16.140625" style="144" customWidth="1"/>
    <col min="5" max="5" width="7.5703125" style="293" customWidth="1"/>
    <col min="6" max="6" width="7.85546875" style="12" customWidth="1"/>
    <col min="7" max="7" width="10.85546875" style="2" customWidth="1"/>
    <col min="8" max="8" width="11.5703125" style="2" customWidth="1"/>
    <col min="9" max="10" width="9" style="5"/>
    <col min="11" max="12" width="9" style="2"/>
    <col min="13" max="13" width="10" style="135" customWidth="1"/>
    <col min="14" max="14" width="9" style="5"/>
    <col min="15" max="16" width="10.28515625" style="135" customWidth="1"/>
    <col min="17" max="20" width="9" style="2"/>
    <col min="21" max="29" width="9" style="11"/>
    <col min="30" max="30" width="9.85546875" style="135" customWidth="1"/>
    <col min="31" max="31" width="10.85546875" style="21" customWidth="1"/>
    <col min="32" max="32" width="9.42578125" style="140" bestFit="1" customWidth="1"/>
    <col min="33" max="33" width="9.42578125" style="140" customWidth="1"/>
    <col min="34" max="34" width="9" style="140"/>
    <col min="35" max="36" width="15.28515625" style="135" customWidth="1"/>
    <col min="37" max="39" width="9" style="2"/>
    <col min="40" max="40" width="9.28515625" style="2" bestFit="1" customWidth="1"/>
    <col min="41" max="41" width="9" style="5"/>
    <col min="42" max="16384" width="9" style="2"/>
  </cols>
  <sheetData>
    <row r="1" spans="1:41" ht="15" customHeight="1">
      <c r="C1" s="293"/>
      <c r="D1" s="295"/>
      <c r="F1" s="191"/>
      <c r="G1" s="293"/>
      <c r="H1" s="293"/>
      <c r="I1" s="293"/>
      <c r="J1" s="2"/>
      <c r="M1" s="133"/>
      <c r="N1" s="2"/>
      <c r="O1" s="133"/>
      <c r="P1" s="133"/>
      <c r="AD1" s="133"/>
      <c r="AE1" s="12"/>
      <c r="AF1" s="133"/>
      <c r="AG1" s="133"/>
      <c r="AH1" s="133"/>
      <c r="AI1" s="133"/>
      <c r="AJ1" s="133"/>
      <c r="AO1" s="2"/>
    </row>
    <row r="2" spans="1:41" s="293" customFormat="1" ht="30" customHeight="1">
      <c r="B2" s="678" t="s">
        <v>673</v>
      </c>
      <c r="C2" s="678" t="s">
        <v>674</v>
      </c>
      <c r="D2" s="707" t="s">
        <v>675</v>
      </c>
      <c r="E2" s="678" t="s">
        <v>676</v>
      </c>
      <c r="F2" s="678"/>
      <c r="G2" s="678"/>
      <c r="H2" s="678"/>
      <c r="I2" s="679"/>
      <c r="J2" s="709" t="s">
        <v>677</v>
      </c>
      <c r="K2" s="683" t="s">
        <v>678</v>
      </c>
      <c r="L2" s="678"/>
      <c r="M2" s="679"/>
      <c r="N2" s="291" t="s">
        <v>679</v>
      </c>
      <c r="O2" s="702" t="s">
        <v>680</v>
      </c>
      <c r="P2" s="702" t="s">
        <v>681</v>
      </c>
      <c r="Q2" s="684" t="s">
        <v>682</v>
      </c>
      <c r="R2" s="686"/>
      <c r="S2" s="686"/>
      <c r="T2" s="686"/>
      <c r="U2" s="686"/>
      <c r="V2" s="686"/>
      <c r="W2" s="686"/>
      <c r="X2" s="686"/>
      <c r="Y2" s="686"/>
      <c r="Z2" s="686"/>
      <c r="AA2" s="686"/>
      <c r="AB2" s="686"/>
      <c r="AC2" s="685"/>
      <c r="AD2" s="693" t="s">
        <v>683</v>
      </c>
      <c r="AE2" s="691" t="s">
        <v>74</v>
      </c>
      <c r="AF2" s="692"/>
      <c r="AG2" s="692"/>
      <c r="AH2" s="687" t="s">
        <v>684</v>
      </c>
      <c r="AI2" s="689" t="s">
        <v>685</v>
      </c>
      <c r="AJ2" s="704" t="s">
        <v>894</v>
      </c>
      <c r="AK2" s="683" t="s">
        <v>686</v>
      </c>
      <c r="AL2" s="678"/>
      <c r="AM2" s="678"/>
      <c r="AN2" s="678"/>
      <c r="AO2" s="679"/>
    </row>
    <row r="3" spans="1:41" s="34" customFormat="1" ht="30" customHeight="1">
      <c r="A3" s="293"/>
      <c r="B3" s="706"/>
      <c r="C3" s="706"/>
      <c r="D3" s="708"/>
      <c r="E3" s="34" t="s">
        <v>20</v>
      </c>
      <c r="F3" s="33" t="s">
        <v>689</v>
      </c>
      <c r="G3" s="305" t="s">
        <v>690</v>
      </c>
      <c r="H3" s="34" t="s">
        <v>691</v>
      </c>
      <c r="I3" s="89" t="s">
        <v>692</v>
      </c>
      <c r="J3" s="710"/>
      <c r="K3" s="34" t="s">
        <v>20</v>
      </c>
      <c r="L3" s="34" t="s">
        <v>693</v>
      </c>
      <c r="M3" s="306" t="s">
        <v>694</v>
      </c>
      <c r="N3" s="89" t="s">
        <v>5</v>
      </c>
      <c r="O3" s="703"/>
      <c r="P3" s="703"/>
      <c r="Q3" s="158">
        <v>6.9444444444444447E-4</v>
      </c>
      <c r="R3" s="158">
        <v>2.0833333333333333E-3</v>
      </c>
      <c r="S3" s="158">
        <v>3.472222222222222E-3</v>
      </c>
      <c r="T3" s="158">
        <v>6.9444444444444441E-3</v>
      </c>
      <c r="U3" s="158">
        <v>1.0416666666666666E-2</v>
      </c>
      <c r="V3" s="158">
        <v>4.1666666666666664E-2</v>
      </c>
      <c r="W3" s="158">
        <v>0.125</v>
      </c>
      <c r="X3" s="158">
        <v>0.33333333333333331</v>
      </c>
      <c r="Y3" s="158">
        <v>0.625</v>
      </c>
      <c r="Z3" s="158">
        <v>1</v>
      </c>
      <c r="AA3" s="306">
        <v>3</v>
      </c>
      <c r="AB3" s="307" t="s">
        <v>695</v>
      </c>
      <c r="AC3" s="308" t="s">
        <v>696</v>
      </c>
      <c r="AD3" s="694"/>
      <c r="AE3" s="309" t="s">
        <v>697</v>
      </c>
      <c r="AF3" s="310" t="s">
        <v>698</v>
      </c>
      <c r="AG3" s="311" t="s">
        <v>699</v>
      </c>
      <c r="AH3" s="688"/>
      <c r="AI3" s="690"/>
      <c r="AJ3" s="705"/>
      <c r="AK3" s="34" t="s">
        <v>0</v>
      </c>
      <c r="AL3" s="34" t="s">
        <v>1</v>
      </c>
      <c r="AM3" s="34" t="s">
        <v>2</v>
      </c>
      <c r="AN3" s="34" t="s">
        <v>3</v>
      </c>
      <c r="AO3" s="89" t="s">
        <v>4</v>
      </c>
    </row>
    <row r="4" spans="1:41" ht="15.75">
      <c r="B4" s="93" t="s">
        <v>144</v>
      </c>
      <c r="C4" s="127" t="s">
        <v>149</v>
      </c>
      <c r="D4" s="144" t="s">
        <v>16</v>
      </c>
      <c r="E4" s="293">
        <v>1</v>
      </c>
      <c r="F4" s="12">
        <v>0</v>
      </c>
      <c r="G4" s="94">
        <f>VLOOKUP($D4,Construction!$B:$E,(COLUMN(Construction_BuildingReward_HeroXP)-COLUMN(Construction_Name_and_Level)+1),FALSE)</f>
        <v>10</v>
      </c>
      <c r="H4" s="94">
        <f t="shared" ref="H4:H67" si="0">G4*(1+F4)</f>
        <v>10</v>
      </c>
      <c r="J4" s="95">
        <f>VLOOKUP($D4,Construction!$B:$F,(COLUMN(Construction_BuildingReward_Power)-COLUMN(Construction_Name_and_Level)+1),FALSE)</f>
        <v>5</v>
      </c>
      <c r="O4" s="139">
        <v>3.472222222222222E-3</v>
      </c>
      <c r="P4" s="139">
        <v>3.472222222222222E-3</v>
      </c>
      <c r="AD4" s="137" t="e">
        <f>#REF!+(Q$3*Q4+R$3*R4+S$3*S4+T$3*T4+U$3*U4+V$3*V4+W$3*W4+X$3*X4+Y$3*Y4+Z$3*Z4+AA$3*AA4)</f>
        <v>#REF!</v>
      </c>
      <c r="AE4" s="259">
        <v>0</v>
      </c>
      <c r="AF4" s="138">
        <f>VLOOKUP($D4,Construction!$B:$C,(COLUMN(Construction_Time)-COLUMN(Construction_Name_and_Level)+1),FALSE)</f>
        <v>6.9444444444444447E-4</v>
      </c>
      <c r="AG4" s="138">
        <f t="shared" ref="AG4:AG67" si="1">AF4/(1+AE4)</f>
        <v>6.9444444444444447E-4</v>
      </c>
      <c r="AH4" s="138">
        <f t="shared" ref="AH4:AH67" si="2">(Q$3*Q4+R$3*R4+T$3*T4+U$3*U4+V$3*V4+W$3*W4+X$3*X4+Y$3*Y4+Z$3*Z4+AA$3*AA4)*(-1)</f>
        <v>0</v>
      </c>
      <c r="AI4" s="139">
        <f t="shared" ref="AI4:AI67" si="3">IF((AG4-O4-P4-AH4)&gt;=0,AG4-O4-P4-AH4,0)</f>
        <v>0</v>
      </c>
      <c r="AJ4" s="139">
        <f>AF4-AI4</f>
        <v>6.9444444444444447E-4</v>
      </c>
      <c r="AK4" s="94">
        <f>VLOOKUP($D4,Construction!$B:$J,(COLUMN(Construction_BuildingCost_Stone)-COLUMN(Construction_Name_and_Level)+1),FALSE)*(-1)</f>
        <v>-100</v>
      </c>
      <c r="AL4" s="94">
        <f>VLOOKUP($D4,Construction!$B:$J,(COLUMN(Construction_BuildingCost_Wood)-COLUMN(Construction_Name_and_Level)+1),FALSE)*(-1)</f>
        <v>-100</v>
      </c>
      <c r="AM4" s="94">
        <f>VLOOKUP($D4,Construction!$B:$J,(COLUMN(Construction_BuildingCost_Ore)-COLUMN(Construction_Name_and_Level)+1),FALSE)*(-1)</f>
        <v>-100</v>
      </c>
      <c r="AN4" s="94">
        <f>VLOOKUP($D4,Construction!$B:$J,(COLUMN(Construction_BuildingCost_Food)-COLUMN(Construction_Name_and_Level)+1),FALSE)*(-1)</f>
        <v>0</v>
      </c>
    </row>
    <row r="5" spans="1:41" ht="15.75">
      <c r="B5" s="93" t="s">
        <v>702</v>
      </c>
      <c r="C5" s="127" t="s">
        <v>149</v>
      </c>
      <c r="D5" s="144" t="s">
        <v>18</v>
      </c>
      <c r="E5" s="293">
        <v>1</v>
      </c>
      <c r="F5" s="12">
        <v>0</v>
      </c>
      <c r="G5" s="94">
        <f>VLOOKUP($D5,Construction!$B:$E,(COLUMN(Construction_BuildingReward_HeroXP)-COLUMN(Construction_Name_and_Level)+1),FALSE)</f>
        <v>5000</v>
      </c>
      <c r="H5" s="94">
        <f t="shared" si="0"/>
        <v>5000</v>
      </c>
      <c r="J5" s="95">
        <f>VLOOKUP($D5,Construction!$B:$F,(COLUMN(Construction_BuildingReward_Power)-COLUMN(Construction_Name_and_Level)+1),FALSE)</f>
        <v>150</v>
      </c>
      <c r="O5" s="139">
        <v>3.472222222222222E-3</v>
      </c>
      <c r="P5" s="159">
        <v>4.1666666666666666E-3</v>
      </c>
      <c r="AD5" s="137" t="e">
        <f t="shared" ref="AD5:AD32" si="4">AD4+(Q$3*Q5+R$3*R5+S$3*S5+T$3*T5+U$3*U5+V$3*V5+W$3*W5+X$3*X5+Y$3*Y5+Z$3*Z5+AA$3*AA5)</f>
        <v>#REF!</v>
      </c>
      <c r="AE5" s="259">
        <v>0</v>
      </c>
      <c r="AF5" s="138">
        <f>VLOOKUP($D5,Construction!$B:$C,(COLUMN(Construction_Time)-COLUMN(Construction_Name_and_Level)+1),FALSE)</f>
        <v>3.2407407407407406E-3</v>
      </c>
      <c r="AG5" s="138">
        <f t="shared" si="1"/>
        <v>3.2407407407407406E-3</v>
      </c>
      <c r="AH5" s="138">
        <f t="shared" si="2"/>
        <v>0</v>
      </c>
      <c r="AI5" s="139">
        <f t="shared" si="3"/>
        <v>0</v>
      </c>
      <c r="AJ5" s="139">
        <f t="shared" ref="AJ5:AJ68" si="5">AF5-AI5</f>
        <v>3.2407407407407406E-3</v>
      </c>
      <c r="AK5" s="94">
        <f>VLOOKUP($D5,Construction!$B:$J,(COLUMN(Construction_BuildingCost_Stone)-COLUMN(Construction_Name_and_Level)+1),FALSE)*(-1)</f>
        <v>-1800</v>
      </c>
      <c r="AL5" s="94">
        <f>VLOOKUP($D5,Construction!$B:$J,(COLUMN(Construction_BuildingCost_Wood)-COLUMN(Construction_Name_and_Level)+1),FALSE)*(-1)</f>
        <v>-1800</v>
      </c>
      <c r="AM5" s="94">
        <f>VLOOKUP($D5,Construction!$B:$J,(COLUMN(Construction_BuildingCost_Ore)-COLUMN(Construction_Name_and_Level)+1),FALSE)*(-1)</f>
        <v>-720</v>
      </c>
      <c r="AN5" s="94">
        <f>VLOOKUP($D5,Construction!$B:$J,(COLUMN(Construction_BuildingCost_Food)-COLUMN(Construction_Name_and_Level)+1),FALSE)*(-1)</f>
        <v>-900</v>
      </c>
    </row>
    <row r="6" spans="1:41" ht="15.75">
      <c r="B6" s="93" t="s">
        <v>702</v>
      </c>
      <c r="C6" s="127" t="s">
        <v>703</v>
      </c>
      <c r="D6" s="144" t="s">
        <v>26</v>
      </c>
      <c r="E6" s="293">
        <v>2</v>
      </c>
      <c r="F6" s="12">
        <v>0</v>
      </c>
      <c r="G6" s="94">
        <f>VLOOKUP($D6,Construction!$B:$E,(COLUMN(Construction_BuildingReward_HeroXP)-COLUMN(Construction_Name_and_Level)+1),FALSE)</f>
        <v>10</v>
      </c>
      <c r="H6" s="94">
        <f t="shared" si="0"/>
        <v>10</v>
      </c>
      <c r="J6" s="95">
        <f>VLOOKUP($D6,Construction!$B:$F,(COLUMN(Construction_BuildingReward_Power)-COLUMN(Construction_Name_and_Level)+1),FALSE)</f>
        <v>5</v>
      </c>
      <c r="O6" s="139">
        <v>3.472222222222222E-3</v>
      </c>
      <c r="P6" s="139">
        <v>4.1666666666666666E-3</v>
      </c>
      <c r="AD6" s="137" t="e">
        <f t="shared" si="4"/>
        <v>#REF!</v>
      </c>
      <c r="AE6" s="259">
        <v>0</v>
      </c>
      <c r="AF6" s="138">
        <f>VLOOKUP($D6,Construction!$B:$C,(COLUMN(Construction_Time)-COLUMN(Construction_Name_and_Level)+1),FALSE)</f>
        <v>6.9444444444444447E-4</v>
      </c>
      <c r="AG6" s="138">
        <f t="shared" si="1"/>
        <v>6.9444444444444447E-4</v>
      </c>
      <c r="AH6" s="138">
        <f t="shared" si="2"/>
        <v>0</v>
      </c>
      <c r="AI6" s="139">
        <f t="shared" si="3"/>
        <v>0</v>
      </c>
      <c r="AJ6" s="139">
        <f t="shared" si="5"/>
        <v>6.9444444444444447E-4</v>
      </c>
      <c r="AK6" s="94">
        <f>VLOOKUP($D6,Construction!$B:$J,(COLUMN(Construction_BuildingCost_Stone)-COLUMN(Construction_Name_and_Level)+1),FALSE)*(-1)</f>
        <v>-100</v>
      </c>
      <c r="AL6" s="94">
        <f>VLOOKUP($D6,Construction!$B:$J,(COLUMN(Construction_BuildingCost_Wood)-COLUMN(Construction_Name_and_Level)+1),FALSE)*(-1)</f>
        <v>0</v>
      </c>
      <c r="AM6" s="94">
        <f>VLOOKUP($D6,Construction!$B:$J,(COLUMN(Construction_BuildingCost_Ore)-COLUMN(Construction_Name_and_Level)+1),FALSE)*(-1)</f>
        <v>-100</v>
      </c>
      <c r="AN6" s="94">
        <f>VLOOKUP($D6,Construction!$B:$J,(COLUMN(Construction_BuildingCost_Food)-COLUMN(Construction_Name_and_Level)+1),FALSE)*(-1)</f>
        <v>-100</v>
      </c>
    </row>
    <row r="7" spans="1:41" ht="15.75">
      <c r="B7" s="93" t="s">
        <v>702</v>
      </c>
      <c r="C7" s="127" t="s">
        <v>703</v>
      </c>
      <c r="D7" s="144" t="s">
        <v>50</v>
      </c>
      <c r="E7" s="293">
        <v>2</v>
      </c>
      <c r="F7" s="12">
        <v>0</v>
      </c>
      <c r="G7" s="94">
        <f>VLOOKUP($D7,Construction!$B:$E,(COLUMN(Construction_BuildingReward_HeroXP)-COLUMN(Construction_Name_and_Level)+1),FALSE)</f>
        <v>10</v>
      </c>
      <c r="H7" s="94">
        <f t="shared" si="0"/>
        <v>10</v>
      </c>
      <c r="J7" s="95">
        <f>VLOOKUP($D7,Construction!$B:$F,(COLUMN(Construction_BuildingReward_Power)-COLUMN(Construction_Name_and_Level)+1),FALSE)</f>
        <v>35</v>
      </c>
      <c r="O7" s="139">
        <v>3.472222222222222E-3</v>
      </c>
      <c r="P7" s="139">
        <v>4.1666666666666666E-3</v>
      </c>
      <c r="AD7" s="137" t="e">
        <f t="shared" si="4"/>
        <v>#REF!</v>
      </c>
      <c r="AE7" s="259">
        <v>0</v>
      </c>
      <c r="AF7" s="138">
        <f>VLOOKUP($D7,Construction!$B:$C,(COLUMN(Construction_Time)-COLUMN(Construction_Name_and_Level)+1),FALSE)</f>
        <v>1.1574074074074073E-3</v>
      </c>
      <c r="AG7" s="138">
        <f t="shared" si="1"/>
        <v>1.1574074074074073E-3</v>
      </c>
      <c r="AH7" s="138">
        <f t="shared" si="2"/>
        <v>0</v>
      </c>
      <c r="AI7" s="139">
        <f t="shared" si="3"/>
        <v>0</v>
      </c>
      <c r="AJ7" s="139">
        <f t="shared" si="5"/>
        <v>1.1574074074074073E-3</v>
      </c>
      <c r="AK7" s="94">
        <f>VLOOKUP($D7,Construction!$B:$J,(COLUMN(Construction_BuildingCost_Stone)-COLUMN(Construction_Name_and_Level)+1),FALSE)*(-1)</f>
        <v>-500</v>
      </c>
      <c r="AL7" s="94">
        <f>VLOOKUP($D7,Construction!$B:$J,(COLUMN(Construction_BuildingCost_Wood)-COLUMN(Construction_Name_and_Level)+1),FALSE)*(-1)</f>
        <v>-500</v>
      </c>
      <c r="AM7" s="94">
        <f>VLOOKUP($D7,Construction!$B:$J,(COLUMN(Construction_BuildingCost_Ore)-COLUMN(Construction_Name_and_Level)+1),FALSE)*(-1)</f>
        <v>-200</v>
      </c>
      <c r="AN7" s="94">
        <f>VLOOKUP($D7,Construction!$B:$J,(COLUMN(Construction_BuildingCost_Food)-COLUMN(Construction_Name_and_Level)+1),FALSE)*(-1)</f>
        <v>-300</v>
      </c>
    </row>
    <row r="8" spans="1:41" ht="15.75">
      <c r="B8" s="93" t="s">
        <v>702</v>
      </c>
      <c r="C8" s="127" t="s">
        <v>701</v>
      </c>
      <c r="D8" s="144" t="s">
        <v>63</v>
      </c>
      <c r="E8" s="293">
        <v>4</v>
      </c>
      <c r="F8" s="12">
        <v>0</v>
      </c>
      <c r="G8" s="94">
        <f>VLOOKUP($D8,Construction!$B:$E,(COLUMN(Construction_BuildingReward_HeroXP)-COLUMN(Construction_Name_and_Level)+1),FALSE)</f>
        <v>10</v>
      </c>
      <c r="H8" s="94">
        <f t="shared" si="0"/>
        <v>10</v>
      </c>
      <c r="J8" s="95">
        <f>VLOOKUP($D8,Construction!$B:$F,(COLUMN(Construction_BuildingReward_Power)-COLUMN(Construction_Name_and_Level)+1),FALSE)</f>
        <v>20</v>
      </c>
      <c r="O8" s="139">
        <v>3.472222222222222E-3</v>
      </c>
      <c r="P8" s="139">
        <v>4.1666666666666666E-3</v>
      </c>
      <c r="AD8" s="137" t="e">
        <f t="shared" si="4"/>
        <v>#REF!</v>
      </c>
      <c r="AE8" s="259">
        <v>0</v>
      </c>
      <c r="AF8" s="138">
        <f>VLOOKUP($D8,Construction!$B:$C,(COLUMN(Construction_Time)-COLUMN(Construction_Name_and_Level)+1),FALSE)</f>
        <v>1.0416666666666667E-3</v>
      </c>
      <c r="AG8" s="138">
        <f t="shared" si="1"/>
        <v>1.0416666666666667E-3</v>
      </c>
      <c r="AH8" s="138">
        <f t="shared" si="2"/>
        <v>0</v>
      </c>
      <c r="AI8" s="139">
        <f t="shared" si="3"/>
        <v>0</v>
      </c>
      <c r="AJ8" s="139">
        <f t="shared" si="5"/>
        <v>1.0416666666666667E-3</v>
      </c>
      <c r="AK8" s="94">
        <f>VLOOKUP($D8,Construction!$B:$J,(COLUMN(Construction_BuildingCost_Stone)-COLUMN(Construction_Name_and_Level)+1),FALSE)*(-1)</f>
        <v>-500</v>
      </c>
      <c r="AL8" s="94">
        <f>VLOOKUP($D8,Construction!$B:$J,(COLUMN(Construction_BuildingCost_Wood)-COLUMN(Construction_Name_and_Level)+1),FALSE)*(-1)</f>
        <v>-400</v>
      </c>
      <c r="AM8" s="94">
        <f>VLOOKUP($D8,Construction!$B:$J,(COLUMN(Construction_BuildingCost_Ore)-COLUMN(Construction_Name_and_Level)+1),FALSE)*(-1)</f>
        <v>-300</v>
      </c>
      <c r="AN8" s="94">
        <f>VLOOKUP($D8,Construction!$B:$J,(COLUMN(Construction_BuildingCost_Food)-COLUMN(Construction_Name_and_Level)+1),FALSE)*(-1)</f>
        <v>-250</v>
      </c>
    </row>
    <row r="9" spans="1:41" ht="15.75">
      <c r="B9" s="93" t="s">
        <v>702</v>
      </c>
      <c r="C9" s="127" t="s">
        <v>701</v>
      </c>
      <c r="D9" s="144" t="s">
        <v>125</v>
      </c>
      <c r="E9" s="293">
        <v>4</v>
      </c>
      <c r="F9" s="12">
        <v>0</v>
      </c>
      <c r="G9" s="94">
        <f>VLOOKUP($D9,Construction!$B:$E,(COLUMN(Construction_BuildingReward_HeroXP)-COLUMN(Construction_Name_and_Level)+1),FALSE)</f>
        <v>25</v>
      </c>
      <c r="H9" s="94">
        <f t="shared" si="0"/>
        <v>25</v>
      </c>
      <c r="J9" s="95">
        <f>VLOOKUP($D9,Construction!$B:$F,(COLUMN(Construction_BuildingReward_Power)-COLUMN(Construction_Name_and_Level)+1),FALSE)</f>
        <v>20</v>
      </c>
      <c r="O9" s="139">
        <v>3.472222222222222E-3</v>
      </c>
      <c r="P9" s="139">
        <v>4.1666666666666666E-3</v>
      </c>
      <c r="AD9" s="137" t="e">
        <f t="shared" si="4"/>
        <v>#REF!</v>
      </c>
      <c r="AE9" s="259">
        <v>0</v>
      </c>
      <c r="AF9" s="138">
        <f>VLOOKUP($D9,Construction!$B:$C,(COLUMN(Construction_Time)-COLUMN(Construction_Name_and_Level)+1),FALSE)</f>
        <v>1.3888888888888889E-3</v>
      </c>
      <c r="AG9" s="138">
        <f t="shared" si="1"/>
        <v>1.3888888888888889E-3</v>
      </c>
      <c r="AH9" s="138">
        <f t="shared" si="2"/>
        <v>0</v>
      </c>
      <c r="AI9" s="139">
        <f t="shared" si="3"/>
        <v>0</v>
      </c>
      <c r="AJ9" s="139">
        <f t="shared" si="5"/>
        <v>1.3888888888888889E-3</v>
      </c>
      <c r="AK9" s="94">
        <f>VLOOKUP($D9,Construction!$B:$J,(COLUMN(Construction_BuildingCost_Stone)-COLUMN(Construction_Name_and_Level)+1),FALSE)*(-1)</f>
        <v>-680</v>
      </c>
      <c r="AL9" s="94">
        <f>VLOOKUP($D9,Construction!$B:$J,(COLUMN(Construction_BuildingCost_Wood)-COLUMN(Construction_Name_and_Level)+1),FALSE)*(-1)</f>
        <v>-680</v>
      </c>
      <c r="AM9" s="94">
        <f>VLOOKUP($D9,Construction!$B:$J,(COLUMN(Construction_BuildingCost_Ore)-COLUMN(Construction_Name_and_Level)+1),FALSE)*(-1)</f>
        <v>-510</v>
      </c>
      <c r="AN9" s="94">
        <f>VLOOKUP($D9,Construction!$B:$J,(COLUMN(Construction_BuildingCost_Food)-COLUMN(Construction_Name_and_Level)+1),FALSE)*(-1)</f>
        <v>-340</v>
      </c>
    </row>
    <row r="10" spans="1:41" ht="15.75">
      <c r="B10" s="93" t="s">
        <v>702</v>
      </c>
      <c r="C10" s="127" t="s">
        <v>701</v>
      </c>
      <c r="D10" s="144" t="s">
        <v>561</v>
      </c>
      <c r="E10" s="293">
        <v>4</v>
      </c>
      <c r="F10" s="12">
        <v>0</v>
      </c>
      <c r="G10" s="94">
        <f>VLOOKUP($D10,Construction!$B:$E,(COLUMN(Construction_BuildingReward_HeroXP)-COLUMN(Construction_Name_and_Level)+1),FALSE)</f>
        <v>5000</v>
      </c>
      <c r="H10" s="94">
        <f t="shared" si="0"/>
        <v>5000</v>
      </c>
      <c r="J10" s="95">
        <f>VLOOKUP($D10,Construction!$B:$F,(COLUMN(Construction_BuildingReward_Power)-COLUMN(Construction_Name_and_Level)+1),FALSE)</f>
        <v>90</v>
      </c>
      <c r="O10" s="139">
        <v>3.472222222222222E-3</v>
      </c>
      <c r="P10" s="139">
        <v>4.1666666666666666E-3</v>
      </c>
      <c r="AD10" s="137" t="e">
        <f t="shared" si="4"/>
        <v>#REF!</v>
      </c>
      <c r="AE10" s="259">
        <v>0</v>
      </c>
      <c r="AF10" s="138">
        <f>VLOOKUP($D10,Construction!$B:$C,(COLUMN(Construction_Time)-COLUMN(Construction_Name_and_Level)+1),FALSE)</f>
        <v>2.4305555555555556E-3</v>
      </c>
      <c r="AG10" s="138">
        <f t="shared" si="1"/>
        <v>2.4305555555555556E-3</v>
      </c>
      <c r="AH10" s="138">
        <f t="shared" si="2"/>
        <v>0</v>
      </c>
      <c r="AI10" s="139">
        <f t="shared" si="3"/>
        <v>0</v>
      </c>
      <c r="AJ10" s="139">
        <f t="shared" si="5"/>
        <v>2.4305555555555556E-3</v>
      </c>
      <c r="AK10" s="94">
        <f>VLOOKUP($D10,Construction!$B:$J,(COLUMN(Construction_BuildingCost_Stone)-COLUMN(Construction_Name_and_Level)+1),FALSE)*(-1)</f>
        <v>-1800</v>
      </c>
      <c r="AL10" s="94">
        <f>VLOOKUP($D10,Construction!$B:$J,(COLUMN(Construction_BuildingCost_Wood)-COLUMN(Construction_Name_and_Level)+1),FALSE)*(-1)</f>
        <v>-1440</v>
      </c>
      <c r="AM10" s="94">
        <f>VLOOKUP($D10,Construction!$B:$J,(COLUMN(Construction_BuildingCost_Ore)-COLUMN(Construction_Name_and_Level)+1),FALSE)*(-1)</f>
        <v>-540</v>
      </c>
      <c r="AN10" s="94">
        <f>VLOOKUP($D10,Construction!$B:$J,(COLUMN(Construction_BuildingCost_Food)-COLUMN(Construction_Name_and_Level)+1),FALSE)*(-1)</f>
        <v>-900</v>
      </c>
    </row>
    <row r="11" spans="1:41" ht="15.75">
      <c r="B11" s="93" t="s">
        <v>702</v>
      </c>
      <c r="C11" s="127" t="s">
        <v>701</v>
      </c>
      <c r="D11" s="144" t="s">
        <v>128</v>
      </c>
      <c r="E11" s="293">
        <v>4</v>
      </c>
      <c r="F11" s="12">
        <v>0</v>
      </c>
      <c r="G11" s="94">
        <f>VLOOKUP($D11,Construction!$B:$E,(COLUMN(Construction_BuildingReward_HeroXP)-COLUMN(Construction_Name_and_Level)+1),FALSE)</f>
        <v>10000</v>
      </c>
      <c r="H11" s="94">
        <f t="shared" si="0"/>
        <v>10000</v>
      </c>
      <c r="J11" s="95">
        <f>VLOOKUP($D11,Construction!$B:$F,(COLUMN(Construction_BuildingReward_Power)-COLUMN(Construction_Name_and_Level)+1),FALSE)</f>
        <v>150</v>
      </c>
      <c r="O11" s="139">
        <v>3.472222222222222E-3</v>
      </c>
      <c r="P11" s="139">
        <v>4.8611111111111112E-3</v>
      </c>
      <c r="R11" s="2">
        <v>-1</v>
      </c>
      <c r="AD11" s="137" t="e">
        <f t="shared" si="4"/>
        <v>#REF!</v>
      </c>
      <c r="AE11" s="259">
        <v>0</v>
      </c>
      <c r="AF11" s="138">
        <f>VLOOKUP($D11,Construction!$B:$C,(COLUMN(Construction_Time)-COLUMN(Construction_Name_and_Level)+1),FALSE)</f>
        <v>1.3888888888888888E-2</v>
      </c>
      <c r="AG11" s="138">
        <f t="shared" si="1"/>
        <v>1.3888888888888888E-2</v>
      </c>
      <c r="AH11" s="138">
        <f t="shared" si="2"/>
        <v>2.0833333333333333E-3</v>
      </c>
      <c r="AI11" s="139">
        <f t="shared" si="3"/>
        <v>3.4722222222222216E-3</v>
      </c>
      <c r="AJ11" s="139">
        <f t="shared" si="5"/>
        <v>1.0416666666666666E-2</v>
      </c>
      <c r="AK11" s="94">
        <f>VLOOKUP($D11,Construction!$B:$J,(COLUMN(Construction_BuildingCost_Stone)-COLUMN(Construction_Name_and_Level)+1),FALSE)*(-1)</f>
        <v>-3240</v>
      </c>
      <c r="AL11" s="94">
        <f>VLOOKUP($D11,Construction!$B:$J,(COLUMN(Construction_BuildingCost_Wood)-COLUMN(Construction_Name_and_Level)+1),FALSE)*(-1)</f>
        <v>-3240</v>
      </c>
      <c r="AM11" s="94">
        <f>VLOOKUP($D11,Construction!$B:$J,(COLUMN(Construction_BuildingCost_Ore)-COLUMN(Construction_Name_and_Level)+1),FALSE)*(-1)</f>
        <v>-1296</v>
      </c>
      <c r="AN11" s="94">
        <f>VLOOKUP($D11,Construction!$B:$J,(COLUMN(Construction_BuildingCost_Food)-COLUMN(Construction_Name_and_Level)+1),FALSE)*(-1)</f>
        <v>-1620</v>
      </c>
    </row>
    <row r="12" spans="1:41" ht="15.75">
      <c r="B12" s="93" t="s">
        <v>702</v>
      </c>
      <c r="C12" s="127" t="s">
        <v>701</v>
      </c>
      <c r="D12" s="144" t="s">
        <v>127</v>
      </c>
      <c r="E12" s="293">
        <v>5</v>
      </c>
      <c r="F12" s="12">
        <v>0</v>
      </c>
      <c r="G12" s="94">
        <f>VLOOKUP($D12,Construction!$B:$E,(COLUMN(Construction_BuildingReward_HeroXP)-COLUMN(Construction_Name_and_Level)+1),FALSE)</f>
        <v>50</v>
      </c>
      <c r="H12" s="94">
        <f t="shared" si="0"/>
        <v>50</v>
      </c>
      <c r="J12" s="95">
        <f>VLOOKUP($D12,Construction!$B:$F,(COLUMN(Construction_BuildingReward_Power)-COLUMN(Construction_Name_and_Level)+1),FALSE)</f>
        <v>30</v>
      </c>
      <c r="O12" s="139">
        <v>3.472222222222222E-3</v>
      </c>
      <c r="P12" s="139">
        <v>4.8611111111111112E-3</v>
      </c>
      <c r="AD12" s="137" t="e">
        <f t="shared" si="4"/>
        <v>#REF!</v>
      </c>
      <c r="AE12" s="259">
        <v>0</v>
      </c>
      <c r="AF12" s="138">
        <f>VLOOKUP($D12,Construction!$B:$C,(COLUMN(Construction_Time)-COLUMN(Construction_Name_and_Level)+1),FALSE)</f>
        <v>2.7777777777777779E-3</v>
      </c>
      <c r="AG12" s="138">
        <f t="shared" si="1"/>
        <v>2.7777777777777779E-3</v>
      </c>
      <c r="AH12" s="138">
        <f t="shared" si="2"/>
        <v>0</v>
      </c>
      <c r="AI12" s="139">
        <f t="shared" si="3"/>
        <v>0</v>
      </c>
      <c r="AJ12" s="139">
        <f t="shared" si="5"/>
        <v>2.7777777777777779E-3</v>
      </c>
      <c r="AK12" s="94">
        <f>VLOOKUP($D12,Construction!$B:$J,(COLUMN(Construction_BuildingCost_Stone)-COLUMN(Construction_Name_and_Level)+1),FALSE)*(-1)</f>
        <v>-1156</v>
      </c>
      <c r="AL12" s="94">
        <f>VLOOKUP($D12,Construction!$B:$J,(COLUMN(Construction_BuildingCost_Wood)-COLUMN(Construction_Name_and_Level)+1),FALSE)*(-1)</f>
        <v>-1156</v>
      </c>
      <c r="AM12" s="94">
        <f>VLOOKUP($D12,Construction!$B:$J,(COLUMN(Construction_BuildingCost_Ore)-COLUMN(Construction_Name_and_Level)+1),FALSE)*(-1)</f>
        <v>-867</v>
      </c>
      <c r="AN12" s="94">
        <f>VLOOKUP($D12,Construction!$B:$J,(COLUMN(Construction_BuildingCost_Food)-COLUMN(Construction_Name_and_Level)+1),FALSE)*(-1)</f>
        <v>-578</v>
      </c>
    </row>
    <row r="13" spans="1:41" ht="15.75">
      <c r="B13" s="93" t="s">
        <v>702</v>
      </c>
      <c r="C13" s="127" t="s">
        <v>701</v>
      </c>
      <c r="D13" s="144" t="s">
        <v>130</v>
      </c>
      <c r="E13" s="293">
        <v>5</v>
      </c>
      <c r="F13" s="12">
        <v>0</v>
      </c>
      <c r="G13" s="94">
        <f>VLOOKUP($D13,Construction!$B:$E,(COLUMN(Construction_BuildingReward_HeroXP)-COLUMN(Construction_Name_and_Level)+1),FALSE)</f>
        <v>10000</v>
      </c>
      <c r="H13" s="94">
        <f t="shared" si="0"/>
        <v>10000</v>
      </c>
      <c r="J13" s="304">
        <f>VLOOKUP($D13,Construction!$B:$F,(COLUMN(Construction_BuildingReward_Power)-COLUMN(Construction_Name_and_Level)+1),FALSE)</f>
        <v>250</v>
      </c>
      <c r="O13" s="139">
        <v>3.472222222222222E-3</v>
      </c>
      <c r="P13" s="159">
        <v>5.5555555555555558E-3</v>
      </c>
      <c r="T13" s="2">
        <v>-2</v>
      </c>
      <c r="U13" s="11">
        <v>-1</v>
      </c>
      <c r="AD13" s="137" t="e">
        <f t="shared" si="4"/>
        <v>#REF!</v>
      </c>
      <c r="AE13" s="259">
        <v>0</v>
      </c>
      <c r="AF13" s="138">
        <f>VLOOKUP($D13,Construction!$B:$C,(COLUMN(Construction_Time)-COLUMN(Construction_Name_and_Level)+1),FALSE)</f>
        <v>2.7777777777777776E-2</v>
      </c>
      <c r="AG13" s="138">
        <f t="shared" si="1"/>
        <v>2.7777777777777776E-2</v>
      </c>
      <c r="AH13" s="138">
        <f t="shared" si="2"/>
        <v>2.4305555555555552E-2</v>
      </c>
      <c r="AI13" s="139">
        <f t="shared" si="3"/>
        <v>0</v>
      </c>
      <c r="AJ13" s="139">
        <f t="shared" si="5"/>
        <v>2.7777777777777776E-2</v>
      </c>
      <c r="AK13" s="94">
        <f>VLOOKUP($D13,Construction!$B:$J,(COLUMN(Construction_BuildingCost_Stone)-COLUMN(Construction_Name_and_Level)+1),FALSE)*(-1)</f>
        <v>-5832</v>
      </c>
      <c r="AL13" s="94">
        <f>VLOOKUP($D13,Construction!$B:$J,(COLUMN(Construction_BuildingCost_Wood)-COLUMN(Construction_Name_and_Level)+1),FALSE)*(-1)</f>
        <v>-5832</v>
      </c>
      <c r="AM13" s="94">
        <f>VLOOKUP($D13,Construction!$B:$J,(COLUMN(Construction_BuildingCost_Ore)-COLUMN(Construction_Name_and_Level)+1),FALSE)*(-1)</f>
        <v>-2333</v>
      </c>
      <c r="AN13" s="94">
        <f>VLOOKUP($D13,Construction!$B:$J,(COLUMN(Construction_BuildingCost_Food)-COLUMN(Construction_Name_and_Level)+1),FALSE)*(-1)</f>
        <v>-2916</v>
      </c>
    </row>
    <row r="14" spans="1:41" ht="15.75">
      <c r="B14" s="93" t="s">
        <v>702</v>
      </c>
      <c r="C14" s="127" t="s">
        <v>701</v>
      </c>
      <c r="D14" s="144" t="s">
        <v>129</v>
      </c>
      <c r="E14" s="293">
        <v>5</v>
      </c>
      <c r="F14" s="12">
        <v>0</v>
      </c>
      <c r="G14" s="94">
        <f>VLOOKUP($D14,Construction!$B:$E,(COLUMN(Construction_BuildingReward_HeroXP)-COLUMN(Construction_Name_and_Level)+1),FALSE)</f>
        <v>200</v>
      </c>
      <c r="H14" s="94">
        <f t="shared" si="0"/>
        <v>200</v>
      </c>
      <c r="J14" s="95">
        <f>VLOOKUP($D14,Construction!$B:$F,(COLUMN(Construction_BuildingReward_Power)-COLUMN(Construction_Name_and_Level)+1),FALSE)</f>
        <v>50</v>
      </c>
      <c r="O14" s="139">
        <v>3.472222222222222E-3</v>
      </c>
      <c r="P14" s="139">
        <v>5.5555555555555558E-3</v>
      </c>
      <c r="AD14" s="137" t="e">
        <f t="shared" si="4"/>
        <v>#REF!</v>
      </c>
      <c r="AE14" s="259">
        <v>0</v>
      </c>
      <c r="AF14" s="138">
        <f>VLOOKUP($D14,Construction!$B:$C,(COLUMN(Construction_Time)-COLUMN(Construction_Name_and_Level)+1),FALSE)</f>
        <v>5.5555555555555558E-3</v>
      </c>
      <c r="AG14" s="138">
        <f t="shared" si="1"/>
        <v>5.5555555555555558E-3</v>
      </c>
      <c r="AH14" s="138">
        <f t="shared" si="2"/>
        <v>0</v>
      </c>
      <c r="AI14" s="139">
        <f t="shared" si="3"/>
        <v>0</v>
      </c>
      <c r="AJ14" s="139">
        <f t="shared" si="5"/>
        <v>5.5555555555555558E-3</v>
      </c>
      <c r="AK14" s="94">
        <f>VLOOKUP($D14,Construction!$B:$J,(COLUMN(Construction_BuildingCost_Stone)-COLUMN(Construction_Name_and_Level)+1),FALSE)*(-1)</f>
        <v>-1966</v>
      </c>
      <c r="AL14" s="94">
        <f>VLOOKUP($D14,Construction!$B:$J,(COLUMN(Construction_BuildingCost_Wood)-COLUMN(Construction_Name_and_Level)+1),FALSE)*(-1)</f>
        <v>-1966</v>
      </c>
      <c r="AM14" s="94">
        <f>VLOOKUP($D14,Construction!$B:$J,(COLUMN(Construction_BuildingCost_Ore)-COLUMN(Construction_Name_and_Level)+1),FALSE)*(-1)</f>
        <v>-1474</v>
      </c>
      <c r="AN14" s="94">
        <f>VLOOKUP($D14,Construction!$B:$J,(COLUMN(Construction_BuildingCost_Food)-COLUMN(Construction_Name_and_Level)+1),FALSE)*(-1)</f>
        <v>-983</v>
      </c>
    </row>
    <row r="15" spans="1:41" ht="15.75">
      <c r="B15" s="93" t="s">
        <v>702</v>
      </c>
      <c r="C15" s="127" t="s">
        <v>138</v>
      </c>
      <c r="D15" s="144" t="s">
        <v>562</v>
      </c>
      <c r="E15" s="293">
        <v>5</v>
      </c>
      <c r="F15" s="12">
        <v>0</v>
      </c>
      <c r="G15" s="94">
        <f>VLOOKUP($D15,Construction!$B:$E,(COLUMN(Construction_BuildingReward_HeroXP)-COLUMN(Construction_Name_and_Level)+1),FALSE)</f>
        <v>5000</v>
      </c>
      <c r="H15" s="94">
        <f t="shared" si="0"/>
        <v>5000</v>
      </c>
      <c r="J15" s="95">
        <f>VLOOKUP($D15,Construction!$B:$F,(COLUMN(Construction_BuildingReward_Power)-COLUMN(Construction_Name_and_Level)+1),FALSE)</f>
        <v>100</v>
      </c>
      <c r="O15" s="139">
        <v>3.472222222222222E-3</v>
      </c>
      <c r="P15" s="139">
        <v>5.5555555555555558E-3</v>
      </c>
      <c r="AD15" s="137" t="e">
        <f t="shared" si="4"/>
        <v>#REF!</v>
      </c>
      <c r="AE15" s="259">
        <v>0</v>
      </c>
      <c r="AF15" s="138">
        <f>VLOOKUP($D15,Construction!$B:$C,(COLUMN(Construction_Time)-COLUMN(Construction_Name_and_Level)+1),FALSE)</f>
        <v>4.8611111111111112E-3</v>
      </c>
      <c r="AG15" s="138">
        <f t="shared" si="1"/>
        <v>4.8611111111111112E-3</v>
      </c>
      <c r="AH15" s="138">
        <f t="shared" si="2"/>
        <v>0</v>
      </c>
      <c r="AI15" s="139">
        <f t="shared" si="3"/>
        <v>0</v>
      </c>
      <c r="AJ15" s="139">
        <f t="shared" si="5"/>
        <v>4.8611111111111112E-3</v>
      </c>
      <c r="AK15" s="94">
        <f>VLOOKUP($D15,Construction!$B:$J,(COLUMN(Construction_BuildingCost_Stone)-COLUMN(Construction_Name_and_Level)+1),FALSE)*(-1)</f>
        <v>-3240</v>
      </c>
      <c r="AL15" s="94">
        <f>VLOOKUP($D15,Construction!$B:$J,(COLUMN(Construction_BuildingCost_Wood)-COLUMN(Construction_Name_and_Level)+1),FALSE)*(-1)</f>
        <v>-2592</v>
      </c>
      <c r="AM15" s="94">
        <f>VLOOKUP($D15,Construction!$B:$J,(COLUMN(Construction_BuildingCost_Ore)-COLUMN(Construction_Name_and_Level)+1),FALSE)*(-1)</f>
        <v>-972</v>
      </c>
      <c r="AN15" s="94">
        <f>VLOOKUP($D15,Construction!$B:$J,(COLUMN(Construction_BuildingCost_Food)-COLUMN(Construction_Name_and_Level)+1),FALSE)*(-1)</f>
        <v>-1620</v>
      </c>
    </row>
    <row r="16" spans="1:41" ht="15.75">
      <c r="B16" s="93" t="s">
        <v>144</v>
      </c>
      <c r="C16" s="127" t="s">
        <v>149</v>
      </c>
      <c r="D16" s="144" t="s">
        <v>704</v>
      </c>
      <c r="E16" s="293">
        <v>7</v>
      </c>
      <c r="F16" s="12">
        <v>0</v>
      </c>
      <c r="G16" s="94">
        <f>VLOOKUP($D16,Construction!$B:$E,(COLUMN(Construction_BuildingReward_HeroXP)-COLUMN(Construction_Name_and_Level)+1),FALSE)</f>
        <v>10</v>
      </c>
      <c r="H16" s="94">
        <f t="shared" si="0"/>
        <v>10</v>
      </c>
      <c r="J16" s="95">
        <f>VLOOKUP($D16,Construction!$B:$F,(COLUMN(Construction_BuildingReward_Power)-COLUMN(Construction_Name_and_Level)+1),FALSE)</f>
        <v>5</v>
      </c>
      <c r="O16" s="139">
        <v>3.472222222222222E-3</v>
      </c>
      <c r="P16" s="139">
        <v>5.5555555555555558E-3</v>
      </c>
      <c r="AD16" s="137" t="e">
        <f t="shared" si="4"/>
        <v>#REF!</v>
      </c>
      <c r="AE16" s="259">
        <v>0.01</v>
      </c>
      <c r="AF16" s="138">
        <f>VLOOKUP($D16,Construction!$B:$C,(COLUMN(Construction_Time)-COLUMN(Construction_Name_and_Level)+1),FALSE)</f>
        <v>6.9444444444444447E-4</v>
      </c>
      <c r="AG16" s="138">
        <f t="shared" si="1"/>
        <v>6.8756875687568761E-4</v>
      </c>
      <c r="AH16" s="138">
        <f t="shared" si="2"/>
        <v>0</v>
      </c>
      <c r="AI16" s="139">
        <f t="shared" si="3"/>
        <v>0</v>
      </c>
      <c r="AJ16" s="139">
        <f t="shared" si="5"/>
        <v>6.9444444444444447E-4</v>
      </c>
      <c r="AK16" s="94">
        <f>VLOOKUP($D16,Construction!$B:$J,(COLUMN(Construction_BuildingCost_Stone)-COLUMN(Construction_Name_and_Level)+1),FALSE)*(-1)</f>
        <v>0</v>
      </c>
      <c r="AL16" s="94">
        <f>VLOOKUP($D16,Construction!$B:$J,(COLUMN(Construction_BuildingCost_Wood)-COLUMN(Construction_Name_and_Level)+1),FALSE)*(-1)</f>
        <v>-100</v>
      </c>
      <c r="AM16" s="94">
        <f>VLOOKUP($D16,Construction!$B:$J,(COLUMN(Construction_BuildingCost_Ore)-COLUMN(Construction_Name_and_Level)+1),FALSE)*(-1)</f>
        <v>-100</v>
      </c>
      <c r="AN16" s="94">
        <f>VLOOKUP($D16,Construction!$B:$J,(COLUMN(Construction_BuildingCost_Food)-COLUMN(Construction_Name_and_Level)+1),FALSE)*(-1)</f>
        <v>-100</v>
      </c>
    </row>
    <row r="17" spans="2:40" ht="15.75">
      <c r="B17" s="93" t="s">
        <v>144</v>
      </c>
      <c r="C17" s="127" t="s">
        <v>149</v>
      </c>
      <c r="D17" s="144" t="s">
        <v>705</v>
      </c>
      <c r="E17" s="293">
        <v>7</v>
      </c>
      <c r="F17" s="12">
        <v>0</v>
      </c>
      <c r="G17" s="94">
        <f>VLOOKUP($D17,Construction!$B:$E,(COLUMN(Construction_BuildingReward_HeroXP)-COLUMN(Construction_Name_and_Level)+1),FALSE)</f>
        <v>10</v>
      </c>
      <c r="H17" s="94">
        <f t="shared" si="0"/>
        <v>10</v>
      </c>
      <c r="J17" s="95">
        <f>VLOOKUP($D17,Construction!$B:$F,(COLUMN(Construction_BuildingReward_Power)-COLUMN(Construction_Name_and_Level)+1),FALSE)</f>
        <v>5</v>
      </c>
      <c r="O17" s="139">
        <v>3.472222222222222E-3</v>
      </c>
      <c r="P17" s="139">
        <v>5.5555555555555558E-3</v>
      </c>
      <c r="AD17" s="137" t="e">
        <f t="shared" si="4"/>
        <v>#REF!</v>
      </c>
      <c r="AE17" s="259">
        <v>0.01</v>
      </c>
      <c r="AF17" s="138">
        <f>VLOOKUP($D17,Construction!$B:$C,(COLUMN(Construction_Time)-COLUMN(Construction_Name_and_Level)+1),FALSE)</f>
        <v>6.9444444444444447E-4</v>
      </c>
      <c r="AG17" s="138">
        <f t="shared" si="1"/>
        <v>6.8756875687568761E-4</v>
      </c>
      <c r="AH17" s="138">
        <f t="shared" si="2"/>
        <v>0</v>
      </c>
      <c r="AI17" s="139">
        <f t="shared" si="3"/>
        <v>0</v>
      </c>
      <c r="AJ17" s="139">
        <f t="shared" si="5"/>
        <v>6.9444444444444447E-4</v>
      </c>
      <c r="AK17" s="94">
        <f>VLOOKUP($D17,Construction!$B:$J,(COLUMN(Construction_BuildingCost_Stone)-COLUMN(Construction_Name_and_Level)+1),FALSE)*(-1)</f>
        <v>-100</v>
      </c>
      <c r="AL17" s="94">
        <f>VLOOKUP($D17,Construction!$B:$J,(COLUMN(Construction_BuildingCost_Wood)-COLUMN(Construction_Name_and_Level)+1),FALSE)*(-1)</f>
        <v>-100</v>
      </c>
      <c r="AM17" s="94">
        <f>VLOOKUP($D17,Construction!$B:$J,(COLUMN(Construction_BuildingCost_Ore)-COLUMN(Construction_Name_and_Level)+1),FALSE)*(-1)</f>
        <v>0</v>
      </c>
      <c r="AN17" s="94">
        <f>VLOOKUP($D17,Construction!$B:$J,(COLUMN(Construction_BuildingCost_Food)-COLUMN(Construction_Name_and_Level)+1),FALSE)*(-1)</f>
        <v>-100</v>
      </c>
    </row>
    <row r="18" spans="2:40" ht="15.75">
      <c r="B18" s="93" t="s">
        <v>144</v>
      </c>
      <c r="C18" s="127" t="s">
        <v>149</v>
      </c>
      <c r="D18" s="144" t="s">
        <v>706</v>
      </c>
      <c r="E18" s="293">
        <v>7</v>
      </c>
      <c r="F18" s="12">
        <v>0</v>
      </c>
      <c r="G18" s="94">
        <f>VLOOKUP($D18,Construction!$B:$E,(COLUMN(Construction_BuildingReward_HeroXP)-COLUMN(Construction_Name_and_Level)+1),FALSE)</f>
        <v>10</v>
      </c>
      <c r="H18" s="94">
        <f t="shared" si="0"/>
        <v>10</v>
      </c>
      <c r="J18" s="95">
        <f>VLOOKUP($D18,Construction!$B:$F,(COLUMN(Construction_BuildingReward_Power)-COLUMN(Construction_Name_and_Level)+1),FALSE)</f>
        <v>10</v>
      </c>
      <c r="O18" s="139">
        <v>3.472222222222222E-3</v>
      </c>
      <c r="P18" s="139">
        <v>5.5555555555555558E-3</v>
      </c>
      <c r="AD18" s="137" t="e">
        <f t="shared" si="4"/>
        <v>#REF!</v>
      </c>
      <c r="AE18" s="259">
        <v>0.01</v>
      </c>
      <c r="AF18" s="138">
        <f>VLOOKUP($D18,Construction!$B:$C,(COLUMN(Construction_Time)-COLUMN(Construction_Name_and_Level)+1),FALSE)</f>
        <v>6.9444444444444447E-4</v>
      </c>
      <c r="AG18" s="138">
        <f t="shared" si="1"/>
        <v>6.8756875687568761E-4</v>
      </c>
      <c r="AH18" s="138">
        <f t="shared" si="2"/>
        <v>0</v>
      </c>
      <c r="AI18" s="139">
        <f t="shared" si="3"/>
        <v>0</v>
      </c>
      <c r="AJ18" s="139">
        <f t="shared" si="5"/>
        <v>6.9444444444444447E-4</v>
      </c>
      <c r="AK18" s="94">
        <f>VLOOKUP($D18,Construction!$B:$J,(COLUMN(Construction_BuildingCost_Stone)-COLUMN(Construction_Name_and_Level)+1),FALSE)*(-1)</f>
        <v>-200</v>
      </c>
      <c r="AL18" s="94">
        <f>VLOOKUP($D18,Construction!$B:$J,(COLUMN(Construction_BuildingCost_Wood)-COLUMN(Construction_Name_and_Level)+1),FALSE)*(-1)</f>
        <v>-200</v>
      </c>
      <c r="AM18" s="94">
        <f>VLOOKUP($D18,Construction!$B:$J,(COLUMN(Construction_BuildingCost_Ore)-COLUMN(Construction_Name_and_Level)+1),FALSE)*(-1)</f>
        <v>-50</v>
      </c>
      <c r="AN18" s="94">
        <f>VLOOKUP($D18,Construction!$B:$J,(COLUMN(Construction_BuildingCost_Food)-COLUMN(Construction_Name_and_Level)+1),FALSE)*(-1)</f>
        <v>-500</v>
      </c>
    </row>
    <row r="19" spans="2:40" ht="15.75">
      <c r="B19" s="93" t="s">
        <v>144</v>
      </c>
      <c r="C19" s="127" t="s">
        <v>149</v>
      </c>
      <c r="D19" s="144" t="s">
        <v>707</v>
      </c>
      <c r="E19" s="293">
        <v>7</v>
      </c>
      <c r="F19" s="12">
        <v>0</v>
      </c>
      <c r="G19" s="94">
        <f>VLOOKUP($D19,Construction!$B:$E,(COLUMN(Construction_BuildingReward_HeroXP)-COLUMN(Construction_Name_and_Level)+1),FALSE)</f>
        <v>10</v>
      </c>
      <c r="H19" s="94">
        <f t="shared" si="0"/>
        <v>10</v>
      </c>
      <c r="J19" s="304">
        <f>VLOOKUP($D19,Construction!$B:$F,(COLUMN(Construction_BuildingReward_Power)-COLUMN(Construction_Name_and_Level)+1),FALSE)</f>
        <v>10</v>
      </c>
      <c r="O19" s="139">
        <v>3.472222222222222E-3</v>
      </c>
      <c r="P19" s="139">
        <v>5.5555555555555558E-3</v>
      </c>
      <c r="AD19" s="137" t="e">
        <f t="shared" si="4"/>
        <v>#REF!</v>
      </c>
      <c r="AE19" s="259">
        <v>0.01</v>
      </c>
      <c r="AF19" s="138">
        <f>VLOOKUP($D19,Construction!$B:$C,(COLUMN(Construction_Time)-COLUMN(Construction_Name_and_Level)+1),FALSE)</f>
        <v>8.6805555555555551E-4</v>
      </c>
      <c r="AG19" s="138">
        <f t="shared" si="1"/>
        <v>8.5946094609460938E-4</v>
      </c>
      <c r="AH19" s="138">
        <f t="shared" si="2"/>
        <v>0</v>
      </c>
      <c r="AI19" s="139">
        <f t="shared" si="3"/>
        <v>0</v>
      </c>
      <c r="AJ19" s="139">
        <f t="shared" si="5"/>
        <v>8.6805555555555551E-4</v>
      </c>
      <c r="AK19" s="94">
        <f>VLOOKUP($D19,Construction!$B:$J,(COLUMN(Construction_BuildingCost_Stone)-COLUMN(Construction_Name_and_Level)+1),FALSE)*(-1)</f>
        <v>-300</v>
      </c>
      <c r="AL19" s="94">
        <f>VLOOKUP($D19,Construction!$B:$J,(COLUMN(Construction_BuildingCost_Wood)-COLUMN(Construction_Name_and_Level)+1),FALSE)*(-1)</f>
        <v>-400</v>
      </c>
      <c r="AM19" s="94">
        <f>VLOOKUP($D19,Construction!$B:$J,(COLUMN(Construction_BuildingCost_Ore)-COLUMN(Construction_Name_and_Level)+1),FALSE)*(-1)</f>
        <v>-800</v>
      </c>
      <c r="AN19" s="94">
        <f>VLOOKUP($D19,Construction!$B:$J,(COLUMN(Construction_BuildingCost_Food)-COLUMN(Construction_Name_and_Level)+1),FALSE)*(-1)</f>
        <v>-300</v>
      </c>
    </row>
    <row r="20" spans="2:40" ht="15.75">
      <c r="B20" s="93" t="s">
        <v>144</v>
      </c>
      <c r="C20" s="127" t="s">
        <v>149</v>
      </c>
      <c r="D20" s="144" t="s">
        <v>30</v>
      </c>
      <c r="E20" s="293">
        <v>7</v>
      </c>
      <c r="F20" s="12">
        <v>0</v>
      </c>
      <c r="G20" s="94">
        <f>VLOOKUP($D20,Construction!$B:$E,(COLUMN(Construction_BuildingReward_HeroXP)-COLUMN(Construction_Name_and_Level)+1),FALSE)</f>
        <v>25</v>
      </c>
      <c r="H20" s="94">
        <f t="shared" si="0"/>
        <v>25</v>
      </c>
      <c r="J20" s="95">
        <f>VLOOKUP($D20,Construction!$B:$F,(COLUMN(Construction_BuildingReward_Power)-COLUMN(Construction_Name_and_Level)+1),FALSE)</f>
        <v>10</v>
      </c>
      <c r="O20" s="139">
        <v>3.472222222222222E-3</v>
      </c>
      <c r="P20" s="139">
        <v>5.5555555555555558E-3</v>
      </c>
      <c r="AD20" s="137" t="e">
        <f t="shared" si="4"/>
        <v>#REF!</v>
      </c>
      <c r="AE20" s="259">
        <v>0.01</v>
      </c>
      <c r="AF20" s="138">
        <f>VLOOKUP($D20,Construction!$B:$C,(COLUMN(Construction_Time)-COLUMN(Construction_Name_and_Level)+1),FALSE)</f>
        <v>1.1574074074074073E-3</v>
      </c>
      <c r="AG20" s="138">
        <f t="shared" si="1"/>
        <v>1.1459479281261458E-3</v>
      </c>
      <c r="AH20" s="138">
        <f t="shared" si="2"/>
        <v>0</v>
      </c>
      <c r="AI20" s="139">
        <f t="shared" si="3"/>
        <v>0</v>
      </c>
      <c r="AJ20" s="139">
        <f t="shared" si="5"/>
        <v>1.1574074074074073E-3</v>
      </c>
      <c r="AK20" s="94">
        <f>VLOOKUP($D20,Construction!$B:$J,(COLUMN(Construction_BuildingCost_Stone)-COLUMN(Construction_Name_and_Level)+1),FALSE)*(-1)</f>
        <v>-170</v>
      </c>
      <c r="AL20" s="94">
        <f>VLOOKUP($D20,Construction!$B:$J,(COLUMN(Construction_BuildingCost_Wood)-COLUMN(Construction_Name_and_Level)+1),FALSE)*(-1)</f>
        <v>-170</v>
      </c>
      <c r="AM20" s="94">
        <f>VLOOKUP($D20,Construction!$B:$J,(COLUMN(Construction_BuildingCost_Ore)-COLUMN(Construction_Name_and_Level)+1),FALSE)*(-1)</f>
        <v>-170</v>
      </c>
      <c r="AN20" s="94">
        <f>VLOOKUP($D20,Construction!$B:$J,(COLUMN(Construction_BuildingCost_Food)-COLUMN(Construction_Name_and_Level)+1),FALSE)*(-1)</f>
        <v>0</v>
      </c>
    </row>
    <row r="21" spans="2:40" ht="15.75">
      <c r="B21" s="93" t="s">
        <v>144</v>
      </c>
      <c r="C21" s="127" t="s">
        <v>149</v>
      </c>
      <c r="D21" s="144" t="s">
        <v>708</v>
      </c>
      <c r="E21" s="293">
        <v>7</v>
      </c>
      <c r="F21" s="12">
        <v>0</v>
      </c>
      <c r="G21" s="94">
        <f>VLOOKUP($D21,Construction!$B:$E,(COLUMN(Construction_BuildingReward_HeroXP)-COLUMN(Construction_Name_and_Level)+1),FALSE)</f>
        <v>25</v>
      </c>
      <c r="H21" s="94">
        <f t="shared" si="0"/>
        <v>25</v>
      </c>
      <c r="J21" s="95">
        <f>VLOOKUP($D21,Construction!$B:$F,(COLUMN(Construction_BuildingReward_Power)-COLUMN(Construction_Name_and_Level)+1),FALSE)</f>
        <v>25</v>
      </c>
      <c r="O21" s="139">
        <v>3.472222222222222E-3</v>
      </c>
      <c r="P21" s="139">
        <v>5.5555555555555558E-3</v>
      </c>
      <c r="AD21" s="137" t="e">
        <f t="shared" si="4"/>
        <v>#REF!</v>
      </c>
      <c r="AE21" s="259">
        <v>0.01</v>
      </c>
      <c r="AF21" s="138">
        <f>VLOOKUP($D21,Construction!$B:$C,(COLUMN(Construction_Time)-COLUMN(Construction_Name_and_Level)+1),FALSE)</f>
        <v>1.1574074074074073E-3</v>
      </c>
      <c r="AG21" s="138">
        <f t="shared" si="1"/>
        <v>1.1459479281261458E-3</v>
      </c>
      <c r="AH21" s="138">
        <f t="shared" si="2"/>
        <v>0</v>
      </c>
      <c r="AI21" s="139">
        <f t="shared" si="3"/>
        <v>0</v>
      </c>
      <c r="AJ21" s="139">
        <f t="shared" si="5"/>
        <v>1.1574074074074073E-3</v>
      </c>
      <c r="AK21" s="94">
        <f>VLOOKUP($D21,Construction!$B:$J,(COLUMN(Construction_BuildingCost_Stone)-COLUMN(Construction_Name_and_Level)+1),FALSE)*(-1)</f>
        <v>-340</v>
      </c>
      <c r="AL21" s="94">
        <f>VLOOKUP($D21,Construction!$B:$J,(COLUMN(Construction_BuildingCost_Wood)-COLUMN(Construction_Name_and_Level)+1),FALSE)*(-1)</f>
        <v>-340</v>
      </c>
      <c r="AM21" s="94">
        <f>VLOOKUP($D21,Construction!$B:$J,(COLUMN(Construction_BuildingCost_Ore)-COLUMN(Construction_Name_and_Level)+1),FALSE)*(-1)</f>
        <v>-85</v>
      </c>
      <c r="AN21" s="94">
        <f>VLOOKUP($D21,Construction!$B:$J,(COLUMN(Construction_BuildingCost_Food)-COLUMN(Construction_Name_and_Level)+1),FALSE)*(-1)</f>
        <v>-850</v>
      </c>
    </row>
    <row r="22" spans="2:40" ht="15.75">
      <c r="B22" s="93" t="s">
        <v>144</v>
      </c>
      <c r="C22" s="127" t="s">
        <v>149</v>
      </c>
      <c r="D22" s="144" t="s">
        <v>709</v>
      </c>
      <c r="E22" s="293">
        <v>7</v>
      </c>
      <c r="F22" s="12">
        <v>0</v>
      </c>
      <c r="G22" s="94">
        <f>VLOOKUP($D22,Construction!$B:$E,(COLUMN(Construction_BuildingReward_HeroXP)-COLUMN(Construction_Name_and_Level)+1),FALSE)</f>
        <v>25</v>
      </c>
      <c r="H22" s="94">
        <f t="shared" si="0"/>
        <v>25</v>
      </c>
      <c r="J22" s="95">
        <f>VLOOKUP($D22,Construction!$B:$F,(COLUMN(Construction_BuildingReward_Power)-COLUMN(Construction_Name_and_Level)+1),FALSE)</f>
        <v>10</v>
      </c>
      <c r="O22" s="139">
        <v>3.472222222222222E-3</v>
      </c>
      <c r="P22" s="139">
        <v>5.5555555555555558E-3</v>
      </c>
      <c r="AD22" s="137" t="e">
        <f t="shared" si="4"/>
        <v>#REF!</v>
      </c>
      <c r="AE22" s="259">
        <v>0.01</v>
      </c>
      <c r="AF22" s="138">
        <f>VLOOKUP($D22,Construction!$B:$C,(COLUMN(Construction_Time)-COLUMN(Construction_Name_and_Level)+1),FALSE)</f>
        <v>1.3888888888888889E-3</v>
      </c>
      <c r="AG22" s="138">
        <f t="shared" si="1"/>
        <v>1.3751375137513752E-3</v>
      </c>
      <c r="AH22" s="138">
        <f t="shared" si="2"/>
        <v>0</v>
      </c>
      <c r="AI22" s="139">
        <f t="shared" si="3"/>
        <v>0</v>
      </c>
      <c r="AJ22" s="139">
        <f t="shared" si="5"/>
        <v>1.3888888888888889E-3</v>
      </c>
      <c r="AK22" s="94">
        <f>VLOOKUP($D22,Construction!$B:$J,(COLUMN(Construction_BuildingCost_Stone)-COLUMN(Construction_Name_and_Level)+1),FALSE)*(-1)</f>
        <v>-170</v>
      </c>
      <c r="AL22" s="94">
        <f>VLOOKUP($D22,Construction!$B:$J,(COLUMN(Construction_BuildingCost_Wood)-COLUMN(Construction_Name_and_Level)+1),FALSE)*(-1)</f>
        <v>0</v>
      </c>
      <c r="AM22" s="94">
        <f>VLOOKUP($D22,Construction!$B:$J,(COLUMN(Construction_BuildingCost_Ore)-COLUMN(Construction_Name_and_Level)+1),FALSE)*(-1)</f>
        <v>-170</v>
      </c>
      <c r="AN22" s="94">
        <f>VLOOKUP($D22,Construction!$B:$J,(COLUMN(Construction_BuildingCost_Food)-COLUMN(Construction_Name_and_Level)+1),FALSE)*(-1)</f>
        <v>-170</v>
      </c>
    </row>
    <row r="23" spans="2:40" ht="15.75">
      <c r="B23" s="93" t="s">
        <v>144</v>
      </c>
      <c r="C23" s="127" t="s">
        <v>149</v>
      </c>
      <c r="D23" s="144" t="s">
        <v>710</v>
      </c>
      <c r="E23" s="293">
        <v>8</v>
      </c>
      <c r="F23" s="12">
        <v>0</v>
      </c>
      <c r="G23" s="94">
        <f>VLOOKUP($D23,Construction!$B:$E,(COLUMN(Construction_BuildingReward_HeroXP)-COLUMN(Construction_Name_and_Level)+1),FALSE)</f>
        <v>25</v>
      </c>
      <c r="H23" s="94">
        <f t="shared" si="0"/>
        <v>25</v>
      </c>
      <c r="J23" s="95">
        <f>VLOOKUP($D23,Construction!$B:$F,(COLUMN(Construction_BuildingReward_Power)-COLUMN(Construction_Name_and_Level)+1),FALSE)</f>
        <v>10</v>
      </c>
      <c r="O23" s="139">
        <v>3.472222222222222E-3</v>
      </c>
      <c r="P23" s="139">
        <v>5.5555555555555558E-3</v>
      </c>
      <c r="AD23" s="137" t="e">
        <f t="shared" si="4"/>
        <v>#REF!</v>
      </c>
      <c r="AE23" s="259">
        <v>0.01</v>
      </c>
      <c r="AF23" s="138">
        <f>VLOOKUP($D23,Construction!$B:$C,(COLUMN(Construction_Time)-COLUMN(Construction_Name_and_Level)+1),FALSE)</f>
        <v>1.6203703703703703E-3</v>
      </c>
      <c r="AG23" s="138">
        <f t="shared" si="1"/>
        <v>1.6043270993766042E-3</v>
      </c>
      <c r="AH23" s="138">
        <f t="shared" si="2"/>
        <v>0</v>
      </c>
      <c r="AI23" s="139">
        <f t="shared" si="3"/>
        <v>0</v>
      </c>
      <c r="AJ23" s="139">
        <f t="shared" si="5"/>
        <v>1.6203703703703703E-3</v>
      </c>
      <c r="AK23" s="94">
        <f>VLOOKUP($D23,Construction!$B:$J,(COLUMN(Construction_BuildingCost_Stone)-COLUMN(Construction_Name_and_Level)+1),FALSE)*(-1)</f>
        <v>0</v>
      </c>
      <c r="AL23" s="94">
        <f>VLOOKUP($D23,Construction!$B:$J,(COLUMN(Construction_BuildingCost_Wood)-COLUMN(Construction_Name_and_Level)+1),FALSE)*(-1)</f>
        <v>-170</v>
      </c>
      <c r="AM23" s="94">
        <f>VLOOKUP($D23,Construction!$B:$J,(COLUMN(Construction_BuildingCost_Ore)-COLUMN(Construction_Name_and_Level)+1),FALSE)*(-1)</f>
        <v>-170</v>
      </c>
      <c r="AN23" s="94">
        <f>VLOOKUP($D23,Construction!$B:$J,(COLUMN(Construction_BuildingCost_Food)-COLUMN(Construction_Name_and_Level)+1),FALSE)*(-1)</f>
        <v>-170</v>
      </c>
    </row>
    <row r="24" spans="2:40" ht="15.75">
      <c r="B24" s="93" t="s">
        <v>144</v>
      </c>
      <c r="C24" s="127" t="s">
        <v>149</v>
      </c>
      <c r="D24" s="144" t="s">
        <v>711</v>
      </c>
      <c r="E24" s="293">
        <v>8</v>
      </c>
      <c r="F24" s="12">
        <v>0</v>
      </c>
      <c r="G24" s="94">
        <f>VLOOKUP($D24,Construction!$B:$E,(COLUMN(Construction_BuildingReward_HeroXP)-COLUMN(Construction_Name_and_Level)+1),FALSE)</f>
        <v>25</v>
      </c>
      <c r="H24" s="94">
        <f t="shared" si="0"/>
        <v>25</v>
      </c>
      <c r="J24" s="95">
        <f>VLOOKUP($D24,Construction!$B:$F,(COLUMN(Construction_BuildingReward_Power)-COLUMN(Construction_Name_and_Level)+1),FALSE)</f>
        <v>10</v>
      </c>
      <c r="O24" s="139">
        <v>3.472222222222222E-3</v>
      </c>
      <c r="P24" s="139">
        <v>5.5555555555555558E-3</v>
      </c>
      <c r="AD24" s="137" t="e">
        <f t="shared" si="4"/>
        <v>#REF!</v>
      </c>
      <c r="AE24" s="259">
        <v>0.01</v>
      </c>
      <c r="AF24" s="138">
        <f>VLOOKUP($D24,Construction!$B:$C,(COLUMN(Construction_Time)-COLUMN(Construction_Name_and_Level)+1),FALSE)</f>
        <v>1.8518518518518517E-3</v>
      </c>
      <c r="AG24" s="138">
        <f t="shared" si="1"/>
        <v>1.8335166850018333E-3</v>
      </c>
      <c r="AH24" s="138">
        <f t="shared" si="2"/>
        <v>0</v>
      </c>
      <c r="AI24" s="139">
        <f t="shared" si="3"/>
        <v>0</v>
      </c>
      <c r="AJ24" s="139">
        <f t="shared" si="5"/>
        <v>1.8518518518518517E-3</v>
      </c>
      <c r="AK24" s="94">
        <f>VLOOKUP($D24,Construction!$B:$J,(COLUMN(Construction_BuildingCost_Stone)-COLUMN(Construction_Name_and_Level)+1),FALSE)*(-1)</f>
        <v>-170</v>
      </c>
      <c r="AL24" s="94">
        <f>VLOOKUP($D24,Construction!$B:$J,(COLUMN(Construction_BuildingCost_Wood)-COLUMN(Construction_Name_and_Level)+1),FALSE)*(-1)</f>
        <v>-170</v>
      </c>
      <c r="AM24" s="94">
        <f>VLOOKUP($D24,Construction!$B:$J,(COLUMN(Construction_BuildingCost_Ore)-COLUMN(Construction_Name_and_Level)+1),FALSE)*(-1)</f>
        <v>0</v>
      </c>
      <c r="AN24" s="94">
        <f>VLOOKUP($D24,Construction!$B:$J,(COLUMN(Construction_BuildingCost_Food)-COLUMN(Construction_Name_and_Level)+1),FALSE)*(-1)</f>
        <v>-170</v>
      </c>
    </row>
    <row r="25" spans="2:40" ht="15.75">
      <c r="B25" s="93" t="s">
        <v>144</v>
      </c>
      <c r="C25" s="127" t="s">
        <v>149</v>
      </c>
      <c r="D25" s="144" t="s">
        <v>712</v>
      </c>
      <c r="E25" s="293">
        <v>8</v>
      </c>
      <c r="F25" s="12">
        <v>0</v>
      </c>
      <c r="G25" s="94">
        <f>VLOOKUP($D25,Construction!$B:$E,(COLUMN(Construction_BuildingReward_HeroXP)-COLUMN(Construction_Name_and_Level)+1),FALSE)</f>
        <v>50</v>
      </c>
      <c r="H25" s="94">
        <f t="shared" si="0"/>
        <v>50</v>
      </c>
      <c r="J25" s="95">
        <f>VLOOKUP($D25,Construction!$B:$F,(COLUMN(Construction_BuildingReward_Power)-COLUMN(Construction_Name_and_Level)+1),FALSE)</f>
        <v>40</v>
      </c>
      <c r="O25" s="139">
        <v>3.472222222222222E-3</v>
      </c>
      <c r="P25" s="139">
        <v>5.5555555555555558E-3</v>
      </c>
      <c r="AD25" s="137" t="e">
        <f t="shared" si="4"/>
        <v>#REF!</v>
      </c>
      <c r="AE25" s="259">
        <v>0.01</v>
      </c>
      <c r="AF25" s="138">
        <f>VLOOKUP($D25,Construction!$B:$C,(COLUMN(Construction_Time)-COLUMN(Construction_Name_and_Level)+1),FALSE)</f>
        <v>2.3148148148148151E-3</v>
      </c>
      <c r="AG25" s="138">
        <f t="shared" si="1"/>
        <v>2.2918958562522921E-3</v>
      </c>
      <c r="AH25" s="138">
        <f t="shared" si="2"/>
        <v>0</v>
      </c>
      <c r="AI25" s="139">
        <f t="shared" si="3"/>
        <v>0</v>
      </c>
      <c r="AJ25" s="139">
        <f t="shared" si="5"/>
        <v>2.3148148148148151E-3</v>
      </c>
      <c r="AK25" s="94">
        <f>VLOOKUP($D25,Construction!$B:$J,(COLUMN(Construction_BuildingCost_Stone)-COLUMN(Construction_Name_and_Level)+1),FALSE)*(-1)</f>
        <v>-578</v>
      </c>
      <c r="AL25" s="94">
        <f>VLOOKUP($D25,Construction!$B:$J,(COLUMN(Construction_BuildingCost_Wood)-COLUMN(Construction_Name_and_Level)+1),FALSE)*(-1)</f>
        <v>-578</v>
      </c>
      <c r="AM25" s="94">
        <f>VLOOKUP($D25,Construction!$B:$J,(COLUMN(Construction_BuildingCost_Ore)-COLUMN(Construction_Name_and_Level)+1),FALSE)*(-1)</f>
        <v>-145</v>
      </c>
      <c r="AN25" s="94">
        <f>VLOOKUP($D25,Construction!$B:$J,(COLUMN(Construction_BuildingCost_Food)-COLUMN(Construction_Name_and_Level)+1),FALSE)*(-1)</f>
        <v>-1445</v>
      </c>
    </row>
    <row r="26" spans="2:40" ht="15.75">
      <c r="B26" s="93" t="s">
        <v>144</v>
      </c>
      <c r="C26" s="127" t="s">
        <v>149</v>
      </c>
      <c r="D26" s="144" t="s">
        <v>713</v>
      </c>
      <c r="E26" s="293">
        <v>8</v>
      </c>
      <c r="F26" s="12">
        <v>0</v>
      </c>
      <c r="G26" s="94">
        <f>VLOOKUP($D26,Construction!$B:$E,(COLUMN(Construction_BuildingReward_HeroXP)-COLUMN(Construction_Name_and_Level)+1),FALSE)</f>
        <v>25</v>
      </c>
      <c r="H26" s="94">
        <f t="shared" si="0"/>
        <v>25</v>
      </c>
      <c r="J26" s="95">
        <f>VLOOKUP($D26,Construction!$B:$F,(COLUMN(Construction_BuildingReward_Power)-COLUMN(Construction_Name_and_Level)+1),FALSE)</f>
        <v>40</v>
      </c>
      <c r="O26" s="139">
        <v>3.472222222222222E-3</v>
      </c>
      <c r="P26" s="139">
        <v>5.5555555555555558E-3</v>
      </c>
      <c r="AD26" s="137" t="e">
        <f t="shared" si="4"/>
        <v>#REF!</v>
      </c>
      <c r="AE26" s="259">
        <v>0.01</v>
      </c>
      <c r="AF26" s="138">
        <f>VLOOKUP($D26,Construction!$B:$C,(COLUMN(Construction_Time)-COLUMN(Construction_Name_and_Level)+1),FALSE)</f>
        <v>2.0833333333333333E-3</v>
      </c>
      <c r="AG26" s="138">
        <f t="shared" si="1"/>
        <v>2.0627062706270625E-3</v>
      </c>
      <c r="AH26" s="138">
        <f t="shared" si="2"/>
        <v>0</v>
      </c>
      <c r="AI26" s="139">
        <f t="shared" si="3"/>
        <v>0</v>
      </c>
      <c r="AJ26" s="139">
        <f t="shared" si="5"/>
        <v>2.0833333333333333E-3</v>
      </c>
      <c r="AK26" s="94">
        <f>VLOOKUP($D26,Construction!$B:$J,(COLUMN(Construction_BuildingCost_Stone)-COLUMN(Construction_Name_and_Level)+1),FALSE)*(-1)</f>
        <v>-850</v>
      </c>
      <c r="AL26" s="94">
        <f>VLOOKUP($D26,Construction!$B:$J,(COLUMN(Construction_BuildingCost_Wood)-COLUMN(Construction_Name_and_Level)+1),FALSE)*(-1)</f>
        <v>-680</v>
      </c>
      <c r="AM26" s="94">
        <f>VLOOKUP($D26,Construction!$B:$J,(COLUMN(Construction_BuildingCost_Ore)-COLUMN(Construction_Name_and_Level)+1),FALSE)*(-1)</f>
        <v>-425</v>
      </c>
      <c r="AN26" s="94">
        <f>VLOOKUP($D26,Construction!$B:$J,(COLUMN(Construction_BuildingCost_Food)-COLUMN(Construction_Name_and_Level)+1),FALSE)*(-1)</f>
        <v>-510</v>
      </c>
    </row>
    <row r="27" spans="2:40" ht="15.75">
      <c r="B27" s="93" t="s">
        <v>144</v>
      </c>
      <c r="C27" s="127" t="s">
        <v>149</v>
      </c>
      <c r="D27" s="144" t="s">
        <v>16</v>
      </c>
      <c r="E27" s="293">
        <v>8</v>
      </c>
      <c r="F27" s="12">
        <v>0</v>
      </c>
      <c r="G27" s="94">
        <f>VLOOKUP($D27,Construction!$B:$E,(COLUMN(Construction_BuildingReward_HeroXP)-COLUMN(Construction_Name_and_Level)+1),FALSE)</f>
        <v>10</v>
      </c>
      <c r="H27" s="94">
        <f t="shared" si="0"/>
        <v>10</v>
      </c>
      <c r="J27" s="95">
        <f>VLOOKUP($D27,Construction!$B:$F,(COLUMN(Construction_BuildingReward_Power)-COLUMN(Construction_Name_and_Level)+1),FALSE)</f>
        <v>5</v>
      </c>
      <c r="O27" s="139">
        <v>3.472222222222222E-3</v>
      </c>
      <c r="P27" s="139">
        <v>5.5555555555555558E-3</v>
      </c>
      <c r="AD27" s="137" t="e">
        <f t="shared" si="4"/>
        <v>#REF!</v>
      </c>
      <c r="AE27" s="259">
        <v>0.01</v>
      </c>
      <c r="AF27" s="138">
        <f>VLOOKUP($D27,Construction!$B:$C,(COLUMN(Construction_Time)-COLUMN(Construction_Name_and_Level)+1),FALSE)</f>
        <v>6.9444444444444447E-4</v>
      </c>
      <c r="AG27" s="138">
        <f t="shared" si="1"/>
        <v>6.8756875687568761E-4</v>
      </c>
      <c r="AH27" s="138">
        <f t="shared" si="2"/>
        <v>0</v>
      </c>
      <c r="AI27" s="139">
        <f t="shared" si="3"/>
        <v>0</v>
      </c>
      <c r="AJ27" s="139">
        <f t="shared" si="5"/>
        <v>6.9444444444444447E-4</v>
      </c>
      <c r="AK27" s="94">
        <f>VLOOKUP($D27,Construction!$B:$J,(COLUMN(Construction_BuildingCost_Stone)-COLUMN(Construction_Name_and_Level)+1),FALSE)*(-1)</f>
        <v>-100</v>
      </c>
      <c r="AL27" s="94">
        <f>VLOOKUP($D27,Construction!$B:$J,(COLUMN(Construction_BuildingCost_Wood)-COLUMN(Construction_Name_and_Level)+1),FALSE)*(-1)</f>
        <v>-100</v>
      </c>
      <c r="AM27" s="94">
        <f>VLOOKUP($D27,Construction!$B:$J,(COLUMN(Construction_BuildingCost_Ore)-COLUMN(Construction_Name_and_Level)+1),FALSE)*(-1)</f>
        <v>-100</v>
      </c>
      <c r="AN27" s="94">
        <f>VLOOKUP($D27,Construction!$B:$J,(COLUMN(Construction_BuildingCost_Food)-COLUMN(Construction_Name_and_Level)+1),FALSE)*(-1)</f>
        <v>0</v>
      </c>
    </row>
    <row r="28" spans="2:40" ht="15.75">
      <c r="B28" s="93" t="s">
        <v>144</v>
      </c>
      <c r="C28" s="127" t="s">
        <v>149</v>
      </c>
      <c r="D28" s="144" t="s">
        <v>16</v>
      </c>
      <c r="E28" s="293">
        <v>8</v>
      </c>
      <c r="F28" s="12">
        <v>0</v>
      </c>
      <c r="G28" s="94">
        <f>VLOOKUP($D28,Construction!$B:$E,(COLUMN(Construction_BuildingReward_HeroXP)-COLUMN(Construction_Name_and_Level)+1),FALSE)</f>
        <v>10</v>
      </c>
      <c r="H28" s="94">
        <f t="shared" si="0"/>
        <v>10</v>
      </c>
      <c r="J28" s="95">
        <f>VLOOKUP($D28,Construction!$B:$F,(COLUMN(Construction_BuildingReward_Power)-COLUMN(Construction_Name_and_Level)+1),FALSE)</f>
        <v>5</v>
      </c>
      <c r="O28" s="139">
        <v>3.472222222222222E-3</v>
      </c>
      <c r="P28" s="139">
        <v>5.5555555555555558E-3</v>
      </c>
      <c r="AD28" s="137" t="e">
        <f t="shared" si="4"/>
        <v>#REF!</v>
      </c>
      <c r="AE28" s="259">
        <v>0.01</v>
      </c>
      <c r="AF28" s="138">
        <f>VLOOKUP($D28,Construction!$B:$C,(COLUMN(Construction_Time)-COLUMN(Construction_Name_and_Level)+1),FALSE)</f>
        <v>6.9444444444444447E-4</v>
      </c>
      <c r="AG28" s="138">
        <f t="shared" si="1"/>
        <v>6.8756875687568761E-4</v>
      </c>
      <c r="AH28" s="138">
        <f t="shared" si="2"/>
        <v>0</v>
      </c>
      <c r="AI28" s="139">
        <f t="shared" si="3"/>
        <v>0</v>
      </c>
      <c r="AJ28" s="139">
        <f t="shared" si="5"/>
        <v>6.9444444444444447E-4</v>
      </c>
      <c r="AK28" s="94">
        <f>VLOOKUP($D28,Construction!$B:$J,(COLUMN(Construction_BuildingCost_Stone)-COLUMN(Construction_Name_and_Level)+1),FALSE)*(-1)</f>
        <v>-100</v>
      </c>
      <c r="AL28" s="94">
        <f>VLOOKUP($D28,Construction!$B:$J,(COLUMN(Construction_BuildingCost_Wood)-COLUMN(Construction_Name_and_Level)+1),FALSE)*(-1)</f>
        <v>-100</v>
      </c>
      <c r="AM28" s="94">
        <f>VLOOKUP($D28,Construction!$B:$J,(COLUMN(Construction_BuildingCost_Ore)-COLUMN(Construction_Name_and_Level)+1),FALSE)*(-1)</f>
        <v>-100</v>
      </c>
      <c r="AN28" s="94">
        <f>VLOOKUP($D28,Construction!$B:$J,(COLUMN(Construction_BuildingCost_Food)-COLUMN(Construction_Name_and_Level)+1),FALSE)*(-1)</f>
        <v>0</v>
      </c>
    </row>
    <row r="29" spans="2:40" ht="15.75">
      <c r="B29" s="93" t="s">
        <v>144</v>
      </c>
      <c r="C29" s="127" t="s">
        <v>149</v>
      </c>
      <c r="D29" s="144" t="s">
        <v>16</v>
      </c>
      <c r="E29" s="293">
        <v>8</v>
      </c>
      <c r="F29" s="12">
        <v>0</v>
      </c>
      <c r="G29" s="94">
        <f>VLOOKUP($D29,Construction!$B:$E,(COLUMN(Construction_BuildingReward_HeroXP)-COLUMN(Construction_Name_and_Level)+1),FALSE)</f>
        <v>10</v>
      </c>
      <c r="H29" s="94">
        <f t="shared" si="0"/>
        <v>10</v>
      </c>
      <c r="J29" s="95">
        <f>VLOOKUP($D29,Construction!$B:$F,(COLUMN(Construction_BuildingReward_Power)-COLUMN(Construction_Name_and_Level)+1),FALSE)</f>
        <v>5</v>
      </c>
      <c r="O29" s="139">
        <v>3.472222222222222E-3</v>
      </c>
      <c r="P29" s="139">
        <v>5.5555555555555558E-3</v>
      </c>
      <c r="AD29" s="137" t="e">
        <f t="shared" si="4"/>
        <v>#REF!</v>
      </c>
      <c r="AE29" s="259">
        <v>0.01</v>
      </c>
      <c r="AF29" s="138">
        <f>VLOOKUP($D29,Construction!$B:$C,(COLUMN(Construction_Time)-COLUMN(Construction_Name_and_Level)+1),FALSE)</f>
        <v>6.9444444444444447E-4</v>
      </c>
      <c r="AG29" s="138">
        <f t="shared" si="1"/>
        <v>6.8756875687568761E-4</v>
      </c>
      <c r="AH29" s="138">
        <f t="shared" si="2"/>
        <v>0</v>
      </c>
      <c r="AI29" s="139">
        <f t="shared" si="3"/>
        <v>0</v>
      </c>
      <c r="AJ29" s="139">
        <f t="shared" si="5"/>
        <v>6.9444444444444447E-4</v>
      </c>
      <c r="AK29" s="94">
        <f>VLOOKUP($D29,Construction!$B:$J,(COLUMN(Construction_BuildingCost_Stone)-COLUMN(Construction_Name_and_Level)+1),FALSE)*(-1)</f>
        <v>-100</v>
      </c>
      <c r="AL29" s="94">
        <f>VLOOKUP($D29,Construction!$B:$J,(COLUMN(Construction_BuildingCost_Wood)-COLUMN(Construction_Name_and_Level)+1),FALSE)*(-1)</f>
        <v>-100</v>
      </c>
      <c r="AM29" s="94">
        <f>VLOOKUP($D29,Construction!$B:$J,(COLUMN(Construction_BuildingCost_Ore)-COLUMN(Construction_Name_and_Level)+1),FALSE)*(-1)</f>
        <v>-100</v>
      </c>
      <c r="AN29" s="94">
        <f>VLOOKUP($D29,Construction!$B:$J,(COLUMN(Construction_BuildingCost_Food)-COLUMN(Construction_Name_and_Level)+1),FALSE)*(-1)</f>
        <v>0</v>
      </c>
    </row>
    <row r="30" spans="2:40" ht="15.75">
      <c r="B30" s="93" t="s">
        <v>144</v>
      </c>
      <c r="C30" s="127" t="s">
        <v>149</v>
      </c>
      <c r="D30" s="144" t="s">
        <v>714</v>
      </c>
      <c r="E30" s="293">
        <v>8</v>
      </c>
      <c r="F30" s="12">
        <v>0</v>
      </c>
      <c r="G30" s="94">
        <f>VLOOKUP($D30,Construction!$B:$E,(COLUMN(Construction_BuildingReward_HeroXP)-COLUMN(Construction_Name_and_Level)+1),FALSE)</f>
        <v>25</v>
      </c>
      <c r="H30" s="94">
        <f t="shared" si="0"/>
        <v>25</v>
      </c>
      <c r="J30" s="95">
        <f>VLOOKUP($D30,Construction!$B:$F,(COLUMN(Construction_BuildingReward_Power)-COLUMN(Construction_Name_and_Level)+1),FALSE)</f>
        <v>25</v>
      </c>
      <c r="O30" s="139">
        <v>3.472222222222222E-3</v>
      </c>
      <c r="P30" s="139">
        <v>5.5555555555555558E-3</v>
      </c>
      <c r="AD30" s="137" t="e">
        <f t="shared" si="4"/>
        <v>#REF!</v>
      </c>
      <c r="AE30" s="259">
        <v>0.01</v>
      </c>
      <c r="AF30" s="138">
        <f>VLOOKUP($D30,Construction!$B:$C,(COLUMN(Construction_Time)-COLUMN(Construction_Name_and_Level)+1),FALSE)</f>
        <v>1.6203703703703703E-3</v>
      </c>
      <c r="AG30" s="138">
        <f t="shared" si="1"/>
        <v>1.6043270993766042E-3</v>
      </c>
      <c r="AH30" s="138">
        <f t="shared" si="2"/>
        <v>0</v>
      </c>
      <c r="AI30" s="139">
        <f t="shared" si="3"/>
        <v>0</v>
      </c>
      <c r="AJ30" s="139">
        <f t="shared" si="5"/>
        <v>1.6203703703703703E-3</v>
      </c>
      <c r="AK30" s="94">
        <f>VLOOKUP($D30,Construction!$B:$J,(COLUMN(Construction_BuildingCost_Stone)-COLUMN(Construction_Name_and_Level)+1),FALSE)*(-1)</f>
        <v>-850</v>
      </c>
      <c r="AL30" s="94">
        <f>VLOOKUP($D30,Construction!$B:$J,(COLUMN(Construction_BuildingCost_Wood)-COLUMN(Construction_Name_and_Level)+1),FALSE)*(-1)</f>
        <v>-680</v>
      </c>
      <c r="AM30" s="94">
        <f>VLOOKUP($D30,Construction!$B:$J,(COLUMN(Construction_BuildingCost_Ore)-COLUMN(Construction_Name_and_Level)+1),FALSE)*(-1)</f>
        <v>-170</v>
      </c>
      <c r="AN30" s="94">
        <f>VLOOKUP($D30,Construction!$B:$J,(COLUMN(Construction_BuildingCost_Food)-COLUMN(Construction_Name_and_Level)+1),FALSE)*(-1)</f>
        <v>-340</v>
      </c>
    </row>
    <row r="31" spans="2:40" ht="15.75">
      <c r="B31" s="93" t="s">
        <v>144</v>
      </c>
      <c r="C31" s="127" t="s">
        <v>149</v>
      </c>
      <c r="D31" s="144" t="s">
        <v>715</v>
      </c>
      <c r="E31" s="293">
        <v>8</v>
      </c>
      <c r="F31" s="12">
        <v>0</v>
      </c>
      <c r="G31" s="94">
        <f>VLOOKUP($D31,Construction!$B:$E,(COLUMN(Construction_BuildingReward_HeroXP)-COLUMN(Construction_Name_and_Level)+1),FALSE)</f>
        <v>25</v>
      </c>
      <c r="H31" s="94">
        <f t="shared" si="0"/>
        <v>25</v>
      </c>
      <c r="J31" s="304">
        <f>VLOOKUP($D31,Construction!$B:$F,(COLUMN(Construction_BuildingReward_Power)-COLUMN(Construction_Name_and_Level)+1),FALSE)</f>
        <v>70</v>
      </c>
      <c r="O31" s="139">
        <v>3.472222222222222E-3</v>
      </c>
      <c r="P31" s="139">
        <v>5.5555555555555558E-3</v>
      </c>
      <c r="AD31" s="137" t="e">
        <f t="shared" si="4"/>
        <v>#REF!</v>
      </c>
      <c r="AE31" s="259">
        <v>0.01</v>
      </c>
      <c r="AF31" s="138">
        <f>VLOOKUP($D31,Construction!$B:$C,(COLUMN(Construction_Time)-COLUMN(Construction_Name_and_Level)+1),FALSE)</f>
        <v>2.3148148148148151E-3</v>
      </c>
      <c r="AG31" s="138">
        <f t="shared" si="1"/>
        <v>2.2918958562522921E-3</v>
      </c>
      <c r="AH31" s="138">
        <f t="shared" si="2"/>
        <v>0</v>
      </c>
      <c r="AI31" s="139">
        <f t="shared" si="3"/>
        <v>0</v>
      </c>
      <c r="AJ31" s="139">
        <f t="shared" si="5"/>
        <v>2.3148148148148151E-3</v>
      </c>
      <c r="AK31" s="94">
        <f>VLOOKUP($D31,Construction!$B:$J,(COLUMN(Construction_BuildingCost_Stone)-COLUMN(Construction_Name_and_Level)+1),FALSE)*(-1)</f>
        <v>-900</v>
      </c>
      <c r="AL31" s="94">
        <f>VLOOKUP($D31,Construction!$B:$J,(COLUMN(Construction_BuildingCost_Wood)-COLUMN(Construction_Name_and_Level)+1),FALSE)*(-1)</f>
        <v>-900</v>
      </c>
      <c r="AM31" s="94">
        <f>VLOOKUP($D31,Construction!$B:$J,(COLUMN(Construction_BuildingCost_Ore)-COLUMN(Construction_Name_and_Level)+1),FALSE)*(-1)</f>
        <v>-360</v>
      </c>
      <c r="AN31" s="94">
        <f>VLOOKUP($D31,Construction!$B:$J,(COLUMN(Construction_BuildingCost_Food)-COLUMN(Construction_Name_and_Level)+1),FALSE)*(-1)</f>
        <v>-540</v>
      </c>
    </row>
    <row r="32" spans="2:40" ht="15.75">
      <c r="B32" s="93" t="s">
        <v>144</v>
      </c>
      <c r="C32" s="127" t="s">
        <v>138</v>
      </c>
      <c r="D32" s="144" t="s">
        <v>716</v>
      </c>
      <c r="E32" s="293">
        <v>8</v>
      </c>
      <c r="F32" s="12">
        <v>0</v>
      </c>
      <c r="G32" s="94">
        <f>VLOOKUP($D32,Construction!$B:$E,(COLUMN(Construction_BuildingReward_HeroXP)-COLUMN(Construction_Name_and_Level)+1),FALSE)</f>
        <v>50</v>
      </c>
      <c r="H32" s="94">
        <f t="shared" si="0"/>
        <v>50</v>
      </c>
      <c r="J32" s="95">
        <f>VLOOKUP($D32,Construction!$B:$F,(COLUMN(Construction_BuildingReward_Power)-COLUMN(Construction_Name_and_Level)+1),FALSE)</f>
        <v>105</v>
      </c>
      <c r="O32" s="139">
        <v>3.472222222222222E-3</v>
      </c>
      <c r="P32" s="139">
        <v>5.5555555555555558E-3</v>
      </c>
      <c r="AD32" s="137" t="e">
        <f t="shared" si="4"/>
        <v>#REF!</v>
      </c>
      <c r="AE32" s="259">
        <v>0.01</v>
      </c>
      <c r="AF32" s="138">
        <f>VLOOKUP($D32,Construction!$B:$C,(COLUMN(Construction_Time)-COLUMN(Construction_Name_and_Level)+1),FALSE)</f>
        <v>4.6296296296296302E-3</v>
      </c>
      <c r="AG32" s="138">
        <f t="shared" si="1"/>
        <v>4.5837917125045842E-3</v>
      </c>
      <c r="AH32" s="138">
        <f t="shared" si="2"/>
        <v>0</v>
      </c>
      <c r="AI32" s="139">
        <f t="shared" si="3"/>
        <v>0</v>
      </c>
      <c r="AJ32" s="139">
        <f t="shared" si="5"/>
        <v>4.6296296296296302E-3</v>
      </c>
      <c r="AK32" s="94">
        <f>VLOOKUP($D32,Construction!$B:$J,(COLUMN(Construction_BuildingCost_Stone)-COLUMN(Construction_Name_and_Level)+1),FALSE)*(-1)</f>
        <v>-1620</v>
      </c>
      <c r="AL32" s="94">
        <f>VLOOKUP($D32,Construction!$B:$J,(COLUMN(Construction_BuildingCost_Wood)-COLUMN(Construction_Name_and_Level)+1),FALSE)*(-1)</f>
        <v>-1620</v>
      </c>
      <c r="AM32" s="94">
        <f>VLOOKUP($D32,Construction!$B:$J,(COLUMN(Construction_BuildingCost_Ore)-COLUMN(Construction_Name_and_Level)+1),FALSE)*(-1)</f>
        <v>-648</v>
      </c>
      <c r="AN32" s="94">
        <f>VLOOKUP($D32,Construction!$B:$J,(COLUMN(Construction_BuildingCost_Food)-COLUMN(Construction_Name_and_Level)+1),FALSE)*(-1)</f>
        <v>-972</v>
      </c>
    </row>
    <row r="33" spans="2:40" ht="15.75">
      <c r="B33" s="93" t="s">
        <v>144</v>
      </c>
      <c r="C33" s="127" t="s">
        <v>138</v>
      </c>
      <c r="D33" s="144" t="s">
        <v>50</v>
      </c>
      <c r="E33" s="293">
        <v>8</v>
      </c>
      <c r="F33" s="12">
        <v>0</v>
      </c>
      <c r="G33" s="94">
        <f>VLOOKUP($D33,Construction!$B:$E,(COLUMN(Construction_BuildingReward_HeroXP)-COLUMN(Construction_Name_and_Level)+1),FALSE)</f>
        <v>10</v>
      </c>
      <c r="H33" s="94">
        <f t="shared" si="0"/>
        <v>10</v>
      </c>
      <c r="J33" s="95">
        <f>VLOOKUP($D33,Construction!$B:$F,(COLUMN(Construction_BuildingReward_Power)-COLUMN(Construction_Name_and_Level)+1),FALSE)</f>
        <v>35</v>
      </c>
      <c r="O33" s="139">
        <v>3.472222222222222E-3</v>
      </c>
      <c r="P33" s="139">
        <v>5.5555555555555558E-3</v>
      </c>
      <c r="AD33" s="137" t="e">
        <f>#REF!+(Q$3*Q33+R$3*R33+S$3*S33+T$3*T33+U$3*U33+V$3*V33+W$3*W33+X$3*X33+Y$3*Y33+Z$3*Z33+AA$3*AA33)</f>
        <v>#REF!</v>
      </c>
      <c r="AE33" s="259">
        <v>0.01</v>
      </c>
      <c r="AF33" s="138">
        <f>VLOOKUP($D33,Construction!$B:$C,(COLUMN(Construction_Time)-COLUMN(Construction_Name_and_Level)+1),FALSE)</f>
        <v>1.1574074074074073E-3</v>
      </c>
      <c r="AG33" s="138">
        <f t="shared" si="1"/>
        <v>1.1459479281261458E-3</v>
      </c>
      <c r="AH33" s="138">
        <f t="shared" si="2"/>
        <v>0</v>
      </c>
      <c r="AI33" s="139">
        <f t="shared" si="3"/>
        <v>0</v>
      </c>
      <c r="AJ33" s="139">
        <f t="shared" si="5"/>
        <v>1.1574074074074073E-3</v>
      </c>
      <c r="AK33" s="94">
        <f>VLOOKUP($D33,Construction!$B:$J,(COLUMN(Construction_BuildingCost_Stone)-COLUMN(Construction_Name_and_Level)+1),FALSE)*(-1)</f>
        <v>-500</v>
      </c>
      <c r="AL33" s="94">
        <f>VLOOKUP($D33,Construction!$B:$J,(COLUMN(Construction_BuildingCost_Wood)-COLUMN(Construction_Name_and_Level)+1),FALSE)*(-1)</f>
        <v>-500</v>
      </c>
      <c r="AM33" s="94">
        <f>VLOOKUP($D33,Construction!$B:$J,(COLUMN(Construction_BuildingCost_Ore)-COLUMN(Construction_Name_and_Level)+1),FALSE)*(-1)</f>
        <v>-200</v>
      </c>
      <c r="AN33" s="94">
        <f>VLOOKUP($D33,Construction!$B:$J,(COLUMN(Construction_BuildingCost_Food)-COLUMN(Construction_Name_and_Level)+1),FALSE)*(-1)</f>
        <v>-300</v>
      </c>
    </row>
    <row r="34" spans="2:40" ht="15.75">
      <c r="B34" s="93" t="s">
        <v>144</v>
      </c>
      <c r="C34" s="127" t="s">
        <v>138</v>
      </c>
      <c r="D34" s="144" t="s">
        <v>715</v>
      </c>
      <c r="E34" s="293">
        <v>8</v>
      </c>
      <c r="F34" s="12">
        <v>0</v>
      </c>
      <c r="G34" s="94">
        <f>VLOOKUP($D34,Construction!$B:$E,(COLUMN(Construction_BuildingReward_HeroXP)-COLUMN(Construction_Name_and_Level)+1),FALSE)</f>
        <v>25</v>
      </c>
      <c r="H34" s="94">
        <f t="shared" si="0"/>
        <v>25</v>
      </c>
      <c r="J34" s="95">
        <f>VLOOKUP($D34,Construction!$B:$F,(COLUMN(Construction_BuildingReward_Power)-COLUMN(Construction_Name_and_Level)+1),FALSE)</f>
        <v>70</v>
      </c>
      <c r="O34" s="139">
        <v>3.472222222222222E-3</v>
      </c>
      <c r="P34" s="139">
        <v>5.5555555555555558E-3</v>
      </c>
      <c r="AD34" s="137" t="e">
        <f>AD33+(Q$3*Q34+R$3*R34+S$3*S34+T$3*T34+U$3*U34+V$3*V34+W$3*W34+X$3*X34+Y$3*Y34+Z$3*Z34+AA$3*AA34)</f>
        <v>#REF!</v>
      </c>
      <c r="AE34" s="259">
        <v>0.01</v>
      </c>
      <c r="AF34" s="138">
        <f>VLOOKUP($D34,Construction!$B:$C,(COLUMN(Construction_Time)-COLUMN(Construction_Name_and_Level)+1),FALSE)</f>
        <v>2.3148148148148151E-3</v>
      </c>
      <c r="AG34" s="138">
        <f t="shared" si="1"/>
        <v>2.2918958562522921E-3</v>
      </c>
      <c r="AH34" s="138">
        <f t="shared" si="2"/>
        <v>0</v>
      </c>
      <c r="AI34" s="139">
        <f t="shared" si="3"/>
        <v>0</v>
      </c>
      <c r="AJ34" s="139">
        <f t="shared" si="5"/>
        <v>2.3148148148148151E-3</v>
      </c>
      <c r="AK34" s="94">
        <f>VLOOKUP($D34,Construction!$B:$J,(COLUMN(Construction_BuildingCost_Stone)-COLUMN(Construction_Name_and_Level)+1),FALSE)*(-1)</f>
        <v>-900</v>
      </c>
      <c r="AL34" s="94">
        <f>VLOOKUP($D34,Construction!$B:$J,(COLUMN(Construction_BuildingCost_Wood)-COLUMN(Construction_Name_and_Level)+1),FALSE)*(-1)</f>
        <v>-900</v>
      </c>
      <c r="AM34" s="94">
        <f>VLOOKUP($D34,Construction!$B:$J,(COLUMN(Construction_BuildingCost_Ore)-COLUMN(Construction_Name_and_Level)+1),FALSE)*(-1)</f>
        <v>-360</v>
      </c>
      <c r="AN34" s="94">
        <f>VLOOKUP($D34,Construction!$B:$J,(COLUMN(Construction_BuildingCost_Food)-COLUMN(Construction_Name_and_Level)+1),FALSE)*(-1)</f>
        <v>-540</v>
      </c>
    </row>
    <row r="35" spans="2:40" ht="15.75">
      <c r="B35" s="93" t="s">
        <v>144</v>
      </c>
      <c r="C35" s="127" t="s">
        <v>138</v>
      </c>
      <c r="D35" s="144" t="s">
        <v>716</v>
      </c>
      <c r="E35" s="293">
        <v>8</v>
      </c>
      <c r="F35" s="12">
        <v>0</v>
      </c>
      <c r="G35" s="94">
        <f>VLOOKUP($D35,Construction!$B:$E,(COLUMN(Construction_BuildingReward_HeroXP)-COLUMN(Construction_Name_and_Level)+1),FALSE)</f>
        <v>50</v>
      </c>
      <c r="H35" s="94">
        <f t="shared" si="0"/>
        <v>50</v>
      </c>
      <c r="J35" s="95">
        <f>VLOOKUP($D35,Construction!$B:$F,(COLUMN(Construction_BuildingReward_Power)-COLUMN(Construction_Name_and_Level)+1),FALSE)</f>
        <v>105</v>
      </c>
      <c r="O35" s="139">
        <v>3.472222222222222E-3</v>
      </c>
      <c r="P35" s="139">
        <v>5.5555555555555558E-3</v>
      </c>
      <c r="AD35" s="137" t="e">
        <f>AD34+(Q$3*Q35+R$3*R35+S$3*S35+T$3*T35+U$3*U35+V$3*V35+W$3*W35+X$3*X35+Y$3*Y35+Z$3*Z35+AA$3*AA35)</f>
        <v>#REF!</v>
      </c>
      <c r="AE35" s="259">
        <v>0.01</v>
      </c>
      <c r="AF35" s="138">
        <f>VLOOKUP($D35,Construction!$B:$C,(COLUMN(Construction_Time)-COLUMN(Construction_Name_and_Level)+1),FALSE)</f>
        <v>4.6296296296296302E-3</v>
      </c>
      <c r="AG35" s="138">
        <f t="shared" si="1"/>
        <v>4.5837917125045842E-3</v>
      </c>
      <c r="AH35" s="138">
        <f t="shared" si="2"/>
        <v>0</v>
      </c>
      <c r="AI35" s="139">
        <f t="shared" si="3"/>
        <v>0</v>
      </c>
      <c r="AJ35" s="139">
        <f t="shared" si="5"/>
        <v>4.6296296296296302E-3</v>
      </c>
      <c r="AK35" s="94">
        <f>VLOOKUP($D35,Construction!$B:$J,(COLUMN(Construction_BuildingCost_Stone)-COLUMN(Construction_Name_and_Level)+1),FALSE)*(-1)</f>
        <v>-1620</v>
      </c>
      <c r="AL35" s="94">
        <f>VLOOKUP($D35,Construction!$B:$J,(COLUMN(Construction_BuildingCost_Wood)-COLUMN(Construction_Name_and_Level)+1),FALSE)*(-1)</f>
        <v>-1620</v>
      </c>
      <c r="AM35" s="94">
        <f>VLOOKUP($D35,Construction!$B:$J,(COLUMN(Construction_BuildingCost_Ore)-COLUMN(Construction_Name_and_Level)+1),FALSE)*(-1)</f>
        <v>-648</v>
      </c>
      <c r="AN35" s="94">
        <f>VLOOKUP($D35,Construction!$B:$J,(COLUMN(Construction_BuildingCost_Food)-COLUMN(Construction_Name_and_Level)+1),FALSE)*(-1)</f>
        <v>-972</v>
      </c>
    </row>
    <row r="36" spans="2:40" ht="15.75">
      <c r="B36" s="93" t="s">
        <v>144</v>
      </c>
      <c r="C36" s="127" t="s">
        <v>138</v>
      </c>
      <c r="D36" s="144" t="s">
        <v>21</v>
      </c>
      <c r="E36" s="293">
        <v>8</v>
      </c>
      <c r="F36" s="12">
        <v>0</v>
      </c>
      <c r="G36" s="94">
        <f>VLOOKUP($D36,Construction!$B:$E,(COLUMN(Construction_BuildingReward_HeroXP)-COLUMN(Construction_Name_and_Level)+1),FALSE)</f>
        <v>10</v>
      </c>
      <c r="H36" s="94">
        <f t="shared" si="0"/>
        <v>10</v>
      </c>
      <c r="J36" s="304">
        <f>VLOOKUP($D36,Construction!$B:$F,(COLUMN(Construction_BuildingReward_Power)-COLUMN(Construction_Name_and_Level)+1),FALSE)</f>
        <v>10</v>
      </c>
      <c r="O36" s="139">
        <v>3.472222222222222E-3</v>
      </c>
      <c r="P36" s="139">
        <v>5.5555555555555558E-3</v>
      </c>
      <c r="AD36" s="137" t="e">
        <f>#REF!+(Q$3*Q36+R$3*R36+S$3*S36+T$3*T36+U$3*U36+V$3*V36+W$3*W36+X$3*X36+Y$3*Y36+Z$3*Z36+AA$3*AA36)</f>
        <v>#REF!</v>
      </c>
      <c r="AE36" s="259">
        <v>0.01</v>
      </c>
      <c r="AF36" s="138">
        <f>VLOOKUP($D36,Construction!$B:$C,(COLUMN(Construction_Time)-COLUMN(Construction_Name_and_Level)+1),FALSE)</f>
        <v>1.0416666666666667E-3</v>
      </c>
      <c r="AG36" s="138">
        <f t="shared" si="1"/>
        <v>1.0313531353135313E-3</v>
      </c>
      <c r="AH36" s="138">
        <f t="shared" si="2"/>
        <v>0</v>
      </c>
      <c r="AI36" s="139">
        <f t="shared" si="3"/>
        <v>0</v>
      </c>
      <c r="AJ36" s="139">
        <f t="shared" si="5"/>
        <v>1.0416666666666667E-3</v>
      </c>
      <c r="AK36" s="94">
        <f>VLOOKUP($D36,Construction!$B:$J,(COLUMN(Construction_BuildingCost_Stone)-COLUMN(Construction_Name_and_Level)+1),FALSE)*(-1)</f>
        <v>-500</v>
      </c>
      <c r="AL36" s="94">
        <f>VLOOKUP($D36,Construction!$B:$J,(COLUMN(Construction_BuildingCost_Wood)-COLUMN(Construction_Name_and_Level)+1),FALSE)*(-1)</f>
        <v>-400</v>
      </c>
      <c r="AM36" s="94">
        <f>VLOOKUP($D36,Construction!$B:$J,(COLUMN(Construction_BuildingCost_Ore)-COLUMN(Construction_Name_and_Level)+1),FALSE)*(-1)</f>
        <v>-300</v>
      </c>
      <c r="AN36" s="94">
        <f>VLOOKUP($D36,Construction!$B:$J,(COLUMN(Construction_BuildingCost_Food)-COLUMN(Construction_Name_and_Level)+1),FALSE)*(-1)</f>
        <v>-250</v>
      </c>
    </row>
    <row r="37" spans="2:40" ht="15.75">
      <c r="B37" s="93" t="s">
        <v>144</v>
      </c>
      <c r="C37" s="127" t="s">
        <v>138</v>
      </c>
      <c r="D37" s="144" t="s">
        <v>717</v>
      </c>
      <c r="E37" s="293">
        <v>8</v>
      </c>
      <c r="F37" s="12">
        <v>0</v>
      </c>
      <c r="G37" s="94">
        <f>VLOOKUP($D37,Construction!$B:$E,(COLUMN(Construction_BuildingReward_HeroXP)-COLUMN(Construction_Name_and_Level)+1),FALSE)</f>
        <v>25</v>
      </c>
      <c r="H37" s="94">
        <f t="shared" si="0"/>
        <v>25</v>
      </c>
      <c r="J37" s="95">
        <f>VLOOKUP($D37,Construction!$B:$F,(COLUMN(Construction_BuildingReward_Power)-COLUMN(Construction_Name_and_Level)+1),FALSE)</f>
        <v>20</v>
      </c>
      <c r="O37" s="139">
        <v>3.472222222222222E-3</v>
      </c>
      <c r="P37" s="139">
        <v>5.5555555555555558E-3</v>
      </c>
      <c r="AD37" s="137" t="e">
        <f t="shared" ref="AD37:AD80" si="6">AD36+(Q$3*Q37+R$3*R37+S$3*S37+T$3*T37+U$3*U37+V$3*V37+W$3*W37+X$3*X37+Y$3*Y37+Z$3*Z37+AA$3*AA37)</f>
        <v>#REF!</v>
      </c>
      <c r="AE37" s="259">
        <v>0.01</v>
      </c>
      <c r="AF37" s="138">
        <f>VLOOKUP($D37,Construction!$B:$C,(COLUMN(Construction_Time)-COLUMN(Construction_Name_and_Level)+1),FALSE)</f>
        <v>2.0833333333333333E-3</v>
      </c>
      <c r="AG37" s="138">
        <f t="shared" si="1"/>
        <v>2.0627062706270625E-3</v>
      </c>
      <c r="AH37" s="138">
        <f t="shared" si="2"/>
        <v>0</v>
      </c>
      <c r="AI37" s="139">
        <f t="shared" si="3"/>
        <v>0</v>
      </c>
      <c r="AJ37" s="139">
        <f t="shared" si="5"/>
        <v>2.0833333333333333E-3</v>
      </c>
      <c r="AK37" s="94">
        <f>VLOOKUP($D37,Construction!$B:$J,(COLUMN(Construction_BuildingCost_Stone)-COLUMN(Construction_Name_and_Level)+1),FALSE)*(-1)</f>
        <v>-850</v>
      </c>
      <c r="AL37" s="94">
        <f>VLOOKUP($D37,Construction!$B:$J,(COLUMN(Construction_BuildingCost_Wood)-COLUMN(Construction_Name_and_Level)+1),FALSE)*(-1)</f>
        <v>-680</v>
      </c>
      <c r="AM37" s="94">
        <f>VLOOKUP($D37,Construction!$B:$J,(COLUMN(Construction_BuildingCost_Ore)-COLUMN(Construction_Name_and_Level)+1),FALSE)*(-1)</f>
        <v>-510</v>
      </c>
      <c r="AN37" s="94">
        <f>VLOOKUP($D37,Construction!$B:$J,(COLUMN(Construction_BuildingCost_Food)-COLUMN(Construction_Name_and_Level)+1),FALSE)*(-1)</f>
        <v>-425</v>
      </c>
    </row>
    <row r="38" spans="2:40" ht="15.75">
      <c r="B38" s="93" t="s">
        <v>144</v>
      </c>
      <c r="C38" s="127" t="s">
        <v>149</v>
      </c>
      <c r="D38" s="144" t="s">
        <v>26</v>
      </c>
      <c r="E38" s="293">
        <v>8</v>
      </c>
      <c r="F38" s="12">
        <v>0</v>
      </c>
      <c r="G38" s="94">
        <f>VLOOKUP($D38,Construction!$B:$E,(COLUMN(Construction_BuildingReward_HeroXP)-COLUMN(Construction_Name_and_Level)+1),FALSE)</f>
        <v>10</v>
      </c>
      <c r="H38" s="94">
        <f t="shared" si="0"/>
        <v>10</v>
      </c>
      <c r="J38" s="95">
        <f>VLOOKUP($D38,Construction!$B:$F,(COLUMN(Construction_BuildingReward_Power)-COLUMN(Construction_Name_and_Level)+1),FALSE)</f>
        <v>5</v>
      </c>
      <c r="O38" s="139">
        <v>3.472222222222222E-3</v>
      </c>
      <c r="P38" s="139">
        <v>5.5555555555555558E-3</v>
      </c>
      <c r="AD38" s="137" t="e">
        <f t="shared" si="6"/>
        <v>#REF!</v>
      </c>
      <c r="AE38" s="259">
        <v>0.01</v>
      </c>
      <c r="AF38" s="138">
        <f>VLOOKUP($D38,Construction!$B:$C,(COLUMN(Construction_Time)-COLUMN(Construction_Name_and_Level)+1),FALSE)</f>
        <v>6.9444444444444447E-4</v>
      </c>
      <c r="AG38" s="138">
        <f t="shared" si="1"/>
        <v>6.8756875687568761E-4</v>
      </c>
      <c r="AH38" s="138">
        <f t="shared" si="2"/>
        <v>0</v>
      </c>
      <c r="AI38" s="139">
        <f t="shared" si="3"/>
        <v>0</v>
      </c>
      <c r="AJ38" s="139">
        <f t="shared" si="5"/>
        <v>6.9444444444444447E-4</v>
      </c>
      <c r="AK38" s="94">
        <f>VLOOKUP($D38,Construction!$B:$J,(COLUMN(Construction_BuildingCost_Stone)-COLUMN(Construction_Name_and_Level)+1),FALSE)*(-1)</f>
        <v>-100</v>
      </c>
      <c r="AL38" s="94">
        <f>VLOOKUP($D38,Construction!$B:$J,(COLUMN(Construction_BuildingCost_Wood)-COLUMN(Construction_Name_and_Level)+1),FALSE)*(-1)</f>
        <v>0</v>
      </c>
      <c r="AM38" s="94">
        <f>VLOOKUP($D38,Construction!$B:$J,(COLUMN(Construction_BuildingCost_Ore)-COLUMN(Construction_Name_and_Level)+1),FALSE)*(-1)</f>
        <v>-100</v>
      </c>
      <c r="AN38" s="94">
        <f>VLOOKUP($D38,Construction!$B:$J,(COLUMN(Construction_BuildingCost_Food)-COLUMN(Construction_Name_and_Level)+1),FALSE)*(-1)</f>
        <v>-100</v>
      </c>
    </row>
    <row r="39" spans="2:40" ht="15.75">
      <c r="B39" s="93" t="s">
        <v>144</v>
      </c>
      <c r="C39" s="127" t="s">
        <v>149</v>
      </c>
      <c r="D39" s="144" t="s">
        <v>26</v>
      </c>
      <c r="E39" s="293">
        <v>8</v>
      </c>
      <c r="F39" s="12">
        <v>0</v>
      </c>
      <c r="G39" s="94">
        <f>VLOOKUP($D39,Construction!$B:$E,(COLUMN(Construction_BuildingReward_HeroXP)-COLUMN(Construction_Name_and_Level)+1),FALSE)</f>
        <v>10</v>
      </c>
      <c r="H39" s="94">
        <f t="shared" si="0"/>
        <v>10</v>
      </c>
      <c r="J39" s="95">
        <f>VLOOKUP($D39,Construction!$B:$F,(COLUMN(Construction_BuildingReward_Power)-COLUMN(Construction_Name_and_Level)+1),FALSE)</f>
        <v>5</v>
      </c>
      <c r="O39" s="139">
        <v>3.472222222222222E-3</v>
      </c>
      <c r="P39" s="139">
        <v>5.5555555555555558E-3</v>
      </c>
      <c r="AD39" s="137" t="e">
        <f t="shared" si="6"/>
        <v>#REF!</v>
      </c>
      <c r="AE39" s="259">
        <v>0.01</v>
      </c>
      <c r="AF39" s="138">
        <f>VLOOKUP($D39,Construction!$B:$C,(COLUMN(Construction_Time)-COLUMN(Construction_Name_and_Level)+1),FALSE)</f>
        <v>6.9444444444444447E-4</v>
      </c>
      <c r="AG39" s="138">
        <f t="shared" si="1"/>
        <v>6.8756875687568761E-4</v>
      </c>
      <c r="AH39" s="138">
        <f t="shared" si="2"/>
        <v>0</v>
      </c>
      <c r="AI39" s="139">
        <f t="shared" si="3"/>
        <v>0</v>
      </c>
      <c r="AJ39" s="139">
        <f t="shared" si="5"/>
        <v>6.9444444444444447E-4</v>
      </c>
      <c r="AK39" s="94">
        <f>VLOOKUP($D39,Construction!$B:$J,(COLUMN(Construction_BuildingCost_Stone)-COLUMN(Construction_Name_and_Level)+1),FALSE)*(-1)</f>
        <v>-100</v>
      </c>
      <c r="AL39" s="94">
        <f>VLOOKUP($D39,Construction!$B:$J,(COLUMN(Construction_BuildingCost_Wood)-COLUMN(Construction_Name_and_Level)+1),FALSE)*(-1)</f>
        <v>0</v>
      </c>
      <c r="AM39" s="94">
        <f>VLOOKUP($D39,Construction!$B:$J,(COLUMN(Construction_BuildingCost_Ore)-COLUMN(Construction_Name_and_Level)+1),FALSE)*(-1)</f>
        <v>-100</v>
      </c>
      <c r="AN39" s="94">
        <f>VLOOKUP($D39,Construction!$B:$J,(COLUMN(Construction_BuildingCost_Food)-COLUMN(Construction_Name_and_Level)+1),FALSE)*(-1)</f>
        <v>-100</v>
      </c>
    </row>
    <row r="40" spans="2:40" ht="15.75">
      <c r="B40" s="93" t="s">
        <v>144</v>
      </c>
      <c r="C40" s="127" t="s">
        <v>149</v>
      </c>
      <c r="D40" s="144" t="s">
        <v>26</v>
      </c>
      <c r="E40" s="293">
        <v>8</v>
      </c>
      <c r="F40" s="12">
        <v>0</v>
      </c>
      <c r="G40" s="94">
        <f>VLOOKUP($D40,Construction!$B:$E,(COLUMN(Construction_BuildingReward_HeroXP)-COLUMN(Construction_Name_and_Level)+1),FALSE)</f>
        <v>10</v>
      </c>
      <c r="H40" s="94">
        <f t="shared" si="0"/>
        <v>10</v>
      </c>
      <c r="J40" s="95">
        <f>VLOOKUP($D40,Construction!$B:$F,(COLUMN(Construction_BuildingReward_Power)-COLUMN(Construction_Name_and_Level)+1),FALSE)</f>
        <v>5</v>
      </c>
      <c r="O40" s="139">
        <v>3.472222222222222E-3</v>
      </c>
      <c r="P40" s="139">
        <v>5.5555555555555558E-3</v>
      </c>
      <c r="AD40" s="137" t="e">
        <f t="shared" si="6"/>
        <v>#REF!</v>
      </c>
      <c r="AE40" s="259">
        <v>0.01</v>
      </c>
      <c r="AF40" s="138">
        <f>VLOOKUP($D40,Construction!$B:$C,(COLUMN(Construction_Time)-COLUMN(Construction_Name_and_Level)+1),FALSE)</f>
        <v>6.9444444444444447E-4</v>
      </c>
      <c r="AG40" s="138">
        <f t="shared" si="1"/>
        <v>6.8756875687568761E-4</v>
      </c>
      <c r="AH40" s="138">
        <f t="shared" si="2"/>
        <v>0</v>
      </c>
      <c r="AI40" s="139">
        <f t="shared" si="3"/>
        <v>0</v>
      </c>
      <c r="AJ40" s="139">
        <f t="shared" si="5"/>
        <v>6.9444444444444447E-4</v>
      </c>
      <c r="AK40" s="94">
        <f>VLOOKUP($D40,Construction!$B:$J,(COLUMN(Construction_BuildingCost_Stone)-COLUMN(Construction_Name_and_Level)+1),FALSE)*(-1)</f>
        <v>-100</v>
      </c>
      <c r="AL40" s="94">
        <f>VLOOKUP($D40,Construction!$B:$J,(COLUMN(Construction_BuildingCost_Wood)-COLUMN(Construction_Name_and_Level)+1),FALSE)*(-1)</f>
        <v>0</v>
      </c>
      <c r="AM40" s="94">
        <f>VLOOKUP($D40,Construction!$B:$J,(COLUMN(Construction_BuildingCost_Ore)-COLUMN(Construction_Name_and_Level)+1),FALSE)*(-1)</f>
        <v>-100</v>
      </c>
      <c r="AN40" s="94">
        <f>VLOOKUP($D40,Construction!$B:$J,(COLUMN(Construction_BuildingCost_Food)-COLUMN(Construction_Name_and_Level)+1),FALSE)*(-1)</f>
        <v>-100</v>
      </c>
    </row>
    <row r="41" spans="2:40" ht="15.75">
      <c r="B41" s="93" t="s">
        <v>144</v>
      </c>
      <c r="C41" s="127" t="s">
        <v>149</v>
      </c>
      <c r="D41" s="144" t="s">
        <v>718</v>
      </c>
      <c r="E41" s="293">
        <v>10</v>
      </c>
      <c r="F41" s="12">
        <v>0</v>
      </c>
      <c r="G41" s="94">
        <f>VLOOKUP($D41,Construction!$B:$E,(COLUMN(Construction_BuildingReward_HeroXP)-COLUMN(Construction_Name_and_Level)+1),FALSE)</f>
        <v>25</v>
      </c>
      <c r="H41" s="94">
        <f t="shared" si="0"/>
        <v>25</v>
      </c>
      <c r="J41" s="95">
        <f>VLOOKUP($D41,Construction!$B:$F,(COLUMN(Construction_BuildingReward_Power)-COLUMN(Construction_Name_and_Level)+1),FALSE)</f>
        <v>25</v>
      </c>
      <c r="O41" s="139">
        <v>3.472222222222222E-3</v>
      </c>
      <c r="P41" s="139">
        <v>5.5555555555555558E-3</v>
      </c>
      <c r="AD41" s="137" t="e">
        <f t="shared" si="6"/>
        <v>#REF!</v>
      </c>
      <c r="AE41" s="259">
        <v>0.1</v>
      </c>
      <c r="AF41" s="138">
        <f>VLOOKUP($D41,Construction!$B:$C,(COLUMN(Construction_Time)-COLUMN(Construction_Name_and_Level)+1),FALSE)</f>
        <v>1.736111111111111E-3</v>
      </c>
      <c r="AG41" s="138">
        <f t="shared" si="1"/>
        <v>1.578282828282828E-3</v>
      </c>
      <c r="AH41" s="138">
        <f t="shared" si="2"/>
        <v>0</v>
      </c>
      <c r="AI41" s="139">
        <f t="shared" si="3"/>
        <v>0</v>
      </c>
      <c r="AJ41" s="139">
        <f t="shared" si="5"/>
        <v>1.736111111111111E-3</v>
      </c>
      <c r="AK41" s="94">
        <f>VLOOKUP($D41,Construction!$B:$J,(COLUMN(Construction_BuildingCost_Stone)-COLUMN(Construction_Name_and_Level)+1),FALSE)*(-1)</f>
        <v>-510</v>
      </c>
      <c r="AL41" s="94">
        <f>VLOOKUP($D41,Construction!$B:$J,(COLUMN(Construction_BuildingCost_Wood)-COLUMN(Construction_Name_and_Level)+1),FALSE)*(-1)</f>
        <v>-680</v>
      </c>
      <c r="AM41" s="94">
        <f>VLOOKUP($D41,Construction!$B:$J,(COLUMN(Construction_BuildingCost_Ore)-COLUMN(Construction_Name_and_Level)+1),FALSE)*(-1)</f>
        <v>-1360</v>
      </c>
      <c r="AN41" s="94">
        <f>VLOOKUP($D41,Construction!$B:$J,(COLUMN(Construction_BuildingCost_Food)-COLUMN(Construction_Name_and_Level)+1),FALSE)*(-1)</f>
        <v>-510</v>
      </c>
    </row>
    <row r="42" spans="2:40" ht="15.75">
      <c r="B42" s="93" t="s">
        <v>144</v>
      </c>
      <c r="C42" s="127" t="s">
        <v>138</v>
      </c>
      <c r="D42" s="144" t="s">
        <v>719</v>
      </c>
      <c r="E42" s="293">
        <v>10</v>
      </c>
      <c r="F42" s="12">
        <v>0</v>
      </c>
      <c r="G42" s="94">
        <f>VLOOKUP($D42,Construction!$B:$E,(COLUMN(Construction_BuildingReward_HeroXP)-COLUMN(Construction_Name_and_Level)+1),FALSE)</f>
        <v>50</v>
      </c>
      <c r="H42" s="94">
        <f t="shared" si="0"/>
        <v>50</v>
      </c>
      <c r="J42" s="304">
        <f>VLOOKUP($D42,Construction!$B:$F,(COLUMN(Construction_BuildingReward_Power)-COLUMN(Construction_Name_and_Level)+1),FALSE)</f>
        <v>15</v>
      </c>
      <c r="O42" s="139">
        <v>3.472222222222222E-3</v>
      </c>
      <c r="P42" s="139">
        <v>5.5555555555555558E-3</v>
      </c>
      <c r="AD42" s="137" t="e">
        <f t="shared" si="6"/>
        <v>#REF!</v>
      </c>
      <c r="AE42" s="259">
        <v>0.1</v>
      </c>
      <c r="AF42" s="138">
        <f>VLOOKUP($D42,Construction!$B:$C,(COLUMN(Construction_Time)-COLUMN(Construction_Name_and_Level)+1),FALSE)</f>
        <v>3.2407407407407406E-3</v>
      </c>
      <c r="AG42" s="138">
        <f t="shared" si="1"/>
        <v>2.9461279461279457E-3</v>
      </c>
      <c r="AH42" s="138">
        <f t="shared" si="2"/>
        <v>0</v>
      </c>
      <c r="AI42" s="139">
        <f t="shared" si="3"/>
        <v>0</v>
      </c>
      <c r="AJ42" s="139">
        <f t="shared" si="5"/>
        <v>3.2407407407407406E-3</v>
      </c>
      <c r="AK42" s="94">
        <f>VLOOKUP($D42,Construction!$B:$J,(COLUMN(Construction_BuildingCost_Stone)-COLUMN(Construction_Name_and_Level)+1),FALSE)*(-1)</f>
        <v>0</v>
      </c>
      <c r="AL42" s="94">
        <f>VLOOKUP($D42,Construction!$B:$J,(COLUMN(Construction_BuildingCost_Wood)-COLUMN(Construction_Name_and_Level)+1),FALSE)*(-1)</f>
        <v>-289</v>
      </c>
      <c r="AM42" s="94">
        <f>VLOOKUP($D42,Construction!$B:$J,(COLUMN(Construction_BuildingCost_Ore)-COLUMN(Construction_Name_and_Level)+1),FALSE)*(-1)</f>
        <v>-289</v>
      </c>
      <c r="AN42" s="94">
        <f>VLOOKUP($D42,Construction!$B:$J,(COLUMN(Construction_BuildingCost_Food)-COLUMN(Construction_Name_and_Level)+1),FALSE)*(-1)</f>
        <v>-289</v>
      </c>
    </row>
    <row r="43" spans="2:40" ht="15.75">
      <c r="B43" s="93" t="s">
        <v>144</v>
      </c>
      <c r="C43" s="127" t="s">
        <v>138</v>
      </c>
      <c r="D43" s="144" t="s">
        <v>720</v>
      </c>
      <c r="E43" s="293">
        <v>10</v>
      </c>
      <c r="F43" s="12">
        <v>0</v>
      </c>
      <c r="G43" s="94">
        <f>VLOOKUP($D43,Construction!$B:$E,(COLUMN(Construction_BuildingReward_HeroXP)-COLUMN(Construction_Name_and_Level)+1),FALSE)</f>
        <v>50</v>
      </c>
      <c r="H43" s="94">
        <f t="shared" si="0"/>
        <v>50</v>
      </c>
      <c r="J43" s="95">
        <f>VLOOKUP($D43,Construction!$B:$F,(COLUMN(Construction_BuildingReward_Power)-COLUMN(Construction_Name_and_Level)+1),FALSE)</f>
        <v>15</v>
      </c>
      <c r="O43" s="139">
        <v>3.472222222222222E-3</v>
      </c>
      <c r="P43" s="139">
        <v>5.5555555555555558E-3</v>
      </c>
      <c r="AD43" s="137" t="e">
        <f t="shared" si="6"/>
        <v>#REF!</v>
      </c>
      <c r="AE43" s="259">
        <v>0.1</v>
      </c>
      <c r="AF43" s="138">
        <f>VLOOKUP($D43,Construction!$B:$C,(COLUMN(Construction_Time)-COLUMN(Construction_Name_and_Level)+1),FALSE)</f>
        <v>3.7037037037037034E-3</v>
      </c>
      <c r="AG43" s="138">
        <f t="shared" si="1"/>
        <v>3.3670033670033664E-3</v>
      </c>
      <c r="AH43" s="138">
        <f t="shared" si="2"/>
        <v>0</v>
      </c>
      <c r="AI43" s="139">
        <f t="shared" si="3"/>
        <v>0</v>
      </c>
      <c r="AJ43" s="139">
        <f t="shared" si="5"/>
        <v>3.7037037037037034E-3</v>
      </c>
      <c r="AK43" s="94">
        <f>VLOOKUP($D43,Construction!$B:$J,(COLUMN(Construction_BuildingCost_Stone)-COLUMN(Construction_Name_and_Level)+1),FALSE)*(-1)</f>
        <v>-289</v>
      </c>
      <c r="AL43" s="94">
        <f>VLOOKUP($D43,Construction!$B:$J,(COLUMN(Construction_BuildingCost_Wood)-COLUMN(Construction_Name_and_Level)+1),FALSE)*(-1)</f>
        <v>-289</v>
      </c>
      <c r="AM43" s="94">
        <f>VLOOKUP($D43,Construction!$B:$J,(COLUMN(Construction_BuildingCost_Ore)-COLUMN(Construction_Name_and_Level)+1),FALSE)*(-1)</f>
        <v>0</v>
      </c>
      <c r="AN43" s="94">
        <f>VLOOKUP($D43,Construction!$B:$J,(COLUMN(Construction_BuildingCost_Food)-COLUMN(Construction_Name_and_Level)+1),FALSE)*(-1)</f>
        <v>-289</v>
      </c>
    </row>
    <row r="44" spans="2:40" ht="15.75">
      <c r="B44" s="93" t="s">
        <v>144</v>
      </c>
      <c r="C44" s="127" t="s">
        <v>138</v>
      </c>
      <c r="D44" s="144" t="s">
        <v>721</v>
      </c>
      <c r="E44" s="293">
        <v>10</v>
      </c>
      <c r="F44" s="12">
        <v>0</v>
      </c>
      <c r="G44" s="94">
        <f>VLOOKUP($D44,Construction!$B:$E,(COLUMN(Construction_BuildingReward_HeroXP)-COLUMN(Construction_Name_and_Level)+1),FALSE)</f>
        <v>200</v>
      </c>
      <c r="H44" s="94">
        <f t="shared" si="0"/>
        <v>200</v>
      </c>
      <c r="J44" s="95">
        <f>VLOOKUP($D44,Construction!$B:$F,(COLUMN(Construction_BuildingReward_Power)-COLUMN(Construction_Name_and_Level)+1),FALSE)</f>
        <v>25</v>
      </c>
      <c r="O44" s="139">
        <v>3.472222222222222E-3</v>
      </c>
      <c r="P44" s="139">
        <v>5.5555555555555558E-3</v>
      </c>
      <c r="AD44" s="137" t="e">
        <f t="shared" si="6"/>
        <v>#REF!</v>
      </c>
      <c r="AE44" s="259">
        <v>0.1</v>
      </c>
      <c r="AF44" s="138">
        <f>VLOOKUP($D44,Construction!$B:$C,(COLUMN(Construction_Time)-COLUMN(Construction_Name_and_Level)+1),FALSE)</f>
        <v>7.4074074074074068E-3</v>
      </c>
      <c r="AG44" s="138">
        <f t="shared" si="1"/>
        <v>6.7340067340067328E-3</v>
      </c>
      <c r="AH44" s="138">
        <f t="shared" si="2"/>
        <v>0</v>
      </c>
      <c r="AI44" s="139">
        <f t="shared" si="3"/>
        <v>0</v>
      </c>
      <c r="AJ44" s="139">
        <f t="shared" si="5"/>
        <v>7.4074074074074068E-3</v>
      </c>
      <c r="AK44" s="94">
        <f>VLOOKUP($D44,Construction!$B:$J,(COLUMN(Construction_BuildingCost_Stone)-COLUMN(Construction_Name_and_Level)+1),FALSE)*(-1)</f>
        <v>-492</v>
      </c>
      <c r="AL44" s="94">
        <f>VLOOKUP($D44,Construction!$B:$J,(COLUMN(Construction_BuildingCost_Wood)-COLUMN(Construction_Name_and_Level)+1),FALSE)*(-1)</f>
        <v>-492</v>
      </c>
      <c r="AM44" s="94">
        <f>VLOOKUP($D44,Construction!$B:$J,(COLUMN(Construction_BuildingCost_Ore)-COLUMN(Construction_Name_and_Level)+1),FALSE)*(-1)</f>
        <v>0</v>
      </c>
      <c r="AN44" s="94">
        <f>VLOOKUP($D44,Construction!$B:$J,(COLUMN(Construction_BuildingCost_Food)-COLUMN(Construction_Name_and_Level)+1),FALSE)*(-1)</f>
        <v>-492</v>
      </c>
    </row>
    <row r="45" spans="2:40" ht="15.75">
      <c r="B45" s="93" t="s">
        <v>144</v>
      </c>
      <c r="C45" s="127" t="s">
        <v>138</v>
      </c>
      <c r="D45" s="144" t="s">
        <v>722</v>
      </c>
      <c r="E45" s="293">
        <v>10</v>
      </c>
      <c r="F45" s="12">
        <v>0</v>
      </c>
      <c r="G45" s="94">
        <f>VLOOKUP($D45,Construction!$B:$E,(COLUMN(Construction_BuildingReward_HeroXP)-COLUMN(Construction_Name_and_Level)+1),FALSE)</f>
        <v>400</v>
      </c>
      <c r="H45" s="94">
        <f t="shared" si="0"/>
        <v>400</v>
      </c>
      <c r="J45" s="95">
        <f>VLOOKUP($D45,Construction!$B:$F,(COLUMN(Construction_BuildingReward_Power)-COLUMN(Construction_Name_and_Level)+1),FALSE)</f>
        <v>35</v>
      </c>
      <c r="O45" s="139">
        <v>3.472222222222222E-3</v>
      </c>
      <c r="P45" s="139">
        <v>5.5555555555555558E-3</v>
      </c>
      <c r="AD45" s="137" t="e">
        <f t="shared" si="6"/>
        <v>#REF!</v>
      </c>
      <c r="AE45" s="259">
        <v>0.1</v>
      </c>
      <c r="AF45" s="138">
        <f>VLOOKUP($D45,Construction!$B:$C,(COLUMN(Construction_Time)-COLUMN(Construction_Name_and_Level)+1),FALSE)</f>
        <v>1.4814814814814814E-2</v>
      </c>
      <c r="AG45" s="138">
        <f t="shared" si="1"/>
        <v>1.3468013468013466E-2</v>
      </c>
      <c r="AH45" s="138">
        <f t="shared" si="2"/>
        <v>0</v>
      </c>
      <c r="AI45" s="139">
        <f t="shared" si="3"/>
        <v>4.4402356902356879E-3</v>
      </c>
      <c r="AJ45" s="139">
        <f t="shared" si="5"/>
        <v>1.0374579124579127E-2</v>
      </c>
      <c r="AK45" s="94">
        <f>VLOOKUP($D45,Construction!$B:$J,(COLUMN(Construction_BuildingCost_Stone)-COLUMN(Construction_Name_and_Level)+1),FALSE)*(-1)</f>
        <v>-837</v>
      </c>
      <c r="AL45" s="94">
        <f>VLOOKUP($D45,Construction!$B:$J,(COLUMN(Construction_BuildingCost_Wood)-COLUMN(Construction_Name_and_Level)+1),FALSE)*(-1)</f>
        <v>-837</v>
      </c>
      <c r="AM45" s="94">
        <f>VLOOKUP($D45,Construction!$B:$J,(COLUMN(Construction_BuildingCost_Ore)-COLUMN(Construction_Name_and_Level)+1),FALSE)*(-1)</f>
        <v>0</v>
      </c>
      <c r="AN45" s="94">
        <f>VLOOKUP($D45,Construction!$B:$J,(COLUMN(Construction_BuildingCost_Food)-COLUMN(Construction_Name_and_Level)+1),FALSE)*(-1)</f>
        <v>-837</v>
      </c>
    </row>
    <row r="46" spans="2:40" ht="15.75">
      <c r="B46" s="93" t="s">
        <v>144</v>
      </c>
      <c r="C46" s="127" t="s">
        <v>149</v>
      </c>
      <c r="D46" s="144" t="s">
        <v>705</v>
      </c>
      <c r="E46" s="293">
        <v>10</v>
      </c>
      <c r="F46" s="12">
        <v>0</v>
      </c>
      <c r="G46" s="94">
        <f>VLOOKUP($D46,Construction!$B:$E,(COLUMN(Construction_BuildingReward_HeroXP)-COLUMN(Construction_Name_and_Level)+1),FALSE)</f>
        <v>10</v>
      </c>
      <c r="H46" s="94">
        <f t="shared" si="0"/>
        <v>10</v>
      </c>
      <c r="J46" s="95">
        <f>VLOOKUP($D46,Construction!$B:$F,(COLUMN(Construction_BuildingReward_Power)-COLUMN(Construction_Name_and_Level)+1),FALSE)</f>
        <v>5</v>
      </c>
      <c r="O46" s="139">
        <v>3.472222222222222E-3</v>
      </c>
      <c r="P46" s="139">
        <v>5.5555555555555558E-3</v>
      </c>
      <c r="AD46" s="137" t="e">
        <f t="shared" si="6"/>
        <v>#REF!</v>
      </c>
      <c r="AE46" s="259">
        <v>0.1</v>
      </c>
      <c r="AF46" s="138">
        <f>VLOOKUP($D46,Construction!$B:$C,(COLUMN(Construction_Time)-COLUMN(Construction_Name_and_Level)+1),FALSE)</f>
        <v>6.9444444444444447E-4</v>
      </c>
      <c r="AG46" s="138">
        <f t="shared" si="1"/>
        <v>6.3131313131313126E-4</v>
      </c>
      <c r="AH46" s="138">
        <f t="shared" si="2"/>
        <v>0</v>
      </c>
      <c r="AI46" s="139">
        <f t="shared" si="3"/>
        <v>0</v>
      </c>
      <c r="AJ46" s="139">
        <f t="shared" si="5"/>
        <v>6.9444444444444447E-4</v>
      </c>
      <c r="AK46" s="94">
        <f>VLOOKUP($D46,Construction!$B:$J,(COLUMN(Construction_BuildingCost_Stone)-COLUMN(Construction_Name_and_Level)+1),FALSE)*(-1)</f>
        <v>-100</v>
      </c>
      <c r="AL46" s="94">
        <f>VLOOKUP($D46,Construction!$B:$J,(COLUMN(Construction_BuildingCost_Wood)-COLUMN(Construction_Name_and_Level)+1),FALSE)*(-1)</f>
        <v>-100</v>
      </c>
      <c r="AM46" s="94">
        <f>VLOOKUP($D46,Construction!$B:$J,(COLUMN(Construction_BuildingCost_Ore)-COLUMN(Construction_Name_and_Level)+1),FALSE)*(-1)</f>
        <v>0</v>
      </c>
      <c r="AN46" s="94">
        <f>VLOOKUP($D46,Construction!$B:$J,(COLUMN(Construction_BuildingCost_Food)-COLUMN(Construction_Name_and_Level)+1),FALSE)*(-1)</f>
        <v>-100</v>
      </c>
    </row>
    <row r="47" spans="2:40" ht="15.75">
      <c r="B47" s="93" t="s">
        <v>144</v>
      </c>
      <c r="C47" s="127" t="s">
        <v>149</v>
      </c>
      <c r="D47" s="144" t="s">
        <v>705</v>
      </c>
      <c r="E47" s="293">
        <v>10</v>
      </c>
      <c r="F47" s="12">
        <v>0</v>
      </c>
      <c r="G47" s="94">
        <f>VLOOKUP($D47,Construction!$B:$E,(COLUMN(Construction_BuildingReward_HeroXP)-COLUMN(Construction_Name_and_Level)+1),FALSE)</f>
        <v>10</v>
      </c>
      <c r="H47" s="94">
        <f t="shared" si="0"/>
        <v>10</v>
      </c>
      <c r="J47" s="95">
        <f>VLOOKUP($D47,Construction!$B:$F,(COLUMN(Construction_BuildingReward_Power)-COLUMN(Construction_Name_and_Level)+1),FALSE)</f>
        <v>5</v>
      </c>
      <c r="O47" s="139">
        <v>3.472222222222222E-3</v>
      </c>
      <c r="P47" s="139">
        <v>5.5555555555555558E-3</v>
      </c>
      <c r="AD47" s="137" t="e">
        <f t="shared" si="6"/>
        <v>#REF!</v>
      </c>
      <c r="AE47" s="259">
        <v>0.1</v>
      </c>
      <c r="AF47" s="138">
        <f>VLOOKUP($D47,Construction!$B:$C,(COLUMN(Construction_Time)-COLUMN(Construction_Name_and_Level)+1),FALSE)</f>
        <v>6.9444444444444447E-4</v>
      </c>
      <c r="AG47" s="138">
        <f t="shared" si="1"/>
        <v>6.3131313131313126E-4</v>
      </c>
      <c r="AH47" s="138">
        <f t="shared" si="2"/>
        <v>0</v>
      </c>
      <c r="AI47" s="139">
        <f t="shared" si="3"/>
        <v>0</v>
      </c>
      <c r="AJ47" s="139">
        <f t="shared" si="5"/>
        <v>6.9444444444444447E-4</v>
      </c>
      <c r="AK47" s="94">
        <f>VLOOKUP($D47,Construction!$B:$J,(COLUMN(Construction_BuildingCost_Stone)-COLUMN(Construction_Name_and_Level)+1),FALSE)*(-1)</f>
        <v>-100</v>
      </c>
      <c r="AL47" s="94">
        <f>VLOOKUP($D47,Construction!$B:$J,(COLUMN(Construction_BuildingCost_Wood)-COLUMN(Construction_Name_and_Level)+1),FALSE)*(-1)</f>
        <v>-100</v>
      </c>
      <c r="AM47" s="94">
        <f>VLOOKUP($D47,Construction!$B:$J,(COLUMN(Construction_BuildingCost_Ore)-COLUMN(Construction_Name_and_Level)+1),FALSE)*(-1)</f>
        <v>0</v>
      </c>
      <c r="AN47" s="94">
        <f>VLOOKUP($D47,Construction!$B:$J,(COLUMN(Construction_BuildingCost_Food)-COLUMN(Construction_Name_and_Level)+1),FALSE)*(-1)</f>
        <v>-100</v>
      </c>
    </row>
    <row r="48" spans="2:40" ht="15.75">
      <c r="B48" s="93" t="s">
        <v>144</v>
      </c>
      <c r="C48" s="127" t="s">
        <v>149</v>
      </c>
      <c r="D48" s="144" t="s">
        <v>705</v>
      </c>
      <c r="E48" s="293">
        <v>10</v>
      </c>
      <c r="F48" s="12">
        <v>0</v>
      </c>
      <c r="G48" s="94">
        <f>VLOOKUP($D48,Construction!$B:$E,(COLUMN(Construction_BuildingReward_HeroXP)-COLUMN(Construction_Name_and_Level)+1),FALSE)</f>
        <v>10</v>
      </c>
      <c r="H48" s="94">
        <f t="shared" si="0"/>
        <v>10</v>
      </c>
      <c r="J48" s="95">
        <f>VLOOKUP($D48,Construction!$B:$F,(COLUMN(Construction_BuildingReward_Power)-COLUMN(Construction_Name_and_Level)+1),FALSE)</f>
        <v>5</v>
      </c>
      <c r="O48" s="139">
        <v>3.472222222222222E-3</v>
      </c>
      <c r="P48" s="139">
        <v>5.5555555555555558E-3</v>
      </c>
      <c r="AD48" s="137" t="e">
        <f t="shared" si="6"/>
        <v>#REF!</v>
      </c>
      <c r="AE48" s="259">
        <v>0.1</v>
      </c>
      <c r="AF48" s="138">
        <f>VLOOKUP($D48,Construction!$B:$C,(COLUMN(Construction_Time)-COLUMN(Construction_Name_and_Level)+1),FALSE)</f>
        <v>6.9444444444444447E-4</v>
      </c>
      <c r="AG48" s="138">
        <f t="shared" si="1"/>
        <v>6.3131313131313126E-4</v>
      </c>
      <c r="AH48" s="138">
        <f t="shared" si="2"/>
        <v>0</v>
      </c>
      <c r="AI48" s="139">
        <f t="shared" si="3"/>
        <v>0</v>
      </c>
      <c r="AJ48" s="139">
        <f t="shared" si="5"/>
        <v>6.9444444444444447E-4</v>
      </c>
      <c r="AK48" s="94">
        <f>VLOOKUP($D48,Construction!$B:$J,(COLUMN(Construction_BuildingCost_Stone)-COLUMN(Construction_Name_and_Level)+1),FALSE)*(-1)</f>
        <v>-100</v>
      </c>
      <c r="AL48" s="94">
        <f>VLOOKUP($D48,Construction!$B:$J,(COLUMN(Construction_BuildingCost_Wood)-COLUMN(Construction_Name_and_Level)+1),FALSE)*(-1)</f>
        <v>-100</v>
      </c>
      <c r="AM48" s="94">
        <f>VLOOKUP($D48,Construction!$B:$J,(COLUMN(Construction_BuildingCost_Ore)-COLUMN(Construction_Name_and_Level)+1),FALSE)*(-1)</f>
        <v>0</v>
      </c>
      <c r="AN48" s="94">
        <f>VLOOKUP($D48,Construction!$B:$J,(COLUMN(Construction_BuildingCost_Food)-COLUMN(Construction_Name_and_Level)+1),FALSE)*(-1)</f>
        <v>-100</v>
      </c>
    </row>
    <row r="49" spans="2:40" ht="15.75">
      <c r="B49" s="93" t="s">
        <v>144</v>
      </c>
      <c r="C49" s="127" t="s">
        <v>149</v>
      </c>
      <c r="D49" s="144" t="s">
        <v>723</v>
      </c>
      <c r="E49" s="293">
        <v>10</v>
      </c>
      <c r="F49" s="222">
        <v>0.05</v>
      </c>
      <c r="G49" s="94">
        <f>VLOOKUP($D49,Construction!$B:$E,(COLUMN(Construction_BuildingReward_HeroXP)-COLUMN(Construction_Name_and_Level)+1),FALSE)</f>
        <v>10</v>
      </c>
      <c r="H49" s="94">
        <f t="shared" si="0"/>
        <v>10.5</v>
      </c>
      <c r="J49" s="95">
        <f>VLOOKUP($D49,Construction!$B:$F,(COLUMN(Construction_BuildingReward_Power)-COLUMN(Construction_Name_and_Level)+1),FALSE)</f>
        <v>10</v>
      </c>
      <c r="O49" s="139">
        <v>3.472222222222222E-3</v>
      </c>
      <c r="P49" s="139">
        <v>5.5555555555555558E-3</v>
      </c>
      <c r="AD49" s="137" t="e">
        <f t="shared" si="6"/>
        <v>#REF!</v>
      </c>
      <c r="AE49" s="259">
        <v>0.1</v>
      </c>
      <c r="AF49" s="138">
        <f>VLOOKUP($D49,Construction!$B:$C,(COLUMN(Construction_Time)-COLUMN(Construction_Name_and_Level)+1),FALSE)</f>
        <v>1.1574074074074073E-3</v>
      </c>
      <c r="AG49" s="138">
        <f t="shared" si="1"/>
        <v>1.052188552188552E-3</v>
      </c>
      <c r="AH49" s="138">
        <f t="shared" si="2"/>
        <v>0</v>
      </c>
      <c r="AI49" s="139">
        <f t="shared" si="3"/>
        <v>0</v>
      </c>
      <c r="AJ49" s="139">
        <f t="shared" si="5"/>
        <v>1.1574074074074073E-3</v>
      </c>
      <c r="AK49" s="94">
        <f>VLOOKUP($D49,Construction!$B:$J,(COLUMN(Construction_BuildingCost_Stone)-COLUMN(Construction_Name_and_Level)+1),FALSE)*(-1)</f>
        <v>-200</v>
      </c>
      <c r="AL49" s="94">
        <f>VLOOKUP($D49,Construction!$B:$J,(COLUMN(Construction_BuildingCost_Wood)-COLUMN(Construction_Name_and_Level)+1),FALSE)*(-1)</f>
        <v>-100</v>
      </c>
      <c r="AM49" s="94">
        <f>VLOOKUP($D49,Construction!$B:$J,(COLUMN(Construction_BuildingCost_Ore)-COLUMN(Construction_Name_and_Level)+1),FALSE)*(-1)</f>
        <v>-100</v>
      </c>
      <c r="AN49" s="94">
        <f>VLOOKUP($D49,Construction!$B:$J,(COLUMN(Construction_BuildingCost_Food)-COLUMN(Construction_Name_and_Level)+1),FALSE)*(-1)</f>
        <v>-300</v>
      </c>
    </row>
    <row r="50" spans="2:40" ht="15.75">
      <c r="B50" s="93" t="s">
        <v>144</v>
      </c>
      <c r="C50" s="127" t="s">
        <v>149</v>
      </c>
      <c r="D50" s="144" t="s">
        <v>724</v>
      </c>
      <c r="E50" s="293">
        <v>10</v>
      </c>
      <c r="F50" s="222">
        <v>0.1</v>
      </c>
      <c r="G50" s="94">
        <f>VLOOKUP($D50,Construction!$B:$E,(COLUMN(Construction_BuildingReward_HeroXP)-COLUMN(Construction_Name_and_Level)+1),FALSE)</f>
        <v>25</v>
      </c>
      <c r="H50" s="94">
        <f t="shared" si="0"/>
        <v>27.500000000000004</v>
      </c>
      <c r="J50" s="95">
        <f>VLOOKUP($D50,Construction!$B:$F,(COLUMN(Construction_BuildingReward_Power)-COLUMN(Construction_Name_and_Level)+1),FALSE)</f>
        <v>25</v>
      </c>
      <c r="O50" s="139">
        <v>3.472222222222222E-3</v>
      </c>
      <c r="P50" s="139">
        <v>5.5555555555555558E-3</v>
      </c>
      <c r="AD50" s="137" t="e">
        <f t="shared" si="6"/>
        <v>#REF!</v>
      </c>
      <c r="AE50" s="259">
        <v>0.1</v>
      </c>
      <c r="AF50" s="138">
        <f>VLOOKUP($D50,Construction!$B:$C,(COLUMN(Construction_Time)-COLUMN(Construction_Name_and_Level)+1),FALSE)</f>
        <v>2.3148148148148151E-3</v>
      </c>
      <c r="AG50" s="138">
        <f t="shared" si="1"/>
        <v>2.1043771043771043E-3</v>
      </c>
      <c r="AH50" s="138">
        <f t="shared" si="2"/>
        <v>0</v>
      </c>
      <c r="AI50" s="139">
        <f t="shared" si="3"/>
        <v>0</v>
      </c>
      <c r="AJ50" s="139">
        <f t="shared" si="5"/>
        <v>2.3148148148148151E-3</v>
      </c>
      <c r="AK50" s="94">
        <f>VLOOKUP($D50,Construction!$B:$J,(COLUMN(Construction_BuildingCost_Stone)-COLUMN(Construction_Name_and_Level)+1),FALSE)*(-1)</f>
        <v>-360</v>
      </c>
      <c r="AL50" s="94">
        <f>VLOOKUP($D50,Construction!$B:$J,(COLUMN(Construction_BuildingCost_Wood)-COLUMN(Construction_Name_and_Level)+1),FALSE)*(-1)</f>
        <v>-180</v>
      </c>
      <c r="AM50" s="94">
        <f>VLOOKUP($D50,Construction!$B:$J,(COLUMN(Construction_BuildingCost_Ore)-COLUMN(Construction_Name_and_Level)+1),FALSE)*(-1)</f>
        <v>-180</v>
      </c>
      <c r="AN50" s="94">
        <f>VLOOKUP($D50,Construction!$B:$J,(COLUMN(Construction_BuildingCost_Food)-COLUMN(Construction_Name_and_Level)+1),FALSE)*(-1)</f>
        <v>-540</v>
      </c>
    </row>
    <row r="51" spans="2:40" ht="15.75">
      <c r="B51" s="93" t="s">
        <v>144</v>
      </c>
      <c r="C51" s="127" t="s">
        <v>149</v>
      </c>
      <c r="D51" s="144" t="s">
        <v>706</v>
      </c>
      <c r="E51" s="293">
        <v>10</v>
      </c>
      <c r="F51" s="12">
        <v>0.1</v>
      </c>
      <c r="G51" s="94">
        <f>VLOOKUP($D51,Construction!$B:$E,(COLUMN(Construction_BuildingReward_HeroXP)-COLUMN(Construction_Name_and_Level)+1),FALSE)</f>
        <v>10</v>
      </c>
      <c r="H51" s="94">
        <f t="shared" si="0"/>
        <v>11</v>
      </c>
      <c r="J51" s="95">
        <f>VLOOKUP($D51,Construction!$B:$F,(COLUMN(Construction_BuildingReward_Power)-COLUMN(Construction_Name_and_Level)+1),FALSE)</f>
        <v>10</v>
      </c>
      <c r="O51" s="139">
        <v>3.472222222222222E-3</v>
      </c>
      <c r="P51" s="139">
        <v>5.5555555555555558E-3</v>
      </c>
      <c r="AD51" s="137" t="e">
        <f t="shared" si="6"/>
        <v>#REF!</v>
      </c>
      <c r="AE51" s="259">
        <v>0.1</v>
      </c>
      <c r="AF51" s="138">
        <f>VLOOKUP($D51,Construction!$B:$C,(COLUMN(Construction_Time)-COLUMN(Construction_Name_and_Level)+1),FALSE)</f>
        <v>6.9444444444444447E-4</v>
      </c>
      <c r="AG51" s="138">
        <f t="shared" si="1"/>
        <v>6.3131313131313126E-4</v>
      </c>
      <c r="AH51" s="138">
        <f t="shared" si="2"/>
        <v>0</v>
      </c>
      <c r="AI51" s="139">
        <f t="shared" si="3"/>
        <v>0</v>
      </c>
      <c r="AJ51" s="139">
        <f t="shared" si="5"/>
        <v>6.9444444444444447E-4</v>
      </c>
      <c r="AK51" s="94">
        <f>VLOOKUP($D51,Construction!$B:$J,(COLUMN(Construction_BuildingCost_Stone)-COLUMN(Construction_Name_and_Level)+1),FALSE)*(-1)</f>
        <v>-200</v>
      </c>
      <c r="AL51" s="94">
        <f>VLOOKUP($D51,Construction!$B:$J,(COLUMN(Construction_BuildingCost_Wood)-COLUMN(Construction_Name_and_Level)+1),FALSE)*(-1)</f>
        <v>-200</v>
      </c>
      <c r="AM51" s="94">
        <f>VLOOKUP($D51,Construction!$B:$J,(COLUMN(Construction_BuildingCost_Ore)-COLUMN(Construction_Name_and_Level)+1),FALSE)*(-1)</f>
        <v>-50</v>
      </c>
      <c r="AN51" s="94">
        <f>VLOOKUP($D51,Construction!$B:$J,(COLUMN(Construction_BuildingCost_Food)-COLUMN(Construction_Name_and_Level)+1),FALSE)*(-1)</f>
        <v>-500</v>
      </c>
    </row>
    <row r="52" spans="2:40" ht="15.75">
      <c r="B52" s="93" t="s">
        <v>144</v>
      </c>
      <c r="C52" s="127" t="s">
        <v>149</v>
      </c>
      <c r="D52" s="144" t="s">
        <v>706</v>
      </c>
      <c r="E52" s="293">
        <v>10</v>
      </c>
      <c r="F52" s="12">
        <v>0.1</v>
      </c>
      <c r="G52" s="94">
        <f>VLOOKUP($D52,Construction!$B:$E,(COLUMN(Construction_BuildingReward_HeroXP)-COLUMN(Construction_Name_and_Level)+1),FALSE)</f>
        <v>10</v>
      </c>
      <c r="H52" s="94">
        <f t="shared" si="0"/>
        <v>11</v>
      </c>
      <c r="J52" s="95">
        <f>VLOOKUP($D52,Construction!$B:$F,(COLUMN(Construction_BuildingReward_Power)-COLUMN(Construction_Name_and_Level)+1),FALSE)</f>
        <v>10</v>
      </c>
      <c r="O52" s="139">
        <v>3.472222222222222E-3</v>
      </c>
      <c r="P52" s="139">
        <v>5.5555555555555558E-3</v>
      </c>
      <c r="AD52" s="137" t="e">
        <f t="shared" si="6"/>
        <v>#REF!</v>
      </c>
      <c r="AE52" s="259">
        <v>0.1</v>
      </c>
      <c r="AF52" s="138">
        <f>VLOOKUP($D52,Construction!$B:$C,(COLUMN(Construction_Time)-COLUMN(Construction_Name_and_Level)+1),FALSE)</f>
        <v>6.9444444444444447E-4</v>
      </c>
      <c r="AG52" s="138">
        <f t="shared" si="1"/>
        <v>6.3131313131313126E-4</v>
      </c>
      <c r="AH52" s="138">
        <f t="shared" si="2"/>
        <v>0</v>
      </c>
      <c r="AI52" s="139">
        <f t="shared" si="3"/>
        <v>0</v>
      </c>
      <c r="AJ52" s="139">
        <f t="shared" si="5"/>
        <v>6.9444444444444447E-4</v>
      </c>
      <c r="AK52" s="94">
        <f>VLOOKUP($D52,Construction!$B:$J,(COLUMN(Construction_BuildingCost_Stone)-COLUMN(Construction_Name_and_Level)+1),FALSE)*(-1)</f>
        <v>-200</v>
      </c>
      <c r="AL52" s="94">
        <f>VLOOKUP($D52,Construction!$B:$J,(COLUMN(Construction_BuildingCost_Wood)-COLUMN(Construction_Name_and_Level)+1),FALSE)*(-1)</f>
        <v>-200</v>
      </c>
      <c r="AM52" s="94">
        <f>VLOOKUP($D52,Construction!$B:$J,(COLUMN(Construction_BuildingCost_Ore)-COLUMN(Construction_Name_and_Level)+1),FALSE)*(-1)</f>
        <v>-50</v>
      </c>
      <c r="AN52" s="94">
        <f>VLOOKUP($D52,Construction!$B:$J,(COLUMN(Construction_BuildingCost_Food)-COLUMN(Construction_Name_and_Level)+1),FALSE)*(-1)</f>
        <v>-500</v>
      </c>
    </row>
    <row r="53" spans="2:40" ht="15.75">
      <c r="B53" s="93" t="s">
        <v>144</v>
      </c>
      <c r="C53" s="127" t="s">
        <v>149</v>
      </c>
      <c r="D53" s="144" t="s">
        <v>706</v>
      </c>
      <c r="E53" s="293">
        <v>10</v>
      </c>
      <c r="F53" s="12">
        <v>0.1</v>
      </c>
      <c r="G53" s="94">
        <f>VLOOKUP($D53,Construction!$B:$E,(COLUMN(Construction_BuildingReward_HeroXP)-COLUMN(Construction_Name_and_Level)+1),FALSE)</f>
        <v>10</v>
      </c>
      <c r="H53" s="94">
        <f t="shared" si="0"/>
        <v>11</v>
      </c>
      <c r="J53" s="95">
        <f>VLOOKUP($D53,Construction!$B:$F,(COLUMN(Construction_BuildingReward_Power)-COLUMN(Construction_Name_and_Level)+1),FALSE)</f>
        <v>10</v>
      </c>
      <c r="O53" s="139">
        <v>3.472222222222222E-3</v>
      </c>
      <c r="P53" s="139">
        <v>5.5555555555555558E-3</v>
      </c>
      <c r="AD53" s="137" t="e">
        <f t="shared" si="6"/>
        <v>#REF!</v>
      </c>
      <c r="AE53" s="259">
        <v>0.1</v>
      </c>
      <c r="AF53" s="138">
        <f>VLOOKUP($D53,Construction!$B:$C,(COLUMN(Construction_Time)-COLUMN(Construction_Name_and_Level)+1),FALSE)</f>
        <v>6.9444444444444447E-4</v>
      </c>
      <c r="AG53" s="138">
        <f t="shared" si="1"/>
        <v>6.3131313131313126E-4</v>
      </c>
      <c r="AH53" s="138">
        <f t="shared" si="2"/>
        <v>0</v>
      </c>
      <c r="AI53" s="139">
        <f t="shared" si="3"/>
        <v>0</v>
      </c>
      <c r="AJ53" s="139">
        <f t="shared" si="5"/>
        <v>6.9444444444444447E-4</v>
      </c>
      <c r="AK53" s="94">
        <f>VLOOKUP($D53,Construction!$B:$J,(COLUMN(Construction_BuildingCost_Stone)-COLUMN(Construction_Name_and_Level)+1),FALSE)*(-1)</f>
        <v>-200</v>
      </c>
      <c r="AL53" s="94">
        <f>VLOOKUP($D53,Construction!$B:$J,(COLUMN(Construction_BuildingCost_Wood)-COLUMN(Construction_Name_and_Level)+1),FALSE)*(-1)</f>
        <v>-200</v>
      </c>
      <c r="AM53" s="94">
        <f>VLOOKUP($D53,Construction!$B:$J,(COLUMN(Construction_BuildingCost_Ore)-COLUMN(Construction_Name_and_Level)+1),FALSE)*(-1)</f>
        <v>-50</v>
      </c>
      <c r="AN53" s="94">
        <f>VLOOKUP($D53,Construction!$B:$J,(COLUMN(Construction_BuildingCost_Food)-COLUMN(Construction_Name_and_Level)+1),FALSE)*(-1)</f>
        <v>-500</v>
      </c>
    </row>
    <row r="54" spans="2:40" ht="15.75">
      <c r="B54" s="93" t="s">
        <v>144</v>
      </c>
      <c r="C54" s="127" t="s">
        <v>149</v>
      </c>
      <c r="D54" s="144" t="s">
        <v>629</v>
      </c>
      <c r="E54" s="293">
        <v>11</v>
      </c>
      <c r="F54" s="12">
        <v>0.1</v>
      </c>
      <c r="G54" s="94">
        <f>VLOOKUP($D54,Construction!$B:$E,(COLUMN(Construction_BuildingReward_HeroXP)-COLUMN(Construction_Name_and_Level)+1),FALSE)</f>
        <v>50</v>
      </c>
      <c r="H54" s="94">
        <f t="shared" si="0"/>
        <v>55.000000000000007</v>
      </c>
      <c r="J54" s="95">
        <f>VLOOKUP($D54,Construction!$B:$F,(COLUMN(Construction_BuildingReward_Power)-COLUMN(Construction_Name_and_Level)+1),FALSE)</f>
        <v>15</v>
      </c>
      <c r="O54" s="139">
        <v>3.472222222222222E-3</v>
      </c>
      <c r="P54" s="139">
        <v>5.5555555555555558E-3</v>
      </c>
      <c r="AD54" s="137" t="e">
        <f t="shared" si="6"/>
        <v>#REF!</v>
      </c>
      <c r="AE54" s="259">
        <v>0.25</v>
      </c>
      <c r="AF54" s="138">
        <f>VLOOKUP($D54,Construction!$B:$C,(COLUMN(Construction_Time)-COLUMN(Construction_Name_and_Level)+1),FALSE)</f>
        <v>2.3148148148148151E-3</v>
      </c>
      <c r="AG54" s="138">
        <f t="shared" si="1"/>
        <v>1.8518518518518521E-3</v>
      </c>
      <c r="AH54" s="138">
        <f t="shared" si="2"/>
        <v>0</v>
      </c>
      <c r="AI54" s="139">
        <f t="shared" si="3"/>
        <v>0</v>
      </c>
      <c r="AJ54" s="139">
        <f t="shared" si="5"/>
        <v>2.3148148148148151E-3</v>
      </c>
      <c r="AK54" s="94">
        <f>VLOOKUP($D54,Construction!$B:$J,(COLUMN(Construction_BuildingCost_Stone)-COLUMN(Construction_Name_and_Level)+1),FALSE)*(-1)</f>
        <v>-289</v>
      </c>
      <c r="AL54" s="94">
        <f>VLOOKUP($D54,Construction!$B:$J,(COLUMN(Construction_BuildingCost_Wood)-COLUMN(Construction_Name_and_Level)+1),FALSE)*(-1)</f>
        <v>-289</v>
      </c>
      <c r="AM54" s="94">
        <f>VLOOKUP($D54,Construction!$B:$J,(COLUMN(Construction_BuildingCost_Ore)-COLUMN(Construction_Name_and_Level)+1),FALSE)*(-1)</f>
        <v>-289</v>
      </c>
      <c r="AN54" s="94">
        <f>VLOOKUP($D54,Construction!$B:$J,(COLUMN(Construction_BuildingCost_Food)-COLUMN(Construction_Name_and_Level)+1),FALSE)*(-1)</f>
        <v>0</v>
      </c>
    </row>
    <row r="55" spans="2:40" ht="15.75">
      <c r="B55" s="93" t="s">
        <v>144</v>
      </c>
      <c r="C55" s="127" t="s">
        <v>138</v>
      </c>
      <c r="D55" s="144" t="s">
        <v>725</v>
      </c>
      <c r="E55" s="293">
        <v>11</v>
      </c>
      <c r="F55" s="12">
        <v>0.1</v>
      </c>
      <c r="G55" s="94">
        <f>VLOOKUP($D55,Construction!$B:$E,(COLUMN(Construction_BuildingReward_HeroXP)-COLUMN(Construction_Name_and_Level)+1),FALSE)</f>
        <v>50</v>
      </c>
      <c r="H55" s="94">
        <f t="shared" si="0"/>
        <v>55.000000000000007</v>
      </c>
      <c r="J55" s="95">
        <f>VLOOKUP($D55,Construction!$B:$F,(COLUMN(Construction_BuildingReward_Power)-COLUMN(Construction_Name_and_Level)+1),FALSE)</f>
        <v>60</v>
      </c>
      <c r="O55" s="139">
        <v>3.472222222222222E-3</v>
      </c>
      <c r="P55" s="139">
        <v>5.5555555555555558E-3</v>
      </c>
      <c r="AD55" s="137" t="e">
        <f t="shared" si="6"/>
        <v>#REF!</v>
      </c>
      <c r="AE55" s="259">
        <v>0.25</v>
      </c>
      <c r="AF55" s="138">
        <f>VLOOKUP($D55,Construction!$B:$C,(COLUMN(Construction_Time)-COLUMN(Construction_Name_and_Level)+1),FALSE)</f>
        <v>4.1666666666666666E-3</v>
      </c>
      <c r="AG55" s="138">
        <f t="shared" si="1"/>
        <v>3.3333333333333331E-3</v>
      </c>
      <c r="AH55" s="138">
        <f t="shared" si="2"/>
        <v>0</v>
      </c>
      <c r="AI55" s="139">
        <f t="shared" si="3"/>
        <v>0</v>
      </c>
      <c r="AJ55" s="139">
        <f t="shared" si="5"/>
        <v>4.1666666666666666E-3</v>
      </c>
      <c r="AK55" s="94">
        <f>VLOOKUP($D55,Construction!$B:$J,(COLUMN(Construction_BuildingCost_Stone)-COLUMN(Construction_Name_and_Level)+1),FALSE)*(-1)</f>
        <v>-1445</v>
      </c>
      <c r="AL55" s="94">
        <f>VLOOKUP($D55,Construction!$B:$J,(COLUMN(Construction_BuildingCost_Wood)-COLUMN(Construction_Name_and_Level)+1),FALSE)*(-1)</f>
        <v>-1156</v>
      </c>
      <c r="AM55" s="94">
        <f>VLOOKUP($D55,Construction!$B:$J,(COLUMN(Construction_BuildingCost_Ore)-COLUMN(Construction_Name_and_Level)+1),FALSE)*(-1)</f>
        <v>-867</v>
      </c>
      <c r="AN55" s="94">
        <f>VLOOKUP($D55,Construction!$B:$J,(COLUMN(Construction_BuildingCost_Food)-COLUMN(Construction_Name_and_Level)+1),FALSE)*(-1)</f>
        <v>-723</v>
      </c>
    </row>
    <row r="56" spans="2:40" ht="15.75">
      <c r="B56" s="93" t="s">
        <v>144</v>
      </c>
      <c r="C56" s="127" t="s">
        <v>138</v>
      </c>
      <c r="D56" s="144" t="s">
        <v>726</v>
      </c>
      <c r="E56" s="293">
        <v>11</v>
      </c>
      <c r="F56" s="12">
        <v>0.1</v>
      </c>
      <c r="G56" s="94">
        <f>VLOOKUP($D56,Construction!$B:$E,(COLUMN(Construction_BuildingReward_HeroXP)-COLUMN(Construction_Name_and_Level)+1),FALSE)</f>
        <v>200</v>
      </c>
      <c r="H56" s="94">
        <f t="shared" si="0"/>
        <v>220.00000000000003</v>
      </c>
      <c r="J56" s="95">
        <f>VLOOKUP($D56,Construction!$B:$F,(COLUMN(Construction_BuildingReward_Power)-COLUMN(Construction_Name_and_Level)+1),FALSE)</f>
        <v>25</v>
      </c>
      <c r="O56" s="139">
        <v>3.472222222222222E-3</v>
      </c>
      <c r="P56" s="139">
        <v>5.5555555555555558E-3</v>
      </c>
      <c r="AD56" s="137" t="e">
        <f t="shared" si="6"/>
        <v>#REF!</v>
      </c>
      <c r="AE56" s="259">
        <v>0.25</v>
      </c>
      <c r="AF56" s="138">
        <f>VLOOKUP($D56,Construction!$B:$C,(COLUMN(Construction_Time)-COLUMN(Construction_Name_and_Level)+1),FALSE)</f>
        <v>6.4814814814814813E-3</v>
      </c>
      <c r="AG56" s="138">
        <f t="shared" si="1"/>
        <v>5.185185185185185E-3</v>
      </c>
      <c r="AH56" s="138">
        <f t="shared" si="2"/>
        <v>0</v>
      </c>
      <c r="AI56" s="139">
        <f t="shared" si="3"/>
        <v>0</v>
      </c>
      <c r="AJ56" s="139">
        <f t="shared" si="5"/>
        <v>6.4814814814814813E-3</v>
      </c>
      <c r="AK56" s="94">
        <f>VLOOKUP($D56,Construction!$B:$J,(COLUMN(Construction_BuildingCost_Stone)-COLUMN(Construction_Name_and_Level)+1),FALSE)*(-1)</f>
        <v>0</v>
      </c>
      <c r="AL56" s="94">
        <f>VLOOKUP($D56,Construction!$B:$J,(COLUMN(Construction_BuildingCost_Wood)-COLUMN(Construction_Name_and_Level)+1),FALSE)*(-1)</f>
        <v>-492</v>
      </c>
      <c r="AM56" s="94">
        <f>VLOOKUP($D56,Construction!$B:$J,(COLUMN(Construction_BuildingCost_Ore)-COLUMN(Construction_Name_and_Level)+1),FALSE)*(-1)</f>
        <v>-492</v>
      </c>
      <c r="AN56" s="94">
        <f>VLOOKUP($D56,Construction!$B:$J,(COLUMN(Construction_BuildingCost_Food)-COLUMN(Construction_Name_and_Level)+1),FALSE)*(-1)</f>
        <v>-492</v>
      </c>
    </row>
    <row r="57" spans="2:40" ht="15.75">
      <c r="B57" s="93" t="s">
        <v>144</v>
      </c>
      <c r="C57" s="127" t="s">
        <v>138</v>
      </c>
      <c r="D57" s="144" t="s">
        <v>727</v>
      </c>
      <c r="E57" s="293">
        <v>11</v>
      </c>
      <c r="F57" s="12">
        <v>0.1</v>
      </c>
      <c r="G57" s="94">
        <f>VLOOKUP($D57,Construction!$B:$E,(COLUMN(Construction_BuildingReward_HeroXP)-COLUMN(Construction_Name_and_Level)+1),FALSE)</f>
        <v>200</v>
      </c>
      <c r="H57" s="94">
        <f t="shared" si="0"/>
        <v>220.00000000000003</v>
      </c>
      <c r="J57" s="95">
        <f>VLOOKUP($D57,Construction!$B:$F,(COLUMN(Construction_BuildingReward_Power)-COLUMN(Construction_Name_and_Level)+1),FALSE)</f>
        <v>100</v>
      </c>
      <c r="O57" s="139">
        <v>3.472222222222222E-3</v>
      </c>
      <c r="P57" s="139">
        <v>5.5555555555555558E-3</v>
      </c>
      <c r="AD57" s="137" t="e">
        <f t="shared" si="6"/>
        <v>#REF!</v>
      </c>
      <c r="AE57" s="259">
        <v>0.25</v>
      </c>
      <c r="AF57" s="138">
        <f>VLOOKUP($D57,Construction!$B:$C,(COLUMN(Construction_Time)-COLUMN(Construction_Name_and_Level)+1),FALSE)</f>
        <v>8.3333333333333332E-3</v>
      </c>
      <c r="AG57" s="138">
        <f t="shared" si="1"/>
        <v>6.6666666666666662E-3</v>
      </c>
      <c r="AH57" s="138">
        <f t="shared" si="2"/>
        <v>0</v>
      </c>
      <c r="AI57" s="139">
        <f t="shared" si="3"/>
        <v>0</v>
      </c>
      <c r="AJ57" s="139">
        <f t="shared" si="5"/>
        <v>8.3333333333333332E-3</v>
      </c>
      <c r="AK57" s="94">
        <f>VLOOKUP($D57,Construction!$B:$J,(COLUMN(Construction_BuildingCost_Stone)-COLUMN(Construction_Name_and_Level)+1),FALSE)*(-1)</f>
        <v>-2547</v>
      </c>
      <c r="AL57" s="94">
        <f>VLOOKUP($D57,Construction!$B:$J,(COLUMN(Construction_BuildingCost_Wood)-COLUMN(Construction_Name_and_Level)+1),FALSE)*(-1)</f>
        <v>-1966</v>
      </c>
      <c r="AM57" s="94">
        <f>VLOOKUP($D57,Construction!$B:$J,(COLUMN(Construction_BuildingCost_Ore)-COLUMN(Construction_Name_and_Level)+1),FALSE)*(-1)</f>
        <v>-1474</v>
      </c>
      <c r="AN57" s="94">
        <f>VLOOKUP($D57,Construction!$B:$J,(COLUMN(Construction_BuildingCost_Food)-COLUMN(Construction_Name_and_Level)+1),FALSE)*(-1)</f>
        <v>-1230</v>
      </c>
    </row>
    <row r="58" spans="2:40" ht="15.75">
      <c r="B58" s="93" t="s">
        <v>144</v>
      </c>
      <c r="C58" s="127" t="s">
        <v>138</v>
      </c>
      <c r="D58" s="144" t="s">
        <v>728</v>
      </c>
      <c r="E58" s="293">
        <v>11</v>
      </c>
      <c r="F58" s="12">
        <v>0.1</v>
      </c>
      <c r="G58" s="94">
        <f>VLOOKUP($D58,Construction!$B:$E,(COLUMN(Construction_BuildingReward_HeroXP)-COLUMN(Construction_Name_and_Level)+1),FALSE)</f>
        <v>200</v>
      </c>
      <c r="H58" s="94">
        <f t="shared" si="0"/>
        <v>220.00000000000003</v>
      </c>
      <c r="J58" s="95">
        <f>VLOOKUP($D58,Construction!$B:$F,(COLUMN(Construction_BuildingReward_Power)-COLUMN(Construction_Name_and_Level)+1),FALSE)</f>
        <v>175</v>
      </c>
      <c r="O58" s="139">
        <v>3.472222222222222E-3</v>
      </c>
      <c r="P58" s="139">
        <v>5.5555555555555558E-3</v>
      </c>
      <c r="AD58" s="137" t="e">
        <f t="shared" si="6"/>
        <v>#REF!</v>
      </c>
      <c r="AE58" s="259">
        <v>0.25</v>
      </c>
      <c r="AF58" s="138">
        <f>VLOOKUP($D58,Construction!$B:$C,(COLUMN(Construction_Time)-COLUMN(Construction_Name_and_Level)+1),FALSE)</f>
        <v>9.2592592592592605E-3</v>
      </c>
      <c r="AG58" s="138">
        <f t="shared" si="1"/>
        <v>7.4074074074074086E-3</v>
      </c>
      <c r="AH58" s="138">
        <f t="shared" si="2"/>
        <v>0</v>
      </c>
      <c r="AI58" s="139">
        <f t="shared" si="3"/>
        <v>0</v>
      </c>
      <c r="AJ58" s="139">
        <f t="shared" si="5"/>
        <v>9.2592592592592605E-3</v>
      </c>
      <c r="AK58" s="94">
        <f>VLOOKUP($D58,Construction!$B:$J,(COLUMN(Construction_BuildingCost_Stone)-COLUMN(Construction_Name_and_Level)+1),FALSE)*(-1)</f>
        <v>-2916</v>
      </c>
      <c r="AL58" s="94">
        <f>VLOOKUP($D58,Construction!$B:$J,(COLUMN(Construction_BuildingCost_Wood)-COLUMN(Construction_Name_and_Level)+1),FALSE)*(-1)</f>
        <v>-2916</v>
      </c>
      <c r="AM58" s="94">
        <f>VLOOKUP($D58,Construction!$B:$J,(COLUMN(Construction_BuildingCost_Ore)-COLUMN(Construction_Name_and_Level)+1),FALSE)*(-1)</f>
        <v>-1167</v>
      </c>
      <c r="AN58" s="94">
        <f>VLOOKUP($D58,Construction!$B:$J,(COLUMN(Construction_BuildingCost_Food)-COLUMN(Construction_Name_and_Level)+1),FALSE)*(-1)</f>
        <v>-1750</v>
      </c>
    </row>
    <row r="59" spans="2:40" ht="15.75">
      <c r="B59" s="93" t="s">
        <v>144</v>
      </c>
      <c r="C59" s="127" t="s">
        <v>149</v>
      </c>
      <c r="D59" s="144" t="s">
        <v>729</v>
      </c>
      <c r="E59" s="293">
        <v>11</v>
      </c>
      <c r="F59" s="12">
        <v>0.1</v>
      </c>
      <c r="G59" s="94">
        <f>VLOOKUP($D59,Construction!$B:$E,(COLUMN(Construction_BuildingReward_HeroXP)-COLUMN(Construction_Name_and_Level)+1),FALSE)</f>
        <v>50</v>
      </c>
      <c r="H59" s="94">
        <f t="shared" si="0"/>
        <v>55.000000000000007</v>
      </c>
      <c r="J59" s="95">
        <f>VLOOKUP($D59,Construction!$B:$F,(COLUMN(Construction_BuildingReward_Power)-COLUMN(Construction_Name_and_Level)+1),FALSE)</f>
        <v>15</v>
      </c>
      <c r="O59" s="139">
        <v>3.472222222222222E-3</v>
      </c>
      <c r="P59" s="139">
        <v>5.5555555555555558E-3</v>
      </c>
      <c r="AD59" s="137" t="e">
        <f t="shared" si="6"/>
        <v>#REF!</v>
      </c>
      <c r="AE59" s="259">
        <v>0.25</v>
      </c>
      <c r="AF59" s="138">
        <f>VLOOKUP($D59,Construction!$B:$C,(COLUMN(Construction_Time)-COLUMN(Construction_Name_and_Level)+1),FALSE)</f>
        <v>2.7777777777777779E-3</v>
      </c>
      <c r="AG59" s="138">
        <f t="shared" si="1"/>
        <v>2.2222222222222222E-3</v>
      </c>
      <c r="AH59" s="138">
        <f t="shared" si="2"/>
        <v>0</v>
      </c>
      <c r="AI59" s="139">
        <f t="shared" si="3"/>
        <v>0</v>
      </c>
      <c r="AJ59" s="139">
        <f t="shared" si="5"/>
        <v>2.7777777777777779E-3</v>
      </c>
      <c r="AK59" s="94">
        <f>VLOOKUP($D59,Construction!$B:$J,(COLUMN(Construction_BuildingCost_Stone)-COLUMN(Construction_Name_and_Level)+1),FALSE)*(-1)</f>
        <v>-289</v>
      </c>
      <c r="AL59" s="94">
        <f>VLOOKUP($D59,Construction!$B:$J,(COLUMN(Construction_BuildingCost_Wood)-COLUMN(Construction_Name_and_Level)+1),FALSE)*(-1)</f>
        <v>0</v>
      </c>
      <c r="AM59" s="94">
        <f>VLOOKUP($D59,Construction!$B:$J,(COLUMN(Construction_BuildingCost_Ore)-COLUMN(Construction_Name_and_Level)+1),FALSE)*(-1)</f>
        <v>-289</v>
      </c>
      <c r="AN59" s="94">
        <f>VLOOKUP($D59,Construction!$B:$J,(COLUMN(Construction_BuildingCost_Food)-COLUMN(Construction_Name_and_Level)+1),FALSE)*(-1)</f>
        <v>-289</v>
      </c>
    </row>
    <row r="60" spans="2:40" ht="15.75">
      <c r="B60" s="93" t="s">
        <v>144</v>
      </c>
      <c r="C60" s="127" t="s">
        <v>149</v>
      </c>
      <c r="D60" s="144" t="s">
        <v>704</v>
      </c>
      <c r="E60" s="293">
        <v>11</v>
      </c>
      <c r="F60" s="12">
        <v>0.1</v>
      </c>
      <c r="G60" s="94">
        <f>VLOOKUP($D60,Construction!$B:$E,(COLUMN(Construction_BuildingReward_HeroXP)-COLUMN(Construction_Name_and_Level)+1),FALSE)</f>
        <v>10</v>
      </c>
      <c r="H60" s="94">
        <f t="shared" si="0"/>
        <v>11</v>
      </c>
      <c r="J60" s="95">
        <f>VLOOKUP($D60,Construction!$B:$F,(COLUMN(Construction_BuildingReward_Power)-COLUMN(Construction_Name_and_Level)+1),FALSE)</f>
        <v>5</v>
      </c>
      <c r="O60" s="139">
        <v>3.472222222222222E-3</v>
      </c>
      <c r="P60" s="139">
        <v>5.5555555555555558E-3</v>
      </c>
      <c r="AD60" s="137" t="e">
        <f t="shared" si="6"/>
        <v>#REF!</v>
      </c>
      <c r="AE60" s="259">
        <v>0.25</v>
      </c>
      <c r="AF60" s="138">
        <f>VLOOKUP($D60,Construction!$B:$C,(COLUMN(Construction_Time)-COLUMN(Construction_Name_and_Level)+1),FALSE)</f>
        <v>6.9444444444444447E-4</v>
      </c>
      <c r="AG60" s="138">
        <f t="shared" si="1"/>
        <v>5.5555555555555556E-4</v>
      </c>
      <c r="AH60" s="138">
        <f t="shared" si="2"/>
        <v>0</v>
      </c>
      <c r="AI60" s="139">
        <f t="shared" si="3"/>
        <v>0</v>
      </c>
      <c r="AJ60" s="139">
        <f t="shared" si="5"/>
        <v>6.9444444444444447E-4</v>
      </c>
      <c r="AK60" s="94">
        <f>VLOOKUP($D60,Construction!$B:$J,(COLUMN(Construction_BuildingCost_Stone)-COLUMN(Construction_Name_and_Level)+1),FALSE)*(-1)</f>
        <v>0</v>
      </c>
      <c r="AL60" s="94">
        <f>VLOOKUP($D60,Construction!$B:$J,(COLUMN(Construction_BuildingCost_Wood)-COLUMN(Construction_Name_and_Level)+1),FALSE)*(-1)</f>
        <v>-100</v>
      </c>
      <c r="AM60" s="94">
        <f>VLOOKUP($D60,Construction!$B:$J,(COLUMN(Construction_BuildingCost_Ore)-COLUMN(Construction_Name_and_Level)+1),FALSE)*(-1)</f>
        <v>-100</v>
      </c>
      <c r="AN60" s="94">
        <f>VLOOKUP($D60,Construction!$B:$J,(COLUMN(Construction_BuildingCost_Food)-COLUMN(Construction_Name_and_Level)+1),FALSE)*(-1)</f>
        <v>-100</v>
      </c>
    </row>
    <row r="61" spans="2:40" ht="15.75">
      <c r="B61" s="93" t="s">
        <v>144</v>
      </c>
      <c r="C61" s="127" t="s">
        <v>149</v>
      </c>
      <c r="D61" s="144" t="s">
        <v>704</v>
      </c>
      <c r="E61" s="293">
        <v>11</v>
      </c>
      <c r="F61" s="12">
        <v>0.1</v>
      </c>
      <c r="G61" s="94">
        <f>VLOOKUP($D61,Construction!$B:$E,(COLUMN(Construction_BuildingReward_HeroXP)-COLUMN(Construction_Name_and_Level)+1),FALSE)</f>
        <v>10</v>
      </c>
      <c r="H61" s="94">
        <f t="shared" si="0"/>
        <v>11</v>
      </c>
      <c r="J61" s="95">
        <f>VLOOKUP($D61,Construction!$B:$F,(COLUMN(Construction_BuildingReward_Power)-COLUMN(Construction_Name_and_Level)+1),FALSE)</f>
        <v>5</v>
      </c>
      <c r="O61" s="139">
        <v>3.472222222222222E-3</v>
      </c>
      <c r="P61" s="139">
        <v>5.5555555555555558E-3</v>
      </c>
      <c r="AD61" s="137" t="e">
        <f t="shared" si="6"/>
        <v>#REF!</v>
      </c>
      <c r="AE61" s="259">
        <v>0.25</v>
      </c>
      <c r="AF61" s="138">
        <f>VLOOKUP($D61,Construction!$B:$C,(COLUMN(Construction_Time)-COLUMN(Construction_Name_and_Level)+1),FALSE)</f>
        <v>6.9444444444444447E-4</v>
      </c>
      <c r="AG61" s="138">
        <f t="shared" si="1"/>
        <v>5.5555555555555556E-4</v>
      </c>
      <c r="AH61" s="138">
        <f t="shared" si="2"/>
        <v>0</v>
      </c>
      <c r="AI61" s="139">
        <f t="shared" si="3"/>
        <v>0</v>
      </c>
      <c r="AJ61" s="139">
        <f t="shared" si="5"/>
        <v>6.9444444444444447E-4</v>
      </c>
      <c r="AK61" s="94">
        <f>VLOOKUP($D61,Construction!$B:$J,(COLUMN(Construction_BuildingCost_Stone)-COLUMN(Construction_Name_and_Level)+1),FALSE)*(-1)</f>
        <v>0</v>
      </c>
      <c r="AL61" s="94">
        <f>VLOOKUP($D61,Construction!$B:$J,(COLUMN(Construction_BuildingCost_Wood)-COLUMN(Construction_Name_and_Level)+1),FALSE)*(-1)</f>
        <v>-100</v>
      </c>
      <c r="AM61" s="94">
        <f>VLOOKUP($D61,Construction!$B:$J,(COLUMN(Construction_BuildingCost_Ore)-COLUMN(Construction_Name_and_Level)+1),FALSE)*(-1)</f>
        <v>-100</v>
      </c>
      <c r="AN61" s="94">
        <f>VLOOKUP($D61,Construction!$B:$J,(COLUMN(Construction_BuildingCost_Food)-COLUMN(Construction_Name_and_Level)+1),FALSE)*(-1)</f>
        <v>-100</v>
      </c>
    </row>
    <row r="62" spans="2:40" ht="15.75">
      <c r="B62" s="93" t="s">
        <v>144</v>
      </c>
      <c r="C62" s="127" t="s">
        <v>149</v>
      </c>
      <c r="D62" s="144" t="s">
        <v>704</v>
      </c>
      <c r="E62" s="293">
        <v>11</v>
      </c>
      <c r="F62" s="12">
        <v>0.1</v>
      </c>
      <c r="G62" s="94">
        <f>VLOOKUP($D62,Construction!$B:$E,(COLUMN(Construction_BuildingReward_HeroXP)-COLUMN(Construction_Name_and_Level)+1),FALSE)</f>
        <v>10</v>
      </c>
      <c r="H62" s="94">
        <f t="shared" si="0"/>
        <v>11</v>
      </c>
      <c r="J62" s="95">
        <f>VLOOKUP($D62,Construction!$B:$F,(COLUMN(Construction_BuildingReward_Power)-COLUMN(Construction_Name_and_Level)+1),FALSE)</f>
        <v>5</v>
      </c>
      <c r="O62" s="139">
        <v>3.472222222222222E-3</v>
      </c>
      <c r="P62" s="139">
        <v>5.5555555555555558E-3</v>
      </c>
      <c r="AD62" s="137" t="e">
        <f t="shared" si="6"/>
        <v>#REF!</v>
      </c>
      <c r="AE62" s="259">
        <v>0.25</v>
      </c>
      <c r="AF62" s="138">
        <f>VLOOKUP($D62,Construction!$B:$C,(COLUMN(Construction_Time)-COLUMN(Construction_Name_and_Level)+1),FALSE)</f>
        <v>6.9444444444444447E-4</v>
      </c>
      <c r="AG62" s="138">
        <f t="shared" si="1"/>
        <v>5.5555555555555556E-4</v>
      </c>
      <c r="AH62" s="138">
        <f t="shared" si="2"/>
        <v>0</v>
      </c>
      <c r="AI62" s="139">
        <f t="shared" si="3"/>
        <v>0</v>
      </c>
      <c r="AJ62" s="139">
        <f t="shared" si="5"/>
        <v>6.9444444444444447E-4</v>
      </c>
      <c r="AK62" s="94">
        <f>VLOOKUP($D62,Construction!$B:$J,(COLUMN(Construction_BuildingCost_Stone)-COLUMN(Construction_Name_and_Level)+1),FALSE)*(-1)</f>
        <v>0</v>
      </c>
      <c r="AL62" s="94">
        <f>VLOOKUP($D62,Construction!$B:$J,(COLUMN(Construction_BuildingCost_Wood)-COLUMN(Construction_Name_and_Level)+1),FALSE)*(-1)</f>
        <v>-100</v>
      </c>
      <c r="AM62" s="94">
        <f>VLOOKUP($D62,Construction!$B:$J,(COLUMN(Construction_BuildingCost_Ore)-COLUMN(Construction_Name_and_Level)+1),FALSE)*(-1)</f>
        <v>-100</v>
      </c>
      <c r="AN62" s="94">
        <f>VLOOKUP($D62,Construction!$B:$J,(COLUMN(Construction_BuildingCost_Food)-COLUMN(Construction_Name_and_Level)+1),FALSE)*(-1)</f>
        <v>-100</v>
      </c>
    </row>
    <row r="63" spans="2:40" ht="15.75">
      <c r="B63" s="93" t="s">
        <v>144</v>
      </c>
      <c r="C63" s="127" t="s">
        <v>138</v>
      </c>
      <c r="D63" s="144" t="s">
        <v>630</v>
      </c>
      <c r="E63" s="293">
        <v>11</v>
      </c>
      <c r="F63" s="12">
        <v>0.1</v>
      </c>
      <c r="G63" s="94">
        <f>VLOOKUP($D63,Construction!$B:$E,(COLUMN(Construction_BuildingReward_HeroXP)-COLUMN(Construction_Name_and_Level)+1),FALSE)</f>
        <v>200</v>
      </c>
      <c r="H63" s="94">
        <f t="shared" si="0"/>
        <v>220.00000000000003</v>
      </c>
      <c r="J63" s="95">
        <f>VLOOKUP($D63,Construction!$B:$F,(COLUMN(Construction_BuildingReward_Power)-COLUMN(Construction_Name_and_Level)+1),FALSE)</f>
        <v>25</v>
      </c>
      <c r="O63" s="139">
        <v>3.472222222222222E-3</v>
      </c>
      <c r="P63" s="139">
        <v>5.5555555555555558E-3</v>
      </c>
      <c r="AD63" s="137" t="e">
        <f t="shared" si="6"/>
        <v>#REF!</v>
      </c>
      <c r="AE63" s="259">
        <v>0.25</v>
      </c>
      <c r="AF63" s="138">
        <f>VLOOKUP($D63,Construction!$B:$C,(COLUMN(Construction_Time)-COLUMN(Construction_Name_and_Level)+1),FALSE)</f>
        <v>4.6296296296296302E-3</v>
      </c>
      <c r="AG63" s="138">
        <f t="shared" si="1"/>
        <v>3.7037037037037043E-3</v>
      </c>
      <c r="AH63" s="138">
        <f t="shared" si="2"/>
        <v>0</v>
      </c>
      <c r="AI63" s="139">
        <f t="shared" si="3"/>
        <v>0</v>
      </c>
      <c r="AJ63" s="139">
        <f t="shared" si="5"/>
        <v>4.6296296296296302E-3</v>
      </c>
      <c r="AK63" s="94">
        <f>VLOOKUP($D63,Construction!$B:$J,(COLUMN(Construction_BuildingCost_Stone)-COLUMN(Construction_Name_and_Level)+1),FALSE)*(-1)</f>
        <v>-492</v>
      </c>
      <c r="AL63" s="94">
        <f>VLOOKUP($D63,Construction!$B:$J,(COLUMN(Construction_BuildingCost_Wood)-COLUMN(Construction_Name_and_Level)+1),FALSE)*(-1)</f>
        <v>-492</v>
      </c>
      <c r="AM63" s="94">
        <f>VLOOKUP($D63,Construction!$B:$J,(COLUMN(Construction_BuildingCost_Ore)-COLUMN(Construction_Name_and_Level)+1),FALSE)*(-1)</f>
        <v>-492</v>
      </c>
      <c r="AN63" s="94">
        <f>VLOOKUP($D63,Construction!$B:$J,(COLUMN(Construction_BuildingCost_Food)-COLUMN(Construction_Name_and_Level)+1),FALSE)*(-1)</f>
        <v>0</v>
      </c>
    </row>
    <row r="64" spans="2:40" ht="15.75">
      <c r="B64" s="93" t="s">
        <v>144</v>
      </c>
      <c r="C64" s="127" t="s">
        <v>138</v>
      </c>
      <c r="D64" s="144" t="s">
        <v>631</v>
      </c>
      <c r="E64" s="293">
        <v>11</v>
      </c>
      <c r="F64" s="12">
        <v>0.1</v>
      </c>
      <c r="G64" s="94">
        <f>VLOOKUP($D64,Construction!$B:$E,(COLUMN(Construction_BuildingReward_HeroXP)-COLUMN(Construction_Name_and_Level)+1),FALSE)</f>
        <v>400</v>
      </c>
      <c r="H64" s="94">
        <f t="shared" si="0"/>
        <v>440.00000000000006</v>
      </c>
      <c r="J64" s="95">
        <f>VLOOKUP($D64,Construction!$B:$F,(COLUMN(Construction_BuildingReward_Power)-COLUMN(Construction_Name_and_Level)+1),FALSE)</f>
        <v>35</v>
      </c>
      <c r="O64" s="139">
        <v>3.472222222222222E-3</v>
      </c>
      <c r="P64" s="139">
        <v>5.5555555555555558E-3</v>
      </c>
      <c r="AD64" s="137" t="e">
        <f t="shared" si="6"/>
        <v>#REF!</v>
      </c>
      <c r="AE64" s="259">
        <v>0.25</v>
      </c>
      <c r="AF64" s="138">
        <f>VLOOKUP($D64,Construction!$B:$C,(COLUMN(Construction_Time)-COLUMN(Construction_Name_and_Level)+1),FALSE)</f>
        <v>9.2592592592592605E-3</v>
      </c>
      <c r="AG64" s="138">
        <f t="shared" si="1"/>
        <v>7.4074074074074086E-3</v>
      </c>
      <c r="AH64" s="138">
        <f t="shared" si="2"/>
        <v>0</v>
      </c>
      <c r="AI64" s="139">
        <f t="shared" si="3"/>
        <v>0</v>
      </c>
      <c r="AJ64" s="139">
        <f t="shared" si="5"/>
        <v>9.2592592592592605E-3</v>
      </c>
      <c r="AK64" s="94">
        <f>VLOOKUP($D64,Construction!$B:$J,(COLUMN(Construction_BuildingCost_Stone)-COLUMN(Construction_Name_and_Level)+1),FALSE)*(-1)</f>
        <v>-837</v>
      </c>
      <c r="AL64" s="94">
        <f>VLOOKUP($D64,Construction!$B:$J,(COLUMN(Construction_BuildingCost_Wood)-COLUMN(Construction_Name_and_Level)+1),FALSE)*(-1)</f>
        <v>-837</v>
      </c>
      <c r="AM64" s="94">
        <f>VLOOKUP($D64,Construction!$B:$J,(COLUMN(Construction_BuildingCost_Ore)-COLUMN(Construction_Name_and_Level)+1),FALSE)*(-1)</f>
        <v>-837</v>
      </c>
      <c r="AN64" s="94">
        <f>VLOOKUP($D64,Construction!$B:$J,(COLUMN(Construction_BuildingCost_Food)-COLUMN(Construction_Name_and_Level)+1),FALSE)*(-1)</f>
        <v>0</v>
      </c>
    </row>
    <row r="65" spans="2:40" ht="15.75">
      <c r="B65" s="93" t="s">
        <v>144</v>
      </c>
      <c r="C65" s="127" t="s">
        <v>138</v>
      </c>
      <c r="D65" s="144" t="s">
        <v>730</v>
      </c>
      <c r="E65" s="293">
        <v>11</v>
      </c>
      <c r="F65" s="12">
        <v>0.1</v>
      </c>
      <c r="G65" s="94">
        <f>VLOOKUP($D65,Construction!$B:$E,(COLUMN(Construction_BuildingReward_HeroXP)-COLUMN(Construction_Name_and_Level)+1),FALSE)</f>
        <v>50</v>
      </c>
      <c r="H65" s="94">
        <f t="shared" si="0"/>
        <v>55.000000000000007</v>
      </c>
      <c r="J65" s="95">
        <f>VLOOKUP($D65,Construction!$B:$F,(COLUMN(Construction_BuildingReward_Power)-COLUMN(Construction_Name_and_Level)+1),FALSE)</f>
        <v>40</v>
      </c>
      <c r="O65" s="139">
        <v>3.472222222222222E-3</v>
      </c>
      <c r="P65" s="139">
        <v>5.5555555555555558E-3</v>
      </c>
      <c r="AD65" s="137" t="e">
        <f t="shared" si="6"/>
        <v>#REF!</v>
      </c>
      <c r="AE65" s="259">
        <v>0.25</v>
      </c>
      <c r="AF65" s="138">
        <f>VLOOKUP($D65,Construction!$B:$C,(COLUMN(Construction_Time)-COLUMN(Construction_Name_and_Level)+1),FALSE)</f>
        <v>3.472222222222222E-3</v>
      </c>
      <c r="AG65" s="138">
        <f t="shared" si="1"/>
        <v>2.7777777777777775E-3</v>
      </c>
      <c r="AH65" s="138">
        <f t="shared" si="2"/>
        <v>0</v>
      </c>
      <c r="AI65" s="139">
        <f t="shared" si="3"/>
        <v>0</v>
      </c>
      <c r="AJ65" s="139">
        <f t="shared" si="5"/>
        <v>3.472222222222222E-3</v>
      </c>
      <c r="AK65" s="94">
        <f>VLOOKUP($D65,Construction!$B:$J,(COLUMN(Construction_BuildingCost_Stone)-COLUMN(Construction_Name_and_Level)+1),FALSE)*(-1)</f>
        <v>-867</v>
      </c>
      <c r="AL65" s="94">
        <f>VLOOKUP($D65,Construction!$B:$J,(COLUMN(Construction_BuildingCost_Wood)-COLUMN(Construction_Name_and_Level)+1),FALSE)*(-1)</f>
        <v>-1156</v>
      </c>
      <c r="AM65" s="94">
        <f>VLOOKUP($D65,Construction!$B:$J,(COLUMN(Construction_BuildingCost_Ore)-COLUMN(Construction_Name_and_Level)+1),FALSE)*(-1)</f>
        <v>-2312</v>
      </c>
      <c r="AN65" s="94">
        <f>VLOOKUP($D65,Construction!$B:$J,(COLUMN(Construction_BuildingCost_Food)-COLUMN(Construction_Name_and_Level)+1),FALSE)*(-1)</f>
        <v>-867</v>
      </c>
    </row>
    <row r="66" spans="2:40" ht="15.75">
      <c r="B66" s="93" t="s">
        <v>144</v>
      </c>
      <c r="C66" s="127" t="s">
        <v>138</v>
      </c>
      <c r="D66" s="144" t="s">
        <v>731</v>
      </c>
      <c r="E66" s="293">
        <v>11</v>
      </c>
      <c r="F66" s="12">
        <v>0.1</v>
      </c>
      <c r="G66" s="94">
        <f>VLOOKUP($D66,Construction!$B:$E,(COLUMN(Construction_BuildingReward_HeroXP)-COLUMN(Construction_Name_and_Level)+1),FALSE)</f>
        <v>200</v>
      </c>
      <c r="H66" s="94">
        <f t="shared" si="0"/>
        <v>220.00000000000003</v>
      </c>
      <c r="J66" s="95">
        <f>VLOOKUP($D66,Construction!$B:$F,(COLUMN(Construction_BuildingReward_Power)-COLUMN(Construction_Name_and_Level)+1),FALSE)</f>
        <v>60</v>
      </c>
      <c r="O66" s="139">
        <v>3.472222222222222E-3</v>
      </c>
      <c r="P66" s="139">
        <v>5.5555555555555558E-3</v>
      </c>
      <c r="AD66" s="137" t="e">
        <f t="shared" si="6"/>
        <v>#REF!</v>
      </c>
      <c r="AE66" s="259">
        <v>0.25</v>
      </c>
      <c r="AF66" s="138">
        <f>VLOOKUP($D66,Construction!$B:$C,(COLUMN(Construction_Time)-COLUMN(Construction_Name_and_Level)+1),FALSE)</f>
        <v>6.9444444444444441E-3</v>
      </c>
      <c r="AG66" s="138">
        <f t="shared" si="1"/>
        <v>5.5555555555555549E-3</v>
      </c>
      <c r="AH66" s="138">
        <f t="shared" si="2"/>
        <v>0</v>
      </c>
      <c r="AI66" s="139">
        <f t="shared" si="3"/>
        <v>0</v>
      </c>
      <c r="AJ66" s="139">
        <f t="shared" si="5"/>
        <v>6.9444444444444441E-3</v>
      </c>
      <c r="AK66" s="94">
        <f>VLOOKUP($D66,Construction!$B:$J,(COLUMN(Construction_BuildingCost_Stone)-COLUMN(Construction_Name_and_Level)+1),FALSE)*(-1)</f>
        <v>-1474</v>
      </c>
      <c r="AL66" s="94">
        <f>VLOOKUP($D66,Construction!$B:$J,(COLUMN(Construction_BuildingCost_Wood)-COLUMN(Construction_Name_and_Level)+1),FALSE)*(-1)</f>
        <v>-1966</v>
      </c>
      <c r="AM66" s="94">
        <f>VLOOKUP($D66,Construction!$B:$J,(COLUMN(Construction_BuildingCost_Ore)-COLUMN(Construction_Name_and_Level)+1),FALSE)*(-1)</f>
        <v>-3931</v>
      </c>
      <c r="AN66" s="94">
        <f>VLOOKUP($D66,Construction!$B:$J,(COLUMN(Construction_BuildingCost_Food)-COLUMN(Construction_Name_and_Level)+1),FALSE)*(-1)</f>
        <v>-1474</v>
      </c>
    </row>
    <row r="67" spans="2:40" ht="15.75">
      <c r="B67" s="93" t="s">
        <v>144</v>
      </c>
      <c r="C67" s="127" t="s">
        <v>138</v>
      </c>
      <c r="D67" s="144" t="s">
        <v>563</v>
      </c>
      <c r="E67" s="293">
        <v>11</v>
      </c>
      <c r="F67" s="12">
        <v>0.1</v>
      </c>
      <c r="G67" s="94">
        <f>VLOOKUP($D67,Construction!$B:$E,(COLUMN(Construction_BuildingReward_HeroXP)-COLUMN(Construction_Name_and_Level)+1),FALSE)</f>
        <v>5000</v>
      </c>
      <c r="H67" s="94">
        <f t="shared" si="0"/>
        <v>5500</v>
      </c>
      <c r="J67" s="95">
        <f>VLOOKUP($D67,Construction!$B:$F,(COLUMN(Construction_BuildingReward_Power)-COLUMN(Construction_Name_and_Level)+1),FALSE)</f>
        <v>150</v>
      </c>
      <c r="O67" s="139">
        <v>3.472222222222222E-3</v>
      </c>
      <c r="P67" s="139">
        <v>5.5555555555555558E-3</v>
      </c>
      <c r="AD67" s="137" t="e">
        <f t="shared" si="6"/>
        <v>#REF!</v>
      </c>
      <c r="AE67" s="259">
        <v>0.25</v>
      </c>
      <c r="AF67" s="138">
        <f>VLOOKUP($D67,Construction!$B:$C,(COLUMN(Construction_Time)-COLUMN(Construction_Name_and_Level)+1),FALSE)</f>
        <v>9.7222222222222224E-3</v>
      </c>
      <c r="AG67" s="138">
        <f t="shared" si="1"/>
        <v>7.7777777777777776E-3</v>
      </c>
      <c r="AH67" s="138">
        <f t="shared" si="2"/>
        <v>0</v>
      </c>
      <c r="AI67" s="139">
        <f t="shared" si="3"/>
        <v>0</v>
      </c>
      <c r="AJ67" s="139">
        <f t="shared" si="5"/>
        <v>9.7222222222222224E-3</v>
      </c>
      <c r="AK67" s="94">
        <f>VLOOKUP($D67,Construction!$B:$J,(COLUMN(Construction_BuildingCost_Stone)-COLUMN(Construction_Name_and_Level)+1),FALSE)*(-1)</f>
        <v>-5832</v>
      </c>
      <c r="AL67" s="94">
        <f>VLOOKUP($D67,Construction!$B:$J,(COLUMN(Construction_BuildingCost_Wood)-COLUMN(Construction_Name_and_Level)+1),FALSE)*(-1)</f>
        <v>-4666</v>
      </c>
      <c r="AM67" s="94">
        <f>VLOOKUP($D67,Construction!$B:$J,(COLUMN(Construction_BuildingCost_Ore)-COLUMN(Construction_Name_and_Level)+1),FALSE)*(-1)</f>
        <v>-1750</v>
      </c>
      <c r="AN67" s="94">
        <f>VLOOKUP($D67,Construction!$B:$J,(COLUMN(Construction_BuildingCost_Food)-COLUMN(Construction_Name_and_Level)+1),FALSE)*(-1)</f>
        <v>-2916</v>
      </c>
    </row>
    <row r="68" spans="2:40" ht="15.75">
      <c r="B68" s="93" t="s">
        <v>144</v>
      </c>
      <c r="C68" s="127" t="s">
        <v>138</v>
      </c>
      <c r="D68" s="144" t="s">
        <v>655</v>
      </c>
      <c r="E68" s="293">
        <v>11</v>
      </c>
      <c r="F68" s="12">
        <v>0.1</v>
      </c>
      <c r="G68" s="94">
        <f>VLOOKUP($D68,Construction!$B:$E,(COLUMN(Construction_BuildingReward_HeroXP)-COLUMN(Construction_Name_and_Level)+1),FALSE)</f>
        <v>10000</v>
      </c>
      <c r="H68" s="94">
        <f t="shared" ref="H68:H131" si="7">G68*(1+F68)</f>
        <v>11000</v>
      </c>
      <c r="J68" s="304">
        <f>VLOOKUP($D68,Construction!$B:$F,(COLUMN(Construction_BuildingReward_Power)-COLUMN(Construction_Name_and_Level)+1),FALSE)</f>
        <v>350</v>
      </c>
      <c r="O68" s="139">
        <v>3.472222222222222E-3</v>
      </c>
      <c r="P68" s="159">
        <v>6.2499999999999995E-3</v>
      </c>
      <c r="U68" s="11">
        <v>-4</v>
      </c>
      <c r="AD68" s="137" t="e">
        <f t="shared" si="6"/>
        <v>#REF!</v>
      </c>
      <c r="AE68" s="259">
        <v>0.25</v>
      </c>
      <c r="AF68" s="138">
        <f>VLOOKUP($D68,Construction!$B:$C,(COLUMN(Construction_Time)-COLUMN(Construction_Name_and_Level)+1),FALSE)</f>
        <v>5.5555555555555552E-2</v>
      </c>
      <c r="AG68" s="138">
        <f t="shared" ref="AG68:AG131" si="8">AF68/(1+AE68)</f>
        <v>4.4444444444444439E-2</v>
      </c>
      <c r="AH68" s="138">
        <f t="shared" ref="AH68:AH131" si="9">(Q$3*Q68+R$3*R68+T$3*T68+U$3*U68+V$3*V68+W$3*W68+X$3*X68+Y$3*Y68+Z$3*Z68+AA$3*AA68)*(-1)</f>
        <v>4.1666666666666664E-2</v>
      </c>
      <c r="AI68" s="139">
        <f t="shared" ref="AI68:AI131" si="10">IF((AG68-O68-P68-AH68)&gt;=0,AG68-O68-P68-AH68,0)</f>
        <v>0</v>
      </c>
      <c r="AJ68" s="139">
        <f t="shared" si="5"/>
        <v>5.5555555555555552E-2</v>
      </c>
      <c r="AK68" s="94">
        <f>VLOOKUP($D68,Construction!$B:$J,(COLUMN(Construction_BuildingCost_Stone)-COLUMN(Construction_Name_and_Level)+1),FALSE)*(-1)</f>
        <v>-10498</v>
      </c>
      <c r="AL68" s="94">
        <f>VLOOKUP($D68,Construction!$B:$J,(COLUMN(Construction_BuildingCost_Wood)-COLUMN(Construction_Name_and_Level)+1),FALSE)*(-1)</f>
        <v>-10498</v>
      </c>
      <c r="AM68" s="94">
        <f>VLOOKUP($D68,Construction!$B:$J,(COLUMN(Construction_BuildingCost_Ore)-COLUMN(Construction_Name_and_Level)+1),FALSE)*(-1)</f>
        <v>-4200</v>
      </c>
      <c r="AN68" s="94">
        <f>VLOOKUP($D68,Construction!$B:$J,(COLUMN(Construction_BuildingCost_Food)-COLUMN(Construction_Name_and_Level)+1),FALSE)*(-1)</f>
        <v>-5249</v>
      </c>
    </row>
    <row r="69" spans="2:40" ht="15.75">
      <c r="B69" s="93" t="s">
        <v>144</v>
      </c>
      <c r="C69" s="127" t="s">
        <v>138</v>
      </c>
      <c r="D69" s="144" t="s">
        <v>732</v>
      </c>
      <c r="E69" s="293">
        <v>11</v>
      </c>
      <c r="F69" s="12">
        <v>0.1</v>
      </c>
      <c r="G69" s="94">
        <f>VLOOKUP($D69,Construction!$B:$E,(COLUMN(Construction_BuildingReward_HeroXP)-COLUMN(Construction_Name_and_Level)+1),FALSE)</f>
        <v>50</v>
      </c>
      <c r="H69" s="94">
        <f t="shared" si="7"/>
        <v>55.000000000000007</v>
      </c>
      <c r="J69" s="95">
        <f>VLOOKUP($D69,Construction!$B:$F,(COLUMN(Construction_BuildingReward_Power)-COLUMN(Construction_Name_and_Level)+1),FALSE)</f>
        <v>40</v>
      </c>
      <c r="O69" s="139">
        <v>3.472222222222222E-3</v>
      </c>
      <c r="P69" s="139">
        <v>6.2499999999999995E-3</v>
      </c>
      <c r="AD69" s="137" t="e">
        <f t="shared" si="6"/>
        <v>#REF!</v>
      </c>
      <c r="AE69" s="259">
        <v>0.25</v>
      </c>
      <c r="AF69" s="138">
        <f>VLOOKUP($D69,Construction!$B:$C,(COLUMN(Construction_Time)-COLUMN(Construction_Name_and_Level)+1),FALSE)</f>
        <v>4.6296296296296302E-3</v>
      </c>
      <c r="AG69" s="138">
        <f t="shared" si="8"/>
        <v>3.7037037037037043E-3</v>
      </c>
      <c r="AH69" s="138">
        <f t="shared" si="9"/>
        <v>0</v>
      </c>
      <c r="AI69" s="139">
        <f t="shared" si="10"/>
        <v>0</v>
      </c>
      <c r="AJ69" s="139">
        <f t="shared" ref="AJ69:AJ132" si="11">AF69-AI69</f>
        <v>4.6296296296296302E-3</v>
      </c>
      <c r="AK69" s="94">
        <f>VLOOKUP($D69,Construction!$B:$J,(COLUMN(Construction_BuildingCost_Stone)-COLUMN(Construction_Name_and_Level)+1),FALSE)*(-1)</f>
        <v>-648</v>
      </c>
      <c r="AL69" s="94">
        <f>VLOOKUP($D69,Construction!$B:$J,(COLUMN(Construction_BuildingCost_Wood)-COLUMN(Construction_Name_and_Level)+1),FALSE)*(-1)</f>
        <v>-324</v>
      </c>
      <c r="AM69" s="94">
        <f>VLOOKUP($D69,Construction!$B:$J,(COLUMN(Construction_BuildingCost_Ore)-COLUMN(Construction_Name_and_Level)+1),FALSE)*(-1)</f>
        <v>-324</v>
      </c>
      <c r="AN69" s="94">
        <f>VLOOKUP($D69,Construction!$B:$J,(COLUMN(Construction_BuildingCost_Food)-COLUMN(Construction_Name_and_Level)+1),FALSE)*(-1)</f>
        <v>-972</v>
      </c>
    </row>
    <row r="70" spans="2:40" ht="15.75">
      <c r="B70" s="93" t="s">
        <v>144</v>
      </c>
      <c r="C70" s="127" t="s">
        <v>138</v>
      </c>
      <c r="D70" s="144" t="s">
        <v>733</v>
      </c>
      <c r="E70" s="293">
        <v>11</v>
      </c>
      <c r="F70" s="12">
        <v>0.15</v>
      </c>
      <c r="G70" s="94">
        <f>VLOOKUP($D70,Construction!$B:$E,(COLUMN(Construction_BuildingReward_HeroXP)-COLUMN(Construction_Name_and_Level)+1),FALSE)</f>
        <v>200</v>
      </c>
      <c r="H70" s="94">
        <f t="shared" si="7"/>
        <v>229.99999999999997</v>
      </c>
      <c r="J70" s="95">
        <f>VLOOKUP($D70,Construction!$B:$F,(COLUMN(Construction_BuildingReward_Power)-COLUMN(Construction_Name_and_Level)+1),FALSE)</f>
        <v>60</v>
      </c>
      <c r="O70" s="139">
        <v>3.472222222222222E-3</v>
      </c>
      <c r="P70" s="139">
        <v>6.2499999999999995E-3</v>
      </c>
      <c r="AD70" s="137" t="e">
        <f t="shared" si="6"/>
        <v>#REF!</v>
      </c>
      <c r="AE70" s="259">
        <v>0.25</v>
      </c>
      <c r="AF70" s="138">
        <f>VLOOKUP($D70,Construction!$B:$C,(COLUMN(Construction_Time)-COLUMN(Construction_Name_and_Level)+1),FALSE)</f>
        <v>9.2592592592592605E-3</v>
      </c>
      <c r="AG70" s="138">
        <f t="shared" si="8"/>
        <v>7.4074074074074086E-3</v>
      </c>
      <c r="AH70" s="138">
        <f t="shared" si="9"/>
        <v>0</v>
      </c>
      <c r="AI70" s="139">
        <f t="shared" si="10"/>
        <v>0</v>
      </c>
      <c r="AJ70" s="139">
        <f t="shared" si="11"/>
        <v>9.2592592592592605E-3</v>
      </c>
      <c r="AK70" s="94">
        <f>VLOOKUP($D70,Construction!$B:$J,(COLUMN(Construction_BuildingCost_Stone)-COLUMN(Construction_Name_and_Level)+1),FALSE)*(-1)</f>
        <v>-1167</v>
      </c>
      <c r="AL70" s="94">
        <f>VLOOKUP($D70,Construction!$B:$J,(COLUMN(Construction_BuildingCost_Wood)-COLUMN(Construction_Name_and_Level)+1),FALSE)*(-1)</f>
        <v>-584</v>
      </c>
      <c r="AM70" s="94">
        <f>VLOOKUP($D70,Construction!$B:$J,(COLUMN(Construction_BuildingCost_Ore)-COLUMN(Construction_Name_and_Level)+1),FALSE)*(-1)</f>
        <v>-584</v>
      </c>
      <c r="AN70" s="94">
        <f>VLOOKUP($D70,Construction!$B:$J,(COLUMN(Construction_BuildingCost_Food)-COLUMN(Construction_Name_and_Level)+1),FALSE)*(-1)</f>
        <v>-1750</v>
      </c>
    </row>
    <row r="71" spans="2:40" ht="15.75">
      <c r="B71" s="93" t="s">
        <v>144</v>
      </c>
      <c r="C71" s="127" t="s">
        <v>138</v>
      </c>
      <c r="D71" s="144" t="s">
        <v>734</v>
      </c>
      <c r="E71" s="293">
        <v>11</v>
      </c>
      <c r="F71" s="12">
        <v>0.2</v>
      </c>
      <c r="G71" s="94">
        <f>VLOOKUP($D71,Construction!$B:$E,(COLUMN(Construction_BuildingReward_HeroXP)-COLUMN(Construction_Name_and_Level)+1),FALSE)</f>
        <v>200</v>
      </c>
      <c r="H71" s="94">
        <f t="shared" si="7"/>
        <v>240</v>
      </c>
      <c r="J71" s="95">
        <f>VLOOKUP($D71,Construction!$B:$F,(COLUMN(Construction_BuildingReward_Power)-COLUMN(Construction_Name_and_Level)+1),FALSE)</f>
        <v>60</v>
      </c>
      <c r="O71" s="139">
        <v>3.472222222222222E-3</v>
      </c>
      <c r="P71" s="139">
        <v>6.2499999999999995E-3</v>
      </c>
      <c r="AD71" s="137" t="e">
        <f t="shared" si="6"/>
        <v>#REF!</v>
      </c>
      <c r="AE71" s="259">
        <v>0.25</v>
      </c>
      <c r="AF71" s="138">
        <f>VLOOKUP($D71,Construction!$B:$C,(COLUMN(Construction_Time)-COLUMN(Construction_Name_and_Level)+1),FALSE)</f>
        <v>4.6296296296296302E-3</v>
      </c>
      <c r="AG71" s="138">
        <f t="shared" si="8"/>
        <v>3.7037037037037043E-3</v>
      </c>
      <c r="AH71" s="138">
        <f t="shared" si="9"/>
        <v>0</v>
      </c>
      <c r="AI71" s="139">
        <f t="shared" si="10"/>
        <v>0</v>
      </c>
      <c r="AJ71" s="139">
        <f t="shared" si="11"/>
        <v>4.6296296296296302E-3</v>
      </c>
      <c r="AK71" s="94">
        <f>VLOOKUP($D71,Construction!$B:$J,(COLUMN(Construction_BuildingCost_Stone)-COLUMN(Construction_Name_and_Level)+1),FALSE)*(-1)</f>
        <v>-983</v>
      </c>
      <c r="AL71" s="94">
        <f>VLOOKUP($D71,Construction!$B:$J,(COLUMN(Construction_BuildingCost_Wood)-COLUMN(Construction_Name_and_Level)+1),FALSE)*(-1)</f>
        <v>-983</v>
      </c>
      <c r="AM71" s="94">
        <f>VLOOKUP($D71,Construction!$B:$J,(COLUMN(Construction_BuildingCost_Ore)-COLUMN(Construction_Name_and_Level)+1),FALSE)*(-1)</f>
        <v>-247</v>
      </c>
      <c r="AN71" s="94">
        <f>VLOOKUP($D71,Construction!$B:$J,(COLUMN(Construction_BuildingCost_Food)-COLUMN(Construction_Name_and_Level)+1),FALSE)*(-1)</f>
        <v>-2457</v>
      </c>
    </row>
    <row r="72" spans="2:40" ht="15.75">
      <c r="B72" s="93" t="s">
        <v>144</v>
      </c>
      <c r="C72" s="127" t="s">
        <v>138</v>
      </c>
      <c r="D72" s="144" t="s">
        <v>735</v>
      </c>
      <c r="E72" s="293">
        <v>11</v>
      </c>
      <c r="F72" s="12">
        <v>0.2</v>
      </c>
      <c r="G72" s="94">
        <f>VLOOKUP($D72,Construction!$B:$E,(COLUMN(Construction_BuildingReward_HeroXP)-COLUMN(Construction_Name_and_Level)+1),FALSE)</f>
        <v>400</v>
      </c>
      <c r="H72" s="94">
        <f t="shared" si="7"/>
        <v>480</v>
      </c>
      <c r="J72" s="304">
        <f>VLOOKUP($D72,Construction!$B:$F,(COLUMN(Construction_BuildingReward_Power)-COLUMN(Construction_Name_and_Level)+1),FALSE)</f>
        <v>90</v>
      </c>
      <c r="O72" s="139">
        <v>3.472222222222222E-3</v>
      </c>
      <c r="P72" s="139">
        <v>6.2499999999999995E-3</v>
      </c>
      <c r="AD72" s="137" t="e">
        <f t="shared" si="6"/>
        <v>#REF!</v>
      </c>
      <c r="AE72" s="259">
        <v>0.25</v>
      </c>
      <c r="AF72" s="138">
        <f>VLOOKUP($D72,Construction!$B:$C,(COLUMN(Construction_Time)-COLUMN(Construction_Name_and_Level)+1),FALSE)</f>
        <v>9.2592592592592605E-3</v>
      </c>
      <c r="AG72" s="138">
        <f t="shared" si="8"/>
        <v>7.4074074074074086E-3</v>
      </c>
      <c r="AH72" s="138">
        <f t="shared" si="9"/>
        <v>0</v>
      </c>
      <c r="AI72" s="139">
        <f t="shared" si="10"/>
        <v>0</v>
      </c>
      <c r="AJ72" s="139">
        <f t="shared" si="11"/>
        <v>9.2592592592592605E-3</v>
      </c>
      <c r="AK72" s="94">
        <f>VLOOKUP($D72,Construction!$B:$J,(COLUMN(Construction_BuildingCost_Stone)-COLUMN(Construction_Name_and_Level)+1),FALSE)*(-1)</f>
        <v>-1672</v>
      </c>
      <c r="AL72" s="94">
        <f>VLOOKUP($D72,Construction!$B:$J,(COLUMN(Construction_BuildingCost_Wood)-COLUMN(Construction_Name_and_Level)+1),FALSE)*(-1)</f>
        <v>-1672</v>
      </c>
      <c r="AM72" s="94">
        <f>VLOOKUP($D72,Construction!$B:$J,(COLUMN(Construction_BuildingCost_Ore)-COLUMN(Construction_Name_and_Level)+1),FALSE)*(-1)</f>
        <v>-420</v>
      </c>
      <c r="AN72" s="94">
        <f>VLOOKUP($D72,Construction!$B:$J,(COLUMN(Construction_BuildingCost_Food)-COLUMN(Construction_Name_and_Level)+1),FALSE)*(-1)</f>
        <v>-4177</v>
      </c>
    </row>
    <row r="73" spans="2:40" ht="15.75">
      <c r="B73" s="93" t="s">
        <v>144</v>
      </c>
      <c r="C73" s="127" t="s">
        <v>138</v>
      </c>
      <c r="D73" s="144" t="s">
        <v>736</v>
      </c>
      <c r="E73" s="293">
        <v>11</v>
      </c>
      <c r="F73" s="12">
        <v>0.2</v>
      </c>
      <c r="G73" s="94">
        <f>VLOOKUP($D73,Construction!$B:$E,(COLUMN(Construction_BuildingReward_HeroXP)-COLUMN(Construction_Name_and_Level)+1),FALSE)</f>
        <v>400</v>
      </c>
      <c r="H73" s="94">
        <f t="shared" si="7"/>
        <v>480</v>
      </c>
      <c r="J73" s="95">
        <f>VLOOKUP($D73,Construction!$B:$F,(COLUMN(Construction_BuildingReward_Power)-COLUMN(Construction_Name_and_Level)+1),FALSE)</f>
        <v>90</v>
      </c>
      <c r="O73" s="139">
        <v>3.472222222222222E-3</v>
      </c>
      <c r="P73" s="139">
        <v>6.2499999999999995E-3</v>
      </c>
      <c r="U73" s="11">
        <v>-1</v>
      </c>
      <c r="AD73" s="137" t="e">
        <f t="shared" si="6"/>
        <v>#REF!</v>
      </c>
      <c r="AE73" s="259">
        <v>0.25</v>
      </c>
      <c r="AF73" s="138">
        <f>VLOOKUP($D73,Construction!$B:$C,(COLUMN(Construction_Time)-COLUMN(Construction_Name_and_Level)+1),FALSE)</f>
        <v>1.8518518518518521E-2</v>
      </c>
      <c r="AG73" s="138">
        <f t="shared" si="8"/>
        <v>1.4814814814814817E-2</v>
      </c>
      <c r="AH73" s="138">
        <f t="shared" si="9"/>
        <v>1.0416666666666666E-2</v>
      </c>
      <c r="AI73" s="139">
        <f t="shared" si="10"/>
        <v>0</v>
      </c>
      <c r="AJ73" s="139">
        <f t="shared" si="11"/>
        <v>1.8518518518518521E-2</v>
      </c>
      <c r="AK73" s="94">
        <f>VLOOKUP($D73,Construction!$B:$J,(COLUMN(Construction_BuildingCost_Stone)-COLUMN(Construction_Name_and_Level)+1),FALSE)*(-1)</f>
        <v>-2101</v>
      </c>
      <c r="AL73" s="94">
        <f>VLOOKUP($D73,Construction!$B:$J,(COLUMN(Construction_BuildingCost_Wood)-COLUMN(Construction_Name_and_Level)+1),FALSE)*(-1)</f>
        <v>-1052</v>
      </c>
      <c r="AM73" s="94">
        <f>VLOOKUP($D73,Construction!$B:$J,(COLUMN(Construction_BuildingCost_Ore)-COLUMN(Construction_Name_and_Level)+1),FALSE)*(-1)</f>
        <v>-1052</v>
      </c>
      <c r="AN73" s="94">
        <f>VLOOKUP($D73,Construction!$B:$J,(COLUMN(Construction_BuildingCost_Food)-COLUMN(Construction_Name_and_Level)+1),FALSE)*(-1)</f>
        <v>-3150</v>
      </c>
    </row>
    <row r="74" spans="2:40" ht="15.75">
      <c r="B74" s="93" t="s">
        <v>144</v>
      </c>
      <c r="C74" s="127" t="s">
        <v>138</v>
      </c>
      <c r="D74" s="144" t="s">
        <v>632</v>
      </c>
      <c r="E74" s="293">
        <v>12</v>
      </c>
      <c r="F74" s="12">
        <v>0.25</v>
      </c>
      <c r="G74" s="94">
        <f>VLOOKUP($D74,Construction!$B:$E,(COLUMN(Construction_BuildingReward_HeroXP)-COLUMN(Construction_Name_and_Level)+1),FALSE)</f>
        <v>400</v>
      </c>
      <c r="H74" s="94">
        <f t="shared" si="7"/>
        <v>500</v>
      </c>
      <c r="J74" s="95">
        <f>VLOOKUP($D74,Construction!$B:$F,(COLUMN(Construction_BuildingReward_Power)-COLUMN(Construction_Name_and_Level)+1),FALSE)</f>
        <v>245</v>
      </c>
      <c r="O74" s="139">
        <v>3.472222222222222E-3</v>
      </c>
      <c r="P74" s="139">
        <v>6.2499999999999995E-3</v>
      </c>
      <c r="U74" s="11">
        <v>-1</v>
      </c>
      <c r="AD74" s="137" t="e">
        <f t="shared" si="6"/>
        <v>#REF!</v>
      </c>
      <c r="AE74" s="259">
        <v>0.41</v>
      </c>
      <c r="AF74" s="138">
        <f>VLOOKUP($D74,Construction!$B:$C,(COLUMN(Construction_Time)-COLUMN(Construction_Name_and_Level)+1),FALSE)</f>
        <v>1.8518518518518521E-2</v>
      </c>
      <c r="AG74" s="138">
        <f t="shared" si="8"/>
        <v>1.313370107696349E-2</v>
      </c>
      <c r="AH74" s="138">
        <f t="shared" si="9"/>
        <v>1.0416666666666666E-2</v>
      </c>
      <c r="AI74" s="139">
        <f t="shared" si="10"/>
        <v>0</v>
      </c>
      <c r="AJ74" s="139">
        <f t="shared" si="11"/>
        <v>1.8518518518518521E-2</v>
      </c>
      <c r="AK74" s="94">
        <f>VLOOKUP($D74,Construction!$B:$J,(COLUMN(Construction_BuildingCost_Stone)-COLUMN(Construction_Name_and_Level)+1),FALSE)*(-1)</f>
        <v>-5249</v>
      </c>
      <c r="AL74" s="94">
        <f>VLOOKUP($D74,Construction!$B:$J,(COLUMN(Construction_BuildingCost_Wood)-COLUMN(Construction_Name_and_Level)+1),FALSE)*(-1)</f>
        <v>-5249</v>
      </c>
      <c r="AM74" s="94">
        <f>VLOOKUP($D74,Construction!$B:$J,(COLUMN(Construction_BuildingCost_Ore)-COLUMN(Construction_Name_and_Level)+1),FALSE)*(-1)</f>
        <v>-2101</v>
      </c>
      <c r="AN74" s="94">
        <f>VLOOKUP($D74,Construction!$B:$J,(COLUMN(Construction_BuildingCost_Food)-COLUMN(Construction_Name_and_Level)+1),FALSE)*(-1)</f>
        <v>-3150</v>
      </c>
    </row>
    <row r="75" spans="2:40" ht="15.75">
      <c r="B75" s="93" t="s">
        <v>144</v>
      </c>
      <c r="C75" s="127" t="s">
        <v>138</v>
      </c>
      <c r="D75" s="144" t="s">
        <v>737</v>
      </c>
      <c r="E75" s="293">
        <v>12</v>
      </c>
      <c r="F75" s="12">
        <v>0.25</v>
      </c>
      <c r="G75" s="94">
        <f>VLOOKUP($D75,Construction!$B:$E,(COLUMN(Construction_BuildingReward_HeroXP)-COLUMN(Construction_Name_and_Level)+1),FALSE)</f>
        <v>400</v>
      </c>
      <c r="H75" s="94">
        <f t="shared" si="7"/>
        <v>500</v>
      </c>
      <c r="J75" s="95">
        <f>VLOOKUP($D75,Construction!$B:$F,(COLUMN(Construction_BuildingReward_Power)-COLUMN(Construction_Name_and_Level)+1),FALSE)</f>
        <v>35</v>
      </c>
      <c r="O75" s="139">
        <v>3.472222222222222E-3</v>
      </c>
      <c r="P75" s="139">
        <v>6.2499999999999995E-3</v>
      </c>
      <c r="AD75" s="137" t="e">
        <f t="shared" si="6"/>
        <v>#REF!</v>
      </c>
      <c r="AE75" s="259">
        <v>0.41</v>
      </c>
      <c r="AF75" s="138">
        <f>VLOOKUP($D75,Construction!$B:$C,(COLUMN(Construction_Time)-COLUMN(Construction_Name_and_Level)+1),FALSE)</f>
        <v>1.2962962962962963E-2</v>
      </c>
      <c r="AG75" s="138">
        <f t="shared" si="8"/>
        <v>9.1935907538744418E-3</v>
      </c>
      <c r="AH75" s="138">
        <f t="shared" si="9"/>
        <v>0</v>
      </c>
      <c r="AI75" s="139">
        <f t="shared" si="10"/>
        <v>0</v>
      </c>
      <c r="AJ75" s="139">
        <f t="shared" si="11"/>
        <v>1.2962962962962963E-2</v>
      </c>
      <c r="AK75" s="94">
        <f>VLOOKUP($D75,Construction!$B:$J,(COLUMN(Construction_BuildingCost_Stone)-COLUMN(Construction_Name_and_Level)+1),FALSE)*(-1)</f>
        <v>0</v>
      </c>
      <c r="AL75" s="94">
        <f>VLOOKUP($D75,Construction!$B:$J,(COLUMN(Construction_BuildingCost_Wood)-COLUMN(Construction_Name_and_Level)+1),FALSE)*(-1)</f>
        <v>-837</v>
      </c>
      <c r="AM75" s="94">
        <f>VLOOKUP($D75,Construction!$B:$J,(COLUMN(Construction_BuildingCost_Ore)-COLUMN(Construction_Name_and_Level)+1),FALSE)*(-1)</f>
        <v>-837</v>
      </c>
      <c r="AN75" s="94">
        <f>VLOOKUP($D75,Construction!$B:$J,(COLUMN(Construction_BuildingCost_Food)-COLUMN(Construction_Name_and_Level)+1),FALSE)*(-1)</f>
        <v>-837</v>
      </c>
    </row>
    <row r="76" spans="2:40" ht="15.75">
      <c r="B76" s="93" t="s">
        <v>144</v>
      </c>
      <c r="C76" s="127" t="s">
        <v>138</v>
      </c>
      <c r="D76" s="144" t="s">
        <v>63</v>
      </c>
      <c r="E76" s="293">
        <v>12</v>
      </c>
      <c r="F76" s="12">
        <v>0.25</v>
      </c>
      <c r="G76" s="94">
        <f>VLOOKUP($D76,Construction!$B:$E,(COLUMN(Construction_BuildingReward_HeroXP)-COLUMN(Construction_Name_and_Level)+1),FALSE)</f>
        <v>10</v>
      </c>
      <c r="H76" s="94">
        <f t="shared" si="7"/>
        <v>12.5</v>
      </c>
      <c r="J76" s="95">
        <f>VLOOKUP($D76,Construction!$B:$F,(COLUMN(Construction_BuildingReward_Power)-COLUMN(Construction_Name_and_Level)+1),FALSE)</f>
        <v>20</v>
      </c>
      <c r="O76" s="139">
        <v>3.472222222222222E-3</v>
      </c>
      <c r="P76" s="139">
        <v>6.2499999999999995E-3</v>
      </c>
      <c r="AD76" s="137" t="e">
        <f t="shared" si="6"/>
        <v>#REF!</v>
      </c>
      <c r="AE76" s="259">
        <v>0.41</v>
      </c>
      <c r="AF76" s="138">
        <f>VLOOKUP($D76,Construction!$B:$C,(COLUMN(Construction_Time)-COLUMN(Construction_Name_and_Level)+1),FALSE)</f>
        <v>1.0416666666666667E-3</v>
      </c>
      <c r="AG76" s="138">
        <f t="shared" si="8"/>
        <v>7.387706855791962E-4</v>
      </c>
      <c r="AH76" s="138">
        <f t="shared" si="9"/>
        <v>0</v>
      </c>
      <c r="AI76" s="139">
        <f t="shared" si="10"/>
        <v>0</v>
      </c>
      <c r="AJ76" s="139">
        <f t="shared" si="11"/>
        <v>1.0416666666666667E-3</v>
      </c>
      <c r="AK76" s="94">
        <f>VLOOKUP($D76,Construction!$B:$J,(COLUMN(Construction_BuildingCost_Stone)-COLUMN(Construction_Name_and_Level)+1),FALSE)*(-1)</f>
        <v>-500</v>
      </c>
      <c r="AL76" s="94">
        <f>VLOOKUP($D76,Construction!$B:$J,(COLUMN(Construction_BuildingCost_Wood)-COLUMN(Construction_Name_and_Level)+1),FALSE)*(-1)</f>
        <v>-400</v>
      </c>
      <c r="AM76" s="94">
        <f>VLOOKUP($D76,Construction!$B:$J,(COLUMN(Construction_BuildingCost_Ore)-COLUMN(Construction_Name_and_Level)+1),FALSE)*(-1)</f>
        <v>-300</v>
      </c>
      <c r="AN76" s="94">
        <f>VLOOKUP($D76,Construction!$B:$J,(COLUMN(Construction_BuildingCost_Food)-COLUMN(Construction_Name_and_Level)+1),FALSE)*(-1)</f>
        <v>-250</v>
      </c>
    </row>
    <row r="77" spans="2:40" ht="15.75">
      <c r="B77" s="93" t="s">
        <v>144</v>
      </c>
      <c r="C77" s="127" t="s">
        <v>138</v>
      </c>
      <c r="D77" s="144" t="s">
        <v>738</v>
      </c>
      <c r="E77" s="293">
        <v>12</v>
      </c>
      <c r="F77" s="12">
        <v>0.25</v>
      </c>
      <c r="G77" s="94">
        <f>VLOOKUP($D77,Construction!$B:$E,(COLUMN(Construction_BuildingReward_HeroXP)-COLUMN(Construction_Name_and_Level)+1),FALSE)</f>
        <v>400</v>
      </c>
      <c r="H77" s="94">
        <f t="shared" si="7"/>
        <v>500</v>
      </c>
      <c r="J77" s="304">
        <f>VLOOKUP($D77,Construction!$B:$F,(COLUMN(Construction_BuildingReward_Power)-COLUMN(Construction_Name_and_Level)+1),FALSE)</f>
        <v>140</v>
      </c>
      <c r="O77" s="139">
        <v>3.472222222222222E-3</v>
      </c>
      <c r="P77" s="139">
        <v>6.2499999999999995E-3</v>
      </c>
      <c r="AD77" s="137" t="e">
        <f t="shared" si="6"/>
        <v>#REF!</v>
      </c>
      <c r="AE77" s="259">
        <v>0.41</v>
      </c>
      <c r="AF77" s="138">
        <f>VLOOKUP($D77,Construction!$B:$C,(COLUMN(Construction_Time)-COLUMN(Construction_Name_and_Level)+1),FALSE)</f>
        <v>1.6666666666666666E-2</v>
      </c>
      <c r="AG77" s="138">
        <f t="shared" si="8"/>
        <v>1.1820330969267139E-2</v>
      </c>
      <c r="AH77" s="138">
        <f t="shared" si="9"/>
        <v>0</v>
      </c>
      <c r="AI77" s="139">
        <f t="shared" si="10"/>
        <v>2.0981087470449177E-3</v>
      </c>
      <c r="AJ77" s="139">
        <f t="shared" si="11"/>
        <v>1.456855791962175E-2</v>
      </c>
      <c r="AK77" s="94">
        <f>VLOOKUP($D77,Construction!$B:$J,(COLUMN(Construction_BuildingCost_Stone)-COLUMN(Construction_Name_and_Level)+1),FALSE)*(-1)</f>
        <v>-4177</v>
      </c>
      <c r="AL77" s="94">
        <f>VLOOKUP($D77,Construction!$B:$J,(COLUMN(Construction_BuildingCost_Wood)-COLUMN(Construction_Name_and_Level)+1),FALSE)*(-1)</f>
        <v>-3343</v>
      </c>
      <c r="AM77" s="94">
        <f>VLOOKUP($D77,Construction!$B:$J,(COLUMN(Construction_BuildingCost_Ore)-COLUMN(Construction_Name_and_Level)+1),FALSE)*(-1)</f>
        <v>-2506</v>
      </c>
      <c r="AN77" s="94">
        <f>VLOOKUP($D77,Construction!$B:$J,(COLUMN(Construction_BuildingCost_Food)-COLUMN(Construction_Name_and_Level)+1),FALSE)*(-1)</f>
        <v>-2091</v>
      </c>
    </row>
    <row r="78" spans="2:40" ht="15.75">
      <c r="B78" s="93" t="s">
        <v>144</v>
      </c>
      <c r="C78" s="127" t="s">
        <v>138</v>
      </c>
      <c r="D78" s="144" t="s">
        <v>739</v>
      </c>
      <c r="E78" s="293">
        <v>12</v>
      </c>
      <c r="F78" s="12">
        <v>0.25</v>
      </c>
      <c r="G78" s="94">
        <f>VLOOKUP($D78,Construction!$B:$E,(COLUMN(Construction_BuildingReward_HeroXP)-COLUMN(Construction_Name_and_Level)+1),FALSE)</f>
        <v>400</v>
      </c>
      <c r="H78" s="94">
        <f t="shared" si="7"/>
        <v>500</v>
      </c>
      <c r="J78" s="304">
        <f>VLOOKUP($D78,Construction!$B:$F,(COLUMN(Construction_BuildingReward_Power)-COLUMN(Construction_Name_and_Level)+1),FALSE)</f>
        <v>90</v>
      </c>
      <c r="O78" s="139">
        <v>3.472222222222222E-3</v>
      </c>
      <c r="P78" s="139">
        <v>6.2499999999999995E-3</v>
      </c>
      <c r="AD78" s="137" t="e">
        <f t="shared" si="6"/>
        <v>#REF!</v>
      </c>
      <c r="AE78" s="259">
        <v>0.41</v>
      </c>
      <c r="AF78" s="138">
        <f>VLOOKUP($D78,Construction!$B:$C,(COLUMN(Construction_Time)-COLUMN(Construction_Name_and_Level)+1),FALSE)</f>
        <v>1.3888888888888888E-2</v>
      </c>
      <c r="AG78" s="138">
        <f t="shared" si="8"/>
        <v>9.8502758077226166E-3</v>
      </c>
      <c r="AH78" s="138">
        <f t="shared" si="9"/>
        <v>0</v>
      </c>
      <c r="AI78" s="139">
        <f t="shared" si="10"/>
        <v>1.2805358550039506E-4</v>
      </c>
      <c r="AJ78" s="139">
        <f t="shared" si="11"/>
        <v>1.3760835303388494E-2</v>
      </c>
      <c r="AK78" s="94">
        <f>VLOOKUP($D78,Construction!$B:$J,(COLUMN(Construction_BuildingCost_Stone)-COLUMN(Construction_Name_and_Level)+1),FALSE)*(-1)</f>
        <v>-2506</v>
      </c>
      <c r="AL78" s="94">
        <f>VLOOKUP($D78,Construction!$B:$J,(COLUMN(Construction_BuildingCost_Wood)-COLUMN(Construction_Name_and_Level)+1),FALSE)*(-1)</f>
        <v>-3343</v>
      </c>
      <c r="AM78" s="94">
        <f>VLOOKUP($D78,Construction!$B:$J,(COLUMN(Construction_BuildingCost_Ore)-COLUMN(Construction_Name_and_Level)+1),FALSE)*(-1)</f>
        <v>-6683</v>
      </c>
      <c r="AN78" s="94">
        <f>VLOOKUP($D78,Construction!$B:$J,(COLUMN(Construction_BuildingCost_Food)-COLUMN(Construction_Name_and_Level)+1),FALSE)*(-1)</f>
        <v>-2506</v>
      </c>
    </row>
    <row r="79" spans="2:40" ht="15.75">
      <c r="B79" s="93" t="s">
        <v>144</v>
      </c>
      <c r="C79" s="127" t="s">
        <v>138</v>
      </c>
      <c r="D79" s="144" t="s">
        <v>740</v>
      </c>
      <c r="E79" s="293">
        <v>12</v>
      </c>
      <c r="F79" s="12">
        <v>0.25</v>
      </c>
      <c r="G79" s="94">
        <f>VLOOKUP($D79,Construction!$B:$E,(COLUMN(Construction_BuildingReward_HeroXP)-COLUMN(Construction_Name_and_Level)+1),FALSE)</f>
        <v>5000</v>
      </c>
      <c r="H79" s="94">
        <f t="shared" si="7"/>
        <v>6250</v>
      </c>
      <c r="J79" s="95">
        <f>VLOOKUP($D79,Construction!$B:$F,(COLUMN(Construction_BuildingReward_Power)-COLUMN(Construction_Name_and_Level)+1),FALSE)</f>
        <v>210</v>
      </c>
      <c r="O79" s="139">
        <v>3.472222222222222E-3</v>
      </c>
      <c r="P79" s="139">
        <v>6.2499999999999995E-3</v>
      </c>
      <c r="AD79" s="137" t="e">
        <f t="shared" si="6"/>
        <v>#REF!</v>
      </c>
      <c r="AE79" s="259">
        <v>0.41</v>
      </c>
      <c r="AF79" s="138">
        <f>VLOOKUP($D79,Construction!$B:$C,(COLUMN(Construction_Time)-COLUMN(Construction_Name_and_Level)+1),FALSE)</f>
        <v>1.9444444444444445E-2</v>
      </c>
      <c r="AG79" s="138">
        <f t="shared" si="8"/>
        <v>1.3790386130811664E-2</v>
      </c>
      <c r="AH79" s="138">
        <f t="shared" si="9"/>
        <v>0</v>
      </c>
      <c r="AI79" s="139">
        <f t="shared" si="10"/>
        <v>4.068163908589442E-3</v>
      </c>
      <c r="AJ79" s="139">
        <f t="shared" si="11"/>
        <v>1.5376280535855002E-2</v>
      </c>
      <c r="AK79" s="94">
        <f>VLOOKUP($D79,Construction!$B:$J,(COLUMN(Construction_BuildingCost_Stone)-COLUMN(Construction_Name_and_Level)+1),FALSE)*(-1)</f>
        <v>-10498</v>
      </c>
      <c r="AL79" s="94">
        <f>VLOOKUP($D79,Construction!$B:$J,(COLUMN(Construction_BuildingCost_Wood)-COLUMN(Construction_Name_and_Level)+1),FALSE)*(-1)</f>
        <v>-8399</v>
      </c>
      <c r="AM79" s="94">
        <f>VLOOKUP($D79,Construction!$B:$J,(COLUMN(Construction_BuildingCost_Ore)-COLUMN(Construction_Name_and_Level)+1),FALSE)*(-1)</f>
        <v>-3150</v>
      </c>
      <c r="AN79" s="94">
        <f>VLOOKUP($D79,Construction!$B:$J,(COLUMN(Construction_BuildingCost_Food)-COLUMN(Construction_Name_and_Level)+1),FALSE)*(-1)</f>
        <v>-5249</v>
      </c>
    </row>
    <row r="80" spans="2:40" ht="15.75">
      <c r="B80" s="93" t="s">
        <v>144</v>
      </c>
      <c r="C80" s="127" t="s">
        <v>138</v>
      </c>
      <c r="D80" s="144" t="s">
        <v>741</v>
      </c>
      <c r="E80" s="293">
        <v>13</v>
      </c>
      <c r="F80" s="12">
        <v>0.25</v>
      </c>
      <c r="G80" s="94">
        <f>VLOOKUP($D80,Construction!$B:$E,(COLUMN(Construction_BuildingReward_HeroXP)-COLUMN(Construction_Name_and_Level)+1),FALSE)</f>
        <v>400</v>
      </c>
      <c r="H80" s="94">
        <f t="shared" si="7"/>
        <v>500</v>
      </c>
      <c r="J80" s="95">
        <f>VLOOKUP($D80,Construction!$B:$F,(COLUMN(Construction_BuildingReward_Power)-COLUMN(Construction_Name_and_Level)+1),FALSE)</f>
        <v>70</v>
      </c>
      <c r="O80" s="139">
        <v>3.472222222222222E-3</v>
      </c>
      <c r="P80" s="139">
        <v>6.2499999999999995E-3</v>
      </c>
      <c r="AD80" s="137" t="e">
        <f t="shared" si="6"/>
        <v>#REF!</v>
      </c>
      <c r="AE80" s="259">
        <v>0.41</v>
      </c>
      <c r="AF80" s="138">
        <f>VLOOKUP($D80,Construction!$B:$C,(COLUMN(Construction_Time)-COLUMN(Construction_Name_and_Level)+1),FALSE)</f>
        <v>1.1111111111111112E-2</v>
      </c>
      <c r="AG80" s="138">
        <f t="shared" si="8"/>
        <v>7.880220646178094E-3</v>
      </c>
      <c r="AH80" s="138">
        <f t="shared" si="9"/>
        <v>0</v>
      </c>
      <c r="AI80" s="139">
        <f t="shared" si="10"/>
        <v>0</v>
      </c>
      <c r="AJ80" s="139">
        <f t="shared" si="11"/>
        <v>1.1111111111111112E-2</v>
      </c>
      <c r="AK80" s="94">
        <f>VLOOKUP($D80,Construction!$B:$J,(COLUMN(Construction_BuildingCost_Stone)-COLUMN(Construction_Name_and_Level)+1),FALSE)*(-1)</f>
        <v>-3343</v>
      </c>
      <c r="AL80" s="94">
        <f>VLOOKUP($D80,Construction!$B:$J,(COLUMN(Construction_BuildingCost_Wood)-COLUMN(Construction_Name_and_Level)+1),FALSE)*(-1)</f>
        <v>-3343</v>
      </c>
      <c r="AM80" s="94">
        <f>VLOOKUP($D80,Construction!$B:$J,(COLUMN(Construction_BuildingCost_Ore)-COLUMN(Construction_Name_and_Level)+1),FALSE)*(-1)</f>
        <v>-2506</v>
      </c>
      <c r="AN80" s="94">
        <f>VLOOKUP($D80,Construction!$B:$J,(COLUMN(Construction_BuildingCost_Food)-COLUMN(Construction_Name_and_Level)+1),FALSE)*(-1)</f>
        <v>-1672</v>
      </c>
    </row>
    <row r="81" spans="2:40" ht="15.75">
      <c r="B81" s="93" t="s">
        <v>144</v>
      </c>
      <c r="C81" s="127" t="s">
        <v>138</v>
      </c>
      <c r="D81" s="144" t="s">
        <v>742</v>
      </c>
      <c r="E81" s="293">
        <v>13</v>
      </c>
      <c r="F81" s="12">
        <v>0.25</v>
      </c>
      <c r="G81" s="94">
        <f>VLOOKUP($D81,Construction!$B:$E,(COLUMN(Construction_BuildingReward_HeroXP)-COLUMN(Construction_Name_and_Level)+1),FALSE)</f>
        <v>500</v>
      </c>
      <c r="H81" s="94">
        <f t="shared" si="7"/>
        <v>625</v>
      </c>
      <c r="J81" s="95">
        <f>VLOOKUP($D81,Construction!$B:$F,(COLUMN(Construction_BuildingReward_Power)-COLUMN(Construction_Name_and_Level)+1),FALSE)</f>
        <v>55</v>
      </c>
      <c r="O81" s="139">
        <v>3.472222222222222E-3</v>
      </c>
      <c r="P81" s="139">
        <v>6.9444444444444441E-3</v>
      </c>
      <c r="U81" s="11">
        <v>-1</v>
      </c>
      <c r="AD81" s="137" t="e">
        <f>#REF!+(Q$3*Q81+R$3*R81+S$3*S81+T$3*T81+U$3*U81+V$3*V81+W$3*W81+X$3*X81+Y$3*Y81+Z$3*Z81+AA$3*AA81)</f>
        <v>#REF!</v>
      </c>
      <c r="AE81" s="259">
        <v>0.41</v>
      </c>
      <c r="AF81" s="138">
        <f>VLOOKUP($D81,Construction!$B:$C,(COLUMN(Construction_Time)-COLUMN(Construction_Name_and_Level)+1),FALSE)</f>
        <v>2.9629629629629627E-2</v>
      </c>
      <c r="AG81" s="138">
        <f t="shared" si="8"/>
        <v>2.1013921723141579E-2</v>
      </c>
      <c r="AH81" s="138">
        <f t="shared" si="9"/>
        <v>1.0416666666666666E-2</v>
      </c>
      <c r="AI81" s="139">
        <f t="shared" si="10"/>
        <v>1.8058838980824533E-4</v>
      </c>
      <c r="AJ81" s="139">
        <f t="shared" si="11"/>
        <v>2.944904123982138E-2</v>
      </c>
      <c r="AK81" s="94">
        <f>VLOOKUP($D81,Construction!$B:$J,(COLUMN(Construction_BuildingCost_Stone)-COLUMN(Construction_Name_and_Level)+1),FALSE)*(-1)</f>
        <v>-1674</v>
      </c>
      <c r="AL81" s="94">
        <f>VLOOKUP($D81,Construction!$B:$J,(COLUMN(Construction_BuildingCost_Wood)-COLUMN(Construction_Name_and_Level)+1),FALSE)*(-1)</f>
        <v>-1674</v>
      </c>
      <c r="AM81" s="94">
        <f>VLOOKUP($D81,Construction!$B:$J,(COLUMN(Construction_BuildingCost_Ore)-COLUMN(Construction_Name_and_Level)+1),FALSE)*(-1)</f>
        <v>0</v>
      </c>
      <c r="AN81" s="94">
        <f>VLOOKUP($D81,Construction!$B:$J,(COLUMN(Construction_BuildingCost_Food)-COLUMN(Construction_Name_and_Level)+1),FALSE)*(-1)</f>
        <v>-1674</v>
      </c>
    </row>
    <row r="82" spans="2:40" ht="15.75">
      <c r="B82" s="93" t="s">
        <v>144</v>
      </c>
      <c r="C82" s="127" t="s">
        <v>138</v>
      </c>
      <c r="D82" s="144" t="s">
        <v>743</v>
      </c>
      <c r="E82" s="293">
        <v>13</v>
      </c>
      <c r="F82" s="12">
        <v>0.25</v>
      </c>
      <c r="G82" s="94">
        <f>VLOOKUP($D82,Construction!$B:$E,(COLUMN(Construction_BuildingReward_HeroXP)-COLUMN(Construction_Name_and_Level)+1),FALSE)</f>
        <v>500</v>
      </c>
      <c r="H82" s="94">
        <f t="shared" si="7"/>
        <v>625</v>
      </c>
      <c r="J82" s="95">
        <f>VLOOKUP($D82,Construction!$B:$F,(COLUMN(Construction_BuildingReward_Power)-COLUMN(Construction_Name_and_Level)+1),FALSE)</f>
        <v>135</v>
      </c>
      <c r="O82" s="139">
        <v>3.472222222222222E-3</v>
      </c>
      <c r="P82" s="139">
        <v>6.9444444444444441E-3</v>
      </c>
      <c r="U82" s="11">
        <v>-1</v>
      </c>
      <c r="AD82" s="137" t="e">
        <f t="shared" ref="AD82:AD89" si="12">AD81+(Q$3*Q82+R$3*R82+S$3*S82+T$3*T82+U$3*U82+V$3*V82+W$3*W82+X$3*X82+Y$3*Y82+Z$3*Z82+AA$3*AA82)</f>
        <v>#REF!</v>
      </c>
      <c r="AE82" s="259">
        <v>0.41</v>
      </c>
      <c r="AF82" s="138">
        <f>VLOOKUP($D82,Construction!$B:$C,(COLUMN(Construction_Time)-COLUMN(Construction_Name_and_Level)+1),FALSE)</f>
        <v>2.7777777777777776E-2</v>
      </c>
      <c r="AG82" s="138">
        <f t="shared" si="8"/>
        <v>1.9700551615445233E-2</v>
      </c>
      <c r="AH82" s="138">
        <f t="shared" si="9"/>
        <v>1.0416666666666666E-2</v>
      </c>
      <c r="AI82" s="139">
        <f t="shared" si="10"/>
        <v>0</v>
      </c>
      <c r="AJ82" s="139">
        <f t="shared" si="11"/>
        <v>2.7777777777777776E-2</v>
      </c>
      <c r="AK82" s="94">
        <f>VLOOKUP($D82,Construction!$B:$J,(COLUMN(Construction_BuildingCost_Stone)-COLUMN(Construction_Name_and_Level)+1),FALSE)*(-1)</f>
        <v>-5012</v>
      </c>
      <c r="AL82" s="94">
        <f>VLOOKUP($D82,Construction!$B:$J,(COLUMN(Construction_BuildingCost_Wood)-COLUMN(Construction_Name_and_Level)+1),FALSE)*(-1)</f>
        <v>-6686</v>
      </c>
      <c r="AM82" s="94">
        <f>VLOOKUP($D82,Construction!$B:$J,(COLUMN(Construction_BuildingCost_Ore)-COLUMN(Construction_Name_and_Level)+1),FALSE)*(-1)</f>
        <v>-13366</v>
      </c>
      <c r="AN82" s="94">
        <f>VLOOKUP($D82,Construction!$B:$J,(COLUMN(Construction_BuildingCost_Food)-COLUMN(Construction_Name_and_Level)+1),FALSE)*(-1)</f>
        <v>-5012</v>
      </c>
    </row>
    <row r="83" spans="2:40" ht="15.75">
      <c r="B83" s="93" t="s">
        <v>144</v>
      </c>
      <c r="C83" s="127" t="s">
        <v>138</v>
      </c>
      <c r="D83" s="144" t="s">
        <v>665</v>
      </c>
      <c r="E83" s="293">
        <v>13</v>
      </c>
      <c r="F83" s="12">
        <v>0.25</v>
      </c>
      <c r="G83" s="94">
        <f>VLOOKUP($D83,Construction!$B:$E,(COLUMN(Construction_BuildingReward_HeroXP)-COLUMN(Construction_Name_and_Level)+1),FALSE)</f>
        <v>5000</v>
      </c>
      <c r="H83" s="94">
        <f t="shared" si="7"/>
        <v>6250</v>
      </c>
      <c r="J83" s="95">
        <f>VLOOKUP($D83,Construction!$B:$F,(COLUMN(Construction_BuildingReward_Power)-COLUMN(Construction_Name_and_Level)+1),FALSE)</f>
        <v>330</v>
      </c>
      <c r="O83" s="139">
        <v>3.472222222222222E-3</v>
      </c>
      <c r="P83" s="139">
        <v>6.9444444444444441E-3</v>
      </c>
      <c r="AD83" s="137" t="e">
        <f t="shared" si="12"/>
        <v>#REF!</v>
      </c>
      <c r="AE83" s="259">
        <v>0.41</v>
      </c>
      <c r="AF83" s="138">
        <f>VLOOKUP($D83,Construction!$B:$C,(COLUMN(Construction_Time)-COLUMN(Construction_Name_and_Level)+1),FALSE)</f>
        <v>3.888888888888889E-2</v>
      </c>
      <c r="AG83" s="138">
        <f t="shared" si="8"/>
        <v>2.7580772261623327E-2</v>
      </c>
      <c r="AH83" s="138">
        <f t="shared" si="9"/>
        <v>0</v>
      </c>
      <c r="AI83" s="139">
        <f t="shared" si="10"/>
        <v>1.7164105594956663E-2</v>
      </c>
      <c r="AJ83" s="139">
        <f t="shared" si="11"/>
        <v>2.1724783293932227E-2</v>
      </c>
      <c r="AK83" s="94">
        <f>VLOOKUP($D83,Construction!$B:$J,(COLUMN(Construction_BuildingCost_Stone)-COLUMN(Construction_Name_and_Level)+1),FALSE)*(-1)</f>
        <v>-20996</v>
      </c>
      <c r="AL83" s="94">
        <f>VLOOKUP($D83,Construction!$B:$J,(COLUMN(Construction_BuildingCost_Wood)-COLUMN(Construction_Name_and_Level)+1),FALSE)*(-1)</f>
        <v>-16798</v>
      </c>
      <c r="AM83" s="94">
        <f>VLOOKUP($D83,Construction!$B:$J,(COLUMN(Construction_BuildingCost_Ore)-COLUMN(Construction_Name_and_Level)+1),FALSE)*(-1)</f>
        <v>-6300</v>
      </c>
      <c r="AN83" s="94">
        <f>VLOOKUP($D83,Construction!$B:$J,(COLUMN(Construction_BuildingCost_Food)-COLUMN(Construction_Name_and_Level)+1),FALSE)*(-1)</f>
        <v>-10498</v>
      </c>
    </row>
    <row r="84" spans="2:40" ht="15.75">
      <c r="B84" s="93" t="s">
        <v>144</v>
      </c>
      <c r="C84" s="127" t="s">
        <v>138</v>
      </c>
      <c r="D84" s="144" t="s">
        <v>744</v>
      </c>
      <c r="E84" s="293">
        <v>13</v>
      </c>
      <c r="F84" s="12">
        <v>0.25</v>
      </c>
      <c r="G84" s="94">
        <f>VLOOKUP($D84,Construction!$B:$E,(COLUMN(Construction_BuildingReward_HeroXP)-COLUMN(Construction_Name_and_Level)+1),FALSE)</f>
        <v>500</v>
      </c>
      <c r="H84" s="94">
        <f t="shared" si="7"/>
        <v>625</v>
      </c>
      <c r="J84" s="95">
        <f>VLOOKUP($D84,Construction!$B:$F,(COLUMN(Construction_BuildingReward_Power)-COLUMN(Construction_Name_and_Level)+1),FALSE)</f>
        <v>110</v>
      </c>
      <c r="O84" s="139">
        <v>3.472222222222222E-3</v>
      </c>
      <c r="P84" s="139">
        <v>6.9444444444444441E-3</v>
      </c>
      <c r="AD84" s="137" t="e">
        <f t="shared" si="12"/>
        <v>#REF!</v>
      </c>
      <c r="AE84" s="259">
        <v>0.41</v>
      </c>
      <c r="AF84" s="138">
        <f>VLOOKUP($D84,Construction!$B:$C,(COLUMN(Construction_Time)-COLUMN(Construction_Name_and_Level)+1),FALSE)</f>
        <v>2.2222222222222223E-2</v>
      </c>
      <c r="AG84" s="138">
        <f t="shared" si="8"/>
        <v>1.5760441292356188E-2</v>
      </c>
      <c r="AH84" s="138">
        <f t="shared" si="9"/>
        <v>0</v>
      </c>
      <c r="AI84" s="139">
        <f t="shared" si="10"/>
        <v>5.3437746256895218E-3</v>
      </c>
      <c r="AJ84" s="139">
        <f t="shared" si="11"/>
        <v>1.6878447596532703E-2</v>
      </c>
      <c r="AK84" s="94">
        <f>VLOOKUP($D84,Construction!$B:$J,(COLUMN(Construction_BuildingCost_Stone)-COLUMN(Construction_Name_and_Level)+1),FALSE)*(-1)</f>
        <v>-6686</v>
      </c>
      <c r="AL84" s="94">
        <f>VLOOKUP($D84,Construction!$B:$J,(COLUMN(Construction_BuildingCost_Wood)-COLUMN(Construction_Name_and_Level)+1),FALSE)*(-1)</f>
        <v>-6686</v>
      </c>
      <c r="AM84" s="94">
        <f>VLOOKUP($D84,Construction!$B:$J,(COLUMN(Construction_BuildingCost_Ore)-COLUMN(Construction_Name_and_Level)+1),FALSE)*(-1)</f>
        <v>-5012</v>
      </c>
      <c r="AN84" s="94">
        <f>VLOOKUP($D84,Construction!$B:$J,(COLUMN(Construction_BuildingCost_Food)-COLUMN(Construction_Name_and_Level)+1),FALSE)*(-1)</f>
        <v>-3344</v>
      </c>
    </row>
    <row r="85" spans="2:40" ht="15.75">
      <c r="B85" s="93" t="s">
        <v>144</v>
      </c>
      <c r="C85" s="127" t="s">
        <v>149</v>
      </c>
      <c r="D85" s="144" t="s">
        <v>745</v>
      </c>
      <c r="E85" s="293">
        <v>13</v>
      </c>
      <c r="F85" s="12">
        <v>0.25</v>
      </c>
      <c r="G85" s="94">
        <f>VLOOKUP($D85,Construction!$B:$E,(COLUMN(Construction_BuildingReward_HeroXP)-COLUMN(Construction_Name_and_Level)+1),FALSE)</f>
        <v>50</v>
      </c>
      <c r="H85" s="94">
        <f t="shared" si="7"/>
        <v>62.5</v>
      </c>
      <c r="J85" s="95">
        <f>VLOOKUP($D85,Construction!$B:$F,(COLUMN(Construction_BuildingReward_Power)-COLUMN(Construction_Name_and_Level)+1),FALSE)</f>
        <v>30</v>
      </c>
      <c r="O85" s="139">
        <v>3.472222222222222E-3</v>
      </c>
      <c r="P85" s="139">
        <v>6.9444444444444441E-3</v>
      </c>
      <c r="AD85" s="137" t="e">
        <f t="shared" si="12"/>
        <v>#REF!</v>
      </c>
      <c r="AE85" s="259">
        <v>0.41</v>
      </c>
      <c r="AF85" s="138">
        <f>VLOOKUP($D85,Construction!$B:$C,(COLUMN(Construction_Time)-COLUMN(Construction_Name_and_Level)+1),FALSE)</f>
        <v>4.1666666666666666E-3</v>
      </c>
      <c r="AG85" s="138">
        <f t="shared" si="8"/>
        <v>2.9550827423167848E-3</v>
      </c>
      <c r="AH85" s="138">
        <f t="shared" si="9"/>
        <v>0</v>
      </c>
      <c r="AI85" s="139">
        <f t="shared" si="10"/>
        <v>0</v>
      </c>
      <c r="AJ85" s="139">
        <f t="shared" si="11"/>
        <v>4.1666666666666666E-3</v>
      </c>
      <c r="AK85" s="94">
        <f>VLOOKUP($D85,Construction!$B:$J,(COLUMN(Construction_BuildingCost_Stone)-COLUMN(Construction_Name_and_Level)+1),FALSE)*(-1)</f>
        <v>-1445</v>
      </c>
      <c r="AL85" s="94">
        <f>VLOOKUP($D85,Construction!$B:$J,(COLUMN(Construction_BuildingCost_Wood)-COLUMN(Construction_Name_and_Level)+1),FALSE)*(-1)</f>
        <v>-1156</v>
      </c>
      <c r="AM85" s="94">
        <f>VLOOKUP($D85,Construction!$B:$J,(COLUMN(Construction_BuildingCost_Ore)-COLUMN(Construction_Name_and_Level)+1),FALSE)*(-1)</f>
        <v>-867</v>
      </c>
      <c r="AN85" s="94">
        <f>VLOOKUP($D85,Construction!$B:$J,(COLUMN(Construction_BuildingCost_Food)-COLUMN(Construction_Name_and_Level)+1),FALSE)*(-1)</f>
        <v>-723</v>
      </c>
    </row>
    <row r="86" spans="2:40" ht="15.75">
      <c r="B86" s="93" t="s">
        <v>144</v>
      </c>
      <c r="C86" s="127" t="s">
        <v>149</v>
      </c>
      <c r="D86" s="144" t="s">
        <v>746</v>
      </c>
      <c r="E86" s="293">
        <v>13</v>
      </c>
      <c r="F86" s="12">
        <v>0.25</v>
      </c>
      <c r="G86" s="94">
        <f>VLOOKUP($D86,Construction!$B:$E,(COLUMN(Construction_BuildingReward_HeroXP)-COLUMN(Construction_Name_and_Level)+1),FALSE)</f>
        <v>50</v>
      </c>
      <c r="H86" s="94">
        <f t="shared" si="7"/>
        <v>62.5</v>
      </c>
      <c r="J86" s="95">
        <f>VLOOKUP($D86,Construction!$B:$F,(COLUMN(Construction_BuildingReward_Power)-COLUMN(Construction_Name_and_Level)+1),FALSE)</f>
        <v>35</v>
      </c>
      <c r="O86" s="139">
        <v>3.472222222222222E-3</v>
      </c>
      <c r="P86" s="139">
        <v>6.9444444444444441E-3</v>
      </c>
      <c r="AD86" s="137" t="e">
        <f t="shared" si="12"/>
        <v>#REF!</v>
      </c>
      <c r="AE86" s="259">
        <v>0.41</v>
      </c>
      <c r="AF86" s="138">
        <f>VLOOKUP($D86,Construction!$B:$C,(COLUMN(Construction_Time)-COLUMN(Construction_Name_and_Level)+1),FALSE)</f>
        <v>3.2407407407407406E-3</v>
      </c>
      <c r="AG86" s="138">
        <f t="shared" si="8"/>
        <v>2.2983976884686104E-3</v>
      </c>
      <c r="AH86" s="138">
        <f t="shared" si="9"/>
        <v>0</v>
      </c>
      <c r="AI86" s="139">
        <f t="shared" si="10"/>
        <v>0</v>
      </c>
      <c r="AJ86" s="139">
        <f t="shared" si="11"/>
        <v>3.2407407407407406E-3</v>
      </c>
      <c r="AK86" s="94">
        <f>VLOOKUP($D86,Construction!$B:$J,(COLUMN(Construction_BuildingCost_Stone)-COLUMN(Construction_Name_and_Level)+1),FALSE)*(-1)</f>
        <v>-1445</v>
      </c>
      <c r="AL86" s="94">
        <f>VLOOKUP($D86,Construction!$B:$J,(COLUMN(Construction_BuildingCost_Wood)-COLUMN(Construction_Name_and_Level)+1),FALSE)*(-1)</f>
        <v>-1156</v>
      </c>
      <c r="AM86" s="94">
        <f>VLOOKUP($D86,Construction!$B:$J,(COLUMN(Construction_BuildingCost_Ore)-COLUMN(Construction_Name_and_Level)+1),FALSE)*(-1)</f>
        <v>-289</v>
      </c>
      <c r="AN86" s="94">
        <f>VLOOKUP($D86,Construction!$B:$J,(COLUMN(Construction_BuildingCost_Food)-COLUMN(Construction_Name_and_Level)+1),FALSE)*(-1)</f>
        <v>-578</v>
      </c>
    </row>
    <row r="87" spans="2:40" ht="15.75">
      <c r="B87" s="93" t="s">
        <v>144</v>
      </c>
      <c r="C87" s="127" t="s">
        <v>149</v>
      </c>
      <c r="D87" s="144" t="s">
        <v>63</v>
      </c>
      <c r="E87" s="293">
        <v>13</v>
      </c>
      <c r="F87" s="12">
        <v>0.25</v>
      </c>
      <c r="G87" s="94">
        <f>VLOOKUP($D87,Construction!$B:$E,(COLUMN(Construction_BuildingReward_HeroXP)-COLUMN(Construction_Name_and_Level)+1),FALSE)</f>
        <v>10</v>
      </c>
      <c r="H87" s="94">
        <f t="shared" si="7"/>
        <v>12.5</v>
      </c>
      <c r="J87" s="95">
        <f>VLOOKUP($D87,Construction!$B:$F,(COLUMN(Construction_BuildingReward_Power)-COLUMN(Construction_Name_and_Level)+1),FALSE)</f>
        <v>20</v>
      </c>
      <c r="O87" s="139">
        <v>3.472222222222222E-3</v>
      </c>
      <c r="P87" s="139">
        <v>6.9444444444444441E-3</v>
      </c>
      <c r="AD87" s="137" t="e">
        <f t="shared" si="12"/>
        <v>#REF!</v>
      </c>
      <c r="AE87" s="259">
        <v>0.41</v>
      </c>
      <c r="AF87" s="138">
        <f>VLOOKUP($D87,Construction!$B:$C,(COLUMN(Construction_Time)-COLUMN(Construction_Name_and_Level)+1),FALSE)</f>
        <v>1.0416666666666667E-3</v>
      </c>
      <c r="AG87" s="138">
        <f t="shared" si="8"/>
        <v>7.387706855791962E-4</v>
      </c>
      <c r="AH87" s="138">
        <f t="shared" si="9"/>
        <v>0</v>
      </c>
      <c r="AI87" s="139">
        <f t="shared" si="10"/>
        <v>0</v>
      </c>
      <c r="AJ87" s="139">
        <f t="shared" si="11"/>
        <v>1.0416666666666667E-3</v>
      </c>
      <c r="AK87" s="94">
        <f>VLOOKUP($D87,Construction!$B:$J,(COLUMN(Construction_BuildingCost_Stone)-COLUMN(Construction_Name_and_Level)+1),FALSE)*(-1)</f>
        <v>-500</v>
      </c>
      <c r="AL87" s="94">
        <f>VLOOKUP($D87,Construction!$B:$J,(COLUMN(Construction_BuildingCost_Wood)-COLUMN(Construction_Name_and_Level)+1),FALSE)*(-1)</f>
        <v>-400</v>
      </c>
      <c r="AM87" s="94">
        <f>VLOOKUP($D87,Construction!$B:$J,(COLUMN(Construction_BuildingCost_Ore)-COLUMN(Construction_Name_and_Level)+1),FALSE)*(-1)</f>
        <v>-300</v>
      </c>
      <c r="AN87" s="94">
        <f>VLOOKUP($D87,Construction!$B:$J,(COLUMN(Construction_BuildingCost_Food)-COLUMN(Construction_Name_and_Level)+1),FALSE)*(-1)</f>
        <v>-250</v>
      </c>
    </row>
    <row r="88" spans="2:40" ht="15.75">
      <c r="B88" s="93" t="s">
        <v>144</v>
      </c>
      <c r="C88" s="127" t="s">
        <v>149</v>
      </c>
      <c r="D88" s="144" t="s">
        <v>63</v>
      </c>
      <c r="E88" s="293">
        <v>13</v>
      </c>
      <c r="F88" s="12">
        <v>0.25</v>
      </c>
      <c r="G88" s="94">
        <f>VLOOKUP($D88,Construction!$B:$E,(COLUMN(Construction_BuildingReward_HeroXP)-COLUMN(Construction_Name_and_Level)+1),FALSE)</f>
        <v>10</v>
      </c>
      <c r="H88" s="94">
        <f t="shared" si="7"/>
        <v>12.5</v>
      </c>
      <c r="J88" s="95">
        <f>VLOOKUP($D88,Construction!$B:$F,(COLUMN(Construction_BuildingReward_Power)-COLUMN(Construction_Name_and_Level)+1),FALSE)</f>
        <v>20</v>
      </c>
      <c r="O88" s="139">
        <v>3.472222222222222E-3</v>
      </c>
      <c r="P88" s="139">
        <v>6.9444444444444441E-3</v>
      </c>
      <c r="AD88" s="137" t="e">
        <f t="shared" si="12"/>
        <v>#REF!</v>
      </c>
      <c r="AE88" s="259">
        <v>0.41</v>
      </c>
      <c r="AF88" s="138">
        <f>VLOOKUP($D88,Construction!$B:$C,(COLUMN(Construction_Time)-COLUMN(Construction_Name_and_Level)+1),FALSE)</f>
        <v>1.0416666666666667E-3</v>
      </c>
      <c r="AG88" s="138">
        <f t="shared" si="8"/>
        <v>7.387706855791962E-4</v>
      </c>
      <c r="AH88" s="138">
        <f t="shared" si="9"/>
        <v>0</v>
      </c>
      <c r="AI88" s="139">
        <f t="shared" si="10"/>
        <v>0</v>
      </c>
      <c r="AJ88" s="139">
        <f t="shared" si="11"/>
        <v>1.0416666666666667E-3</v>
      </c>
      <c r="AK88" s="94">
        <f>VLOOKUP($D88,Construction!$B:$J,(COLUMN(Construction_BuildingCost_Stone)-COLUMN(Construction_Name_and_Level)+1),FALSE)*(-1)</f>
        <v>-500</v>
      </c>
      <c r="AL88" s="94">
        <f>VLOOKUP($D88,Construction!$B:$J,(COLUMN(Construction_BuildingCost_Wood)-COLUMN(Construction_Name_and_Level)+1),FALSE)*(-1)</f>
        <v>-400</v>
      </c>
      <c r="AM88" s="94">
        <f>VLOOKUP($D88,Construction!$B:$J,(COLUMN(Construction_BuildingCost_Ore)-COLUMN(Construction_Name_and_Level)+1),FALSE)*(-1)</f>
        <v>-300</v>
      </c>
      <c r="AN88" s="94">
        <f>VLOOKUP($D88,Construction!$B:$J,(COLUMN(Construction_BuildingCost_Food)-COLUMN(Construction_Name_and_Level)+1),FALSE)*(-1)</f>
        <v>-250</v>
      </c>
    </row>
    <row r="89" spans="2:40" ht="15.75">
      <c r="B89" s="93" t="s">
        <v>144</v>
      </c>
      <c r="C89" s="127" t="s">
        <v>149</v>
      </c>
      <c r="D89" s="144" t="s">
        <v>21</v>
      </c>
      <c r="E89" s="293">
        <v>13</v>
      </c>
      <c r="F89" s="12">
        <v>0.25</v>
      </c>
      <c r="G89" s="94">
        <f>VLOOKUP($D89,Construction!$B:$E,(COLUMN(Construction_BuildingReward_HeroXP)-COLUMN(Construction_Name_and_Level)+1),FALSE)</f>
        <v>10</v>
      </c>
      <c r="H89" s="94">
        <f t="shared" si="7"/>
        <v>12.5</v>
      </c>
      <c r="J89" s="95">
        <f>VLOOKUP($D89,Construction!$B:$F,(COLUMN(Construction_BuildingReward_Power)-COLUMN(Construction_Name_and_Level)+1),FALSE)</f>
        <v>10</v>
      </c>
      <c r="O89" s="139">
        <v>3.472222222222222E-3</v>
      </c>
      <c r="P89" s="139">
        <v>6.9444444444444441E-3</v>
      </c>
      <c r="AD89" s="137" t="e">
        <f t="shared" si="12"/>
        <v>#REF!</v>
      </c>
      <c r="AE89" s="259">
        <v>0.41</v>
      </c>
      <c r="AF89" s="138">
        <f>VLOOKUP($D89,Construction!$B:$C,(COLUMN(Construction_Time)-COLUMN(Construction_Name_and_Level)+1),FALSE)</f>
        <v>1.0416666666666667E-3</v>
      </c>
      <c r="AG89" s="138">
        <f t="shared" si="8"/>
        <v>7.387706855791962E-4</v>
      </c>
      <c r="AH89" s="138">
        <f t="shared" si="9"/>
        <v>0</v>
      </c>
      <c r="AI89" s="139">
        <f t="shared" si="10"/>
        <v>0</v>
      </c>
      <c r="AJ89" s="139">
        <f t="shared" si="11"/>
        <v>1.0416666666666667E-3</v>
      </c>
      <c r="AK89" s="94">
        <f>VLOOKUP($D89,Construction!$B:$J,(COLUMN(Construction_BuildingCost_Stone)-COLUMN(Construction_Name_and_Level)+1),FALSE)*(-1)</f>
        <v>-500</v>
      </c>
      <c r="AL89" s="94">
        <f>VLOOKUP($D89,Construction!$B:$J,(COLUMN(Construction_BuildingCost_Wood)-COLUMN(Construction_Name_and_Level)+1),FALSE)*(-1)</f>
        <v>-400</v>
      </c>
      <c r="AM89" s="94">
        <f>VLOOKUP($D89,Construction!$B:$J,(COLUMN(Construction_BuildingCost_Ore)-COLUMN(Construction_Name_and_Level)+1),FALSE)*(-1)</f>
        <v>-300</v>
      </c>
      <c r="AN89" s="94">
        <f>VLOOKUP($D89,Construction!$B:$J,(COLUMN(Construction_BuildingCost_Food)-COLUMN(Construction_Name_and_Level)+1),FALSE)*(-1)</f>
        <v>-250</v>
      </c>
    </row>
    <row r="90" spans="2:40" ht="15.75">
      <c r="B90" s="93" t="s">
        <v>144</v>
      </c>
      <c r="C90" s="127" t="s">
        <v>149</v>
      </c>
      <c r="D90" s="144" t="s">
        <v>21</v>
      </c>
      <c r="E90" s="293">
        <v>13</v>
      </c>
      <c r="F90" s="12">
        <v>0.25</v>
      </c>
      <c r="G90" s="94">
        <f>VLOOKUP($D90,Construction!$B:$E,(COLUMN(Construction_BuildingReward_HeroXP)-COLUMN(Construction_Name_and_Level)+1),FALSE)</f>
        <v>10</v>
      </c>
      <c r="H90" s="94">
        <f t="shared" si="7"/>
        <v>12.5</v>
      </c>
      <c r="J90" s="95">
        <f>VLOOKUP($D90,Construction!$B:$F,(COLUMN(Construction_BuildingReward_Power)-COLUMN(Construction_Name_and_Level)+1),FALSE)</f>
        <v>10</v>
      </c>
      <c r="O90" s="139">
        <v>3.472222222222222E-3</v>
      </c>
      <c r="P90" s="139">
        <v>6.9444444444444441E-3</v>
      </c>
      <c r="AD90" s="137" t="e">
        <f>#REF!+(Q$3*Q90+R$3*R90+S$3*S90+T$3*T90+U$3*U90+V$3*V90+W$3*W90+X$3*X90+Y$3*Y90+Z$3*Z90+AA$3*AA90)</f>
        <v>#REF!</v>
      </c>
      <c r="AE90" s="259">
        <v>0.41</v>
      </c>
      <c r="AF90" s="138">
        <f>VLOOKUP($D90,Construction!$B:$C,(COLUMN(Construction_Time)-COLUMN(Construction_Name_and_Level)+1),FALSE)</f>
        <v>1.0416666666666667E-3</v>
      </c>
      <c r="AG90" s="138">
        <f t="shared" si="8"/>
        <v>7.387706855791962E-4</v>
      </c>
      <c r="AH90" s="138">
        <f t="shared" si="9"/>
        <v>0</v>
      </c>
      <c r="AI90" s="139">
        <f t="shared" si="10"/>
        <v>0</v>
      </c>
      <c r="AJ90" s="139">
        <f t="shared" si="11"/>
        <v>1.0416666666666667E-3</v>
      </c>
      <c r="AK90" s="94">
        <f>VLOOKUP($D90,Construction!$B:$J,(COLUMN(Construction_BuildingCost_Stone)-COLUMN(Construction_Name_and_Level)+1),FALSE)*(-1)</f>
        <v>-500</v>
      </c>
      <c r="AL90" s="94">
        <f>VLOOKUP($D90,Construction!$B:$J,(COLUMN(Construction_BuildingCost_Wood)-COLUMN(Construction_Name_and_Level)+1),FALSE)*(-1)</f>
        <v>-400</v>
      </c>
      <c r="AM90" s="94">
        <f>VLOOKUP($D90,Construction!$B:$J,(COLUMN(Construction_BuildingCost_Ore)-COLUMN(Construction_Name_and_Level)+1),FALSE)*(-1)</f>
        <v>-300</v>
      </c>
      <c r="AN90" s="94">
        <f>VLOOKUP($D90,Construction!$B:$J,(COLUMN(Construction_BuildingCost_Food)-COLUMN(Construction_Name_and_Level)+1),FALSE)*(-1)</f>
        <v>-250</v>
      </c>
    </row>
    <row r="91" spans="2:40" ht="15.75">
      <c r="B91" s="93" t="s">
        <v>144</v>
      </c>
      <c r="C91" s="127" t="s">
        <v>149</v>
      </c>
      <c r="D91" s="144" t="s">
        <v>21</v>
      </c>
      <c r="E91" s="293">
        <v>13</v>
      </c>
      <c r="F91" s="12">
        <v>0.25</v>
      </c>
      <c r="G91" s="94">
        <f>VLOOKUP($D91,Construction!$B:$E,(COLUMN(Construction_BuildingReward_HeroXP)-COLUMN(Construction_Name_and_Level)+1),FALSE)</f>
        <v>10</v>
      </c>
      <c r="H91" s="94">
        <f t="shared" si="7"/>
        <v>12.5</v>
      </c>
      <c r="J91" s="95">
        <f>VLOOKUP($D91,Construction!$B:$F,(COLUMN(Construction_BuildingReward_Power)-COLUMN(Construction_Name_and_Level)+1),FALSE)</f>
        <v>10</v>
      </c>
      <c r="O91" s="139">
        <v>3.472222222222222E-3</v>
      </c>
      <c r="P91" s="139">
        <v>6.9444444444444441E-3</v>
      </c>
      <c r="AD91" s="137" t="e">
        <f t="shared" ref="AD91:AD122" si="13">AD90+(Q$3*Q91+R$3*R91+S$3*S91+T$3*T91+U$3*U91+V$3*V91+W$3*W91+X$3*X91+Y$3*Y91+Z$3*Z91+AA$3*AA91)</f>
        <v>#REF!</v>
      </c>
      <c r="AE91" s="259">
        <v>0.41</v>
      </c>
      <c r="AF91" s="138">
        <f>VLOOKUP($D91,Construction!$B:$C,(COLUMN(Construction_Time)-COLUMN(Construction_Name_and_Level)+1),FALSE)</f>
        <v>1.0416666666666667E-3</v>
      </c>
      <c r="AG91" s="138">
        <f t="shared" si="8"/>
        <v>7.387706855791962E-4</v>
      </c>
      <c r="AH91" s="138">
        <f t="shared" si="9"/>
        <v>0</v>
      </c>
      <c r="AI91" s="139">
        <f t="shared" si="10"/>
        <v>0</v>
      </c>
      <c r="AJ91" s="139">
        <f t="shared" si="11"/>
        <v>1.0416666666666667E-3</v>
      </c>
      <c r="AK91" s="94">
        <f>VLOOKUP($D91,Construction!$B:$J,(COLUMN(Construction_BuildingCost_Stone)-COLUMN(Construction_Name_and_Level)+1),FALSE)*(-1)</f>
        <v>-500</v>
      </c>
      <c r="AL91" s="94">
        <f>VLOOKUP($D91,Construction!$B:$J,(COLUMN(Construction_BuildingCost_Wood)-COLUMN(Construction_Name_and_Level)+1),FALSE)*(-1)</f>
        <v>-400</v>
      </c>
      <c r="AM91" s="94">
        <f>VLOOKUP($D91,Construction!$B:$J,(COLUMN(Construction_BuildingCost_Ore)-COLUMN(Construction_Name_and_Level)+1),FALSE)*(-1)</f>
        <v>-300</v>
      </c>
      <c r="AN91" s="94">
        <f>VLOOKUP($D91,Construction!$B:$J,(COLUMN(Construction_BuildingCost_Food)-COLUMN(Construction_Name_and_Level)+1),FALSE)*(-1)</f>
        <v>-250</v>
      </c>
    </row>
    <row r="92" spans="2:40" ht="15.75">
      <c r="B92" s="93" t="s">
        <v>144</v>
      </c>
      <c r="C92" s="127" t="s">
        <v>149</v>
      </c>
      <c r="D92" s="144" t="s">
        <v>21</v>
      </c>
      <c r="E92" s="293">
        <v>13</v>
      </c>
      <c r="F92" s="12">
        <v>0.25</v>
      </c>
      <c r="G92" s="94">
        <f>VLOOKUP($D92,Construction!$B:$E,(COLUMN(Construction_BuildingReward_HeroXP)-COLUMN(Construction_Name_and_Level)+1),FALSE)</f>
        <v>10</v>
      </c>
      <c r="H92" s="94">
        <f t="shared" si="7"/>
        <v>12.5</v>
      </c>
      <c r="J92" s="95">
        <f>VLOOKUP($D92,Construction!$B:$F,(COLUMN(Construction_BuildingReward_Power)-COLUMN(Construction_Name_and_Level)+1),FALSE)</f>
        <v>10</v>
      </c>
      <c r="O92" s="139">
        <v>3.472222222222222E-3</v>
      </c>
      <c r="P92" s="139">
        <v>6.9444444444444441E-3</v>
      </c>
      <c r="AD92" s="137" t="e">
        <f t="shared" si="13"/>
        <v>#REF!</v>
      </c>
      <c r="AE92" s="259">
        <v>0.41</v>
      </c>
      <c r="AF92" s="138">
        <f>VLOOKUP($D92,Construction!$B:$C,(COLUMN(Construction_Time)-COLUMN(Construction_Name_and_Level)+1),FALSE)</f>
        <v>1.0416666666666667E-3</v>
      </c>
      <c r="AG92" s="138">
        <f t="shared" si="8"/>
        <v>7.387706855791962E-4</v>
      </c>
      <c r="AH92" s="138">
        <f t="shared" si="9"/>
        <v>0</v>
      </c>
      <c r="AI92" s="139">
        <f t="shared" si="10"/>
        <v>0</v>
      </c>
      <c r="AJ92" s="139">
        <f t="shared" si="11"/>
        <v>1.0416666666666667E-3</v>
      </c>
      <c r="AK92" s="94">
        <f>VLOOKUP($D92,Construction!$B:$J,(COLUMN(Construction_BuildingCost_Stone)-COLUMN(Construction_Name_and_Level)+1),FALSE)*(-1)</f>
        <v>-500</v>
      </c>
      <c r="AL92" s="94">
        <f>VLOOKUP($D92,Construction!$B:$J,(COLUMN(Construction_BuildingCost_Wood)-COLUMN(Construction_Name_and_Level)+1),FALSE)*(-1)</f>
        <v>-400</v>
      </c>
      <c r="AM92" s="94">
        <f>VLOOKUP($D92,Construction!$B:$J,(COLUMN(Construction_BuildingCost_Ore)-COLUMN(Construction_Name_and_Level)+1),FALSE)*(-1)</f>
        <v>-300</v>
      </c>
      <c r="AN92" s="94">
        <f>VLOOKUP($D92,Construction!$B:$J,(COLUMN(Construction_BuildingCost_Food)-COLUMN(Construction_Name_and_Level)+1),FALSE)*(-1)</f>
        <v>-250</v>
      </c>
    </row>
    <row r="93" spans="2:40" ht="15.75">
      <c r="B93" s="93" t="s">
        <v>144</v>
      </c>
      <c r="C93" s="127" t="s">
        <v>149</v>
      </c>
      <c r="D93" s="144" t="s">
        <v>747</v>
      </c>
      <c r="E93" s="293">
        <v>14</v>
      </c>
      <c r="F93" s="12">
        <v>0.25</v>
      </c>
      <c r="G93" s="94">
        <f>VLOOKUP($D93,Construction!$B:$E,(COLUMN(Construction_BuildingReward_HeroXP)-COLUMN(Construction_Name_and_Level)+1),FALSE)</f>
        <v>200</v>
      </c>
      <c r="H93" s="94">
        <f t="shared" si="7"/>
        <v>250</v>
      </c>
      <c r="J93" s="95">
        <f>VLOOKUP($D93,Construction!$B:$F,(COLUMN(Construction_BuildingReward_Power)-COLUMN(Construction_Name_and_Level)+1),FALSE)</f>
        <v>25</v>
      </c>
      <c r="O93" s="139">
        <v>3.472222222222222E-3</v>
      </c>
      <c r="P93" s="139">
        <v>6.9444444444444441E-3</v>
      </c>
      <c r="AD93" s="137" t="e">
        <f t="shared" si="13"/>
        <v>#REF!</v>
      </c>
      <c r="AE93" s="259">
        <v>0.41</v>
      </c>
      <c r="AF93" s="138">
        <f>VLOOKUP($D93,Construction!$B:$C,(COLUMN(Construction_Time)-COLUMN(Construction_Name_and_Level)+1),FALSE)</f>
        <v>5.5555555555555558E-3</v>
      </c>
      <c r="AG93" s="138">
        <f t="shared" si="8"/>
        <v>3.940110323089047E-3</v>
      </c>
      <c r="AH93" s="138">
        <f t="shared" si="9"/>
        <v>0</v>
      </c>
      <c r="AI93" s="139">
        <f t="shared" si="10"/>
        <v>0</v>
      </c>
      <c r="AJ93" s="139">
        <f t="shared" si="11"/>
        <v>5.5555555555555558E-3</v>
      </c>
      <c r="AK93" s="94">
        <f>VLOOKUP($D93,Construction!$B:$J,(COLUMN(Construction_BuildingCost_Stone)-COLUMN(Construction_Name_and_Level)+1),FALSE)*(-1)</f>
        <v>-492</v>
      </c>
      <c r="AL93" s="94">
        <f>VLOOKUP($D93,Construction!$B:$J,(COLUMN(Construction_BuildingCost_Wood)-COLUMN(Construction_Name_and_Level)+1),FALSE)*(-1)</f>
        <v>0</v>
      </c>
      <c r="AM93" s="94">
        <f>VLOOKUP($D93,Construction!$B:$J,(COLUMN(Construction_BuildingCost_Ore)-COLUMN(Construction_Name_and_Level)+1),FALSE)*(-1)</f>
        <v>-492</v>
      </c>
      <c r="AN93" s="94">
        <f>VLOOKUP($D93,Construction!$B:$J,(COLUMN(Construction_BuildingCost_Food)-COLUMN(Construction_Name_and_Level)+1),FALSE)*(-1)</f>
        <v>-492</v>
      </c>
    </row>
    <row r="94" spans="2:40" ht="15.75">
      <c r="B94" s="93" t="s">
        <v>144</v>
      </c>
      <c r="C94" s="127" t="s">
        <v>138</v>
      </c>
      <c r="D94" s="144" t="s">
        <v>748</v>
      </c>
      <c r="E94" s="293">
        <v>14</v>
      </c>
      <c r="F94" s="12">
        <v>0.25</v>
      </c>
      <c r="G94" s="94">
        <f>VLOOKUP($D94,Construction!$B:$E,(COLUMN(Construction_BuildingReward_HeroXP)-COLUMN(Construction_Name_and_Level)+1),FALSE)</f>
        <v>400</v>
      </c>
      <c r="H94" s="94">
        <f t="shared" si="7"/>
        <v>500</v>
      </c>
      <c r="J94" s="95">
        <f>VLOOKUP($D94,Construction!$B:$F,(COLUMN(Construction_BuildingReward_Power)-COLUMN(Construction_Name_and_Level)+1),FALSE)</f>
        <v>35</v>
      </c>
      <c r="O94" s="139">
        <v>3.472222222222222E-3</v>
      </c>
      <c r="P94" s="139">
        <v>6.9444444444444441E-3</v>
      </c>
      <c r="AD94" s="137" t="e">
        <f t="shared" si="13"/>
        <v>#REF!</v>
      </c>
      <c r="AE94" s="259">
        <v>0.41</v>
      </c>
      <c r="AF94" s="138">
        <f>VLOOKUP($D94,Construction!$B:$C,(COLUMN(Construction_Time)-COLUMN(Construction_Name_and_Level)+1),FALSE)</f>
        <v>1.1111111111111112E-2</v>
      </c>
      <c r="AG94" s="138">
        <f t="shared" si="8"/>
        <v>7.880220646178094E-3</v>
      </c>
      <c r="AH94" s="138">
        <f t="shared" si="9"/>
        <v>0</v>
      </c>
      <c r="AI94" s="139">
        <f t="shared" si="10"/>
        <v>0</v>
      </c>
      <c r="AJ94" s="139">
        <f t="shared" si="11"/>
        <v>1.1111111111111112E-2</v>
      </c>
      <c r="AK94" s="94">
        <f>VLOOKUP($D94,Construction!$B:$J,(COLUMN(Construction_BuildingCost_Stone)-COLUMN(Construction_Name_and_Level)+1),FALSE)*(-1)</f>
        <v>-837</v>
      </c>
      <c r="AL94" s="94">
        <f>VLOOKUP($D94,Construction!$B:$J,(COLUMN(Construction_BuildingCost_Wood)-COLUMN(Construction_Name_and_Level)+1),FALSE)*(-1)</f>
        <v>0</v>
      </c>
      <c r="AM94" s="94">
        <f>VLOOKUP($D94,Construction!$B:$J,(COLUMN(Construction_BuildingCost_Ore)-COLUMN(Construction_Name_and_Level)+1),FALSE)*(-1)</f>
        <v>-837</v>
      </c>
      <c r="AN94" s="94">
        <f>VLOOKUP($D94,Construction!$B:$J,(COLUMN(Construction_BuildingCost_Food)-COLUMN(Construction_Name_and_Level)+1),FALSE)*(-1)</f>
        <v>-837</v>
      </c>
    </row>
    <row r="95" spans="2:40" ht="15.75">
      <c r="B95" s="93" t="s">
        <v>144</v>
      </c>
      <c r="C95" s="127" t="s">
        <v>138</v>
      </c>
      <c r="D95" s="144" t="s">
        <v>749</v>
      </c>
      <c r="E95" s="293">
        <v>14</v>
      </c>
      <c r="F95" s="12">
        <v>0.25</v>
      </c>
      <c r="G95" s="94">
        <f>VLOOKUP($D95,Construction!$B:$E,(COLUMN(Construction_BuildingReward_HeroXP)-COLUMN(Construction_Name_and_Level)+1),FALSE)</f>
        <v>500</v>
      </c>
      <c r="H95" s="94">
        <f t="shared" si="7"/>
        <v>625</v>
      </c>
      <c r="J95" s="95">
        <f>VLOOKUP($D95,Construction!$B:$F,(COLUMN(Construction_BuildingReward_Power)-COLUMN(Construction_Name_and_Level)+1),FALSE)</f>
        <v>55</v>
      </c>
      <c r="O95" s="139">
        <v>3.472222222222222E-3</v>
      </c>
      <c r="P95" s="139">
        <v>6.9444444444444441E-3</v>
      </c>
      <c r="AD95" s="137" t="e">
        <f t="shared" si="13"/>
        <v>#REF!</v>
      </c>
      <c r="AE95" s="259">
        <v>0.41</v>
      </c>
      <c r="AF95" s="138">
        <f>VLOOKUP($D95,Construction!$B:$C,(COLUMN(Construction_Time)-COLUMN(Construction_Name_and_Level)+1),FALSE)</f>
        <v>2.2222222222222223E-2</v>
      </c>
      <c r="AG95" s="138">
        <f t="shared" si="8"/>
        <v>1.5760441292356188E-2</v>
      </c>
      <c r="AH95" s="138">
        <f t="shared" si="9"/>
        <v>0</v>
      </c>
      <c r="AI95" s="139">
        <f t="shared" si="10"/>
        <v>5.3437746256895218E-3</v>
      </c>
      <c r="AJ95" s="139">
        <f t="shared" si="11"/>
        <v>1.6878447596532703E-2</v>
      </c>
      <c r="AK95" s="94">
        <f>VLOOKUP($D95,Construction!$B:$J,(COLUMN(Construction_BuildingCost_Stone)-COLUMN(Construction_Name_and_Level)+1),FALSE)*(-1)</f>
        <v>-1674</v>
      </c>
      <c r="AL95" s="94">
        <f>VLOOKUP($D95,Construction!$B:$J,(COLUMN(Construction_BuildingCost_Wood)-COLUMN(Construction_Name_and_Level)+1),FALSE)*(-1)</f>
        <v>0</v>
      </c>
      <c r="AM95" s="94">
        <f>VLOOKUP($D95,Construction!$B:$J,(COLUMN(Construction_BuildingCost_Ore)-COLUMN(Construction_Name_and_Level)+1),FALSE)*(-1)</f>
        <v>-1674</v>
      </c>
      <c r="AN95" s="94">
        <f>VLOOKUP($D95,Construction!$B:$J,(COLUMN(Construction_BuildingCost_Food)-COLUMN(Construction_Name_and_Level)+1),FALSE)*(-1)</f>
        <v>-1674</v>
      </c>
    </row>
    <row r="96" spans="2:40" ht="15.75">
      <c r="B96" s="93" t="s">
        <v>144</v>
      </c>
      <c r="C96" s="127" t="s">
        <v>149</v>
      </c>
      <c r="D96" s="144" t="s">
        <v>750</v>
      </c>
      <c r="E96" s="293">
        <v>14</v>
      </c>
      <c r="F96" s="12">
        <v>0.25</v>
      </c>
      <c r="G96" s="94">
        <f>VLOOKUP($D96,Construction!$B:$E,(COLUMN(Construction_BuildingReward_HeroXP)-COLUMN(Construction_Name_and_Level)+1),FALSE)</f>
        <v>200</v>
      </c>
      <c r="H96" s="94">
        <f t="shared" si="7"/>
        <v>250</v>
      </c>
      <c r="J96" s="95">
        <f>VLOOKUP($D96,Construction!$B:$F,(COLUMN(Construction_BuildingReward_Power)-COLUMN(Construction_Name_and_Level)+1),FALSE)</f>
        <v>50</v>
      </c>
      <c r="O96" s="139">
        <v>3.472222222222222E-3</v>
      </c>
      <c r="P96" s="139">
        <v>6.9444444444444441E-3</v>
      </c>
      <c r="AD96" s="137" t="e">
        <f t="shared" si="13"/>
        <v>#REF!</v>
      </c>
      <c r="AE96" s="259">
        <v>0.41</v>
      </c>
      <c r="AF96" s="138">
        <f>VLOOKUP($D96,Construction!$B:$C,(COLUMN(Construction_Time)-COLUMN(Construction_Name_and_Level)+1),FALSE)</f>
        <v>8.3333333333333332E-3</v>
      </c>
      <c r="AG96" s="138">
        <f t="shared" si="8"/>
        <v>5.9101654846335696E-3</v>
      </c>
      <c r="AH96" s="138">
        <f t="shared" si="9"/>
        <v>0</v>
      </c>
      <c r="AI96" s="139">
        <f t="shared" si="10"/>
        <v>0</v>
      </c>
      <c r="AJ96" s="139">
        <f t="shared" si="11"/>
        <v>8.3333333333333332E-3</v>
      </c>
      <c r="AK96" s="94">
        <f>VLOOKUP($D96,Construction!$B:$J,(COLUMN(Construction_BuildingCost_Stone)-COLUMN(Construction_Name_and_Level)+1),FALSE)*(-1)</f>
        <v>-2457</v>
      </c>
      <c r="AL96" s="94">
        <f>VLOOKUP($D96,Construction!$B:$J,(COLUMN(Construction_BuildingCost_Wood)-COLUMN(Construction_Name_and_Level)+1),FALSE)*(-1)</f>
        <v>-1966</v>
      </c>
      <c r="AM96" s="94">
        <f>VLOOKUP($D96,Construction!$B:$J,(COLUMN(Construction_BuildingCost_Ore)-COLUMN(Construction_Name_and_Level)+1),FALSE)*(-1)</f>
        <v>-1474</v>
      </c>
      <c r="AN96" s="94">
        <f>VLOOKUP($D96,Construction!$B:$J,(COLUMN(Construction_BuildingCost_Food)-COLUMN(Construction_Name_and_Level)+1),FALSE)*(-1)</f>
        <v>-1230</v>
      </c>
    </row>
    <row r="97" spans="2:40" ht="15.75">
      <c r="B97" s="93" t="s">
        <v>144</v>
      </c>
      <c r="C97" s="127" t="s">
        <v>149</v>
      </c>
      <c r="D97" s="144" t="s">
        <v>751</v>
      </c>
      <c r="E97" s="293">
        <v>14</v>
      </c>
      <c r="F97" s="12">
        <v>0.25</v>
      </c>
      <c r="G97" s="94">
        <f>VLOOKUP($D97,Construction!$B:$E,(COLUMN(Construction_BuildingReward_HeroXP)-COLUMN(Construction_Name_and_Level)+1),FALSE)</f>
        <v>400</v>
      </c>
      <c r="H97" s="94">
        <f t="shared" si="7"/>
        <v>500</v>
      </c>
      <c r="J97" s="95">
        <f>VLOOKUP($D97,Construction!$B:$F,(COLUMN(Construction_BuildingReward_Power)-COLUMN(Construction_Name_and_Level)+1),FALSE)</f>
        <v>70</v>
      </c>
      <c r="O97" s="139">
        <v>3.472222222222222E-3</v>
      </c>
      <c r="P97" s="139">
        <v>6.9444444444444441E-3</v>
      </c>
      <c r="AD97" s="137" t="e">
        <f t="shared" si="13"/>
        <v>#REF!</v>
      </c>
      <c r="AE97" s="259">
        <v>0.41</v>
      </c>
      <c r="AF97" s="138">
        <f>VLOOKUP($D97,Construction!$B:$C,(COLUMN(Construction_Time)-COLUMN(Construction_Name_and_Level)+1),FALSE)</f>
        <v>1.6666666666666666E-2</v>
      </c>
      <c r="AG97" s="138">
        <f t="shared" si="8"/>
        <v>1.1820330969267139E-2</v>
      </c>
      <c r="AH97" s="138">
        <f t="shared" si="9"/>
        <v>0</v>
      </c>
      <c r="AI97" s="139">
        <f t="shared" si="10"/>
        <v>1.4036643026004731E-3</v>
      </c>
      <c r="AJ97" s="139">
        <f t="shared" si="11"/>
        <v>1.5263002364066193E-2</v>
      </c>
      <c r="AK97" s="94">
        <f>VLOOKUP($D97,Construction!$B:$J,(COLUMN(Construction_BuildingCost_Stone)-COLUMN(Construction_Name_and_Level)+1),FALSE)*(-1)</f>
        <v>-4177</v>
      </c>
      <c r="AL97" s="94">
        <f>VLOOKUP($D97,Construction!$B:$J,(COLUMN(Construction_BuildingCost_Wood)-COLUMN(Construction_Name_and_Level)+1),FALSE)*(-1)</f>
        <v>-3343</v>
      </c>
      <c r="AM97" s="94">
        <f>VLOOKUP($D97,Construction!$B:$J,(COLUMN(Construction_BuildingCost_Ore)-COLUMN(Construction_Name_and_Level)+1),FALSE)*(-1)</f>
        <v>-2506</v>
      </c>
      <c r="AN97" s="94">
        <f>VLOOKUP($D97,Construction!$B:$J,(COLUMN(Construction_BuildingCost_Food)-COLUMN(Construction_Name_and_Level)+1),FALSE)*(-1)</f>
        <v>-2091</v>
      </c>
    </row>
    <row r="98" spans="2:40" ht="15.75">
      <c r="B98" s="93" t="s">
        <v>144</v>
      </c>
      <c r="C98" s="127" t="s">
        <v>138</v>
      </c>
      <c r="D98" s="144" t="s">
        <v>633</v>
      </c>
      <c r="E98" s="293">
        <v>14</v>
      </c>
      <c r="F98" s="12">
        <v>0.25</v>
      </c>
      <c r="G98" s="94">
        <f>VLOOKUP($D98,Construction!$B:$E,(COLUMN(Construction_BuildingReward_HeroXP)-COLUMN(Construction_Name_and_Level)+1),FALSE)</f>
        <v>500</v>
      </c>
      <c r="H98" s="94">
        <f t="shared" si="7"/>
        <v>625</v>
      </c>
      <c r="J98" s="95">
        <f>VLOOKUP($D98,Construction!$B:$F,(COLUMN(Construction_BuildingReward_Power)-COLUMN(Construction_Name_and_Level)+1),FALSE)</f>
        <v>55</v>
      </c>
      <c r="O98" s="139">
        <v>3.472222222222222E-3</v>
      </c>
      <c r="P98" s="139">
        <v>6.9444444444444441E-3</v>
      </c>
      <c r="AD98" s="137" t="e">
        <f t="shared" si="13"/>
        <v>#REF!</v>
      </c>
      <c r="AE98" s="259">
        <v>0.41</v>
      </c>
      <c r="AF98" s="138">
        <f>VLOOKUP($D98,Construction!$B:$C,(COLUMN(Construction_Time)-COLUMN(Construction_Name_and_Level)+1),FALSE)</f>
        <v>2.6041666666666668E-2</v>
      </c>
      <c r="AG98" s="138">
        <f t="shared" si="8"/>
        <v>1.8469267139479908E-2</v>
      </c>
      <c r="AH98" s="138">
        <f t="shared" si="9"/>
        <v>0</v>
      </c>
      <c r="AI98" s="139">
        <f t="shared" si="10"/>
        <v>8.0526004728132417E-3</v>
      </c>
      <c r="AJ98" s="139">
        <f t="shared" si="11"/>
        <v>1.7989066193853424E-2</v>
      </c>
      <c r="AK98" s="94">
        <f>VLOOKUP($D98,Construction!$B:$J,(COLUMN(Construction_BuildingCost_Stone)-COLUMN(Construction_Name_and_Level)+1),FALSE)*(-1)</f>
        <v>0</v>
      </c>
      <c r="AL98" s="94">
        <f>VLOOKUP($D98,Construction!$B:$J,(COLUMN(Construction_BuildingCost_Wood)-COLUMN(Construction_Name_and_Level)+1),FALSE)*(-1)</f>
        <v>-1674</v>
      </c>
      <c r="AM98" s="94">
        <f>VLOOKUP($D98,Construction!$B:$J,(COLUMN(Construction_BuildingCost_Ore)-COLUMN(Construction_Name_and_Level)+1),FALSE)*(-1)</f>
        <v>-1674</v>
      </c>
      <c r="AN98" s="94">
        <f>VLOOKUP($D98,Construction!$B:$J,(COLUMN(Construction_BuildingCost_Food)-COLUMN(Construction_Name_and_Level)+1),FALSE)*(-1)</f>
        <v>-1674</v>
      </c>
    </row>
    <row r="99" spans="2:40" ht="15.75">
      <c r="B99" s="93" t="s">
        <v>144</v>
      </c>
      <c r="C99" s="127" t="s">
        <v>138</v>
      </c>
      <c r="D99" s="144" t="s">
        <v>752</v>
      </c>
      <c r="E99" s="293">
        <v>14</v>
      </c>
      <c r="F99" s="12">
        <v>0.25</v>
      </c>
      <c r="G99" s="94">
        <f>VLOOKUP($D99,Construction!$B:$E,(COLUMN(Construction_BuildingReward_HeroXP)-COLUMN(Construction_Name_and_Level)+1),FALSE)</f>
        <v>500</v>
      </c>
      <c r="H99" s="94">
        <f t="shared" si="7"/>
        <v>625</v>
      </c>
      <c r="J99" s="95">
        <f>VLOOKUP($D99,Construction!$B:$F,(COLUMN(Construction_BuildingReward_Power)-COLUMN(Construction_Name_and_Level)+1),FALSE)</f>
        <v>220</v>
      </c>
      <c r="O99" s="139">
        <v>3.472222222222222E-3</v>
      </c>
      <c r="P99" s="139">
        <v>6.9444444444444441E-3</v>
      </c>
      <c r="T99" s="2">
        <v>-1</v>
      </c>
      <c r="U99" s="11">
        <v>-1</v>
      </c>
      <c r="AD99" s="137" t="e">
        <f t="shared" si="13"/>
        <v>#REF!</v>
      </c>
      <c r="AE99" s="259">
        <v>0.41</v>
      </c>
      <c r="AF99" s="138">
        <f>VLOOKUP($D99,Construction!$B:$C,(COLUMN(Construction_Time)-COLUMN(Construction_Name_and_Level)+1),FALSE)</f>
        <v>3.3333333333333333E-2</v>
      </c>
      <c r="AG99" s="138">
        <f t="shared" si="8"/>
        <v>2.3640661938534278E-2</v>
      </c>
      <c r="AH99" s="138">
        <f t="shared" si="9"/>
        <v>1.7361111111111112E-2</v>
      </c>
      <c r="AI99" s="139">
        <f t="shared" si="10"/>
        <v>0</v>
      </c>
      <c r="AJ99" s="139">
        <f t="shared" si="11"/>
        <v>3.3333333333333333E-2</v>
      </c>
      <c r="AK99" s="94">
        <f>VLOOKUP($D99,Construction!$B:$J,(COLUMN(Construction_BuildingCost_Stone)-COLUMN(Construction_Name_and_Level)+1),FALSE)*(-1)</f>
        <v>-8354</v>
      </c>
      <c r="AL99" s="94">
        <f>VLOOKUP($D99,Construction!$B:$J,(COLUMN(Construction_BuildingCost_Wood)-COLUMN(Construction_Name_and_Level)+1),FALSE)*(-1)</f>
        <v>-6686</v>
      </c>
      <c r="AM99" s="94">
        <f>VLOOKUP($D99,Construction!$B:$J,(COLUMN(Construction_BuildingCost_Ore)-COLUMN(Construction_Name_and_Level)+1),FALSE)*(-1)</f>
        <v>-5012</v>
      </c>
      <c r="AN99" s="94">
        <f>VLOOKUP($D99,Construction!$B:$J,(COLUMN(Construction_BuildingCost_Food)-COLUMN(Construction_Name_and_Level)+1),FALSE)*(-1)</f>
        <v>-4182</v>
      </c>
    </row>
    <row r="100" spans="2:40" ht="15.75">
      <c r="B100" s="93" t="s">
        <v>144</v>
      </c>
      <c r="C100" s="127" t="s">
        <v>138</v>
      </c>
      <c r="D100" s="144" t="s">
        <v>753</v>
      </c>
      <c r="E100" s="293">
        <v>14</v>
      </c>
      <c r="F100" s="12">
        <v>0.25</v>
      </c>
      <c r="G100" s="94">
        <f>VLOOKUP($D100,Construction!$B:$E,(COLUMN(Construction_BuildingReward_HeroXP)-COLUMN(Construction_Name_and_Level)+1),FALSE)</f>
        <v>500</v>
      </c>
      <c r="H100" s="94">
        <f t="shared" si="7"/>
        <v>625</v>
      </c>
      <c r="J100" s="95">
        <f>VLOOKUP($D100,Construction!$B:$F,(COLUMN(Construction_BuildingReward_Power)-COLUMN(Construction_Name_and_Level)+1),FALSE)</f>
        <v>385</v>
      </c>
      <c r="O100" s="139">
        <v>3.472222222222222E-3</v>
      </c>
      <c r="P100" s="139">
        <v>6.9444444444444441E-3</v>
      </c>
      <c r="R100" s="2">
        <v>-1</v>
      </c>
      <c r="U100" s="11">
        <v>-1</v>
      </c>
      <c r="AD100" s="137" t="e">
        <f t="shared" si="13"/>
        <v>#REF!</v>
      </c>
      <c r="AE100" s="259">
        <v>0.41</v>
      </c>
      <c r="AF100" s="138">
        <f>VLOOKUP($D100,Construction!$B:$C,(COLUMN(Construction_Time)-COLUMN(Construction_Name_and_Level)+1),FALSE)</f>
        <v>3.7037037037037042E-2</v>
      </c>
      <c r="AG100" s="138">
        <f t="shared" si="8"/>
        <v>2.6267402153926981E-2</v>
      </c>
      <c r="AH100" s="138">
        <f t="shared" si="9"/>
        <v>1.2499999999999999E-2</v>
      </c>
      <c r="AI100" s="139">
        <f t="shared" si="10"/>
        <v>3.3507354872603177E-3</v>
      </c>
      <c r="AJ100" s="139">
        <f t="shared" si="11"/>
        <v>3.3686301549776726E-2</v>
      </c>
      <c r="AK100" s="94">
        <f>VLOOKUP($D100,Construction!$B:$J,(COLUMN(Construction_BuildingCost_Stone)-COLUMN(Construction_Name_and_Level)+1),FALSE)*(-1)</f>
        <v>-10498</v>
      </c>
      <c r="AL100" s="94">
        <f>VLOOKUP($D100,Construction!$B:$J,(COLUMN(Construction_BuildingCost_Wood)-COLUMN(Construction_Name_and_Level)+1),FALSE)*(-1)</f>
        <v>-10498</v>
      </c>
      <c r="AM100" s="94">
        <f>VLOOKUP($D100,Construction!$B:$J,(COLUMN(Construction_BuildingCost_Ore)-COLUMN(Construction_Name_and_Level)+1),FALSE)*(-1)</f>
        <v>-4202</v>
      </c>
      <c r="AN100" s="94">
        <f>VLOOKUP($D100,Construction!$B:$J,(COLUMN(Construction_BuildingCost_Food)-COLUMN(Construction_Name_and_Level)+1),FALSE)*(-1)</f>
        <v>-6300</v>
      </c>
    </row>
    <row r="101" spans="2:40" ht="15.75">
      <c r="B101" s="93" t="s">
        <v>144</v>
      </c>
      <c r="C101" s="127" t="s">
        <v>149</v>
      </c>
      <c r="D101" s="144" t="s">
        <v>754</v>
      </c>
      <c r="E101" s="293">
        <v>14</v>
      </c>
      <c r="F101" s="12">
        <v>0.25</v>
      </c>
      <c r="G101" s="94">
        <f>VLOOKUP($D101,Construction!$B:$E,(COLUMN(Construction_BuildingReward_HeroXP)-COLUMN(Construction_Name_and_Level)+1),FALSE)</f>
        <v>200</v>
      </c>
      <c r="H101" s="94">
        <f t="shared" si="7"/>
        <v>250</v>
      </c>
      <c r="J101" s="95">
        <f>VLOOKUP($D101,Construction!$B:$F,(COLUMN(Construction_BuildingReward_Power)-COLUMN(Construction_Name_and_Level)+1),FALSE)</f>
        <v>60</v>
      </c>
      <c r="O101" s="139">
        <v>3.472222222222222E-3</v>
      </c>
      <c r="P101" s="139">
        <v>6.9444444444444441E-3</v>
      </c>
      <c r="AD101" s="137" t="e">
        <f t="shared" si="13"/>
        <v>#REF!</v>
      </c>
      <c r="AE101" s="259">
        <v>0.41</v>
      </c>
      <c r="AF101" s="138">
        <f>VLOOKUP($D101,Construction!$B:$C,(COLUMN(Construction_Time)-COLUMN(Construction_Name_and_Level)+1),FALSE)</f>
        <v>6.4814814814814813E-3</v>
      </c>
      <c r="AG101" s="138">
        <f t="shared" si="8"/>
        <v>4.5967953769372209E-3</v>
      </c>
      <c r="AH101" s="138">
        <f t="shared" si="9"/>
        <v>0</v>
      </c>
      <c r="AI101" s="139">
        <f t="shared" si="10"/>
        <v>0</v>
      </c>
      <c r="AJ101" s="139">
        <f t="shared" si="11"/>
        <v>6.4814814814814813E-3</v>
      </c>
      <c r="AK101" s="94">
        <f>VLOOKUP($D101,Construction!$B:$J,(COLUMN(Construction_BuildingCost_Stone)-COLUMN(Construction_Name_and_Level)+1),FALSE)*(-1)</f>
        <v>-2457</v>
      </c>
      <c r="AL101" s="94">
        <f>VLOOKUP($D101,Construction!$B:$J,(COLUMN(Construction_BuildingCost_Wood)-COLUMN(Construction_Name_and_Level)+1),FALSE)*(-1)</f>
        <v>-1966</v>
      </c>
      <c r="AM101" s="94">
        <f>VLOOKUP($D101,Construction!$B:$J,(COLUMN(Construction_BuildingCost_Ore)-COLUMN(Construction_Name_and_Level)+1),FALSE)*(-1)</f>
        <v>-492</v>
      </c>
      <c r="AN101" s="94">
        <f>VLOOKUP($D101,Construction!$B:$J,(COLUMN(Construction_BuildingCost_Food)-COLUMN(Construction_Name_and_Level)+1),FALSE)*(-1)</f>
        <v>-983</v>
      </c>
    </row>
    <row r="102" spans="2:40" ht="15.75">
      <c r="B102" s="93" t="s">
        <v>144</v>
      </c>
      <c r="C102" s="127" t="s">
        <v>149</v>
      </c>
      <c r="D102" s="144" t="s">
        <v>755</v>
      </c>
      <c r="E102" s="293">
        <v>14</v>
      </c>
      <c r="F102" s="12">
        <v>0.25</v>
      </c>
      <c r="G102" s="94">
        <f>VLOOKUP($D102,Construction!$B:$E,(COLUMN(Construction_BuildingReward_HeroXP)-COLUMN(Construction_Name_and_Level)+1),FALSE)</f>
        <v>400</v>
      </c>
      <c r="H102" s="94">
        <f t="shared" si="7"/>
        <v>500</v>
      </c>
      <c r="J102" s="95">
        <f>VLOOKUP($D102,Construction!$B:$F,(COLUMN(Construction_BuildingReward_Power)-COLUMN(Construction_Name_and_Level)+1),FALSE)</f>
        <v>85</v>
      </c>
      <c r="O102" s="139">
        <v>3.472222222222222E-3</v>
      </c>
      <c r="P102" s="139">
        <v>6.9444444444444441E-3</v>
      </c>
      <c r="AD102" s="137" t="e">
        <f t="shared" si="13"/>
        <v>#REF!</v>
      </c>
      <c r="AE102" s="259">
        <v>0.41</v>
      </c>
      <c r="AF102" s="138">
        <f>VLOOKUP($D102,Construction!$B:$C,(COLUMN(Construction_Time)-COLUMN(Construction_Name_and_Level)+1),FALSE)</f>
        <v>1.2962962962962963E-2</v>
      </c>
      <c r="AG102" s="138">
        <f t="shared" si="8"/>
        <v>9.1935907538744418E-3</v>
      </c>
      <c r="AH102" s="138">
        <f t="shared" si="9"/>
        <v>0</v>
      </c>
      <c r="AI102" s="139">
        <f t="shared" si="10"/>
        <v>0</v>
      </c>
      <c r="AJ102" s="139">
        <f t="shared" si="11"/>
        <v>1.2962962962962963E-2</v>
      </c>
      <c r="AK102" s="94">
        <f>VLOOKUP($D102,Construction!$B:$J,(COLUMN(Construction_BuildingCost_Stone)-COLUMN(Construction_Name_and_Level)+1),FALSE)*(-1)</f>
        <v>-4177</v>
      </c>
      <c r="AL102" s="94">
        <f>VLOOKUP($D102,Construction!$B:$J,(COLUMN(Construction_BuildingCost_Wood)-COLUMN(Construction_Name_and_Level)+1),FALSE)*(-1)</f>
        <v>-3343</v>
      </c>
      <c r="AM102" s="94">
        <f>VLOOKUP($D102,Construction!$B:$J,(COLUMN(Construction_BuildingCost_Ore)-COLUMN(Construction_Name_and_Level)+1),FALSE)*(-1)</f>
        <v>-837</v>
      </c>
      <c r="AN102" s="94">
        <f>VLOOKUP($D102,Construction!$B:$J,(COLUMN(Construction_BuildingCost_Food)-COLUMN(Construction_Name_and_Level)+1),FALSE)*(-1)</f>
        <v>-1672</v>
      </c>
    </row>
    <row r="103" spans="2:40" ht="15.75">
      <c r="B103" s="93" t="s">
        <v>144</v>
      </c>
      <c r="C103" s="127" t="s">
        <v>138</v>
      </c>
      <c r="D103" s="144" t="s">
        <v>756</v>
      </c>
      <c r="E103" s="293">
        <v>15</v>
      </c>
      <c r="F103" s="12">
        <v>0.25</v>
      </c>
      <c r="G103" s="94">
        <f>VLOOKUP($D103,Construction!$B:$E,(COLUMN(Construction_BuildingReward_HeroXP)-COLUMN(Construction_Name_and_Level)+1),FALSE)</f>
        <v>500</v>
      </c>
      <c r="H103" s="94">
        <f t="shared" si="7"/>
        <v>625</v>
      </c>
      <c r="J103" s="95">
        <f>VLOOKUP($D103,Construction!$B:$F,(COLUMN(Construction_BuildingReward_Power)-COLUMN(Construction_Name_and_Level)+1),FALSE)</f>
        <v>130</v>
      </c>
      <c r="M103" s="135" t="s">
        <v>757</v>
      </c>
      <c r="O103" s="139">
        <v>3.472222222222222E-3</v>
      </c>
      <c r="P103" s="139">
        <v>6.9444444444444441E-3</v>
      </c>
      <c r="AD103" s="137" t="e">
        <f t="shared" si="13"/>
        <v>#REF!</v>
      </c>
      <c r="AE103" s="259">
        <v>0.41</v>
      </c>
      <c r="AF103" s="138">
        <f>VLOOKUP($D103,Construction!$B:$C,(COLUMN(Construction_Time)-COLUMN(Construction_Name_and_Level)+1),FALSE)</f>
        <v>2.5925925925925925E-2</v>
      </c>
      <c r="AG103" s="138">
        <f t="shared" si="8"/>
        <v>1.8387181507748884E-2</v>
      </c>
      <c r="AH103" s="138">
        <f t="shared" si="9"/>
        <v>0</v>
      </c>
      <c r="AI103" s="139">
        <f t="shared" si="10"/>
        <v>7.9705148410822175E-3</v>
      </c>
      <c r="AJ103" s="139">
        <f t="shared" si="11"/>
        <v>1.7955411084843706E-2</v>
      </c>
      <c r="AK103" s="94">
        <f>VLOOKUP($D103,Construction!$B:$J,(COLUMN(Construction_BuildingCost_Stone)-COLUMN(Construction_Name_and_Level)+1),FALSE)*(-1)</f>
        <v>-8354</v>
      </c>
      <c r="AL103" s="94">
        <f>VLOOKUP($D103,Construction!$B:$J,(COLUMN(Construction_BuildingCost_Wood)-COLUMN(Construction_Name_and_Level)+1),FALSE)*(-1)</f>
        <v>-6686</v>
      </c>
      <c r="AM103" s="94">
        <f>VLOOKUP($D103,Construction!$B:$J,(COLUMN(Construction_BuildingCost_Ore)-COLUMN(Construction_Name_and_Level)+1),FALSE)*(-1)</f>
        <v>-1674</v>
      </c>
      <c r="AN103" s="94">
        <f>VLOOKUP($D103,Construction!$B:$J,(COLUMN(Construction_BuildingCost_Food)-COLUMN(Construction_Name_and_Level)+1),FALSE)*(-1)</f>
        <v>-3344</v>
      </c>
    </row>
    <row r="104" spans="2:40" ht="15.75">
      <c r="B104" s="93" t="s">
        <v>144</v>
      </c>
      <c r="C104" s="127" t="s">
        <v>138</v>
      </c>
      <c r="D104" s="144" t="s">
        <v>758</v>
      </c>
      <c r="E104" s="293">
        <v>15</v>
      </c>
      <c r="F104" s="12">
        <v>0.25</v>
      </c>
      <c r="G104" s="94">
        <f>VLOOKUP($D104,Construction!$B:$E,(COLUMN(Construction_BuildingReward_HeroXP)-COLUMN(Construction_Name_and_Level)+1),FALSE)</f>
        <v>500</v>
      </c>
      <c r="H104" s="94">
        <f t="shared" si="7"/>
        <v>625</v>
      </c>
      <c r="J104" s="95">
        <f>VLOOKUP($D104,Construction!$B:$F,(COLUMN(Construction_BuildingReward_Power)-COLUMN(Construction_Name_and_Level)+1),FALSE)</f>
        <v>55</v>
      </c>
      <c r="O104" s="139">
        <v>3.472222222222222E-3</v>
      </c>
      <c r="P104" s="139">
        <v>6.9444444444444441E-3</v>
      </c>
      <c r="S104" s="2">
        <v>-1</v>
      </c>
      <c r="AD104" s="137" t="e">
        <f t="shared" si="13"/>
        <v>#REF!</v>
      </c>
      <c r="AE104" s="259">
        <v>0.41</v>
      </c>
      <c r="AF104" s="138">
        <f>VLOOKUP($D104,Construction!$B:$C,(COLUMN(Construction_Time)-COLUMN(Construction_Name_and_Level)+1),FALSE)</f>
        <v>1.8518518518518521E-2</v>
      </c>
      <c r="AG104" s="138">
        <f t="shared" si="8"/>
        <v>1.313370107696349E-2</v>
      </c>
      <c r="AH104" s="138">
        <f t="shared" si="9"/>
        <v>0</v>
      </c>
      <c r="AI104" s="139">
        <f t="shared" si="10"/>
        <v>2.7170344102968244E-3</v>
      </c>
      <c r="AJ104" s="139">
        <f t="shared" si="11"/>
        <v>1.5801484108221697E-2</v>
      </c>
      <c r="AK104" s="94">
        <f>VLOOKUP($D104,Construction!$B:$J,(COLUMN(Construction_BuildingCost_Stone)-COLUMN(Construction_Name_and_Level)+1),FALSE)*(-1)</f>
        <v>-1674</v>
      </c>
      <c r="AL104" s="94">
        <f>VLOOKUP($D104,Construction!$B:$J,(COLUMN(Construction_BuildingCost_Wood)-COLUMN(Construction_Name_and_Level)+1),FALSE)*(-1)</f>
        <v>-1674</v>
      </c>
      <c r="AM104" s="94">
        <f>VLOOKUP($D104,Construction!$B:$J,(COLUMN(Construction_BuildingCost_Ore)-COLUMN(Construction_Name_and_Level)+1),FALSE)*(-1)</f>
        <v>-1674</v>
      </c>
      <c r="AN104" s="94">
        <f>VLOOKUP($D104,Construction!$B:$J,(COLUMN(Construction_BuildingCost_Food)-COLUMN(Construction_Name_and_Level)+1),FALSE)*(-1)</f>
        <v>0</v>
      </c>
    </row>
    <row r="105" spans="2:40" ht="15.75">
      <c r="B105" s="93" t="s">
        <v>144</v>
      </c>
      <c r="C105" s="127" t="s">
        <v>138</v>
      </c>
      <c r="D105" s="144" t="s">
        <v>759</v>
      </c>
      <c r="E105" s="293">
        <v>15</v>
      </c>
      <c r="F105" s="12">
        <v>0.25</v>
      </c>
      <c r="G105" s="94">
        <f>VLOOKUP($D105,Construction!$B:$E,(COLUMN(Construction_BuildingReward_HeroXP)-COLUMN(Construction_Name_and_Level)+1),FALSE)</f>
        <v>500</v>
      </c>
      <c r="H105" s="94">
        <f t="shared" si="7"/>
        <v>625</v>
      </c>
      <c r="J105" s="95">
        <f>VLOOKUP($D105,Construction!$B:$F,(COLUMN(Construction_BuildingReward_Power)-COLUMN(Construction_Name_and_Level)+1),FALSE)</f>
        <v>135</v>
      </c>
      <c r="O105" s="139">
        <v>3.472222222222222E-3</v>
      </c>
      <c r="P105" s="139">
        <v>6.9444444444444441E-3</v>
      </c>
      <c r="AD105" s="137" t="e">
        <f t="shared" si="13"/>
        <v>#REF!</v>
      </c>
      <c r="AE105" s="259">
        <v>0.41</v>
      </c>
      <c r="AF105" s="138">
        <f>VLOOKUP($D105,Construction!$B:$C,(COLUMN(Construction_Time)-COLUMN(Construction_Name_and_Level)+1),FALSE)</f>
        <v>1.8518518518518521E-2</v>
      </c>
      <c r="AG105" s="138">
        <f t="shared" si="8"/>
        <v>1.313370107696349E-2</v>
      </c>
      <c r="AH105" s="138">
        <f t="shared" si="9"/>
        <v>0</v>
      </c>
      <c r="AI105" s="139">
        <f t="shared" si="10"/>
        <v>2.7170344102968244E-3</v>
      </c>
      <c r="AJ105" s="139">
        <f t="shared" si="11"/>
        <v>1.5801484108221697E-2</v>
      </c>
      <c r="AK105" s="94">
        <f>VLOOKUP($D105,Construction!$B:$J,(COLUMN(Construction_BuildingCost_Stone)-COLUMN(Construction_Name_and_Level)+1),FALSE)*(-1)</f>
        <v>-3344</v>
      </c>
      <c r="AL105" s="94">
        <f>VLOOKUP($D105,Construction!$B:$J,(COLUMN(Construction_BuildingCost_Wood)-COLUMN(Construction_Name_and_Level)+1),FALSE)*(-1)</f>
        <v>-3344</v>
      </c>
      <c r="AM105" s="94">
        <f>VLOOKUP($D105,Construction!$B:$J,(COLUMN(Construction_BuildingCost_Ore)-COLUMN(Construction_Name_and_Level)+1),FALSE)*(-1)</f>
        <v>-840</v>
      </c>
      <c r="AN105" s="94">
        <f>VLOOKUP($D105,Construction!$B:$J,(COLUMN(Construction_BuildingCost_Food)-COLUMN(Construction_Name_and_Level)+1),FALSE)*(-1)</f>
        <v>-8354</v>
      </c>
    </row>
    <row r="106" spans="2:40" ht="15.75">
      <c r="B106" s="93" t="s">
        <v>144</v>
      </c>
      <c r="C106" s="127" t="s">
        <v>138</v>
      </c>
      <c r="D106" s="144" t="s">
        <v>760</v>
      </c>
      <c r="E106" s="293">
        <v>15</v>
      </c>
      <c r="F106" s="12">
        <v>0.25</v>
      </c>
      <c r="G106" s="94">
        <f>VLOOKUP($D106,Construction!$B:$E,(COLUMN(Construction_BuildingReward_HeroXP)-COLUMN(Construction_Name_and_Level)+1),FALSE)</f>
        <v>500</v>
      </c>
      <c r="H106" s="94">
        <f t="shared" si="7"/>
        <v>625</v>
      </c>
      <c r="J106" s="95">
        <f>VLOOKUP($D106,Construction!$B:$F,(COLUMN(Construction_BuildingReward_Power)-COLUMN(Construction_Name_and_Level)+1),FALSE)</f>
        <v>135</v>
      </c>
      <c r="O106" s="139">
        <v>3.472222222222222E-3</v>
      </c>
      <c r="P106" s="139">
        <v>6.9444444444444441E-3</v>
      </c>
      <c r="Q106" s="2">
        <v>-1</v>
      </c>
      <c r="U106" s="11">
        <v>-1</v>
      </c>
      <c r="AD106" s="137" t="e">
        <f t="shared" si="13"/>
        <v>#REF!</v>
      </c>
      <c r="AE106" s="259">
        <v>0.41</v>
      </c>
      <c r="AF106" s="138">
        <f>VLOOKUP($D106,Construction!$B:$C,(COLUMN(Construction_Time)-COLUMN(Construction_Name_and_Level)+1),FALSE)</f>
        <v>3.7037037037037042E-2</v>
      </c>
      <c r="AG106" s="138">
        <f t="shared" si="8"/>
        <v>2.6267402153926981E-2</v>
      </c>
      <c r="AH106" s="138">
        <f t="shared" si="9"/>
        <v>1.111111111111111E-2</v>
      </c>
      <c r="AI106" s="139">
        <f t="shared" si="10"/>
        <v>4.7396243761492068E-3</v>
      </c>
      <c r="AJ106" s="139">
        <f t="shared" si="11"/>
        <v>3.2297412660887835E-2</v>
      </c>
      <c r="AK106" s="94">
        <f>VLOOKUP($D106,Construction!$B:$J,(COLUMN(Construction_BuildingCost_Stone)-COLUMN(Construction_Name_and_Level)+1),FALSE)*(-1)</f>
        <v>-4202</v>
      </c>
      <c r="AL106" s="94">
        <f>VLOOKUP($D106,Construction!$B:$J,(COLUMN(Construction_BuildingCost_Wood)-COLUMN(Construction_Name_and_Level)+1),FALSE)*(-1)</f>
        <v>-2104</v>
      </c>
      <c r="AM106" s="94">
        <f>VLOOKUP($D106,Construction!$B:$J,(COLUMN(Construction_BuildingCost_Ore)-COLUMN(Construction_Name_and_Level)+1),FALSE)*(-1)</f>
        <v>-2104</v>
      </c>
      <c r="AN106" s="94">
        <f>VLOOKUP($D106,Construction!$B:$J,(COLUMN(Construction_BuildingCost_Food)-COLUMN(Construction_Name_and_Level)+1),FALSE)*(-1)</f>
        <v>-6300</v>
      </c>
    </row>
    <row r="107" spans="2:40" ht="15.75">
      <c r="B107" s="93" t="s">
        <v>144</v>
      </c>
      <c r="C107" s="127" t="s">
        <v>138</v>
      </c>
      <c r="D107" s="144" t="s">
        <v>666</v>
      </c>
      <c r="E107" s="293">
        <v>15</v>
      </c>
      <c r="F107" s="12">
        <v>0.3</v>
      </c>
      <c r="G107" s="94">
        <f>VLOOKUP($D107,Construction!$B:$E,(COLUMN(Construction_BuildingReward_HeroXP)-COLUMN(Construction_Name_and_Level)+1),FALSE)</f>
        <v>500</v>
      </c>
      <c r="H107" s="94">
        <f t="shared" si="7"/>
        <v>650</v>
      </c>
      <c r="J107" s="95">
        <f>VLOOKUP($D107,Construction!$B:$F,(COLUMN(Construction_BuildingReward_Power)-COLUMN(Construction_Name_and_Level)+1),FALSE)</f>
        <v>110</v>
      </c>
      <c r="O107" s="139">
        <v>3.472222222222222E-3</v>
      </c>
      <c r="P107" s="139">
        <v>6.9444444444444441E-3</v>
      </c>
      <c r="U107" s="11">
        <v>-1</v>
      </c>
      <c r="AD107" s="137" t="e">
        <f t="shared" si="13"/>
        <v>#REF!</v>
      </c>
      <c r="AE107" s="259">
        <v>0.41</v>
      </c>
      <c r="AF107" s="138">
        <f>VLOOKUP($D107,Construction!$B:$C,(COLUMN(Construction_Time)-COLUMN(Construction_Name_and_Level)+1),FALSE)</f>
        <v>3.1666666666666669E-2</v>
      </c>
      <c r="AG107" s="138">
        <f t="shared" si="8"/>
        <v>2.245862884160757E-2</v>
      </c>
      <c r="AH107" s="138">
        <f t="shared" si="9"/>
        <v>1.0416666666666666E-2</v>
      </c>
      <c r="AI107" s="139">
        <f t="shared" si="10"/>
        <v>1.6252955082742358E-3</v>
      </c>
      <c r="AJ107" s="139">
        <f t="shared" si="11"/>
        <v>3.0041371158392435E-2</v>
      </c>
      <c r="AK107" s="94">
        <f>VLOOKUP($D107,Construction!$B:$J,(COLUMN(Construction_BuildingCost_Stone)-COLUMN(Construction_Name_and_Level)+1),FALSE)*(-1)</f>
        <v>-8354</v>
      </c>
      <c r="AL107" s="94">
        <f>VLOOKUP($D107,Construction!$B:$J,(COLUMN(Construction_BuildingCost_Wood)-COLUMN(Construction_Name_and_Level)+1),FALSE)*(-1)</f>
        <v>-6686</v>
      </c>
      <c r="AM107" s="94">
        <f>VLOOKUP($D107,Construction!$B:$J,(COLUMN(Construction_BuildingCost_Ore)-COLUMN(Construction_Name_and_Level)+1),FALSE)*(-1)</f>
        <v>-5012</v>
      </c>
      <c r="AN107" s="94">
        <f>VLOOKUP($D107,Construction!$B:$J,(COLUMN(Construction_BuildingCost_Food)-COLUMN(Construction_Name_and_Level)+1),FALSE)*(-1)</f>
        <v>-4182</v>
      </c>
    </row>
    <row r="108" spans="2:40" ht="15.75">
      <c r="B108" s="93" t="s">
        <v>144</v>
      </c>
      <c r="C108" s="127" t="s">
        <v>149</v>
      </c>
      <c r="D108" s="144" t="s">
        <v>634</v>
      </c>
      <c r="E108" s="293">
        <v>15</v>
      </c>
      <c r="F108" s="12">
        <v>0.3</v>
      </c>
      <c r="G108" s="94">
        <f>VLOOKUP($D108,Construction!$B:$E,(COLUMN(Construction_BuildingReward_HeroXP)-COLUMN(Construction_Name_and_Level)+1),FALSE)</f>
        <v>10</v>
      </c>
      <c r="H108" s="94">
        <f t="shared" si="7"/>
        <v>13</v>
      </c>
      <c r="J108" s="95">
        <f>VLOOKUP($D108,Construction!$B:$F,(COLUMN(Construction_BuildingReward_Power)-COLUMN(Construction_Name_and_Level)+1),FALSE)</f>
        <v>10</v>
      </c>
      <c r="O108" s="139">
        <v>3.472222222222222E-3</v>
      </c>
      <c r="P108" s="139">
        <v>6.9444444444444441E-3</v>
      </c>
      <c r="AD108" s="137" t="e">
        <f t="shared" si="13"/>
        <v>#REF!</v>
      </c>
      <c r="AE108" s="259">
        <v>0.41</v>
      </c>
      <c r="AF108" s="138">
        <f>VLOOKUP($D108,Construction!$B:$C,(COLUMN(Construction_Time)-COLUMN(Construction_Name_and_Level)+1),FALSE)</f>
        <v>8.1018518518518516E-4</v>
      </c>
      <c r="AG108" s="138">
        <f t="shared" si="8"/>
        <v>5.7459942211715261E-4</v>
      </c>
      <c r="AH108" s="138">
        <f t="shared" si="9"/>
        <v>0</v>
      </c>
      <c r="AI108" s="139">
        <f t="shared" si="10"/>
        <v>0</v>
      </c>
      <c r="AJ108" s="139">
        <f t="shared" si="11"/>
        <v>8.1018518518518516E-4</v>
      </c>
      <c r="AK108" s="94">
        <f>VLOOKUP($D108,Construction!$B:$J,(COLUMN(Construction_BuildingCost_Stone)-COLUMN(Construction_Name_and_Level)+1),FALSE)*(-1)</f>
        <v>-350</v>
      </c>
      <c r="AL108" s="94">
        <f>VLOOKUP($D108,Construction!$B:$J,(COLUMN(Construction_BuildingCost_Wood)-COLUMN(Construction_Name_and_Level)+1),FALSE)*(-1)</f>
        <v>-500</v>
      </c>
      <c r="AM108" s="94">
        <f>VLOOKUP($D108,Construction!$B:$J,(COLUMN(Construction_BuildingCost_Ore)-COLUMN(Construction_Name_and_Level)+1),FALSE)*(-1)</f>
        <v>-200</v>
      </c>
      <c r="AN108" s="94">
        <f>VLOOKUP($D108,Construction!$B:$J,(COLUMN(Construction_BuildingCost_Food)-COLUMN(Construction_Name_and_Level)+1),FALSE)*(-1)</f>
        <v>-250</v>
      </c>
    </row>
    <row r="109" spans="2:40" ht="15.75">
      <c r="B109" s="93" t="s">
        <v>144</v>
      </c>
      <c r="C109" s="127" t="s">
        <v>149</v>
      </c>
      <c r="D109" s="144" t="s">
        <v>761</v>
      </c>
      <c r="E109" s="293">
        <v>15</v>
      </c>
      <c r="F109" s="12">
        <v>0.3</v>
      </c>
      <c r="G109" s="94">
        <f>VLOOKUP($D109,Construction!$B:$E,(COLUMN(Construction_BuildingReward_HeroXP)-COLUMN(Construction_Name_and_Level)+1),FALSE)</f>
        <v>25</v>
      </c>
      <c r="H109" s="94">
        <f t="shared" si="7"/>
        <v>32.5</v>
      </c>
      <c r="J109" s="95">
        <f>VLOOKUP($D109,Construction!$B:$F,(COLUMN(Construction_BuildingReward_Power)-COLUMN(Construction_Name_and_Level)+1),FALSE)</f>
        <v>20</v>
      </c>
      <c r="O109" s="139">
        <v>3.472222222222222E-3</v>
      </c>
      <c r="P109" s="139">
        <v>6.9444444444444441E-3</v>
      </c>
      <c r="AD109" s="137" t="e">
        <f t="shared" si="13"/>
        <v>#REF!</v>
      </c>
      <c r="AE109" s="259">
        <v>0.41</v>
      </c>
      <c r="AF109" s="138">
        <f>VLOOKUP($D109,Construction!$B:$C,(COLUMN(Construction_Time)-COLUMN(Construction_Name_and_Level)+1),FALSE)</f>
        <v>1.6203703703703703E-3</v>
      </c>
      <c r="AG109" s="138">
        <f t="shared" si="8"/>
        <v>1.1491988442343052E-3</v>
      </c>
      <c r="AH109" s="138">
        <f t="shared" si="9"/>
        <v>0</v>
      </c>
      <c r="AI109" s="139">
        <f t="shared" si="10"/>
        <v>0</v>
      </c>
      <c r="AJ109" s="139">
        <f t="shared" si="11"/>
        <v>1.6203703703703703E-3</v>
      </c>
      <c r="AK109" s="94">
        <f>VLOOKUP($D109,Construction!$B:$J,(COLUMN(Construction_BuildingCost_Stone)-COLUMN(Construction_Name_and_Level)+1),FALSE)*(-1)</f>
        <v>-630</v>
      </c>
      <c r="AL109" s="94">
        <f>VLOOKUP($D109,Construction!$B:$J,(COLUMN(Construction_BuildingCost_Wood)-COLUMN(Construction_Name_and_Level)+1),FALSE)*(-1)</f>
        <v>-900</v>
      </c>
      <c r="AM109" s="94">
        <f>VLOOKUP($D109,Construction!$B:$J,(COLUMN(Construction_BuildingCost_Ore)-COLUMN(Construction_Name_and_Level)+1),FALSE)*(-1)</f>
        <v>-360</v>
      </c>
      <c r="AN109" s="94">
        <f>VLOOKUP($D109,Construction!$B:$J,(COLUMN(Construction_BuildingCost_Food)-COLUMN(Construction_Name_and_Level)+1),FALSE)*(-1)</f>
        <v>-450</v>
      </c>
    </row>
    <row r="110" spans="2:40" ht="15.75">
      <c r="B110" s="93" t="s">
        <v>144</v>
      </c>
      <c r="C110" s="127" t="s">
        <v>149</v>
      </c>
      <c r="D110" s="144" t="s">
        <v>762</v>
      </c>
      <c r="E110" s="293">
        <v>15</v>
      </c>
      <c r="F110" s="12">
        <v>0.3</v>
      </c>
      <c r="G110" s="94">
        <f>VLOOKUP($D110,Construction!$B:$E,(COLUMN(Construction_BuildingReward_HeroXP)-COLUMN(Construction_Name_and_Level)+1),FALSE)</f>
        <v>50</v>
      </c>
      <c r="H110" s="94">
        <f t="shared" si="7"/>
        <v>65</v>
      </c>
      <c r="J110" s="304">
        <f>VLOOKUP($D110,Construction!$B:$F,(COLUMN(Construction_BuildingReward_Power)-COLUMN(Construction_Name_and_Level)+1),FALSE)</f>
        <v>30</v>
      </c>
      <c r="O110" s="139">
        <v>3.472222222222222E-3</v>
      </c>
      <c r="P110" s="139">
        <v>6.9444444444444441E-3</v>
      </c>
      <c r="AD110" s="137" t="e">
        <f t="shared" si="13"/>
        <v>#REF!</v>
      </c>
      <c r="AE110" s="259">
        <v>0.41</v>
      </c>
      <c r="AF110" s="138">
        <f>VLOOKUP($D110,Construction!$B:$C,(COLUMN(Construction_Time)-COLUMN(Construction_Name_and_Level)+1),FALSE)</f>
        <v>3.2407407407407406E-3</v>
      </c>
      <c r="AG110" s="138">
        <f t="shared" si="8"/>
        <v>2.2983976884686104E-3</v>
      </c>
      <c r="AH110" s="138">
        <f t="shared" si="9"/>
        <v>0</v>
      </c>
      <c r="AI110" s="139">
        <f t="shared" si="10"/>
        <v>0</v>
      </c>
      <c r="AJ110" s="139">
        <f t="shared" si="11"/>
        <v>3.2407407407407406E-3</v>
      </c>
      <c r="AK110" s="94">
        <f>VLOOKUP($D110,Construction!$B:$J,(COLUMN(Construction_BuildingCost_Stone)-COLUMN(Construction_Name_and_Level)+1),FALSE)*(-1)</f>
        <v>-1134</v>
      </c>
      <c r="AL110" s="94">
        <f>VLOOKUP($D110,Construction!$B:$J,(COLUMN(Construction_BuildingCost_Wood)-COLUMN(Construction_Name_and_Level)+1),FALSE)*(-1)</f>
        <v>-1620</v>
      </c>
      <c r="AM110" s="94">
        <f>VLOOKUP($D110,Construction!$B:$J,(COLUMN(Construction_BuildingCost_Ore)-COLUMN(Construction_Name_and_Level)+1),FALSE)*(-1)</f>
        <v>-648</v>
      </c>
      <c r="AN110" s="94">
        <f>VLOOKUP($D110,Construction!$B:$J,(COLUMN(Construction_BuildingCost_Food)-COLUMN(Construction_Name_and_Level)+1),FALSE)*(-1)</f>
        <v>-810</v>
      </c>
    </row>
    <row r="111" spans="2:40" ht="15.75">
      <c r="B111" s="93" t="s">
        <v>144</v>
      </c>
      <c r="C111" s="127" t="s">
        <v>149</v>
      </c>
      <c r="D111" s="144" t="s">
        <v>763</v>
      </c>
      <c r="E111" s="293">
        <v>15</v>
      </c>
      <c r="F111" s="12">
        <v>0.3</v>
      </c>
      <c r="G111" s="94">
        <f>VLOOKUP($D111,Construction!$B:$E,(COLUMN(Construction_BuildingReward_HeroXP)-COLUMN(Construction_Name_and_Level)+1),FALSE)</f>
        <v>200</v>
      </c>
      <c r="H111" s="94">
        <f t="shared" si="7"/>
        <v>260</v>
      </c>
      <c r="J111" s="304">
        <f>VLOOKUP($D111,Construction!$B:$F,(COLUMN(Construction_BuildingReward_Power)-COLUMN(Construction_Name_and_Level)+1),FALSE)</f>
        <v>50</v>
      </c>
      <c r="O111" s="139">
        <v>3.472222222222222E-3</v>
      </c>
      <c r="P111" s="139">
        <v>6.9444444444444441E-3</v>
      </c>
      <c r="AD111" s="137" t="e">
        <f t="shared" si="13"/>
        <v>#REF!</v>
      </c>
      <c r="AE111" s="259">
        <v>0.41</v>
      </c>
      <c r="AF111" s="138">
        <f>VLOOKUP($D111,Construction!$B:$C,(COLUMN(Construction_Time)-COLUMN(Construction_Name_and_Level)+1),FALSE)</f>
        <v>6.4814814814814813E-3</v>
      </c>
      <c r="AG111" s="138">
        <f t="shared" si="8"/>
        <v>4.5967953769372209E-3</v>
      </c>
      <c r="AH111" s="138">
        <f t="shared" si="9"/>
        <v>0</v>
      </c>
      <c r="AI111" s="139">
        <f t="shared" si="10"/>
        <v>0</v>
      </c>
      <c r="AJ111" s="139">
        <f t="shared" si="11"/>
        <v>6.4814814814814813E-3</v>
      </c>
      <c r="AK111" s="94">
        <f>VLOOKUP($D111,Construction!$B:$J,(COLUMN(Construction_BuildingCost_Stone)-COLUMN(Construction_Name_and_Level)+1),FALSE)*(-1)</f>
        <v>-2042</v>
      </c>
      <c r="AL111" s="94">
        <f>VLOOKUP($D111,Construction!$B:$J,(COLUMN(Construction_BuildingCost_Wood)-COLUMN(Construction_Name_and_Level)+1),FALSE)*(-1)</f>
        <v>-2916</v>
      </c>
      <c r="AM111" s="94">
        <f>VLOOKUP($D111,Construction!$B:$J,(COLUMN(Construction_BuildingCost_Ore)-COLUMN(Construction_Name_and_Level)+1),FALSE)*(-1)</f>
        <v>-1167</v>
      </c>
      <c r="AN111" s="94">
        <f>VLOOKUP($D111,Construction!$B:$J,(COLUMN(Construction_BuildingCost_Food)-COLUMN(Construction_Name_and_Level)+1),FALSE)*(-1)</f>
        <v>-1458</v>
      </c>
    </row>
    <row r="112" spans="2:40" ht="15.75">
      <c r="B112" s="93" t="s">
        <v>144</v>
      </c>
      <c r="C112" s="127" t="s">
        <v>138</v>
      </c>
      <c r="D112" s="144" t="s">
        <v>764</v>
      </c>
      <c r="E112" s="293">
        <v>15</v>
      </c>
      <c r="F112" s="12">
        <v>0.3</v>
      </c>
      <c r="G112" s="94">
        <f>VLOOKUP($D112,Construction!$B:$E,(COLUMN(Construction_BuildingReward_HeroXP)-COLUMN(Construction_Name_and_Level)+1),FALSE)</f>
        <v>400</v>
      </c>
      <c r="H112" s="94">
        <f t="shared" si="7"/>
        <v>520</v>
      </c>
      <c r="J112" s="95">
        <f>VLOOKUP($D112,Construction!$B:$F,(COLUMN(Construction_BuildingReward_Power)-COLUMN(Construction_Name_and_Level)+1),FALSE)</f>
        <v>70</v>
      </c>
      <c r="O112" s="139">
        <v>3.472222222222222E-3</v>
      </c>
      <c r="P112" s="139">
        <v>6.9444444444444441E-3</v>
      </c>
      <c r="AD112" s="137" t="e">
        <f t="shared" si="13"/>
        <v>#REF!</v>
      </c>
      <c r="AE112" s="259">
        <v>0.41</v>
      </c>
      <c r="AF112" s="138">
        <f>VLOOKUP($D112,Construction!$B:$C,(COLUMN(Construction_Time)-COLUMN(Construction_Name_and_Level)+1),FALSE)</f>
        <v>1.2962962962962963E-2</v>
      </c>
      <c r="AG112" s="138">
        <f t="shared" si="8"/>
        <v>9.1935907538744418E-3</v>
      </c>
      <c r="AH112" s="138">
        <f t="shared" si="9"/>
        <v>0</v>
      </c>
      <c r="AI112" s="139">
        <f t="shared" si="10"/>
        <v>0</v>
      </c>
      <c r="AJ112" s="139">
        <f t="shared" si="11"/>
        <v>1.2962962962962963E-2</v>
      </c>
      <c r="AK112" s="94">
        <f>VLOOKUP($D112,Construction!$B:$J,(COLUMN(Construction_BuildingCost_Stone)-COLUMN(Construction_Name_and_Level)+1),FALSE)*(-1)</f>
        <v>-3676</v>
      </c>
      <c r="AL112" s="94">
        <f>VLOOKUP($D112,Construction!$B:$J,(COLUMN(Construction_BuildingCost_Wood)-COLUMN(Construction_Name_and_Level)+1),FALSE)*(-1)</f>
        <v>-5249</v>
      </c>
      <c r="AM112" s="94">
        <f>VLOOKUP($D112,Construction!$B:$J,(COLUMN(Construction_BuildingCost_Ore)-COLUMN(Construction_Name_and_Level)+1),FALSE)*(-1)</f>
        <v>-2101</v>
      </c>
      <c r="AN112" s="94">
        <f>VLOOKUP($D112,Construction!$B:$J,(COLUMN(Construction_BuildingCost_Food)-COLUMN(Construction_Name_and_Level)+1),FALSE)*(-1)</f>
        <v>-2625</v>
      </c>
    </row>
    <row r="113" spans="2:40" ht="15.75">
      <c r="B113" s="93" t="s">
        <v>144</v>
      </c>
      <c r="C113" s="127" t="s">
        <v>138</v>
      </c>
      <c r="D113" s="144" t="s">
        <v>709</v>
      </c>
      <c r="E113" s="293">
        <v>15</v>
      </c>
      <c r="F113" s="12">
        <v>0.3</v>
      </c>
      <c r="G113" s="94">
        <f>VLOOKUP($D113,Construction!$B:$E,(COLUMN(Construction_BuildingReward_HeroXP)-COLUMN(Construction_Name_and_Level)+1),FALSE)</f>
        <v>25</v>
      </c>
      <c r="H113" s="94">
        <f t="shared" si="7"/>
        <v>32.5</v>
      </c>
      <c r="J113" s="95">
        <f>VLOOKUP($D113,Construction!$B:$F,(COLUMN(Construction_BuildingReward_Power)-COLUMN(Construction_Name_and_Level)+1),FALSE)</f>
        <v>10</v>
      </c>
      <c r="O113" s="139">
        <v>3.472222222222222E-3</v>
      </c>
      <c r="P113" s="139">
        <v>6.9444444444444441E-3</v>
      </c>
      <c r="AD113" s="137" t="e">
        <f t="shared" si="13"/>
        <v>#REF!</v>
      </c>
      <c r="AE113" s="259">
        <v>0.41</v>
      </c>
      <c r="AF113" s="138">
        <f>VLOOKUP($D113,Construction!$B:$C,(COLUMN(Construction_Time)-COLUMN(Construction_Name_and_Level)+1),FALSE)</f>
        <v>1.3888888888888889E-3</v>
      </c>
      <c r="AG113" s="138">
        <f t="shared" si="8"/>
        <v>9.8502758077226174E-4</v>
      </c>
      <c r="AH113" s="138">
        <f t="shared" si="9"/>
        <v>0</v>
      </c>
      <c r="AI113" s="139">
        <f t="shared" si="10"/>
        <v>0</v>
      </c>
      <c r="AJ113" s="139">
        <f t="shared" si="11"/>
        <v>1.3888888888888889E-3</v>
      </c>
      <c r="AK113" s="94">
        <f>VLOOKUP($D113,Construction!$B:$J,(COLUMN(Construction_BuildingCost_Stone)-COLUMN(Construction_Name_and_Level)+1),FALSE)*(-1)</f>
        <v>-170</v>
      </c>
      <c r="AL113" s="94">
        <f>VLOOKUP($D113,Construction!$B:$J,(COLUMN(Construction_BuildingCost_Wood)-COLUMN(Construction_Name_and_Level)+1),FALSE)*(-1)</f>
        <v>0</v>
      </c>
      <c r="AM113" s="94">
        <f>VLOOKUP($D113,Construction!$B:$J,(COLUMN(Construction_BuildingCost_Ore)-COLUMN(Construction_Name_and_Level)+1),FALSE)*(-1)</f>
        <v>-170</v>
      </c>
      <c r="AN113" s="94">
        <f>VLOOKUP($D113,Construction!$B:$J,(COLUMN(Construction_BuildingCost_Food)-COLUMN(Construction_Name_and_Level)+1),FALSE)*(-1)</f>
        <v>-170</v>
      </c>
    </row>
    <row r="114" spans="2:40" ht="15.75">
      <c r="B114" s="93" t="s">
        <v>144</v>
      </c>
      <c r="C114" s="127" t="s">
        <v>138</v>
      </c>
      <c r="D114" s="144" t="s">
        <v>709</v>
      </c>
      <c r="E114" s="293">
        <v>15</v>
      </c>
      <c r="F114" s="12">
        <v>0.3</v>
      </c>
      <c r="G114" s="94">
        <f>VLOOKUP($D114,Construction!$B:$E,(COLUMN(Construction_BuildingReward_HeroXP)-COLUMN(Construction_Name_and_Level)+1),FALSE)</f>
        <v>25</v>
      </c>
      <c r="H114" s="94">
        <f t="shared" si="7"/>
        <v>32.5</v>
      </c>
      <c r="J114" s="95">
        <f>VLOOKUP($D114,Construction!$B:$F,(COLUMN(Construction_BuildingReward_Power)-COLUMN(Construction_Name_and_Level)+1),FALSE)</f>
        <v>10</v>
      </c>
      <c r="O114" s="139">
        <v>3.472222222222222E-3</v>
      </c>
      <c r="P114" s="139">
        <v>6.9444444444444441E-3</v>
      </c>
      <c r="AD114" s="137" t="e">
        <f t="shared" si="13"/>
        <v>#REF!</v>
      </c>
      <c r="AE114" s="259">
        <v>0.41</v>
      </c>
      <c r="AF114" s="138">
        <f>VLOOKUP($D114,Construction!$B:$C,(COLUMN(Construction_Time)-COLUMN(Construction_Name_and_Level)+1),FALSE)</f>
        <v>1.3888888888888889E-3</v>
      </c>
      <c r="AG114" s="138">
        <f t="shared" si="8"/>
        <v>9.8502758077226174E-4</v>
      </c>
      <c r="AH114" s="138">
        <f t="shared" si="9"/>
        <v>0</v>
      </c>
      <c r="AI114" s="139">
        <f t="shared" si="10"/>
        <v>0</v>
      </c>
      <c r="AJ114" s="139">
        <f t="shared" si="11"/>
        <v>1.3888888888888889E-3</v>
      </c>
      <c r="AK114" s="94">
        <f>VLOOKUP($D114,Construction!$B:$J,(COLUMN(Construction_BuildingCost_Stone)-COLUMN(Construction_Name_and_Level)+1),FALSE)*(-1)</f>
        <v>-170</v>
      </c>
      <c r="AL114" s="94">
        <f>VLOOKUP($D114,Construction!$B:$J,(COLUMN(Construction_BuildingCost_Wood)-COLUMN(Construction_Name_and_Level)+1),FALSE)*(-1)</f>
        <v>0</v>
      </c>
      <c r="AM114" s="94">
        <f>VLOOKUP($D114,Construction!$B:$J,(COLUMN(Construction_BuildingCost_Ore)-COLUMN(Construction_Name_and_Level)+1),FALSE)*(-1)</f>
        <v>-170</v>
      </c>
      <c r="AN114" s="94">
        <f>VLOOKUP($D114,Construction!$B:$J,(COLUMN(Construction_BuildingCost_Food)-COLUMN(Construction_Name_and_Level)+1),FALSE)*(-1)</f>
        <v>-170</v>
      </c>
    </row>
    <row r="115" spans="2:40" ht="15.75">
      <c r="B115" s="93" t="s">
        <v>144</v>
      </c>
      <c r="C115" s="127" t="s">
        <v>138</v>
      </c>
      <c r="D115" s="144" t="s">
        <v>709</v>
      </c>
      <c r="E115" s="293">
        <v>15</v>
      </c>
      <c r="F115" s="12">
        <v>0.3</v>
      </c>
      <c r="G115" s="94">
        <f>VLOOKUP($D115,Construction!$B:$E,(COLUMN(Construction_BuildingReward_HeroXP)-COLUMN(Construction_Name_and_Level)+1),FALSE)</f>
        <v>25</v>
      </c>
      <c r="H115" s="94">
        <f t="shared" si="7"/>
        <v>32.5</v>
      </c>
      <c r="J115" s="95">
        <f>VLOOKUP($D115,Construction!$B:$F,(COLUMN(Construction_BuildingReward_Power)-COLUMN(Construction_Name_and_Level)+1),FALSE)</f>
        <v>10</v>
      </c>
      <c r="O115" s="139">
        <v>3.472222222222222E-3</v>
      </c>
      <c r="P115" s="139">
        <v>6.9444444444444441E-3</v>
      </c>
      <c r="AD115" s="137" t="e">
        <f t="shared" si="13"/>
        <v>#REF!</v>
      </c>
      <c r="AE115" s="259">
        <v>0.41</v>
      </c>
      <c r="AF115" s="138">
        <f>VLOOKUP($D115,Construction!$B:$C,(COLUMN(Construction_Time)-COLUMN(Construction_Name_and_Level)+1),FALSE)</f>
        <v>1.3888888888888889E-3</v>
      </c>
      <c r="AG115" s="138">
        <f t="shared" si="8"/>
        <v>9.8502758077226174E-4</v>
      </c>
      <c r="AH115" s="138">
        <f t="shared" si="9"/>
        <v>0</v>
      </c>
      <c r="AI115" s="139">
        <f t="shared" si="10"/>
        <v>0</v>
      </c>
      <c r="AJ115" s="139">
        <f t="shared" si="11"/>
        <v>1.3888888888888889E-3</v>
      </c>
      <c r="AK115" s="94">
        <f>VLOOKUP($D115,Construction!$B:$J,(COLUMN(Construction_BuildingCost_Stone)-COLUMN(Construction_Name_and_Level)+1),FALSE)*(-1)</f>
        <v>-170</v>
      </c>
      <c r="AL115" s="94">
        <f>VLOOKUP($D115,Construction!$B:$J,(COLUMN(Construction_BuildingCost_Wood)-COLUMN(Construction_Name_and_Level)+1),FALSE)*(-1)</f>
        <v>0</v>
      </c>
      <c r="AM115" s="94">
        <f>VLOOKUP($D115,Construction!$B:$J,(COLUMN(Construction_BuildingCost_Ore)-COLUMN(Construction_Name_and_Level)+1),FALSE)*(-1)</f>
        <v>-170</v>
      </c>
      <c r="AN115" s="94">
        <f>VLOOKUP($D115,Construction!$B:$J,(COLUMN(Construction_BuildingCost_Food)-COLUMN(Construction_Name_and_Level)+1),FALSE)*(-1)</f>
        <v>-170</v>
      </c>
    </row>
    <row r="116" spans="2:40" ht="15.75">
      <c r="B116" s="93" t="s">
        <v>144</v>
      </c>
      <c r="C116" s="127" t="s">
        <v>138</v>
      </c>
      <c r="D116" s="144" t="s">
        <v>729</v>
      </c>
      <c r="E116" s="293">
        <v>15</v>
      </c>
      <c r="F116" s="12">
        <v>0.3</v>
      </c>
      <c r="G116" s="94">
        <f>VLOOKUP($D116,Construction!$B:$E,(COLUMN(Construction_BuildingReward_HeroXP)-COLUMN(Construction_Name_and_Level)+1),FALSE)</f>
        <v>50</v>
      </c>
      <c r="H116" s="94">
        <f t="shared" si="7"/>
        <v>65</v>
      </c>
      <c r="J116" s="95">
        <f>VLOOKUP($D116,Construction!$B:$F,(COLUMN(Construction_BuildingReward_Power)-COLUMN(Construction_Name_and_Level)+1),FALSE)</f>
        <v>15</v>
      </c>
      <c r="O116" s="139">
        <v>3.472222222222222E-3</v>
      </c>
      <c r="P116" s="139">
        <v>6.9444444444444441E-3</v>
      </c>
      <c r="AD116" s="137" t="e">
        <f t="shared" si="13"/>
        <v>#REF!</v>
      </c>
      <c r="AE116" s="259">
        <v>0.41</v>
      </c>
      <c r="AF116" s="138">
        <f>VLOOKUP($D116,Construction!$B:$C,(COLUMN(Construction_Time)-COLUMN(Construction_Name_and_Level)+1),FALSE)</f>
        <v>2.7777777777777779E-3</v>
      </c>
      <c r="AG116" s="138">
        <f t="shared" si="8"/>
        <v>1.9700551615445235E-3</v>
      </c>
      <c r="AH116" s="138">
        <f t="shared" si="9"/>
        <v>0</v>
      </c>
      <c r="AI116" s="139">
        <f t="shared" si="10"/>
        <v>0</v>
      </c>
      <c r="AJ116" s="139">
        <f t="shared" si="11"/>
        <v>2.7777777777777779E-3</v>
      </c>
      <c r="AK116" s="94">
        <f>VLOOKUP($D116,Construction!$B:$J,(COLUMN(Construction_BuildingCost_Stone)-COLUMN(Construction_Name_and_Level)+1),FALSE)*(-1)</f>
        <v>-289</v>
      </c>
      <c r="AL116" s="94">
        <f>VLOOKUP($D116,Construction!$B:$J,(COLUMN(Construction_BuildingCost_Wood)-COLUMN(Construction_Name_and_Level)+1),FALSE)*(-1)</f>
        <v>0</v>
      </c>
      <c r="AM116" s="94">
        <f>VLOOKUP($D116,Construction!$B:$J,(COLUMN(Construction_BuildingCost_Ore)-COLUMN(Construction_Name_and_Level)+1),FALSE)*(-1)</f>
        <v>-289</v>
      </c>
      <c r="AN116" s="94">
        <f>VLOOKUP($D116,Construction!$B:$J,(COLUMN(Construction_BuildingCost_Food)-COLUMN(Construction_Name_and_Level)+1),FALSE)*(-1)</f>
        <v>-289</v>
      </c>
    </row>
    <row r="117" spans="2:40" ht="15.75">
      <c r="B117" s="93" t="s">
        <v>144</v>
      </c>
      <c r="C117" s="127" t="s">
        <v>138</v>
      </c>
      <c r="D117" s="144" t="s">
        <v>729</v>
      </c>
      <c r="E117" s="293">
        <v>15</v>
      </c>
      <c r="F117" s="12">
        <v>0.3</v>
      </c>
      <c r="G117" s="94">
        <f>VLOOKUP($D117,Construction!$B:$E,(COLUMN(Construction_BuildingReward_HeroXP)-COLUMN(Construction_Name_and_Level)+1),FALSE)</f>
        <v>50</v>
      </c>
      <c r="H117" s="94">
        <f t="shared" si="7"/>
        <v>65</v>
      </c>
      <c r="J117" s="95">
        <f>VLOOKUP($D117,Construction!$B:$F,(COLUMN(Construction_BuildingReward_Power)-COLUMN(Construction_Name_and_Level)+1),FALSE)</f>
        <v>15</v>
      </c>
      <c r="O117" s="139">
        <v>3.472222222222222E-3</v>
      </c>
      <c r="P117" s="139">
        <v>6.9444444444444441E-3</v>
      </c>
      <c r="AD117" s="137" t="e">
        <f t="shared" si="13"/>
        <v>#REF!</v>
      </c>
      <c r="AE117" s="259">
        <v>0.41</v>
      </c>
      <c r="AF117" s="138">
        <f>VLOOKUP($D117,Construction!$B:$C,(COLUMN(Construction_Time)-COLUMN(Construction_Name_and_Level)+1),FALSE)</f>
        <v>2.7777777777777779E-3</v>
      </c>
      <c r="AG117" s="138">
        <f t="shared" si="8"/>
        <v>1.9700551615445235E-3</v>
      </c>
      <c r="AH117" s="138">
        <f t="shared" si="9"/>
        <v>0</v>
      </c>
      <c r="AI117" s="139">
        <f t="shared" si="10"/>
        <v>0</v>
      </c>
      <c r="AJ117" s="139">
        <f t="shared" si="11"/>
        <v>2.7777777777777779E-3</v>
      </c>
      <c r="AK117" s="94">
        <f>VLOOKUP($D117,Construction!$B:$J,(COLUMN(Construction_BuildingCost_Stone)-COLUMN(Construction_Name_and_Level)+1),FALSE)*(-1)</f>
        <v>-289</v>
      </c>
      <c r="AL117" s="94">
        <f>VLOOKUP($D117,Construction!$B:$J,(COLUMN(Construction_BuildingCost_Wood)-COLUMN(Construction_Name_and_Level)+1),FALSE)*(-1)</f>
        <v>0</v>
      </c>
      <c r="AM117" s="94">
        <f>VLOOKUP($D117,Construction!$B:$J,(COLUMN(Construction_BuildingCost_Ore)-COLUMN(Construction_Name_and_Level)+1),FALSE)*(-1)</f>
        <v>-289</v>
      </c>
      <c r="AN117" s="94">
        <f>VLOOKUP($D117,Construction!$B:$J,(COLUMN(Construction_BuildingCost_Food)-COLUMN(Construction_Name_and_Level)+1),FALSE)*(-1)</f>
        <v>-289</v>
      </c>
    </row>
    <row r="118" spans="2:40" ht="15.75">
      <c r="B118" s="93" t="s">
        <v>144</v>
      </c>
      <c r="C118" s="127" t="s">
        <v>138</v>
      </c>
      <c r="D118" s="144" t="s">
        <v>729</v>
      </c>
      <c r="E118" s="293">
        <v>15</v>
      </c>
      <c r="F118" s="12">
        <v>0.3</v>
      </c>
      <c r="G118" s="94">
        <f>VLOOKUP($D118,Construction!$B:$E,(COLUMN(Construction_BuildingReward_HeroXP)-COLUMN(Construction_Name_and_Level)+1),FALSE)</f>
        <v>50</v>
      </c>
      <c r="H118" s="94">
        <f t="shared" si="7"/>
        <v>65</v>
      </c>
      <c r="J118" s="95">
        <f>VLOOKUP($D118,Construction!$B:$F,(COLUMN(Construction_BuildingReward_Power)-COLUMN(Construction_Name_and_Level)+1),FALSE)</f>
        <v>15</v>
      </c>
      <c r="O118" s="139">
        <v>3.472222222222222E-3</v>
      </c>
      <c r="P118" s="139">
        <v>6.9444444444444441E-3</v>
      </c>
      <c r="AD118" s="137" t="e">
        <f t="shared" si="13"/>
        <v>#REF!</v>
      </c>
      <c r="AE118" s="259">
        <v>0.41</v>
      </c>
      <c r="AF118" s="138">
        <f>VLOOKUP($D118,Construction!$B:$C,(COLUMN(Construction_Time)-COLUMN(Construction_Name_and_Level)+1),FALSE)</f>
        <v>2.7777777777777779E-3</v>
      </c>
      <c r="AG118" s="138">
        <f t="shared" si="8"/>
        <v>1.9700551615445235E-3</v>
      </c>
      <c r="AH118" s="138">
        <f t="shared" si="9"/>
        <v>0</v>
      </c>
      <c r="AI118" s="139">
        <f t="shared" si="10"/>
        <v>0</v>
      </c>
      <c r="AJ118" s="139">
        <f t="shared" si="11"/>
        <v>2.7777777777777779E-3</v>
      </c>
      <c r="AK118" s="94">
        <f>VLOOKUP($D118,Construction!$B:$J,(COLUMN(Construction_BuildingCost_Stone)-COLUMN(Construction_Name_and_Level)+1),FALSE)*(-1)</f>
        <v>-289</v>
      </c>
      <c r="AL118" s="94">
        <f>VLOOKUP($D118,Construction!$B:$J,(COLUMN(Construction_BuildingCost_Wood)-COLUMN(Construction_Name_and_Level)+1),FALSE)*(-1)</f>
        <v>0</v>
      </c>
      <c r="AM118" s="94">
        <f>VLOOKUP($D118,Construction!$B:$J,(COLUMN(Construction_BuildingCost_Ore)-COLUMN(Construction_Name_and_Level)+1),FALSE)*(-1)</f>
        <v>-289</v>
      </c>
      <c r="AN118" s="94">
        <f>VLOOKUP($D118,Construction!$B:$J,(COLUMN(Construction_BuildingCost_Food)-COLUMN(Construction_Name_and_Level)+1),FALSE)*(-1)</f>
        <v>-289</v>
      </c>
    </row>
    <row r="119" spans="2:40" ht="15.75">
      <c r="B119" s="93" t="s">
        <v>144</v>
      </c>
      <c r="C119" s="127" t="s">
        <v>138</v>
      </c>
      <c r="D119" s="144" t="s">
        <v>411</v>
      </c>
      <c r="E119" s="293">
        <v>15</v>
      </c>
      <c r="F119" s="12">
        <v>0.3</v>
      </c>
      <c r="G119" s="94">
        <f>VLOOKUP($D119,Construction!$B:$E,(COLUMN(Construction_BuildingReward_HeroXP)-COLUMN(Construction_Name_and_Level)+1),FALSE)</f>
        <v>200</v>
      </c>
      <c r="H119" s="94">
        <f t="shared" si="7"/>
        <v>260</v>
      </c>
      <c r="J119" s="95">
        <f>VLOOKUP($D119,Construction!$B:$F,(COLUMN(Construction_BuildingReward_Power)-COLUMN(Construction_Name_and_Level)+1),FALSE)</f>
        <v>25</v>
      </c>
      <c r="O119" s="139">
        <v>3.472222222222222E-3</v>
      </c>
      <c r="P119" s="139">
        <v>6.9444444444444441E-3</v>
      </c>
      <c r="AD119" s="137" t="e">
        <f t="shared" si="13"/>
        <v>#REF!</v>
      </c>
      <c r="AE119" s="259">
        <v>0.41</v>
      </c>
      <c r="AF119" s="138">
        <f>VLOOKUP($D119,Construction!$B:$C,(COLUMN(Construction_Time)-COLUMN(Construction_Name_and_Level)+1),FALSE)</f>
        <v>5.5555555555555558E-3</v>
      </c>
      <c r="AG119" s="138">
        <f t="shared" si="8"/>
        <v>3.940110323089047E-3</v>
      </c>
      <c r="AH119" s="138">
        <f t="shared" si="9"/>
        <v>0</v>
      </c>
      <c r="AI119" s="139">
        <f t="shared" si="10"/>
        <v>0</v>
      </c>
      <c r="AJ119" s="139">
        <f t="shared" si="11"/>
        <v>5.5555555555555558E-3</v>
      </c>
      <c r="AK119" s="94">
        <f>VLOOKUP($D119,Construction!$B:$J,(COLUMN(Construction_BuildingCost_Stone)-COLUMN(Construction_Name_and_Level)+1),FALSE)*(-1)</f>
        <v>-492</v>
      </c>
      <c r="AL119" s="94">
        <f>VLOOKUP($D119,Construction!$B:$J,(COLUMN(Construction_BuildingCost_Wood)-COLUMN(Construction_Name_and_Level)+1),FALSE)*(-1)</f>
        <v>0</v>
      </c>
      <c r="AM119" s="94">
        <f>VLOOKUP($D119,Construction!$B:$J,(COLUMN(Construction_BuildingCost_Ore)-COLUMN(Construction_Name_and_Level)+1),FALSE)*(-1)</f>
        <v>-492</v>
      </c>
      <c r="AN119" s="94">
        <f>VLOOKUP($D119,Construction!$B:$J,(COLUMN(Construction_BuildingCost_Food)-COLUMN(Construction_Name_and_Level)+1),FALSE)*(-1)</f>
        <v>-492</v>
      </c>
    </row>
    <row r="120" spans="2:40" ht="15.75">
      <c r="B120" s="93" t="s">
        <v>144</v>
      </c>
      <c r="C120" s="127" t="s">
        <v>138</v>
      </c>
      <c r="D120" s="144" t="s">
        <v>411</v>
      </c>
      <c r="E120" s="293">
        <v>15</v>
      </c>
      <c r="F120" s="12">
        <v>0.3</v>
      </c>
      <c r="G120" s="94">
        <f>VLOOKUP($D120,Construction!$B:$E,(COLUMN(Construction_BuildingReward_HeroXP)-COLUMN(Construction_Name_and_Level)+1),FALSE)</f>
        <v>200</v>
      </c>
      <c r="H120" s="94">
        <f t="shared" si="7"/>
        <v>260</v>
      </c>
      <c r="J120" s="95">
        <f>VLOOKUP($D120,Construction!$B:$F,(COLUMN(Construction_BuildingReward_Power)-COLUMN(Construction_Name_and_Level)+1),FALSE)</f>
        <v>25</v>
      </c>
      <c r="O120" s="139">
        <v>3.472222222222222E-3</v>
      </c>
      <c r="P120" s="139">
        <v>6.9444444444444441E-3</v>
      </c>
      <c r="AD120" s="137" t="e">
        <f t="shared" si="13"/>
        <v>#REF!</v>
      </c>
      <c r="AE120" s="259">
        <v>0.41</v>
      </c>
      <c r="AF120" s="138">
        <f>VLOOKUP($D120,Construction!$B:$C,(COLUMN(Construction_Time)-COLUMN(Construction_Name_and_Level)+1),FALSE)</f>
        <v>5.5555555555555558E-3</v>
      </c>
      <c r="AG120" s="138">
        <f t="shared" si="8"/>
        <v>3.940110323089047E-3</v>
      </c>
      <c r="AH120" s="138">
        <f t="shared" si="9"/>
        <v>0</v>
      </c>
      <c r="AI120" s="139">
        <f t="shared" si="10"/>
        <v>0</v>
      </c>
      <c r="AJ120" s="139">
        <f t="shared" si="11"/>
        <v>5.5555555555555558E-3</v>
      </c>
      <c r="AK120" s="94">
        <f>VLOOKUP($D120,Construction!$B:$J,(COLUMN(Construction_BuildingCost_Stone)-COLUMN(Construction_Name_and_Level)+1),FALSE)*(-1)</f>
        <v>-492</v>
      </c>
      <c r="AL120" s="94">
        <f>VLOOKUP($D120,Construction!$B:$J,(COLUMN(Construction_BuildingCost_Wood)-COLUMN(Construction_Name_and_Level)+1),FALSE)*(-1)</f>
        <v>0</v>
      </c>
      <c r="AM120" s="94">
        <f>VLOOKUP($D120,Construction!$B:$J,(COLUMN(Construction_BuildingCost_Ore)-COLUMN(Construction_Name_and_Level)+1),FALSE)*(-1)</f>
        <v>-492</v>
      </c>
      <c r="AN120" s="94">
        <f>VLOOKUP($D120,Construction!$B:$J,(COLUMN(Construction_BuildingCost_Food)-COLUMN(Construction_Name_and_Level)+1),FALSE)*(-1)</f>
        <v>-492</v>
      </c>
    </row>
    <row r="121" spans="2:40" ht="15.75">
      <c r="B121" s="93" t="s">
        <v>144</v>
      </c>
      <c r="C121" s="127" t="s">
        <v>138</v>
      </c>
      <c r="D121" s="144" t="s">
        <v>411</v>
      </c>
      <c r="E121" s="293">
        <v>15</v>
      </c>
      <c r="F121" s="12">
        <v>0.3</v>
      </c>
      <c r="G121" s="94">
        <f>VLOOKUP($D121,Construction!$B:$E,(COLUMN(Construction_BuildingReward_HeroXP)-COLUMN(Construction_Name_and_Level)+1),FALSE)</f>
        <v>200</v>
      </c>
      <c r="H121" s="94">
        <f t="shared" si="7"/>
        <v>260</v>
      </c>
      <c r="J121" s="95">
        <f>VLOOKUP($D121,Construction!$B:$F,(COLUMN(Construction_BuildingReward_Power)-COLUMN(Construction_Name_and_Level)+1),FALSE)</f>
        <v>25</v>
      </c>
      <c r="O121" s="139">
        <v>3.472222222222222E-3</v>
      </c>
      <c r="P121" s="139">
        <v>6.9444444444444441E-3</v>
      </c>
      <c r="AD121" s="137" t="e">
        <f t="shared" si="13"/>
        <v>#REF!</v>
      </c>
      <c r="AE121" s="259">
        <v>0.41</v>
      </c>
      <c r="AF121" s="138">
        <f>VLOOKUP($D121,Construction!$B:$C,(COLUMN(Construction_Time)-COLUMN(Construction_Name_and_Level)+1),FALSE)</f>
        <v>5.5555555555555558E-3</v>
      </c>
      <c r="AG121" s="138">
        <f t="shared" si="8"/>
        <v>3.940110323089047E-3</v>
      </c>
      <c r="AH121" s="138">
        <f t="shared" si="9"/>
        <v>0</v>
      </c>
      <c r="AI121" s="139">
        <f t="shared" si="10"/>
        <v>0</v>
      </c>
      <c r="AJ121" s="139">
        <f t="shared" si="11"/>
        <v>5.5555555555555558E-3</v>
      </c>
      <c r="AK121" s="94">
        <f>VLOOKUP($D121,Construction!$B:$J,(COLUMN(Construction_BuildingCost_Stone)-COLUMN(Construction_Name_and_Level)+1),FALSE)*(-1)</f>
        <v>-492</v>
      </c>
      <c r="AL121" s="94">
        <f>VLOOKUP($D121,Construction!$B:$J,(COLUMN(Construction_BuildingCost_Wood)-COLUMN(Construction_Name_and_Level)+1),FALSE)*(-1)</f>
        <v>0</v>
      </c>
      <c r="AM121" s="94">
        <f>VLOOKUP($D121,Construction!$B:$J,(COLUMN(Construction_BuildingCost_Ore)-COLUMN(Construction_Name_and_Level)+1),FALSE)*(-1)</f>
        <v>-492</v>
      </c>
      <c r="AN121" s="94">
        <f>VLOOKUP($D121,Construction!$B:$J,(COLUMN(Construction_BuildingCost_Food)-COLUMN(Construction_Name_and_Level)+1),FALSE)*(-1)</f>
        <v>-492</v>
      </c>
    </row>
    <row r="122" spans="2:40" ht="15.75">
      <c r="B122" s="93" t="s">
        <v>144</v>
      </c>
      <c r="C122" s="127" t="s">
        <v>138</v>
      </c>
      <c r="D122" s="144" t="s">
        <v>412</v>
      </c>
      <c r="E122" s="293">
        <v>15</v>
      </c>
      <c r="F122" s="12">
        <v>0.3</v>
      </c>
      <c r="G122" s="94">
        <f>VLOOKUP($D122,Construction!$B:$E,(COLUMN(Construction_BuildingReward_HeroXP)-COLUMN(Construction_Name_and_Level)+1),FALSE)</f>
        <v>400</v>
      </c>
      <c r="H122" s="94">
        <f t="shared" si="7"/>
        <v>520</v>
      </c>
      <c r="J122" s="95">
        <f>VLOOKUP($D122,Construction!$B:$F,(COLUMN(Construction_BuildingReward_Power)-COLUMN(Construction_Name_and_Level)+1),FALSE)</f>
        <v>35</v>
      </c>
      <c r="O122" s="139">
        <v>3.472222222222222E-3</v>
      </c>
      <c r="P122" s="139">
        <v>6.9444444444444441E-3</v>
      </c>
      <c r="AD122" s="137" t="e">
        <f t="shared" si="13"/>
        <v>#REF!</v>
      </c>
      <c r="AE122" s="259">
        <v>0.41</v>
      </c>
      <c r="AF122" s="138">
        <f>VLOOKUP($D122,Construction!$B:$C,(COLUMN(Construction_Time)-COLUMN(Construction_Name_and_Level)+1),FALSE)</f>
        <v>1.1111111111111112E-2</v>
      </c>
      <c r="AG122" s="138">
        <f t="shared" si="8"/>
        <v>7.880220646178094E-3</v>
      </c>
      <c r="AH122" s="138">
        <f t="shared" si="9"/>
        <v>0</v>
      </c>
      <c r="AI122" s="139">
        <f t="shared" si="10"/>
        <v>0</v>
      </c>
      <c r="AJ122" s="139">
        <f t="shared" si="11"/>
        <v>1.1111111111111112E-2</v>
      </c>
      <c r="AK122" s="94">
        <f>VLOOKUP($D122,Construction!$B:$J,(COLUMN(Construction_BuildingCost_Stone)-COLUMN(Construction_Name_and_Level)+1),FALSE)*(-1)</f>
        <v>-837</v>
      </c>
      <c r="AL122" s="94">
        <f>VLOOKUP($D122,Construction!$B:$J,(COLUMN(Construction_BuildingCost_Wood)-COLUMN(Construction_Name_and_Level)+1),FALSE)*(-1)</f>
        <v>0</v>
      </c>
      <c r="AM122" s="94">
        <f>VLOOKUP($D122,Construction!$B:$J,(COLUMN(Construction_BuildingCost_Ore)-COLUMN(Construction_Name_and_Level)+1),FALSE)*(-1)</f>
        <v>-837</v>
      </c>
      <c r="AN122" s="94">
        <f>VLOOKUP($D122,Construction!$B:$J,(COLUMN(Construction_BuildingCost_Food)-COLUMN(Construction_Name_and_Level)+1),FALSE)*(-1)</f>
        <v>-837</v>
      </c>
    </row>
    <row r="123" spans="2:40" ht="15.75">
      <c r="B123" s="93" t="s">
        <v>144</v>
      </c>
      <c r="C123" s="127" t="s">
        <v>138</v>
      </c>
      <c r="D123" s="144" t="s">
        <v>412</v>
      </c>
      <c r="E123" s="293">
        <v>15</v>
      </c>
      <c r="F123" s="12">
        <v>0.3</v>
      </c>
      <c r="G123" s="94">
        <f>VLOOKUP($D123,Construction!$B:$E,(COLUMN(Construction_BuildingReward_HeroXP)-COLUMN(Construction_Name_and_Level)+1),FALSE)</f>
        <v>400</v>
      </c>
      <c r="H123" s="94">
        <f t="shared" si="7"/>
        <v>520</v>
      </c>
      <c r="J123" s="95">
        <f>VLOOKUP($D123,Construction!$B:$F,(COLUMN(Construction_BuildingReward_Power)-COLUMN(Construction_Name_and_Level)+1),FALSE)</f>
        <v>35</v>
      </c>
      <c r="O123" s="139">
        <v>3.472222222222222E-3</v>
      </c>
      <c r="P123" s="139">
        <v>6.9444444444444441E-3</v>
      </c>
      <c r="AD123" s="137" t="e">
        <f t="shared" ref="AD123:AD154" si="14">AD122+(Q$3*Q123+R$3*R123+S$3*S123+T$3*T123+U$3*U123+V$3*V123+W$3*W123+X$3*X123+Y$3*Y123+Z$3*Z123+AA$3*AA123)</f>
        <v>#REF!</v>
      </c>
      <c r="AE123" s="259">
        <v>0.41</v>
      </c>
      <c r="AF123" s="138">
        <f>VLOOKUP($D123,Construction!$B:$C,(COLUMN(Construction_Time)-COLUMN(Construction_Name_and_Level)+1),FALSE)</f>
        <v>1.1111111111111112E-2</v>
      </c>
      <c r="AG123" s="138">
        <f t="shared" si="8"/>
        <v>7.880220646178094E-3</v>
      </c>
      <c r="AH123" s="138">
        <f t="shared" si="9"/>
        <v>0</v>
      </c>
      <c r="AI123" s="139">
        <f t="shared" si="10"/>
        <v>0</v>
      </c>
      <c r="AJ123" s="139">
        <f t="shared" si="11"/>
        <v>1.1111111111111112E-2</v>
      </c>
      <c r="AK123" s="94">
        <f>VLOOKUP($D123,Construction!$B:$J,(COLUMN(Construction_BuildingCost_Stone)-COLUMN(Construction_Name_and_Level)+1),FALSE)*(-1)</f>
        <v>-837</v>
      </c>
      <c r="AL123" s="94">
        <f>VLOOKUP($D123,Construction!$B:$J,(COLUMN(Construction_BuildingCost_Wood)-COLUMN(Construction_Name_and_Level)+1),FALSE)*(-1)</f>
        <v>0</v>
      </c>
      <c r="AM123" s="94">
        <f>VLOOKUP($D123,Construction!$B:$J,(COLUMN(Construction_BuildingCost_Ore)-COLUMN(Construction_Name_and_Level)+1),FALSE)*(-1)</f>
        <v>-837</v>
      </c>
      <c r="AN123" s="94">
        <f>VLOOKUP($D123,Construction!$B:$J,(COLUMN(Construction_BuildingCost_Food)-COLUMN(Construction_Name_and_Level)+1),FALSE)*(-1)</f>
        <v>-837</v>
      </c>
    </row>
    <row r="124" spans="2:40" ht="15.75">
      <c r="B124" s="93" t="s">
        <v>144</v>
      </c>
      <c r="C124" s="127" t="s">
        <v>138</v>
      </c>
      <c r="D124" s="144" t="s">
        <v>412</v>
      </c>
      <c r="E124" s="293">
        <v>15</v>
      </c>
      <c r="F124" s="12">
        <v>0.3</v>
      </c>
      <c r="G124" s="94">
        <f>VLOOKUP($D124,Construction!$B:$E,(COLUMN(Construction_BuildingReward_HeroXP)-COLUMN(Construction_Name_and_Level)+1),FALSE)</f>
        <v>400</v>
      </c>
      <c r="H124" s="94">
        <f t="shared" si="7"/>
        <v>520</v>
      </c>
      <c r="J124" s="95">
        <f>VLOOKUP($D124,Construction!$B:$F,(COLUMN(Construction_BuildingReward_Power)-COLUMN(Construction_Name_and_Level)+1),FALSE)</f>
        <v>35</v>
      </c>
      <c r="O124" s="139">
        <v>3.472222222222222E-3</v>
      </c>
      <c r="P124" s="139">
        <v>6.9444444444444441E-3</v>
      </c>
      <c r="AD124" s="137" t="e">
        <f t="shared" si="14"/>
        <v>#REF!</v>
      </c>
      <c r="AE124" s="259">
        <v>0.41</v>
      </c>
      <c r="AF124" s="138">
        <f>VLOOKUP($D124,Construction!$B:$C,(COLUMN(Construction_Time)-COLUMN(Construction_Name_and_Level)+1),FALSE)</f>
        <v>1.1111111111111112E-2</v>
      </c>
      <c r="AG124" s="138">
        <f t="shared" si="8"/>
        <v>7.880220646178094E-3</v>
      </c>
      <c r="AH124" s="138">
        <f t="shared" si="9"/>
        <v>0</v>
      </c>
      <c r="AI124" s="139">
        <f t="shared" si="10"/>
        <v>0</v>
      </c>
      <c r="AJ124" s="139">
        <f t="shared" si="11"/>
        <v>1.1111111111111112E-2</v>
      </c>
      <c r="AK124" s="94">
        <f>VLOOKUP($D124,Construction!$B:$J,(COLUMN(Construction_BuildingCost_Stone)-COLUMN(Construction_Name_and_Level)+1),FALSE)*(-1)</f>
        <v>-837</v>
      </c>
      <c r="AL124" s="94">
        <f>VLOOKUP($D124,Construction!$B:$J,(COLUMN(Construction_BuildingCost_Wood)-COLUMN(Construction_Name_and_Level)+1),FALSE)*(-1)</f>
        <v>0</v>
      </c>
      <c r="AM124" s="94">
        <f>VLOOKUP($D124,Construction!$B:$J,(COLUMN(Construction_BuildingCost_Ore)-COLUMN(Construction_Name_and_Level)+1),FALSE)*(-1)</f>
        <v>-837</v>
      </c>
      <c r="AN124" s="94">
        <f>VLOOKUP($D124,Construction!$B:$J,(COLUMN(Construction_BuildingCost_Food)-COLUMN(Construction_Name_and_Level)+1),FALSE)*(-1)</f>
        <v>-837</v>
      </c>
    </row>
    <row r="125" spans="2:40" ht="15.75">
      <c r="B125" s="93" t="s">
        <v>144</v>
      </c>
      <c r="C125" s="127" t="s">
        <v>138</v>
      </c>
      <c r="D125" s="144" t="s">
        <v>662</v>
      </c>
      <c r="E125" s="293">
        <v>15</v>
      </c>
      <c r="F125" s="12">
        <v>0.3</v>
      </c>
      <c r="G125" s="94">
        <f>VLOOKUP($D125,Construction!$B:$E,(COLUMN(Construction_BuildingReward_HeroXP)-COLUMN(Construction_Name_and_Level)+1),FALSE)</f>
        <v>25</v>
      </c>
      <c r="H125" s="94">
        <f t="shared" si="7"/>
        <v>32.5</v>
      </c>
      <c r="J125" s="95">
        <f>VLOOKUP($D125,Construction!$B:$F,(COLUMN(Construction_BuildingReward_Power)-COLUMN(Construction_Name_and_Level)+1),FALSE)</f>
        <v>10</v>
      </c>
      <c r="O125" s="139">
        <v>3.472222222222222E-3</v>
      </c>
      <c r="P125" s="139">
        <v>6.9444444444444441E-3</v>
      </c>
      <c r="AD125" s="137" t="e">
        <f t="shared" si="14"/>
        <v>#REF!</v>
      </c>
      <c r="AE125" s="259">
        <v>0.41</v>
      </c>
      <c r="AF125" s="138">
        <f>VLOOKUP($D125,Construction!$B:$C,(COLUMN(Construction_Time)-COLUMN(Construction_Name_and_Level)+1),FALSE)</f>
        <v>1.1574074074074073E-3</v>
      </c>
      <c r="AG125" s="138">
        <f t="shared" si="8"/>
        <v>8.2085631731021805E-4</v>
      </c>
      <c r="AH125" s="138">
        <f t="shared" si="9"/>
        <v>0</v>
      </c>
      <c r="AI125" s="139">
        <f t="shared" si="10"/>
        <v>0</v>
      </c>
      <c r="AJ125" s="139">
        <f t="shared" si="11"/>
        <v>1.1574074074074073E-3</v>
      </c>
      <c r="AK125" s="94">
        <f>VLOOKUP($D125,Construction!$B:$J,(COLUMN(Construction_BuildingCost_Stone)-COLUMN(Construction_Name_and_Level)+1),FALSE)*(-1)</f>
        <v>-170</v>
      </c>
      <c r="AL125" s="94">
        <f>VLOOKUP($D125,Construction!$B:$J,(COLUMN(Construction_BuildingCost_Wood)-COLUMN(Construction_Name_and_Level)+1),FALSE)*(-1)</f>
        <v>-170</v>
      </c>
      <c r="AM125" s="94">
        <f>VLOOKUP($D125,Construction!$B:$J,(COLUMN(Construction_BuildingCost_Ore)-COLUMN(Construction_Name_and_Level)+1),FALSE)*(-1)</f>
        <v>-170</v>
      </c>
      <c r="AN125" s="94">
        <f>VLOOKUP($D125,Construction!$B:$J,(COLUMN(Construction_BuildingCost_Food)-COLUMN(Construction_Name_and_Level)+1),FALSE)*(-1)</f>
        <v>0</v>
      </c>
    </row>
    <row r="126" spans="2:40" ht="15.75">
      <c r="B126" s="93" t="s">
        <v>144</v>
      </c>
      <c r="C126" s="127" t="s">
        <v>138</v>
      </c>
      <c r="D126" s="144" t="s">
        <v>662</v>
      </c>
      <c r="E126" s="293">
        <v>15</v>
      </c>
      <c r="F126" s="12">
        <v>0.3</v>
      </c>
      <c r="G126" s="94">
        <f>VLOOKUP($D126,Construction!$B:$E,(COLUMN(Construction_BuildingReward_HeroXP)-COLUMN(Construction_Name_and_Level)+1),FALSE)</f>
        <v>25</v>
      </c>
      <c r="H126" s="94">
        <f t="shared" si="7"/>
        <v>32.5</v>
      </c>
      <c r="J126" s="95">
        <f>VLOOKUP($D126,Construction!$B:$F,(COLUMN(Construction_BuildingReward_Power)-COLUMN(Construction_Name_and_Level)+1),FALSE)</f>
        <v>10</v>
      </c>
      <c r="O126" s="139">
        <v>3.472222222222222E-3</v>
      </c>
      <c r="P126" s="139">
        <v>6.9444444444444441E-3</v>
      </c>
      <c r="AD126" s="137" t="e">
        <f t="shared" si="14"/>
        <v>#REF!</v>
      </c>
      <c r="AE126" s="259">
        <v>0.41</v>
      </c>
      <c r="AF126" s="138">
        <f>VLOOKUP($D126,Construction!$B:$C,(COLUMN(Construction_Time)-COLUMN(Construction_Name_and_Level)+1),FALSE)</f>
        <v>1.1574074074074073E-3</v>
      </c>
      <c r="AG126" s="138">
        <f t="shared" si="8"/>
        <v>8.2085631731021805E-4</v>
      </c>
      <c r="AH126" s="138">
        <f t="shared" si="9"/>
        <v>0</v>
      </c>
      <c r="AI126" s="139">
        <f t="shared" si="10"/>
        <v>0</v>
      </c>
      <c r="AJ126" s="139">
        <f t="shared" si="11"/>
        <v>1.1574074074074073E-3</v>
      </c>
      <c r="AK126" s="94">
        <f>VLOOKUP($D126,Construction!$B:$J,(COLUMN(Construction_BuildingCost_Stone)-COLUMN(Construction_Name_and_Level)+1),FALSE)*(-1)</f>
        <v>-170</v>
      </c>
      <c r="AL126" s="94">
        <f>VLOOKUP($D126,Construction!$B:$J,(COLUMN(Construction_BuildingCost_Wood)-COLUMN(Construction_Name_and_Level)+1),FALSE)*(-1)</f>
        <v>-170</v>
      </c>
      <c r="AM126" s="94">
        <f>VLOOKUP($D126,Construction!$B:$J,(COLUMN(Construction_BuildingCost_Ore)-COLUMN(Construction_Name_and_Level)+1),FALSE)*(-1)</f>
        <v>-170</v>
      </c>
      <c r="AN126" s="94">
        <f>VLOOKUP($D126,Construction!$B:$J,(COLUMN(Construction_BuildingCost_Food)-COLUMN(Construction_Name_and_Level)+1),FALSE)*(-1)</f>
        <v>0</v>
      </c>
    </row>
    <row r="127" spans="2:40" ht="15.75">
      <c r="B127" s="93" t="s">
        <v>144</v>
      </c>
      <c r="C127" s="127" t="s">
        <v>138</v>
      </c>
      <c r="D127" s="144" t="s">
        <v>662</v>
      </c>
      <c r="E127" s="293">
        <v>15</v>
      </c>
      <c r="F127" s="12">
        <v>0.3</v>
      </c>
      <c r="G127" s="94">
        <f>VLOOKUP($D127,Construction!$B:$E,(COLUMN(Construction_BuildingReward_HeroXP)-COLUMN(Construction_Name_and_Level)+1),FALSE)</f>
        <v>25</v>
      </c>
      <c r="H127" s="94">
        <f t="shared" si="7"/>
        <v>32.5</v>
      </c>
      <c r="J127" s="95">
        <f>VLOOKUP($D127,Construction!$B:$F,(COLUMN(Construction_BuildingReward_Power)-COLUMN(Construction_Name_and_Level)+1),FALSE)</f>
        <v>10</v>
      </c>
      <c r="O127" s="139">
        <v>3.472222222222222E-3</v>
      </c>
      <c r="P127" s="139">
        <v>6.9444444444444441E-3</v>
      </c>
      <c r="AD127" s="137" t="e">
        <f t="shared" si="14"/>
        <v>#REF!</v>
      </c>
      <c r="AE127" s="259">
        <v>0.41</v>
      </c>
      <c r="AF127" s="138">
        <f>VLOOKUP($D127,Construction!$B:$C,(COLUMN(Construction_Time)-COLUMN(Construction_Name_and_Level)+1),FALSE)</f>
        <v>1.1574074074074073E-3</v>
      </c>
      <c r="AG127" s="138">
        <f t="shared" si="8"/>
        <v>8.2085631731021805E-4</v>
      </c>
      <c r="AH127" s="138">
        <f t="shared" si="9"/>
        <v>0</v>
      </c>
      <c r="AI127" s="139">
        <f t="shared" si="10"/>
        <v>0</v>
      </c>
      <c r="AJ127" s="139">
        <f t="shared" si="11"/>
        <v>1.1574074074074073E-3</v>
      </c>
      <c r="AK127" s="94">
        <f>VLOOKUP($D127,Construction!$B:$J,(COLUMN(Construction_BuildingCost_Stone)-COLUMN(Construction_Name_and_Level)+1),FALSE)*(-1)</f>
        <v>-170</v>
      </c>
      <c r="AL127" s="94">
        <f>VLOOKUP($D127,Construction!$B:$J,(COLUMN(Construction_BuildingCost_Wood)-COLUMN(Construction_Name_and_Level)+1),FALSE)*(-1)</f>
        <v>-170</v>
      </c>
      <c r="AM127" s="94">
        <f>VLOOKUP($D127,Construction!$B:$J,(COLUMN(Construction_BuildingCost_Ore)-COLUMN(Construction_Name_and_Level)+1),FALSE)*(-1)</f>
        <v>-170</v>
      </c>
      <c r="AN127" s="94">
        <f>VLOOKUP($D127,Construction!$B:$J,(COLUMN(Construction_BuildingCost_Food)-COLUMN(Construction_Name_and_Level)+1),FALSE)*(-1)</f>
        <v>0</v>
      </c>
    </row>
    <row r="128" spans="2:40" ht="15.75">
      <c r="B128" s="93" t="s">
        <v>144</v>
      </c>
      <c r="C128" s="127" t="s">
        <v>138</v>
      </c>
      <c r="D128" s="144" t="s">
        <v>31</v>
      </c>
      <c r="E128" s="293">
        <v>15</v>
      </c>
      <c r="F128" s="12">
        <v>0.3</v>
      </c>
      <c r="G128" s="94">
        <f>VLOOKUP($D128,Construction!$B:$E,(COLUMN(Construction_BuildingReward_HeroXP)-COLUMN(Construction_Name_and_Level)+1),FALSE)</f>
        <v>50</v>
      </c>
      <c r="H128" s="94">
        <f t="shared" si="7"/>
        <v>65</v>
      </c>
      <c r="J128" s="95">
        <f>VLOOKUP($D128,Construction!$B:$F,(COLUMN(Construction_BuildingReward_Power)-COLUMN(Construction_Name_and_Level)+1),FALSE)</f>
        <v>15</v>
      </c>
      <c r="O128" s="139">
        <v>3.472222222222222E-3</v>
      </c>
      <c r="P128" s="139">
        <v>6.9444444444444441E-3</v>
      </c>
      <c r="AD128" s="137" t="e">
        <f t="shared" si="14"/>
        <v>#REF!</v>
      </c>
      <c r="AE128" s="259">
        <v>0.41</v>
      </c>
      <c r="AF128" s="138">
        <f>VLOOKUP($D128,Construction!$B:$C,(COLUMN(Construction_Time)-COLUMN(Construction_Name_and_Level)+1),FALSE)</f>
        <v>2.3148148148148151E-3</v>
      </c>
      <c r="AG128" s="138">
        <f t="shared" si="8"/>
        <v>1.6417126346204363E-3</v>
      </c>
      <c r="AH128" s="138">
        <f t="shared" si="9"/>
        <v>0</v>
      </c>
      <c r="AI128" s="139">
        <f t="shared" si="10"/>
        <v>0</v>
      </c>
      <c r="AJ128" s="139">
        <f t="shared" si="11"/>
        <v>2.3148148148148151E-3</v>
      </c>
      <c r="AK128" s="94">
        <f>VLOOKUP($D128,Construction!$B:$J,(COLUMN(Construction_BuildingCost_Stone)-COLUMN(Construction_Name_and_Level)+1),FALSE)*(-1)</f>
        <v>-289</v>
      </c>
      <c r="AL128" s="94">
        <f>VLOOKUP($D128,Construction!$B:$J,(COLUMN(Construction_BuildingCost_Wood)-COLUMN(Construction_Name_and_Level)+1),FALSE)*(-1)</f>
        <v>-289</v>
      </c>
      <c r="AM128" s="94">
        <f>VLOOKUP($D128,Construction!$B:$J,(COLUMN(Construction_BuildingCost_Ore)-COLUMN(Construction_Name_and_Level)+1),FALSE)*(-1)</f>
        <v>-289</v>
      </c>
      <c r="AN128" s="94">
        <f>VLOOKUP($D128,Construction!$B:$J,(COLUMN(Construction_BuildingCost_Food)-COLUMN(Construction_Name_and_Level)+1),FALSE)*(-1)</f>
        <v>0</v>
      </c>
    </row>
    <row r="129" spans="2:40" ht="15.75">
      <c r="B129" s="93" t="s">
        <v>144</v>
      </c>
      <c r="C129" s="127" t="s">
        <v>138</v>
      </c>
      <c r="D129" s="144" t="s">
        <v>31</v>
      </c>
      <c r="E129" s="293">
        <v>15</v>
      </c>
      <c r="F129" s="12">
        <v>0.3</v>
      </c>
      <c r="G129" s="94">
        <f>VLOOKUP($D129,Construction!$B:$E,(COLUMN(Construction_BuildingReward_HeroXP)-COLUMN(Construction_Name_and_Level)+1),FALSE)</f>
        <v>50</v>
      </c>
      <c r="H129" s="94">
        <f t="shared" si="7"/>
        <v>65</v>
      </c>
      <c r="J129" s="95">
        <f>VLOOKUP($D129,Construction!$B:$F,(COLUMN(Construction_BuildingReward_Power)-COLUMN(Construction_Name_and_Level)+1),FALSE)</f>
        <v>15</v>
      </c>
      <c r="O129" s="139">
        <v>3.472222222222222E-3</v>
      </c>
      <c r="P129" s="139">
        <v>6.9444444444444441E-3</v>
      </c>
      <c r="AD129" s="137" t="e">
        <f t="shared" si="14"/>
        <v>#REF!</v>
      </c>
      <c r="AE129" s="259">
        <v>0.41</v>
      </c>
      <c r="AF129" s="138">
        <f>VLOOKUP($D129,Construction!$B:$C,(COLUMN(Construction_Time)-COLUMN(Construction_Name_and_Level)+1),FALSE)</f>
        <v>2.3148148148148151E-3</v>
      </c>
      <c r="AG129" s="138">
        <f t="shared" si="8"/>
        <v>1.6417126346204363E-3</v>
      </c>
      <c r="AH129" s="138">
        <f t="shared" si="9"/>
        <v>0</v>
      </c>
      <c r="AI129" s="139">
        <f t="shared" si="10"/>
        <v>0</v>
      </c>
      <c r="AJ129" s="139">
        <f t="shared" si="11"/>
        <v>2.3148148148148151E-3</v>
      </c>
      <c r="AK129" s="94">
        <f>VLOOKUP($D129,Construction!$B:$J,(COLUMN(Construction_BuildingCost_Stone)-COLUMN(Construction_Name_and_Level)+1),FALSE)*(-1)</f>
        <v>-289</v>
      </c>
      <c r="AL129" s="94">
        <f>VLOOKUP($D129,Construction!$B:$J,(COLUMN(Construction_BuildingCost_Wood)-COLUMN(Construction_Name_and_Level)+1),FALSE)*(-1)</f>
        <v>-289</v>
      </c>
      <c r="AM129" s="94">
        <f>VLOOKUP($D129,Construction!$B:$J,(COLUMN(Construction_BuildingCost_Ore)-COLUMN(Construction_Name_and_Level)+1),FALSE)*(-1)</f>
        <v>-289</v>
      </c>
      <c r="AN129" s="94">
        <f>VLOOKUP($D129,Construction!$B:$J,(COLUMN(Construction_BuildingCost_Food)-COLUMN(Construction_Name_and_Level)+1),FALSE)*(-1)</f>
        <v>0</v>
      </c>
    </row>
    <row r="130" spans="2:40" ht="15.75">
      <c r="B130" s="93" t="s">
        <v>144</v>
      </c>
      <c r="C130" s="127" t="s">
        <v>138</v>
      </c>
      <c r="D130" s="144" t="s">
        <v>31</v>
      </c>
      <c r="E130" s="293">
        <v>15</v>
      </c>
      <c r="F130" s="12">
        <v>0.3</v>
      </c>
      <c r="G130" s="94">
        <f>VLOOKUP($D130,Construction!$B:$E,(COLUMN(Construction_BuildingReward_HeroXP)-COLUMN(Construction_Name_and_Level)+1),FALSE)</f>
        <v>50</v>
      </c>
      <c r="H130" s="94">
        <f t="shared" si="7"/>
        <v>65</v>
      </c>
      <c r="J130" s="95">
        <f>VLOOKUP($D130,Construction!$B:$F,(COLUMN(Construction_BuildingReward_Power)-COLUMN(Construction_Name_and_Level)+1),FALSE)</f>
        <v>15</v>
      </c>
      <c r="O130" s="139">
        <v>3.472222222222222E-3</v>
      </c>
      <c r="P130" s="139">
        <v>6.9444444444444441E-3</v>
      </c>
      <c r="AD130" s="137" t="e">
        <f t="shared" si="14"/>
        <v>#REF!</v>
      </c>
      <c r="AE130" s="259">
        <v>0.41</v>
      </c>
      <c r="AF130" s="138">
        <f>VLOOKUP($D130,Construction!$B:$C,(COLUMN(Construction_Time)-COLUMN(Construction_Name_and_Level)+1),FALSE)</f>
        <v>2.3148148148148151E-3</v>
      </c>
      <c r="AG130" s="138">
        <f t="shared" si="8"/>
        <v>1.6417126346204363E-3</v>
      </c>
      <c r="AH130" s="138">
        <f t="shared" si="9"/>
        <v>0</v>
      </c>
      <c r="AI130" s="139">
        <f t="shared" si="10"/>
        <v>0</v>
      </c>
      <c r="AJ130" s="139">
        <f t="shared" si="11"/>
        <v>2.3148148148148151E-3</v>
      </c>
      <c r="AK130" s="94">
        <f>VLOOKUP($D130,Construction!$B:$J,(COLUMN(Construction_BuildingCost_Stone)-COLUMN(Construction_Name_and_Level)+1),FALSE)*(-1)</f>
        <v>-289</v>
      </c>
      <c r="AL130" s="94">
        <f>VLOOKUP($D130,Construction!$B:$J,(COLUMN(Construction_BuildingCost_Wood)-COLUMN(Construction_Name_and_Level)+1),FALSE)*(-1)</f>
        <v>-289</v>
      </c>
      <c r="AM130" s="94">
        <f>VLOOKUP($D130,Construction!$B:$J,(COLUMN(Construction_BuildingCost_Ore)-COLUMN(Construction_Name_and_Level)+1),FALSE)*(-1)</f>
        <v>-289</v>
      </c>
      <c r="AN130" s="94">
        <f>VLOOKUP($D130,Construction!$B:$J,(COLUMN(Construction_BuildingCost_Food)-COLUMN(Construction_Name_and_Level)+1),FALSE)*(-1)</f>
        <v>0</v>
      </c>
    </row>
    <row r="131" spans="2:40" ht="15.75">
      <c r="B131" s="93" t="s">
        <v>144</v>
      </c>
      <c r="C131" s="127" t="s">
        <v>138</v>
      </c>
      <c r="D131" s="144" t="s">
        <v>32</v>
      </c>
      <c r="E131" s="293">
        <v>15</v>
      </c>
      <c r="F131" s="12">
        <v>0.3</v>
      </c>
      <c r="G131" s="94">
        <f>VLOOKUP($D131,Construction!$B:$E,(COLUMN(Construction_BuildingReward_HeroXP)-COLUMN(Construction_Name_and_Level)+1),FALSE)</f>
        <v>200</v>
      </c>
      <c r="H131" s="94">
        <f t="shared" si="7"/>
        <v>260</v>
      </c>
      <c r="J131" s="95">
        <f>VLOOKUP($D131,Construction!$B:$F,(COLUMN(Construction_BuildingReward_Power)-COLUMN(Construction_Name_and_Level)+1),FALSE)</f>
        <v>25</v>
      </c>
      <c r="O131" s="139">
        <v>3.472222222222222E-3</v>
      </c>
      <c r="P131" s="139">
        <v>6.9444444444444441E-3</v>
      </c>
      <c r="AD131" s="137" t="e">
        <f t="shared" si="14"/>
        <v>#REF!</v>
      </c>
      <c r="AE131" s="259">
        <v>0.41</v>
      </c>
      <c r="AF131" s="138">
        <f>VLOOKUP($D131,Construction!$B:$C,(COLUMN(Construction_Time)-COLUMN(Construction_Name_and_Level)+1),FALSE)</f>
        <v>4.6296296296296302E-3</v>
      </c>
      <c r="AG131" s="138">
        <f t="shared" si="8"/>
        <v>3.2834252692408726E-3</v>
      </c>
      <c r="AH131" s="138">
        <f t="shared" si="9"/>
        <v>0</v>
      </c>
      <c r="AI131" s="139">
        <f t="shared" si="10"/>
        <v>0</v>
      </c>
      <c r="AJ131" s="139">
        <f t="shared" si="11"/>
        <v>4.6296296296296302E-3</v>
      </c>
      <c r="AK131" s="94">
        <f>VLOOKUP($D131,Construction!$B:$J,(COLUMN(Construction_BuildingCost_Stone)-COLUMN(Construction_Name_and_Level)+1),FALSE)*(-1)</f>
        <v>-492</v>
      </c>
      <c r="AL131" s="94">
        <f>VLOOKUP($D131,Construction!$B:$J,(COLUMN(Construction_BuildingCost_Wood)-COLUMN(Construction_Name_and_Level)+1),FALSE)*(-1)</f>
        <v>-492</v>
      </c>
      <c r="AM131" s="94">
        <f>VLOOKUP($D131,Construction!$B:$J,(COLUMN(Construction_BuildingCost_Ore)-COLUMN(Construction_Name_and_Level)+1),FALSE)*(-1)</f>
        <v>-492</v>
      </c>
      <c r="AN131" s="94">
        <f>VLOOKUP($D131,Construction!$B:$J,(COLUMN(Construction_BuildingCost_Food)-COLUMN(Construction_Name_and_Level)+1),FALSE)*(-1)</f>
        <v>0</v>
      </c>
    </row>
    <row r="132" spans="2:40" ht="15.75">
      <c r="B132" s="93" t="s">
        <v>144</v>
      </c>
      <c r="C132" s="127" t="s">
        <v>138</v>
      </c>
      <c r="D132" s="144" t="s">
        <v>32</v>
      </c>
      <c r="E132" s="293">
        <v>15</v>
      </c>
      <c r="F132" s="12">
        <v>0.3</v>
      </c>
      <c r="G132" s="94">
        <f>VLOOKUP($D132,Construction!$B:$E,(COLUMN(Construction_BuildingReward_HeroXP)-COLUMN(Construction_Name_and_Level)+1),FALSE)</f>
        <v>200</v>
      </c>
      <c r="H132" s="94">
        <f t="shared" ref="H132:H195" si="15">G132*(1+F132)</f>
        <v>260</v>
      </c>
      <c r="J132" s="95">
        <f>VLOOKUP($D132,Construction!$B:$F,(COLUMN(Construction_BuildingReward_Power)-COLUMN(Construction_Name_and_Level)+1),FALSE)</f>
        <v>25</v>
      </c>
      <c r="O132" s="139">
        <v>3.472222222222222E-3</v>
      </c>
      <c r="P132" s="139">
        <v>6.9444444444444441E-3</v>
      </c>
      <c r="AD132" s="137" t="e">
        <f t="shared" si="14"/>
        <v>#REF!</v>
      </c>
      <c r="AE132" s="259">
        <v>0.41</v>
      </c>
      <c r="AF132" s="138">
        <f>VLOOKUP($D132,Construction!$B:$C,(COLUMN(Construction_Time)-COLUMN(Construction_Name_and_Level)+1),FALSE)</f>
        <v>4.6296296296296302E-3</v>
      </c>
      <c r="AG132" s="138">
        <f t="shared" ref="AG132:AG195" si="16">AF132/(1+AE132)</f>
        <v>3.2834252692408726E-3</v>
      </c>
      <c r="AH132" s="138">
        <f t="shared" ref="AH132:AH195" si="17">(Q$3*Q132+R$3*R132+T$3*T132+U$3*U132+V$3*V132+W$3*W132+X$3*X132+Y$3*Y132+Z$3*Z132+AA$3*AA132)*(-1)</f>
        <v>0</v>
      </c>
      <c r="AI132" s="139">
        <f t="shared" ref="AI132:AI195" si="18">IF((AG132-O132-P132-AH132)&gt;=0,AG132-O132-P132-AH132,0)</f>
        <v>0</v>
      </c>
      <c r="AJ132" s="139">
        <f t="shared" si="11"/>
        <v>4.6296296296296302E-3</v>
      </c>
      <c r="AK132" s="94">
        <f>VLOOKUP($D132,Construction!$B:$J,(COLUMN(Construction_BuildingCost_Stone)-COLUMN(Construction_Name_and_Level)+1),FALSE)*(-1)</f>
        <v>-492</v>
      </c>
      <c r="AL132" s="94">
        <f>VLOOKUP($D132,Construction!$B:$J,(COLUMN(Construction_BuildingCost_Wood)-COLUMN(Construction_Name_and_Level)+1),FALSE)*(-1)</f>
        <v>-492</v>
      </c>
      <c r="AM132" s="94">
        <f>VLOOKUP($D132,Construction!$B:$J,(COLUMN(Construction_BuildingCost_Ore)-COLUMN(Construction_Name_and_Level)+1),FALSE)*(-1)</f>
        <v>-492</v>
      </c>
      <c r="AN132" s="94">
        <f>VLOOKUP($D132,Construction!$B:$J,(COLUMN(Construction_BuildingCost_Food)-COLUMN(Construction_Name_and_Level)+1),FALSE)*(-1)</f>
        <v>0</v>
      </c>
    </row>
    <row r="133" spans="2:40" ht="15.75">
      <c r="B133" s="93" t="s">
        <v>144</v>
      </c>
      <c r="C133" s="127" t="s">
        <v>138</v>
      </c>
      <c r="D133" s="144" t="s">
        <v>32</v>
      </c>
      <c r="E133" s="293">
        <v>15</v>
      </c>
      <c r="F133" s="12">
        <v>0.3</v>
      </c>
      <c r="G133" s="94">
        <f>VLOOKUP($D133,Construction!$B:$E,(COLUMN(Construction_BuildingReward_HeroXP)-COLUMN(Construction_Name_and_Level)+1),FALSE)</f>
        <v>200</v>
      </c>
      <c r="H133" s="94">
        <f t="shared" si="15"/>
        <v>260</v>
      </c>
      <c r="J133" s="95">
        <f>VLOOKUP($D133,Construction!$B:$F,(COLUMN(Construction_BuildingReward_Power)-COLUMN(Construction_Name_and_Level)+1),FALSE)</f>
        <v>25</v>
      </c>
      <c r="O133" s="139">
        <v>3.472222222222222E-3</v>
      </c>
      <c r="P133" s="139">
        <v>6.9444444444444441E-3</v>
      </c>
      <c r="AD133" s="137" t="e">
        <f t="shared" si="14"/>
        <v>#REF!</v>
      </c>
      <c r="AE133" s="259">
        <v>0.41</v>
      </c>
      <c r="AF133" s="138">
        <f>VLOOKUP($D133,Construction!$B:$C,(COLUMN(Construction_Time)-COLUMN(Construction_Name_and_Level)+1),FALSE)</f>
        <v>4.6296296296296302E-3</v>
      </c>
      <c r="AG133" s="138">
        <f t="shared" si="16"/>
        <v>3.2834252692408726E-3</v>
      </c>
      <c r="AH133" s="138">
        <f t="shared" si="17"/>
        <v>0</v>
      </c>
      <c r="AI133" s="139">
        <f t="shared" si="18"/>
        <v>0</v>
      </c>
      <c r="AJ133" s="139">
        <f t="shared" ref="AJ133:AJ196" si="19">AF133-AI133</f>
        <v>4.6296296296296302E-3</v>
      </c>
      <c r="AK133" s="94">
        <f>VLOOKUP($D133,Construction!$B:$J,(COLUMN(Construction_BuildingCost_Stone)-COLUMN(Construction_Name_and_Level)+1),FALSE)*(-1)</f>
        <v>-492</v>
      </c>
      <c r="AL133" s="94">
        <f>VLOOKUP($D133,Construction!$B:$J,(COLUMN(Construction_BuildingCost_Wood)-COLUMN(Construction_Name_and_Level)+1),FALSE)*(-1)</f>
        <v>-492</v>
      </c>
      <c r="AM133" s="94">
        <f>VLOOKUP($D133,Construction!$B:$J,(COLUMN(Construction_BuildingCost_Ore)-COLUMN(Construction_Name_and_Level)+1),FALSE)*(-1)</f>
        <v>-492</v>
      </c>
      <c r="AN133" s="94">
        <f>VLOOKUP($D133,Construction!$B:$J,(COLUMN(Construction_BuildingCost_Food)-COLUMN(Construction_Name_and_Level)+1),FALSE)*(-1)</f>
        <v>0</v>
      </c>
    </row>
    <row r="134" spans="2:40" ht="15.75">
      <c r="B134" s="93" t="s">
        <v>144</v>
      </c>
      <c r="C134" s="127" t="s">
        <v>138</v>
      </c>
      <c r="D134" s="144" t="s">
        <v>33</v>
      </c>
      <c r="E134" s="293">
        <v>15</v>
      </c>
      <c r="F134" s="12">
        <v>0.3</v>
      </c>
      <c r="G134" s="94">
        <f>VLOOKUP($D134,Construction!$B:$E,(COLUMN(Construction_BuildingReward_HeroXP)-COLUMN(Construction_Name_and_Level)+1),FALSE)</f>
        <v>400</v>
      </c>
      <c r="H134" s="94">
        <f t="shared" si="15"/>
        <v>520</v>
      </c>
      <c r="J134" s="95">
        <f>VLOOKUP($D134,Construction!$B:$F,(COLUMN(Construction_BuildingReward_Power)-COLUMN(Construction_Name_and_Level)+1),FALSE)</f>
        <v>35</v>
      </c>
      <c r="O134" s="139">
        <v>3.472222222222222E-3</v>
      </c>
      <c r="P134" s="139">
        <v>6.9444444444444441E-3</v>
      </c>
      <c r="AD134" s="137" t="e">
        <f t="shared" si="14"/>
        <v>#REF!</v>
      </c>
      <c r="AE134" s="259">
        <v>0.41</v>
      </c>
      <c r="AF134" s="138">
        <f>VLOOKUP($D134,Construction!$B:$C,(COLUMN(Construction_Time)-COLUMN(Construction_Name_and_Level)+1),FALSE)</f>
        <v>9.2592592592592605E-3</v>
      </c>
      <c r="AG134" s="138">
        <f t="shared" si="16"/>
        <v>6.5668505384817452E-3</v>
      </c>
      <c r="AH134" s="138">
        <f t="shared" si="17"/>
        <v>0</v>
      </c>
      <c r="AI134" s="139">
        <f t="shared" si="18"/>
        <v>0</v>
      </c>
      <c r="AJ134" s="139">
        <f t="shared" si="19"/>
        <v>9.2592592592592605E-3</v>
      </c>
      <c r="AK134" s="94">
        <f>VLOOKUP($D134,Construction!$B:$J,(COLUMN(Construction_BuildingCost_Stone)-COLUMN(Construction_Name_and_Level)+1),FALSE)*(-1)</f>
        <v>-837</v>
      </c>
      <c r="AL134" s="94">
        <f>VLOOKUP($D134,Construction!$B:$J,(COLUMN(Construction_BuildingCost_Wood)-COLUMN(Construction_Name_and_Level)+1),FALSE)*(-1)</f>
        <v>-837</v>
      </c>
      <c r="AM134" s="94">
        <f>VLOOKUP($D134,Construction!$B:$J,(COLUMN(Construction_BuildingCost_Ore)-COLUMN(Construction_Name_and_Level)+1),FALSE)*(-1)</f>
        <v>-837</v>
      </c>
      <c r="AN134" s="94">
        <f>VLOOKUP($D134,Construction!$B:$J,(COLUMN(Construction_BuildingCost_Food)-COLUMN(Construction_Name_and_Level)+1),FALSE)*(-1)</f>
        <v>0</v>
      </c>
    </row>
    <row r="135" spans="2:40" ht="15.75">
      <c r="B135" s="93" t="s">
        <v>144</v>
      </c>
      <c r="C135" s="127" t="s">
        <v>138</v>
      </c>
      <c r="D135" s="144" t="s">
        <v>33</v>
      </c>
      <c r="E135" s="293">
        <v>15</v>
      </c>
      <c r="F135" s="12">
        <v>0.3</v>
      </c>
      <c r="G135" s="94">
        <f>VLOOKUP($D135,Construction!$B:$E,(COLUMN(Construction_BuildingReward_HeroXP)-COLUMN(Construction_Name_and_Level)+1),FALSE)</f>
        <v>400</v>
      </c>
      <c r="H135" s="94">
        <f t="shared" si="15"/>
        <v>520</v>
      </c>
      <c r="J135" s="95">
        <f>VLOOKUP($D135,Construction!$B:$F,(COLUMN(Construction_BuildingReward_Power)-COLUMN(Construction_Name_and_Level)+1),FALSE)</f>
        <v>35</v>
      </c>
      <c r="O135" s="139">
        <v>3.472222222222222E-3</v>
      </c>
      <c r="P135" s="139">
        <v>6.9444444444444441E-3</v>
      </c>
      <c r="AD135" s="137" t="e">
        <f t="shared" si="14"/>
        <v>#REF!</v>
      </c>
      <c r="AE135" s="259">
        <v>0.41</v>
      </c>
      <c r="AF135" s="138">
        <f>VLOOKUP($D135,Construction!$B:$C,(COLUMN(Construction_Time)-COLUMN(Construction_Name_and_Level)+1),FALSE)</f>
        <v>9.2592592592592605E-3</v>
      </c>
      <c r="AG135" s="138">
        <f t="shared" si="16"/>
        <v>6.5668505384817452E-3</v>
      </c>
      <c r="AH135" s="138">
        <f t="shared" si="17"/>
        <v>0</v>
      </c>
      <c r="AI135" s="139">
        <f t="shared" si="18"/>
        <v>0</v>
      </c>
      <c r="AJ135" s="139">
        <f t="shared" si="19"/>
        <v>9.2592592592592605E-3</v>
      </c>
      <c r="AK135" s="94">
        <f>VLOOKUP($D135,Construction!$B:$J,(COLUMN(Construction_BuildingCost_Stone)-COLUMN(Construction_Name_and_Level)+1),FALSE)*(-1)</f>
        <v>-837</v>
      </c>
      <c r="AL135" s="94">
        <f>VLOOKUP($D135,Construction!$B:$J,(COLUMN(Construction_BuildingCost_Wood)-COLUMN(Construction_Name_and_Level)+1),FALSE)*(-1)</f>
        <v>-837</v>
      </c>
      <c r="AM135" s="94">
        <f>VLOOKUP($D135,Construction!$B:$J,(COLUMN(Construction_BuildingCost_Ore)-COLUMN(Construction_Name_and_Level)+1),FALSE)*(-1)</f>
        <v>-837</v>
      </c>
      <c r="AN135" s="94">
        <f>VLOOKUP($D135,Construction!$B:$J,(COLUMN(Construction_BuildingCost_Food)-COLUMN(Construction_Name_and_Level)+1),FALSE)*(-1)</f>
        <v>0</v>
      </c>
    </row>
    <row r="136" spans="2:40" ht="15.75">
      <c r="B136" s="93" t="s">
        <v>144</v>
      </c>
      <c r="C136" s="127" t="s">
        <v>138</v>
      </c>
      <c r="D136" s="144" t="s">
        <v>33</v>
      </c>
      <c r="E136" s="293">
        <v>15</v>
      </c>
      <c r="F136" s="12">
        <v>0.3</v>
      </c>
      <c r="G136" s="94">
        <f>VLOOKUP($D136,Construction!$B:$E,(COLUMN(Construction_BuildingReward_HeroXP)-COLUMN(Construction_Name_and_Level)+1),FALSE)</f>
        <v>400</v>
      </c>
      <c r="H136" s="94">
        <f t="shared" si="15"/>
        <v>520</v>
      </c>
      <c r="J136" s="95">
        <f>VLOOKUP($D136,Construction!$B:$F,(COLUMN(Construction_BuildingReward_Power)-COLUMN(Construction_Name_and_Level)+1),FALSE)</f>
        <v>35</v>
      </c>
      <c r="O136" s="139">
        <v>3.472222222222222E-3</v>
      </c>
      <c r="P136" s="139">
        <v>6.9444444444444441E-3</v>
      </c>
      <c r="AD136" s="137" t="e">
        <f t="shared" si="14"/>
        <v>#REF!</v>
      </c>
      <c r="AE136" s="259">
        <v>0.41</v>
      </c>
      <c r="AF136" s="138">
        <f>VLOOKUP($D136,Construction!$B:$C,(COLUMN(Construction_Time)-COLUMN(Construction_Name_and_Level)+1),FALSE)</f>
        <v>9.2592592592592605E-3</v>
      </c>
      <c r="AG136" s="138">
        <f t="shared" si="16"/>
        <v>6.5668505384817452E-3</v>
      </c>
      <c r="AH136" s="138">
        <f t="shared" si="17"/>
        <v>0</v>
      </c>
      <c r="AI136" s="139">
        <f t="shared" si="18"/>
        <v>0</v>
      </c>
      <c r="AJ136" s="139">
        <f t="shared" si="19"/>
        <v>9.2592592592592605E-3</v>
      </c>
      <c r="AK136" s="94">
        <f>VLOOKUP($D136,Construction!$B:$J,(COLUMN(Construction_BuildingCost_Stone)-COLUMN(Construction_Name_and_Level)+1),FALSE)*(-1)</f>
        <v>-837</v>
      </c>
      <c r="AL136" s="94">
        <f>VLOOKUP($D136,Construction!$B:$J,(COLUMN(Construction_BuildingCost_Wood)-COLUMN(Construction_Name_and_Level)+1),FALSE)*(-1)</f>
        <v>-837</v>
      </c>
      <c r="AM136" s="94">
        <f>VLOOKUP($D136,Construction!$B:$J,(COLUMN(Construction_BuildingCost_Ore)-COLUMN(Construction_Name_and_Level)+1),FALSE)*(-1)</f>
        <v>-837</v>
      </c>
      <c r="AN136" s="94">
        <f>VLOOKUP($D136,Construction!$B:$J,(COLUMN(Construction_BuildingCost_Food)-COLUMN(Construction_Name_and_Level)+1),FALSE)*(-1)</f>
        <v>0</v>
      </c>
    </row>
    <row r="137" spans="2:40" ht="15.75">
      <c r="B137" s="93" t="s">
        <v>144</v>
      </c>
      <c r="C137" s="127" t="s">
        <v>138</v>
      </c>
      <c r="D137" s="144" t="s">
        <v>663</v>
      </c>
      <c r="E137" s="293">
        <v>15</v>
      </c>
      <c r="F137" s="12">
        <v>0.3</v>
      </c>
      <c r="G137" s="94">
        <f>VLOOKUP($D137,Construction!$B:$E,(COLUMN(Construction_BuildingReward_HeroXP)-COLUMN(Construction_Name_and_Level)+1),FALSE)</f>
        <v>25</v>
      </c>
      <c r="H137" s="94">
        <f t="shared" si="15"/>
        <v>32.5</v>
      </c>
      <c r="J137" s="95">
        <f>VLOOKUP($D137,Construction!$B:$F,(COLUMN(Construction_BuildingReward_Power)-COLUMN(Construction_Name_and_Level)+1),FALSE)</f>
        <v>10</v>
      </c>
      <c r="O137" s="139">
        <v>3.472222222222222E-3</v>
      </c>
      <c r="P137" s="139">
        <v>6.9444444444444441E-3</v>
      </c>
      <c r="AD137" s="137" t="e">
        <f t="shared" si="14"/>
        <v>#REF!</v>
      </c>
      <c r="AE137" s="259">
        <v>0.41</v>
      </c>
      <c r="AF137" s="138">
        <f>VLOOKUP($D137,Construction!$B:$C,(COLUMN(Construction_Time)-COLUMN(Construction_Name_and_Level)+1),FALSE)</f>
        <v>1.6203703703703703E-3</v>
      </c>
      <c r="AG137" s="138">
        <f t="shared" si="16"/>
        <v>1.1491988442343052E-3</v>
      </c>
      <c r="AH137" s="138">
        <f t="shared" si="17"/>
        <v>0</v>
      </c>
      <c r="AI137" s="139">
        <f t="shared" si="18"/>
        <v>0</v>
      </c>
      <c r="AJ137" s="139">
        <f t="shared" si="19"/>
        <v>1.6203703703703703E-3</v>
      </c>
      <c r="AK137" s="94">
        <f>VLOOKUP($D137,Construction!$B:$J,(COLUMN(Construction_BuildingCost_Stone)-COLUMN(Construction_Name_and_Level)+1),FALSE)*(-1)</f>
        <v>0</v>
      </c>
      <c r="AL137" s="94">
        <f>VLOOKUP($D137,Construction!$B:$J,(COLUMN(Construction_BuildingCost_Wood)-COLUMN(Construction_Name_and_Level)+1),FALSE)*(-1)</f>
        <v>-170</v>
      </c>
      <c r="AM137" s="94">
        <f>VLOOKUP($D137,Construction!$B:$J,(COLUMN(Construction_BuildingCost_Ore)-COLUMN(Construction_Name_and_Level)+1),FALSE)*(-1)</f>
        <v>-170</v>
      </c>
      <c r="AN137" s="94">
        <f>VLOOKUP($D137,Construction!$B:$J,(COLUMN(Construction_BuildingCost_Food)-COLUMN(Construction_Name_and_Level)+1),FALSE)*(-1)</f>
        <v>-170</v>
      </c>
    </row>
    <row r="138" spans="2:40" ht="15.75">
      <c r="B138" s="93" t="s">
        <v>144</v>
      </c>
      <c r="C138" s="127" t="s">
        <v>138</v>
      </c>
      <c r="D138" s="144" t="s">
        <v>663</v>
      </c>
      <c r="E138" s="293">
        <v>15</v>
      </c>
      <c r="F138" s="12">
        <v>0.3</v>
      </c>
      <c r="G138" s="94">
        <f>VLOOKUP($D138,Construction!$B:$E,(COLUMN(Construction_BuildingReward_HeroXP)-COLUMN(Construction_Name_and_Level)+1),FALSE)</f>
        <v>25</v>
      </c>
      <c r="H138" s="94">
        <f t="shared" si="15"/>
        <v>32.5</v>
      </c>
      <c r="J138" s="95">
        <f>VLOOKUP($D138,Construction!$B:$F,(COLUMN(Construction_BuildingReward_Power)-COLUMN(Construction_Name_and_Level)+1),FALSE)</f>
        <v>10</v>
      </c>
      <c r="O138" s="139">
        <v>3.472222222222222E-3</v>
      </c>
      <c r="P138" s="139">
        <v>6.9444444444444441E-3</v>
      </c>
      <c r="AD138" s="137" t="e">
        <f t="shared" si="14"/>
        <v>#REF!</v>
      </c>
      <c r="AE138" s="259">
        <v>0.41</v>
      </c>
      <c r="AF138" s="138">
        <f>VLOOKUP($D138,Construction!$B:$C,(COLUMN(Construction_Time)-COLUMN(Construction_Name_and_Level)+1),FALSE)</f>
        <v>1.6203703703703703E-3</v>
      </c>
      <c r="AG138" s="138">
        <f t="shared" si="16"/>
        <v>1.1491988442343052E-3</v>
      </c>
      <c r="AH138" s="138">
        <f t="shared" si="17"/>
        <v>0</v>
      </c>
      <c r="AI138" s="139">
        <f t="shared" si="18"/>
        <v>0</v>
      </c>
      <c r="AJ138" s="139">
        <f t="shared" si="19"/>
        <v>1.6203703703703703E-3</v>
      </c>
      <c r="AK138" s="94">
        <f>VLOOKUP($D138,Construction!$B:$J,(COLUMN(Construction_BuildingCost_Stone)-COLUMN(Construction_Name_and_Level)+1),FALSE)*(-1)</f>
        <v>0</v>
      </c>
      <c r="AL138" s="94">
        <f>VLOOKUP($D138,Construction!$B:$J,(COLUMN(Construction_BuildingCost_Wood)-COLUMN(Construction_Name_and_Level)+1),FALSE)*(-1)</f>
        <v>-170</v>
      </c>
      <c r="AM138" s="94">
        <f>VLOOKUP($D138,Construction!$B:$J,(COLUMN(Construction_BuildingCost_Ore)-COLUMN(Construction_Name_and_Level)+1),FALSE)*(-1)</f>
        <v>-170</v>
      </c>
      <c r="AN138" s="94">
        <f>VLOOKUP($D138,Construction!$B:$J,(COLUMN(Construction_BuildingCost_Food)-COLUMN(Construction_Name_and_Level)+1),FALSE)*(-1)</f>
        <v>-170</v>
      </c>
    </row>
    <row r="139" spans="2:40" ht="15.75">
      <c r="B139" s="93" t="s">
        <v>144</v>
      </c>
      <c r="C139" s="127" t="s">
        <v>138</v>
      </c>
      <c r="D139" s="144" t="s">
        <v>663</v>
      </c>
      <c r="E139" s="293">
        <v>15</v>
      </c>
      <c r="F139" s="12">
        <v>0.3</v>
      </c>
      <c r="G139" s="94">
        <f>VLOOKUP($D139,Construction!$B:$E,(COLUMN(Construction_BuildingReward_HeroXP)-COLUMN(Construction_Name_and_Level)+1),FALSE)</f>
        <v>25</v>
      </c>
      <c r="H139" s="94">
        <f t="shared" si="15"/>
        <v>32.5</v>
      </c>
      <c r="J139" s="95">
        <f>VLOOKUP($D139,Construction!$B:$F,(COLUMN(Construction_BuildingReward_Power)-COLUMN(Construction_Name_and_Level)+1),FALSE)</f>
        <v>10</v>
      </c>
      <c r="O139" s="139">
        <v>3.472222222222222E-3</v>
      </c>
      <c r="P139" s="139">
        <v>6.9444444444444441E-3</v>
      </c>
      <c r="AD139" s="137" t="e">
        <f t="shared" si="14"/>
        <v>#REF!</v>
      </c>
      <c r="AE139" s="259">
        <v>0.41</v>
      </c>
      <c r="AF139" s="138">
        <f>VLOOKUP($D139,Construction!$B:$C,(COLUMN(Construction_Time)-COLUMN(Construction_Name_and_Level)+1),FALSE)</f>
        <v>1.6203703703703703E-3</v>
      </c>
      <c r="AG139" s="138">
        <f t="shared" si="16"/>
        <v>1.1491988442343052E-3</v>
      </c>
      <c r="AH139" s="138">
        <f t="shared" si="17"/>
        <v>0</v>
      </c>
      <c r="AI139" s="139">
        <f t="shared" si="18"/>
        <v>0</v>
      </c>
      <c r="AJ139" s="139">
        <f t="shared" si="19"/>
        <v>1.6203703703703703E-3</v>
      </c>
      <c r="AK139" s="94">
        <f>VLOOKUP($D139,Construction!$B:$J,(COLUMN(Construction_BuildingCost_Stone)-COLUMN(Construction_Name_and_Level)+1),FALSE)*(-1)</f>
        <v>0</v>
      </c>
      <c r="AL139" s="94">
        <f>VLOOKUP($D139,Construction!$B:$J,(COLUMN(Construction_BuildingCost_Wood)-COLUMN(Construction_Name_and_Level)+1),FALSE)*(-1)</f>
        <v>-170</v>
      </c>
      <c r="AM139" s="94">
        <f>VLOOKUP($D139,Construction!$B:$J,(COLUMN(Construction_BuildingCost_Ore)-COLUMN(Construction_Name_and_Level)+1),FALSE)*(-1)</f>
        <v>-170</v>
      </c>
      <c r="AN139" s="94">
        <f>VLOOKUP($D139,Construction!$B:$J,(COLUMN(Construction_BuildingCost_Food)-COLUMN(Construction_Name_and_Level)+1),FALSE)*(-1)</f>
        <v>-170</v>
      </c>
    </row>
    <row r="140" spans="2:40" ht="15.75">
      <c r="B140" s="93" t="s">
        <v>144</v>
      </c>
      <c r="C140" s="127" t="s">
        <v>138</v>
      </c>
      <c r="D140" s="144" t="s">
        <v>408</v>
      </c>
      <c r="E140" s="293">
        <v>15</v>
      </c>
      <c r="F140" s="12">
        <v>0.3</v>
      </c>
      <c r="G140" s="94">
        <f>VLOOKUP($D140,Construction!$B:$E,(COLUMN(Construction_BuildingReward_HeroXP)-COLUMN(Construction_Name_and_Level)+1),FALSE)</f>
        <v>50</v>
      </c>
      <c r="H140" s="94">
        <f t="shared" si="15"/>
        <v>65</v>
      </c>
      <c r="J140" s="95">
        <f>VLOOKUP($D140,Construction!$B:$F,(COLUMN(Construction_BuildingReward_Power)-COLUMN(Construction_Name_and_Level)+1),FALSE)</f>
        <v>15</v>
      </c>
      <c r="O140" s="139">
        <v>3.472222222222222E-3</v>
      </c>
      <c r="P140" s="139">
        <v>6.9444444444444441E-3</v>
      </c>
      <c r="AD140" s="137" t="e">
        <f t="shared" si="14"/>
        <v>#REF!</v>
      </c>
      <c r="AE140" s="259">
        <v>0.41</v>
      </c>
      <c r="AF140" s="138">
        <f>VLOOKUP($D140,Construction!$B:$C,(COLUMN(Construction_Time)-COLUMN(Construction_Name_and_Level)+1),FALSE)</f>
        <v>3.2407407407407406E-3</v>
      </c>
      <c r="AG140" s="138">
        <f t="shared" si="16"/>
        <v>2.2983976884686104E-3</v>
      </c>
      <c r="AH140" s="138">
        <f t="shared" si="17"/>
        <v>0</v>
      </c>
      <c r="AI140" s="139">
        <f t="shared" si="18"/>
        <v>0</v>
      </c>
      <c r="AJ140" s="139">
        <f t="shared" si="19"/>
        <v>3.2407407407407406E-3</v>
      </c>
      <c r="AK140" s="94">
        <f>VLOOKUP($D140,Construction!$B:$J,(COLUMN(Construction_BuildingCost_Stone)-COLUMN(Construction_Name_and_Level)+1),FALSE)*(-1)</f>
        <v>0</v>
      </c>
      <c r="AL140" s="94">
        <f>VLOOKUP($D140,Construction!$B:$J,(COLUMN(Construction_BuildingCost_Wood)-COLUMN(Construction_Name_and_Level)+1),FALSE)*(-1)</f>
        <v>-289</v>
      </c>
      <c r="AM140" s="94">
        <f>VLOOKUP($D140,Construction!$B:$J,(COLUMN(Construction_BuildingCost_Ore)-COLUMN(Construction_Name_and_Level)+1),FALSE)*(-1)</f>
        <v>-289</v>
      </c>
      <c r="AN140" s="94">
        <f>VLOOKUP($D140,Construction!$B:$J,(COLUMN(Construction_BuildingCost_Food)-COLUMN(Construction_Name_and_Level)+1),FALSE)*(-1)</f>
        <v>-289</v>
      </c>
    </row>
    <row r="141" spans="2:40" ht="15.75">
      <c r="B141" s="93" t="s">
        <v>144</v>
      </c>
      <c r="C141" s="127" t="s">
        <v>138</v>
      </c>
      <c r="D141" s="144" t="s">
        <v>408</v>
      </c>
      <c r="E141" s="293">
        <v>15</v>
      </c>
      <c r="F141" s="12">
        <v>0.3</v>
      </c>
      <c r="G141" s="94">
        <f>VLOOKUP($D141,Construction!$B:$E,(COLUMN(Construction_BuildingReward_HeroXP)-COLUMN(Construction_Name_and_Level)+1),FALSE)</f>
        <v>50</v>
      </c>
      <c r="H141" s="94">
        <f t="shared" si="15"/>
        <v>65</v>
      </c>
      <c r="J141" s="95">
        <f>VLOOKUP($D141,Construction!$B:$F,(COLUMN(Construction_BuildingReward_Power)-COLUMN(Construction_Name_and_Level)+1),FALSE)</f>
        <v>15</v>
      </c>
      <c r="O141" s="139">
        <v>3.472222222222222E-3</v>
      </c>
      <c r="P141" s="139">
        <v>6.9444444444444441E-3</v>
      </c>
      <c r="AD141" s="137" t="e">
        <f t="shared" si="14"/>
        <v>#REF!</v>
      </c>
      <c r="AE141" s="259">
        <v>0.41</v>
      </c>
      <c r="AF141" s="138">
        <f>VLOOKUP($D141,Construction!$B:$C,(COLUMN(Construction_Time)-COLUMN(Construction_Name_and_Level)+1),FALSE)</f>
        <v>3.2407407407407406E-3</v>
      </c>
      <c r="AG141" s="138">
        <f t="shared" si="16"/>
        <v>2.2983976884686104E-3</v>
      </c>
      <c r="AH141" s="138">
        <f t="shared" si="17"/>
        <v>0</v>
      </c>
      <c r="AI141" s="139">
        <f t="shared" si="18"/>
        <v>0</v>
      </c>
      <c r="AJ141" s="139">
        <f t="shared" si="19"/>
        <v>3.2407407407407406E-3</v>
      </c>
      <c r="AK141" s="94">
        <f>VLOOKUP($D141,Construction!$B:$J,(COLUMN(Construction_BuildingCost_Stone)-COLUMN(Construction_Name_and_Level)+1),FALSE)*(-1)</f>
        <v>0</v>
      </c>
      <c r="AL141" s="94">
        <f>VLOOKUP($D141,Construction!$B:$J,(COLUMN(Construction_BuildingCost_Wood)-COLUMN(Construction_Name_and_Level)+1),FALSE)*(-1)</f>
        <v>-289</v>
      </c>
      <c r="AM141" s="94">
        <f>VLOOKUP($D141,Construction!$B:$J,(COLUMN(Construction_BuildingCost_Ore)-COLUMN(Construction_Name_and_Level)+1),FALSE)*(-1)</f>
        <v>-289</v>
      </c>
      <c r="AN141" s="94">
        <f>VLOOKUP($D141,Construction!$B:$J,(COLUMN(Construction_BuildingCost_Food)-COLUMN(Construction_Name_and_Level)+1),FALSE)*(-1)</f>
        <v>-289</v>
      </c>
    </row>
    <row r="142" spans="2:40" ht="15.75">
      <c r="B142" s="93" t="s">
        <v>144</v>
      </c>
      <c r="C142" s="127" t="s">
        <v>138</v>
      </c>
      <c r="D142" s="144" t="s">
        <v>408</v>
      </c>
      <c r="E142" s="293">
        <v>15</v>
      </c>
      <c r="F142" s="12">
        <v>0.3</v>
      </c>
      <c r="G142" s="94">
        <f>VLOOKUP($D142,Construction!$B:$E,(COLUMN(Construction_BuildingReward_HeroXP)-COLUMN(Construction_Name_and_Level)+1),FALSE)</f>
        <v>50</v>
      </c>
      <c r="H142" s="94">
        <f t="shared" si="15"/>
        <v>65</v>
      </c>
      <c r="J142" s="95">
        <f>VLOOKUP($D142,Construction!$B:$F,(COLUMN(Construction_BuildingReward_Power)-COLUMN(Construction_Name_and_Level)+1),FALSE)</f>
        <v>15</v>
      </c>
      <c r="O142" s="139">
        <v>3.472222222222222E-3</v>
      </c>
      <c r="P142" s="139">
        <v>6.9444444444444441E-3</v>
      </c>
      <c r="AD142" s="137" t="e">
        <f t="shared" si="14"/>
        <v>#REF!</v>
      </c>
      <c r="AE142" s="259">
        <v>0.41</v>
      </c>
      <c r="AF142" s="138">
        <f>VLOOKUP($D142,Construction!$B:$C,(COLUMN(Construction_Time)-COLUMN(Construction_Name_and_Level)+1),FALSE)</f>
        <v>3.2407407407407406E-3</v>
      </c>
      <c r="AG142" s="138">
        <f t="shared" si="16"/>
        <v>2.2983976884686104E-3</v>
      </c>
      <c r="AH142" s="138">
        <f t="shared" si="17"/>
        <v>0</v>
      </c>
      <c r="AI142" s="139">
        <f t="shared" si="18"/>
        <v>0</v>
      </c>
      <c r="AJ142" s="139">
        <f t="shared" si="19"/>
        <v>3.2407407407407406E-3</v>
      </c>
      <c r="AK142" s="94">
        <f>VLOOKUP($D142,Construction!$B:$J,(COLUMN(Construction_BuildingCost_Stone)-COLUMN(Construction_Name_and_Level)+1),FALSE)*(-1)</f>
        <v>0</v>
      </c>
      <c r="AL142" s="94">
        <f>VLOOKUP($D142,Construction!$B:$J,(COLUMN(Construction_BuildingCost_Wood)-COLUMN(Construction_Name_and_Level)+1),FALSE)*(-1)</f>
        <v>-289</v>
      </c>
      <c r="AM142" s="94">
        <f>VLOOKUP($D142,Construction!$B:$J,(COLUMN(Construction_BuildingCost_Ore)-COLUMN(Construction_Name_and_Level)+1),FALSE)*(-1)</f>
        <v>-289</v>
      </c>
      <c r="AN142" s="94">
        <f>VLOOKUP($D142,Construction!$B:$J,(COLUMN(Construction_BuildingCost_Food)-COLUMN(Construction_Name_and_Level)+1),FALSE)*(-1)</f>
        <v>-289</v>
      </c>
    </row>
    <row r="143" spans="2:40" ht="15.75">
      <c r="B143" s="93" t="s">
        <v>144</v>
      </c>
      <c r="C143" s="127" t="s">
        <v>138</v>
      </c>
      <c r="D143" s="144" t="s">
        <v>429</v>
      </c>
      <c r="E143" s="293">
        <v>15</v>
      </c>
      <c r="F143" s="12">
        <v>0.3</v>
      </c>
      <c r="G143" s="94">
        <f>VLOOKUP($D143,Construction!$B:$E,(COLUMN(Construction_BuildingReward_HeroXP)-COLUMN(Construction_Name_and_Level)+1),FALSE)</f>
        <v>200</v>
      </c>
      <c r="H143" s="94">
        <f t="shared" si="15"/>
        <v>260</v>
      </c>
      <c r="J143" s="95">
        <f>VLOOKUP($D143,Construction!$B:$F,(COLUMN(Construction_BuildingReward_Power)-COLUMN(Construction_Name_and_Level)+1),FALSE)</f>
        <v>25</v>
      </c>
      <c r="O143" s="139">
        <v>3.472222222222222E-3</v>
      </c>
      <c r="P143" s="139">
        <v>6.9444444444444441E-3</v>
      </c>
      <c r="AD143" s="137" t="e">
        <f t="shared" si="14"/>
        <v>#REF!</v>
      </c>
      <c r="AE143" s="259">
        <v>0.41</v>
      </c>
      <c r="AF143" s="138">
        <f>VLOOKUP($D143,Construction!$B:$C,(COLUMN(Construction_Time)-COLUMN(Construction_Name_and_Level)+1),FALSE)</f>
        <v>6.4814814814814813E-3</v>
      </c>
      <c r="AG143" s="138">
        <f t="shared" si="16"/>
        <v>4.5967953769372209E-3</v>
      </c>
      <c r="AH143" s="138">
        <f t="shared" si="17"/>
        <v>0</v>
      </c>
      <c r="AI143" s="139">
        <f t="shared" si="18"/>
        <v>0</v>
      </c>
      <c r="AJ143" s="139">
        <f t="shared" si="19"/>
        <v>6.4814814814814813E-3</v>
      </c>
      <c r="AK143" s="94">
        <f>VLOOKUP($D143,Construction!$B:$J,(COLUMN(Construction_BuildingCost_Stone)-COLUMN(Construction_Name_and_Level)+1),FALSE)*(-1)</f>
        <v>0</v>
      </c>
      <c r="AL143" s="94">
        <f>VLOOKUP($D143,Construction!$B:$J,(COLUMN(Construction_BuildingCost_Wood)-COLUMN(Construction_Name_and_Level)+1),FALSE)*(-1)</f>
        <v>-492</v>
      </c>
      <c r="AM143" s="94">
        <f>VLOOKUP($D143,Construction!$B:$J,(COLUMN(Construction_BuildingCost_Ore)-COLUMN(Construction_Name_and_Level)+1),FALSE)*(-1)</f>
        <v>-492</v>
      </c>
      <c r="AN143" s="94">
        <f>VLOOKUP($D143,Construction!$B:$J,(COLUMN(Construction_BuildingCost_Food)-COLUMN(Construction_Name_and_Level)+1),FALSE)*(-1)</f>
        <v>-492</v>
      </c>
    </row>
    <row r="144" spans="2:40" ht="15.75">
      <c r="B144" s="93" t="s">
        <v>144</v>
      </c>
      <c r="C144" s="127" t="s">
        <v>138</v>
      </c>
      <c r="D144" s="144" t="s">
        <v>429</v>
      </c>
      <c r="E144" s="293">
        <v>15</v>
      </c>
      <c r="F144" s="12">
        <v>0.3</v>
      </c>
      <c r="G144" s="94">
        <f>VLOOKUP($D144,Construction!$B:$E,(COLUMN(Construction_BuildingReward_HeroXP)-COLUMN(Construction_Name_and_Level)+1),FALSE)</f>
        <v>200</v>
      </c>
      <c r="H144" s="94">
        <f t="shared" si="15"/>
        <v>260</v>
      </c>
      <c r="J144" s="95">
        <f>VLOOKUP($D144,Construction!$B:$F,(COLUMN(Construction_BuildingReward_Power)-COLUMN(Construction_Name_and_Level)+1),FALSE)</f>
        <v>25</v>
      </c>
      <c r="O144" s="139">
        <v>3.472222222222222E-3</v>
      </c>
      <c r="P144" s="139">
        <v>6.9444444444444441E-3</v>
      </c>
      <c r="AD144" s="137" t="e">
        <f t="shared" si="14"/>
        <v>#REF!</v>
      </c>
      <c r="AE144" s="259">
        <v>0.41</v>
      </c>
      <c r="AF144" s="138">
        <f>VLOOKUP($D144,Construction!$B:$C,(COLUMN(Construction_Time)-COLUMN(Construction_Name_and_Level)+1),FALSE)</f>
        <v>6.4814814814814813E-3</v>
      </c>
      <c r="AG144" s="138">
        <f t="shared" si="16"/>
        <v>4.5967953769372209E-3</v>
      </c>
      <c r="AH144" s="138">
        <f t="shared" si="17"/>
        <v>0</v>
      </c>
      <c r="AI144" s="139">
        <f t="shared" si="18"/>
        <v>0</v>
      </c>
      <c r="AJ144" s="139">
        <f t="shared" si="19"/>
        <v>6.4814814814814813E-3</v>
      </c>
      <c r="AK144" s="94">
        <f>VLOOKUP($D144,Construction!$B:$J,(COLUMN(Construction_BuildingCost_Stone)-COLUMN(Construction_Name_and_Level)+1),FALSE)*(-1)</f>
        <v>0</v>
      </c>
      <c r="AL144" s="94">
        <f>VLOOKUP($D144,Construction!$B:$J,(COLUMN(Construction_BuildingCost_Wood)-COLUMN(Construction_Name_and_Level)+1),FALSE)*(-1)</f>
        <v>-492</v>
      </c>
      <c r="AM144" s="94">
        <f>VLOOKUP($D144,Construction!$B:$J,(COLUMN(Construction_BuildingCost_Ore)-COLUMN(Construction_Name_and_Level)+1),FALSE)*(-1)</f>
        <v>-492</v>
      </c>
      <c r="AN144" s="94">
        <f>VLOOKUP($D144,Construction!$B:$J,(COLUMN(Construction_BuildingCost_Food)-COLUMN(Construction_Name_and_Level)+1),FALSE)*(-1)</f>
        <v>-492</v>
      </c>
    </row>
    <row r="145" spans="2:40" ht="15.75">
      <c r="B145" s="93" t="s">
        <v>144</v>
      </c>
      <c r="C145" s="127" t="s">
        <v>138</v>
      </c>
      <c r="D145" s="144" t="s">
        <v>429</v>
      </c>
      <c r="E145" s="293">
        <v>15</v>
      </c>
      <c r="F145" s="12">
        <v>0.3</v>
      </c>
      <c r="G145" s="94">
        <f>VLOOKUP($D145,Construction!$B:$E,(COLUMN(Construction_BuildingReward_HeroXP)-COLUMN(Construction_Name_and_Level)+1),FALSE)</f>
        <v>200</v>
      </c>
      <c r="H145" s="94">
        <f t="shared" si="15"/>
        <v>260</v>
      </c>
      <c r="J145" s="95">
        <f>VLOOKUP($D145,Construction!$B:$F,(COLUMN(Construction_BuildingReward_Power)-COLUMN(Construction_Name_and_Level)+1),FALSE)</f>
        <v>25</v>
      </c>
      <c r="O145" s="139">
        <v>3.472222222222222E-3</v>
      </c>
      <c r="P145" s="139">
        <v>6.9444444444444441E-3</v>
      </c>
      <c r="AD145" s="137" t="e">
        <f t="shared" si="14"/>
        <v>#REF!</v>
      </c>
      <c r="AE145" s="259">
        <v>0.41</v>
      </c>
      <c r="AF145" s="138">
        <f>VLOOKUP($D145,Construction!$B:$C,(COLUMN(Construction_Time)-COLUMN(Construction_Name_and_Level)+1),FALSE)</f>
        <v>6.4814814814814813E-3</v>
      </c>
      <c r="AG145" s="138">
        <f t="shared" si="16"/>
        <v>4.5967953769372209E-3</v>
      </c>
      <c r="AH145" s="138">
        <f t="shared" si="17"/>
        <v>0</v>
      </c>
      <c r="AI145" s="139">
        <f t="shared" si="18"/>
        <v>0</v>
      </c>
      <c r="AJ145" s="139">
        <f t="shared" si="19"/>
        <v>6.4814814814814813E-3</v>
      </c>
      <c r="AK145" s="94">
        <f>VLOOKUP($D145,Construction!$B:$J,(COLUMN(Construction_BuildingCost_Stone)-COLUMN(Construction_Name_and_Level)+1),FALSE)*(-1)</f>
        <v>0</v>
      </c>
      <c r="AL145" s="94">
        <f>VLOOKUP($D145,Construction!$B:$J,(COLUMN(Construction_BuildingCost_Wood)-COLUMN(Construction_Name_and_Level)+1),FALSE)*(-1)</f>
        <v>-492</v>
      </c>
      <c r="AM145" s="94">
        <f>VLOOKUP($D145,Construction!$B:$J,(COLUMN(Construction_BuildingCost_Ore)-COLUMN(Construction_Name_and_Level)+1),FALSE)*(-1)</f>
        <v>-492</v>
      </c>
      <c r="AN145" s="94">
        <f>VLOOKUP($D145,Construction!$B:$J,(COLUMN(Construction_BuildingCost_Food)-COLUMN(Construction_Name_and_Level)+1),FALSE)*(-1)</f>
        <v>-492</v>
      </c>
    </row>
    <row r="146" spans="2:40" ht="15.75">
      <c r="B146" s="93" t="s">
        <v>144</v>
      </c>
      <c r="C146" s="127" t="s">
        <v>138</v>
      </c>
      <c r="D146" s="144" t="s">
        <v>430</v>
      </c>
      <c r="E146" s="293">
        <v>15</v>
      </c>
      <c r="F146" s="12">
        <v>0.3</v>
      </c>
      <c r="G146" s="94">
        <f>VLOOKUP($D146,Construction!$B:$E,(COLUMN(Construction_BuildingReward_HeroXP)-COLUMN(Construction_Name_and_Level)+1),FALSE)</f>
        <v>400</v>
      </c>
      <c r="H146" s="94">
        <f t="shared" si="15"/>
        <v>520</v>
      </c>
      <c r="J146" s="95">
        <f>VLOOKUP($D146,Construction!$B:$F,(COLUMN(Construction_BuildingReward_Power)-COLUMN(Construction_Name_and_Level)+1),FALSE)</f>
        <v>35</v>
      </c>
      <c r="O146" s="139">
        <v>3.472222222222222E-3</v>
      </c>
      <c r="P146" s="139">
        <v>6.9444444444444441E-3</v>
      </c>
      <c r="AD146" s="137" t="e">
        <f t="shared" si="14"/>
        <v>#REF!</v>
      </c>
      <c r="AE146" s="259">
        <v>0.41</v>
      </c>
      <c r="AF146" s="138">
        <f>VLOOKUP($D146,Construction!$B:$C,(COLUMN(Construction_Time)-COLUMN(Construction_Name_and_Level)+1),FALSE)</f>
        <v>1.2962962962962963E-2</v>
      </c>
      <c r="AG146" s="138">
        <f t="shared" si="16"/>
        <v>9.1935907538744418E-3</v>
      </c>
      <c r="AH146" s="138">
        <f t="shared" si="17"/>
        <v>0</v>
      </c>
      <c r="AI146" s="139">
        <f t="shared" si="18"/>
        <v>0</v>
      </c>
      <c r="AJ146" s="139">
        <f t="shared" si="19"/>
        <v>1.2962962962962963E-2</v>
      </c>
      <c r="AK146" s="94">
        <f>VLOOKUP($D146,Construction!$B:$J,(COLUMN(Construction_BuildingCost_Stone)-COLUMN(Construction_Name_and_Level)+1),FALSE)*(-1)</f>
        <v>0</v>
      </c>
      <c r="AL146" s="94">
        <f>VLOOKUP($D146,Construction!$B:$J,(COLUMN(Construction_BuildingCost_Wood)-COLUMN(Construction_Name_and_Level)+1),FALSE)*(-1)</f>
        <v>-837</v>
      </c>
      <c r="AM146" s="94">
        <f>VLOOKUP($D146,Construction!$B:$J,(COLUMN(Construction_BuildingCost_Ore)-COLUMN(Construction_Name_and_Level)+1),FALSE)*(-1)</f>
        <v>-837</v>
      </c>
      <c r="AN146" s="94">
        <f>VLOOKUP($D146,Construction!$B:$J,(COLUMN(Construction_BuildingCost_Food)-COLUMN(Construction_Name_and_Level)+1),FALSE)*(-1)</f>
        <v>-837</v>
      </c>
    </row>
    <row r="147" spans="2:40" ht="15.75">
      <c r="B147" s="93" t="s">
        <v>144</v>
      </c>
      <c r="C147" s="127" t="s">
        <v>138</v>
      </c>
      <c r="D147" s="144" t="s">
        <v>430</v>
      </c>
      <c r="E147" s="293">
        <v>15</v>
      </c>
      <c r="F147" s="12">
        <v>0.3</v>
      </c>
      <c r="G147" s="94">
        <f>VLOOKUP($D147,Construction!$B:$E,(COLUMN(Construction_BuildingReward_HeroXP)-COLUMN(Construction_Name_and_Level)+1),FALSE)</f>
        <v>400</v>
      </c>
      <c r="H147" s="94">
        <f t="shared" si="15"/>
        <v>520</v>
      </c>
      <c r="J147" s="95">
        <f>VLOOKUP($D147,Construction!$B:$F,(COLUMN(Construction_BuildingReward_Power)-COLUMN(Construction_Name_and_Level)+1),FALSE)</f>
        <v>35</v>
      </c>
      <c r="O147" s="139">
        <v>3.472222222222222E-3</v>
      </c>
      <c r="P147" s="139">
        <v>6.9444444444444441E-3</v>
      </c>
      <c r="AD147" s="137" t="e">
        <f t="shared" si="14"/>
        <v>#REF!</v>
      </c>
      <c r="AE147" s="259">
        <v>0.41</v>
      </c>
      <c r="AF147" s="138">
        <f>VLOOKUP($D147,Construction!$B:$C,(COLUMN(Construction_Time)-COLUMN(Construction_Name_and_Level)+1),FALSE)</f>
        <v>1.2962962962962963E-2</v>
      </c>
      <c r="AG147" s="138">
        <f t="shared" si="16"/>
        <v>9.1935907538744418E-3</v>
      </c>
      <c r="AH147" s="138">
        <f t="shared" si="17"/>
        <v>0</v>
      </c>
      <c r="AI147" s="139">
        <f t="shared" si="18"/>
        <v>0</v>
      </c>
      <c r="AJ147" s="139">
        <f t="shared" si="19"/>
        <v>1.2962962962962963E-2</v>
      </c>
      <c r="AK147" s="94">
        <f>VLOOKUP($D147,Construction!$B:$J,(COLUMN(Construction_BuildingCost_Stone)-COLUMN(Construction_Name_and_Level)+1),FALSE)*(-1)</f>
        <v>0</v>
      </c>
      <c r="AL147" s="94">
        <f>VLOOKUP($D147,Construction!$B:$J,(COLUMN(Construction_BuildingCost_Wood)-COLUMN(Construction_Name_and_Level)+1),FALSE)*(-1)</f>
        <v>-837</v>
      </c>
      <c r="AM147" s="94">
        <f>VLOOKUP($D147,Construction!$B:$J,(COLUMN(Construction_BuildingCost_Ore)-COLUMN(Construction_Name_and_Level)+1),FALSE)*(-1)</f>
        <v>-837</v>
      </c>
      <c r="AN147" s="94">
        <f>VLOOKUP($D147,Construction!$B:$J,(COLUMN(Construction_BuildingCost_Food)-COLUMN(Construction_Name_and_Level)+1),FALSE)*(-1)</f>
        <v>-837</v>
      </c>
    </row>
    <row r="148" spans="2:40" ht="15.75">
      <c r="B148" s="93" t="s">
        <v>144</v>
      </c>
      <c r="C148" s="127" t="s">
        <v>138</v>
      </c>
      <c r="D148" s="144" t="s">
        <v>430</v>
      </c>
      <c r="E148" s="293">
        <v>15</v>
      </c>
      <c r="F148" s="12">
        <v>0.3</v>
      </c>
      <c r="G148" s="94">
        <f>VLOOKUP($D148,Construction!$B:$E,(COLUMN(Construction_BuildingReward_HeroXP)-COLUMN(Construction_Name_and_Level)+1),FALSE)</f>
        <v>400</v>
      </c>
      <c r="H148" s="94">
        <f t="shared" si="15"/>
        <v>520</v>
      </c>
      <c r="J148" s="95">
        <f>VLOOKUP($D148,Construction!$B:$F,(COLUMN(Construction_BuildingReward_Power)-COLUMN(Construction_Name_and_Level)+1),FALSE)</f>
        <v>35</v>
      </c>
      <c r="O148" s="139">
        <v>3.472222222222222E-3</v>
      </c>
      <c r="P148" s="139">
        <v>6.9444444444444441E-3</v>
      </c>
      <c r="AD148" s="137" t="e">
        <f t="shared" si="14"/>
        <v>#REF!</v>
      </c>
      <c r="AE148" s="259">
        <v>0.41</v>
      </c>
      <c r="AF148" s="138">
        <f>VLOOKUP($D148,Construction!$B:$C,(COLUMN(Construction_Time)-COLUMN(Construction_Name_and_Level)+1),FALSE)</f>
        <v>1.2962962962962963E-2</v>
      </c>
      <c r="AG148" s="138">
        <f t="shared" si="16"/>
        <v>9.1935907538744418E-3</v>
      </c>
      <c r="AH148" s="138">
        <f t="shared" si="17"/>
        <v>0</v>
      </c>
      <c r="AI148" s="139">
        <f t="shared" si="18"/>
        <v>0</v>
      </c>
      <c r="AJ148" s="139">
        <f t="shared" si="19"/>
        <v>1.2962962962962963E-2</v>
      </c>
      <c r="AK148" s="94">
        <f>VLOOKUP($D148,Construction!$B:$J,(COLUMN(Construction_BuildingCost_Stone)-COLUMN(Construction_Name_and_Level)+1),FALSE)*(-1)</f>
        <v>0</v>
      </c>
      <c r="AL148" s="94">
        <f>VLOOKUP($D148,Construction!$B:$J,(COLUMN(Construction_BuildingCost_Wood)-COLUMN(Construction_Name_and_Level)+1),FALSE)*(-1)</f>
        <v>-837</v>
      </c>
      <c r="AM148" s="94">
        <f>VLOOKUP($D148,Construction!$B:$J,(COLUMN(Construction_BuildingCost_Ore)-COLUMN(Construction_Name_and_Level)+1),FALSE)*(-1)</f>
        <v>-837</v>
      </c>
      <c r="AN148" s="94">
        <f>VLOOKUP($D148,Construction!$B:$J,(COLUMN(Construction_BuildingCost_Food)-COLUMN(Construction_Name_and_Level)+1),FALSE)*(-1)</f>
        <v>-837</v>
      </c>
    </row>
    <row r="149" spans="2:40" ht="15.75">
      <c r="B149" s="93" t="s">
        <v>144</v>
      </c>
      <c r="C149" s="127" t="s">
        <v>138</v>
      </c>
      <c r="D149" s="144" t="s">
        <v>406</v>
      </c>
      <c r="E149" s="293">
        <v>15</v>
      </c>
      <c r="F149" s="12">
        <v>0.3</v>
      </c>
      <c r="G149" s="94">
        <f>VLOOKUP($D149,Construction!$B:$E,(COLUMN(Construction_BuildingReward_HeroXP)-COLUMN(Construction_Name_and_Level)+1),FALSE)</f>
        <v>25</v>
      </c>
      <c r="H149" s="94">
        <f t="shared" si="15"/>
        <v>32.5</v>
      </c>
      <c r="J149" s="95">
        <f>VLOOKUP($D149,Construction!$B:$F,(COLUMN(Construction_BuildingReward_Power)-COLUMN(Construction_Name_and_Level)+1),FALSE)</f>
        <v>10</v>
      </c>
      <c r="O149" s="139">
        <v>3.472222222222222E-3</v>
      </c>
      <c r="P149" s="139">
        <v>6.9444444444444441E-3</v>
      </c>
      <c r="AD149" s="137" t="e">
        <f t="shared" si="14"/>
        <v>#REF!</v>
      </c>
      <c r="AE149" s="259">
        <v>0.41</v>
      </c>
      <c r="AF149" s="138">
        <f>VLOOKUP($D149,Construction!$B:$C,(COLUMN(Construction_Time)-COLUMN(Construction_Name_and_Level)+1),FALSE)</f>
        <v>1.8518518518518517E-3</v>
      </c>
      <c r="AG149" s="138">
        <f t="shared" si="16"/>
        <v>1.3133701076963487E-3</v>
      </c>
      <c r="AH149" s="138">
        <f t="shared" si="17"/>
        <v>0</v>
      </c>
      <c r="AI149" s="139">
        <f t="shared" si="18"/>
        <v>0</v>
      </c>
      <c r="AJ149" s="139">
        <f t="shared" si="19"/>
        <v>1.8518518518518517E-3</v>
      </c>
      <c r="AK149" s="94">
        <f>VLOOKUP($D149,Construction!$B:$J,(COLUMN(Construction_BuildingCost_Stone)-COLUMN(Construction_Name_and_Level)+1),FALSE)*(-1)</f>
        <v>-170</v>
      </c>
      <c r="AL149" s="94">
        <f>VLOOKUP($D149,Construction!$B:$J,(COLUMN(Construction_BuildingCost_Wood)-COLUMN(Construction_Name_and_Level)+1),FALSE)*(-1)</f>
        <v>-170</v>
      </c>
      <c r="AM149" s="94">
        <f>VLOOKUP($D149,Construction!$B:$J,(COLUMN(Construction_BuildingCost_Ore)-COLUMN(Construction_Name_and_Level)+1),FALSE)*(-1)</f>
        <v>0</v>
      </c>
      <c r="AN149" s="94">
        <f>VLOOKUP($D149,Construction!$B:$J,(COLUMN(Construction_BuildingCost_Food)-COLUMN(Construction_Name_and_Level)+1),FALSE)*(-1)</f>
        <v>-170</v>
      </c>
    </row>
    <row r="150" spans="2:40" ht="15.75">
      <c r="B150" s="93" t="s">
        <v>144</v>
      </c>
      <c r="C150" s="127" t="s">
        <v>138</v>
      </c>
      <c r="D150" s="144" t="s">
        <v>406</v>
      </c>
      <c r="E150" s="293">
        <v>15</v>
      </c>
      <c r="F150" s="12">
        <v>0.3</v>
      </c>
      <c r="G150" s="94">
        <f>VLOOKUP($D150,Construction!$B:$E,(COLUMN(Construction_BuildingReward_HeroXP)-COLUMN(Construction_Name_and_Level)+1),FALSE)</f>
        <v>25</v>
      </c>
      <c r="H150" s="94">
        <f t="shared" si="15"/>
        <v>32.5</v>
      </c>
      <c r="J150" s="95">
        <f>VLOOKUP($D150,Construction!$B:$F,(COLUMN(Construction_BuildingReward_Power)-COLUMN(Construction_Name_and_Level)+1),FALSE)</f>
        <v>10</v>
      </c>
      <c r="O150" s="139">
        <v>3.472222222222222E-3</v>
      </c>
      <c r="P150" s="139">
        <v>6.9444444444444441E-3</v>
      </c>
      <c r="AD150" s="137" t="e">
        <f t="shared" si="14"/>
        <v>#REF!</v>
      </c>
      <c r="AE150" s="259">
        <v>0.41</v>
      </c>
      <c r="AF150" s="138">
        <f>VLOOKUP($D150,Construction!$B:$C,(COLUMN(Construction_Time)-COLUMN(Construction_Name_and_Level)+1),FALSE)</f>
        <v>1.8518518518518517E-3</v>
      </c>
      <c r="AG150" s="138">
        <f t="shared" si="16"/>
        <v>1.3133701076963487E-3</v>
      </c>
      <c r="AH150" s="138">
        <f t="shared" si="17"/>
        <v>0</v>
      </c>
      <c r="AI150" s="139">
        <f t="shared" si="18"/>
        <v>0</v>
      </c>
      <c r="AJ150" s="139">
        <f t="shared" si="19"/>
        <v>1.8518518518518517E-3</v>
      </c>
      <c r="AK150" s="94">
        <f>VLOOKUP($D150,Construction!$B:$J,(COLUMN(Construction_BuildingCost_Stone)-COLUMN(Construction_Name_and_Level)+1),FALSE)*(-1)</f>
        <v>-170</v>
      </c>
      <c r="AL150" s="94">
        <f>VLOOKUP($D150,Construction!$B:$J,(COLUMN(Construction_BuildingCost_Wood)-COLUMN(Construction_Name_and_Level)+1),FALSE)*(-1)</f>
        <v>-170</v>
      </c>
      <c r="AM150" s="94">
        <f>VLOOKUP($D150,Construction!$B:$J,(COLUMN(Construction_BuildingCost_Ore)-COLUMN(Construction_Name_and_Level)+1),FALSE)*(-1)</f>
        <v>0</v>
      </c>
      <c r="AN150" s="94">
        <f>VLOOKUP($D150,Construction!$B:$J,(COLUMN(Construction_BuildingCost_Food)-COLUMN(Construction_Name_and_Level)+1),FALSE)*(-1)</f>
        <v>-170</v>
      </c>
    </row>
    <row r="151" spans="2:40" ht="15.75">
      <c r="B151" s="93" t="s">
        <v>144</v>
      </c>
      <c r="C151" s="127" t="s">
        <v>138</v>
      </c>
      <c r="D151" s="144" t="s">
        <v>406</v>
      </c>
      <c r="E151" s="293">
        <v>15</v>
      </c>
      <c r="F151" s="12">
        <v>0.3</v>
      </c>
      <c r="G151" s="94">
        <f>VLOOKUP($D151,Construction!$B:$E,(COLUMN(Construction_BuildingReward_HeroXP)-COLUMN(Construction_Name_and_Level)+1),FALSE)</f>
        <v>25</v>
      </c>
      <c r="H151" s="94">
        <f t="shared" si="15"/>
        <v>32.5</v>
      </c>
      <c r="J151" s="95">
        <f>VLOOKUP($D151,Construction!$B:$F,(COLUMN(Construction_BuildingReward_Power)-COLUMN(Construction_Name_and_Level)+1),FALSE)</f>
        <v>10</v>
      </c>
      <c r="O151" s="139">
        <v>3.472222222222222E-3</v>
      </c>
      <c r="P151" s="139">
        <v>6.9444444444444441E-3</v>
      </c>
      <c r="AD151" s="137" t="e">
        <f t="shared" si="14"/>
        <v>#REF!</v>
      </c>
      <c r="AE151" s="259">
        <v>0.41</v>
      </c>
      <c r="AF151" s="138">
        <f>VLOOKUP($D151,Construction!$B:$C,(COLUMN(Construction_Time)-COLUMN(Construction_Name_and_Level)+1),FALSE)</f>
        <v>1.8518518518518517E-3</v>
      </c>
      <c r="AG151" s="138">
        <f t="shared" si="16"/>
        <v>1.3133701076963487E-3</v>
      </c>
      <c r="AH151" s="138">
        <f t="shared" si="17"/>
        <v>0</v>
      </c>
      <c r="AI151" s="139">
        <f t="shared" si="18"/>
        <v>0</v>
      </c>
      <c r="AJ151" s="139">
        <f t="shared" si="19"/>
        <v>1.8518518518518517E-3</v>
      </c>
      <c r="AK151" s="94">
        <f>VLOOKUP($D151,Construction!$B:$J,(COLUMN(Construction_BuildingCost_Stone)-COLUMN(Construction_Name_and_Level)+1),FALSE)*(-1)</f>
        <v>-170</v>
      </c>
      <c r="AL151" s="94">
        <f>VLOOKUP($D151,Construction!$B:$J,(COLUMN(Construction_BuildingCost_Wood)-COLUMN(Construction_Name_and_Level)+1),FALSE)*(-1)</f>
        <v>-170</v>
      </c>
      <c r="AM151" s="94">
        <f>VLOOKUP($D151,Construction!$B:$J,(COLUMN(Construction_BuildingCost_Ore)-COLUMN(Construction_Name_and_Level)+1),FALSE)*(-1)</f>
        <v>0</v>
      </c>
      <c r="AN151" s="94">
        <f>VLOOKUP($D151,Construction!$B:$J,(COLUMN(Construction_BuildingCost_Food)-COLUMN(Construction_Name_and_Level)+1),FALSE)*(-1)</f>
        <v>-170</v>
      </c>
    </row>
    <row r="152" spans="2:40" ht="15.75">
      <c r="B152" s="93" t="s">
        <v>144</v>
      </c>
      <c r="C152" s="127" t="s">
        <v>138</v>
      </c>
      <c r="D152" s="144" t="s">
        <v>447</v>
      </c>
      <c r="E152" s="293">
        <v>15</v>
      </c>
      <c r="F152" s="12">
        <v>0.3</v>
      </c>
      <c r="G152" s="94">
        <f>VLOOKUP($D152,Construction!$B:$E,(COLUMN(Construction_BuildingReward_HeroXP)-COLUMN(Construction_Name_and_Level)+1),FALSE)</f>
        <v>50</v>
      </c>
      <c r="H152" s="94">
        <f t="shared" si="15"/>
        <v>65</v>
      </c>
      <c r="J152" s="95">
        <f>VLOOKUP($D152,Construction!$B:$F,(COLUMN(Construction_BuildingReward_Power)-COLUMN(Construction_Name_and_Level)+1),FALSE)</f>
        <v>15</v>
      </c>
      <c r="O152" s="139">
        <v>3.472222222222222E-3</v>
      </c>
      <c r="P152" s="139">
        <v>6.9444444444444441E-3</v>
      </c>
      <c r="AD152" s="137" t="e">
        <f t="shared" si="14"/>
        <v>#REF!</v>
      </c>
      <c r="AE152" s="259">
        <v>0.41</v>
      </c>
      <c r="AF152" s="138">
        <f>VLOOKUP($D152,Construction!$B:$C,(COLUMN(Construction_Time)-COLUMN(Construction_Name_and_Level)+1),FALSE)</f>
        <v>3.7037037037037034E-3</v>
      </c>
      <c r="AG152" s="138">
        <f t="shared" si="16"/>
        <v>2.6267402153926974E-3</v>
      </c>
      <c r="AH152" s="138">
        <f t="shared" si="17"/>
        <v>0</v>
      </c>
      <c r="AI152" s="139">
        <f t="shared" si="18"/>
        <v>0</v>
      </c>
      <c r="AJ152" s="139">
        <f t="shared" si="19"/>
        <v>3.7037037037037034E-3</v>
      </c>
      <c r="AK152" s="94">
        <f>VLOOKUP($D152,Construction!$B:$J,(COLUMN(Construction_BuildingCost_Stone)-COLUMN(Construction_Name_and_Level)+1),FALSE)*(-1)</f>
        <v>-289</v>
      </c>
      <c r="AL152" s="94">
        <f>VLOOKUP($D152,Construction!$B:$J,(COLUMN(Construction_BuildingCost_Wood)-COLUMN(Construction_Name_and_Level)+1),FALSE)*(-1)</f>
        <v>-289</v>
      </c>
      <c r="AM152" s="94">
        <f>VLOOKUP($D152,Construction!$B:$J,(COLUMN(Construction_BuildingCost_Ore)-COLUMN(Construction_Name_and_Level)+1),FALSE)*(-1)</f>
        <v>0</v>
      </c>
      <c r="AN152" s="94">
        <f>VLOOKUP($D152,Construction!$B:$J,(COLUMN(Construction_BuildingCost_Food)-COLUMN(Construction_Name_and_Level)+1),FALSE)*(-1)</f>
        <v>-289</v>
      </c>
    </row>
    <row r="153" spans="2:40" ht="15.75">
      <c r="B153" s="93" t="s">
        <v>144</v>
      </c>
      <c r="C153" s="127" t="s">
        <v>138</v>
      </c>
      <c r="D153" s="144" t="s">
        <v>447</v>
      </c>
      <c r="E153" s="293">
        <v>15</v>
      </c>
      <c r="F153" s="12">
        <v>0.3</v>
      </c>
      <c r="G153" s="94">
        <f>VLOOKUP($D153,Construction!$B:$E,(COLUMN(Construction_BuildingReward_HeroXP)-COLUMN(Construction_Name_and_Level)+1),FALSE)</f>
        <v>50</v>
      </c>
      <c r="H153" s="94">
        <f t="shared" si="15"/>
        <v>65</v>
      </c>
      <c r="J153" s="95">
        <f>VLOOKUP($D153,Construction!$B:$F,(COLUMN(Construction_BuildingReward_Power)-COLUMN(Construction_Name_and_Level)+1),FALSE)</f>
        <v>15</v>
      </c>
      <c r="O153" s="139">
        <v>3.472222222222222E-3</v>
      </c>
      <c r="P153" s="139">
        <v>6.9444444444444441E-3</v>
      </c>
      <c r="AD153" s="137" t="e">
        <f t="shared" si="14"/>
        <v>#REF!</v>
      </c>
      <c r="AE153" s="259">
        <v>0.41</v>
      </c>
      <c r="AF153" s="138">
        <f>VLOOKUP($D153,Construction!$B:$C,(COLUMN(Construction_Time)-COLUMN(Construction_Name_and_Level)+1),FALSE)</f>
        <v>3.7037037037037034E-3</v>
      </c>
      <c r="AG153" s="138">
        <f t="shared" si="16"/>
        <v>2.6267402153926974E-3</v>
      </c>
      <c r="AH153" s="138">
        <f t="shared" si="17"/>
        <v>0</v>
      </c>
      <c r="AI153" s="139">
        <f t="shared" si="18"/>
        <v>0</v>
      </c>
      <c r="AJ153" s="139">
        <f t="shared" si="19"/>
        <v>3.7037037037037034E-3</v>
      </c>
      <c r="AK153" s="94">
        <f>VLOOKUP($D153,Construction!$B:$J,(COLUMN(Construction_BuildingCost_Stone)-COLUMN(Construction_Name_and_Level)+1),FALSE)*(-1)</f>
        <v>-289</v>
      </c>
      <c r="AL153" s="94">
        <f>VLOOKUP($D153,Construction!$B:$J,(COLUMN(Construction_BuildingCost_Wood)-COLUMN(Construction_Name_and_Level)+1),FALSE)*(-1)</f>
        <v>-289</v>
      </c>
      <c r="AM153" s="94">
        <f>VLOOKUP($D153,Construction!$B:$J,(COLUMN(Construction_BuildingCost_Ore)-COLUMN(Construction_Name_and_Level)+1),FALSE)*(-1)</f>
        <v>0</v>
      </c>
      <c r="AN153" s="94">
        <f>VLOOKUP($D153,Construction!$B:$J,(COLUMN(Construction_BuildingCost_Food)-COLUMN(Construction_Name_and_Level)+1),FALSE)*(-1)</f>
        <v>-289</v>
      </c>
    </row>
    <row r="154" spans="2:40" ht="15.75">
      <c r="B154" s="93" t="s">
        <v>144</v>
      </c>
      <c r="C154" s="127" t="s">
        <v>138</v>
      </c>
      <c r="D154" s="144" t="s">
        <v>447</v>
      </c>
      <c r="E154" s="293">
        <v>15</v>
      </c>
      <c r="F154" s="12">
        <v>0.3</v>
      </c>
      <c r="G154" s="94">
        <f>VLOOKUP($D154,Construction!$B:$E,(COLUMN(Construction_BuildingReward_HeroXP)-COLUMN(Construction_Name_and_Level)+1),FALSE)</f>
        <v>50</v>
      </c>
      <c r="H154" s="94">
        <f t="shared" si="15"/>
        <v>65</v>
      </c>
      <c r="J154" s="95">
        <f>VLOOKUP($D154,Construction!$B:$F,(COLUMN(Construction_BuildingReward_Power)-COLUMN(Construction_Name_and_Level)+1),FALSE)</f>
        <v>15</v>
      </c>
      <c r="O154" s="139">
        <v>3.472222222222222E-3</v>
      </c>
      <c r="P154" s="139">
        <v>6.9444444444444441E-3</v>
      </c>
      <c r="AD154" s="137" t="e">
        <f t="shared" si="14"/>
        <v>#REF!</v>
      </c>
      <c r="AE154" s="259">
        <v>0.41</v>
      </c>
      <c r="AF154" s="138">
        <f>VLOOKUP($D154,Construction!$B:$C,(COLUMN(Construction_Time)-COLUMN(Construction_Name_and_Level)+1),FALSE)</f>
        <v>3.7037037037037034E-3</v>
      </c>
      <c r="AG154" s="138">
        <f t="shared" si="16"/>
        <v>2.6267402153926974E-3</v>
      </c>
      <c r="AH154" s="138">
        <f t="shared" si="17"/>
        <v>0</v>
      </c>
      <c r="AI154" s="139">
        <f t="shared" si="18"/>
        <v>0</v>
      </c>
      <c r="AJ154" s="139">
        <f t="shared" si="19"/>
        <v>3.7037037037037034E-3</v>
      </c>
      <c r="AK154" s="94">
        <f>VLOOKUP($D154,Construction!$B:$J,(COLUMN(Construction_BuildingCost_Stone)-COLUMN(Construction_Name_and_Level)+1),FALSE)*(-1)</f>
        <v>-289</v>
      </c>
      <c r="AL154" s="94">
        <f>VLOOKUP($D154,Construction!$B:$J,(COLUMN(Construction_BuildingCost_Wood)-COLUMN(Construction_Name_and_Level)+1),FALSE)*(-1)</f>
        <v>-289</v>
      </c>
      <c r="AM154" s="94">
        <f>VLOOKUP($D154,Construction!$B:$J,(COLUMN(Construction_BuildingCost_Ore)-COLUMN(Construction_Name_and_Level)+1),FALSE)*(-1)</f>
        <v>0</v>
      </c>
      <c r="AN154" s="94">
        <f>VLOOKUP($D154,Construction!$B:$J,(COLUMN(Construction_BuildingCost_Food)-COLUMN(Construction_Name_and_Level)+1),FALSE)*(-1)</f>
        <v>-289</v>
      </c>
    </row>
    <row r="155" spans="2:40" ht="15.75">
      <c r="B155" s="93" t="s">
        <v>144</v>
      </c>
      <c r="C155" s="127" t="s">
        <v>138</v>
      </c>
      <c r="D155" s="144" t="s">
        <v>448</v>
      </c>
      <c r="E155" s="293">
        <v>15</v>
      </c>
      <c r="F155" s="12">
        <v>0.3</v>
      </c>
      <c r="G155" s="94">
        <f>VLOOKUP($D155,Construction!$B:$E,(COLUMN(Construction_BuildingReward_HeroXP)-COLUMN(Construction_Name_and_Level)+1),FALSE)</f>
        <v>200</v>
      </c>
      <c r="H155" s="94">
        <f t="shared" si="15"/>
        <v>260</v>
      </c>
      <c r="J155" s="95">
        <f>VLOOKUP($D155,Construction!$B:$F,(COLUMN(Construction_BuildingReward_Power)-COLUMN(Construction_Name_and_Level)+1),FALSE)</f>
        <v>25</v>
      </c>
      <c r="O155" s="139">
        <v>3.472222222222222E-3</v>
      </c>
      <c r="P155" s="139">
        <v>6.9444444444444441E-3</v>
      </c>
      <c r="AD155" s="137" t="e">
        <f t="shared" ref="AD155:AD173" si="20">AD154+(Q$3*Q155+R$3*R155+S$3*S155+T$3*T155+U$3*U155+V$3*V155+W$3*W155+X$3*X155+Y$3*Y155+Z$3*Z155+AA$3*AA155)</f>
        <v>#REF!</v>
      </c>
      <c r="AE155" s="259">
        <v>0.41</v>
      </c>
      <c r="AF155" s="138">
        <f>VLOOKUP($D155,Construction!$B:$C,(COLUMN(Construction_Time)-COLUMN(Construction_Name_and_Level)+1),FALSE)</f>
        <v>7.4074074074074068E-3</v>
      </c>
      <c r="AG155" s="138">
        <f t="shared" si="16"/>
        <v>5.2534804307853948E-3</v>
      </c>
      <c r="AH155" s="138">
        <f t="shared" si="17"/>
        <v>0</v>
      </c>
      <c r="AI155" s="139">
        <f t="shared" si="18"/>
        <v>0</v>
      </c>
      <c r="AJ155" s="139">
        <f t="shared" si="19"/>
        <v>7.4074074074074068E-3</v>
      </c>
      <c r="AK155" s="94">
        <f>VLOOKUP($D155,Construction!$B:$J,(COLUMN(Construction_BuildingCost_Stone)-COLUMN(Construction_Name_and_Level)+1),FALSE)*(-1)</f>
        <v>-492</v>
      </c>
      <c r="AL155" s="94">
        <f>VLOOKUP($D155,Construction!$B:$J,(COLUMN(Construction_BuildingCost_Wood)-COLUMN(Construction_Name_and_Level)+1),FALSE)*(-1)</f>
        <v>-492</v>
      </c>
      <c r="AM155" s="94">
        <f>VLOOKUP($D155,Construction!$B:$J,(COLUMN(Construction_BuildingCost_Ore)-COLUMN(Construction_Name_and_Level)+1),FALSE)*(-1)</f>
        <v>0</v>
      </c>
      <c r="AN155" s="94">
        <f>VLOOKUP($D155,Construction!$B:$J,(COLUMN(Construction_BuildingCost_Food)-COLUMN(Construction_Name_and_Level)+1),FALSE)*(-1)</f>
        <v>-492</v>
      </c>
    </row>
    <row r="156" spans="2:40" ht="15.75">
      <c r="B156" s="93" t="s">
        <v>144</v>
      </c>
      <c r="C156" s="127" t="s">
        <v>138</v>
      </c>
      <c r="D156" s="144" t="s">
        <v>448</v>
      </c>
      <c r="E156" s="293">
        <v>15</v>
      </c>
      <c r="F156" s="12">
        <v>0.3</v>
      </c>
      <c r="G156" s="94">
        <f>VLOOKUP($D156,Construction!$B:$E,(COLUMN(Construction_BuildingReward_HeroXP)-COLUMN(Construction_Name_and_Level)+1),FALSE)</f>
        <v>200</v>
      </c>
      <c r="H156" s="94">
        <f t="shared" si="15"/>
        <v>260</v>
      </c>
      <c r="J156" s="95">
        <f>VLOOKUP($D156,Construction!$B:$F,(COLUMN(Construction_BuildingReward_Power)-COLUMN(Construction_Name_and_Level)+1),FALSE)</f>
        <v>25</v>
      </c>
      <c r="O156" s="139">
        <v>3.472222222222222E-3</v>
      </c>
      <c r="P156" s="139">
        <v>6.9444444444444441E-3</v>
      </c>
      <c r="AD156" s="137" t="e">
        <f t="shared" si="20"/>
        <v>#REF!</v>
      </c>
      <c r="AE156" s="259">
        <v>0.41</v>
      </c>
      <c r="AF156" s="138">
        <f>VLOOKUP($D156,Construction!$B:$C,(COLUMN(Construction_Time)-COLUMN(Construction_Name_and_Level)+1),FALSE)</f>
        <v>7.4074074074074068E-3</v>
      </c>
      <c r="AG156" s="138">
        <f t="shared" si="16"/>
        <v>5.2534804307853948E-3</v>
      </c>
      <c r="AH156" s="138">
        <f t="shared" si="17"/>
        <v>0</v>
      </c>
      <c r="AI156" s="139">
        <f t="shared" si="18"/>
        <v>0</v>
      </c>
      <c r="AJ156" s="139">
        <f t="shared" si="19"/>
        <v>7.4074074074074068E-3</v>
      </c>
      <c r="AK156" s="94">
        <f>VLOOKUP($D156,Construction!$B:$J,(COLUMN(Construction_BuildingCost_Stone)-COLUMN(Construction_Name_and_Level)+1),FALSE)*(-1)</f>
        <v>-492</v>
      </c>
      <c r="AL156" s="94">
        <f>VLOOKUP($D156,Construction!$B:$J,(COLUMN(Construction_BuildingCost_Wood)-COLUMN(Construction_Name_and_Level)+1),FALSE)*(-1)</f>
        <v>-492</v>
      </c>
      <c r="AM156" s="94">
        <f>VLOOKUP($D156,Construction!$B:$J,(COLUMN(Construction_BuildingCost_Ore)-COLUMN(Construction_Name_and_Level)+1),FALSE)*(-1)</f>
        <v>0</v>
      </c>
      <c r="AN156" s="94">
        <f>VLOOKUP($D156,Construction!$B:$J,(COLUMN(Construction_BuildingCost_Food)-COLUMN(Construction_Name_and_Level)+1),FALSE)*(-1)</f>
        <v>-492</v>
      </c>
    </row>
    <row r="157" spans="2:40" ht="15.75">
      <c r="B157" s="93" t="s">
        <v>144</v>
      </c>
      <c r="C157" s="127" t="s">
        <v>138</v>
      </c>
      <c r="D157" s="144" t="s">
        <v>448</v>
      </c>
      <c r="E157" s="293">
        <v>15</v>
      </c>
      <c r="F157" s="12">
        <v>0.3</v>
      </c>
      <c r="G157" s="94">
        <f>VLOOKUP($D157,Construction!$B:$E,(COLUMN(Construction_BuildingReward_HeroXP)-COLUMN(Construction_Name_and_Level)+1),FALSE)</f>
        <v>200</v>
      </c>
      <c r="H157" s="94">
        <f t="shared" si="15"/>
        <v>260</v>
      </c>
      <c r="J157" s="95">
        <f>VLOOKUP($D157,Construction!$B:$F,(COLUMN(Construction_BuildingReward_Power)-COLUMN(Construction_Name_and_Level)+1),FALSE)</f>
        <v>25</v>
      </c>
      <c r="O157" s="139">
        <v>3.472222222222222E-3</v>
      </c>
      <c r="P157" s="139">
        <v>6.9444444444444441E-3</v>
      </c>
      <c r="AD157" s="137" t="e">
        <f t="shared" si="20"/>
        <v>#REF!</v>
      </c>
      <c r="AE157" s="259">
        <v>0.41</v>
      </c>
      <c r="AF157" s="138">
        <f>VLOOKUP($D157,Construction!$B:$C,(COLUMN(Construction_Time)-COLUMN(Construction_Name_and_Level)+1),FALSE)</f>
        <v>7.4074074074074068E-3</v>
      </c>
      <c r="AG157" s="138">
        <f t="shared" si="16"/>
        <v>5.2534804307853948E-3</v>
      </c>
      <c r="AH157" s="138">
        <f t="shared" si="17"/>
        <v>0</v>
      </c>
      <c r="AI157" s="139">
        <f t="shared" si="18"/>
        <v>0</v>
      </c>
      <c r="AJ157" s="139">
        <f t="shared" si="19"/>
        <v>7.4074074074074068E-3</v>
      </c>
      <c r="AK157" s="94">
        <f>VLOOKUP($D157,Construction!$B:$J,(COLUMN(Construction_BuildingCost_Stone)-COLUMN(Construction_Name_and_Level)+1),FALSE)*(-1)</f>
        <v>-492</v>
      </c>
      <c r="AL157" s="94">
        <f>VLOOKUP($D157,Construction!$B:$J,(COLUMN(Construction_BuildingCost_Wood)-COLUMN(Construction_Name_and_Level)+1),FALSE)*(-1)</f>
        <v>-492</v>
      </c>
      <c r="AM157" s="94">
        <f>VLOOKUP($D157,Construction!$B:$J,(COLUMN(Construction_BuildingCost_Ore)-COLUMN(Construction_Name_and_Level)+1),FALSE)*(-1)</f>
        <v>0</v>
      </c>
      <c r="AN157" s="94">
        <f>VLOOKUP($D157,Construction!$B:$J,(COLUMN(Construction_BuildingCost_Food)-COLUMN(Construction_Name_and_Level)+1),FALSE)*(-1)</f>
        <v>-492</v>
      </c>
    </row>
    <row r="158" spans="2:40" ht="15.75">
      <c r="B158" s="93" t="s">
        <v>144</v>
      </c>
      <c r="C158" s="127" t="s">
        <v>138</v>
      </c>
      <c r="D158" s="144" t="s">
        <v>449</v>
      </c>
      <c r="E158" s="293">
        <v>15</v>
      </c>
      <c r="F158" s="12">
        <v>0.3</v>
      </c>
      <c r="G158" s="94">
        <f>VLOOKUP($D158,Construction!$B:$E,(COLUMN(Construction_BuildingReward_HeroXP)-COLUMN(Construction_Name_and_Level)+1),FALSE)</f>
        <v>400</v>
      </c>
      <c r="H158" s="94">
        <f t="shared" si="15"/>
        <v>520</v>
      </c>
      <c r="J158" s="95">
        <f>VLOOKUP($D158,Construction!$B:$F,(COLUMN(Construction_BuildingReward_Power)-COLUMN(Construction_Name_and_Level)+1),FALSE)</f>
        <v>35</v>
      </c>
      <c r="O158" s="139">
        <v>3.472222222222222E-3</v>
      </c>
      <c r="P158" s="139">
        <v>6.9444444444444441E-3</v>
      </c>
      <c r="AD158" s="137" t="e">
        <f t="shared" si="20"/>
        <v>#REF!</v>
      </c>
      <c r="AE158" s="259">
        <v>0.41</v>
      </c>
      <c r="AF158" s="138">
        <f>VLOOKUP($D158,Construction!$B:$C,(COLUMN(Construction_Time)-COLUMN(Construction_Name_and_Level)+1),FALSE)</f>
        <v>1.4814814814814814E-2</v>
      </c>
      <c r="AG158" s="138">
        <f t="shared" si="16"/>
        <v>1.050696086157079E-2</v>
      </c>
      <c r="AH158" s="138">
        <f t="shared" si="17"/>
        <v>0</v>
      </c>
      <c r="AI158" s="139">
        <f t="shared" si="18"/>
        <v>9.0294194904123534E-5</v>
      </c>
      <c r="AJ158" s="139">
        <f t="shared" si="19"/>
        <v>1.472452061991069E-2</v>
      </c>
      <c r="AK158" s="94">
        <f>VLOOKUP($D158,Construction!$B:$J,(COLUMN(Construction_BuildingCost_Stone)-COLUMN(Construction_Name_and_Level)+1),FALSE)*(-1)</f>
        <v>-837</v>
      </c>
      <c r="AL158" s="94">
        <f>VLOOKUP($D158,Construction!$B:$J,(COLUMN(Construction_BuildingCost_Wood)-COLUMN(Construction_Name_and_Level)+1),FALSE)*(-1)</f>
        <v>-837</v>
      </c>
      <c r="AM158" s="94">
        <f>VLOOKUP($D158,Construction!$B:$J,(COLUMN(Construction_BuildingCost_Ore)-COLUMN(Construction_Name_and_Level)+1),FALSE)*(-1)</f>
        <v>0</v>
      </c>
      <c r="AN158" s="94">
        <f>VLOOKUP($D158,Construction!$B:$J,(COLUMN(Construction_BuildingCost_Food)-COLUMN(Construction_Name_and_Level)+1),FALSE)*(-1)</f>
        <v>-837</v>
      </c>
    </row>
    <row r="159" spans="2:40" ht="15.75">
      <c r="B159" s="93" t="s">
        <v>144</v>
      </c>
      <c r="C159" s="127" t="s">
        <v>138</v>
      </c>
      <c r="D159" s="144" t="s">
        <v>449</v>
      </c>
      <c r="E159" s="293">
        <v>15</v>
      </c>
      <c r="F159" s="12">
        <v>0.3</v>
      </c>
      <c r="G159" s="94">
        <f>VLOOKUP($D159,Construction!$B:$E,(COLUMN(Construction_BuildingReward_HeroXP)-COLUMN(Construction_Name_and_Level)+1),FALSE)</f>
        <v>400</v>
      </c>
      <c r="H159" s="94">
        <f t="shared" si="15"/>
        <v>520</v>
      </c>
      <c r="J159" s="95">
        <f>VLOOKUP($D159,Construction!$B:$F,(COLUMN(Construction_BuildingReward_Power)-COLUMN(Construction_Name_and_Level)+1),FALSE)</f>
        <v>35</v>
      </c>
      <c r="O159" s="139">
        <v>3.472222222222222E-3</v>
      </c>
      <c r="P159" s="139">
        <v>6.9444444444444441E-3</v>
      </c>
      <c r="AD159" s="137" t="e">
        <f t="shared" si="20"/>
        <v>#REF!</v>
      </c>
      <c r="AE159" s="259">
        <v>0.41</v>
      </c>
      <c r="AF159" s="138">
        <f>VLOOKUP($D159,Construction!$B:$C,(COLUMN(Construction_Time)-COLUMN(Construction_Name_and_Level)+1),FALSE)</f>
        <v>1.4814814814814814E-2</v>
      </c>
      <c r="AG159" s="138">
        <f t="shared" si="16"/>
        <v>1.050696086157079E-2</v>
      </c>
      <c r="AH159" s="138">
        <f t="shared" si="17"/>
        <v>0</v>
      </c>
      <c r="AI159" s="139">
        <f t="shared" si="18"/>
        <v>9.0294194904123534E-5</v>
      </c>
      <c r="AJ159" s="139">
        <f t="shared" si="19"/>
        <v>1.472452061991069E-2</v>
      </c>
      <c r="AK159" s="94">
        <f>VLOOKUP($D159,Construction!$B:$J,(COLUMN(Construction_BuildingCost_Stone)-COLUMN(Construction_Name_and_Level)+1),FALSE)*(-1)</f>
        <v>-837</v>
      </c>
      <c r="AL159" s="94">
        <f>VLOOKUP($D159,Construction!$B:$J,(COLUMN(Construction_BuildingCost_Wood)-COLUMN(Construction_Name_and_Level)+1),FALSE)*(-1)</f>
        <v>-837</v>
      </c>
      <c r="AM159" s="94">
        <f>VLOOKUP($D159,Construction!$B:$J,(COLUMN(Construction_BuildingCost_Ore)-COLUMN(Construction_Name_and_Level)+1),FALSE)*(-1)</f>
        <v>0</v>
      </c>
      <c r="AN159" s="94">
        <f>VLOOKUP($D159,Construction!$B:$J,(COLUMN(Construction_BuildingCost_Food)-COLUMN(Construction_Name_and_Level)+1),FALSE)*(-1)</f>
        <v>-837</v>
      </c>
    </row>
    <row r="160" spans="2:40" ht="15.75">
      <c r="B160" s="93" t="s">
        <v>144</v>
      </c>
      <c r="C160" s="127" t="s">
        <v>138</v>
      </c>
      <c r="D160" s="144" t="s">
        <v>449</v>
      </c>
      <c r="E160" s="293">
        <v>15</v>
      </c>
      <c r="F160" s="12">
        <v>0.3</v>
      </c>
      <c r="G160" s="94">
        <f>VLOOKUP($D160,Construction!$B:$E,(COLUMN(Construction_BuildingReward_HeroXP)-COLUMN(Construction_Name_and_Level)+1),FALSE)</f>
        <v>400</v>
      </c>
      <c r="H160" s="94">
        <f t="shared" si="15"/>
        <v>520</v>
      </c>
      <c r="J160" s="95">
        <f>VLOOKUP($D160,Construction!$B:$F,(COLUMN(Construction_BuildingReward_Power)-COLUMN(Construction_Name_and_Level)+1),FALSE)</f>
        <v>35</v>
      </c>
      <c r="O160" s="139">
        <v>3.472222222222222E-3</v>
      </c>
      <c r="P160" s="139">
        <v>6.9444444444444441E-3</v>
      </c>
      <c r="AD160" s="137" t="e">
        <f t="shared" si="20"/>
        <v>#REF!</v>
      </c>
      <c r="AE160" s="259">
        <v>0.41</v>
      </c>
      <c r="AF160" s="138">
        <f>VLOOKUP($D160,Construction!$B:$C,(COLUMN(Construction_Time)-COLUMN(Construction_Name_and_Level)+1),FALSE)</f>
        <v>1.4814814814814814E-2</v>
      </c>
      <c r="AG160" s="138">
        <f t="shared" si="16"/>
        <v>1.050696086157079E-2</v>
      </c>
      <c r="AH160" s="138">
        <f t="shared" si="17"/>
        <v>0</v>
      </c>
      <c r="AI160" s="139">
        <f t="shared" si="18"/>
        <v>9.0294194904123534E-5</v>
      </c>
      <c r="AJ160" s="139">
        <f t="shared" si="19"/>
        <v>1.472452061991069E-2</v>
      </c>
      <c r="AK160" s="94">
        <f>VLOOKUP($D160,Construction!$B:$J,(COLUMN(Construction_BuildingCost_Stone)-COLUMN(Construction_Name_and_Level)+1),FALSE)*(-1)</f>
        <v>-837</v>
      </c>
      <c r="AL160" s="94">
        <f>VLOOKUP($D160,Construction!$B:$J,(COLUMN(Construction_BuildingCost_Wood)-COLUMN(Construction_Name_and_Level)+1),FALSE)*(-1)</f>
        <v>-837</v>
      </c>
      <c r="AM160" s="94">
        <f>VLOOKUP($D160,Construction!$B:$J,(COLUMN(Construction_BuildingCost_Ore)-COLUMN(Construction_Name_and_Level)+1),FALSE)*(-1)</f>
        <v>0</v>
      </c>
      <c r="AN160" s="94">
        <f>VLOOKUP($D160,Construction!$B:$J,(COLUMN(Construction_BuildingCost_Food)-COLUMN(Construction_Name_and_Level)+1),FALSE)*(-1)</f>
        <v>-837</v>
      </c>
    </row>
    <row r="161" spans="2:40" ht="15.75">
      <c r="B161" s="93" t="s">
        <v>144</v>
      </c>
      <c r="C161" s="127" t="s">
        <v>138</v>
      </c>
      <c r="D161" s="144" t="s">
        <v>758</v>
      </c>
      <c r="E161" s="293">
        <v>15</v>
      </c>
      <c r="F161" s="12">
        <v>0.3</v>
      </c>
      <c r="G161" s="94">
        <f>VLOOKUP($D161,Construction!$B:$E,(COLUMN(Construction_BuildingReward_HeroXP)-COLUMN(Construction_Name_and_Level)+1),FALSE)</f>
        <v>500</v>
      </c>
      <c r="H161" s="94">
        <f t="shared" si="15"/>
        <v>650</v>
      </c>
      <c r="J161" s="95">
        <f>VLOOKUP($D161,Construction!$B:$F,(COLUMN(Construction_BuildingReward_Power)-COLUMN(Construction_Name_and_Level)+1),FALSE)</f>
        <v>55</v>
      </c>
      <c r="O161" s="139">
        <v>3.472222222222222E-3</v>
      </c>
      <c r="P161" s="139">
        <v>6.9444444444444441E-3</v>
      </c>
      <c r="AD161" s="137" t="e">
        <f t="shared" si="20"/>
        <v>#REF!</v>
      </c>
      <c r="AE161" s="259">
        <v>0.41</v>
      </c>
      <c r="AF161" s="138">
        <f>VLOOKUP($D161,Construction!$B:$C,(COLUMN(Construction_Time)-COLUMN(Construction_Name_and_Level)+1),FALSE)</f>
        <v>1.8518518518518521E-2</v>
      </c>
      <c r="AG161" s="138">
        <f t="shared" si="16"/>
        <v>1.313370107696349E-2</v>
      </c>
      <c r="AH161" s="138">
        <f t="shared" si="17"/>
        <v>0</v>
      </c>
      <c r="AI161" s="139">
        <f t="shared" si="18"/>
        <v>2.7170344102968244E-3</v>
      </c>
      <c r="AJ161" s="139">
        <f t="shared" si="19"/>
        <v>1.5801484108221697E-2</v>
      </c>
      <c r="AK161" s="94">
        <f>VLOOKUP($D161,Construction!$B:$J,(COLUMN(Construction_BuildingCost_Stone)-COLUMN(Construction_Name_and_Level)+1),FALSE)*(-1)</f>
        <v>-1674</v>
      </c>
      <c r="AL161" s="94">
        <f>VLOOKUP($D161,Construction!$B:$J,(COLUMN(Construction_BuildingCost_Wood)-COLUMN(Construction_Name_and_Level)+1),FALSE)*(-1)</f>
        <v>-1674</v>
      </c>
      <c r="AM161" s="94">
        <f>VLOOKUP($D161,Construction!$B:$J,(COLUMN(Construction_BuildingCost_Ore)-COLUMN(Construction_Name_and_Level)+1),FALSE)*(-1)</f>
        <v>-1674</v>
      </c>
      <c r="AN161" s="94">
        <f>VLOOKUP($D161,Construction!$B:$J,(COLUMN(Construction_BuildingCost_Food)-COLUMN(Construction_Name_and_Level)+1),FALSE)*(-1)</f>
        <v>0</v>
      </c>
    </row>
    <row r="162" spans="2:40" ht="15.75">
      <c r="B162" s="93" t="s">
        <v>144</v>
      </c>
      <c r="C162" s="127" t="s">
        <v>138</v>
      </c>
      <c r="D162" s="144" t="s">
        <v>758</v>
      </c>
      <c r="E162" s="293">
        <v>15</v>
      </c>
      <c r="F162" s="12">
        <v>0.3</v>
      </c>
      <c r="G162" s="94">
        <f>VLOOKUP($D162,Construction!$B:$E,(COLUMN(Construction_BuildingReward_HeroXP)-COLUMN(Construction_Name_and_Level)+1),FALSE)</f>
        <v>500</v>
      </c>
      <c r="H162" s="94">
        <f t="shared" si="15"/>
        <v>650</v>
      </c>
      <c r="J162" s="95">
        <f>VLOOKUP($D162,Construction!$B:$F,(COLUMN(Construction_BuildingReward_Power)-COLUMN(Construction_Name_and_Level)+1),FALSE)</f>
        <v>55</v>
      </c>
      <c r="O162" s="139">
        <v>3.472222222222222E-3</v>
      </c>
      <c r="P162" s="139">
        <v>6.9444444444444441E-3</v>
      </c>
      <c r="AD162" s="137" t="e">
        <f t="shared" si="20"/>
        <v>#REF!</v>
      </c>
      <c r="AE162" s="259">
        <v>0.41</v>
      </c>
      <c r="AF162" s="138">
        <f>VLOOKUP($D162,Construction!$B:$C,(COLUMN(Construction_Time)-COLUMN(Construction_Name_and_Level)+1),FALSE)</f>
        <v>1.8518518518518521E-2</v>
      </c>
      <c r="AG162" s="138">
        <f t="shared" si="16"/>
        <v>1.313370107696349E-2</v>
      </c>
      <c r="AH162" s="138">
        <f t="shared" si="17"/>
        <v>0</v>
      </c>
      <c r="AI162" s="139">
        <f t="shared" si="18"/>
        <v>2.7170344102968244E-3</v>
      </c>
      <c r="AJ162" s="139">
        <f t="shared" si="19"/>
        <v>1.5801484108221697E-2</v>
      </c>
      <c r="AK162" s="94">
        <f>VLOOKUP($D162,Construction!$B:$J,(COLUMN(Construction_BuildingCost_Stone)-COLUMN(Construction_Name_and_Level)+1),FALSE)*(-1)</f>
        <v>-1674</v>
      </c>
      <c r="AL162" s="94">
        <f>VLOOKUP($D162,Construction!$B:$J,(COLUMN(Construction_BuildingCost_Wood)-COLUMN(Construction_Name_and_Level)+1),FALSE)*(-1)</f>
        <v>-1674</v>
      </c>
      <c r="AM162" s="94">
        <f>VLOOKUP($D162,Construction!$B:$J,(COLUMN(Construction_BuildingCost_Ore)-COLUMN(Construction_Name_and_Level)+1),FALSE)*(-1)</f>
        <v>-1674</v>
      </c>
      <c r="AN162" s="94">
        <f>VLOOKUP($D162,Construction!$B:$J,(COLUMN(Construction_BuildingCost_Food)-COLUMN(Construction_Name_and_Level)+1),FALSE)*(-1)</f>
        <v>0</v>
      </c>
    </row>
    <row r="163" spans="2:40" ht="15.75">
      <c r="B163" s="93" t="s">
        <v>144</v>
      </c>
      <c r="C163" s="127" t="s">
        <v>138</v>
      </c>
      <c r="D163" s="144" t="s">
        <v>758</v>
      </c>
      <c r="E163" s="293">
        <v>15</v>
      </c>
      <c r="F163" s="12">
        <v>0.3</v>
      </c>
      <c r="G163" s="94">
        <f>VLOOKUP($D163,Construction!$B:$E,(COLUMN(Construction_BuildingReward_HeroXP)-COLUMN(Construction_Name_and_Level)+1),FALSE)</f>
        <v>500</v>
      </c>
      <c r="H163" s="94">
        <f t="shared" si="15"/>
        <v>650</v>
      </c>
      <c r="J163" s="95">
        <f>VLOOKUP($D163,Construction!$B:$F,(COLUMN(Construction_BuildingReward_Power)-COLUMN(Construction_Name_and_Level)+1),FALSE)</f>
        <v>55</v>
      </c>
      <c r="O163" s="139">
        <v>3.472222222222222E-3</v>
      </c>
      <c r="P163" s="139">
        <v>6.9444444444444441E-3</v>
      </c>
      <c r="AD163" s="137" t="e">
        <f t="shared" si="20"/>
        <v>#REF!</v>
      </c>
      <c r="AE163" s="259">
        <v>0.41</v>
      </c>
      <c r="AF163" s="138">
        <f>VLOOKUP($D163,Construction!$B:$C,(COLUMN(Construction_Time)-COLUMN(Construction_Name_and_Level)+1),FALSE)</f>
        <v>1.8518518518518521E-2</v>
      </c>
      <c r="AG163" s="138">
        <f t="shared" si="16"/>
        <v>1.313370107696349E-2</v>
      </c>
      <c r="AH163" s="138">
        <f t="shared" si="17"/>
        <v>0</v>
      </c>
      <c r="AI163" s="139">
        <f t="shared" si="18"/>
        <v>2.7170344102968244E-3</v>
      </c>
      <c r="AJ163" s="139">
        <f t="shared" si="19"/>
        <v>1.5801484108221697E-2</v>
      </c>
      <c r="AK163" s="94">
        <f>VLOOKUP($D163,Construction!$B:$J,(COLUMN(Construction_BuildingCost_Stone)-COLUMN(Construction_Name_and_Level)+1),FALSE)*(-1)</f>
        <v>-1674</v>
      </c>
      <c r="AL163" s="94">
        <f>VLOOKUP($D163,Construction!$B:$J,(COLUMN(Construction_BuildingCost_Wood)-COLUMN(Construction_Name_and_Level)+1),FALSE)*(-1)</f>
        <v>-1674</v>
      </c>
      <c r="AM163" s="94">
        <f>VLOOKUP($D163,Construction!$B:$J,(COLUMN(Construction_BuildingCost_Ore)-COLUMN(Construction_Name_and_Level)+1),FALSE)*(-1)</f>
        <v>-1674</v>
      </c>
      <c r="AN163" s="94">
        <f>VLOOKUP($D163,Construction!$B:$J,(COLUMN(Construction_BuildingCost_Food)-COLUMN(Construction_Name_and_Level)+1),FALSE)*(-1)</f>
        <v>0</v>
      </c>
    </row>
    <row r="164" spans="2:40" ht="15.75">
      <c r="B164" s="93" t="s">
        <v>144</v>
      </c>
      <c r="C164" s="127" t="s">
        <v>138</v>
      </c>
      <c r="D164" s="144" t="s">
        <v>664</v>
      </c>
      <c r="E164" s="293">
        <v>15</v>
      </c>
      <c r="F164" s="12">
        <v>0.3</v>
      </c>
      <c r="G164" s="94">
        <f>VLOOKUP($D164,Construction!$B:$E,(COLUMN(Construction_BuildingReward_HeroXP)-COLUMN(Construction_Name_and_Level)+1),FALSE)</f>
        <v>25</v>
      </c>
      <c r="H164" s="94">
        <f t="shared" si="15"/>
        <v>32.5</v>
      </c>
      <c r="J164" s="95">
        <f>VLOOKUP($D164,Construction!$B:$F,(COLUMN(Construction_BuildingReward_Power)-COLUMN(Construction_Name_and_Level)+1),FALSE)</f>
        <v>25</v>
      </c>
      <c r="O164" s="139">
        <v>3.472222222222222E-3</v>
      </c>
      <c r="P164" s="139">
        <v>6.9444444444444441E-3</v>
      </c>
      <c r="AD164" s="137" t="e">
        <f t="shared" si="20"/>
        <v>#REF!</v>
      </c>
      <c r="AE164" s="259">
        <v>0.41</v>
      </c>
      <c r="AF164" s="138">
        <f>VLOOKUP($D164,Construction!$B:$C,(COLUMN(Construction_Time)-COLUMN(Construction_Name_and_Level)+1),FALSE)</f>
        <v>1.1574074074074073E-3</v>
      </c>
      <c r="AG164" s="138">
        <f t="shared" si="16"/>
        <v>8.2085631731021805E-4</v>
      </c>
      <c r="AH164" s="138">
        <f t="shared" si="17"/>
        <v>0</v>
      </c>
      <c r="AI164" s="139">
        <f t="shared" si="18"/>
        <v>0</v>
      </c>
      <c r="AJ164" s="139">
        <f t="shared" si="19"/>
        <v>1.1574074074074073E-3</v>
      </c>
      <c r="AK164" s="94">
        <f>VLOOKUP($D164,Construction!$B:$J,(COLUMN(Construction_BuildingCost_Stone)-COLUMN(Construction_Name_and_Level)+1),FALSE)*(-1)</f>
        <v>-340</v>
      </c>
      <c r="AL164" s="94">
        <f>VLOOKUP($D164,Construction!$B:$J,(COLUMN(Construction_BuildingCost_Wood)-COLUMN(Construction_Name_and_Level)+1),FALSE)*(-1)</f>
        <v>-340</v>
      </c>
      <c r="AM164" s="94">
        <f>VLOOKUP($D164,Construction!$B:$J,(COLUMN(Construction_BuildingCost_Ore)-COLUMN(Construction_Name_and_Level)+1),FALSE)*(-1)</f>
        <v>-85</v>
      </c>
      <c r="AN164" s="94">
        <f>VLOOKUP($D164,Construction!$B:$J,(COLUMN(Construction_BuildingCost_Food)-COLUMN(Construction_Name_and_Level)+1),FALSE)*(-1)</f>
        <v>-850</v>
      </c>
    </row>
    <row r="165" spans="2:40" ht="15.75">
      <c r="B165" s="93" t="s">
        <v>144</v>
      </c>
      <c r="C165" s="127" t="s">
        <v>138</v>
      </c>
      <c r="D165" s="144" t="s">
        <v>664</v>
      </c>
      <c r="E165" s="293">
        <v>15</v>
      </c>
      <c r="F165" s="12">
        <v>0.3</v>
      </c>
      <c r="G165" s="94">
        <f>VLOOKUP($D165,Construction!$B:$E,(COLUMN(Construction_BuildingReward_HeroXP)-COLUMN(Construction_Name_and_Level)+1),FALSE)</f>
        <v>25</v>
      </c>
      <c r="H165" s="94">
        <f t="shared" si="15"/>
        <v>32.5</v>
      </c>
      <c r="J165" s="304">
        <f>VLOOKUP($D165,Construction!$B:$F,(COLUMN(Construction_BuildingReward_Power)-COLUMN(Construction_Name_and_Level)+1),FALSE)</f>
        <v>25</v>
      </c>
      <c r="O165" s="139">
        <v>3.472222222222222E-3</v>
      </c>
      <c r="P165" s="139">
        <v>6.9444444444444441E-3</v>
      </c>
      <c r="AD165" s="137" t="e">
        <f t="shared" si="20"/>
        <v>#REF!</v>
      </c>
      <c r="AE165" s="259">
        <v>0.41</v>
      </c>
      <c r="AF165" s="138">
        <f>VLOOKUP($D165,Construction!$B:$C,(COLUMN(Construction_Time)-COLUMN(Construction_Name_and_Level)+1),FALSE)</f>
        <v>1.1574074074074073E-3</v>
      </c>
      <c r="AG165" s="138">
        <f t="shared" si="16"/>
        <v>8.2085631731021805E-4</v>
      </c>
      <c r="AH165" s="138">
        <f t="shared" si="17"/>
        <v>0</v>
      </c>
      <c r="AI165" s="139">
        <f t="shared" si="18"/>
        <v>0</v>
      </c>
      <c r="AJ165" s="139">
        <f t="shared" si="19"/>
        <v>1.1574074074074073E-3</v>
      </c>
      <c r="AK165" s="94">
        <f>VLOOKUP($D165,Construction!$B:$J,(COLUMN(Construction_BuildingCost_Stone)-COLUMN(Construction_Name_and_Level)+1),FALSE)*(-1)</f>
        <v>-340</v>
      </c>
      <c r="AL165" s="94">
        <f>VLOOKUP($D165,Construction!$B:$J,(COLUMN(Construction_BuildingCost_Wood)-COLUMN(Construction_Name_and_Level)+1),FALSE)*(-1)</f>
        <v>-340</v>
      </c>
      <c r="AM165" s="94">
        <f>VLOOKUP($D165,Construction!$B:$J,(COLUMN(Construction_BuildingCost_Ore)-COLUMN(Construction_Name_and_Level)+1),FALSE)*(-1)</f>
        <v>-85</v>
      </c>
      <c r="AN165" s="94">
        <f>VLOOKUP($D165,Construction!$B:$J,(COLUMN(Construction_BuildingCost_Food)-COLUMN(Construction_Name_and_Level)+1),FALSE)*(-1)</f>
        <v>-850</v>
      </c>
    </row>
    <row r="166" spans="2:40" ht="15.75">
      <c r="B166" s="93" t="s">
        <v>144</v>
      </c>
      <c r="C166" s="127" t="s">
        <v>138</v>
      </c>
      <c r="D166" s="144" t="s">
        <v>664</v>
      </c>
      <c r="E166" s="293">
        <v>15</v>
      </c>
      <c r="F166" s="12">
        <v>0.3</v>
      </c>
      <c r="G166" s="94">
        <f>VLOOKUP($D166,Construction!$B:$E,(COLUMN(Construction_BuildingReward_HeroXP)-COLUMN(Construction_Name_and_Level)+1),FALSE)</f>
        <v>25</v>
      </c>
      <c r="H166" s="94">
        <f t="shared" si="15"/>
        <v>32.5</v>
      </c>
      <c r="J166" s="95">
        <f>VLOOKUP($D166,Construction!$B:$F,(COLUMN(Construction_BuildingReward_Power)-COLUMN(Construction_Name_and_Level)+1),FALSE)</f>
        <v>25</v>
      </c>
      <c r="O166" s="139">
        <v>3.472222222222222E-3</v>
      </c>
      <c r="P166" s="139">
        <v>6.9444444444444441E-3</v>
      </c>
      <c r="AD166" s="137" t="e">
        <f t="shared" si="20"/>
        <v>#REF!</v>
      </c>
      <c r="AE166" s="259">
        <v>0.41</v>
      </c>
      <c r="AF166" s="138">
        <f>VLOOKUP($D166,Construction!$B:$C,(COLUMN(Construction_Time)-COLUMN(Construction_Name_and_Level)+1),FALSE)</f>
        <v>1.1574074074074073E-3</v>
      </c>
      <c r="AG166" s="138">
        <f t="shared" si="16"/>
        <v>8.2085631731021805E-4</v>
      </c>
      <c r="AH166" s="138">
        <f t="shared" si="17"/>
        <v>0</v>
      </c>
      <c r="AI166" s="139">
        <f t="shared" si="18"/>
        <v>0</v>
      </c>
      <c r="AJ166" s="139">
        <f t="shared" si="19"/>
        <v>1.1574074074074073E-3</v>
      </c>
      <c r="AK166" s="94">
        <f>VLOOKUP($D166,Construction!$B:$J,(COLUMN(Construction_BuildingCost_Stone)-COLUMN(Construction_Name_and_Level)+1),FALSE)*(-1)</f>
        <v>-340</v>
      </c>
      <c r="AL166" s="94">
        <f>VLOOKUP($D166,Construction!$B:$J,(COLUMN(Construction_BuildingCost_Wood)-COLUMN(Construction_Name_and_Level)+1),FALSE)*(-1)</f>
        <v>-340</v>
      </c>
      <c r="AM166" s="94">
        <f>VLOOKUP($D166,Construction!$B:$J,(COLUMN(Construction_BuildingCost_Ore)-COLUMN(Construction_Name_and_Level)+1),FALSE)*(-1)</f>
        <v>-85</v>
      </c>
      <c r="AN166" s="94">
        <f>VLOOKUP($D166,Construction!$B:$J,(COLUMN(Construction_BuildingCost_Food)-COLUMN(Construction_Name_and_Level)+1),FALSE)*(-1)</f>
        <v>-850</v>
      </c>
    </row>
    <row r="167" spans="2:40" ht="15.75">
      <c r="B167" s="93" t="s">
        <v>144</v>
      </c>
      <c r="C167" s="127" t="s">
        <v>138</v>
      </c>
      <c r="D167" s="144" t="s">
        <v>213</v>
      </c>
      <c r="E167" s="293">
        <v>15</v>
      </c>
      <c r="F167" s="12">
        <v>0.3</v>
      </c>
      <c r="G167" s="94">
        <f>VLOOKUP($D167,Construction!$B:$E,(COLUMN(Construction_BuildingReward_HeroXP)-COLUMN(Construction_Name_and_Level)+1),FALSE)</f>
        <v>50</v>
      </c>
      <c r="H167" s="94">
        <f t="shared" si="15"/>
        <v>65</v>
      </c>
      <c r="J167" s="95">
        <f>VLOOKUP($D167,Construction!$B:$F,(COLUMN(Construction_BuildingReward_Power)-COLUMN(Construction_Name_and_Level)+1),FALSE)</f>
        <v>40</v>
      </c>
      <c r="O167" s="139">
        <v>3.472222222222222E-3</v>
      </c>
      <c r="P167" s="139">
        <v>6.9444444444444441E-3</v>
      </c>
      <c r="AD167" s="137" t="e">
        <f t="shared" si="20"/>
        <v>#REF!</v>
      </c>
      <c r="AE167" s="259">
        <v>0.41</v>
      </c>
      <c r="AF167" s="138">
        <f>VLOOKUP($D167,Construction!$B:$C,(COLUMN(Construction_Time)-COLUMN(Construction_Name_and_Level)+1),FALSE)</f>
        <v>2.3148148148148151E-3</v>
      </c>
      <c r="AG167" s="138">
        <f t="shared" si="16"/>
        <v>1.6417126346204363E-3</v>
      </c>
      <c r="AH167" s="138">
        <f t="shared" si="17"/>
        <v>0</v>
      </c>
      <c r="AI167" s="139">
        <f t="shared" si="18"/>
        <v>0</v>
      </c>
      <c r="AJ167" s="139">
        <f t="shared" si="19"/>
        <v>2.3148148148148151E-3</v>
      </c>
      <c r="AK167" s="94">
        <f>VLOOKUP($D167,Construction!$B:$J,(COLUMN(Construction_BuildingCost_Stone)-COLUMN(Construction_Name_and_Level)+1),FALSE)*(-1)</f>
        <v>-578</v>
      </c>
      <c r="AL167" s="94">
        <f>VLOOKUP($D167,Construction!$B:$J,(COLUMN(Construction_BuildingCost_Wood)-COLUMN(Construction_Name_and_Level)+1),FALSE)*(-1)</f>
        <v>-578</v>
      </c>
      <c r="AM167" s="94">
        <f>VLOOKUP($D167,Construction!$B:$J,(COLUMN(Construction_BuildingCost_Ore)-COLUMN(Construction_Name_and_Level)+1),FALSE)*(-1)</f>
        <v>-145</v>
      </c>
      <c r="AN167" s="94">
        <f>VLOOKUP($D167,Construction!$B:$J,(COLUMN(Construction_BuildingCost_Food)-COLUMN(Construction_Name_and_Level)+1),FALSE)*(-1)</f>
        <v>-1445</v>
      </c>
    </row>
    <row r="168" spans="2:40" ht="15.75">
      <c r="B168" s="93" t="s">
        <v>144</v>
      </c>
      <c r="C168" s="127" t="s">
        <v>138</v>
      </c>
      <c r="D168" s="144" t="s">
        <v>213</v>
      </c>
      <c r="E168" s="293">
        <v>15</v>
      </c>
      <c r="F168" s="12">
        <v>0.3</v>
      </c>
      <c r="G168" s="94">
        <f>VLOOKUP($D168,Construction!$B:$E,(COLUMN(Construction_BuildingReward_HeroXP)-COLUMN(Construction_Name_and_Level)+1),FALSE)</f>
        <v>50</v>
      </c>
      <c r="H168" s="94">
        <f t="shared" si="15"/>
        <v>65</v>
      </c>
      <c r="J168" s="304">
        <f>VLOOKUP($D168,Construction!$B:$F,(COLUMN(Construction_BuildingReward_Power)-COLUMN(Construction_Name_and_Level)+1),FALSE)</f>
        <v>40</v>
      </c>
      <c r="O168" s="139">
        <v>3.472222222222222E-3</v>
      </c>
      <c r="P168" s="139">
        <v>6.9444444444444441E-3</v>
      </c>
      <c r="AD168" s="137" t="e">
        <f t="shared" si="20"/>
        <v>#REF!</v>
      </c>
      <c r="AE168" s="259">
        <v>0.41</v>
      </c>
      <c r="AF168" s="138">
        <f>VLOOKUP($D168,Construction!$B:$C,(COLUMN(Construction_Time)-COLUMN(Construction_Name_and_Level)+1),FALSE)</f>
        <v>2.3148148148148151E-3</v>
      </c>
      <c r="AG168" s="138">
        <f t="shared" si="16"/>
        <v>1.6417126346204363E-3</v>
      </c>
      <c r="AH168" s="138">
        <f t="shared" si="17"/>
        <v>0</v>
      </c>
      <c r="AI168" s="139">
        <f t="shared" si="18"/>
        <v>0</v>
      </c>
      <c r="AJ168" s="139">
        <f t="shared" si="19"/>
        <v>2.3148148148148151E-3</v>
      </c>
      <c r="AK168" s="94">
        <f>VLOOKUP($D168,Construction!$B:$J,(COLUMN(Construction_BuildingCost_Stone)-COLUMN(Construction_Name_and_Level)+1),FALSE)*(-1)</f>
        <v>-578</v>
      </c>
      <c r="AL168" s="94">
        <f>VLOOKUP($D168,Construction!$B:$J,(COLUMN(Construction_BuildingCost_Wood)-COLUMN(Construction_Name_and_Level)+1),FALSE)*(-1)</f>
        <v>-578</v>
      </c>
      <c r="AM168" s="94">
        <f>VLOOKUP($D168,Construction!$B:$J,(COLUMN(Construction_BuildingCost_Ore)-COLUMN(Construction_Name_and_Level)+1),FALSE)*(-1)</f>
        <v>-145</v>
      </c>
      <c r="AN168" s="94">
        <f>VLOOKUP($D168,Construction!$B:$J,(COLUMN(Construction_BuildingCost_Food)-COLUMN(Construction_Name_and_Level)+1),FALSE)*(-1)</f>
        <v>-1445</v>
      </c>
    </row>
    <row r="169" spans="2:40" ht="15.75">
      <c r="B169" s="93" t="s">
        <v>144</v>
      </c>
      <c r="C169" s="127" t="s">
        <v>138</v>
      </c>
      <c r="D169" s="144" t="s">
        <v>213</v>
      </c>
      <c r="E169" s="293">
        <v>15</v>
      </c>
      <c r="F169" s="12">
        <v>0.3</v>
      </c>
      <c r="G169" s="94">
        <f>VLOOKUP($D169,Construction!$B:$E,(COLUMN(Construction_BuildingReward_HeroXP)-COLUMN(Construction_Name_and_Level)+1),FALSE)</f>
        <v>50</v>
      </c>
      <c r="H169" s="94">
        <f t="shared" si="15"/>
        <v>65</v>
      </c>
      <c r="J169" s="95">
        <f>VLOOKUP($D169,Construction!$B:$F,(COLUMN(Construction_BuildingReward_Power)-COLUMN(Construction_Name_and_Level)+1),FALSE)</f>
        <v>40</v>
      </c>
      <c r="O169" s="139">
        <v>3.472222222222222E-3</v>
      </c>
      <c r="P169" s="139">
        <v>6.9444444444444441E-3</v>
      </c>
      <c r="AD169" s="137" t="e">
        <f t="shared" si="20"/>
        <v>#REF!</v>
      </c>
      <c r="AE169" s="259">
        <v>0.41</v>
      </c>
      <c r="AF169" s="138">
        <f>VLOOKUP($D169,Construction!$B:$C,(COLUMN(Construction_Time)-COLUMN(Construction_Name_and_Level)+1),FALSE)</f>
        <v>2.3148148148148151E-3</v>
      </c>
      <c r="AG169" s="138">
        <f t="shared" si="16"/>
        <v>1.6417126346204363E-3</v>
      </c>
      <c r="AH169" s="138">
        <f t="shared" si="17"/>
        <v>0</v>
      </c>
      <c r="AI169" s="139">
        <f t="shared" si="18"/>
        <v>0</v>
      </c>
      <c r="AJ169" s="139">
        <f t="shared" si="19"/>
        <v>2.3148148148148151E-3</v>
      </c>
      <c r="AK169" s="94">
        <f>VLOOKUP($D169,Construction!$B:$J,(COLUMN(Construction_BuildingCost_Stone)-COLUMN(Construction_Name_and_Level)+1),FALSE)*(-1)</f>
        <v>-578</v>
      </c>
      <c r="AL169" s="94">
        <f>VLOOKUP($D169,Construction!$B:$J,(COLUMN(Construction_BuildingCost_Wood)-COLUMN(Construction_Name_and_Level)+1),FALSE)*(-1)</f>
        <v>-578</v>
      </c>
      <c r="AM169" s="94">
        <f>VLOOKUP($D169,Construction!$B:$J,(COLUMN(Construction_BuildingCost_Ore)-COLUMN(Construction_Name_and_Level)+1),FALSE)*(-1)</f>
        <v>-145</v>
      </c>
      <c r="AN169" s="94">
        <f>VLOOKUP($D169,Construction!$B:$J,(COLUMN(Construction_BuildingCost_Food)-COLUMN(Construction_Name_and_Level)+1),FALSE)*(-1)</f>
        <v>-1445</v>
      </c>
    </row>
    <row r="170" spans="2:40" ht="15.75">
      <c r="B170" s="93" t="s">
        <v>144</v>
      </c>
      <c r="C170" s="127" t="s">
        <v>138</v>
      </c>
      <c r="D170" s="144" t="s">
        <v>214</v>
      </c>
      <c r="E170" s="293">
        <v>15</v>
      </c>
      <c r="F170" s="12">
        <v>0.3</v>
      </c>
      <c r="G170" s="94">
        <f>VLOOKUP($D170,Construction!$B:$E,(COLUMN(Construction_BuildingReward_HeroXP)-COLUMN(Construction_Name_and_Level)+1),FALSE)</f>
        <v>200</v>
      </c>
      <c r="H170" s="94">
        <f t="shared" si="15"/>
        <v>260</v>
      </c>
      <c r="J170" s="95">
        <f>VLOOKUP($D170,Construction!$B:$F,(COLUMN(Construction_BuildingReward_Power)-COLUMN(Construction_Name_and_Level)+1),FALSE)</f>
        <v>60</v>
      </c>
      <c r="O170" s="139">
        <v>3.472222222222222E-3</v>
      </c>
      <c r="P170" s="139">
        <v>6.9444444444444441E-3</v>
      </c>
      <c r="AD170" s="137" t="e">
        <f t="shared" si="20"/>
        <v>#REF!</v>
      </c>
      <c r="AE170" s="259">
        <v>0.41</v>
      </c>
      <c r="AF170" s="138">
        <f>VLOOKUP($D170,Construction!$B:$C,(COLUMN(Construction_Time)-COLUMN(Construction_Name_and_Level)+1),FALSE)</f>
        <v>4.6296296296296302E-3</v>
      </c>
      <c r="AG170" s="138">
        <f t="shared" si="16"/>
        <v>3.2834252692408726E-3</v>
      </c>
      <c r="AH170" s="138">
        <f t="shared" si="17"/>
        <v>0</v>
      </c>
      <c r="AI170" s="139">
        <f t="shared" si="18"/>
        <v>0</v>
      </c>
      <c r="AJ170" s="139">
        <f t="shared" si="19"/>
        <v>4.6296296296296302E-3</v>
      </c>
      <c r="AK170" s="94">
        <f>VLOOKUP($D170,Construction!$B:$J,(COLUMN(Construction_BuildingCost_Stone)-COLUMN(Construction_Name_and_Level)+1),FALSE)*(-1)</f>
        <v>-983</v>
      </c>
      <c r="AL170" s="94">
        <f>VLOOKUP($D170,Construction!$B:$J,(COLUMN(Construction_BuildingCost_Wood)-COLUMN(Construction_Name_and_Level)+1),FALSE)*(-1)</f>
        <v>-983</v>
      </c>
      <c r="AM170" s="94">
        <f>VLOOKUP($D170,Construction!$B:$J,(COLUMN(Construction_BuildingCost_Ore)-COLUMN(Construction_Name_and_Level)+1),FALSE)*(-1)</f>
        <v>-247</v>
      </c>
      <c r="AN170" s="94">
        <f>VLOOKUP($D170,Construction!$B:$J,(COLUMN(Construction_BuildingCost_Food)-COLUMN(Construction_Name_and_Level)+1),FALSE)*(-1)</f>
        <v>-2457</v>
      </c>
    </row>
    <row r="171" spans="2:40" ht="15.75">
      <c r="B171" s="93" t="s">
        <v>144</v>
      </c>
      <c r="C171" s="127" t="s">
        <v>138</v>
      </c>
      <c r="D171" s="144" t="s">
        <v>214</v>
      </c>
      <c r="E171" s="293">
        <v>15</v>
      </c>
      <c r="F171" s="12">
        <v>0.3</v>
      </c>
      <c r="G171" s="94">
        <f>VLOOKUP($D171,Construction!$B:$E,(COLUMN(Construction_BuildingReward_HeroXP)-COLUMN(Construction_Name_and_Level)+1),FALSE)</f>
        <v>200</v>
      </c>
      <c r="H171" s="94">
        <f t="shared" si="15"/>
        <v>260</v>
      </c>
      <c r="J171" s="95">
        <f>VLOOKUP($D171,Construction!$B:$F,(COLUMN(Construction_BuildingReward_Power)-COLUMN(Construction_Name_and_Level)+1),FALSE)</f>
        <v>60</v>
      </c>
      <c r="O171" s="139">
        <v>3.472222222222222E-3</v>
      </c>
      <c r="P171" s="139">
        <v>6.9444444444444441E-3</v>
      </c>
      <c r="AD171" s="137" t="e">
        <f t="shared" si="20"/>
        <v>#REF!</v>
      </c>
      <c r="AE171" s="259">
        <v>0.41</v>
      </c>
      <c r="AF171" s="138">
        <f>VLOOKUP($D171,Construction!$B:$C,(COLUMN(Construction_Time)-COLUMN(Construction_Name_and_Level)+1),FALSE)</f>
        <v>4.6296296296296302E-3</v>
      </c>
      <c r="AG171" s="138">
        <f t="shared" si="16"/>
        <v>3.2834252692408726E-3</v>
      </c>
      <c r="AH171" s="138">
        <f t="shared" si="17"/>
        <v>0</v>
      </c>
      <c r="AI171" s="139">
        <f t="shared" si="18"/>
        <v>0</v>
      </c>
      <c r="AJ171" s="139">
        <f t="shared" si="19"/>
        <v>4.6296296296296302E-3</v>
      </c>
      <c r="AK171" s="94">
        <f>VLOOKUP($D171,Construction!$B:$J,(COLUMN(Construction_BuildingCost_Stone)-COLUMN(Construction_Name_and_Level)+1),FALSE)*(-1)</f>
        <v>-983</v>
      </c>
      <c r="AL171" s="94">
        <f>VLOOKUP($D171,Construction!$B:$J,(COLUMN(Construction_BuildingCost_Wood)-COLUMN(Construction_Name_and_Level)+1),FALSE)*(-1)</f>
        <v>-983</v>
      </c>
      <c r="AM171" s="94">
        <f>VLOOKUP($D171,Construction!$B:$J,(COLUMN(Construction_BuildingCost_Ore)-COLUMN(Construction_Name_and_Level)+1),FALSE)*(-1)</f>
        <v>-247</v>
      </c>
      <c r="AN171" s="94">
        <f>VLOOKUP($D171,Construction!$B:$J,(COLUMN(Construction_BuildingCost_Food)-COLUMN(Construction_Name_and_Level)+1),FALSE)*(-1)</f>
        <v>-2457</v>
      </c>
    </row>
    <row r="172" spans="2:40" ht="15.75">
      <c r="B172" s="93" t="s">
        <v>144</v>
      </c>
      <c r="C172" s="127" t="s">
        <v>138</v>
      </c>
      <c r="D172" s="144" t="s">
        <v>214</v>
      </c>
      <c r="E172" s="293">
        <v>15</v>
      </c>
      <c r="F172" s="12">
        <v>0.3</v>
      </c>
      <c r="G172" s="94">
        <f>VLOOKUP($D172,Construction!$B:$E,(COLUMN(Construction_BuildingReward_HeroXP)-COLUMN(Construction_Name_and_Level)+1),FALSE)</f>
        <v>200</v>
      </c>
      <c r="H172" s="94">
        <f t="shared" si="15"/>
        <v>260</v>
      </c>
      <c r="J172" s="95">
        <f>VLOOKUP($D172,Construction!$B:$F,(COLUMN(Construction_BuildingReward_Power)-COLUMN(Construction_Name_and_Level)+1),FALSE)</f>
        <v>60</v>
      </c>
      <c r="O172" s="139">
        <v>3.472222222222222E-3</v>
      </c>
      <c r="P172" s="139">
        <v>6.9444444444444441E-3</v>
      </c>
      <c r="AD172" s="137" t="e">
        <f t="shared" si="20"/>
        <v>#REF!</v>
      </c>
      <c r="AE172" s="259">
        <v>0.41</v>
      </c>
      <c r="AF172" s="138">
        <f>VLOOKUP($D172,Construction!$B:$C,(COLUMN(Construction_Time)-COLUMN(Construction_Name_and_Level)+1),FALSE)</f>
        <v>4.6296296296296302E-3</v>
      </c>
      <c r="AG172" s="138">
        <f t="shared" si="16"/>
        <v>3.2834252692408726E-3</v>
      </c>
      <c r="AH172" s="138">
        <f t="shared" si="17"/>
        <v>0</v>
      </c>
      <c r="AI172" s="139">
        <f t="shared" si="18"/>
        <v>0</v>
      </c>
      <c r="AJ172" s="139">
        <f t="shared" si="19"/>
        <v>4.6296296296296302E-3</v>
      </c>
      <c r="AK172" s="94">
        <f>VLOOKUP($D172,Construction!$B:$J,(COLUMN(Construction_BuildingCost_Stone)-COLUMN(Construction_Name_and_Level)+1),FALSE)*(-1)</f>
        <v>-983</v>
      </c>
      <c r="AL172" s="94">
        <f>VLOOKUP($D172,Construction!$B:$J,(COLUMN(Construction_BuildingCost_Wood)-COLUMN(Construction_Name_and_Level)+1),FALSE)*(-1)</f>
        <v>-983</v>
      </c>
      <c r="AM172" s="94">
        <f>VLOOKUP($D172,Construction!$B:$J,(COLUMN(Construction_BuildingCost_Ore)-COLUMN(Construction_Name_and_Level)+1),FALSE)*(-1)</f>
        <v>-247</v>
      </c>
      <c r="AN172" s="94">
        <f>VLOOKUP($D172,Construction!$B:$J,(COLUMN(Construction_BuildingCost_Food)-COLUMN(Construction_Name_and_Level)+1),FALSE)*(-1)</f>
        <v>-2457</v>
      </c>
    </row>
    <row r="173" spans="2:40" ht="15.75">
      <c r="B173" s="93" t="s">
        <v>144</v>
      </c>
      <c r="C173" s="127" t="s">
        <v>138</v>
      </c>
      <c r="D173" s="144" t="s">
        <v>215</v>
      </c>
      <c r="E173" s="293">
        <v>15</v>
      </c>
      <c r="F173" s="12">
        <v>0.3</v>
      </c>
      <c r="G173" s="94">
        <f>VLOOKUP($D173,Construction!$B:$E,(COLUMN(Construction_BuildingReward_HeroXP)-COLUMN(Construction_Name_and_Level)+1),FALSE)</f>
        <v>400</v>
      </c>
      <c r="H173" s="94">
        <f t="shared" si="15"/>
        <v>520</v>
      </c>
      <c r="J173" s="95">
        <f>VLOOKUP($D173,Construction!$B:$F,(COLUMN(Construction_BuildingReward_Power)-COLUMN(Construction_Name_and_Level)+1),FALSE)</f>
        <v>90</v>
      </c>
      <c r="O173" s="139">
        <v>3.472222222222222E-3</v>
      </c>
      <c r="P173" s="139">
        <v>6.9444444444444441E-3</v>
      </c>
      <c r="AD173" s="137" t="e">
        <f t="shared" si="20"/>
        <v>#REF!</v>
      </c>
      <c r="AE173" s="259">
        <v>0.41</v>
      </c>
      <c r="AF173" s="138">
        <f>VLOOKUP($D173,Construction!$B:$C,(COLUMN(Construction_Time)-COLUMN(Construction_Name_and_Level)+1),FALSE)</f>
        <v>9.2592592592592605E-3</v>
      </c>
      <c r="AG173" s="138">
        <f t="shared" si="16"/>
        <v>6.5668505384817452E-3</v>
      </c>
      <c r="AH173" s="138">
        <f t="shared" si="17"/>
        <v>0</v>
      </c>
      <c r="AI173" s="139">
        <f t="shared" si="18"/>
        <v>0</v>
      </c>
      <c r="AJ173" s="139">
        <f t="shared" si="19"/>
        <v>9.2592592592592605E-3</v>
      </c>
      <c r="AK173" s="94">
        <f>VLOOKUP($D173,Construction!$B:$J,(COLUMN(Construction_BuildingCost_Stone)-COLUMN(Construction_Name_and_Level)+1),FALSE)*(-1)</f>
        <v>-1672</v>
      </c>
      <c r="AL173" s="94">
        <f>VLOOKUP($D173,Construction!$B:$J,(COLUMN(Construction_BuildingCost_Wood)-COLUMN(Construction_Name_and_Level)+1),FALSE)*(-1)</f>
        <v>-1672</v>
      </c>
      <c r="AM173" s="94">
        <f>VLOOKUP($D173,Construction!$B:$J,(COLUMN(Construction_BuildingCost_Ore)-COLUMN(Construction_Name_and_Level)+1),FALSE)*(-1)</f>
        <v>-420</v>
      </c>
      <c r="AN173" s="94">
        <f>VLOOKUP($D173,Construction!$B:$J,(COLUMN(Construction_BuildingCost_Food)-COLUMN(Construction_Name_and_Level)+1),FALSE)*(-1)</f>
        <v>-4177</v>
      </c>
    </row>
    <row r="174" spans="2:40" ht="15.75">
      <c r="B174" s="93" t="s">
        <v>144</v>
      </c>
      <c r="C174" s="127" t="s">
        <v>138</v>
      </c>
      <c r="D174" s="144" t="s">
        <v>215</v>
      </c>
      <c r="E174" s="293">
        <v>16</v>
      </c>
      <c r="F174" s="12">
        <v>0.3</v>
      </c>
      <c r="G174" s="94">
        <f>VLOOKUP($D174,Construction!$B:$E,(COLUMN(Construction_BuildingReward_HeroXP)-COLUMN(Construction_Name_and_Level)+1),FALSE)</f>
        <v>400</v>
      </c>
      <c r="H174" s="94">
        <f t="shared" si="15"/>
        <v>520</v>
      </c>
      <c r="J174" s="95">
        <f>VLOOKUP($D174,Construction!$B:$F,(COLUMN(Construction_BuildingReward_Power)-COLUMN(Construction_Name_and_Level)+1),FALSE)</f>
        <v>90</v>
      </c>
      <c r="O174" s="139">
        <v>3.472222222222222E-3</v>
      </c>
      <c r="P174" s="139">
        <v>7.6388888888888886E-3</v>
      </c>
      <c r="AD174" s="137" t="e">
        <f>#REF!+(Q$3*Q174+R$3*R174+S$3*S174+T$3*T174+U$3*U174+V$3*V174+W$3*W174+X$3*X174+Y$3*Y174+Z$3*Z174+AA$3*AA174)</f>
        <v>#REF!</v>
      </c>
      <c r="AE174" s="259">
        <v>0.41</v>
      </c>
      <c r="AF174" s="138">
        <f>VLOOKUP($D174,Construction!$B:$C,(COLUMN(Construction_Time)-COLUMN(Construction_Name_and_Level)+1),FALSE)</f>
        <v>9.2592592592592605E-3</v>
      </c>
      <c r="AG174" s="138">
        <f t="shared" si="16"/>
        <v>6.5668505384817452E-3</v>
      </c>
      <c r="AH174" s="138">
        <f t="shared" si="17"/>
        <v>0</v>
      </c>
      <c r="AI174" s="139">
        <f t="shared" si="18"/>
        <v>0</v>
      </c>
      <c r="AJ174" s="139">
        <f t="shared" si="19"/>
        <v>9.2592592592592605E-3</v>
      </c>
      <c r="AK174" s="94">
        <f>VLOOKUP($D174,Construction!$B:$J,(COLUMN(Construction_BuildingCost_Stone)-COLUMN(Construction_Name_and_Level)+1),FALSE)*(-1)</f>
        <v>-1672</v>
      </c>
      <c r="AL174" s="94">
        <f>VLOOKUP($D174,Construction!$B:$J,(COLUMN(Construction_BuildingCost_Wood)-COLUMN(Construction_Name_and_Level)+1),FALSE)*(-1)</f>
        <v>-1672</v>
      </c>
      <c r="AM174" s="94">
        <f>VLOOKUP($D174,Construction!$B:$J,(COLUMN(Construction_BuildingCost_Ore)-COLUMN(Construction_Name_and_Level)+1),FALSE)*(-1)</f>
        <v>-420</v>
      </c>
      <c r="AN174" s="94">
        <f>VLOOKUP($D174,Construction!$B:$J,(COLUMN(Construction_BuildingCost_Food)-COLUMN(Construction_Name_and_Level)+1),FALSE)*(-1)</f>
        <v>-4177</v>
      </c>
    </row>
    <row r="175" spans="2:40" ht="15.75">
      <c r="B175" s="93" t="s">
        <v>144</v>
      </c>
      <c r="C175" s="127" t="s">
        <v>138</v>
      </c>
      <c r="D175" s="144" t="s">
        <v>215</v>
      </c>
      <c r="E175" s="293">
        <v>16</v>
      </c>
      <c r="F175" s="12">
        <v>0.3</v>
      </c>
      <c r="G175" s="94">
        <f>VLOOKUP($D175,Construction!$B:$E,(COLUMN(Construction_BuildingReward_HeroXP)-COLUMN(Construction_Name_and_Level)+1),FALSE)</f>
        <v>400</v>
      </c>
      <c r="H175" s="94">
        <f t="shared" si="15"/>
        <v>520</v>
      </c>
      <c r="J175" s="95">
        <f>VLOOKUP($D175,Construction!$B:$F,(COLUMN(Construction_BuildingReward_Power)-COLUMN(Construction_Name_and_Level)+1),FALSE)</f>
        <v>90</v>
      </c>
      <c r="O175" s="139">
        <v>3.472222222222222E-3</v>
      </c>
      <c r="P175" s="139">
        <v>7.6388888888888886E-3</v>
      </c>
      <c r="AD175" s="137" t="e">
        <f t="shared" ref="AD175:AD206" si="21">AD174+(Q$3*Q175+R$3*R175+S$3*S175+T$3*T175+U$3*U175+V$3*V175+W$3*W175+X$3*X175+Y$3*Y175+Z$3*Z175+AA$3*AA175)</f>
        <v>#REF!</v>
      </c>
      <c r="AE175" s="259">
        <v>0.41</v>
      </c>
      <c r="AF175" s="138">
        <f>VLOOKUP($D175,Construction!$B:$C,(COLUMN(Construction_Time)-COLUMN(Construction_Name_and_Level)+1),FALSE)</f>
        <v>9.2592592592592605E-3</v>
      </c>
      <c r="AG175" s="138">
        <f t="shared" si="16"/>
        <v>6.5668505384817452E-3</v>
      </c>
      <c r="AH175" s="138">
        <f t="shared" si="17"/>
        <v>0</v>
      </c>
      <c r="AI175" s="139">
        <f t="shared" si="18"/>
        <v>0</v>
      </c>
      <c r="AJ175" s="139">
        <f t="shared" si="19"/>
        <v>9.2592592592592605E-3</v>
      </c>
      <c r="AK175" s="94">
        <f>VLOOKUP($D175,Construction!$B:$J,(COLUMN(Construction_BuildingCost_Stone)-COLUMN(Construction_Name_and_Level)+1),FALSE)*(-1)</f>
        <v>-1672</v>
      </c>
      <c r="AL175" s="94">
        <f>VLOOKUP($D175,Construction!$B:$J,(COLUMN(Construction_BuildingCost_Wood)-COLUMN(Construction_Name_and_Level)+1),FALSE)*(-1)</f>
        <v>-1672</v>
      </c>
      <c r="AM175" s="94">
        <f>VLOOKUP($D175,Construction!$B:$J,(COLUMN(Construction_BuildingCost_Ore)-COLUMN(Construction_Name_and_Level)+1),FALSE)*(-1)</f>
        <v>-420</v>
      </c>
      <c r="AN175" s="94">
        <f>VLOOKUP($D175,Construction!$B:$J,(COLUMN(Construction_BuildingCost_Food)-COLUMN(Construction_Name_and_Level)+1),FALSE)*(-1)</f>
        <v>-4177</v>
      </c>
    </row>
    <row r="176" spans="2:40" ht="15.75">
      <c r="B176" s="93" t="s">
        <v>144</v>
      </c>
      <c r="C176" s="127" t="s">
        <v>138</v>
      </c>
      <c r="D176" s="144" t="s">
        <v>759</v>
      </c>
      <c r="E176" s="293">
        <v>16</v>
      </c>
      <c r="F176" s="12">
        <v>0.3</v>
      </c>
      <c r="G176" s="94">
        <f>VLOOKUP($D176,Construction!$B:$E,(COLUMN(Construction_BuildingReward_HeroXP)-COLUMN(Construction_Name_and_Level)+1),FALSE)</f>
        <v>500</v>
      </c>
      <c r="H176" s="94">
        <f t="shared" si="15"/>
        <v>650</v>
      </c>
      <c r="J176" s="95">
        <f>VLOOKUP($D176,Construction!$B:$F,(COLUMN(Construction_BuildingReward_Power)-COLUMN(Construction_Name_and_Level)+1),FALSE)</f>
        <v>135</v>
      </c>
      <c r="O176" s="139">
        <v>3.472222222222222E-3</v>
      </c>
      <c r="P176" s="139">
        <v>7.6388888888888886E-3</v>
      </c>
      <c r="AD176" s="137" t="e">
        <f t="shared" si="21"/>
        <v>#REF!</v>
      </c>
      <c r="AE176" s="259">
        <v>0.41</v>
      </c>
      <c r="AF176" s="138">
        <f>VLOOKUP($D176,Construction!$B:$C,(COLUMN(Construction_Time)-COLUMN(Construction_Name_and_Level)+1),FALSE)</f>
        <v>1.8518518518518521E-2</v>
      </c>
      <c r="AG176" s="138">
        <f t="shared" si="16"/>
        <v>1.313370107696349E-2</v>
      </c>
      <c r="AH176" s="138">
        <f t="shared" si="17"/>
        <v>0</v>
      </c>
      <c r="AI176" s="139">
        <f t="shared" si="18"/>
        <v>2.0225899658523798E-3</v>
      </c>
      <c r="AJ176" s="139">
        <f t="shared" si="19"/>
        <v>1.6495928552666142E-2</v>
      </c>
      <c r="AK176" s="94">
        <f>VLOOKUP($D176,Construction!$B:$J,(COLUMN(Construction_BuildingCost_Stone)-COLUMN(Construction_Name_and_Level)+1),FALSE)*(-1)</f>
        <v>-3344</v>
      </c>
      <c r="AL176" s="94">
        <f>VLOOKUP($D176,Construction!$B:$J,(COLUMN(Construction_BuildingCost_Wood)-COLUMN(Construction_Name_and_Level)+1),FALSE)*(-1)</f>
        <v>-3344</v>
      </c>
      <c r="AM176" s="94">
        <f>VLOOKUP($D176,Construction!$B:$J,(COLUMN(Construction_BuildingCost_Ore)-COLUMN(Construction_Name_and_Level)+1),FALSE)*(-1)</f>
        <v>-840</v>
      </c>
      <c r="AN176" s="94">
        <f>VLOOKUP($D176,Construction!$B:$J,(COLUMN(Construction_BuildingCost_Food)-COLUMN(Construction_Name_and_Level)+1),FALSE)*(-1)</f>
        <v>-8354</v>
      </c>
    </row>
    <row r="177" spans="2:40" ht="15.75">
      <c r="B177" s="93" t="s">
        <v>144</v>
      </c>
      <c r="C177" s="127" t="s">
        <v>138</v>
      </c>
      <c r="D177" s="144" t="s">
        <v>759</v>
      </c>
      <c r="E177" s="293">
        <v>16</v>
      </c>
      <c r="F177" s="12">
        <v>0.3</v>
      </c>
      <c r="G177" s="94">
        <f>VLOOKUP($D177,Construction!$B:$E,(COLUMN(Construction_BuildingReward_HeroXP)-COLUMN(Construction_Name_and_Level)+1),FALSE)</f>
        <v>500</v>
      </c>
      <c r="H177" s="94">
        <f t="shared" si="15"/>
        <v>650</v>
      </c>
      <c r="J177" s="95">
        <f>VLOOKUP($D177,Construction!$B:$F,(COLUMN(Construction_BuildingReward_Power)-COLUMN(Construction_Name_and_Level)+1),FALSE)</f>
        <v>135</v>
      </c>
      <c r="O177" s="139">
        <v>3.472222222222222E-3</v>
      </c>
      <c r="P177" s="139">
        <v>7.6388888888888886E-3</v>
      </c>
      <c r="AD177" s="137" t="e">
        <f t="shared" si="21"/>
        <v>#REF!</v>
      </c>
      <c r="AE177" s="259">
        <v>0.41</v>
      </c>
      <c r="AF177" s="138">
        <f>VLOOKUP($D177,Construction!$B:$C,(COLUMN(Construction_Time)-COLUMN(Construction_Name_and_Level)+1),FALSE)</f>
        <v>1.8518518518518521E-2</v>
      </c>
      <c r="AG177" s="138">
        <f t="shared" si="16"/>
        <v>1.313370107696349E-2</v>
      </c>
      <c r="AH177" s="138">
        <f t="shared" si="17"/>
        <v>0</v>
      </c>
      <c r="AI177" s="139">
        <f t="shared" si="18"/>
        <v>2.0225899658523798E-3</v>
      </c>
      <c r="AJ177" s="139">
        <f t="shared" si="19"/>
        <v>1.6495928552666142E-2</v>
      </c>
      <c r="AK177" s="94">
        <f>VLOOKUP($D177,Construction!$B:$J,(COLUMN(Construction_BuildingCost_Stone)-COLUMN(Construction_Name_and_Level)+1),FALSE)*(-1)</f>
        <v>-3344</v>
      </c>
      <c r="AL177" s="94">
        <f>VLOOKUP($D177,Construction!$B:$J,(COLUMN(Construction_BuildingCost_Wood)-COLUMN(Construction_Name_and_Level)+1),FALSE)*(-1)</f>
        <v>-3344</v>
      </c>
      <c r="AM177" s="94">
        <f>VLOOKUP($D177,Construction!$B:$J,(COLUMN(Construction_BuildingCost_Ore)-COLUMN(Construction_Name_and_Level)+1),FALSE)*(-1)</f>
        <v>-840</v>
      </c>
      <c r="AN177" s="94">
        <f>VLOOKUP($D177,Construction!$B:$J,(COLUMN(Construction_BuildingCost_Food)-COLUMN(Construction_Name_and_Level)+1),FALSE)*(-1)</f>
        <v>-8354</v>
      </c>
    </row>
    <row r="178" spans="2:40" ht="15.75">
      <c r="B178" s="93" t="s">
        <v>144</v>
      </c>
      <c r="C178" s="127" t="s">
        <v>138</v>
      </c>
      <c r="D178" s="144" t="s">
        <v>759</v>
      </c>
      <c r="E178" s="293">
        <v>16</v>
      </c>
      <c r="F178" s="12">
        <v>0.3</v>
      </c>
      <c r="G178" s="94">
        <f>VLOOKUP($D178,Construction!$B:$E,(COLUMN(Construction_BuildingReward_HeroXP)-COLUMN(Construction_Name_and_Level)+1),FALSE)</f>
        <v>500</v>
      </c>
      <c r="H178" s="94">
        <f t="shared" si="15"/>
        <v>650</v>
      </c>
      <c r="J178" s="95">
        <f>VLOOKUP($D178,Construction!$B:$F,(COLUMN(Construction_BuildingReward_Power)-COLUMN(Construction_Name_and_Level)+1),FALSE)</f>
        <v>135</v>
      </c>
      <c r="O178" s="139">
        <v>3.472222222222222E-3</v>
      </c>
      <c r="P178" s="139">
        <v>7.6388888888888886E-3</v>
      </c>
      <c r="AD178" s="137" t="e">
        <f t="shared" si="21"/>
        <v>#REF!</v>
      </c>
      <c r="AE178" s="259">
        <v>0.41</v>
      </c>
      <c r="AF178" s="138">
        <f>VLOOKUP($D178,Construction!$B:$C,(COLUMN(Construction_Time)-COLUMN(Construction_Name_and_Level)+1),FALSE)</f>
        <v>1.8518518518518521E-2</v>
      </c>
      <c r="AG178" s="138">
        <f t="shared" si="16"/>
        <v>1.313370107696349E-2</v>
      </c>
      <c r="AH178" s="138">
        <f t="shared" si="17"/>
        <v>0</v>
      </c>
      <c r="AI178" s="139">
        <f t="shared" si="18"/>
        <v>2.0225899658523798E-3</v>
      </c>
      <c r="AJ178" s="139">
        <f t="shared" si="19"/>
        <v>1.6495928552666142E-2</v>
      </c>
      <c r="AK178" s="94">
        <f>VLOOKUP($D178,Construction!$B:$J,(COLUMN(Construction_BuildingCost_Stone)-COLUMN(Construction_Name_and_Level)+1),FALSE)*(-1)</f>
        <v>-3344</v>
      </c>
      <c r="AL178" s="94">
        <f>VLOOKUP($D178,Construction!$B:$J,(COLUMN(Construction_BuildingCost_Wood)-COLUMN(Construction_Name_and_Level)+1),FALSE)*(-1)</f>
        <v>-3344</v>
      </c>
      <c r="AM178" s="94">
        <f>VLOOKUP($D178,Construction!$B:$J,(COLUMN(Construction_BuildingCost_Ore)-COLUMN(Construction_Name_and_Level)+1),FALSE)*(-1)</f>
        <v>-840</v>
      </c>
      <c r="AN178" s="94">
        <f>VLOOKUP($D178,Construction!$B:$J,(COLUMN(Construction_BuildingCost_Food)-COLUMN(Construction_Name_and_Level)+1),FALSE)*(-1)</f>
        <v>-8354</v>
      </c>
    </row>
    <row r="179" spans="2:40" ht="15.75">
      <c r="B179" s="93" t="s">
        <v>144</v>
      </c>
      <c r="C179" s="127" t="s">
        <v>138</v>
      </c>
      <c r="D179" s="144" t="s">
        <v>765</v>
      </c>
      <c r="E179" s="293">
        <v>16</v>
      </c>
      <c r="F179" s="12">
        <v>0.3</v>
      </c>
      <c r="G179" s="94">
        <f>VLOOKUP($D179,Construction!$B:$E,(COLUMN(Construction_BuildingReward_HeroXP)-COLUMN(Construction_Name_and_Level)+1),FALSE)</f>
        <v>500</v>
      </c>
      <c r="H179" s="94">
        <f t="shared" si="15"/>
        <v>650</v>
      </c>
      <c r="J179" s="95">
        <f>VLOOKUP($D179,Construction!$B:$F,(COLUMN(Construction_BuildingReward_Power)-COLUMN(Construction_Name_and_Level)+1),FALSE)</f>
        <v>170</v>
      </c>
      <c r="O179" s="139">
        <v>3.472222222222222E-3</v>
      </c>
      <c r="P179" s="139">
        <v>7.6388888888888886E-3</v>
      </c>
      <c r="U179" s="11">
        <v>-2</v>
      </c>
      <c r="AD179" s="137" t="e">
        <f t="shared" si="21"/>
        <v>#REF!</v>
      </c>
      <c r="AE179" s="259">
        <v>0.41</v>
      </c>
      <c r="AF179" s="138">
        <f>VLOOKUP($D179,Construction!$B:$C,(COLUMN(Construction_Time)-COLUMN(Construction_Name_and_Level)+1),FALSE)</f>
        <v>4.4444444444444446E-2</v>
      </c>
      <c r="AG179" s="138">
        <f t="shared" si="16"/>
        <v>3.1520882584712376E-2</v>
      </c>
      <c r="AH179" s="138">
        <f t="shared" si="17"/>
        <v>2.0833333333333332E-2</v>
      </c>
      <c r="AI179" s="139">
        <f t="shared" si="18"/>
        <v>0</v>
      </c>
      <c r="AJ179" s="139">
        <f t="shared" si="19"/>
        <v>4.4444444444444446E-2</v>
      </c>
      <c r="AK179" s="94">
        <f>VLOOKUP($D179,Construction!$B:$J,(COLUMN(Construction_BuildingCost_Stone)-COLUMN(Construction_Name_and_Level)+1),FALSE)*(-1)</f>
        <v>-13372</v>
      </c>
      <c r="AL179" s="94">
        <f>VLOOKUP($D179,Construction!$B:$J,(COLUMN(Construction_BuildingCost_Wood)-COLUMN(Construction_Name_and_Level)+1),FALSE)*(-1)</f>
        <v>-13372</v>
      </c>
      <c r="AM179" s="94">
        <f>VLOOKUP($D179,Construction!$B:$J,(COLUMN(Construction_BuildingCost_Ore)-COLUMN(Construction_Name_and_Level)+1),FALSE)*(-1)</f>
        <v>-10024</v>
      </c>
      <c r="AN179" s="94">
        <f>VLOOKUP($D179,Construction!$B:$J,(COLUMN(Construction_BuildingCost_Food)-COLUMN(Construction_Name_and_Level)+1),FALSE)*(-1)</f>
        <v>-6688</v>
      </c>
    </row>
    <row r="180" spans="2:40" ht="15.75">
      <c r="B180" s="93" t="s">
        <v>144</v>
      </c>
      <c r="C180" s="127" t="s">
        <v>138</v>
      </c>
      <c r="D180" s="144" t="s">
        <v>667</v>
      </c>
      <c r="E180" s="293">
        <v>16</v>
      </c>
      <c r="F180" s="12">
        <v>0.3</v>
      </c>
      <c r="G180" s="94">
        <f>VLOOKUP($D180,Construction!$B:$E,(COLUMN(Construction_BuildingReward_HeroXP)-COLUMN(Construction_Name_and_Level)+1),FALSE)</f>
        <v>500</v>
      </c>
      <c r="H180" s="94">
        <f t="shared" si="15"/>
        <v>650</v>
      </c>
      <c r="J180" s="95">
        <f>VLOOKUP($D180,Construction!$B:$F,(COLUMN(Construction_BuildingReward_Power)-COLUMN(Construction_Name_and_Level)+1),FALSE)</f>
        <v>85</v>
      </c>
      <c r="O180" s="139">
        <v>3.472222222222222E-3</v>
      </c>
      <c r="P180" s="139">
        <v>7.6388888888888886E-3</v>
      </c>
      <c r="V180" s="11">
        <v>-1</v>
      </c>
      <c r="AD180" s="137" t="e">
        <f t="shared" si="21"/>
        <v>#REF!</v>
      </c>
      <c r="AE180" s="259">
        <v>0.41</v>
      </c>
      <c r="AF180" s="138">
        <f>VLOOKUP($D180,Construction!$B:$C,(COLUMN(Construction_Time)-COLUMN(Construction_Name_and_Level)+1),FALSE)</f>
        <v>5.9259259259259262E-2</v>
      </c>
      <c r="AG180" s="138">
        <f t="shared" si="16"/>
        <v>4.2027843446283165E-2</v>
      </c>
      <c r="AH180" s="138">
        <f t="shared" si="17"/>
        <v>4.1666666666666664E-2</v>
      </c>
      <c r="AI180" s="139">
        <f t="shared" si="18"/>
        <v>0</v>
      </c>
      <c r="AJ180" s="139">
        <f t="shared" si="19"/>
        <v>5.9259259259259262E-2</v>
      </c>
      <c r="AK180" s="94">
        <f>VLOOKUP($D180,Construction!$B:$J,(COLUMN(Construction_BuildingCost_Stone)-COLUMN(Construction_Name_and_Level)+1),FALSE)*(-1)</f>
        <v>-3348</v>
      </c>
      <c r="AL180" s="94">
        <f>VLOOKUP($D180,Construction!$B:$J,(COLUMN(Construction_BuildingCost_Wood)-COLUMN(Construction_Name_and_Level)+1),FALSE)*(-1)</f>
        <v>-3348</v>
      </c>
      <c r="AM180" s="94">
        <f>VLOOKUP($D180,Construction!$B:$J,(COLUMN(Construction_BuildingCost_Ore)-COLUMN(Construction_Name_and_Level)+1),FALSE)*(-1)</f>
        <v>0</v>
      </c>
      <c r="AN180" s="94">
        <f>VLOOKUP($D180,Construction!$B:$J,(COLUMN(Construction_BuildingCost_Food)-COLUMN(Construction_Name_and_Level)+1),FALSE)*(-1)</f>
        <v>-3348</v>
      </c>
    </row>
    <row r="181" spans="2:40" ht="15.75">
      <c r="B181" s="93" t="s">
        <v>144</v>
      </c>
      <c r="C181" s="127" t="s">
        <v>138</v>
      </c>
      <c r="D181" s="144" t="s">
        <v>668</v>
      </c>
      <c r="E181" s="293">
        <v>16</v>
      </c>
      <c r="F181" s="12">
        <v>0.3</v>
      </c>
      <c r="G181" s="94">
        <f>VLOOKUP($D181,Construction!$B:$E,(COLUMN(Construction_BuildingReward_HeroXP)-COLUMN(Construction_Name_and_Level)+1),FALSE)</f>
        <v>500</v>
      </c>
      <c r="H181" s="94">
        <f t="shared" si="15"/>
        <v>650</v>
      </c>
      <c r="J181" s="95">
        <f>VLOOKUP($D181,Construction!$B:$F,(COLUMN(Construction_BuildingReward_Power)-COLUMN(Construction_Name_and_Level)+1),FALSE)</f>
        <v>215</v>
      </c>
      <c r="O181" s="139">
        <v>3.472222222222222E-3</v>
      </c>
      <c r="P181" s="139">
        <v>7.6388888888888886E-3</v>
      </c>
      <c r="V181" s="11">
        <v>-1</v>
      </c>
      <c r="AD181" s="137" t="e">
        <f t="shared" si="21"/>
        <v>#REF!</v>
      </c>
      <c r="AE181" s="259">
        <v>0.41</v>
      </c>
      <c r="AF181" s="138">
        <f>VLOOKUP($D181,Construction!$B:$C,(COLUMN(Construction_Time)-COLUMN(Construction_Name_and_Level)+1),FALSE)</f>
        <v>5.5555555555555552E-2</v>
      </c>
      <c r="AG181" s="138">
        <f t="shared" si="16"/>
        <v>3.9401103230890466E-2</v>
      </c>
      <c r="AH181" s="138">
        <f t="shared" si="17"/>
        <v>4.1666666666666664E-2</v>
      </c>
      <c r="AI181" s="139">
        <f t="shared" si="18"/>
        <v>0</v>
      </c>
      <c r="AJ181" s="139">
        <f t="shared" si="19"/>
        <v>5.5555555555555552E-2</v>
      </c>
      <c r="AK181" s="94">
        <f>VLOOKUP($D181,Construction!$B:$J,(COLUMN(Construction_BuildingCost_Stone)-COLUMN(Construction_Name_and_Level)+1),FALSE)*(-1)</f>
        <v>-10024</v>
      </c>
      <c r="AL181" s="94">
        <f>VLOOKUP($D181,Construction!$B:$J,(COLUMN(Construction_BuildingCost_Wood)-COLUMN(Construction_Name_and_Level)+1),FALSE)*(-1)</f>
        <v>-13372</v>
      </c>
      <c r="AM181" s="94">
        <f>VLOOKUP($D181,Construction!$B:$J,(COLUMN(Construction_BuildingCost_Ore)-COLUMN(Construction_Name_and_Level)+1),FALSE)*(-1)</f>
        <v>-26732</v>
      </c>
      <c r="AN181" s="94">
        <f>VLOOKUP($D181,Construction!$B:$J,(COLUMN(Construction_BuildingCost_Food)-COLUMN(Construction_Name_and_Level)+1),FALSE)*(-1)</f>
        <v>-10024</v>
      </c>
    </row>
    <row r="182" spans="2:40" ht="15.75">
      <c r="B182" s="93" t="s">
        <v>144</v>
      </c>
      <c r="C182" s="127" t="s">
        <v>138</v>
      </c>
      <c r="D182" s="144" t="s">
        <v>766</v>
      </c>
      <c r="E182" s="293">
        <v>16</v>
      </c>
      <c r="F182" s="12">
        <v>0.3</v>
      </c>
      <c r="G182" s="94">
        <f>VLOOKUP($D182,Construction!$B:$E,(COLUMN(Construction_BuildingReward_HeroXP)-COLUMN(Construction_Name_and_Level)+1),FALSE)</f>
        <v>5000</v>
      </c>
      <c r="H182" s="94">
        <f t="shared" si="15"/>
        <v>6500</v>
      </c>
      <c r="J182" s="95">
        <f>VLOOKUP($D182,Construction!$B:$F,(COLUMN(Construction_BuildingReward_Power)-COLUMN(Construction_Name_and_Level)+1),FALSE)</f>
        <v>510</v>
      </c>
      <c r="O182" s="139">
        <v>3.472222222222222E-3</v>
      </c>
      <c r="P182" s="139">
        <v>7.6388888888888886E-3</v>
      </c>
      <c r="V182" s="11">
        <v>-1</v>
      </c>
      <c r="AD182" s="137" t="e">
        <f t="shared" si="21"/>
        <v>#REF!</v>
      </c>
      <c r="AE182" s="259">
        <v>0.41</v>
      </c>
      <c r="AF182" s="138">
        <f>VLOOKUP($D182,Construction!$B:$C,(COLUMN(Construction_Time)-COLUMN(Construction_Name_and_Level)+1),FALSE)</f>
        <v>7.7777777777777779E-2</v>
      </c>
      <c r="AG182" s="138">
        <f t="shared" si="16"/>
        <v>5.5161544523246654E-2</v>
      </c>
      <c r="AH182" s="138">
        <f t="shared" si="17"/>
        <v>4.1666666666666664E-2</v>
      </c>
      <c r="AI182" s="139">
        <f t="shared" si="18"/>
        <v>2.3837667454688766E-3</v>
      </c>
      <c r="AJ182" s="139">
        <f t="shared" si="19"/>
        <v>7.5394011032308902E-2</v>
      </c>
      <c r="AK182" s="94">
        <f>VLOOKUP($D182,Construction!$B:$J,(COLUMN(Construction_BuildingCost_Stone)-COLUMN(Construction_Name_and_Level)+1),FALSE)*(-1)</f>
        <v>-41992</v>
      </c>
      <c r="AL182" s="94">
        <f>VLOOKUP($D182,Construction!$B:$J,(COLUMN(Construction_BuildingCost_Wood)-COLUMN(Construction_Name_and_Level)+1),FALSE)*(-1)</f>
        <v>-33596</v>
      </c>
      <c r="AM182" s="94">
        <f>VLOOKUP($D182,Construction!$B:$J,(COLUMN(Construction_BuildingCost_Ore)-COLUMN(Construction_Name_and_Level)+1),FALSE)*(-1)</f>
        <v>-12600</v>
      </c>
      <c r="AN182" s="94">
        <f>VLOOKUP($D182,Construction!$B:$J,(COLUMN(Construction_BuildingCost_Food)-COLUMN(Construction_Name_and_Level)+1),FALSE)*(-1)</f>
        <v>-20996</v>
      </c>
    </row>
    <row r="183" spans="2:40" ht="15.75">
      <c r="B183" s="93" t="s">
        <v>144</v>
      </c>
      <c r="C183" s="127" t="s">
        <v>138</v>
      </c>
      <c r="D183" s="144" t="s">
        <v>767</v>
      </c>
      <c r="E183" s="293">
        <v>16</v>
      </c>
      <c r="F183" s="12">
        <v>0.3</v>
      </c>
      <c r="G183" s="94">
        <f>VLOOKUP($D183,Construction!$B:$E,(COLUMN(Construction_BuildingReward_HeroXP)-COLUMN(Construction_Name_and_Level)+1),FALSE)</f>
        <v>500</v>
      </c>
      <c r="H183" s="94">
        <f t="shared" si="15"/>
        <v>650</v>
      </c>
      <c r="J183" s="304">
        <f>VLOOKUP($D183,Construction!$B:$F,(COLUMN(Construction_BuildingReward_Power)-COLUMN(Construction_Name_and_Level)+1),FALSE)</f>
        <v>595</v>
      </c>
      <c r="O183" s="139">
        <v>3.472222222222222E-3</v>
      </c>
      <c r="P183" s="139">
        <v>7.6388888888888886E-3</v>
      </c>
      <c r="AD183" s="137" t="e">
        <f t="shared" si="21"/>
        <v>#REF!</v>
      </c>
      <c r="AE183" s="259">
        <v>0.41</v>
      </c>
      <c r="AF183" s="138">
        <f>VLOOKUP($D183,Construction!$B:$C,(COLUMN(Construction_Time)-COLUMN(Construction_Name_and_Level)+1),FALSE)</f>
        <v>7.407407407407407E-2</v>
      </c>
      <c r="AG183" s="138">
        <f t="shared" si="16"/>
        <v>5.2534804307853955E-2</v>
      </c>
      <c r="AH183" s="138">
        <f t="shared" si="17"/>
        <v>0</v>
      </c>
      <c r="AI183" s="139">
        <f t="shared" si="18"/>
        <v>4.1423693196742842E-2</v>
      </c>
      <c r="AJ183" s="139">
        <f t="shared" si="19"/>
        <v>3.2650380877331228E-2</v>
      </c>
      <c r="AK183" s="94">
        <f>VLOOKUP($D183,Construction!$B:$J,(COLUMN(Construction_BuildingCost_Stone)-COLUMN(Construction_Name_and_Level)+1),FALSE)*(-1)</f>
        <v>-20996</v>
      </c>
      <c r="AL183" s="94">
        <f>VLOOKUP($D183,Construction!$B:$J,(COLUMN(Construction_BuildingCost_Wood)-COLUMN(Construction_Name_and_Level)+1),FALSE)*(-1)</f>
        <v>-20996</v>
      </c>
      <c r="AM183" s="94">
        <f>VLOOKUP($D183,Construction!$B:$J,(COLUMN(Construction_BuildingCost_Ore)-COLUMN(Construction_Name_and_Level)+1),FALSE)*(-1)</f>
        <v>-8404</v>
      </c>
      <c r="AN183" s="94">
        <f>VLOOKUP($D183,Construction!$B:$J,(COLUMN(Construction_BuildingCost_Food)-COLUMN(Construction_Name_and_Level)+1),FALSE)*(-1)</f>
        <v>-12600</v>
      </c>
    </row>
    <row r="184" spans="2:40" ht="15.75">
      <c r="B184" s="93" t="s">
        <v>144</v>
      </c>
      <c r="C184" s="127" t="s">
        <v>138</v>
      </c>
      <c r="D184" s="144" t="s">
        <v>749</v>
      </c>
      <c r="E184" s="293">
        <v>17</v>
      </c>
      <c r="F184" s="12">
        <v>0.3</v>
      </c>
      <c r="G184" s="94">
        <f>VLOOKUP($D184,Construction!$B:$E,(COLUMN(Construction_BuildingReward_HeroXP)-COLUMN(Construction_Name_and_Level)+1),FALSE)</f>
        <v>500</v>
      </c>
      <c r="H184" s="94">
        <f t="shared" si="15"/>
        <v>650</v>
      </c>
      <c r="J184" s="304">
        <f>VLOOKUP($D184,Construction!$B:$F,(COLUMN(Construction_BuildingReward_Power)-COLUMN(Construction_Name_and_Level)+1),FALSE)</f>
        <v>55</v>
      </c>
      <c r="O184" s="139">
        <v>3.472222222222222E-3</v>
      </c>
      <c r="P184" s="139">
        <v>7.6388888888888886E-3</v>
      </c>
      <c r="AD184" s="137" t="e">
        <f t="shared" si="21"/>
        <v>#REF!</v>
      </c>
      <c r="AE184" s="259">
        <v>0.41</v>
      </c>
      <c r="AF184" s="138">
        <f>VLOOKUP($D184,Construction!$B:$C,(COLUMN(Construction_Time)-COLUMN(Construction_Name_and_Level)+1),FALSE)</f>
        <v>2.2222222222222223E-2</v>
      </c>
      <c r="AG184" s="138">
        <f t="shared" si="16"/>
        <v>1.5760441292356188E-2</v>
      </c>
      <c r="AH184" s="138">
        <f t="shared" si="17"/>
        <v>0</v>
      </c>
      <c r="AI184" s="139">
        <f t="shared" si="18"/>
        <v>4.6493301812450772E-3</v>
      </c>
      <c r="AJ184" s="139">
        <f t="shared" si="19"/>
        <v>1.7572892040977145E-2</v>
      </c>
      <c r="AK184" s="94">
        <f>VLOOKUP($D184,Construction!$B:$J,(COLUMN(Construction_BuildingCost_Stone)-COLUMN(Construction_Name_and_Level)+1),FALSE)*(-1)</f>
        <v>-1674</v>
      </c>
      <c r="AL184" s="94">
        <f>VLOOKUP($D184,Construction!$B:$J,(COLUMN(Construction_BuildingCost_Wood)-COLUMN(Construction_Name_and_Level)+1),FALSE)*(-1)</f>
        <v>0</v>
      </c>
      <c r="AM184" s="94">
        <f>VLOOKUP($D184,Construction!$B:$J,(COLUMN(Construction_BuildingCost_Ore)-COLUMN(Construction_Name_and_Level)+1),FALSE)*(-1)</f>
        <v>-1674</v>
      </c>
      <c r="AN184" s="94">
        <f>VLOOKUP($D184,Construction!$B:$J,(COLUMN(Construction_BuildingCost_Food)-COLUMN(Construction_Name_and_Level)+1),FALSE)*(-1)</f>
        <v>-1674</v>
      </c>
    </row>
    <row r="185" spans="2:40" ht="15.75">
      <c r="B185" s="93" t="s">
        <v>144</v>
      </c>
      <c r="C185" s="127" t="s">
        <v>138</v>
      </c>
      <c r="D185" s="144" t="s">
        <v>749</v>
      </c>
      <c r="E185" s="293">
        <v>17</v>
      </c>
      <c r="F185" s="12">
        <v>0.3</v>
      </c>
      <c r="G185" s="94">
        <f>VLOOKUP($D185,Construction!$B:$E,(COLUMN(Construction_BuildingReward_HeroXP)-COLUMN(Construction_Name_and_Level)+1),FALSE)</f>
        <v>500</v>
      </c>
      <c r="H185" s="94">
        <f t="shared" si="15"/>
        <v>650</v>
      </c>
      <c r="J185" s="95">
        <f>VLOOKUP($D185,Construction!$B:$F,(COLUMN(Construction_BuildingReward_Power)-COLUMN(Construction_Name_and_Level)+1),FALSE)</f>
        <v>55</v>
      </c>
      <c r="O185" s="139">
        <v>3.472222222222222E-3</v>
      </c>
      <c r="P185" s="139">
        <v>7.6388888888888886E-3</v>
      </c>
      <c r="Q185" s="2">
        <v>-1</v>
      </c>
      <c r="AD185" s="137" t="e">
        <f t="shared" si="21"/>
        <v>#REF!</v>
      </c>
      <c r="AE185" s="259">
        <v>0.41</v>
      </c>
      <c r="AF185" s="138">
        <f>VLOOKUP($D185,Construction!$B:$C,(COLUMN(Construction_Time)-COLUMN(Construction_Name_and_Level)+1),FALSE)</f>
        <v>2.2222222222222223E-2</v>
      </c>
      <c r="AG185" s="138">
        <f t="shared" si="16"/>
        <v>1.5760441292356188E-2</v>
      </c>
      <c r="AH185" s="138">
        <f t="shared" si="17"/>
        <v>6.9444444444444447E-4</v>
      </c>
      <c r="AI185" s="139">
        <f t="shared" si="18"/>
        <v>3.9548857368006327E-3</v>
      </c>
      <c r="AJ185" s="139">
        <f t="shared" si="19"/>
        <v>1.826733648542159E-2</v>
      </c>
      <c r="AK185" s="94">
        <f>VLOOKUP($D185,Construction!$B:$J,(COLUMN(Construction_BuildingCost_Stone)-COLUMN(Construction_Name_and_Level)+1),FALSE)*(-1)</f>
        <v>-1674</v>
      </c>
      <c r="AL185" s="94">
        <f>VLOOKUP($D185,Construction!$B:$J,(COLUMN(Construction_BuildingCost_Wood)-COLUMN(Construction_Name_and_Level)+1),FALSE)*(-1)</f>
        <v>0</v>
      </c>
      <c r="AM185" s="94">
        <f>VLOOKUP($D185,Construction!$B:$J,(COLUMN(Construction_BuildingCost_Ore)-COLUMN(Construction_Name_and_Level)+1),FALSE)*(-1)</f>
        <v>-1674</v>
      </c>
      <c r="AN185" s="94">
        <f>VLOOKUP($D185,Construction!$B:$J,(COLUMN(Construction_BuildingCost_Food)-COLUMN(Construction_Name_and_Level)+1),FALSE)*(-1)</f>
        <v>-1674</v>
      </c>
    </row>
    <row r="186" spans="2:40" ht="15.75">
      <c r="B186" s="93" t="s">
        <v>144</v>
      </c>
      <c r="C186" s="127" t="s">
        <v>138</v>
      </c>
      <c r="D186" s="144" t="s">
        <v>749</v>
      </c>
      <c r="E186" s="293">
        <v>17</v>
      </c>
      <c r="F186" s="12">
        <v>0.3</v>
      </c>
      <c r="G186" s="94">
        <f>VLOOKUP($D186,Construction!$B:$E,(COLUMN(Construction_BuildingReward_HeroXP)-COLUMN(Construction_Name_and_Level)+1),FALSE)</f>
        <v>500</v>
      </c>
      <c r="H186" s="94">
        <f t="shared" si="15"/>
        <v>650</v>
      </c>
      <c r="J186" s="95">
        <f>VLOOKUP($D186,Construction!$B:$F,(COLUMN(Construction_BuildingReward_Power)-COLUMN(Construction_Name_and_Level)+1),FALSE)</f>
        <v>55</v>
      </c>
      <c r="M186" s="135" t="s">
        <v>768</v>
      </c>
      <c r="O186" s="139">
        <v>3.472222222222222E-3</v>
      </c>
      <c r="P186" s="139">
        <v>7.6388888888888886E-3</v>
      </c>
      <c r="AD186" s="137" t="e">
        <f t="shared" si="21"/>
        <v>#REF!</v>
      </c>
      <c r="AE186" s="259">
        <v>0.41</v>
      </c>
      <c r="AF186" s="138">
        <f>VLOOKUP($D186,Construction!$B:$C,(COLUMN(Construction_Time)-COLUMN(Construction_Name_and_Level)+1),FALSE)</f>
        <v>2.2222222222222223E-2</v>
      </c>
      <c r="AG186" s="138">
        <f t="shared" si="16"/>
        <v>1.5760441292356188E-2</v>
      </c>
      <c r="AH186" s="138">
        <f t="shared" si="17"/>
        <v>0</v>
      </c>
      <c r="AI186" s="139">
        <f t="shared" si="18"/>
        <v>4.6493301812450772E-3</v>
      </c>
      <c r="AJ186" s="139">
        <f t="shared" si="19"/>
        <v>1.7572892040977145E-2</v>
      </c>
      <c r="AK186" s="94">
        <f>VLOOKUP($D186,Construction!$B:$J,(COLUMN(Construction_BuildingCost_Stone)-COLUMN(Construction_Name_and_Level)+1),FALSE)*(-1)</f>
        <v>-1674</v>
      </c>
      <c r="AL186" s="94">
        <f>VLOOKUP($D186,Construction!$B:$J,(COLUMN(Construction_BuildingCost_Wood)-COLUMN(Construction_Name_and_Level)+1),FALSE)*(-1)</f>
        <v>0</v>
      </c>
      <c r="AM186" s="94">
        <f>VLOOKUP($D186,Construction!$B:$J,(COLUMN(Construction_BuildingCost_Ore)-COLUMN(Construction_Name_and_Level)+1),FALSE)*(-1)</f>
        <v>-1674</v>
      </c>
      <c r="AN186" s="94">
        <f>VLOOKUP($D186,Construction!$B:$J,(COLUMN(Construction_BuildingCost_Food)-COLUMN(Construction_Name_and_Level)+1),FALSE)*(-1)</f>
        <v>-1674</v>
      </c>
    </row>
    <row r="187" spans="2:40" ht="15.75">
      <c r="B187" s="93" t="s">
        <v>144</v>
      </c>
      <c r="C187" s="127" t="s">
        <v>138</v>
      </c>
      <c r="D187" s="144" t="s">
        <v>633</v>
      </c>
      <c r="E187" s="293">
        <v>17</v>
      </c>
      <c r="F187" s="12">
        <v>0.3</v>
      </c>
      <c r="G187" s="94">
        <f>VLOOKUP($D187,Construction!$B:$E,(COLUMN(Construction_BuildingReward_HeroXP)-COLUMN(Construction_Name_and_Level)+1),FALSE)</f>
        <v>500</v>
      </c>
      <c r="H187" s="94">
        <f t="shared" si="15"/>
        <v>650</v>
      </c>
      <c r="J187" s="95">
        <f>VLOOKUP($D187,Construction!$B:$F,(COLUMN(Construction_BuildingReward_Power)-COLUMN(Construction_Name_and_Level)+1),FALSE)</f>
        <v>55</v>
      </c>
      <c r="O187" s="139">
        <v>3.472222222222222E-3</v>
      </c>
      <c r="P187" s="139">
        <v>7.6388888888888886E-3</v>
      </c>
      <c r="R187" s="2">
        <v>-1</v>
      </c>
      <c r="AD187" s="137" t="e">
        <f t="shared" si="21"/>
        <v>#REF!</v>
      </c>
      <c r="AE187" s="259">
        <v>0.41</v>
      </c>
      <c r="AF187" s="138">
        <f>VLOOKUP($D187,Construction!$B:$C,(COLUMN(Construction_Time)-COLUMN(Construction_Name_and_Level)+1),FALSE)</f>
        <v>2.6041666666666668E-2</v>
      </c>
      <c r="AG187" s="138">
        <f t="shared" si="16"/>
        <v>1.8469267139479908E-2</v>
      </c>
      <c r="AH187" s="138">
        <f t="shared" si="17"/>
        <v>2.0833333333333333E-3</v>
      </c>
      <c r="AI187" s="139">
        <f t="shared" si="18"/>
        <v>5.2748226950354634E-3</v>
      </c>
      <c r="AJ187" s="139">
        <f t="shared" si="19"/>
        <v>2.0766843971631206E-2</v>
      </c>
      <c r="AK187" s="94">
        <f>VLOOKUP($D187,Construction!$B:$J,(COLUMN(Construction_BuildingCost_Stone)-COLUMN(Construction_Name_and_Level)+1),FALSE)*(-1)</f>
        <v>0</v>
      </c>
      <c r="AL187" s="94">
        <f>VLOOKUP($D187,Construction!$B:$J,(COLUMN(Construction_BuildingCost_Wood)-COLUMN(Construction_Name_and_Level)+1),FALSE)*(-1)</f>
        <v>-1674</v>
      </c>
      <c r="AM187" s="94">
        <f>VLOOKUP($D187,Construction!$B:$J,(COLUMN(Construction_BuildingCost_Ore)-COLUMN(Construction_Name_and_Level)+1),FALSE)*(-1)</f>
        <v>-1674</v>
      </c>
      <c r="AN187" s="94">
        <f>VLOOKUP($D187,Construction!$B:$J,(COLUMN(Construction_BuildingCost_Food)-COLUMN(Construction_Name_and_Level)+1),FALSE)*(-1)</f>
        <v>-1674</v>
      </c>
    </row>
    <row r="188" spans="2:40" ht="15.75">
      <c r="B188" s="93" t="s">
        <v>144</v>
      </c>
      <c r="C188" s="127" t="s">
        <v>138</v>
      </c>
      <c r="D188" s="144" t="s">
        <v>633</v>
      </c>
      <c r="E188" s="293">
        <v>17</v>
      </c>
      <c r="F188" s="12">
        <v>0.3</v>
      </c>
      <c r="G188" s="94">
        <f>VLOOKUP($D188,Construction!$B:$E,(COLUMN(Construction_BuildingReward_HeroXP)-COLUMN(Construction_Name_and_Level)+1),FALSE)</f>
        <v>500</v>
      </c>
      <c r="H188" s="94">
        <f t="shared" si="15"/>
        <v>650</v>
      </c>
      <c r="J188" s="304">
        <f>VLOOKUP($D188,Construction!$B:$F,(COLUMN(Construction_BuildingReward_Power)-COLUMN(Construction_Name_and_Level)+1),FALSE)</f>
        <v>55</v>
      </c>
      <c r="O188" s="139">
        <v>3.472222222222222E-3</v>
      </c>
      <c r="P188" s="139">
        <v>7.6388888888888886E-3</v>
      </c>
      <c r="AD188" s="137" t="e">
        <f t="shared" si="21"/>
        <v>#REF!</v>
      </c>
      <c r="AE188" s="259">
        <v>0.41</v>
      </c>
      <c r="AF188" s="138">
        <f>VLOOKUP($D188,Construction!$B:$C,(COLUMN(Construction_Time)-COLUMN(Construction_Name_and_Level)+1),FALSE)</f>
        <v>2.6041666666666668E-2</v>
      </c>
      <c r="AG188" s="138">
        <f t="shared" si="16"/>
        <v>1.8469267139479908E-2</v>
      </c>
      <c r="AH188" s="138">
        <f t="shared" si="17"/>
        <v>0</v>
      </c>
      <c r="AI188" s="139">
        <f t="shared" si="18"/>
        <v>7.3581560283687971E-3</v>
      </c>
      <c r="AJ188" s="139">
        <f t="shared" si="19"/>
        <v>1.868351063829787E-2</v>
      </c>
      <c r="AK188" s="94">
        <f>VLOOKUP($D188,Construction!$B:$J,(COLUMN(Construction_BuildingCost_Stone)-COLUMN(Construction_Name_and_Level)+1),FALSE)*(-1)</f>
        <v>0</v>
      </c>
      <c r="AL188" s="94">
        <f>VLOOKUP($D188,Construction!$B:$J,(COLUMN(Construction_BuildingCost_Wood)-COLUMN(Construction_Name_and_Level)+1),FALSE)*(-1)</f>
        <v>-1674</v>
      </c>
      <c r="AM188" s="94">
        <f>VLOOKUP($D188,Construction!$B:$J,(COLUMN(Construction_BuildingCost_Ore)-COLUMN(Construction_Name_and_Level)+1),FALSE)*(-1)</f>
        <v>-1674</v>
      </c>
      <c r="AN188" s="94">
        <f>VLOOKUP($D188,Construction!$B:$J,(COLUMN(Construction_BuildingCost_Food)-COLUMN(Construction_Name_and_Level)+1),FALSE)*(-1)</f>
        <v>-1674</v>
      </c>
    </row>
    <row r="189" spans="2:40" ht="15.75">
      <c r="B189" s="93" t="s">
        <v>144</v>
      </c>
      <c r="C189" s="127" t="s">
        <v>138</v>
      </c>
      <c r="D189" s="144" t="s">
        <v>16</v>
      </c>
      <c r="E189" s="293">
        <v>17</v>
      </c>
      <c r="F189" s="12">
        <v>0.3</v>
      </c>
      <c r="G189" s="94">
        <f>VLOOKUP($D189,Construction!$B:$E,(COLUMN(Construction_BuildingReward_HeroXP)-COLUMN(Construction_Name_and_Level)+1),FALSE)</f>
        <v>10</v>
      </c>
      <c r="H189" s="94">
        <f t="shared" si="15"/>
        <v>13</v>
      </c>
      <c r="J189" s="95">
        <f>VLOOKUP($D189,Construction!$B:$F,(COLUMN(Construction_BuildingReward_Power)-COLUMN(Construction_Name_and_Level)+1),FALSE)</f>
        <v>5</v>
      </c>
      <c r="O189" s="139">
        <v>3.472222222222222E-3</v>
      </c>
      <c r="P189" s="139">
        <v>7.6388888888888886E-3</v>
      </c>
      <c r="AD189" s="137" t="e">
        <f t="shared" si="21"/>
        <v>#REF!</v>
      </c>
      <c r="AE189" s="259">
        <v>0.41</v>
      </c>
      <c r="AF189" s="138">
        <f>VLOOKUP($D189,Construction!$B:$C,(COLUMN(Construction_Time)-COLUMN(Construction_Name_and_Level)+1),FALSE)</f>
        <v>6.9444444444444447E-4</v>
      </c>
      <c r="AG189" s="138">
        <f t="shared" si="16"/>
        <v>4.9251379038613087E-4</v>
      </c>
      <c r="AH189" s="138">
        <f t="shared" si="17"/>
        <v>0</v>
      </c>
      <c r="AI189" s="139">
        <f t="shared" si="18"/>
        <v>0</v>
      </c>
      <c r="AJ189" s="139">
        <f t="shared" si="19"/>
        <v>6.9444444444444447E-4</v>
      </c>
      <c r="AK189" s="94">
        <f>VLOOKUP($D189,Construction!$B:$J,(COLUMN(Construction_BuildingCost_Stone)-COLUMN(Construction_Name_and_Level)+1),FALSE)*(-1)</f>
        <v>-100</v>
      </c>
      <c r="AL189" s="94">
        <f>VLOOKUP($D189,Construction!$B:$J,(COLUMN(Construction_BuildingCost_Wood)-COLUMN(Construction_Name_and_Level)+1),FALSE)*(-1)</f>
        <v>-100</v>
      </c>
      <c r="AM189" s="94">
        <f>VLOOKUP($D189,Construction!$B:$J,(COLUMN(Construction_BuildingCost_Ore)-COLUMN(Construction_Name_and_Level)+1),FALSE)*(-1)</f>
        <v>-100</v>
      </c>
      <c r="AN189" s="94">
        <f>VLOOKUP($D189,Construction!$B:$J,(COLUMN(Construction_BuildingCost_Food)-COLUMN(Construction_Name_and_Level)+1),FALSE)*(-1)</f>
        <v>0</v>
      </c>
    </row>
    <row r="190" spans="2:40" ht="15.75">
      <c r="B190" s="93" t="s">
        <v>144</v>
      </c>
      <c r="C190" s="127" t="s">
        <v>138</v>
      </c>
      <c r="D190" s="144" t="s">
        <v>16</v>
      </c>
      <c r="E190" s="293">
        <v>17</v>
      </c>
      <c r="F190" s="12">
        <v>0.3</v>
      </c>
      <c r="G190" s="94">
        <f>VLOOKUP($D190,Construction!$B:$E,(COLUMN(Construction_BuildingReward_HeroXP)-COLUMN(Construction_Name_and_Level)+1),FALSE)</f>
        <v>10</v>
      </c>
      <c r="H190" s="94">
        <f t="shared" si="15"/>
        <v>13</v>
      </c>
      <c r="J190" s="95">
        <f>VLOOKUP($D190,Construction!$B:$F,(COLUMN(Construction_BuildingReward_Power)-COLUMN(Construction_Name_and_Level)+1),FALSE)</f>
        <v>5</v>
      </c>
      <c r="O190" s="139">
        <v>3.472222222222222E-3</v>
      </c>
      <c r="P190" s="139">
        <v>7.6388888888888886E-3</v>
      </c>
      <c r="AD190" s="137" t="e">
        <f t="shared" si="21"/>
        <v>#REF!</v>
      </c>
      <c r="AE190" s="259">
        <v>0.41</v>
      </c>
      <c r="AF190" s="138">
        <f>VLOOKUP($D190,Construction!$B:$C,(COLUMN(Construction_Time)-COLUMN(Construction_Name_and_Level)+1),FALSE)</f>
        <v>6.9444444444444447E-4</v>
      </c>
      <c r="AG190" s="138">
        <f t="shared" si="16"/>
        <v>4.9251379038613087E-4</v>
      </c>
      <c r="AH190" s="138">
        <f t="shared" si="17"/>
        <v>0</v>
      </c>
      <c r="AI190" s="139">
        <f t="shared" si="18"/>
        <v>0</v>
      </c>
      <c r="AJ190" s="139">
        <f t="shared" si="19"/>
        <v>6.9444444444444447E-4</v>
      </c>
      <c r="AK190" s="94">
        <f>VLOOKUP($D190,Construction!$B:$J,(COLUMN(Construction_BuildingCost_Stone)-COLUMN(Construction_Name_and_Level)+1),FALSE)*(-1)</f>
        <v>-100</v>
      </c>
      <c r="AL190" s="94">
        <f>VLOOKUP($D190,Construction!$B:$J,(COLUMN(Construction_BuildingCost_Wood)-COLUMN(Construction_Name_and_Level)+1),FALSE)*(-1)</f>
        <v>-100</v>
      </c>
      <c r="AM190" s="94">
        <f>VLOOKUP($D190,Construction!$B:$J,(COLUMN(Construction_BuildingCost_Ore)-COLUMN(Construction_Name_and_Level)+1),FALSE)*(-1)</f>
        <v>-100</v>
      </c>
      <c r="AN190" s="94">
        <f>VLOOKUP($D190,Construction!$B:$J,(COLUMN(Construction_BuildingCost_Food)-COLUMN(Construction_Name_and_Level)+1),FALSE)*(-1)</f>
        <v>0</v>
      </c>
    </row>
    <row r="191" spans="2:40" ht="15.75">
      <c r="B191" s="93" t="s">
        <v>144</v>
      </c>
      <c r="C191" s="127" t="s">
        <v>138</v>
      </c>
      <c r="D191" s="144" t="s">
        <v>16</v>
      </c>
      <c r="E191" s="293">
        <v>17</v>
      </c>
      <c r="F191" s="12">
        <v>0.3</v>
      </c>
      <c r="G191" s="94">
        <f>VLOOKUP($D191,Construction!$B:$E,(COLUMN(Construction_BuildingReward_HeroXP)-COLUMN(Construction_Name_and_Level)+1),FALSE)</f>
        <v>10</v>
      </c>
      <c r="H191" s="94">
        <f t="shared" si="15"/>
        <v>13</v>
      </c>
      <c r="J191" s="304">
        <f>VLOOKUP($D191,Construction!$B:$F,(COLUMN(Construction_BuildingReward_Power)-COLUMN(Construction_Name_and_Level)+1),FALSE)</f>
        <v>5</v>
      </c>
      <c r="O191" s="139">
        <v>3.472222222222222E-3</v>
      </c>
      <c r="P191" s="139">
        <v>7.6388888888888886E-3</v>
      </c>
      <c r="AD191" s="137" t="e">
        <f t="shared" si="21"/>
        <v>#REF!</v>
      </c>
      <c r="AE191" s="259">
        <v>0.41</v>
      </c>
      <c r="AF191" s="138">
        <f>VLOOKUP($D191,Construction!$B:$C,(COLUMN(Construction_Time)-COLUMN(Construction_Name_and_Level)+1),FALSE)</f>
        <v>6.9444444444444447E-4</v>
      </c>
      <c r="AG191" s="138">
        <f t="shared" si="16"/>
        <v>4.9251379038613087E-4</v>
      </c>
      <c r="AH191" s="138">
        <f t="shared" si="17"/>
        <v>0</v>
      </c>
      <c r="AI191" s="139">
        <f t="shared" si="18"/>
        <v>0</v>
      </c>
      <c r="AJ191" s="139">
        <f t="shared" si="19"/>
        <v>6.9444444444444447E-4</v>
      </c>
      <c r="AK191" s="94">
        <f>VLOOKUP($D191,Construction!$B:$J,(COLUMN(Construction_BuildingCost_Stone)-COLUMN(Construction_Name_and_Level)+1),FALSE)*(-1)</f>
        <v>-100</v>
      </c>
      <c r="AL191" s="94">
        <f>VLOOKUP($D191,Construction!$B:$J,(COLUMN(Construction_BuildingCost_Wood)-COLUMN(Construction_Name_and_Level)+1),FALSE)*(-1)</f>
        <v>-100</v>
      </c>
      <c r="AM191" s="94">
        <f>VLOOKUP($D191,Construction!$B:$J,(COLUMN(Construction_BuildingCost_Ore)-COLUMN(Construction_Name_and_Level)+1),FALSE)*(-1)</f>
        <v>-100</v>
      </c>
      <c r="AN191" s="94">
        <f>VLOOKUP($D191,Construction!$B:$J,(COLUMN(Construction_BuildingCost_Food)-COLUMN(Construction_Name_and_Level)+1),FALSE)*(-1)</f>
        <v>0</v>
      </c>
    </row>
    <row r="192" spans="2:40" ht="15.75">
      <c r="B192" s="93" t="s">
        <v>144</v>
      </c>
      <c r="C192" s="127" t="s">
        <v>138</v>
      </c>
      <c r="D192" s="144" t="s">
        <v>30</v>
      </c>
      <c r="E192" s="293">
        <v>17</v>
      </c>
      <c r="F192" s="12">
        <v>0.3</v>
      </c>
      <c r="G192" s="94">
        <f>VLOOKUP($D192,Construction!$B:$E,(COLUMN(Construction_BuildingReward_HeroXP)-COLUMN(Construction_Name_and_Level)+1),FALSE)</f>
        <v>25</v>
      </c>
      <c r="H192" s="94">
        <f t="shared" si="15"/>
        <v>32.5</v>
      </c>
      <c r="J192" s="95">
        <f>VLOOKUP($D192,Construction!$B:$F,(COLUMN(Construction_BuildingReward_Power)-COLUMN(Construction_Name_and_Level)+1),FALSE)</f>
        <v>10</v>
      </c>
      <c r="O192" s="139">
        <v>3.472222222222222E-3</v>
      </c>
      <c r="P192" s="139">
        <v>7.6388888888888886E-3</v>
      </c>
      <c r="AD192" s="137" t="e">
        <f t="shared" si="21"/>
        <v>#REF!</v>
      </c>
      <c r="AE192" s="259">
        <v>0.41</v>
      </c>
      <c r="AF192" s="138">
        <f>VLOOKUP($D192,Construction!$B:$C,(COLUMN(Construction_Time)-COLUMN(Construction_Name_and_Level)+1),FALSE)</f>
        <v>1.1574074074074073E-3</v>
      </c>
      <c r="AG192" s="138">
        <f t="shared" si="16"/>
        <v>8.2085631731021805E-4</v>
      </c>
      <c r="AH192" s="138">
        <f t="shared" si="17"/>
        <v>0</v>
      </c>
      <c r="AI192" s="139">
        <f t="shared" si="18"/>
        <v>0</v>
      </c>
      <c r="AJ192" s="139">
        <f t="shared" si="19"/>
        <v>1.1574074074074073E-3</v>
      </c>
      <c r="AK192" s="94">
        <f>VLOOKUP($D192,Construction!$B:$J,(COLUMN(Construction_BuildingCost_Stone)-COLUMN(Construction_Name_and_Level)+1),FALSE)*(-1)</f>
        <v>-170</v>
      </c>
      <c r="AL192" s="94">
        <f>VLOOKUP($D192,Construction!$B:$J,(COLUMN(Construction_BuildingCost_Wood)-COLUMN(Construction_Name_and_Level)+1),FALSE)*(-1)</f>
        <v>-170</v>
      </c>
      <c r="AM192" s="94">
        <f>VLOOKUP($D192,Construction!$B:$J,(COLUMN(Construction_BuildingCost_Ore)-COLUMN(Construction_Name_and_Level)+1),FALSE)*(-1)</f>
        <v>-170</v>
      </c>
      <c r="AN192" s="94">
        <f>VLOOKUP($D192,Construction!$B:$J,(COLUMN(Construction_BuildingCost_Food)-COLUMN(Construction_Name_and_Level)+1),FALSE)*(-1)</f>
        <v>0</v>
      </c>
    </row>
    <row r="193" spans="2:40" ht="15.75">
      <c r="B193" s="93" t="s">
        <v>144</v>
      </c>
      <c r="C193" s="127" t="s">
        <v>138</v>
      </c>
      <c r="D193" s="144" t="s">
        <v>30</v>
      </c>
      <c r="E193" s="293">
        <v>17</v>
      </c>
      <c r="F193" s="12">
        <v>0.3</v>
      </c>
      <c r="G193" s="94">
        <f>VLOOKUP($D193,Construction!$B:$E,(COLUMN(Construction_BuildingReward_HeroXP)-COLUMN(Construction_Name_and_Level)+1),FALSE)</f>
        <v>25</v>
      </c>
      <c r="H193" s="94">
        <f t="shared" si="15"/>
        <v>32.5</v>
      </c>
      <c r="J193" s="95">
        <f>VLOOKUP($D193,Construction!$B:$F,(COLUMN(Construction_BuildingReward_Power)-COLUMN(Construction_Name_and_Level)+1),FALSE)</f>
        <v>10</v>
      </c>
      <c r="O193" s="139">
        <v>3.472222222222222E-3</v>
      </c>
      <c r="P193" s="139">
        <v>7.6388888888888886E-3</v>
      </c>
      <c r="AD193" s="137" t="e">
        <f t="shared" si="21"/>
        <v>#REF!</v>
      </c>
      <c r="AE193" s="259">
        <v>0.41</v>
      </c>
      <c r="AF193" s="138">
        <f>VLOOKUP($D193,Construction!$B:$C,(COLUMN(Construction_Time)-COLUMN(Construction_Name_and_Level)+1),FALSE)</f>
        <v>1.1574074074074073E-3</v>
      </c>
      <c r="AG193" s="138">
        <f t="shared" si="16"/>
        <v>8.2085631731021805E-4</v>
      </c>
      <c r="AH193" s="138">
        <f t="shared" si="17"/>
        <v>0</v>
      </c>
      <c r="AI193" s="139">
        <f t="shared" si="18"/>
        <v>0</v>
      </c>
      <c r="AJ193" s="139">
        <f t="shared" si="19"/>
        <v>1.1574074074074073E-3</v>
      </c>
      <c r="AK193" s="94">
        <f>VLOOKUP($D193,Construction!$B:$J,(COLUMN(Construction_BuildingCost_Stone)-COLUMN(Construction_Name_and_Level)+1),FALSE)*(-1)</f>
        <v>-170</v>
      </c>
      <c r="AL193" s="94">
        <f>VLOOKUP($D193,Construction!$B:$J,(COLUMN(Construction_BuildingCost_Wood)-COLUMN(Construction_Name_and_Level)+1),FALSE)*(-1)</f>
        <v>-170</v>
      </c>
      <c r="AM193" s="94">
        <f>VLOOKUP($D193,Construction!$B:$J,(COLUMN(Construction_BuildingCost_Ore)-COLUMN(Construction_Name_and_Level)+1),FALSE)*(-1)</f>
        <v>-170</v>
      </c>
      <c r="AN193" s="94">
        <f>VLOOKUP($D193,Construction!$B:$J,(COLUMN(Construction_BuildingCost_Food)-COLUMN(Construction_Name_and_Level)+1),FALSE)*(-1)</f>
        <v>0</v>
      </c>
    </row>
    <row r="194" spans="2:40" ht="15.75">
      <c r="B194" s="93" t="s">
        <v>144</v>
      </c>
      <c r="C194" s="127" t="s">
        <v>138</v>
      </c>
      <c r="D194" s="144" t="s">
        <v>30</v>
      </c>
      <c r="E194" s="293">
        <v>17</v>
      </c>
      <c r="F194" s="12">
        <v>0.3</v>
      </c>
      <c r="G194" s="94">
        <f>VLOOKUP($D194,Construction!$B:$E,(COLUMN(Construction_BuildingReward_HeroXP)-COLUMN(Construction_Name_and_Level)+1),FALSE)</f>
        <v>25</v>
      </c>
      <c r="H194" s="94">
        <f t="shared" si="15"/>
        <v>32.5</v>
      </c>
      <c r="J194" s="95">
        <f>VLOOKUP($D194,Construction!$B:$F,(COLUMN(Construction_BuildingReward_Power)-COLUMN(Construction_Name_and_Level)+1),FALSE)</f>
        <v>10</v>
      </c>
      <c r="O194" s="139">
        <v>3.472222222222222E-3</v>
      </c>
      <c r="P194" s="139">
        <v>7.6388888888888886E-3</v>
      </c>
      <c r="AD194" s="137" t="e">
        <f t="shared" si="21"/>
        <v>#REF!</v>
      </c>
      <c r="AE194" s="259">
        <v>0.41</v>
      </c>
      <c r="AF194" s="138">
        <f>VLOOKUP($D194,Construction!$B:$C,(COLUMN(Construction_Time)-COLUMN(Construction_Name_and_Level)+1),FALSE)</f>
        <v>1.1574074074074073E-3</v>
      </c>
      <c r="AG194" s="138">
        <f t="shared" si="16"/>
        <v>8.2085631731021805E-4</v>
      </c>
      <c r="AH194" s="138">
        <f t="shared" si="17"/>
        <v>0</v>
      </c>
      <c r="AI194" s="139">
        <f t="shared" si="18"/>
        <v>0</v>
      </c>
      <c r="AJ194" s="139">
        <f t="shared" si="19"/>
        <v>1.1574074074074073E-3</v>
      </c>
      <c r="AK194" s="94">
        <f>VLOOKUP($D194,Construction!$B:$J,(COLUMN(Construction_BuildingCost_Stone)-COLUMN(Construction_Name_and_Level)+1),FALSE)*(-1)</f>
        <v>-170</v>
      </c>
      <c r="AL194" s="94">
        <f>VLOOKUP($D194,Construction!$B:$J,(COLUMN(Construction_BuildingCost_Wood)-COLUMN(Construction_Name_and_Level)+1),FALSE)*(-1)</f>
        <v>-170</v>
      </c>
      <c r="AM194" s="94">
        <f>VLOOKUP($D194,Construction!$B:$J,(COLUMN(Construction_BuildingCost_Ore)-COLUMN(Construction_Name_and_Level)+1),FALSE)*(-1)</f>
        <v>-170</v>
      </c>
      <c r="AN194" s="94">
        <f>VLOOKUP($D194,Construction!$B:$J,(COLUMN(Construction_BuildingCost_Food)-COLUMN(Construction_Name_and_Level)+1),FALSE)*(-1)</f>
        <v>0</v>
      </c>
    </row>
    <row r="195" spans="2:40" ht="15.75">
      <c r="B195" s="93" t="s">
        <v>144</v>
      </c>
      <c r="C195" s="127" t="s">
        <v>138</v>
      </c>
      <c r="D195" s="144" t="s">
        <v>629</v>
      </c>
      <c r="E195" s="293">
        <v>17</v>
      </c>
      <c r="F195" s="12">
        <v>0.3</v>
      </c>
      <c r="G195" s="94">
        <f>VLOOKUP($D195,Construction!$B:$E,(COLUMN(Construction_BuildingReward_HeroXP)-COLUMN(Construction_Name_and_Level)+1),FALSE)</f>
        <v>50</v>
      </c>
      <c r="H195" s="94">
        <f t="shared" si="15"/>
        <v>65</v>
      </c>
      <c r="J195" s="95">
        <f>VLOOKUP($D195,Construction!$B:$F,(COLUMN(Construction_BuildingReward_Power)-COLUMN(Construction_Name_and_Level)+1),FALSE)</f>
        <v>15</v>
      </c>
      <c r="O195" s="139">
        <v>3.472222222222222E-3</v>
      </c>
      <c r="P195" s="139">
        <v>7.6388888888888886E-3</v>
      </c>
      <c r="AD195" s="137" t="e">
        <f t="shared" si="21"/>
        <v>#REF!</v>
      </c>
      <c r="AE195" s="259">
        <v>0.41</v>
      </c>
      <c r="AF195" s="138">
        <f>VLOOKUP($D195,Construction!$B:$C,(COLUMN(Construction_Time)-COLUMN(Construction_Name_and_Level)+1),FALSE)</f>
        <v>2.3148148148148151E-3</v>
      </c>
      <c r="AG195" s="138">
        <f t="shared" si="16"/>
        <v>1.6417126346204363E-3</v>
      </c>
      <c r="AH195" s="138">
        <f t="shared" si="17"/>
        <v>0</v>
      </c>
      <c r="AI195" s="139">
        <f t="shared" si="18"/>
        <v>0</v>
      </c>
      <c r="AJ195" s="139">
        <f t="shared" si="19"/>
        <v>2.3148148148148151E-3</v>
      </c>
      <c r="AK195" s="94">
        <f>VLOOKUP($D195,Construction!$B:$J,(COLUMN(Construction_BuildingCost_Stone)-COLUMN(Construction_Name_and_Level)+1),FALSE)*(-1)</f>
        <v>-289</v>
      </c>
      <c r="AL195" s="94">
        <f>VLOOKUP($D195,Construction!$B:$J,(COLUMN(Construction_BuildingCost_Wood)-COLUMN(Construction_Name_and_Level)+1),FALSE)*(-1)</f>
        <v>-289</v>
      </c>
      <c r="AM195" s="94">
        <f>VLOOKUP($D195,Construction!$B:$J,(COLUMN(Construction_BuildingCost_Ore)-COLUMN(Construction_Name_and_Level)+1),FALSE)*(-1)</f>
        <v>-289</v>
      </c>
      <c r="AN195" s="94">
        <f>VLOOKUP($D195,Construction!$B:$J,(COLUMN(Construction_BuildingCost_Food)-COLUMN(Construction_Name_and_Level)+1),FALSE)*(-1)</f>
        <v>0</v>
      </c>
    </row>
    <row r="196" spans="2:40" ht="15.75">
      <c r="B196" s="93" t="s">
        <v>144</v>
      </c>
      <c r="C196" s="127" t="s">
        <v>138</v>
      </c>
      <c r="D196" s="144" t="s">
        <v>629</v>
      </c>
      <c r="E196" s="293">
        <v>17</v>
      </c>
      <c r="F196" s="12">
        <v>0.3</v>
      </c>
      <c r="G196" s="94">
        <f>VLOOKUP($D196,Construction!$B:$E,(COLUMN(Construction_BuildingReward_HeroXP)-COLUMN(Construction_Name_and_Level)+1),FALSE)</f>
        <v>50</v>
      </c>
      <c r="H196" s="94">
        <f t="shared" ref="H196:H241" si="22">G196*(1+F196)</f>
        <v>65</v>
      </c>
      <c r="J196" s="95">
        <f>VLOOKUP($D196,Construction!$B:$F,(COLUMN(Construction_BuildingReward_Power)-COLUMN(Construction_Name_and_Level)+1),FALSE)</f>
        <v>15</v>
      </c>
      <c r="O196" s="139">
        <v>3.472222222222222E-3</v>
      </c>
      <c r="P196" s="139">
        <v>7.6388888888888886E-3</v>
      </c>
      <c r="AD196" s="137" t="e">
        <f t="shared" si="21"/>
        <v>#REF!</v>
      </c>
      <c r="AE196" s="259">
        <v>0.41</v>
      </c>
      <c r="AF196" s="138">
        <f>VLOOKUP($D196,Construction!$B:$C,(COLUMN(Construction_Time)-COLUMN(Construction_Name_and_Level)+1),FALSE)</f>
        <v>2.3148148148148151E-3</v>
      </c>
      <c r="AG196" s="138">
        <f t="shared" ref="AG196:AG241" si="23">AF196/(1+AE196)</f>
        <v>1.6417126346204363E-3</v>
      </c>
      <c r="AH196" s="138">
        <f t="shared" ref="AH196:AH241" si="24">(Q$3*Q196+R$3*R196+T$3*T196+U$3*U196+V$3*V196+W$3*W196+X$3*X196+Y$3*Y196+Z$3*Z196+AA$3*AA196)*(-1)</f>
        <v>0</v>
      </c>
      <c r="AI196" s="139">
        <f t="shared" ref="AI196:AI241" si="25">IF((AG196-O196-P196-AH196)&gt;=0,AG196-O196-P196-AH196,0)</f>
        <v>0</v>
      </c>
      <c r="AJ196" s="139">
        <f t="shared" si="19"/>
        <v>2.3148148148148151E-3</v>
      </c>
      <c r="AK196" s="94">
        <f>VLOOKUP($D196,Construction!$B:$J,(COLUMN(Construction_BuildingCost_Stone)-COLUMN(Construction_Name_and_Level)+1),FALSE)*(-1)</f>
        <v>-289</v>
      </c>
      <c r="AL196" s="94">
        <f>VLOOKUP($D196,Construction!$B:$J,(COLUMN(Construction_BuildingCost_Wood)-COLUMN(Construction_Name_and_Level)+1),FALSE)*(-1)</f>
        <v>-289</v>
      </c>
      <c r="AM196" s="94">
        <f>VLOOKUP($D196,Construction!$B:$J,(COLUMN(Construction_BuildingCost_Ore)-COLUMN(Construction_Name_and_Level)+1),FALSE)*(-1)</f>
        <v>-289</v>
      </c>
      <c r="AN196" s="94">
        <f>VLOOKUP($D196,Construction!$B:$J,(COLUMN(Construction_BuildingCost_Food)-COLUMN(Construction_Name_and_Level)+1),FALSE)*(-1)</f>
        <v>0</v>
      </c>
    </row>
    <row r="197" spans="2:40" ht="15.75">
      <c r="B197" s="93" t="s">
        <v>144</v>
      </c>
      <c r="C197" s="127" t="s">
        <v>138</v>
      </c>
      <c r="D197" s="144" t="s">
        <v>629</v>
      </c>
      <c r="E197" s="293">
        <v>17</v>
      </c>
      <c r="F197" s="12">
        <v>0.3</v>
      </c>
      <c r="G197" s="94">
        <f>VLOOKUP($D197,Construction!$B:$E,(COLUMN(Construction_BuildingReward_HeroXP)-COLUMN(Construction_Name_and_Level)+1),FALSE)</f>
        <v>50</v>
      </c>
      <c r="H197" s="94">
        <f t="shared" si="22"/>
        <v>65</v>
      </c>
      <c r="J197" s="95">
        <f>VLOOKUP($D197,Construction!$B:$F,(COLUMN(Construction_BuildingReward_Power)-COLUMN(Construction_Name_and_Level)+1),FALSE)</f>
        <v>15</v>
      </c>
      <c r="O197" s="139">
        <v>3.472222222222222E-3</v>
      </c>
      <c r="P197" s="139">
        <v>7.6388888888888886E-3</v>
      </c>
      <c r="AD197" s="137" t="e">
        <f t="shared" si="21"/>
        <v>#REF!</v>
      </c>
      <c r="AE197" s="259">
        <v>0.41</v>
      </c>
      <c r="AF197" s="138">
        <f>VLOOKUP($D197,Construction!$B:$C,(COLUMN(Construction_Time)-COLUMN(Construction_Name_and_Level)+1),FALSE)</f>
        <v>2.3148148148148151E-3</v>
      </c>
      <c r="AG197" s="138">
        <f t="shared" si="23"/>
        <v>1.6417126346204363E-3</v>
      </c>
      <c r="AH197" s="138">
        <f t="shared" si="24"/>
        <v>0</v>
      </c>
      <c r="AI197" s="139">
        <f t="shared" si="25"/>
        <v>0</v>
      </c>
      <c r="AJ197" s="139">
        <f t="shared" ref="AJ197:AJ241" si="26">AF197-AI197</f>
        <v>2.3148148148148151E-3</v>
      </c>
      <c r="AK197" s="94">
        <f>VLOOKUP($D197,Construction!$B:$J,(COLUMN(Construction_BuildingCost_Stone)-COLUMN(Construction_Name_and_Level)+1),FALSE)*(-1)</f>
        <v>-289</v>
      </c>
      <c r="AL197" s="94">
        <f>VLOOKUP($D197,Construction!$B:$J,(COLUMN(Construction_BuildingCost_Wood)-COLUMN(Construction_Name_and_Level)+1),FALSE)*(-1)</f>
        <v>-289</v>
      </c>
      <c r="AM197" s="94">
        <f>VLOOKUP($D197,Construction!$B:$J,(COLUMN(Construction_BuildingCost_Ore)-COLUMN(Construction_Name_and_Level)+1),FALSE)*(-1)</f>
        <v>-289</v>
      </c>
      <c r="AN197" s="94">
        <f>VLOOKUP($D197,Construction!$B:$J,(COLUMN(Construction_BuildingCost_Food)-COLUMN(Construction_Name_and_Level)+1),FALSE)*(-1)</f>
        <v>0</v>
      </c>
    </row>
    <row r="198" spans="2:40" ht="15.75">
      <c r="B198" s="93" t="s">
        <v>144</v>
      </c>
      <c r="C198" s="127" t="s">
        <v>138</v>
      </c>
      <c r="D198" s="144" t="s">
        <v>630</v>
      </c>
      <c r="E198" s="293">
        <v>17</v>
      </c>
      <c r="F198" s="12">
        <v>0.3</v>
      </c>
      <c r="G198" s="94">
        <f>VLOOKUP($D198,Construction!$B:$E,(COLUMN(Construction_BuildingReward_HeroXP)-COLUMN(Construction_Name_and_Level)+1),FALSE)</f>
        <v>200</v>
      </c>
      <c r="H198" s="94">
        <f t="shared" si="22"/>
        <v>260</v>
      </c>
      <c r="J198" s="95">
        <f>VLOOKUP($D198,Construction!$B:$F,(COLUMN(Construction_BuildingReward_Power)-COLUMN(Construction_Name_and_Level)+1),FALSE)</f>
        <v>25</v>
      </c>
      <c r="O198" s="139">
        <v>3.472222222222222E-3</v>
      </c>
      <c r="P198" s="139">
        <v>7.6388888888888886E-3</v>
      </c>
      <c r="AD198" s="137" t="e">
        <f t="shared" si="21"/>
        <v>#REF!</v>
      </c>
      <c r="AE198" s="259">
        <v>0.41</v>
      </c>
      <c r="AF198" s="138">
        <f>VLOOKUP($D198,Construction!$B:$C,(COLUMN(Construction_Time)-COLUMN(Construction_Name_and_Level)+1),FALSE)</f>
        <v>4.6296296296296302E-3</v>
      </c>
      <c r="AG198" s="138">
        <f t="shared" si="23"/>
        <v>3.2834252692408726E-3</v>
      </c>
      <c r="AH198" s="138">
        <f t="shared" si="24"/>
        <v>0</v>
      </c>
      <c r="AI198" s="139">
        <f t="shared" si="25"/>
        <v>0</v>
      </c>
      <c r="AJ198" s="139">
        <f t="shared" si="26"/>
        <v>4.6296296296296302E-3</v>
      </c>
      <c r="AK198" s="94">
        <f>VLOOKUP($D198,Construction!$B:$J,(COLUMN(Construction_BuildingCost_Stone)-COLUMN(Construction_Name_and_Level)+1),FALSE)*(-1)</f>
        <v>-492</v>
      </c>
      <c r="AL198" s="94">
        <f>VLOOKUP($D198,Construction!$B:$J,(COLUMN(Construction_BuildingCost_Wood)-COLUMN(Construction_Name_and_Level)+1),FALSE)*(-1)</f>
        <v>-492</v>
      </c>
      <c r="AM198" s="94">
        <f>VLOOKUP($D198,Construction!$B:$J,(COLUMN(Construction_BuildingCost_Ore)-COLUMN(Construction_Name_and_Level)+1),FALSE)*(-1)</f>
        <v>-492</v>
      </c>
      <c r="AN198" s="94">
        <f>VLOOKUP($D198,Construction!$B:$J,(COLUMN(Construction_BuildingCost_Food)-COLUMN(Construction_Name_and_Level)+1),FALSE)*(-1)</f>
        <v>0</v>
      </c>
    </row>
    <row r="199" spans="2:40" ht="15.75">
      <c r="B199" s="93" t="s">
        <v>144</v>
      </c>
      <c r="C199" s="127" t="s">
        <v>138</v>
      </c>
      <c r="D199" s="144" t="s">
        <v>630</v>
      </c>
      <c r="E199" s="293">
        <v>17</v>
      </c>
      <c r="F199" s="12">
        <v>0.3</v>
      </c>
      <c r="G199" s="94">
        <f>VLOOKUP($D199,Construction!$B:$E,(COLUMN(Construction_BuildingReward_HeroXP)-COLUMN(Construction_Name_and_Level)+1),FALSE)</f>
        <v>200</v>
      </c>
      <c r="H199" s="94">
        <f t="shared" si="22"/>
        <v>260</v>
      </c>
      <c r="J199" s="95">
        <f>VLOOKUP($D199,Construction!$B:$F,(COLUMN(Construction_BuildingReward_Power)-COLUMN(Construction_Name_and_Level)+1),FALSE)</f>
        <v>25</v>
      </c>
      <c r="O199" s="139">
        <v>3.472222222222222E-3</v>
      </c>
      <c r="P199" s="139">
        <v>7.6388888888888886E-3</v>
      </c>
      <c r="AD199" s="137" t="e">
        <f t="shared" si="21"/>
        <v>#REF!</v>
      </c>
      <c r="AE199" s="259">
        <v>0.41</v>
      </c>
      <c r="AF199" s="138">
        <f>VLOOKUP($D199,Construction!$B:$C,(COLUMN(Construction_Time)-COLUMN(Construction_Name_and_Level)+1),FALSE)</f>
        <v>4.6296296296296302E-3</v>
      </c>
      <c r="AG199" s="138">
        <f t="shared" si="23"/>
        <v>3.2834252692408726E-3</v>
      </c>
      <c r="AH199" s="138">
        <f t="shared" si="24"/>
        <v>0</v>
      </c>
      <c r="AI199" s="139">
        <f t="shared" si="25"/>
        <v>0</v>
      </c>
      <c r="AJ199" s="139">
        <f t="shared" si="26"/>
        <v>4.6296296296296302E-3</v>
      </c>
      <c r="AK199" s="94">
        <f>VLOOKUP($D199,Construction!$B:$J,(COLUMN(Construction_BuildingCost_Stone)-COLUMN(Construction_Name_and_Level)+1),FALSE)*(-1)</f>
        <v>-492</v>
      </c>
      <c r="AL199" s="94">
        <f>VLOOKUP($D199,Construction!$B:$J,(COLUMN(Construction_BuildingCost_Wood)-COLUMN(Construction_Name_and_Level)+1),FALSE)*(-1)</f>
        <v>-492</v>
      </c>
      <c r="AM199" s="94">
        <f>VLOOKUP($D199,Construction!$B:$J,(COLUMN(Construction_BuildingCost_Ore)-COLUMN(Construction_Name_and_Level)+1),FALSE)*(-1)</f>
        <v>-492</v>
      </c>
      <c r="AN199" s="94">
        <f>VLOOKUP($D199,Construction!$B:$J,(COLUMN(Construction_BuildingCost_Food)-COLUMN(Construction_Name_and_Level)+1),FALSE)*(-1)</f>
        <v>0</v>
      </c>
    </row>
    <row r="200" spans="2:40" ht="15.75">
      <c r="B200" s="93" t="s">
        <v>144</v>
      </c>
      <c r="C200" s="127" t="s">
        <v>138</v>
      </c>
      <c r="D200" s="144" t="s">
        <v>630</v>
      </c>
      <c r="E200" s="293">
        <v>17</v>
      </c>
      <c r="F200" s="12">
        <v>0.3</v>
      </c>
      <c r="G200" s="94">
        <f>VLOOKUP($D200,Construction!$B:$E,(COLUMN(Construction_BuildingReward_HeroXP)-COLUMN(Construction_Name_and_Level)+1),FALSE)</f>
        <v>200</v>
      </c>
      <c r="H200" s="94">
        <f t="shared" si="22"/>
        <v>260</v>
      </c>
      <c r="J200" s="95">
        <f>VLOOKUP($D200,Construction!$B:$F,(COLUMN(Construction_BuildingReward_Power)-COLUMN(Construction_Name_and_Level)+1),FALSE)</f>
        <v>25</v>
      </c>
      <c r="O200" s="139">
        <v>3.472222222222222E-3</v>
      </c>
      <c r="P200" s="139">
        <v>7.6388888888888886E-3</v>
      </c>
      <c r="AD200" s="137" t="e">
        <f t="shared" si="21"/>
        <v>#REF!</v>
      </c>
      <c r="AE200" s="259">
        <v>0.41</v>
      </c>
      <c r="AF200" s="138">
        <f>VLOOKUP($D200,Construction!$B:$C,(COLUMN(Construction_Time)-COLUMN(Construction_Name_and_Level)+1),FALSE)</f>
        <v>4.6296296296296302E-3</v>
      </c>
      <c r="AG200" s="138">
        <f t="shared" si="23"/>
        <v>3.2834252692408726E-3</v>
      </c>
      <c r="AH200" s="138">
        <f t="shared" si="24"/>
        <v>0</v>
      </c>
      <c r="AI200" s="139">
        <f t="shared" si="25"/>
        <v>0</v>
      </c>
      <c r="AJ200" s="139">
        <f t="shared" si="26"/>
        <v>4.6296296296296302E-3</v>
      </c>
      <c r="AK200" s="94">
        <f>VLOOKUP($D200,Construction!$B:$J,(COLUMN(Construction_BuildingCost_Stone)-COLUMN(Construction_Name_and_Level)+1),FALSE)*(-1)</f>
        <v>-492</v>
      </c>
      <c r="AL200" s="94">
        <f>VLOOKUP($D200,Construction!$B:$J,(COLUMN(Construction_BuildingCost_Wood)-COLUMN(Construction_Name_and_Level)+1),FALSE)*(-1)</f>
        <v>-492</v>
      </c>
      <c r="AM200" s="94">
        <f>VLOOKUP($D200,Construction!$B:$J,(COLUMN(Construction_BuildingCost_Ore)-COLUMN(Construction_Name_and_Level)+1),FALSE)*(-1)</f>
        <v>-492</v>
      </c>
      <c r="AN200" s="94">
        <f>VLOOKUP($D200,Construction!$B:$J,(COLUMN(Construction_BuildingCost_Food)-COLUMN(Construction_Name_and_Level)+1),FALSE)*(-1)</f>
        <v>0</v>
      </c>
    </row>
    <row r="201" spans="2:40" ht="15.75">
      <c r="B201" s="93" t="s">
        <v>144</v>
      </c>
      <c r="C201" s="127" t="s">
        <v>138</v>
      </c>
      <c r="D201" s="144" t="s">
        <v>631</v>
      </c>
      <c r="E201" s="293">
        <v>17</v>
      </c>
      <c r="F201" s="12">
        <v>0.3</v>
      </c>
      <c r="G201" s="94">
        <f>VLOOKUP($D201,Construction!$B:$E,(COLUMN(Construction_BuildingReward_HeroXP)-COLUMN(Construction_Name_and_Level)+1),FALSE)</f>
        <v>400</v>
      </c>
      <c r="H201" s="94">
        <f t="shared" si="22"/>
        <v>520</v>
      </c>
      <c r="J201" s="95">
        <f>VLOOKUP($D201,Construction!$B:$F,(COLUMN(Construction_BuildingReward_Power)-COLUMN(Construction_Name_and_Level)+1),FALSE)</f>
        <v>35</v>
      </c>
      <c r="O201" s="139">
        <v>3.472222222222222E-3</v>
      </c>
      <c r="P201" s="139">
        <v>7.6388888888888886E-3</v>
      </c>
      <c r="AD201" s="137" t="e">
        <f t="shared" si="21"/>
        <v>#REF!</v>
      </c>
      <c r="AE201" s="259">
        <v>0.41</v>
      </c>
      <c r="AF201" s="138">
        <f>VLOOKUP($D201,Construction!$B:$C,(COLUMN(Construction_Time)-COLUMN(Construction_Name_and_Level)+1),FALSE)</f>
        <v>9.2592592592592605E-3</v>
      </c>
      <c r="AG201" s="138">
        <f t="shared" si="23"/>
        <v>6.5668505384817452E-3</v>
      </c>
      <c r="AH201" s="138">
        <f t="shared" si="24"/>
        <v>0</v>
      </c>
      <c r="AI201" s="139">
        <f t="shared" si="25"/>
        <v>0</v>
      </c>
      <c r="AJ201" s="139">
        <f t="shared" si="26"/>
        <v>9.2592592592592605E-3</v>
      </c>
      <c r="AK201" s="94">
        <f>VLOOKUP($D201,Construction!$B:$J,(COLUMN(Construction_BuildingCost_Stone)-COLUMN(Construction_Name_and_Level)+1),FALSE)*(-1)</f>
        <v>-837</v>
      </c>
      <c r="AL201" s="94">
        <f>VLOOKUP($D201,Construction!$B:$J,(COLUMN(Construction_BuildingCost_Wood)-COLUMN(Construction_Name_and_Level)+1),FALSE)*(-1)</f>
        <v>-837</v>
      </c>
      <c r="AM201" s="94">
        <f>VLOOKUP($D201,Construction!$B:$J,(COLUMN(Construction_BuildingCost_Ore)-COLUMN(Construction_Name_and_Level)+1),FALSE)*(-1)</f>
        <v>-837</v>
      </c>
      <c r="AN201" s="94">
        <f>VLOOKUP($D201,Construction!$B:$J,(COLUMN(Construction_BuildingCost_Food)-COLUMN(Construction_Name_and_Level)+1),FALSE)*(-1)</f>
        <v>0</v>
      </c>
    </row>
    <row r="202" spans="2:40" ht="15.75">
      <c r="B202" s="93" t="s">
        <v>144</v>
      </c>
      <c r="C202" s="127" t="s">
        <v>138</v>
      </c>
      <c r="D202" s="144" t="s">
        <v>631</v>
      </c>
      <c r="E202" s="293">
        <v>17</v>
      </c>
      <c r="F202" s="12">
        <v>0.3</v>
      </c>
      <c r="G202" s="94">
        <f>VLOOKUP($D202,Construction!$B:$E,(COLUMN(Construction_BuildingReward_HeroXP)-COLUMN(Construction_Name_and_Level)+1),FALSE)</f>
        <v>400</v>
      </c>
      <c r="H202" s="94">
        <f t="shared" si="22"/>
        <v>520</v>
      </c>
      <c r="J202" s="95">
        <f>VLOOKUP($D202,Construction!$B:$F,(COLUMN(Construction_BuildingReward_Power)-COLUMN(Construction_Name_and_Level)+1),FALSE)</f>
        <v>35</v>
      </c>
      <c r="O202" s="139">
        <v>3.472222222222222E-3</v>
      </c>
      <c r="P202" s="139">
        <v>7.6388888888888886E-3</v>
      </c>
      <c r="AD202" s="137" t="e">
        <f t="shared" si="21"/>
        <v>#REF!</v>
      </c>
      <c r="AE202" s="259">
        <v>0.41</v>
      </c>
      <c r="AF202" s="138">
        <f>VLOOKUP($D202,Construction!$B:$C,(COLUMN(Construction_Time)-COLUMN(Construction_Name_and_Level)+1),FALSE)</f>
        <v>9.2592592592592605E-3</v>
      </c>
      <c r="AG202" s="138">
        <f t="shared" si="23"/>
        <v>6.5668505384817452E-3</v>
      </c>
      <c r="AH202" s="138">
        <f t="shared" si="24"/>
        <v>0</v>
      </c>
      <c r="AI202" s="139">
        <f t="shared" si="25"/>
        <v>0</v>
      </c>
      <c r="AJ202" s="139">
        <f t="shared" si="26"/>
        <v>9.2592592592592605E-3</v>
      </c>
      <c r="AK202" s="94">
        <f>VLOOKUP($D202,Construction!$B:$J,(COLUMN(Construction_BuildingCost_Stone)-COLUMN(Construction_Name_and_Level)+1),FALSE)*(-1)</f>
        <v>-837</v>
      </c>
      <c r="AL202" s="94">
        <f>VLOOKUP($D202,Construction!$B:$J,(COLUMN(Construction_BuildingCost_Wood)-COLUMN(Construction_Name_and_Level)+1),FALSE)*(-1)</f>
        <v>-837</v>
      </c>
      <c r="AM202" s="94">
        <f>VLOOKUP($D202,Construction!$B:$J,(COLUMN(Construction_BuildingCost_Ore)-COLUMN(Construction_Name_and_Level)+1),FALSE)*(-1)</f>
        <v>-837</v>
      </c>
      <c r="AN202" s="94">
        <f>VLOOKUP($D202,Construction!$B:$J,(COLUMN(Construction_BuildingCost_Food)-COLUMN(Construction_Name_and_Level)+1),FALSE)*(-1)</f>
        <v>0</v>
      </c>
    </row>
    <row r="203" spans="2:40" ht="15.75">
      <c r="B203" s="93" t="s">
        <v>144</v>
      </c>
      <c r="C203" s="127" t="s">
        <v>138</v>
      </c>
      <c r="D203" s="144" t="s">
        <v>631</v>
      </c>
      <c r="E203" s="293">
        <v>17</v>
      </c>
      <c r="F203" s="12">
        <v>0.3</v>
      </c>
      <c r="G203" s="94">
        <f>VLOOKUP($D203,Construction!$B:$E,(COLUMN(Construction_BuildingReward_HeroXP)-COLUMN(Construction_Name_and_Level)+1),FALSE)</f>
        <v>400</v>
      </c>
      <c r="H203" s="94">
        <f t="shared" si="22"/>
        <v>520</v>
      </c>
      <c r="J203" s="95">
        <f>VLOOKUP($D203,Construction!$B:$F,(COLUMN(Construction_BuildingReward_Power)-COLUMN(Construction_Name_and_Level)+1),FALSE)</f>
        <v>35</v>
      </c>
      <c r="O203" s="139">
        <v>3.472222222222222E-3</v>
      </c>
      <c r="P203" s="139">
        <v>7.6388888888888886E-3</v>
      </c>
      <c r="AD203" s="137" t="e">
        <f t="shared" si="21"/>
        <v>#REF!</v>
      </c>
      <c r="AE203" s="259">
        <v>0.41</v>
      </c>
      <c r="AF203" s="138">
        <f>VLOOKUP($D203,Construction!$B:$C,(COLUMN(Construction_Time)-COLUMN(Construction_Name_and_Level)+1),FALSE)</f>
        <v>9.2592592592592605E-3</v>
      </c>
      <c r="AG203" s="138">
        <f t="shared" si="23"/>
        <v>6.5668505384817452E-3</v>
      </c>
      <c r="AH203" s="138">
        <f t="shared" si="24"/>
        <v>0</v>
      </c>
      <c r="AI203" s="139">
        <f t="shared" si="25"/>
        <v>0</v>
      </c>
      <c r="AJ203" s="139">
        <f t="shared" si="26"/>
        <v>9.2592592592592605E-3</v>
      </c>
      <c r="AK203" s="94">
        <f>VLOOKUP($D203,Construction!$B:$J,(COLUMN(Construction_BuildingCost_Stone)-COLUMN(Construction_Name_and_Level)+1),FALSE)*(-1)</f>
        <v>-837</v>
      </c>
      <c r="AL203" s="94">
        <f>VLOOKUP($D203,Construction!$B:$J,(COLUMN(Construction_BuildingCost_Wood)-COLUMN(Construction_Name_and_Level)+1),FALSE)*(-1)</f>
        <v>-837</v>
      </c>
      <c r="AM203" s="94">
        <f>VLOOKUP($D203,Construction!$B:$J,(COLUMN(Construction_BuildingCost_Ore)-COLUMN(Construction_Name_and_Level)+1),FALSE)*(-1)</f>
        <v>-837</v>
      </c>
      <c r="AN203" s="94">
        <f>VLOOKUP($D203,Construction!$B:$J,(COLUMN(Construction_BuildingCost_Food)-COLUMN(Construction_Name_and_Level)+1),FALSE)*(-1)</f>
        <v>0</v>
      </c>
    </row>
    <row r="204" spans="2:40" ht="15.75">
      <c r="B204" s="93" t="s">
        <v>144</v>
      </c>
      <c r="C204" s="127" t="s">
        <v>138</v>
      </c>
      <c r="D204" s="144" t="s">
        <v>610</v>
      </c>
      <c r="E204" s="293">
        <v>17</v>
      </c>
      <c r="F204" s="12">
        <v>0.3</v>
      </c>
      <c r="G204" s="94">
        <f>VLOOKUP($D204,Construction!$B:$E,(COLUMN(Construction_BuildingReward_HeroXP)-COLUMN(Construction_Name_and_Level)+1),FALSE)</f>
        <v>500</v>
      </c>
      <c r="H204" s="94">
        <f t="shared" si="22"/>
        <v>650</v>
      </c>
      <c r="J204" s="95">
        <f>VLOOKUP($D204,Construction!$B:$F,(COLUMN(Construction_BuildingReward_Power)-COLUMN(Construction_Name_and_Level)+1),FALSE)</f>
        <v>55</v>
      </c>
      <c r="O204" s="139">
        <v>3.472222222222222E-3</v>
      </c>
      <c r="P204" s="139">
        <v>7.6388888888888886E-3</v>
      </c>
      <c r="AD204" s="137" t="e">
        <f t="shared" si="21"/>
        <v>#REF!</v>
      </c>
      <c r="AE204" s="259">
        <v>0.41</v>
      </c>
      <c r="AF204" s="138">
        <f>VLOOKUP($D204,Construction!$B:$C,(COLUMN(Construction_Time)-COLUMN(Construction_Name_and_Level)+1),FALSE)</f>
        <v>1.8518518518518521E-2</v>
      </c>
      <c r="AG204" s="138">
        <f t="shared" si="23"/>
        <v>1.313370107696349E-2</v>
      </c>
      <c r="AH204" s="138">
        <f t="shared" si="24"/>
        <v>0</v>
      </c>
      <c r="AI204" s="139">
        <f t="shared" si="25"/>
        <v>2.0225899658523798E-3</v>
      </c>
      <c r="AJ204" s="139">
        <f t="shared" si="26"/>
        <v>1.6495928552666142E-2</v>
      </c>
      <c r="AK204" s="94">
        <f>VLOOKUP($D204,Construction!$B:$J,(COLUMN(Construction_BuildingCost_Stone)-COLUMN(Construction_Name_and_Level)+1),FALSE)*(-1)</f>
        <v>-1674</v>
      </c>
      <c r="AL204" s="94">
        <f>VLOOKUP($D204,Construction!$B:$J,(COLUMN(Construction_BuildingCost_Wood)-COLUMN(Construction_Name_and_Level)+1),FALSE)*(-1)</f>
        <v>-1674</v>
      </c>
      <c r="AM204" s="94">
        <f>VLOOKUP($D204,Construction!$B:$J,(COLUMN(Construction_BuildingCost_Ore)-COLUMN(Construction_Name_and_Level)+1),FALSE)*(-1)</f>
        <v>-1674</v>
      </c>
      <c r="AN204" s="94">
        <f>VLOOKUP($D204,Construction!$B:$J,(COLUMN(Construction_BuildingCost_Food)-COLUMN(Construction_Name_and_Level)+1),FALSE)*(-1)</f>
        <v>0</v>
      </c>
    </row>
    <row r="205" spans="2:40" ht="15.75">
      <c r="B205" s="93" t="s">
        <v>144</v>
      </c>
      <c r="C205" s="127" t="s">
        <v>138</v>
      </c>
      <c r="D205" s="144" t="s">
        <v>174</v>
      </c>
      <c r="E205" s="293">
        <v>17</v>
      </c>
      <c r="F205" s="12">
        <v>0.3</v>
      </c>
      <c r="G205" s="94">
        <f>VLOOKUP($D205,Construction!$B:$E,(COLUMN(Construction_BuildingReward_HeroXP)-COLUMN(Construction_Name_and_Level)+1),FALSE)</f>
        <v>10</v>
      </c>
      <c r="H205" s="94">
        <f t="shared" si="22"/>
        <v>13</v>
      </c>
      <c r="J205" s="95">
        <f>VLOOKUP($D205,Construction!$B:$F,(COLUMN(Construction_BuildingReward_Power)-COLUMN(Construction_Name_and_Level)+1),FALSE)</f>
        <v>5</v>
      </c>
      <c r="O205" s="139">
        <v>3.472222222222222E-3</v>
      </c>
      <c r="P205" s="139">
        <v>7.6388888888888886E-3</v>
      </c>
      <c r="AD205" s="137" t="e">
        <f t="shared" si="21"/>
        <v>#REF!</v>
      </c>
      <c r="AE205" s="259">
        <v>0.41</v>
      </c>
      <c r="AF205" s="138">
        <f>VLOOKUP($D205,Construction!$B:$C,(COLUMN(Construction_Time)-COLUMN(Construction_Name_and_Level)+1),FALSE)</f>
        <v>6.9444444444444447E-4</v>
      </c>
      <c r="AG205" s="138">
        <f t="shared" si="23"/>
        <v>4.9251379038613087E-4</v>
      </c>
      <c r="AH205" s="138">
        <f t="shared" si="24"/>
        <v>0</v>
      </c>
      <c r="AI205" s="139">
        <f t="shared" si="25"/>
        <v>0</v>
      </c>
      <c r="AJ205" s="139">
        <f t="shared" si="26"/>
        <v>6.9444444444444447E-4</v>
      </c>
      <c r="AK205" s="94">
        <f>VLOOKUP($D205,Construction!$B:$J,(COLUMN(Construction_BuildingCost_Stone)-COLUMN(Construction_Name_and_Level)+1),FALSE)*(-1)</f>
        <v>0</v>
      </c>
      <c r="AL205" s="94">
        <f>VLOOKUP($D205,Construction!$B:$J,(COLUMN(Construction_BuildingCost_Wood)-COLUMN(Construction_Name_and_Level)+1),FALSE)*(-1)</f>
        <v>-100</v>
      </c>
      <c r="AM205" s="94">
        <f>VLOOKUP($D205,Construction!$B:$J,(COLUMN(Construction_BuildingCost_Ore)-COLUMN(Construction_Name_and_Level)+1),FALSE)*(-1)</f>
        <v>-100</v>
      </c>
      <c r="AN205" s="94">
        <f>VLOOKUP($D205,Construction!$B:$J,(COLUMN(Construction_BuildingCost_Food)-COLUMN(Construction_Name_and_Level)+1),FALSE)*(-1)</f>
        <v>-100</v>
      </c>
    </row>
    <row r="206" spans="2:40" ht="15.75">
      <c r="B206" s="93" t="s">
        <v>144</v>
      </c>
      <c r="C206" s="127" t="s">
        <v>138</v>
      </c>
      <c r="D206" s="144" t="s">
        <v>663</v>
      </c>
      <c r="E206" s="293">
        <v>17</v>
      </c>
      <c r="F206" s="12">
        <v>0.3</v>
      </c>
      <c r="G206" s="94">
        <f>VLOOKUP($D206,Construction!$B:$E,(COLUMN(Construction_BuildingReward_HeroXP)-COLUMN(Construction_Name_and_Level)+1),FALSE)</f>
        <v>25</v>
      </c>
      <c r="H206" s="94">
        <f t="shared" si="22"/>
        <v>32.5</v>
      </c>
      <c r="J206" s="304">
        <f>VLOOKUP($D206,Construction!$B:$F,(COLUMN(Construction_BuildingReward_Power)-COLUMN(Construction_Name_and_Level)+1),FALSE)</f>
        <v>10</v>
      </c>
      <c r="O206" s="139">
        <v>3.472222222222222E-3</v>
      </c>
      <c r="P206" s="139">
        <v>7.6388888888888886E-3</v>
      </c>
      <c r="AD206" s="137" t="e">
        <f t="shared" si="21"/>
        <v>#REF!</v>
      </c>
      <c r="AE206" s="259">
        <v>0.41</v>
      </c>
      <c r="AF206" s="138">
        <f>VLOOKUP($D206,Construction!$B:$C,(COLUMN(Construction_Time)-COLUMN(Construction_Name_and_Level)+1),FALSE)</f>
        <v>1.6203703703703703E-3</v>
      </c>
      <c r="AG206" s="138">
        <f t="shared" si="23"/>
        <v>1.1491988442343052E-3</v>
      </c>
      <c r="AH206" s="138">
        <f t="shared" si="24"/>
        <v>0</v>
      </c>
      <c r="AI206" s="139">
        <f t="shared" si="25"/>
        <v>0</v>
      </c>
      <c r="AJ206" s="139">
        <f t="shared" si="26"/>
        <v>1.6203703703703703E-3</v>
      </c>
      <c r="AK206" s="94">
        <f>VLOOKUP($D206,Construction!$B:$J,(COLUMN(Construction_BuildingCost_Stone)-COLUMN(Construction_Name_and_Level)+1),FALSE)*(-1)</f>
        <v>0</v>
      </c>
      <c r="AL206" s="94">
        <f>VLOOKUP($D206,Construction!$B:$J,(COLUMN(Construction_BuildingCost_Wood)-COLUMN(Construction_Name_and_Level)+1),FALSE)*(-1)</f>
        <v>-170</v>
      </c>
      <c r="AM206" s="94">
        <f>VLOOKUP($D206,Construction!$B:$J,(COLUMN(Construction_BuildingCost_Ore)-COLUMN(Construction_Name_and_Level)+1),FALSE)*(-1)</f>
        <v>-170</v>
      </c>
      <c r="AN206" s="94">
        <f>VLOOKUP($D206,Construction!$B:$J,(COLUMN(Construction_BuildingCost_Food)-COLUMN(Construction_Name_and_Level)+1),FALSE)*(-1)</f>
        <v>-170</v>
      </c>
    </row>
    <row r="207" spans="2:40" ht="15.75">
      <c r="B207" s="93" t="s">
        <v>144</v>
      </c>
      <c r="C207" s="127" t="s">
        <v>138</v>
      </c>
      <c r="D207" s="144" t="s">
        <v>408</v>
      </c>
      <c r="E207" s="293">
        <v>17</v>
      </c>
      <c r="F207" s="12">
        <v>0.3</v>
      </c>
      <c r="G207" s="94">
        <f>VLOOKUP($D207,Construction!$B:$E,(COLUMN(Construction_BuildingReward_HeroXP)-COLUMN(Construction_Name_and_Level)+1),FALSE)</f>
        <v>50</v>
      </c>
      <c r="H207" s="94">
        <f t="shared" si="22"/>
        <v>65</v>
      </c>
      <c r="J207" s="304">
        <f>VLOOKUP($D207,Construction!$B:$F,(COLUMN(Construction_BuildingReward_Power)-COLUMN(Construction_Name_and_Level)+1),FALSE)</f>
        <v>15</v>
      </c>
      <c r="O207" s="139">
        <v>3.472222222222222E-3</v>
      </c>
      <c r="P207" s="139">
        <v>7.6388888888888886E-3</v>
      </c>
      <c r="AD207" s="137" t="e">
        <f t="shared" ref="AD207:AD223" si="27">AD206+(Q$3*Q207+R$3*R207+S$3*S207+T$3*T207+U$3*U207+V$3*V207+W$3*W207+X$3*X207+Y$3*Y207+Z$3*Z207+AA$3*AA207)</f>
        <v>#REF!</v>
      </c>
      <c r="AE207" s="259">
        <v>0.41</v>
      </c>
      <c r="AF207" s="138">
        <f>VLOOKUP($D207,Construction!$B:$C,(COLUMN(Construction_Time)-COLUMN(Construction_Name_and_Level)+1),FALSE)</f>
        <v>3.2407407407407406E-3</v>
      </c>
      <c r="AG207" s="138">
        <f t="shared" si="23"/>
        <v>2.2983976884686104E-3</v>
      </c>
      <c r="AH207" s="138">
        <f t="shared" si="24"/>
        <v>0</v>
      </c>
      <c r="AI207" s="139">
        <f t="shared" si="25"/>
        <v>0</v>
      </c>
      <c r="AJ207" s="139">
        <f t="shared" si="26"/>
        <v>3.2407407407407406E-3</v>
      </c>
      <c r="AK207" s="94">
        <f>VLOOKUP($D207,Construction!$B:$J,(COLUMN(Construction_BuildingCost_Stone)-COLUMN(Construction_Name_and_Level)+1),FALSE)*(-1)</f>
        <v>0</v>
      </c>
      <c r="AL207" s="94">
        <f>VLOOKUP($D207,Construction!$B:$J,(COLUMN(Construction_BuildingCost_Wood)-COLUMN(Construction_Name_and_Level)+1),FALSE)*(-1)</f>
        <v>-289</v>
      </c>
      <c r="AM207" s="94">
        <f>VLOOKUP($D207,Construction!$B:$J,(COLUMN(Construction_BuildingCost_Ore)-COLUMN(Construction_Name_and_Level)+1),FALSE)*(-1)</f>
        <v>-289</v>
      </c>
      <c r="AN207" s="94">
        <f>VLOOKUP($D207,Construction!$B:$J,(COLUMN(Construction_BuildingCost_Food)-COLUMN(Construction_Name_and_Level)+1),FALSE)*(-1)</f>
        <v>-289</v>
      </c>
    </row>
    <row r="208" spans="2:40" ht="15.75">
      <c r="B208" s="93" t="s">
        <v>144</v>
      </c>
      <c r="C208" s="127" t="s">
        <v>138</v>
      </c>
      <c r="D208" s="144" t="s">
        <v>429</v>
      </c>
      <c r="E208" s="293">
        <v>17</v>
      </c>
      <c r="F208" s="12">
        <v>0.3</v>
      </c>
      <c r="G208" s="94">
        <f>VLOOKUP($D208,Construction!$B:$E,(COLUMN(Construction_BuildingReward_HeroXP)-COLUMN(Construction_Name_and_Level)+1),FALSE)</f>
        <v>200</v>
      </c>
      <c r="H208" s="94">
        <f t="shared" si="22"/>
        <v>260</v>
      </c>
      <c r="J208" s="95">
        <f>VLOOKUP($D208,Construction!$B:$F,(COLUMN(Construction_BuildingReward_Power)-COLUMN(Construction_Name_and_Level)+1),FALSE)</f>
        <v>25</v>
      </c>
      <c r="O208" s="139">
        <v>3.472222222222222E-3</v>
      </c>
      <c r="P208" s="139">
        <v>7.6388888888888886E-3</v>
      </c>
      <c r="AD208" s="137" t="e">
        <f t="shared" si="27"/>
        <v>#REF!</v>
      </c>
      <c r="AE208" s="259">
        <v>0.41</v>
      </c>
      <c r="AF208" s="138">
        <f>VLOOKUP($D208,Construction!$B:$C,(COLUMN(Construction_Time)-COLUMN(Construction_Name_and_Level)+1),FALSE)</f>
        <v>6.4814814814814813E-3</v>
      </c>
      <c r="AG208" s="138">
        <f t="shared" si="23"/>
        <v>4.5967953769372209E-3</v>
      </c>
      <c r="AH208" s="138">
        <f t="shared" si="24"/>
        <v>0</v>
      </c>
      <c r="AI208" s="139">
        <f t="shared" si="25"/>
        <v>0</v>
      </c>
      <c r="AJ208" s="139">
        <f t="shared" si="26"/>
        <v>6.4814814814814813E-3</v>
      </c>
      <c r="AK208" s="94">
        <f>VLOOKUP($D208,Construction!$B:$J,(COLUMN(Construction_BuildingCost_Stone)-COLUMN(Construction_Name_and_Level)+1),FALSE)*(-1)</f>
        <v>0</v>
      </c>
      <c r="AL208" s="94">
        <f>VLOOKUP($D208,Construction!$B:$J,(COLUMN(Construction_BuildingCost_Wood)-COLUMN(Construction_Name_and_Level)+1),FALSE)*(-1)</f>
        <v>-492</v>
      </c>
      <c r="AM208" s="94">
        <f>VLOOKUP($D208,Construction!$B:$J,(COLUMN(Construction_BuildingCost_Ore)-COLUMN(Construction_Name_and_Level)+1),FALSE)*(-1)</f>
        <v>-492</v>
      </c>
      <c r="AN208" s="94">
        <f>VLOOKUP($D208,Construction!$B:$J,(COLUMN(Construction_BuildingCost_Food)-COLUMN(Construction_Name_and_Level)+1),FALSE)*(-1)</f>
        <v>-492</v>
      </c>
    </row>
    <row r="209" spans="2:40" ht="15.75">
      <c r="B209" s="93" t="s">
        <v>144</v>
      </c>
      <c r="C209" s="127" t="s">
        <v>138</v>
      </c>
      <c r="D209" s="144" t="s">
        <v>430</v>
      </c>
      <c r="E209" s="293">
        <v>17</v>
      </c>
      <c r="F209" s="12">
        <v>0.3</v>
      </c>
      <c r="G209" s="94">
        <f>VLOOKUP($D209,Construction!$B:$E,(COLUMN(Construction_BuildingReward_HeroXP)-COLUMN(Construction_Name_and_Level)+1),FALSE)</f>
        <v>400</v>
      </c>
      <c r="H209" s="94">
        <f t="shared" si="22"/>
        <v>520</v>
      </c>
      <c r="J209" s="95">
        <f>VLOOKUP($D209,Construction!$B:$F,(COLUMN(Construction_BuildingReward_Power)-COLUMN(Construction_Name_and_Level)+1),FALSE)</f>
        <v>35</v>
      </c>
      <c r="O209" s="139">
        <v>3.472222222222222E-3</v>
      </c>
      <c r="P209" s="139">
        <v>7.6388888888888886E-3</v>
      </c>
      <c r="AD209" s="137" t="e">
        <f t="shared" si="27"/>
        <v>#REF!</v>
      </c>
      <c r="AE209" s="259">
        <v>0.41</v>
      </c>
      <c r="AF209" s="138">
        <f>VLOOKUP($D209,Construction!$B:$C,(COLUMN(Construction_Time)-COLUMN(Construction_Name_and_Level)+1),FALSE)</f>
        <v>1.2962962962962963E-2</v>
      </c>
      <c r="AG209" s="138">
        <f t="shared" si="23"/>
        <v>9.1935907538744418E-3</v>
      </c>
      <c r="AH209" s="138">
        <f t="shared" si="24"/>
        <v>0</v>
      </c>
      <c r="AI209" s="139">
        <f t="shared" si="25"/>
        <v>0</v>
      </c>
      <c r="AJ209" s="139">
        <f t="shared" si="26"/>
        <v>1.2962962962962963E-2</v>
      </c>
      <c r="AK209" s="94">
        <f>VLOOKUP($D209,Construction!$B:$J,(COLUMN(Construction_BuildingCost_Stone)-COLUMN(Construction_Name_and_Level)+1),FALSE)*(-1)</f>
        <v>0</v>
      </c>
      <c r="AL209" s="94">
        <f>VLOOKUP($D209,Construction!$B:$J,(COLUMN(Construction_BuildingCost_Wood)-COLUMN(Construction_Name_and_Level)+1),FALSE)*(-1)</f>
        <v>-837</v>
      </c>
      <c r="AM209" s="94">
        <f>VLOOKUP($D209,Construction!$B:$J,(COLUMN(Construction_BuildingCost_Ore)-COLUMN(Construction_Name_and_Level)+1),FALSE)*(-1)</f>
        <v>-837</v>
      </c>
      <c r="AN209" s="94">
        <f>VLOOKUP($D209,Construction!$B:$J,(COLUMN(Construction_BuildingCost_Food)-COLUMN(Construction_Name_and_Level)+1),FALSE)*(-1)</f>
        <v>-837</v>
      </c>
    </row>
    <row r="210" spans="2:40" ht="15.75">
      <c r="B210" s="93" t="s">
        <v>144</v>
      </c>
      <c r="C210" s="127" t="s">
        <v>138</v>
      </c>
      <c r="D210" s="144" t="s">
        <v>26</v>
      </c>
      <c r="E210" s="293">
        <v>17</v>
      </c>
      <c r="F210" s="12">
        <v>0.3</v>
      </c>
      <c r="G210" s="94">
        <f>VLOOKUP($D210,Construction!$B:$E,(COLUMN(Construction_BuildingReward_HeroXP)-COLUMN(Construction_Name_and_Level)+1),FALSE)</f>
        <v>10</v>
      </c>
      <c r="H210" s="94">
        <f t="shared" si="22"/>
        <v>13</v>
      </c>
      <c r="J210" s="95">
        <f>VLOOKUP($D210,Construction!$B:$F,(COLUMN(Construction_BuildingReward_Power)-COLUMN(Construction_Name_and_Level)+1),FALSE)</f>
        <v>5</v>
      </c>
      <c r="O210" s="139">
        <v>3.472222222222222E-3</v>
      </c>
      <c r="P210" s="139">
        <v>7.6388888888888886E-3</v>
      </c>
      <c r="AD210" s="137" t="e">
        <f t="shared" si="27"/>
        <v>#REF!</v>
      </c>
      <c r="AE210" s="259">
        <v>0.41</v>
      </c>
      <c r="AF210" s="138">
        <f>VLOOKUP($D210,Construction!$B:$C,(COLUMN(Construction_Time)-COLUMN(Construction_Name_and_Level)+1),FALSE)</f>
        <v>6.9444444444444447E-4</v>
      </c>
      <c r="AG210" s="138">
        <f t="shared" si="23"/>
        <v>4.9251379038613087E-4</v>
      </c>
      <c r="AH210" s="138">
        <f t="shared" si="24"/>
        <v>0</v>
      </c>
      <c r="AI210" s="139">
        <f t="shared" si="25"/>
        <v>0</v>
      </c>
      <c r="AJ210" s="139">
        <f t="shared" si="26"/>
        <v>6.9444444444444447E-4</v>
      </c>
      <c r="AK210" s="94">
        <f>VLOOKUP($D210,Construction!$B:$J,(COLUMN(Construction_BuildingCost_Stone)-COLUMN(Construction_Name_and_Level)+1),FALSE)*(-1)</f>
        <v>-100</v>
      </c>
      <c r="AL210" s="94">
        <f>VLOOKUP($D210,Construction!$B:$J,(COLUMN(Construction_BuildingCost_Wood)-COLUMN(Construction_Name_and_Level)+1),FALSE)*(-1)</f>
        <v>0</v>
      </c>
      <c r="AM210" s="94">
        <f>VLOOKUP($D210,Construction!$B:$J,(COLUMN(Construction_BuildingCost_Ore)-COLUMN(Construction_Name_and_Level)+1),FALSE)*(-1)</f>
        <v>-100</v>
      </c>
      <c r="AN210" s="94">
        <f>VLOOKUP($D210,Construction!$B:$J,(COLUMN(Construction_BuildingCost_Food)-COLUMN(Construction_Name_and_Level)+1),FALSE)*(-1)</f>
        <v>-100</v>
      </c>
    </row>
    <row r="211" spans="2:40" ht="15.75">
      <c r="B211" s="93" t="s">
        <v>144</v>
      </c>
      <c r="C211" s="127" t="s">
        <v>138</v>
      </c>
      <c r="D211" s="144" t="s">
        <v>776</v>
      </c>
      <c r="E211" s="293">
        <v>17</v>
      </c>
      <c r="F211" s="12">
        <v>0.3</v>
      </c>
      <c r="G211" s="94">
        <f>VLOOKUP($D211,Construction!$B:$E,(COLUMN(Construction_BuildingReward_HeroXP)-COLUMN(Construction_Name_and_Level)+1),FALSE)</f>
        <v>25</v>
      </c>
      <c r="H211" s="94">
        <f t="shared" si="22"/>
        <v>32.5</v>
      </c>
      <c r="J211" s="95">
        <f>VLOOKUP($D211,Construction!$B:$F,(COLUMN(Construction_BuildingReward_Power)-COLUMN(Construction_Name_and_Level)+1),FALSE)</f>
        <v>10</v>
      </c>
      <c r="O211" s="139">
        <v>3.472222222222222E-3</v>
      </c>
      <c r="P211" s="139">
        <v>7.6388888888888886E-3</v>
      </c>
      <c r="AD211" s="137" t="e">
        <f t="shared" si="27"/>
        <v>#REF!</v>
      </c>
      <c r="AE211" s="259">
        <v>0.41</v>
      </c>
      <c r="AF211" s="138">
        <f>VLOOKUP($D211,Construction!$B:$C,(COLUMN(Construction_Time)-COLUMN(Construction_Name_and_Level)+1),FALSE)</f>
        <v>1.3888888888888889E-3</v>
      </c>
      <c r="AG211" s="138">
        <f t="shared" si="23"/>
        <v>9.8502758077226174E-4</v>
      </c>
      <c r="AH211" s="138">
        <f t="shared" si="24"/>
        <v>0</v>
      </c>
      <c r="AI211" s="139">
        <f t="shared" si="25"/>
        <v>0</v>
      </c>
      <c r="AJ211" s="139">
        <f t="shared" si="26"/>
        <v>1.3888888888888889E-3</v>
      </c>
      <c r="AK211" s="94">
        <f>VLOOKUP($D211,Construction!$B:$J,(COLUMN(Construction_BuildingCost_Stone)-COLUMN(Construction_Name_and_Level)+1),FALSE)*(-1)</f>
        <v>-170</v>
      </c>
      <c r="AL211" s="94">
        <f>VLOOKUP($D211,Construction!$B:$J,(COLUMN(Construction_BuildingCost_Wood)-COLUMN(Construction_Name_and_Level)+1),FALSE)*(-1)</f>
        <v>0</v>
      </c>
      <c r="AM211" s="94">
        <f>VLOOKUP($D211,Construction!$B:$J,(COLUMN(Construction_BuildingCost_Ore)-COLUMN(Construction_Name_and_Level)+1),FALSE)*(-1)</f>
        <v>-170</v>
      </c>
      <c r="AN211" s="94">
        <f>VLOOKUP($D211,Construction!$B:$J,(COLUMN(Construction_BuildingCost_Food)-COLUMN(Construction_Name_and_Level)+1),FALSE)*(-1)</f>
        <v>-170</v>
      </c>
    </row>
    <row r="212" spans="2:40" ht="15.75">
      <c r="B212" s="93" t="s">
        <v>144</v>
      </c>
      <c r="C212" s="127" t="s">
        <v>138</v>
      </c>
      <c r="D212" s="144" t="s">
        <v>410</v>
      </c>
      <c r="E212" s="293">
        <v>17</v>
      </c>
      <c r="F212" s="12">
        <v>0.3</v>
      </c>
      <c r="G212" s="94">
        <f>VLOOKUP($D212,Construction!$B:$E,(COLUMN(Construction_BuildingReward_HeroXP)-COLUMN(Construction_Name_and_Level)+1),FALSE)</f>
        <v>50</v>
      </c>
      <c r="H212" s="94">
        <f t="shared" si="22"/>
        <v>65</v>
      </c>
      <c r="J212" s="95">
        <f>VLOOKUP($D212,Construction!$B:$F,(COLUMN(Construction_BuildingReward_Power)-COLUMN(Construction_Name_and_Level)+1),FALSE)</f>
        <v>15</v>
      </c>
      <c r="O212" s="139">
        <v>3.472222222222222E-3</v>
      </c>
      <c r="P212" s="139">
        <v>7.6388888888888886E-3</v>
      </c>
      <c r="AD212" s="137" t="e">
        <f t="shared" si="27"/>
        <v>#REF!</v>
      </c>
      <c r="AE212" s="259">
        <v>0.41</v>
      </c>
      <c r="AF212" s="138">
        <f>VLOOKUP($D212,Construction!$B:$C,(COLUMN(Construction_Time)-COLUMN(Construction_Name_and_Level)+1),FALSE)</f>
        <v>2.7777777777777779E-3</v>
      </c>
      <c r="AG212" s="138">
        <f t="shared" si="23"/>
        <v>1.9700551615445235E-3</v>
      </c>
      <c r="AH212" s="138">
        <f t="shared" si="24"/>
        <v>0</v>
      </c>
      <c r="AI212" s="139">
        <f t="shared" si="25"/>
        <v>0</v>
      </c>
      <c r="AJ212" s="139">
        <f t="shared" si="26"/>
        <v>2.7777777777777779E-3</v>
      </c>
      <c r="AK212" s="94">
        <f>VLOOKUP($D212,Construction!$B:$J,(COLUMN(Construction_BuildingCost_Stone)-COLUMN(Construction_Name_and_Level)+1),FALSE)*(-1)</f>
        <v>-289</v>
      </c>
      <c r="AL212" s="94">
        <f>VLOOKUP($D212,Construction!$B:$J,(COLUMN(Construction_BuildingCost_Wood)-COLUMN(Construction_Name_and_Level)+1),FALSE)*(-1)</f>
        <v>0</v>
      </c>
      <c r="AM212" s="94">
        <f>VLOOKUP($D212,Construction!$B:$J,(COLUMN(Construction_BuildingCost_Ore)-COLUMN(Construction_Name_and_Level)+1),FALSE)*(-1)</f>
        <v>-289</v>
      </c>
      <c r="AN212" s="94">
        <f>VLOOKUP($D212,Construction!$B:$J,(COLUMN(Construction_BuildingCost_Food)-COLUMN(Construction_Name_and_Level)+1),FALSE)*(-1)</f>
        <v>-289</v>
      </c>
    </row>
    <row r="213" spans="2:40" ht="15.75">
      <c r="B213" s="93" t="s">
        <v>144</v>
      </c>
      <c r="C213" s="127" t="s">
        <v>138</v>
      </c>
      <c r="D213" s="144" t="s">
        <v>411</v>
      </c>
      <c r="E213" s="293">
        <v>17</v>
      </c>
      <c r="F213" s="12">
        <v>0.3</v>
      </c>
      <c r="G213" s="94">
        <f>VLOOKUP($D213,Construction!$B:$E,(COLUMN(Construction_BuildingReward_HeroXP)-COLUMN(Construction_Name_and_Level)+1),FALSE)</f>
        <v>200</v>
      </c>
      <c r="H213" s="94">
        <f t="shared" si="22"/>
        <v>260</v>
      </c>
      <c r="J213" s="95">
        <f>VLOOKUP($D213,Construction!$B:$F,(COLUMN(Construction_BuildingReward_Power)-COLUMN(Construction_Name_and_Level)+1),FALSE)</f>
        <v>25</v>
      </c>
      <c r="O213" s="139">
        <v>3.472222222222222E-3</v>
      </c>
      <c r="P213" s="139">
        <v>7.6388888888888886E-3</v>
      </c>
      <c r="AD213" s="137" t="e">
        <f t="shared" si="27"/>
        <v>#REF!</v>
      </c>
      <c r="AE213" s="259">
        <v>0.41</v>
      </c>
      <c r="AF213" s="138">
        <f>VLOOKUP($D213,Construction!$B:$C,(COLUMN(Construction_Time)-COLUMN(Construction_Name_and_Level)+1),FALSE)</f>
        <v>5.5555555555555558E-3</v>
      </c>
      <c r="AG213" s="138">
        <f t="shared" si="23"/>
        <v>3.940110323089047E-3</v>
      </c>
      <c r="AH213" s="138">
        <f t="shared" si="24"/>
        <v>0</v>
      </c>
      <c r="AI213" s="139">
        <f t="shared" si="25"/>
        <v>0</v>
      </c>
      <c r="AJ213" s="139">
        <f t="shared" si="26"/>
        <v>5.5555555555555558E-3</v>
      </c>
      <c r="AK213" s="94">
        <f>VLOOKUP($D213,Construction!$B:$J,(COLUMN(Construction_BuildingCost_Stone)-COLUMN(Construction_Name_and_Level)+1),FALSE)*(-1)</f>
        <v>-492</v>
      </c>
      <c r="AL213" s="94">
        <f>VLOOKUP($D213,Construction!$B:$J,(COLUMN(Construction_BuildingCost_Wood)-COLUMN(Construction_Name_and_Level)+1),FALSE)*(-1)</f>
        <v>0</v>
      </c>
      <c r="AM213" s="94">
        <f>VLOOKUP($D213,Construction!$B:$J,(COLUMN(Construction_BuildingCost_Ore)-COLUMN(Construction_Name_and_Level)+1),FALSE)*(-1)</f>
        <v>-492</v>
      </c>
      <c r="AN213" s="94">
        <f>VLOOKUP($D213,Construction!$B:$J,(COLUMN(Construction_BuildingCost_Food)-COLUMN(Construction_Name_and_Level)+1),FALSE)*(-1)</f>
        <v>-492</v>
      </c>
    </row>
    <row r="214" spans="2:40" ht="15.75">
      <c r="B214" s="93" t="s">
        <v>144</v>
      </c>
      <c r="C214" s="127" t="s">
        <v>138</v>
      </c>
      <c r="D214" s="144" t="s">
        <v>412</v>
      </c>
      <c r="E214" s="293">
        <v>17</v>
      </c>
      <c r="F214" s="12">
        <v>0.3</v>
      </c>
      <c r="G214" s="94">
        <f>VLOOKUP($D214,Construction!$B:$E,(COLUMN(Construction_BuildingReward_HeroXP)-COLUMN(Construction_Name_and_Level)+1),FALSE)</f>
        <v>400</v>
      </c>
      <c r="H214" s="94">
        <f t="shared" si="22"/>
        <v>520</v>
      </c>
      <c r="J214" s="95">
        <f>VLOOKUP($D214,Construction!$B:$F,(COLUMN(Construction_BuildingReward_Power)-COLUMN(Construction_Name_and_Level)+1),FALSE)</f>
        <v>35</v>
      </c>
      <c r="O214" s="139">
        <v>3.472222222222222E-3</v>
      </c>
      <c r="P214" s="139">
        <v>7.6388888888888886E-3</v>
      </c>
      <c r="AD214" s="137" t="e">
        <f t="shared" si="27"/>
        <v>#REF!</v>
      </c>
      <c r="AE214" s="259">
        <v>0.41</v>
      </c>
      <c r="AF214" s="138">
        <f>VLOOKUP($D214,Construction!$B:$C,(COLUMN(Construction_Time)-COLUMN(Construction_Name_and_Level)+1),FALSE)</f>
        <v>1.1111111111111112E-2</v>
      </c>
      <c r="AG214" s="138">
        <f t="shared" si="23"/>
        <v>7.880220646178094E-3</v>
      </c>
      <c r="AH214" s="138">
        <f t="shared" si="24"/>
        <v>0</v>
      </c>
      <c r="AI214" s="139">
        <f t="shared" si="25"/>
        <v>0</v>
      </c>
      <c r="AJ214" s="139">
        <f t="shared" si="26"/>
        <v>1.1111111111111112E-2</v>
      </c>
      <c r="AK214" s="94">
        <f>VLOOKUP($D214,Construction!$B:$J,(COLUMN(Construction_BuildingCost_Stone)-COLUMN(Construction_Name_and_Level)+1),FALSE)*(-1)</f>
        <v>-837</v>
      </c>
      <c r="AL214" s="94">
        <f>VLOOKUP($D214,Construction!$B:$J,(COLUMN(Construction_BuildingCost_Wood)-COLUMN(Construction_Name_and_Level)+1),FALSE)*(-1)</f>
        <v>0</v>
      </c>
      <c r="AM214" s="94">
        <f>VLOOKUP($D214,Construction!$B:$J,(COLUMN(Construction_BuildingCost_Ore)-COLUMN(Construction_Name_and_Level)+1),FALSE)*(-1)</f>
        <v>-837</v>
      </c>
      <c r="AN214" s="94">
        <f>VLOOKUP($D214,Construction!$B:$J,(COLUMN(Construction_BuildingCost_Food)-COLUMN(Construction_Name_and_Level)+1),FALSE)*(-1)</f>
        <v>-837</v>
      </c>
    </row>
    <row r="215" spans="2:40" ht="15.75">
      <c r="B215" s="93" t="s">
        <v>144</v>
      </c>
      <c r="C215" s="127" t="s">
        <v>138</v>
      </c>
      <c r="D215" s="144" t="s">
        <v>749</v>
      </c>
      <c r="E215" s="293">
        <v>17</v>
      </c>
      <c r="F215" s="12">
        <v>0.3</v>
      </c>
      <c r="G215" s="94">
        <f>VLOOKUP($D215,Construction!$B:$E,(COLUMN(Construction_BuildingReward_HeroXP)-COLUMN(Construction_Name_and_Level)+1),FALSE)</f>
        <v>500</v>
      </c>
      <c r="H215" s="94">
        <f t="shared" si="22"/>
        <v>650</v>
      </c>
      <c r="J215" s="95">
        <f>VLOOKUP($D215,Construction!$B:$F,(COLUMN(Construction_BuildingReward_Power)-COLUMN(Construction_Name_and_Level)+1),FALSE)</f>
        <v>55</v>
      </c>
      <c r="O215" s="139">
        <v>3.472222222222222E-3</v>
      </c>
      <c r="P215" s="139">
        <v>7.6388888888888886E-3</v>
      </c>
      <c r="AD215" s="137" t="e">
        <f t="shared" si="27"/>
        <v>#REF!</v>
      </c>
      <c r="AE215" s="259">
        <v>0.41</v>
      </c>
      <c r="AF215" s="138">
        <f>VLOOKUP($D215,Construction!$B:$C,(COLUMN(Construction_Time)-COLUMN(Construction_Name_and_Level)+1),FALSE)</f>
        <v>2.2222222222222223E-2</v>
      </c>
      <c r="AG215" s="138">
        <f t="shared" si="23"/>
        <v>1.5760441292356188E-2</v>
      </c>
      <c r="AH215" s="138">
        <f t="shared" si="24"/>
        <v>0</v>
      </c>
      <c r="AI215" s="139">
        <f t="shared" si="25"/>
        <v>4.6493301812450772E-3</v>
      </c>
      <c r="AJ215" s="139">
        <f t="shared" si="26"/>
        <v>1.7572892040977145E-2</v>
      </c>
      <c r="AK215" s="94">
        <f>VLOOKUP($D215,Construction!$B:$J,(COLUMN(Construction_BuildingCost_Stone)-COLUMN(Construction_Name_and_Level)+1),FALSE)*(-1)</f>
        <v>-1674</v>
      </c>
      <c r="AL215" s="94">
        <f>VLOOKUP($D215,Construction!$B:$J,(COLUMN(Construction_BuildingCost_Wood)-COLUMN(Construction_Name_and_Level)+1),FALSE)*(-1)</f>
        <v>0</v>
      </c>
      <c r="AM215" s="94">
        <f>VLOOKUP($D215,Construction!$B:$J,(COLUMN(Construction_BuildingCost_Ore)-COLUMN(Construction_Name_and_Level)+1),FALSE)*(-1)</f>
        <v>-1674</v>
      </c>
      <c r="AN215" s="94">
        <f>VLOOKUP($D215,Construction!$B:$J,(COLUMN(Construction_BuildingCost_Food)-COLUMN(Construction_Name_and_Level)+1),FALSE)*(-1)</f>
        <v>-1674</v>
      </c>
    </row>
    <row r="216" spans="2:40" ht="15.75">
      <c r="B216" s="93" t="s">
        <v>144</v>
      </c>
      <c r="C216" s="127" t="s">
        <v>138</v>
      </c>
      <c r="D216" s="144" t="s">
        <v>175</v>
      </c>
      <c r="E216" s="293">
        <v>17</v>
      </c>
      <c r="F216" s="12">
        <v>0.3</v>
      </c>
      <c r="G216" s="94">
        <f>VLOOKUP($D216,Construction!$B:$E,(COLUMN(Construction_BuildingReward_HeroXP)-COLUMN(Construction_Name_and_Level)+1),FALSE)</f>
        <v>10</v>
      </c>
      <c r="H216" s="94">
        <f t="shared" si="22"/>
        <v>13</v>
      </c>
      <c r="J216" s="95">
        <f>VLOOKUP($D216,Construction!$B:$F,(COLUMN(Construction_BuildingReward_Power)-COLUMN(Construction_Name_and_Level)+1),FALSE)</f>
        <v>5</v>
      </c>
      <c r="O216" s="139">
        <v>3.472222222222222E-3</v>
      </c>
      <c r="P216" s="139">
        <v>7.6388888888888886E-3</v>
      </c>
      <c r="AD216" s="137" t="e">
        <f t="shared" si="27"/>
        <v>#REF!</v>
      </c>
      <c r="AE216" s="259">
        <v>0.41</v>
      </c>
      <c r="AF216" s="138">
        <f>VLOOKUP($D216,Construction!$B:$C,(COLUMN(Construction_Time)-COLUMN(Construction_Name_and_Level)+1),FALSE)</f>
        <v>6.9444444444444447E-4</v>
      </c>
      <c r="AG216" s="138">
        <f t="shared" si="23"/>
        <v>4.9251379038613087E-4</v>
      </c>
      <c r="AH216" s="138">
        <f t="shared" si="24"/>
        <v>0</v>
      </c>
      <c r="AI216" s="139">
        <f t="shared" si="25"/>
        <v>0</v>
      </c>
      <c r="AJ216" s="139">
        <f t="shared" si="26"/>
        <v>6.9444444444444447E-4</v>
      </c>
      <c r="AK216" s="94">
        <f>VLOOKUP($D216,Construction!$B:$J,(COLUMN(Construction_BuildingCost_Stone)-COLUMN(Construction_Name_and_Level)+1),FALSE)*(-1)</f>
        <v>-100</v>
      </c>
      <c r="AL216" s="94">
        <f>VLOOKUP($D216,Construction!$B:$J,(COLUMN(Construction_BuildingCost_Wood)-COLUMN(Construction_Name_and_Level)+1),FALSE)*(-1)</f>
        <v>-100</v>
      </c>
      <c r="AM216" s="94">
        <f>VLOOKUP($D216,Construction!$B:$J,(COLUMN(Construction_BuildingCost_Ore)-COLUMN(Construction_Name_and_Level)+1),FALSE)*(-1)</f>
        <v>0</v>
      </c>
      <c r="AN216" s="94">
        <f>VLOOKUP($D216,Construction!$B:$J,(COLUMN(Construction_BuildingCost_Food)-COLUMN(Construction_Name_and_Level)+1),FALSE)*(-1)</f>
        <v>-100</v>
      </c>
    </row>
    <row r="217" spans="2:40" ht="15.75">
      <c r="B217" s="93" t="s">
        <v>144</v>
      </c>
      <c r="C217" s="127" t="s">
        <v>138</v>
      </c>
      <c r="D217" s="144" t="s">
        <v>406</v>
      </c>
      <c r="E217" s="293">
        <v>17</v>
      </c>
      <c r="F217" s="12">
        <v>0.3</v>
      </c>
      <c r="G217" s="94">
        <f>VLOOKUP($D217,Construction!$B:$E,(COLUMN(Construction_BuildingReward_HeroXP)-COLUMN(Construction_Name_and_Level)+1),FALSE)</f>
        <v>25</v>
      </c>
      <c r="H217" s="94">
        <f t="shared" si="22"/>
        <v>32.5</v>
      </c>
      <c r="J217" s="95">
        <f>VLOOKUP($D217,Construction!$B:$F,(COLUMN(Construction_BuildingReward_Power)-COLUMN(Construction_Name_and_Level)+1),FALSE)</f>
        <v>10</v>
      </c>
      <c r="O217" s="139">
        <v>3.472222222222222E-3</v>
      </c>
      <c r="P217" s="139">
        <v>7.6388888888888886E-3</v>
      </c>
      <c r="AD217" s="137" t="e">
        <f t="shared" si="27"/>
        <v>#REF!</v>
      </c>
      <c r="AE217" s="259">
        <v>0.41</v>
      </c>
      <c r="AF217" s="138">
        <f>VLOOKUP($D217,Construction!$B:$C,(COLUMN(Construction_Time)-COLUMN(Construction_Name_and_Level)+1),FALSE)</f>
        <v>1.8518518518518517E-3</v>
      </c>
      <c r="AG217" s="138">
        <f t="shared" si="23"/>
        <v>1.3133701076963487E-3</v>
      </c>
      <c r="AH217" s="138">
        <f t="shared" si="24"/>
        <v>0</v>
      </c>
      <c r="AI217" s="139">
        <f t="shared" si="25"/>
        <v>0</v>
      </c>
      <c r="AJ217" s="139">
        <f t="shared" si="26"/>
        <v>1.8518518518518517E-3</v>
      </c>
      <c r="AK217" s="94">
        <f>VLOOKUP($D217,Construction!$B:$J,(COLUMN(Construction_BuildingCost_Stone)-COLUMN(Construction_Name_and_Level)+1),FALSE)*(-1)</f>
        <v>-170</v>
      </c>
      <c r="AL217" s="94">
        <f>VLOOKUP($D217,Construction!$B:$J,(COLUMN(Construction_BuildingCost_Wood)-COLUMN(Construction_Name_and_Level)+1),FALSE)*(-1)</f>
        <v>-170</v>
      </c>
      <c r="AM217" s="94">
        <f>VLOOKUP($D217,Construction!$B:$J,(COLUMN(Construction_BuildingCost_Ore)-COLUMN(Construction_Name_and_Level)+1),FALSE)*(-1)</f>
        <v>0</v>
      </c>
      <c r="AN217" s="94">
        <f>VLOOKUP($D217,Construction!$B:$J,(COLUMN(Construction_BuildingCost_Food)-COLUMN(Construction_Name_and_Level)+1),FALSE)*(-1)</f>
        <v>-170</v>
      </c>
    </row>
    <row r="218" spans="2:40" ht="15.75">
      <c r="B218" s="93" t="s">
        <v>144</v>
      </c>
      <c r="C218" s="127" t="s">
        <v>138</v>
      </c>
      <c r="D218" s="144" t="s">
        <v>447</v>
      </c>
      <c r="E218" s="293">
        <v>17</v>
      </c>
      <c r="F218" s="12">
        <v>0.3</v>
      </c>
      <c r="G218" s="94">
        <f>VLOOKUP($D218,Construction!$B:$E,(COLUMN(Construction_BuildingReward_HeroXP)-COLUMN(Construction_Name_and_Level)+1),FALSE)</f>
        <v>50</v>
      </c>
      <c r="H218" s="94">
        <f t="shared" si="22"/>
        <v>65</v>
      </c>
      <c r="J218" s="95">
        <f>VLOOKUP($D218,Construction!$B:$F,(COLUMN(Construction_BuildingReward_Power)-COLUMN(Construction_Name_and_Level)+1),FALSE)</f>
        <v>15</v>
      </c>
      <c r="O218" s="139">
        <v>3.472222222222222E-3</v>
      </c>
      <c r="P218" s="139">
        <v>7.6388888888888886E-3</v>
      </c>
      <c r="AD218" s="137" t="e">
        <f t="shared" si="27"/>
        <v>#REF!</v>
      </c>
      <c r="AE218" s="259">
        <v>0.41</v>
      </c>
      <c r="AF218" s="138">
        <f>VLOOKUP($D218,Construction!$B:$C,(COLUMN(Construction_Time)-COLUMN(Construction_Name_and_Level)+1),FALSE)</f>
        <v>3.7037037037037034E-3</v>
      </c>
      <c r="AG218" s="138">
        <f t="shared" si="23"/>
        <v>2.6267402153926974E-3</v>
      </c>
      <c r="AH218" s="138">
        <f t="shared" si="24"/>
        <v>0</v>
      </c>
      <c r="AI218" s="139">
        <f t="shared" si="25"/>
        <v>0</v>
      </c>
      <c r="AJ218" s="139">
        <f t="shared" si="26"/>
        <v>3.7037037037037034E-3</v>
      </c>
      <c r="AK218" s="94">
        <f>VLOOKUP($D218,Construction!$B:$J,(COLUMN(Construction_BuildingCost_Stone)-COLUMN(Construction_Name_and_Level)+1),FALSE)*(-1)</f>
        <v>-289</v>
      </c>
      <c r="AL218" s="94">
        <f>VLOOKUP($D218,Construction!$B:$J,(COLUMN(Construction_BuildingCost_Wood)-COLUMN(Construction_Name_and_Level)+1),FALSE)*(-1)</f>
        <v>-289</v>
      </c>
      <c r="AM218" s="94">
        <f>VLOOKUP($D218,Construction!$B:$J,(COLUMN(Construction_BuildingCost_Ore)-COLUMN(Construction_Name_and_Level)+1),FALSE)*(-1)</f>
        <v>0</v>
      </c>
      <c r="AN218" s="94">
        <f>VLOOKUP($D218,Construction!$B:$J,(COLUMN(Construction_BuildingCost_Food)-COLUMN(Construction_Name_and_Level)+1),FALSE)*(-1)</f>
        <v>-289</v>
      </c>
    </row>
    <row r="219" spans="2:40" ht="15.75">
      <c r="B219" s="93" t="s">
        <v>144</v>
      </c>
      <c r="C219" s="127" t="s">
        <v>138</v>
      </c>
      <c r="D219" s="144" t="s">
        <v>448</v>
      </c>
      <c r="E219" s="293">
        <v>17</v>
      </c>
      <c r="F219" s="12">
        <v>0.3</v>
      </c>
      <c r="G219" s="94">
        <f>VLOOKUP($D219,Construction!$B:$E,(COLUMN(Construction_BuildingReward_HeroXP)-COLUMN(Construction_Name_and_Level)+1),FALSE)</f>
        <v>200</v>
      </c>
      <c r="H219" s="94">
        <f t="shared" si="22"/>
        <v>260</v>
      </c>
      <c r="J219" s="95">
        <f>VLOOKUP($D219,Construction!$B:$F,(COLUMN(Construction_BuildingReward_Power)-COLUMN(Construction_Name_and_Level)+1),FALSE)</f>
        <v>25</v>
      </c>
      <c r="O219" s="139">
        <v>3.472222222222222E-3</v>
      </c>
      <c r="P219" s="139">
        <v>7.6388888888888886E-3</v>
      </c>
      <c r="AD219" s="137" t="e">
        <f t="shared" si="27"/>
        <v>#REF!</v>
      </c>
      <c r="AE219" s="259">
        <v>0.41</v>
      </c>
      <c r="AF219" s="138">
        <f>VLOOKUP($D219,Construction!$B:$C,(COLUMN(Construction_Time)-COLUMN(Construction_Name_and_Level)+1),FALSE)</f>
        <v>7.4074074074074068E-3</v>
      </c>
      <c r="AG219" s="138">
        <f t="shared" si="23"/>
        <v>5.2534804307853948E-3</v>
      </c>
      <c r="AH219" s="138">
        <f t="shared" si="24"/>
        <v>0</v>
      </c>
      <c r="AI219" s="139">
        <f t="shared" si="25"/>
        <v>0</v>
      </c>
      <c r="AJ219" s="139">
        <f t="shared" si="26"/>
        <v>7.4074074074074068E-3</v>
      </c>
      <c r="AK219" s="94">
        <f>VLOOKUP($D219,Construction!$B:$J,(COLUMN(Construction_BuildingCost_Stone)-COLUMN(Construction_Name_and_Level)+1),FALSE)*(-1)</f>
        <v>-492</v>
      </c>
      <c r="AL219" s="94">
        <f>VLOOKUP($D219,Construction!$B:$J,(COLUMN(Construction_BuildingCost_Wood)-COLUMN(Construction_Name_and_Level)+1),FALSE)*(-1)</f>
        <v>-492</v>
      </c>
      <c r="AM219" s="94">
        <f>VLOOKUP($D219,Construction!$B:$J,(COLUMN(Construction_BuildingCost_Ore)-COLUMN(Construction_Name_and_Level)+1),FALSE)*(-1)</f>
        <v>0</v>
      </c>
      <c r="AN219" s="94">
        <f>VLOOKUP($D219,Construction!$B:$J,(COLUMN(Construction_BuildingCost_Food)-COLUMN(Construction_Name_and_Level)+1),FALSE)*(-1)</f>
        <v>-492</v>
      </c>
    </row>
    <row r="220" spans="2:40" ht="15.75">
      <c r="B220" s="93" t="s">
        <v>144</v>
      </c>
      <c r="C220" s="127" t="s">
        <v>138</v>
      </c>
      <c r="D220" s="144" t="s">
        <v>449</v>
      </c>
      <c r="E220" s="293">
        <v>17</v>
      </c>
      <c r="F220" s="12">
        <v>0.3</v>
      </c>
      <c r="G220" s="94">
        <f>VLOOKUP($D220,Construction!$B:$E,(COLUMN(Construction_BuildingReward_HeroXP)-COLUMN(Construction_Name_and_Level)+1),FALSE)</f>
        <v>400</v>
      </c>
      <c r="H220" s="94">
        <f t="shared" si="22"/>
        <v>520</v>
      </c>
      <c r="J220" s="95">
        <f>VLOOKUP($D220,Construction!$B:$F,(COLUMN(Construction_BuildingReward_Power)-COLUMN(Construction_Name_and_Level)+1),FALSE)</f>
        <v>35</v>
      </c>
      <c r="O220" s="139">
        <v>3.472222222222222E-3</v>
      </c>
      <c r="P220" s="139">
        <v>7.6388888888888886E-3</v>
      </c>
      <c r="AD220" s="137" t="e">
        <f t="shared" si="27"/>
        <v>#REF!</v>
      </c>
      <c r="AE220" s="259">
        <v>0.41</v>
      </c>
      <c r="AF220" s="138">
        <f>VLOOKUP($D220,Construction!$B:$C,(COLUMN(Construction_Time)-COLUMN(Construction_Name_and_Level)+1),FALSE)</f>
        <v>1.4814814814814814E-2</v>
      </c>
      <c r="AG220" s="138">
        <f t="shared" si="23"/>
        <v>1.050696086157079E-2</v>
      </c>
      <c r="AH220" s="138">
        <f t="shared" si="24"/>
        <v>0</v>
      </c>
      <c r="AI220" s="139">
        <f t="shared" si="25"/>
        <v>0</v>
      </c>
      <c r="AJ220" s="139">
        <f t="shared" si="26"/>
        <v>1.4814814814814814E-2</v>
      </c>
      <c r="AK220" s="94">
        <f>VLOOKUP($D220,Construction!$B:$J,(COLUMN(Construction_BuildingCost_Stone)-COLUMN(Construction_Name_and_Level)+1),FALSE)*(-1)</f>
        <v>-837</v>
      </c>
      <c r="AL220" s="94">
        <f>VLOOKUP($D220,Construction!$B:$J,(COLUMN(Construction_BuildingCost_Wood)-COLUMN(Construction_Name_and_Level)+1),FALSE)*(-1)</f>
        <v>-837</v>
      </c>
      <c r="AM220" s="94">
        <f>VLOOKUP($D220,Construction!$B:$J,(COLUMN(Construction_BuildingCost_Ore)-COLUMN(Construction_Name_and_Level)+1),FALSE)*(-1)</f>
        <v>0</v>
      </c>
      <c r="AN220" s="94">
        <f>VLOOKUP($D220,Construction!$B:$J,(COLUMN(Construction_BuildingCost_Food)-COLUMN(Construction_Name_and_Level)+1),FALSE)*(-1)</f>
        <v>-837</v>
      </c>
    </row>
    <row r="221" spans="2:40" ht="15.75">
      <c r="B221" s="93" t="s">
        <v>144</v>
      </c>
      <c r="C221" s="127" t="s">
        <v>149</v>
      </c>
      <c r="D221" s="144" t="s">
        <v>813</v>
      </c>
      <c r="E221" s="293">
        <v>17</v>
      </c>
      <c r="F221" s="12">
        <v>0.3</v>
      </c>
      <c r="G221" s="94">
        <f>VLOOKUP($D221,Construction!$B:$E,(COLUMN(Construction_BuildingReward_HeroXP)-COLUMN(Construction_Name_and_Level)+1),FALSE)</f>
        <v>10</v>
      </c>
      <c r="H221" s="94">
        <f t="shared" si="22"/>
        <v>13</v>
      </c>
      <c r="J221" s="95">
        <f>VLOOKUP($D221,Construction!$B:$F,(COLUMN(Construction_BuildingReward_Power)-COLUMN(Construction_Name_and_Level)+1),FALSE)</f>
        <v>10</v>
      </c>
      <c r="O221" s="139">
        <v>3.472222222222222E-3</v>
      </c>
      <c r="P221" s="139">
        <v>7.6388888888888886E-3</v>
      </c>
      <c r="AD221" s="137" t="e">
        <f t="shared" si="27"/>
        <v>#REF!</v>
      </c>
      <c r="AE221" s="259">
        <v>0.41</v>
      </c>
      <c r="AF221" s="138">
        <f>VLOOKUP($D221,Construction!$B:$C,(COLUMN(Construction_Time)-COLUMN(Construction_Name_and_Level)+1),FALSE)</f>
        <v>8.6805555555555551E-4</v>
      </c>
      <c r="AG221" s="138">
        <f t="shared" si="23"/>
        <v>6.1564223798266354E-4</v>
      </c>
      <c r="AH221" s="138">
        <f t="shared" si="24"/>
        <v>0</v>
      </c>
      <c r="AI221" s="139">
        <f t="shared" si="25"/>
        <v>0</v>
      </c>
      <c r="AJ221" s="139">
        <f t="shared" si="26"/>
        <v>8.6805555555555551E-4</v>
      </c>
      <c r="AK221" s="94">
        <f>VLOOKUP($D221,Construction!$B:$J,(COLUMN(Construction_BuildingCost_Stone)-COLUMN(Construction_Name_and_Level)+1),FALSE)*(-1)</f>
        <v>-600</v>
      </c>
      <c r="AL221" s="94">
        <f>VLOOKUP($D221,Construction!$B:$J,(COLUMN(Construction_BuildingCost_Wood)-COLUMN(Construction_Name_and_Level)+1),FALSE)*(-1)</f>
        <v>-600</v>
      </c>
      <c r="AM221" s="94">
        <f>VLOOKUP($D221,Construction!$B:$J,(COLUMN(Construction_BuildingCost_Ore)-COLUMN(Construction_Name_and_Level)+1),FALSE)*(-1)</f>
        <v>-300</v>
      </c>
      <c r="AN221" s="94">
        <f>VLOOKUP($D221,Construction!$B:$J,(COLUMN(Construction_BuildingCost_Food)-COLUMN(Construction_Name_and_Level)+1),FALSE)*(-1)</f>
        <v>-400</v>
      </c>
    </row>
    <row r="222" spans="2:40" ht="15.75">
      <c r="B222" s="93" t="s">
        <v>144</v>
      </c>
      <c r="C222" s="127" t="s">
        <v>149</v>
      </c>
      <c r="D222" s="144" t="s">
        <v>814</v>
      </c>
      <c r="E222" s="293">
        <v>17</v>
      </c>
      <c r="F222" s="12">
        <v>0.3</v>
      </c>
      <c r="G222" s="94">
        <f>VLOOKUP($D222,Construction!$B:$E,(COLUMN(Construction_BuildingReward_HeroXP)-COLUMN(Construction_Name_and_Level)+1),FALSE)</f>
        <v>25</v>
      </c>
      <c r="H222" s="94">
        <f t="shared" si="22"/>
        <v>32.5</v>
      </c>
      <c r="J222" s="95">
        <f>VLOOKUP($D222,Construction!$B:$F,(COLUMN(Construction_BuildingReward_Power)-COLUMN(Construction_Name_and_Level)+1),FALSE)</f>
        <v>25</v>
      </c>
      <c r="O222" s="139">
        <v>3.472222222222222E-3</v>
      </c>
      <c r="P222" s="139">
        <v>7.6388888888888886E-3</v>
      </c>
      <c r="AD222" s="137" t="e">
        <f t="shared" si="27"/>
        <v>#REF!</v>
      </c>
      <c r="AE222" s="259">
        <v>0.41</v>
      </c>
      <c r="AF222" s="138">
        <f>VLOOKUP($D222,Construction!$B:$C,(COLUMN(Construction_Time)-COLUMN(Construction_Name_and_Level)+1),FALSE)</f>
        <v>1.736111111111111E-3</v>
      </c>
      <c r="AG222" s="138">
        <f t="shared" si="23"/>
        <v>1.2312844759653271E-3</v>
      </c>
      <c r="AH222" s="138">
        <f t="shared" si="24"/>
        <v>0</v>
      </c>
      <c r="AI222" s="139">
        <f t="shared" si="25"/>
        <v>0</v>
      </c>
      <c r="AJ222" s="139">
        <f t="shared" si="26"/>
        <v>1.736111111111111E-3</v>
      </c>
      <c r="AK222" s="94">
        <f>VLOOKUP($D222,Construction!$B:$J,(COLUMN(Construction_BuildingCost_Stone)-COLUMN(Construction_Name_and_Level)+1),FALSE)*(-1)</f>
        <v>-1020</v>
      </c>
      <c r="AL222" s="94">
        <f>VLOOKUP($D222,Construction!$B:$J,(COLUMN(Construction_BuildingCost_Wood)-COLUMN(Construction_Name_and_Level)+1),FALSE)*(-1)</f>
        <v>-1020</v>
      </c>
      <c r="AM222" s="94">
        <f>VLOOKUP($D222,Construction!$B:$J,(COLUMN(Construction_BuildingCost_Ore)-COLUMN(Construction_Name_and_Level)+1),FALSE)*(-1)</f>
        <v>-510</v>
      </c>
      <c r="AN222" s="94">
        <f>VLOOKUP($D222,Construction!$B:$J,(COLUMN(Construction_BuildingCost_Food)-COLUMN(Construction_Name_and_Level)+1),FALSE)*(-1)</f>
        <v>-680</v>
      </c>
    </row>
    <row r="223" spans="2:40" ht="15.75">
      <c r="B223" s="93" t="s">
        <v>144</v>
      </c>
      <c r="C223" s="127" t="s">
        <v>138</v>
      </c>
      <c r="D223" s="144" t="s">
        <v>815</v>
      </c>
      <c r="E223" s="293">
        <v>17</v>
      </c>
      <c r="F223" s="12">
        <v>0.3</v>
      </c>
      <c r="G223" s="94">
        <f>VLOOKUP($D223,Construction!$B:$E,(COLUMN(Construction_BuildingReward_HeroXP)-COLUMN(Construction_Name_and_Level)+1),FALSE)</f>
        <v>50</v>
      </c>
      <c r="H223" s="94">
        <f t="shared" si="22"/>
        <v>65</v>
      </c>
      <c r="J223" s="95">
        <f>VLOOKUP($D223,Construction!$B:$F,(COLUMN(Construction_BuildingReward_Power)-COLUMN(Construction_Name_and_Level)+1),FALSE)</f>
        <v>40</v>
      </c>
      <c r="O223" s="139">
        <v>3.472222222222222E-3</v>
      </c>
      <c r="P223" s="139">
        <v>7.6388888888888886E-3</v>
      </c>
      <c r="AD223" s="137" t="e">
        <f t="shared" si="27"/>
        <v>#REF!</v>
      </c>
      <c r="AE223" s="259">
        <v>0.41</v>
      </c>
      <c r="AF223" s="138">
        <f>VLOOKUP($D223,Construction!$B:$C,(COLUMN(Construction_Time)-COLUMN(Construction_Name_and_Level)+1),FALSE)</f>
        <v>3.472222222222222E-3</v>
      </c>
      <c r="AG223" s="138">
        <f t="shared" si="23"/>
        <v>2.4625689519306541E-3</v>
      </c>
      <c r="AH223" s="138">
        <f t="shared" si="24"/>
        <v>0</v>
      </c>
      <c r="AI223" s="139">
        <f t="shared" si="25"/>
        <v>0</v>
      </c>
      <c r="AJ223" s="139">
        <f t="shared" si="26"/>
        <v>3.472222222222222E-3</v>
      </c>
      <c r="AK223" s="94">
        <f>VLOOKUP($D223,Construction!$B:$J,(COLUMN(Construction_BuildingCost_Stone)-COLUMN(Construction_Name_and_Level)+1),FALSE)*(-1)</f>
        <v>-1734</v>
      </c>
      <c r="AL223" s="94">
        <f>VLOOKUP($D223,Construction!$B:$J,(COLUMN(Construction_BuildingCost_Wood)-COLUMN(Construction_Name_and_Level)+1),FALSE)*(-1)</f>
        <v>-1734</v>
      </c>
      <c r="AM223" s="94">
        <f>VLOOKUP($D223,Construction!$B:$J,(COLUMN(Construction_BuildingCost_Ore)-COLUMN(Construction_Name_and_Level)+1),FALSE)*(-1)</f>
        <v>-867</v>
      </c>
      <c r="AN223" s="94">
        <f>VLOOKUP($D223,Construction!$B:$J,(COLUMN(Construction_BuildingCost_Food)-COLUMN(Construction_Name_and_Level)+1),FALSE)*(-1)</f>
        <v>-1156</v>
      </c>
    </row>
    <row r="224" spans="2:40" ht="15.75">
      <c r="B224" s="93" t="s">
        <v>144</v>
      </c>
      <c r="C224" s="127" t="s">
        <v>149</v>
      </c>
      <c r="D224" s="144" t="s">
        <v>813</v>
      </c>
      <c r="E224" s="293">
        <v>17</v>
      </c>
      <c r="F224" s="12">
        <v>0.3</v>
      </c>
      <c r="G224" s="94">
        <f>VLOOKUP($D224,Construction!$B:$E,(COLUMN(Construction_BuildingReward_HeroXP)-COLUMN(Construction_Name_and_Level)+1),FALSE)</f>
        <v>10</v>
      </c>
      <c r="H224" s="94">
        <f t="shared" si="22"/>
        <v>13</v>
      </c>
      <c r="J224" s="95">
        <f>VLOOKUP($D224,Construction!$B:$F,(COLUMN(Construction_BuildingReward_Power)-COLUMN(Construction_Name_and_Level)+1),FALSE)</f>
        <v>10</v>
      </c>
      <c r="O224" s="139">
        <v>3.472222222222222E-3</v>
      </c>
      <c r="P224" s="139">
        <v>7.6388888888888886E-3</v>
      </c>
      <c r="AD224" s="137" t="e">
        <f>#REF!+(Q$3*Q224+R$3*R224+S$3*S224+T$3*T224+U$3*U224+V$3*V224+W$3*W224+X$3*X224+Y$3*Y224+Z$3*Z224+AA$3*AA224)</f>
        <v>#REF!</v>
      </c>
      <c r="AE224" s="259">
        <v>0.41</v>
      </c>
      <c r="AF224" s="138">
        <f>VLOOKUP($D224,Construction!$B:$C,(COLUMN(Construction_Time)-COLUMN(Construction_Name_and_Level)+1),FALSE)</f>
        <v>8.6805555555555551E-4</v>
      </c>
      <c r="AG224" s="138">
        <f t="shared" si="23"/>
        <v>6.1564223798266354E-4</v>
      </c>
      <c r="AH224" s="138">
        <f t="shared" si="24"/>
        <v>0</v>
      </c>
      <c r="AI224" s="139">
        <f t="shared" si="25"/>
        <v>0</v>
      </c>
      <c r="AJ224" s="139">
        <f t="shared" si="26"/>
        <v>8.6805555555555551E-4</v>
      </c>
      <c r="AK224" s="94">
        <f>VLOOKUP($D224,Construction!$B:$J,(COLUMN(Construction_BuildingCost_Stone)-COLUMN(Construction_Name_and_Level)+1),FALSE)*(-1)</f>
        <v>-600</v>
      </c>
      <c r="AL224" s="94">
        <f>VLOOKUP($D224,Construction!$B:$J,(COLUMN(Construction_BuildingCost_Wood)-COLUMN(Construction_Name_and_Level)+1),FALSE)*(-1)</f>
        <v>-600</v>
      </c>
      <c r="AM224" s="94">
        <f>VLOOKUP($D224,Construction!$B:$J,(COLUMN(Construction_BuildingCost_Ore)-COLUMN(Construction_Name_and_Level)+1),FALSE)*(-1)</f>
        <v>-300</v>
      </c>
      <c r="AN224" s="94">
        <f>VLOOKUP($D224,Construction!$B:$J,(COLUMN(Construction_BuildingCost_Food)-COLUMN(Construction_Name_and_Level)+1),FALSE)*(-1)</f>
        <v>-400</v>
      </c>
    </row>
    <row r="225" spans="2:40" ht="15.75">
      <c r="B225" s="93" t="s">
        <v>144</v>
      </c>
      <c r="C225" s="127" t="s">
        <v>149</v>
      </c>
      <c r="D225" s="144" t="s">
        <v>814</v>
      </c>
      <c r="E225" s="293">
        <v>17</v>
      </c>
      <c r="F225" s="12">
        <v>0.3</v>
      </c>
      <c r="G225" s="94">
        <f>VLOOKUP($D225,Construction!$B:$E,(COLUMN(Construction_BuildingReward_HeroXP)-COLUMN(Construction_Name_and_Level)+1),FALSE)</f>
        <v>25</v>
      </c>
      <c r="H225" s="94">
        <f t="shared" si="22"/>
        <v>32.5</v>
      </c>
      <c r="J225" s="304">
        <f>VLOOKUP($D225,Construction!$B:$F,(COLUMN(Construction_BuildingReward_Power)-COLUMN(Construction_Name_and_Level)+1),FALSE)</f>
        <v>25</v>
      </c>
      <c r="O225" s="139">
        <v>3.472222222222222E-3</v>
      </c>
      <c r="P225" s="139">
        <v>7.6388888888888886E-3</v>
      </c>
      <c r="AD225" s="137" t="e">
        <f>AD224+(Q$3*Q225+R$3*R225+S$3*S225+T$3*T225+U$3*U225+V$3*V225+W$3*W225+X$3*X225+Y$3*Y225+Z$3*Z225+AA$3*AA225)</f>
        <v>#REF!</v>
      </c>
      <c r="AE225" s="259">
        <v>0.41</v>
      </c>
      <c r="AF225" s="138">
        <f>VLOOKUP($D225,Construction!$B:$C,(COLUMN(Construction_Time)-COLUMN(Construction_Name_and_Level)+1),FALSE)</f>
        <v>1.736111111111111E-3</v>
      </c>
      <c r="AG225" s="138">
        <f t="shared" si="23"/>
        <v>1.2312844759653271E-3</v>
      </c>
      <c r="AH225" s="138">
        <f t="shared" si="24"/>
        <v>0</v>
      </c>
      <c r="AI225" s="139">
        <f t="shared" si="25"/>
        <v>0</v>
      </c>
      <c r="AJ225" s="139">
        <f t="shared" si="26"/>
        <v>1.736111111111111E-3</v>
      </c>
      <c r="AK225" s="94">
        <f>VLOOKUP($D225,Construction!$B:$J,(COLUMN(Construction_BuildingCost_Stone)-COLUMN(Construction_Name_and_Level)+1),FALSE)*(-1)</f>
        <v>-1020</v>
      </c>
      <c r="AL225" s="94">
        <f>VLOOKUP($D225,Construction!$B:$J,(COLUMN(Construction_BuildingCost_Wood)-COLUMN(Construction_Name_and_Level)+1),FALSE)*(-1)</f>
        <v>-1020</v>
      </c>
      <c r="AM225" s="94">
        <f>VLOOKUP($D225,Construction!$B:$J,(COLUMN(Construction_BuildingCost_Ore)-COLUMN(Construction_Name_and_Level)+1),FALSE)*(-1)</f>
        <v>-510</v>
      </c>
      <c r="AN225" s="94">
        <f>VLOOKUP($D225,Construction!$B:$J,(COLUMN(Construction_BuildingCost_Food)-COLUMN(Construction_Name_and_Level)+1),FALSE)*(-1)</f>
        <v>-680</v>
      </c>
    </row>
    <row r="226" spans="2:40" ht="15.75">
      <c r="B226" s="93" t="s">
        <v>144</v>
      </c>
      <c r="C226" s="127" t="s">
        <v>138</v>
      </c>
      <c r="D226" s="144" t="s">
        <v>815</v>
      </c>
      <c r="E226" s="293">
        <v>17</v>
      </c>
      <c r="F226" s="12">
        <v>0.3</v>
      </c>
      <c r="G226" s="94">
        <f>VLOOKUP($D226,Construction!$B:$E,(COLUMN(Construction_BuildingReward_HeroXP)-COLUMN(Construction_Name_and_Level)+1),FALSE)</f>
        <v>50</v>
      </c>
      <c r="H226" s="94">
        <f t="shared" si="22"/>
        <v>65</v>
      </c>
      <c r="J226" s="95">
        <f>VLOOKUP($D226,Construction!$B:$F,(COLUMN(Construction_BuildingReward_Power)-COLUMN(Construction_Name_and_Level)+1),FALSE)</f>
        <v>40</v>
      </c>
      <c r="O226" s="139">
        <v>3.472222222222222E-3</v>
      </c>
      <c r="P226" s="139">
        <v>7.6388888888888886E-3</v>
      </c>
      <c r="AD226" s="137" t="e">
        <f>AD225+(Q$3*Q226+R$3*R226+S$3*S226+T$3*T226+U$3*U226+V$3*V226+W$3*W226+X$3*X226+Y$3*Y226+Z$3*Z226+AA$3*AA226)</f>
        <v>#REF!</v>
      </c>
      <c r="AE226" s="259">
        <v>0.41</v>
      </c>
      <c r="AF226" s="138">
        <f>VLOOKUP($D226,Construction!$B:$C,(COLUMN(Construction_Time)-COLUMN(Construction_Name_and_Level)+1),FALSE)</f>
        <v>3.472222222222222E-3</v>
      </c>
      <c r="AG226" s="138">
        <f t="shared" si="23"/>
        <v>2.4625689519306541E-3</v>
      </c>
      <c r="AH226" s="138">
        <f t="shared" si="24"/>
        <v>0</v>
      </c>
      <c r="AI226" s="139">
        <f t="shared" si="25"/>
        <v>0</v>
      </c>
      <c r="AJ226" s="139">
        <f t="shared" si="26"/>
        <v>3.472222222222222E-3</v>
      </c>
      <c r="AK226" s="94">
        <f>VLOOKUP($D226,Construction!$B:$J,(COLUMN(Construction_BuildingCost_Stone)-COLUMN(Construction_Name_and_Level)+1),FALSE)*(-1)</f>
        <v>-1734</v>
      </c>
      <c r="AL226" s="94">
        <f>VLOOKUP($D226,Construction!$B:$J,(COLUMN(Construction_BuildingCost_Wood)-COLUMN(Construction_Name_and_Level)+1),FALSE)*(-1)</f>
        <v>-1734</v>
      </c>
      <c r="AM226" s="94">
        <f>VLOOKUP($D226,Construction!$B:$J,(COLUMN(Construction_BuildingCost_Ore)-COLUMN(Construction_Name_and_Level)+1),FALSE)*(-1)</f>
        <v>-867</v>
      </c>
      <c r="AN226" s="94">
        <f>VLOOKUP($D226,Construction!$B:$J,(COLUMN(Construction_BuildingCost_Food)-COLUMN(Construction_Name_and_Level)+1),FALSE)*(-1)</f>
        <v>-1156</v>
      </c>
    </row>
    <row r="227" spans="2:40" ht="15.75">
      <c r="B227" s="93" t="s">
        <v>144</v>
      </c>
      <c r="C227" s="127" t="s">
        <v>149</v>
      </c>
      <c r="D227" s="144" t="s">
        <v>823</v>
      </c>
      <c r="E227" s="293">
        <v>17</v>
      </c>
      <c r="F227" s="12">
        <v>0.3</v>
      </c>
      <c r="G227" s="94">
        <f>VLOOKUP($D227,Construction!$B:$E,(COLUMN(Construction_BuildingReward_HeroXP)-COLUMN(Construction_Name_and_Level)+1),FALSE)</f>
        <v>10</v>
      </c>
      <c r="H227" s="94">
        <f t="shared" si="22"/>
        <v>13</v>
      </c>
      <c r="J227" s="95">
        <f>VLOOKUP($D227,Construction!$B:$F,(COLUMN(Construction_BuildingReward_Power)-COLUMN(Construction_Name_and_Level)+1),FALSE)</f>
        <v>35</v>
      </c>
      <c r="O227" s="139">
        <v>3.472222222222222E-3</v>
      </c>
      <c r="P227" s="139">
        <v>7.6388888888888886E-3</v>
      </c>
      <c r="AD227" s="137" t="e">
        <f>AD226+(Q$3*Q227+R$3*R227+S$3*S227+T$3*T227+U$3*U227+V$3*V227+W$3*W227+X$3*X227+Y$3*Y227+Z$3*Z227+AA$3*AA227)</f>
        <v>#REF!</v>
      </c>
      <c r="AE227" s="259">
        <v>0.41</v>
      </c>
      <c r="AF227" s="138">
        <f>VLOOKUP($D227,Construction!$B:$C,(COLUMN(Construction_Time)-COLUMN(Construction_Name_and_Level)+1),FALSE)</f>
        <v>1.3310185185185185E-3</v>
      </c>
      <c r="AG227" s="138">
        <f t="shared" si="23"/>
        <v>9.4398476490675071E-4</v>
      </c>
      <c r="AH227" s="138">
        <f t="shared" si="24"/>
        <v>0</v>
      </c>
      <c r="AI227" s="139">
        <f t="shared" si="25"/>
        <v>0</v>
      </c>
      <c r="AJ227" s="139">
        <f t="shared" si="26"/>
        <v>1.3310185185185185E-3</v>
      </c>
      <c r="AK227" s="94">
        <f>VLOOKUP($D227,Construction!$B:$J,(COLUMN(Construction_BuildingCost_Stone)-COLUMN(Construction_Name_and_Level)+1),FALSE)*(-1)</f>
        <v>-100</v>
      </c>
      <c r="AL227" s="94">
        <f>VLOOKUP($D227,Construction!$B:$J,(COLUMN(Construction_BuildingCost_Wood)-COLUMN(Construction_Name_and_Level)+1),FALSE)*(-1)</f>
        <v>-100</v>
      </c>
      <c r="AM227" s="94">
        <f>VLOOKUP($D227,Construction!$B:$J,(COLUMN(Construction_BuildingCost_Ore)-COLUMN(Construction_Name_and_Level)+1),FALSE)*(-1)</f>
        <v>-100</v>
      </c>
      <c r="AN227" s="94">
        <f>VLOOKUP($D227,Construction!$B:$J,(COLUMN(Construction_BuildingCost_Food)-COLUMN(Construction_Name_and_Level)+1),FALSE)*(-1)</f>
        <v>-100</v>
      </c>
    </row>
    <row r="228" spans="2:40" ht="15.75">
      <c r="B228" s="93" t="s">
        <v>144</v>
      </c>
      <c r="C228" s="127" t="s">
        <v>138</v>
      </c>
      <c r="D228" s="144" t="s">
        <v>742</v>
      </c>
      <c r="E228" s="293">
        <v>17</v>
      </c>
      <c r="F228" s="12">
        <v>0.3</v>
      </c>
      <c r="G228" s="94">
        <f>VLOOKUP($D228,Construction!$B:$E,(COLUMN(Construction_BuildingReward_HeroXP)-COLUMN(Construction_Name_and_Level)+1),FALSE)</f>
        <v>500</v>
      </c>
      <c r="H228" s="94">
        <f t="shared" si="22"/>
        <v>650</v>
      </c>
      <c r="J228" s="95">
        <f>VLOOKUP($D228,Construction!$B:$F,(COLUMN(Construction_BuildingReward_Power)-COLUMN(Construction_Name_and_Level)+1),FALSE)</f>
        <v>55</v>
      </c>
      <c r="O228" s="139">
        <v>3.472222222222222E-3</v>
      </c>
      <c r="P228" s="289">
        <v>8.3333333333333332E-3</v>
      </c>
      <c r="AD228" s="137" t="e">
        <f>#REF!+(Q$3*Q228+R$3*R228+S$3*S228+T$3*T228+U$3*U228+V$3*V228+W$3*W228+X$3*X228+Y$3*Y228+Z$3*Z228+AA$3*AA228)</f>
        <v>#REF!</v>
      </c>
      <c r="AE228" s="259">
        <v>0.41</v>
      </c>
      <c r="AF228" s="138">
        <f>VLOOKUP($D228,Construction!$B:$C,(COLUMN(Construction_Time)-COLUMN(Construction_Name_and_Level)+1),FALSE)</f>
        <v>2.9629629629629627E-2</v>
      </c>
      <c r="AG228" s="138">
        <f t="shared" si="23"/>
        <v>2.1013921723141579E-2</v>
      </c>
      <c r="AH228" s="138">
        <f t="shared" si="24"/>
        <v>0</v>
      </c>
      <c r="AI228" s="139">
        <f t="shared" si="25"/>
        <v>9.2083661675860223E-3</v>
      </c>
      <c r="AJ228" s="139">
        <f t="shared" si="26"/>
        <v>2.0421263462043607E-2</v>
      </c>
      <c r="AK228" s="94">
        <f>VLOOKUP($D228,Construction!$B:$J,(COLUMN(Construction_BuildingCost_Stone)-COLUMN(Construction_Name_and_Level)+1),FALSE)*(-1)</f>
        <v>-1674</v>
      </c>
      <c r="AL228" s="94">
        <f>VLOOKUP($D228,Construction!$B:$J,(COLUMN(Construction_BuildingCost_Wood)-COLUMN(Construction_Name_and_Level)+1),FALSE)*(-1)</f>
        <v>-1674</v>
      </c>
      <c r="AM228" s="94">
        <f>VLOOKUP($D228,Construction!$B:$J,(COLUMN(Construction_BuildingCost_Ore)-COLUMN(Construction_Name_and_Level)+1),FALSE)*(-1)</f>
        <v>0</v>
      </c>
      <c r="AN228" s="94">
        <f>VLOOKUP($D228,Construction!$B:$J,(COLUMN(Construction_BuildingCost_Food)-COLUMN(Construction_Name_and_Level)+1),FALSE)*(-1)</f>
        <v>-1674</v>
      </c>
    </row>
    <row r="229" spans="2:40" ht="15.75">
      <c r="B229" s="93" t="s">
        <v>144</v>
      </c>
      <c r="C229" s="127" t="s">
        <v>138</v>
      </c>
      <c r="D229" s="144" t="s">
        <v>742</v>
      </c>
      <c r="E229" s="293">
        <v>17</v>
      </c>
      <c r="F229" s="12">
        <v>0.3</v>
      </c>
      <c r="G229" s="94">
        <f>VLOOKUP($D229,Construction!$B:$E,(COLUMN(Construction_BuildingReward_HeroXP)-COLUMN(Construction_Name_and_Level)+1),FALSE)</f>
        <v>500</v>
      </c>
      <c r="H229" s="94">
        <f t="shared" si="22"/>
        <v>650</v>
      </c>
      <c r="J229" s="95">
        <f>VLOOKUP($D229,Construction!$B:$F,(COLUMN(Construction_BuildingReward_Power)-COLUMN(Construction_Name_and_Level)+1),FALSE)</f>
        <v>55</v>
      </c>
      <c r="O229" s="139">
        <v>3.472222222222222E-3</v>
      </c>
      <c r="P229" s="289">
        <v>8.3333333333333332E-3</v>
      </c>
      <c r="AD229" s="137" t="e">
        <f t="shared" ref="AD229:AD234" si="28">AD228+(Q$3*Q229+R$3*R229+S$3*S229+T$3*T229+U$3*U229+V$3*V229+W$3*W229+X$3*X229+Y$3*Y229+Z$3*Z229+AA$3*AA229)</f>
        <v>#REF!</v>
      </c>
      <c r="AE229" s="259">
        <v>0.41</v>
      </c>
      <c r="AF229" s="138">
        <f>VLOOKUP($D229,Construction!$B:$C,(COLUMN(Construction_Time)-COLUMN(Construction_Name_and_Level)+1),FALSE)</f>
        <v>2.9629629629629627E-2</v>
      </c>
      <c r="AG229" s="138">
        <f t="shared" si="23"/>
        <v>2.1013921723141579E-2</v>
      </c>
      <c r="AH229" s="138">
        <f t="shared" si="24"/>
        <v>0</v>
      </c>
      <c r="AI229" s="139">
        <f t="shared" si="25"/>
        <v>9.2083661675860223E-3</v>
      </c>
      <c r="AJ229" s="139">
        <f t="shared" si="26"/>
        <v>2.0421263462043607E-2</v>
      </c>
      <c r="AK229" s="94">
        <f>VLOOKUP($D229,Construction!$B:$J,(COLUMN(Construction_BuildingCost_Stone)-COLUMN(Construction_Name_and_Level)+1),FALSE)*(-1)</f>
        <v>-1674</v>
      </c>
      <c r="AL229" s="94">
        <f>VLOOKUP($D229,Construction!$B:$J,(COLUMN(Construction_BuildingCost_Wood)-COLUMN(Construction_Name_and_Level)+1),FALSE)*(-1)</f>
        <v>-1674</v>
      </c>
      <c r="AM229" s="94">
        <f>VLOOKUP($D229,Construction!$B:$J,(COLUMN(Construction_BuildingCost_Ore)-COLUMN(Construction_Name_and_Level)+1),FALSE)*(-1)</f>
        <v>0</v>
      </c>
      <c r="AN229" s="94">
        <f>VLOOKUP($D229,Construction!$B:$J,(COLUMN(Construction_BuildingCost_Food)-COLUMN(Construction_Name_and_Level)+1),FALSE)*(-1)</f>
        <v>-1674</v>
      </c>
    </row>
    <row r="230" spans="2:40" ht="15.75">
      <c r="B230" s="93" t="s">
        <v>144</v>
      </c>
      <c r="C230" s="127" t="s">
        <v>138</v>
      </c>
      <c r="D230" s="144" t="s">
        <v>742</v>
      </c>
      <c r="E230" s="293">
        <v>18</v>
      </c>
      <c r="F230" s="12">
        <v>0.3</v>
      </c>
      <c r="G230" s="94">
        <f>VLOOKUP($D230,Construction!$B:$E,(COLUMN(Construction_BuildingReward_HeroXP)-COLUMN(Construction_Name_and_Level)+1),FALSE)</f>
        <v>500</v>
      </c>
      <c r="H230" s="94">
        <f t="shared" si="22"/>
        <v>650</v>
      </c>
      <c r="J230" s="95">
        <f>VLOOKUP($D230,Construction!$B:$F,(COLUMN(Construction_BuildingReward_Power)-COLUMN(Construction_Name_and_Level)+1),FALSE)</f>
        <v>55</v>
      </c>
      <c r="O230" s="139">
        <v>3.472222222222222E-3</v>
      </c>
      <c r="P230" s="289">
        <v>8.3333333333333332E-3</v>
      </c>
      <c r="AD230" s="137" t="e">
        <f t="shared" si="28"/>
        <v>#REF!</v>
      </c>
      <c r="AE230" s="259">
        <v>0.41</v>
      </c>
      <c r="AF230" s="138">
        <f>VLOOKUP($D230,Construction!$B:$C,(COLUMN(Construction_Time)-COLUMN(Construction_Name_and_Level)+1),FALSE)</f>
        <v>2.9629629629629627E-2</v>
      </c>
      <c r="AG230" s="138">
        <f t="shared" si="23"/>
        <v>2.1013921723141579E-2</v>
      </c>
      <c r="AH230" s="138">
        <f t="shared" si="24"/>
        <v>0</v>
      </c>
      <c r="AI230" s="139">
        <f t="shared" si="25"/>
        <v>9.2083661675860223E-3</v>
      </c>
      <c r="AJ230" s="139">
        <f t="shared" si="26"/>
        <v>2.0421263462043607E-2</v>
      </c>
      <c r="AK230" s="94">
        <f>VLOOKUP($D230,Construction!$B:$J,(COLUMN(Construction_BuildingCost_Stone)-COLUMN(Construction_Name_and_Level)+1),FALSE)*(-1)</f>
        <v>-1674</v>
      </c>
      <c r="AL230" s="94">
        <f>VLOOKUP($D230,Construction!$B:$J,(COLUMN(Construction_BuildingCost_Wood)-COLUMN(Construction_Name_and_Level)+1),FALSE)*(-1)</f>
        <v>-1674</v>
      </c>
      <c r="AM230" s="94">
        <f>VLOOKUP($D230,Construction!$B:$J,(COLUMN(Construction_BuildingCost_Ore)-COLUMN(Construction_Name_and_Level)+1),FALSE)*(-1)</f>
        <v>0</v>
      </c>
      <c r="AN230" s="94">
        <f>VLOOKUP($D230,Construction!$B:$J,(COLUMN(Construction_BuildingCost_Food)-COLUMN(Construction_Name_and_Level)+1),FALSE)*(-1)</f>
        <v>-1674</v>
      </c>
    </row>
    <row r="231" spans="2:40" ht="15.75">
      <c r="B231" s="93" t="s">
        <v>144</v>
      </c>
      <c r="C231" s="127" t="s">
        <v>138</v>
      </c>
      <c r="D231" s="144" t="s">
        <v>742</v>
      </c>
      <c r="E231" s="293">
        <v>18</v>
      </c>
      <c r="F231" s="12">
        <v>0.3</v>
      </c>
      <c r="G231" s="94">
        <f>VLOOKUP($D231,Construction!$B:$E,(COLUMN(Construction_BuildingReward_HeroXP)-COLUMN(Construction_Name_and_Level)+1),FALSE)</f>
        <v>500</v>
      </c>
      <c r="H231" s="94">
        <f t="shared" si="22"/>
        <v>650</v>
      </c>
      <c r="J231" s="95">
        <f>VLOOKUP($D231,Construction!$B:$F,(COLUMN(Construction_BuildingReward_Power)-COLUMN(Construction_Name_and_Level)+1),FALSE)</f>
        <v>55</v>
      </c>
      <c r="O231" s="139">
        <v>3.472222222222222E-3</v>
      </c>
      <c r="P231" s="289">
        <v>8.3333333333333332E-3</v>
      </c>
      <c r="AD231" s="137" t="e">
        <f t="shared" si="28"/>
        <v>#REF!</v>
      </c>
      <c r="AE231" s="259">
        <v>0.41</v>
      </c>
      <c r="AF231" s="138">
        <f>VLOOKUP($D231,Construction!$B:$C,(COLUMN(Construction_Time)-COLUMN(Construction_Name_and_Level)+1),FALSE)</f>
        <v>2.9629629629629627E-2</v>
      </c>
      <c r="AG231" s="138">
        <f t="shared" si="23"/>
        <v>2.1013921723141579E-2</v>
      </c>
      <c r="AH231" s="138">
        <f t="shared" si="24"/>
        <v>0</v>
      </c>
      <c r="AI231" s="139">
        <f t="shared" si="25"/>
        <v>9.2083661675860223E-3</v>
      </c>
      <c r="AJ231" s="139">
        <f t="shared" si="26"/>
        <v>2.0421263462043607E-2</v>
      </c>
      <c r="AK231" s="94">
        <f>VLOOKUP($D231,Construction!$B:$J,(COLUMN(Construction_BuildingCost_Stone)-COLUMN(Construction_Name_and_Level)+1),FALSE)*(-1)</f>
        <v>-1674</v>
      </c>
      <c r="AL231" s="94">
        <f>VLOOKUP($D231,Construction!$B:$J,(COLUMN(Construction_BuildingCost_Wood)-COLUMN(Construction_Name_and_Level)+1),FALSE)*(-1)</f>
        <v>-1674</v>
      </c>
      <c r="AM231" s="94">
        <f>VLOOKUP($D231,Construction!$B:$J,(COLUMN(Construction_BuildingCost_Ore)-COLUMN(Construction_Name_and_Level)+1),FALSE)*(-1)</f>
        <v>0</v>
      </c>
      <c r="AN231" s="94">
        <f>VLOOKUP($D231,Construction!$B:$J,(COLUMN(Construction_BuildingCost_Food)-COLUMN(Construction_Name_and_Level)+1),FALSE)*(-1)</f>
        <v>-1674</v>
      </c>
    </row>
    <row r="232" spans="2:40" ht="15.75">
      <c r="B232" s="93" t="s">
        <v>144</v>
      </c>
      <c r="C232" s="127" t="s">
        <v>138</v>
      </c>
      <c r="D232" s="144" t="s">
        <v>853</v>
      </c>
      <c r="E232" s="293">
        <v>18</v>
      </c>
      <c r="F232" s="12">
        <v>0.3</v>
      </c>
      <c r="G232" s="94">
        <f>VLOOKUP($D232,Construction!$B:$E,(COLUMN(Construction_BuildingReward_HeroXP)-COLUMN(Construction_Name_and_Level)+1),FALSE)</f>
        <v>500</v>
      </c>
      <c r="H232" s="94">
        <f t="shared" si="22"/>
        <v>650</v>
      </c>
      <c r="J232" s="95">
        <f>VLOOKUP($D232,Construction!$B:$F,(COLUMN(Construction_BuildingReward_Power)-COLUMN(Construction_Name_and_Level)+1),FALSE)</f>
        <v>125</v>
      </c>
      <c r="O232" s="139">
        <v>3.472222222222222E-3</v>
      </c>
      <c r="P232" s="289">
        <v>8.3333333333333332E-3</v>
      </c>
      <c r="AD232" s="137" t="e">
        <f t="shared" si="28"/>
        <v>#REF!</v>
      </c>
      <c r="AE232" s="259">
        <v>0.41</v>
      </c>
      <c r="AF232" s="138">
        <f>VLOOKUP($D232,Construction!$B:$C,(COLUMN(Construction_Time)-COLUMN(Construction_Name_and_Level)+1),FALSE)</f>
        <v>0.11851851851851852</v>
      </c>
      <c r="AG232" s="138">
        <f t="shared" si="23"/>
        <v>8.4055686892566331E-2</v>
      </c>
      <c r="AH232" s="138">
        <f t="shared" si="24"/>
        <v>0</v>
      </c>
      <c r="AI232" s="139">
        <f t="shared" si="25"/>
        <v>7.2250131337010776E-2</v>
      </c>
      <c r="AJ232" s="139">
        <f t="shared" si="26"/>
        <v>4.6268387181507747E-2</v>
      </c>
      <c r="AK232" s="94">
        <f>VLOOKUP($D232,Construction!$B:$J,(COLUMN(Construction_BuildingCost_Stone)-COLUMN(Construction_Name_and_Level)+1),FALSE)*(-1)</f>
        <v>-6696</v>
      </c>
      <c r="AL232" s="94">
        <f>VLOOKUP($D232,Construction!$B:$J,(COLUMN(Construction_BuildingCost_Wood)-COLUMN(Construction_Name_and_Level)+1),FALSE)*(-1)</f>
        <v>-6696</v>
      </c>
      <c r="AM232" s="94">
        <f>VLOOKUP($D232,Construction!$B:$J,(COLUMN(Construction_BuildingCost_Ore)-COLUMN(Construction_Name_and_Level)+1),FALSE)*(-1)</f>
        <v>0</v>
      </c>
      <c r="AN232" s="94">
        <f>VLOOKUP($D232,Construction!$B:$J,(COLUMN(Construction_BuildingCost_Food)-COLUMN(Construction_Name_and_Level)+1),FALSE)*(-1)</f>
        <v>-6696</v>
      </c>
    </row>
    <row r="233" spans="2:40" ht="15.75">
      <c r="B233" s="93" t="s">
        <v>144</v>
      </c>
      <c r="C233" s="127" t="s">
        <v>138</v>
      </c>
      <c r="D233" s="144" t="s">
        <v>854</v>
      </c>
      <c r="E233" s="293">
        <v>18</v>
      </c>
      <c r="F233" s="12">
        <v>0.3</v>
      </c>
      <c r="G233" s="94">
        <f>VLOOKUP($D233,Construction!$B:$E,(COLUMN(Construction_BuildingReward_HeroXP)-COLUMN(Construction_Name_and_Level)+1),FALSE)</f>
        <v>500</v>
      </c>
      <c r="H233" s="94">
        <f t="shared" si="22"/>
        <v>650</v>
      </c>
      <c r="J233" s="95">
        <f>VLOOKUP($D233,Construction!$B:$F,(COLUMN(Construction_BuildingReward_Power)-COLUMN(Construction_Name_and_Level)+1),FALSE)</f>
        <v>310</v>
      </c>
      <c r="O233" s="139">
        <v>3.472222222222222E-3</v>
      </c>
      <c r="P233" s="289">
        <v>8.3333333333333332E-3</v>
      </c>
      <c r="Q233" s="2">
        <v>-1</v>
      </c>
      <c r="V233" s="11">
        <v>-1</v>
      </c>
      <c r="AD233" s="137" t="e">
        <f t="shared" si="28"/>
        <v>#REF!</v>
      </c>
      <c r="AE233" s="259">
        <v>0.41</v>
      </c>
      <c r="AF233" s="138">
        <f>VLOOKUP($D233,Construction!$B:$C,(COLUMN(Construction_Time)-COLUMN(Construction_Name_and_Level)+1),FALSE)</f>
        <v>0.1111111111111111</v>
      </c>
      <c r="AG233" s="138">
        <f t="shared" si="23"/>
        <v>7.8802206461780933E-2</v>
      </c>
      <c r="AH233" s="138">
        <f t="shared" si="24"/>
        <v>4.2361111111111106E-2</v>
      </c>
      <c r="AI233" s="139">
        <f t="shared" si="25"/>
        <v>2.4635539795114271E-2</v>
      </c>
      <c r="AJ233" s="139">
        <f t="shared" si="26"/>
        <v>8.6475571315996841E-2</v>
      </c>
      <c r="AK233" s="94">
        <f>VLOOKUP($D233,Construction!$B:$J,(COLUMN(Construction_BuildingCost_Stone)-COLUMN(Construction_Name_and_Level)+1),FALSE)*(-1)</f>
        <v>-20048</v>
      </c>
      <c r="AL233" s="94">
        <f>VLOOKUP($D233,Construction!$B:$J,(COLUMN(Construction_BuildingCost_Wood)-COLUMN(Construction_Name_and_Level)+1),FALSE)*(-1)</f>
        <v>-26744</v>
      </c>
      <c r="AM233" s="94">
        <f>VLOOKUP($D233,Construction!$B:$J,(COLUMN(Construction_BuildingCost_Ore)-COLUMN(Construction_Name_and_Level)+1),FALSE)*(-1)</f>
        <v>-53464</v>
      </c>
      <c r="AN233" s="94">
        <f>VLOOKUP($D233,Construction!$B:$J,(COLUMN(Construction_BuildingCost_Food)-COLUMN(Construction_Name_and_Level)+1),FALSE)*(-1)</f>
        <v>-20048</v>
      </c>
    </row>
    <row r="234" spans="2:40" ht="15.75">
      <c r="B234" s="93" t="s">
        <v>144</v>
      </c>
      <c r="C234" s="127" t="s">
        <v>138</v>
      </c>
      <c r="D234" s="144" t="s">
        <v>880</v>
      </c>
      <c r="E234" s="293">
        <v>18</v>
      </c>
      <c r="F234" s="12">
        <v>0.3</v>
      </c>
      <c r="G234" s="94">
        <f>VLOOKUP($D234,Construction!$B:$E,(COLUMN(Construction_BuildingReward_HeroXP)-COLUMN(Construction_Name_and_Level)+1),FALSE)</f>
        <v>5000</v>
      </c>
      <c r="H234" s="94">
        <f t="shared" si="22"/>
        <v>6500</v>
      </c>
      <c r="J234" s="95">
        <f>VLOOKUP($D234,Construction!$B:$F,(COLUMN(Construction_BuildingReward_Power)-COLUMN(Construction_Name_and_Level)+1),FALSE)</f>
        <v>750</v>
      </c>
      <c r="O234" s="139">
        <v>3.472222222222222E-3</v>
      </c>
      <c r="P234" s="289">
        <v>8.3333333333333332E-3</v>
      </c>
      <c r="R234" s="2">
        <v>-1</v>
      </c>
      <c r="AD234" s="137" t="e">
        <f t="shared" si="28"/>
        <v>#REF!</v>
      </c>
      <c r="AE234" s="259">
        <v>0.41</v>
      </c>
      <c r="AF234" s="138">
        <f>VLOOKUP($D234,Construction!$B:$C,(COLUMN(Construction_Time)-COLUMN(Construction_Name_and_Level)+1),FALSE)</f>
        <v>0.15555555555555556</v>
      </c>
      <c r="AG234" s="138">
        <f t="shared" si="23"/>
        <v>0.11032308904649331</v>
      </c>
      <c r="AH234" s="138">
        <f t="shared" si="24"/>
        <v>2.0833333333333333E-3</v>
      </c>
      <c r="AI234" s="139">
        <f t="shared" si="25"/>
        <v>9.6434200157604413E-2</v>
      </c>
      <c r="AJ234" s="139">
        <f t="shared" si="26"/>
        <v>5.9121355397951145E-2</v>
      </c>
      <c r="AK234" s="312">
        <f>VLOOKUP($D234,Construction!$B:$J,(COLUMN(Construction_BuildingCost_Stone)-COLUMN(Construction_Name_and_Level)+1),FALSE)*(-1)</f>
        <v>-83984</v>
      </c>
      <c r="AL234" s="94">
        <f>VLOOKUP($D234,Construction!$B:$J,(COLUMN(Construction_BuildingCost_Wood)-COLUMN(Construction_Name_and_Level)+1),FALSE)*(-1)</f>
        <v>-67192</v>
      </c>
      <c r="AM234" s="94">
        <f>VLOOKUP($D234,Construction!$B:$J,(COLUMN(Construction_BuildingCost_Ore)-COLUMN(Construction_Name_and_Level)+1),FALSE)*(-1)</f>
        <v>-25200</v>
      </c>
      <c r="AN234" s="94">
        <f>VLOOKUP($D234,Construction!$B:$J,(COLUMN(Construction_BuildingCost_Food)-COLUMN(Construction_Name_and_Level)+1),FALSE)*(-1)</f>
        <v>-41992</v>
      </c>
    </row>
    <row r="235" spans="2:40" ht="15.75">
      <c r="B235" s="93" t="s">
        <v>144</v>
      </c>
      <c r="C235" s="127" t="s">
        <v>138</v>
      </c>
      <c r="D235" s="144" t="s">
        <v>881</v>
      </c>
      <c r="E235" s="293">
        <v>18</v>
      </c>
      <c r="F235" s="12">
        <v>0.3</v>
      </c>
      <c r="G235" s="94">
        <f>VLOOKUP($D235,Construction!$B:$E,(COLUMN(Construction_BuildingReward_HeroXP)-COLUMN(Construction_Name_and_Level)+1),FALSE)</f>
        <v>500</v>
      </c>
      <c r="H235" s="94">
        <f t="shared" si="22"/>
        <v>650</v>
      </c>
      <c r="J235" s="95">
        <f>VLOOKUP($D235,Construction!$B:$F,(COLUMN(Construction_BuildingReward_Power)-COLUMN(Construction_Name_and_Level)+1),FALSE)</f>
        <v>875</v>
      </c>
      <c r="O235" s="139">
        <v>3.472222222222222E-3</v>
      </c>
      <c r="P235" s="289">
        <v>8.3333333333333332E-3</v>
      </c>
      <c r="AD235" s="137" t="e">
        <f>AD233+(Q$3*Q235+R$3*R235+S$3*S235+T$3*T235+U$3*U235+V$3*V235+W$3*W235+X$3*X235+Y$3*Y235+Z$3*Z235+AA$3*AA235)</f>
        <v>#REF!</v>
      </c>
      <c r="AE235" s="259">
        <v>0.41</v>
      </c>
      <c r="AF235" s="138">
        <f>VLOOKUP($D235,Construction!$B:$C,(COLUMN(Construction_Time)-COLUMN(Construction_Name_and_Level)+1),FALSE)</f>
        <v>0.14814814814814814</v>
      </c>
      <c r="AG235" s="138">
        <f t="shared" si="23"/>
        <v>0.10506960861570791</v>
      </c>
      <c r="AH235" s="138">
        <f t="shared" si="24"/>
        <v>0</v>
      </c>
      <c r="AI235" s="139">
        <f t="shared" si="25"/>
        <v>9.3264053060152355E-2</v>
      </c>
      <c r="AJ235" s="139">
        <f t="shared" si="26"/>
        <v>5.4884095087995785E-2</v>
      </c>
      <c r="AK235" s="94">
        <f>VLOOKUP($D235,Construction!$B:$J,(COLUMN(Construction_BuildingCost_Stone)-COLUMN(Construction_Name_and_Level)+1),FALSE)*(-1)</f>
        <v>-41992</v>
      </c>
      <c r="AL235" s="94">
        <f>VLOOKUP($D235,Construction!$B:$J,(COLUMN(Construction_BuildingCost_Wood)-COLUMN(Construction_Name_and_Level)+1),FALSE)*(-1)</f>
        <v>-41992</v>
      </c>
      <c r="AM235" s="94">
        <f>VLOOKUP($D235,Construction!$B:$J,(COLUMN(Construction_BuildingCost_Ore)-COLUMN(Construction_Name_and_Level)+1),FALSE)*(-1)</f>
        <v>-16808</v>
      </c>
      <c r="AN235" s="94">
        <f>VLOOKUP($D235,Construction!$B:$J,(COLUMN(Construction_BuildingCost_Food)-COLUMN(Construction_Name_and_Level)+1),FALSE)*(-1)</f>
        <v>-25200</v>
      </c>
    </row>
    <row r="236" spans="2:40" ht="15.75">
      <c r="B236" s="93" t="s">
        <v>144</v>
      </c>
      <c r="C236" s="127" t="s">
        <v>138</v>
      </c>
      <c r="D236" s="144" t="s">
        <v>882</v>
      </c>
      <c r="E236" s="293">
        <v>19</v>
      </c>
      <c r="F236" s="12">
        <v>0.3</v>
      </c>
      <c r="G236" s="94">
        <f>VLOOKUP($D236,Construction!$B:$E,(COLUMN(Construction_BuildingReward_HeroXP)-COLUMN(Construction_Name_and_Level)+1),FALSE)</f>
        <v>500</v>
      </c>
      <c r="H236" s="94">
        <f t="shared" si="22"/>
        <v>650</v>
      </c>
      <c r="J236" s="95">
        <f>VLOOKUP($D236,Construction!$B:$F,(COLUMN(Construction_BuildingReward_Power)-COLUMN(Construction_Name_and_Level)+1),FALSE)</f>
        <v>55</v>
      </c>
      <c r="O236" s="139">
        <v>3.472222222222222E-3</v>
      </c>
      <c r="P236" s="289">
        <v>8.3333333333333332E-3</v>
      </c>
      <c r="AD236" s="137" t="e">
        <f>AD234+(Q$3*Q236+R$3*R236+S$3*S236+T$3*T236+U$3*U236+V$3*V236+W$3*W236+X$3*X236+Y$3*Y236+Z$3*Z236+AA$3*AA236)</f>
        <v>#REF!</v>
      </c>
      <c r="AE236" s="259">
        <v>0.41</v>
      </c>
      <c r="AF236" s="138">
        <f>VLOOKUP($D236,Construction!$B:$C,(COLUMN(Construction_Time)-COLUMN(Construction_Name_and_Level)+1),FALSE)</f>
        <v>1.8518518518518521E-2</v>
      </c>
      <c r="AG236" s="138">
        <f t="shared" si="23"/>
        <v>1.313370107696349E-2</v>
      </c>
      <c r="AH236" s="138">
        <f t="shared" si="24"/>
        <v>0</v>
      </c>
      <c r="AI236" s="139">
        <f t="shared" si="25"/>
        <v>1.3281455214079353E-3</v>
      </c>
      <c r="AJ236" s="139">
        <f t="shared" si="26"/>
        <v>1.7190372997110584E-2</v>
      </c>
      <c r="AK236" s="94">
        <f>VLOOKUP($D236,Construction!$B:$J,(COLUMN(Construction_BuildingCost_Stone)-COLUMN(Construction_Name_and_Level)+1),FALSE)*(-1)</f>
        <v>-1674</v>
      </c>
      <c r="AL236" s="94">
        <f>VLOOKUP($D236,Construction!$B:$J,(COLUMN(Construction_BuildingCost_Wood)-COLUMN(Construction_Name_and_Level)+1),FALSE)*(-1)</f>
        <v>-1674</v>
      </c>
      <c r="AM236" s="94">
        <f>VLOOKUP($D236,Construction!$B:$J,(COLUMN(Construction_BuildingCost_Ore)-COLUMN(Construction_Name_and_Level)+1),FALSE)*(-1)</f>
        <v>-1674</v>
      </c>
      <c r="AN236" s="94">
        <f>VLOOKUP($D236,Construction!$B:$J,(COLUMN(Construction_BuildingCost_Food)-COLUMN(Construction_Name_and_Level)+1),FALSE)*(-1)</f>
        <v>0</v>
      </c>
    </row>
    <row r="237" spans="2:40" ht="15.75">
      <c r="B237" s="93" t="s">
        <v>144</v>
      </c>
      <c r="C237" s="127" t="s">
        <v>138</v>
      </c>
      <c r="D237" s="144" t="s">
        <v>886</v>
      </c>
      <c r="E237" s="293">
        <v>19</v>
      </c>
      <c r="F237" s="12">
        <v>0.3</v>
      </c>
      <c r="G237" s="94">
        <f>VLOOKUP($D237,Construction!$B:$E,(COLUMN(Construction_BuildingReward_HeroXP)-COLUMN(Construction_Name_and_Level)+1),FALSE)</f>
        <v>500</v>
      </c>
      <c r="H237" s="94">
        <f t="shared" si="22"/>
        <v>650</v>
      </c>
      <c r="J237" s="95">
        <f>VLOOKUP($D237,Construction!$B:$F,(COLUMN(Construction_BuildingReward_Power)-COLUMN(Construction_Name_and_Level)+1),FALSE)</f>
        <v>85</v>
      </c>
      <c r="O237" s="139">
        <v>3.472222222222222E-3</v>
      </c>
      <c r="P237" s="289">
        <v>8.3333333333333332E-3</v>
      </c>
      <c r="AD237" s="137" t="e">
        <f>AD235+(Q$3*Q237+R$3*R237+S$3*S237+T$3*T237+U$3*U237+V$3*V237+W$3*W237+X$3*X237+Y$3*Y237+Z$3*Z237+AA$3*AA237)</f>
        <v>#REF!</v>
      </c>
      <c r="AE237" s="259">
        <v>0.41</v>
      </c>
      <c r="AF237" s="138">
        <f>VLOOKUP($D237,Construction!$B:$C,(COLUMN(Construction_Time)-COLUMN(Construction_Name_and_Level)+1),FALSE)</f>
        <v>4.4444444444444446E-2</v>
      </c>
      <c r="AG237" s="138">
        <f t="shared" si="23"/>
        <v>3.1520882584712376E-2</v>
      </c>
      <c r="AH237" s="138">
        <f t="shared" si="24"/>
        <v>0</v>
      </c>
      <c r="AI237" s="139">
        <f t="shared" si="25"/>
        <v>1.9715327029156821E-2</v>
      </c>
      <c r="AJ237" s="139">
        <f t="shared" si="26"/>
        <v>2.4729117415287626E-2</v>
      </c>
      <c r="AK237" s="94">
        <f>VLOOKUP($D237,Construction!$B:$J,(COLUMN(Construction_BuildingCost_Stone)-COLUMN(Construction_Name_and_Level)+1),FALSE)*(-1)</f>
        <v>-3348</v>
      </c>
      <c r="AL237" s="94">
        <f>VLOOKUP($D237,Construction!$B:$J,(COLUMN(Construction_BuildingCost_Wood)-COLUMN(Construction_Name_and_Level)+1),FALSE)*(-1)</f>
        <v>0</v>
      </c>
      <c r="AM237" s="94">
        <f>VLOOKUP($D237,Construction!$B:$J,(COLUMN(Construction_BuildingCost_Ore)-COLUMN(Construction_Name_and_Level)+1),FALSE)*(-1)</f>
        <v>-3348</v>
      </c>
      <c r="AN237" s="94">
        <f>VLOOKUP($D237,Construction!$B:$J,(COLUMN(Construction_BuildingCost_Food)-COLUMN(Construction_Name_and_Level)+1),FALSE)*(-1)</f>
        <v>-3348</v>
      </c>
    </row>
    <row r="238" spans="2:40" ht="15.75">
      <c r="B238" s="93" t="s">
        <v>144</v>
      </c>
      <c r="C238" s="127" t="s">
        <v>138</v>
      </c>
      <c r="D238" s="144" t="s">
        <v>887</v>
      </c>
      <c r="E238" s="293">
        <v>19</v>
      </c>
      <c r="F238" s="12">
        <v>0.3</v>
      </c>
      <c r="G238" s="94">
        <f>VLOOKUP($D238,Construction!$B:$E,(COLUMN(Construction_BuildingReward_HeroXP)-COLUMN(Construction_Name_and_Level)+1),FALSE)</f>
        <v>500</v>
      </c>
      <c r="H238" s="94">
        <f t="shared" si="22"/>
        <v>650</v>
      </c>
      <c r="J238" s="95">
        <f>VLOOKUP($D238,Construction!$B:$F,(COLUMN(Construction_BuildingReward_Power)-COLUMN(Construction_Name_and_Level)+1),FALSE)</f>
        <v>250</v>
      </c>
      <c r="O238" s="139">
        <v>3.472222222222222E-3</v>
      </c>
      <c r="P238" s="289">
        <v>8.3333333333333332E-3</v>
      </c>
      <c r="V238" s="11">
        <v>-1</v>
      </c>
      <c r="AD238" s="137" t="e">
        <f>AD237+(Q$3*Q238+R$3*R238+S$3*S238+T$3*T238+U$3*U238+V$3*V238+W$3*W238+X$3*X238+Y$3*Y238+Z$3*Z238+AA$3*AA238)</f>
        <v>#REF!</v>
      </c>
      <c r="AE238" s="259">
        <v>0.41</v>
      </c>
      <c r="AF238" s="138">
        <f>VLOOKUP($D238,Construction!$B:$C,(COLUMN(Construction_Time)-COLUMN(Construction_Name_and_Level)+1),FALSE)</f>
        <v>8.8888888888888892E-2</v>
      </c>
      <c r="AG238" s="138">
        <f t="shared" si="23"/>
        <v>6.3041765169424752E-2</v>
      </c>
      <c r="AH238" s="138">
        <f t="shared" si="24"/>
        <v>4.1666666666666664E-2</v>
      </c>
      <c r="AI238" s="139">
        <f t="shared" si="25"/>
        <v>9.569542947202532E-3</v>
      </c>
      <c r="AJ238" s="139">
        <f t="shared" si="26"/>
        <v>7.9319345941686353E-2</v>
      </c>
      <c r="AK238" s="94">
        <f>VLOOKUP($D238,Construction!$B:$J,(COLUMN(Construction_BuildingCost_Stone)-COLUMN(Construction_Name_and_Level)+1),FALSE)*(-1)</f>
        <v>-26744</v>
      </c>
      <c r="AL238" s="94">
        <f>VLOOKUP($D238,Construction!$B:$J,(COLUMN(Construction_BuildingCost_Wood)-COLUMN(Construction_Name_and_Level)+1),FALSE)*(-1)</f>
        <v>-26744</v>
      </c>
      <c r="AM238" s="94">
        <f>VLOOKUP($D238,Construction!$B:$J,(COLUMN(Construction_BuildingCost_Ore)-COLUMN(Construction_Name_and_Level)+1),FALSE)*(-1)</f>
        <v>-20048</v>
      </c>
      <c r="AN238" s="94">
        <f>VLOOKUP($D238,Construction!$B:$J,(COLUMN(Construction_BuildingCost_Food)-COLUMN(Construction_Name_and_Level)+1),FALSE)*(-1)</f>
        <v>-13376</v>
      </c>
    </row>
    <row r="239" spans="2:40" ht="15.75">
      <c r="B239" s="93" t="s">
        <v>144</v>
      </c>
      <c r="C239" s="127" t="s">
        <v>138</v>
      </c>
      <c r="D239" s="144" t="s">
        <v>886</v>
      </c>
      <c r="E239" s="293">
        <v>19</v>
      </c>
      <c r="F239" s="12">
        <v>0.3</v>
      </c>
      <c r="G239" s="94">
        <f>VLOOKUP($D239,Construction!$B:$E,(COLUMN(Construction_BuildingReward_HeroXP)-COLUMN(Construction_Name_and_Level)+1),FALSE)</f>
        <v>500</v>
      </c>
      <c r="H239" s="94">
        <f t="shared" si="22"/>
        <v>650</v>
      </c>
      <c r="J239" s="95">
        <f>VLOOKUP($D239,Construction!$B:$F,(COLUMN(Construction_BuildingReward_Power)-COLUMN(Construction_Name_and_Level)+1),FALSE)</f>
        <v>85</v>
      </c>
      <c r="O239" s="139">
        <v>3.472222222222222E-3</v>
      </c>
      <c r="P239" s="289">
        <v>8.3333333333333332E-3</v>
      </c>
      <c r="AD239" s="137" t="e">
        <f>AD238+(Q$3*Q239+R$3*R239+S$3*S239+T$3*T239+U$3*U239+V$3*V239+W$3*W239+X$3*X239+Y$3*Y239+Z$3*Z239+AA$3*AA239)</f>
        <v>#REF!</v>
      </c>
      <c r="AE239" s="259">
        <v>0.41</v>
      </c>
      <c r="AF239" s="138">
        <f>VLOOKUP($D239,Construction!$B:$C,(COLUMN(Construction_Time)-COLUMN(Construction_Name_and_Level)+1),FALSE)</f>
        <v>4.4444444444444446E-2</v>
      </c>
      <c r="AG239" s="138">
        <f t="shared" si="23"/>
        <v>3.1520882584712376E-2</v>
      </c>
      <c r="AH239" s="138">
        <f t="shared" si="24"/>
        <v>0</v>
      </c>
      <c r="AI239" s="139">
        <f t="shared" si="25"/>
        <v>1.9715327029156821E-2</v>
      </c>
      <c r="AJ239" s="139">
        <f t="shared" si="26"/>
        <v>2.4729117415287626E-2</v>
      </c>
      <c r="AK239" s="94">
        <f>VLOOKUP($D239,Construction!$B:$J,(COLUMN(Construction_BuildingCost_Stone)-COLUMN(Construction_Name_and_Level)+1),FALSE)*(-1)</f>
        <v>-3348</v>
      </c>
      <c r="AL239" s="94">
        <f>VLOOKUP($D239,Construction!$B:$J,(COLUMN(Construction_BuildingCost_Wood)-COLUMN(Construction_Name_and_Level)+1),FALSE)*(-1)</f>
        <v>0</v>
      </c>
      <c r="AM239" s="94">
        <f>VLOOKUP($D239,Construction!$B:$J,(COLUMN(Construction_BuildingCost_Ore)-COLUMN(Construction_Name_and_Level)+1),FALSE)*(-1)</f>
        <v>-3348</v>
      </c>
      <c r="AN239" s="94">
        <f>VLOOKUP($D239,Construction!$B:$J,(COLUMN(Construction_BuildingCost_Food)-COLUMN(Construction_Name_and_Level)+1),FALSE)*(-1)</f>
        <v>-3348</v>
      </c>
    </row>
    <row r="240" spans="2:40" ht="15.75">
      <c r="B240" s="93" t="s">
        <v>144</v>
      </c>
      <c r="C240" s="127" t="s">
        <v>138</v>
      </c>
      <c r="D240" s="144" t="s">
        <v>890</v>
      </c>
      <c r="E240" s="293">
        <v>19</v>
      </c>
      <c r="F240" s="12">
        <v>0.3</v>
      </c>
      <c r="G240" s="94">
        <f>VLOOKUP($D240,Construction!$B:$E,(COLUMN(Construction_BuildingReward_HeroXP)-COLUMN(Construction_Name_and_Level)+1),FALSE)</f>
        <v>500</v>
      </c>
      <c r="H240" s="94">
        <f t="shared" si="22"/>
        <v>650</v>
      </c>
      <c r="J240" s="95">
        <f>VLOOKUP($D240,Construction!$B:$F,(COLUMN(Construction_BuildingReward_Power)-COLUMN(Construction_Name_and_Level)+1),FALSE)</f>
        <v>85</v>
      </c>
      <c r="O240" s="139">
        <v>3.472222222222222E-3</v>
      </c>
      <c r="P240" s="289">
        <v>8.3333333333333332E-3</v>
      </c>
      <c r="AD240" s="137" t="e">
        <f>AD239+(Q$3*Q240+R$3*R240+S$3*S240+T$3*T240+U$3*U240+V$3*V240+W$3*W240+X$3*X240+Y$3*Y240+Z$3*Z240+AA$3*AA240)</f>
        <v>#REF!</v>
      </c>
      <c r="AE240" s="259">
        <v>0.41</v>
      </c>
      <c r="AF240" s="138">
        <f>VLOOKUP($D240,Construction!$B:$C,(COLUMN(Construction_Time)-COLUMN(Construction_Name_and_Level)+1),FALSE)</f>
        <v>3.7037037037037042E-2</v>
      </c>
      <c r="AG240" s="138">
        <f t="shared" si="23"/>
        <v>2.6267402153926981E-2</v>
      </c>
      <c r="AH240" s="138">
        <f t="shared" si="24"/>
        <v>0</v>
      </c>
      <c r="AI240" s="139">
        <f t="shared" si="25"/>
        <v>1.4461846598371427E-2</v>
      </c>
      <c r="AJ240" s="139">
        <f t="shared" si="26"/>
        <v>2.2575190438665613E-2</v>
      </c>
      <c r="AK240" s="94">
        <f>VLOOKUP($D240,Construction!$B:$J,(COLUMN(Construction_BuildingCost_Stone)-COLUMN(Construction_Name_and_Level)+1),FALSE)*(-1)</f>
        <v>-3348</v>
      </c>
      <c r="AL240" s="94">
        <f>VLOOKUP($D240,Construction!$B:$J,(COLUMN(Construction_BuildingCost_Wood)-COLUMN(Construction_Name_and_Level)+1),FALSE)*(-1)</f>
        <v>-3348</v>
      </c>
      <c r="AM240" s="94">
        <f>VLOOKUP($D240,Construction!$B:$J,(COLUMN(Construction_BuildingCost_Ore)-COLUMN(Construction_Name_and_Level)+1),FALSE)*(-1)</f>
        <v>-3348</v>
      </c>
      <c r="AN240" s="94">
        <f>VLOOKUP($D240,Construction!$B:$J,(COLUMN(Construction_BuildingCost_Food)-COLUMN(Construction_Name_and_Level)+1),FALSE)*(-1)</f>
        <v>0</v>
      </c>
    </row>
    <row r="241" spans="2:40" ht="15.75">
      <c r="B241" s="93" t="s">
        <v>144</v>
      </c>
      <c r="C241" s="127" t="s">
        <v>138</v>
      </c>
      <c r="D241" s="144" t="s">
        <v>891</v>
      </c>
      <c r="E241" s="293">
        <v>19</v>
      </c>
      <c r="F241" s="12">
        <v>0.3</v>
      </c>
      <c r="G241" s="94">
        <f>VLOOKUP($D241,Construction!$B:$E,(COLUMN(Construction_BuildingReward_HeroXP)-COLUMN(Construction_Name_and_Level)+1),FALSE)</f>
        <v>500</v>
      </c>
      <c r="H241" s="94">
        <f t="shared" si="22"/>
        <v>650</v>
      </c>
      <c r="J241" s="95">
        <f>VLOOKUP($D241,Construction!$B:$F,(COLUMN(Construction_BuildingReward_Power)-COLUMN(Construction_Name_and_Level)+1),FALSE)</f>
        <v>215</v>
      </c>
      <c r="O241" s="139">
        <v>3.472222222222222E-3</v>
      </c>
      <c r="P241" s="289">
        <v>8.3333333333333332E-3</v>
      </c>
      <c r="R241" s="2">
        <v>-1</v>
      </c>
      <c r="AD241" s="137" t="e">
        <f>AD240+(Q$3*Q241+R$3*R241+S$3*S241+T$3*T241+U$3*U241+V$3*V241+W$3*W241+X$3*X241+Y$3*Y241+Z$3*Z241+AA$3*AA241)</f>
        <v>#REF!</v>
      </c>
      <c r="AE241" s="259">
        <v>0.41</v>
      </c>
      <c r="AF241" s="138">
        <f>VLOOKUP($D241,Construction!$B:$C,(COLUMN(Construction_Time)-COLUMN(Construction_Name_and_Level)+1),FALSE)</f>
        <v>3.7037037037037042E-2</v>
      </c>
      <c r="AG241" s="138">
        <f t="shared" si="23"/>
        <v>2.6267402153926981E-2</v>
      </c>
      <c r="AH241" s="138">
        <f t="shared" si="24"/>
        <v>2.0833333333333333E-3</v>
      </c>
      <c r="AI241" s="139">
        <f t="shared" si="25"/>
        <v>1.2378513265038095E-2</v>
      </c>
      <c r="AJ241" s="139">
        <f t="shared" si="26"/>
        <v>2.4658523771998946E-2</v>
      </c>
      <c r="AK241" s="94">
        <f>VLOOKUP($D241,Construction!$B:$J,(COLUMN(Construction_BuildingCost_Stone)-COLUMN(Construction_Name_and_Level)+1),FALSE)*(-1)</f>
        <v>-6688</v>
      </c>
      <c r="AL241" s="94">
        <f>VLOOKUP($D241,Construction!$B:$J,(COLUMN(Construction_BuildingCost_Wood)-COLUMN(Construction_Name_and_Level)+1),FALSE)*(-1)</f>
        <v>-6688</v>
      </c>
      <c r="AM241" s="94">
        <f>VLOOKUP($D241,Construction!$B:$J,(COLUMN(Construction_BuildingCost_Ore)-COLUMN(Construction_Name_and_Level)+1),FALSE)*(-1)</f>
        <v>-1680</v>
      </c>
      <c r="AN241" s="94">
        <f>VLOOKUP($D241,Construction!$B:$J,(COLUMN(Construction_BuildingCost_Food)-COLUMN(Construction_Name_and_Level)+1),FALSE)*(-1)</f>
        <v>-16708</v>
      </c>
    </row>
    <row r="242" spans="2:40" ht="15.75">
      <c r="AD242" s="137" t="e">
        <f>#REF!+(Q$3*Q242+R$3*R242+S$3*S242+T$3*T242+U$3*U242+V$3*V242+W$3*W242+X$3*X242+Y$3*Y242+Z$3*Z242+AA$3*AA242)</f>
        <v>#REF!</v>
      </c>
    </row>
    <row r="243" spans="2:40" ht="15.75">
      <c r="AD243" s="137" t="e">
        <f t="shared" ref="AD243:AD271" si="29">AD242+(Q$3*Q243+R$3*R243+S$3*S243+T$3*T243+U$3*U243+V$3*V243+W$3*W243+X$3*X243+Y$3*Y243+Z$3*Z243+AA$3*AA243)</f>
        <v>#REF!</v>
      </c>
    </row>
    <row r="244" spans="2:40" ht="15.75">
      <c r="AD244" s="137" t="e">
        <f t="shared" si="29"/>
        <v>#REF!</v>
      </c>
    </row>
    <row r="245" spans="2:40" ht="15.75">
      <c r="AD245" s="137" t="e">
        <f t="shared" si="29"/>
        <v>#REF!</v>
      </c>
    </row>
    <row r="246" spans="2:40" ht="15.75">
      <c r="AD246" s="137" t="e">
        <f t="shared" si="29"/>
        <v>#REF!</v>
      </c>
    </row>
    <row r="247" spans="2:40" ht="15.75">
      <c r="AD247" s="137" t="e">
        <f t="shared" si="29"/>
        <v>#REF!</v>
      </c>
    </row>
    <row r="248" spans="2:40" ht="15.75">
      <c r="AD248" s="137" t="e">
        <f t="shared" si="29"/>
        <v>#REF!</v>
      </c>
    </row>
    <row r="249" spans="2:40" ht="15.75">
      <c r="AD249" s="137" t="e">
        <f t="shared" si="29"/>
        <v>#REF!</v>
      </c>
    </row>
    <row r="250" spans="2:40" ht="15.75">
      <c r="AD250" s="137" t="e">
        <f t="shared" si="29"/>
        <v>#REF!</v>
      </c>
    </row>
    <row r="251" spans="2:40" ht="15.75">
      <c r="AD251" s="137" t="e">
        <f t="shared" si="29"/>
        <v>#REF!</v>
      </c>
    </row>
    <row r="252" spans="2:40" ht="15.75">
      <c r="AD252" s="137" t="e">
        <f t="shared" si="29"/>
        <v>#REF!</v>
      </c>
    </row>
    <row r="253" spans="2:40" ht="15.75">
      <c r="AD253" s="137" t="e">
        <f t="shared" si="29"/>
        <v>#REF!</v>
      </c>
    </row>
    <row r="254" spans="2:40" ht="15.75">
      <c r="AD254" s="137" t="e">
        <f t="shared" si="29"/>
        <v>#REF!</v>
      </c>
    </row>
    <row r="255" spans="2:40" ht="15.75">
      <c r="AD255" s="137" t="e">
        <f t="shared" si="29"/>
        <v>#REF!</v>
      </c>
    </row>
    <row r="256" spans="2:40" ht="15.75">
      <c r="AD256" s="137" t="e">
        <f t="shared" si="29"/>
        <v>#REF!</v>
      </c>
    </row>
    <row r="257" spans="30:30" ht="15.75">
      <c r="AD257" s="137" t="e">
        <f t="shared" si="29"/>
        <v>#REF!</v>
      </c>
    </row>
    <row r="258" spans="30:30" ht="15.75">
      <c r="AD258" s="137" t="e">
        <f t="shared" si="29"/>
        <v>#REF!</v>
      </c>
    </row>
    <row r="259" spans="30:30" ht="15.75">
      <c r="AD259" s="137" t="e">
        <f t="shared" si="29"/>
        <v>#REF!</v>
      </c>
    </row>
    <row r="260" spans="30:30" ht="15.75">
      <c r="AD260" s="137" t="e">
        <f t="shared" si="29"/>
        <v>#REF!</v>
      </c>
    </row>
    <row r="261" spans="30:30" ht="15.75">
      <c r="AD261" s="137" t="e">
        <f t="shared" si="29"/>
        <v>#REF!</v>
      </c>
    </row>
    <row r="262" spans="30:30" ht="15.75">
      <c r="AD262" s="137" t="e">
        <f t="shared" si="29"/>
        <v>#REF!</v>
      </c>
    </row>
    <row r="263" spans="30:30" ht="15.75">
      <c r="AD263" s="137" t="e">
        <f t="shared" si="29"/>
        <v>#REF!</v>
      </c>
    </row>
    <row r="264" spans="30:30" ht="15.75">
      <c r="AD264" s="137" t="e">
        <f t="shared" si="29"/>
        <v>#REF!</v>
      </c>
    </row>
    <row r="265" spans="30:30" ht="15.75">
      <c r="AD265" s="137" t="e">
        <f t="shared" si="29"/>
        <v>#REF!</v>
      </c>
    </row>
    <row r="266" spans="30:30" ht="15.75">
      <c r="AD266" s="137" t="e">
        <f t="shared" si="29"/>
        <v>#REF!</v>
      </c>
    </row>
    <row r="267" spans="30:30" ht="15.75">
      <c r="AD267" s="137" t="e">
        <f t="shared" si="29"/>
        <v>#REF!</v>
      </c>
    </row>
    <row r="268" spans="30:30" ht="15.75">
      <c r="AD268" s="137" t="e">
        <f t="shared" si="29"/>
        <v>#REF!</v>
      </c>
    </row>
    <row r="269" spans="30:30" ht="15.75">
      <c r="AD269" s="137" t="e">
        <f t="shared" si="29"/>
        <v>#REF!</v>
      </c>
    </row>
    <row r="270" spans="30:30" ht="15.75">
      <c r="AD270" s="137" t="e">
        <f t="shared" si="29"/>
        <v>#REF!</v>
      </c>
    </row>
    <row r="271" spans="30:30" ht="15.75">
      <c r="AD271" s="137" t="e">
        <f t="shared" si="29"/>
        <v>#REF!</v>
      </c>
    </row>
    <row r="272" spans="30:30" ht="15.75">
      <c r="AD272" s="137" t="e">
        <f t="shared" ref="AD272:AD296" si="30">AD271+(Q$3*Q272+R$3*R272+S$3*S272+T$3*T272+U$3*U272+V$3*V272+W$3*W272+X$3*X272+Y$3*Y272+Z$3*Z272+AA$3*AA272)</f>
        <v>#REF!</v>
      </c>
    </row>
    <row r="273" spans="30:30" ht="15.75">
      <c r="AD273" s="137" t="e">
        <f t="shared" si="30"/>
        <v>#REF!</v>
      </c>
    </row>
    <row r="274" spans="30:30" ht="15.75">
      <c r="AD274" s="137" t="e">
        <f t="shared" si="30"/>
        <v>#REF!</v>
      </c>
    </row>
    <row r="275" spans="30:30" ht="15.75">
      <c r="AD275" s="137" t="e">
        <f t="shared" si="30"/>
        <v>#REF!</v>
      </c>
    </row>
    <row r="276" spans="30:30" ht="15.75">
      <c r="AD276" s="137" t="e">
        <f t="shared" si="30"/>
        <v>#REF!</v>
      </c>
    </row>
    <row r="277" spans="30:30" ht="15.75">
      <c r="AD277" s="137" t="e">
        <f t="shared" si="30"/>
        <v>#REF!</v>
      </c>
    </row>
    <row r="278" spans="30:30" ht="15.75">
      <c r="AD278" s="137" t="e">
        <f t="shared" si="30"/>
        <v>#REF!</v>
      </c>
    </row>
    <row r="279" spans="30:30" ht="15.75">
      <c r="AD279" s="137" t="e">
        <f t="shared" si="30"/>
        <v>#REF!</v>
      </c>
    </row>
    <row r="280" spans="30:30" ht="15.75">
      <c r="AD280" s="137" t="e">
        <f t="shared" si="30"/>
        <v>#REF!</v>
      </c>
    </row>
    <row r="281" spans="30:30" ht="15.75">
      <c r="AD281" s="137" t="e">
        <f t="shared" si="30"/>
        <v>#REF!</v>
      </c>
    </row>
    <row r="282" spans="30:30" ht="15.75">
      <c r="AD282" s="137" t="e">
        <f t="shared" si="30"/>
        <v>#REF!</v>
      </c>
    </row>
    <row r="283" spans="30:30" ht="15.75">
      <c r="AD283" s="137" t="e">
        <f t="shared" si="30"/>
        <v>#REF!</v>
      </c>
    </row>
    <row r="284" spans="30:30" ht="15.75">
      <c r="AD284" s="137" t="e">
        <f t="shared" si="30"/>
        <v>#REF!</v>
      </c>
    </row>
    <row r="285" spans="30:30" ht="15.75">
      <c r="AD285" s="137" t="e">
        <f t="shared" si="30"/>
        <v>#REF!</v>
      </c>
    </row>
    <row r="286" spans="30:30" ht="15.75">
      <c r="AD286" s="137" t="e">
        <f t="shared" si="30"/>
        <v>#REF!</v>
      </c>
    </row>
    <row r="287" spans="30:30" ht="15.75">
      <c r="AD287" s="137" t="e">
        <f t="shared" si="30"/>
        <v>#REF!</v>
      </c>
    </row>
    <row r="288" spans="30:30" ht="15.75">
      <c r="AD288" s="137" t="e">
        <f t="shared" si="30"/>
        <v>#REF!</v>
      </c>
    </row>
    <row r="289" spans="30:30" ht="15.75">
      <c r="AD289" s="137" t="e">
        <f t="shared" si="30"/>
        <v>#REF!</v>
      </c>
    </row>
    <row r="290" spans="30:30" ht="15.75">
      <c r="AD290" s="137" t="e">
        <f t="shared" si="30"/>
        <v>#REF!</v>
      </c>
    </row>
    <row r="291" spans="30:30" ht="15.75">
      <c r="AD291" s="137" t="e">
        <f t="shared" si="30"/>
        <v>#REF!</v>
      </c>
    </row>
    <row r="292" spans="30:30" ht="15.75">
      <c r="AD292" s="137" t="e">
        <f t="shared" si="30"/>
        <v>#REF!</v>
      </c>
    </row>
    <row r="293" spans="30:30" ht="15.75">
      <c r="AD293" s="137" t="e">
        <f t="shared" si="30"/>
        <v>#REF!</v>
      </c>
    </row>
    <row r="294" spans="30:30" ht="15.75">
      <c r="AD294" s="137" t="e">
        <f t="shared" si="30"/>
        <v>#REF!</v>
      </c>
    </row>
    <row r="295" spans="30:30" ht="15.75">
      <c r="AD295" s="137" t="e">
        <f t="shared" si="30"/>
        <v>#REF!</v>
      </c>
    </row>
    <row r="296" spans="30:30" ht="15.75">
      <c r="AD296" s="137" t="e">
        <f t="shared" si="30"/>
        <v>#REF!</v>
      </c>
    </row>
  </sheetData>
  <sortState ref="B4:CL635">
    <sortCondition ref="B4"/>
  </sortState>
  <mergeCells count="15">
    <mergeCell ref="K2:M2"/>
    <mergeCell ref="B2:B3"/>
    <mergeCell ref="C2:C3"/>
    <mergeCell ref="D2:D3"/>
    <mergeCell ref="E2:I2"/>
    <mergeCell ref="J2:J3"/>
    <mergeCell ref="AJ2:AJ3"/>
    <mergeCell ref="AI2:AI3"/>
    <mergeCell ref="AK2:AO2"/>
    <mergeCell ref="O2:O3"/>
    <mergeCell ref="P2:P3"/>
    <mergeCell ref="Q2:AC2"/>
    <mergeCell ref="AD2:AD3"/>
    <mergeCell ref="AE2:AG2"/>
    <mergeCell ref="AH2:AH3"/>
  </mergeCells>
  <phoneticPr fontId="1" type="noConversion"/>
  <conditionalFormatting sqref="B1:B1048576">
    <cfRule type="cellIs" dxfId="36" priority="12" stopIfTrue="1" operator="equal">
      <formula>#REF!</formula>
    </cfRule>
    <cfRule type="cellIs" dxfId="35" priority="13" stopIfTrue="1" operator="equal">
      <formula>#REF!</formula>
    </cfRule>
    <cfRule type="cellIs" dxfId="34" priority="14" stopIfTrue="1" operator="equal">
      <formula>#REF!</formula>
    </cfRule>
    <cfRule type="cellIs" dxfId="33" priority="15" stopIfTrue="1" operator="equal">
      <formula>#REF!</formula>
    </cfRule>
    <cfRule type="cellIs" dxfId="32" priority="16" stopIfTrue="1" operator="equal">
      <formula>#REF!</formula>
    </cfRule>
    <cfRule type="cellIs" dxfId="31" priority="17" stopIfTrue="1" operator="equal">
      <formula>#REF!</formula>
    </cfRule>
    <cfRule type="cellIs" dxfId="30" priority="18" stopIfTrue="1" operator="equal">
      <formula>#REF!</formula>
    </cfRule>
    <cfRule type="cellIs" dxfId="29" priority="19" stopIfTrue="1" operator="equal">
      <formula>#REF!</formula>
    </cfRule>
    <cfRule type="cellIs" dxfId="28" priority="20" stopIfTrue="1" operator="equal">
      <formula>#REF!</formula>
    </cfRule>
    <cfRule type="cellIs" dxfId="27" priority="21" stopIfTrue="1" operator="equal">
      <formula>#REF!</formula>
    </cfRule>
  </conditionalFormatting>
  <conditionalFormatting sqref="B1:B1048576">
    <cfRule type="cellIs" dxfId="26" priority="42" stopIfTrue="1" operator="equal">
      <formula>#REF!</formula>
    </cfRule>
  </conditionalFormatting>
  <dataValidations count="2">
    <dataValidation type="list" allowBlank="1" showInputMessage="1" showErrorMessage="1" sqref="C1:C1048576">
      <formula1>INDIRECT($B1)</formula1>
    </dataValidation>
    <dataValidation type="list" allowBlank="1" showInputMessage="1" showErrorMessage="1" sqref="B1:B1048576">
      <formula1>CATEGORY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theme="0"/>
  </sheetPr>
  <dimension ref="B1:AH84"/>
  <sheetViews>
    <sheetView workbookViewId="0">
      <selection activeCell="I14" sqref="I14"/>
    </sheetView>
  </sheetViews>
  <sheetFormatPr defaultColWidth="9" defaultRowHeight="15" customHeight="1"/>
  <cols>
    <col min="1" max="1" width="3" style="2" customWidth="1"/>
    <col min="2" max="2" width="9" style="350"/>
    <col min="3" max="4" width="9" style="135"/>
    <col min="5" max="6" width="9" style="140"/>
    <col min="7" max="7" width="9" style="135"/>
    <col min="8" max="8" width="9" style="486"/>
    <col min="9" max="9" width="9" style="135"/>
    <col min="10" max="12" width="9" style="2"/>
    <col min="13" max="13" width="9" style="133"/>
    <col min="14" max="14" width="9" style="2"/>
    <col min="15" max="15" width="9" style="133"/>
    <col min="16" max="16" width="9" style="2"/>
    <col min="17" max="18" width="9" style="133"/>
    <col min="19" max="20" width="9" style="2"/>
    <col min="21" max="21" width="0.42578125" style="534" customWidth="1"/>
    <col min="22" max="22" width="9" style="2"/>
    <col min="23" max="23" width="9.28515625" style="2" customWidth="1"/>
    <col min="24" max="24" width="13.140625" style="2" customWidth="1"/>
    <col min="25" max="25" width="4.140625" style="133" customWidth="1"/>
    <col min="26" max="26" width="14.28515625" style="2" customWidth="1"/>
    <col min="27" max="27" width="13.5703125" style="2" customWidth="1"/>
    <col min="28" max="28" width="13.42578125" style="2" customWidth="1"/>
    <col min="29" max="29" width="4.28515625" style="2" customWidth="1"/>
    <col min="30" max="30" width="11.28515625" style="2" customWidth="1"/>
    <col min="31" max="31" width="11.140625" style="2" customWidth="1"/>
    <col min="32" max="33" width="13.7109375" style="133" customWidth="1"/>
    <col min="34" max="34" width="12.5703125" style="2" customWidth="1"/>
    <col min="35" max="16384" width="9" style="2"/>
  </cols>
  <sheetData>
    <row r="1" spans="2:34" ht="15" customHeight="1">
      <c r="B1" s="352"/>
      <c r="C1" s="352"/>
      <c r="D1" s="352"/>
      <c r="E1" s="507"/>
      <c r="F1" s="157"/>
      <c r="G1" s="157"/>
      <c r="H1" s="529"/>
      <c r="I1" s="157"/>
      <c r="J1" s="352"/>
      <c r="K1" s="352"/>
      <c r="L1" s="352"/>
      <c r="M1" s="507"/>
      <c r="N1" s="352"/>
      <c r="O1" s="507"/>
    </row>
    <row r="2" spans="2:34" s="352" customFormat="1" ht="30" customHeight="1">
      <c r="B2" s="349" t="s">
        <v>962</v>
      </c>
      <c r="C2" s="354" t="s">
        <v>963</v>
      </c>
      <c r="D2" s="354" t="s">
        <v>964</v>
      </c>
      <c r="E2" s="695" t="s">
        <v>1330</v>
      </c>
      <c r="F2" s="696"/>
      <c r="G2" s="697"/>
      <c r="H2" s="714" t="s">
        <v>1331</v>
      </c>
      <c r="I2" s="693" t="s">
        <v>1332</v>
      </c>
      <c r="M2" s="507"/>
      <c r="O2" s="507"/>
      <c r="Q2" s="507"/>
      <c r="R2" s="507"/>
      <c r="U2" s="535"/>
      <c r="W2" s="476" t="s">
        <v>173</v>
      </c>
      <c r="X2" s="519" t="s">
        <v>1316</v>
      </c>
      <c r="Z2" s="683" t="s">
        <v>61</v>
      </c>
      <c r="AA2" s="475"/>
      <c r="AB2" s="513" t="s">
        <v>1317</v>
      </c>
      <c r="AD2" s="683" t="s">
        <v>61</v>
      </c>
      <c r="AE2" s="697" t="s">
        <v>1318</v>
      </c>
      <c r="AF2" s="513" t="s">
        <v>1319</v>
      </c>
      <c r="AG2" s="519" t="s">
        <v>1320</v>
      </c>
      <c r="AH2" s="711" t="s">
        <v>1321</v>
      </c>
    </row>
    <row r="3" spans="2:34" s="352" customFormat="1" ht="30" customHeight="1">
      <c r="B3" s="89" t="s">
        <v>965</v>
      </c>
      <c r="C3" s="306"/>
      <c r="D3" s="306"/>
      <c r="E3" s="502" t="s">
        <v>966</v>
      </c>
      <c r="F3" s="158" t="s">
        <v>967</v>
      </c>
      <c r="G3" s="401" t="s">
        <v>968</v>
      </c>
      <c r="H3" s="715"/>
      <c r="I3" s="713"/>
      <c r="M3" s="507"/>
      <c r="O3" s="507"/>
      <c r="Q3" s="507"/>
      <c r="R3" s="507"/>
      <c r="U3" s="535"/>
      <c r="W3" s="479" t="s">
        <v>960</v>
      </c>
      <c r="X3" s="520" t="s">
        <v>1315</v>
      </c>
      <c r="Z3" s="716"/>
      <c r="AA3" s="477" t="s">
        <v>190</v>
      </c>
      <c r="AB3" s="514" t="s">
        <v>1315</v>
      </c>
      <c r="AD3" s="717"/>
      <c r="AE3" s="718"/>
      <c r="AF3" s="514" t="s">
        <v>1315</v>
      </c>
      <c r="AG3" s="520" t="s">
        <v>1315</v>
      </c>
      <c r="AH3" s="712"/>
    </row>
    <row r="4" spans="2:34" s="352" customFormat="1" ht="15" customHeight="1">
      <c r="B4" s="350">
        <v>1</v>
      </c>
      <c r="C4" s="135"/>
      <c r="D4" s="135"/>
      <c r="E4" s="140">
        <v>0</v>
      </c>
      <c r="F4" s="140">
        <v>0</v>
      </c>
      <c r="G4" s="135">
        <v>0</v>
      </c>
      <c r="H4" s="486">
        <v>0</v>
      </c>
      <c r="I4" s="135">
        <v>0</v>
      </c>
      <c r="M4" s="507"/>
      <c r="O4" s="507"/>
      <c r="Q4" s="507"/>
      <c r="R4" s="507"/>
      <c r="U4" s="535"/>
      <c r="W4" s="478">
        <v>1</v>
      </c>
      <c r="X4" s="521">
        <v>4.1666666666666666E-3</v>
      </c>
      <c r="Z4" s="478" t="s">
        <v>19</v>
      </c>
      <c r="AA4" s="155" t="s">
        <v>233</v>
      </c>
      <c r="AB4" s="515">
        <v>3.472222222222222E-3</v>
      </c>
      <c r="AD4" s="478" t="s">
        <v>16</v>
      </c>
      <c r="AE4" s="135">
        <v>6.9444444444444447E-4</v>
      </c>
      <c r="AF4" s="509">
        <v>3.472222222222222E-3</v>
      </c>
      <c r="AG4" s="517">
        <f>X4</f>
        <v>4.1666666666666666E-3</v>
      </c>
      <c r="AH4" s="511">
        <f>IF(AE4-AF4-AG4&gt;0,AE4-AF4-AG4,0)</f>
        <v>0</v>
      </c>
    </row>
    <row r="5" spans="2:34" ht="15" customHeight="1">
      <c r="B5" s="350">
        <v>2</v>
      </c>
      <c r="C5" s="135">
        <v>3.472222222222222E-3</v>
      </c>
      <c r="D5" s="135">
        <v>4.1666666666666666E-3</v>
      </c>
      <c r="E5" s="140">
        <v>4.7222222222222221E-2</v>
      </c>
      <c r="F5" s="140">
        <v>0</v>
      </c>
      <c r="G5" s="135">
        <v>4.7222222222222221E-2</v>
      </c>
      <c r="H5" s="486">
        <v>0</v>
      </c>
      <c r="I5" s="135">
        <v>4.7222222222222221E-2</v>
      </c>
      <c r="W5" s="478">
        <v>2</v>
      </c>
      <c r="X5" s="521">
        <v>4.8611111111111112E-3</v>
      </c>
      <c r="Z5" s="478" t="s">
        <v>18</v>
      </c>
      <c r="AA5" s="155" t="s">
        <v>233</v>
      </c>
      <c r="AB5" s="515">
        <v>4.1666666666666666E-3</v>
      </c>
      <c r="AD5" s="478" t="s">
        <v>30</v>
      </c>
      <c r="AE5" s="135">
        <v>1.1574074074074073E-3</v>
      </c>
      <c r="AF5" s="509">
        <v>4.1666666666666666E-3</v>
      </c>
      <c r="AG5" s="517">
        <f>X5</f>
        <v>4.8611111111111112E-3</v>
      </c>
      <c r="AH5" s="511">
        <f t="shared" ref="AH5:AH14" si="0">IF(AE5-AF5-AG5&gt;0,AE5-AF5-AG5,0)</f>
        <v>0</v>
      </c>
    </row>
    <row r="6" spans="2:34" ht="15" customHeight="1">
      <c r="B6" s="350">
        <v>3</v>
      </c>
      <c r="C6" s="135">
        <v>3.472222222222222E-3</v>
      </c>
      <c r="D6" s="135">
        <v>4.1666666666666666E-3</v>
      </c>
      <c r="E6" s="140">
        <v>5.7638888888888885E-2</v>
      </c>
      <c r="F6" s="140">
        <v>0</v>
      </c>
      <c r="G6" s="135">
        <v>5.7638888888888885E-2</v>
      </c>
      <c r="H6" s="486">
        <v>0</v>
      </c>
      <c r="I6" s="135">
        <v>5.7638888888888885E-2</v>
      </c>
      <c r="W6" s="478">
        <v>3</v>
      </c>
      <c r="X6" s="521">
        <v>6.2499999999999995E-3</v>
      </c>
      <c r="Z6" s="478" t="s">
        <v>128</v>
      </c>
      <c r="AA6" s="155" t="s">
        <v>233</v>
      </c>
      <c r="AB6" s="515">
        <v>4.8611111111111103E-3</v>
      </c>
      <c r="AD6" s="478" t="s">
        <v>31</v>
      </c>
      <c r="AE6" s="135">
        <v>2.3148148148148151E-3</v>
      </c>
      <c r="AF6" s="509">
        <v>4.8611111111111103E-3</v>
      </c>
      <c r="AG6" s="517">
        <f>X6</f>
        <v>6.2499999999999995E-3</v>
      </c>
      <c r="AH6" s="511">
        <f t="shared" si="0"/>
        <v>0</v>
      </c>
    </row>
    <row r="7" spans="2:34" ht="15" customHeight="1">
      <c r="B7" s="350">
        <v>4</v>
      </c>
      <c r="C7" s="135">
        <v>3.472222222222222E-3</v>
      </c>
      <c r="D7" s="135">
        <v>4.1666666666666666E-3</v>
      </c>
      <c r="E7" s="140">
        <v>5.7638888888888885E-2</v>
      </c>
      <c r="F7" s="140">
        <v>0</v>
      </c>
      <c r="G7" s="135">
        <v>5.7638888888888885E-2</v>
      </c>
      <c r="H7" s="486">
        <v>0</v>
      </c>
      <c r="I7" s="135">
        <v>5.7638888888888885E-2</v>
      </c>
      <c r="W7" s="478">
        <v>4</v>
      </c>
      <c r="X7" s="521">
        <v>7.6388888888888886E-3</v>
      </c>
      <c r="Z7" s="478" t="s">
        <v>130</v>
      </c>
      <c r="AA7" s="155" t="s">
        <v>233</v>
      </c>
      <c r="AB7" s="515">
        <v>5.5555555555555497E-3</v>
      </c>
      <c r="AD7" s="478" t="s">
        <v>32</v>
      </c>
      <c r="AE7" s="135">
        <v>4.6296296296296302E-3</v>
      </c>
      <c r="AF7" s="509">
        <v>5.5555555555555497E-3</v>
      </c>
      <c r="AG7" s="517">
        <f>X7</f>
        <v>7.6388888888888886E-3</v>
      </c>
      <c r="AH7" s="511">
        <f t="shared" si="0"/>
        <v>0</v>
      </c>
    </row>
    <row r="8" spans="2:34" ht="15" customHeight="1">
      <c r="B8" s="350">
        <v>5</v>
      </c>
      <c r="C8" s="135">
        <v>3.472222222222222E-3</v>
      </c>
      <c r="D8" s="135">
        <v>4.8611111111111112E-3</v>
      </c>
      <c r="E8" s="140">
        <v>7.8472222222222221E-2</v>
      </c>
      <c r="F8" s="140">
        <v>0</v>
      </c>
      <c r="G8" s="135">
        <v>7.8472222222222221E-2</v>
      </c>
      <c r="H8" s="486">
        <v>2.0833333333333333E-3</v>
      </c>
      <c r="I8" s="135">
        <v>7.6388888888888895E-2</v>
      </c>
      <c r="W8" s="478">
        <v>5</v>
      </c>
      <c r="X8" s="521">
        <v>9.0277777777777787E-3</v>
      </c>
      <c r="Z8" s="478" t="s">
        <v>544</v>
      </c>
      <c r="AA8" s="171" t="s">
        <v>233</v>
      </c>
      <c r="AB8" s="515">
        <v>6.2500000000000003E-3</v>
      </c>
      <c r="AD8" s="478" t="s">
        <v>33</v>
      </c>
      <c r="AE8" s="135">
        <v>9.2592592592592605E-3</v>
      </c>
      <c r="AF8" s="509">
        <v>6.2500000000000003E-3</v>
      </c>
      <c r="AG8" s="517">
        <f>X7</f>
        <v>7.6388888888888886E-3</v>
      </c>
      <c r="AH8" s="511">
        <f t="shared" si="0"/>
        <v>0</v>
      </c>
    </row>
    <row r="9" spans="2:34" ht="15" customHeight="1">
      <c r="B9" s="350">
        <v>6</v>
      </c>
      <c r="C9" s="135">
        <v>3.472222222222222E-3</v>
      </c>
      <c r="D9" s="135">
        <v>5.5555555555555558E-3</v>
      </c>
      <c r="E9" s="140">
        <v>0.10972222222222222</v>
      </c>
      <c r="F9" s="140">
        <v>0</v>
      </c>
      <c r="G9" s="135">
        <v>0.10972222222222222</v>
      </c>
      <c r="H9" s="486">
        <v>2.6388888888888885E-2</v>
      </c>
      <c r="I9" s="135">
        <v>8.3333333333333329E-2</v>
      </c>
      <c r="W9" s="478">
        <v>6</v>
      </c>
      <c r="X9" s="521">
        <v>1.0416666666666666E-2</v>
      </c>
      <c r="Z9" s="478" t="s">
        <v>523</v>
      </c>
      <c r="AA9" s="171" t="s">
        <v>233</v>
      </c>
      <c r="AB9" s="515">
        <v>6.9444444444444397E-3</v>
      </c>
      <c r="AD9" s="478" t="s">
        <v>34</v>
      </c>
      <c r="AE9" s="135">
        <v>1.8518518518518521E-2</v>
      </c>
      <c r="AF9" s="509">
        <v>6.9444444444444397E-3</v>
      </c>
      <c r="AG9" s="517">
        <f>X8</f>
        <v>9.0277777777777787E-3</v>
      </c>
      <c r="AH9" s="511">
        <f t="shared" si="0"/>
        <v>2.5462962962963017E-3</v>
      </c>
    </row>
    <row r="10" spans="2:34" ht="15" customHeight="1">
      <c r="B10" s="350">
        <v>7</v>
      </c>
      <c r="C10" s="135">
        <v>3.472222222222222E-3</v>
      </c>
      <c r="D10" s="135">
        <v>5.5555555555555558E-3</v>
      </c>
      <c r="E10" s="140">
        <v>0.10972222222222222</v>
      </c>
      <c r="F10" s="140">
        <v>0</v>
      </c>
      <c r="G10" s="135">
        <v>0.10972222222222222</v>
      </c>
      <c r="H10" s="486">
        <v>2.6388888888888885E-2</v>
      </c>
      <c r="I10" s="135">
        <v>8.3333333333333329E-2</v>
      </c>
      <c r="W10" s="478">
        <v>7</v>
      </c>
      <c r="X10" s="521">
        <v>1.18055555555556E-2</v>
      </c>
      <c r="Z10" s="478" t="s">
        <v>545</v>
      </c>
      <c r="AA10" s="171" t="s">
        <v>233</v>
      </c>
      <c r="AB10" s="515">
        <v>7.6388888888888904E-3</v>
      </c>
      <c r="AD10" s="478" t="s">
        <v>35</v>
      </c>
      <c r="AE10" s="135">
        <v>3.7037037037037042E-2</v>
      </c>
      <c r="AF10" s="509">
        <v>7.6388888888888904E-3</v>
      </c>
      <c r="AG10" s="517">
        <f>X8</f>
        <v>9.0277777777777787E-3</v>
      </c>
      <c r="AH10" s="511">
        <f t="shared" si="0"/>
        <v>2.0370370370370372E-2</v>
      </c>
    </row>
    <row r="11" spans="2:34" ht="15" customHeight="1">
      <c r="B11" s="350">
        <v>8</v>
      </c>
      <c r="C11" s="135">
        <v>3.472222222222222E-3</v>
      </c>
      <c r="D11" s="135">
        <v>5.5555555555555558E-3</v>
      </c>
      <c r="E11" s="140">
        <v>0.15138888888888891</v>
      </c>
      <c r="F11" s="140">
        <v>0</v>
      </c>
      <c r="G11" s="135">
        <v>0.15138888888888891</v>
      </c>
      <c r="H11" s="486">
        <v>2.6388888888888885E-2</v>
      </c>
      <c r="I11" s="135">
        <v>0.12499999999999999</v>
      </c>
      <c r="W11" s="478">
        <v>8</v>
      </c>
      <c r="X11" s="521">
        <v>1.3888888888888888E-2</v>
      </c>
      <c r="Z11" s="478" t="s">
        <v>546</v>
      </c>
      <c r="AA11" s="171" t="s">
        <v>233</v>
      </c>
      <c r="AB11" s="515">
        <v>8.3333333333333297E-3</v>
      </c>
      <c r="AD11" s="478" t="s">
        <v>36</v>
      </c>
      <c r="AE11" s="135">
        <v>7.407407407407407E-2</v>
      </c>
      <c r="AF11" s="509">
        <v>8.3333333333333297E-3</v>
      </c>
      <c r="AG11" s="517">
        <f>X8</f>
        <v>9.0277777777777787E-3</v>
      </c>
      <c r="AH11" s="511">
        <f t="shared" si="0"/>
        <v>5.6712962962962958E-2</v>
      </c>
    </row>
    <row r="12" spans="2:34" ht="15" customHeight="1">
      <c r="B12" s="350">
        <v>9</v>
      </c>
      <c r="C12" s="135">
        <v>3.472222222222222E-3</v>
      </c>
      <c r="D12" s="135">
        <v>5.5555555555555558E-3</v>
      </c>
      <c r="E12" s="140">
        <v>0.15138888888888891</v>
      </c>
      <c r="F12" s="140">
        <v>0</v>
      </c>
      <c r="G12" s="135">
        <v>0.15138888888888891</v>
      </c>
      <c r="H12" s="486">
        <v>4.7222222222222221E-2</v>
      </c>
      <c r="I12" s="135">
        <v>0.10416666666666666</v>
      </c>
      <c r="W12" s="478">
        <v>9</v>
      </c>
      <c r="X12" s="521">
        <v>1.7361111111111112E-2</v>
      </c>
      <c r="Z12" s="478" t="s">
        <v>547</v>
      </c>
      <c r="AA12" s="171" t="s">
        <v>233</v>
      </c>
      <c r="AB12" s="515">
        <v>9.0277777777777804E-3</v>
      </c>
      <c r="AD12" s="478" t="s">
        <v>37</v>
      </c>
      <c r="AE12" s="135">
        <v>0.14814814814814814</v>
      </c>
      <c r="AF12" s="509">
        <v>9.0277777777777804E-3</v>
      </c>
      <c r="AG12" s="517">
        <f>X9</f>
        <v>1.0416666666666666E-2</v>
      </c>
      <c r="AH12" s="511">
        <f t="shared" si="0"/>
        <v>0.12870370370370371</v>
      </c>
    </row>
    <row r="13" spans="2:34" ht="15" customHeight="1">
      <c r="B13" s="350">
        <v>10</v>
      </c>
      <c r="C13" s="135">
        <v>3.472222222222222E-3</v>
      </c>
      <c r="D13" s="135">
        <v>5.5555555555555558E-3</v>
      </c>
      <c r="E13" s="140">
        <v>0.15138888888888891</v>
      </c>
      <c r="F13" s="140">
        <v>0</v>
      </c>
      <c r="G13" s="135">
        <v>0.15138888888888891</v>
      </c>
      <c r="H13" s="486">
        <v>4.7222222222222221E-2</v>
      </c>
      <c r="I13" s="135">
        <v>0.10416666666666666</v>
      </c>
      <c r="W13" s="479">
        <v>10</v>
      </c>
      <c r="X13" s="522">
        <v>2.0833333333333332E-2</v>
      </c>
      <c r="Z13" s="478" t="s">
        <v>548</v>
      </c>
      <c r="AA13" s="171" t="s">
        <v>233</v>
      </c>
      <c r="AB13" s="515">
        <v>9.7222222222222206E-3</v>
      </c>
      <c r="AD13" s="478" t="s">
        <v>38</v>
      </c>
      <c r="AE13" s="135">
        <v>0.29629629629629628</v>
      </c>
      <c r="AF13" s="509">
        <v>9.7222222222222206E-3</v>
      </c>
      <c r="AG13" s="517">
        <f>X9</f>
        <v>1.0416666666666666E-2</v>
      </c>
      <c r="AH13" s="511">
        <f t="shared" si="0"/>
        <v>0.27615740740740735</v>
      </c>
    </row>
    <row r="14" spans="2:34" ht="15" customHeight="1">
      <c r="B14" s="350">
        <v>11</v>
      </c>
      <c r="C14" s="135">
        <v>3.472222222222222E-3</v>
      </c>
      <c r="D14" s="135">
        <v>5.5555555555555558E-3</v>
      </c>
      <c r="E14" s="140">
        <v>0.15138888888888891</v>
      </c>
      <c r="F14" s="140">
        <v>0</v>
      </c>
      <c r="G14" s="135">
        <v>0.15138888888888891</v>
      </c>
      <c r="H14" s="486">
        <v>5.7638888888888885E-2</v>
      </c>
      <c r="I14" s="135">
        <v>9.375E-2</v>
      </c>
      <c r="Z14" s="478" t="s">
        <v>549</v>
      </c>
      <c r="AA14" s="481" t="s">
        <v>233</v>
      </c>
      <c r="AB14" s="515">
        <v>1.0416666666666701E-2</v>
      </c>
      <c r="AD14" s="478" t="s">
        <v>39</v>
      </c>
      <c r="AE14" s="135">
        <v>0.35555555555555557</v>
      </c>
      <c r="AF14" s="509">
        <v>1.0416666666666701E-2</v>
      </c>
      <c r="AG14" s="517">
        <f>X9</f>
        <v>1.0416666666666666E-2</v>
      </c>
      <c r="AH14" s="511">
        <f t="shared" si="0"/>
        <v>0.3347222222222222</v>
      </c>
    </row>
    <row r="15" spans="2:34" ht="15" customHeight="1">
      <c r="B15" s="350">
        <v>12</v>
      </c>
      <c r="C15" s="135">
        <v>3.472222222222222E-3</v>
      </c>
      <c r="D15" s="135">
        <v>6.2499999999999995E-3</v>
      </c>
      <c r="E15" s="140">
        <v>0.21388888888888888</v>
      </c>
      <c r="F15" s="140">
        <v>0</v>
      </c>
      <c r="G15" s="135">
        <v>0.21388888888888888</v>
      </c>
      <c r="H15" s="486">
        <v>0.10972222222222222</v>
      </c>
      <c r="I15" s="135">
        <v>0.10416666666666666</v>
      </c>
      <c r="Z15" s="478" t="s">
        <v>550</v>
      </c>
      <c r="AA15" s="481" t="s">
        <v>233</v>
      </c>
      <c r="AB15" s="515">
        <v>1.1111111111111099E-2</v>
      </c>
      <c r="AD15" s="90"/>
      <c r="AE15" s="5"/>
      <c r="AF15" s="509">
        <v>1.1111111111111099E-2</v>
      </c>
      <c r="AG15" s="517">
        <f>X10</f>
        <v>1.18055555555556E-2</v>
      </c>
      <c r="AH15" s="511"/>
    </row>
    <row r="16" spans="2:34" ht="15" customHeight="1">
      <c r="B16" s="350">
        <v>13</v>
      </c>
      <c r="C16" s="135">
        <v>3.472222222222222E-3</v>
      </c>
      <c r="D16" s="135">
        <v>6.2499999999999995E-3</v>
      </c>
      <c r="E16" s="140">
        <v>0.21388888888888888</v>
      </c>
      <c r="F16" s="140">
        <v>0</v>
      </c>
      <c r="G16" s="135">
        <v>0.21388888888888888</v>
      </c>
      <c r="H16" s="486">
        <v>0.12013888888888889</v>
      </c>
      <c r="I16" s="135">
        <v>9.375E-2</v>
      </c>
      <c r="Z16" s="478" t="s">
        <v>551</v>
      </c>
      <c r="AA16" s="481" t="s">
        <v>233</v>
      </c>
      <c r="AB16" s="515">
        <v>1.18055555555556E-2</v>
      </c>
      <c r="AD16" s="90"/>
      <c r="AE16" s="5"/>
      <c r="AF16" s="509">
        <v>1.18055555555556E-2</v>
      </c>
      <c r="AG16" s="517">
        <f>X10</f>
        <v>1.18055555555556E-2</v>
      </c>
      <c r="AH16" s="511"/>
    </row>
    <row r="17" spans="2:34" ht="15" customHeight="1">
      <c r="B17" s="350">
        <v>14</v>
      </c>
      <c r="C17" s="135">
        <v>3.472222222222222E-3</v>
      </c>
      <c r="D17" s="135">
        <v>6.9444444444444441E-3</v>
      </c>
      <c r="E17" s="140">
        <v>0.28680555555555559</v>
      </c>
      <c r="F17" s="140">
        <v>0</v>
      </c>
      <c r="G17" s="135">
        <v>0.28680555555555559</v>
      </c>
      <c r="H17" s="486">
        <v>0.14097222222222222</v>
      </c>
      <c r="I17" s="135">
        <v>0.14583333333333331</v>
      </c>
      <c r="Z17" s="478" t="s">
        <v>552</v>
      </c>
      <c r="AA17" s="481" t="s">
        <v>233</v>
      </c>
      <c r="AB17" s="515">
        <v>1.2500000000000001E-2</v>
      </c>
      <c r="AD17" s="90"/>
      <c r="AE17" s="5"/>
      <c r="AF17" s="509">
        <v>1.2500000000000001E-2</v>
      </c>
      <c r="AG17" s="517">
        <f>X10</f>
        <v>1.18055555555556E-2</v>
      </c>
      <c r="AH17" s="511"/>
    </row>
    <row r="18" spans="2:34" ht="15" customHeight="1">
      <c r="B18" s="350">
        <v>15</v>
      </c>
      <c r="C18" s="135">
        <v>3.472222222222222E-3</v>
      </c>
      <c r="D18" s="135">
        <v>6.9444444444444441E-3</v>
      </c>
      <c r="E18" s="140">
        <v>0.29583333333333334</v>
      </c>
      <c r="F18" s="140">
        <v>0</v>
      </c>
      <c r="G18" s="135">
        <v>0.29583333333333334</v>
      </c>
      <c r="H18" s="486">
        <v>0.17083333333333334</v>
      </c>
      <c r="I18" s="135">
        <v>0.125</v>
      </c>
      <c r="Z18" s="478" t="s">
        <v>553</v>
      </c>
      <c r="AA18" s="481" t="s">
        <v>233</v>
      </c>
      <c r="AB18" s="515">
        <v>1.3194444444444399E-2</v>
      </c>
      <c r="AD18" s="90"/>
      <c r="AE18" s="5"/>
      <c r="AF18" s="509">
        <v>1.3194444444444399E-2</v>
      </c>
      <c r="AG18" s="517">
        <f>X11</f>
        <v>1.3888888888888888E-2</v>
      </c>
      <c r="AH18" s="511"/>
    </row>
    <row r="19" spans="2:34" ht="15" customHeight="1">
      <c r="B19" s="350">
        <v>16</v>
      </c>
      <c r="C19" s="135">
        <v>3.472222222222222E-3</v>
      </c>
      <c r="D19" s="135">
        <v>7.6388888888888886E-3</v>
      </c>
      <c r="E19" s="140">
        <v>0.37291666666666667</v>
      </c>
      <c r="F19" s="140">
        <v>0</v>
      </c>
      <c r="G19" s="135">
        <v>0.37291666666666667</v>
      </c>
      <c r="H19" s="486">
        <v>0.1958333333333333</v>
      </c>
      <c r="I19" s="135">
        <v>0.17708333333333331</v>
      </c>
      <c r="Z19" s="478" t="s">
        <v>554</v>
      </c>
      <c r="AA19" s="481" t="s">
        <v>233</v>
      </c>
      <c r="AB19" s="515">
        <v>1.38888888888889E-2</v>
      </c>
      <c r="AD19" s="90"/>
      <c r="AE19" s="5"/>
      <c r="AF19" s="509">
        <v>1.38888888888889E-2</v>
      </c>
      <c r="AG19" s="517">
        <f>X11</f>
        <v>1.3888888888888888E-2</v>
      </c>
      <c r="AH19" s="511"/>
    </row>
    <row r="20" spans="2:34" ht="15" customHeight="1">
      <c r="B20" s="350">
        <v>17</v>
      </c>
      <c r="C20" s="135">
        <v>3.472222222222222E-3</v>
      </c>
      <c r="D20" s="135">
        <v>7.6388888888888886E-3</v>
      </c>
      <c r="E20" s="140">
        <v>0.37291666666666667</v>
      </c>
      <c r="F20" s="140">
        <v>0</v>
      </c>
      <c r="G20" s="135">
        <v>0.37291666666666667</v>
      </c>
      <c r="H20" s="486">
        <v>0.34166666666666667</v>
      </c>
      <c r="I20" s="135">
        <v>3.125E-2</v>
      </c>
      <c r="Z20" s="478" t="s">
        <v>555</v>
      </c>
      <c r="AA20" s="481" t="s">
        <v>233</v>
      </c>
      <c r="AB20" s="515">
        <v>1.4583333333333301E-2</v>
      </c>
      <c r="AD20" s="90"/>
      <c r="AE20" s="5"/>
      <c r="AF20" s="509">
        <v>1.4583333333333301E-2</v>
      </c>
      <c r="AG20" s="517">
        <f>X11</f>
        <v>1.3888888888888888E-2</v>
      </c>
      <c r="AH20" s="511"/>
    </row>
    <row r="21" spans="2:34" ht="15" customHeight="1">
      <c r="B21" s="350">
        <v>18</v>
      </c>
      <c r="C21" s="135">
        <v>3.472222222222222E-3</v>
      </c>
      <c r="D21" s="135">
        <v>8.3333333333333332E-3</v>
      </c>
      <c r="E21" s="140">
        <v>0.64652777777777781</v>
      </c>
      <c r="F21" s="140">
        <v>0</v>
      </c>
      <c r="G21" s="135">
        <v>0.64652777777777781</v>
      </c>
      <c r="H21" s="486">
        <v>0.46944444444444444</v>
      </c>
      <c r="I21" s="135">
        <v>0.17708333333333331</v>
      </c>
      <c r="Z21" s="478" t="s">
        <v>556</v>
      </c>
      <c r="AA21" s="481" t="s">
        <v>233</v>
      </c>
      <c r="AB21" s="515">
        <v>1.52777777777778E-2</v>
      </c>
      <c r="AD21" s="90"/>
      <c r="AE21" s="5"/>
      <c r="AF21" s="509">
        <v>1.52777777777778E-2</v>
      </c>
      <c r="AG21" s="517">
        <f>X12</f>
        <v>1.7361111111111112E-2</v>
      </c>
      <c r="AH21" s="511"/>
    </row>
    <row r="22" spans="2:34" ht="15" customHeight="1">
      <c r="B22" s="350">
        <v>19</v>
      </c>
      <c r="C22" s="135">
        <v>3.472222222222222E-3</v>
      </c>
      <c r="D22" s="135">
        <v>8.3333333333333332E-3</v>
      </c>
      <c r="E22" s="140">
        <v>0.77430555555555558</v>
      </c>
      <c r="F22" s="140">
        <v>0</v>
      </c>
      <c r="G22" s="135">
        <v>0.77430555555555558</v>
      </c>
      <c r="H22" s="486">
        <v>0.51388888888888884</v>
      </c>
      <c r="I22" s="135">
        <v>0.26041666666666663</v>
      </c>
      <c r="Z22" s="478" t="s">
        <v>557</v>
      </c>
      <c r="AA22" s="481" t="s">
        <v>233</v>
      </c>
      <c r="AB22" s="515">
        <v>1.59722222222222E-2</v>
      </c>
      <c r="AD22" s="90"/>
      <c r="AE22" s="5"/>
      <c r="AF22" s="509">
        <v>1.59722222222222E-2</v>
      </c>
      <c r="AG22" s="517">
        <f>X12</f>
        <v>1.7361111111111112E-2</v>
      </c>
      <c r="AH22" s="511"/>
    </row>
    <row r="23" spans="2:34" ht="15" customHeight="1">
      <c r="B23" s="350">
        <v>20</v>
      </c>
      <c r="C23" s="135">
        <v>3.472222222222222E-3</v>
      </c>
      <c r="D23" s="135">
        <v>8.3333333333333332E-3</v>
      </c>
      <c r="E23" s="140">
        <v>0.77638888888888891</v>
      </c>
      <c r="F23" s="140">
        <v>0</v>
      </c>
      <c r="G23" s="135">
        <v>0.77638888888888891</v>
      </c>
      <c r="H23" s="486">
        <v>0.57847222222222217</v>
      </c>
      <c r="I23" s="135">
        <v>0.19791666666666666</v>
      </c>
      <c r="Z23" s="478" t="s">
        <v>558</v>
      </c>
      <c r="AA23" s="481" t="s">
        <v>233</v>
      </c>
      <c r="AB23" s="515">
        <v>1.6666666666666601E-2</v>
      </c>
      <c r="AD23" s="90"/>
      <c r="AE23" s="5"/>
      <c r="AF23" s="509">
        <v>1.6666666666666601E-2</v>
      </c>
      <c r="AG23" s="517">
        <f>X12</f>
        <v>1.7361111111111112E-2</v>
      </c>
      <c r="AH23" s="511"/>
    </row>
    <row r="24" spans="2:34" ht="15" customHeight="1">
      <c r="B24" s="391">
        <v>21</v>
      </c>
      <c r="C24" s="135">
        <v>3.4722222222222199E-3</v>
      </c>
      <c r="D24" s="135">
        <v>8.3333333333333332E-3</v>
      </c>
      <c r="E24" s="140">
        <v>0.86527777777777781</v>
      </c>
      <c r="F24" s="140">
        <v>0</v>
      </c>
      <c r="G24" s="135">
        <v>0.86527777777777781</v>
      </c>
      <c r="H24" s="486">
        <v>0.6777777777777777</v>
      </c>
      <c r="I24" s="135">
        <v>0.1875</v>
      </c>
      <c r="Z24" s="479" t="s">
        <v>559</v>
      </c>
      <c r="AA24" s="482" t="s">
        <v>233</v>
      </c>
      <c r="AB24" s="516">
        <v>1.7361111111111101E-2</v>
      </c>
      <c r="AD24" s="323"/>
      <c r="AE24" s="24"/>
      <c r="AF24" s="510">
        <v>1.7361111111111101E-2</v>
      </c>
      <c r="AG24" s="518">
        <f>X13</f>
        <v>2.0833333333333332E-2</v>
      </c>
      <c r="AH24" s="512"/>
    </row>
    <row r="25" spans="2:34" ht="15" customHeight="1">
      <c r="B25" s="391">
        <v>22</v>
      </c>
      <c r="C25" s="135">
        <v>3.4722222222222199E-3</v>
      </c>
      <c r="D25" s="135">
        <v>8.3333333333333332E-3</v>
      </c>
      <c r="E25" s="140">
        <v>0.88958333333333339</v>
      </c>
      <c r="F25" s="140">
        <v>0</v>
      </c>
      <c r="G25" s="135">
        <v>0.88958333333333339</v>
      </c>
      <c r="H25" s="486">
        <v>0.68124999999999991</v>
      </c>
      <c r="I25" s="135">
        <v>0.20833333333333331</v>
      </c>
      <c r="L25" s="421" t="s">
        <v>1329</v>
      </c>
    </row>
    <row r="26" spans="2:34" ht="15" customHeight="1">
      <c r="B26" s="391">
        <v>23</v>
      </c>
      <c r="C26" s="135">
        <v>3.4722222222222199E-3</v>
      </c>
      <c r="D26" s="135">
        <v>9.0277777777777787E-3</v>
      </c>
      <c r="E26" s="140">
        <v>1.0451388888888891</v>
      </c>
      <c r="F26" s="140">
        <v>0</v>
      </c>
      <c r="G26" s="135">
        <v>1.0451388888888891</v>
      </c>
      <c r="H26" s="486">
        <v>0.78124999999999989</v>
      </c>
      <c r="I26" s="135">
        <v>0.2638888888888889</v>
      </c>
      <c r="L26" s="709" t="s">
        <v>1325</v>
      </c>
      <c r="M26" s="678" t="s">
        <v>1326</v>
      </c>
      <c r="N26" s="678"/>
      <c r="O26" s="678"/>
      <c r="P26" s="679"/>
      <c r="Q26" s="695" t="s">
        <v>1327</v>
      </c>
      <c r="R26" s="697"/>
    </row>
    <row r="27" spans="2:34" ht="15" customHeight="1">
      <c r="B27" s="391">
        <v>24</v>
      </c>
      <c r="C27" s="135">
        <v>3.4722222222222199E-3</v>
      </c>
      <c r="D27" s="135">
        <v>9.0277777777777787E-3</v>
      </c>
      <c r="E27" s="140">
        <v>1.0868055555555558</v>
      </c>
      <c r="F27" s="140">
        <v>0</v>
      </c>
      <c r="G27" s="135">
        <v>1.0868055555555558</v>
      </c>
      <c r="H27" s="486">
        <v>0.86805555555555547</v>
      </c>
      <c r="I27" s="135">
        <v>0.21875</v>
      </c>
      <c r="L27" s="710"/>
      <c r="M27" s="480"/>
      <c r="N27" s="27"/>
      <c r="O27" s="480"/>
      <c r="P27" s="24"/>
      <c r="Q27" s="501" t="s">
        <v>1328</v>
      </c>
      <c r="R27" s="427" t="s">
        <v>1333</v>
      </c>
    </row>
    <row r="28" spans="2:34" ht="15" customHeight="1">
      <c r="B28" s="16">
        <v>25</v>
      </c>
      <c r="C28" s="221">
        <v>3.4722222222222199E-3</v>
      </c>
      <c r="D28" s="221">
        <v>9.7222222222222224E-3</v>
      </c>
      <c r="E28" s="265">
        <v>1.2951388888888893</v>
      </c>
      <c r="F28" s="265">
        <v>0</v>
      </c>
      <c r="G28" s="221">
        <v>1.2951388888888893</v>
      </c>
      <c r="H28" s="484">
        <v>1.2118055555555556</v>
      </c>
      <c r="I28" s="221">
        <v>8.3333333333333329E-2</v>
      </c>
      <c r="J28" s="528"/>
      <c r="K28" s="7"/>
      <c r="L28" s="530">
        <v>1</v>
      </c>
      <c r="P28" s="532"/>
      <c r="R28" s="526">
        <v>0</v>
      </c>
    </row>
    <row r="29" spans="2:34" ht="15" customHeight="1">
      <c r="B29" s="492">
        <v>26</v>
      </c>
      <c r="C29" s="135">
        <v>3.4722222222222099E-3</v>
      </c>
      <c r="D29" s="221">
        <v>9.7222222222222224E-3</v>
      </c>
      <c r="E29" s="265">
        <v>1.6284722222222225</v>
      </c>
      <c r="F29" s="265">
        <v>0</v>
      </c>
      <c r="G29" s="221">
        <v>1.6284722222222225</v>
      </c>
      <c r="H29" s="484">
        <v>1.2951388888888888</v>
      </c>
      <c r="I29" s="221">
        <v>0.33333333333333331</v>
      </c>
      <c r="J29" s="7"/>
      <c r="K29" s="7"/>
      <c r="L29" s="57">
        <v>2</v>
      </c>
      <c r="P29" s="5"/>
      <c r="R29" s="135">
        <f>R28+Q29</f>
        <v>0</v>
      </c>
    </row>
    <row r="30" spans="2:34" ht="15" customHeight="1">
      <c r="B30" s="492">
        <v>27</v>
      </c>
      <c r="C30" s="135">
        <v>3.4722222222222099E-3</v>
      </c>
      <c r="D30" s="221">
        <v>9.7222222222222224E-3</v>
      </c>
      <c r="E30" s="265">
        <v>1.630555555555556</v>
      </c>
      <c r="F30" s="265">
        <v>0</v>
      </c>
      <c r="G30" s="221">
        <v>1.630555555555556</v>
      </c>
      <c r="H30" s="484">
        <v>1.2972222222222223</v>
      </c>
      <c r="I30" s="221">
        <v>0.33333333333333331</v>
      </c>
      <c r="J30" s="7"/>
      <c r="K30" s="7"/>
      <c r="L30" s="531">
        <v>3</v>
      </c>
      <c r="M30" s="133">
        <v>6.9444444444444447E-4</v>
      </c>
      <c r="N30" s="2">
        <v>4</v>
      </c>
      <c r="P30" s="5"/>
      <c r="Q30" s="133">
        <f>M30*N30+O30*P30</f>
        <v>2.7777777777777779E-3</v>
      </c>
      <c r="R30" s="135">
        <f t="shared" ref="R30:R84" si="1">R29+Q30</f>
        <v>2.7777777777777779E-3</v>
      </c>
    </row>
    <row r="31" spans="2:34" ht="15" customHeight="1">
      <c r="B31" s="492">
        <v>28</v>
      </c>
      <c r="C31" s="135">
        <v>3.4722222222221999E-3</v>
      </c>
      <c r="D31" s="221">
        <v>9.7222222222222224E-3</v>
      </c>
      <c r="E31" s="140">
        <v>1.7451388888888895</v>
      </c>
      <c r="F31" s="140">
        <v>0</v>
      </c>
      <c r="G31" s="135">
        <v>1.7451388888888895</v>
      </c>
      <c r="H31" s="486">
        <v>1.3180555555555555</v>
      </c>
      <c r="I31" s="135">
        <v>0.42708333333333331</v>
      </c>
      <c r="L31" s="57">
        <v>4</v>
      </c>
      <c r="P31" s="5"/>
      <c r="R31" s="135">
        <f t="shared" si="1"/>
        <v>2.7777777777777779E-3</v>
      </c>
    </row>
    <row r="32" spans="2:34" ht="15" customHeight="1">
      <c r="B32" s="492">
        <v>29</v>
      </c>
      <c r="C32" s="135">
        <v>3.4722222222221999E-3</v>
      </c>
      <c r="D32" s="221">
        <v>1.0416666666666666E-2</v>
      </c>
      <c r="E32" s="140">
        <v>1.8909722222222229</v>
      </c>
      <c r="F32" s="140">
        <v>0</v>
      </c>
      <c r="G32" s="135">
        <v>1.8909722222222229</v>
      </c>
      <c r="H32" s="486">
        <v>1.4118055555555555</v>
      </c>
      <c r="I32" s="135">
        <v>0.47916666666666663</v>
      </c>
      <c r="L32" s="531">
        <v>5</v>
      </c>
      <c r="M32" s="133">
        <v>6.9444444444444447E-4</v>
      </c>
      <c r="N32" s="2">
        <v>10</v>
      </c>
      <c r="P32" s="5"/>
      <c r="Q32" s="133">
        <f>M32*N32+O32*P32</f>
        <v>6.9444444444444449E-3</v>
      </c>
      <c r="R32" s="135">
        <f t="shared" si="1"/>
        <v>9.7222222222222224E-3</v>
      </c>
    </row>
    <row r="33" spans="2:18" ht="15" customHeight="1">
      <c r="B33" s="16">
        <v>30</v>
      </c>
      <c r="C33" s="135">
        <v>3.4722222222221999E-3</v>
      </c>
      <c r="D33" s="221">
        <v>1.0416666666666666E-2</v>
      </c>
      <c r="E33" s="140">
        <v>1.8909722222222229</v>
      </c>
      <c r="F33" s="140">
        <v>0</v>
      </c>
      <c r="G33" s="135">
        <v>1.8909722222222229</v>
      </c>
      <c r="H33" s="486">
        <v>1.4118055555555555</v>
      </c>
      <c r="I33" s="135">
        <v>0.47916666666666663</v>
      </c>
      <c r="L33" s="57">
        <v>6</v>
      </c>
      <c r="P33" s="5"/>
      <c r="R33" s="135">
        <f t="shared" si="1"/>
        <v>9.7222222222222224E-3</v>
      </c>
    </row>
    <row r="34" spans="2:18" ht="15" customHeight="1">
      <c r="B34" s="492">
        <v>31</v>
      </c>
      <c r="C34" s="424">
        <v>3.4722222222221999E-3</v>
      </c>
      <c r="D34" s="424">
        <v>1.0416666666666666E-2</v>
      </c>
      <c r="E34" s="449">
        <v>2.1479166666666667</v>
      </c>
      <c r="F34" s="449">
        <v>0</v>
      </c>
      <c r="G34" s="424">
        <v>2.1479166666666667</v>
      </c>
      <c r="H34" s="533">
        <f>G34-I34</f>
        <v>2.1305555555555555</v>
      </c>
      <c r="I34" s="424">
        <v>1.7361111111111112E-2</v>
      </c>
      <c r="J34" s="450" t="s">
        <v>1334</v>
      </c>
      <c r="L34" s="57">
        <v>7</v>
      </c>
      <c r="P34" s="5"/>
      <c r="R34" s="135">
        <f t="shared" si="1"/>
        <v>9.7222222222222224E-3</v>
      </c>
    </row>
    <row r="35" spans="2:18" ht="15" customHeight="1">
      <c r="B35" s="492">
        <v>32</v>
      </c>
      <c r="L35" s="531">
        <v>8</v>
      </c>
      <c r="M35" s="133">
        <v>1.0416666666666666E-2</v>
      </c>
      <c r="N35" s="2">
        <v>2</v>
      </c>
      <c r="O35" s="133">
        <v>6.9444444444444447E-4</v>
      </c>
      <c r="P35" s="5">
        <v>8</v>
      </c>
      <c r="Q35" s="133">
        <f>M35*N35+O35*P35</f>
        <v>2.6388888888888889E-2</v>
      </c>
      <c r="R35" s="135">
        <f t="shared" si="1"/>
        <v>3.6111111111111108E-2</v>
      </c>
    </row>
    <row r="36" spans="2:18" ht="15" customHeight="1">
      <c r="B36" s="492">
        <v>33</v>
      </c>
      <c r="L36" s="57">
        <v>9</v>
      </c>
      <c r="P36" s="5"/>
      <c r="R36" s="135">
        <f t="shared" si="1"/>
        <v>3.6111111111111108E-2</v>
      </c>
    </row>
    <row r="37" spans="2:18" ht="15" customHeight="1">
      <c r="B37" s="492">
        <v>34</v>
      </c>
      <c r="L37" s="57">
        <v>10</v>
      </c>
      <c r="P37" s="5"/>
      <c r="R37" s="135">
        <f t="shared" si="1"/>
        <v>3.6111111111111108E-2</v>
      </c>
    </row>
    <row r="38" spans="2:18" ht="15" customHeight="1">
      <c r="B38" s="16">
        <v>35</v>
      </c>
      <c r="L38" s="531">
        <v>11</v>
      </c>
      <c r="P38" s="5"/>
      <c r="R38" s="135">
        <f t="shared" si="1"/>
        <v>3.6111111111111108E-2</v>
      </c>
    </row>
    <row r="39" spans="2:18" ht="15" customHeight="1">
      <c r="B39" s="492">
        <v>36</v>
      </c>
      <c r="L39" s="57">
        <v>12</v>
      </c>
      <c r="M39" s="133">
        <v>1.0416666666666666E-2</v>
      </c>
      <c r="N39" s="2">
        <v>3</v>
      </c>
      <c r="P39" s="5"/>
      <c r="Q39" s="133">
        <f>M39*N39+O39*P39</f>
        <v>3.125E-2</v>
      </c>
      <c r="R39" s="135">
        <f t="shared" si="1"/>
        <v>6.7361111111111108E-2</v>
      </c>
    </row>
    <row r="40" spans="2:18" ht="15" customHeight="1">
      <c r="B40" s="492">
        <v>37</v>
      </c>
      <c r="L40" s="57">
        <v>13</v>
      </c>
      <c r="P40" s="5"/>
      <c r="R40" s="135">
        <f t="shared" si="1"/>
        <v>6.7361111111111108E-2</v>
      </c>
    </row>
    <row r="41" spans="2:18" ht="15" customHeight="1">
      <c r="B41" s="492">
        <v>38</v>
      </c>
      <c r="L41" s="57">
        <v>14</v>
      </c>
      <c r="P41" s="5"/>
      <c r="R41" s="135">
        <f t="shared" si="1"/>
        <v>6.7361111111111108E-2</v>
      </c>
    </row>
    <row r="42" spans="2:18" ht="15" customHeight="1">
      <c r="B42" s="492">
        <v>39</v>
      </c>
      <c r="L42" s="57">
        <v>15</v>
      </c>
      <c r="P42" s="5"/>
      <c r="R42" s="135">
        <f t="shared" si="1"/>
        <v>6.7361111111111108E-2</v>
      </c>
    </row>
    <row r="43" spans="2:18" ht="15" customHeight="1">
      <c r="B43" s="16">
        <v>40</v>
      </c>
      <c r="L43" s="57">
        <v>16</v>
      </c>
      <c r="M43" s="133">
        <v>1.0416666666666666E-2</v>
      </c>
      <c r="N43" s="2">
        <v>3</v>
      </c>
      <c r="P43" s="5"/>
      <c r="Q43" s="133">
        <f>M43*N43+O43*P43</f>
        <v>3.125E-2</v>
      </c>
      <c r="R43" s="135">
        <f t="shared" si="1"/>
        <v>9.8611111111111108E-2</v>
      </c>
    </row>
    <row r="44" spans="2:18" ht="15" customHeight="1">
      <c r="L44" s="57">
        <v>17</v>
      </c>
      <c r="P44" s="5"/>
      <c r="R44" s="135">
        <f t="shared" si="1"/>
        <v>9.8611111111111108E-2</v>
      </c>
    </row>
    <row r="45" spans="2:18" ht="15" customHeight="1">
      <c r="L45" s="57">
        <v>18</v>
      </c>
      <c r="P45" s="5"/>
      <c r="R45" s="135">
        <f t="shared" si="1"/>
        <v>9.8611111111111108E-2</v>
      </c>
    </row>
    <row r="46" spans="2:18" ht="15" customHeight="1">
      <c r="L46" s="57">
        <v>19</v>
      </c>
      <c r="P46" s="5"/>
      <c r="R46" s="135">
        <f t="shared" si="1"/>
        <v>9.8611111111111108E-2</v>
      </c>
    </row>
    <row r="47" spans="2:18" ht="15" customHeight="1">
      <c r="L47" s="57">
        <v>20</v>
      </c>
      <c r="P47" s="5"/>
      <c r="R47" s="135">
        <f t="shared" si="1"/>
        <v>9.8611111111111108E-2</v>
      </c>
    </row>
    <row r="48" spans="2:18" ht="15" customHeight="1">
      <c r="L48" s="57">
        <v>21</v>
      </c>
      <c r="P48" s="5"/>
      <c r="R48" s="135">
        <f t="shared" si="1"/>
        <v>9.8611111111111108E-2</v>
      </c>
    </row>
    <row r="49" spans="12:18" ht="15" customHeight="1">
      <c r="L49" s="57">
        <v>22</v>
      </c>
      <c r="M49" s="133">
        <v>1.0416666666666666E-2</v>
      </c>
      <c r="N49" s="2">
        <v>3</v>
      </c>
      <c r="P49" s="5"/>
      <c r="Q49" s="133">
        <f>M49*N49+O49*P49</f>
        <v>3.125E-2</v>
      </c>
      <c r="R49" s="135">
        <f t="shared" si="1"/>
        <v>0.12986111111111109</v>
      </c>
    </row>
    <row r="50" spans="12:18" ht="15" customHeight="1">
      <c r="L50" s="57">
        <v>23</v>
      </c>
      <c r="P50" s="5"/>
      <c r="R50" s="135">
        <f t="shared" si="1"/>
        <v>0.12986111111111109</v>
      </c>
    </row>
    <row r="51" spans="12:18" ht="15" customHeight="1">
      <c r="L51" s="57">
        <v>24</v>
      </c>
      <c r="P51" s="5"/>
      <c r="R51" s="135">
        <f t="shared" si="1"/>
        <v>0.12986111111111109</v>
      </c>
    </row>
    <row r="52" spans="12:18" ht="15" customHeight="1">
      <c r="L52" s="57">
        <v>25</v>
      </c>
      <c r="P52" s="5"/>
      <c r="R52" s="135">
        <f t="shared" si="1"/>
        <v>0.12986111111111109</v>
      </c>
    </row>
    <row r="53" spans="12:18" ht="15" customHeight="1">
      <c r="L53" s="57">
        <v>26</v>
      </c>
      <c r="P53" s="5"/>
      <c r="R53" s="135">
        <f t="shared" si="1"/>
        <v>0.12986111111111109</v>
      </c>
    </row>
    <row r="54" spans="12:18" ht="15" customHeight="1">
      <c r="L54" s="57">
        <v>27</v>
      </c>
      <c r="P54" s="5"/>
      <c r="R54" s="135">
        <f t="shared" si="1"/>
        <v>0.12986111111111109</v>
      </c>
    </row>
    <row r="55" spans="12:18" ht="15" customHeight="1">
      <c r="L55" s="57">
        <v>28</v>
      </c>
      <c r="M55" s="133">
        <v>4.1666666666666664E-2</v>
      </c>
      <c r="N55" s="2">
        <v>1</v>
      </c>
      <c r="P55" s="5"/>
      <c r="Q55" s="133">
        <f>M55*N55+O55*P55</f>
        <v>4.1666666666666664E-2</v>
      </c>
      <c r="R55" s="135">
        <f t="shared" si="1"/>
        <v>0.17152777777777775</v>
      </c>
    </row>
    <row r="56" spans="12:18" ht="15" customHeight="1">
      <c r="L56" s="57">
        <v>29</v>
      </c>
      <c r="P56" s="5"/>
      <c r="R56" s="135">
        <f t="shared" si="1"/>
        <v>0.17152777777777775</v>
      </c>
    </row>
    <row r="57" spans="12:18" ht="15" customHeight="1">
      <c r="L57" s="57">
        <v>30</v>
      </c>
      <c r="P57" s="5"/>
      <c r="R57" s="135">
        <f t="shared" si="1"/>
        <v>0.17152777777777775</v>
      </c>
    </row>
    <row r="58" spans="12:18" ht="15" customHeight="1">
      <c r="L58" s="57">
        <v>31</v>
      </c>
      <c r="P58" s="5"/>
      <c r="R58" s="135">
        <f t="shared" si="1"/>
        <v>0.17152777777777775</v>
      </c>
    </row>
    <row r="59" spans="12:18" ht="15" customHeight="1">
      <c r="L59" s="57">
        <v>32</v>
      </c>
      <c r="P59" s="5"/>
      <c r="R59" s="135">
        <f t="shared" si="1"/>
        <v>0.17152777777777775</v>
      </c>
    </row>
    <row r="60" spans="12:18" ht="15" customHeight="1">
      <c r="L60" s="57">
        <v>33</v>
      </c>
      <c r="P60" s="5"/>
      <c r="R60" s="135">
        <f t="shared" si="1"/>
        <v>0.17152777777777775</v>
      </c>
    </row>
    <row r="61" spans="12:18" ht="15" customHeight="1">
      <c r="L61" s="57">
        <v>34</v>
      </c>
      <c r="M61" s="133">
        <v>4.1666666666666664E-2</v>
      </c>
      <c r="N61" s="2">
        <v>1</v>
      </c>
      <c r="P61" s="5"/>
      <c r="Q61" s="133">
        <f>M61*N61+O61*P61</f>
        <v>4.1666666666666664E-2</v>
      </c>
      <c r="R61" s="135">
        <f t="shared" si="1"/>
        <v>0.21319444444444441</v>
      </c>
    </row>
    <row r="62" spans="12:18" ht="15" customHeight="1">
      <c r="L62" s="57">
        <v>35</v>
      </c>
      <c r="P62" s="5"/>
      <c r="R62" s="135">
        <f t="shared" si="1"/>
        <v>0.21319444444444441</v>
      </c>
    </row>
    <row r="63" spans="12:18" ht="15" customHeight="1">
      <c r="L63" s="57">
        <v>36</v>
      </c>
      <c r="P63" s="5"/>
      <c r="R63" s="135">
        <f t="shared" si="1"/>
        <v>0.21319444444444441</v>
      </c>
    </row>
    <row r="64" spans="12:18" ht="15" customHeight="1">
      <c r="L64" s="57">
        <v>37</v>
      </c>
      <c r="P64" s="5"/>
      <c r="R64" s="135">
        <f t="shared" si="1"/>
        <v>0.21319444444444441</v>
      </c>
    </row>
    <row r="65" spans="12:18" ht="15" customHeight="1">
      <c r="L65" s="57">
        <v>38</v>
      </c>
      <c r="P65" s="5"/>
      <c r="R65" s="135">
        <f t="shared" si="1"/>
        <v>0.21319444444444441</v>
      </c>
    </row>
    <row r="66" spans="12:18" ht="15" customHeight="1">
      <c r="L66" s="57">
        <v>39</v>
      </c>
      <c r="P66" s="5"/>
      <c r="R66" s="135">
        <f t="shared" si="1"/>
        <v>0.21319444444444441</v>
      </c>
    </row>
    <row r="67" spans="12:18" ht="15" customHeight="1">
      <c r="L67" s="57">
        <v>40</v>
      </c>
      <c r="M67" s="133">
        <v>4.1666666666666664E-2</v>
      </c>
      <c r="N67" s="2">
        <v>2</v>
      </c>
      <c r="P67" s="5"/>
      <c r="Q67" s="133">
        <f>M67*N67+O67*P67</f>
        <v>8.3333333333333329E-2</v>
      </c>
      <c r="R67" s="135">
        <f t="shared" si="1"/>
        <v>0.29652777777777772</v>
      </c>
    </row>
    <row r="68" spans="12:18" ht="15" customHeight="1">
      <c r="L68" s="57">
        <v>41</v>
      </c>
      <c r="P68" s="5"/>
      <c r="R68" s="135">
        <f t="shared" si="1"/>
        <v>0.29652777777777772</v>
      </c>
    </row>
    <row r="69" spans="12:18" ht="15" customHeight="1">
      <c r="L69" s="57">
        <v>42</v>
      </c>
      <c r="P69" s="5"/>
      <c r="R69" s="135">
        <f t="shared" si="1"/>
        <v>0.29652777777777772</v>
      </c>
    </row>
    <row r="70" spans="12:18" ht="15" customHeight="1">
      <c r="L70" s="57">
        <v>43</v>
      </c>
      <c r="P70" s="5"/>
      <c r="R70" s="135">
        <f t="shared" si="1"/>
        <v>0.29652777777777772</v>
      </c>
    </row>
    <row r="71" spans="12:18" ht="15" customHeight="1">
      <c r="L71" s="57">
        <v>44</v>
      </c>
      <c r="P71" s="5"/>
      <c r="R71" s="135">
        <f t="shared" si="1"/>
        <v>0.29652777777777772</v>
      </c>
    </row>
    <row r="72" spans="12:18" ht="15" customHeight="1">
      <c r="L72" s="57">
        <v>45</v>
      </c>
      <c r="P72" s="5"/>
      <c r="R72" s="135">
        <f t="shared" si="1"/>
        <v>0.29652777777777772</v>
      </c>
    </row>
    <row r="73" spans="12:18" ht="15" customHeight="1">
      <c r="L73" s="57">
        <v>46</v>
      </c>
      <c r="M73" s="133">
        <v>4.1666666666666664E-2</v>
      </c>
      <c r="N73" s="2">
        <v>2</v>
      </c>
      <c r="P73" s="5"/>
      <c r="Q73" s="133">
        <f>M73*N73+O73*P73</f>
        <v>8.3333333333333329E-2</v>
      </c>
      <c r="R73" s="135">
        <f t="shared" si="1"/>
        <v>0.37986111111111104</v>
      </c>
    </row>
    <row r="74" spans="12:18" ht="15" customHeight="1">
      <c r="L74" s="57">
        <v>47</v>
      </c>
      <c r="P74" s="5"/>
      <c r="R74" s="135">
        <f t="shared" si="1"/>
        <v>0.37986111111111104</v>
      </c>
    </row>
    <row r="75" spans="12:18" ht="15" customHeight="1">
      <c r="L75" s="57">
        <v>48</v>
      </c>
      <c r="P75" s="5"/>
      <c r="R75" s="135">
        <f t="shared" si="1"/>
        <v>0.37986111111111104</v>
      </c>
    </row>
    <row r="76" spans="12:18" ht="15" customHeight="1">
      <c r="L76" s="57">
        <v>49</v>
      </c>
      <c r="P76" s="5"/>
      <c r="R76" s="135">
        <f t="shared" si="1"/>
        <v>0.37986111111111104</v>
      </c>
    </row>
    <row r="77" spans="12:18" ht="15" customHeight="1">
      <c r="L77" s="57">
        <v>50</v>
      </c>
      <c r="P77" s="5"/>
      <c r="R77" s="135">
        <f t="shared" si="1"/>
        <v>0.37986111111111104</v>
      </c>
    </row>
    <row r="78" spans="12:18" ht="15" customHeight="1">
      <c r="L78" s="57">
        <v>51</v>
      </c>
      <c r="P78" s="5"/>
      <c r="R78" s="135">
        <f t="shared" si="1"/>
        <v>0.37986111111111104</v>
      </c>
    </row>
    <row r="79" spans="12:18" ht="15" customHeight="1">
      <c r="L79" s="57">
        <v>52</v>
      </c>
      <c r="M79" s="133">
        <v>4.1666666666666664E-2</v>
      </c>
      <c r="N79" s="2">
        <v>3</v>
      </c>
      <c r="P79" s="5"/>
      <c r="Q79" s="133">
        <f t="shared" ref="Q79:Q84" si="2">M79*N79+O79*P79</f>
        <v>0.125</v>
      </c>
      <c r="R79" s="135">
        <f t="shared" si="1"/>
        <v>0.50486111111111098</v>
      </c>
    </row>
    <row r="80" spans="12:18" ht="15" customHeight="1">
      <c r="L80" s="57">
        <v>58</v>
      </c>
      <c r="M80" s="133">
        <v>4.1666666666666664E-2</v>
      </c>
      <c r="N80" s="2">
        <v>3</v>
      </c>
      <c r="P80" s="5"/>
      <c r="Q80" s="133">
        <f t="shared" si="2"/>
        <v>0.125</v>
      </c>
      <c r="R80" s="135">
        <f t="shared" si="1"/>
        <v>0.62986111111111098</v>
      </c>
    </row>
    <row r="81" spans="12:18" ht="15" customHeight="1">
      <c r="L81" s="57">
        <v>64</v>
      </c>
      <c r="M81" s="133">
        <v>4.1666666666666664E-2</v>
      </c>
      <c r="N81" s="2">
        <v>3</v>
      </c>
      <c r="P81" s="5"/>
      <c r="Q81" s="133">
        <f t="shared" si="2"/>
        <v>0.125</v>
      </c>
      <c r="R81" s="135">
        <f t="shared" si="1"/>
        <v>0.75486111111111098</v>
      </c>
    </row>
    <row r="82" spans="12:18" ht="15" customHeight="1">
      <c r="L82" s="57">
        <v>70</v>
      </c>
      <c r="M82" s="133">
        <v>4.1666666666666664E-2</v>
      </c>
      <c r="N82" s="2">
        <v>4</v>
      </c>
      <c r="P82" s="5"/>
      <c r="Q82" s="133">
        <f t="shared" si="2"/>
        <v>0.16666666666666666</v>
      </c>
      <c r="R82" s="135">
        <f t="shared" si="1"/>
        <v>0.92152777777777761</v>
      </c>
    </row>
    <row r="83" spans="12:18" ht="15" customHeight="1">
      <c r="L83" s="57">
        <v>76</v>
      </c>
      <c r="M83" s="133">
        <v>4.1666666666666664E-2</v>
      </c>
      <c r="N83" s="2">
        <v>4</v>
      </c>
      <c r="P83" s="5"/>
      <c r="Q83" s="133">
        <f t="shared" si="2"/>
        <v>0.16666666666666666</v>
      </c>
      <c r="R83" s="135">
        <f t="shared" si="1"/>
        <v>1.0881944444444442</v>
      </c>
    </row>
    <row r="84" spans="12:18" ht="15" customHeight="1">
      <c r="L84" s="57">
        <v>82</v>
      </c>
      <c r="M84" s="133">
        <v>4.1666666666666664E-2</v>
      </c>
      <c r="N84" s="2">
        <v>4</v>
      </c>
      <c r="P84" s="5"/>
      <c r="Q84" s="133">
        <f t="shared" si="2"/>
        <v>0.16666666666666666</v>
      </c>
      <c r="R84" s="135">
        <f t="shared" si="1"/>
        <v>1.254861111111111</v>
      </c>
    </row>
  </sheetData>
  <mergeCells count="10">
    <mergeCell ref="L26:L27"/>
    <mergeCell ref="M26:P26"/>
    <mergeCell ref="Q26:R26"/>
    <mergeCell ref="AD2:AD3"/>
    <mergeCell ref="AE2:AE3"/>
    <mergeCell ref="AH2:AH3"/>
    <mergeCell ref="I2:I3"/>
    <mergeCell ref="E2:G2"/>
    <mergeCell ref="H2:H3"/>
    <mergeCell ref="Z2:Z3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theme="0"/>
  </sheetPr>
  <dimension ref="A1:Q54"/>
  <sheetViews>
    <sheetView topLeftCell="E1" workbookViewId="0">
      <selection activeCell="M24" sqref="M24"/>
    </sheetView>
  </sheetViews>
  <sheetFormatPr defaultColWidth="9" defaultRowHeight="15" customHeight="1"/>
  <cols>
    <col min="1" max="1" width="3.5703125" style="2" customWidth="1"/>
    <col min="2" max="2" width="7.5703125" style="536" customWidth="1"/>
    <col min="3" max="3" width="7.85546875" style="540" customWidth="1"/>
    <col min="4" max="4" width="12.140625" style="538" customWidth="1"/>
    <col min="5" max="6" width="9" style="538"/>
    <col min="7" max="7" width="10" style="538" bestFit="1" customWidth="1"/>
    <col min="8" max="8" width="11.42578125" style="539" customWidth="1"/>
    <col min="9" max="9" width="9" style="549"/>
    <col min="10" max="10" width="9" style="2"/>
    <col min="11" max="11" width="10.85546875" style="9" customWidth="1"/>
    <col min="12" max="12" width="9" style="2"/>
    <col min="13" max="13" width="9" style="7"/>
    <col min="14" max="14" width="7.5703125" style="539" customWidth="1"/>
    <col min="15" max="15" width="9" style="549"/>
    <col min="16" max="16" width="9" style="2"/>
    <col min="17" max="17" width="10.85546875" style="9" customWidth="1"/>
    <col min="18" max="16384" width="9" style="2"/>
  </cols>
  <sheetData>
    <row r="1" spans="1:17" ht="15" customHeight="1">
      <c r="A1" s="7"/>
      <c r="C1" s="537"/>
      <c r="D1" s="536"/>
      <c r="N1" s="536"/>
    </row>
    <row r="2" spans="1:17" ht="24.95" customHeight="1">
      <c r="A2" s="7"/>
      <c r="B2" s="550" t="s">
        <v>1339</v>
      </c>
      <c r="C2" s="537"/>
      <c r="D2" s="536"/>
      <c r="K2" s="552" t="s">
        <v>1341</v>
      </c>
      <c r="N2" s="550" t="s">
        <v>1340</v>
      </c>
      <c r="Q2" s="552" t="s">
        <v>1342</v>
      </c>
    </row>
    <row r="3" spans="1:17" ht="20.100000000000001" customHeight="1">
      <c r="A3" s="17"/>
      <c r="B3" s="719" t="s">
        <v>676</v>
      </c>
      <c r="C3" s="723"/>
      <c r="D3" s="720"/>
      <c r="E3" s="720" t="s">
        <v>677</v>
      </c>
      <c r="F3" s="719" t="s">
        <v>173</v>
      </c>
      <c r="G3" s="723"/>
      <c r="H3" s="720"/>
      <c r="I3" s="719" t="s">
        <v>1344</v>
      </c>
      <c r="J3" s="720"/>
      <c r="K3" s="721" t="s">
        <v>1345</v>
      </c>
      <c r="N3" s="551" t="s">
        <v>676</v>
      </c>
      <c r="O3" s="719" t="s">
        <v>1343</v>
      </c>
      <c r="P3" s="720"/>
      <c r="Q3" s="721" t="s">
        <v>1346</v>
      </c>
    </row>
    <row r="4" spans="1:17" ht="20.100000000000001" customHeight="1">
      <c r="A4" s="17"/>
      <c r="B4" s="546" t="s">
        <v>20</v>
      </c>
      <c r="C4" s="543" t="s">
        <v>689</v>
      </c>
      <c r="D4" s="620" t="s">
        <v>691</v>
      </c>
      <c r="E4" s="724"/>
      <c r="F4" s="542" t="s">
        <v>20</v>
      </c>
      <c r="G4" s="542" t="s">
        <v>693</v>
      </c>
      <c r="H4" s="623" t="s">
        <v>694</v>
      </c>
      <c r="I4" s="546" t="s">
        <v>1337</v>
      </c>
      <c r="J4" s="24" t="s">
        <v>1338</v>
      </c>
      <c r="K4" s="722"/>
      <c r="N4" s="546" t="s">
        <v>20</v>
      </c>
      <c r="O4" s="546" t="s">
        <v>1337</v>
      </c>
      <c r="P4" s="24" t="s">
        <v>1338</v>
      </c>
      <c r="Q4" s="722"/>
    </row>
    <row r="5" spans="1:17" ht="15" customHeight="1">
      <c r="A5" s="7"/>
      <c r="B5" s="672">
        <v>1</v>
      </c>
      <c r="C5" s="673">
        <v>0</v>
      </c>
      <c r="D5" s="541">
        <v>0</v>
      </c>
      <c r="E5" s="541">
        <v>30</v>
      </c>
      <c r="F5" s="538">
        <v>1</v>
      </c>
      <c r="H5" s="137">
        <v>0</v>
      </c>
      <c r="I5" s="549">
        <v>100</v>
      </c>
      <c r="J5" s="532">
        <v>100</v>
      </c>
      <c r="K5" s="9">
        <f>J5/130</f>
        <v>0.76923076923076927</v>
      </c>
      <c r="N5" s="536">
        <v>1</v>
      </c>
      <c r="P5" s="532">
        <v>10</v>
      </c>
      <c r="Q5" s="9">
        <f>P5/10</f>
        <v>1</v>
      </c>
    </row>
    <row r="6" spans="1:17" ht="15" customHeight="1">
      <c r="A6" s="7"/>
      <c r="B6" s="672">
        <v>2</v>
      </c>
      <c r="C6" s="673">
        <v>0</v>
      </c>
      <c r="D6" s="541">
        <v>10060</v>
      </c>
      <c r="E6" s="541">
        <v>246</v>
      </c>
      <c r="F6" s="538">
        <v>2</v>
      </c>
      <c r="H6" s="137">
        <v>2.0833333333333332E-2</v>
      </c>
      <c r="I6" s="549">
        <v>100</v>
      </c>
      <c r="J6" s="5">
        <v>100</v>
      </c>
      <c r="K6" s="9">
        <f t="shared" ref="K6:K34" si="0">J6/130</f>
        <v>0.76923076923076927</v>
      </c>
      <c r="N6" s="536">
        <v>2</v>
      </c>
      <c r="P6" s="5">
        <v>10</v>
      </c>
      <c r="Q6" s="9">
        <f t="shared" ref="Q6:Q34" si="1">P6/10</f>
        <v>1</v>
      </c>
    </row>
    <row r="7" spans="1:17" ht="15" customHeight="1">
      <c r="A7" s="7"/>
      <c r="B7" s="672">
        <v>3</v>
      </c>
      <c r="C7" s="673">
        <v>0</v>
      </c>
      <c r="D7" s="541">
        <v>60000</v>
      </c>
      <c r="E7" s="541">
        <v>338</v>
      </c>
      <c r="F7" s="538">
        <v>2</v>
      </c>
      <c r="H7" s="137">
        <v>2.0833333333333332E-2</v>
      </c>
      <c r="I7" s="549">
        <v>100</v>
      </c>
      <c r="J7" s="5">
        <v>100</v>
      </c>
      <c r="K7" s="9">
        <f t="shared" si="0"/>
        <v>0.76923076923076927</v>
      </c>
      <c r="N7" s="536">
        <v>3</v>
      </c>
      <c r="P7" s="5">
        <v>10</v>
      </c>
      <c r="Q7" s="9">
        <f t="shared" si="1"/>
        <v>1</v>
      </c>
    </row>
    <row r="8" spans="1:17" ht="15" customHeight="1">
      <c r="A8" s="7"/>
      <c r="B8" s="672">
        <v>4</v>
      </c>
      <c r="C8" s="673">
        <v>0</v>
      </c>
      <c r="D8" s="541">
        <v>70755</v>
      </c>
      <c r="E8" s="541">
        <v>396</v>
      </c>
      <c r="F8" s="538">
        <v>2</v>
      </c>
      <c r="H8" s="137">
        <v>2.0833333333333332E-2</v>
      </c>
      <c r="I8" s="549">
        <v>100</v>
      </c>
      <c r="J8" s="5">
        <v>100</v>
      </c>
      <c r="K8" s="9">
        <f t="shared" si="0"/>
        <v>0.76923076923076927</v>
      </c>
      <c r="N8" s="536">
        <v>4</v>
      </c>
      <c r="P8" s="5">
        <v>10</v>
      </c>
      <c r="Q8" s="9">
        <f t="shared" si="1"/>
        <v>1</v>
      </c>
    </row>
    <row r="9" spans="1:17" ht="15" customHeight="1">
      <c r="A9" s="7"/>
      <c r="B9" s="672">
        <v>5</v>
      </c>
      <c r="C9" s="673">
        <v>0</v>
      </c>
      <c r="D9" s="541">
        <v>101815</v>
      </c>
      <c r="E9" s="541">
        <v>872</v>
      </c>
      <c r="F9" s="538">
        <v>2</v>
      </c>
      <c r="H9" s="137">
        <v>6.25E-2</v>
      </c>
      <c r="I9" s="549">
        <v>200</v>
      </c>
      <c r="J9" s="5">
        <v>200</v>
      </c>
      <c r="K9" s="9">
        <f t="shared" si="0"/>
        <v>1.5384615384615385</v>
      </c>
      <c r="N9" s="536">
        <v>5</v>
      </c>
      <c r="P9" s="5">
        <v>85</v>
      </c>
      <c r="Q9" s="9">
        <f t="shared" si="1"/>
        <v>8.5</v>
      </c>
    </row>
    <row r="10" spans="1:17" ht="15" customHeight="1">
      <c r="A10" s="7"/>
      <c r="B10" s="672">
        <v>6</v>
      </c>
      <c r="C10" s="673">
        <v>0</v>
      </c>
      <c r="D10" s="541">
        <v>167065</v>
      </c>
      <c r="E10" s="541">
        <v>2331</v>
      </c>
      <c r="F10" s="538">
        <v>3</v>
      </c>
      <c r="H10" s="137">
        <v>6.25E-2</v>
      </c>
      <c r="I10" s="549">
        <v>200</v>
      </c>
      <c r="J10" s="5">
        <v>200</v>
      </c>
      <c r="K10" s="9">
        <f t="shared" si="0"/>
        <v>1.5384615384615385</v>
      </c>
      <c r="N10" s="536">
        <v>6</v>
      </c>
      <c r="P10" s="5">
        <v>85</v>
      </c>
      <c r="Q10" s="9">
        <f t="shared" si="1"/>
        <v>8.5</v>
      </c>
    </row>
    <row r="11" spans="1:17" ht="15" customHeight="1">
      <c r="A11" s="7"/>
      <c r="B11" s="672">
        <v>7</v>
      </c>
      <c r="C11" s="673">
        <v>0</v>
      </c>
      <c r="D11" s="541">
        <v>215315</v>
      </c>
      <c r="E11" s="541">
        <v>2687</v>
      </c>
      <c r="F11" s="538">
        <v>3</v>
      </c>
      <c r="G11" s="538">
        <v>460</v>
      </c>
      <c r="H11" s="137">
        <v>8.3333333333333329E-2</v>
      </c>
      <c r="I11" s="549">
        <v>200</v>
      </c>
      <c r="J11" s="5">
        <v>200</v>
      </c>
      <c r="K11" s="9">
        <f t="shared" si="0"/>
        <v>1.5384615384615385</v>
      </c>
      <c r="N11" s="536">
        <v>7</v>
      </c>
      <c r="P11" s="5">
        <v>85</v>
      </c>
      <c r="Q11" s="9">
        <f t="shared" si="1"/>
        <v>8.5</v>
      </c>
    </row>
    <row r="12" spans="1:17" ht="15" customHeight="1">
      <c r="A12" s="7"/>
      <c r="B12" s="672">
        <v>8</v>
      </c>
      <c r="C12" s="673">
        <v>0</v>
      </c>
      <c r="D12" s="541">
        <v>282255</v>
      </c>
      <c r="E12" s="541">
        <v>3716</v>
      </c>
      <c r="F12" s="538">
        <v>3</v>
      </c>
      <c r="G12" s="538">
        <v>770</v>
      </c>
      <c r="H12" s="137">
        <v>0.10416666666666667</v>
      </c>
      <c r="I12" s="549">
        <v>200</v>
      </c>
      <c r="J12" s="5">
        <v>200</v>
      </c>
      <c r="K12" s="9">
        <f t="shared" si="0"/>
        <v>1.5384615384615385</v>
      </c>
      <c r="N12" s="536">
        <v>8</v>
      </c>
      <c r="P12" s="5">
        <v>85</v>
      </c>
      <c r="Q12" s="9">
        <f t="shared" si="1"/>
        <v>8.5</v>
      </c>
    </row>
    <row r="13" spans="1:17" ht="15" customHeight="1">
      <c r="A13" s="7"/>
      <c r="B13" s="672">
        <v>9</v>
      </c>
      <c r="C13" s="673">
        <v>0</v>
      </c>
      <c r="D13" s="541">
        <v>367610</v>
      </c>
      <c r="E13" s="541">
        <v>5918</v>
      </c>
      <c r="F13" s="538">
        <v>3</v>
      </c>
      <c r="G13" s="538">
        <v>770</v>
      </c>
      <c r="H13" s="137">
        <v>0.10416666666666667</v>
      </c>
      <c r="I13" s="549">
        <v>200</v>
      </c>
      <c r="J13" s="5">
        <v>200</v>
      </c>
      <c r="K13" s="9">
        <f t="shared" si="0"/>
        <v>1.5384615384615385</v>
      </c>
      <c r="N13" s="536">
        <v>9</v>
      </c>
      <c r="P13" s="5">
        <v>85</v>
      </c>
      <c r="Q13" s="9">
        <f t="shared" si="1"/>
        <v>8.5</v>
      </c>
    </row>
    <row r="14" spans="1:17" ht="15" customHeight="1">
      <c r="A14" s="7"/>
      <c r="B14" s="672">
        <v>10</v>
      </c>
      <c r="C14" s="673">
        <v>0</v>
      </c>
      <c r="D14" s="541">
        <v>487610</v>
      </c>
      <c r="E14" s="541">
        <v>6766</v>
      </c>
      <c r="F14" s="538">
        <v>4</v>
      </c>
      <c r="G14" s="538">
        <v>890</v>
      </c>
      <c r="H14" s="137">
        <v>0.10416666666666667</v>
      </c>
      <c r="I14" s="549">
        <v>200</v>
      </c>
      <c r="J14" s="5">
        <v>200</v>
      </c>
      <c r="K14" s="9">
        <f t="shared" si="0"/>
        <v>1.5384615384615385</v>
      </c>
      <c r="N14" s="536">
        <v>10</v>
      </c>
      <c r="P14" s="5">
        <v>95</v>
      </c>
      <c r="Q14" s="9">
        <f t="shared" si="1"/>
        <v>9.5</v>
      </c>
    </row>
    <row r="15" spans="1:17" ht="15" customHeight="1">
      <c r="A15" s="7"/>
      <c r="B15" s="672">
        <v>11</v>
      </c>
      <c r="C15" s="673">
        <v>0.1</v>
      </c>
      <c r="D15" s="541">
        <v>652233</v>
      </c>
      <c r="E15" s="541">
        <v>8421</v>
      </c>
      <c r="F15" s="538">
        <v>4</v>
      </c>
      <c r="G15" s="538">
        <v>890</v>
      </c>
      <c r="H15" s="137">
        <v>0.10416666666666667</v>
      </c>
      <c r="I15" s="549">
        <v>200</v>
      </c>
      <c r="J15" s="5">
        <v>200</v>
      </c>
      <c r="K15" s="9">
        <f t="shared" si="0"/>
        <v>1.5384615384615385</v>
      </c>
      <c r="N15" s="536">
        <v>11</v>
      </c>
      <c r="P15" s="5">
        <v>95</v>
      </c>
      <c r="Q15" s="9">
        <f t="shared" si="1"/>
        <v>9.5</v>
      </c>
    </row>
    <row r="16" spans="1:17" ht="15" customHeight="1">
      <c r="A16" s="7"/>
      <c r="B16" s="672">
        <v>12</v>
      </c>
      <c r="C16" s="673">
        <v>0.25</v>
      </c>
      <c r="D16" s="541">
        <v>975696</v>
      </c>
      <c r="E16" s="541">
        <v>12544</v>
      </c>
      <c r="F16" s="538">
        <v>4</v>
      </c>
      <c r="G16" s="538">
        <v>890</v>
      </c>
      <c r="H16" s="137">
        <v>0.14583333333333334</v>
      </c>
      <c r="I16" s="549">
        <v>200</v>
      </c>
      <c r="J16" s="5">
        <v>200</v>
      </c>
      <c r="K16" s="9">
        <f t="shared" si="0"/>
        <v>1.5384615384615385</v>
      </c>
      <c r="N16" s="536">
        <v>12</v>
      </c>
      <c r="P16" s="5">
        <v>95</v>
      </c>
      <c r="Q16" s="9">
        <f t="shared" si="1"/>
        <v>9.5</v>
      </c>
    </row>
    <row r="17" spans="1:17" ht="15" customHeight="1">
      <c r="A17" s="7"/>
      <c r="B17" s="672">
        <v>13</v>
      </c>
      <c r="C17" s="673">
        <v>0.25</v>
      </c>
      <c r="D17" s="541">
        <v>1113179</v>
      </c>
      <c r="E17" s="541">
        <v>15284</v>
      </c>
      <c r="F17" s="538">
        <v>4</v>
      </c>
      <c r="G17" s="538">
        <v>890</v>
      </c>
      <c r="H17" s="137">
        <v>0.14583333333333334</v>
      </c>
      <c r="I17" s="549">
        <v>200</v>
      </c>
      <c r="J17" s="5">
        <v>200</v>
      </c>
      <c r="K17" s="9">
        <f t="shared" si="0"/>
        <v>1.5384615384615385</v>
      </c>
      <c r="N17" s="536">
        <v>13</v>
      </c>
      <c r="P17" s="5">
        <v>95</v>
      </c>
      <c r="Q17" s="9">
        <f t="shared" si="1"/>
        <v>9.5</v>
      </c>
    </row>
    <row r="18" spans="1:17" ht="15" customHeight="1">
      <c r="A18" s="7"/>
      <c r="B18" s="672">
        <v>14</v>
      </c>
      <c r="C18" s="673">
        <v>0.25</v>
      </c>
      <c r="D18" s="541">
        <v>1389103</v>
      </c>
      <c r="E18" s="541">
        <v>20467</v>
      </c>
      <c r="F18" s="538">
        <v>4</v>
      </c>
      <c r="G18" s="538">
        <v>1070</v>
      </c>
      <c r="H18" s="137">
        <v>0.14583333333333334</v>
      </c>
      <c r="I18" s="549">
        <v>200</v>
      </c>
      <c r="J18" s="5">
        <v>200</v>
      </c>
      <c r="K18" s="9">
        <f t="shared" si="0"/>
        <v>1.5384615384615385</v>
      </c>
      <c r="N18" s="536">
        <v>14</v>
      </c>
      <c r="P18" s="5">
        <v>95</v>
      </c>
      <c r="Q18" s="9">
        <f t="shared" si="1"/>
        <v>9.5</v>
      </c>
    </row>
    <row r="19" spans="1:17" ht="15" customHeight="1">
      <c r="A19" s="7"/>
      <c r="B19" s="672">
        <v>15</v>
      </c>
      <c r="C19" s="673">
        <v>0.25</v>
      </c>
      <c r="D19" s="541">
        <v>1652574</v>
      </c>
      <c r="E19" s="541">
        <v>24887</v>
      </c>
      <c r="F19" s="538">
        <v>4</v>
      </c>
      <c r="G19" s="538">
        <v>1260</v>
      </c>
      <c r="H19" s="137">
        <v>0.14583333333333334</v>
      </c>
      <c r="I19" s="549">
        <v>200</v>
      </c>
      <c r="J19" s="5">
        <v>200</v>
      </c>
      <c r="K19" s="9">
        <f t="shared" si="0"/>
        <v>1.5384615384615385</v>
      </c>
      <c r="N19" s="536">
        <v>15</v>
      </c>
      <c r="P19" s="5">
        <v>95</v>
      </c>
      <c r="Q19" s="9">
        <f t="shared" si="1"/>
        <v>9.5</v>
      </c>
    </row>
    <row r="20" spans="1:17" ht="15" customHeight="1">
      <c r="A20" s="7"/>
      <c r="B20" s="672">
        <v>16</v>
      </c>
      <c r="C20" s="673">
        <v>0.3</v>
      </c>
      <c r="D20" s="541">
        <v>1969859</v>
      </c>
      <c r="E20" s="541">
        <v>39390</v>
      </c>
      <c r="F20" s="538">
        <v>4</v>
      </c>
      <c r="G20" s="538">
        <v>1260</v>
      </c>
      <c r="H20" s="137">
        <v>0.125</v>
      </c>
      <c r="I20" s="549">
        <v>260</v>
      </c>
      <c r="J20" s="5">
        <v>260</v>
      </c>
      <c r="K20" s="9">
        <f t="shared" si="0"/>
        <v>2</v>
      </c>
      <c r="N20" s="536">
        <v>16</v>
      </c>
      <c r="P20" s="5">
        <v>95</v>
      </c>
      <c r="Q20" s="9">
        <f t="shared" si="1"/>
        <v>9.5</v>
      </c>
    </row>
    <row r="21" spans="1:17" ht="15" customHeight="1">
      <c r="A21" s="7"/>
      <c r="B21" s="672">
        <v>17</v>
      </c>
      <c r="C21" s="673">
        <v>0.3</v>
      </c>
      <c r="D21" s="541">
        <v>2314229</v>
      </c>
      <c r="E21" s="541">
        <v>43687</v>
      </c>
      <c r="F21" s="538">
        <v>4</v>
      </c>
      <c r="G21" s="538">
        <v>1460</v>
      </c>
      <c r="H21" s="137">
        <v>0.125</v>
      </c>
      <c r="I21" s="549">
        <v>260</v>
      </c>
      <c r="J21" s="5">
        <v>260</v>
      </c>
      <c r="K21" s="9">
        <f t="shared" si="0"/>
        <v>2</v>
      </c>
      <c r="N21" s="536">
        <v>17</v>
      </c>
      <c r="P21" s="5">
        <v>95</v>
      </c>
      <c r="Q21" s="9">
        <f t="shared" si="1"/>
        <v>9.5</v>
      </c>
    </row>
    <row r="22" spans="1:17" ht="15" customHeight="1">
      <c r="A22" s="7"/>
      <c r="B22" s="672">
        <v>18</v>
      </c>
      <c r="C22" s="673">
        <v>0.3</v>
      </c>
      <c r="D22" s="541">
        <v>2625994</v>
      </c>
      <c r="E22" s="541">
        <v>51056</v>
      </c>
      <c r="F22" s="538">
        <v>4</v>
      </c>
      <c r="G22" s="538">
        <v>1460</v>
      </c>
      <c r="H22" s="137">
        <v>0.10416666666666667</v>
      </c>
      <c r="I22" s="549">
        <v>180</v>
      </c>
      <c r="J22" s="5">
        <v>480</v>
      </c>
      <c r="K22" s="9">
        <f t="shared" si="0"/>
        <v>3.6923076923076925</v>
      </c>
      <c r="N22" s="536">
        <v>18</v>
      </c>
      <c r="P22" s="5">
        <v>95</v>
      </c>
      <c r="Q22" s="9">
        <f t="shared" si="1"/>
        <v>9.5</v>
      </c>
    </row>
    <row r="23" spans="1:17" ht="15" customHeight="1">
      <c r="A23" s="7"/>
      <c r="B23" s="672">
        <v>19</v>
      </c>
      <c r="C23" s="673">
        <v>0.3</v>
      </c>
      <c r="D23" s="541">
        <v>2982324</v>
      </c>
      <c r="E23" s="541">
        <v>57471</v>
      </c>
      <c r="F23" s="538">
        <v>5</v>
      </c>
      <c r="G23" s="538">
        <v>1670</v>
      </c>
      <c r="H23" s="137">
        <v>0.10416666666666667</v>
      </c>
      <c r="I23" s="549">
        <v>180</v>
      </c>
      <c r="J23" s="5">
        <v>480</v>
      </c>
      <c r="K23" s="9">
        <f t="shared" si="0"/>
        <v>3.6923076923076925</v>
      </c>
      <c r="N23" s="536">
        <v>19</v>
      </c>
      <c r="P23" s="5">
        <v>95</v>
      </c>
      <c r="Q23" s="9">
        <f t="shared" si="1"/>
        <v>9.5</v>
      </c>
    </row>
    <row r="24" spans="1:17" ht="15" customHeight="1">
      <c r="A24" s="7"/>
      <c r="B24" s="672">
        <v>20</v>
      </c>
      <c r="C24" s="673">
        <v>0.3</v>
      </c>
      <c r="D24" s="541">
        <v>3376538</v>
      </c>
      <c r="E24" s="541">
        <v>65671</v>
      </c>
      <c r="F24" s="538">
        <v>5</v>
      </c>
      <c r="G24" s="538">
        <v>1670</v>
      </c>
      <c r="H24" s="137">
        <v>0.10416666666666667</v>
      </c>
      <c r="I24" s="549">
        <v>260</v>
      </c>
      <c r="J24" s="5">
        <v>560</v>
      </c>
      <c r="K24" s="9">
        <f t="shared" si="0"/>
        <v>4.3076923076923075</v>
      </c>
      <c r="N24" s="536">
        <v>20</v>
      </c>
      <c r="P24" s="5">
        <v>95</v>
      </c>
      <c r="Q24" s="9">
        <f t="shared" si="1"/>
        <v>9.5</v>
      </c>
    </row>
    <row r="25" spans="1:17" ht="15" customHeight="1">
      <c r="A25" s="7"/>
      <c r="B25" s="672">
        <v>21</v>
      </c>
      <c r="C25" s="673">
        <v>0.35</v>
      </c>
      <c r="D25" s="541">
        <v>3982680</v>
      </c>
      <c r="E25" s="541">
        <v>86594</v>
      </c>
      <c r="F25" s="538">
        <v>5</v>
      </c>
      <c r="G25" s="538">
        <v>2360</v>
      </c>
      <c r="H25" s="137">
        <v>4.1666666666666664E-2</v>
      </c>
      <c r="I25" s="549">
        <v>260</v>
      </c>
      <c r="J25" s="5">
        <v>560</v>
      </c>
      <c r="K25" s="9">
        <f t="shared" si="0"/>
        <v>4.3076923076923075</v>
      </c>
      <c r="N25" s="536">
        <v>21</v>
      </c>
      <c r="P25" s="5">
        <v>95</v>
      </c>
      <c r="Q25" s="9">
        <f t="shared" si="1"/>
        <v>9.5</v>
      </c>
    </row>
    <row r="26" spans="1:17" ht="15" customHeight="1">
      <c r="A26" s="7"/>
      <c r="B26" s="672">
        <v>22</v>
      </c>
      <c r="C26" s="673">
        <v>0.4</v>
      </c>
      <c r="D26" s="541">
        <v>4626975</v>
      </c>
      <c r="E26" s="541">
        <v>93688</v>
      </c>
      <c r="F26" s="538">
        <v>5</v>
      </c>
      <c r="G26" s="538">
        <v>2610</v>
      </c>
      <c r="H26" s="137">
        <v>4.1666666666666664E-2</v>
      </c>
      <c r="I26" s="549">
        <v>420</v>
      </c>
      <c r="J26" s="5">
        <v>720</v>
      </c>
      <c r="K26" s="9">
        <f t="shared" si="0"/>
        <v>5.5384615384615383</v>
      </c>
      <c r="N26" s="536">
        <v>22</v>
      </c>
      <c r="P26" s="5">
        <v>95</v>
      </c>
      <c r="Q26" s="9">
        <f t="shared" si="1"/>
        <v>9.5</v>
      </c>
    </row>
    <row r="27" spans="1:17" ht="15" customHeight="1">
      <c r="A27" s="7"/>
      <c r="B27" s="672">
        <v>23</v>
      </c>
      <c r="C27" s="673">
        <v>0.4</v>
      </c>
      <c r="D27" s="541">
        <v>5250689</v>
      </c>
      <c r="E27" s="541">
        <v>114591</v>
      </c>
      <c r="F27" s="538">
        <v>5</v>
      </c>
      <c r="G27" s="538">
        <v>2870</v>
      </c>
      <c r="H27" s="137">
        <v>8.3333333333333329E-2</v>
      </c>
      <c r="I27" s="549">
        <v>470</v>
      </c>
      <c r="J27" s="5">
        <v>770</v>
      </c>
      <c r="K27" s="9">
        <f t="shared" si="0"/>
        <v>5.9230769230769234</v>
      </c>
      <c r="N27" s="536">
        <v>23</v>
      </c>
      <c r="P27" s="5">
        <v>95</v>
      </c>
      <c r="Q27" s="9">
        <f t="shared" si="1"/>
        <v>9.5</v>
      </c>
    </row>
    <row r="28" spans="1:17" ht="15" customHeight="1">
      <c r="A28" s="7"/>
      <c r="B28" s="672">
        <v>24</v>
      </c>
      <c r="C28" s="673">
        <v>0.4</v>
      </c>
      <c r="D28" s="541">
        <v>5941988</v>
      </c>
      <c r="E28" s="541">
        <v>132913</v>
      </c>
      <c r="F28" s="538">
        <v>5</v>
      </c>
      <c r="G28" s="538">
        <v>3140</v>
      </c>
      <c r="H28" s="137">
        <v>8.3333333333333329E-2</v>
      </c>
      <c r="I28" s="549">
        <v>630</v>
      </c>
      <c r="J28" s="5">
        <v>930</v>
      </c>
      <c r="K28" s="9">
        <f t="shared" si="0"/>
        <v>7.1538461538461542</v>
      </c>
      <c r="N28" s="536">
        <v>24</v>
      </c>
      <c r="P28" s="5">
        <v>95</v>
      </c>
      <c r="Q28" s="9">
        <f t="shared" si="1"/>
        <v>9.5</v>
      </c>
    </row>
    <row r="29" spans="1:17" ht="15" customHeight="1">
      <c r="A29" s="7"/>
      <c r="B29" s="672">
        <v>25</v>
      </c>
      <c r="C29" s="673">
        <v>0.4</v>
      </c>
      <c r="D29" s="541">
        <v>6764006</v>
      </c>
      <c r="E29" s="541">
        <v>172572</v>
      </c>
      <c r="F29" s="538">
        <v>5</v>
      </c>
      <c r="G29" s="538">
        <v>3710</v>
      </c>
      <c r="H29" s="137">
        <v>8.3333333333333329E-2</v>
      </c>
      <c r="I29" s="549">
        <v>630</v>
      </c>
      <c r="J29" s="5">
        <v>930</v>
      </c>
      <c r="K29" s="9">
        <f t="shared" si="0"/>
        <v>7.1538461538461542</v>
      </c>
      <c r="N29" s="536">
        <v>25</v>
      </c>
      <c r="P29" s="5">
        <v>95</v>
      </c>
      <c r="Q29" s="9">
        <f t="shared" si="1"/>
        <v>9.5</v>
      </c>
    </row>
    <row r="30" spans="1:17" ht="15" customHeight="1">
      <c r="A30" s="7"/>
      <c r="B30" s="672">
        <v>26</v>
      </c>
      <c r="C30" s="673">
        <v>0.4</v>
      </c>
      <c r="D30" s="541">
        <v>7773406</v>
      </c>
      <c r="E30" s="541">
        <v>201600</v>
      </c>
      <c r="F30" s="538">
        <v>6</v>
      </c>
      <c r="G30" s="538">
        <v>4010</v>
      </c>
      <c r="H30" s="137">
        <v>8.3333333333333329E-2</v>
      </c>
      <c r="I30" s="549">
        <v>20</v>
      </c>
      <c r="J30" s="5">
        <v>970</v>
      </c>
      <c r="K30" s="9">
        <f t="shared" si="0"/>
        <v>7.4615384615384617</v>
      </c>
      <c r="N30" s="536">
        <v>26</v>
      </c>
      <c r="P30" s="5">
        <v>95</v>
      </c>
      <c r="Q30" s="9">
        <f t="shared" si="1"/>
        <v>9.5</v>
      </c>
    </row>
    <row r="31" spans="1:17" ht="15" customHeight="1">
      <c r="A31" s="7"/>
      <c r="B31" s="672">
        <v>27</v>
      </c>
      <c r="C31" s="673">
        <v>0.4</v>
      </c>
      <c r="D31" s="541">
        <v>8210101</v>
      </c>
      <c r="E31" s="541">
        <v>224009</v>
      </c>
      <c r="F31" s="538">
        <v>6</v>
      </c>
      <c r="G31" s="538">
        <v>4640</v>
      </c>
      <c r="H31" s="137">
        <v>8.3333333333333329E-2</v>
      </c>
      <c r="I31" s="549">
        <v>20</v>
      </c>
      <c r="J31" s="5">
        <v>970</v>
      </c>
      <c r="K31" s="9">
        <f t="shared" si="0"/>
        <v>7.4615384615384617</v>
      </c>
      <c r="N31" s="536">
        <v>27</v>
      </c>
      <c r="P31" s="5">
        <v>95</v>
      </c>
      <c r="Q31" s="9">
        <f t="shared" si="1"/>
        <v>9.5</v>
      </c>
    </row>
    <row r="32" spans="1:17" ht="15" customHeight="1">
      <c r="A32" s="7"/>
      <c r="B32" s="672">
        <v>28</v>
      </c>
      <c r="C32" s="673">
        <v>0.45</v>
      </c>
      <c r="D32" s="541">
        <v>9024001</v>
      </c>
      <c r="E32" s="541">
        <v>261298</v>
      </c>
      <c r="F32" s="538">
        <v>6</v>
      </c>
      <c r="G32" s="538">
        <v>6140</v>
      </c>
      <c r="H32" s="137">
        <v>0.10416666666666667</v>
      </c>
      <c r="I32" s="549">
        <v>260</v>
      </c>
      <c r="J32" s="5">
        <v>1210</v>
      </c>
      <c r="K32" s="9">
        <f t="shared" si="0"/>
        <v>9.3076923076923084</v>
      </c>
      <c r="N32" s="536">
        <v>28</v>
      </c>
      <c r="P32" s="5">
        <v>95</v>
      </c>
      <c r="Q32" s="9">
        <f t="shared" si="1"/>
        <v>9.5</v>
      </c>
    </row>
    <row r="33" spans="1:17" ht="15" customHeight="1">
      <c r="A33" s="7"/>
      <c r="B33" s="672">
        <v>29</v>
      </c>
      <c r="C33" s="673">
        <v>0.5</v>
      </c>
      <c r="D33" s="541">
        <v>10002976</v>
      </c>
      <c r="E33" s="541">
        <v>289186</v>
      </c>
      <c r="F33" s="538">
        <v>6</v>
      </c>
      <c r="G33" s="538">
        <v>6710</v>
      </c>
      <c r="H33" s="137">
        <v>0.10416666666666667</v>
      </c>
      <c r="I33" s="549">
        <v>420</v>
      </c>
      <c r="J33" s="5">
        <v>1370</v>
      </c>
      <c r="K33" s="9">
        <f t="shared" si="0"/>
        <v>10.538461538461538</v>
      </c>
      <c r="N33" s="536">
        <v>29</v>
      </c>
      <c r="P33" s="5">
        <v>95</v>
      </c>
      <c r="Q33" s="9">
        <f t="shared" si="1"/>
        <v>9.5</v>
      </c>
    </row>
    <row r="34" spans="1:17" ht="15" customHeight="1">
      <c r="A34" s="7"/>
      <c r="B34" s="672">
        <v>30</v>
      </c>
      <c r="C34" s="673">
        <v>0.5</v>
      </c>
      <c r="D34" s="541">
        <v>10740076</v>
      </c>
      <c r="E34" s="541">
        <v>312071</v>
      </c>
      <c r="F34" s="538">
        <v>6</v>
      </c>
      <c r="G34" s="538">
        <v>7140</v>
      </c>
      <c r="H34" s="137">
        <v>0.10416666666666667</v>
      </c>
      <c r="I34" s="549">
        <v>420</v>
      </c>
      <c r="J34" s="5">
        <v>1370</v>
      </c>
      <c r="K34" s="9">
        <f t="shared" si="0"/>
        <v>10.538461538461538</v>
      </c>
      <c r="N34" s="536">
        <v>30</v>
      </c>
      <c r="P34" s="5">
        <v>95</v>
      </c>
      <c r="Q34" s="9">
        <f t="shared" si="1"/>
        <v>9.5</v>
      </c>
    </row>
    <row r="35" spans="1:17" ht="15" customHeight="1">
      <c r="A35" s="7"/>
      <c r="B35" s="672">
        <v>31</v>
      </c>
      <c r="C35" s="673">
        <v>0.5</v>
      </c>
      <c r="D35" s="541">
        <f>11902652+450000</f>
        <v>12352652</v>
      </c>
      <c r="E35" s="541">
        <v>405273</v>
      </c>
      <c r="F35" s="538">
        <v>6</v>
      </c>
      <c r="G35" s="538">
        <v>7910</v>
      </c>
      <c r="H35" s="137">
        <v>0.125</v>
      </c>
      <c r="I35" s="549">
        <v>120</v>
      </c>
      <c r="J35" s="5">
        <v>1370</v>
      </c>
      <c r="K35" s="9">
        <f>J35/130</f>
        <v>10.538461538461538</v>
      </c>
      <c r="N35" s="536">
        <v>31</v>
      </c>
      <c r="P35" s="5">
        <v>95</v>
      </c>
      <c r="Q35" s="9">
        <f t="shared" ref="Q35:Q54" si="2">P35/10</f>
        <v>9.5</v>
      </c>
    </row>
    <row r="36" spans="1:17" ht="15" customHeight="1">
      <c r="B36" s="672">
        <v>32</v>
      </c>
      <c r="C36" s="673">
        <v>0.5</v>
      </c>
      <c r="D36" s="541">
        <v>13827184</v>
      </c>
      <c r="E36" s="541">
        <v>437570</v>
      </c>
      <c r="F36" s="538">
        <v>7</v>
      </c>
      <c r="G36" s="538">
        <v>8690</v>
      </c>
      <c r="H36" s="137">
        <v>0.125</v>
      </c>
      <c r="I36" s="549">
        <v>360</v>
      </c>
      <c r="J36" s="5">
        <v>1610</v>
      </c>
      <c r="K36" s="9">
        <f>J36/130</f>
        <v>12.384615384615385</v>
      </c>
      <c r="L36" s="674" t="s">
        <v>2061</v>
      </c>
      <c r="M36" s="675"/>
      <c r="N36" s="536">
        <v>32</v>
      </c>
      <c r="P36" s="5">
        <v>95</v>
      </c>
      <c r="Q36" s="9">
        <f t="shared" si="2"/>
        <v>9.5</v>
      </c>
    </row>
    <row r="37" spans="1:17" ht="15" customHeight="1">
      <c r="B37" s="672">
        <v>33</v>
      </c>
      <c r="C37" s="673"/>
      <c r="D37" s="541"/>
      <c r="E37" s="541"/>
      <c r="H37" s="137"/>
      <c r="J37" s="5"/>
      <c r="N37" s="536">
        <v>33</v>
      </c>
      <c r="P37" s="5">
        <v>95</v>
      </c>
      <c r="Q37" s="9">
        <f t="shared" si="2"/>
        <v>9.5</v>
      </c>
    </row>
    <row r="38" spans="1:17" ht="15" customHeight="1">
      <c r="B38" s="672">
        <v>34</v>
      </c>
      <c r="C38" s="673"/>
      <c r="D38" s="541"/>
      <c r="E38" s="541"/>
      <c r="H38" s="137"/>
      <c r="J38" s="5"/>
      <c r="N38" s="536">
        <v>34</v>
      </c>
      <c r="P38" s="5">
        <v>95</v>
      </c>
      <c r="Q38" s="9">
        <f t="shared" si="2"/>
        <v>9.5</v>
      </c>
    </row>
    <row r="39" spans="1:17" ht="15" customHeight="1">
      <c r="B39" s="672">
        <v>35</v>
      </c>
      <c r="C39" s="673"/>
      <c r="D39" s="541"/>
      <c r="E39" s="541"/>
      <c r="H39" s="137"/>
      <c r="J39" s="5"/>
      <c r="N39" s="536">
        <v>35</v>
      </c>
      <c r="P39" s="5">
        <v>95</v>
      </c>
      <c r="Q39" s="9">
        <f t="shared" si="2"/>
        <v>9.5</v>
      </c>
    </row>
    <row r="40" spans="1:17" ht="15" customHeight="1">
      <c r="B40" s="672">
        <v>36</v>
      </c>
      <c r="C40" s="673"/>
      <c r="D40" s="541"/>
      <c r="E40" s="541"/>
      <c r="H40" s="137"/>
      <c r="J40" s="5"/>
      <c r="N40" s="536">
        <v>36</v>
      </c>
      <c r="P40" s="5">
        <v>95</v>
      </c>
      <c r="Q40" s="9">
        <f t="shared" si="2"/>
        <v>9.5</v>
      </c>
    </row>
    <row r="41" spans="1:17" ht="15" customHeight="1">
      <c r="B41" s="672">
        <v>37</v>
      </c>
      <c r="C41" s="673"/>
      <c r="D41" s="541"/>
      <c r="E41" s="541"/>
      <c r="H41" s="137"/>
      <c r="J41" s="5"/>
      <c r="N41" s="536">
        <v>37</v>
      </c>
      <c r="P41" s="5">
        <v>95</v>
      </c>
      <c r="Q41" s="9">
        <f t="shared" si="2"/>
        <v>9.5</v>
      </c>
    </row>
    <row r="42" spans="1:17" ht="15" customHeight="1">
      <c r="B42" s="672">
        <v>38</v>
      </c>
      <c r="C42" s="673"/>
      <c r="D42" s="541"/>
      <c r="E42" s="541"/>
      <c r="H42" s="137"/>
      <c r="J42" s="5"/>
      <c r="N42" s="536">
        <v>38</v>
      </c>
      <c r="P42" s="5">
        <v>95</v>
      </c>
      <c r="Q42" s="9">
        <f t="shared" si="2"/>
        <v>9.5</v>
      </c>
    </row>
    <row r="43" spans="1:17" ht="15" customHeight="1">
      <c r="B43" s="672">
        <v>39</v>
      </c>
      <c r="C43" s="673"/>
      <c r="D43" s="541"/>
      <c r="E43" s="541"/>
      <c r="H43" s="137"/>
      <c r="J43" s="5"/>
      <c r="N43" s="536">
        <v>39</v>
      </c>
      <c r="P43" s="5">
        <v>95</v>
      </c>
      <c r="Q43" s="9">
        <f t="shared" si="2"/>
        <v>9.5</v>
      </c>
    </row>
    <row r="44" spans="1:17" ht="15" customHeight="1">
      <c r="B44" s="672">
        <v>40</v>
      </c>
      <c r="N44" s="536">
        <v>40</v>
      </c>
      <c r="P44" s="5">
        <v>95</v>
      </c>
      <c r="Q44" s="9">
        <f t="shared" si="2"/>
        <v>9.5</v>
      </c>
    </row>
    <row r="45" spans="1:17" ht="15" customHeight="1">
      <c r="B45" s="672">
        <v>41</v>
      </c>
      <c r="N45" s="536">
        <v>41</v>
      </c>
      <c r="P45" s="5">
        <v>95</v>
      </c>
      <c r="Q45" s="9">
        <f t="shared" si="2"/>
        <v>9.5</v>
      </c>
    </row>
    <row r="46" spans="1:17" ht="15" customHeight="1">
      <c r="B46" s="672">
        <v>42</v>
      </c>
      <c r="N46" s="536">
        <v>42</v>
      </c>
      <c r="P46" s="5">
        <v>95</v>
      </c>
      <c r="Q46" s="9">
        <f t="shared" si="2"/>
        <v>9.5</v>
      </c>
    </row>
    <row r="47" spans="1:17" ht="15" customHeight="1">
      <c r="B47" s="672">
        <v>43</v>
      </c>
      <c r="N47" s="536">
        <v>43</v>
      </c>
      <c r="P47" s="5">
        <v>95</v>
      </c>
      <c r="Q47" s="9">
        <f t="shared" si="2"/>
        <v>9.5</v>
      </c>
    </row>
    <row r="48" spans="1:17" ht="15" customHeight="1">
      <c r="B48" s="672">
        <v>44</v>
      </c>
      <c r="N48" s="536">
        <v>44</v>
      </c>
      <c r="P48" s="5">
        <v>95</v>
      </c>
      <c r="Q48" s="9">
        <f t="shared" si="2"/>
        <v>9.5</v>
      </c>
    </row>
    <row r="49" spans="2:17" ht="15" customHeight="1">
      <c r="B49" s="672">
        <v>45</v>
      </c>
      <c r="N49" s="536">
        <v>45</v>
      </c>
      <c r="P49" s="5">
        <v>95</v>
      </c>
      <c r="Q49" s="9">
        <f t="shared" si="2"/>
        <v>9.5</v>
      </c>
    </row>
    <row r="50" spans="2:17" ht="15" customHeight="1">
      <c r="B50" s="672">
        <v>46</v>
      </c>
      <c r="N50" s="536">
        <v>46</v>
      </c>
      <c r="P50" s="5">
        <v>95</v>
      </c>
      <c r="Q50" s="9">
        <f t="shared" si="2"/>
        <v>9.5</v>
      </c>
    </row>
    <row r="51" spans="2:17" ht="15" customHeight="1">
      <c r="B51" s="672">
        <v>47</v>
      </c>
      <c r="N51" s="536">
        <v>47</v>
      </c>
      <c r="P51" s="5">
        <v>95</v>
      </c>
      <c r="Q51" s="9">
        <f t="shared" si="2"/>
        <v>9.5</v>
      </c>
    </row>
    <row r="52" spans="2:17" ht="15" customHeight="1">
      <c r="B52" s="672">
        <v>48</v>
      </c>
      <c r="N52" s="536">
        <v>48</v>
      </c>
      <c r="P52" s="5">
        <v>95</v>
      </c>
      <c r="Q52" s="9">
        <f t="shared" si="2"/>
        <v>9.5</v>
      </c>
    </row>
    <row r="53" spans="2:17" ht="15" customHeight="1">
      <c r="B53" s="672">
        <v>49</v>
      </c>
      <c r="N53" s="536">
        <v>49</v>
      </c>
      <c r="P53" s="5">
        <v>95</v>
      </c>
      <c r="Q53" s="9">
        <f t="shared" si="2"/>
        <v>9.5</v>
      </c>
    </row>
    <row r="54" spans="2:17" ht="15" customHeight="1">
      <c r="B54" s="672">
        <v>50</v>
      </c>
      <c r="N54" s="536">
        <v>50</v>
      </c>
      <c r="P54" s="5">
        <v>95</v>
      </c>
      <c r="Q54" s="9">
        <f t="shared" si="2"/>
        <v>9.5</v>
      </c>
    </row>
  </sheetData>
  <sortState ref="B4:J33">
    <sortCondition ref="B4"/>
  </sortState>
  <mergeCells count="7">
    <mergeCell ref="O3:P3"/>
    <mergeCell ref="Q3:Q4"/>
    <mergeCell ref="B3:D3"/>
    <mergeCell ref="I3:J3"/>
    <mergeCell ref="K3:K4"/>
    <mergeCell ref="E3:E4"/>
    <mergeCell ref="F3:H3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0"/>
  </sheetPr>
  <dimension ref="A1:AO53"/>
  <sheetViews>
    <sheetView topLeftCell="AD1" workbookViewId="0">
      <selection activeCell="AT2" sqref="AT2"/>
    </sheetView>
  </sheetViews>
  <sheetFormatPr defaultColWidth="9" defaultRowHeight="15.75"/>
  <cols>
    <col min="1" max="1" width="5" style="553" customWidth="1"/>
    <col min="2" max="2" width="13.28515625" style="553" customWidth="1"/>
    <col min="3" max="7" width="9" style="553"/>
    <col min="8" max="8" width="10.85546875" style="553" customWidth="1"/>
    <col min="9" max="9" width="13.5703125" style="553" customWidth="1"/>
    <col min="10" max="10" width="11" style="553" customWidth="1"/>
    <col min="11" max="11" width="7.42578125" style="564" customWidth="1"/>
    <col min="12" max="12" width="9.42578125" style="133" customWidth="1"/>
    <col min="13" max="13" width="14.42578125" style="567" customWidth="1"/>
    <col min="14" max="24" width="9" style="553"/>
    <col min="25" max="25" width="0.42578125" style="632" customWidth="1"/>
    <col min="26" max="27" width="9" style="553"/>
    <col min="28" max="28" width="7.140625" style="608" customWidth="1"/>
    <col min="29" max="32" width="9" style="2"/>
    <col min="33" max="33" width="9" style="5"/>
    <col min="34" max="34" width="12.28515625" style="635" customWidth="1"/>
    <col min="35" max="35" width="12.42578125" style="553" customWidth="1"/>
    <col min="36" max="36" width="3.42578125" style="553" customWidth="1"/>
    <col min="37" max="37" width="16.28515625" style="553" customWidth="1"/>
    <col min="38" max="38" width="14.85546875" style="553" customWidth="1"/>
    <col min="39" max="40" width="10.28515625" style="644" customWidth="1"/>
    <col min="41" max="41" width="12.85546875" style="567" customWidth="1"/>
    <col min="42" max="42" width="8.140625" style="553" customWidth="1"/>
    <col min="43" max="16384" width="9" style="553"/>
  </cols>
  <sheetData>
    <row r="1" spans="1:41">
      <c r="L1" s="565"/>
      <c r="AA1" s="80"/>
      <c r="AB1" s="81" t="s">
        <v>83</v>
      </c>
      <c r="AC1" s="62">
        <v>1</v>
      </c>
      <c r="AD1" s="62">
        <v>1</v>
      </c>
      <c r="AE1" s="62">
        <v>1</v>
      </c>
      <c r="AF1" s="62">
        <v>1</v>
      </c>
      <c r="AG1" s="63">
        <v>5</v>
      </c>
      <c r="AH1" s="643"/>
    </row>
    <row r="2" spans="1:41" s="554" customFormat="1" ht="30" customHeight="1">
      <c r="B2" s="737" t="s">
        <v>61</v>
      </c>
      <c r="C2" s="735" t="s">
        <v>74</v>
      </c>
      <c r="D2" s="743" t="s">
        <v>80</v>
      </c>
      <c r="E2" s="744"/>
      <c r="F2" s="744"/>
      <c r="G2" s="744"/>
      <c r="H2" s="745"/>
      <c r="I2" s="739" t="s">
        <v>29</v>
      </c>
      <c r="J2" s="741" t="s">
        <v>15</v>
      </c>
      <c r="K2" s="734" t="s">
        <v>1348</v>
      </c>
      <c r="L2" s="734"/>
      <c r="M2" s="733" t="s">
        <v>1350</v>
      </c>
      <c r="Y2" s="633"/>
      <c r="AB2" s="607" t="s">
        <v>676</v>
      </c>
      <c r="AC2" s="727" t="s">
        <v>687</v>
      </c>
      <c r="AD2" s="727"/>
      <c r="AE2" s="727"/>
      <c r="AF2" s="727"/>
      <c r="AG2" s="727"/>
      <c r="AH2" s="728" t="s">
        <v>1961</v>
      </c>
      <c r="AI2" s="726" t="s">
        <v>1963</v>
      </c>
      <c r="AK2" s="709" t="s">
        <v>84</v>
      </c>
      <c r="AL2" s="730" t="s">
        <v>1962</v>
      </c>
      <c r="AM2" s="732" t="s">
        <v>1960</v>
      </c>
      <c r="AN2" s="725" t="s">
        <v>1959</v>
      </c>
      <c r="AO2" s="646" t="s">
        <v>1965</v>
      </c>
    </row>
    <row r="3" spans="1:41" s="560" customFormat="1" ht="30" customHeight="1">
      <c r="A3" s="555"/>
      <c r="B3" s="738"/>
      <c r="C3" s="736"/>
      <c r="D3" s="557" t="s">
        <v>0</v>
      </c>
      <c r="E3" s="557" t="s">
        <v>1</v>
      </c>
      <c r="F3" s="557" t="s">
        <v>2</v>
      </c>
      <c r="G3" s="557" t="s">
        <v>3</v>
      </c>
      <c r="H3" s="558" t="s">
        <v>1347</v>
      </c>
      <c r="I3" s="740"/>
      <c r="J3" s="742"/>
      <c r="K3" s="568" t="s">
        <v>1349</v>
      </c>
      <c r="L3" s="569"/>
      <c r="M3" s="733"/>
      <c r="Y3" s="634"/>
      <c r="AB3" s="607" t="s">
        <v>20</v>
      </c>
      <c r="AC3" s="607" t="s">
        <v>0</v>
      </c>
      <c r="AD3" s="607" t="s">
        <v>1</v>
      </c>
      <c r="AE3" s="607" t="s">
        <v>2</v>
      </c>
      <c r="AF3" s="607" t="s">
        <v>3</v>
      </c>
      <c r="AG3" s="607" t="s">
        <v>4</v>
      </c>
      <c r="AH3" s="729"/>
      <c r="AI3" s="726"/>
      <c r="AK3" s="710"/>
      <c r="AL3" s="731"/>
      <c r="AM3" s="732"/>
      <c r="AN3" s="725"/>
      <c r="AO3" s="647" t="s">
        <v>1966</v>
      </c>
    </row>
    <row r="4" spans="1:41" s="2" customFormat="1" ht="15" customHeight="1">
      <c r="B4" s="508" t="s">
        <v>174</v>
      </c>
      <c r="C4" s="135">
        <v>6.9444444444444447E-4</v>
      </c>
      <c r="D4" s="7"/>
      <c r="E4" s="7">
        <v>100</v>
      </c>
      <c r="F4" s="7">
        <v>100</v>
      </c>
      <c r="G4" s="19">
        <v>100</v>
      </c>
      <c r="H4" s="561">
        <f>SUM(D4:G4)</f>
        <v>300</v>
      </c>
      <c r="I4" s="2">
        <v>40</v>
      </c>
      <c r="J4" s="5">
        <v>2000</v>
      </c>
      <c r="K4" s="562">
        <f>H4/I4</f>
        <v>7.5</v>
      </c>
      <c r="L4" s="566" t="str">
        <f>TEXT(K4/24,"[h]:mm:ss")</f>
        <v>7:30:00</v>
      </c>
      <c r="M4" s="156">
        <f>L4/C4</f>
        <v>450</v>
      </c>
      <c r="Y4" s="534"/>
      <c r="AB4" s="425">
        <v>1</v>
      </c>
      <c r="AC4" s="7">
        <v>0</v>
      </c>
      <c r="AD4" s="7">
        <v>0</v>
      </c>
      <c r="AE4" s="7">
        <v>0</v>
      </c>
      <c r="AF4" s="7">
        <v>0</v>
      </c>
      <c r="AG4" s="19">
        <v>0</v>
      </c>
      <c r="AH4" s="635">
        <f>SUM(AC4:AF4)*3/4/3600</f>
        <v>0</v>
      </c>
      <c r="AK4" s="608" t="s">
        <v>64</v>
      </c>
      <c r="AL4" s="635">
        <v>9.1999999999999993</v>
      </c>
      <c r="AM4" s="645">
        <f>$AL$4*(1+AO4)</f>
        <v>9.2919999999999998</v>
      </c>
      <c r="AN4" s="645">
        <f>$AL$8*(1+AO4)</f>
        <v>9.2583333333333329</v>
      </c>
      <c r="AO4" s="12">
        <v>0.01</v>
      </c>
    </row>
    <row r="5" spans="1:41" s="2" customFormat="1" ht="15" customHeight="1">
      <c r="B5" s="508" t="s">
        <v>211</v>
      </c>
      <c r="C5" s="135">
        <v>1.6203703703703703E-3</v>
      </c>
      <c r="D5" s="7"/>
      <c r="E5" s="7">
        <v>170</v>
      </c>
      <c r="F5" s="7">
        <v>170</v>
      </c>
      <c r="G5" s="19">
        <v>170</v>
      </c>
      <c r="H5" s="531">
        <f t="shared" ref="H5:H24" si="0">SUM(D5:G5)</f>
        <v>510</v>
      </c>
      <c r="I5" s="2">
        <v>120</v>
      </c>
      <c r="J5" s="5">
        <v>6000</v>
      </c>
      <c r="K5" s="562">
        <f t="shared" ref="K5:K14" si="1">H5/I5</f>
        <v>4.25</v>
      </c>
      <c r="L5" s="135" t="str">
        <f>TEXT(K5/24,"[h]:mm:ss")</f>
        <v>4:15:00</v>
      </c>
      <c r="M5" s="156">
        <f t="shared" ref="M5:M14" si="2">L5/C5</f>
        <v>109.28571428571429</v>
      </c>
      <c r="Y5" s="534"/>
      <c r="AB5" s="426">
        <v>2</v>
      </c>
      <c r="AC5" s="7">
        <v>0</v>
      </c>
      <c r="AD5" s="7">
        <v>0</v>
      </c>
      <c r="AE5" s="7">
        <v>0</v>
      </c>
      <c r="AF5" s="7">
        <v>52</v>
      </c>
      <c r="AG5" s="19">
        <v>0</v>
      </c>
      <c r="AH5" s="635">
        <f t="shared" ref="AH5:AH33" si="3">SUM(AC5:AF5)*3/4/3600</f>
        <v>1.0833333333333334E-2</v>
      </c>
      <c r="AK5" s="608" t="s">
        <v>91</v>
      </c>
      <c r="AL5" s="636">
        <v>10</v>
      </c>
      <c r="AM5" s="645">
        <f t="shared" ref="AM5:AM33" si="4">$AL$4*(1+AO5)</f>
        <v>9.3839999999999986</v>
      </c>
      <c r="AN5" s="645">
        <f t="shared" ref="AN5:AN33" si="5">$AL$8*(1+AO5)</f>
        <v>9.35</v>
      </c>
      <c r="AO5" s="12">
        <v>0.02</v>
      </c>
    </row>
    <row r="6" spans="1:41" s="2" customFormat="1" ht="15" customHeight="1">
      <c r="B6" s="508" t="s">
        <v>408</v>
      </c>
      <c r="C6" s="135">
        <v>3.2407407407407406E-3</v>
      </c>
      <c r="D6" s="7"/>
      <c r="E6" s="7">
        <v>289</v>
      </c>
      <c r="F6" s="7">
        <v>289</v>
      </c>
      <c r="G6" s="19">
        <v>289</v>
      </c>
      <c r="H6" s="531">
        <f t="shared" si="0"/>
        <v>867</v>
      </c>
      <c r="I6" s="2">
        <v>240</v>
      </c>
      <c r="J6" s="5">
        <v>12000</v>
      </c>
      <c r="K6" s="562">
        <f t="shared" si="1"/>
        <v>3.6124999999999998</v>
      </c>
      <c r="L6" s="135" t="str">
        <f t="shared" ref="L6:L14" si="6">TEXT(K6/24,"[h]:mm:ss")</f>
        <v>3:36:45</v>
      </c>
      <c r="M6" s="156">
        <f t="shared" si="2"/>
        <v>46.446428571428569</v>
      </c>
      <c r="Y6" s="534"/>
      <c r="AB6" s="426">
        <v>3</v>
      </c>
      <c r="AC6" s="7">
        <v>0</v>
      </c>
      <c r="AD6" s="7">
        <v>42</v>
      </c>
      <c r="AE6" s="7">
        <v>0</v>
      </c>
      <c r="AF6" s="7">
        <v>52</v>
      </c>
      <c r="AG6" s="19">
        <v>0</v>
      </c>
      <c r="AH6" s="635">
        <f t="shared" si="3"/>
        <v>1.9583333333333335E-2</v>
      </c>
      <c r="AK6" s="608" t="s">
        <v>92</v>
      </c>
      <c r="AL6" s="636">
        <v>9.1999999999999993</v>
      </c>
      <c r="AM6" s="645">
        <f t="shared" si="4"/>
        <v>9.4759999999999991</v>
      </c>
      <c r="AN6" s="645">
        <f t="shared" si="5"/>
        <v>9.4416666666666664</v>
      </c>
      <c r="AO6" s="12">
        <v>0.03</v>
      </c>
    </row>
    <row r="7" spans="1:41" s="2" customFormat="1" ht="15" customHeight="1">
      <c r="B7" s="508" t="s">
        <v>429</v>
      </c>
      <c r="C7" s="135">
        <v>6.4814814814814813E-3</v>
      </c>
      <c r="D7" s="7"/>
      <c r="E7" s="7">
        <v>492</v>
      </c>
      <c r="F7" s="7">
        <v>492</v>
      </c>
      <c r="G7" s="19">
        <v>492</v>
      </c>
      <c r="H7" s="531">
        <f t="shared" si="0"/>
        <v>1476</v>
      </c>
      <c r="I7" s="2">
        <v>400</v>
      </c>
      <c r="J7" s="5">
        <v>20000</v>
      </c>
      <c r="K7" s="562">
        <f t="shared" si="1"/>
        <v>3.69</v>
      </c>
      <c r="L7" s="135" t="str">
        <f t="shared" si="6"/>
        <v>3:41:24</v>
      </c>
      <c r="M7" s="156">
        <f t="shared" si="2"/>
        <v>23.721428571428572</v>
      </c>
      <c r="Y7" s="534"/>
      <c r="AB7" s="426">
        <v>4</v>
      </c>
      <c r="AC7" s="7">
        <v>0</v>
      </c>
      <c r="AD7" s="7">
        <v>42</v>
      </c>
      <c r="AE7" s="7">
        <v>0</v>
      </c>
      <c r="AF7" s="7">
        <v>52</v>
      </c>
      <c r="AG7" s="19">
        <v>0</v>
      </c>
      <c r="AH7" s="635">
        <f t="shared" si="3"/>
        <v>1.9583333333333335E-2</v>
      </c>
      <c r="AK7" s="606" t="s">
        <v>93</v>
      </c>
      <c r="AL7" s="637">
        <v>15.866666666666667</v>
      </c>
      <c r="AM7" s="645">
        <f t="shared" si="4"/>
        <v>9.5679999999999996</v>
      </c>
      <c r="AN7" s="645">
        <f t="shared" si="5"/>
        <v>9.5333333333333332</v>
      </c>
      <c r="AO7" s="12">
        <v>0.04</v>
      </c>
    </row>
    <row r="8" spans="1:41" s="2" customFormat="1" ht="15" customHeight="1">
      <c r="B8" s="508" t="s">
        <v>430</v>
      </c>
      <c r="C8" s="135">
        <v>1.2962962962962963E-2</v>
      </c>
      <c r="D8" s="7"/>
      <c r="E8" s="7">
        <v>837</v>
      </c>
      <c r="F8" s="7">
        <v>837</v>
      </c>
      <c r="G8" s="19">
        <v>837</v>
      </c>
      <c r="H8" s="531">
        <f t="shared" si="0"/>
        <v>2511</v>
      </c>
      <c r="I8" s="2">
        <v>600</v>
      </c>
      <c r="J8" s="5">
        <v>30000</v>
      </c>
      <c r="K8" s="562">
        <f t="shared" si="1"/>
        <v>4.1849999999999996</v>
      </c>
      <c r="L8" s="135" t="str">
        <f t="shared" si="6"/>
        <v>4:11:06</v>
      </c>
      <c r="M8" s="156">
        <f t="shared" si="2"/>
        <v>13.451785714285712</v>
      </c>
      <c r="Y8" s="534"/>
      <c r="AB8" s="426">
        <v>5</v>
      </c>
      <c r="AC8" s="7">
        <v>0</v>
      </c>
      <c r="AD8" s="7">
        <v>40</v>
      </c>
      <c r="AE8" s="7">
        <v>0</v>
      </c>
      <c r="AF8" s="7">
        <v>54</v>
      </c>
      <c r="AG8" s="19">
        <v>0</v>
      </c>
      <c r="AH8" s="635">
        <f t="shared" si="3"/>
        <v>1.9583333333333335E-2</v>
      </c>
      <c r="AK8" s="608" t="s">
        <v>95</v>
      </c>
      <c r="AL8" s="638">
        <v>9.1666666666666661</v>
      </c>
      <c r="AM8" s="645">
        <f t="shared" si="4"/>
        <v>9.66</v>
      </c>
      <c r="AN8" s="645">
        <f t="shared" si="5"/>
        <v>9.625</v>
      </c>
      <c r="AO8" s="12">
        <v>0.05</v>
      </c>
    </row>
    <row r="9" spans="1:41" s="2" customFormat="1" ht="15" customHeight="1">
      <c r="B9" s="508" t="s">
        <v>431</v>
      </c>
      <c r="C9" s="135">
        <v>2.6041666666666668E-2</v>
      </c>
      <c r="D9" s="7"/>
      <c r="E9" s="7">
        <v>1674</v>
      </c>
      <c r="F9" s="7">
        <v>1674</v>
      </c>
      <c r="G9" s="19">
        <v>1674</v>
      </c>
      <c r="H9" s="531">
        <f t="shared" si="0"/>
        <v>5022</v>
      </c>
      <c r="I9" s="2">
        <v>840</v>
      </c>
      <c r="J9" s="5">
        <v>42000</v>
      </c>
      <c r="K9" s="562">
        <f t="shared" si="1"/>
        <v>5.9785714285714286</v>
      </c>
      <c r="L9" s="135" t="str">
        <f t="shared" si="6"/>
        <v>5:58:43</v>
      </c>
      <c r="M9" s="156">
        <f t="shared" si="2"/>
        <v>9.5657777777777788</v>
      </c>
      <c r="Y9" s="534"/>
      <c r="AB9" s="426">
        <v>6</v>
      </c>
      <c r="AC9" s="7">
        <v>0</v>
      </c>
      <c r="AD9" s="7">
        <v>42</v>
      </c>
      <c r="AE9" s="7">
        <v>0</v>
      </c>
      <c r="AF9" s="7">
        <v>57</v>
      </c>
      <c r="AG9" s="19">
        <v>0</v>
      </c>
      <c r="AH9" s="635">
        <f t="shared" si="3"/>
        <v>2.0625000000000001E-2</v>
      </c>
      <c r="AK9" s="608" t="s">
        <v>96</v>
      </c>
      <c r="AL9" s="636">
        <v>10</v>
      </c>
      <c r="AM9" s="645">
        <f t="shared" si="4"/>
        <v>9.7519999999999989</v>
      </c>
      <c r="AN9" s="645">
        <f t="shared" si="5"/>
        <v>9.7166666666666668</v>
      </c>
      <c r="AO9" s="12">
        <v>0.06</v>
      </c>
    </row>
    <row r="10" spans="1:41" s="2" customFormat="1" ht="15" customHeight="1">
      <c r="B10" s="508" t="s">
        <v>432</v>
      </c>
      <c r="C10" s="135">
        <v>5.185185185185185E-2</v>
      </c>
      <c r="D10" s="7"/>
      <c r="E10" s="7">
        <v>3348</v>
      </c>
      <c r="F10" s="7">
        <v>3348</v>
      </c>
      <c r="G10" s="19">
        <v>3348</v>
      </c>
      <c r="H10" s="531">
        <f t="shared" si="0"/>
        <v>10044</v>
      </c>
      <c r="I10" s="2">
        <v>1120</v>
      </c>
      <c r="J10" s="5">
        <v>70000</v>
      </c>
      <c r="K10" s="562">
        <f t="shared" si="1"/>
        <v>8.9678571428571434</v>
      </c>
      <c r="L10" s="135" t="str">
        <f t="shared" si="6"/>
        <v>8:58:04</v>
      </c>
      <c r="M10" s="156">
        <f t="shared" si="2"/>
        <v>7.2062500000000007</v>
      </c>
      <c r="Y10" s="534"/>
      <c r="AB10" s="426">
        <v>7</v>
      </c>
      <c r="AC10" s="7">
        <v>0</v>
      </c>
      <c r="AD10" s="7">
        <v>40</v>
      </c>
      <c r="AE10" s="7">
        <v>0</v>
      </c>
      <c r="AF10" s="7">
        <v>59</v>
      </c>
      <c r="AG10" s="19">
        <v>0</v>
      </c>
      <c r="AH10" s="635">
        <f t="shared" si="3"/>
        <v>2.0625000000000001E-2</v>
      </c>
      <c r="AK10" s="608" t="s">
        <v>97</v>
      </c>
      <c r="AL10" s="636">
        <v>9.1666666666666661</v>
      </c>
      <c r="AM10" s="645">
        <f t="shared" si="4"/>
        <v>9.8439999999999994</v>
      </c>
      <c r="AN10" s="645">
        <f t="shared" si="5"/>
        <v>9.8083333333333336</v>
      </c>
      <c r="AO10" s="12">
        <v>7.0000000000000007E-2</v>
      </c>
    </row>
    <row r="11" spans="1:41" s="2" customFormat="1" ht="15" customHeight="1">
      <c r="B11" s="508" t="s">
        <v>433</v>
      </c>
      <c r="C11" s="135">
        <v>0.1037037037037037</v>
      </c>
      <c r="D11" s="7"/>
      <c r="E11" s="7">
        <v>6696</v>
      </c>
      <c r="F11" s="7">
        <v>6696</v>
      </c>
      <c r="G11" s="19">
        <v>6696</v>
      </c>
      <c r="H11" s="531">
        <f t="shared" si="0"/>
        <v>20088</v>
      </c>
      <c r="I11" s="2">
        <v>1440</v>
      </c>
      <c r="J11" s="5">
        <v>102000</v>
      </c>
      <c r="K11" s="562">
        <f t="shared" si="1"/>
        <v>13.95</v>
      </c>
      <c r="L11" s="135" t="str">
        <f t="shared" si="6"/>
        <v>13:57:00</v>
      </c>
      <c r="M11" s="156">
        <f t="shared" si="2"/>
        <v>5.6049107142857135</v>
      </c>
      <c r="Y11" s="534"/>
      <c r="AB11" s="426">
        <v>8</v>
      </c>
      <c r="AC11" s="7">
        <v>41</v>
      </c>
      <c r="AD11" s="7">
        <v>120</v>
      </c>
      <c r="AE11" s="7">
        <v>30</v>
      </c>
      <c r="AF11" s="7">
        <v>178</v>
      </c>
      <c r="AG11" s="19">
        <v>60</v>
      </c>
      <c r="AH11" s="635">
        <f t="shared" si="3"/>
        <v>7.6874999999999999E-2</v>
      </c>
      <c r="AK11" s="606" t="s">
        <v>98</v>
      </c>
      <c r="AL11" s="637">
        <v>14.166666666666666</v>
      </c>
      <c r="AM11" s="645">
        <f t="shared" si="4"/>
        <v>9.9359999999999999</v>
      </c>
      <c r="AN11" s="645">
        <f t="shared" si="5"/>
        <v>9.9</v>
      </c>
      <c r="AO11" s="12">
        <v>0.08</v>
      </c>
    </row>
    <row r="12" spans="1:41" s="2" customFormat="1" ht="15" customHeight="1">
      <c r="B12" s="508" t="s">
        <v>434</v>
      </c>
      <c r="C12" s="135">
        <v>0.2074074074074074</v>
      </c>
      <c r="D12" s="7"/>
      <c r="E12" s="18">
        <f>E11*2</f>
        <v>13392</v>
      </c>
      <c r="F12" s="18">
        <f t="shared" ref="F12:G12" si="7">F11*2</f>
        <v>13392</v>
      </c>
      <c r="G12" s="19">
        <f t="shared" si="7"/>
        <v>13392</v>
      </c>
      <c r="H12" s="531">
        <f>SUM(D12:G12)</f>
        <v>40176</v>
      </c>
      <c r="I12" s="2">
        <v>1800</v>
      </c>
      <c r="J12" s="5">
        <v>138000</v>
      </c>
      <c r="K12" s="562">
        <f t="shared" si="1"/>
        <v>22.32</v>
      </c>
      <c r="L12" s="135" t="str">
        <f t="shared" si="6"/>
        <v>22:19:12</v>
      </c>
      <c r="M12" s="156">
        <f t="shared" si="2"/>
        <v>4.4839285714285717</v>
      </c>
      <c r="Y12" s="534"/>
      <c r="AB12" s="426">
        <v>9</v>
      </c>
      <c r="AC12" s="7">
        <v>123</v>
      </c>
      <c r="AD12" s="7">
        <v>242</v>
      </c>
      <c r="AE12" s="7">
        <v>90</v>
      </c>
      <c r="AF12" s="7">
        <v>357</v>
      </c>
      <c r="AG12" s="19">
        <v>120</v>
      </c>
      <c r="AH12" s="635">
        <f t="shared" si="3"/>
        <v>0.16916666666666666</v>
      </c>
      <c r="AK12" s="608" t="s">
        <v>99</v>
      </c>
      <c r="AL12" s="639">
        <v>9.1666666666666661</v>
      </c>
      <c r="AM12" s="645">
        <f t="shared" si="4"/>
        <v>10.028</v>
      </c>
      <c r="AN12" s="645">
        <f t="shared" si="5"/>
        <v>9.9916666666666671</v>
      </c>
      <c r="AO12" s="12">
        <v>0.09</v>
      </c>
    </row>
    <row r="13" spans="1:41" s="2" customFormat="1" ht="15" customHeight="1">
      <c r="B13" s="508" t="s">
        <v>435</v>
      </c>
      <c r="C13" s="135">
        <v>0.4148148148148148</v>
      </c>
      <c r="D13" s="7"/>
      <c r="E13" s="7">
        <v>20088</v>
      </c>
      <c r="F13" s="7">
        <v>20088</v>
      </c>
      <c r="G13" s="19">
        <v>20088</v>
      </c>
      <c r="H13" s="531">
        <f t="shared" si="0"/>
        <v>60264</v>
      </c>
      <c r="I13" s="2">
        <v>2200</v>
      </c>
      <c r="J13" s="5">
        <v>178000</v>
      </c>
      <c r="K13" s="562">
        <f t="shared" si="1"/>
        <v>27.392727272727274</v>
      </c>
      <c r="L13" s="135" t="str">
        <f t="shared" si="6"/>
        <v>27:23:34</v>
      </c>
      <c r="M13" s="156">
        <f t="shared" si="2"/>
        <v>2.7515066964285713</v>
      </c>
      <c r="Y13" s="534"/>
      <c r="AB13" s="426">
        <v>10</v>
      </c>
      <c r="AC13" s="7">
        <v>123</v>
      </c>
      <c r="AD13" s="7">
        <v>242</v>
      </c>
      <c r="AE13" s="7">
        <v>90</v>
      </c>
      <c r="AF13" s="7">
        <v>357</v>
      </c>
      <c r="AG13" s="19">
        <v>120</v>
      </c>
      <c r="AH13" s="635">
        <f t="shared" si="3"/>
        <v>0.16916666666666666</v>
      </c>
      <c r="AK13" s="608" t="s">
        <v>100</v>
      </c>
      <c r="AL13" s="639">
        <v>10</v>
      </c>
      <c r="AM13" s="645">
        <f t="shared" si="4"/>
        <v>10.119999999999999</v>
      </c>
      <c r="AN13" s="645">
        <f t="shared" si="5"/>
        <v>10.083333333333334</v>
      </c>
      <c r="AO13" s="12">
        <v>0.1</v>
      </c>
    </row>
    <row r="14" spans="1:41" s="2" customFormat="1" ht="15" customHeight="1">
      <c r="B14" s="508" t="s">
        <v>436</v>
      </c>
      <c r="C14" s="135">
        <v>0.49777777777777782</v>
      </c>
      <c r="D14" s="7"/>
      <c r="E14" s="7">
        <v>30132</v>
      </c>
      <c r="F14" s="7">
        <v>30132</v>
      </c>
      <c r="G14" s="19">
        <v>30132</v>
      </c>
      <c r="H14" s="531">
        <f t="shared" si="0"/>
        <v>90396</v>
      </c>
      <c r="I14" s="2">
        <v>2640</v>
      </c>
      <c r="J14" s="5">
        <v>222000</v>
      </c>
      <c r="K14" s="562">
        <f t="shared" si="1"/>
        <v>34.240909090909092</v>
      </c>
      <c r="L14" s="135" t="str">
        <f t="shared" si="6"/>
        <v>34:14:27</v>
      </c>
      <c r="M14" s="156">
        <f t="shared" si="2"/>
        <v>2.866141183035714</v>
      </c>
      <c r="Y14" s="534"/>
      <c r="AB14" s="426">
        <v>11</v>
      </c>
      <c r="AC14" s="7">
        <v>264</v>
      </c>
      <c r="AD14" s="7">
        <v>259</v>
      </c>
      <c r="AE14" s="7">
        <v>583</v>
      </c>
      <c r="AF14" s="7">
        <v>378</v>
      </c>
      <c r="AG14" s="19">
        <v>192</v>
      </c>
      <c r="AH14" s="635">
        <f t="shared" si="3"/>
        <v>0.30916666666666665</v>
      </c>
      <c r="AK14" s="608" t="s">
        <v>101</v>
      </c>
      <c r="AL14" s="639">
        <v>9.1666666666666661</v>
      </c>
      <c r="AM14" s="645">
        <f t="shared" si="4"/>
        <v>10.212</v>
      </c>
      <c r="AN14" s="645">
        <f t="shared" si="5"/>
        <v>10.175000000000001</v>
      </c>
      <c r="AO14" s="12">
        <v>0.11</v>
      </c>
    </row>
    <row r="15" spans="1:41" s="2" customFormat="1" ht="15" customHeight="1">
      <c r="B15" s="508" t="s">
        <v>437</v>
      </c>
      <c r="C15" s="135"/>
      <c r="D15" s="7"/>
      <c r="E15" s="7"/>
      <c r="F15" s="7"/>
      <c r="G15" s="19"/>
      <c r="H15" s="531">
        <f t="shared" si="0"/>
        <v>0</v>
      </c>
      <c r="I15" s="2">
        <v>3120</v>
      </c>
      <c r="J15" s="5">
        <v>270000</v>
      </c>
      <c r="K15" s="562"/>
      <c r="L15" s="135"/>
      <c r="M15" s="156"/>
      <c r="Y15" s="534"/>
      <c r="AB15" s="426">
        <v>12</v>
      </c>
      <c r="AC15" s="7">
        <v>572</v>
      </c>
      <c r="AD15" s="7">
        <v>388</v>
      </c>
      <c r="AE15" s="7">
        <v>583</v>
      </c>
      <c r="AF15" s="7">
        <v>1134</v>
      </c>
      <c r="AG15" s="19">
        <v>385</v>
      </c>
      <c r="AH15" s="635">
        <f t="shared" si="3"/>
        <v>0.55770833333333336</v>
      </c>
      <c r="AK15" s="606" t="s">
        <v>102</v>
      </c>
      <c r="AL15" s="640">
        <v>12.916666666666666</v>
      </c>
      <c r="AM15" s="645">
        <f t="shared" si="4"/>
        <v>10.304</v>
      </c>
      <c r="AN15" s="645">
        <f t="shared" si="5"/>
        <v>10.266666666666667</v>
      </c>
      <c r="AO15" s="12">
        <v>0.12</v>
      </c>
    </row>
    <row r="16" spans="1:41" s="2" customFormat="1" ht="15" customHeight="1">
      <c r="B16" s="508" t="s">
        <v>438</v>
      </c>
      <c r="C16" s="135"/>
      <c r="D16" s="7"/>
      <c r="E16" s="7"/>
      <c r="F16" s="7"/>
      <c r="G16" s="19"/>
      <c r="H16" s="531">
        <f t="shared" si="0"/>
        <v>0</v>
      </c>
      <c r="I16" s="2">
        <v>3640</v>
      </c>
      <c r="J16" s="5">
        <v>322000</v>
      </c>
      <c r="K16" s="562"/>
      <c r="L16" s="135"/>
      <c r="M16" s="156"/>
      <c r="Y16" s="534"/>
      <c r="AB16" s="426">
        <v>13</v>
      </c>
      <c r="AC16" s="7">
        <v>756</v>
      </c>
      <c r="AD16" s="7">
        <v>363</v>
      </c>
      <c r="AE16" s="7">
        <v>583</v>
      </c>
      <c r="AF16" s="7">
        <v>1089</v>
      </c>
      <c r="AG16" s="19">
        <v>360</v>
      </c>
      <c r="AH16" s="635">
        <f t="shared" si="3"/>
        <v>0.5814583333333333</v>
      </c>
      <c r="AK16" s="608" t="s">
        <v>103</v>
      </c>
      <c r="AL16" s="639">
        <v>9.1666666666666661</v>
      </c>
      <c r="AM16" s="645">
        <f t="shared" si="4"/>
        <v>10.395999999999999</v>
      </c>
      <c r="AN16" s="645">
        <f t="shared" si="5"/>
        <v>10.358333333333333</v>
      </c>
      <c r="AO16" s="12">
        <v>0.13</v>
      </c>
    </row>
    <row r="17" spans="2:41" s="2" customFormat="1" ht="15" customHeight="1">
      <c r="B17" s="508" t="s">
        <v>439</v>
      </c>
      <c r="C17" s="135"/>
      <c r="D17" s="7"/>
      <c r="E17" s="7"/>
      <c r="F17" s="7"/>
      <c r="G17" s="19"/>
      <c r="H17" s="531">
        <f t="shared" si="0"/>
        <v>0</v>
      </c>
      <c r="I17" s="2">
        <v>4200</v>
      </c>
      <c r="J17" s="5">
        <v>406000</v>
      </c>
      <c r="K17" s="562"/>
      <c r="L17" s="135"/>
      <c r="M17" s="156"/>
      <c r="Y17" s="534"/>
      <c r="AB17" s="426">
        <v>14</v>
      </c>
      <c r="AC17" s="7">
        <v>756</v>
      </c>
      <c r="AD17" s="7">
        <v>363</v>
      </c>
      <c r="AE17" s="7">
        <v>727</v>
      </c>
      <c r="AF17" s="7">
        <v>1089</v>
      </c>
      <c r="AG17" s="19">
        <v>360</v>
      </c>
      <c r="AH17" s="635">
        <f t="shared" si="3"/>
        <v>0.61145833333333333</v>
      </c>
      <c r="AK17" s="608" t="s">
        <v>104</v>
      </c>
      <c r="AL17" s="639">
        <v>10</v>
      </c>
      <c r="AM17" s="645">
        <f t="shared" si="4"/>
        <v>10.488</v>
      </c>
      <c r="AN17" s="645">
        <f t="shared" si="5"/>
        <v>10.450000000000001</v>
      </c>
      <c r="AO17" s="12">
        <v>0.14000000000000001</v>
      </c>
    </row>
    <row r="18" spans="2:41" s="2" customFormat="1" ht="15" customHeight="1">
      <c r="B18" s="508" t="s">
        <v>440</v>
      </c>
      <c r="C18" s="135"/>
      <c r="D18" s="7"/>
      <c r="E18" s="7"/>
      <c r="F18" s="7"/>
      <c r="G18" s="19"/>
      <c r="H18" s="531">
        <f t="shared" si="0"/>
        <v>0</v>
      </c>
      <c r="I18" s="2">
        <v>4800</v>
      </c>
      <c r="J18" s="5">
        <v>496000</v>
      </c>
      <c r="K18" s="562"/>
      <c r="L18" s="135"/>
      <c r="M18" s="156"/>
      <c r="Y18" s="534"/>
      <c r="AB18" s="426">
        <v>15</v>
      </c>
      <c r="AC18" s="7">
        <v>1008</v>
      </c>
      <c r="AD18" s="7">
        <v>969</v>
      </c>
      <c r="AE18" s="7">
        <v>763</v>
      </c>
      <c r="AF18" s="7">
        <v>1089</v>
      </c>
      <c r="AG18" s="19">
        <v>360</v>
      </c>
      <c r="AH18" s="635">
        <f t="shared" si="3"/>
        <v>0.79770833333333335</v>
      </c>
      <c r="AK18" s="608" t="s">
        <v>105</v>
      </c>
      <c r="AL18" s="639">
        <v>9.1666666666666661</v>
      </c>
      <c r="AM18" s="645">
        <f t="shared" si="4"/>
        <v>10.579999999999998</v>
      </c>
      <c r="AN18" s="645">
        <f t="shared" si="5"/>
        <v>10.541666666666664</v>
      </c>
      <c r="AO18" s="12">
        <v>0.15</v>
      </c>
    </row>
    <row r="19" spans="2:41" s="2" customFormat="1" ht="15" customHeight="1" thickBot="1">
      <c r="B19" s="508" t="s">
        <v>441</v>
      </c>
      <c r="C19" s="135"/>
      <c r="D19" s="7"/>
      <c r="E19" s="7"/>
      <c r="F19" s="7"/>
      <c r="G19" s="19"/>
      <c r="H19" s="531">
        <f t="shared" si="0"/>
        <v>0</v>
      </c>
      <c r="I19" s="2">
        <v>5440</v>
      </c>
      <c r="J19" s="5">
        <v>592000</v>
      </c>
      <c r="K19" s="562"/>
      <c r="L19" s="135"/>
      <c r="M19" s="156"/>
      <c r="Y19" s="534"/>
      <c r="AB19" s="426">
        <v>16</v>
      </c>
      <c r="AC19" s="7">
        <v>2772</v>
      </c>
      <c r="AD19" s="7">
        <v>2719</v>
      </c>
      <c r="AE19" s="7">
        <v>2098</v>
      </c>
      <c r="AF19" s="7">
        <v>5208</v>
      </c>
      <c r="AG19" s="19">
        <v>1400</v>
      </c>
      <c r="AH19" s="635">
        <f t="shared" si="3"/>
        <v>2.6660416666666666</v>
      </c>
      <c r="AK19" s="642" t="s">
        <v>106</v>
      </c>
      <c r="AL19" s="641">
        <v>11.979166666666666</v>
      </c>
      <c r="AM19" s="645">
        <f t="shared" si="4"/>
        <v>10.671999999999999</v>
      </c>
      <c r="AN19" s="645">
        <f t="shared" si="5"/>
        <v>10.633333333333331</v>
      </c>
      <c r="AO19" s="12">
        <v>0.16</v>
      </c>
    </row>
    <row r="20" spans="2:41" s="2" customFormat="1" ht="15" customHeight="1" thickTop="1">
      <c r="B20" s="508" t="s">
        <v>442</v>
      </c>
      <c r="C20" s="135"/>
      <c r="D20" s="7"/>
      <c r="E20" s="7"/>
      <c r="F20" s="7"/>
      <c r="G20" s="19"/>
      <c r="H20" s="531">
        <f t="shared" si="0"/>
        <v>0</v>
      </c>
      <c r="I20" s="2">
        <v>6120</v>
      </c>
      <c r="J20" s="5">
        <v>694000</v>
      </c>
      <c r="K20" s="562"/>
      <c r="L20" s="135"/>
      <c r="M20" s="156"/>
      <c r="Y20" s="534"/>
      <c r="AB20" s="426">
        <v>17</v>
      </c>
      <c r="AC20" s="7">
        <v>2772</v>
      </c>
      <c r="AD20" s="7">
        <v>2719</v>
      </c>
      <c r="AE20" s="7">
        <v>2321</v>
      </c>
      <c r="AF20" s="7">
        <v>5208</v>
      </c>
      <c r="AG20" s="19">
        <v>1680</v>
      </c>
      <c r="AH20" s="635">
        <f t="shared" si="3"/>
        <v>2.7124999999999999</v>
      </c>
      <c r="AM20" s="645">
        <f t="shared" si="4"/>
        <v>10.763999999999999</v>
      </c>
      <c r="AN20" s="645">
        <f t="shared" si="5"/>
        <v>10.724999999999998</v>
      </c>
      <c r="AO20" s="12">
        <v>0.17</v>
      </c>
    </row>
    <row r="21" spans="2:41" s="2" customFormat="1" ht="15" customHeight="1">
      <c r="B21" s="508" t="s">
        <v>443</v>
      </c>
      <c r="C21" s="135"/>
      <c r="D21" s="18"/>
      <c r="E21" s="18"/>
      <c r="F21" s="18"/>
      <c r="G21" s="19"/>
      <c r="H21" s="531">
        <f t="shared" si="0"/>
        <v>0</v>
      </c>
      <c r="I21" s="11">
        <v>6840</v>
      </c>
      <c r="J21" s="5">
        <v>802000</v>
      </c>
      <c r="K21" s="562"/>
      <c r="L21" s="135"/>
      <c r="M21" s="156"/>
      <c r="Y21" s="534"/>
      <c r="AB21" s="426">
        <v>18</v>
      </c>
      <c r="AC21" s="7">
        <v>3906</v>
      </c>
      <c r="AD21" s="7">
        <v>4326</v>
      </c>
      <c r="AE21" s="7">
        <v>3370</v>
      </c>
      <c r="AF21" s="7">
        <v>8370</v>
      </c>
      <c r="AG21" s="19">
        <v>1680</v>
      </c>
      <c r="AH21" s="635">
        <f t="shared" si="3"/>
        <v>4.1608333333333336</v>
      </c>
      <c r="AM21" s="645">
        <f t="shared" si="4"/>
        <v>10.855999999999998</v>
      </c>
      <c r="AN21" s="645">
        <f t="shared" si="5"/>
        <v>10.816666666666665</v>
      </c>
      <c r="AO21" s="12">
        <v>0.18</v>
      </c>
    </row>
    <row r="22" spans="2:41" s="2" customFormat="1" ht="15" customHeight="1">
      <c r="B22" s="508" t="s">
        <v>444</v>
      </c>
      <c r="C22" s="135"/>
      <c r="D22" s="18"/>
      <c r="E22" s="18"/>
      <c r="F22" s="18"/>
      <c r="G22" s="19"/>
      <c r="H22" s="531">
        <f t="shared" si="0"/>
        <v>0</v>
      </c>
      <c r="I22" s="11">
        <v>7600</v>
      </c>
      <c r="J22" s="5">
        <v>916000</v>
      </c>
      <c r="K22" s="562"/>
      <c r="L22" s="135"/>
      <c r="M22" s="156"/>
      <c r="Y22" s="534"/>
      <c r="AB22" s="426">
        <v>19</v>
      </c>
      <c r="AC22" s="7">
        <v>4203</v>
      </c>
      <c r="AD22" s="7">
        <v>4662</v>
      </c>
      <c r="AE22" s="7">
        <v>4104</v>
      </c>
      <c r="AF22" s="7">
        <v>8910</v>
      </c>
      <c r="AG22" s="19">
        <v>1814</v>
      </c>
      <c r="AH22" s="635">
        <f t="shared" si="3"/>
        <v>4.5581250000000004</v>
      </c>
      <c r="AM22" s="645">
        <f t="shared" si="4"/>
        <v>10.947999999999999</v>
      </c>
      <c r="AN22" s="645">
        <f t="shared" si="5"/>
        <v>10.908333333333331</v>
      </c>
      <c r="AO22" s="12">
        <v>0.19</v>
      </c>
    </row>
    <row r="23" spans="2:41" s="2" customFormat="1" ht="15" customHeight="1">
      <c r="B23" s="508" t="s">
        <v>445</v>
      </c>
      <c r="C23" s="135"/>
      <c r="D23" s="18"/>
      <c r="E23" s="18"/>
      <c r="F23" s="18"/>
      <c r="G23" s="19"/>
      <c r="H23" s="531">
        <f t="shared" si="0"/>
        <v>0</v>
      </c>
      <c r="I23" s="11">
        <v>8400</v>
      </c>
      <c r="J23" s="5">
        <v>1036000</v>
      </c>
      <c r="K23" s="562"/>
      <c r="L23" s="135"/>
      <c r="M23" s="156"/>
      <c r="Y23" s="534"/>
      <c r="AB23" s="426">
        <v>20</v>
      </c>
      <c r="AC23" s="7">
        <v>4054</v>
      </c>
      <c r="AD23" s="7">
        <v>4902</v>
      </c>
      <c r="AE23" s="7">
        <v>4770</v>
      </c>
      <c r="AF23" s="7">
        <v>9176</v>
      </c>
      <c r="AG23" s="19">
        <v>2240</v>
      </c>
      <c r="AH23" s="635">
        <f t="shared" si="3"/>
        <v>4.7712500000000002</v>
      </c>
      <c r="AM23" s="645">
        <f t="shared" si="4"/>
        <v>11.04</v>
      </c>
      <c r="AN23" s="645">
        <f t="shared" si="5"/>
        <v>10.999999999999998</v>
      </c>
      <c r="AO23" s="12">
        <v>0.2</v>
      </c>
    </row>
    <row r="24" spans="2:41" s="2" customFormat="1" ht="15" customHeight="1">
      <c r="B24" s="495" t="s">
        <v>446</v>
      </c>
      <c r="C24" s="427"/>
      <c r="D24" s="25"/>
      <c r="E24" s="25"/>
      <c r="F24" s="25"/>
      <c r="G24" s="26"/>
      <c r="H24" s="559">
        <f t="shared" si="0"/>
        <v>0</v>
      </c>
      <c r="I24" s="27">
        <v>16800</v>
      </c>
      <c r="J24" s="24">
        <v>1204000</v>
      </c>
      <c r="K24" s="563"/>
      <c r="L24" s="427"/>
      <c r="M24" s="173"/>
      <c r="Y24" s="534"/>
      <c r="AB24" s="426">
        <v>21</v>
      </c>
      <c r="AC24" s="7">
        <v>6147</v>
      </c>
      <c r="AD24" s="7">
        <v>7318</v>
      </c>
      <c r="AE24" s="7">
        <v>5437</v>
      </c>
      <c r="AF24" s="7">
        <v>11664</v>
      </c>
      <c r="AG24" s="19">
        <v>3564</v>
      </c>
      <c r="AH24" s="635">
        <f t="shared" si="3"/>
        <v>6.3679166666666669</v>
      </c>
      <c r="AM24" s="645">
        <f t="shared" si="4"/>
        <v>11.132</v>
      </c>
      <c r="AN24" s="645">
        <f t="shared" si="5"/>
        <v>11.091666666666665</v>
      </c>
      <c r="AO24" s="12">
        <v>0.21</v>
      </c>
    </row>
    <row r="25" spans="2:41">
      <c r="AB25" s="426">
        <v>22</v>
      </c>
      <c r="AC25" s="7">
        <v>6867</v>
      </c>
      <c r="AD25" s="7">
        <v>8184</v>
      </c>
      <c r="AE25" s="7">
        <v>5660</v>
      </c>
      <c r="AF25" s="7">
        <v>11664</v>
      </c>
      <c r="AG25" s="19">
        <v>4246</v>
      </c>
      <c r="AH25" s="635">
        <f t="shared" si="3"/>
        <v>6.744791666666667</v>
      </c>
      <c r="AM25" s="645">
        <f t="shared" si="4"/>
        <v>11.223999999999998</v>
      </c>
      <c r="AN25" s="645">
        <f t="shared" si="5"/>
        <v>11.183333333333332</v>
      </c>
      <c r="AO25" s="12">
        <v>0.22</v>
      </c>
    </row>
    <row r="26" spans="2:41">
      <c r="AB26" s="426">
        <v>23</v>
      </c>
      <c r="AC26" s="7">
        <v>8174</v>
      </c>
      <c r="AD26" s="7">
        <v>8184</v>
      </c>
      <c r="AE26" s="7">
        <v>5946</v>
      </c>
      <c r="AF26" s="7">
        <v>10800</v>
      </c>
      <c r="AG26" s="19">
        <v>4246</v>
      </c>
      <c r="AH26" s="635">
        <f t="shared" si="3"/>
        <v>6.8966666666666665</v>
      </c>
      <c r="AM26" s="645">
        <f t="shared" si="4"/>
        <v>11.315999999999999</v>
      </c>
      <c r="AN26" s="645">
        <f t="shared" si="5"/>
        <v>11.274999999999999</v>
      </c>
      <c r="AO26" s="12">
        <v>0.23</v>
      </c>
    </row>
    <row r="27" spans="2:41">
      <c r="AB27" s="426">
        <v>24</v>
      </c>
      <c r="AC27" s="2">
        <v>10032</v>
      </c>
      <c r="AD27" s="2">
        <v>8184</v>
      </c>
      <c r="AE27" s="2">
        <v>5946</v>
      </c>
      <c r="AF27" s="2">
        <v>11100</v>
      </c>
      <c r="AG27" s="5">
        <v>4422</v>
      </c>
      <c r="AH27" s="635">
        <f t="shared" si="3"/>
        <v>7.3462500000000004</v>
      </c>
      <c r="AM27" s="645">
        <f t="shared" si="4"/>
        <v>11.407999999999999</v>
      </c>
      <c r="AN27" s="645">
        <f t="shared" si="5"/>
        <v>11.366666666666665</v>
      </c>
      <c r="AO27" s="12">
        <v>0.24</v>
      </c>
    </row>
    <row r="28" spans="2:41">
      <c r="AB28" s="426">
        <v>25</v>
      </c>
      <c r="AC28" s="2">
        <v>10032</v>
      </c>
      <c r="AD28" s="2">
        <v>8779</v>
      </c>
      <c r="AE28" s="2">
        <v>5946</v>
      </c>
      <c r="AF28" s="2">
        <v>11100</v>
      </c>
      <c r="AG28" s="5">
        <v>4422</v>
      </c>
      <c r="AH28" s="635">
        <f t="shared" si="3"/>
        <v>7.4702083333333329</v>
      </c>
      <c r="AM28" s="645">
        <f t="shared" si="4"/>
        <v>11.5</v>
      </c>
      <c r="AN28" s="645">
        <f t="shared" si="5"/>
        <v>11.458333333333332</v>
      </c>
      <c r="AO28" s="12">
        <v>0.25</v>
      </c>
    </row>
    <row r="29" spans="2:41">
      <c r="AB29" s="426">
        <v>26</v>
      </c>
      <c r="AC29" s="2">
        <v>10150</v>
      </c>
      <c r="AD29" s="2">
        <v>9760</v>
      </c>
      <c r="AE29" s="2">
        <v>6110</v>
      </c>
      <c r="AF29" s="2">
        <v>11310</v>
      </c>
      <c r="AG29" s="5">
        <v>4400</v>
      </c>
      <c r="AH29" s="635">
        <f t="shared" si="3"/>
        <v>7.7770833333333336</v>
      </c>
      <c r="AM29" s="645">
        <f t="shared" si="4"/>
        <v>11.591999999999999</v>
      </c>
      <c r="AN29" s="645">
        <f t="shared" si="5"/>
        <v>11.549999999999999</v>
      </c>
      <c r="AO29" s="12">
        <v>0.26</v>
      </c>
    </row>
    <row r="30" spans="2:41">
      <c r="AB30" s="426">
        <v>27</v>
      </c>
      <c r="AC30" s="2">
        <v>10640</v>
      </c>
      <c r="AD30" s="2">
        <v>12136</v>
      </c>
      <c r="AE30" s="2">
        <v>6323</v>
      </c>
      <c r="AF30" s="2">
        <v>12358</v>
      </c>
      <c r="AG30" s="5">
        <v>4620</v>
      </c>
      <c r="AH30" s="635">
        <f>SUM(AC30:AF30)*3/4/3600</f>
        <v>8.6368749999999999</v>
      </c>
      <c r="AM30" s="645">
        <f t="shared" si="4"/>
        <v>11.683999999999999</v>
      </c>
      <c r="AN30" s="645">
        <f t="shared" si="5"/>
        <v>11.641666666666666</v>
      </c>
      <c r="AO30" s="12">
        <v>0.27</v>
      </c>
    </row>
    <row r="31" spans="2:41">
      <c r="AB31" s="426">
        <v>28</v>
      </c>
      <c r="AC31" s="2">
        <v>12183</v>
      </c>
      <c r="AD31" s="2">
        <v>12464</v>
      </c>
      <c r="AE31" s="2">
        <v>6855</v>
      </c>
      <c r="AF31" s="2">
        <v>15988</v>
      </c>
      <c r="AG31" s="5">
        <v>4840</v>
      </c>
      <c r="AH31" s="635">
        <f>SUM(AC31:AF31)*3/4/3600</f>
        <v>9.8937500000000007</v>
      </c>
      <c r="AM31" s="645">
        <f t="shared" si="4"/>
        <v>11.776</v>
      </c>
      <c r="AN31" s="645">
        <f t="shared" si="5"/>
        <v>11.733333333333333</v>
      </c>
      <c r="AO31" s="12">
        <v>0.28000000000000003</v>
      </c>
    </row>
    <row r="32" spans="2:41">
      <c r="AB32" s="426">
        <v>29</v>
      </c>
      <c r="AC32" s="2">
        <v>12183</v>
      </c>
      <c r="AD32" s="2">
        <v>12464</v>
      </c>
      <c r="AE32" s="2">
        <v>7683</v>
      </c>
      <c r="AF32" s="2">
        <v>17442</v>
      </c>
      <c r="AG32" s="5">
        <v>5258</v>
      </c>
      <c r="AH32" s="635">
        <f t="shared" si="3"/>
        <v>10.369166666666667</v>
      </c>
      <c r="AM32" s="645">
        <f t="shared" si="4"/>
        <v>11.867999999999999</v>
      </c>
      <c r="AN32" s="645">
        <f t="shared" si="5"/>
        <v>11.824999999999999</v>
      </c>
      <c r="AO32" s="12">
        <v>0.28999999999999998</v>
      </c>
    </row>
    <row r="33" spans="28:41">
      <c r="AB33" s="426">
        <v>30</v>
      </c>
      <c r="AC33" s="2">
        <v>12183</v>
      </c>
      <c r="AD33" s="2">
        <v>12464</v>
      </c>
      <c r="AE33" s="2">
        <v>8687</v>
      </c>
      <c r="AF33" s="2">
        <v>18283</v>
      </c>
      <c r="AG33" s="5">
        <v>5258</v>
      </c>
      <c r="AH33" s="635">
        <f t="shared" si="3"/>
        <v>10.753541666666667</v>
      </c>
      <c r="AM33" s="645">
        <f t="shared" si="4"/>
        <v>11.959999999999999</v>
      </c>
      <c r="AN33" s="645">
        <f t="shared" si="5"/>
        <v>11.916666666666666</v>
      </c>
      <c r="AO33" s="12">
        <v>0.3</v>
      </c>
    </row>
    <row r="34" spans="28:41">
      <c r="AB34" s="426">
        <v>31</v>
      </c>
    </row>
    <row r="35" spans="28:41">
      <c r="AB35" s="426">
        <v>32</v>
      </c>
    </row>
    <row r="36" spans="28:41">
      <c r="AB36" s="426">
        <v>33</v>
      </c>
    </row>
    <row r="37" spans="28:41">
      <c r="AB37" s="426">
        <v>34</v>
      </c>
    </row>
    <row r="38" spans="28:41">
      <c r="AB38" s="426">
        <v>35</v>
      </c>
    </row>
    <row r="39" spans="28:41">
      <c r="AB39" s="426">
        <v>36</v>
      </c>
    </row>
    <row r="40" spans="28:41">
      <c r="AB40" s="426">
        <v>37</v>
      </c>
    </row>
    <row r="41" spans="28:41">
      <c r="AB41" s="426">
        <v>38</v>
      </c>
    </row>
    <row r="42" spans="28:41">
      <c r="AB42" s="426">
        <v>39</v>
      </c>
    </row>
    <row r="43" spans="28:41">
      <c r="AB43" s="426">
        <v>40</v>
      </c>
    </row>
    <row r="44" spans="28:41">
      <c r="AB44" s="426">
        <v>41</v>
      </c>
    </row>
    <row r="45" spans="28:41">
      <c r="AB45" s="426">
        <v>42</v>
      </c>
    </row>
    <row r="46" spans="28:41">
      <c r="AB46" s="426">
        <v>43</v>
      </c>
    </row>
    <row r="47" spans="28:41">
      <c r="AB47" s="426">
        <v>44</v>
      </c>
    </row>
    <row r="48" spans="28:41">
      <c r="AB48" s="426">
        <v>45</v>
      </c>
    </row>
    <row r="49" spans="28:28">
      <c r="AB49" s="426">
        <v>46</v>
      </c>
    </row>
    <row r="50" spans="28:28">
      <c r="AB50" s="426">
        <v>47</v>
      </c>
    </row>
    <row r="51" spans="28:28">
      <c r="AB51" s="426">
        <v>48</v>
      </c>
    </row>
    <row r="52" spans="28:28">
      <c r="AB52" s="426">
        <v>49</v>
      </c>
    </row>
    <row r="53" spans="28:28">
      <c r="AB53" s="426">
        <v>50</v>
      </c>
    </row>
  </sheetData>
  <mergeCells count="14">
    <mergeCell ref="M2:M3"/>
    <mergeCell ref="K2:L2"/>
    <mergeCell ref="C2:C3"/>
    <mergeCell ref="B2:B3"/>
    <mergeCell ref="I2:I3"/>
    <mergeCell ref="J2:J3"/>
    <mergeCell ref="D2:H2"/>
    <mergeCell ref="AN2:AN3"/>
    <mergeCell ref="AI2:AI3"/>
    <mergeCell ref="AC2:AG2"/>
    <mergeCell ref="AH2:AH3"/>
    <mergeCell ref="AK2:AK3"/>
    <mergeCell ref="AL2:AL3"/>
    <mergeCell ref="AM2:AM3"/>
  </mergeCells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tabColor theme="0"/>
  </sheetPr>
  <dimension ref="B1:BH53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G29" sqref="G29"/>
    </sheetView>
  </sheetViews>
  <sheetFormatPr defaultColWidth="9" defaultRowHeight="15" customHeight="1"/>
  <cols>
    <col min="1" max="1" width="3.5703125" style="2" customWidth="1"/>
    <col min="2" max="2" width="7.140625" style="389" customWidth="1"/>
    <col min="3" max="6" width="10" style="2" customWidth="1"/>
    <col min="7" max="7" width="10.85546875" style="2" customWidth="1"/>
    <col min="8" max="8" width="9" style="5"/>
    <col min="9" max="12" width="9" style="2"/>
    <col min="13" max="13" width="10.85546875" style="2" customWidth="1"/>
    <col min="14" max="14" width="9" style="5"/>
    <col min="15" max="18" width="9" style="2"/>
    <col min="19" max="19" width="9" style="5"/>
    <col min="20" max="20" width="11.140625" style="5" customWidth="1"/>
    <col min="21" max="21" width="12.85546875" style="11" customWidth="1"/>
    <col min="22" max="22" width="11.28515625" style="5" customWidth="1"/>
    <col min="23" max="23" width="12.28515625" style="5" customWidth="1"/>
    <col min="24" max="24" width="9.85546875" style="18" customWidth="1"/>
    <col min="25" max="41" width="9" style="2"/>
    <col min="42" max="42" width="12.85546875" style="11" customWidth="1"/>
    <col min="43" max="43" width="16.42578125" style="18" customWidth="1"/>
    <col min="44" max="44" width="13.7109375" style="2" customWidth="1"/>
    <col min="45" max="45" width="12.140625" style="2" customWidth="1"/>
    <col min="46" max="46" width="13.140625" style="2" customWidth="1"/>
    <col min="47" max="47" width="17.42578125" style="2" customWidth="1"/>
    <col min="48" max="48" width="12.28515625" style="2" customWidth="1"/>
    <col min="49" max="49" width="19.140625" style="35" customWidth="1"/>
    <col min="50" max="50" width="5.85546875" style="2" customWidth="1"/>
    <col min="51" max="51" width="12.85546875" style="11" customWidth="1"/>
    <col min="52" max="52" width="16.42578125" style="18" customWidth="1"/>
    <col min="53" max="53" width="18.42578125" style="12" customWidth="1"/>
    <col min="54" max="54" width="17.85546875" style="664" customWidth="1"/>
    <col min="55" max="55" width="13.7109375" style="2" customWidth="1"/>
    <col min="56" max="56" width="12.140625" style="2" customWidth="1"/>
    <col min="57" max="57" width="13.140625" style="2" customWidth="1"/>
    <col min="58" max="58" width="17.42578125" style="2" customWidth="1"/>
    <col min="59" max="59" width="12.28515625" style="2" customWidth="1"/>
    <col min="60" max="60" width="19.140625" style="35" customWidth="1"/>
    <col min="61" max="16384" width="9" style="2"/>
  </cols>
  <sheetData>
    <row r="1" spans="2:60" ht="15" customHeight="1">
      <c r="B1" s="2"/>
      <c r="H1" s="2"/>
      <c r="N1" s="2"/>
      <c r="S1" s="2"/>
      <c r="T1" s="2"/>
      <c r="V1" s="2"/>
      <c r="W1" s="2"/>
      <c r="X1" s="7"/>
    </row>
    <row r="2" spans="2:60" s="383" customFormat="1" ht="30" customHeight="1">
      <c r="B2" s="388" t="s">
        <v>676</v>
      </c>
      <c r="C2" s="727" t="s">
        <v>686</v>
      </c>
      <c r="D2" s="727"/>
      <c r="E2" s="727"/>
      <c r="F2" s="727"/>
      <c r="G2" s="727"/>
      <c r="H2" s="727"/>
      <c r="I2" s="727" t="s">
        <v>687</v>
      </c>
      <c r="J2" s="727"/>
      <c r="K2" s="727"/>
      <c r="L2" s="727"/>
      <c r="M2" s="727"/>
      <c r="N2" s="727"/>
      <c r="O2" s="727" t="s">
        <v>688</v>
      </c>
      <c r="P2" s="727"/>
      <c r="Q2" s="727"/>
      <c r="R2" s="727"/>
      <c r="S2" s="727"/>
      <c r="T2" s="388" t="s">
        <v>982</v>
      </c>
      <c r="U2" s="379" t="s">
        <v>1070</v>
      </c>
      <c r="V2" s="746" t="s">
        <v>1069</v>
      </c>
      <c r="W2" s="748" t="s">
        <v>1991</v>
      </c>
      <c r="X2" s="649"/>
      <c r="AP2" s="650" t="s">
        <v>1994</v>
      </c>
      <c r="AQ2" s="610"/>
      <c r="AT2" s="624"/>
      <c r="AW2" s="658"/>
      <c r="AY2" s="650" t="s">
        <v>1999</v>
      </c>
      <c r="AZ2" s="610"/>
      <c r="BA2" s="191"/>
      <c r="BB2" s="665"/>
      <c r="BC2" s="624"/>
      <c r="BD2" s="624"/>
      <c r="BE2" s="624"/>
      <c r="BF2" s="624"/>
      <c r="BG2" s="624"/>
      <c r="BH2" s="658"/>
    </row>
    <row r="3" spans="2:60" s="383" customFormat="1" ht="30" customHeight="1">
      <c r="B3" s="388" t="s">
        <v>20</v>
      </c>
      <c r="C3" s="388" t="s">
        <v>0</v>
      </c>
      <c r="D3" s="388" t="s">
        <v>1</v>
      </c>
      <c r="E3" s="388" t="s">
        <v>2</v>
      </c>
      <c r="F3" s="388" t="s">
        <v>3</v>
      </c>
      <c r="G3" s="600" t="s">
        <v>1071</v>
      </c>
      <c r="H3" s="388" t="s">
        <v>4</v>
      </c>
      <c r="I3" s="388" t="s">
        <v>0</v>
      </c>
      <c r="J3" s="388" t="s">
        <v>1</v>
      </c>
      <c r="K3" s="388" t="s">
        <v>2</v>
      </c>
      <c r="L3" s="388" t="s">
        <v>3</v>
      </c>
      <c r="M3" s="600" t="s">
        <v>1989</v>
      </c>
      <c r="N3" s="388" t="s">
        <v>4</v>
      </c>
      <c r="O3" s="388" t="s">
        <v>0</v>
      </c>
      <c r="P3" s="388" t="s">
        <v>1</v>
      </c>
      <c r="Q3" s="388" t="s">
        <v>2</v>
      </c>
      <c r="R3" s="388" t="s">
        <v>3</v>
      </c>
      <c r="S3" s="388" t="s">
        <v>4</v>
      </c>
      <c r="T3" s="388" t="s">
        <v>17</v>
      </c>
      <c r="U3" s="379" t="s">
        <v>700</v>
      </c>
      <c r="V3" s="747"/>
      <c r="W3" s="749"/>
      <c r="X3" s="649"/>
      <c r="AP3" s="614" t="s">
        <v>700</v>
      </c>
      <c r="AQ3" s="654" t="s">
        <v>1069</v>
      </c>
      <c r="AR3" s="614" t="s">
        <v>123</v>
      </c>
      <c r="AS3" s="612" t="s">
        <v>1995</v>
      </c>
      <c r="AT3" s="655" t="s">
        <v>1997</v>
      </c>
      <c r="AU3" s="656" t="s">
        <v>1998</v>
      </c>
      <c r="AV3" s="657" t="s">
        <v>1996</v>
      </c>
      <c r="AW3" s="659" t="s">
        <v>1990</v>
      </c>
      <c r="AY3" s="614" t="s">
        <v>2026</v>
      </c>
      <c r="AZ3" s="662" t="s">
        <v>2025</v>
      </c>
      <c r="BA3" s="669" t="s">
        <v>2022</v>
      </c>
      <c r="BB3" s="668" t="s">
        <v>2024</v>
      </c>
      <c r="BC3" s="614" t="s">
        <v>2000</v>
      </c>
      <c r="BD3" s="612" t="s">
        <v>1995</v>
      </c>
      <c r="BE3" s="655" t="s">
        <v>1997</v>
      </c>
      <c r="BF3" s="656" t="s">
        <v>1998</v>
      </c>
      <c r="BG3" s="657" t="s">
        <v>1996</v>
      </c>
      <c r="BH3" s="659" t="s">
        <v>2023</v>
      </c>
    </row>
    <row r="4" spans="2:60" ht="15" customHeight="1">
      <c r="B4" s="425">
        <v>1</v>
      </c>
      <c r="C4" s="7">
        <v>20000</v>
      </c>
      <c r="D4" s="7">
        <v>20000</v>
      </c>
      <c r="E4" s="7">
        <v>20000</v>
      </c>
      <c r="F4" s="7">
        <v>20000</v>
      </c>
      <c r="G4" s="527">
        <f>SUM(C4:F4)</f>
        <v>80000</v>
      </c>
      <c r="H4" s="19">
        <v>20000</v>
      </c>
      <c r="I4" s="7">
        <v>0</v>
      </c>
      <c r="J4" s="7">
        <v>0</v>
      </c>
      <c r="K4" s="7">
        <v>0</v>
      </c>
      <c r="L4" s="7">
        <v>0</v>
      </c>
      <c r="M4" s="527">
        <f>SUM(I4:L4)</f>
        <v>0</v>
      </c>
      <c r="N4" s="19">
        <v>0</v>
      </c>
      <c r="O4" s="7">
        <v>0</v>
      </c>
      <c r="P4" s="7">
        <v>0</v>
      </c>
      <c r="Q4" s="7">
        <v>0</v>
      </c>
      <c r="R4" s="7">
        <v>0</v>
      </c>
      <c r="S4" s="19">
        <v>0</v>
      </c>
      <c r="T4" s="19">
        <v>1</v>
      </c>
      <c r="U4" s="18" t="s">
        <v>23</v>
      </c>
      <c r="V4" s="601">
        <f>VLOOKUP($U4,Construction!$B$46:$Y$66,(COLUMN(Construction_ProtectedAmountOfEachRssByStorehouse)-COLUMN(Construction_Name_and_Level)+1),FALSE)*4</f>
        <v>400000</v>
      </c>
      <c r="W4" s="601" t="e">
        <f>V4/M4</f>
        <v>#DIV/0!</v>
      </c>
      <c r="AP4" s="652" t="s">
        <v>23</v>
      </c>
      <c r="AQ4" s="651">
        <f>VLOOKUP(AP4,Construction!$B$46:$Y$66,(COLUMN(Construction_ProtectedAmountOfEachRssByStorehouse)-COLUMN(Construction_Name_and_Level)+1),FALSE)*4</f>
        <v>400000</v>
      </c>
      <c r="AR4" s="18" t="s">
        <v>19</v>
      </c>
      <c r="AS4" s="5">
        <v>25</v>
      </c>
      <c r="AT4" s="2">
        <v>1</v>
      </c>
      <c r="AU4" s="2">
        <v>40</v>
      </c>
      <c r="AV4" s="5">
        <f>AS4*AU4</f>
        <v>1000</v>
      </c>
      <c r="AW4" s="660">
        <f>AQ4/AV4</f>
        <v>400</v>
      </c>
      <c r="AY4" s="652" t="s">
        <v>2027</v>
      </c>
      <c r="AZ4" s="663">
        <f>100000*4</f>
        <v>400000</v>
      </c>
      <c r="BA4" s="12">
        <v>0.1</v>
      </c>
      <c r="BB4" s="666">
        <f>AZ4*(1+BA4)</f>
        <v>440000.00000000006</v>
      </c>
      <c r="BC4" s="18" t="s">
        <v>2001</v>
      </c>
      <c r="BD4" s="5">
        <v>13</v>
      </c>
      <c r="BE4" s="2">
        <v>1</v>
      </c>
      <c r="BF4" s="2">
        <v>100</v>
      </c>
      <c r="BG4" s="5">
        <f>BD4*BF4</f>
        <v>1300</v>
      </c>
      <c r="BH4" s="660">
        <f>BB4/BG4</f>
        <v>338.46153846153851</v>
      </c>
    </row>
    <row r="5" spans="2:60" ht="15" customHeight="1">
      <c r="B5" s="426">
        <v>2</v>
      </c>
      <c r="C5" s="7">
        <v>26500</v>
      </c>
      <c r="D5" s="7">
        <v>25400</v>
      </c>
      <c r="E5" s="7">
        <v>25480</v>
      </c>
      <c r="F5" s="7">
        <v>37200</v>
      </c>
      <c r="G5" s="527">
        <f t="shared" ref="G5:G33" si="0">SUM(C5:F5)</f>
        <v>114580</v>
      </c>
      <c r="H5" s="19">
        <v>22400</v>
      </c>
      <c r="I5" s="7">
        <v>0</v>
      </c>
      <c r="J5" s="7">
        <v>0</v>
      </c>
      <c r="K5" s="7">
        <v>0</v>
      </c>
      <c r="L5" s="7">
        <v>52</v>
      </c>
      <c r="M5" s="527">
        <f t="shared" ref="M5:M33" si="1">SUM(I5:L5)</f>
        <v>52</v>
      </c>
      <c r="N5" s="19">
        <v>0</v>
      </c>
      <c r="O5" s="7">
        <v>15000</v>
      </c>
      <c r="P5" s="7">
        <v>15000</v>
      </c>
      <c r="Q5" s="7">
        <v>15000</v>
      </c>
      <c r="R5" s="7">
        <v>17500</v>
      </c>
      <c r="S5" s="19">
        <v>15000</v>
      </c>
      <c r="T5" s="19">
        <v>2</v>
      </c>
      <c r="U5" s="18" t="s">
        <v>23</v>
      </c>
      <c r="V5" s="601">
        <f>VLOOKUP($U5,Construction!$B$46:$Y$66,(COLUMN(Construction_ProtectedAmountOfEachRssByStorehouse)-COLUMN(Construction_Name_and_Level)+1),FALSE)*4</f>
        <v>400000</v>
      </c>
      <c r="W5" s="601">
        <f t="shared" ref="W5:W33" si="2">V5/M5</f>
        <v>7692.3076923076924</v>
      </c>
      <c r="AP5" s="433" t="s">
        <v>1992</v>
      </c>
      <c r="AQ5" s="19">
        <f>VLOOKUP(AP5,Construction!$B$46:$Y$66,(COLUMN(Construction_ProtectedAmountOfEachRssByStorehouse)-COLUMN(Construction_Name_and_Level)+1),FALSE)*4</f>
        <v>600000</v>
      </c>
      <c r="AR5" s="18" t="s">
        <v>18</v>
      </c>
      <c r="AS5" s="5">
        <v>25</v>
      </c>
      <c r="AT5" s="2">
        <v>2</v>
      </c>
      <c r="AU5" s="2">
        <v>120</v>
      </c>
      <c r="AV5" s="5">
        <f t="shared" ref="AV5:AV24" si="3">AS5*AU5</f>
        <v>3000</v>
      </c>
      <c r="AW5" s="660">
        <f t="shared" ref="AW5:AW24" si="4">AQ5/AV5</f>
        <v>200</v>
      </c>
      <c r="AY5" s="433" t="s">
        <v>2028</v>
      </c>
      <c r="AZ5" s="18">
        <f>200000*4</f>
        <v>800000</v>
      </c>
      <c r="BA5" s="12">
        <v>0.2</v>
      </c>
      <c r="BB5" s="666">
        <f t="shared" ref="BB5:BB13" si="5">AZ5*(1+BA5)</f>
        <v>960000</v>
      </c>
      <c r="BC5" s="18" t="s">
        <v>2002</v>
      </c>
      <c r="BD5" s="5">
        <v>16</v>
      </c>
      <c r="BE5" s="2">
        <v>2</v>
      </c>
      <c r="BF5" s="2">
        <v>300</v>
      </c>
      <c r="BG5" s="5">
        <f t="shared" ref="BG5:BG13" si="6">BD5*BF5</f>
        <v>4800</v>
      </c>
      <c r="BH5" s="660">
        <f t="shared" ref="BH5:BH13" si="7">BB5/BG5</f>
        <v>200</v>
      </c>
    </row>
    <row r="6" spans="2:60" ht="15" customHeight="1">
      <c r="B6" s="426">
        <v>3</v>
      </c>
      <c r="C6" s="7">
        <v>39500</v>
      </c>
      <c r="D6" s="7">
        <v>41100</v>
      </c>
      <c r="E6" s="7">
        <v>31580</v>
      </c>
      <c r="F6" s="7">
        <v>43800</v>
      </c>
      <c r="G6" s="527">
        <f t="shared" si="0"/>
        <v>155980</v>
      </c>
      <c r="H6" s="19">
        <v>23820</v>
      </c>
      <c r="I6" s="7">
        <v>0</v>
      </c>
      <c r="J6" s="7">
        <v>42</v>
      </c>
      <c r="K6" s="7">
        <v>0</v>
      </c>
      <c r="L6" s="7">
        <v>52</v>
      </c>
      <c r="M6" s="527">
        <f t="shared" si="1"/>
        <v>94</v>
      </c>
      <c r="N6" s="19">
        <v>0</v>
      </c>
      <c r="O6" s="7">
        <v>15000</v>
      </c>
      <c r="P6" s="7">
        <v>17000</v>
      </c>
      <c r="Q6" s="7">
        <v>15000</v>
      </c>
      <c r="R6" s="7">
        <v>17500</v>
      </c>
      <c r="S6" s="19">
        <v>15000</v>
      </c>
      <c r="T6" s="19">
        <v>2</v>
      </c>
      <c r="U6" s="18" t="s">
        <v>23</v>
      </c>
      <c r="V6" s="601">
        <f>VLOOKUP($U6,Construction!$B$46:$Y$66,(COLUMN(Construction_ProtectedAmountOfEachRssByStorehouse)-COLUMN(Construction_Name_and_Level)+1),FALSE)*4</f>
        <v>400000</v>
      </c>
      <c r="W6" s="601">
        <f t="shared" si="2"/>
        <v>4255.3191489361698</v>
      </c>
      <c r="AP6" s="433" t="s">
        <v>1993</v>
      </c>
      <c r="AQ6" s="19">
        <f>VLOOKUP(AP6,Construction!$B$46:$Y$66,(COLUMN(Construction_ProtectedAmountOfEachRssByStorehouse)-COLUMN(Construction_Name_and_Level)+1),FALSE)*4</f>
        <v>800000</v>
      </c>
      <c r="AR6" s="18" t="s">
        <v>368</v>
      </c>
      <c r="AS6" s="5">
        <v>25</v>
      </c>
      <c r="AT6" s="2">
        <v>3</v>
      </c>
      <c r="AU6" s="2">
        <v>240</v>
      </c>
      <c r="AV6" s="5">
        <f t="shared" si="3"/>
        <v>6000</v>
      </c>
      <c r="AW6" s="660">
        <f t="shared" si="4"/>
        <v>133.33333333333334</v>
      </c>
      <c r="AY6" s="433" t="s">
        <v>2029</v>
      </c>
      <c r="AZ6" s="18">
        <f>300000*4</f>
        <v>1200000</v>
      </c>
      <c r="BA6" s="12">
        <v>0.3</v>
      </c>
      <c r="BB6" s="666">
        <f t="shared" si="5"/>
        <v>1560000</v>
      </c>
      <c r="BC6" s="18" t="s">
        <v>2003</v>
      </c>
      <c r="BD6" s="5">
        <v>19</v>
      </c>
      <c r="BE6" s="2">
        <v>3</v>
      </c>
      <c r="BF6" s="2">
        <v>600</v>
      </c>
      <c r="BG6" s="5">
        <f t="shared" si="6"/>
        <v>11400</v>
      </c>
      <c r="BH6" s="660">
        <f t="shared" si="7"/>
        <v>136.84210526315789</v>
      </c>
    </row>
    <row r="7" spans="2:60" ht="15" customHeight="1">
      <c r="B7" s="426">
        <v>4</v>
      </c>
      <c r="C7" s="7">
        <v>39500</v>
      </c>
      <c r="D7" s="7">
        <v>41100</v>
      </c>
      <c r="E7" s="7">
        <v>31580</v>
      </c>
      <c r="F7" s="7">
        <v>43800</v>
      </c>
      <c r="G7" s="527">
        <f t="shared" si="0"/>
        <v>155980</v>
      </c>
      <c r="H7" s="19">
        <v>23820</v>
      </c>
      <c r="I7" s="7">
        <v>0</v>
      </c>
      <c r="J7" s="7">
        <v>42</v>
      </c>
      <c r="K7" s="7">
        <v>0</v>
      </c>
      <c r="L7" s="7">
        <v>52</v>
      </c>
      <c r="M7" s="527">
        <f t="shared" si="1"/>
        <v>94</v>
      </c>
      <c r="N7" s="19">
        <v>0</v>
      </c>
      <c r="O7" s="7">
        <v>15000</v>
      </c>
      <c r="P7" s="7">
        <v>17000</v>
      </c>
      <c r="Q7" s="7">
        <v>15000</v>
      </c>
      <c r="R7" s="7">
        <v>17500</v>
      </c>
      <c r="S7" s="19">
        <v>15000</v>
      </c>
      <c r="T7" s="19">
        <v>2</v>
      </c>
      <c r="U7" s="18" t="s">
        <v>23</v>
      </c>
      <c r="V7" s="601">
        <f>VLOOKUP($U7,Construction!$B$46:$Y$66,(COLUMN(Construction_ProtectedAmountOfEachRssByStorehouse)-COLUMN(Construction_Name_and_Level)+1),FALSE)*4</f>
        <v>400000</v>
      </c>
      <c r="W7" s="601">
        <f t="shared" si="2"/>
        <v>4255.3191489361698</v>
      </c>
      <c r="AP7" s="433" t="s">
        <v>1068</v>
      </c>
      <c r="AQ7" s="19">
        <f>VLOOKUP(AP7,Construction!$B$46:$Y$66,(COLUMN(Construction_ProtectedAmountOfEachRssByStorehouse)-COLUMN(Construction_Name_and_Level)+1),FALSE)*4</f>
        <v>1000000</v>
      </c>
      <c r="AR7" s="18" t="s">
        <v>521</v>
      </c>
      <c r="AS7" s="5">
        <v>25</v>
      </c>
      <c r="AT7" s="2">
        <v>4</v>
      </c>
      <c r="AU7" s="2">
        <v>400</v>
      </c>
      <c r="AV7" s="5">
        <f t="shared" si="3"/>
        <v>10000</v>
      </c>
      <c r="AW7" s="660">
        <f t="shared" si="4"/>
        <v>100</v>
      </c>
      <c r="AY7" s="433" t="s">
        <v>2030</v>
      </c>
      <c r="AZ7" s="18">
        <f>400000*4</f>
        <v>1600000</v>
      </c>
      <c r="BA7" s="12">
        <v>0.4</v>
      </c>
      <c r="BB7" s="666">
        <f t="shared" si="5"/>
        <v>2240000</v>
      </c>
      <c r="BC7" s="18" t="s">
        <v>2004</v>
      </c>
      <c r="BD7" s="5">
        <v>22</v>
      </c>
      <c r="BE7" s="2">
        <v>4</v>
      </c>
      <c r="BF7" s="2">
        <v>1000</v>
      </c>
      <c r="BG7" s="5">
        <f t="shared" si="6"/>
        <v>22000</v>
      </c>
      <c r="BH7" s="660">
        <f t="shared" si="7"/>
        <v>101.81818181818181</v>
      </c>
    </row>
    <row r="8" spans="2:60" ht="15" customHeight="1">
      <c r="B8" s="426">
        <v>5</v>
      </c>
      <c r="C8" s="7">
        <v>41880</v>
      </c>
      <c r="D8" s="7">
        <v>45500</v>
      </c>
      <c r="E8" s="7">
        <v>37770</v>
      </c>
      <c r="F8" s="18">
        <v>49990</v>
      </c>
      <c r="G8" s="527">
        <f t="shared" si="0"/>
        <v>175140</v>
      </c>
      <c r="H8" s="19">
        <v>27110</v>
      </c>
      <c r="I8" s="7">
        <v>0</v>
      </c>
      <c r="J8" s="7">
        <v>40</v>
      </c>
      <c r="K8" s="7">
        <v>0</v>
      </c>
      <c r="L8" s="7">
        <v>54</v>
      </c>
      <c r="M8" s="527">
        <f t="shared" si="1"/>
        <v>94</v>
      </c>
      <c r="N8" s="19">
        <v>0</v>
      </c>
      <c r="O8" s="7">
        <v>15000</v>
      </c>
      <c r="P8" s="7">
        <v>17000</v>
      </c>
      <c r="Q8" s="7">
        <v>15000</v>
      </c>
      <c r="R8" s="7">
        <v>17500</v>
      </c>
      <c r="S8" s="19">
        <v>15000</v>
      </c>
      <c r="T8" s="19">
        <v>3</v>
      </c>
      <c r="U8" s="18" t="s">
        <v>125</v>
      </c>
      <c r="V8" s="601">
        <f>VLOOKUP($U8,Construction!$B$46:$Y$66,(COLUMN(Construction_ProtectedAmountOfEachRssByStorehouse)-COLUMN(Construction_Name_and_Level)+1),FALSE)*4</f>
        <v>600000</v>
      </c>
      <c r="W8" s="601">
        <f t="shared" si="2"/>
        <v>6382.9787234042551</v>
      </c>
      <c r="AP8" s="433" t="s">
        <v>525</v>
      </c>
      <c r="AQ8" s="19">
        <f>VLOOKUP(AP8,Construction!$B$46:$Y$66,(COLUMN(Construction_ProtectedAmountOfEachRssByStorehouse)-COLUMN(Construction_Name_and_Level)+1),FALSE)*4</f>
        <v>1200000</v>
      </c>
      <c r="AR8" s="18" t="s">
        <v>544</v>
      </c>
      <c r="AS8" s="5">
        <v>25</v>
      </c>
      <c r="AT8" s="2">
        <v>5</v>
      </c>
      <c r="AU8" s="2">
        <v>600</v>
      </c>
      <c r="AV8" s="5">
        <f t="shared" si="3"/>
        <v>15000</v>
      </c>
      <c r="AW8" s="660">
        <f t="shared" si="4"/>
        <v>80</v>
      </c>
      <c r="AY8" s="433" t="s">
        <v>2031</v>
      </c>
      <c r="AZ8" s="18">
        <f>500000*4</f>
        <v>2000000</v>
      </c>
      <c r="BA8" s="12">
        <v>0.5</v>
      </c>
      <c r="BB8" s="666">
        <f t="shared" si="5"/>
        <v>3000000</v>
      </c>
      <c r="BC8" s="18" t="s">
        <v>2005</v>
      </c>
      <c r="BD8" s="5">
        <v>25</v>
      </c>
      <c r="BE8" s="2">
        <v>5</v>
      </c>
      <c r="BF8" s="2">
        <v>1500</v>
      </c>
      <c r="BG8" s="5">
        <f t="shared" si="6"/>
        <v>37500</v>
      </c>
      <c r="BH8" s="660">
        <f t="shared" si="7"/>
        <v>80</v>
      </c>
    </row>
    <row r="9" spans="2:60" ht="15" customHeight="1">
      <c r="B9" s="426">
        <v>6</v>
      </c>
      <c r="C9" s="7">
        <v>14880</v>
      </c>
      <c r="D9" s="7">
        <v>19190</v>
      </c>
      <c r="E9" s="7">
        <v>17320</v>
      </c>
      <c r="F9" s="18">
        <v>29890</v>
      </c>
      <c r="G9" s="527">
        <f t="shared" si="0"/>
        <v>81280</v>
      </c>
      <c r="H9" s="19">
        <v>11110</v>
      </c>
      <c r="I9" s="7">
        <v>0</v>
      </c>
      <c r="J9" s="7">
        <v>42</v>
      </c>
      <c r="K9" s="7">
        <v>0</v>
      </c>
      <c r="L9" s="7">
        <v>57</v>
      </c>
      <c r="M9" s="527">
        <f t="shared" si="1"/>
        <v>99</v>
      </c>
      <c r="N9" s="19">
        <v>0</v>
      </c>
      <c r="O9" s="7">
        <v>15000</v>
      </c>
      <c r="P9" s="7">
        <v>17000</v>
      </c>
      <c r="Q9" s="7">
        <v>15000</v>
      </c>
      <c r="R9" s="7">
        <v>17500</v>
      </c>
      <c r="S9" s="19">
        <v>15000</v>
      </c>
      <c r="T9" s="19">
        <v>4</v>
      </c>
      <c r="U9" s="18" t="s">
        <v>125</v>
      </c>
      <c r="V9" s="601">
        <f>VLOOKUP($U9,Construction!$B$46:$Y$66,(COLUMN(Construction_ProtectedAmountOfEachRssByStorehouse)-COLUMN(Construction_Name_and_Level)+1),FALSE)*4</f>
        <v>600000</v>
      </c>
      <c r="W9" s="601">
        <f t="shared" si="2"/>
        <v>6060.606060606061</v>
      </c>
      <c r="AP9" s="433" t="s">
        <v>526</v>
      </c>
      <c r="AQ9" s="19">
        <f>VLOOKUP(AP9,Construction!$B$46:$Y$66,(COLUMN(Construction_ProtectedAmountOfEachRssByStorehouse)-COLUMN(Construction_Name_and_Level)+1),FALSE)*4</f>
        <v>1400000</v>
      </c>
      <c r="AR9" s="18" t="s">
        <v>523</v>
      </c>
      <c r="AS9" s="5">
        <v>25</v>
      </c>
      <c r="AT9" s="2">
        <v>6</v>
      </c>
      <c r="AU9" s="2">
        <v>840</v>
      </c>
      <c r="AV9" s="5">
        <f t="shared" si="3"/>
        <v>21000</v>
      </c>
      <c r="AW9" s="660">
        <f t="shared" si="4"/>
        <v>66.666666666666671</v>
      </c>
      <c r="AY9" s="433" t="s">
        <v>2032</v>
      </c>
      <c r="AZ9" s="18">
        <f>600000*4</f>
        <v>2400000</v>
      </c>
      <c r="BA9" s="12">
        <v>0.6</v>
      </c>
      <c r="BB9" s="666">
        <f t="shared" si="5"/>
        <v>3840000</v>
      </c>
      <c r="BC9" s="18" t="s">
        <v>2006</v>
      </c>
      <c r="BD9" s="5">
        <v>28</v>
      </c>
      <c r="BE9" s="2">
        <v>6</v>
      </c>
      <c r="BF9" s="2">
        <v>2100</v>
      </c>
      <c r="BG9" s="5">
        <f t="shared" si="6"/>
        <v>58800</v>
      </c>
      <c r="BH9" s="660">
        <f t="shared" si="7"/>
        <v>65.306122448979593</v>
      </c>
    </row>
    <row r="10" spans="2:60" ht="15" customHeight="1">
      <c r="B10" s="426">
        <v>7</v>
      </c>
      <c r="C10" s="7">
        <v>72280</v>
      </c>
      <c r="D10" s="7">
        <v>70190</v>
      </c>
      <c r="E10" s="7">
        <v>54220</v>
      </c>
      <c r="F10" s="18">
        <v>68490</v>
      </c>
      <c r="G10" s="527">
        <f t="shared" si="0"/>
        <v>265180</v>
      </c>
      <c r="H10" s="19">
        <v>27460</v>
      </c>
      <c r="I10" s="7">
        <v>0</v>
      </c>
      <c r="J10" s="7">
        <v>40</v>
      </c>
      <c r="K10" s="7">
        <v>0</v>
      </c>
      <c r="L10" s="7">
        <v>59</v>
      </c>
      <c r="M10" s="527">
        <f t="shared" si="1"/>
        <v>99</v>
      </c>
      <c r="N10" s="19">
        <v>0</v>
      </c>
      <c r="O10" s="7">
        <v>15000</v>
      </c>
      <c r="P10" s="7">
        <v>17000</v>
      </c>
      <c r="Q10" s="7">
        <v>15000</v>
      </c>
      <c r="R10" s="7">
        <v>17500</v>
      </c>
      <c r="S10" s="19">
        <v>15000</v>
      </c>
      <c r="T10" s="19">
        <v>4</v>
      </c>
      <c r="U10" s="18" t="s">
        <v>127</v>
      </c>
      <c r="V10" s="601">
        <f>VLOOKUP($U10,Construction!$B$46:$Y$66,(COLUMN(Construction_ProtectedAmountOfEachRssByStorehouse)-COLUMN(Construction_Name_and_Level)+1),FALSE)*4</f>
        <v>800000</v>
      </c>
      <c r="W10" s="601">
        <f t="shared" si="2"/>
        <v>8080.8080808080804</v>
      </c>
      <c r="AP10" s="433" t="s">
        <v>527</v>
      </c>
      <c r="AQ10" s="19">
        <f>VLOOKUP(AP10,Construction!$B$46:$Y$66,(COLUMN(Construction_ProtectedAmountOfEachRssByStorehouse)-COLUMN(Construction_Name_and_Level)+1),FALSE)*4</f>
        <v>1600000</v>
      </c>
      <c r="AR10" s="18" t="s">
        <v>545</v>
      </c>
      <c r="AS10" s="5">
        <v>25</v>
      </c>
      <c r="AT10" s="2">
        <v>7</v>
      </c>
      <c r="AU10" s="2">
        <v>1120</v>
      </c>
      <c r="AV10" s="5">
        <f t="shared" si="3"/>
        <v>28000</v>
      </c>
      <c r="AW10" s="660">
        <f t="shared" si="4"/>
        <v>57.142857142857146</v>
      </c>
      <c r="AY10" s="433" t="s">
        <v>2033</v>
      </c>
      <c r="AZ10" s="18">
        <f>700000*4</f>
        <v>2800000</v>
      </c>
      <c r="BA10" s="12">
        <v>0.7</v>
      </c>
      <c r="BB10" s="666">
        <f t="shared" si="5"/>
        <v>4760000</v>
      </c>
      <c r="BC10" s="18" t="s">
        <v>2007</v>
      </c>
      <c r="BD10" s="5">
        <v>31</v>
      </c>
      <c r="BE10" s="2">
        <v>7</v>
      </c>
      <c r="BF10" s="2">
        <v>2800</v>
      </c>
      <c r="BG10" s="5">
        <f t="shared" si="6"/>
        <v>86800</v>
      </c>
      <c r="BH10" s="660">
        <f t="shared" si="7"/>
        <v>54.838709677419352</v>
      </c>
    </row>
    <row r="11" spans="2:60" ht="15" customHeight="1">
      <c r="B11" s="426">
        <v>8</v>
      </c>
      <c r="C11" s="7">
        <v>92880</v>
      </c>
      <c r="D11" s="7">
        <v>93230</v>
      </c>
      <c r="E11" s="7">
        <v>73900</v>
      </c>
      <c r="F11" s="18">
        <v>127800</v>
      </c>
      <c r="G11" s="527">
        <f t="shared" si="0"/>
        <v>387810</v>
      </c>
      <c r="H11" s="19">
        <v>33660</v>
      </c>
      <c r="I11" s="7">
        <v>41</v>
      </c>
      <c r="J11" s="7">
        <v>120</v>
      </c>
      <c r="K11" s="7">
        <v>30</v>
      </c>
      <c r="L11" s="7">
        <v>178</v>
      </c>
      <c r="M11" s="527">
        <f t="shared" si="1"/>
        <v>369</v>
      </c>
      <c r="N11" s="19">
        <v>60</v>
      </c>
      <c r="O11" s="7">
        <v>17000</v>
      </c>
      <c r="P11" s="7">
        <v>21000</v>
      </c>
      <c r="Q11" s="7">
        <v>16500</v>
      </c>
      <c r="R11" s="7">
        <v>22500</v>
      </c>
      <c r="S11" s="19">
        <v>18000</v>
      </c>
      <c r="T11" s="19">
        <v>4</v>
      </c>
      <c r="U11" s="18" t="s">
        <v>127</v>
      </c>
      <c r="V11" s="601">
        <f>VLOOKUP($U11,Construction!$B$46:$Y$66,(COLUMN(Construction_ProtectedAmountOfEachRssByStorehouse)-COLUMN(Construction_Name_and_Level)+1),FALSE)*4</f>
        <v>800000</v>
      </c>
      <c r="W11" s="601">
        <f t="shared" si="2"/>
        <v>2168.021680216802</v>
      </c>
      <c r="AP11" s="433" t="s">
        <v>528</v>
      </c>
      <c r="AQ11" s="19">
        <f>VLOOKUP(AP11,Construction!$B$46:$Y$66,(COLUMN(Construction_ProtectedAmountOfEachRssByStorehouse)-COLUMN(Construction_Name_and_Level)+1),FALSE)*4</f>
        <v>1800000</v>
      </c>
      <c r="AR11" s="18" t="s">
        <v>546</v>
      </c>
      <c r="AS11" s="5">
        <v>25</v>
      </c>
      <c r="AT11" s="2">
        <v>8</v>
      </c>
      <c r="AU11" s="2">
        <v>1440</v>
      </c>
      <c r="AV11" s="5">
        <f t="shared" si="3"/>
        <v>36000</v>
      </c>
      <c r="AW11" s="660">
        <f t="shared" si="4"/>
        <v>50</v>
      </c>
      <c r="AY11" s="433" t="s">
        <v>2034</v>
      </c>
      <c r="AZ11" s="18">
        <f>800000*4</f>
        <v>3200000</v>
      </c>
      <c r="BA11" s="12">
        <v>0.8</v>
      </c>
      <c r="BB11" s="666">
        <f t="shared" si="5"/>
        <v>5760000</v>
      </c>
      <c r="BC11" s="18" t="s">
        <v>2008</v>
      </c>
      <c r="BD11" s="5">
        <v>34</v>
      </c>
      <c r="BE11" s="2">
        <v>8</v>
      </c>
      <c r="BF11" s="2">
        <v>3600</v>
      </c>
      <c r="BG11" s="5">
        <f t="shared" si="6"/>
        <v>122400</v>
      </c>
      <c r="BH11" s="660">
        <f t="shared" si="7"/>
        <v>47.058823529411768</v>
      </c>
    </row>
    <row r="12" spans="2:60" ht="15" customHeight="1">
      <c r="B12" s="426">
        <v>9</v>
      </c>
      <c r="C12" s="7">
        <v>102700</v>
      </c>
      <c r="D12" s="7">
        <v>109600</v>
      </c>
      <c r="E12" s="7">
        <v>80250</v>
      </c>
      <c r="F12" s="18">
        <v>139200</v>
      </c>
      <c r="G12" s="527">
        <f t="shared" si="0"/>
        <v>431750</v>
      </c>
      <c r="H12" s="19">
        <v>30860</v>
      </c>
      <c r="I12" s="7">
        <v>123</v>
      </c>
      <c r="J12" s="7">
        <v>242</v>
      </c>
      <c r="K12" s="7">
        <v>90</v>
      </c>
      <c r="L12" s="7">
        <v>357</v>
      </c>
      <c r="M12" s="527">
        <f t="shared" si="1"/>
        <v>812</v>
      </c>
      <c r="N12" s="19">
        <v>120</v>
      </c>
      <c r="O12" s="7">
        <v>21000</v>
      </c>
      <c r="P12" s="7">
        <v>27000</v>
      </c>
      <c r="Q12" s="7">
        <v>19500</v>
      </c>
      <c r="R12" s="7">
        <v>30000</v>
      </c>
      <c r="S12" s="19">
        <v>21000</v>
      </c>
      <c r="T12" s="19">
        <v>4</v>
      </c>
      <c r="U12" s="18" t="s">
        <v>127</v>
      </c>
      <c r="V12" s="601">
        <f>VLOOKUP($U12,Construction!$B$46:$Y$66,(COLUMN(Construction_ProtectedAmountOfEachRssByStorehouse)-COLUMN(Construction_Name_and_Level)+1),FALSE)*4</f>
        <v>800000</v>
      </c>
      <c r="W12" s="601">
        <f t="shared" si="2"/>
        <v>985.22167487684726</v>
      </c>
      <c r="AP12" s="433" t="s">
        <v>529</v>
      </c>
      <c r="AQ12" s="19">
        <f>VLOOKUP(AP12,Construction!$B$46:$Y$66,(COLUMN(Construction_ProtectedAmountOfEachRssByStorehouse)-COLUMN(Construction_Name_and_Level)+1),FALSE)*4</f>
        <v>2000000</v>
      </c>
      <c r="AR12" s="18" t="s">
        <v>547</v>
      </c>
      <c r="AS12" s="5">
        <v>25</v>
      </c>
      <c r="AT12" s="2">
        <v>9</v>
      </c>
      <c r="AU12" s="2">
        <v>1800</v>
      </c>
      <c r="AV12" s="5">
        <f t="shared" si="3"/>
        <v>45000</v>
      </c>
      <c r="AW12" s="660">
        <f t="shared" si="4"/>
        <v>44.444444444444443</v>
      </c>
      <c r="AY12" s="433" t="s">
        <v>2035</v>
      </c>
      <c r="AZ12" s="18">
        <f>900000*4</f>
        <v>3600000</v>
      </c>
      <c r="BA12" s="12">
        <v>0.9</v>
      </c>
      <c r="BB12" s="666">
        <f t="shared" si="5"/>
        <v>6840000</v>
      </c>
      <c r="BC12" s="18" t="s">
        <v>2009</v>
      </c>
      <c r="BD12" s="5">
        <v>37</v>
      </c>
      <c r="BE12" s="2">
        <v>9</v>
      </c>
      <c r="BF12" s="2">
        <v>4500</v>
      </c>
      <c r="BG12" s="5">
        <f t="shared" si="6"/>
        <v>166500</v>
      </c>
      <c r="BH12" s="660">
        <f t="shared" si="7"/>
        <v>41.081081081081081</v>
      </c>
    </row>
    <row r="13" spans="2:60" ht="15" customHeight="1">
      <c r="B13" s="426">
        <v>10</v>
      </c>
      <c r="C13" s="7">
        <v>101700</v>
      </c>
      <c r="D13" s="7">
        <v>108600</v>
      </c>
      <c r="E13" s="7">
        <v>79250</v>
      </c>
      <c r="F13" s="18">
        <v>138200</v>
      </c>
      <c r="G13" s="527">
        <f t="shared" si="0"/>
        <v>427750</v>
      </c>
      <c r="H13" s="19">
        <v>17600</v>
      </c>
      <c r="I13" s="7">
        <v>123</v>
      </c>
      <c r="J13" s="7">
        <v>242</v>
      </c>
      <c r="K13" s="7">
        <v>90</v>
      </c>
      <c r="L13" s="7">
        <v>357</v>
      </c>
      <c r="M13" s="527">
        <f>SUM(I13:L13)</f>
        <v>812</v>
      </c>
      <c r="N13" s="19">
        <v>120</v>
      </c>
      <c r="O13" s="7">
        <v>21000</v>
      </c>
      <c r="P13" s="7">
        <v>27000</v>
      </c>
      <c r="Q13" s="7">
        <v>19500</v>
      </c>
      <c r="R13" s="7">
        <v>30000</v>
      </c>
      <c r="S13" s="19">
        <v>21000</v>
      </c>
      <c r="T13" s="19">
        <v>4</v>
      </c>
      <c r="U13" s="18" t="s">
        <v>1068</v>
      </c>
      <c r="V13" s="601">
        <f>VLOOKUP($U13,Construction!$B$46:$Y$66,(COLUMN(Construction_ProtectedAmountOfEachRssByStorehouse)-COLUMN(Construction_Name_and_Level)+1),FALSE)*4</f>
        <v>1000000</v>
      </c>
      <c r="W13" s="601">
        <f t="shared" si="2"/>
        <v>1231.5270935960591</v>
      </c>
      <c r="AP13" s="433" t="s">
        <v>530</v>
      </c>
      <c r="AQ13" s="19">
        <f>VLOOKUP(AP13,Construction!$B$46:$Y$66,(COLUMN(Construction_ProtectedAmountOfEachRssByStorehouse)-COLUMN(Construction_Name_and_Level)+1),FALSE)*4</f>
        <v>2200000</v>
      </c>
      <c r="AR13" s="18" t="s">
        <v>548</v>
      </c>
      <c r="AS13" s="5">
        <v>25</v>
      </c>
      <c r="AT13" s="2">
        <v>10</v>
      </c>
      <c r="AU13" s="2">
        <v>2200</v>
      </c>
      <c r="AV13" s="5">
        <f t="shared" si="3"/>
        <v>55000</v>
      </c>
      <c r="AW13" s="660">
        <f t="shared" si="4"/>
        <v>40</v>
      </c>
      <c r="AY13" s="433" t="s">
        <v>2036</v>
      </c>
      <c r="AZ13" s="18">
        <f>1000000*4</f>
        <v>4000000</v>
      </c>
      <c r="BA13" s="12">
        <v>1</v>
      </c>
      <c r="BB13" s="666">
        <f t="shared" si="5"/>
        <v>8000000</v>
      </c>
      <c r="BC13" s="18" t="s">
        <v>2010</v>
      </c>
      <c r="BD13" s="5">
        <v>40</v>
      </c>
      <c r="BE13" s="2">
        <v>10</v>
      </c>
      <c r="BF13" s="2">
        <v>5500</v>
      </c>
      <c r="BG13" s="5">
        <f t="shared" si="6"/>
        <v>220000</v>
      </c>
      <c r="BH13" s="660">
        <f t="shared" si="7"/>
        <v>36.363636363636367</v>
      </c>
    </row>
    <row r="14" spans="2:60" ht="15" customHeight="1">
      <c r="B14" s="426">
        <v>11</v>
      </c>
      <c r="C14" s="7">
        <v>126600</v>
      </c>
      <c r="D14" s="7">
        <v>121000</v>
      </c>
      <c r="E14" s="7">
        <v>122600</v>
      </c>
      <c r="F14" s="18">
        <v>199300</v>
      </c>
      <c r="G14" s="527">
        <f t="shared" si="0"/>
        <v>569500</v>
      </c>
      <c r="H14" s="19">
        <v>24050</v>
      </c>
      <c r="I14" s="7">
        <v>264</v>
      </c>
      <c r="J14" s="7">
        <v>259</v>
      </c>
      <c r="K14" s="7">
        <v>583</v>
      </c>
      <c r="L14" s="7">
        <v>378</v>
      </c>
      <c r="M14" s="527">
        <f t="shared" si="1"/>
        <v>1484</v>
      </c>
      <c r="N14" s="19">
        <v>192</v>
      </c>
      <c r="O14" s="7">
        <v>27000</v>
      </c>
      <c r="P14" s="7">
        <v>27000</v>
      </c>
      <c r="Q14" s="7">
        <v>42000</v>
      </c>
      <c r="R14" s="7">
        <v>30000</v>
      </c>
      <c r="S14" s="19">
        <v>24000</v>
      </c>
      <c r="T14" s="19">
        <v>4</v>
      </c>
      <c r="U14" s="18" t="s">
        <v>1068</v>
      </c>
      <c r="V14" s="601">
        <f>VLOOKUP($U14,Construction!$B$46:$Y$66,(COLUMN(Construction_ProtectedAmountOfEachRssByStorehouse)-COLUMN(Construction_Name_and_Level)+1),FALSE)*4</f>
        <v>1000000</v>
      </c>
      <c r="W14" s="601">
        <f t="shared" si="2"/>
        <v>673.85444743935307</v>
      </c>
      <c r="AP14" s="433" t="s">
        <v>531</v>
      </c>
      <c r="AQ14" s="19">
        <f>VLOOKUP(AP14,Construction!$B$46:$Y$66,(COLUMN(Construction_ProtectedAmountOfEachRssByStorehouse)-COLUMN(Construction_Name_and_Level)+1),FALSE)*4</f>
        <v>2400000</v>
      </c>
      <c r="AR14" s="18" t="s">
        <v>549</v>
      </c>
      <c r="AS14" s="5">
        <v>25</v>
      </c>
      <c r="AT14" s="2">
        <v>11</v>
      </c>
      <c r="AU14" s="2">
        <v>2640</v>
      </c>
      <c r="AV14" s="5">
        <f t="shared" si="3"/>
        <v>66000</v>
      </c>
      <c r="AW14" s="660">
        <f t="shared" si="4"/>
        <v>36.363636363636367</v>
      </c>
      <c r="AY14" s="433" t="s">
        <v>2037</v>
      </c>
      <c r="BB14" s="666"/>
      <c r="BC14" s="18" t="s">
        <v>2011</v>
      </c>
      <c r="BD14" s="5"/>
      <c r="BG14" s="5"/>
      <c r="BH14" s="660"/>
    </row>
    <row r="15" spans="2:60" ht="15" customHeight="1">
      <c r="B15" s="426">
        <v>12</v>
      </c>
      <c r="C15" s="7">
        <v>182200</v>
      </c>
      <c r="D15" s="7">
        <v>169000</v>
      </c>
      <c r="E15" s="7">
        <v>155900</v>
      </c>
      <c r="F15" s="18">
        <v>250600</v>
      </c>
      <c r="G15" s="527">
        <f t="shared" si="0"/>
        <v>757700</v>
      </c>
      <c r="H15" s="19">
        <v>38950</v>
      </c>
      <c r="I15" s="7">
        <v>572</v>
      </c>
      <c r="J15" s="7">
        <v>388</v>
      </c>
      <c r="K15" s="7">
        <v>583</v>
      </c>
      <c r="L15" s="7">
        <v>1134</v>
      </c>
      <c r="M15" s="527">
        <f t="shared" si="1"/>
        <v>2677</v>
      </c>
      <c r="N15" s="19">
        <v>385</v>
      </c>
      <c r="O15" s="7">
        <v>41000</v>
      </c>
      <c r="P15" s="7">
        <v>33000</v>
      </c>
      <c r="Q15" s="7">
        <v>42000</v>
      </c>
      <c r="R15" s="7">
        <v>60000</v>
      </c>
      <c r="S15" s="19">
        <v>33000</v>
      </c>
      <c r="T15" s="19">
        <v>5</v>
      </c>
      <c r="U15" s="18" t="s">
        <v>1068</v>
      </c>
      <c r="V15" s="601">
        <f>VLOOKUP($U15,Construction!$B$46:$Y$66,(COLUMN(Construction_ProtectedAmountOfEachRssByStorehouse)-COLUMN(Construction_Name_and_Level)+1),FALSE)*4</f>
        <v>1000000</v>
      </c>
      <c r="W15" s="601">
        <f t="shared" si="2"/>
        <v>373.55248412401943</v>
      </c>
      <c r="AP15" s="433" t="s">
        <v>532</v>
      </c>
      <c r="AQ15" s="19">
        <f>VLOOKUP(AP15,Construction!$B$46:$Y$66,(COLUMN(Construction_ProtectedAmountOfEachRssByStorehouse)-COLUMN(Construction_Name_and_Level)+1),FALSE)*4</f>
        <v>2600000</v>
      </c>
      <c r="AR15" s="18" t="s">
        <v>550</v>
      </c>
      <c r="AS15" s="5">
        <v>25</v>
      </c>
      <c r="AT15" s="2">
        <v>12</v>
      </c>
      <c r="AU15" s="2">
        <v>3120</v>
      </c>
      <c r="AV15" s="5">
        <f t="shared" si="3"/>
        <v>78000</v>
      </c>
      <c r="AW15" s="660">
        <f t="shared" si="4"/>
        <v>33.333333333333336</v>
      </c>
      <c r="AY15" s="433" t="s">
        <v>2038</v>
      </c>
      <c r="BB15" s="666"/>
      <c r="BC15" s="18" t="s">
        <v>2012</v>
      </c>
      <c r="BD15" s="5"/>
      <c r="BG15" s="5"/>
      <c r="BH15" s="660"/>
    </row>
    <row r="16" spans="2:60" ht="15" customHeight="1">
      <c r="B16" s="426">
        <v>13</v>
      </c>
      <c r="C16" s="7">
        <v>182600</v>
      </c>
      <c r="D16" s="7">
        <v>169500</v>
      </c>
      <c r="E16" s="7">
        <v>157000</v>
      </c>
      <c r="F16" s="18">
        <v>245900</v>
      </c>
      <c r="G16" s="527">
        <f t="shared" si="0"/>
        <v>755000</v>
      </c>
      <c r="H16" s="19">
        <v>34350</v>
      </c>
      <c r="I16" s="7">
        <v>756</v>
      </c>
      <c r="J16" s="7">
        <v>363</v>
      </c>
      <c r="K16" s="7">
        <v>583</v>
      </c>
      <c r="L16" s="7">
        <v>1089</v>
      </c>
      <c r="M16" s="527">
        <f t="shared" si="1"/>
        <v>2791</v>
      </c>
      <c r="N16" s="19">
        <v>360</v>
      </c>
      <c r="O16" s="7">
        <v>51000</v>
      </c>
      <c r="P16" s="7">
        <v>33000</v>
      </c>
      <c r="Q16" s="7">
        <v>42000</v>
      </c>
      <c r="R16" s="7">
        <v>60000</v>
      </c>
      <c r="S16" s="19">
        <v>33000</v>
      </c>
      <c r="T16" s="19">
        <v>5</v>
      </c>
      <c r="U16" s="18" t="s">
        <v>1068</v>
      </c>
      <c r="V16" s="601">
        <f>VLOOKUP($U16,Construction!$B$46:$Y$66,(COLUMN(Construction_ProtectedAmountOfEachRssByStorehouse)-COLUMN(Construction_Name_and_Level)+1),FALSE)*4</f>
        <v>1000000</v>
      </c>
      <c r="W16" s="601">
        <f t="shared" si="2"/>
        <v>358.29451809387314</v>
      </c>
      <c r="AP16" s="433" t="s">
        <v>533</v>
      </c>
      <c r="AQ16" s="19">
        <f>VLOOKUP(AP16,Construction!$B$46:$Y$66,(COLUMN(Construction_ProtectedAmountOfEachRssByStorehouse)-COLUMN(Construction_Name_and_Level)+1),FALSE)*4</f>
        <v>2800000</v>
      </c>
      <c r="AR16" s="18" t="s">
        <v>551</v>
      </c>
      <c r="AS16" s="5">
        <v>25</v>
      </c>
      <c r="AT16" s="2">
        <v>13</v>
      </c>
      <c r="AU16" s="2">
        <v>3640</v>
      </c>
      <c r="AV16" s="5">
        <f t="shared" si="3"/>
        <v>91000</v>
      </c>
      <c r="AW16" s="660">
        <f t="shared" si="4"/>
        <v>30.76923076923077</v>
      </c>
      <c r="AY16" s="433" t="s">
        <v>2039</v>
      </c>
      <c r="BB16" s="666"/>
      <c r="BC16" s="18" t="s">
        <v>2013</v>
      </c>
      <c r="BD16" s="5"/>
      <c r="BG16" s="5"/>
      <c r="BH16" s="660"/>
    </row>
    <row r="17" spans="2:60" ht="15" customHeight="1">
      <c r="B17" s="426">
        <v>14</v>
      </c>
      <c r="C17" s="7">
        <v>166800</v>
      </c>
      <c r="D17" s="7">
        <v>163500</v>
      </c>
      <c r="E17" s="7">
        <v>173100</v>
      </c>
      <c r="F17" s="18">
        <v>271500</v>
      </c>
      <c r="G17" s="527">
        <f t="shared" si="0"/>
        <v>774900</v>
      </c>
      <c r="H17" s="19">
        <v>28950</v>
      </c>
      <c r="I17" s="7">
        <v>756</v>
      </c>
      <c r="J17" s="7">
        <v>363</v>
      </c>
      <c r="K17" s="7">
        <v>727</v>
      </c>
      <c r="L17" s="7">
        <v>1089</v>
      </c>
      <c r="M17" s="527">
        <f t="shared" si="1"/>
        <v>2935</v>
      </c>
      <c r="N17" s="19">
        <v>360</v>
      </c>
      <c r="O17" s="7">
        <v>51000</v>
      </c>
      <c r="P17" s="7">
        <v>33000</v>
      </c>
      <c r="Q17" s="7">
        <v>51000</v>
      </c>
      <c r="R17" s="7">
        <v>60000</v>
      </c>
      <c r="S17" s="19">
        <v>33000</v>
      </c>
      <c r="T17" s="19">
        <v>6</v>
      </c>
      <c r="U17" s="18" t="s">
        <v>613</v>
      </c>
      <c r="V17" s="601">
        <f>VLOOKUP($U17,Construction!$B$46:$Y$66,(COLUMN(Construction_ProtectedAmountOfEachRssByStorehouse)-COLUMN(Construction_Name_and_Level)+1),FALSE)*4</f>
        <v>1200000</v>
      </c>
      <c r="W17" s="601">
        <f t="shared" si="2"/>
        <v>408.85860306643951</v>
      </c>
      <c r="AP17" s="433" t="s">
        <v>534</v>
      </c>
      <c r="AQ17" s="19">
        <f>VLOOKUP(AP17,Construction!$B$46:$Y$66,(COLUMN(Construction_ProtectedAmountOfEachRssByStorehouse)-COLUMN(Construction_Name_and_Level)+1),FALSE)*4</f>
        <v>3000000</v>
      </c>
      <c r="AR17" s="18" t="s">
        <v>552</v>
      </c>
      <c r="AS17" s="5">
        <v>25</v>
      </c>
      <c r="AT17" s="2">
        <v>14</v>
      </c>
      <c r="AU17" s="2">
        <v>4200</v>
      </c>
      <c r="AV17" s="5">
        <f t="shared" si="3"/>
        <v>105000</v>
      </c>
      <c r="AW17" s="660">
        <f t="shared" si="4"/>
        <v>28.571428571428573</v>
      </c>
      <c r="AY17" s="433" t="s">
        <v>2040</v>
      </c>
      <c r="BB17" s="666"/>
      <c r="BC17" s="18" t="s">
        <v>2014</v>
      </c>
      <c r="BD17" s="5"/>
      <c r="BG17" s="5"/>
      <c r="BH17" s="660"/>
    </row>
    <row r="18" spans="2:60" ht="15" customHeight="1">
      <c r="B18" s="426">
        <v>15</v>
      </c>
      <c r="C18" s="7">
        <v>208000</v>
      </c>
      <c r="D18" s="7">
        <v>239900</v>
      </c>
      <c r="E18" s="7">
        <v>269500</v>
      </c>
      <c r="F18" s="18">
        <v>327000</v>
      </c>
      <c r="G18" s="527">
        <f t="shared" si="0"/>
        <v>1044400</v>
      </c>
      <c r="H18" s="19">
        <v>58550</v>
      </c>
      <c r="I18" s="7">
        <v>1008</v>
      </c>
      <c r="J18" s="7">
        <v>969</v>
      </c>
      <c r="K18" s="7">
        <v>763</v>
      </c>
      <c r="L18" s="7">
        <v>1089</v>
      </c>
      <c r="M18" s="527">
        <f t="shared" si="1"/>
        <v>3829</v>
      </c>
      <c r="N18" s="19">
        <v>360</v>
      </c>
      <c r="O18" s="7">
        <v>63000</v>
      </c>
      <c r="P18" s="7">
        <v>63000</v>
      </c>
      <c r="Q18" s="7">
        <v>51000</v>
      </c>
      <c r="R18" s="7">
        <v>60000</v>
      </c>
      <c r="S18" s="19">
        <v>33000</v>
      </c>
      <c r="T18" s="19">
        <v>6</v>
      </c>
      <c r="U18" s="18" t="s">
        <v>613</v>
      </c>
      <c r="V18" s="601">
        <f>VLOOKUP($U18,Construction!$B$46:$Y$66,(COLUMN(Construction_ProtectedAmountOfEachRssByStorehouse)-COLUMN(Construction_Name_and_Level)+1),FALSE)*4</f>
        <v>1200000</v>
      </c>
      <c r="W18" s="601">
        <f t="shared" si="2"/>
        <v>313.39775398276311</v>
      </c>
      <c r="AP18" s="433" t="s">
        <v>535</v>
      </c>
      <c r="AQ18" s="19">
        <f>VLOOKUP(AP18,Construction!$B$46:$Y$66,(COLUMN(Construction_ProtectedAmountOfEachRssByStorehouse)-COLUMN(Construction_Name_and_Level)+1),FALSE)*4</f>
        <v>3200000</v>
      </c>
      <c r="AR18" s="18" t="s">
        <v>553</v>
      </c>
      <c r="AS18" s="5">
        <v>25</v>
      </c>
      <c r="AT18" s="2">
        <v>15</v>
      </c>
      <c r="AU18" s="2">
        <v>4800</v>
      </c>
      <c r="AV18" s="5">
        <f t="shared" si="3"/>
        <v>120000</v>
      </c>
      <c r="AW18" s="660">
        <f t="shared" si="4"/>
        <v>26.666666666666668</v>
      </c>
      <c r="AY18" s="433" t="s">
        <v>2041</v>
      </c>
      <c r="BB18" s="666"/>
      <c r="BC18" s="18" t="s">
        <v>2015</v>
      </c>
      <c r="BD18" s="5"/>
      <c r="BG18" s="5"/>
      <c r="BH18" s="660"/>
    </row>
    <row r="19" spans="2:60" ht="15" customHeight="1">
      <c r="B19" s="426">
        <v>16</v>
      </c>
      <c r="C19" s="7">
        <v>191500</v>
      </c>
      <c r="D19" s="7">
        <v>237500</v>
      </c>
      <c r="E19" s="7">
        <v>276200</v>
      </c>
      <c r="F19" s="18">
        <v>279200</v>
      </c>
      <c r="G19" s="527">
        <f t="shared" si="0"/>
        <v>984400</v>
      </c>
      <c r="H19" s="19">
        <v>73330</v>
      </c>
      <c r="I19" s="7">
        <v>2772</v>
      </c>
      <c r="J19" s="7">
        <v>2719</v>
      </c>
      <c r="K19" s="7">
        <v>2098</v>
      </c>
      <c r="L19" s="7">
        <v>5208</v>
      </c>
      <c r="M19" s="527">
        <f t="shared" si="1"/>
        <v>12797</v>
      </c>
      <c r="N19" s="19">
        <v>1400</v>
      </c>
      <c r="O19" s="7">
        <v>147000</v>
      </c>
      <c r="P19" s="7">
        <v>147000</v>
      </c>
      <c r="Q19" s="7">
        <v>114000</v>
      </c>
      <c r="R19" s="7">
        <v>225000</v>
      </c>
      <c r="S19" s="19">
        <v>80000</v>
      </c>
      <c r="T19" s="19">
        <v>7</v>
      </c>
      <c r="U19" s="18" t="s">
        <v>744</v>
      </c>
      <c r="V19" s="601">
        <f>VLOOKUP($U19,Construction!$B$46:$Y$66,(COLUMN(Construction_ProtectedAmountOfEachRssByStorehouse)-COLUMN(Construction_Name_and_Level)+1),FALSE)*4</f>
        <v>1400000</v>
      </c>
      <c r="W19" s="601">
        <f t="shared" si="2"/>
        <v>109.40064077518169</v>
      </c>
      <c r="AP19" s="433" t="s">
        <v>536</v>
      </c>
      <c r="AQ19" s="19">
        <f>VLOOKUP(AP19,Construction!$B$46:$Y$66,(COLUMN(Construction_ProtectedAmountOfEachRssByStorehouse)-COLUMN(Construction_Name_and_Level)+1),FALSE)*4</f>
        <v>3400000</v>
      </c>
      <c r="AR19" s="18" t="s">
        <v>554</v>
      </c>
      <c r="AS19" s="5">
        <v>25</v>
      </c>
      <c r="AT19" s="2">
        <v>16</v>
      </c>
      <c r="AU19" s="2">
        <v>5440</v>
      </c>
      <c r="AV19" s="5">
        <f t="shared" si="3"/>
        <v>136000</v>
      </c>
      <c r="AW19" s="660">
        <f t="shared" si="4"/>
        <v>25</v>
      </c>
      <c r="AY19" s="433" t="s">
        <v>2042</v>
      </c>
      <c r="BB19" s="666"/>
      <c r="BC19" s="18" t="s">
        <v>2016</v>
      </c>
      <c r="BD19" s="5"/>
      <c r="BG19" s="5"/>
      <c r="BH19" s="660"/>
    </row>
    <row r="20" spans="2:60" ht="15" customHeight="1">
      <c r="B20" s="426">
        <v>17</v>
      </c>
      <c r="C20" s="7">
        <v>147000</v>
      </c>
      <c r="D20" s="7">
        <v>147000</v>
      </c>
      <c r="E20" s="7">
        <v>199400</v>
      </c>
      <c r="F20" s="18">
        <v>400000</v>
      </c>
      <c r="G20" s="527">
        <f t="shared" si="0"/>
        <v>893400</v>
      </c>
      <c r="H20" s="19">
        <v>116500</v>
      </c>
      <c r="I20" s="7">
        <v>2772</v>
      </c>
      <c r="J20" s="7">
        <v>2719</v>
      </c>
      <c r="K20" s="7">
        <v>2321</v>
      </c>
      <c r="L20" s="7">
        <v>5208</v>
      </c>
      <c r="M20" s="527">
        <f t="shared" si="1"/>
        <v>13020</v>
      </c>
      <c r="N20" s="19">
        <v>1680</v>
      </c>
      <c r="O20" s="7">
        <v>147000</v>
      </c>
      <c r="P20" s="7">
        <v>147000</v>
      </c>
      <c r="Q20" s="7">
        <v>135000</v>
      </c>
      <c r="R20" s="7">
        <v>225000</v>
      </c>
      <c r="S20" s="19">
        <v>99000</v>
      </c>
      <c r="T20" s="19">
        <v>7</v>
      </c>
      <c r="U20" s="18" t="s">
        <v>744</v>
      </c>
      <c r="V20" s="601">
        <f>VLOOKUP($U20,Construction!$B$46:$Y$66,(COLUMN(Construction_ProtectedAmountOfEachRssByStorehouse)-COLUMN(Construction_Name_and_Level)+1),FALSE)*4</f>
        <v>1400000</v>
      </c>
      <c r="W20" s="601">
        <f t="shared" si="2"/>
        <v>107.52688172043011</v>
      </c>
      <c r="AP20" s="433" t="s">
        <v>537</v>
      </c>
      <c r="AQ20" s="19">
        <f>VLOOKUP(AP20,Construction!$B$46:$Y$66,(COLUMN(Construction_ProtectedAmountOfEachRssByStorehouse)-COLUMN(Construction_Name_and_Level)+1),FALSE)*4</f>
        <v>3600000</v>
      </c>
      <c r="AR20" s="18" t="s">
        <v>555</v>
      </c>
      <c r="AS20" s="5">
        <v>25</v>
      </c>
      <c r="AT20" s="2">
        <v>17</v>
      </c>
      <c r="AU20" s="2">
        <v>6120</v>
      </c>
      <c r="AV20" s="5">
        <f t="shared" si="3"/>
        <v>153000</v>
      </c>
      <c r="AW20" s="660">
        <f t="shared" si="4"/>
        <v>23.529411764705884</v>
      </c>
      <c r="AY20" s="433" t="s">
        <v>2043</v>
      </c>
      <c r="BB20" s="666"/>
      <c r="BC20" s="18" t="s">
        <v>2017</v>
      </c>
      <c r="BD20" s="5"/>
      <c r="BG20" s="5"/>
      <c r="BH20" s="660"/>
    </row>
    <row r="21" spans="2:60" ht="15" customHeight="1">
      <c r="B21" s="426">
        <v>18</v>
      </c>
      <c r="C21" s="7">
        <v>204600</v>
      </c>
      <c r="D21" s="7">
        <v>178900</v>
      </c>
      <c r="E21" s="7">
        <v>250200</v>
      </c>
      <c r="F21" s="18">
        <v>426300</v>
      </c>
      <c r="G21" s="527">
        <f t="shared" si="0"/>
        <v>1060000</v>
      </c>
      <c r="H21" s="19">
        <v>142300</v>
      </c>
      <c r="I21" s="7">
        <v>3906</v>
      </c>
      <c r="J21" s="7">
        <v>4326</v>
      </c>
      <c r="K21" s="7">
        <v>3370</v>
      </c>
      <c r="L21" s="7">
        <v>8370</v>
      </c>
      <c r="M21" s="527">
        <f t="shared" si="1"/>
        <v>19972</v>
      </c>
      <c r="N21" s="19">
        <v>1680</v>
      </c>
      <c r="O21" s="7">
        <v>201000</v>
      </c>
      <c r="P21" s="7">
        <v>225000</v>
      </c>
      <c r="Q21" s="7">
        <v>184500</v>
      </c>
      <c r="R21" s="7">
        <v>352500</v>
      </c>
      <c r="S21" s="19">
        <v>99000</v>
      </c>
      <c r="T21" s="19">
        <v>8</v>
      </c>
      <c r="U21" s="18" t="s">
        <v>765</v>
      </c>
      <c r="V21" s="601">
        <f>VLOOKUP($U21,Construction!$B$46:$Y$66,(COLUMN(Construction_ProtectedAmountOfEachRssByStorehouse)-COLUMN(Construction_Name_and_Level)+1),FALSE)*4</f>
        <v>1600000</v>
      </c>
      <c r="W21" s="601">
        <f t="shared" si="2"/>
        <v>80.112157019827762</v>
      </c>
      <c r="AP21" s="433" t="s">
        <v>538</v>
      </c>
      <c r="AQ21" s="19">
        <f>VLOOKUP(AP21,Construction!$B$46:$Y$66,(COLUMN(Construction_ProtectedAmountOfEachRssByStorehouse)-COLUMN(Construction_Name_and_Level)+1),FALSE)*4</f>
        <v>3800000</v>
      </c>
      <c r="AR21" s="18" t="s">
        <v>556</v>
      </c>
      <c r="AS21" s="5">
        <v>25</v>
      </c>
      <c r="AT21" s="2">
        <v>18</v>
      </c>
      <c r="AU21" s="11">
        <v>6840</v>
      </c>
      <c r="AV21" s="5">
        <f t="shared" si="3"/>
        <v>171000</v>
      </c>
      <c r="AW21" s="660">
        <f t="shared" si="4"/>
        <v>22.222222222222221</v>
      </c>
      <c r="AY21" s="433" t="s">
        <v>2044</v>
      </c>
      <c r="BB21" s="666"/>
      <c r="BC21" s="18" t="s">
        <v>2018</v>
      </c>
      <c r="BD21" s="5"/>
      <c r="BF21" s="11"/>
      <c r="BG21" s="5"/>
      <c r="BH21" s="660"/>
    </row>
    <row r="22" spans="2:60" ht="15" customHeight="1">
      <c r="B22" s="426">
        <v>19</v>
      </c>
      <c r="C22" s="7">
        <v>178900</v>
      </c>
      <c r="D22" s="7">
        <v>224900</v>
      </c>
      <c r="E22" s="7">
        <v>247000</v>
      </c>
      <c r="F22" s="18">
        <v>412600</v>
      </c>
      <c r="G22" s="527">
        <f t="shared" si="0"/>
        <v>1063400</v>
      </c>
      <c r="H22" s="19">
        <v>155200</v>
      </c>
      <c r="I22" s="7">
        <v>4203</v>
      </c>
      <c r="J22" s="7">
        <v>4662</v>
      </c>
      <c r="K22" s="7">
        <v>4104</v>
      </c>
      <c r="L22" s="7">
        <v>8910</v>
      </c>
      <c r="M22" s="527">
        <f t="shared" si="1"/>
        <v>21879</v>
      </c>
      <c r="N22" s="19">
        <v>1814</v>
      </c>
      <c r="O22" s="7">
        <v>201000</v>
      </c>
      <c r="P22" s="7">
        <v>225000</v>
      </c>
      <c r="Q22" s="7">
        <v>217500</v>
      </c>
      <c r="R22" s="7">
        <v>352500</v>
      </c>
      <c r="S22" s="19">
        <v>99000</v>
      </c>
      <c r="T22" s="19">
        <v>8</v>
      </c>
      <c r="U22" s="18" t="s">
        <v>765</v>
      </c>
      <c r="V22" s="601">
        <f>VLOOKUP($U22,Construction!$B$46:$Y$66,(COLUMN(Construction_ProtectedAmountOfEachRssByStorehouse)-COLUMN(Construction_Name_and_Level)+1),FALSE)*4</f>
        <v>1600000</v>
      </c>
      <c r="W22" s="601">
        <f t="shared" si="2"/>
        <v>73.129484894190782</v>
      </c>
      <c r="AP22" s="433" t="s">
        <v>539</v>
      </c>
      <c r="AQ22" s="19">
        <f>VLOOKUP(AP22,Construction!$B$46:$Y$66,(COLUMN(Construction_ProtectedAmountOfEachRssByStorehouse)-COLUMN(Construction_Name_and_Level)+1),FALSE)*4</f>
        <v>4000000</v>
      </c>
      <c r="AR22" s="18" t="s">
        <v>557</v>
      </c>
      <c r="AS22" s="5">
        <v>25</v>
      </c>
      <c r="AT22" s="2">
        <v>19</v>
      </c>
      <c r="AU22" s="11">
        <v>7600</v>
      </c>
      <c r="AV22" s="5">
        <f t="shared" si="3"/>
        <v>190000</v>
      </c>
      <c r="AW22" s="660">
        <f t="shared" si="4"/>
        <v>21.05263157894737</v>
      </c>
      <c r="AY22" s="433" t="s">
        <v>2045</v>
      </c>
      <c r="BB22" s="666"/>
      <c r="BC22" s="18" t="s">
        <v>2019</v>
      </c>
      <c r="BD22" s="5"/>
      <c r="BF22" s="11"/>
      <c r="BG22" s="5"/>
      <c r="BH22" s="660"/>
    </row>
    <row r="23" spans="2:60" ht="15" customHeight="1">
      <c r="B23" s="426">
        <v>20</v>
      </c>
      <c r="C23" s="7">
        <v>266000</v>
      </c>
      <c r="D23" s="7">
        <v>384200</v>
      </c>
      <c r="E23" s="7">
        <v>306900</v>
      </c>
      <c r="F23" s="18">
        <v>941000</v>
      </c>
      <c r="G23" s="527">
        <f t="shared" si="0"/>
        <v>1898100</v>
      </c>
      <c r="H23" s="19">
        <v>179900</v>
      </c>
      <c r="I23" s="7">
        <v>4054</v>
      </c>
      <c r="J23" s="7">
        <v>4902</v>
      </c>
      <c r="K23" s="7">
        <v>4770</v>
      </c>
      <c r="L23" s="7">
        <v>9176</v>
      </c>
      <c r="M23" s="527">
        <f t="shared" si="1"/>
        <v>22902</v>
      </c>
      <c r="N23" s="19">
        <v>2240</v>
      </c>
      <c r="O23" s="7">
        <v>201000</v>
      </c>
      <c r="P23" s="7">
        <v>281000</v>
      </c>
      <c r="Q23" s="7">
        <v>307500</v>
      </c>
      <c r="R23" s="7">
        <v>402500</v>
      </c>
      <c r="S23" s="19">
        <v>155000</v>
      </c>
      <c r="T23" s="19">
        <v>8</v>
      </c>
      <c r="U23" s="18" t="s">
        <v>887</v>
      </c>
      <c r="V23" s="601">
        <f>VLOOKUP($U23,Construction!$B$46:$Y$66,(COLUMN(Construction_ProtectedAmountOfEachRssByStorehouse)-COLUMN(Construction_Name_and_Level)+1),FALSE)*4</f>
        <v>1800000</v>
      </c>
      <c r="W23" s="601">
        <f t="shared" si="2"/>
        <v>78.595755829185222</v>
      </c>
      <c r="AP23" s="433" t="s">
        <v>540</v>
      </c>
      <c r="AQ23" s="19">
        <f>VLOOKUP(AP23,Construction!$B$46:$Y$66,(COLUMN(Construction_ProtectedAmountOfEachRssByStorehouse)-COLUMN(Construction_Name_and_Level)+1),FALSE)*4</f>
        <v>4400000</v>
      </c>
      <c r="AR23" s="18" t="s">
        <v>558</v>
      </c>
      <c r="AS23" s="5">
        <v>25</v>
      </c>
      <c r="AT23" s="2">
        <v>20</v>
      </c>
      <c r="AU23" s="11">
        <v>8400</v>
      </c>
      <c r="AV23" s="5">
        <f t="shared" si="3"/>
        <v>210000</v>
      </c>
      <c r="AW23" s="660">
        <f t="shared" si="4"/>
        <v>20.952380952380953</v>
      </c>
      <c r="AY23" s="433" t="s">
        <v>2046</v>
      </c>
      <c r="BB23" s="666"/>
      <c r="BC23" s="18" t="s">
        <v>2020</v>
      </c>
      <c r="BD23" s="5"/>
      <c r="BF23" s="11"/>
      <c r="BG23" s="5"/>
      <c r="BH23" s="660"/>
    </row>
    <row r="24" spans="2:60" ht="15" customHeight="1">
      <c r="B24" s="426">
        <v>21</v>
      </c>
      <c r="C24" s="7">
        <v>229200</v>
      </c>
      <c r="D24" s="7">
        <v>215100</v>
      </c>
      <c r="E24" s="7">
        <v>368100</v>
      </c>
      <c r="F24" s="18">
        <v>527300</v>
      </c>
      <c r="G24" s="527">
        <f t="shared" si="0"/>
        <v>1339700</v>
      </c>
      <c r="H24" s="19">
        <v>189500</v>
      </c>
      <c r="I24" s="7">
        <v>6147</v>
      </c>
      <c r="J24" s="7">
        <v>7318</v>
      </c>
      <c r="K24" s="7">
        <v>5437</v>
      </c>
      <c r="L24" s="7">
        <v>11664</v>
      </c>
      <c r="M24" s="527">
        <f t="shared" si="1"/>
        <v>30566</v>
      </c>
      <c r="N24" s="19">
        <v>3564</v>
      </c>
      <c r="O24" s="7">
        <v>327000</v>
      </c>
      <c r="P24" s="7">
        <v>447000</v>
      </c>
      <c r="Q24" s="7">
        <v>339000</v>
      </c>
      <c r="R24" s="7">
        <v>457500</v>
      </c>
      <c r="S24" s="19">
        <v>213000</v>
      </c>
      <c r="T24" s="19">
        <v>8</v>
      </c>
      <c r="U24" s="18" t="s">
        <v>887</v>
      </c>
      <c r="V24" s="601">
        <f>VLOOKUP($U24,Construction!$B$46:$Y$66,(COLUMN(Construction_ProtectedAmountOfEachRssByStorehouse)-COLUMN(Construction_Name_and_Level)+1),FALSE)*4</f>
        <v>1800000</v>
      </c>
      <c r="W24" s="601">
        <f t="shared" si="2"/>
        <v>58.888961591310604</v>
      </c>
      <c r="AP24" s="653" t="s">
        <v>541</v>
      </c>
      <c r="AQ24" s="26">
        <f>VLOOKUP(AP24,Construction!$B$46:$Y$66,(COLUMN(Construction_ProtectedAmountOfEachRssByStorehouse)-COLUMN(Construction_Name_and_Level)+1),FALSE)*4</f>
        <v>8000000</v>
      </c>
      <c r="AR24" s="25" t="s">
        <v>559</v>
      </c>
      <c r="AS24" s="24">
        <v>25</v>
      </c>
      <c r="AT24" s="27">
        <v>21</v>
      </c>
      <c r="AU24" s="27">
        <v>16800</v>
      </c>
      <c r="AV24" s="24">
        <f t="shared" si="3"/>
        <v>420000</v>
      </c>
      <c r="AW24" s="661">
        <f t="shared" si="4"/>
        <v>19.047619047619047</v>
      </c>
      <c r="AY24" s="653" t="s">
        <v>2047</v>
      </c>
      <c r="AZ24" s="25"/>
      <c r="BA24" s="195"/>
      <c r="BB24" s="667"/>
      <c r="BC24" s="25" t="s">
        <v>2021</v>
      </c>
      <c r="BD24" s="24"/>
      <c r="BE24" s="27"/>
      <c r="BF24" s="27"/>
      <c r="BG24" s="24"/>
      <c r="BH24" s="661"/>
    </row>
    <row r="25" spans="2:60" ht="15" customHeight="1">
      <c r="B25" s="426">
        <v>22</v>
      </c>
      <c r="C25" s="7">
        <v>316000</v>
      </c>
      <c r="D25" s="7">
        <v>342000</v>
      </c>
      <c r="E25" s="7">
        <v>359600</v>
      </c>
      <c r="F25" s="18">
        <v>457500</v>
      </c>
      <c r="G25" s="527">
        <f t="shared" si="0"/>
        <v>1475100</v>
      </c>
      <c r="H25" s="19">
        <v>204400</v>
      </c>
      <c r="I25" s="7">
        <v>6867</v>
      </c>
      <c r="J25" s="7">
        <v>8184</v>
      </c>
      <c r="K25" s="7">
        <v>5660</v>
      </c>
      <c r="L25" s="7">
        <v>11664</v>
      </c>
      <c r="M25" s="527">
        <f t="shared" si="1"/>
        <v>32375</v>
      </c>
      <c r="N25" s="19">
        <v>4246</v>
      </c>
      <c r="O25" s="7">
        <v>355000</v>
      </c>
      <c r="P25" s="7">
        <v>507000</v>
      </c>
      <c r="Q25" s="7">
        <v>360000</v>
      </c>
      <c r="R25" s="7">
        <v>457500</v>
      </c>
      <c r="S25" s="19">
        <v>275000</v>
      </c>
      <c r="T25" s="19">
        <v>8</v>
      </c>
      <c r="U25" s="18" t="s">
        <v>887</v>
      </c>
      <c r="V25" s="601">
        <f>VLOOKUP($U25,Construction!$B$46:$Y$66,(COLUMN(Construction_ProtectedAmountOfEachRssByStorehouse)-COLUMN(Construction_Name_and_Level)+1),FALSE)*4</f>
        <v>1800000</v>
      </c>
      <c r="W25" s="601">
        <f t="shared" si="2"/>
        <v>55.598455598455601</v>
      </c>
      <c r="AP25" s="18"/>
      <c r="AY25" s="18"/>
    </row>
    <row r="26" spans="2:60" ht="15" customHeight="1">
      <c r="B26" s="426">
        <v>23</v>
      </c>
      <c r="C26" s="7">
        <v>376800</v>
      </c>
      <c r="D26" s="7">
        <v>477100</v>
      </c>
      <c r="E26" s="7">
        <v>506900</v>
      </c>
      <c r="F26" s="18">
        <v>531800</v>
      </c>
      <c r="G26" s="527">
        <f t="shared" si="0"/>
        <v>1892600</v>
      </c>
      <c r="H26" s="19">
        <v>355900</v>
      </c>
      <c r="I26" s="7">
        <v>8174</v>
      </c>
      <c r="J26" s="7">
        <v>8184</v>
      </c>
      <c r="K26" s="7">
        <v>5946</v>
      </c>
      <c r="L26" s="7">
        <v>10800</v>
      </c>
      <c r="M26" s="527">
        <f t="shared" si="1"/>
        <v>33104</v>
      </c>
      <c r="N26" s="19">
        <v>4246</v>
      </c>
      <c r="O26" s="7">
        <v>387000</v>
      </c>
      <c r="P26" s="7">
        <v>507000</v>
      </c>
      <c r="Q26" s="7">
        <v>387000</v>
      </c>
      <c r="R26" s="7">
        <v>450000</v>
      </c>
      <c r="S26" s="19">
        <v>275000</v>
      </c>
      <c r="T26" s="19">
        <v>9</v>
      </c>
      <c r="U26" s="18" t="s">
        <v>1066</v>
      </c>
      <c r="V26" s="601">
        <f>VLOOKUP($U26,Construction!$B$46:$Y$66,(COLUMN(Construction_ProtectedAmountOfEachRssByStorehouse)-COLUMN(Construction_Name_and_Level)+1),FALSE)*4</f>
        <v>2000000</v>
      </c>
      <c r="W26" s="601">
        <f t="shared" si="2"/>
        <v>60.415659739004347</v>
      </c>
      <c r="AP26" s="18"/>
      <c r="AY26" s="18"/>
    </row>
    <row r="27" spans="2:60" ht="15" customHeight="1">
      <c r="B27" s="426">
        <v>24</v>
      </c>
      <c r="C27" s="2">
        <v>423000</v>
      </c>
      <c r="D27" s="2">
        <v>497900</v>
      </c>
      <c r="E27" s="2">
        <v>432300</v>
      </c>
      <c r="F27" s="2">
        <v>442900</v>
      </c>
      <c r="G27" s="527">
        <f t="shared" si="0"/>
        <v>1796100</v>
      </c>
      <c r="H27" s="5">
        <v>198900</v>
      </c>
      <c r="I27" s="2">
        <v>10032</v>
      </c>
      <c r="J27" s="2">
        <v>8184</v>
      </c>
      <c r="K27" s="2">
        <v>5946</v>
      </c>
      <c r="L27" s="2">
        <v>11100</v>
      </c>
      <c r="M27" s="527">
        <f>SUM(I27:L27)</f>
        <v>35262</v>
      </c>
      <c r="N27" s="5">
        <v>4422</v>
      </c>
      <c r="O27" s="2">
        <v>423000</v>
      </c>
      <c r="P27" s="2">
        <v>507000</v>
      </c>
      <c r="Q27" s="2">
        <v>387000</v>
      </c>
      <c r="R27" s="11">
        <v>450000</v>
      </c>
      <c r="S27" s="5">
        <v>291000</v>
      </c>
      <c r="T27" s="5">
        <v>9</v>
      </c>
      <c r="U27" s="18" t="s">
        <v>1066</v>
      </c>
      <c r="V27" s="601">
        <f>VLOOKUP($U27,Construction!$B$46:$Y$66,(COLUMN(Construction_ProtectedAmountOfEachRssByStorehouse)-COLUMN(Construction_Name_and_Level)+1),FALSE)*4</f>
        <v>2000000</v>
      </c>
      <c r="W27" s="601">
        <f t="shared" si="2"/>
        <v>56.718280301741252</v>
      </c>
      <c r="AP27" s="18"/>
      <c r="AY27" s="18"/>
    </row>
    <row r="28" spans="2:60" ht="15" customHeight="1">
      <c r="B28" s="426">
        <v>25</v>
      </c>
      <c r="C28" s="2">
        <v>424400</v>
      </c>
      <c r="D28" s="2">
        <v>398200</v>
      </c>
      <c r="E28" s="2">
        <v>351600</v>
      </c>
      <c r="F28" s="2">
        <v>304700</v>
      </c>
      <c r="G28" s="527">
        <f t="shared" si="0"/>
        <v>1478900</v>
      </c>
      <c r="H28" s="5">
        <v>295500</v>
      </c>
      <c r="I28" s="2">
        <v>10032</v>
      </c>
      <c r="J28" s="2">
        <v>8779</v>
      </c>
      <c r="K28" s="2">
        <v>5946</v>
      </c>
      <c r="L28" s="2">
        <v>11100</v>
      </c>
      <c r="M28" s="527">
        <f t="shared" si="1"/>
        <v>35857</v>
      </c>
      <c r="N28" s="5">
        <v>4422</v>
      </c>
      <c r="O28" s="2">
        <v>423000</v>
      </c>
      <c r="P28" s="2">
        <v>507000</v>
      </c>
      <c r="Q28" s="2">
        <v>387000</v>
      </c>
      <c r="R28" s="11">
        <v>450000</v>
      </c>
      <c r="S28" s="5">
        <v>291000</v>
      </c>
      <c r="T28" s="5">
        <v>10</v>
      </c>
      <c r="U28" s="18" t="s">
        <v>1066</v>
      </c>
      <c r="V28" s="601">
        <f>VLOOKUP($U28,Construction!$B$46:$Y$66,(COLUMN(Construction_ProtectedAmountOfEachRssByStorehouse)-COLUMN(Construction_Name_and_Level)+1),FALSE)*4</f>
        <v>2000000</v>
      </c>
      <c r="W28" s="601">
        <f t="shared" si="2"/>
        <v>55.777114649859165</v>
      </c>
      <c r="AP28" s="18"/>
      <c r="AY28" s="18"/>
    </row>
    <row r="29" spans="2:60" ht="15" customHeight="1">
      <c r="B29" s="426">
        <v>26</v>
      </c>
      <c r="C29" s="2">
        <v>507700</v>
      </c>
      <c r="D29" s="2">
        <v>431100</v>
      </c>
      <c r="E29" s="2">
        <v>348100</v>
      </c>
      <c r="F29" s="2">
        <v>281100</v>
      </c>
      <c r="G29" s="527">
        <f t="shared" si="0"/>
        <v>1568000</v>
      </c>
      <c r="H29" s="5">
        <v>273700</v>
      </c>
      <c r="I29" s="2">
        <v>10150</v>
      </c>
      <c r="J29" s="2">
        <v>9760</v>
      </c>
      <c r="K29" s="2">
        <v>6110</v>
      </c>
      <c r="L29" s="2">
        <v>11310</v>
      </c>
      <c r="M29" s="527">
        <f t="shared" si="1"/>
        <v>37330</v>
      </c>
      <c r="N29" s="5">
        <v>4400</v>
      </c>
      <c r="O29" s="2">
        <v>463000</v>
      </c>
      <c r="P29" s="2">
        <v>543000</v>
      </c>
      <c r="Q29" s="2">
        <v>417000</v>
      </c>
      <c r="R29" s="11">
        <v>500000</v>
      </c>
      <c r="S29" s="5">
        <v>291000</v>
      </c>
      <c r="T29" s="5">
        <v>10</v>
      </c>
      <c r="U29" s="18" t="s">
        <v>1066</v>
      </c>
      <c r="V29" s="601">
        <f>VLOOKUP($U29,Construction!$B$46:$Y$66,(COLUMN(Construction_ProtectedAmountOfEachRssByStorehouse)-COLUMN(Construction_Name_and_Level)+1),FALSE)*4</f>
        <v>2000000</v>
      </c>
      <c r="W29" s="601">
        <f t="shared" si="2"/>
        <v>53.576212161800157</v>
      </c>
      <c r="AP29" s="18"/>
      <c r="AY29" s="18"/>
    </row>
    <row r="30" spans="2:60" ht="15" customHeight="1">
      <c r="B30" s="426">
        <v>27</v>
      </c>
      <c r="C30" s="2">
        <v>703600</v>
      </c>
      <c r="D30" s="2">
        <v>826100</v>
      </c>
      <c r="E30" s="2">
        <v>418800</v>
      </c>
      <c r="F30" s="2">
        <v>458600</v>
      </c>
      <c r="G30" s="527">
        <f t="shared" si="0"/>
        <v>2407100</v>
      </c>
      <c r="H30" s="5">
        <v>469700</v>
      </c>
      <c r="I30" s="2">
        <v>10640</v>
      </c>
      <c r="J30" s="2">
        <v>12136</v>
      </c>
      <c r="K30" s="2">
        <v>6323</v>
      </c>
      <c r="L30" s="2">
        <v>12358</v>
      </c>
      <c r="M30" s="527">
        <f t="shared" si="1"/>
        <v>41457</v>
      </c>
      <c r="N30" s="5">
        <v>4620</v>
      </c>
      <c r="O30" s="2">
        <v>463000</v>
      </c>
      <c r="P30" s="2">
        <v>583000</v>
      </c>
      <c r="Q30" s="2">
        <v>417000</v>
      </c>
      <c r="R30" s="11">
        <v>535000</v>
      </c>
      <c r="S30" s="5">
        <v>209000</v>
      </c>
      <c r="T30" s="5">
        <v>10</v>
      </c>
      <c r="U30" s="11" t="s">
        <v>1362</v>
      </c>
      <c r="V30" s="601">
        <f>VLOOKUP($U30,Construction!$B$46:$Y$66,(COLUMN(Construction_ProtectedAmountOfEachRssByStorehouse)-COLUMN(Construction_Name_and_Level)+1),FALSE)*4</f>
        <v>2200000</v>
      </c>
      <c r="W30" s="601">
        <f t="shared" si="2"/>
        <v>53.067033311624094</v>
      </c>
    </row>
    <row r="31" spans="2:60" ht="15" customHeight="1">
      <c r="B31" s="426">
        <v>28</v>
      </c>
      <c r="C31" s="2">
        <v>444900</v>
      </c>
      <c r="D31" s="2">
        <v>430500</v>
      </c>
      <c r="E31" s="2">
        <v>466900</v>
      </c>
      <c r="F31" s="2">
        <v>118600</v>
      </c>
      <c r="G31" s="527">
        <f t="shared" si="0"/>
        <v>1460900</v>
      </c>
      <c r="H31" s="5">
        <v>74720</v>
      </c>
      <c r="I31" s="2">
        <v>12183</v>
      </c>
      <c r="J31" s="2">
        <v>12464</v>
      </c>
      <c r="K31" s="2">
        <v>6855</v>
      </c>
      <c r="L31" s="2">
        <v>15988</v>
      </c>
      <c r="M31" s="527">
        <f t="shared" si="1"/>
        <v>47490</v>
      </c>
      <c r="N31" s="5">
        <v>4840</v>
      </c>
      <c r="O31" s="2">
        <v>539000</v>
      </c>
      <c r="P31" s="2">
        <v>583000</v>
      </c>
      <c r="Q31" s="2">
        <v>417000</v>
      </c>
      <c r="R31" s="11">
        <v>745000</v>
      </c>
      <c r="S31" s="5">
        <v>329000</v>
      </c>
      <c r="T31" s="5">
        <v>10</v>
      </c>
      <c r="U31" s="11" t="s">
        <v>1362</v>
      </c>
      <c r="V31" s="601">
        <f>VLOOKUP($U31,Construction!$B$46:$Y$66,(COLUMN(Construction_ProtectedAmountOfEachRssByStorehouse)-COLUMN(Construction_Name_and_Level)+1),FALSE)*4</f>
        <v>2200000</v>
      </c>
      <c r="W31" s="601">
        <f t="shared" si="2"/>
        <v>46.325542219414615</v>
      </c>
    </row>
    <row r="32" spans="2:60" ht="15" customHeight="1">
      <c r="B32" s="426">
        <v>29</v>
      </c>
      <c r="C32" s="2">
        <v>665300</v>
      </c>
      <c r="D32" s="2">
        <v>1204500</v>
      </c>
      <c r="E32" s="2">
        <v>415200</v>
      </c>
      <c r="F32" s="2">
        <v>248800</v>
      </c>
      <c r="G32" s="527">
        <f t="shared" si="0"/>
        <v>2533800</v>
      </c>
      <c r="H32" s="5">
        <v>326500</v>
      </c>
      <c r="I32" s="2">
        <v>12183</v>
      </c>
      <c r="J32" s="2">
        <v>12464</v>
      </c>
      <c r="K32" s="2">
        <v>7683</v>
      </c>
      <c r="L32" s="2">
        <v>17442</v>
      </c>
      <c r="M32" s="527">
        <f t="shared" si="1"/>
        <v>49772</v>
      </c>
      <c r="N32" s="5">
        <v>5258</v>
      </c>
      <c r="O32" s="2">
        <v>539000</v>
      </c>
      <c r="P32" s="2">
        <v>583000</v>
      </c>
      <c r="Q32" s="2">
        <v>417000</v>
      </c>
      <c r="R32" s="11">
        <v>840000</v>
      </c>
      <c r="S32" s="5">
        <v>367000</v>
      </c>
      <c r="T32" s="5">
        <v>11</v>
      </c>
      <c r="U32" s="11" t="s">
        <v>1362</v>
      </c>
      <c r="V32" s="601">
        <f>VLOOKUP($U32,Construction!$B$46:$Y$66,(COLUMN(Construction_ProtectedAmountOfEachRssByStorehouse)-COLUMN(Construction_Name_and_Level)+1),FALSE)*4</f>
        <v>2200000</v>
      </c>
      <c r="W32" s="601">
        <f t="shared" si="2"/>
        <v>44.201559109539502</v>
      </c>
    </row>
    <row r="33" spans="2:23" ht="15" customHeight="1">
      <c r="B33" s="426">
        <v>30</v>
      </c>
      <c r="C33" s="2">
        <v>1076900</v>
      </c>
      <c r="D33" s="2">
        <v>1355700</v>
      </c>
      <c r="E33" s="2">
        <v>629700</v>
      </c>
      <c r="F33" s="2">
        <v>808800</v>
      </c>
      <c r="G33" s="527">
        <f t="shared" si="0"/>
        <v>3871100</v>
      </c>
      <c r="H33" s="5">
        <v>557300</v>
      </c>
      <c r="I33" s="2">
        <v>12183</v>
      </c>
      <c r="J33" s="2">
        <v>12464</v>
      </c>
      <c r="K33" s="2">
        <v>8687</v>
      </c>
      <c r="L33" s="2">
        <v>18283</v>
      </c>
      <c r="M33" s="527">
        <f t="shared" si="1"/>
        <v>51617</v>
      </c>
      <c r="N33" s="5">
        <v>5258</v>
      </c>
      <c r="O33" s="2">
        <v>539000</v>
      </c>
      <c r="P33" s="2">
        <v>583000</v>
      </c>
      <c r="Q33" s="2">
        <v>417000</v>
      </c>
      <c r="R33" s="11">
        <v>895000</v>
      </c>
      <c r="S33" s="5">
        <v>367000</v>
      </c>
      <c r="T33" s="5">
        <v>11</v>
      </c>
      <c r="U33" s="11" t="s">
        <v>1362</v>
      </c>
      <c r="V33" s="601">
        <f>VLOOKUP($U33,Construction!$B$46:$Y$66,(COLUMN(Construction_ProtectedAmountOfEachRssByStorehouse)-COLUMN(Construction_Name_and_Level)+1),FALSE)*4</f>
        <v>2200000</v>
      </c>
      <c r="W33" s="601">
        <f t="shared" si="2"/>
        <v>42.621616909157837</v>
      </c>
    </row>
    <row r="34" spans="2:23" ht="15" customHeight="1">
      <c r="B34" s="426">
        <v>31</v>
      </c>
    </row>
    <row r="35" spans="2:23" ht="15" customHeight="1">
      <c r="B35" s="426">
        <v>32</v>
      </c>
    </row>
    <row r="36" spans="2:23" ht="15" customHeight="1">
      <c r="B36" s="426">
        <v>33</v>
      </c>
    </row>
    <row r="37" spans="2:23" ht="15" customHeight="1">
      <c r="B37" s="426">
        <v>34</v>
      </c>
    </row>
    <row r="38" spans="2:23" ht="15" customHeight="1">
      <c r="B38" s="426">
        <v>35</v>
      </c>
    </row>
    <row r="39" spans="2:23" ht="15" customHeight="1">
      <c r="B39" s="426">
        <v>36</v>
      </c>
    </row>
    <row r="40" spans="2:23" ht="15" customHeight="1">
      <c r="B40" s="426">
        <v>37</v>
      </c>
    </row>
    <row r="41" spans="2:23" ht="15" customHeight="1">
      <c r="B41" s="426">
        <v>38</v>
      </c>
    </row>
    <row r="42" spans="2:23" ht="15" customHeight="1">
      <c r="B42" s="426">
        <v>39</v>
      </c>
    </row>
    <row r="43" spans="2:23" ht="15" customHeight="1">
      <c r="B43" s="426">
        <v>40</v>
      </c>
    </row>
    <row r="44" spans="2:23" ht="15" customHeight="1">
      <c r="B44" s="426">
        <v>41</v>
      </c>
    </row>
    <row r="45" spans="2:23" ht="15" customHeight="1">
      <c r="B45" s="426">
        <v>42</v>
      </c>
    </row>
    <row r="46" spans="2:23" ht="15" customHeight="1">
      <c r="B46" s="426">
        <v>43</v>
      </c>
    </row>
    <row r="47" spans="2:23" ht="15" customHeight="1">
      <c r="B47" s="426">
        <v>44</v>
      </c>
    </row>
    <row r="48" spans="2:23" ht="15" customHeight="1">
      <c r="B48" s="426">
        <v>45</v>
      </c>
    </row>
    <row r="49" spans="2:2" ht="15" customHeight="1">
      <c r="B49" s="426">
        <v>46</v>
      </c>
    </row>
    <row r="50" spans="2:2" ht="15" customHeight="1">
      <c r="B50" s="426">
        <v>47</v>
      </c>
    </row>
    <row r="51" spans="2:2" ht="15" customHeight="1">
      <c r="B51" s="426">
        <v>48</v>
      </c>
    </row>
    <row r="52" spans="2:2" ht="15" customHeight="1">
      <c r="B52" s="426">
        <v>49</v>
      </c>
    </row>
    <row r="53" spans="2:2" ht="15" customHeight="1">
      <c r="B53" s="426">
        <v>50</v>
      </c>
    </row>
  </sheetData>
  <mergeCells count="5">
    <mergeCell ref="V2:V3"/>
    <mergeCell ref="C2:H2"/>
    <mergeCell ref="I2:N2"/>
    <mergeCell ref="O2:S2"/>
    <mergeCell ref="W2:W3"/>
  </mergeCells>
  <phoneticPr fontId="1" type="noConversion"/>
  <pageMargins left="0.7" right="0.7" top="0.75" bottom="0.75" header="0.3" footer="0.3"/>
  <ignoredErrors>
    <ignoredError sqref="G4" formulaRange="1"/>
  </ignoredErrors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0"/>
  </sheetPr>
  <dimension ref="B2:O24"/>
  <sheetViews>
    <sheetView workbookViewId="0">
      <selection activeCell="O36" sqref="O36"/>
    </sheetView>
  </sheetViews>
  <sheetFormatPr defaultColWidth="9" defaultRowHeight="15"/>
  <cols>
    <col min="1" max="1" width="5.5703125" style="553" customWidth="1"/>
    <col min="2" max="2" width="17.85546875" style="553" customWidth="1"/>
    <col min="3" max="3" width="10" style="553" customWidth="1"/>
    <col min="4" max="9" width="9" style="553"/>
    <col min="10" max="10" width="9" style="553" customWidth="1"/>
    <col min="11" max="11" width="12.7109375" style="553" customWidth="1"/>
    <col min="12" max="12" width="9" style="553"/>
    <col min="13" max="13" width="14" style="553" customWidth="1"/>
    <col min="14" max="14" width="14.140625" style="553" customWidth="1"/>
    <col min="15" max="15" width="12.7109375" style="567" customWidth="1"/>
    <col min="16" max="16384" width="9" style="553"/>
  </cols>
  <sheetData>
    <row r="2" spans="2:15" s="570" customFormat="1" ht="20.100000000000001" customHeight="1">
      <c r="B2" s="754" t="s">
        <v>60</v>
      </c>
      <c r="C2" s="752" t="s">
        <v>52</v>
      </c>
      <c r="D2" s="756" t="s">
        <v>56</v>
      </c>
      <c r="E2" s="756"/>
      <c r="F2" s="757" t="s">
        <v>81</v>
      </c>
      <c r="G2" s="758"/>
      <c r="H2" s="758"/>
      <c r="I2" s="758"/>
      <c r="J2" s="759"/>
      <c r="K2" s="762" t="s">
        <v>1351</v>
      </c>
      <c r="M2" s="701" t="s">
        <v>61</v>
      </c>
      <c r="N2" s="761" t="s">
        <v>29</v>
      </c>
      <c r="O2" s="750" t="s">
        <v>1352</v>
      </c>
    </row>
    <row r="3" spans="2:15" s="570" customFormat="1" ht="20.100000000000001" customHeight="1">
      <c r="B3" s="755"/>
      <c r="C3" s="753"/>
      <c r="D3" s="571" t="s">
        <v>28</v>
      </c>
      <c r="E3" s="238" t="s">
        <v>27</v>
      </c>
      <c r="F3" s="571" t="s">
        <v>134</v>
      </c>
      <c r="G3" s="238" t="s">
        <v>135</v>
      </c>
      <c r="H3" s="238" t="s">
        <v>136</v>
      </c>
      <c r="I3" s="238" t="s">
        <v>137</v>
      </c>
      <c r="J3" s="238" t="s">
        <v>4</v>
      </c>
      <c r="K3" s="763"/>
      <c r="M3" s="760"/>
      <c r="N3" s="710"/>
      <c r="O3" s="751"/>
    </row>
    <row r="4" spans="2:15" ht="15.75">
      <c r="B4" s="490" t="s">
        <v>132</v>
      </c>
      <c r="C4" s="135">
        <v>0.125</v>
      </c>
      <c r="D4" s="11">
        <v>50000</v>
      </c>
      <c r="E4" s="5">
        <v>1000</v>
      </c>
      <c r="F4" s="11">
        <v>20000</v>
      </c>
      <c r="G4" s="11">
        <v>20000</v>
      </c>
      <c r="H4" s="11">
        <v>20000</v>
      </c>
      <c r="I4" s="532">
        <v>20000</v>
      </c>
      <c r="J4" s="5">
        <v>20000</v>
      </c>
      <c r="K4" s="567">
        <v>1</v>
      </c>
      <c r="M4" s="488" t="s">
        <v>176</v>
      </c>
      <c r="N4" s="5">
        <v>20</v>
      </c>
      <c r="O4" s="567">
        <v>1</v>
      </c>
    </row>
    <row r="5" spans="2:15" ht="15.75">
      <c r="B5" s="492" t="s">
        <v>904</v>
      </c>
      <c r="C5" s="135">
        <v>0.25</v>
      </c>
      <c r="D5" s="11">
        <v>100000</v>
      </c>
      <c r="E5" s="5">
        <v>2000</v>
      </c>
      <c r="F5" s="90">
        <v>40000</v>
      </c>
      <c r="G5" s="11">
        <v>40000</v>
      </c>
      <c r="H5" s="11">
        <v>40000</v>
      </c>
      <c r="I5" s="5">
        <v>40000</v>
      </c>
      <c r="J5" s="5">
        <v>40000</v>
      </c>
      <c r="K5" s="572">
        <f>J5/J$4</f>
        <v>2</v>
      </c>
      <c r="M5" s="488" t="s">
        <v>185</v>
      </c>
      <c r="N5" s="5">
        <v>60</v>
      </c>
      <c r="O5" s="572">
        <f>N5/N$4</f>
        <v>3</v>
      </c>
    </row>
    <row r="6" spans="2:15" ht="15.75">
      <c r="B6" s="492" t="s">
        <v>905</v>
      </c>
      <c r="C6" s="135">
        <v>0.5</v>
      </c>
      <c r="D6" s="11">
        <v>150000</v>
      </c>
      <c r="E6" s="5">
        <v>4000</v>
      </c>
      <c r="F6" s="90">
        <v>80000</v>
      </c>
      <c r="G6" s="11">
        <v>80000</v>
      </c>
      <c r="H6" s="11">
        <v>80000</v>
      </c>
      <c r="I6" s="5">
        <v>80000</v>
      </c>
      <c r="J6" s="5">
        <v>80000</v>
      </c>
      <c r="K6" s="572">
        <f t="shared" ref="K6:K9" si="0">J6/J$4</f>
        <v>4</v>
      </c>
      <c r="M6" s="488" t="s">
        <v>213</v>
      </c>
      <c r="N6" s="5">
        <v>120</v>
      </c>
      <c r="O6" s="572">
        <f t="shared" ref="O6:O24" si="1">N6/N$4</f>
        <v>6</v>
      </c>
    </row>
    <row r="7" spans="2:15" ht="15.75">
      <c r="B7" s="16" t="s">
        <v>906</v>
      </c>
      <c r="C7" s="221">
        <v>1</v>
      </c>
      <c r="D7" s="18">
        <v>200000</v>
      </c>
      <c r="E7" s="19">
        <v>8000</v>
      </c>
      <c r="F7" s="433">
        <v>160000</v>
      </c>
      <c r="G7" s="18">
        <v>160000</v>
      </c>
      <c r="H7" s="18">
        <v>160000</v>
      </c>
      <c r="I7" s="19">
        <v>160000</v>
      </c>
      <c r="J7" s="19">
        <v>160000</v>
      </c>
      <c r="K7" s="572">
        <f t="shared" si="0"/>
        <v>8</v>
      </c>
      <c r="M7" s="488" t="s">
        <v>214</v>
      </c>
      <c r="N7" s="5">
        <v>200</v>
      </c>
      <c r="O7" s="572">
        <f t="shared" si="1"/>
        <v>10</v>
      </c>
    </row>
    <row r="8" spans="2:15" ht="15.75">
      <c r="B8" s="16" t="s">
        <v>907</v>
      </c>
      <c r="C8" s="221">
        <v>2</v>
      </c>
      <c r="D8" s="18">
        <v>250000</v>
      </c>
      <c r="E8" s="19">
        <v>16000</v>
      </c>
      <c r="F8" s="18">
        <v>320000</v>
      </c>
      <c r="G8" s="18">
        <v>320000</v>
      </c>
      <c r="H8" s="18">
        <v>320000</v>
      </c>
      <c r="I8" s="19">
        <v>320000</v>
      </c>
      <c r="J8" s="19">
        <v>320000</v>
      </c>
      <c r="K8" s="572">
        <f t="shared" si="0"/>
        <v>16</v>
      </c>
      <c r="M8" s="488" t="s">
        <v>215</v>
      </c>
      <c r="N8" s="5">
        <v>300</v>
      </c>
      <c r="O8" s="572">
        <f t="shared" si="1"/>
        <v>15</v>
      </c>
    </row>
    <row r="9" spans="2:15" ht="15.75">
      <c r="B9" s="492" t="s">
        <v>908</v>
      </c>
      <c r="C9" s="135">
        <v>4</v>
      </c>
      <c r="D9" s="11">
        <v>300000</v>
      </c>
      <c r="E9" s="5">
        <v>32000</v>
      </c>
      <c r="F9" s="11">
        <v>640000</v>
      </c>
      <c r="G9" s="11">
        <v>640000</v>
      </c>
      <c r="H9" s="11">
        <v>640000</v>
      </c>
      <c r="I9" s="5">
        <v>640000</v>
      </c>
      <c r="J9" s="5">
        <v>640000</v>
      </c>
      <c r="K9" s="572">
        <f t="shared" si="0"/>
        <v>32</v>
      </c>
      <c r="M9" s="488" t="s">
        <v>216</v>
      </c>
      <c r="N9" s="5">
        <v>420</v>
      </c>
      <c r="O9" s="572">
        <f t="shared" si="1"/>
        <v>21</v>
      </c>
    </row>
    <row r="10" spans="2:15" ht="15.75">
      <c r="M10" s="488" t="s">
        <v>217</v>
      </c>
      <c r="N10" s="5">
        <v>560</v>
      </c>
      <c r="O10" s="572">
        <f t="shared" si="1"/>
        <v>28</v>
      </c>
    </row>
    <row r="11" spans="2:15" ht="15.75">
      <c r="M11" s="488" t="s">
        <v>218</v>
      </c>
      <c r="N11" s="5">
        <v>720</v>
      </c>
      <c r="O11" s="572">
        <f t="shared" si="1"/>
        <v>36</v>
      </c>
    </row>
    <row r="12" spans="2:15" ht="15.75">
      <c r="M12" s="488" t="s">
        <v>219</v>
      </c>
      <c r="N12" s="5">
        <v>900</v>
      </c>
      <c r="O12" s="572">
        <f t="shared" si="1"/>
        <v>45</v>
      </c>
    </row>
    <row r="13" spans="2:15" ht="15.75">
      <c r="M13" s="488" t="s">
        <v>220</v>
      </c>
      <c r="N13" s="5">
        <v>1100</v>
      </c>
      <c r="O13" s="572">
        <f t="shared" si="1"/>
        <v>55</v>
      </c>
    </row>
    <row r="14" spans="2:15" ht="15.75">
      <c r="M14" s="488" t="s">
        <v>221</v>
      </c>
      <c r="N14" s="5">
        <v>1320</v>
      </c>
      <c r="O14" s="572">
        <f t="shared" si="1"/>
        <v>66</v>
      </c>
    </row>
    <row r="15" spans="2:15" ht="15.75">
      <c r="M15" s="488" t="s">
        <v>222</v>
      </c>
      <c r="N15" s="5">
        <v>1560</v>
      </c>
      <c r="O15" s="572">
        <f t="shared" si="1"/>
        <v>78</v>
      </c>
    </row>
    <row r="16" spans="2:15" ht="15.75">
      <c r="M16" s="488" t="s">
        <v>223</v>
      </c>
      <c r="N16" s="5">
        <v>1820</v>
      </c>
      <c r="O16" s="572">
        <f t="shared" si="1"/>
        <v>91</v>
      </c>
    </row>
    <row r="17" spans="13:15" ht="15.75">
      <c r="M17" s="488" t="s">
        <v>224</v>
      </c>
      <c r="N17" s="5">
        <v>2100</v>
      </c>
      <c r="O17" s="572">
        <f t="shared" si="1"/>
        <v>105</v>
      </c>
    </row>
    <row r="18" spans="13:15" ht="15.75">
      <c r="M18" s="488" t="s">
        <v>225</v>
      </c>
      <c r="N18" s="5">
        <v>2400</v>
      </c>
      <c r="O18" s="572">
        <f t="shared" si="1"/>
        <v>120</v>
      </c>
    </row>
    <row r="19" spans="13:15" ht="15.75">
      <c r="M19" s="488" t="s">
        <v>226</v>
      </c>
      <c r="N19" s="5">
        <v>2720</v>
      </c>
      <c r="O19" s="572">
        <f t="shared" si="1"/>
        <v>136</v>
      </c>
    </row>
    <row r="20" spans="13:15" ht="15.75">
      <c r="M20" s="488" t="s">
        <v>227</v>
      </c>
      <c r="N20" s="5">
        <v>3060</v>
      </c>
      <c r="O20" s="572">
        <f t="shared" si="1"/>
        <v>153</v>
      </c>
    </row>
    <row r="21" spans="13:15" ht="15.75">
      <c r="M21" s="488" t="s">
        <v>228</v>
      </c>
      <c r="N21" s="5">
        <v>3420</v>
      </c>
      <c r="O21" s="572">
        <f t="shared" si="1"/>
        <v>171</v>
      </c>
    </row>
    <row r="22" spans="13:15" ht="15.75">
      <c r="M22" s="488" t="s">
        <v>229</v>
      </c>
      <c r="N22" s="5">
        <v>3800</v>
      </c>
      <c r="O22" s="572">
        <f t="shared" si="1"/>
        <v>190</v>
      </c>
    </row>
    <row r="23" spans="13:15" ht="15.75">
      <c r="M23" s="488" t="s">
        <v>230</v>
      </c>
      <c r="N23" s="5">
        <v>4200</v>
      </c>
      <c r="O23" s="572">
        <f t="shared" si="1"/>
        <v>210</v>
      </c>
    </row>
    <row r="24" spans="13:15" ht="15.75">
      <c r="M24" s="494" t="s">
        <v>231</v>
      </c>
      <c r="N24" s="24">
        <v>4620</v>
      </c>
      <c r="O24" s="573">
        <f t="shared" si="1"/>
        <v>231</v>
      </c>
    </row>
  </sheetData>
  <mergeCells count="8">
    <mergeCell ref="O2:O3"/>
    <mergeCell ref="C2:C3"/>
    <mergeCell ref="B2:B3"/>
    <mergeCell ref="D2:E2"/>
    <mergeCell ref="F2:J2"/>
    <mergeCell ref="M2:M3"/>
    <mergeCell ref="N2:N3"/>
    <mergeCell ref="K2:K3"/>
  </mergeCells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0"/>
  </sheetPr>
  <dimension ref="A1:AJ418"/>
  <sheetViews>
    <sheetView topLeftCell="A76" workbookViewId="0">
      <selection activeCell="H18" sqref="H18"/>
    </sheetView>
  </sheetViews>
  <sheetFormatPr defaultColWidth="9" defaultRowHeight="15" customHeight="1"/>
  <cols>
    <col min="1" max="1" width="3.5703125" style="7" customWidth="1"/>
    <col min="2" max="2" width="12.5703125" style="497" customWidth="1"/>
    <col min="3" max="3" width="16.140625" style="586" customWidth="1"/>
    <col min="4" max="4" width="7.5703125" style="492" customWidth="1"/>
    <col min="5" max="6" width="10.28515625" style="135" customWidth="1"/>
    <col min="7" max="7" width="10.85546875" style="340" customWidth="1"/>
    <col min="8" max="8" width="9.42578125" style="140" bestFit="1" customWidth="1"/>
    <col min="9" max="9" width="9.42578125" style="135" customWidth="1"/>
    <col min="10" max="10" width="9" style="140"/>
    <col min="11" max="11" width="15.28515625" style="135" customWidth="1"/>
    <col min="12" max="12" width="19.7109375" style="135" customWidth="1"/>
    <col min="13" max="14" width="9" style="2"/>
    <col min="15" max="15" width="7.42578125" style="2" customWidth="1"/>
    <col min="16" max="17" width="9" style="2"/>
    <col min="18" max="18" width="19.5703125" style="2" customWidth="1"/>
    <col min="19" max="19" width="20.42578125" style="2" customWidth="1"/>
    <col min="20" max="32" width="9" style="2"/>
    <col min="33" max="33" width="11.85546875" style="2" customWidth="1"/>
    <col min="34" max="34" width="13" style="506" customWidth="1"/>
    <col min="35" max="35" width="9" style="2"/>
    <col min="36" max="36" width="10.28515625" style="133" customWidth="1"/>
    <col min="37" max="16384" width="9" style="2"/>
  </cols>
  <sheetData>
    <row r="1" spans="1:21" ht="15" customHeight="1">
      <c r="B1" s="133"/>
      <c r="C1" s="133"/>
      <c r="D1" s="133"/>
      <c r="E1" s="133"/>
      <c r="F1" s="133"/>
      <c r="G1" s="161"/>
      <c r="H1" s="133"/>
      <c r="I1" s="161"/>
      <c r="J1" s="133"/>
      <c r="K1" s="133"/>
      <c r="L1" s="133"/>
    </row>
    <row r="2" spans="1:21" ht="54.95" customHeight="1">
      <c r="B2" s="133"/>
      <c r="C2" s="133"/>
      <c r="D2" s="133"/>
      <c r="E2" s="133"/>
      <c r="F2" s="133"/>
      <c r="G2" s="161"/>
      <c r="H2" s="133"/>
      <c r="I2" s="161"/>
      <c r="J2" s="133"/>
      <c r="K2" s="133"/>
      <c r="L2" s="133"/>
      <c r="R2" s="591" t="s">
        <v>1357</v>
      </c>
      <c r="S2" s="591" t="s">
        <v>1354</v>
      </c>
    </row>
    <row r="3" spans="1:21" s="506" customFormat="1" ht="30" customHeight="1">
      <c r="A3" s="17"/>
      <c r="B3" s="683" t="s">
        <v>673</v>
      </c>
      <c r="C3" s="764" t="s">
        <v>675</v>
      </c>
      <c r="D3" s="356" t="s">
        <v>676</v>
      </c>
      <c r="E3" s="770" t="s">
        <v>194</v>
      </c>
      <c r="F3" s="768" t="s">
        <v>193</v>
      </c>
      <c r="G3" s="691" t="s">
        <v>74</v>
      </c>
      <c r="H3" s="692"/>
      <c r="I3" s="772"/>
      <c r="J3" s="687" t="s">
        <v>684</v>
      </c>
      <c r="K3" s="774" t="s">
        <v>685</v>
      </c>
      <c r="L3" s="766" t="s">
        <v>1355</v>
      </c>
      <c r="O3" s="425" t="s">
        <v>676</v>
      </c>
      <c r="P3" s="768" t="s">
        <v>194</v>
      </c>
      <c r="Q3" s="768" t="s">
        <v>193</v>
      </c>
      <c r="R3" s="766" t="s">
        <v>1356</v>
      </c>
      <c r="S3" s="766" t="s">
        <v>1355</v>
      </c>
    </row>
    <row r="4" spans="1:21" s="506" customFormat="1" ht="30" customHeight="1">
      <c r="A4" s="17"/>
      <c r="B4" s="717"/>
      <c r="C4" s="765"/>
      <c r="D4" s="580" t="s">
        <v>20</v>
      </c>
      <c r="E4" s="771"/>
      <c r="F4" s="769"/>
      <c r="G4" s="575" t="s">
        <v>697</v>
      </c>
      <c r="H4" s="311" t="s">
        <v>698</v>
      </c>
      <c r="I4" s="544" t="s">
        <v>699</v>
      </c>
      <c r="J4" s="773"/>
      <c r="K4" s="775"/>
      <c r="L4" s="767"/>
      <c r="O4" s="579" t="s">
        <v>20</v>
      </c>
      <c r="P4" s="769"/>
      <c r="Q4" s="769"/>
      <c r="R4" s="767"/>
      <c r="S4" s="767"/>
    </row>
    <row r="5" spans="1:21" s="7" customFormat="1" ht="15" customHeight="1">
      <c r="B5" s="587" t="s">
        <v>1206</v>
      </c>
      <c r="C5" s="583" t="s">
        <v>1207</v>
      </c>
      <c r="D5" s="581">
        <v>1</v>
      </c>
      <c r="E5" s="134">
        <v>3.472222222222222E-3</v>
      </c>
      <c r="F5" s="134">
        <v>3.472222222222222E-3</v>
      </c>
      <c r="G5" s="338">
        <v>0</v>
      </c>
      <c r="H5" s="136" t="s">
        <v>25</v>
      </c>
      <c r="I5" s="134" t="s">
        <v>25</v>
      </c>
      <c r="J5" s="136" t="s">
        <v>25</v>
      </c>
      <c r="K5" s="134" t="s">
        <v>25</v>
      </c>
      <c r="L5" s="589">
        <v>0</v>
      </c>
      <c r="O5" s="106">
        <v>1</v>
      </c>
      <c r="P5" s="134">
        <v>3.472222222222222E-3</v>
      </c>
      <c r="Q5" s="134">
        <v>3.472222222222222E-3</v>
      </c>
      <c r="R5" s="592">
        <v>0</v>
      </c>
      <c r="S5" s="578">
        <v>0</v>
      </c>
    </row>
    <row r="6" spans="1:21" s="7" customFormat="1" ht="15" customHeight="1">
      <c r="B6" s="503" t="s">
        <v>144</v>
      </c>
      <c r="C6" s="584" t="s">
        <v>16</v>
      </c>
      <c r="D6" s="16">
        <v>1</v>
      </c>
      <c r="E6" s="221">
        <v>3.472222222222222E-3</v>
      </c>
      <c r="F6" s="221">
        <v>3.472222222222222E-3</v>
      </c>
      <c r="G6" s="344">
        <v>0</v>
      </c>
      <c r="H6" s="265">
        <v>6.9444444444444447E-4</v>
      </c>
      <c r="I6" s="221">
        <v>6.9444444444444447E-4</v>
      </c>
      <c r="J6" s="265">
        <v>0</v>
      </c>
      <c r="K6" s="221">
        <v>0</v>
      </c>
      <c r="L6" s="221">
        <f>IF(I6-E6-J6&gt;0,I6-E6-J6,0)</f>
        <v>0</v>
      </c>
      <c r="O6" s="106">
        <v>2</v>
      </c>
      <c r="P6" s="134">
        <v>3.472222222222222E-3</v>
      </c>
      <c r="Q6" s="134">
        <v>4.1666666666666666E-3</v>
      </c>
      <c r="R6" s="592">
        <f>S6-S5</f>
        <v>0</v>
      </c>
      <c r="S6" s="578">
        <v>0</v>
      </c>
      <c r="U6" s="590"/>
    </row>
    <row r="7" spans="1:21" s="7" customFormat="1" ht="15" customHeight="1">
      <c r="B7" s="503" t="s">
        <v>702</v>
      </c>
      <c r="C7" s="584" t="s">
        <v>18</v>
      </c>
      <c r="D7" s="16">
        <v>1</v>
      </c>
      <c r="E7" s="221">
        <v>3.472222222222222E-3</v>
      </c>
      <c r="F7" s="576">
        <v>4.1666666666666666E-3</v>
      </c>
      <c r="G7" s="344">
        <v>0</v>
      </c>
      <c r="H7" s="265">
        <v>3.2407407407407406E-3</v>
      </c>
      <c r="I7" s="221">
        <v>3.2407407407407406E-3</v>
      </c>
      <c r="J7" s="265">
        <v>0</v>
      </c>
      <c r="K7" s="221">
        <v>0</v>
      </c>
      <c r="L7" s="221">
        <f>IF(I7-E7-J7&gt;0,I7-E7-J7,0)</f>
        <v>0</v>
      </c>
      <c r="O7" s="106">
        <v>3</v>
      </c>
      <c r="P7" s="134">
        <v>3.472222222222222E-3</v>
      </c>
      <c r="Q7" s="134">
        <v>4.1666666666666666E-3</v>
      </c>
      <c r="R7" s="592">
        <f t="shared" ref="R7:R34" si="0">S7-S6</f>
        <v>0</v>
      </c>
      <c r="S7" s="578">
        <v>0</v>
      </c>
    </row>
    <row r="8" spans="1:21" s="7" customFormat="1" ht="15" customHeight="1">
      <c r="B8" s="587" t="s">
        <v>171</v>
      </c>
      <c r="C8" s="583" t="s">
        <v>1241</v>
      </c>
      <c r="D8" s="581">
        <v>2</v>
      </c>
      <c r="E8" s="134">
        <v>3.472222222222222E-3</v>
      </c>
      <c r="F8" s="134">
        <v>4.1666666666666666E-3</v>
      </c>
      <c r="G8" s="338">
        <v>0</v>
      </c>
      <c r="H8" s="136" t="s">
        <v>25</v>
      </c>
      <c r="I8" s="134" t="s">
        <v>25</v>
      </c>
      <c r="J8" s="136" t="s">
        <v>25</v>
      </c>
      <c r="K8" s="134" t="s">
        <v>25</v>
      </c>
      <c r="L8" s="589">
        <f>SUMIF($B$5:$B7,"&lt;&gt;"&amp;"Level_Up",L$5:L7)</f>
        <v>0</v>
      </c>
      <c r="O8" s="106">
        <v>4</v>
      </c>
      <c r="P8" s="134">
        <v>3.472222222222222E-3</v>
      </c>
      <c r="Q8" s="134">
        <v>4.1666666666666666E-3</v>
      </c>
      <c r="R8" s="592">
        <f t="shared" si="0"/>
        <v>0</v>
      </c>
      <c r="S8" s="578">
        <v>0</v>
      </c>
    </row>
    <row r="9" spans="1:21" s="7" customFormat="1" ht="15" customHeight="1">
      <c r="B9" s="503" t="s">
        <v>702</v>
      </c>
      <c r="C9" s="584" t="s">
        <v>26</v>
      </c>
      <c r="D9" s="16">
        <v>2</v>
      </c>
      <c r="E9" s="221">
        <v>3.472222222222222E-3</v>
      </c>
      <c r="F9" s="221">
        <v>4.1666666666666666E-3</v>
      </c>
      <c r="G9" s="344">
        <v>0</v>
      </c>
      <c r="H9" s="265">
        <v>6.9444444444444447E-4</v>
      </c>
      <c r="I9" s="221">
        <v>6.9444444444444447E-4</v>
      </c>
      <c r="J9" s="265">
        <v>0</v>
      </c>
      <c r="K9" s="221">
        <v>0</v>
      </c>
      <c r="L9" s="221">
        <f>IF(I9-E9-J9&gt;0,I9-E9-J9,0)</f>
        <v>0</v>
      </c>
      <c r="O9" s="106">
        <v>5</v>
      </c>
      <c r="P9" s="134">
        <v>3.472222222222222E-3</v>
      </c>
      <c r="Q9" s="134">
        <v>4.8611111111111112E-3</v>
      </c>
      <c r="R9" s="592">
        <f t="shared" si="0"/>
        <v>8.3333333333333332E-3</v>
      </c>
      <c r="S9" s="578">
        <v>8.3333333333333332E-3</v>
      </c>
    </row>
    <row r="10" spans="1:21" s="7" customFormat="1" ht="15" customHeight="1">
      <c r="B10" s="503" t="s">
        <v>702</v>
      </c>
      <c r="C10" s="584" t="s">
        <v>50</v>
      </c>
      <c r="D10" s="16">
        <v>2</v>
      </c>
      <c r="E10" s="221">
        <v>3.472222222222222E-3</v>
      </c>
      <c r="F10" s="221">
        <v>4.1666666666666666E-3</v>
      </c>
      <c r="G10" s="344">
        <v>0</v>
      </c>
      <c r="H10" s="265">
        <v>1.1574074074074073E-3</v>
      </c>
      <c r="I10" s="221">
        <v>1.1574074074074073E-3</v>
      </c>
      <c r="J10" s="265">
        <v>0</v>
      </c>
      <c r="K10" s="221">
        <v>0</v>
      </c>
      <c r="L10" s="221">
        <f>IF(I10-E10-J10&gt;0,I10-E10-J10,0)</f>
        <v>0</v>
      </c>
      <c r="O10" s="106">
        <v>6</v>
      </c>
      <c r="P10" s="134">
        <v>3.472222222222222E-3</v>
      </c>
      <c r="Q10" s="134">
        <v>5.5555555555555558E-3</v>
      </c>
      <c r="R10" s="592">
        <f t="shared" si="0"/>
        <v>3.4722222222222238E-3</v>
      </c>
      <c r="S10" s="578">
        <v>1.1805555555555557E-2</v>
      </c>
    </row>
    <row r="11" spans="1:21" s="7" customFormat="1" ht="15" customHeight="1">
      <c r="B11" s="587" t="s">
        <v>171</v>
      </c>
      <c r="C11" s="583" t="s">
        <v>1245</v>
      </c>
      <c r="D11" s="581">
        <v>3</v>
      </c>
      <c r="E11" s="134">
        <v>3.472222222222222E-3</v>
      </c>
      <c r="F11" s="134">
        <v>4.1666666666666666E-3</v>
      </c>
      <c r="G11" s="338">
        <v>0</v>
      </c>
      <c r="H11" s="136" t="s">
        <v>25</v>
      </c>
      <c r="I11" s="134" t="s">
        <v>25</v>
      </c>
      <c r="J11" s="136" t="s">
        <v>25</v>
      </c>
      <c r="K11" s="134" t="s">
        <v>25</v>
      </c>
      <c r="L11" s="589">
        <f>SUMIF($B$5:$B10,"&lt;&gt;"&amp;"Level_Up",L$5:L10)</f>
        <v>0</v>
      </c>
      <c r="O11" s="106">
        <v>7</v>
      </c>
      <c r="P11" s="134">
        <v>3.472222222222222E-3</v>
      </c>
      <c r="Q11" s="134">
        <v>5.5555555555555558E-3</v>
      </c>
      <c r="R11" s="592">
        <f t="shared" si="0"/>
        <v>0</v>
      </c>
      <c r="S11" s="578">
        <v>1.1805555555555557E-2</v>
      </c>
    </row>
    <row r="12" spans="1:21" s="7" customFormat="1" ht="15" customHeight="1">
      <c r="B12" s="587" t="s">
        <v>171</v>
      </c>
      <c r="C12" s="583" t="s">
        <v>1246</v>
      </c>
      <c r="D12" s="581">
        <v>4</v>
      </c>
      <c r="E12" s="134">
        <v>3.472222222222222E-3</v>
      </c>
      <c r="F12" s="134">
        <v>4.1666666666666666E-3</v>
      </c>
      <c r="G12" s="338">
        <v>0</v>
      </c>
      <c r="H12" s="136" t="s">
        <v>25</v>
      </c>
      <c r="I12" s="134" t="s">
        <v>25</v>
      </c>
      <c r="J12" s="136" t="s">
        <v>25</v>
      </c>
      <c r="K12" s="134" t="s">
        <v>25</v>
      </c>
      <c r="L12" s="589">
        <f>SUMIF($B$5:$B11,"&lt;&gt;"&amp;"Level_Up",L$5:L11)</f>
        <v>0</v>
      </c>
      <c r="O12" s="106">
        <v>8</v>
      </c>
      <c r="P12" s="134">
        <v>3.472222222222222E-3</v>
      </c>
      <c r="Q12" s="134">
        <v>5.5555555555555558E-3</v>
      </c>
      <c r="R12" s="592">
        <f t="shared" si="0"/>
        <v>0</v>
      </c>
      <c r="S12" s="578">
        <v>1.1805555555555557E-2</v>
      </c>
    </row>
    <row r="13" spans="1:21" s="7" customFormat="1" ht="15" customHeight="1">
      <c r="B13" s="503" t="s">
        <v>702</v>
      </c>
      <c r="C13" s="584" t="s">
        <v>63</v>
      </c>
      <c r="D13" s="16">
        <v>4</v>
      </c>
      <c r="E13" s="221">
        <v>3.472222222222222E-3</v>
      </c>
      <c r="F13" s="221">
        <v>4.1666666666666666E-3</v>
      </c>
      <c r="G13" s="344">
        <v>0</v>
      </c>
      <c r="H13" s="265">
        <v>1.0416666666666667E-3</v>
      </c>
      <c r="I13" s="221">
        <v>1.0416666666666667E-3</v>
      </c>
      <c r="J13" s="265">
        <v>0</v>
      </c>
      <c r="K13" s="221">
        <v>0</v>
      </c>
      <c r="L13" s="221">
        <f>IF(I13-E13-J13&gt;0,I13-E13-J13,0)</f>
        <v>0</v>
      </c>
      <c r="O13" s="106">
        <v>9</v>
      </c>
      <c r="P13" s="134">
        <v>3.472222222222222E-3</v>
      </c>
      <c r="Q13" s="134">
        <v>5.5555555555555558E-3</v>
      </c>
      <c r="R13" s="592">
        <f t="shared" si="0"/>
        <v>2.2231389805647244E-3</v>
      </c>
      <c r="S13" s="578">
        <v>1.4028694536120281E-2</v>
      </c>
    </row>
    <row r="14" spans="1:21" s="7" customFormat="1" ht="15" customHeight="1">
      <c r="B14" s="503" t="s">
        <v>702</v>
      </c>
      <c r="C14" s="584" t="s">
        <v>125</v>
      </c>
      <c r="D14" s="16">
        <v>4</v>
      </c>
      <c r="E14" s="221">
        <v>3.472222222222222E-3</v>
      </c>
      <c r="F14" s="221">
        <v>4.1666666666666666E-3</v>
      </c>
      <c r="G14" s="344">
        <v>0</v>
      </c>
      <c r="H14" s="265">
        <v>1.3888888888888889E-3</v>
      </c>
      <c r="I14" s="221">
        <v>1.3888888888888889E-3</v>
      </c>
      <c r="J14" s="265">
        <v>0</v>
      </c>
      <c r="K14" s="221">
        <v>0</v>
      </c>
      <c r="L14" s="221">
        <f>IF(I14-E14-J14&gt;0,I14-E14-J14,0)</f>
        <v>0</v>
      </c>
      <c r="O14" s="106">
        <v>10</v>
      </c>
      <c r="P14" s="134">
        <v>3.472222222222222E-3</v>
      </c>
      <c r="Q14" s="134">
        <v>5.5555555555555558E-3</v>
      </c>
      <c r="R14" s="592">
        <f t="shared" si="0"/>
        <v>0</v>
      </c>
      <c r="S14" s="578">
        <v>1.4028694536120281E-2</v>
      </c>
    </row>
    <row r="15" spans="1:21" s="7" customFormat="1" ht="15" customHeight="1">
      <c r="B15" s="503" t="s">
        <v>702</v>
      </c>
      <c r="C15" s="584" t="s">
        <v>561</v>
      </c>
      <c r="D15" s="16">
        <v>4</v>
      </c>
      <c r="E15" s="221">
        <v>3.472222222222222E-3</v>
      </c>
      <c r="F15" s="221">
        <v>4.1666666666666666E-3</v>
      </c>
      <c r="G15" s="344">
        <v>0</v>
      </c>
      <c r="H15" s="265">
        <v>2.4305555555555556E-3</v>
      </c>
      <c r="I15" s="221">
        <v>2.4305555555555556E-3</v>
      </c>
      <c r="J15" s="265">
        <v>0</v>
      </c>
      <c r="K15" s="221">
        <v>0</v>
      </c>
      <c r="L15" s="221">
        <f>IF(I15-E15-J15&gt;0,I15-E15-J15,0)</f>
        <v>0</v>
      </c>
      <c r="O15" s="106">
        <v>11</v>
      </c>
      <c r="P15" s="134">
        <v>3.472222222222222E-3</v>
      </c>
      <c r="Q15" s="134">
        <v>5.5555555555555558E-3</v>
      </c>
      <c r="R15" s="592">
        <f t="shared" si="0"/>
        <v>1.3257575757575753E-2</v>
      </c>
      <c r="S15" s="578">
        <v>2.7286270293696034E-2</v>
      </c>
    </row>
    <row r="16" spans="1:21" s="7" customFormat="1" ht="15" customHeight="1">
      <c r="B16" s="503" t="s">
        <v>702</v>
      </c>
      <c r="C16" s="584" t="s">
        <v>128</v>
      </c>
      <c r="D16" s="16">
        <v>4</v>
      </c>
      <c r="E16" s="221">
        <v>3.472222222222222E-3</v>
      </c>
      <c r="F16" s="221">
        <v>4.8611111111111112E-3</v>
      </c>
      <c r="G16" s="344">
        <v>0</v>
      </c>
      <c r="H16" s="265">
        <v>1.3888888888888888E-2</v>
      </c>
      <c r="I16" s="221">
        <v>1.3888888888888888E-2</v>
      </c>
      <c r="J16" s="265">
        <v>2.0833333333333333E-3</v>
      </c>
      <c r="K16" s="221">
        <v>3.4722222222222216E-3</v>
      </c>
      <c r="L16" s="221">
        <f>IF(I16-E16-J16&gt;0,I16-E16-J16,0)</f>
        <v>8.3333333333333332E-3</v>
      </c>
      <c r="O16" s="106">
        <v>12</v>
      </c>
      <c r="P16" s="134">
        <v>3.472222222222222E-3</v>
      </c>
      <c r="Q16" s="134">
        <v>6.2499999999999995E-3</v>
      </c>
      <c r="R16" s="592">
        <f t="shared" si="0"/>
        <v>2.865740740740743E-2</v>
      </c>
      <c r="S16" s="578">
        <v>5.5943677701103464E-2</v>
      </c>
    </row>
    <row r="17" spans="2:36" s="7" customFormat="1" ht="15" customHeight="1">
      <c r="B17" s="587" t="s">
        <v>171</v>
      </c>
      <c r="C17" s="583" t="s">
        <v>1247</v>
      </c>
      <c r="D17" s="581">
        <v>5</v>
      </c>
      <c r="E17" s="134">
        <v>3.472222222222222E-3</v>
      </c>
      <c r="F17" s="134">
        <v>4.8611111111111112E-3</v>
      </c>
      <c r="G17" s="338">
        <v>0</v>
      </c>
      <c r="H17" s="136" t="s">
        <v>25</v>
      </c>
      <c r="I17" s="134" t="s">
        <v>25</v>
      </c>
      <c r="J17" s="136" t="s">
        <v>25</v>
      </c>
      <c r="K17" s="134" t="s">
        <v>25</v>
      </c>
      <c r="L17" s="589">
        <f>SUMIF($B$5:$B16,"&lt;&gt;"&amp;"Level_Up",L$5:L16)</f>
        <v>8.3333333333333332E-3</v>
      </c>
      <c r="O17" s="106">
        <v>13</v>
      </c>
      <c r="P17" s="134">
        <v>3.472222222222222E-3</v>
      </c>
      <c r="Q17" s="134">
        <v>6.2499999999999995E-3</v>
      </c>
      <c r="R17" s="592">
        <f t="shared" si="0"/>
        <v>3.076569477278697E-2</v>
      </c>
      <c r="S17" s="578">
        <v>8.6709372473890434E-2</v>
      </c>
    </row>
    <row r="18" spans="2:36" s="7" customFormat="1" ht="15" customHeight="1">
      <c r="B18" s="503" t="s">
        <v>702</v>
      </c>
      <c r="C18" s="584" t="s">
        <v>127</v>
      </c>
      <c r="D18" s="16">
        <v>5</v>
      </c>
      <c r="E18" s="221">
        <v>3.472222222222222E-3</v>
      </c>
      <c r="F18" s="221">
        <v>4.8611111111111112E-3</v>
      </c>
      <c r="G18" s="344">
        <v>0</v>
      </c>
      <c r="H18" s="265">
        <v>2.7777777777777779E-3</v>
      </c>
      <c r="I18" s="221">
        <v>2.7777777777777779E-3</v>
      </c>
      <c r="J18" s="265">
        <v>0</v>
      </c>
      <c r="K18" s="221">
        <v>0</v>
      </c>
      <c r="L18" s="221">
        <f>IF(I18-E18-J18&gt;0,I18-E18-J18,0)</f>
        <v>0</v>
      </c>
      <c r="O18" s="106">
        <v>14</v>
      </c>
      <c r="P18" s="134">
        <v>3.472222222222222E-3</v>
      </c>
      <c r="Q18" s="134">
        <v>6.9444444444444441E-3</v>
      </c>
      <c r="R18" s="592">
        <f t="shared" si="0"/>
        <v>0.12907144733385867</v>
      </c>
      <c r="S18" s="578">
        <v>0.2157808198077491</v>
      </c>
    </row>
    <row r="19" spans="2:36" s="7" customFormat="1" ht="15" customHeight="1">
      <c r="B19" s="503" t="s">
        <v>702</v>
      </c>
      <c r="C19" s="584" t="s">
        <v>130</v>
      </c>
      <c r="D19" s="16">
        <v>5</v>
      </c>
      <c r="E19" s="221">
        <v>3.472222222222222E-3</v>
      </c>
      <c r="F19" s="576">
        <v>5.5555555555555558E-3</v>
      </c>
      <c r="G19" s="344">
        <v>0</v>
      </c>
      <c r="H19" s="265">
        <v>2.7777777777777776E-2</v>
      </c>
      <c r="I19" s="221">
        <v>2.7777777777777776E-2</v>
      </c>
      <c r="J19" s="265">
        <v>2.4305555555555552E-2</v>
      </c>
      <c r="K19" s="221">
        <v>0</v>
      </c>
      <c r="L19" s="221">
        <f>IF(I19-E19-J19&gt;0,I19-E19-J19,0)</f>
        <v>0</v>
      </c>
      <c r="O19" s="106">
        <v>15</v>
      </c>
      <c r="P19" s="134">
        <v>3.472222222222222E-3</v>
      </c>
      <c r="Q19" s="134">
        <v>6.9444444444444441E-3</v>
      </c>
      <c r="R19" s="592">
        <f t="shared" si="0"/>
        <v>6.289565274494352E-2</v>
      </c>
      <c r="S19" s="578">
        <v>0.27867647255269262</v>
      </c>
      <c r="AH19" s="17"/>
      <c r="AJ19" s="574"/>
    </row>
    <row r="20" spans="2:36" s="7" customFormat="1" ht="15" customHeight="1">
      <c r="B20" s="503" t="s">
        <v>702</v>
      </c>
      <c r="C20" s="584" t="s">
        <v>129</v>
      </c>
      <c r="D20" s="16">
        <v>5</v>
      </c>
      <c r="E20" s="221">
        <v>3.472222222222222E-3</v>
      </c>
      <c r="F20" s="221">
        <v>5.5555555555555558E-3</v>
      </c>
      <c r="G20" s="344">
        <v>0</v>
      </c>
      <c r="H20" s="265">
        <v>5.5555555555555558E-3</v>
      </c>
      <c r="I20" s="221">
        <v>5.5555555555555558E-3</v>
      </c>
      <c r="J20" s="265">
        <v>0</v>
      </c>
      <c r="K20" s="221">
        <v>0</v>
      </c>
      <c r="L20" s="221">
        <f>IF(I20-E20-J20&gt;0,I20-E20-J20,0)</f>
        <v>2.0833333333333337E-3</v>
      </c>
      <c r="O20" s="106">
        <v>16</v>
      </c>
      <c r="P20" s="134">
        <v>3.472222222222222E-3</v>
      </c>
      <c r="Q20" s="134">
        <v>7.6388888888888886E-3</v>
      </c>
      <c r="R20" s="592">
        <f t="shared" si="0"/>
        <v>0.31844628316259532</v>
      </c>
      <c r="S20" s="578">
        <v>0.59712275571528795</v>
      </c>
      <c r="AH20" s="17"/>
      <c r="AJ20" s="574"/>
    </row>
    <row r="21" spans="2:36" s="7" customFormat="1" ht="15" customHeight="1">
      <c r="B21" s="503" t="s">
        <v>702</v>
      </c>
      <c r="C21" s="584" t="s">
        <v>562</v>
      </c>
      <c r="D21" s="16">
        <v>5</v>
      </c>
      <c r="E21" s="221">
        <v>3.472222222222222E-3</v>
      </c>
      <c r="F21" s="221">
        <v>5.5555555555555558E-3</v>
      </c>
      <c r="G21" s="344">
        <v>0</v>
      </c>
      <c r="H21" s="265">
        <v>4.8611111111111112E-3</v>
      </c>
      <c r="I21" s="221">
        <v>4.8611111111111112E-3</v>
      </c>
      <c r="J21" s="265">
        <v>0</v>
      </c>
      <c r="K21" s="221">
        <v>0</v>
      </c>
      <c r="L21" s="221">
        <f>IF(I21-E21-J21&gt;0,I21-E21-J21,0)</f>
        <v>1.3888888888888892E-3</v>
      </c>
      <c r="O21" s="106">
        <v>17</v>
      </c>
      <c r="P21" s="134">
        <v>3.472222222222222E-3</v>
      </c>
      <c r="Q21" s="134">
        <v>7.6388888888888886E-3</v>
      </c>
      <c r="R21" s="592">
        <f t="shared" si="0"/>
        <v>0.10147425794588905</v>
      </c>
      <c r="S21" s="578">
        <v>0.69859701366117699</v>
      </c>
      <c r="AH21" s="17"/>
      <c r="AJ21" s="574"/>
    </row>
    <row r="22" spans="2:36" s="7" customFormat="1" ht="15" customHeight="1">
      <c r="B22" s="587" t="s">
        <v>171</v>
      </c>
      <c r="C22" s="583" t="s">
        <v>1248</v>
      </c>
      <c r="D22" s="581">
        <v>6</v>
      </c>
      <c r="E22" s="134">
        <v>3.472222222222222E-3</v>
      </c>
      <c r="F22" s="134">
        <v>5.5555555555555558E-3</v>
      </c>
      <c r="G22" s="338">
        <v>0.01</v>
      </c>
      <c r="H22" s="136" t="s">
        <v>25</v>
      </c>
      <c r="I22" s="134" t="s">
        <v>25</v>
      </c>
      <c r="J22" s="136" t="s">
        <v>25</v>
      </c>
      <c r="K22" s="134" t="s">
        <v>25</v>
      </c>
      <c r="L22" s="589">
        <f>SUMIF($B$5:$B21,"&lt;&gt;"&amp;"Level_Up",L$5:L21)</f>
        <v>1.1805555555555557E-2</v>
      </c>
      <c r="O22" s="106">
        <v>18</v>
      </c>
      <c r="P22" s="134">
        <v>3.472222222222222E-3</v>
      </c>
      <c r="Q22" s="134">
        <v>8.3333333333333332E-3</v>
      </c>
      <c r="R22" s="592">
        <f t="shared" si="0"/>
        <v>0.33767237982663545</v>
      </c>
      <c r="S22" s="578">
        <v>1.0362693934878124</v>
      </c>
      <c r="AH22" s="17"/>
      <c r="AJ22" s="574"/>
    </row>
    <row r="23" spans="2:36" s="7" customFormat="1" ht="15" customHeight="1">
      <c r="B23" s="587" t="s">
        <v>171</v>
      </c>
      <c r="C23" s="583" t="s">
        <v>1249</v>
      </c>
      <c r="D23" s="581">
        <v>7</v>
      </c>
      <c r="E23" s="134">
        <v>3.472222222222222E-3</v>
      </c>
      <c r="F23" s="134">
        <v>5.5555555555555558E-3</v>
      </c>
      <c r="G23" s="338">
        <v>0.01</v>
      </c>
      <c r="H23" s="136" t="s">
        <v>25</v>
      </c>
      <c r="I23" s="134" t="s">
        <v>25</v>
      </c>
      <c r="J23" s="136" t="s">
        <v>25</v>
      </c>
      <c r="K23" s="134" t="s">
        <v>25</v>
      </c>
      <c r="L23" s="589">
        <f>SUMIF($B$5:$B22,"&lt;&gt;"&amp;"Level_Up",L$5:L22)</f>
        <v>1.1805555555555557E-2</v>
      </c>
      <c r="O23" s="411">
        <v>19</v>
      </c>
      <c r="P23" s="416">
        <v>3.472222222222222E-3</v>
      </c>
      <c r="Q23" s="416">
        <v>8.3333333333333332E-3</v>
      </c>
      <c r="R23" s="592">
        <f t="shared" si="0"/>
        <v>0.35500065668505387</v>
      </c>
      <c r="S23" s="578">
        <v>1.3912700501728663</v>
      </c>
      <c r="AH23" s="17"/>
      <c r="AJ23" s="574"/>
    </row>
    <row r="24" spans="2:36" s="7" customFormat="1" ht="15" customHeight="1">
      <c r="B24" s="503" t="s">
        <v>144</v>
      </c>
      <c r="C24" s="584" t="s">
        <v>174</v>
      </c>
      <c r="D24" s="16">
        <v>7</v>
      </c>
      <c r="E24" s="221">
        <v>3.472222222222222E-3</v>
      </c>
      <c r="F24" s="221">
        <v>5.5555555555555558E-3</v>
      </c>
      <c r="G24" s="344">
        <v>0.01</v>
      </c>
      <c r="H24" s="265">
        <v>6.9444444444444447E-4</v>
      </c>
      <c r="I24" s="221">
        <v>6.8756875687568761E-4</v>
      </c>
      <c r="J24" s="265">
        <v>0</v>
      </c>
      <c r="K24" s="221">
        <v>0</v>
      </c>
      <c r="L24" s="221">
        <f t="shared" ref="L24:L30" si="1">IF(I24-E24-J24&gt;0,I24-E24-J24,0)</f>
        <v>0</v>
      </c>
      <c r="O24" s="411">
        <v>20</v>
      </c>
      <c r="P24" s="416">
        <v>3.472222222222222E-3</v>
      </c>
      <c r="Q24" s="416">
        <v>8.3333333333333332E-3</v>
      </c>
      <c r="R24" s="592">
        <f t="shared" si="0"/>
        <v>0.33241561597058045</v>
      </c>
      <c r="S24" s="578">
        <v>1.7236856661434468</v>
      </c>
      <c r="AH24" s="17"/>
      <c r="AJ24" s="574"/>
    </row>
    <row r="25" spans="2:36" s="7" customFormat="1" ht="15" customHeight="1">
      <c r="B25" s="503" t="s">
        <v>144</v>
      </c>
      <c r="C25" s="584" t="s">
        <v>175</v>
      </c>
      <c r="D25" s="16">
        <v>7</v>
      </c>
      <c r="E25" s="221">
        <v>3.472222222222222E-3</v>
      </c>
      <c r="F25" s="221">
        <v>5.5555555555555558E-3</v>
      </c>
      <c r="G25" s="344">
        <v>0.01</v>
      </c>
      <c r="H25" s="265">
        <v>6.9444444444444447E-4</v>
      </c>
      <c r="I25" s="221">
        <v>6.8756875687568761E-4</v>
      </c>
      <c r="J25" s="265">
        <v>0</v>
      </c>
      <c r="K25" s="221">
        <v>0</v>
      </c>
      <c r="L25" s="221">
        <f t="shared" si="1"/>
        <v>0</v>
      </c>
      <c r="O25" s="411">
        <v>21</v>
      </c>
      <c r="P25" s="416">
        <v>3.472222222222222E-3</v>
      </c>
      <c r="Q25" s="416">
        <v>8.3333333333333332E-3</v>
      </c>
      <c r="R25" s="592">
        <f t="shared" si="0"/>
        <v>0.63306461089682387</v>
      </c>
      <c r="S25" s="578">
        <v>2.3567502770402706</v>
      </c>
      <c r="AH25" s="17"/>
      <c r="AJ25" s="574"/>
    </row>
    <row r="26" spans="2:36" s="7" customFormat="1" ht="15" customHeight="1">
      <c r="B26" s="503" t="s">
        <v>144</v>
      </c>
      <c r="C26" s="584" t="s">
        <v>176</v>
      </c>
      <c r="D26" s="16">
        <v>7</v>
      </c>
      <c r="E26" s="221">
        <v>3.472222222222222E-3</v>
      </c>
      <c r="F26" s="221">
        <v>5.5555555555555558E-3</v>
      </c>
      <c r="G26" s="344">
        <v>0.01</v>
      </c>
      <c r="H26" s="265">
        <v>6.9444444444444447E-4</v>
      </c>
      <c r="I26" s="221">
        <v>6.8756875687568761E-4</v>
      </c>
      <c r="J26" s="265">
        <v>0</v>
      </c>
      <c r="K26" s="221">
        <v>0</v>
      </c>
      <c r="L26" s="221">
        <f t="shared" si="1"/>
        <v>0</v>
      </c>
      <c r="O26" s="411">
        <v>22</v>
      </c>
      <c r="P26" s="416">
        <v>3.472222222222222E-3</v>
      </c>
      <c r="Q26" s="416">
        <v>8.3333333333333332E-3</v>
      </c>
      <c r="R26" s="592">
        <f t="shared" si="0"/>
        <v>0.43355548417050516</v>
      </c>
      <c r="S26" s="578">
        <v>2.7903057612107758</v>
      </c>
      <c r="AH26" s="17"/>
      <c r="AJ26" s="574"/>
    </row>
    <row r="27" spans="2:36" s="7" customFormat="1" ht="15" customHeight="1">
      <c r="B27" s="503" t="s">
        <v>144</v>
      </c>
      <c r="C27" s="584" t="s">
        <v>181</v>
      </c>
      <c r="D27" s="16">
        <v>7</v>
      </c>
      <c r="E27" s="221">
        <v>3.472222222222222E-3</v>
      </c>
      <c r="F27" s="221">
        <v>5.5555555555555558E-3</v>
      </c>
      <c r="G27" s="344">
        <v>0.01</v>
      </c>
      <c r="H27" s="265">
        <v>8.6805555555555551E-4</v>
      </c>
      <c r="I27" s="221">
        <v>8.5946094609460938E-4</v>
      </c>
      <c r="J27" s="265">
        <v>0</v>
      </c>
      <c r="K27" s="221">
        <v>0</v>
      </c>
      <c r="L27" s="221">
        <f t="shared" si="1"/>
        <v>0</v>
      </c>
      <c r="O27" s="411">
        <v>23</v>
      </c>
      <c r="P27" s="416">
        <v>3.472222222222222E-3</v>
      </c>
      <c r="Q27" s="416">
        <v>9.0277777777777787E-3</v>
      </c>
      <c r="R27" s="592">
        <f t="shared" si="0"/>
        <v>1.0184827869333177</v>
      </c>
      <c r="S27" s="578">
        <v>3.8087885481440935</v>
      </c>
      <c r="AH27" s="17"/>
      <c r="AJ27" s="574"/>
    </row>
    <row r="28" spans="2:36" s="7" customFormat="1" ht="15" customHeight="1">
      <c r="B28" s="503" t="s">
        <v>144</v>
      </c>
      <c r="C28" s="584" t="s">
        <v>30</v>
      </c>
      <c r="D28" s="16">
        <v>7</v>
      </c>
      <c r="E28" s="221">
        <v>3.472222222222222E-3</v>
      </c>
      <c r="F28" s="221">
        <v>5.5555555555555558E-3</v>
      </c>
      <c r="G28" s="344">
        <v>0.01</v>
      </c>
      <c r="H28" s="265">
        <v>1.1574074074074073E-3</v>
      </c>
      <c r="I28" s="221">
        <v>1.1459479281261458E-3</v>
      </c>
      <c r="J28" s="265">
        <v>0</v>
      </c>
      <c r="K28" s="221">
        <v>0</v>
      </c>
      <c r="L28" s="221">
        <f t="shared" si="1"/>
        <v>0</v>
      </c>
      <c r="O28" s="411">
        <v>24</v>
      </c>
      <c r="P28" s="416">
        <v>3.472222222222222E-3</v>
      </c>
      <c r="Q28" s="416">
        <v>9.0277777777777787E-3</v>
      </c>
      <c r="R28" s="592">
        <f t="shared" si="0"/>
        <v>0.508234186177563</v>
      </c>
      <c r="S28" s="578">
        <v>4.3170227343216565</v>
      </c>
      <c r="AH28" s="17"/>
      <c r="AJ28" s="574"/>
    </row>
    <row r="29" spans="2:36" s="7" customFormat="1" ht="15" customHeight="1">
      <c r="B29" s="503" t="s">
        <v>144</v>
      </c>
      <c r="C29" s="584" t="s">
        <v>185</v>
      </c>
      <c r="D29" s="16">
        <v>7</v>
      </c>
      <c r="E29" s="221">
        <v>3.472222222222222E-3</v>
      </c>
      <c r="F29" s="221">
        <v>5.5555555555555558E-3</v>
      </c>
      <c r="G29" s="344">
        <v>0.01</v>
      </c>
      <c r="H29" s="265">
        <v>1.1574074074074073E-3</v>
      </c>
      <c r="I29" s="221">
        <v>1.1459479281261458E-3</v>
      </c>
      <c r="J29" s="265">
        <v>0</v>
      </c>
      <c r="K29" s="221">
        <v>0</v>
      </c>
      <c r="L29" s="221">
        <f t="shared" si="1"/>
        <v>0</v>
      </c>
      <c r="O29" s="411">
        <v>25</v>
      </c>
      <c r="P29" s="416">
        <v>3.472222222222222E-3</v>
      </c>
      <c r="Q29" s="416">
        <v>9.7222222222222224E-3</v>
      </c>
      <c r="R29" s="592">
        <f t="shared" si="0"/>
        <v>1.8160791773621803</v>
      </c>
      <c r="S29" s="578">
        <v>6.1331019116838368</v>
      </c>
      <c r="AH29" s="17"/>
      <c r="AJ29" s="574"/>
    </row>
    <row r="30" spans="2:36" s="7" customFormat="1" ht="15.75">
      <c r="B30" s="503" t="s">
        <v>144</v>
      </c>
      <c r="C30" s="584" t="s">
        <v>197</v>
      </c>
      <c r="D30" s="16">
        <v>7</v>
      </c>
      <c r="E30" s="221">
        <v>3.472222222222222E-3</v>
      </c>
      <c r="F30" s="221">
        <v>5.5555555555555558E-3</v>
      </c>
      <c r="G30" s="344">
        <v>0.01</v>
      </c>
      <c r="H30" s="265">
        <v>1.3888888888888889E-3</v>
      </c>
      <c r="I30" s="221">
        <v>1.3751375137513752E-3</v>
      </c>
      <c r="J30" s="265">
        <v>0</v>
      </c>
      <c r="K30" s="221">
        <v>0</v>
      </c>
      <c r="L30" s="221">
        <f t="shared" si="1"/>
        <v>0</v>
      </c>
      <c r="O30" s="411">
        <v>26</v>
      </c>
      <c r="P30" s="416">
        <v>3.472222222222222E-3</v>
      </c>
      <c r="Q30" s="416">
        <v>9.7222222222222224E-3</v>
      </c>
      <c r="R30" s="592">
        <f t="shared" si="0"/>
        <v>0.78367807938053335</v>
      </c>
      <c r="S30" s="578">
        <v>6.9167799910643701</v>
      </c>
      <c r="AH30" s="17"/>
      <c r="AJ30" s="574"/>
    </row>
    <row r="31" spans="2:36" s="7" customFormat="1" ht="15.75">
      <c r="B31" s="587" t="s">
        <v>171</v>
      </c>
      <c r="C31" s="583" t="s">
        <v>1250</v>
      </c>
      <c r="D31" s="581">
        <v>8</v>
      </c>
      <c r="E31" s="134">
        <v>3.472222222222222E-3</v>
      </c>
      <c r="F31" s="134">
        <v>5.5555555555555558E-3</v>
      </c>
      <c r="G31" s="338">
        <v>0.01</v>
      </c>
      <c r="H31" s="136" t="s">
        <v>25</v>
      </c>
      <c r="I31" s="134" t="s">
        <v>25</v>
      </c>
      <c r="J31" s="136" t="s">
        <v>25</v>
      </c>
      <c r="K31" s="134" t="s">
        <v>25</v>
      </c>
      <c r="L31" s="589">
        <f>SUMIF($B$5:$B30,"&lt;&gt;"&amp;"Level_Up",L$5:L30)</f>
        <v>1.1805555555555557E-2</v>
      </c>
      <c r="O31" s="411">
        <v>27</v>
      </c>
      <c r="P31" s="416">
        <v>3.472222222222222E-3</v>
      </c>
      <c r="Q31" s="416">
        <v>9.7222222222222224E-3</v>
      </c>
      <c r="R31" s="592">
        <f t="shared" si="0"/>
        <v>0.82469382321618845</v>
      </c>
      <c r="S31" s="578">
        <v>7.7414738142805586</v>
      </c>
      <c r="AH31" s="17"/>
      <c r="AJ31" s="574"/>
    </row>
    <row r="32" spans="2:36" s="7" customFormat="1" ht="15.75">
      <c r="B32" s="503" t="s">
        <v>144</v>
      </c>
      <c r="C32" s="584" t="s">
        <v>211</v>
      </c>
      <c r="D32" s="16">
        <v>8</v>
      </c>
      <c r="E32" s="221">
        <v>3.472222222222222E-3</v>
      </c>
      <c r="F32" s="221">
        <v>5.5555555555555558E-3</v>
      </c>
      <c r="G32" s="344">
        <v>0.01</v>
      </c>
      <c r="H32" s="265">
        <v>1.6203703703703703E-3</v>
      </c>
      <c r="I32" s="221">
        <v>1.6043270993766042E-3</v>
      </c>
      <c r="J32" s="265">
        <v>0</v>
      </c>
      <c r="K32" s="221">
        <v>0</v>
      </c>
      <c r="L32" s="221">
        <f t="shared" ref="L32:L49" si="2">IF(I32-E32-J32&gt;0,I32-E32-J32,0)</f>
        <v>0</v>
      </c>
      <c r="O32" s="411">
        <v>28</v>
      </c>
      <c r="P32" s="416">
        <v>3.472222222222222E-3</v>
      </c>
      <c r="Q32" s="416">
        <v>9.7222222222222224E-3</v>
      </c>
      <c r="R32" s="592">
        <f t="shared" si="0"/>
        <v>1.8219404508342194</v>
      </c>
      <c r="S32" s="578">
        <v>9.563414265114778</v>
      </c>
      <c r="AH32" s="17"/>
      <c r="AJ32" s="574"/>
    </row>
    <row r="33" spans="2:36" s="7" customFormat="1" ht="15.75">
      <c r="B33" s="503" t="s">
        <v>144</v>
      </c>
      <c r="C33" s="584" t="s">
        <v>212</v>
      </c>
      <c r="D33" s="16">
        <v>8</v>
      </c>
      <c r="E33" s="221">
        <v>3.472222222222222E-3</v>
      </c>
      <c r="F33" s="221">
        <v>5.5555555555555558E-3</v>
      </c>
      <c r="G33" s="344">
        <v>0.01</v>
      </c>
      <c r="H33" s="265">
        <v>1.8518518518518517E-3</v>
      </c>
      <c r="I33" s="221">
        <v>1.8335166850018333E-3</v>
      </c>
      <c r="J33" s="265">
        <v>0</v>
      </c>
      <c r="K33" s="221">
        <v>0</v>
      </c>
      <c r="L33" s="221">
        <f t="shared" si="2"/>
        <v>0</v>
      </c>
      <c r="O33" s="411">
        <v>29</v>
      </c>
      <c r="P33" s="416">
        <v>3.472222222222222E-3</v>
      </c>
      <c r="Q33" s="416">
        <v>1.0416666666666666E-2</v>
      </c>
      <c r="R33" s="592">
        <f t="shared" si="0"/>
        <v>2.5540098804875146</v>
      </c>
      <c r="S33" s="578">
        <v>12.117424145602293</v>
      </c>
      <c r="AH33" s="17"/>
      <c r="AJ33" s="574"/>
    </row>
    <row r="34" spans="2:36" s="7" customFormat="1" ht="15.75">
      <c r="B34" s="503" t="s">
        <v>144</v>
      </c>
      <c r="C34" s="584" t="s">
        <v>504</v>
      </c>
      <c r="D34" s="16">
        <v>8</v>
      </c>
      <c r="E34" s="221">
        <v>3.472222222222222E-3</v>
      </c>
      <c r="F34" s="221">
        <v>5.5555555555555558E-3</v>
      </c>
      <c r="G34" s="344">
        <v>0.01</v>
      </c>
      <c r="H34" s="265">
        <v>2.3148148148148151E-3</v>
      </c>
      <c r="I34" s="221">
        <v>2.2918958562522921E-3</v>
      </c>
      <c r="J34" s="265">
        <v>0</v>
      </c>
      <c r="K34" s="221">
        <v>0</v>
      </c>
      <c r="L34" s="221">
        <f t="shared" si="2"/>
        <v>0</v>
      </c>
      <c r="O34" s="411">
        <v>30</v>
      </c>
      <c r="P34" s="416">
        <v>3.472222222222222E-3</v>
      </c>
      <c r="Q34" s="416">
        <v>1.0416666666666666E-2</v>
      </c>
      <c r="R34" s="592">
        <f t="shared" si="0"/>
        <v>0.22371982605608842</v>
      </c>
      <c r="S34" s="578">
        <v>12.341143971658381</v>
      </c>
      <c r="AH34" s="17"/>
      <c r="AJ34" s="574"/>
    </row>
    <row r="35" spans="2:36" s="7" customFormat="1" ht="15.75">
      <c r="B35" s="503" t="s">
        <v>144</v>
      </c>
      <c r="C35" s="584" t="s">
        <v>343</v>
      </c>
      <c r="D35" s="16">
        <v>8</v>
      </c>
      <c r="E35" s="221">
        <v>3.472222222222222E-3</v>
      </c>
      <c r="F35" s="221">
        <v>5.5555555555555558E-3</v>
      </c>
      <c r="G35" s="344">
        <v>0.01</v>
      </c>
      <c r="H35" s="265">
        <v>2.0833333333333333E-3</v>
      </c>
      <c r="I35" s="221">
        <v>2.0627062706270625E-3</v>
      </c>
      <c r="J35" s="265">
        <v>0</v>
      </c>
      <c r="K35" s="221">
        <v>0</v>
      </c>
      <c r="L35" s="221">
        <f t="shared" si="2"/>
        <v>0</v>
      </c>
      <c r="AH35" s="17"/>
      <c r="AJ35" s="574"/>
    </row>
    <row r="36" spans="2:36" s="7" customFormat="1" ht="15.75">
      <c r="B36" s="503" t="s">
        <v>144</v>
      </c>
      <c r="C36" s="584" t="s">
        <v>16</v>
      </c>
      <c r="D36" s="16">
        <v>8</v>
      </c>
      <c r="E36" s="221">
        <v>3.472222222222222E-3</v>
      </c>
      <c r="F36" s="221">
        <v>5.5555555555555558E-3</v>
      </c>
      <c r="G36" s="344">
        <v>0.01</v>
      </c>
      <c r="H36" s="265">
        <v>6.9444444444444447E-4</v>
      </c>
      <c r="I36" s="221">
        <v>6.8756875687568761E-4</v>
      </c>
      <c r="J36" s="265">
        <v>0</v>
      </c>
      <c r="K36" s="221">
        <v>0</v>
      </c>
      <c r="L36" s="221">
        <f t="shared" si="2"/>
        <v>0</v>
      </c>
      <c r="AH36" s="17"/>
      <c r="AJ36" s="574"/>
    </row>
    <row r="37" spans="2:36" s="7" customFormat="1" ht="15.75">
      <c r="B37" s="503" t="s">
        <v>144</v>
      </c>
      <c r="C37" s="584" t="s">
        <v>16</v>
      </c>
      <c r="D37" s="16">
        <v>8</v>
      </c>
      <c r="E37" s="221">
        <v>3.472222222222222E-3</v>
      </c>
      <c r="F37" s="221">
        <v>5.5555555555555558E-3</v>
      </c>
      <c r="G37" s="344">
        <v>0.01</v>
      </c>
      <c r="H37" s="265">
        <v>6.9444444444444447E-4</v>
      </c>
      <c r="I37" s="221">
        <v>6.8756875687568761E-4</v>
      </c>
      <c r="J37" s="265">
        <v>0</v>
      </c>
      <c r="K37" s="221">
        <v>0</v>
      </c>
      <c r="L37" s="221">
        <f t="shared" si="2"/>
        <v>0</v>
      </c>
      <c r="AH37" s="17"/>
      <c r="AJ37" s="574"/>
    </row>
    <row r="38" spans="2:36" s="7" customFormat="1" ht="15.75">
      <c r="B38" s="503" t="s">
        <v>144</v>
      </c>
      <c r="C38" s="584" t="s">
        <v>16</v>
      </c>
      <c r="D38" s="16">
        <v>8</v>
      </c>
      <c r="E38" s="221">
        <v>3.472222222222222E-3</v>
      </c>
      <c r="F38" s="221">
        <v>5.5555555555555558E-3</v>
      </c>
      <c r="G38" s="344">
        <v>0.01</v>
      </c>
      <c r="H38" s="265">
        <v>6.9444444444444447E-4</v>
      </c>
      <c r="I38" s="221">
        <v>6.8756875687568761E-4</v>
      </c>
      <c r="J38" s="265">
        <v>0</v>
      </c>
      <c r="K38" s="221">
        <v>0</v>
      </c>
      <c r="L38" s="221">
        <f t="shared" si="2"/>
        <v>0</v>
      </c>
      <c r="AH38" s="17"/>
      <c r="AJ38" s="574"/>
    </row>
    <row r="39" spans="2:36" s="7" customFormat="1" ht="15.75">
      <c r="B39" s="503" t="s">
        <v>144</v>
      </c>
      <c r="C39" s="584" t="s">
        <v>714</v>
      </c>
      <c r="D39" s="16">
        <v>8</v>
      </c>
      <c r="E39" s="221">
        <v>3.472222222222222E-3</v>
      </c>
      <c r="F39" s="221">
        <v>5.5555555555555558E-3</v>
      </c>
      <c r="G39" s="344">
        <v>0.01</v>
      </c>
      <c r="H39" s="265">
        <v>1.6203703703703703E-3</v>
      </c>
      <c r="I39" s="221">
        <v>1.6043270993766042E-3</v>
      </c>
      <c r="J39" s="265">
        <v>0</v>
      </c>
      <c r="K39" s="221">
        <v>0</v>
      </c>
      <c r="L39" s="221">
        <f t="shared" si="2"/>
        <v>0</v>
      </c>
      <c r="AH39" s="17"/>
      <c r="AJ39" s="574"/>
    </row>
    <row r="40" spans="2:36" s="7" customFormat="1" ht="15.75">
      <c r="B40" s="503" t="s">
        <v>144</v>
      </c>
      <c r="C40" s="584" t="s">
        <v>366</v>
      </c>
      <c r="D40" s="16">
        <v>8</v>
      </c>
      <c r="E40" s="221">
        <v>3.472222222222222E-3</v>
      </c>
      <c r="F40" s="221">
        <v>5.5555555555555558E-3</v>
      </c>
      <c r="G40" s="344">
        <v>0.01</v>
      </c>
      <c r="H40" s="265">
        <v>2.3148148148148151E-3</v>
      </c>
      <c r="I40" s="221">
        <v>2.2918958562522921E-3</v>
      </c>
      <c r="J40" s="265">
        <v>0</v>
      </c>
      <c r="K40" s="221">
        <v>0</v>
      </c>
      <c r="L40" s="221">
        <f t="shared" si="2"/>
        <v>0</v>
      </c>
      <c r="AH40" s="17"/>
      <c r="AJ40" s="574"/>
    </row>
    <row r="41" spans="2:36" s="7" customFormat="1" ht="15.75">
      <c r="B41" s="503" t="s">
        <v>144</v>
      </c>
      <c r="C41" s="584" t="s">
        <v>716</v>
      </c>
      <c r="D41" s="16">
        <v>8</v>
      </c>
      <c r="E41" s="221">
        <v>3.472222222222222E-3</v>
      </c>
      <c r="F41" s="221">
        <v>5.5555555555555558E-3</v>
      </c>
      <c r="G41" s="344">
        <v>0.01</v>
      </c>
      <c r="H41" s="265">
        <v>4.6296296296296302E-3</v>
      </c>
      <c r="I41" s="221">
        <v>4.5837917125045842E-3</v>
      </c>
      <c r="J41" s="265">
        <v>0</v>
      </c>
      <c r="K41" s="221">
        <v>0</v>
      </c>
      <c r="L41" s="221">
        <f t="shared" si="2"/>
        <v>1.1115694902823622E-3</v>
      </c>
      <c r="AH41" s="17"/>
      <c r="AJ41" s="574"/>
    </row>
    <row r="42" spans="2:36" s="7" customFormat="1" ht="15.75">
      <c r="B42" s="503" t="s">
        <v>144</v>
      </c>
      <c r="C42" s="584" t="s">
        <v>50</v>
      </c>
      <c r="D42" s="16">
        <v>8</v>
      </c>
      <c r="E42" s="221">
        <v>3.472222222222222E-3</v>
      </c>
      <c r="F42" s="221">
        <v>5.5555555555555558E-3</v>
      </c>
      <c r="G42" s="344">
        <v>0.01</v>
      </c>
      <c r="H42" s="265">
        <v>1.1574074074074073E-3</v>
      </c>
      <c r="I42" s="221">
        <v>1.1459479281261458E-3</v>
      </c>
      <c r="J42" s="265">
        <v>0</v>
      </c>
      <c r="K42" s="221">
        <v>0</v>
      </c>
      <c r="L42" s="221">
        <f t="shared" si="2"/>
        <v>0</v>
      </c>
      <c r="AH42" s="17"/>
      <c r="AJ42" s="574"/>
    </row>
    <row r="43" spans="2:36" s="7" customFormat="1" ht="15.75">
      <c r="B43" s="503" t="s">
        <v>144</v>
      </c>
      <c r="C43" s="584" t="s">
        <v>366</v>
      </c>
      <c r="D43" s="16">
        <v>8</v>
      </c>
      <c r="E43" s="221">
        <v>3.472222222222222E-3</v>
      </c>
      <c r="F43" s="221">
        <v>5.5555555555555558E-3</v>
      </c>
      <c r="G43" s="344">
        <v>0.01</v>
      </c>
      <c r="H43" s="265">
        <v>2.3148148148148151E-3</v>
      </c>
      <c r="I43" s="221">
        <v>2.2918958562522921E-3</v>
      </c>
      <c r="J43" s="265">
        <v>0</v>
      </c>
      <c r="K43" s="221">
        <v>0</v>
      </c>
      <c r="L43" s="221">
        <f t="shared" si="2"/>
        <v>0</v>
      </c>
      <c r="AH43" s="17"/>
      <c r="AJ43" s="574"/>
    </row>
    <row r="44" spans="2:36" s="7" customFormat="1" ht="15.75">
      <c r="B44" s="503" t="s">
        <v>144</v>
      </c>
      <c r="C44" s="584" t="s">
        <v>716</v>
      </c>
      <c r="D44" s="16">
        <v>8</v>
      </c>
      <c r="E44" s="221">
        <v>3.472222222222222E-3</v>
      </c>
      <c r="F44" s="221">
        <v>5.5555555555555558E-3</v>
      </c>
      <c r="G44" s="344">
        <v>0.01</v>
      </c>
      <c r="H44" s="265">
        <v>4.6296296296296302E-3</v>
      </c>
      <c r="I44" s="221">
        <v>4.5837917125045842E-3</v>
      </c>
      <c r="J44" s="265">
        <v>0</v>
      </c>
      <c r="K44" s="221">
        <v>0</v>
      </c>
      <c r="L44" s="221">
        <f t="shared" si="2"/>
        <v>1.1115694902823622E-3</v>
      </c>
      <c r="AH44" s="17"/>
      <c r="AJ44" s="574"/>
    </row>
    <row r="45" spans="2:36" s="7" customFormat="1" ht="15.75">
      <c r="B45" s="503" t="s">
        <v>144</v>
      </c>
      <c r="C45" s="584" t="s">
        <v>21</v>
      </c>
      <c r="D45" s="16">
        <v>8</v>
      </c>
      <c r="E45" s="221">
        <v>3.472222222222222E-3</v>
      </c>
      <c r="F45" s="221">
        <v>5.5555555555555558E-3</v>
      </c>
      <c r="G45" s="344">
        <v>0.01</v>
      </c>
      <c r="H45" s="265">
        <v>1.0416666666666667E-3</v>
      </c>
      <c r="I45" s="221">
        <v>1.0313531353135313E-3</v>
      </c>
      <c r="J45" s="265">
        <v>0</v>
      </c>
      <c r="K45" s="221">
        <v>0</v>
      </c>
      <c r="L45" s="221">
        <f t="shared" si="2"/>
        <v>0</v>
      </c>
      <c r="AH45" s="17"/>
      <c r="AJ45" s="574"/>
    </row>
    <row r="46" spans="2:36" s="7" customFormat="1" ht="15.75">
      <c r="B46" s="503" t="s">
        <v>144</v>
      </c>
      <c r="C46" s="584" t="s">
        <v>717</v>
      </c>
      <c r="D46" s="16">
        <v>8</v>
      </c>
      <c r="E46" s="221">
        <v>3.472222222222222E-3</v>
      </c>
      <c r="F46" s="221">
        <v>5.5555555555555558E-3</v>
      </c>
      <c r="G46" s="344">
        <v>0.01</v>
      </c>
      <c r="H46" s="265">
        <v>2.0833333333333333E-3</v>
      </c>
      <c r="I46" s="221">
        <v>2.0627062706270625E-3</v>
      </c>
      <c r="J46" s="265">
        <v>0</v>
      </c>
      <c r="K46" s="221">
        <v>0</v>
      </c>
      <c r="L46" s="221">
        <f t="shared" si="2"/>
        <v>0</v>
      </c>
      <c r="AH46" s="17"/>
      <c r="AJ46" s="574"/>
    </row>
    <row r="47" spans="2:36" s="7" customFormat="1" ht="15.75">
      <c r="B47" s="503" t="s">
        <v>144</v>
      </c>
      <c r="C47" s="584" t="s">
        <v>26</v>
      </c>
      <c r="D47" s="16">
        <v>8</v>
      </c>
      <c r="E47" s="221">
        <v>3.472222222222222E-3</v>
      </c>
      <c r="F47" s="221">
        <v>5.5555555555555558E-3</v>
      </c>
      <c r="G47" s="344">
        <v>0.01</v>
      </c>
      <c r="H47" s="265">
        <v>6.9444444444444447E-4</v>
      </c>
      <c r="I47" s="221">
        <v>6.8756875687568761E-4</v>
      </c>
      <c r="J47" s="265">
        <v>0</v>
      </c>
      <c r="K47" s="221">
        <v>0</v>
      </c>
      <c r="L47" s="221">
        <f t="shared" si="2"/>
        <v>0</v>
      </c>
      <c r="AH47" s="17"/>
      <c r="AJ47" s="574"/>
    </row>
    <row r="48" spans="2:36" s="7" customFormat="1" ht="15.75">
      <c r="B48" s="503" t="s">
        <v>144</v>
      </c>
      <c r="C48" s="584" t="s">
        <v>26</v>
      </c>
      <c r="D48" s="16">
        <v>8</v>
      </c>
      <c r="E48" s="221">
        <v>3.472222222222222E-3</v>
      </c>
      <c r="F48" s="221">
        <v>5.5555555555555558E-3</v>
      </c>
      <c r="G48" s="344">
        <v>0.01</v>
      </c>
      <c r="H48" s="265">
        <v>6.9444444444444447E-4</v>
      </c>
      <c r="I48" s="221">
        <v>6.8756875687568761E-4</v>
      </c>
      <c r="J48" s="265">
        <v>0</v>
      </c>
      <c r="K48" s="221">
        <v>0</v>
      </c>
      <c r="L48" s="221">
        <f t="shared" si="2"/>
        <v>0</v>
      </c>
      <c r="AH48" s="17"/>
      <c r="AJ48" s="574"/>
    </row>
    <row r="49" spans="2:36" s="7" customFormat="1" ht="15.75">
      <c r="B49" s="503" t="s">
        <v>144</v>
      </c>
      <c r="C49" s="584" t="s">
        <v>26</v>
      </c>
      <c r="D49" s="16">
        <v>8</v>
      </c>
      <c r="E49" s="221">
        <v>3.472222222222222E-3</v>
      </c>
      <c r="F49" s="221">
        <v>5.5555555555555558E-3</v>
      </c>
      <c r="G49" s="344">
        <v>0.01</v>
      </c>
      <c r="H49" s="265">
        <v>6.9444444444444447E-4</v>
      </c>
      <c r="I49" s="221">
        <v>6.8756875687568761E-4</v>
      </c>
      <c r="J49" s="265">
        <v>0</v>
      </c>
      <c r="K49" s="221">
        <v>0</v>
      </c>
      <c r="L49" s="221">
        <f t="shared" si="2"/>
        <v>0</v>
      </c>
      <c r="AH49" s="17"/>
      <c r="AJ49" s="574"/>
    </row>
    <row r="50" spans="2:36" s="7" customFormat="1" ht="15.75">
      <c r="B50" s="587" t="s">
        <v>171</v>
      </c>
      <c r="C50" s="583" t="s">
        <v>1251</v>
      </c>
      <c r="D50" s="581">
        <v>9</v>
      </c>
      <c r="E50" s="134">
        <v>3.472222222222222E-3</v>
      </c>
      <c r="F50" s="134">
        <v>5.5555555555555558E-3</v>
      </c>
      <c r="G50" s="343">
        <v>0.03</v>
      </c>
      <c r="H50" s="136" t="s">
        <v>25</v>
      </c>
      <c r="I50" s="134" t="s">
        <v>25</v>
      </c>
      <c r="J50" s="136" t="s">
        <v>25</v>
      </c>
      <c r="K50" s="134" t="s">
        <v>25</v>
      </c>
      <c r="L50" s="589">
        <f>SUMIF($B$5:$B49,"&lt;&gt;"&amp;"Level_Up",L$5:L49)</f>
        <v>1.4028694536120281E-2</v>
      </c>
      <c r="AH50" s="17"/>
      <c r="AJ50" s="574"/>
    </row>
    <row r="51" spans="2:36" s="7" customFormat="1" ht="15.75">
      <c r="B51" s="587" t="s">
        <v>171</v>
      </c>
      <c r="C51" s="583" t="s">
        <v>1252</v>
      </c>
      <c r="D51" s="581">
        <v>10</v>
      </c>
      <c r="E51" s="134">
        <v>3.472222222222222E-3</v>
      </c>
      <c r="F51" s="134">
        <v>5.5555555555555558E-3</v>
      </c>
      <c r="G51" s="343">
        <v>0.1</v>
      </c>
      <c r="H51" s="136" t="s">
        <v>25</v>
      </c>
      <c r="I51" s="134" t="s">
        <v>25</v>
      </c>
      <c r="J51" s="136" t="s">
        <v>25</v>
      </c>
      <c r="K51" s="134" t="s">
        <v>25</v>
      </c>
      <c r="L51" s="589">
        <f>SUMIF($B$5:$B50,"&lt;&gt;"&amp;"Level_Up",L$5:L50)</f>
        <v>1.4028694536120281E-2</v>
      </c>
      <c r="AH51" s="17"/>
      <c r="AJ51" s="574"/>
    </row>
    <row r="52" spans="2:36" s="7" customFormat="1" ht="15.75">
      <c r="B52" s="503" t="s">
        <v>144</v>
      </c>
      <c r="C52" s="584" t="s">
        <v>718</v>
      </c>
      <c r="D52" s="16">
        <v>10</v>
      </c>
      <c r="E52" s="221">
        <v>3.472222222222222E-3</v>
      </c>
      <c r="F52" s="221">
        <v>5.5555555555555558E-3</v>
      </c>
      <c r="G52" s="344">
        <v>0.1</v>
      </c>
      <c r="H52" s="265">
        <v>1.736111111111111E-3</v>
      </c>
      <c r="I52" s="221">
        <v>1.578282828282828E-3</v>
      </c>
      <c r="J52" s="265">
        <v>0</v>
      </c>
      <c r="K52" s="221">
        <v>0</v>
      </c>
      <c r="L52" s="221">
        <f t="shared" ref="L52:L64" si="3">IF(I52-E52-J52&gt;0,I52-E52-J52,0)</f>
        <v>0</v>
      </c>
      <c r="AH52" s="17"/>
      <c r="AJ52" s="574"/>
    </row>
    <row r="53" spans="2:36" s="7" customFormat="1" ht="15.75">
      <c r="B53" s="503" t="s">
        <v>144</v>
      </c>
      <c r="C53" s="584" t="s">
        <v>409</v>
      </c>
      <c r="D53" s="16">
        <v>10</v>
      </c>
      <c r="E53" s="221">
        <v>3.472222222222222E-3</v>
      </c>
      <c r="F53" s="221">
        <v>5.5555555555555558E-3</v>
      </c>
      <c r="G53" s="344">
        <v>0.1</v>
      </c>
      <c r="H53" s="265">
        <v>3.2407407407407406E-3</v>
      </c>
      <c r="I53" s="221">
        <v>2.9461279461279457E-3</v>
      </c>
      <c r="J53" s="265">
        <v>0</v>
      </c>
      <c r="K53" s="221">
        <v>0</v>
      </c>
      <c r="L53" s="221">
        <f t="shared" si="3"/>
        <v>0</v>
      </c>
      <c r="AH53" s="17"/>
      <c r="AJ53" s="574"/>
    </row>
    <row r="54" spans="2:36" s="7" customFormat="1" ht="15.75">
      <c r="B54" s="503" t="s">
        <v>144</v>
      </c>
      <c r="C54" s="584" t="s">
        <v>720</v>
      </c>
      <c r="D54" s="16">
        <v>10</v>
      </c>
      <c r="E54" s="221">
        <v>3.472222222222222E-3</v>
      </c>
      <c r="F54" s="221">
        <v>5.5555555555555558E-3</v>
      </c>
      <c r="G54" s="344">
        <v>0.1</v>
      </c>
      <c r="H54" s="265">
        <v>3.7037037037037034E-3</v>
      </c>
      <c r="I54" s="221">
        <v>3.3670033670033664E-3</v>
      </c>
      <c r="J54" s="265">
        <v>0</v>
      </c>
      <c r="K54" s="221">
        <v>0</v>
      </c>
      <c r="L54" s="221">
        <f t="shared" si="3"/>
        <v>0</v>
      </c>
      <c r="AH54" s="17"/>
      <c r="AJ54" s="574"/>
    </row>
    <row r="55" spans="2:36" s="7" customFormat="1" ht="15.75">
      <c r="B55" s="503" t="s">
        <v>144</v>
      </c>
      <c r="C55" s="584" t="s">
        <v>721</v>
      </c>
      <c r="D55" s="16">
        <v>10</v>
      </c>
      <c r="E55" s="221">
        <v>3.472222222222222E-3</v>
      </c>
      <c r="F55" s="221">
        <v>5.5555555555555558E-3</v>
      </c>
      <c r="G55" s="344">
        <v>0.1</v>
      </c>
      <c r="H55" s="265">
        <v>7.4074074074074068E-3</v>
      </c>
      <c r="I55" s="221">
        <v>6.7340067340067328E-3</v>
      </c>
      <c r="J55" s="265">
        <v>0</v>
      </c>
      <c r="K55" s="221">
        <v>0</v>
      </c>
      <c r="L55" s="221">
        <f t="shared" si="3"/>
        <v>3.2617845117845108E-3</v>
      </c>
      <c r="AH55" s="17"/>
      <c r="AJ55" s="574"/>
    </row>
    <row r="56" spans="2:36" s="7" customFormat="1" ht="15.75">
      <c r="B56" s="503" t="s">
        <v>144</v>
      </c>
      <c r="C56" s="584" t="s">
        <v>612</v>
      </c>
      <c r="D56" s="16">
        <v>10</v>
      </c>
      <c r="E56" s="221">
        <v>3.472222222222222E-3</v>
      </c>
      <c r="F56" s="221">
        <v>5.5555555555555558E-3</v>
      </c>
      <c r="G56" s="344">
        <v>0.1</v>
      </c>
      <c r="H56" s="265">
        <v>1.4814814814814814E-2</v>
      </c>
      <c r="I56" s="221">
        <v>1.3468013468013466E-2</v>
      </c>
      <c r="J56" s="265">
        <v>0</v>
      </c>
      <c r="K56" s="221">
        <v>4.4402356902356879E-3</v>
      </c>
      <c r="L56" s="221">
        <f t="shared" si="3"/>
        <v>9.9957912457912437E-3</v>
      </c>
      <c r="AH56" s="17"/>
      <c r="AJ56" s="574"/>
    </row>
    <row r="57" spans="2:36" s="7" customFormat="1" ht="15.75">
      <c r="B57" s="503" t="s">
        <v>144</v>
      </c>
      <c r="C57" s="584" t="s">
        <v>175</v>
      </c>
      <c r="D57" s="16">
        <v>10</v>
      </c>
      <c r="E57" s="221">
        <v>3.472222222222222E-3</v>
      </c>
      <c r="F57" s="221">
        <v>5.5555555555555558E-3</v>
      </c>
      <c r="G57" s="344">
        <v>0.1</v>
      </c>
      <c r="H57" s="265">
        <v>6.9444444444444447E-4</v>
      </c>
      <c r="I57" s="221">
        <v>6.3131313131313126E-4</v>
      </c>
      <c r="J57" s="265">
        <v>0</v>
      </c>
      <c r="K57" s="221">
        <v>0</v>
      </c>
      <c r="L57" s="221">
        <f t="shared" si="3"/>
        <v>0</v>
      </c>
      <c r="AH57" s="17"/>
      <c r="AJ57" s="574"/>
    </row>
    <row r="58" spans="2:36" s="7" customFormat="1" ht="15.75">
      <c r="B58" s="503" t="s">
        <v>144</v>
      </c>
      <c r="C58" s="584" t="s">
        <v>175</v>
      </c>
      <c r="D58" s="16">
        <v>10</v>
      </c>
      <c r="E58" s="221">
        <v>3.472222222222222E-3</v>
      </c>
      <c r="F58" s="221">
        <v>5.5555555555555558E-3</v>
      </c>
      <c r="G58" s="344">
        <v>0.1</v>
      </c>
      <c r="H58" s="265">
        <v>6.9444444444444447E-4</v>
      </c>
      <c r="I58" s="221">
        <v>6.3131313131313126E-4</v>
      </c>
      <c r="J58" s="265">
        <v>0</v>
      </c>
      <c r="K58" s="221">
        <v>0</v>
      </c>
      <c r="L58" s="221">
        <f t="shared" si="3"/>
        <v>0</v>
      </c>
      <c r="AH58" s="17"/>
      <c r="AJ58" s="574"/>
    </row>
    <row r="59" spans="2:36" s="7" customFormat="1" ht="15.75">
      <c r="B59" s="503" t="s">
        <v>144</v>
      </c>
      <c r="C59" s="584" t="s">
        <v>175</v>
      </c>
      <c r="D59" s="16">
        <v>10</v>
      </c>
      <c r="E59" s="221">
        <v>3.472222222222222E-3</v>
      </c>
      <c r="F59" s="221">
        <v>5.5555555555555558E-3</v>
      </c>
      <c r="G59" s="344">
        <v>0.1</v>
      </c>
      <c r="H59" s="265">
        <v>6.9444444444444447E-4</v>
      </c>
      <c r="I59" s="221">
        <v>6.3131313131313126E-4</v>
      </c>
      <c r="J59" s="265">
        <v>0</v>
      </c>
      <c r="K59" s="221">
        <v>0</v>
      </c>
      <c r="L59" s="221">
        <f t="shared" si="3"/>
        <v>0</v>
      </c>
      <c r="AH59" s="17"/>
      <c r="AJ59" s="574"/>
    </row>
    <row r="60" spans="2:36" s="7" customFormat="1" ht="15.75">
      <c r="B60" s="503" t="s">
        <v>144</v>
      </c>
      <c r="C60" s="584" t="s">
        <v>483</v>
      </c>
      <c r="D60" s="16">
        <v>10</v>
      </c>
      <c r="E60" s="221">
        <v>3.472222222222222E-3</v>
      </c>
      <c r="F60" s="221">
        <v>5.5555555555555558E-3</v>
      </c>
      <c r="G60" s="344">
        <v>0.1</v>
      </c>
      <c r="H60" s="265">
        <v>1.1574074074074073E-3</v>
      </c>
      <c r="I60" s="221">
        <v>1.052188552188552E-3</v>
      </c>
      <c r="J60" s="265">
        <v>0</v>
      </c>
      <c r="K60" s="221">
        <v>0</v>
      </c>
      <c r="L60" s="221">
        <f t="shared" si="3"/>
        <v>0</v>
      </c>
      <c r="AH60" s="17"/>
      <c r="AJ60" s="574"/>
    </row>
    <row r="61" spans="2:36" s="7" customFormat="1" ht="15.75">
      <c r="B61" s="503" t="s">
        <v>144</v>
      </c>
      <c r="C61" s="584" t="s">
        <v>724</v>
      </c>
      <c r="D61" s="16">
        <v>10</v>
      </c>
      <c r="E61" s="221">
        <v>3.472222222222222E-3</v>
      </c>
      <c r="F61" s="221">
        <v>5.5555555555555558E-3</v>
      </c>
      <c r="G61" s="344">
        <v>0.1</v>
      </c>
      <c r="H61" s="265">
        <v>2.3148148148148151E-3</v>
      </c>
      <c r="I61" s="221">
        <v>2.1043771043771043E-3</v>
      </c>
      <c r="J61" s="265">
        <v>0</v>
      </c>
      <c r="K61" s="221">
        <v>0</v>
      </c>
      <c r="L61" s="221">
        <f t="shared" si="3"/>
        <v>0</v>
      </c>
      <c r="AH61" s="17"/>
      <c r="AJ61" s="574"/>
    </row>
    <row r="62" spans="2:36" s="7" customFormat="1" ht="15.75">
      <c r="B62" s="503" t="s">
        <v>144</v>
      </c>
      <c r="C62" s="584" t="s">
        <v>176</v>
      </c>
      <c r="D62" s="16">
        <v>10</v>
      </c>
      <c r="E62" s="221">
        <v>3.472222222222222E-3</v>
      </c>
      <c r="F62" s="221">
        <v>5.5555555555555558E-3</v>
      </c>
      <c r="G62" s="344">
        <v>0.1</v>
      </c>
      <c r="H62" s="265">
        <v>6.9444444444444447E-4</v>
      </c>
      <c r="I62" s="221">
        <v>6.3131313131313126E-4</v>
      </c>
      <c r="J62" s="265">
        <v>0</v>
      </c>
      <c r="K62" s="221">
        <v>0</v>
      </c>
      <c r="L62" s="221">
        <f t="shared" si="3"/>
        <v>0</v>
      </c>
      <c r="AH62" s="17"/>
      <c r="AJ62" s="574"/>
    </row>
    <row r="63" spans="2:36" s="7" customFormat="1" ht="15.75">
      <c r="B63" s="503" t="s">
        <v>144</v>
      </c>
      <c r="C63" s="584" t="s">
        <v>176</v>
      </c>
      <c r="D63" s="16">
        <v>10</v>
      </c>
      <c r="E63" s="221">
        <v>3.472222222222222E-3</v>
      </c>
      <c r="F63" s="221">
        <v>5.5555555555555558E-3</v>
      </c>
      <c r="G63" s="344">
        <v>0.1</v>
      </c>
      <c r="H63" s="265">
        <v>6.9444444444444447E-4</v>
      </c>
      <c r="I63" s="221">
        <v>6.3131313131313126E-4</v>
      </c>
      <c r="J63" s="265">
        <v>0</v>
      </c>
      <c r="K63" s="221">
        <v>0</v>
      </c>
      <c r="L63" s="221">
        <f t="shared" si="3"/>
        <v>0</v>
      </c>
      <c r="AH63" s="17"/>
      <c r="AJ63" s="574"/>
    </row>
    <row r="64" spans="2:36" s="7" customFormat="1" ht="15.75">
      <c r="B64" s="503" t="s">
        <v>144</v>
      </c>
      <c r="C64" s="584" t="s">
        <v>176</v>
      </c>
      <c r="D64" s="16">
        <v>10</v>
      </c>
      <c r="E64" s="221">
        <v>3.472222222222222E-3</v>
      </c>
      <c r="F64" s="221">
        <v>5.5555555555555558E-3</v>
      </c>
      <c r="G64" s="344">
        <v>0.1</v>
      </c>
      <c r="H64" s="265">
        <v>6.9444444444444447E-4</v>
      </c>
      <c r="I64" s="221">
        <v>6.3131313131313126E-4</v>
      </c>
      <c r="J64" s="265">
        <v>0</v>
      </c>
      <c r="K64" s="221">
        <v>0</v>
      </c>
      <c r="L64" s="221">
        <f t="shared" si="3"/>
        <v>0</v>
      </c>
      <c r="AH64" s="17"/>
      <c r="AJ64" s="574"/>
    </row>
    <row r="65" spans="2:36" s="7" customFormat="1" ht="15.75">
      <c r="B65" s="587" t="s">
        <v>171</v>
      </c>
      <c r="C65" s="583" t="s">
        <v>1253</v>
      </c>
      <c r="D65" s="581">
        <v>11</v>
      </c>
      <c r="E65" s="134">
        <v>3.472222222222222E-3</v>
      </c>
      <c r="F65" s="134">
        <v>5.5555555555555558E-3</v>
      </c>
      <c r="G65" s="343">
        <v>0.25</v>
      </c>
      <c r="H65" s="136" t="s">
        <v>25</v>
      </c>
      <c r="I65" s="134" t="s">
        <v>25</v>
      </c>
      <c r="J65" s="136" t="s">
        <v>25</v>
      </c>
      <c r="K65" s="134" t="s">
        <v>25</v>
      </c>
      <c r="L65" s="589">
        <f>SUMIF($B$5:$B64,"&lt;&gt;"&amp;"Level_Up",L$5:L64)</f>
        <v>2.7286270293696034E-2</v>
      </c>
      <c r="AH65" s="17"/>
      <c r="AJ65" s="574"/>
    </row>
    <row r="66" spans="2:36" s="7" customFormat="1" ht="15.75">
      <c r="B66" s="503" t="s">
        <v>144</v>
      </c>
      <c r="C66" s="584" t="s">
        <v>629</v>
      </c>
      <c r="D66" s="16">
        <v>11</v>
      </c>
      <c r="E66" s="221">
        <v>3.472222222222222E-3</v>
      </c>
      <c r="F66" s="221">
        <v>5.5555555555555558E-3</v>
      </c>
      <c r="G66" s="344">
        <v>0.25</v>
      </c>
      <c r="H66" s="265">
        <v>2.3148148148148151E-3</v>
      </c>
      <c r="I66" s="221">
        <v>1.8518518518518521E-3</v>
      </c>
      <c r="J66" s="265">
        <v>0</v>
      </c>
      <c r="K66" s="221">
        <v>0</v>
      </c>
      <c r="L66" s="221">
        <f t="shared" ref="L66:L85" si="4">IF(I66-E66-J66&gt;0,I66-E66-J66,0)</f>
        <v>0</v>
      </c>
      <c r="AH66" s="17"/>
      <c r="AJ66" s="574"/>
    </row>
    <row r="67" spans="2:36" s="7" customFormat="1" ht="15.75">
      <c r="B67" s="503" t="s">
        <v>144</v>
      </c>
      <c r="C67" s="584" t="s">
        <v>725</v>
      </c>
      <c r="D67" s="16">
        <v>11</v>
      </c>
      <c r="E67" s="221">
        <v>3.472222222222222E-3</v>
      </c>
      <c r="F67" s="221">
        <v>5.5555555555555558E-3</v>
      </c>
      <c r="G67" s="344">
        <v>0.25</v>
      </c>
      <c r="H67" s="265">
        <v>4.1666666666666666E-3</v>
      </c>
      <c r="I67" s="221">
        <v>3.3333333333333331E-3</v>
      </c>
      <c r="J67" s="265">
        <v>0</v>
      </c>
      <c r="K67" s="221">
        <v>0</v>
      </c>
      <c r="L67" s="221">
        <f t="shared" si="4"/>
        <v>0</v>
      </c>
      <c r="AH67" s="17"/>
      <c r="AJ67" s="574"/>
    </row>
    <row r="68" spans="2:36" s="7" customFormat="1" ht="15.75">
      <c r="B68" s="503" t="s">
        <v>144</v>
      </c>
      <c r="C68" s="584" t="s">
        <v>726</v>
      </c>
      <c r="D68" s="16">
        <v>11</v>
      </c>
      <c r="E68" s="221">
        <v>3.472222222222222E-3</v>
      </c>
      <c r="F68" s="221">
        <v>5.5555555555555558E-3</v>
      </c>
      <c r="G68" s="344">
        <v>0.25</v>
      </c>
      <c r="H68" s="265">
        <v>6.4814814814814813E-3</v>
      </c>
      <c r="I68" s="221">
        <v>5.185185185185185E-3</v>
      </c>
      <c r="J68" s="265">
        <v>0</v>
      </c>
      <c r="K68" s="221">
        <v>0</v>
      </c>
      <c r="L68" s="221">
        <f t="shared" si="4"/>
        <v>1.712962962962963E-3</v>
      </c>
      <c r="AH68" s="17"/>
      <c r="AJ68" s="574"/>
    </row>
    <row r="69" spans="2:36" s="7" customFormat="1" ht="15.75">
      <c r="B69" s="503" t="s">
        <v>144</v>
      </c>
      <c r="C69" s="584" t="s">
        <v>727</v>
      </c>
      <c r="D69" s="16">
        <v>11</v>
      </c>
      <c r="E69" s="221">
        <v>3.472222222222222E-3</v>
      </c>
      <c r="F69" s="221">
        <v>5.5555555555555558E-3</v>
      </c>
      <c r="G69" s="344">
        <v>0.25</v>
      </c>
      <c r="H69" s="265">
        <v>8.3333333333333332E-3</v>
      </c>
      <c r="I69" s="221">
        <v>6.6666666666666662E-3</v>
      </c>
      <c r="J69" s="265">
        <v>0</v>
      </c>
      <c r="K69" s="221">
        <v>0</v>
      </c>
      <c r="L69" s="221">
        <f t="shared" si="4"/>
        <v>3.1944444444444442E-3</v>
      </c>
      <c r="AH69" s="17"/>
      <c r="AJ69" s="574"/>
    </row>
    <row r="70" spans="2:36" s="7" customFormat="1" ht="15.75">
      <c r="B70" s="503" t="s">
        <v>144</v>
      </c>
      <c r="C70" s="584" t="s">
        <v>520</v>
      </c>
      <c r="D70" s="16">
        <v>11</v>
      </c>
      <c r="E70" s="221">
        <v>3.472222222222222E-3</v>
      </c>
      <c r="F70" s="221">
        <v>5.5555555555555558E-3</v>
      </c>
      <c r="G70" s="344">
        <v>0.25</v>
      </c>
      <c r="H70" s="265">
        <v>9.2592592592592605E-3</v>
      </c>
      <c r="I70" s="221">
        <v>7.4074074074074086E-3</v>
      </c>
      <c r="J70" s="265">
        <v>0</v>
      </c>
      <c r="K70" s="221">
        <v>0</v>
      </c>
      <c r="L70" s="221">
        <f t="shared" si="4"/>
        <v>3.9351851851851865E-3</v>
      </c>
      <c r="AH70" s="17"/>
      <c r="AJ70" s="574"/>
    </row>
    <row r="71" spans="2:36" s="7" customFormat="1" ht="15.75">
      <c r="B71" s="503" t="s">
        <v>144</v>
      </c>
      <c r="C71" s="584" t="s">
        <v>729</v>
      </c>
      <c r="D71" s="16">
        <v>11</v>
      </c>
      <c r="E71" s="221">
        <v>3.472222222222222E-3</v>
      </c>
      <c r="F71" s="221">
        <v>5.5555555555555558E-3</v>
      </c>
      <c r="G71" s="344">
        <v>0.25</v>
      </c>
      <c r="H71" s="265">
        <v>2.7777777777777779E-3</v>
      </c>
      <c r="I71" s="221">
        <v>2.2222222222222222E-3</v>
      </c>
      <c r="J71" s="265">
        <v>0</v>
      </c>
      <c r="K71" s="221">
        <v>0</v>
      </c>
      <c r="L71" s="221">
        <f t="shared" si="4"/>
        <v>0</v>
      </c>
      <c r="AH71" s="17"/>
      <c r="AJ71" s="574"/>
    </row>
    <row r="72" spans="2:36" s="7" customFormat="1" ht="15.75">
      <c r="B72" s="503" t="s">
        <v>144</v>
      </c>
      <c r="C72" s="584" t="s">
        <v>174</v>
      </c>
      <c r="D72" s="16">
        <v>11</v>
      </c>
      <c r="E72" s="221">
        <v>3.472222222222222E-3</v>
      </c>
      <c r="F72" s="221">
        <v>5.5555555555555558E-3</v>
      </c>
      <c r="G72" s="344">
        <v>0.25</v>
      </c>
      <c r="H72" s="265">
        <v>6.9444444444444447E-4</v>
      </c>
      <c r="I72" s="221">
        <v>5.5555555555555556E-4</v>
      </c>
      <c r="J72" s="265">
        <v>0</v>
      </c>
      <c r="K72" s="221">
        <v>0</v>
      </c>
      <c r="L72" s="221">
        <f t="shared" si="4"/>
        <v>0</v>
      </c>
      <c r="AH72" s="17"/>
      <c r="AJ72" s="574"/>
    </row>
    <row r="73" spans="2:36" s="7" customFormat="1" ht="15.75">
      <c r="B73" s="503" t="s">
        <v>144</v>
      </c>
      <c r="C73" s="584" t="s">
        <v>174</v>
      </c>
      <c r="D73" s="16">
        <v>11</v>
      </c>
      <c r="E73" s="221">
        <v>3.472222222222222E-3</v>
      </c>
      <c r="F73" s="221">
        <v>5.5555555555555558E-3</v>
      </c>
      <c r="G73" s="344">
        <v>0.25</v>
      </c>
      <c r="H73" s="265">
        <v>6.9444444444444447E-4</v>
      </c>
      <c r="I73" s="221">
        <v>5.5555555555555556E-4</v>
      </c>
      <c r="J73" s="265">
        <v>0</v>
      </c>
      <c r="K73" s="221">
        <v>0</v>
      </c>
      <c r="L73" s="221">
        <f t="shared" si="4"/>
        <v>0</v>
      </c>
      <c r="AH73" s="17"/>
      <c r="AJ73" s="574"/>
    </row>
    <row r="74" spans="2:36" s="7" customFormat="1" ht="15.75">
      <c r="B74" s="503" t="s">
        <v>144</v>
      </c>
      <c r="C74" s="584" t="s">
        <v>174</v>
      </c>
      <c r="D74" s="16">
        <v>11</v>
      </c>
      <c r="E74" s="221">
        <v>3.472222222222222E-3</v>
      </c>
      <c r="F74" s="221">
        <v>5.5555555555555558E-3</v>
      </c>
      <c r="G74" s="344">
        <v>0.25</v>
      </c>
      <c r="H74" s="265">
        <v>6.9444444444444447E-4</v>
      </c>
      <c r="I74" s="221">
        <v>5.5555555555555556E-4</v>
      </c>
      <c r="J74" s="265">
        <v>0</v>
      </c>
      <c r="K74" s="221">
        <v>0</v>
      </c>
      <c r="L74" s="221">
        <f t="shared" si="4"/>
        <v>0</v>
      </c>
      <c r="AH74" s="17"/>
      <c r="AJ74" s="574"/>
    </row>
    <row r="75" spans="2:36" s="7" customFormat="1" ht="15.75">
      <c r="B75" s="503" t="s">
        <v>144</v>
      </c>
      <c r="C75" s="584" t="s">
        <v>630</v>
      </c>
      <c r="D75" s="16">
        <v>11</v>
      </c>
      <c r="E75" s="221">
        <v>3.472222222222222E-3</v>
      </c>
      <c r="F75" s="221">
        <v>5.5555555555555558E-3</v>
      </c>
      <c r="G75" s="344">
        <v>0.25</v>
      </c>
      <c r="H75" s="265">
        <v>4.6296296296296302E-3</v>
      </c>
      <c r="I75" s="221">
        <v>3.7037037037037043E-3</v>
      </c>
      <c r="J75" s="265">
        <v>0</v>
      </c>
      <c r="K75" s="221">
        <v>0</v>
      </c>
      <c r="L75" s="221">
        <f t="shared" si="4"/>
        <v>2.3148148148148225E-4</v>
      </c>
      <c r="AH75" s="17"/>
      <c r="AJ75" s="574"/>
    </row>
    <row r="76" spans="2:36" s="7" customFormat="1" ht="15.75">
      <c r="B76" s="503" t="s">
        <v>144</v>
      </c>
      <c r="C76" s="584" t="s">
        <v>631</v>
      </c>
      <c r="D76" s="16">
        <v>11</v>
      </c>
      <c r="E76" s="221">
        <v>3.472222222222222E-3</v>
      </c>
      <c r="F76" s="221">
        <v>5.5555555555555558E-3</v>
      </c>
      <c r="G76" s="344">
        <v>0.25</v>
      </c>
      <c r="H76" s="265">
        <v>9.2592592592592605E-3</v>
      </c>
      <c r="I76" s="221">
        <v>7.4074074074074086E-3</v>
      </c>
      <c r="J76" s="265">
        <v>0</v>
      </c>
      <c r="K76" s="221">
        <v>0</v>
      </c>
      <c r="L76" s="221">
        <f t="shared" si="4"/>
        <v>3.9351851851851865E-3</v>
      </c>
      <c r="AH76" s="17"/>
      <c r="AJ76" s="574"/>
    </row>
    <row r="77" spans="2:36" s="7" customFormat="1" ht="15.75">
      <c r="B77" s="503" t="s">
        <v>144</v>
      </c>
      <c r="C77" s="584" t="s">
        <v>730</v>
      </c>
      <c r="D77" s="16">
        <v>11</v>
      </c>
      <c r="E77" s="221">
        <v>3.472222222222222E-3</v>
      </c>
      <c r="F77" s="221">
        <v>5.5555555555555558E-3</v>
      </c>
      <c r="G77" s="344">
        <v>0.25</v>
      </c>
      <c r="H77" s="265">
        <v>3.472222222222222E-3</v>
      </c>
      <c r="I77" s="221">
        <v>2.7777777777777775E-3</v>
      </c>
      <c r="J77" s="265">
        <v>0</v>
      </c>
      <c r="K77" s="221">
        <v>0</v>
      </c>
      <c r="L77" s="221">
        <f t="shared" si="4"/>
        <v>0</v>
      </c>
      <c r="AH77" s="17"/>
      <c r="AJ77" s="574"/>
    </row>
    <row r="78" spans="2:36" s="7" customFormat="1" ht="15.75">
      <c r="B78" s="503" t="s">
        <v>144</v>
      </c>
      <c r="C78" s="584" t="s">
        <v>542</v>
      </c>
      <c r="D78" s="16">
        <v>11</v>
      </c>
      <c r="E78" s="221">
        <v>3.472222222222222E-3</v>
      </c>
      <c r="F78" s="221">
        <v>5.5555555555555558E-3</v>
      </c>
      <c r="G78" s="344">
        <v>0.25</v>
      </c>
      <c r="H78" s="265">
        <v>6.9444444444444441E-3</v>
      </c>
      <c r="I78" s="221">
        <v>5.5555555555555549E-3</v>
      </c>
      <c r="J78" s="265">
        <v>0</v>
      </c>
      <c r="K78" s="221">
        <v>0</v>
      </c>
      <c r="L78" s="221">
        <f t="shared" si="4"/>
        <v>2.0833333333333329E-3</v>
      </c>
      <c r="AH78" s="17"/>
      <c r="AJ78" s="574"/>
    </row>
    <row r="79" spans="2:36" s="7" customFormat="1" ht="15.75">
      <c r="B79" s="503" t="s">
        <v>144</v>
      </c>
      <c r="C79" s="584" t="s">
        <v>563</v>
      </c>
      <c r="D79" s="16">
        <v>11</v>
      </c>
      <c r="E79" s="221">
        <v>3.472222222222222E-3</v>
      </c>
      <c r="F79" s="221">
        <v>5.5555555555555558E-3</v>
      </c>
      <c r="G79" s="344">
        <v>0.25</v>
      </c>
      <c r="H79" s="265">
        <v>9.7222222222222224E-3</v>
      </c>
      <c r="I79" s="221">
        <v>7.7777777777777776E-3</v>
      </c>
      <c r="J79" s="265">
        <v>0</v>
      </c>
      <c r="K79" s="221">
        <v>0</v>
      </c>
      <c r="L79" s="221">
        <f t="shared" si="4"/>
        <v>4.3055555555555555E-3</v>
      </c>
      <c r="AH79" s="17"/>
      <c r="AJ79" s="574"/>
    </row>
    <row r="80" spans="2:36" s="7" customFormat="1" ht="15.75">
      <c r="B80" s="503" t="s">
        <v>144</v>
      </c>
      <c r="C80" s="584" t="s">
        <v>655</v>
      </c>
      <c r="D80" s="16">
        <v>11</v>
      </c>
      <c r="E80" s="221">
        <v>3.472222222222222E-3</v>
      </c>
      <c r="F80" s="576">
        <v>6.2499999999999995E-3</v>
      </c>
      <c r="G80" s="344">
        <v>0.25</v>
      </c>
      <c r="H80" s="265">
        <v>5.5555555555555552E-2</v>
      </c>
      <c r="I80" s="221">
        <v>4.4444444444444439E-2</v>
      </c>
      <c r="J80" s="265">
        <v>4.1666666666666664E-2</v>
      </c>
      <c r="K80" s="221">
        <v>0</v>
      </c>
      <c r="L80" s="221">
        <f t="shared" si="4"/>
        <v>0</v>
      </c>
      <c r="AH80" s="17"/>
      <c r="AJ80" s="574"/>
    </row>
    <row r="81" spans="2:36" s="7" customFormat="1" ht="15.75">
      <c r="B81" s="503" t="s">
        <v>144</v>
      </c>
      <c r="C81" s="584" t="s">
        <v>732</v>
      </c>
      <c r="D81" s="16">
        <v>11</v>
      </c>
      <c r="E81" s="221">
        <v>3.472222222222222E-3</v>
      </c>
      <c r="F81" s="221">
        <v>6.2499999999999995E-3</v>
      </c>
      <c r="G81" s="344">
        <v>0.25</v>
      </c>
      <c r="H81" s="265">
        <v>4.6296296296296302E-3</v>
      </c>
      <c r="I81" s="221">
        <v>3.7037037037037043E-3</v>
      </c>
      <c r="J81" s="265">
        <v>0</v>
      </c>
      <c r="K81" s="221">
        <v>0</v>
      </c>
      <c r="L81" s="221">
        <f t="shared" si="4"/>
        <v>2.3148148148148225E-4</v>
      </c>
      <c r="AH81" s="17"/>
      <c r="AJ81" s="574"/>
    </row>
    <row r="82" spans="2:36" s="7" customFormat="1" ht="15.75">
      <c r="B82" s="503" t="s">
        <v>144</v>
      </c>
      <c r="C82" s="584" t="s">
        <v>733</v>
      </c>
      <c r="D82" s="16">
        <v>11</v>
      </c>
      <c r="E82" s="221">
        <v>3.472222222222222E-3</v>
      </c>
      <c r="F82" s="221">
        <v>6.2499999999999995E-3</v>
      </c>
      <c r="G82" s="344">
        <v>0.25</v>
      </c>
      <c r="H82" s="265">
        <v>9.2592592592592605E-3</v>
      </c>
      <c r="I82" s="221">
        <v>7.4074074074074086E-3</v>
      </c>
      <c r="J82" s="265">
        <v>0</v>
      </c>
      <c r="K82" s="221">
        <v>0</v>
      </c>
      <c r="L82" s="221">
        <f t="shared" si="4"/>
        <v>3.9351851851851865E-3</v>
      </c>
      <c r="AH82" s="17"/>
      <c r="AJ82" s="574"/>
    </row>
    <row r="83" spans="2:36" s="7" customFormat="1" ht="15.75">
      <c r="B83" s="503" t="s">
        <v>144</v>
      </c>
      <c r="C83" s="584" t="s">
        <v>734</v>
      </c>
      <c r="D83" s="16">
        <v>11</v>
      </c>
      <c r="E83" s="221">
        <v>3.472222222222222E-3</v>
      </c>
      <c r="F83" s="221">
        <v>6.2499999999999995E-3</v>
      </c>
      <c r="G83" s="344">
        <v>0.25</v>
      </c>
      <c r="H83" s="265">
        <v>4.6296296296296302E-3</v>
      </c>
      <c r="I83" s="221">
        <v>3.7037037037037043E-3</v>
      </c>
      <c r="J83" s="265">
        <v>0</v>
      </c>
      <c r="K83" s="221">
        <v>0</v>
      </c>
      <c r="L83" s="221">
        <f t="shared" si="4"/>
        <v>2.3148148148148225E-4</v>
      </c>
      <c r="AH83" s="17"/>
      <c r="AJ83" s="574"/>
    </row>
    <row r="84" spans="2:36" s="7" customFormat="1" ht="15.75">
      <c r="B84" s="503" t="s">
        <v>144</v>
      </c>
      <c r="C84" s="584" t="s">
        <v>611</v>
      </c>
      <c r="D84" s="16">
        <v>11</v>
      </c>
      <c r="E84" s="221">
        <v>3.472222222222222E-3</v>
      </c>
      <c r="F84" s="221">
        <v>6.2499999999999995E-3</v>
      </c>
      <c r="G84" s="344">
        <v>0.25</v>
      </c>
      <c r="H84" s="265">
        <v>9.2592592592592605E-3</v>
      </c>
      <c r="I84" s="221">
        <v>7.4074074074074086E-3</v>
      </c>
      <c r="J84" s="265">
        <v>0</v>
      </c>
      <c r="K84" s="221">
        <v>0</v>
      </c>
      <c r="L84" s="221">
        <f t="shared" si="4"/>
        <v>3.9351851851851865E-3</v>
      </c>
      <c r="AH84" s="17"/>
      <c r="AJ84" s="574"/>
    </row>
    <row r="85" spans="2:36" s="7" customFormat="1" ht="15.75">
      <c r="B85" s="503" t="s">
        <v>144</v>
      </c>
      <c r="C85" s="584" t="s">
        <v>736</v>
      </c>
      <c r="D85" s="16">
        <v>11</v>
      </c>
      <c r="E85" s="221">
        <v>3.472222222222222E-3</v>
      </c>
      <c r="F85" s="221">
        <v>6.2499999999999995E-3</v>
      </c>
      <c r="G85" s="344">
        <v>0.25</v>
      </c>
      <c r="H85" s="265">
        <v>1.8518518518518521E-2</v>
      </c>
      <c r="I85" s="221">
        <v>1.4814814814814817E-2</v>
      </c>
      <c r="J85" s="265">
        <v>1.0416666666666666E-2</v>
      </c>
      <c r="K85" s="221">
        <v>0</v>
      </c>
      <c r="L85" s="221">
        <f t="shared" si="4"/>
        <v>9.25925925925929E-4</v>
      </c>
      <c r="AH85" s="17"/>
      <c r="AJ85" s="574"/>
    </row>
    <row r="86" spans="2:36" s="7" customFormat="1" ht="15.75">
      <c r="B86" s="587" t="s">
        <v>171</v>
      </c>
      <c r="C86" s="583" t="s">
        <v>1254</v>
      </c>
      <c r="D86" s="581">
        <v>12</v>
      </c>
      <c r="E86" s="134">
        <v>3.472222222222222E-3</v>
      </c>
      <c r="F86" s="134">
        <v>6.2499999999999995E-3</v>
      </c>
      <c r="G86" s="343">
        <v>0.41</v>
      </c>
      <c r="H86" s="136" t="s">
        <v>25</v>
      </c>
      <c r="I86" s="134" t="s">
        <v>25</v>
      </c>
      <c r="J86" s="136" t="s">
        <v>25</v>
      </c>
      <c r="K86" s="134" t="s">
        <v>25</v>
      </c>
      <c r="L86" s="589">
        <f>SUMIF($B$5:$B85,"&lt;&gt;"&amp;"Level_Up",L$5:L85)</f>
        <v>5.5943677701103464E-2</v>
      </c>
      <c r="AH86" s="17"/>
      <c r="AJ86" s="574"/>
    </row>
    <row r="87" spans="2:36" s="7" customFormat="1" ht="15.75">
      <c r="B87" s="503" t="s">
        <v>144</v>
      </c>
      <c r="C87" s="584" t="s">
        <v>632</v>
      </c>
      <c r="D87" s="16">
        <v>12</v>
      </c>
      <c r="E87" s="221">
        <v>3.472222222222222E-3</v>
      </c>
      <c r="F87" s="221">
        <v>6.2499999999999995E-3</v>
      </c>
      <c r="G87" s="344">
        <v>0.41</v>
      </c>
      <c r="H87" s="265">
        <v>1.8518518518518521E-2</v>
      </c>
      <c r="I87" s="221">
        <v>1.313370107696349E-2</v>
      </c>
      <c r="J87" s="265">
        <v>1.0416666666666666E-2</v>
      </c>
      <c r="K87" s="221">
        <v>0</v>
      </c>
      <c r="L87" s="221">
        <f t="shared" ref="L87:L92" si="5">IF(I87-E87-J87&gt;0,I87-E87-J87,0)</f>
        <v>0</v>
      </c>
      <c r="AH87" s="17"/>
      <c r="AJ87" s="574"/>
    </row>
    <row r="88" spans="2:36" s="7" customFormat="1" ht="15.75">
      <c r="B88" s="503" t="s">
        <v>144</v>
      </c>
      <c r="C88" s="584" t="s">
        <v>737</v>
      </c>
      <c r="D88" s="16">
        <v>12</v>
      </c>
      <c r="E88" s="221">
        <v>3.472222222222222E-3</v>
      </c>
      <c r="F88" s="221">
        <v>6.2499999999999995E-3</v>
      </c>
      <c r="G88" s="344">
        <v>0.41</v>
      </c>
      <c r="H88" s="265">
        <v>1.2962962962962963E-2</v>
      </c>
      <c r="I88" s="221">
        <v>9.1935907538744418E-3</v>
      </c>
      <c r="J88" s="265">
        <v>0</v>
      </c>
      <c r="K88" s="221">
        <v>0</v>
      </c>
      <c r="L88" s="221">
        <f t="shared" si="5"/>
        <v>5.7213685316522198E-3</v>
      </c>
      <c r="AH88" s="17"/>
      <c r="AJ88" s="574"/>
    </row>
    <row r="89" spans="2:36" s="7" customFormat="1" ht="15.75">
      <c r="B89" s="503" t="s">
        <v>144</v>
      </c>
      <c r="C89" s="584" t="s">
        <v>63</v>
      </c>
      <c r="D89" s="16">
        <v>12</v>
      </c>
      <c r="E89" s="221">
        <v>3.472222222222222E-3</v>
      </c>
      <c r="F89" s="221">
        <v>6.2499999999999995E-3</v>
      </c>
      <c r="G89" s="344">
        <v>0.41</v>
      </c>
      <c r="H89" s="265">
        <v>1.0416666666666667E-3</v>
      </c>
      <c r="I89" s="221">
        <v>7.387706855791962E-4</v>
      </c>
      <c r="J89" s="265">
        <v>0</v>
      </c>
      <c r="K89" s="221">
        <v>0</v>
      </c>
      <c r="L89" s="221">
        <f t="shared" si="5"/>
        <v>0</v>
      </c>
      <c r="AH89" s="17"/>
      <c r="AJ89" s="574"/>
    </row>
    <row r="90" spans="2:36" s="7" customFormat="1" ht="15.75">
      <c r="B90" s="503" t="s">
        <v>144</v>
      </c>
      <c r="C90" s="584" t="s">
        <v>738</v>
      </c>
      <c r="D90" s="16">
        <v>12</v>
      </c>
      <c r="E90" s="221">
        <v>3.472222222222222E-3</v>
      </c>
      <c r="F90" s="221">
        <v>6.2499999999999995E-3</v>
      </c>
      <c r="G90" s="344">
        <v>0.41</v>
      </c>
      <c r="H90" s="265">
        <v>1.6666666666666666E-2</v>
      </c>
      <c r="I90" s="221">
        <v>1.1820330969267139E-2</v>
      </c>
      <c r="J90" s="265">
        <v>0</v>
      </c>
      <c r="K90" s="221">
        <v>2.0981087470449177E-3</v>
      </c>
      <c r="L90" s="221">
        <f t="shared" si="5"/>
        <v>8.3481087470449172E-3</v>
      </c>
      <c r="AH90" s="17"/>
      <c r="AJ90" s="574"/>
    </row>
    <row r="91" spans="2:36" s="7" customFormat="1" ht="15.75">
      <c r="B91" s="503" t="s">
        <v>144</v>
      </c>
      <c r="C91" s="584" t="s">
        <v>739</v>
      </c>
      <c r="D91" s="16">
        <v>12</v>
      </c>
      <c r="E91" s="221">
        <v>3.472222222222222E-3</v>
      </c>
      <c r="F91" s="221">
        <v>6.2499999999999995E-3</v>
      </c>
      <c r="G91" s="344">
        <v>0.41</v>
      </c>
      <c r="H91" s="265">
        <v>1.3888888888888888E-2</v>
      </c>
      <c r="I91" s="221">
        <v>9.8502758077226166E-3</v>
      </c>
      <c r="J91" s="265">
        <v>0</v>
      </c>
      <c r="K91" s="221">
        <v>1.2805358550039506E-4</v>
      </c>
      <c r="L91" s="221">
        <f t="shared" si="5"/>
        <v>6.3780535855003945E-3</v>
      </c>
      <c r="AH91" s="17"/>
      <c r="AJ91" s="574"/>
    </row>
    <row r="92" spans="2:36" s="7" customFormat="1" ht="15.75">
      <c r="B92" s="503" t="s">
        <v>144</v>
      </c>
      <c r="C92" s="584" t="s">
        <v>740</v>
      </c>
      <c r="D92" s="16">
        <v>12</v>
      </c>
      <c r="E92" s="221">
        <v>3.472222222222222E-3</v>
      </c>
      <c r="F92" s="221">
        <v>6.2499999999999995E-3</v>
      </c>
      <c r="G92" s="344">
        <v>0.41</v>
      </c>
      <c r="H92" s="265">
        <v>1.9444444444444445E-2</v>
      </c>
      <c r="I92" s="221">
        <v>1.3790386130811664E-2</v>
      </c>
      <c r="J92" s="265">
        <v>0</v>
      </c>
      <c r="K92" s="221">
        <v>4.068163908589442E-3</v>
      </c>
      <c r="L92" s="221">
        <f t="shared" si="5"/>
        <v>1.0318163908589442E-2</v>
      </c>
      <c r="AH92" s="17"/>
      <c r="AJ92" s="574"/>
    </row>
    <row r="93" spans="2:36" s="7" customFormat="1" ht="15.75">
      <c r="B93" s="587" t="s">
        <v>171</v>
      </c>
      <c r="C93" s="583" t="s">
        <v>1255</v>
      </c>
      <c r="D93" s="581">
        <v>13</v>
      </c>
      <c r="E93" s="134">
        <v>3.472222222222222E-3</v>
      </c>
      <c r="F93" s="134">
        <v>6.2499999999999995E-3</v>
      </c>
      <c r="G93" s="338">
        <v>0.41</v>
      </c>
      <c r="H93" s="136" t="s">
        <v>25</v>
      </c>
      <c r="I93" s="134" t="s">
        <v>25</v>
      </c>
      <c r="J93" s="136" t="s">
        <v>25</v>
      </c>
      <c r="K93" s="134" t="s">
        <v>25</v>
      </c>
      <c r="L93" s="589">
        <f>SUMIF($B$5:$B92,"&lt;&gt;"&amp;"Level_Up",L$5:L92)</f>
        <v>8.6709372473890434E-2</v>
      </c>
      <c r="AH93" s="17"/>
      <c r="AJ93" s="574"/>
    </row>
    <row r="94" spans="2:36" s="7" customFormat="1" ht="15.75">
      <c r="B94" s="503" t="s">
        <v>144</v>
      </c>
      <c r="C94" s="584" t="s">
        <v>613</v>
      </c>
      <c r="D94" s="16">
        <v>13</v>
      </c>
      <c r="E94" s="221">
        <v>3.472222222222222E-3</v>
      </c>
      <c r="F94" s="221">
        <v>6.2499999999999995E-3</v>
      </c>
      <c r="G94" s="344">
        <v>0.41</v>
      </c>
      <c r="H94" s="265">
        <v>1.1111111111111112E-2</v>
      </c>
      <c r="I94" s="221">
        <v>7.880220646178094E-3</v>
      </c>
      <c r="J94" s="265">
        <v>0</v>
      </c>
      <c r="K94" s="221">
        <v>0</v>
      </c>
      <c r="L94" s="221">
        <f t="shared" ref="L94:L107" si="6">IF(I94-E94-J94&gt;0,I94-E94-J94,0)</f>
        <v>4.4079984239558719E-3</v>
      </c>
      <c r="AH94" s="17"/>
      <c r="AJ94" s="574"/>
    </row>
    <row r="95" spans="2:36" s="7" customFormat="1" ht="15.75">
      <c r="B95" s="503" t="s">
        <v>144</v>
      </c>
      <c r="C95" s="584" t="s">
        <v>482</v>
      </c>
      <c r="D95" s="16">
        <v>13</v>
      </c>
      <c r="E95" s="221">
        <v>3.472222222222222E-3</v>
      </c>
      <c r="F95" s="576">
        <v>6.9444444444444441E-3</v>
      </c>
      <c r="G95" s="344">
        <v>0.41</v>
      </c>
      <c r="H95" s="265">
        <v>0.1111111111111111</v>
      </c>
      <c r="I95" s="221">
        <v>7.8802206461780933E-2</v>
      </c>
      <c r="J95" s="265">
        <v>0</v>
      </c>
      <c r="K95" s="221">
        <v>6.8385539795114261E-2</v>
      </c>
      <c r="L95" s="221">
        <f t="shared" si="6"/>
        <v>7.5329984239558709E-2</v>
      </c>
      <c r="AH95" s="17"/>
      <c r="AJ95" s="574"/>
    </row>
    <row r="96" spans="2:36" s="7" customFormat="1" ht="15.75">
      <c r="B96" s="503" t="s">
        <v>144</v>
      </c>
      <c r="C96" s="584" t="s">
        <v>742</v>
      </c>
      <c r="D96" s="16">
        <v>13</v>
      </c>
      <c r="E96" s="221">
        <v>3.472222222222222E-3</v>
      </c>
      <c r="F96" s="221">
        <v>6.9444444444444441E-3</v>
      </c>
      <c r="G96" s="344">
        <v>0.41</v>
      </c>
      <c r="H96" s="265">
        <v>2.9629629629629627E-2</v>
      </c>
      <c r="I96" s="221">
        <v>2.1013921723141579E-2</v>
      </c>
      <c r="J96" s="265">
        <v>1.0416666666666666E-2</v>
      </c>
      <c r="K96" s="221">
        <v>1.8058838980824533E-4</v>
      </c>
      <c r="L96" s="221">
        <f t="shared" si="6"/>
        <v>7.1250328342526894E-3</v>
      </c>
      <c r="AH96" s="17"/>
      <c r="AJ96" s="574"/>
    </row>
    <row r="97" spans="2:36" s="7" customFormat="1" ht="15.75">
      <c r="B97" s="503" t="s">
        <v>144</v>
      </c>
      <c r="C97" s="584" t="s">
        <v>743</v>
      </c>
      <c r="D97" s="16">
        <v>13</v>
      </c>
      <c r="E97" s="221">
        <v>3.472222222222222E-3</v>
      </c>
      <c r="F97" s="221">
        <v>6.9444444444444441E-3</v>
      </c>
      <c r="G97" s="344">
        <v>0.41</v>
      </c>
      <c r="H97" s="265">
        <v>2.7777777777777776E-2</v>
      </c>
      <c r="I97" s="221">
        <v>1.9700551615445233E-2</v>
      </c>
      <c r="J97" s="265">
        <v>1.0416666666666666E-2</v>
      </c>
      <c r="K97" s="221">
        <v>0</v>
      </c>
      <c r="L97" s="221">
        <f t="shared" si="6"/>
        <v>5.8116627265563433E-3</v>
      </c>
      <c r="AH97" s="17"/>
      <c r="AJ97" s="574"/>
    </row>
    <row r="98" spans="2:36" s="7" customFormat="1" ht="15.75">
      <c r="B98" s="503" t="s">
        <v>144</v>
      </c>
      <c r="C98" s="584" t="s">
        <v>665</v>
      </c>
      <c r="D98" s="16">
        <v>13</v>
      </c>
      <c r="E98" s="221">
        <v>3.472222222222222E-3</v>
      </c>
      <c r="F98" s="221">
        <v>6.9444444444444441E-3</v>
      </c>
      <c r="G98" s="344">
        <v>0.41</v>
      </c>
      <c r="H98" s="265">
        <v>3.888888888888889E-2</v>
      </c>
      <c r="I98" s="221">
        <v>2.7580772261623327E-2</v>
      </c>
      <c r="J98" s="265">
        <v>0</v>
      </c>
      <c r="K98" s="221">
        <v>1.7164105594956663E-2</v>
      </c>
      <c r="L98" s="221">
        <f t="shared" si="6"/>
        <v>2.4108550039401107E-2</v>
      </c>
      <c r="AH98" s="17"/>
      <c r="AJ98" s="574"/>
    </row>
    <row r="99" spans="2:36" s="7" customFormat="1" ht="15.75">
      <c r="B99" s="503" t="s">
        <v>144</v>
      </c>
      <c r="C99" s="584" t="s">
        <v>744</v>
      </c>
      <c r="D99" s="16">
        <v>13</v>
      </c>
      <c r="E99" s="221">
        <v>3.472222222222222E-3</v>
      </c>
      <c r="F99" s="221">
        <v>6.9444444444444441E-3</v>
      </c>
      <c r="G99" s="344">
        <v>0.41</v>
      </c>
      <c r="H99" s="265">
        <v>2.2222222222222223E-2</v>
      </c>
      <c r="I99" s="221">
        <v>1.5760441292356188E-2</v>
      </c>
      <c r="J99" s="265">
        <v>0</v>
      </c>
      <c r="K99" s="221">
        <v>5.3437746256895218E-3</v>
      </c>
      <c r="L99" s="221">
        <f t="shared" si="6"/>
        <v>1.2288219070133966E-2</v>
      </c>
      <c r="AH99" s="17"/>
      <c r="AJ99" s="574"/>
    </row>
    <row r="100" spans="2:36" s="7" customFormat="1" ht="15.75">
      <c r="B100" s="503" t="s">
        <v>144</v>
      </c>
      <c r="C100" s="584" t="s">
        <v>745</v>
      </c>
      <c r="D100" s="16">
        <v>13</v>
      </c>
      <c r="E100" s="221">
        <v>3.472222222222222E-3</v>
      </c>
      <c r="F100" s="221">
        <v>6.9444444444444441E-3</v>
      </c>
      <c r="G100" s="344">
        <v>0.41</v>
      </c>
      <c r="H100" s="265">
        <v>4.1666666666666666E-3</v>
      </c>
      <c r="I100" s="221">
        <v>2.9550827423167848E-3</v>
      </c>
      <c r="J100" s="265">
        <v>0</v>
      </c>
      <c r="K100" s="221">
        <v>0</v>
      </c>
      <c r="L100" s="221">
        <f t="shared" si="6"/>
        <v>0</v>
      </c>
      <c r="AH100" s="17"/>
      <c r="AJ100" s="574"/>
    </row>
    <row r="101" spans="2:36" s="7" customFormat="1" ht="15.75">
      <c r="B101" s="503" t="s">
        <v>144</v>
      </c>
      <c r="C101" s="584" t="s">
        <v>746</v>
      </c>
      <c r="D101" s="16">
        <v>13</v>
      </c>
      <c r="E101" s="221">
        <v>3.472222222222222E-3</v>
      </c>
      <c r="F101" s="221">
        <v>6.9444444444444441E-3</v>
      </c>
      <c r="G101" s="344">
        <v>0.41</v>
      </c>
      <c r="H101" s="265">
        <v>3.2407407407407406E-3</v>
      </c>
      <c r="I101" s="221">
        <v>2.2983976884686104E-3</v>
      </c>
      <c r="J101" s="265">
        <v>0</v>
      </c>
      <c r="K101" s="221">
        <v>0</v>
      </c>
      <c r="L101" s="221">
        <f t="shared" si="6"/>
        <v>0</v>
      </c>
      <c r="AH101" s="17"/>
      <c r="AJ101" s="574"/>
    </row>
    <row r="102" spans="2:36" s="7" customFormat="1" ht="15.75">
      <c r="B102" s="503" t="s">
        <v>144</v>
      </c>
      <c r="C102" s="584" t="s">
        <v>63</v>
      </c>
      <c r="D102" s="16">
        <v>13</v>
      </c>
      <c r="E102" s="221">
        <v>3.472222222222222E-3</v>
      </c>
      <c r="F102" s="221">
        <v>6.9444444444444441E-3</v>
      </c>
      <c r="G102" s="344">
        <v>0.41</v>
      </c>
      <c r="H102" s="265">
        <v>1.0416666666666667E-3</v>
      </c>
      <c r="I102" s="221">
        <v>7.387706855791962E-4</v>
      </c>
      <c r="J102" s="265">
        <v>0</v>
      </c>
      <c r="K102" s="221">
        <v>0</v>
      </c>
      <c r="L102" s="221">
        <f t="shared" si="6"/>
        <v>0</v>
      </c>
      <c r="AH102" s="17"/>
      <c r="AJ102" s="574"/>
    </row>
    <row r="103" spans="2:36" s="7" customFormat="1" ht="15.75">
      <c r="B103" s="503" t="s">
        <v>144</v>
      </c>
      <c r="C103" s="584" t="s">
        <v>63</v>
      </c>
      <c r="D103" s="16">
        <v>13</v>
      </c>
      <c r="E103" s="221">
        <v>3.472222222222222E-3</v>
      </c>
      <c r="F103" s="221">
        <v>6.9444444444444441E-3</v>
      </c>
      <c r="G103" s="344">
        <v>0.41</v>
      </c>
      <c r="H103" s="265">
        <v>1.0416666666666667E-3</v>
      </c>
      <c r="I103" s="221">
        <v>7.387706855791962E-4</v>
      </c>
      <c r="J103" s="265">
        <v>0</v>
      </c>
      <c r="K103" s="221">
        <v>0</v>
      </c>
      <c r="L103" s="221">
        <f t="shared" si="6"/>
        <v>0</v>
      </c>
      <c r="AH103" s="17"/>
      <c r="AJ103" s="574"/>
    </row>
    <row r="104" spans="2:36" s="7" customFormat="1" ht="15.75">
      <c r="B104" s="503" t="s">
        <v>144</v>
      </c>
      <c r="C104" s="584" t="s">
        <v>21</v>
      </c>
      <c r="D104" s="16">
        <v>13</v>
      </c>
      <c r="E104" s="221">
        <v>3.472222222222222E-3</v>
      </c>
      <c r="F104" s="221">
        <v>6.9444444444444441E-3</v>
      </c>
      <c r="G104" s="344">
        <v>0.41</v>
      </c>
      <c r="H104" s="265">
        <v>1.0416666666666667E-3</v>
      </c>
      <c r="I104" s="221">
        <v>7.387706855791962E-4</v>
      </c>
      <c r="J104" s="265">
        <v>0</v>
      </c>
      <c r="K104" s="221">
        <v>0</v>
      </c>
      <c r="L104" s="221">
        <f t="shared" si="6"/>
        <v>0</v>
      </c>
      <c r="AH104" s="17"/>
      <c r="AJ104" s="574"/>
    </row>
    <row r="105" spans="2:36" s="7" customFormat="1" ht="15.75">
      <c r="B105" s="503" t="s">
        <v>144</v>
      </c>
      <c r="C105" s="584" t="s">
        <v>21</v>
      </c>
      <c r="D105" s="16">
        <v>13</v>
      </c>
      <c r="E105" s="221">
        <v>3.472222222222222E-3</v>
      </c>
      <c r="F105" s="221">
        <v>6.9444444444444441E-3</v>
      </c>
      <c r="G105" s="344">
        <v>0.41</v>
      </c>
      <c r="H105" s="265">
        <v>1.0416666666666667E-3</v>
      </c>
      <c r="I105" s="221">
        <v>7.387706855791962E-4</v>
      </c>
      <c r="J105" s="265">
        <v>0</v>
      </c>
      <c r="K105" s="221">
        <v>0</v>
      </c>
      <c r="L105" s="221">
        <f t="shared" si="6"/>
        <v>0</v>
      </c>
      <c r="AH105" s="17"/>
      <c r="AJ105" s="574"/>
    </row>
    <row r="106" spans="2:36" s="7" customFormat="1" ht="15.75">
      <c r="B106" s="503" t="s">
        <v>144</v>
      </c>
      <c r="C106" s="584" t="s">
        <v>21</v>
      </c>
      <c r="D106" s="16">
        <v>13</v>
      </c>
      <c r="E106" s="221">
        <v>3.472222222222222E-3</v>
      </c>
      <c r="F106" s="221">
        <v>6.9444444444444441E-3</v>
      </c>
      <c r="G106" s="344">
        <v>0.41</v>
      </c>
      <c r="H106" s="265">
        <v>1.0416666666666667E-3</v>
      </c>
      <c r="I106" s="221">
        <v>7.387706855791962E-4</v>
      </c>
      <c r="J106" s="265">
        <v>0</v>
      </c>
      <c r="K106" s="221">
        <v>0</v>
      </c>
      <c r="L106" s="221">
        <f t="shared" si="6"/>
        <v>0</v>
      </c>
      <c r="AH106" s="17"/>
      <c r="AJ106" s="574"/>
    </row>
    <row r="107" spans="2:36" s="7" customFormat="1" ht="15.75">
      <c r="B107" s="503" t="s">
        <v>144</v>
      </c>
      <c r="C107" s="584" t="s">
        <v>21</v>
      </c>
      <c r="D107" s="16">
        <v>13</v>
      </c>
      <c r="E107" s="221">
        <v>3.472222222222222E-3</v>
      </c>
      <c r="F107" s="221">
        <v>6.9444444444444441E-3</v>
      </c>
      <c r="G107" s="344">
        <v>0.41</v>
      </c>
      <c r="H107" s="265">
        <v>1.0416666666666667E-3</v>
      </c>
      <c r="I107" s="221">
        <v>7.387706855791962E-4</v>
      </c>
      <c r="J107" s="265">
        <v>0</v>
      </c>
      <c r="K107" s="221">
        <v>0</v>
      </c>
      <c r="L107" s="221">
        <f t="shared" si="6"/>
        <v>0</v>
      </c>
      <c r="AH107" s="17"/>
      <c r="AJ107" s="574"/>
    </row>
    <row r="108" spans="2:36" s="7" customFormat="1" ht="15.75">
      <c r="B108" s="587" t="s">
        <v>171</v>
      </c>
      <c r="C108" s="583" t="s">
        <v>1256</v>
      </c>
      <c r="D108" s="581">
        <v>14</v>
      </c>
      <c r="E108" s="134">
        <v>3.472222222222222E-3</v>
      </c>
      <c r="F108" s="134">
        <v>6.9444444444444441E-3</v>
      </c>
      <c r="G108" s="338">
        <v>0.41</v>
      </c>
      <c r="H108" s="136" t="s">
        <v>25</v>
      </c>
      <c r="I108" s="134" t="s">
        <v>25</v>
      </c>
      <c r="J108" s="136" t="s">
        <v>25</v>
      </c>
      <c r="K108" s="134" t="s">
        <v>25</v>
      </c>
      <c r="L108" s="589">
        <f>SUMIF($B$5:$B107,"&lt;&gt;"&amp;"Level_Up",L$5:L107)</f>
        <v>0.2157808198077491</v>
      </c>
      <c r="AH108" s="17"/>
      <c r="AJ108" s="574"/>
    </row>
    <row r="109" spans="2:36" s="7" customFormat="1" ht="15.75">
      <c r="B109" s="503" t="s">
        <v>144</v>
      </c>
      <c r="C109" s="584" t="s">
        <v>747</v>
      </c>
      <c r="D109" s="16">
        <v>14</v>
      </c>
      <c r="E109" s="221">
        <v>3.472222222222222E-3</v>
      </c>
      <c r="F109" s="221">
        <v>6.9444444444444441E-3</v>
      </c>
      <c r="G109" s="344">
        <v>0.41</v>
      </c>
      <c r="H109" s="265">
        <v>5.5555555555555558E-3</v>
      </c>
      <c r="I109" s="221">
        <v>3.940110323089047E-3</v>
      </c>
      <c r="J109" s="265">
        <v>0</v>
      </c>
      <c r="K109" s="221">
        <v>0</v>
      </c>
      <c r="L109" s="221">
        <f t="shared" ref="L109:L118" si="7">IF(I109-E109-J109&gt;0,I109-E109-J109,0)</f>
        <v>4.6788810086682495E-4</v>
      </c>
      <c r="AH109" s="17"/>
      <c r="AJ109" s="574"/>
    </row>
    <row r="110" spans="2:36" s="7" customFormat="1" ht="15.75">
      <c r="B110" s="503" t="s">
        <v>144</v>
      </c>
      <c r="C110" s="584" t="s">
        <v>748</v>
      </c>
      <c r="D110" s="16">
        <v>14</v>
      </c>
      <c r="E110" s="221">
        <v>3.472222222222222E-3</v>
      </c>
      <c r="F110" s="221">
        <v>6.9444444444444441E-3</v>
      </c>
      <c r="G110" s="344">
        <v>0.41</v>
      </c>
      <c r="H110" s="265">
        <v>1.1111111111111112E-2</v>
      </c>
      <c r="I110" s="221">
        <v>7.880220646178094E-3</v>
      </c>
      <c r="J110" s="265">
        <v>0</v>
      </c>
      <c r="K110" s="221">
        <v>0</v>
      </c>
      <c r="L110" s="221">
        <f t="shared" si="7"/>
        <v>4.4079984239558719E-3</v>
      </c>
      <c r="AH110" s="17"/>
      <c r="AJ110" s="574"/>
    </row>
    <row r="111" spans="2:36" s="7" customFormat="1" ht="15.75">
      <c r="B111" s="503" t="s">
        <v>144</v>
      </c>
      <c r="C111" s="584" t="s">
        <v>609</v>
      </c>
      <c r="D111" s="16">
        <v>14</v>
      </c>
      <c r="E111" s="221">
        <v>3.472222222222222E-3</v>
      </c>
      <c r="F111" s="221">
        <v>6.9444444444444441E-3</v>
      </c>
      <c r="G111" s="344">
        <v>0.41</v>
      </c>
      <c r="H111" s="265">
        <v>2.2222222222222223E-2</v>
      </c>
      <c r="I111" s="221">
        <v>1.5760441292356188E-2</v>
      </c>
      <c r="J111" s="265">
        <v>0</v>
      </c>
      <c r="K111" s="221">
        <v>5.3437746256895218E-3</v>
      </c>
      <c r="L111" s="221">
        <f t="shared" si="7"/>
        <v>1.2288219070133966E-2</v>
      </c>
      <c r="AH111" s="17"/>
      <c r="AJ111" s="574"/>
    </row>
    <row r="112" spans="2:36" s="7" customFormat="1" ht="15.75">
      <c r="B112" s="503" t="s">
        <v>144</v>
      </c>
      <c r="C112" s="584" t="s">
        <v>750</v>
      </c>
      <c r="D112" s="16">
        <v>14</v>
      </c>
      <c r="E112" s="221">
        <v>3.472222222222222E-3</v>
      </c>
      <c r="F112" s="221">
        <v>6.9444444444444441E-3</v>
      </c>
      <c r="G112" s="344">
        <v>0.41</v>
      </c>
      <c r="H112" s="265">
        <v>8.3333333333333332E-3</v>
      </c>
      <c r="I112" s="221">
        <v>5.9101654846335696E-3</v>
      </c>
      <c r="J112" s="265">
        <v>0</v>
      </c>
      <c r="K112" s="221">
        <v>0</v>
      </c>
      <c r="L112" s="221">
        <f t="shared" si="7"/>
        <v>2.4379432624113476E-3</v>
      </c>
      <c r="AH112" s="17"/>
      <c r="AJ112" s="574"/>
    </row>
    <row r="113" spans="2:36" s="7" customFormat="1" ht="30" customHeight="1">
      <c r="B113" s="503" t="s">
        <v>144</v>
      </c>
      <c r="C113" s="584" t="s">
        <v>751</v>
      </c>
      <c r="D113" s="16">
        <v>14</v>
      </c>
      <c r="E113" s="221">
        <v>3.472222222222222E-3</v>
      </c>
      <c r="F113" s="221">
        <v>6.9444444444444441E-3</v>
      </c>
      <c r="G113" s="344">
        <v>0.41</v>
      </c>
      <c r="H113" s="265">
        <v>1.6666666666666666E-2</v>
      </c>
      <c r="I113" s="221">
        <v>1.1820330969267139E-2</v>
      </c>
      <c r="J113" s="265">
        <v>0</v>
      </c>
      <c r="K113" s="221">
        <v>1.4036643026004731E-3</v>
      </c>
      <c r="L113" s="221">
        <f t="shared" si="7"/>
        <v>8.3481087470449172E-3</v>
      </c>
      <c r="AH113" s="17"/>
      <c r="AJ113" s="574"/>
    </row>
    <row r="114" spans="2:36" s="7" customFormat="1" ht="15.75">
      <c r="B114" s="503" t="s">
        <v>144</v>
      </c>
      <c r="C114" s="584" t="s">
        <v>633</v>
      </c>
      <c r="D114" s="16">
        <v>14</v>
      </c>
      <c r="E114" s="221">
        <v>3.472222222222222E-3</v>
      </c>
      <c r="F114" s="221">
        <v>6.9444444444444441E-3</v>
      </c>
      <c r="G114" s="344">
        <v>0.41</v>
      </c>
      <c r="H114" s="265">
        <v>2.6041666666666668E-2</v>
      </c>
      <c r="I114" s="221">
        <v>1.8469267139479908E-2</v>
      </c>
      <c r="J114" s="265">
        <v>0</v>
      </c>
      <c r="K114" s="221">
        <v>8.0526004728132417E-3</v>
      </c>
      <c r="L114" s="221">
        <f t="shared" si="7"/>
        <v>1.4997044917257686E-2</v>
      </c>
      <c r="AH114" s="17"/>
      <c r="AJ114" s="574"/>
    </row>
    <row r="115" spans="2:36" s="7" customFormat="1" ht="15.75">
      <c r="B115" s="503" t="s">
        <v>144</v>
      </c>
      <c r="C115" s="584" t="s">
        <v>587</v>
      </c>
      <c r="D115" s="16">
        <v>14</v>
      </c>
      <c r="E115" s="221">
        <v>3.472222222222222E-3</v>
      </c>
      <c r="F115" s="221">
        <v>6.9444444444444441E-3</v>
      </c>
      <c r="G115" s="344">
        <v>0.41</v>
      </c>
      <c r="H115" s="265">
        <v>3.3333333333333333E-2</v>
      </c>
      <c r="I115" s="221">
        <v>2.3640661938534278E-2</v>
      </c>
      <c r="J115" s="265">
        <v>1.7361111111111112E-2</v>
      </c>
      <c r="K115" s="221">
        <v>0</v>
      </c>
      <c r="L115" s="221">
        <f t="shared" si="7"/>
        <v>2.8073286052009427E-3</v>
      </c>
      <c r="AH115" s="17"/>
      <c r="AJ115" s="574"/>
    </row>
    <row r="116" spans="2:36" s="7" customFormat="1" ht="15.75">
      <c r="B116" s="503" t="s">
        <v>144</v>
      </c>
      <c r="C116" s="584" t="s">
        <v>753</v>
      </c>
      <c r="D116" s="16">
        <v>14</v>
      </c>
      <c r="E116" s="221">
        <v>3.472222222222222E-3</v>
      </c>
      <c r="F116" s="221">
        <v>6.9444444444444441E-3</v>
      </c>
      <c r="G116" s="344">
        <v>0.41</v>
      </c>
      <c r="H116" s="265">
        <v>3.7037037037037042E-2</v>
      </c>
      <c r="I116" s="221">
        <v>2.6267402153926981E-2</v>
      </c>
      <c r="J116" s="265">
        <v>1.2499999999999999E-2</v>
      </c>
      <c r="K116" s="221">
        <v>3.3507354872603177E-3</v>
      </c>
      <c r="L116" s="221">
        <f t="shared" si="7"/>
        <v>1.0295179931704762E-2</v>
      </c>
      <c r="AH116" s="17"/>
      <c r="AJ116" s="574"/>
    </row>
    <row r="117" spans="2:36" s="7" customFormat="1" ht="15.75">
      <c r="B117" s="503" t="s">
        <v>144</v>
      </c>
      <c r="C117" s="584" t="s">
        <v>754</v>
      </c>
      <c r="D117" s="16">
        <v>14</v>
      </c>
      <c r="E117" s="221">
        <v>3.472222222222222E-3</v>
      </c>
      <c r="F117" s="221">
        <v>6.9444444444444441E-3</v>
      </c>
      <c r="G117" s="344">
        <v>0.41</v>
      </c>
      <c r="H117" s="265">
        <v>6.4814814814814813E-3</v>
      </c>
      <c r="I117" s="221">
        <v>4.5967953769372209E-3</v>
      </c>
      <c r="J117" s="265">
        <v>0</v>
      </c>
      <c r="K117" s="221">
        <v>0</v>
      </c>
      <c r="L117" s="221">
        <f t="shared" si="7"/>
        <v>1.1245731547149989E-3</v>
      </c>
      <c r="AH117" s="17"/>
      <c r="AJ117" s="574"/>
    </row>
    <row r="118" spans="2:36" s="7" customFormat="1" ht="15.75">
      <c r="B118" s="503" t="s">
        <v>144</v>
      </c>
      <c r="C118" s="584" t="s">
        <v>755</v>
      </c>
      <c r="D118" s="16">
        <v>14</v>
      </c>
      <c r="E118" s="221">
        <v>3.472222222222222E-3</v>
      </c>
      <c r="F118" s="221">
        <v>6.9444444444444441E-3</v>
      </c>
      <c r="G118" s="344">
        <v>0.41</v>
      </c>
      <c r="H118" s="265">
        <v>1.2962962962962963E-2</v>
      </c>
      <c r="I118" s="221">
        <v>9.1935907538744418E-3</v>
      </c>
      <c r="J118" s="265">
        <v>0</v>
      </c>
      <c r="K118" s="221">
        <v>0</v>
      </c>
      <c r="L118" s="221">
        <f t="shared" si="7"/>
        <v>5.7213685316522198E-3</v>
      </c>
      <c r="AH118" s="17"/>
      <c r="AJ118" s="574"/>
    </row>
    <row r="119" spans="2:36" s="7" customFormat="1" ht="15.75">
      <c r="B119" s="587" t="s">
        <v>171</v>
      </c>
      <c r="C119" s="583" t="s">
        <v>1257</v>
      </c>
      <c r="D119" s="581">
        <v>15</v>
      </c>
      <c r="E119" s="134">
        <v>3.472222222222222E-3</v>
      </c>
      <c r="F119" s="134">
        <v>6.9444444444444441E-3</v>
      </c>
      <c r="G119" s="338">
        <v>0.41</v>
      </c>
      <c r="H119" s="136" t="s">
        <v>25</v>
      </c>
      <c r="I119" s="134" t="s">
        <v>25</v>
      </c>
      <c r="J119" s="136" t="s">
        <v>25</v>
      </c>
      <c r="K119" s="134" t="s">
        <v>25</v>
      </c>
      <c r="L119" s="589">
        <f>SUMIF($B$5:$B118,"&lt;&gt;"&amp;"Level_Up",L$5:L118)</f>
        <v>0.27867647255269262</v>
      </c>
      <c r="AH119" s="17"/>
      <c r="AJ119" s="574"/>
    </row>
    <row r="120" spans="2:36" s="7" customFormat="1" ht="15.75">
      <c r="B120" s="503" t="s">
        <v>144</v>
      </c>
      <c r="C120" s="584" t="s">
        <v>756</v>
      </c>
      <c r="D120" s="16">
        <v>15</v>
      </c>
      <c r="E120" s="221">
        <v>3.472222222222222E-3</v>
      </c>
      <c r="F120" s="221">
        <v>6.9444444444444441E-3</v>
      </c>
      <c r="G120" s="344">
        <v>0.41</v>
      </c>
      <c r="H120" s="265">
        <v>2.5925925925925925E-2</v>
      </c>
      <c r="I120" s="221">
        <v>1.8387181507748884E-2</v>
      </c>
      <c r="J120" s="265">
        <v>0</v>
      </c>
      <c r="K120" s="221">
        <v>7.9705148410822175E-3</v>
      </c>
      <c r="L120" s="221">
        <f t="shared" ref="L120:L151" si="8">IF(I120-E120-J120&gt;0,I120-E120-J120,0)</f>
        <v>1.4914959285526662E-2</v>
      </c>
      <c r="AH120" s="17"/>
      <c r="AJ120" s="574"/>
    </row>
    <row r="121" spans="2:36" s="7" customFormat="1" ht="15.75">
      <c r="B121" s="503" t="s">
        <v>144</v>
      </c>
      <c r="C121" s="584" t="s">
        <v>610</v>
      </c>
      <c r="D121" s="16">
        <v>15</v>
      </c>
      <c r="E121" s="221">
        <v>3.472222222222222E-3</v>
      </c>
      <c r="F121" s="221">
        <v>6.9444444444444441E-3</v>
      </c>
      <c r="G121" s="344">
        <v>0.41</v>
      </c>
      <c r="H121" s="265">
        <v>1.8518518518518521E-2</v>
      </c>
      <c r="I121" s="221">
        <v>1.313370107696349E-2</v>
      </c>
      <c r="J121" s="265">
        <v>0</v>
      </c>
      <c r="K121" s="221">
        <v>2.7170344102968244E-3</v>
      </c>
      <c r="L121" s="221">
        <f t="shared" si="8"/>
        <v>9.6614788547412685E-3</v>
      </c>
      <c r="AH121" s="17"/>
      <c r="AJ121" s="574"/>
    </row>
    <row r="122" spans="2:36" s="7" customFormat="1" ht="15.75">
      <c r="B122" s="503" t="s">
        <v>144</v>
      </c>
      <c r="C122" s="584" t="s">
        <v>759</v>
      </c>
      <c r="D122" s="16">
        <v>15</v>
      </c>
      <c r="E122" s="221">
        <v>3.472222222222222E-3</v>
      </c>
      <c r="F122" s="221">
        <v>6.9444444444444441E-3</v>
      </c>
      <c r="G122" s="344">
        <v>0.41</v>
      </c>
      <c r="H122" s="265">
        <v>1.8518518518518521E-2</v>
      </c>
      <c r="I122" s="221">
        <v>1.313370107696349E-2</v>
      </c>
      <c r="J122" s="265">
        <v>0</v>
      </c>
      <c r="K122" s="221">
        <v>2.7170344102968244E-3</v>
      </c>
      <c r="L122" s="221">
        <f t="shared" si="8"/>
        <v>9.6614788547412685E-3</v>
      </c>
      <c r="AH122" s="17"/>
      <c r="AJ122" s="574"/>
    </row>
    <row r="123" spans="2:36" s="7" customFormat="1" ht="15.75">
      <c r="B123" s="503" t="s">
        <v>144</v>
      </c>
      <c r="C123" s="584" t="s">
        <v>760</v>
      </c>
      <c r="D123" s="16">
        <v>15</v>
      </c>
      <c r="E123" s="221">
        <v>3.472222222222222E-3</v>
      </c>
      <c r="F123" s="221">
        <v>6.9444444444444441E-3</v>
      </c>
      <c r="G123" s="344">
        <v>0.41</v>
      </c>
      <c r="H123" s="265">
        <v>3.7037037037037042E-2</v>
      </c>
      <c r="I123" s="221">
        <v>2.6267402153926981E-2</v>
      </c>
      <c r="J123" s="265">
        <v>1.111111111111111E-2</v>
      </c>
      <c r="K123" s="221">
        <v>4.7396243761492068E-3</v>
      </c>
      <c r="L123" s="221">
        <f t="shared" si="8"/>
        <v>1.1684068820593651E-2</v>
      </c>
      <c r="AH123" s="17"/>
      <c r="AJ123" s="574"/>
    </row>
    <row r="124" spans="2:36" s="7" customFormat="1" ht="15.75">
      <c r="B124" s="503" t="s">
        <v>144</v>
      </c>
      <c r="C124" s="584" t="s">
        <v>666</v>
      </c>
      <c r="D124" s="16">
        <v>15</v>
      </c>
      <c r="E124" s="221">
        <v>3.472222222222222E-3</v>
      </c>
      <c r="F124" s="221">
        <v>6.9444444444444441E-3</v>
      </c>
      <c r="G124" s="344">
        <v>0.41</v>
      </c>
      <c r="H124" s="265">
        <v>3.1666666666666669E-2</v>
      </c>
      <c r="I124" s="221">
        <v>2.245862884160757E-2</v>
      </c>
      <c r="J124" s="265">
        <v>1.0416666666666666E-2</v>
      </c>
      <c r="K124" s="221">
        <v>1.6252955082742358E-3</v>
      </c>
      <c r="L124" s="221">
        <f t="shared" si="8"/>
        <v>8.5697399527186798E-3</v>
      </c>
      <c r="AH124" s="17"/>
      <c r="AJ124" s="574"/>
    </row>
    <row r="125" spans="2:36" s="7" customFormat="1" ht="15.75">
      <c r="B125" s="503" t="s">
        <v>144</v>
      </c>
      <c r="C125" s="584" t="s">
        <v>634</v>
      </c>
      <c r="D125" s="16">
        <v>15</v>
      </c>
      <c r="E125" s="221">
        <v>3.472222222222222E-3</v>
      </c>
      <c r="F125" s="221">
        <v>6.9444444444444441E-3</v>
      </c>
      <c r="G125" s="344">
        <v>0.41</v>
      </c>
      <c r="H125" s="265">
        <v>8.1018518518518516E-4</v>
      </c>
      <c r="I125" s="221">
        <v>5.7459942211715261E-4</v>
      </c>
      <c r="J125" s="265">
        <v>0</v>
      </c>
      <c r="K125" s="221">
        <v>0</v>
      </c>
      <c r="L125" s="221">
        <f t="shared" si="8"/>
        <v>0</v>
      </c>
      <c r="AH125" s="17"/>
      <c r="AJ125" s="574"/>
    </row>
    <row r="126" spans="2:36" s="7" customFormat="1" ht="15.75">
      <c r="B126" s="503" t="s">
        <v>144</v>
      </c>
      <c r="C126" s="584" t="s">
        <v>761</v>
      </c>
      <c r="D126" s="16">
        <v>15</v>
      </c>
      <c r="E126" s="221">
        <v>3.472222222222222E-3</v>
      </c>
      <c r="F126" s="221">
        <v>6.9444444444444441E-3</v>
      </c>
      <c r="G126" s="344">
        <v>0.41</v>
      </c>
      <c r="H126" s="265">
        <v>1.6203703703703703E-3</v>
      </c>
      <c r="I126" s="221">
        <v>1.1491988442343052E-3</v>
      </c>
      <c r="J126" s="265">
        <v>0</v>
      </c>
      <c r="K126" s="221">
        <v>0</v>
      </c>
      <c r="L126" s="221">
        <f t="shared" si="8"/>
        <v>0</v>
      </c>
      <c r="AH126" s="17"/>
      <c r="AJ126" s="574"/>
    </row>
    <row r="127" spans="2:36" s="7" customFormat="1" ht="15.75">
      <c r="B127" s="503" t="s">
        <v>144</v>
      </c>
      <c r="C127" s="584" t="s">
        <v>762</v>
      </c>
      <c r="D127" s="16">
        <v>15</v>
      </c>
      <c r="E127" s="221">
        <v>3.472222222222222E-3</v>
      </c>
      <c r="F127" s="221">
        <v>6.9444444444444441E-3</v>
      </c>
      <c r="G127" s="344">
        <v>0.41</v>
      </c>
      <c r="H127" s="265">
        <v>3.2407407407407406E-3</v>
      </c>
      <c r="I127" s="221">
        <v>2.2983976884686104E-3</v>
      </c>
      <c r="J127" s="265">
        <v>0</v>
      </c>
      <c r="K127" s="221">
        <v>0</v>
      </c>
      <c r="L127" s="221">
        <f t="shared" si="8"/>
        <v>0</v>
      </c>
      <c r="AH127" s="17"/>
      <c r="AJ127" s="574"/>
    </row>
    <row r="128" spans="2:36" s="7" customFormat="1" ht="15.75">
      <c r="B128" s="503" t="s">
        <v>144</v>
      </c>
      <c r="C128" s="584" t="s">
        <v>763</v>
      </c>
      <c r="D128" s="16">
        <v>15</v>
      </c>
      <c r="E128" s="221">
        <v>3.472222222222222E-3</v>
      </c>
      <c r="F128" s="221">
        <v>6.9444444444444441E-3</v>
      </c>
      <c r="G128" s="344">
        <v>0.41</v>
      </c>
      <c r="H128" s="265">
        <v>6.4814814814814813E-3</v>
      </c>
      <c r="I128" s="221">
        <v>4.5967953769372209E-3</v>
      </c>
      <c r="J128" s="265">
        <v>0</v>
      </c>
      <c r="K128" s="221">
        <v>0</v>
      </c>
      <c r="L128" s="221">
        <f t="shared" si="8"/>
        <v>1.1245731547149989E-3</v>
      </c>
      <c r="AH128" s="17"/>
      <c r="AJ128" s="574"/>
    </row>
    <row r="129" spans="2:36" s="7" customFormat="1" ht="15.75">
      <c r="B129" s="503" t="s">
        <v>144</v>
      </c>
      <c r="C129" s="584" t="s">
        <v>764</v>
      </c>
      <c r="D129" s="16">
        <v>15</v>
      </c>
      <c r="E129" s="221">
        <v>3.472222222222222E-3</v>
      </c>
      <c r="F129" s="221">
        <v>6.9444444444444441E-3</v>
      </c>
      <c r="G129" s="344">
        <v>0.41</v>
      </c>
      <c r="H129" s="265">
        <v>1.2962962962962963E-2</v>
      </c>
      <c r="I129" s="221">
        <v>9.1935907538744418E-3</v>
      </c>
      <c r="J129" s="265">
        <v>0</v>
      </c>
      <c r="K129" s="221">
        <v>0</v>
      </c>
      <c r="L129" s="221">
        <f t="shared" si="8"/>
        <v>5.7213685316522198E-3</v>
      </c>
      <c r="AH129" s="17"/>
      <c r="AJ129" s="574"/>
    </row>
    <row r="130" spans="2:36" s="7" customFormat="1" ht="15.75">
      <c r="B130" s="503" t="s">
        <v>144</v>
      </c>
      <c r="C130" s="584" t="s">
        <v>197</v>
      </c>
      <c r="D130" s="16">
        <v>15</v>
      </c>
      <c r="E130" s="221">
        <v>3.472222222222222E-3</v>
      </c>
      <c r="F130" s="221">
        <v>6.9444444444444441E-3</v>
      </c>
      <c r="G130" s="344">
        <v>0.41</v>
      </c>
      <c r="H130" s="265">
        <v>1.3888888888888889E-3</v>
      </c>
      <c r="I130" s="221">
        <v>9.8502758077226174E-4</v>
      </c>
      <c r="J130" s="265">
        <v>0</v>
      </c>
      <c r="K130" s="221">
        <v>0</v>
      </c>
      <c r="L130" s="221">
        <f t="shared" si="8"/>
        <v>0</v>
      </c>
      <c r="AH130" s="17"/>
      <c r="AJ130" s="574"/>
    </row>
    <row r="131" spans="2:36" s="7" customFormat="1" ht="15.75">
      <c r="B131" s="503" t="s">
        <v>144</v>
      </c>
      <c r="C131" s="584" t="s">
        <v>197</v>
      </c>
      <c r="D131" s="16">
        <v>15</v>
      </c>
      <c r="E131" s="221">
        <v>3.472222222222222E-3</v>
      </c>
      <c r="F131" s="221">
        <v>6.9444444444444441E-3</v>
      </c>
      <c r="G131" s="344">
        <v>0.41</v>
      </c>
      <c r="H131" s="265">
        <v>1.3888888888888889E-3</v>
      </c>
      <c r="I131" s="221">
        <v>9.8502758077226174E-4</v>
      </c>
      <c r="J131" s="265">
        <v>0</v>
      </c>
      <c r="K131" s="221">
        <v>0</v>
      </c>
      <c r="L131" s="221">
        <f t="shared" si="8"/>
        <v>0</v>
      </c>
      <c r="AH131" s="17"/>
      <c r="AJ131" s="574"/>
    </row>
    <row r="132" spans="2:36" s="7" customFormat="1" ht="15.75">
      <c r="B132" s="503" t="s">
        <v>144</v>
      </c>
      <c r="C132" s="584" t="s">
        <v>197</v>
      </c>
      <c r="D132" s="16">
        <v>15</v>
      </c>
      <c r="E132" s="221">
        <v>3.472222222222222E-3</v>
      </c>
      <c r="F132" s="221">
        <v>6.9444444444444441E-3</v>
      </c>
      <c r="G132" s="344">
        <v>0.41</v>
      </c>
      <c r="H132" s="265">
        <v>1.3888888888888889E-3</v>
      </c>
      <c r="I132" s="221">
        <v>9.8502758077226174E-4</v>
      </c>
      <c r="J132" s="265">
        <v>0</v>
      </c>
      <c r="K132" s="221">
        <v>0</v>
      </c>
      <c r="L132" s="221">
        <f t="shared" si="8"/>
        <v>0</v>
      </c>
      <c r="AH132" s="17"/>
      <c r="AJ132" s="574"/>
    </row>
    <row r="133" spans="2:36" s="7" customFormat="1" ht="15.75">
      <c r="B133" s="503" t="s">
        <v>144</v>
      </c>
      <c r="C133" s="584" t="s">
        <v>729</v>
      </c>
      <c r="D133" s="16">
        <v>15</v>
      </c>
      <c r="E133" s="221">
        <v>3.472222222222222E-3</v>
      </c>
      <c r="F133" s="221">
        <v>6.9444444444444441E-3</v>
      </c>
      <c r="G133" s="344">
        <v>0.41</v>
      </c>
      <c r="H133" s="265">
        <v>2.7777777777777779E-3</v>
      </c>
      <c r="I133" s="221">
        <v>1.9700551615445235E-3</v>
      </c>
      <c r="J133" s="265">
        <v>0</v>
      </c>
      <c r="K133" s="221">
        <v>0</v>
      </c>
      <c r="L133" s="221">
        <f t="shared" si="8"/>
        <v>0</v>
      </c>
      <c r="AH133" s="17"/>
      <c r="AJ133" s="574"/>
    </row>
    <row r="134" spans="2:36" s="7" customFormat="1" ht="15.75">
      <c r="B134" s="503" t="s">
        <v>144</v>
      </c>
      <c r="C134" s="584" t="s">
        <v>729</v>
      </c>
      <c r="D134" s="16">
        <v>15</v>
      </c>
      <c r="E134" s="221">
        <v>3.472222222222222E-3</v>
      </c>
      <c r="F134" s="221">
        <v>6.9444444444444441E-3</v>
      </c>
      <c r="G134" s="344">
        <v>0.41</v>
      </c>
      <c r="H134" s="265">
        <v>2.7777777777777779E-3</v>
      </c>
      <c r="I134" s="221">
        <v>1.9700551615445235E-3</v>
      </c>
      <c r="J134" s="265">
        <v>0</v>
      </c>
      <c r="K134" s="221">
        <v>0</v>
      </c>
      <c r="L134" s="221">
        <f t="shared" si="8"/>
        <v>0</v>
      </c>
      <c r="AH134" s="17"/>
      <c r="AJ134" s="574"/>
    </row>
    <row r="135" spans="2:36" s="7" customFormat="1" ht="15.75">
      <c r="B135" s="503" t="s">
        <v>144</v>
      </c>
      <c r="C135" s="584" t="s">
        <v>729</v>
      </c>
      <c r="D135" s="16">
        <v>15</v>
      </c>
      <c r="E135" s="221">
        <v>3.472222222222222E-3</v>
      </c>
      <c r="F135" s="221">
        <v>6.9444444444444441E-3</v>
      </c>
      <c r="G135" s="344">
        <v>0.41</v>
      </c>
      <c r="H135" s="265">
        <v>2.7777777777777779E-3</v>
      </c>
      <c r="I135" s="221">
        <v>1.9700551615445235E-3</v>
      </c>
      <c r="J135" s="265">
        <v>0</v>
      </c>
      <c r="K135" s="221">
        <v>0</v>
      </c>
      <c r="L135" s="221">
        <f t="shared" si="8"/>
        <v>0</v>
      </c>
      <c r="AH135" s="17"/>
      <c r="AJ135" s="574"/>
    </row>
    <row r="136" spans="2:36" s="7" customFormat="1" ht="15.75">
      <c r="B136" s="503" t="s">
        <v>144</v>
      </c>
      <c r="C136" s="584" t="s">
        <v>411</v>
      </c>
      <c r="D136" s="16">
        <v>15</v>
      </c>
      <c r="E136" s="221">
        <v>3.472222222222222E-3</v>
      </c>
      <c r="F136" s="221">
        <v>6.9444444444444441E-3</v>
      </c>
      <c r="G136" s="344">
        <v>0.41</v>
      </c>
      <c r="H136" s="265">
        <v>5.5555555555555558E-3</v>
      </c>
      <c r="I136" s="221">
        <v>3.940110323089047E-3</v>
      </c>
      <c r="J136" s="265">
        <v>0</v>
      </c>
      <c r="K136" s="221">
        <v>0</v>
      </c>
      <c r="L136" s="221">
        <f t="shared" si="8"/>
        <v>4.6788810086682495E-4</v>
      </c>
      <c r="AH136" s="17"/>
      <c r="AJ136" s="574"/>
    </row>
    <row r="137" spans="2:36" s="7" customFormat="1" ht="15.75">
      <c r="B137" s="503" t="s">
        <v>144</v>
      </c>
      <c r="C137" s="584" t="s">
        <v>411</v>
      </c>
      <c r="D137" s="16">
        <v>15</v>
      </c>
      <c r="E137" s="221">
        <v>3.472222222222222E-3</v>
      </c>
      <c r="F137" s="221">
        <v>6.9444444444444441E-3</v>
      </c>
      <c r="G137" s="344">
        <v>0.41</v>
      </c>
      <c r="H137" s="265">
        <v>5.5555555555555558E-3</v>
      </c>
      <c r="I137" s="221">
        <v>3.940110323089047E-3</v>
      </c>
      <c r="J137" s="265">
        <v>0</v>
      </c>
      <c r="K137" s="221">
        <v>0</v>
      </c>
      <c r="L137" s="221">
        <f t="shared" si="8"/>
        <v>4.6788810086682495E-4</v>
      </c>
      <c r="AH137" s="17"/>
      <c r="AJ137" s="574"/>
    </row>
    <row r="138" spans="2:36" s="7" customFormat="1" ht="15.75">
      <c r="B138" s="503" t="s">
        <v>144</v>
      </c>
      <c r="C138" s="584" t="s">
        <v>411</v>
      </c>
      <c r="D138" s="16">
        <v>15</v>
      </c>
      <c r="E138" s="221">
        <v>3.472222222222222E-3</v>
      </c>
      <c r="F138" s="221">
        <v>6.9444444444444441E-3</v>
      </c>
      <c r="G138" s="344">
        <v>0.41</v>
      </c>
      <c r="H138" s="265">
        <v>5.5555555555555558E-3</v>
      </c>
      <c r="I138" s="221">
        <v>3.940110323089047E-3</v>
      </c>
      <c r="J138" s="265">
        <v>0</v>
      </c>
      <c r="K138" s="221">
        <v>0</v>
      </c>
      <c r="L138" s="221">
        <f t="shared" si="8"/>
        <v>4.6788810086682495E-4</v>
      </c>
      <c r="AH138" s="17"/>
      <c r="AJ138" s="574"/>
    </row>
    <row r="139" spans="2:36" s="7" customFormat="1" ht="15.75">
      <c r="B139" s="503" t="s">
        <v>144</v>
      </c>
      <c r="C139" s="584" t="s">
        <v>412</v>
      </c>
      <c r="D139" s="16">
        <v>15</v>
      </c>
      <c r="E139" s="221">
        <v>3.472222222222222E-3</v>
      </c>
      <c r="F139" s="221">
        <v>6.9444444444444441E-3</v>
      </c>
      <c r="G139" s="344">
        <v>0.41</v>
      </c>
      <c r="H139" s="265">
        <v>1.1111111111111112E-2</v>
      </c>
      <c r="I139" s="221">
        <v>7.880220646178094E-3</v>
      </c>
      <c r="J139" s="265">
        <v>0</v>
      </c>
      <c r="K139" s="221">
        <v>0</v>
      </c>
      <c r="L139" s="221">
        <f t="shared" si="8"/>
        <v>4.4079984239558719E-3</v>
      </c>
      <c r="AH139" s="17"/>
      <c r="AJ139" s="574"/>
    </row>
    <row r="140" spans="2:36" s="7" customFormat="1" ht="15.75">
      <c r="B140" s="503" t="s">
        <v>144</v>
      </c>
      <c r="C140" s="584" t="s">
        <v>412</v>
      </c>
      <c r="D140" s="16">
        <v>15</v>
      </c>
      <c r="E140" s="221">
        <v>3.472222222222222E-3</v>
      </c>
      <c r="F140" s="221">
        <v>6.9444444444444441E-3</v>
      </c>
      <c r="G140" s="344">
        <v>0.41</v>
      </c>
      <c r="H140" s="265">
        <v>1.1111111111111112E-2</v>
      </c>
      <c r="I140" s="221">
        <v>7.880220646178094E-3</v>
      </c>
      <c r="J140" s="265">
        <v>0</v>
      </c>
      <c r="K140" s="221">
        <v>0</v>
      </c>
      <c r="L140" s="221">
        <f t="shared" si="8"/>
        <v>4.4079984239558719E-3</v>
      </c>
      <c r="AH140" s="17"/>
      <c r="AJ140" s="574"/>
    </row>
    <row r="141" spans="2:36" s="7" customFormat="1" ht="15.75">
      <c r="B141" s="503" t="s">
        <v>144</v>
      </c>
      <c r="C141" s="584" t="s">
        <v>412</v>
      </c>
      <c r="D141" s="16">
        <v>15</v>
      </c>
      <c r="E141" s="221">
        <v>3.472222222222222E-3</v>
      </c>
      <c r="F141" s="221">
        <v>6.9444444444444441E-3</v>
      </c>
      <c r="G141" s="344">
        <v>0.41</v>
      </c>
      <c r="H141" s="265">
        <v>1.1111111111111112E-2</v>
      </c>
      <c r="I141" s="221">
        <v>7.880220646178094E-3</v>
      </c>
      <c r="J141" s="265">
        <v>0</v>
      </c>
      <c r="K141" s="221">
        <v>0</v>
      </c>
      <c r="L141" s="221">
        <f t="shared" si="8"/>
        <v>4.4079984239558719E-3</v>
      </c>
      <c r="AH141" s="17"/>
      <c r="AJ141" s="574"/>
    </row>
    <row r="142" spans="2:36" s="7" customFormat="1" ht="15.75">
      <c r="B142" s="503" t="s">
        <v>144</v>
      </c>
      <c r="C142" s="584" t="s">
        <v>662</v>
      </c>
      <c r="D142" s="16">
        <v>15</v>
      </c>
      <c r="E142" s="221">
        <v>3.472222222222222E-3</v>
      </c>
      <c r="F142" s="221">
        <v>6.9444444444444441E-3</v>
      </c>
      <c r="G142" s="344">
        <v>0.41</v>
      </c>
      <c r="H142" s="265">
        <v>1.1574074074074073E-3</v>
      </c>
      <c r="I142" s="221">
        <v>8.2085631731021805E-4</v>
      </c>
      <c r="J142" s="265">
        <v>0</v>
      </c>
      <c r="K142" s="221">
        <v>0</v>
      </c>
      <c r="L142" s="221">
        <f t="shared" si="8"/>
        <v>0</v>
      </c>
      <c r="AH142" s="17"/>
      <c r="AJ142" s="574"/>
    </row>
    <row r="143" spans="2:36" s="7" customFormat="1" ht="15.75">
      <c r="B143" s="503" t="s">
        <v>144</v>
      </c>
      <c r="C143" s="584" t="s">
        <v>662</v>
      </c>
      <c r="D143" s="16">
        <v>15</v>
      </c>
      <c r="E143" s="221">
        <v>3.472222222222222E-3</v>
      </c>
      <c r="F143" s="221">
        <v>6.9444444444444441E-3</v>
      </c>
      <c r="G143" s="344">
        <v>0.41</v>
      </c>
      <c r="H143" s="265">
        <v>1.1574074074074073E-3</v>
      </c>
      <c r="I143" s="221">
        <v>8.2085631731021805E-4</v>
      </c>
      <c r="J143" s="265">
        <v>0</v>
      </c>
      <c r="K143" s="221">
        <v>0</v>
      </c>
      <c r="L143" s="221">
        <f t="shared" si="8"/>
        <v>0</v>
      </c>
      <c r="AH143" s="17"/>
      <c r="AJ143" s="574"/>
    </row>
    <row r="144" spans="2:36" s="7" customFormat="1" ht="15.75">
      <c r="B144" s="503" t="s">
        <v>144</v>
      </c>
      <c r="C144" s="584" t="s">
        <v>662</v>
      </c>
      <c r="D144" s="16">
        <v>15</v>
      </c>
      <c r="E144" s="221">
        <v>3.472222222222222E-3</v>
      </c>
      <c r="F144" s="221">
        <v>6.9444444444444441E-3</v>
      </c>
      <c r="G144" s="344">
        <v>0.41</v>
      </c>
      <c r="H144" s="265">
        <v>1.1574074074074073E-3</v>
      </c>
      <c r="I144" s="221">
        <v>8.2085631731021805E-4</v>
      </c>
      <c r="J144" s="265">
        <v>0</v>
      </c>
      <c r="K144" s="221">
        <v>0</v>
      </c>
      <c r="L144" s="221">
        <f t="shared" si="8"/>
        <v>0</v>
      </c>
      <c r="AH144" s="17"/>
      <c r="AJ144" s="574"/>
    </row>
    <row r="145" spans="2:36" s="7" customFormat="1" ht="15.75">
      <c r="B145" s="503" t="s">
        <v>144</v>
      </c>
      <c r="C145" s="584" t="s">
        <v>31</v>
      </c>
      <c r="D145" s="16">
        <v>15</v>
      </c>
      <c r="E145" s="221">
        <v>3.472222222222222E-3</v>
      </c>
      <c r="F145" s="221">
        <v>6.9444444444444441E-3</v>
      </c>
      <c r="G145" s="344">
        <v>0.41</v>
      </c>
      <c r="H145" s="265">
        <v>2.3148148148148151E-3</v>
      </c>
      <c r="I145" s="221">
        <v>1.6417126346204363E-3</v>
      </c>
      <c r="J145" s="265">
        <v>0</v>
      </c>
      <c r="K145" s="221">
        <v>0</v>
      </c>
      <c r="L145" s="221">
        <f t="shared" si="8"/>
        <v>0</v>
      </c>
      <c r="AH145" s="17"/>
      <c r="AJ145" s="574"/>
    </row>
    <row r="146" spans="2:36" s="7" customFormat="1" ht="15.75">
      <c r="B146" s="503" t="s">
        <v>144</v>
      </c>
      <c r="C146" s="584" t="s">
        <v>31</v>
      </c>
      <c r="D146" s="16">
        <v>15</v>
      </c>
      <c r="E146" s="221">
        <v>3.472222222222222E-3</v>
      </c>
      <c r="F146" s="221">
        <v>6.9444444444444441E-3</v>
      </c>
      <c r="G146" s="344">
        <v>0.41</v>
      </c>
      <c r="H146" s="265">
        <v>2.3148148148148151E-3</v>
      </c>
      <c r="I146" s="221">
        <v>1.6417126346204363E-3</v>
      </c>
      <c r="J146" s="265">
        <v>0</v>
      </c>
      <c r="K146" s="221">
        <v>0</v>
      </c>
      <c r="L146" s="221">
        <f t="shared" si="8"/>
        <v>0</v>
      </c>
      <c r="AH146" s="17"/>
      <c r="AJ146" s="574"/>
    </row>
    <row r="147" spans="2:36" s="7" customFormat="1" ht="15.75">
      <c r="B147" s="503" t="s">
        <v>144</v>
      </c>
      <c r="C147" s="584" t="s">
        <v>31</v>
      </c>
      <c r="D147" s="16">
        <v>15</v>
      </c>
      <c r="E147" s="221">
        <v>3.472222222222222E-3</v>
      </c>
      <c r="F147" s="221">
        <v>6.9444444444444441E-3</v>
      </c>
      <c r="G147" s="344">
        <v>0.41</v>
      </c>
      <c r="H147" s="265">
        <v>2.3148148148148151E-3</v>
      </c>
      <c r="I147" s="221">
        <v>1.6417126346204363E-3</v>
      </c>
      <c r="J147" s="265">
        <v>0</v>
      </c>
      <c r="K147" s="221">
        <v>0</v>
      </c>
      <c r="L147" s="221">
        <f t="shared" si="8"/>
        <v>0</v>
      </c>
      <c r="AH147" s="17"/>
      <c r="AJ147" s="574"/>
    </row>
    <row r="148" spans="2:36" s="7" customFormat="1" ht="15.75">
      <c r="B148" s="503" t="s">
        <v>144</v>
      </c>
      <c r="C148" s="584" t="s">
        <v>32</v>
      </c>
      <c r="D148" s="16">
        <v>15</v>
      </c>
      <c r="E148" s="221">
        <v>3.472222222222222E-3</v>
      </c>
      <c r="F148" s="221">
        <v>6.9444444444444441E-3</v>
      </c>
      <c r="G148" s="344">
        <v>0.41</v>
      </c>
      <c r="H148" s="265">
        <v>4.6296296296296302E-3</v>
      </c>
      <c r="I148" s="221">
        <v>3.2834252692408726E-3</v>
      </c>
      <c r="J148" s="265">
        <v>0</v>
      </c>
      <c r="K148" s="221">
        <v>0</v>
      </c>
      <c r="L148" s="221">
        <f t="shared" si="8"/>
        <v>0</v>
      </c>
      <c r="AH148" s="17"/>
      <c r="AJ148" s="574"/>
    </row>
    <row r="149" spans="2:36" s="7" customFormat="1" ht="15.75">
      <c r="B149" s="503" t="s">
        <v>144</v>
      </c>
      <c r="C149" s="584" t="s">
        <v>32</v>
      </c>
      <c r="D149" s="16">
        <v>15</v>
      </c>
      <c r="E149" s="221">
        <v>3.472222222222222E-3</v>
      </c>
      <c r="F149" s="221">
        <v>6.9444444444444441E-3</v>
      </c>
      <c r="G149" s="344">
        <v>0.41</v>
      </c>
      <c r="H149" s="265">
        <v>4.6296296296296302E-3</v>
      </c>
      <c r="I149" s="221">
        <v>3.2834252692408726E-3</v>
      </c>
      <c r="J149" s="265">
        <v>0</v>
      </c>
      <c r="K149" s="221">
        <v>0</v>
      </c>
      <c r="L149" s="221">
        <f t="shared" si="8"/>
        <v>0</v>
      </c>
      <c r="AH149" s="17"/>
      <c r="AJ149" s="574"/>
    </row>
    <row r="150" spans="2:36" s="7" customFormat="1" ht="15.75">
      <c r="B150" s="503" t="s">
        <v>144</v>
      </c>
      <c r="C150" s="584" t="s">
        <v>32</v>
      </c>
      <c r="D150" s="16">
        <v>15</v>
      </c>
      <c r="E150" s="221">
        <v>3.472222222222222E-3</v>
      </c>
      <c r="F150" s="221">
        <v>6.9444444444444441E-3</v>
      </c>
      <c r="G150" s="344">
        <v>0.41</v>
      </c>
      <c r="H150" s="265">
        <v>4.6296296296296302E-3</v>
      </c>
      <c r="I150" s="221">
        <v>3.2834252692408726E-3</v>
      </c>
      <c r="J150" s="265">
        <v>0</v>
      </c>
      <c r="K150" s="221">
        <v>0</v>
      </c>
      <c r="L150" s="221">
        <f t="shared" si="8"/>
        <v>0</v>
      </c>
      <c r="AH150" s="17"/>
      <c r="AJ150" s="574"/>
    </row>
    <row r="151" spans="2:36" s="7" customFormat="1" ht="15.75">
      <c r="B151" s="503" t="s">
        <v>144</v>
      </c>
      <c r="C151" s="584" t="s">
        <v>33</v>
      </c>
      <c r="D151" s="16">
        <v>15</v>
      </c>
      <c r="E151" s="221">
        <v>3.472222222222222E-3</v>
      </c>
      <c r="F151" s="221">
        <v>6.9444444444444441E-3</v>
      </c>
      <c r="G151" s="344">
        <v>0.41</v>
      </c>
      <c r="H151" s="265">
        <v>9.2592592592592605E-3</v>
      </c>
      <c r="I151" s="221">
        <v>6.5668505384817452E-3</v>
      </c>
      <c r="J151" s="265">
        <v>0</v>
      </c>
      <c r="K151" s="221">
        <v>0</v>
      </c>
      <c r="L151" s="221">
        <f t="shared" si="8"/>
        <v>3.0946283162595232E-3</v>
      </c>
      <c r="AH151" s="17"/>
      <c r="AJ151" s="574"/>
    </row>
    <row r="152" spans="2:36" s="7" customFormat="1" ht="15.75">
      <c r="B152" s="503" t="s">
        <v>144</v>
      </c>
      <c r="C152" s="584" t="s">
        <v>33</v>
      </c>
      <c r="D152" s="16">
        <v>15</v>
      </c>
      <c r="E152" s="221">
        <v>3.472222222222222E-3</v>
      </c>
      <c r="F152" s="221">
        <v>6.9444444444444441E-3</v>
      </c>
      <c r="G152" s="344">
        <v>0.41</v>
      </c>
      <c r="H152" s="265">
        <v>9.2592592592592605E-3</v>
      </c>
      <c r="I152" s="221">
        <v>6.5668505384817452E-3</v>
      </c>
      <c r="J152" s="265">
        <v>0</v>
      </c>
      <c r="K152" s="221">
        <v>0</v>
      </c>
      <c r="L152" s="221">
        <f t="shared" ref="L152:L183" si="9">IF(I152-E152-J152&gt;0,I152-E152-J152,0)</f>
        <v>3.0946283162595232E-3</v>
      </c>
      <c r="AH152" s="17"/>
      <c r="AJ152" s="574"/>
    </row>
    <row r="153" spans="2:36" s="7" customFormat="1" ht="15.75">
      <c r="B153" s="503" t="s">
        <v>144</v>
      </c>
      <c r="C153" s="584" t="s">
        <v>33</v>
      </c>
      <c r="D153" s="16">
        <v>15</v>
      </c>
      <c r="E153" s="221">
        <v>3.472222222222222E-3</v>
      </c>
      <c r="F153" s="221">
        <v>6.9444444444444441E-3</v>
      </c>
      <c r="G153" s="344">
        <v>0.41</v>
      </c>
      <c r="H153" s="265">
        <v>9.2592592592592605E-3</v>
      </c>
      <c r="I153" s="221">
        <v>6.5668505384817452E-3</v>
      </c>
      <c r="J153" s="265">
        <v>0</v>
      </c>
      <c r="K153" s="221">
        <v>0</v>
      </c>
      <c r="L153" s="221">
        <f t="shared" si="9"/>
        <v>3.0946283162595232E-3</v>
      </c>
      <c r="AH153" s="17"/>
      <c r="AJ153" s="574"/>
    </row>
    <row r="154" spans="2:36" s="7" customFormat="1" ht="15.75">
      <c r="B154" s="503" t="s">
        <v>144</v>
      </c>
      <c r="C154" s="584" t="s">
        <v>663</v>
      </c>
      <c r="D154" s="16">
        <v>15</v>
      </c>
      <c r="E154" s="221">
        <v>3.472222222222222E-3</v>
      </c>
      <c r="F154" s="221">
        <v>6.9444444444444441E-3</v>
      </c>
      <c r="G154" s="344">
        <v>0.41</v>
      </c>
      <c r="H154" s="265">
        <v>1.6203703703703703E-3</v>
      </c>
      <c r="I154" s="221">
        <v>1.1491988442343052E-3</v>
      </c>
      <c r="J154" s="265">
        <v>0</v>
      </c>
      <c r="K154" s="221">
        <v>0</v>
      </c>
      <c r="L154" s="221">
        <f t="shared" si="9"/>
        <v>0</v>
      </c>
      <c r="AH154" s="17"/>
      <c r="AJ154" s="574"/>
    </row>
    <row r="155" spans="2:36" s="7" customFormat="1" ht="15.75">
      <c r="B155" s="503" t="s">
        <v>144</v>
      </c>
      <c r="C155" s="584" t="s">
        <v>663</v>
      </c>
      <c r="D155" s="16">
        <v>15</v>
      </c>
      <c r="E155" s="221">
        <v>3.472222222222222E-3</v>
      </c>
      <c r="F155" s="221">
        <v>6.9444444444444441E-3</v>
      </c>
      <c r="G155" s="344">
        <v>0.41</v>
      </c>
      <c r="H155" s="265">
        <v>1.6203703703703703E-3</v>
      </c>
      <c r="I155" s="221">
        <v>1.1491988442343052E-3</v>
      </c>
      <c r="J155" s="265">
        <v>0</v>
      </c>
      <c r="K155" s="221">
        <v>0</v>
      </c>
      <c r="L155" s="221">
        <f t="shared" si="9"/>
        <v>0</v>
      </c>
      <c r="AH155" s="17"/>
      <c r="AJ155" s="574"/>
    </row>
    <row r="156" spans="2:36" s="7" customFormat="1" ht="15.75">
      <c r="B156" s="503" t="s">
        <v>144</v>
      </c>
      <c r="C156" s="584" t="s">
        <v>663</v>
      </c>
      <c r="D156" s="16">
        <v>15</v>
      </c>
      <c r="E156" s="221">
        <v>3.472222222222222E-3</v>
      </c>
      <c r="F156" s="221">
        <v>6.9444444444444441E-3</v>
      </c>
      <c r="G156" s="344">
        <v>0.41</v>
      </c>
      <c r="H156" s="265">
        <v>1.6203703703703703E-3</v>
      </c>
      <c r="I156" s="221">
        <v>1.1491988442343052E-3</v>
      </c>
      <c r="J156" s="265">
        <v>0</v>
      </c>
      <c r="K156" s="221">
        <v>0</v>
      </c>
      <c r="L156" s="221">
        <f t="shared" si="9"/>
        <v>0</v>
      </c>
      <c r="AH156" s="17"/>
      <c r="AJ156" s="574"/>
    </row>
    <row r="157" spans="2:36" s="7" customFormat="1" ht="15.75">
      <c r="B157" s="503" t="s">
        <v>144</v>
      </c>
      <c r="C157" s="584" t="s">
        <v>408</v>
      </c>
      <c r="D157" s="16">
        <v>15</v>
      </c>
      <c r="E157" s="221">
        <v>3.472222222222222E-3</v>
      </c>
      <c r="F157" s="221">
        <v>6.9444444444444441E-3</v>
      </c>
      <c r="G157" s="344">
        <v>0.41</v>
      </c>
      <c r="H157" s="265">
        <v>3.2407407407407406E-3</v>
      </c>
      <c r="I157" s="221">
        <v>2.2983976884686104E-3</v>
      </c>
      <c r="J157" s="265">
        <v>0</v>
      </c>
      <c r="K157" s="221">
        <v>0</v>
      </c>
      <c r="L157" s="221">
        <f t="shared" si="9"/>
        <v>0</v>
      </c>
      <c r="AH157" s="17"/>
      <c r="AJ157" s="574"/>
    </row>
    <row r="158" spans="2:36" s="7" customFormat="1" ht="15.75">
      <c r="B158" s="503" t="s">
        <v>144</v>
      </c>
      <c r="C158" s="584" t="s">
        <v>408</v>
      </c>
      <c r="D158" s="16">
        <v>15</v>
      </c>
      <c r="E158" s="221">
        <v>3.472222222222222E-3</v>
      </c>
      <c r="F158" s="221">
        <v>6.9444444444444441E-3</v>
      </c>
      <c r="G158" s="344">
        <v>0.41</v>
      </c>
      <c r="H158" s="265">
        <v>3.2407407407407406E-3</v>
      </c>
      <c r="I158" s="221">
        <v>2.2983976884686104E-3</v>
      </c>
      <c r="J158" s="265">
        <v>0</v>
      </c>
      <c r="K158" s="221">
        <v>0</v>
      </c>
      <c r="L158" s="221">
        <f t="shared" si="9"/>
        <v>0</v>
      </c>
      <c r="AH158" s="17"/>
      <c r="AJ158" s="574"/>
    </row>
    <row r="159" spans="2:36" s="7" customFormat="1" ht="15.75">
      <c r="B159" s="503" t="s">
        <v>144</v>
      </c>
      <c r="C159" s="584" t="s">
        <v>408</v>
      </c>
      <c r="D159" s="16">
        <v>15</v>
      </c>
      <c r="E159" s="221">
        <v>3.472222222222222E-3</v>
      </c>
      <c r="F159" s="221">
        <v>6.9444444444444441E-3</v>
      </c>
      <c r="G159" s="344">
        <v>0.41</v>
      </c>
      <c r="H159" s="265">
        <v>3.2407407407407406E-3</v>
      </c>
      <c r="I159" s="221">
        <v>2.2983976884686104E-3</v>
      </c>
      <c r="J159" s="265">
        <v>0</v>
      </c>
      <c r="K159" s="221">
        <v>0</v>
      </c>
      <c r="L159" s="221">
        <f t="shared" si="9"/>
        <v>0</v>
      </c>
      <c r="AH159" s="17"/>
      <c r="AJ159" s="574"/>
    </row>
    <row r="160" spans="2:36" s="7" customFormat="1" ht="15.75">
      <c r="B160" s="503" t="s">
        <v>144</v>
      </c>
      <c r="C160" s="584" t="s">
        <v>429</v>
      </c>
      <c r="D160" s="16">
        <v>15</v>
      </c>
      <c r="E160" s="221">
        <v>3.472222222222222E-3</v>
      </c>
      <c r="F160" s="221">
        <v>6.9444444444444441E-3</v>
      </c>
      <c r="G160" s="344">
        <v>0.41</v>
      </c>
      <c r="H160" s="265">
        <v>6.4814814814814813E-3</v>
      </c>
      <c r="I160" s="221">
        <v>4.5967953769372209E-3</v>
      </c>
      <c r="J160" s="265">
        <v>0</v>
      </c>
      <c r="K160" s="221">
        <v>0</v>
      </c>
      <c r="L160" s="221">
        <f t="shared" si="9"/>
        <v>1.1245731547149989E-3</v>
      </c>
      <c r="AH160" s="17"/>
      <c r="AJ160" s="574"/>
    </row>
    <row r="161" spans="2:36" s="7" customFormat="1" ht="15.75">
      <c r="B161" s="503" t="s">
        <v>144</v>
      </c>
      <c r="C161" s="584" t="s">
        <v>429</v>
      </c>
      <c r="D161" s="16">
        <v>15</v>
      </c>
      <c r="E161" s="221">
        <v>3.472222222222222E-3</v>
      </c>
      <c r="F161" s="221">
        <v>6.9444444444444441E-3</v>
      </c>
      <c r="G161" s="344">
        <v>0.41</v>
      </c>
      <c r="H161" s="265">
        <v>6.4814814814814813E-3</v>
      </c>
      <c r="I161" s="221">
        <v>4.5967953769372209E-3</v>
      </c>
      <c r="J161" s="265">
        <v>0</v>
      </c>
      <c r="K161" s="221">
        <v>0</v>
      </c>
      <c r="L161" s="221">
        <f t="shared" si="9"/>
        <v>1.1245731547149989E-3</v>
      </c>
      <c r="AH161" s="17"/>
      <c r="AJ161" s="574"/>
    </row>
    <row r="162" spans="2:36" s="7" customFormat="1" ht="15.75">
      <c r="B162" s="503" t="s">
        <v>144</v>
      </c>
      <c r="C162" s="584" t="s">
        <v>429</v>
      </c>
      <c r="D162" s="16">
        <v>15</v>
      </c>
      <c r="E162" s="221">
        <v>3.472222222222222E-3</v>
      </c>
      <c r="F162" s="221">
        <v>6.9444444444444441E-3</v>
      </c>
      <c r="G162" s="344">
        <v>0.41</v>
      </c>
      <c r="H162" s="265">
        <v>6.4814814814814813E-3</v>
      </c>
      <c r="I162" s="221">
        <v>4.5967953769372209E-3</v>
      </c>
      <c r="J162" s="265">
        <v>0</v>
      </c>
      <c r="K162" s="221">
        <v>0</v>
      </c>
      <c r="L162" s="221">
        <f t="shared" si="9"/>
        <v>1.1245731547149989E-3</v>
      </c>
      <c r="AH162" s="17"/>
      <c r="AJ162" s="574"/>
    </row>
    <row r="163" spans="2:36" s="7" customFormat="1" ht="15.75">
      <c r="B163" s="503" t="s">
        <v>144</v>
      </c>
      <c r="C163" s="584" t="s">
        <v>430</v>
      </c>
      <c r="D163" s="16">
        <v>15</v>
      </c>
      <c r="E163" s="221">
        <v>3.472222222222222E-3</v>
      </c>
      <c r="F163" s="221">
        <v>6.9444444444444441E-3</v>
      </c>
      <c r="G163" s="344">
        <v>0.41</v>
      </c>
      <c r="H163" s="265">
        <v>1.2962962962962963E-2</v>
      </c>
      <c r="I163" s="221">
        <v>9.1935907538744418E-3</v>
      </c>
      <c r="J163" s="265">
        <v>0</v>
      </c>
      <c r="K163" s="221">
        <v>0</v>
      </c>
      <c r="L163" s="221">
        <f t="shared" si="9"/>
        <v>5.7213685316522198E-3</v>
      </c>
      <c r="AH163" s="17"/>
      <c r="AJ163" s="574"/>
    </row>
    <row r="164" spans="2:36" s="7" customFormat="1" ht="15.75">
      <c r="B164" s="503" t="s">
        <v>144</v>
      </c>
      <c r="C164" s="584" t="s">
        <v>430</v>
      </c>
      <c r="D164" s="16">
        <v>15</v>
      </c>
      <c r="E164" s="221">
        <v>3.472222222222222E-3</v>
      </c>
      <c r="F164" s="221">
        <v>6.9444444444444441E-3</v>
      </c>
      <c r="G164" s="344">
        <v>0.41</v>
      </c>
      <c r="H164" s="265">
        <v>1.2962962962962963E-2</v>
      </c>
      <c r="I164" s="221">
        <v>9.1935907538744418E-3</v>
      </c>
      <c r="J164" s="265">
        <v>0</v>
      </c>
      <c r="K164" s="221">
        <v>0</v>
      </c>
      <c r="L164" s="221">
        <f t="shared" si="9"/>
        <v>5.7213685316522198E-3</v>
      </c>
      <c r="AH164" s="17"/>
      <c r="AJ164" s="574"/>
    </row>
    <row r="165" spans="2:36" s="7" customFormat="1" ht="15.75">
      <c r="B165" s="503" t="s">
        <v>144</v>
      </c>
      <c r="C165" s="584" t="s">
        <v>430</v>
      </c>
      <c r="D165" s="16">
        <v>15</v>
      </c>
      <c r="E165" s="221">
        <v>3.472222222222222E-3</v>
      </c>
      <c r="F165" s="221">
        <v>6.9444444444444441E-3</v>
      </c>
      <c r="G165" s="344">
        <v>0.41</v>
      </c>
      <c r="H165" s="265">
        <v>1.2962962962962963E-2</v>
      </c>
      <c r="I165" s="221">
        <v>9.1935907538744418E-3</v>
      </c>
      <c r="J165" s="265">
        <v>0</v>
      </c>
      <c r="K165" s="221">
        <v>0</v>
      </c>
      <c r="L165" s="221">
        <f t="shared" si="9"/>
        <v>5.7213685316522198E-3</v>
      </c>
      <c r="AH165" s="17"/>
      <c r="AJ165" s="574"/>
    </row>
    <row r="166" spans="2:36" s="7" customFormat="1" ht="15.75">
      <c r="B166" s="503" t="s">
        <v>144</v>
      </c>
      <c r="C166" s="584" t="s">
        <v>406</v>
      </c>
      <c r="D166" s="16">
        <v>15</v>
      </c>
      <c r="E166" s="221">
        <v>3.472222222222222E-3</v>
      </c>
      <c r="F166" s="221">
        <v>6.9444444444444441E-3</v>
      </c>
      <c r="G166" s="344">
        <v>0.41</v>
      </c>
      <c r="H166" s="265">
        <v>1.8518518518518517E-3</v>
      </c>
      <c r="I166" s="221">
        <v>1.3133701076963487E-3</v>
      </c>
      <c r="J166" s="265">
        <v>0</v>
      </c>
      <c r="K166" s="221">
        <v>0</v>
      </c>
      <c r="L166" s="221">
        <f t="shared" si="9"/>
        <v>0</v>
      </c>
      <c r="AH166" s="17"/>
      <c r="AJ166" s="574"/>
    </row>
    <row r="167" spans="2:36" s="7" customFormat="1" ht="15.75">
      <c r="B167" s="503" t="s">
        <v>144</v>
      </c>
      <c r="C167" s="584" t="s">
        <v>406</v>
      </c>
      <c r="D167" s="16">
        <v>15</v>
      </c>
      <c r="E167" s="221">
        <v>3.472222222222222E-3</v>
      </c>
      <c r="F167" s="221">
        <v>6.9444444444444441E-3</v>
      </c>
      <c r="G167" s="344">
        <v>0.41</v>
      </c>
      <c r="H167" s="265">
        <v>1.8518518518518517E-3</v>
      </c>
      <c r="I167" s="221">
        <v>1.3133701076963487E-3</v>
      </c>
      <c r="J167" s="265">
        <v>0</v>
      </c>
      <c r="K167" s="221">
        <v>0</v>
      </c>
      <c r="L167" s="221">
        <f t="shared" si="9"/>
        <v>0</v>
      </c>
      <c r="AH167" s="17"/>
      <c r="AJ167" s="574"/>
    </row>
    <row r="168" spans="2:36" s="7" customFormat="1" ht="15.75">
      <c r="B168" s="503" t="s">
        <v>144</v>
      </c>
      <c r="C168" s="584" t="s">
        <v>406</v>
      </c>
      <c r="D168" s="16">
        <v>15</v>
      </c>
      <c r="E168" s="221">
        <v>3.472222222222222E-3</v>
      </c>
      <c r="F168" s="221">
        <v>6.9444444444444441E-3</v>
      </c>
      <c r="G168" s="344">
        <v>0.41</v>
      </c>
      <c r="H168" s="265">
        <v>1.8518518518518517E-3</v>
      </c>
      <c r="I168" s="221">
        <v>1.3133701076963487E-3</v>
      </c>
      <c r="J168" s="265">
        <v>0</v>
      </c>
      <c r="K168" s="221">
        <v>0</v>
      </c>
      <c r="L168" s="221">
        <f t="shared" si="9"/>
        <v>0</v>
      </c>
      <c r="AH168" s="17"/>
      <c r="AJ168" s="574"/>
    </row>
    <row r="169" spans="2:36" s="7" customFormat="1" ht="15.75">
      <c r="B169" s="503" t="s">
        <v>144</v>
      </c>
      <c r="C169" s="584" t="s">
        <v>447</v>
      </c>
      <c r="D169" s="16">
        <v>15</v>
      </c>
      <c r="E169" s="221">
        <v>3.472222222222222E-3</v>
      </c>
      <c r="F169" s="221">
        <v>6.9444444444444441E-3</v>
      </c>
      <c r="G169" s="344">
        <v>0.41</v>
      </c>
      <c r="H169" s="265">
        <v>3.7037037037037034E-3</v>
      </c>
      <c r="I169" s="221">
        <v>2.6267402153926974E-3</v>
      </c>
      <c r="J169" s="265">
        <v>0</v>
      </c>
      <c r="K169" s="221">
        <v>0</v>
      </c>
      <c r="L169" s="221">
        <f t="shared" si="9"/>
        <v>0</v>
      </c>
      <c r="AH169" s="17"/>
      <c r="AJ169" s="574"/>
    </row>
    <row r="170" spans="2:36" s="7" customFormat="1" ht="15.75">
      <c r="B170" s="503" t="s">
        <v>144</v>
      </c>
      <c r="C170" s="584" t="s">
        <v>447</v>
      </c>
      <c r="D170" s="16">
        <v>15</v>
      </c>
      <c r="E170" s="221">
        <v>3.472222222222222E-3</v>
      </c>
      <c r="F170" s="221">
        <v>6.9444444444444441E-3</v>
      </c>
      <c r="G170" s="344">
        <v>0.41</v>
      </c>
      <c r="H170" s="265">
        <v>3.7037037037037034E-3</v>
      </c>
      <c r="I170" s="221">
        <v>2.6267402153926974E-3</v>
      </c>
      <c r="J170" s="265">
        <v>0</v>
      </c>
      <c r="K170" s="221">
        <v>0</v>
      </c>
      <c r="L170" s="221">
        <f t="shared" si="9"/>
        <v>0</v>
      </c>
      <c r="AH170" s="17"/>
      <c r="AJ170" s="574"/>
    </row>
    <row r="171" spans="2:36" s="7" customFormat="1" ht="15.75">
      <c r="B171" s="503" t="s">
        <v>144</v>
      </c>
      <c r="C171" s="584" t="s">
        <v>447</v>
      </c>
      <c r="D171" s="16">
        <v>15</v>
      </c>
      <c r="E171" s="221">
        <v>3.472222222222222E-3</v>
      </c>
      <c r="F171" s="221">
        <v>6.9444444444444441E-3</v>
      </c>
      <c r="G171" s="344">
        <v>0.41</v>
      </c>
      <c r="H171" s="265">
        <v>3.7037037037037034E-3</v>
      </c>
      <c r="I171" s="221">
        <v>2.6267402153926974E-3</v>
      </c>
      <c r="J171" s="265">
        <v>0</v>
      </c>
      <c r="K171" s="221">
        <v>0</v>
      </c>
      <c r="L171" s="221">
        <f t="shared" si="9"/>
        <v>0</v>
      </c>
      <c r="AH171" s="17"/>
      <c r="AJ171" s="574"/>
    </row>
    <row r="172" spans="2:36" s="7" customFormat="1" ht="15.75">
      <c r="B172" s="503" t="s">
        <v>144</v>
      </c>
      <c r="C172" s="584" t="s">
        <v>448</v>
      </c>
      <c r="D172" s="16">
        <v>15</v>
      </c>
      <c r="E172" s="221">
        <v>3.472222222222222E-3</v>
      </c>
      <c r="F172" s="221">
        <v>6.9444444444444441E-3</v>
      </c>
      <c r="G172" s="344">
        <v>0.41</v>
      </c>
      <c r="H172" s="265">
        <v>7.4074074074074068E-3</v>
      </c>
      <c r="I172" s="221">
        <v>5.2534804307853948E-3</v>
      </c>
      <c r="J172" s="265">
        <v>0</v>
      </c>
      <c r="K172" s="221">
        <v>0</v>
      </c>
      <c r="L172" s="221">
        <f t="shared" si="9"/>
        <v>1.7812582085631728E-3</v>
      </c>
      <c r="AH172" s="17"/>
      <c r="AJ172" s="574"/>
    </row>
    <row r="173" spans="2:36" s="7" customFormat="1" ht="15.75">
      <c r="B173" s="503" t="s">
        <v>144</v>
      </c>
      <c r="C173" s="584" t="s">
        <v>448</v>
      </c>
      <c r="D173" s="16">
        <v>15</v>
      </c>
      <c r="E173" s="221">
        <v>3.472222222222222E-3</v>
      </c>
      <c r="F173" s="221">
        <v>6.9444444444444441E-3</v>
      </c>
      <c r="G173" s="344">
        <v>0.41</v>
      </c>
      <c r="H173" s="265">
        <v>7.4074074074074068E-3</v>
      </c>
      <c r="I173" s="221">
        <v>5.2534804307853948E-3</v>
      </c>
      <c r="J173" s="265">
        <v>0</v>
      </c>
      <c r="K173" s="221">
        <v>0</v>
      </c>
      <c r="L173" s="221">
        <f t="shared" si="9"/>
        <v>1.7812582085631728E-3</v>
      </c>
      <c r="AH173" s="17"/>
      <c r="AJ173" s="574"/>
    </row>
    <row r="174" spans="2:36" s="7" customFormat="1" ht="15.75">
      <c r="B174" s="503" t="s">
        <v>144</v>
      </c>
      <c r="C174" s="584" t="s">
        <v>448</v>
      </c>
      <c r="D174" s="16">
        <v>15</v>
      </c>
      <c r="E174" s="221">
        <v>3.472222222222222E-3</v>
      </c>
      <c r="F174" s="221">
        <v>6.9444444444444441E-3</v>
      </c>
      <c r="G174" s="344">
        <v>0.41</v>
      </c>
      <c r="H174" s="265">
        <v>7.4074074074074068E-3</v>
      </c>
      <c r="I174" s="221">
        <v>5.2534804307853948E-3</v>
      </c>
      <c r="J174" s="265">
        <v>0</v>
      </c>
      <c r="K174" s="221">
        <v>0</v>
      </c>
      <c r="L174" s="221">
        <f t="shared" si="9"/>
        <v>1.7812582085631728E-3</v>
      </c>
      <c r="AH174" s="17"/>
      <c r="AJ174" s="574"/>
    </row>
    <row r="175" spans="2:36" s="7" customFormat="1" ht="15.75">
      <c r="B175" s="503" t="s">
        <v>144</v>
      </c>
      <c r="C175" s="584" t="s">
        <v>449</v>
      </c>
      <c r="D175" s="16">
        <v>15</v>
      </c>
      <c r="E175" s="221">
        <v>3.472222222222222E-3</v>
      </c>
      <c r="F175" s="221">
        <v>6.9444444444444441E-3</v>
      </c>
      <c r="G175" s="344">
        <v>0.41</v>
      </c>
      <c r="H175" s="265">
        <v>1.4814814814814814E-2</v>
      </c>
      <c r="I175" s="221">
        <v>1.050696086157079E-2</v>
      </c>
      <c r="J175" s="265">
        <v>0</v>
      </c>
      <c r="K175" s="221">
        <v>9.0294194904123534E-5</v>
      </c>
      <c r="L175" s="221">
        <f t="shared" si="9"/>
        <v>7.0347386393485676E-3</v>
      </c>
      <c r="AH175" s="17"/>
      <c r="AJ175" s="574"/>
    </row>
    <row r="176" spans="2:36" s="7" customFormat="1" ht="15.75">
      <c r="B176" s="503" t="s">
        <v>144</v>
      </c>
      <c r="C176" s="584" t="s">
        <v>449</v>
      </c>
      <c r="D176" s="16">
        <v>15</v>
      </c>
      <c r="E176" s="221">
        <v>3.472222222222222E-3</v>
      </c>
      <c r="F176" s="221">
        <v>6.9444444444444441E-3</v>
      </c>
      <c r="G176" s="344">
        <v>0.41</v>
      </c>
      <c r="H176" s="265">
        <v>1.4814814814814814E-2</v>
      </c>
      <c r="I176" s="221">
        <v>1.050696086157079E-2</v>
      </c>
      <c r="J176" s="265">
        <v>0</v>
      </c>
      <c r="K176" s="221">
        <v>9.0294194904123534E-5</v>
      </c>
      <c r="L176" s="221">
        <f t="shared" si="9"/>
        <v>7.0347386393485676E-3</v>
      </c>
      <c r="AH176" s="17"/>
      <c r="AJ176" s="574"/>
    </row>
    <row r="177" spans="2:36" s="7" customFormat="1" ht="15.75">
      <c r="B177" s="503" t="s">
        <v>144</v>
      </c>
      <c r="C177" s="584" t="s">
        <v>449</v>
      </c>
      <c r="D177" s="16">
        <v>15</v>
      </c>
      <c r="E177" s="221">
        <v>3.472222222222222E-3</v>
      </c>
      <c r="F177" s="221">
        <v>6.9444444444444441E-3</v>
      </c>
      <c r="G177" s="344">
        <v>0.41</v>
      </c>
      <c r="H177" s="265">
        <v>1.4814814814814814E-2</v>
      </c>
      <c r="I177" s="221">
        <v>1.050696086157079E-2</v>
      </c>
      <c r="J177" s="265">
        <v>0</v>
      </c>
      <c r="K177" s="221">
        <v>9.0294194904123534E-5</v>
      </c>
      <c r="L177" s="221">
        <f t="shared" si="9"/>
        <v>7.0347386393485676E-3</v>
      </c>
      <c r="AH177" s="17"/>
      <c r="AJ177" s="574"/>
    </row>
    <row r="178" spans="2:36" s="7" customFormat="1" ht="15.75">
      <c r="B178" s="503" t="s">
        <v>144</v>
      </c>
      <c r="C178" s="584" t="s">
        <v>610</v>
      </c>
      <c r="D178" s="16">
        <v>15</v>
      </c>
      <c r="E178" s="221">
        <v>3.472222222222222E-3</v>
      </c>
      <c r="F178" s="221">
        <v>6.9444444444444441E-3</v>
      </c>
      <c r="G178" s="344">
        <v>0.41</v>
      </c>
      <c r="H178" s="265">
        <v>1.8518518518518521E-2</v>
      </c>
      <c r="I178" s="221">
        <v>1.313370107696349E-2</v>
      </c>
      <c r="J178" s="265">
        <v>0</v>
      </c>
      <c r="K178" s="221">
        <v>2.7170344102968244E-3</v>
      </c>
      <c r="L178" s="221">
        <f t="shared" si="9"/>
        <v>9.6614788547412685E-3</v>
      </c>
      <c r="AH178" s="17"/>
      <c r="AJ178" s="574"/>
    </row>
    <row r="179" spans="2:36" s="7" customFormat="1" ht="15.75">
      <c r="B179" s="503" t="s">
        <v>144</v>
      </c>
      <c r="C179" s="584" t="s">
        <v>610</v>
      </c>
      <c r="D179" s="16">
        <v>15</v>
      </c>
      <c r="E179" s="221">
        <v>3.472222222222222E-3</v>
      </c>
      <c r="F179" s="221">
        <v>6.9444444444444441E-3</v>
      </c>
      <c r="G179" s="344">
        <v>0.41</v>
      </c>
      <c r="H179" s="265">
        <v>1.8518518518518521E-2</v>
      </c>
      <c r="I179" s="221">
        <v>1.313370107696349E-2</v>
      </c>
      <c r="J179" s="265">
        <v>0</v>
      </c>
      <c r="K179" s="221">
        <v>2.7170344102968244E-3</v>
      </c>
      <c r="L179" s="221">
        <f t="shared" si="9"/>
        <v>9.6614788547412685E-3</v>
      </c>
      <c r="AH179" s="17"/>
      <c r="AJ179" s="574"/>
    </row>
    <row r="180" spans="2:36" s="7" customFormat="1" ht="15.75">
      <c r="B180" s="503" t="s">
        <v>144</v>
      </c>
      <c r="C180" s="584" t="s">
        <v>610</v>
      </c>
      <c r="D180" s="16">
        <v>15</v>
      </c>
      <c r="E180" s="221">
        <v>3.472222222222222E-3</v>
      </c>
      <c r="F180" s="221">
        <v>6.9444444444444441E-3</v>
      </c>
      <c r="G180" s="344">
        <v>0.41</v>
      </c>
      <c r="H180" s="265">
        <v>1.8518518518518521E-2</v>
      </c>
      <c r="I180" s="221">
        <v>1.313370107696349E-2</v>
      </c>
      <c r="J180" s="265">
        <v>0</v>
      </c>
      <c r="K180" s="221">
        <v>2.7170344102968244E-3</v>
      </c>
      <c r="L180" s="221">
        <f t="shared" si="9"/>
        <v>9.6614788547412685E-3</v>
      </c>
      <c r="AH180" s="17"/>
      <c r="AJ180" s="574"/>
    </row>
    <row r="181" spans="2:36" s="7" customFormat="1" ht="15.75">
      <c r="B181" s="503" t="s">
        <v>144</v>
      </c>
      <c r="C181" s="584" t="s">
        <v>664</v>
      </c>
      <c r="D181" s="16">
        <v>15</v>
      </c>
      <c r="E181" s="221">
        <v>3.472222222222222E-3</v>
      </c>
      <c r="F181" s="221">
        <v>6.9444444444444441E-3</v>
      </c>
      <c r="G181" s="344">
        <v>0.41</v>
      </c>
      <c r="H181" s="265">
        <v>1.1574074074074073E-3</v>
      </c>
      <c r="I181" s="221">
        <v>8.2085631731021805E-4</v>
      </c>
      <c r="J181" s="265">
        <v>0</v>
      </c>
      <c r="K181" s="221">
        <v>0</v>
      </c>
      <c r="L181" s="221">
        <f t="shared" si="9"/>
        <v>0</v>
      </c>
      <c r="AH181" s="17"/>
      <c r="AJ181" s="574"/>
    </row>
    <row r="182" spans="2:36" s="7" customFormat="1" ht="15.75">
      <c r="B182" s="503" t="s">
        <v>144</v>
      </c>
      <c r="C182" s="584" t="s">
        <v>664</v>
      </c>
      <c r="D182" s="16">
        <v>15</v>
      </c>
      <c r="E182" s="221">
        <v>3.472222222222222E-3</v>
      </c>
      <c r="F182" s="221">
        <v>6.9444444444444441E-3</v>
      </c>
      <c r="G182" s="344">
        <v>0.41</v>
      </c>
      <c r="H182" s="265">
        <v>1.1574074074074073E-3</v>
      </c>
      <c r="I182" s="221">
        <v>8.2085631731021805E-4</v>
      </c>
      <c r="J182" s="265">
        <v>0</v>
      </c>
      <c r="K182" s="221">
        <v>0</v>
      </c>
      <c r="L182" s="221">
        <f t="shared" si="9"/>
        <v>0</v>
      </c>
      <c r="AH182" s="17"/>
      <c r="AJ182" s="574"/>
    </row>
    <row r="183" spans="2:36" s="7" customFormat="1" ht="15.75">
      <c r="B183" s="503" t="s">
        <v>144</v>
      </c>
      <c r="C183" s="584" t="s">
        <v>664</v>
      </c>
      <c r="D183" s="16">
        <v>15</v>
      </c>
      <c r="E183" s="221">
        <v>3.472222222222222E-3</v>
      </c>
      <c r="F183" s="221">
        <v>6.9444444444444441E-3</v>
      </c>
      <c r="G183" s="344">
        <v>0.41</v>
      </c>
      <c r="H183" s="265">
        <v>1.1574074074074073E-3</v>
      </c>
      <c r="I183" s="221">
        <v>8.2085631731021805E-4</v>
      </c>
      <c r="J183" s="265">
        <v>0</v>
      </c>
      <c r="K183" s="221">
        <v>0</v>
      </c>
      <c r="L183" s="221">
        <f t="shared" si="9"/>
        <v>0</v>
      </c>
      <c r="AH183" s="17"/>
      <c r="AJ183" s="574"/>
    </row>
    <row r="184" spans="2:36" s="7" customFormat="1" ht="15.75">
      <c r="B184" s="503" t="s">
        <v>144</v>
      </c>
      <c r="C184" s="584" t="s">
        <v>213</v>
      </c>
      <c r="D184" s="16">
        <v>15</v>
      </c>
      <c r="E184" s="221">
        <v>3.472222222222222E-3</v>
      </c>
      <c r="F184" s="221">
        <v>6.9444444444444441E-3</v>
      </c>
      <c r="G184" s="344">
        <v>0.41</v>
      </c>
      <c r="H184" s="265">
        <v>2.3148148148148151E-3</v>
      </c>
      <c r="I184" s="221">
        <v>1.6417126346204363E-3</v>
      </c>
      <c r="J184" s="265">
        <v>0</v>
      </c>
      <c r="K184" s="221">
        <v>0</v>
      </c>
      <c r="L184" s="221">
        <f t="shared" ref="L184:L191" si="10">IF(I184-E184-J184&gt;0,I184-E184-J184,0)</f>
        <v>0</v>
      </c>
      <c r="AH184" s="17"/>
      <c r="AJ184" s="574"/>
    </row>
    <row r="185" spans="2:36" s="7" customFormat="1" ht="15.75">
      <c r="B185" s="503" t="s">
        <v>144</v>
      </c>
      <c r="C185" s="584" t="s">
        <v>213</v>
      </c>
      <c r="D185" s="16">
        <v>15</v>
      </c>
      <c r="E185" s="221">
        <v>3.472222222222222E-3</v>
      </c>
      <c r="F185" s="221">
        <v>6.9444444444444441E-3</v>
      </c>
      <c r="G185" s="344">
        <v>0.41</v>
      </c>
      <c r="H185" s="265">
        <v>2.3148148148148151E-3</v>
      </c>
      <c r="I185" s="221">
        <v>1.6417126346204363E-3</v>
      </c>
      <c r="J185" s="265">
        <v>0</v>
      </c>
      <c r="K185" s="221">
        <v>0</v>
      </c>
      <c r="L185" s="221">
        <f t="shared" si="10"/>
        <v>0</v>
      </c>
      <c r="AH185" s="17"/>
      <c r="AJ185" s="574"/>
    </row>
    <row r="186" spans="2:36" s="7" customFormat="1" ht="15.75">
      <c r="B186" s="503" t="s">
        <v>144</v>
      </c>
      <c r="C186" s="584" t="s">
        <v>213</v>
      </c>
      <c r="D186" s="16">
        <v>15</v>
      </c>
      <c r="E186" s="221">
        <v>3.472222222222222E-3</v>
      </c>
      <c r="F186" s="221">
        <v>6.9444444444444441E-3</v>
      </c>
      <c r="G186" s="344">
        <v>0.41</v>
      </c>
      <c r="H186" s="265">
        <v>2.3148148148148151E-3</v>
      </c>
      <c r="I186" s="221">
        <v>1.6417126346204363E-3</v>
      </c>
      <c r="J186" s="265">
        <v>0</v>
      </c>
      <c r="K186" s="221">
        <v>0</v>
      </c>
      <c r="L186" s="221">
        <f t="shared" si="10"/>
        <v>0</v>
      </c>
      <c r="AH186" s="17"/>
      <c r="AJ186" s="574"/>
    </row>
    <row r="187" spans="2:36" s="7" customFormat="1" ht="15.75">
      <c r="B187" s="503" t="s">
        <v>144</v>
      </c>
      <c r="C187" s="584" t="s">
        <v>214</v>
      </c>
      <c r="D187" s="16">
        <v>15</v>
      </c>
      <c r="E187" s="221">
        <v>3.472222222222222E-3</v>
      </c>
      <c r="F187" s="221">
        <v>6.9444444444444441E-3</v>
      </c>
      <c r="G187" s="344">
        <v>0.41</v>
      </c>
      <c r="H187" s="265">
        <v>4.6296296296296302E-3</v>
      </c>
      <c r="I187" s="221">
        <v>3.2834252692408726E-3</v>
      </c>
      <c r="J187" s="265">
        <v>0</v>
      </c>
      <c r="K187" s="221">
        <v>0</v>
      </c>
      <c r="L187" s="221">
        <f t="shared" si="10"/>
        <v>0</v>
      </c>
      <c r="AH187" s="17"/>
      <c r="AJ187" s="574"/>
    </row>
    <row r="188" spans="2:36" s="7" customFormat="1" ht="15.75">
      <c r="B188" s="503" t="s">
        <v>144</v>
      </c>
      <c r="C188" s="584" t="s">
        <v>214</v>
      </c>
      <c r="D188" s="16">
        <v>15</v>
      </c>
      <c r="E188" s="221">
        <v>3.472222222222222E-3</v>
      </c>
      <c r="F188" s="221">
        <v>6.9444444444444441E-3</v>
      </c>
      <c r="G188" s="344">
        <v>0.41</v>
      </c>
      <c r="H188" s="265">
        <v>4.6296296296296302E-3</v>
      </c>
      <c r="I188" s="221">
        <v>3.2834252692408726E-3</v>
      </c>
      <c r="J188" s="265">
        <v>0</v>
      </c>
      <c r="K188" s="221">
        <v>0</v>
      </c>
      <c r="L188" s="221">
        <f t="shared" si="10"/>
        <v>0</v>
      </c>
      <c r="AH188" s="17"/>
      <c r="AJ188" s="574"/>
    </row>
    <row r="189" spans="2:36" s="7" customFormat="1" ht="15.75">
      <c r="B189" s="503" t="s">
        <v>144</v>
      </c>
      <c r="C189" s="584" t="s">
        <v>214</v>
      </c>
      <c r="D189" s="16">
        <v>15</v>
      </c>
      <c r="E189" s="221">
        <v>3.472222222222222E-3</v>
      </c>
      <c r="F189" s="221">
        <v>6.9444444444444441E-3</v>
      </c>
      <c r="G189" s="344">
        <v>0.41</v>
      </c>
      <c r="H189" s="265">
        <v>4.6296296296296302E-3</v>
      </c>
      <c r="I189" s="221">
        <v>3.2834252692408726E-3</v>
      </c>
      <c r="J189" s="265">
        <v>0</v>
      </c>
      <c r="K189" s="221">
        <v>0</v>
      </c>
      <c r="L189" s="221">
        <f t="shared" si="10"/>
        <v>0</v>
      </c>
      <c r="AH189" s="17"/>
      <c r="AJ189" s="574"/>
    </row>
    <row r="190" spans="2:36" s="7" customFormat="1" ht="15.75">
      <c r="B190" s="503" t="s">
        <v>144</v>
      </c>
      <c r="C190" s="584" t="s">
        <v>215</v>
      </c>
      <c r="D190" s="16">
        <v>15</v>
      </c>
      <c r="E190" s="221">
        <v>3.472222222222222E-3</v>
      </c>
      <c r="F190" s="221">
        <v>6.9444444444444441E-3</v>
      </c>
      <c r="G190" s="344">
        <v>0.41</v>
      </c>
      <c r="H190" s="265">
        <v>9.2592592592592605E-3</v>
      </c>
      <c r="I190" s="221">
        <v>6.5668505384817452E-3</v>
      </c>
      <c r="J190" s="265">
        <v>0</v>
      </c>
      <c r="K190" s="221">
        <v>0</v>
      </c>
      <c r="L190" s="221">
        <f t="shared" si="10"/>
        <v>3.0946283162595232E-3</v>
      </c>
      <c r="AH190" s="17"/>
      <c r="AJ190" s="574"/>
    </row>
    <row r="191" spans="2:36" s="7" customFormat="1" ht="15.75">
      <c r="B191" s="503" t="s">
        <v>144</v>
      </c>
      <c r="C191" s="584" t="s">
        <v>659</v>
      </c>
      <c r="D191" s="16">
        <v>15</v>
      </c>
      <c r="E191" s="221">
        <v>3.472222222222222E-3</v>
      </c>
      <c r="F191" s="576">
        <v>7.6388888888888886E-3</v>
      </c>
      <c r="G191" s="344">
        <v>0.41</v>
      </c>
      <c r="H191" s="265">
        <v>0.22222222222222221</v>
      </c>
      <c r="I191" s="221">
        <v>0.15760441292356187</v>
      </c>
      <c r="J191" s="265">
        <v>0</v>
      </c>
      <c r="K191" s="221">
        <v>0.14649330181245077</v>
      </c>
      <c r="L191" s="221">
        <f t="shared" si="10"/>
        <v>0.15413219070133966</v>
      </c>
      <c r="AH191" s="17"/>
      <c r="AJ191" s="574"/>
    </row>
    <row r="192" spans="2:36" s="7" customFormat="1" ht="15.75">
      <c r="B192" s="587" t="s">
        <v>171</v>
      </c>
      <c r="C192" s="583" t="s">
        <v>1258</v>
      </c>
      <c r="D192" s="581">
        <v>16</v>
      </c>
      <c r="E192" s="134">
        <v>3.472222222222222E-3</v>
      </c>
      <c r="F192" s="134">
        <v>7.6388888888888886E-3</v>
      </c>
      <c r="G192" s="338">
        <v>0.41</v>
      </c>
      <c r="H192" s="136" t="s">
        <v>25</v>
      </c>
      <c r="I192" s="134" t="s">
        <v>25</v>
      </c>
      <c r="J192" s="136" t="s">
        <v>25</v>
      </c>
      <c r="K192" s="134" t="s">
        <v>25</v>
      </c>
      <c r="L192" s="589">
        <f>SUMIF($B$5:$B191,"&lt;&gt;"&amp;"Level_Up",L$5:L191)</f>
        <v>0.59712275571528795</v>
      </c>
      <c r="AH192" s="17"/>
      <c r="AJ192" s="574"/>
    </row>
    <row r="193" spans="2:36" s="7" customFormat="1" ht="15.75">
      <c r="B193" s="503" t="s">
        <v>144</v>
      </c>
      <c r="C193" s="584" t="s">
        <v>215</v>
      </c>
      <c r="D193" s="16">
        <v>16</v>
      </c>
      <c r="E193" s="221">
        <v>3.472222222222222E-3</v>
      </c>
      <c r="F193" s="221">
        <v>7.6388888888888886E-3</v>
      </c>
      <c r="G193" s="344">
        <v>0.41</v>
      </c>
      <c r="H193" s="265">
        <v>9.2592592592592605E-3</v>
      </c>
      <c r="I193" s="221">
        <v>6.5668505384817452E-3</v>
      </c>
      <c r="J193" s="265">
        <v>0</v>
      </c>
      <c r="K193" s="221">
        <v>0</v>
      </c>
      <c r="L193" s="221">
        <f t="shared" ref="L193:L202" si="11">IF(I193-E193-J193&gt;0,I193-E193-J193,0)</f>
        <v>3.0946283162595232E-3</v>
      </c>
      <c r="AH193" s="17"/>
      <c r="AJ193" s="574"/>
    </row>
    <row r="194" spans="2:36" s="7" customFormat="1" ht="15.75">
      <c r="B194" s="503" t="s">
        <v>144</v>
      </c>
      <c r="C194" s="584" t="s">
        <v>215</v>
      </c>
      <c r="D194" s="16">
        <v>16</v>
      </c>
      <c r="E194" s="221">
        <v>3.472222222222222E-3</v>
      </c>
      <c r="F194" s="221">
        <v>7.6388888888888886E-3</v>
      </c>
      <c r="G194" s="344">
        <v>0.41</v>
      </c>
      <c r="H194" s="265">
        <v>9.2592592592592605E-3</v>
      </c>
      <c r="I194" s="221">
        <v>6.5668505384817452E-3</v>
      </c>
      <c r="J194" s="265">
        <v>0</v>
      </c>
      <c r="K194" s="221">
        <v>0</v>
      </c>
      <c r="L194" s="221">
        <f t="shared" si="11"/>
        <v>3.0946283162595232E-3</v>
      </c>
      <c r="AH194" s="17"/>
      <c r="AJ194" s="574"/>
    </row>
    <row r="195" spans="2:36" s="7" customFormat="1" ht="15.75">
      <c r="B195" s="503" t="s">
        <v>144</v>
      </c>
      <c r="C195" s="584" t="s">
        <v>759</v>
      </c>
      <c r="D195" s="16">
        <v>16</v>
      </c>
      <c r="E195" s="221">
        <v>3.472222222222222E-3</v>
      </c>
      <c r="F195" s="221">
        <v>7.6388888888888886E-3</v>
      </c>
      <c r="G195" s="344">
        <v>0.41</v>
      </c>
      <c r="H195" s="265">
        <v>1.8518518518518521E-2</v>
      </c>
      <c r="I195" s="221">
        <v>1.313370107696349E-2</v>
      </c>
      <c r="J195" s="265">
        <v>0</v>
      </c>
      <c r="K195" s="221">
        <v>2.0225899658523798E-3</v>
      </c>
      <c r="L195" s="221">
        <f t="shared" si="11"/>
        <v>9.6614788547412685E-3</v>
      </c>
      <c r="AH195" s="17"/>
      <c r="AJ195" s="574"/>
    </row>
    <row r="196" spans="2:36" s="7" customFormat="1" ht="15.75">
      <c r="B196" s="503" t="s">
        <v>144</v>
      </c>
      <c r="C196" s="584" t="s">
        <v>759</v>
      </c>
      <c r="D196" s="16">
        <v>16</v>
      </c>
      <c r="E196" s="221">
        <v>3.472222222222222E-3</v>
      </c>
      <c r="F196" s="221">
        <v>7.6388888888888886E-3</v>
      </c>
      <c r="G196" s="344">
        <v>0.41</v>
      </c>
      <c r="H196" s="265">
        <v>1.8518518518518521E-2</v>
      </c>
      <c r="I196" s="221">
        <v>1.313370107696349E-2</v>
      </c>
      <c r="J196" s="265">
        <v>0</v>
      </c>
      <c r="K196" s="221">
        <v>2.0225899658523798E-3</v>
      </c>
      <c r="L196" s="221">
        <f t="shared" si="11"/>
        <v>9.6614788547412685E-3</v>
      </c>
      <c r="AH196" s="17"/>
      <c r="AJ196" s="574"/>
    </row>
    <row r="197" spans="2:36" s="7" customFormat="1" ht="15.75">
      <c r="B197" s="503" t="s">
        <v>144</v>
      </c>
      <c r="C197" s="584" t="s">
        <v>759</v>
      </c>
      <c r="D197" s="16">
        <v>16</v>
      </c>
      <c r="E197" s="221">
        <v>3.472222222222222E-3</v>
      </c>
      <c r="F197" s="221">
        <v>7.6388888888888886E-3</v>
      </c>
      <c r="G197" s="344">
        <v>0.41</v>
      </c>
      <c r="H197" s="265">
        <v>1.8518518518518521E-2</v>
      </c>
      <c r="I197" s="221">
        <v>1.313370107696349E-2</v>
      </c>
      <c r="J197" s="265">
        <v>0</v>
      </c>
      <c r="K197" s="221">
        <v>2.0225899658523798E-3</v>
      </c>
      <c r="L197" s="221">
        <f t="shared" si="11"/>
        <v>9.6614788547412685E-3</v>
      </c>
      <c r="AH197" s="17"/>
      <c r="AJ197" s="574"/>
    </row>
    <row r="198" spans="2:36" s="7" customFormat="1" ht="15.75">
      <c r="B198" s="503" t="s">
        <v>144</v>
      </c>
      <c r="C198" s="584" t="s">
        <v>765</v>
      </c>
      <c r="D198" s="16">
        <v>16</v>
      </c>
      <c r="E198" s="221">
        <v>3.472222222222222E-3</v>
      </c>
      <c r="F198" s="221">
        <v>7.6388888888888886E-3</v>
      </c>
      <c r="G198" s="344">
        <v>0.41</v>
      </c>
      <c r="H198" s="265">
        <v>4.4444444444444446E-2</v>
      </c>
      <c r="I198" s="221">
        <v>3.1520882584712376E-2</v>
      </c>
      <c r="J198" s="265">
        <v>2.0833333333333332E-2</v>
      </c>
      <c r="K198" s="221">
        <v>0</v>
      </c>
      <c r="L198" s="221">
        <f t="shared" si="11"/>
        <v>7.2153270291568199E-3</v>
      </c>
      <c r="AH198" s="17"/>
      <c r="AJ198" s="574"/>
    </row>
    <row r="199" spans="2:36" s="7" customFormat="1" ht="15.75">
      <c r="B199" s="503" t="s">
        <v>144</v>
      </c>
      <c r="C199" s="584" t="s">
        <v>667</v>
      </c>
      <c r="D199" s="16">
        <v>16</v>
      </c>
      <c r="E199" s="221">
        <v>3.472222222222222E-3</v>
      </c>
      <c r="F199" s="221">
        <v>7.6388888888888886E-3</v>
      </c>
      <c r="G199" s="344">
        <v>0.41</v>
      </c>
      <c r="H199" s="265">
        <v>5.9259259259259262E-2</v>
      </c>
      <c r="I199" s="221">
        <v>4.2027843446283165E-2</v>
      </c>
      <c r="J199" s="265">
        <v>4.1666666666666664E-2</v>
      </c>
      <c r="K199" s="221">
        <v>0</v>
      </c>
      <c r="L199" s="221">
        <f t="shared" si="11"/>
        <v>0</v>
      </c>
      <c r="AH199" s="17"/>
      <c r="AJ199" s="574"/>
    </row>
    <row r="200" spans="2:36" s="7" customFormat="1" ht="15.75">
      <c r="B200" s="503" t="s">
        <v>144</v>
      </c>
      <c r="C200" s="584" t="s">
        <v>668</v>
      </c>
      <c r="D200" s="16">
        <v>16</v>
      </c>
      <c r="E200" s="221">
        <v>3.472222222222222E-3</v>
      </c>
      <c r="F200" s="221">
        <v>7.6388888888888886E-3</v>
      </c>
      <c r="G200" s="344">
        <v>0.41</v>
      </c>
      <c r="H200" s="265">
        <v>5.5555555555555552E-2</v>
      </c>
      <c r="I200" s="221">
        <v>3.9401103230890466E-2</v>
      </c>
      <c r="J200" s="265">
        <v>4.1666666666666664E-2</v>
      </c>
      <c r="K200" s="221">
        <v>0</v>
      </c>
      <c r="L200" s="221">
        <f t="shared" si="11"/>
        <v>0</v>
      </c>
      <c r="AH200" s="17"/>
      <c r="AJ200" s="574"/>
    </row>
    <row r="201" spans="2:36" s="7" customFormat="1" ht="15.75">
      <c r="B201" s="503" t="s">
        <v>144</v>
      </c>
      <c r="C201" s="584" t="s">
        <v>766</v>
      </c>
      <c r="D201" s="16">
        <v>16</v>
      </c>
      <c r="E201" s="221">
        <v>3.472222222222222E-3</v>
      </c>
      <c r="F201" s="221">
        <v>7.6388888888888886E-3</v>
      </c>
      <c r="G201" s="344">
        <v>0.41</v>
      </c>
      <c r="H201" s="265">
        <v>7.7777777777777779E-2</v>
      </c>
      <c r="I201" s="221">
        <v>5.5161544523246654E-2</v>
      </c>
      <c r="J201" s="265">
        <v>4.1666666666666664E-2</v>
      </c>
      <c r="K201" s="221">
        <v>2.3837667454688766E-3</v>
      </c>
      <c r="L201" s="221">
        <f t="shared" si="11"/>
        <v>1.0022655634357766E-2</v>
      </c>
      <c r="AH201" s="17"/>
      <c r="AJ201" s="574"/>
    </row>
    <row r="202" spans="2:36" s="7" customFormat="1" ht="15.75">
      <c r="B202" s="503" t="s">
        <v>144</v>
      </c>
      <c r="C202" s="584" t="s">
        <v>767</v>
      </c>
      <c r="D202" s="16">
        <v>16</v>
      </c>
      <c r="E202" s="221">
        <v>3.472222222222222E-3</v>
      </c>
      <c r="F202" s="221">
        <v>7.6388888888888886E-3</v>
      </c>
      <c r="G202" s="344">
        <v>0.41</v>
      </c>
      <c r="H202" s="265">
        <v>7.407407407407407E-2</v>
      </c>
      <c r="I202" s="221">
        <v>5.2534804307853955E-2</v>
      </c>
      <c r="J202" s="265">
        <v>0</v>
      </c>
      <c r="K202" s="221">
        <v>4.1423693196742842E-2</v>
      </c>
      <c r="L202" s="221">
        <f t="shared" si="11"/>
        <v>4.9062582085631731E-2</v>
      </c>
      <c r="AH202" s="17"/>
      <c r="AJ202" s="574"/>
    </row>
    <row r="203" spans="2:36" s="7" customFormat="1" ht="15.75">
      <c r="B203" s="587" t="s">
        <v>171</v>
      </c>
      <c r="C203" s="583" t="s">
        <v>1259</v>
      </c>
      <c r="D203" s="581">
        <v>17</v>
      </c>
      <c r="E203" s="134">
        <v>3.472222222222222E-3</v>
      </c>
      <c r="F203" s="134">
        <v>7.6388888888888886E-3</v>
      </c>
      <c r="G203" s="338">
        <v>0.41</v>
      </c>
      <c r="H203" s="136" t="s">
        <v>25</v>
      </c>
      <c r="I203" s="134" t="s">
        <v>25</v>
      </c>
      <c r="J203" s="136" t="s">
        <v>25</v>
      </c>
      <c r="K203" s="134" t="s">
        <v>25</v>
      </c>
      <c r="L203" s="589">
        <f>SUMIF($B$5:$B202,"&lt;&gt;"&amp;"Level_Up",L$5:L202)</f>
        <v>0.69859701366117699</v>
      </c>
      <c r="AH203" s="17"/>
      <c r="AJ203" s="574"/>
    </row>
    <row r="204" spans="2:36" s="7" customFormat="1" ht="15.75">
      <c r="B204" s="503" t="s">
        <v>144</v>
      </c>
      <c r="C204" s="584" t="s">
        <v>609</v>
      </c>
      <c r="D204" s="16">
        <v>17</v>
      </c>
      <c r="E204" s="221">
        <v>3.472222222222222E-3</v>
      </c>
      <c r="F204" s="221">
        <v>7.6388888888888886E-3</v>
      </c>
      <c r="G204" s="344">
        <v>0.41</v>
      </c>
      <c r="H204" s="265">
        <v>2.2222222222222223E-2</v>
      </c>
      <c r="I204" s="221">
        <v>1.5760441292356188E-2</v>
      </c>
      <c r="J204" s="265">
        <v>0</v>
      </c>
      <c r="K204" s="221">
        <v>4.6493301812450772E-3</v>
      </c>
      <c r="L204" s="221">
        <f t="shared" ref="L204:L250" si="12">IF(I204-E204-J204&gt;0,I204-E204-J204,0)</f>
        <v>1.2288219070133966E-2</v>
      </c>
      <c r="AH204" s="17"/>
      <c r="AJ204" s="574"/>
    </row>
    <row r="205" spans="2:36" s="7" customFormat="1" ht="15.75">
      <c r="B205" s="503" t="s">
        <v>144</v>
      </c>
      <c r="C205" s="584" t="s">
        <v>609</v>
      </c>
      <c r="D205" s="16">
        <v>17</v>
      </c>
      <c r="E205" s="221">
        <v>3.472222222222222E-3</v>
      </c>
      <c r="F205" s="221">
        <v>7.6388888888888886E-3</v>
      </c>
      <c r="G205" s="344">
        <v>0.41</v>
      </c>
      <c r="H205" s="265">
        <v>2.2222222222222223E-2</v>
      </c>
      <c r="I205" s="221">
        <v>1.5760441292356188E-2</v>
      </c>
      <c r="J205" s="265">
        <v>6.9444444444444447E-4</v>
      </c>
      <c r="K205" s="221">
        <v>3.9548857368006327E-3</v>
      </c>
      <c r="L205" s="221">
        <f t="shared" si="12"/>
        <v>1.1593774625689522E-2</v>
      </c>
      <c r="AH205" s="17"/>
      <c r="AJ205" s="574"/>
    </row>
    <row r="206" spans="2:36" s="7" customFormat="1" ht="15.75">
      <c r="B206" s="503" t="s">
        <v>144</v>
      </c>
      <c r="C206" s="584" t="s">
        <v>609</v>
      </c>
      <c r="D206" s="16">
        <v>17</v>
      </c>
      <c r="E206" s="221">
        <v>3.472222222222222E-3</v>
      </c>
      <c r="F206" s="221">
        <v>7.6388888888888886E-3</v>
      </c>
      <c r="G206" s="344">
        <v>0.41</v>
      </c>
      <c r="H206" s="265">
        <v>2.2222222222222223E-2</v>
      </c>
      <c r="I206" s="221">
        <v>1.5760441292356188E-2</v>
      </c>
      <c r="J206" s="265">
        <v>0</v>
      </c>
      <c r="K206" s="221">
        <v>4.6493301812450772E-3</v>
      </c>
      <c r="L206" s="221">
        <f t="shared" si="12"/>
        <v>1.2288219070133966E-2</v>
      </c>
      <c r="AH206" s="17"/>
      <c r="AJ206" s="574"/>
    </row>
    <row r="207" spans="2:36" s="7" customFormat="1" ht="15.75">
      <c r="B207" s="503" t="s">
        <v>144</v>
      </c>
      <c r="C207" s="584" t="s">
        <v>633</v>
      </c>
      <c r="D207" s="16">
        <v>17</v>
      </c>
      <c r="E207" s="221">
        <v>3.472222222222222E-3</v>
      </c>
      <c r="F207" s="221">
        <v>7.6388888888888886E-3</v>
      </c>
      <c r="G207" s="344">
        <v>0.41</v>
      </c>
      <c r="H207" s="265">
        <v>2.6041666666666668E-2</v>
      </c>
      <c r="I207" s="221">
        <v>1.8469267139479908E-2</v>
      </c>
      <c r="J207" s="265">
        <v>2.0833333333333333E-3</v>
      </c>
      <c r="K207" s="221">
        <v>5.2748226950354634E-3</v>
      </c>
      <c r="L207" s="221">
        <f t="shared" si="12"/>
        <v>1.2913711583924353E-2</v>
      </c>
      <c r="AH207" s="17"/>
      <c r="AJ207" s="574"/>
    </row>
    <row r="208" spans="2:36" s="7" customFormat="1" ht="15.75">
      <c r="B208" s="503" t="s">
        <v>144</v>
      </c>
      <c r="C208" s="584" t="s">
        <v>633</v>
      </c>
      <c r="D208" s="16">
        <v>17</v>
      </c>
      <c r="E208" s="221">
        <v>3.472222222222222E-3</v>
      </c>
      <c r="F208" s="221">
        <v>7.6388888888888886E-3</v>
      </c>
      <c r="G208" s="344">
        <v>0.41</v>
      </c>
      <c r="H208" s="265">
        <v>2.6041666666666668E-2</v>
      </c>
      <c r="I208" s="221">
        <v>1.8469267139479908E-2</v>
      </c>
      <c r="J208" s="265">
        <v>0</v>
      </c>
      <c r="K208" s="221">
        <v>7.3581560283687971E-3</v>
      </c>
      <c r="L208" s="221">
        <f t="shared" si="12"/>
        <v>1.4997044917257686E-2</v>
      </c>
      <c r="AH208" s="17"/>
      <c r="AJ208" s="574"/>
    </row>
    <row r="209" spans="2:36" s="7" customFormat="1" ht="15.75">
      <c r="B209" s="503" t="s">
        <v>144</v>
      </c>
      <c r="C209" s="584" t="s">
        <v>16</v>
      </c>
      <c r="D209" s="16">
        <v>17</v>
      </c>
      <c r="E209" s="221">
        <v>3.472222222222222E-3</v>
      </c>
      <c r="F209" s="221">
        <v>7.6388888888888886E-3</v>
      </c>
      <c r="G209" s="344">
        <v>0.41</v>
      </c>
      <c r="H209" s="265">
        <v>6.9444444444444447E-4</v>
      </c>
      <c r="I209" s="221">
        <v>4.9251379038613087E-4</v>
      </c>
      <c r="J209" s="265">
        <v>0</v>
      </c>
      <c r="K209" s="221">
        <v>0</v>
      </c>
      <c r="L209" s="221">
        <f t="shared" si="12"/>
        <v>0</v>
      </c>
      <c r="AH209" s="17"/>
      <c r="AJ209" s="574"/>
    </row>
    <row r="210" spans="2:36" s="7" customFormat="1" ht="15.75">
      <c r="B210" s="503" t="s">
        <v>144</v>
      </c>
      <c r="C210" s="584" t="s">
        <v>16</v>
      </c>
      <c r="D210" s="16">
        <v>17</v>
      </c>
      <c r="E210" s="221">
        <v>3.472222222222222E-3</v>
      </c>
      <c r="F210" s="221">
        <v>7.6388888888888886E-3</v>
      </c>
      <c r="G210" s="344">
        <v>0.41</v>
      </c>
      <c r="H210" s="265">
        <v>6.9444444444444447E-4</v>
      </c>
      <c r="I210" s="221">
        <v>4.9251379038613087E-4</v>
      </c>
      <c r="J210" s="265">
        <v>0</v>
      </c>
      <c r="K210" s="221">
        <v>0</v>
      </c>
      <c r="L210" s="221">
        <f t="shared" si="12"/>
        <v>0</v>
      </c>
      <c r="AH210" s="17"/>
      <c r="AJ210" s="574"/>
    </row>
    <row r="211" spans="2:36" s="7" customFormat="1" ht="15.75">
      <c r="B211" s="503" t="s">
        <v>144</v>
      </c>
      <c r="C211" s="584" t="s">
        <v>16</v>
      </c>
      <c r="D211" s="16">
        <v>17</v>
      </c>
      <c r="E211" s="221">
        <v>3.472222222222222E-3</v>
      </c>
      <c r="F211" s="221">
        <v>7.6388888888888886E-3</v>
      </c>
      <c r="G211" s="344">
        <v>0.41</v>
      </c>
      <c r="H211" s="265">
        <v>6.9444444444444447E-4</v>
      </c>
      <c r="I211" s="221">
        <v>4.9251379038613087E-4</v>
      </c>
      <c r="J211" s="265">
        <v>0</v>
      </c>
      <c r="K211" s="221">
        <v>0</v>
      </c>
      <c r="L211" s="221">
        <f t="shared" si="12"/>
        <v>0</v>
      </c>
      <c r="AH211" s="17"/>
      <c r="AJ211" s="574"/>
    </row>
    <row r="212" spans="2:36" s="7" customFormat="1" ht="15.75">
      <c r="B212" s="503" t="s">
        <v>144</v>
      </c>
      <c r="C212" s="584" t="s">
        <v>30</v>
      </c>
      <c r="D212" s="16">
        <v>17</v>
      </c>
      <c r="E212" s="221">
        <v>3.472222222222222E-3</v>
      </c>
      <c r="F212" s="221">
        <v>7.6388888888888886E-3</v>
      </c>
      <c r="G212" s="344">
        <v>0.41</v>
      </c>
      <c r="H212" s="265">
        <v>1.1574074074074073E-3</v>
      </c>
      <c r="I212" s="221">
        <v>8.2085631731021805E-4</v>
      </c>
      <c r="J212" s="265">
        <v>0</v>
      </c>
      <c r="K212" s="221">
        <v>0</v>
      </c>
      <c r="L212" s="221">
        <f t="shared" si="12"/>
        <v>0</v>
      </c>
      <c r="AH212" s="17"/>
      <c r="AJ212" s="574"/>
    </row>
    <row r="213" spans="2:36" s="7" customFormat="1" ht="15.75">
      <c r="B213" s="503" t="s">
        <v>144</v>
      </c>
      <c r="C213" s="584" t="s">
        <v>30</v>
      </c>
      <c r="D213" s="16">
        <v>17</v>
      </c>
      <c r="E213" s="221">
        <v>3.472222222222222E-3</v>
      </c>
      <c r="F213" s="221">
        <v>7.6388888888888886E-3</v>
      </c>
      <c r="G213" s="344">
        <v>0.41</v>
      </c>
      <c r="H213" s="265">
        <v>1.1574074074074073E-3</v>
      </c>
      <c r="I213" s="221">
        <v>8.2085631731021805E-4</v>
      </c>
      <c r="J213" s="265">
        <v>0</v>
      </c>
      <c r="K213" s="221">
        <v>0</v>
      </c>
      <c r="L213" s="221">
        <f t="shared" si="12"/>
        <v>0</v>
      </c>
      <c r="AH213" s="17"/>
      <c r="AJ213" s="574"/>
    </row>
    <row r="214" spans="2:36" s="7" customFormat="1" ht="15.75">
      <c r="B214" s="503" t="s">
        <v>144</v>
      </c>
      <c r="C214" s="584" t="s">
        <v>30</v>
      </c>
      <c r="D214" s="16">
        <v>17</v>
      </c>
      <c r="E214" s="221">
        <v>3.472222222222222E-3</v>
      </c>
      <c r="F214" s="221">
        <v>7.6388888888888886E-3</v>
      </c>
      <c r="G214" s="344">
        <v>0.41</v>
      </c>
      <c r="H214" s="265">
        <v>1.1574074074074073E-3</v>
      </c>
      <c r="I214" s="221">
        <v>8.2085631731021805E-4</v>
      </c>
      <c r="J214" s="265">
        <v>0</v>
      </c>
      <c r="K214" s="221">
        <v>0</v>
      </c>
      <c r="L214" s="221">
        <f t="shared" si="12"/>
        <v>0</v>
      </c>
      <c r="AH214" s="17"/>
      <c r="AJ214" s="574"/>
    </row>
    <row r="215" spans="2:36" s="7" customFormat="1" ht="15.75">
      <c r="B215" s="503" t="s">
        <v>144</v>
      </c>
      <c r="C215" s="584" t="s">
        <v>629</v>
      </c>
      <c r="D215" s="16">
        <v>17</v>
      </c>
      <c r="E215" s="221">
        <v>3.472222222222222E-3</v>
      </c>
      <c r="F215" s="221">
        <v>7.6388888888888886E-3</v>
      </c>
      <c r="G215" s="344">
        <v>0.41</v>
      </c>
      <c r="H215" s="265">
        <v>2.3148148148148151E-3</v>
      </c>
      <c r="I215" s="221">
        <v>1.6417126346204363E-3</v>
      </c>
      <c r="J215" s="265">
        <v>0</v>
      </c>
      <c r="K215" s="221">
        <v>0</v>
      </c>
      <c r="L215" s="221">
        <f t="shared" si="12"/>
        <v>0</v>
      </c>
      <c r="AH215" s="17"/>
      <c r="AJ215" s="574"/>
    </row>
    <row r="216" spans="2:36" s="7" customFormat="1" ht="15.75">
      <c r="B216" s="503" t="s">
        <v>144</v>
      </c>
      <c r="C216" s="584" t="s">
        <v>629</v>
      </c>
      <c r="D216" s="16">
        <v>17</v>
      </c>
      <c r="E216" s="221">
        <v>3.472222222222222E-3</v>
      </c>
      <c r="F216" s="221">
        <v>7.6388888888888886E-3</v>
      </c>
      <c r="G216" s="344">
        <v>0.41</v>
      </c>
      <c r="H216" s="265">
        <v>2.3148148148148151E-3</v>
      </c>
      <c r="I216" s="221">
        <v>1.6417126346204363E-3</v>
      </c>
      <c r="J216" s="265">
        <v>0</v>
      </c>
      <c r="K216" s="221">
        <v>0</v>
      </c>
      <c r="L216" s="221">
        <f t="shared" si="12"/>
        <v>0</v>
      </c>
      <c r="AH216" s="17"/>
      <c r="AJ216" s="574"/>
    </row>
    <row r="217" spans="2:36" s="7" customFormat="1" ht="15.75">
      <c r="B217" s="503" t="s">
        <v>144</v>
      </c>
      <c r="C217" s="584" t="s">
        <v>629</v>
      </c>
      <c r="D217" s="16">
        <v>17</v>
      </c>
      <c r="E217" s="221">
        <v>3.472222222222222E-3</v>
      </c>
      <c r="F217" s="221">
        <v>7.6388888888888886E-3</v>
      </c>
      <c r="G217" s="344">
        <v>0.41</v>
      </c>
      <c r="H217" s="265">
        <v>2.3148148148148151E-3</v>
      </c>
      <c r="I217" s="221">
        <v>1.6417126346204363E-3</v>
      </c>
      <c r="J217" s="265">
        <v>0</v>
      </c>
      <c r="K217" s="221">
        <v>0</v>
      </c>
      <c r="L217" s="221">
        <f t="shared" si="12"/>
        <v>0</v>
      </c>
      <c r="AH217" s="17"/>
      <c r="AJ217" s="574"/>
    </row>
    <row r="218" spans="2:36" s="7" customFormat="1" ht="15.75">
      <c r="B218" s="503" t="s">
        <v>144</v>
      </c>
      <c r="C218" s="584" t="s">
        <v>630</v>
      </c>
      <c r="D218" s="16">
        <v>17</v>
      </c>
      <c r="E218" s="221">
        <v>3.472222222222222E-3</v>
      </c>
      <c r="F218" s="221">
        <v>7.6388888888888886E-3</v>
      </c>
      <c r="G218" s="344">
        <v>0.41</v>
      </c>
      <c r="H218" s="265">
        <v>4.6296296296296302E-3</v>
      </c>
      <c r="I218" s="221">
        <v>3.2834252692408726E-3</v>
      </c>
      <c r="J218" s="265">
        <v>0</v>
      </c>
      <c r="K218" s="221">
        <v>0</v>
      </c>
      <c r="L218" s="221">
        <f t="shared" si="12"/>
        <v>0</v>
      </c>
      <c r="AH218" s="17"/>
      <c r="AJ218" s="574"/>
    </row>
    <row r="219" spans="2:36" s="7" customFormat="1" ht="15.75">
      <c r="B219" s="503" t="s">
        <v>144</v>
      </c>
      <c r="C219" s="584" t="s">
        <v>630</v>
      </c>
      <c r="D219" s="16">
        <v>17</v>
      </c>
      <c r="E219" s="221">
        <v>3.472222222222222E-3</v>
      </c>
      <c r="F219" s="221">
        <v>7.6388888888888886E-3</v>
      </c>
      <c r="G219" s="344">
        <v>0.41</v>
      </c>
      <c r="H219" s="265">
        <v>4.6296296296296302E-3</v>
      </c>
      <c r="I219" s="221">
        <v>3.2834252692408726E-3</v>
      </c>
      <c r="J219" s="265">
        <v>0</v>
      </c>
      <c r="K219" s="221">
        <v>0</v>
      </c>
      <c r="L219" s="221">
        <f t="shared" si="12"/>
        <v>0</v>
      </c>
      <c r="AH219" s="17"/>
      <c r="AJ219" s="574"/>
    </row>
    <row r="220" spans="2:36" s="7" customFormat="1" ht="15.75">
      <c r="B220" s="503" t="s">
        <v>144</v>
      </c>
      <c r="C220" s="584" t="s">
        <v>630</v>
      </c>
      <c r="D220" s="16">
        <v>17</v>
      </c>
      <c r="E220" s="221">
        <v>3.472222222222222E-3</v>
      </c>
      <c r="F220" s="221">
        <v>7.6388888888888886E-3</v>
      </c>
      <c r="G220" s="344">
        <v>0.41</v>
      </c>
      <c r="H220" s="265">
        <v>4.6296296296296302E-3</v>
      </c>
      <c r="I220" s="221">
        <v>3.2834252692408726E-3</v>
      </c>
      <c r="J220" s="265">
        <v>0</v>
      </c>
      <c r="K220" s="221">
        <v>0</v>
      </c>
      <c r="L220" s="221">
        <f t="shared" si="12"/>
        <v>0</v>
      </c>
      <c r="AH220" s="17"/>
      <c r="AJ220" s="574"/>
    </row>
    <row r="221" spans="2:36" s="7" customFormat="1" ht="15.75">
      <c r="B221" s="503" t="s">
        <v>144</v>
      </c>
      <c r="C221" s="584" t="s">
        <v>631</v>
      </c>
      <c r="D221" s="16">
        <v>17</v>
      </c>
      <c r="E221" s="221">
        <v>3.472222222222222E-3</v>
      </c>
      <c r="F221" s="221">
        <v>7.6388888888888886E-3</v>
      </c>
      <c r="G221" s="344">
        <v>0.41</v>
      </c>
      <c r="H221" s="265">
        <v>9.2592592592592605E-3</v>
      </c>
      <c r="I221" s="221">
        <v>6.5668505384817452E-3</v>
      </c>
      <c r="J221" s="265">
        <v>0</v>
      </c>
      <c r="K221" s="221">
        <v>0</v>
      </c>
      <c r="L221" s="221">
        <f t="shared" si="12"/>
        <v>3.0946283162595232E-3</v>
      </c>
      <c r="AH221" s="17"/>
      <c r="AJ221" s="574"/>
    </row>
    <row r="222" spans="2:36" s="7" customFormat="1" ht="15.75">
      <c r="B222" s="503" t="s">
        <v>144</v>
      </c>
      <c r="C222" s="584" t="s">
        <v>631</v>
      </c>
      <c r="D222" s="16">
        <v>17</v>
      </c>
      <c r="E222" s="221">
        <v>3.472222222222222E-3</v>
      </c>
      <c r="F222" s="221">
        <v>7.6388888888888886E-3</v>
      </c>
      <c r="G222" s="344">
        <v>0.41</v>
      </c>
      <c r="H222" s="265">
        <v>9.2592592592592605E-3</v>
      </c>
      <c r="I222" s="221">
        <v>6.5668505384817452E-3</v>
      </c>
      <c r="J222" s="265">
        <v>0</v>
      </c>
      <c r="K222" s="221">
        <v>0</v>
      </c>
      <c r="L222" s="221">
        <f t="shared" si="12"/>
        <v>3.0946283162595232E-3</v>
      </c>
      <c r="AH222" s="17"/>
      <c r="AJ222" s="574"/>
    </row>
    <row r="223" spans="2:36" s="7" customFormat="1" ht="15.75">
      <c r="B223" s="503" t="s">
        <v>144</v>
      </c>
      <c r="C223" s="584" t="s">
        <v>631</v>
      </c>
      <c r="D223" s="16">
        <v>17</v>
      </c>
      <c r="E223" s="221">
        <v>3.472222222222222E-3</v>
      </c>
      <c r="F223" s="221">
        <v>7.6388888888888886E-3</v>
      </c>
      <c r="G223" s="344">
        <v>0.41</v>
      </c>
      <c r="H223" s="265">
        <v>9.2592592592592605E-3</v>
      </c>
      <c r="I223" s="221">
        <v>6.5668505384817452E-3</v>
      </c>
      <c r="J223" s="265">
        <v>0</v>
      </c>
      <c r="K223" s="221">
        <v>0</v>
      </c>
      <c r="L223" s="221">
        <f t="shared" si="12"/>
        <v>3.0946283162595232E-3</v>
      </c>
      <c r="AH223" s="17"/>
      <c r="AJ223" s="574"/>
    </row>
    <row r="224" spans="2:36" s="7" customFormat="1" ht="15.75">
      <c r="B224" s="503" t="s">
        <v>144</v>
      </c>
      <c r="C224" s="584" t="s">
        <v>610</v>
      </c>
      <c r="D224" s="16">
        <v>17</v>
      </c>
      <c r="E224" s="221">
        <v>3.472222222222222E-3</v>
      </c>
      <c r="F224" s="221">
        <v>7.6388888888888886E-3</v>
      </c>
      <c r="G224" s="344">
        <v>0.41</v>
      </c>
      <c r="H224" s="265">
        <v>1.8518518518518521E-2</v>
      </c>
      <c r="I224" s="221">
        <v>1.313370107696349E-2</v>
      </c>
      <c r="J224" s="265">
        <v>0</v>
      </c>
      <c r="K224" s="221">
        <v>2.0225899658523798E-3</v>
      </c>
      <c r="L224" s="221">
        <f t="shared" si="12"/>
        <v>9.6614788547412685E-3</v>
      </c>
      <c r="AH224" s="17"/>
      <c r="AJ224" s="574"/>
    </row>
    <row r="225" spans="2:36" s="7" customFormat="1" ht="15.75">
      <c r="B225" s="503" t="s">
        <v>144</v>
      </c>
      <c r="C225" s="584" t="s">
        <v>174</v>
      </c>
      <c r="D225" s="16">
        <v>17</v>
      </c>
      <c r="E225" s="221">
        <v>3.472222222222222E-3</v>
      </c>
      <c r="F225" s="221">
        <v>7.6388888888888886E-3</v>
      </c>
      <c r="G225" s="344">
        <v>0.41</v>
      </c>
      <c r="H225" s="265">
        <v>6.9444444444444447E-4</v>
      </c>
      <c r="I225" s="221">
        <v>4.9251379038613087E-4</v>
      </c>
      <c r="J225" s="265">
        <v>0</v>
      </c>
      <c r="K225" s="221">
        <v>0</v>
      </c>
      <c r="L225" s="221">
        <f t="shared" si="12"/>
        <v>0</v>
      </c>
      <c r="AH225" s="17"/>
      <c r="AJ225" s="574"/>
    </row>
    <row r="226" spans="2:36" s="7" customFormat="1" ht="15.75">
      <c r="B226" s="503" t="s">
        <v>144</v>
      </c>
      <c r="C226" s="584" t="s">
        <v>663</v>
      </c>
      <c r="D226" s="16">
        <v>17</v>
      </c>
      <c r="E226" s="221">
        <v>3.472222222222222E-3</v>
      </c>
      <c r="F226" s="221">
        <v>7.6388888888888886E-3</v>
      </c>
      <c r="G226" s="344">
        <v>0.41</v>
      </c>
      <c r="H226" s="265">
        <v>1.6203703703703703E-3</v>
      </c>
      <c r="I226" s="221">
        <v>1.1491988442343052E-3</v>
      </c>
      <c r="J226" s="265">
        <v>0</v>
      </c>
      <c r="K226" s="221">
        <v>0</v>
      </c>
      <c r="L226" s="221">
        <f t="shared" si="12"/>
        <v>0</v>
      </c>
      <c r="AH226" s="17"/>
      <c r="AJ226" s="574"/>
    </row>
    <row r="227" spans="2:36" s="7" customFormat="1" ht="15.75">
      <c r="B227" s="503" t="s">
        <v>144</v>
      </c>
      <c r="C227" s="584" t="s">
        <v>408</v>
      </c>
      <c r="D227" s="16">
        <v>17</v>
      </c>
      <c r="E227" s="221">
        <v>3.472222222222222E-3</v>
      </c>
      <c r="F227" s="221">
        <v>7.6388888888888886E-3</v>
      </c>
      <c r="G227" s="344">
        <v>0.41</v>
      </c>
      <c r="H227" s="265">
        <v>3.2407407407407406E-3</v>
      </c>
      <c r="I227" s="221">
        <v>2.2983976884686104E-3</v>
      </c>
      <c r="J227" s="265">
        <v>0</v>
      </c>
      <c r="K227" s="221">
        <v>0</v>
      </c>
      <c r="L227" s="221">
        <f t="shared" si="12"/>
        <v>0</v>
      </c>
      <c r="AH227" s="17"/>
      <c r="AJ227" s="574"/>
    </row>
    <row r="228" spans="2:36" s="7" customFormat="1" ht="15.75">
      <c r="B228" s="503" t="s">
        <v>144</v>
      </c>
      <c r="C228" s="584" t="s">
        <v>429</v>
      </c>
      <c r="D228" s="16">
        <v>17</v>
      </c>
      <c r="E228" s="221">
        <v>3.472222222222222E-3</v>
      </c>
      <c r="F228" s="221">
        <v>7.6388888888888886E-3</v>
      </c>
      <c r="G228" s="344">
        <v>0.41</v>
      </c>
      <c r="H228" s="265">
        <v>6.4814814814814813E-3</v>
      </c>
      <c r="I228" s="221">
        <v>4.5967953769372209E-3</v>
      </c>
      <c r="J228" s="265">
        <v>0</v>
      </c>
      <c r="K228" s="221">
        <v>0</v>
      </c>
      <c r="L228" s="221">
        <f t="shared" si="12"/>
        <v>1.1245731547149989E-3</v>
      </c>
      <c r="AH228" s="17"/>
      <c r="AJ228" s="574"/>
    </row>
    <row r="229" spans="2:36" s="7" customFormat="1" ht="15.75">
      <c r="B229" s="503" t="s">
        <v>144</v>
      </c>
      <c r="C229" s="584" t="s">
        <v>430</v>
      </c>
      <c r="D229" s="16">
        <v>17</v>
      </c>
      <c r="E229" s="221">
        <v>3.472222222222222E-3</v>
      </c>
      <c r="F229" s="221">
        <v>7.6388888888888886E-3</v>
      </c>
      <c r="G229" s="344">
        <v>0.41</v>
      </c>
      <c r="H229" s="265">
        <v>1.2962962962962963E-2</v>
      </c>
      <c r="I229" s="221">
        <v>9.1935907538744418E-3</v>
      </c>
      <c r="J229" s="265">
        <v>0</v>
      </c>
      <c r="K229" s="221">
        <v>0</v>
      </c>
      <c r="L229" s="221">
        <f t="shared" si="12"/>
        <v>5.7213685316522198E-3</v>
      </c>
      <c r="AH229" s="17"/>
      <c r="AJ229" s="574"/>
    </row>
    <row r="230" spans="2:36" s="7" customFormat="1" ht="15.75">
      <c r="B230" s="503" t="s">
        <v>144</v>
      </c>
      <c r="C230" s="584" t="s">
        <v>26</v>
      </c>
      <c r="D230" s="16">
        <v>17</v>
      </c>
      <c r="E230" s="221">
        <v>3.472222222222222E-3</v>
      </c>
      <c r="F230" s="221">
        <v>7.6388888888888886E-3</v>
      </c>
      <c r="G230" s="344">
        <v>0.41</v>
      </c>
      <c r="H230" s="265">
        <v>6.9444444444444447E-4</v>
      </c>
      <c r="I230" s="221">
        <v>4.9251379038613087E-4</v>
      </c>
      <c r="J230" s="265">
        <v>0</v>
      </c>
      <c r="K230" s="221">
        <v>0</v>
      </c>
      <c r="L230" s="221">
        <f t="shared" si="12"/>
        <v>0</v>
      </c>
      <c r="AH230" s="17"/>
      <c r="AJ230" s="574"/>
    </row>
    <row r="231" spans="2:36" s="7" customFormat="1" ht="15.75">
      <c r="B231" s="503" t="s">
        <v>144</v>
      </c>
      <c r="C231" s="584" t="s">
        <v>776</v>
      </c>
      <c r="D231" s="16">
        <v>17</v>
      </c>
      <c r="E231" s="221">
        <v>3.472222222222222E-3</v>
      </c>
      <c r="F231" s="221">
        <v>7.6388888888888886E-3</v>
      </c>
      <c r="G231" s="344">
        <v>0.41</v>
      </c>
      <c r="H231" s="265">
        <v>1.3888888888888889E-3</v>
      </c>
      <c r="I231" s="221">
        <v>9.8502758077226174E-4</v>
      </c>
      <c r="J231" s="265">
        <v>0</v>
      </c>
      <c r="K231" s="221">
        <v>0</v>
      </c>
      <c r="L231" s="221">
        <f t="shared" si="12"/>
        <v>0</v>
      </c>
      <c r="AH231" s="17"/>
      <c r="AJ231" s="574"/>
    </row>
    <row r="232" spans="2:36" s="7" customFormat="1" ht="15.75">
      <c r="B232" s="503" t="s">
        <v>144</v>
      </c>
      <c r="C232" s="584" t="s">
        <v>410</v>
      </c>
      <c r="D232" s="16">
        <v>17</v>
      </c>
      <c r="E232" s="221">
        <v>3.472222222222222E-3</v>
      </c>
      <c r="F232" s="221">
        <v>7.6388888888888886E-3</v>
      </c>
      <c r="G232" s="344">
        <v>0.41</v>
      </c>
      <c r="H232" s="265">
        <v>2.7777777777777779E-3</v>
      </c>
      <c r="I232" s="221">
        <v>1.9700551615445235E-3</v>
      </c>
      <c r="J232" s="265">
        <v>0</v>
      </c>
      <c r="K232" s="221">
        <v>0</v>
      </c>
      <c r="L232" s="221">
        <f t="shared" si="12"/>
        <v>0</v>
      </c>
      <c r="AH232" s="17"/>
      <c r="AJ232" s="574"/>
    </row>
    <row r="233" spans="2:36" s="7" customFormat="1" ht="15.75">
      <c r="B233" s="503" t="s">
        <v>144</v>
      </c>
      <c r="C233" s="584" t="s">
        <v>411</v>
      </c>
      <c r="D233" s="16">
        <v>17</v>
      </c>
      <c r="E233" s="221">
        <v>3.472222222222222E-3</v>
      </c>
      <c r="F233" s="221">
        <v>7.6388888888888886E-3</v>
      </c>
      <c r="G233" s="344">
        <v>0.41</v>
      </c>
      <c r="H233" s="265">
        <v>5.5555555555555558E-3</v>
      </c>
      <c r="I233" s="221">
        <v>3.940110323089047E-3</v>
      </c>
      <c r="J233" s="265">
        <v>0</v>
      </c>
      <c r="K233" s="221">
        <v>0</v>
      </c>
      <c r="L233" s="221">
        <f t="shared" si="12"/>
        <v>4.6788810086682495E-4</v>
      </c>
      <c r="AH233" s="17"/>
      <c r="AJ233" s="574"/>
    </row>
    <row r="234" spans="2:36" s="7" customFormat="1" ht="15.75">
      <c r="B234" s="503" t="s">
        <v>144</v>
      </c>
      <c r="C234" s="584" t="s">
        <v>412</v>
      </c>
      <c r="D234" s="16">
        <v>17</v>
      </c>
      <c r="E234" s="221">
        <v>3.472222222222222E-3</v>
      </c>
      <c r="F234" s="221">
        <v>7.6388888888888886E-3</v>
      </c>
      <c r="G234" s="344">
        <v>0.41</v>
      </c>
      <c r="H234" s="265">
        <v>1.1111111111111112E-2</v>
      </c>
      <c r="I234" s="221">
        <v>7.880220646178094E-3</v>
      </c>
      <c r="J234" s="265">
        <v>0</v>
      </c>
      <c r="K234" s="221">
        <v>0</v>
      </c>
      <c r="L234" s="221">
        <f t="shared" si="12"/>
        <v>4.4079984239558719E-3</v>
      </c>
      <c r="AH234" s="17"/>
      <c r="AJ234" s="574"/>
    </row>
    <row r="235" spans="2:36" s="7" customFormat="1" ht="15.75">
      <c r="B235" s="503" t="s">
        <v>144</v>
      </c>
      <c r="C235" s="584" t="s">
        <v>609</v>
      </c>
      <c r="D235" s="16">
        <v>17</v>
      </c>
      <c r="E235" s="221">
        <v>3.472222222222222E-3</v>
      </c>
      <c r="F235" s="221">
        <v>7.6388888888888886E-3</v>
      </c>
      <c r="G235" s="344">
        <v>0.41</v>
      </c>
      <c r="H235" s="265">
        <v>2.2222222222222223E-2</v>
      </c>
      <c r="I235" s="221">
        <v>1.5760441292356188E-2</v>
      </c>
      <c r="J235" s="265">
        <v>0</v>
      </c>
      <c r="K235" s="221">
        <v>4.6493301812450772E-3</v>
      </c>
      <c r="L235" s="221">
        <f t="shared" si="12"/>
        <v>1.2288219070133966E-2</v>
      </c>
      <c r="AH235" s="17"/>
      <c r="AJ235" s="574"/>
    </row>
    <row r="236" spans="2:36" s="7" customFormat="1" ht="15.75">
      <c r="B236" s="503" t="s">
        <v>144</v>
      </c>
      <c r="C236" s="584" t="s">
        <v>175</v>
      </c>
      <c r="D236" s="16">
        <v>17</v>
      </c>
      <c r="E236" s="221">
        <v>3.472222222222222E-3</v>
      </c>
      <c r="F236" s="221">
        <v>7.6388888888888886E-3</v>
      </c>
      <c r="G236" s="344">
        <v>0.41</v>
      </c>
      <c r="H236" s="265">
        <v>6.9444444444444447E-4</v>
      </c>
      <c r="I236" s="221">
        <v>4.9251379038613087E-4</v>
      </c>
      <c r="J236" s="265">
        <v>0</v>
      </c>
      <c r="K236" s="221">
        <v>0</v>
      </c>
      <c r="L236" s="221">
        <f t="shared" si="12"/>
        <v>0</v>
      </c>
      <c r="AH236" s="17"/>
      <c r="AJ236" s="574"/>
    </row>
    <row r="237" spans="2:36" s="7" customFormat="1" ht="15.75">
      <c r="B237" s="503" t="s">
        <v>144</v>
      </c>
      <c r="C237" s="584" t="s">
        <v>406</v>
      </c>
      <c r="D237" s="16">
        <v>17</v>
      </c>
      <c r="E237" s="221">
        <v>3.472222222222222E-3</v>
      </c>
      <c r="F237" s="221">
        <v>7.6388888888888886E-3</v>
      </c>
      <c r="G237" s="344">
        <v>0.41</v>
      </c>
      <c r="H237" s="265">
        <v>1.8518518518518517E-3</v>
      </c>
      <c r="I237" s="221">
        <v>1.3133701076963487E-3</v>
      </c>
      <c r="J237" s="265">
        <v>0</v>
      </c>
      <c r="K237" s="221">
        <v>0</v>
      </c>
      <c r="L237" s="221">
        <f t="shared" si="12"/>
        <v>0</v>
      </c>
      <c r="AH237" s="17"/>
      <c r="AJ237" s="574"/>
    </row>
    <row r="238" spans="2:36" s="7" customFormat="1" ht="15.75">
      <c r="B238" s="503" t="s">
        <v>144</v>
      </c>
      <c r="C238" s="584" t="s">
        <v>447</v>
      </c>
      <c r="D238" s="16">
        <v>17</v>
      </c>
      <c r="E238" s="221">
        <v>3.472222222222222E-3</v>
      </c>
      <c r="F238" s="221">
        <v>7.6388888888888886E-3</v>
      </c>
      <c r="G238" s="344">
        <v>0.41</v>
      </c>
      <c r="H238" s="265">
        <v>3.7037037037037034E-3</v>
      </c>
      <c r="I238" s="221">
        <v>2.6267402153926974E-3</v>
      </c>
      <c r="J238" s="265">
        <v>0</v>
      </c>
      <c r="K238" s="221">
        <v>0</v>
      </c>
      <c r="L238" s="221">
        <f t="shared" si="12"/>
        <v>0</v>
      </c>
      <c r="AH238" s="17"/>
      <c r="AJ238" s="574"/>
    </row>
    <row r="239" spans="2:36" s="7" customFormat="1" ht="15.75">
      <c r="B239" s="503" t="s">
        <v>144</v>
      </c>
      <c r="C239" s="584" t="s">
        <v>448</v>
      </c>
      <c r="D239" s="16">
        <v>17</v>
      </c>
      <c r="E239" s="221">
        <v>3.472222222222222E-3</v>
      </c>
      <c r="F239" s="221">
        <v>7.6388888888888886E-3</v>
      </c>
      <c r="G239" s="344">
        <v>0.41</v>
      </c>
      <c r="H239" s="265">
        <v>7.4074074074074068E-3</v>
      </c>
      <c r="I239" s="221">
        <v>5.2534804307853948E-3</v>
      </c>
      <c r="J239" s="265">
        <v>0</v>
      </c>
      <c r="K239" s="221">
        <v>0</v>
      </c>
      <c r="L239" s="221">
        <f t="shared" si="12"/>
        <v>1.7812582085631728E-3</v>
      </c>
      <c r="AH239" s="17"/>
      <c r="AJ239" s="574"/>
    </row>
    <row r="240" spans="2:36" s="7" customFormat="1" ht="15.75">
      <c r="B240" s="503" t="s">
        <v>144</v>
      </c>
      <c r="C240" s="584" t="s">
        <v>449</v>
      </c>
      <c r="D240" s="16">
        <v>17</v>
      </c>
      <c r="E240" s="221">
        <v>3.472222222222222E-3</v>
      </c>
      <c r="F240" s="221">
        <v>7.6388888888888886E-3</v>
      </c>
      <c r="G240" s="344">
        <v>0.41</v>
      </c>
      <c r="H240" s="265">
        <v>1.4814814814814814E-2</v>
      </c>
      <c r="I240" s="221">
        <v>1.050696086157079E-2</v>
      </c>
      <c r="J240" s="265">
        <v>0</v>
      </c>
      <c r="K240" s="221">
        <v>0</v>
      </c>
      <c r="L240" s="221">
        <f t="shared" si="12"/>
        <v>7.0347386393485676E-3</v>
      </c>
      <c r="AH240" s="17"/>
      <c r="AJ240" s="574"/>
    </row>
    <row r="241" spans="2:36" s="7" customFormat="1" ht="15.75">
      <c r="B241" s="503" t="s">
        <v>144</v>
      </c>
      <c r="C241" s="584" t="s">
        <v>813</v>
      </c>
      <c r="D241" s="16">
        <v>17</v>
      </c>
      <c r="E241" s="221">
        <v>3.472222222222222E-3</v>
      </c>
      <c r="F241" s="221">
        <v>7.6388888888888886E-3</v>
      </c>
      <c r="G241" s="344">
        <v>0.41</v>
      </c>
      <c r="H241" s="265">
        <v>8.6805555555555551E-4</v>
      </c>
      <c r="I241" s="221">
        <v>6.1564223798266354E-4</v>
      </c>
      <c r="J241" s="265">
        <v>0</v>
      </c>
      <c r="K241" s="221">
        <v>0</v>
      </c>
      <c r="L241" s="221">
        <f t="shared" si="12"/>
        <v>0</v>
      </c>
      <c r="AH241" s="17"/>
      <c r="AJ241" s="574"/>
    </row>
    <row r="242" spans="2:36" s="7" customFormat="1" ht="15.75">
      <c r="B242" s="503" t="s">
        <v>144</v>
      </c>
      <c r="C242" s="584" t="s">
        <v>814</v>
      </c>
      <c r="D242" s="16">
        <v>17</v>
      </c>
      <c r="E242" s="221">
        <v>3.472222222222222E-3</v>
      </c>
      <c r="F242" s="221">
        <v>7.6388888888888886E-3</v>
      </c>
      <c r="G242" s="344">
        <v>0.41</v>
      </c>
      <c r="H242" s="265">
        <v>1.736111111111111E-3</v>
      </c>
      <c r="I242" s="221">
        <v>1.2312844759653271E-3</v>
      </c>
      <c r="J242" s="265">
        <v>0</v>
      </c>
      <c r="K242" s="221">
        <v>0</v>
      </c>
      <c r="L242" s="221">
        <f t="shared" si="12"/>
        <v>0</v>
      </c>
      <c r="AH242" s="17"/>
      <c r="AJ242" s="574"/>
    </row>
    <row r="243" spans="2:36" s="7" customFormat="1" ht="15.75">
      <c r="B243" s="503" t="s">
        <v>144</v>
      </c>
      <c r="C243" s="584" t="s">
        <v>815</v>
      </c>
      <c r="D243" s="16">
        <v>17</v>
      </c>
      <c r="E243" s="221">
        <v>3.472222222222222E-3</v>
      </c>
      <c r="F243" s="221">
        <v>7.6388888888888886E-3</v>
      </c>
      <c r="G243" s="344">
        <v>0.41</v>
      </c>
      <c r="H243" s="265">
        <v>3.472222222222222E-3</v>
      </c>
      <c r="I243" s="221">
        <v>2.4625689519306541E-3</v>
      </c>
      <c r="J243" s="265">
        <v>0</v>
      </c>
      <c r="K243" s="221">
        <v>0</v>
      </c>
      <c r="L243" s="221">
        <f t="shared" si="12"/>
        <v>0</v>
      </c>
      <c r="AH243" s="17"/>
      <c r="AJ243" s="574"/>
    </row>
    <row r="244" spans="2:36" s="7" customFormat="1" ht="15.75">
      <c r="B244" s="503" t="s">
        <v>144</v>
      </c>
      <c r="C244" s="584" t="s">
        <v>813</v>
      </c>
      <c r="D244" s="16">
        <v>17</v>
      </c>
      <c r="E244" s="221">
        <v>3.472222222222222E-3</v>
      </c>
      <c r="F244" s="221">
        <v>7.6388888888888886E-3</v>
      </c>
      <c r="G244" s="344">
        <v>0.41</v>
      </c>
      <c r="H244" s="265">
        <v>8.6805555555555551E-4</v>
      </c>
      <c r="I244" s="221">
        <v>6.1564223798266354E-4</v>
      </c>
      <c r="J244" s="265">
        <v>0</v>
      </c>
      <c r="K244" s="221">
        <v>0</v>
      </c>
      <c r="L244" s="221">
        <f t="shared" si="12"/>
        <v>0</v>
      </c>
      <c r="AH244" s="17"/>
      <c r="AJ244" s="574"/>
    </row>
    <row r="245" spans="2:36" s="7" customFormat="1" ht="15.75">
      <c r="B245" s="503" t="s">
        <v>144</v>
      </c>
      <c r="C245" s="584" t="s">
        <v>814</v>
      </c>
      <c r="D245" s="16">
        <v>17</v>
      </c>
      <c r="E245" s="221">
        <v>3.472222222222222E-3</v>
      </c>
      <c r="F245" s="221">
        <v>7.6388888888888886E-3</v>
      </c>
      <c r="G245" s="344">
        <v>0.41</v>
      </c>
      <c r="H245" s="265">
        <v>1.736111111111111E-3</v>
      </c>
      <c r="I245" s="221">
        <v>1.2312844759653271E-3</v>
      </c>
      <c r="J245" s="265">
        <v>0</v>
      </c>
      <c r="K245" s="221">
        <v>0</v>
      </c>
      <c r="L245" s="221">
        <f t="shared" si="12"/>
        <v>0</v>
      </c>
      <c r="AH245" s="17"/>
      <c r="AJ245" s="574"/>
    </row>
    <row r="246" spans="2:36" s="7" customFormat="1" ht="15.75">
      <c r="B246" s="503" t="s">
        <v>144</v>
      </c>
      <c r="C246" s="584" t="s">
        <v>815</v>
      </c>
      <c r="D246" s="16">
        <v>17</v>
      </c>
      <c r="E246" s="221">
        <v>3.472222222222222E-3</v>
      </c>
      <c r="F246" s="221">
        <v>7.6388888888888886E-3</v>
      </c>
      <c r="G246" s="344">
        <v>0.41</v>
      </c>
      <c r="H246" s="265">
        <v>3.472222222222222E-3</v>
      </c>
      <c r="I246" s="221">
        <v>2.4625689519306541E-3</v>
      </c>
      <c r="J246" s="265">
        <v>0</v>
      </c>
      <c r="K246" s="221">
        <v>0</v>
      </c>
      <c r="L246" s="221">
        <f t="shared" si="12"/>
        <v>0</v>
      </c>
      <c r="AH246" s="17"/>
      <c r="AJ246" s="574"/>
    </row>
    <row r="247" spans="2:36" s="7" customFormat="1" ht="15.75">
      <c r="B247" s="503" t="s">
        <v>144</v>
      </c>
      <c r="C247" s="584" t="s">
        <v>823</v>
      </c>
      <c r="D247" s="16">
        <v>17</v>
      </c>
      <c r="E247" s="221">
        <v>3.472222222222222E-3</v>
      </c>
      <c r="F247" s="221">
        <v>7.6388888888888886E-3</v>
      </c>
      <c r="G247" s="344">
        <v>0.41</v>
      </c>
      <c r="H247" s="265">
        <v>1.3310185185185185E-3</v>
      </c>
      <c r="I247" s="221">
        <v>9.4398476490675071E-4</v>
      </c>
      <c r="J247" s="265">
        <v>0</v>
      </c>
      <c r="K247" s="221">
        <v>0</v>
      </c>
      <c r="L247" s="221">
        <f t="shared" si="12"/>
        <v>0</v>
      </c>
      <c r="AH247" s="17"/>
      <c r="AJ247" s="574"/>
    </row>
    <row r="248" spans="2:36" s="7" customFormat="1" ht="15.75">
      <c r="B248" s="503" t="s">
        <v>144</v>
      </c>
      <c r="C248" s="584" t="s">
        <v>888</v>
      </c>
      <c r="D248" s="16">
        <v>17</v>
      </c>
      <c r="E248" s="221">
        <v>3.472222222222222E-3</v>
      </c>
      <c r="F248" s="576">
        <v>8.3333333333333332E-3</v>
      </c>
      <c r="G248" s="344">
        <v>0.41</v>
      </c>
      <c r="H248" s="265">
        <v>0.44444444444444442</v>
      </c>
      <c r="I248" s="221">
        <v>0.31520882584712373</v>
      </c>
      <c r="J248" s="265">
        <v>0.125</v>
      </c>
      <c r="K248" s="221">
        <v>0.17840327029156816</v>
      </c>
      <c r="L248" s="221">
        <f t="shared" si="12"/>
        <v>0.18673660362490152</v>
      </c>
      <c r="AH248" s="17"/>
      <c r="AJ248" s="574"/>
    </row>
    <row r="249" spans="2:36" s="7" customFormat="1" ht="15.75">
      <c r="B249" s="503" t="s">
        <v>144</v>
      </c>
      <c r="C249" s="584" t="s">
        <v>742</v>
      </c>
      <c r="D249" s="16">
        <v>17</v>
      </c>
      <c r="E249" s="221">
        <v>3.472222222222222E-3</v>
      </c>
      <c r="F249" s="137">
        <v>8.3333333333333332E-3</v>
      </c>
      <c r="G249" s="344">
        <v>0.41</v>
      </c>
      <c r="H249" s="265">
        <v>2.9629629629629627E-2</v>
      </c>
      <c r="I249" s="221">
        <v>2.1013921723141579E-2</v>
      </c>
      <c r="J249" s="265">
        <v>0</v>
      </c>
      <c r="K249" s="221">
        <v>9.2083661675860223E-3</v>
      </c>
      <c r="L249" s="221">
        <f t="shared" si="12"/>
        <v>1.7541699500919355E-2</v>
      </c>
      <c r="AH249" s="17"/>
      <c r="AJ249" s="574"/>
    </row>
    <row r="250" spans="2:36" s="7" customFormat="1" ht="15.75">
      <c r="B250" s="503" t="s">
        <v>144</v>
      </c>
      <c r="C250" s="584" t="s">
        <v>742</v>
      </c>
      <c r="D250" s="16">
        <v>17</v>
      </c>
      <c r="E250" s="221">
        <v>3.472222222222222E-3</v>
      </c>
      <c r="F250" s="137">
        <v>8.3333333333333332E-3</v>
      </c>
      <c r="G250" s="344">
        <v>0.41</v>
      </c>
      <c r="H250" s="265">
        <v>2.9629629629629627E-2</v>
      </c>
      <c r="I250" s="221">
        <v>2.1013921723141579E-2</v>
      </c>
      <c r="J250" s="265">
        <v>0</v>
      </c>
      <c r="K250" s="221">
        <v>9.2083661675860223E-3</v>
      </c>
      <c r="L250" s="221">
        <f t="shared" si="12"/>
        <v>1.7541699500919355E-2</v>
      </c>
      <c r="AH250" s="17"/>
      <c r="AJ250" s="574"/>
    </row>
    <row r="251" spans="2:36" s="7" customFormat="1" ht="15.75">
      <c r="B251" s="587" t="s">
        <v>171</v>
      </c>
      <c r="C251" s="583" t="s">
        <v>1260</v>
      </c>
      <c r="D251" s="581">
        <v>18</v>
      </c>
      <c r="E251" s="134">
        <v>3.472222222222222E-3</v>
      </c>
      <c r="F251" s="134">
        <v>8.3333333333333332E-3</v>
      </c>
      <c r="G251" s="338">
        <v>0.41</v>
      </c>
      <c r="H251" s="136" t="s">
        <v>25</v>
      </c>
      <c r="I251" s="134" t="s">
        <v>25</v>
      </c>
      <c r="J251" s="136" t="s">
        <v>25</v>
      </c>
      <c r="K251" s="134" t="s">
        <v>25</v>
      </c>
      <c r="L251" s="589">
        <f>SUMIF($B$5:$B250,"&lt;&gt;"&amp;"Level_Up",L$5:L250)</f>
        <v>1.0362693934878124</v>
      </c>
      <c r="AH251" s="17"/>
      <c r="AJ251" s="574"/>
    </row>
    <row r="252" spans="2:36" s="7" customFormat="1" ht="15.75">
      <c r="B252" s="503" t="s">
        <v>144</v>
      </c>
      <c r="C252" s="584" t="s">
        <v>742</v>
      </c>
      <c r="D252" s="16">
        <v>18</v>
      </c>
      <c r="E252" s="221">
        <v>3.472222222222222E-3</v>
      </c>
      <c r="F252" s="137">
        <v>8.3333333333333332E-3</v>
      </c>
      <c r="G252" s="344">
        <v>0.41</v>
      </c>
      <c r="H252" s="265">
        <v>2.9629629629629627E-2</v>
      </c>
      <c r="I252" s="221">
        <v>2.1013921723141579E-2</v>
      </c>
      <c r="J252" s="265">
        <v>0</v>
      </c>
      <c r="K252" s="221">
        <v>9.2083661675860223E-3</v>
      </c>
      <c r="L252" s="221">
        <f t="shared" ref="L252:L257" si="13">IF(I252-E252-J252&gt;0,I252-E252-J252,0)</f>
        <v>1.7541699500919355E-2</v>
      </c>
      <c r="AH252" s="17"/>
      <c r="AJ252" s="574"/>
    </row>
    <row r="253" spans="2:36" s="7" customFormat="1" ht="15.75">
      <c r="B253" s="503" t="s">
        <v>144</v>
      </c>
      <c r="C253" s="584" t="s">
        <v>742</v>
      </c>
      <c r="D253" s="16">
        <v>18</v>
      </c>
      <c r="E253" s="221">
        <v>3.472222222222222E-3</v>
      </c>
      <c r="F253" s="137">
        <v>8.3333333333333332E-3</v>
      </c>
      <c r="G253" s="344">
        <v>0.41</v>
      </c>
      <c r="H253" s="265">
        <v>2.9629629629629627E-2</v>
      </c>
      <c r="I253" s="221">
        <v>2.1013921723141579E-2</v>
      </c>
      <c r="J253" s="265">
        <v>0</v>
      </c>
      <c r="K253" s="221">
        <v>9.2083661675860223E-3</v>
      </c>
      <c r="L253" s="221">
        <f t="shared" si="13"/>
        <v>1.7541699500919355E-2</v>
      </c>
      <c r="AH253" s="17"/>
      <c r="AJ253" s="574"/>
    </row>
    <row r="254" spans="2:36" s="7" customFormat="1" ht="15.75">
      <c r="B254" s="503" t="s">
        <v>144</v>
      </c>
      <c r="C254" s="584" t="s">
        <v>853</v>
      </c>
      <c r="D254" s="16">
        <v>18</v>
      </c>
      <c r="E254" s="221">
        <v>3.472222222222222E-3</v>
      </c>
      <c r="F254" s="137">
        <v>8.3333333333333332E-3</v>
      </c>
      <c r="G254" s="344">
        <v>0.41</v>
      </c>
      <c r="H254" s="265">
        <v>0.11851851851851852</v>
      </c>
      <c r="I254" s="221">
        <v>8.4055686892566331E-2</v>
      </c>
      <c r="J254" s="265">
        <v>0</v>
      </c>
      <c r="K254" s="221">
        <v>7.2250131337010776E-2</v>
      </c>
      <c r="L254" s="221">
        <f t="shared" si="13"/>
        <v>8.0583464670344107E-2</v>
      </c>
      <c r="AH254" s="17"/>
      <c r="AJ254" s="574"/>
    </row>
    <row r="255" spans="2:36" s="7" customFormat="1" ht="15.75">
      <c r="B255" s="503" t="s">
        <v>144</v>
      </c>
      <c r="C255" s="584" t="s">
        <v>854</v>
      </c>
      <c r="D255" s="16">
        <v>18</v>
      </c>
      <c r="E255" s="221">
        <v>3.472222222222222E-3</v>
      </c>
      <c r="F255" s="137">
        <v>8.3333333333333332E-3</v>
      </c>
      <c r="G255" s="344">
        <v>0.41</v>
      </c>
      <c r="H255" s="265">
        <v>0.1111111111111111</v>
      </c>
      <c r="I255" s="221">
        <v>7.8802206461780933E-2</v>
      </c>
      <c r="J255" s="265">
        <v>4.2361111111111106E-2</v>
      </c>
      <c r="K255" s="221">
        <v>2.4635539795114271E-2</v>
      </c>
      <c r="L255" s="221">
        <f t="shared" si="13"/>
        <v>3.2968873128447602E-2</v>
      </c>
      <c r="AH255" s="17"/>
      <c r="AJ255" s="574"/>
    </row>
    <row r="256" spans="2:36" s="7" customFormat="1" ht="15.75">
      <c r="B256" s="503" t="s">
        <v>144</v>
      </c>
      <c r="C256" s="584" t="s">
        <v>880</v>
      </c>
      <c r="D256" s="16">
        <v>18</v>
      </c>
      <c r="E256" s="221">
        <v>3.472222222222222E-3</v>
      </c>
      <c r="F256" s="137">
        <v>8.3333333333333332E-3</v>
      </c>
      <c r="G256" s="344">
        <v>0.41</v>
      </c>
      <c r="H256" s="265">
        <v>0.15555555555555556</v>
      </c>
      <c r="I256" s="221">
        <v>0.11032308904649331</v>
      </c>
      <c r="J256" s="265">
        <v>2.0833333333333333E-3</v>
      </c>
      <c r="K256" s="221">
        <v>9.6434200157604413E-2</v>
      </c>
      <c r="L256" s="221">
        <f t="shared" si="13"/>
        <v>0.10476753349093774</v>
      </c>
      <c r="AH256" s="17"/>
      <c r="AJ256" s="574"/>
    </row>
    <row r="257" spans="2:36" s="7" customFormat="1" ht="15.75">
      <c r="B257" s="503" t="s">
        <v>144</v>
      </c>
      <c r="C257" s="584" t="s">
        <v>881</v>
      </c>
      <c r="D257" s="16">
        <v>18</v>
      </c>
      <c r="E257" s="221">
        <v>3.472222222222222E-3</v>
      </c>
      <c r="F257" s="137">
        <v>8.3333333333333332E-3</v>
      </c>
      <c r="G257" s="344">
        <v>0.41</v>
      </c>
      <c r="H257" s="265">
        <v>0.14814814814814814</v>
      </c>
      <c r="I257" s="221">
        <v>0.10506960861570791</v>
      </c>
      <c r="J257" s="265">
        <v>0</v>
      </c>
      <c r="K257" s="221">
        <v>9.3264053060152355E-2</v>
      </c>
      <c r="L257" s="221">
        <f t="shared" si="13"/>
        <v>0.10159738639348569</v>
      </c>
      <c r="AH257" s="17"/>
      <c r="AJ257" s="574"/>
    </row>
    <row r="258" spans="2:36" s="7" customFormat="1" ht="15.75">
      <c r="B258" s="588" t="s">
        <v>171</v>
      </c>
      <c r="C258" s="585" t="s">
        <v>1261</v>
      </c>
      <c r="D258" s="582">
        <v>19</v>
      </c>
      <c r="E258" s="416">
        <v>3.472222222222222E-3</v>
      </c>
      <c r="F258" s="416">
        <v>8.3333333333333332E-3</v>
      </c>
      <c r="G258" s="418">
        <v>0.41</v>
      </c>
      <c r="H258" s="419" t="s">
        <v>25</v>
      </c>
      <c r="I258" s="416" t="s">
        <v>25</v>
      </c>
      <c r="J258" s="419" t="s">
        <v>25</v>
      </c>
      <c r="K258" s="416" t="s">
        <v>25</v>
      </c>
      <c r="L258" s="589">
        <f>SUMIF($B$5:$B257,"&lt;&gt;"&amp;"Level_Up",L$5:L257)</f>
        <v>1.3912700501728663</v>
      </c>
      <c r="AH258" s="17"/>
      <c r="AJ258" s="574"/>
    </row>
    <row r="259" spans="2:36" s="7" customFormat="1" ht="30" customHeight="1">
      <c r="B259" s="503" t="s">
        <v>144</v>
      </c>
      <c r="C259" s="584" t="s">
        <v>610</v>
      </c>
      <c r="D259" s="16">
        <v>19</v>
      </c>
      <c r="E259" s="221">
        <v>3.472222222222222E-3</v>
      </c>
      <c r="F259" s="137">
        <v>8.3333333333333332E-3</v>
      </c>
      <c r="G259" s="344">
        <v>0.41</v>
      </c>
      <c r="H259" s="265">
        <v>1.8518518518518521E-2</v>
      </c>
      <c r="I259" s="221">
        <v>1.313370107696349E-2</v>
      </c>
      <c r="J259" s="265">
        <v>0</v>
      </c>
      <c r="K259" s="221">
        <v>1.3281455214079353E-3</v>
      </c>
      <c r="L259" s="221">
        <f t="shared" ref="L259:L270" si="14">IF(I259-E259-J259&gt;0,I259-E259-J259,0)</f>
        <v>9.6614788547412685E-3</v>
      </c>
      <c r="AH259" s="17"/>
      <c r="AJ259" s="574"/>
    </row>
    <row r="260" spans="2:36" s="7" customFormat="1" ht="15.75">
      <c r="B260" s="503" t="s">
        <v>144</v>
      </c>
      <c r="C260" s="584" t="s">
        <v>886</v>
      </c>
      <c r="D260" s="16">
        <v>19</v>
      </c>
      <c r="E260" s="221">
        <v>3.472222222222222E-3</v>
      </c>
      <c r="F260" s="137">
        <v>8.3333333333333332E-3</v>
      </c>
      <c r="G260" s="344">
        <v>0.41</v>
      </c>
      <c r="H260" s="265">
        <v>4.4444444444444446E-2</v>
      </c>
      <c r="I260" s="221">
        <v>3.1520882584712376E-2</v>
      </c>
      <c r="J260" s="265">
        <v>0</v>
      </c>
      <c r="K260" s="221">
        <v>1.9715327029156821E-2</v>
      </c>
      <c r="L260" s="221">
        <f t="shared" si="14"/>
        <v>2.8048660362490152E-2</v>
      </c>
      <c r="AH260" s="17"/>
      <c r="AJ260" s="574"/>
    </row>
    <row r="261" spans="2:36" s="7" customFormat="1" ht="15.75">
      <c r="B261" s="503" t="s">
        <v>144</v>
      </c>
      <c r="C261" s="584" t="s">
        <v>887</v>
      </c>
      <c r="D261" s="16">
        <v>19</v>
      </c>
      <c r="E261" s="221">
        <v>3.472222222222222E-3</v>
      </c>
      <c r="F261" s="137">
        <v>8.3333333333333332E-3</v>
      </c>
      <c r="G261" s="344">
        <v>0.41</v>
      </c>
      <c r="H261" s="265">
        <v>8.8888888888888892E-2</v>
      </c>
      <c r="I261" s="221">
        <v>6.3041765169424752E-2</v>
      </c>
      <c r="J261" s="265">
        <v>4.1666666666666664E-2</v>
      </c>
      <c r="K261" s="221">
        <v>9.569542947202532E-3</v>
      </c>
      <c r="L261" s="221">
        <f t="shared" si="14"/>
        <v>1.7902876280535863E-2</v>
      </c>
      <c r="AH261" s="17"/>
      <c r="AJ261" s="574"/>
    </row>
    <row r="262" spans="2:36" s="7" customFormat="1" ht="15.75">
      <c r="B262" s="503" t="s">
        <v>144</v>
      </c>
      <c r="C262" s="584" t="s">
        <v>886</v>
      </c>
      <c r="D262" s="16">
        <v>19</v>
      </c>
      <c r="E262" s="221">
        <v>3.472222222222222E-3</v>
      </c>
      <c r="F262" s="137">
        <v>8.3333333333333332E-3</v>
      </c>
      <c r="G262" s="344">
        <v>0.41</v>
      </c>
      <c r="H262" s="265">
        <v>4.4444444444444446E-2</v>
      </c>
      <c r="I262" s="221">
        <v>3.1520882584712376E-2</v>
      </c>
      <c r="J262" s="265">
        <v>0</v>
      </c>
      <c r="K262" s="221">
        <v>1.9715327029156821E-2</v>
      </c>
      <c r="L262" s="221">
        <f t="shared" si="14"/>
        <v>2.8048660362490152E-2</v>
      </c>
      <c r="AH262" s="17"/>
      <c r="AJ262" s="574"/>
    </row>
    <row r="263" spans="2:36" s="7" customFormat="1" ht="15.75">
      <c r="B263" s="503" t="s">
        <v>144</v>
      </c>
      <c r="C263" s="584" t="s">
        <v>890</v>
      </c>
      <c r="D263" s="16">
        <v>19</v>
      </c>
      <c r="E263" s="221">
        <v>3.472222222222222E-3</v>
      </c>
      <c r="F263" s="137">
        <v>8.3333333333333332E-3</v>
      </c>
      <c r="G263" s="344">
        <v>0.41</v>
      </c>
      <c r="H263" s="265">
        <v>3.7037037037037042E-2</v>
      </c>
      <c r="I263" s="221">
        <v>2.6267402153926981E-2</v>
      </c>
      <c r="J263" s="265">
        <v>0</v>
      </c>
      <c r="K263" s="221">
        <v>1.4461846598371427E-2</v>
      </c>
      <c r="L263" s="221">
        <f t="shared" si="14"/>
        <v>2.2795179931704761E-2</v>
      </c>
      <c r="AH263" s="17"/>
      <c r="AJ263" s="574"/>
    </row>
    <row r="264" spans="2:36" s="7" customFormat="1" ht="15.75">
      <c r="B264" s="503" t="s">
        <v>144</v>
      </c>
      <c r="C264" s="584" t="s">
        <v>891</v>
      </c>
      <c r="D264" s="16">
        <v>19</v>
      </c>
      <c r="E264" s="221">
        <v>3.472222222222222E-3</v>
      </c>
      <c r="F264" s="137">
        <v>8.3333333333333332E-3</v>
      </c>
      <c r="G264" s="344">
        <v>0.41</v>
      </c>
      <c r="H264" s="265">
        <v>3.7037037037037042E-2</v>
      </c>
      <c r="I264" s="221">
        <v>2.6267402153926981E-2</v>
      </c>
      <c r="J264" s="265">
        <v>2.0833333333333333E-3</v>
      </c>
      <c r="K264" s="221">
        <v>1.2378513265038095E-2</v>
      </c>
      <c r="L264" s="221">
        <f t="shared" si="14"/>
        <v>2.0711846598371428E-2</v>
      </c>
      <c r="AH264" s="17"/>
      <c r="AJ264" s="574"/>
    </row>
    <row r="265" spans="2:36" s="7" customFormat="1" ht="15.75">
      <c r="B265" s="503" t="s">
        <v>144</v>
      </c>
      <c r="C265" s="584" t="s">
        <v>891</v>
      </c>
      <c r="D265" s="16">
        <v>19</v>
      </c>
      <c r="E265" s="221">
        <v>3.472222222222222E-3</v>
      </c>
      <c r="F265" s="137">
        <v>8.3333333333333332E-3</v>
      </c>
      <c r="G265" s="344">
        <v>0.41</v>
      </c>
      <c r="H265" s="265">
        <v>3.7037037037037042E-2</v>
      </c>
      <c r="I265" s="221">
        <v>2.6267402153926981E-2</v>
      </c>
      <c r="J265" s="265">
        <v>0</v>
      </c>
      <c r="K265" s="221">
        <v>1.4461846598371427E-2</v>
      </c>
      <c r="L265" s="221">
        <f t="shared" si="14"/>
        <v>2.2795179931704761E-2</v>
      </c>
      <c r="AH265" s="17"/>
      <c r="AJ265" s="574"/>
    </row>
    <row r="266" spans="2:36" s="7" customFormat="1" ht="15.75">
      <c r="B266" s="503" t="s">
        <v>144</v>
      </c>
      <c r="C266" s="584" t="s">
        <v>891</v>
      </c>
      <c r="D266" s="16">
        <v>19</v>
      </c>
      <c r="E266" s="221">
        <v>3.472222222222222E-3</v>
      </c>
      <c r="F266" s="137">
        <v>8.3333333333333332E-3</v>
      </c>
      <c r="G266" s="344">
        <v>0.41</v>
      </c>
      <c r="H266" s="265">
        <v>3.7037037037037042E-2</v>
      </c>
      <c r="I266" s="221">
        <v>2.6267402153926981E-2</v>
      </c>
      <c r="J266" s="265">
        <v>0</v>
      </c>
      <c r="K266" s="221">
        <v>1.4461846598371427E-2</v>
      </c>
      <c r="L266" s="221">
        <f t="shared" si="14"/>
        <v>2.2795179931704761E-2</v>
      </c>
      <c r="AH266" s="17"/>
      <c r="AJ266" s="574"/>
    </row>
    <row r="267" spans="2:36" s="7" customFormat="1" ht="15.75">
      <c r="B267" s="503" t="s">
        <v>144</v>
      </c>
      <c r="C267" s="584" t="s">
        <v>891</v>
      </c>
      <c r="D267" s="16">
        <v>19</v>
      </c>
      <c r="E267" s="221">
        <v>3.472222222222222E-3</v>
      </c>
      <c r="F267" s="137">
        <v>8.3333333333333332E-3</v>
      </c>
      <c r="G267" s="344">
        <v>0.41</v>
      </c>
      <c r="H267" s="265">
        <v>3.7037037037037042E-2</v>
      </c>
      <c r="I267" s="221">
        <v>2.6267402153926981E-2</v>
      </c>
      <c r="J267" s="265">
        <v>0</v>
      </c>
      <c r="K267" s="221">
        <v>1.4461846598371427E-2</v>
      </c>
      <c r="L267" s="221">
        <f t="shared" si="14"/>
        <v>2.2795179931704761E-2</v>
      </c>
      <c r="AH267" s="17"/>
      <c r="AJ267" s="574"/>
    </row>
    <row r="268" spans="2:36" s="7" customFormat="1" ht="15.75">
      <c r="B268" s="503" t="s">
        <v>144</v>
      </c>
      <c r="C268" s="584" t="s">
        <v>667</v>
      </c>
      <c r="D268" s="16">
        <v>19</v>
      </c>
      <c r="E268" s="221">
        <v>3.472222222222222E-3</v>
      </c>
      <c r="F268" s="137">
        <v>8.3333333333333332E-3</v>
      </c>
      <c r="G268" s="344">
        <v>0.41</v>
      </c>
      <c r="H268" s="265">
        <v>5.9259259259259262E-2</v>
      </c>
      <c r="I268" s="221">
        <v>4.2027843446283165E-2</v>
      </c>
      <c r="J268" s="265">
        <v>0</v>
      </c>
      <c r="K268" s="221">
        <v>3.022228789072761E-2</v>
      </c>
      <c r="L268" s="221">
        <f t="shared" si="14"/>
        <v>3.8555621224060942E-2</v>
      </c>
      <c r="AH268" s="17"/>
      <c r="AJ268" s="574"/>
    </row>
    <row r="269" spans="2:36" s="7" customFormat="1" ht="15.75">
      <c r="B269" s="503" t="s">
        <v>144</v>
      </c>
      <c r="C269" s="584" t="s">
        <v>667</v>
      </c>
      <c r="D269" s="16">
        <v>19</v>
      </c>
      <c r="E269" s="221">
        <v>3.472222222222222E-3</v>
      </c>
      <c r="F269" s="137">
        <v>8.3333333333333332E-3</v>
      </c>
      <c r="G269" s="344">
        <v>0.41</v>
      </c>
      <c r="H269" s="265">
        <v>5.9259259259259262E-2</v>
      </c>
      <c r="I269" s="221">
        <v>4.2027843446283165E-2</v>
      </c>
      <c r="J269" s="265">
        <v>2.0833333333333332E-2</v>
      </c>
      <c r="K269" s="221">
        <v>9.388954557394278E-3</v>
      </c>
      <c r="L269" s="221">
        <f t="shared" si="14"/>
        <v>1.7722287890727609E-2</v>
      </c>
      <c r="AH269" s="17"/>
      <c r="AJ269" s="574"/>
    </row>
    <row r="270" spans="2:36" s="7" customFormat="1" ht="15.75">
      <c r="B270" s="503" t="s">
        <v>144</v>
      </c>
      <c r="C270" s="584" t="s">
        <v>853</v>
      </c>
      <c r="D270" s="16">
        <v>18</v>
      </c>
      <c r="E270" s="221">
        <v>3.472222222222222E-3</v>
      </c>
      <c r="F270" s="137">
        <v>8.3333333333333332E-3</v>
      </c>
      <c r="G270" s="344">
        <v>0.41</v>
      </c>
      <c r="H270" s="265">
        <v>0.11851851851851852</v>
      </c>
      <c r="I270" s="221">
        <v>8.4055686892566331E-2</v>
      </c>
      <c r="J270" s="265">
        <v>0</v>
      </c>
      <c r="K270" s="221">
        <v>7.2250131337010776E-2</v>
      </c>
      <c r="L270" s="221">
        <f t="shared" si="14"/>
        <v>8.0583464670344107E-2</v>
      </c>
      <c r="AH270" s="17"/>
      <c r="AJ270" s="574"/>
    </row>
    <row r="271" spans="2:36" s="7" customFormat="1" ht="15.75">
      <c r="B271" s="588" t="s">
        <v>171</v>
      </c>
      <c r="C271" s="585" t="s">
        <v>1262</v>
      </c>
      <c r="D271" s="582">
        <v>20</v>
      </c>
      <c r="E271" s="416">
        <v>3.472222222222222E-3</v>
      </c>
      <c r="F271" s="416">
        <v>8.3333333333333332E-3</v>
      </c>
      <c r="G271" s="418">
        <v>0.41</v>
      </c>
      <c r="H271" s="419" t="s">
        <v>25</v>
      </c>
      <c r="I271" s="416" t="s">
        <v>25</v>
      </c>
      <c r="J271" s="419" t="s">
        <v>25</v>
      </c>
      <c r="K271" s="416" t="s">
        <v>25</v>
      </c>
      <c r="L271" s="589">
        <f>SUMIF($B$5:$B270,"&lt;&gt;"&amp;"Level_Up",L$5:L270)</f>
        <v>1.7236856661434468</v>
      </c>
      <c r="AH271" s="17"/>
      <c r="AJ271" s="574"/>
    </row>
    <row r="272" spans="2:36" s="7" customFormat="1" ht="15.75">
      <c r="B272" s="503" t="s">
        <v>144</v>
      </c>
      <c r="C272" s="584" t="s">
        <v>853</v>
      </c>
      <c r="D272" s="16">
        <v>20</v>
      </c>
      <c r="E272" s="221">
        <v>3.472222222222222E-3</v>
      </c>
      <c r="F272" s="137">
        <v>8.3333333333333332E-3</v>
      </c>
      <c r="G272" s="344">
        <v>0.41</v>
      </c>
      <c r="H272" s="265">
        <v>0.11851851851851852</v>
      </c>
      <c r="I272" s="221">
        <v>8.4055686892566331E-2</v>
      </c>
      <c r="J272" s="265">
        <v>0</v>
      </c>
      <c r="K272" s="221">
        <v>7.2250131337010776E-2</v>
      </c>
      <c r="L272" s="221">
        <f t="shared" ref="L272:L303" si="15">IF(I272-E272-J272&gt;0,I272-E272-J272,0)</f>
        <v>8.0583464670344107E-2</v>
      </c>
      <c r="AH272" s="17"/>
      <c r="AJ272" s="574"/>
    </row>
    <row r="273" spans="2:36" s="7" customFormat="1" ht="15.75">
      <c r="B273" s="503" t="s">
        <v>144</v>
      </c>
      <c r="C273" s="584" t="s">
        <v>633</v>
      </c>
      <c r="D273" s="16">
        <v>20</v>
      </c>
      <c r="E273" s="221">
        <v>3.472222222222222E-3</v>
      </c>
      <c r="F273" s="137">
        <v>8.3333333333333332E-3</v>
      </c>
      <c r="G273" s="344">
        <v>0.41</v>
      </c>
      <c r="H273" s="265">
        <v>2.6041666666666668E-2</v>
      </c>
      <c r="I273" s="221">
        <v>1.8469267139479908E-2</v>
      </c>
      <c r="J273" s="265">
        <v>0</v>
      </c>
      <c r="K273" s="221">
        <v>6.6637115839243526E-3</v>
      </c>
      <c r="L273" s="221">
        <f t="shared" si="15"/>
        <v>1.4997044917257686E-2</v>
      </c>
      <c r="AH273" s="17"/>
      <c r="AJ273" s="574"/>
    </row>
    <row r="274" spans="2:36" s="7" customFormat="1" ht="15.75">
      <c r="B274" s="503" t="s">
        <v>144</v>
      </c>
      <c r="C274" s="584" t="s">
        <v>633</v>
      </c>
      <c r="D274" s="16">
        <v>20</v>
      </c>
      <c r="E274" s="221">
        <v>3.472222222222222E-3</v>
      </c>
      <c r="F274" s="137">
        <v>8.3333333333333332E-3</v>
      </c>
      <c r="G274" s="344">
        <v>0.41</v>
      </c>
      <c r="H274" s="265">
        <v>2.6041666666666668E-2</v>
      </c>
      <c r="I274" s="221">
        <v>1.8469267139479908E-2</v>
      </c>
      <c r="J274" s="265">
        <v>0</v>
      </c>
      <c r="K274" s="221">
        <v>6.6637115839243526E-3</v>
      </c>
      <c r="L274" s="221">
        <f t="shared" si="15"/>
        <v>1.4997044917257686E-2</v>
      </c>
      <c r="AH274" s="17"/>
      <c r="AJ274" s="574"/>
    </row>
    <row r="275" spans="2:36" s="7" customFormat="1" ht="15.75">
      <c r="B275" s="503" t="s">
        <v>144</v>
      </c>
      <c r="C275" s="584" t="s">
        <v>886</v>
      </c>
      <c r="D275" s="16">
        <v>20</v>
      </c>
      <c r="E275" s="221">
        <v>3.472222222222222E-3</v>
      </c>
      <c r="F275" s="137">
        <v>8.3333333333333332E-3</v>
      </c>
      <c r="G275" s="344">
        <v>0.41</v>
      </c>
      <c r="H275" s="265">
        <v>4.4444444444444446E-2</v>
      </c>
      <c r="I275" s="221">
        <v>3.1520882584712376E-2</v>
      </c>
      <c r="J275" s="265">
        <v>0</v>
      </c>
      <c r="K275" s="221">
        <v>1.9715327029156821E-2</v>
      </c>
      <c r="L275" s="221">
        <f t="shared" si="15"/>
        <v>2.8048660362490152E-2</v>
      </c>
      <c r="AH275" s="17"/>
      <c r="AJ275" s="574"/>
    </row>
    <row r="276" spans="2:36" s="7" customFormat="1" ht="15.75">
      <c r="B276" s="503" t="s">
        <v>144</v>
      </c>
      <c r="C276" s="584" t="s">
        <v>174</v>
      </c>
      <c r="D276" s="16">
        <v>20</v>
      </c>
      <c r="E276" s="221">
        <v>3.472222222222222E-3</v>
      </c>
      <c r="F276" s="137">
        <v>8.3333333333333332E-3</v>
      </c>
      <c r="G276" s="344">
        <v>0.41</v>
      </c>
      <c r="H276" s="265">
        <v>6.9444444444444447E-4</v>
      </c>
      <c r="I276" s="221">
        <v>4.9251379038613087E-4</v>
      </c>
      <c r="J276" s="265">
        <v>0</v>
      </c>
      <c r="K276" s="221">
        <v>0</v>
      </c>
      <c r="L276" s="221">
        <f t="shared" si="15"/>
        <v>0</v>
      </c>
      <c r="AH276" s="17"/>
      <c r="AJ276" s="574"/>
    </row>
    <row r="277" spans="2:36" s="7" customFormat="1" ht="15.75">
      <c r="B277" s="503" t="s">
        <v>144</v>
      </c>
      <c r="C277" s="584" t="s">
        <v>663</v>
      </c>
      <c r="D277" s="16">
        <v>20</v>
      </c>
      <c r="E277" s="221">
        <v>3.472222222222222E-3</v>
      </c>
      <c r="F277" s="137">
        <v>8.3333333333333332E-3</v>
      </c>
      <c r="G277" s="344">
        <v>0.41</v>
      </c>
      <c r="H277" s="265">
        <v>1.6203703703703703E-3</v>
      </c>
      <c r="I277" s="221">
        <v>1.1491988442343052E-3</v>
      </c>
      <c r="J277" s="265">
        <v>0</v>
      </c>
      <c r="K277" s="221">
        <v>0</v>
      </c>
      <c r="L277" s="221">
        <f t="shared" si="15"/>
        <v>0</v>
      </c>
      <c r="AH277" s="17"/>
      <c r="AJ277" s="574"/>
    </row>
    <row r="278" spans="2:36" s="7" customFormat="1" ht="15.75">
      <c r="B278" s="503" t="s">
        <v>144</v>
      </c>
      <c r="C278" s="584" t="s">
        <v>408</v>
      </c>
      <c r="D278" s="16">
        <v>20</v>
      </c>
      <c r="E278" s="221">
        <v>3.472222222222222E-3</v>
      </c>
      <c r="F278" s="137">
        <v>8.3333333333333332E-3</v>
      </c>
      <c r="G278" s="344">
        <v>0.41</v>
      </c>
      <c r="H278" s="265">
        <v>3.2407407407407406E-3</v>
      </c>
      <c r="I278" s="221">
        <v>2.2983976884686104E-3</v>
      </c>
      <c r="J278" s="265">
        <v>0</v>
      </c>
      <c r="K278" s="221">
        <v>0</v>
      </c>
      <c r="L278" s="221">
        <f t="shared" si="15"/>
        <v>0</v>
      </c>
      <c r="AH278" s="17"/>
      <c r="AJ278" s="574"/>
    </row>
    <row r="279" spans="2:36" s="7" customFormat="1" ht="15.75">
      <c r="B279" s="503" t="s">
        <v>144</v>
      </c>
      <c r="C279" s="584" t="s">
        <v>429</v>
      </c>
      <c r="D279" s="16">
        <v>20</v>
      </c>
      <c r="E279" s="221">
        <v>3.472222222222222E-3</v>
      </c>
      <c r="F279" s="137">
        <v>8.3333333333333332E-3</v>
      </c>
      <c r="G279" s="344">
        <v>0.41</v>
      </c>
      <c r="H279" s="265">
        <v>6.4814814814814813E-3</v>
      </c>
      <c r="I279" s="221">
        <v>4.5967953769372209E-3</v>
      </c>
      <c r="J279" s="265">
        <v>0</v>
      </c>
      <c r="K279" s="221">
        <v>0</v>
      </c>
      <c r="L279" s="221">
        <f t="shared" si="15"/>
        <v>1.1245731547149989E-3</v>
      </c>
      <c r="AH279" s="17"/>
      <c r="AJ279" s="574"/>
    </row>
    <row r="280" spans="2:36" s="7" customFormat="1" ht="15.75">
      <c r="B280" s="503" t="s">
        <v>144</v>
      </c>
      <c r="C280" s="584" t="s">
        <v>430</v>
      </c>
      <c r="D280" s="16">
        <v>20</v>
      </c>
      <c r="E280" s="221">
        <v>3.472222222222222E-3</v>
      </c>
      <c r="F280" s="137">
        <v>8.3333333333333332E-3</v>
      </c>
      <c r="G280" s="344">
        <v>0.41</v>
      </c>
      <c r="H280" s="265">
        <v>1.2962962962962963E-2</v>
      </c>
      <c r="I280" s="221">
        <v>9.1935907538744418E-3</v>
      </c>
      <c r="J280" s="265">
        <v>0</v>
      </c>
      <c r="K280" s="221">
        <v>0</v>
      </c>
      <c r="L280" s="221">
        <f t="shared" si="15"/>
        <v>5.7213685316522198E-3</v>
      </c>
      <c r="AH280" s="17"/>
      <c r="AJ280" s="574"/>
    </row>
    <row r="281" spans="2:36" s="7" customFormat="1" ht="15.75">
      <c r="B281" s="503" t="s">
        <v>144</v>
      </c>
      <c r="C281" s="584" t="s">
        <v>431</v>
      </c>
      <c r="D281" s="16">
        <v>20</v>
      </c>
      <c r="E281" s="221">
        <v>3.472222222222222E-3</v>
      </c>
      <c r="F281" s="137">
        <v>8.3333333333333332E-3</v>
      </c>
      <c r="G281" s="344">
        <v>0.41</v>
      </c>
      <c r="H281" s="265">
        <v>2.6041666666666668E-2</v>
      </c>
      <c r="I281" s="221">
        <v>1.8469267139479908E-2</v>
      </c>
      <c r="J281" s="265">
        <v>2.0833333333333333E-3</v>
      </c>
      <c r="K281" s="221">
        <v>4.5803782505910197E-3</v>
      </c>
      <c r="L281" s="221">
        <f t="shared" si="15"/>
        <v>1.2913711583924353E-2</v>
      </c>
      <c r="AH281" s="17"/>
      <c r="AJ281" s="574"/>
    </row>
    <row r="282" spans="2:36" s="7" customFormat="1" ht="15.75">
      <c r="B282" s="503" t="s">
        <v>144</v>
      </c>
      <c r="C282" s="584" t="s">
        <v>610</v>
      </c>
      <c r="D282" s="16">
        <v>20</v>
      </c>
      <c r="E282" s="221">
        <v>3.472222222222222E-3</v>
      </c>
      <c r="F282" s="137">
        <v>8.3333333333333332E-3</v>
      </c>
      <c r="G282" s="344">
        <v>0.41</v>
      </c>
      <c r="H282" s="265">
        <v>1.8518518518518521E-2</v>
      </c>
      <c r="I282" s="221">
        <v>1.313370107696349E-2</v>
      </c>
      <c r="J282" s="265">
        <v>0</v>
      </c>
      <c r="K282" s="221">
        <v>1.3281455214079353E-3</v>
      </c>
      <c r="L282" s="221">
        <f t="shared" si="15"/>
        <v>9.6614788547412685E-3</v>
      </c>
      <c r="AH282" s="17"/>
      <c r="AJ282" s="574"/>
    </row>
    <row r="283" spans="2:36" s="7" customFormat="1" ht="15.75">
      <c r="B283" s="503" t="s">
        <v>144</v>
      </c>
      <c r="C283" s="584" t="s">
        <v>26</v>
      </c>
      <c r="D283" s="16">
        <v>20</v>
      </c>
      <c r="E283" s="221">
        <v>3.472222222222222E-3</v>
      </c>
      <c r="F283" s="137">
        <v>8.3333333333333332E-3</v>
      </c>
      <c r="G283" s="344">
        <v>0.41</v>
      </c>
      <c r="H283" s="265">
        <v>6.9444444444444447E-4</v>
      </c>
      <c r="I283" s="221">
        <v>4.9251379038613087E-4</v>
      </c>
      <c r="J283" s="265">
        <v>0</v>
      </c>
      <c r="K283" s="221">
        <v>0</v>
      </c>
      <c r="L283" s="221">
        <f t="shared" si="15"/>
        <v>0</v>
      </c>
      <c r="AH283" s="17"/>
      <c r="AJ283" s="574"/>
    </row>
    <row r="284" spans="2:36" s="7" customFormat="1" ht="15.75">
      <c r="B284" s="503" t="s">
        <v>144</v>
      </c>
      <c r="C284" s="584" t="s">
        <v>776</v>
      </c>
      <c r="D284" s="16">
        <v>20</v>
      </c>
      <c r="E284" s="221">
        <v>3.472222222222222E-3</v>
      </c>
      <c r="F284" s="137">
        <v>8.3333333333333332E-3</v>
      </c>
      <c r="G284" s="344">
        <v>0.41</v>
      </c>
      <c r="H284" s="265">
        <v>1.3888888888888889E-3</v>
      </c>
      <c r="I284" s="221">
        <v>9.8502758077226174E-4</v>
      </c>
      <c r="J284" s="265">
        <v>0</v>
      </c>
      <c r="K284" s="221">
        <v>0</v>
      </c>
      <c r="L284" s="221">
        <f t="shared" si="15"/>
        <v>0</v>
      </c>
      <c r="AH284" s="17"/>
      <c r="AJ284" s="574"/>
    </row>
    <row r="285" spans="2:36" s="7" customFormat="1" ht="15.75">
      <c r="B285" s="503" t="s">
        <v>144</v>
      </c>
      <c r="C285" s="584" t="s">
        <v>410</v>
      </c>
      <c r="D285" s="16">
        <v>20</v>
      </c>
      <c r="E285" s="221">
        <v>3.472222222222222E-3</v>
      </c>
      <c r="F285" s="137">
        <v>8.3333333333333332E-3</v>
      </c>
      <c r="G285" s="344">
        <v>0.41</v>
      </c>
      <c r="H285" s="265">
        <v>2.7777777777777779E-3</v>
      </c>
      <c r="I285" s="221">
        <v>1.9700551615445235E-3</v>
      </c>
      <c r="J285" s="265">
        <v>0</v>
      </c>
      <c r="K285" s="221">
        <v>0</v>
      </c>
      <c r="L285" s="221">
        <f t="shared" si="15"/>
        <v>0</v>
      </c>
      <c r="AH285" s="17"/>
      <c r="AJ285" s="574"/>
    </row>
    <row r="286" spans="2:36" s="7" customFormat="1" ht="15.75">
      <c r="B286" s="503" t="s">
        <v>144</v>
      </c>
      <c r="C286" s="584" t="s">
        <v>411</v>
      </c>
      <c r="D286" s="16">
        <v>20</v>
      </c>
      <c r="E286" s="221">
        <v>3.472222222222222E-3</v>
      </c>
      <c r="F286" s="137">
        <v>8.3333333333333332E-3</v>
      </c>
      <c r="G286" s="344">
        <v>0.41</v>
      </c>
      <c r="H286" s="265">
        <v>5.5555555555555558E-3</v>
      </c>
      <c r="I286" s="221">
        <v>3.940110323089047E-3</v>
      </c>
      <c r="J286" s="265">
        <v>0</v>
      </c>
      <c r="K286" s="221">
        <v>0</v>
      </c>
      <c r="L286" s="221">
        <f t="shared" si="15"/>
        <v>4.6788810086682495E-4</v>
      </c>
      <c r="AH286" s="17"/>
      <c r="AJ286" s="574"/>
    </row>
    <row r="287" spans="2:36" s="7" customFormat="1" ht="15.75">
      <c r="B287" s="503" t="s">
        <v>144</v>
      </c>
      <c r="C287" s="584" t="s">
        <v>412</v>
      </c>
      <c r="D287" s="16">
        <v>20</v>
      </c>
      <c r="E287" s="221">
        <v>3.472222222222222E-3</v>
      </c>
      <c r="F287" s="137">
        <v>8.3333333333333332E-3</v>
      </c>
      <c r="G287" s="344">
        <v>0.41</v>
      </c>
      <c r="H287" s="265">
        <v>1.1111111111111112E-2</v>
      </c>
      <c r="I287" s="221">
        <v>7.880220646178094E-3</v>
      </c>
      <c r="J287" s="265">
        <v>0</v>
      </c>
      <c r="K287" s="221">
        <v>0</v>
      </c>
      <c r="L287" s="221">
        <f t="shared" si="15"/>
        <v>4.4079984239558719E-3</v>
      </c>
      <c r="AH287" s="17"/>
      <c r="AJ287" s="574"/>
    </row>
    <row r="288" spans="2:36" s="7" customFormat="1" ht="15.75">
      <c r="B288" s="503" t="s">
        <v>144</v>
      </c>
      <c r="C288" s="584" t="s">
        <v>413</v>
      </c>
      <c r="D288" s="16">
        <v>20</v>
      </c>
      <c r="E288" s="221">
        <v>3.472222222222222E-3</v>
      </c>
      <c r="F288" s="137">
        <v>8.3333333333333332E-3</v>
      </c>
      <c r="G288" s="344">
        <v>0.41</v>
      </c>
      <c r="H288" s="265">
        <v>2.2222222222222223E-2</v>
      </c>
      <c r="I288" s="221">
        <v>1.5760441292356188E-2</v>
      </c>
      <c r="J288" s="265">
        <v>0</v>
      </c>
      <c r="K288" s="221">
        <v>3.9548857368006327E-3</v>
      </c>
      <c r="L288" s="221">
        <f t="shared" si="15"/>
        <v>1.2288219070133966E-2</v>
      </c>
      <c r="AH288" s="17"/>
      <c r="AJ288" s="574"/>
    </row>
    <row r="289" spans="2:36" s="7" customFormat="1" ht="15.75">
      <c r="B289" s="503" t="s">
        <v>144</v>
      </c>
      <c r="C289" s="584" t="s">
        <v>175</v>
      </c>
      <c r="D289" s="16">
        <v>20</v>
      </c>
      <c r="E289" s="221">
        <v>3.472222222222222E-3</v>
      </c>
      <c r="F289" s="137">
        <v>8.3333333333333332E-3</v>
      </c>
      <c r="G289" s="344">
        <v>0.41</v>
      </c>
      <c r="H289" s="265">
        <v>6.9444444444444447E-4</v>
      </c>
      <c r="I289" s="221">
        <v>4.9251379038613087E-4</v>
      </c>
      <c r="J289" s="265">
        <v>0</v>
      </c>
      <c r="K289" s="221">
        <v>0</v>
      </c>
      <c r="L289" s="221">
        <f t="shared" si="15"/>
        <v>0</v>
      </c>
      <c r="AH289" s="17"/>
      <c r="AJ289" s="574"/>
    </row>
    <row r="290" spans="2:36" s="7" customFormat="1" ht="15.75">
      <c r="B290" s="503" t="s">
        <v>144</v>
      </c>
      <c r="C290" s="584" t="s">
        <v>406</v>
      </c>
      <c r="D290" s="16">
        <v>20</v>
      </c>
      <c r="E290" s="221">
        <v>3.472222222222222E-3</v>
      </c>
      <c r="F290" s="137">
        <v>8.3333333333333332E-3</v>
      </c>
      <c r="G290" s="344">
        <v>0.41</v>
      </c>
      <c r="H290" s="265">
        <v>1.8518518518518517E-3</v>
      </c>
      <c r="I290" s="221">
        <v>1.3133701076963487E-3</v>
      </c>
      <c r="J290" s="265">
        <v>0</v>
      </c>
      <c r="K290" s="221">
        <v>0</v>
      </c>
      <c r="L290" s="221">
        <f t="shared" si="15"/>
        <v>0</v>
      </c>
      <c r="AH290" s="17"/>
      <c r="AJ290" s="574"/>
    </row>
    <row r="291" spans="2:36" s="7" customFormat="1" ht="15.75">
      <c r="B291" s="503" t="s">
        <v>144</v>
      </c>
      <c r="C291" s="584" t="s">
        <v>447</v>
      </c>
      <c r="D291" s="16">
        <v>20</v>
      </c>
      <c r="E291" s="221">
        <v>3.472222222222222E-3</v>
      </c>
      <c r="F291" s="137">
        <v>8.3333333333333332E-3</v>
      </c>
      <c r="G291" s="344">
        <v>0.41</v>
      </c>
      <c r="H291" s="265">
        <v>3.7037037037037034E-3</v>
      </c>
      <c r="I291" s="221">
        <v>2.6267402153926974E-3</v>
      </c>
      <c r="J291" s="265">
        <v>0</v>
      </c>
      <c r="K291" s="221">
        <v>0</v>
      </c>
      <c r="L291" s="221">
        <f t="shared" si="15"/>
        <v>0</v>
      </c>
      <c r="AH291" s="17"/>
      <c r="AJ291" s="574"/>
    </row>
    <row r="292" spans="2:36" s="7" customFormat="1" ht="15.75">
      <c r="B292" s="503" t="s">
        <v>144</v>
      </c>
      <c r="C292" s="584" t="s">
        <v>448</v>
      </c>
      <c r="D292" s="16">
        <v>20</v>
      </c>
      <c r="E292" s="221">
        <v>3.472222222222222E-3</v>
      </c>
      <c r="F292" s="137">
        <v>8.3333333333333332E-3</v>
      </c>
      <c r="G292" s="344">
        <v>0.41</v>
      </c>
      <c r="H292" s="265">
        <v>7.4074074074074068E-3</v>
      </c>
      <c r="I292" s="221">
        <v>5.2534804307853948E-3</v>
      </c>
      <c r="J292" s="265">
        <v>0</v>
      </c>
      <c r="K292" s="221">
        <v>0</v>
      </c>
      <c r="L292" s="221">
        <f t="shared" si="15"/>
        <v>1.7812582085631728E-3</v>
      </c>
      <c r="AH292" s="17"/>
      <c r="AJ292" s="574"/>
    </row>
    <row r="293" spans="2:36" s="7" customFormat="1" ht="15.75">
      <c r="B293" s="503" t="s">
        <v>144</v>
      </c>
      <c r="C293" s="584" t="s">
        <v>449</v>
      </c>
      <c r="D293" s="16">
        <v>20</v>
      </c>
      <c r="E293" s="221">
        <v>3.472222222222222E-3</v>
      </c>
      <c r="F293" s="137">
        <v>8.3333333333333332E-3</v>
      </c>
      <c r="G293" s="344">
        <v>0.41</v>
      </c>
      <c r="H293" s="265">
        <v>1.4814814814814814E-2</v>
      </c>
      <c r="I293" s="221">
        <v>1.050696086157079E-2</v>
      </c>
      <c r="J293" s="265">
        <v>0</v>
      </c>
      <c r="K293" s="221">
        <v>0</v>
      </c>
      <c r="L293" s="221">
        <f t="shared" si="15"/>
        <v>7.0347386393485676E-3</v>
      </c>
      <c r="AH293" s="17"/>
      <c r="AJ293" s="574"/>
    </row>
    <row r="294" spans="2:36" s="7" customFormat="1" ht="15.75">
      <c r="B294" s="503" t="s">
        <v>144</v>
      </c>
      <c r="C294" s="584" t="s">
        <v>450</v>
      </c>
      <c r="D294" s="16">
        <v>20</v>
      </c>
      <c r="E294" s="221">
        <v>3.472222222222222E-3</v>
      </c>
      <c r="F294" s="137">
        <v>8.3333333333333332E-3</v>
      </c>
      <c r="G294" s="344">
        <v>0.41</v>
      </c>
      <c r="H294" s="265">
        <v>2.9629629629629627E-2</v>
      </c>
      <c r="I294" s="221">
        <v>2.1013921723141579E-2</v>
      </c>
      <c r="J294" s="265">
        <v>0</v>
      </c>
      <c r="K294" s="221">
        <v>9.2083661675860223E-3</v>
      </c>
      <c r="L294" s="221">
        <f t="shared" si="15"/>
        <v>1.7541699500919355E-2</v>
      </c>
      <c r="AH294" s="17"/>
      <c r="AJ294" s="574"/>
    </row>
    <row r="295" spans="2:36" s="7" customFormat="1" ht="15.75">
      <c r="B295" s="503" t="s">
        <v>144</v>
      </c>
      <c r="C295" s="584" t="s">
        <v>176</v>
      </c>
      <c r="D295" s="16">
        <v>20</v>
      </c>
      <c r="E295" s="221">
        <v>3.472222222222222E-3</v>
      </c>
      <c r="F295" s="137">
        <v>8.3333333333333332E-3</v>
      </c>
      <c r="G295" s="344">
        <v>0.41</v>
      </c>
      <c r="H295" s="265">
        <v>6.9444444444444447E-4</v>
      </c>
      <c r="I295" s="221">
        <v>4.9251379038613087E-4</v>
      </c>
      <c r="J295" s="265">
        <v>0</v>
      </c>
      <c r="K295" s="221">
        <v>0</v>
      </c>
      <c r="L295" s="221">
        <f t="shared" si="15"/>
        <v>0</v>
      </c>
      <c r="AH295" s="17"/>
      <c r="AJ295" s="574"/>
    </row>
    <row r="296" spans="2:36" s="7" customFormat="1" ht="15.75">
      <c r="B296" s="503" t="s">
        <v>144</v>
      </c>
      <c r="C296" s="584" t="s">
        <v>664</v>
      </c>
      <c r="D296" s="16">
        <v>20</v>
      </c>
      <c r="E296" s="221">
        <v>3.472222222222222E-3</v>
      </c>
      <c r="F296" s="137">
        <v>8.3333333333333332E-3</v>
      </c>
      <c r="G296" s="344">
        <v>0.41</v>
      </c>
      <c r="H296" s="265">
        <v>1.1574074074074073E-3</v>
      </c>
      <c r="I296" s="221">
        <v>8.2085631731021805E-4</v>
      </c>
      <c r="J296" s="265">
        <v>0</v>
      </c>
      <c r="K296" s="221">
        <v>0</v>
      </c>
      <c r="L296" s="221">
        <f t="shared" si="15"/>
        <v>0</v>
      </c>
      <c r="AH296" s="17"/>
      <c r="AJ296" s="574"/>
    </row>
    <row r="297" spans="2:36" s="7" customFormat="1" ht="15.75">
      <c r="B297" s="503" t="s">
        <v>144</v>
      </c>
      <c r="C297" s="584" t="s">
        <v>213</v>
      </c>
      <c r="D297" s="16">
        <v>20</v>
      </c>
      <c r="E297" s="221">
        <v>3.472222222222222E-3</v>
      </c>
      <c r="F297" s="137">
        <v>8.3333333333333332E-3</v>
      </c>
      <c r="G297" s="344">
        <v>0.41</v>
      </c>
      <c r="H297" s="265">
        <v>2.3148148148148151E-3</v>
      </c>
      <c r="I297" s="221">
        <v>1.6417126346204363E-3</v>
      </c>
      <c r="J297" s="265">
        <v>0</v>
      </c>
      <c r="K297" s="221">
        <v>0</v>
      </c>
      <c r="L297" s="221">
        <f t="shared" si="15"/>
        <v>0</v>
      </c>
      <c r="AH297" s="17"/>
      <c r="AJ297" s="574"/>
    </row>
    <row r="298" spans="2:36" s="7" customFormat="1" ht="15.75">
      <c r="B298" s="503" t="s">
        <v>144</v>
      </c>
      <c r="C298" s="584" t="s">
        <v>214</v>
      </c>
      <c r="D298" s="16">
        <v>20</v>
      </c>
      <c r="E298" s="221">
        <v>3.472222222222222E-3</v>
      </c>
      <c r="F298" s="137">
        <v>8.3333333333333332E-3</v>
      </c>
      <c r="G298" s="344">
        <v>0.41</v>
      </c>
      <c r="H298" s="265">
        <v>4.6296296296296302E-3</v>
      </c>
      <c r="I298" s="221">
        <v>3.2834252692408726E-3</v>
      </c>
      <c r="J298" s="265">
        <v>0</v>
      </c>
      <c r="K298" s="221">
        <v>0</v>
      </c>
      <c r="L298" s="221">
        <f t="shared" si="15"/>
        <v>0</v>
      </c>
      <c r="AH298" s="17"/>
      <c r="AJ298" s="574"/>
    </row>
    <row r="299" spans="2:36" s="7" customFormat="1" ht="15.75">
      <c r="B299" s="503" t="s">
        <v>144</v>
      </c>
      <c r="C299" s="584" t="s">
        <v>215</v>
      </c>
      <c r="D299" s="16">
        <v>20</v>
      </c>
      <c r="E299" s="221">
        <v>3.472222222222222E-3</v>
      </c>
      <c r="F299" s="137">
        <v>8.3333333333333332E-3</v>
      </c>
      <c r="G299" s="344">
        <v>0.41</v>
      </c>
      <c r="H299" s="265">
        <v>9.2592592592592605E-3</v>
      </c>
      <c r="I299" s="221">
        <v>6.5668505384817452E-3</v>
      </c>
      <c r="J299" s="265">
        <v>0</v>
      </c>
      <c r="K299" s="221">
        <v>0</v>
      </c>
      <c r="L299" s="221">
        <f t="shared" si="15"/>
        <v>3.0946283162595232E-3</v>
      </c>
      <c r="AH299" s="17"/>
      <c r="AJ299" s="574"/>
    </row>
    <row r="300" spans="2:36" s="7" customFormat="1" ht="15.75">
      <c r="B300" s="503" t="s">
        <v>144</v>
      </c>
      <c r="C300" s="584" t="s">
        <v>216</v>
      </c>
      <c r="D300" s="16">
        <v>20</v>
      </c>
      <c r="E300" s="221">
        <v>3.472222222222222E-3</v>
      </c>
      <c r="F300" s="137">
        <v>8.3333333333333332E-3</v>
      </c>
      <c r="G300" s="344">
        <v>0.41</v>
      </c>
      <c r="H300" s="265">
        <v>1.8518518518518521E-2</v>
      </c>
      <c r="I300" s="221">
        <v>1.313370107696349E-2</v>
      </c>
      <c r="J300" s="265">
        <v>0</v>
      </c>
      <c r="K300" s="221">
        <v>1.3281455214079353E-3</v>
      </c>
      <c r="L300" s="221">
        <f t="shared" si="15"/>
        <v>9.6614788547412685E-3</v>
      </c>
      <c r="AH300" s="17"/>
      <c r="AJ300" s="574"/>
    </row>
    <row r="301" spans="2:36" s="7" customFormat="1" ht="15.75">
      <c r="B301" s="503" t="s">
        <v>144</v>
      </c>
      <c r="C301" s="584" t="s">
        <v>176</v>
      </c>
      <c r="D301" s="16">
        <v>20</v>
      </c>
      <c r="E301" s="221">
        <v>3.472222222222222E-3</v>
      </c>
      <c r="F301" s="137">
        <v>8.3333333333333332E-3</v>
      </c>
      <c r="G301" s="344">
        <v>0.41</v>
      </c>
      <c r="H301" s="265">
        <v>6.9444444444444447E-4</v>
      </c>
      <c r="I301" s="221">
        <v>4.9251379038613087E-4</v>
      </c>
      <c r="J301" s="265">
        <v>0</v>
      </c>
      <c r="K301" s="221">
        <v>0</v>
      </c>
      <c r="L301" s="221">
        <f t="shared" si="15"/>
        <v>0</v>
      </c>
      <c r="AH301" s="17"/>
      <c r="AJ301" s="574"/>
    </row>
    <row r="302" spans="2:36" s="7" customFormat="1" ht="15.75">
      <c r="B302" s="503" t="s">
        <v>144</v>
      </c>
      <c r="C302" s="584" t="s">
        <v>664</v>
      </c>
      <c r="D302" s="16">
        <v>20</v>
      </c>
      <c r="E302" s="221">
        <v>3.472222222222222E-3</v>
      </c>
      <c r="F302" s="137">
        <v>8.3333333333333332E-3</v>
      </c>
      <c r="G302" s="344">
        <v>0.41</v>
      </c>
      <c r="H302" s="265">
        <v>1.1574074074074073E-3</v>
      </c>
      <c r="I302" s="221">
        <v>8.2085631731021805E-4</v>
      </c>
      <c r="J302" s="265">
        <v>0</v>
      </c>
      <c r="K302" s="221">
        <v>0</v>
      </c>
      <c r="L302" s="221">
        <f t="shared" si="15"/>
        <v>0</v>
      </c>
      <c r="AH302" s="17"/>
      <c r="AJ302" s="574"/>
    </row>
    <row r="303" spans="2:36" s="7" customFormat="1" ht="15.75">
      <c r="B303" s="503" t="s">
        <v>144</v>
      </c>
      <c r="C303" s="584" t="s">
        <v>213</v>
      </c>
      <c r="D303" s="16">
        <v>20</v>
      </c>
      <c r="E303" s="221">
        <v>3.472222222222222E-3</v>
      </c>
      <c r="F303" s="137">
        <v>8.3333333333333332E-3</v>
      </c>
      <c r="G303" s="344">
        <v>0.41</v>
      </c>
      <c r="H303" s="265">
        <v>2.3148148148148151E-3</v>
      </c>
      <c r="I303" s="221">
        <v>1.6417126346204363E-3</v>
      </c>
      <c r="J303" s="265">
        <v>0</v>
      </c>
      <c r="K303" s="221">
        <v>0</v>
      </c>
      <c r="L303" s="221">
        <f t="shared" si="15"/>
        <v>0</v>
      </c>
      <c r="AH303" s="17"/>
      <c r="AJ303" s="574"/>
    </row>
    <row r="304" spans="2:36" s="7" customFormat="1" ht="15.75">
      <c r="B304" s="503" t="s">
        <v>144</v>
      </c>
      <c r="C304" s="584" t="s">
        <v>214</v>
      </c>
      <c r="D304" s="16">
        <v>20</v>
      </c>
      <c r="E304" s="221">
        <v>3.472222222222222E-3</v>
      </c>
      <c r="F304" s="137">
        <v>8.3333333333333332E-3</v>
      </c>
      <c r="G304" s="344">
        <v>0.41</v>
      </c>
      <c r="H304" s="265">
        <v>4.6296296296296302E-3</v>
      </c>
      <c r="I304" s="221">
        <v>3.2834252692408726E-3</v>
      </c>
      <c r="J304" s="265">
        <v>0</v>
      </c>
      <c r="K304" s="221">
        <v>0</v>
      </c>
      <c r="L304" s="221">
        <f t="shared" ref="L304:L338" si="16">IF(I304-E304-J304&gt;0,I304-E304-J304,0)</f>
        <v>0</v>
      </c>
      <c r="AH304" s="17"/>
      <c r="AJ304" s="574"/>
    </row>
    <row r="305" spans="2:36" s="7" customFormat="1" ht="15.75">
      <c r="B305" s="503" t="s">
        <v>144</v>
      </c>
      <c r="C305" s="584" t="s">
        <v>215</v>
      </c>
      <c r="D305" s="16">
        <v>20</v>
      </c>
      <c r="E305" s="221">
        <v>3.472222222222222E-3</v>
      </c>
      <c r="F305" s="137">
        <v>8.3333333333333332E-3</v>
      </c>
      <c r="G305" s="344">
        <v>0.41</v>
      </c>
      <c r="H305" s="265">
        <v>9.2592592592592605E-3</v>
      </c>
      <c r="I305" s="221">
        <v>6.5668505384817452E-3</v>
      </c>
      <c r="J305" s="265">
        <v>0</v>
      </c>
      <c r="K305" s="221">
        <v>0</v>
      </c>
      <c r="L305" s="221">
        <f t="shared" si="16"/>
        <v>3.0946283162595232E-3</v>
      </c>
      <c r="AH305" s="17"/>
      <c r="AJ305" s="574"/>
    </row>
    <row r="306" spans="2:36" s="7" customFormat="1" ht="15.75">
      <c r="B306" s="503" t="s">
        <v>144</v>
      </c>
      <c r="C306" s="584" t="s">
        <v>216</v>
      </c>
      <c r="D306" s="16">
        <v>20</v>
      </c>
      <c r="E306" s="221">
        <v>3.472222222222222E-3</v>
      </c>
      <c r="F306" s="137">
        <v>8.3333333333333332E-3</v>
      </c>
      <c r="G306" s="344">
        <v>0.41</v>
      </c>
      <c r="H306" s="265">
        <v>1.8518518518518521E-2</v>
      </c>
      <c r="I306" s="221">
        <v>1.313370107696349E-2</v>
      </c>
      <c r="J306" s="265">
        <v>0</v>
      </c>
      <c r="K306" s="221">
        <v>1.3281455214079353E-3</v>
      </c>
      <c r="L306" s="221">
        <f t="shared" si="16"/>
        <v>9.6614788547412685E-3</v>
      </c>
      <c r="AH306" s="17"/>
      <c r="AJ306" s="574"/>
    </row>
    <row r="307" spans="2:36" s="7" customFormat="1" ht="15.75">
      <c r="B307" s="503" t="s">
        <v>144</v>
      </c>
      <c r="C307" s="584" t="s">
        <v>1263</v>
      </c>
      <c r="D307" s="16">
        <v>20</v>
      </c>
      <c r="E307" s="221">
        <v>3.472222222222222E-3</v>
      </c>
      <c r="F307" s="137">
        <v>8.3333333333333332E-3</v>
      </c>
      <c r="G307" s="344">
        <v>0.41</v>
      </c>
      <c r="H307" s="265">
        <v>7.407407407407407E-2</v>
      </c>
      <c r="I307" s="221">
        <v>5.2534804307853955E-2</v>
      </c>
      <c r="J307" s="265">
        <v>4.1666666666666664E-2</v>
      </c>
      <c r="K307" s="221">
        <v>0</v>
      </c>
      <c r="L307" s="221">
        <f t="shared" si="16"/>
        <v>7.3959154189650669E-3</v>
      </c>
      <c r="AH307" s="17"/>
      <c r="AJ307" s="574"/>
    </row>
    <row r="308" spans="2:36" s="7" customFormat="1" ht="15.75">
      <c r="B308" s="503" t="s">
        <v>144</v>
      </c>
      <c r="C308" s="584" t="s">
        <v>343</v>
      </c>
      <c r="D308" s="16">
        <v>20</v>
      </c>
      <c r="E308" s="221">
        <v>3.472222222222222E-3</v>
      </c>
      <c r="F308" s="137">
        <v>8.3333333333333332E-3</v>
      </c>
      <c r="G308" s="344">
        <v>0.41</v>
      </c>
      <c r="H308" s="265">
        <v>2.0833333333333333E-3</v>
      </c>
      <c r="I308" s="221">
        <v>1.4775413711583924E-3</v>
      </c>
      <c r="J308" s="265">
        <v>0</v>
      </c>
      <c r="K308" s="221">
        <v>0</v>
      </c>
      <c r="L308" s="221">
        <f t="shared" si="16"/>
        <v>0</v>
      </c>
      <c r="AH308" s="17"/>
      <c r="AJ308" s="574"/>
    </row>
    <row r="309" spans="2:36" s="7" customFormat="1" ht="15.75">
      <c r="B309" s="503" t="s">
        <v>144</v>
      </c>
      <c r="C309" s="584" t="s">
        <v>239</v>
      </c>
      <c r="D309" s="16">
        <v>20</v>
      </c>
      <c r="E309" s="221">
        <v>3.472222222222222E-3</v>
      </c>
      <c r="F309" s="137">
        <v>8.3333333333333332E-3</v>
      </c>
      <c r="G309" s="344">
        <v>0.41</v>
      </c>
      <c r="H309" s="265">
        <v>4.1666666666666666E-3</v>
      </c>
      <c r="I309" s="221">
        <v>2.9550827423167848E-3</v>
      </c>
      <c r="J309" s="265">
        <v>0</v>
      </c>
      <c r="K309" s="221">
        <v>0</v>
      </c>
      <c r="L309" s="221">
        <f t="shared" si="16"/>
        <v>0</v>
      </c>
      <c r="AH309" s="17"/>
      <c r="AJ309" s="574"/>
    </row>
    <row r="310" spans="2:36" s="7" customFormat="1" ht="15.75">
      <c r="B310" s="503" t="s">
        <v>144</v>
      </c>
      <c r="C310" s="584" t="s">
        <v>240</v>
      </c>
      <c r="D310" s="16">
        <v>20</v>
      </c>
      <c r="E310" s="221">
        <v>3.472222222222222E-3</v>
      </c>
      <c r="F310" s="137">
        <v>8.3333333333333332E-3</v>
      </c>
      <c r="G310" s="344">
        <v>0.41</v>
      </c>
      <c r="H310" s="265">
        <v>8.3333333333333332E-3</v>
      </c>
      <c r="I310" s="221">
        <v>5.9101654846335696E-3</v>
      </c>
      <c r="J310" s="265">
        <v>0</v>
      </c>
      <c r="K310" s="221">
        <v>0</v>
      </c>
      <c r="L310" s="221">
        <f t="shared" si="16"/>
        <v>2.4379432624113476E-3</v>
      </c>
      <c r="AH310" s="17"/>
      <c r="AJ310" s="574"/>
    </row>
    <row r="311" spans="2:36" s="7" customFormat="1" ht="15.75">
      <c r="B311" s="503" t="s">
        <v>144</v>
      </c>
      <c r="C311" s="584" t="s">
        <v>241</v>
      </c>
      <c r="D311" s="16">
        <v>20</v>
      </c>
      <c r="E311" s="221">
        <v>3.472222222222222E-3</v>
      </c>
      <c r="F311" s="137">
        <v>8.3333333333333332E-3</v>
      </c>
      <c r="G311" s="344">
        <v>0.41</v>
      </c>
      <c r="H311" s="265">
        <v>1.6666666666666666E-2</v>
      </c>
      <c r="I311" s="221">
        <v>1.1820330969267139E-2</v>
      </c>
      <c r="J311" s="265">
        <v>0</v>
      </c>
      <c r="K311" s="221">
        <v>1.4775413711583946E-5</v>
      </c>
      <c r="L311" s="221">
        <f t="shared" si="16"/>
        <v>8.3481087470449172E-3</v>
      </c>
      <c r="AH311" s="17"/>
      <c r="AJ311" s="574"/>
    </row>
    <row r="312" spans="2:36" s="7" customFormat="1" ht="15.75">
      <c r="B312" s="503" t="s">
        <v>144</v>
      </c>
      <c r="C312" s="584" t="s">
        <v>343</v>
      </c>
      <c r="D312" s="16">
        <v>20</v>
      </c>
      <c r="E312" s="221">
        <v>3.472222222222222E-3</v>
      </c>
      <c r="F312" s="137">
        <v>8.3333333333333332E-3</v>
      </c>
      <c r="G312" s="344">
        <v>0.41</v>
      </c>
      <c r="H312" s="265">
        <v>2.0833333333333333E-3</v>
      </c>
      <c r="I312" s="221">
        <v>1.4775413711583924E-3</v>
      </c>
      <c r="J312" s="265">
        <v>0</v>
      </c>
      <c r="K312" s="221">
        <v>0</v>
      </c>
      <c r="L312" s="221">
        <f t="shared" si="16"/>
        <v>0</v>
      </c>
      <c r="AH312" s="17"/>
      <c r="AJ312" s="574"/>
    </row>
    <row r="313" spans="2:36" s="7" customFormat="1" ht="15.75">
      <c r="B313" s="503" t="s">
        <v>144</v>
      </c>
      <c r="C313" s="584" t="s">
        <v>239</v>
      </c>
      <c r="D313" s="16">
        <v>20</v>
      </c>
      <c r="E313" s="221">
        <v>3.472222222222222E-3</v>
      </c>
      <c r="F313" s="137">
        <v>8.3333333333333332E-3</v>
      </c>
      <c r="G313" s="344">
        <v>0.41</v>
      </c>
      <c r="H313" s="265">
        <v>4.1666666666666666E-3</v>
      </c>
      <c r="I313" s="221">
        <v>2.9550827423167848E-3</v>
      </c>
      <c r="J313" s="265">
        <v>0</v>
      </c>
      <c r="K313" s="221">
        <v>0</v>
      </c>
      <c r="L313" s="221">
        <f t="shared" si="16"/>
        <v>0</v>
      </c>
      <c r="AH313" s="17"/>
      <c r="AJ313" s="574"/>
    </row>
    <row r="314" spans="2:36" s="7" customFormat="1" ht="15.75">
      <c r="B314" s="503" t="s">
        <v>144</v>
      </c>
      <c r="C314" s="584" t="s">
        <v>240</v>
      </c>
      <c r="D314" s="16">
        <v>20</v>
      </c>
      <c r="E314" s="221">
        <v>3.472222222222222E-3</v>
      </c>
      <c r="F314" s="137">
        <v>8.3333333333333332E-3</v>
      </c>
      <c r="G314" s="344">
        <v>0.41</v>
      </c>
      <c r="H314" s="265">
        <v>8.3333333333333332E-3</v>
      </c>
      <c r="I314" s="221">
        <v>5.9101654846335696E-3</v>
      </c>
      <c r="J314" s="265">
        <v>0</v>
      </c>
      <c r="K314" s="221">
        <v>0</v>
      </c>
      <c r="L314" s="221">
        <f t="shared" si="16"/>
        <v>2.4379432624113476E-3</v>
      </c>
      <c r="AH314" s="17"/>
      <c r="AJ314" s="574"/>
    </row>
    <row r="315" spans="2:36" s="7" customFormat="1" ht="15.75">
      <c r="B315" s="503" t="s">
        <v>144</v>
      </c>
      <c r="C315" s="584" t="s">
        <v>241</v>
      </c>
      <c r="D315" s="16">
        <v>20</v>
      </c>
      <c r="E315" s="221">
        <v>3.472222222222222E-3</v>
      </c>
      <c r="F315" s="137">
        <v>8.3333333333333332E-3</v>
      </c>
      <c r="G315" s="344">
        <v>0.41</v>
      </c>
      <c r="H315" s="265">
        <v>1.6666666666666666E-2</v>
      </c>
      <c r="I315" s="221">
        <v>1.1820330969267139E-2</v>
      </c>
      <c r="J315" s="265">
        <v>0</v>
      </c>
      <c r="K315" s="221">
        <v>1.4775413711583946E-5</v>
      </c>
      <c r="L315" s="221">
        <f t="shared" si="16"/>
        <v>8.3481087470449172E-3</v>
      </c>
      <c r="AH315" s="17"/>
      <c r="AJ315" s="574"/>
    </row>
    <row r="316" spans="2:36" s="7" customFormat="1" ht="15.75">
      <c r="B316" s="503" t="s">
        <v>144</v>
      </c>
      <c r="C316" s="584" t="s">
        <v>343</v>
      </c>
      <c r="D316" s="16">
        <v>20</v>
      </c>
      <c r="E316" s="221">
        <v>3.472222222222222E-3</v>
      </c>
      <c r="F316" s="137">
        <v>8.3333333333333332E-3</v>
      </c>
      <c r="G316" s="344">
        <v>0.41</v>
      </c>
      <c r="H316" s="265">
        <v>2.0833333333333333E-3</v>
      </c>
      <c r="I316" s="221">
        <v>1.4775413711583924E-3</v>
      </c>
      <c r="J316" s="265">
        <v>0</v>
      </c>
      <c r="K316" s="221">
        <v>0</v>
      </c>
      <c r="L316" s="221">
        <f t="shared" si="16"/>
        <v>0</v>
      </c>
      <c r="AH316" s="17"/>
      <c r="AJ316" s="574"/>
    </row>
    <row r="317" spans="2:36" s="7" customFormat="1" ht="15.75">
      <c r="B317" s="503" t="s">
        <v>144</v>
      </c>
      <c r="C317" s="584" t="s">
        <v>239</v>
      </c>
      <c r="D317" s="16">
        <v>20</v>
      </c>
      <c r="E317" s="221">
        <v>3.472222222222222E-3</v>
      </c>
      <c r="F317" s="137">
        <v>8.3333333333333332E-3</v>
      </c>
      <c r="G317" s="344">
        <v>0.41</v>
      </c>
      <c r="H317" s="265">
        <v>4.1666666666666666E-3</v>
      </c>
      <c r="I317" s="221">
        <v>2.9550827423167848E-3</v>
      </c>
      <c r="J317" s="265">
        <v>0</v>
      </c>
      <c r="K317" s="221">
        <v>0</v>
      </c>
      <c r="L317" s="221">
        <f t="shared" si="16"/>
        <v>0</v>
      </c>
      <c r="AH317" s="17"/>
      <c r="AJ317" s="574"/>
    </row>
    <row r="318" spans="2:36" s="7" customFormat="1" ht="15.75">
      <c r="B318" s="503" t="s">
        <v>144</v>
      </c>
      <c r="C318" s="584" t="s">
        <v>240</v>
      </c>
      <c r="D318" s="16">
        <v>20</v>
      </c>
      <c r="E318" s="221">
        <v>3.472222222222222E-3</v>
      </c>
      <c r="F318" s="137">
        <v>8.3333333333333332E-3</v>
      </c>
      <c r="G318" s="344">
        <v>0.41</v>
      </c>
      <c r="H318" s="265">
        <v>8.3333333333333332E-3</v>
      </c>
      <c r="I318" s="221">
        <v>5.9101654846335696E-3</v>
      </c>
      <c r="J318" s="265">
        <v>0</v>
      </c>
      <c r="K318" s="221">
        <v>0</v>
      </c>
      <c r="L318" s="221">
        <f t="shared" si="16"/>
        <v>2.4379432624113476E-3</v>
      </c>
      <c r="AH318" s="17"/>
      <c r="AJ318" s="574"/>
    </row>
    <row r="319" spans="2:36" s="7" customFormat="1" ht="15.75">
      <c r="B319" s="503" t="s">
        <v>144</v>
      </c>
      <c r="C319" s="584" t="s">
        <v>241</v>
      </c>
      <c r="D319" s="16">
        <v>20</v>
      </c>
      <c r="E319" s="221">
        <v>3.472222222222222E-3</v>
      </c>
      <c r="F319" s="137">
        <v>8.3333333333333332E-3</v>
      </c>
      <c r="G319" s="344">
        <v>0.41</v>
      </c>
      <c r="H319" s="265">
        <v>1.6666666666666666E-2</v>
      </c>
      <c r="I319" s="221">
        <v>1.1820330969267139E-2</v>
      </c>
      <c r="J319" s="265">
        <v>0</v>
      </c>
      <c r="K319" s="221">
        <v>1.4775413711583946E-5</v>
      </c>
      <c r="L319" s="221">
        <f t="shared" si="16"/>
        <v>8.3481087470449172E-3</v>
      </c>
      <c r="AH319" s="17"/>
      <c r="AJ319" s="574"/>
    </row>
    <row r="320" spans="2:36" s="7" customFormat="1" ht="15.75">
      <c r="B320" s="503" t="s">
        <v>144</v>
      </c>
      <c r="C320" s="584" t="s">
        <v>717</v>
      </c>
      <c r="D320" s="16">
        <v>20</v>
      </c>
      <c r="E320" s="221">
        <v>3.472222222222222E-3</v>
      </c>
      <c r="F320" s="137">
        <v>8.3333333333333332E-3</v>
      </c>
      <c r="G320" s="344">
        <v>0.41</v>
      </c>
      <c r="H320" s="265">
        <v>2.0833333333333333E-3</v>
      </c>
      <c r="I320" s="221">
        <v>1.4775413711583924E-3</v>
      </c>
      <c r="J320" s="265">
        <v>0</v>
      </c>
      <c r="K320" s="221">
        <v>0</v>
      </c>
      <c r="L320" s="221">
        <f t="shared" si="16"/>
        <v>0</v>
      </c>
      <c r="AH320" s="17"/>
      <c r="AJ320" s="574"/>
    </row>
    <row r="321" spans="2:36" s="7" customFormat="1" ht="15.75">
      <c r="B321" s="503" t="s">
        <v>144</v>
      </c>
      <c r="C321" s="584" t="s">
        <v>259</v>
      </c>
      <c r="D321" s="16">
        <v>20</v>
      </c>
      <c r="E321" s="221">
        <v>3.472222222222222E-3</v>
      </c>
      <c r="F321" s="137">
        <v>8.3333333333333332E-3</v>
      </c>
      <c r="G321" s="344">
        <v>0.41</v>
      </c>
      <c r="H321" s="265">
        <v>4.1666666666666666E-3</v>
      </c>
      <c r="I321" s="221">
        <v>2.9550827423167848E-3</v>
      </c>
      <c r="J321" s="265">
        <v>0</v>
      </c>
      <c r="K321" s="221">
        <v>0</v>
      </c>
      <c r="L321" s="221">
        <f t="shared" si="16"/>
        <v>0</v>
      </c>
      <c r="AH321" s="17"/>
      <c r="AJ321" s="574"/>
    </row>
    <row r="322" spans="2:36" s="7" customFormat="1" ht="15.75">
      <c r="B322" s="503" t="s">
        <v>144</v>
      </c>
      <c r="C322" s="584" t="s">
        <v>260</v>
      </c>
      <c r="D322" s="16">
        <v>20</v>
      </c>
      <c r="E322" s="221">
        <v>3.472222222222222E-3</v>
      </c>
      <c r="F322" s="137">
        <v>8.3333333333333332E-3</v>
      </c>
      <c r="G322" s="344">
        <v>0.41</v>
      </c>
      <c r="H322" s="265">
        <v>8.3333333333333332E-3</v>
      </c>
      <c r="I322" s="221">
        <v>5.9101654846335696E-3</v>
      </c>
      <c r="J322" s="265">
        <v>0</v>
      </c>
      <c r="K322" s="221">
        <v>0</v>
      </c>
      <c r="L322" s="221">
        <f t="shared" si="16"/>
        <v>2.4379432624113476E-3</v>
      </c>
      <c r="AH322" s="17"/>
      <c r="AJ322" s="574"/>
    </row>
    <row r="323" spans="2:36" s="7" customFormat="1" ht="15.75">
      <c r="B323" s="503" t="s">
        <v>144</v>
      </c>
      <c r="C323" s="584" t="s">
        <v>261</v>
      </c>
      <c r="D323" s="16">
        <v>20</v>
      </c>
      <c r="E323" s="221">
        <v>3.472222222222222E-3</v>
      </c>
      <c r="F323" s="137">
        <v>8.3333333333333332E-3</v>
      </c>
      <c r="G323" s="344">
        <v>0.41</v>
      </c>
      <c r="H323" s="265">
        <v>1.6666666666666666E-2</v>
      </c>
      <c r="I323" s="221">
        <v>1.1820330969267139E-2</v>
      </c>
      <c r="J323" s="265">
        <v>0</v>
      </c>
      <c r="K323" s="221">
        <v>1.4775413711583946E-5</v>
      </c>
      <c r="L323" s="221">
        <f t="shared" si="16"/>
        <v>8.3481087470449172E-3</v>
      </c>
      <c r="AH323" s="17"/>
      <c r="AJ323" s="574"/>
    </row>
    <row r="324" spans="2:36" s="7" customFormat="1" ht="15.75">
      <c r="B324" s="503" t="s">
        <v>144</v>
      </c>
      <c r="C324" s="584" t="s">
        <v>717</v>
      </c>
      <c r="D324" s="16">
        <v>20</v>
      </c>
      <c r="E324" s="221">
        <v>3.472222222222222E-3</v>
      </c>
      <c r="F324" s="137">
        <v>8.3333333333333332E-3</v>
      </c>
      <c r="G324" s="344">
        <v>0.41</v>
      </c>
      <c r="H324" s="265">
        <v>2.0833333333333333E-3</v>
      </c>
      <c r="I324" s="221">
        <v>1.4775413711583924E-3</v>
      </c>
      <c r="J324" s="265">
        <v>0</v>
      </c>
      <c r="K324" s="221">
        <v>0</v>
      </c>
      <c r="L324" s="221">
        <f t="shared" si="16"/>
        <v>0</v>
      </c>
      <c r="AH324" s="17"/>
      <c r="AJ324" s="574"/>
    </row>
    <row r="325" spans="2:36" s="7" customFormat="1" ht="15.75">
      <c r="B325" s="503" t="s">
        <v>144</v>
      </c>
      <c r="C325" s="584" t="s">
        <v>259</v>
      </c>
      <c r="D325" s="16">
        <v>20</v>
      </c>
      <c r="E325" s="221">
        <v>3.472222222222222E-3</v>
      </c>
      <c r="F325" s="137">
        <v>8.3333333333333332E-3</v>
      </c>
      <c r="G325" s="344">
        <v>0.41</v>
      </c>
      <c r="H325" s="265">
        <v>4.1666666666666666E-3</v>
      </c>
      <c r="I325" s="221">
        <v>2.9550827423167848E-3</v>
      </c>
      <c r="J325" s="265">
        <v>0</v>
      </c>
      <c r="K325" s="221">
        <v>0</v>
      </c>
      <c r="L325" s="221">
        <f t="shared" si="16"/>
        <v>0</v>
      </c>
      <c r="AH325" s="17"/>
      <c r="AJ325" s="574"/>
    </row>
    <row r="326" spans="2:36" s="7" customFormat="1" ht="15.75">
      <c r="B326" s="503" t="s">
        <v>144</v>
      </c>
      <c r="C326" s="584" t="s">
        <v>260</v>
      </c>
      <c r="D326" s="16">
        <v>20</v>
      </c>
      <c r="E326" s="221">
        <v>3.472222222222222E-3</v>
      </c>
      <c r="F326" s="137">
        <v>8.3333333333333332E-3</v>
      </c>
      <c r="G326" s="344">
        <v>0.41</v>
      </c>
      <c r="H326" s="265">
        <v>8.3333333333333332E-3</v>
      </c>
      <c r="I326" s="221">
        <v>5.9101654846335696E-3</v>
      </c>
      <c r="J326" s="265">
        <v>0</v>
      </c>
      <c r="K326" s="221">
        <v>0</v>
      </c>
      <c r="L326" s="221">
        <f t="shared" si="16"/>
        <v>2.4379432624113476E-3</v>
      </c>
      <c r="AH326" s="17"/>
      <c r="AJ326" s="574"/>
    </row>
    <row r="327" spans="2:36" s="7" customFormat="1" ht="15.75">
      <c r="B327" s="503" t="s">
        <v>144</v>
      </c>
      <c r="C327" s="584" t="s">
        <v>261</v>
      </c>
      <c r="D327" s="16">
        <v>20</v>
      </c>
      <c r="E327" s="221">
        <v>3.472222222222222E-3</v>
      </c>
      <c r="F327" s="137">
        <v>8.3333333333333332E-3</v>
      </c>
      <c r="G327" s="344">
        <v>0.41</v>
      </c>
      <c r="H327" s="265">
        <v>1.6666666666666666E-2</v>
      </c>
      <c r="I327" s="221">
        <v>1.1820330969267139E-2</v>
      </c>
      <c r="J327" s="265">
        <v>0</v>
      </c>
      <c r="K327" s="221">
        <v>1.4775413711583946E-5</v>
      </c>
      <c r="L327" s="221">
        <f t="shared" si="16"/>
        <v>8.3481087470449172E-3</v>
      </c>
      <c r="AH327" s="17"/>
      <c r="AJ327" s="574"/>
    </row>
    <row r="328" spans="2:36" s="7" customFormat="1" ht="15.75">
      <c r="B328" s="503" t="s">
        <v>144</v>
      </c>
      <c r="C328" s="584" t="s">
        <v>717</v>
      </c>
      <c r="D328" s="16">
        <v>20</v>
      </c>
      <c r="E328" s="221">
        <v>3.472222222222222E-3</v>
      </c>
      <c r="F328" s="137">
        <v>8.3333333333333332E-3</v>
      </c>
      <c r="G328" s="344">
        <v>0.41</v>
      </c>
      <c r="H328" s="265">
        <v>2.0833333333333333E-3</v>
      </c>
      <c r="I328" s="221">
        <v>1.4775413711583924E-3</v>
      </c>
      <c r="J328" s="265">
        <v>0</v>
      </c>
      <c r="K328" s="221">
        <v>0</v>
      </c>
      <c r="L328" s="221">
        <f t="shared" si="16"/>
        <v>0</v>
      </c>
      <c r="AH328" s="17"/>
      <c r="AJ328" s="574"/>
    </row>
    <row r="329" spans="2:36" s="7" customFormat="1" ht="15.75">
      <c r="B329" s="503" t="s">
        <v>144</v>
      </c>
      <c r="C329" s="584" t="s">
        <v>259</v>
      </c>
      <c r="D329" s="16">
        <v>20</v>
      </c>
      <c r="E329" s="221">
        <v>3.472222222222222E-3</v>
      </c>
      <c r="F329" s="137">
        <v>8.3333333333333332E-3</v>
      </c>
      <c r="G329" s="344">
        <v>0.41</v>
      </c>
      <c r="H329" s="265">
        <v>4.1666666666666666E-3</v>
      </c>
      <c r="I329" s="221">
        <v>2.9550827423167848E-3</v>
      </c>
      <c r="J329" s="265">
        <v>0</v>
      </c>
      <c r="K329" s="221">
        <v>0</v>
      </c>
      <c r="L329" s="221">
        <f t="shared" si="16"/>
        <v>0</v>
      </c>
      <c r="AH329" s="17"/>
      <c r="AJ329" s="574"/>
    </row>
    <row r="330" spans="2:36" s="7" customFormat="1" ht="15.75">
      <c r="B330" s="503" t="s">
        <v>144</v>
      </c>
      <c r="C330" s="584" t="s">
        <v>260</v>
      </c>
      <c r="D330" s="16">
        <v>20</v>
      </c>
      <c r="E330" s="221">
        <v>3.472222222222222E-3</v>
      </c>
      <c r="F330" s="137">
        <v>8.3333333333333332E-3</v>
      </c>
      <c r="G330" s="344">
        <v>0.41</v>
      </c>
      <c r="H330" s="265">
        <v>8.3333333333333332E-3</v>
      </c>
      <c r="I330" s="221">
        <v>5.9101654846335696E-3</v>
      </c>
      <c r="J330" s="265">
        <v>0</v>
      </c>
      <c r="K330" s="221">
        <v>0</v>
      </c>
      <c r="L330" s="221">
        <f t="shared" si="16"/>
        <v>2.4379432624113476E-3</v>
      </c>
      <c r="AH330" s="17"/>
      <c r="AJ330" s="574"/>
    </row>
    <row r="331" spans="2:36" s="7" customFormat="1" ht="15.75">
      <c r="B331" s="503" t="s">
        <v>144</v>
      </c>
      <c r="C331" s="584" t="s">
        <v>261</v>
      </c>
      <c r="D331" s="16">
        <v>20</v>
      </c>
      <c r="E331" s="221">
        <v>3.472222222222222E-3</v>
      </c>
      <c r="F331" s="137">
        <v>8.3333333333333332E-3</v>
      </c>
      <c r="G331" s="344">
        <v>0.41</v>
      </c>
      <c r="H331" s="265">
        <v>1.6666666666666666E-2</v>
      </c>
      <c r="I331" s="221">
        <v>1.1820330969267139E-2</v>
      </c>
      <c r="J331" s="265">
        <v>0</v>
      </c>
      <c r="K331" s="221">
        <v>1.4775413711583946E-5</v>
      </c>
      <c r="L331" s="221">
        <f t="shared" si="16"/>
        <v>8.3481087470449172E-3</v>
      </c>
      <c r="AH331" s="17"/>
      <c r="AJ331" s="574"/>
    </row>
    <row r="332" spans="2:36" s="7" customFormat="1" ht="15.75">
      <c r="B332" s="503" t="s">
        <v>144</v>
      </c>
      <c r="C332" s="584" t="s">
        <v>1264</v>
      </c>
      <c r="D332" s="16">
        <v>20</v>
      </c>
      <c r="E332" s="221">
        <v>3.472222222222222E-3</v>
      </c>
      <c r="F332" s="137">
        <v>8.3333333333333332E-3</v>
      </c>
      <c r="G332" s="344">
        <v>0.42499999999999999</v>
      </c>
      <c r="H332" s="265">
        <v>5.185185185185185E-2</v>
      </c>
      <c r="I332" s="221">
        <v>3.6387264457439894E-2</v>
      </c>
      <c r="J332" s="265">
        <v>0</v>
      </c>
      <c r="K332" s="221">
        <v>2.4581708901884339E-2</v>
      </c>
      <c r="L332" s="221">
        <f t="shared" si="16"/>
        <v>3.291504223521767E-2</v>
      </c>
      <c r="AH332" s="17"/>
      <c r="AJ332" s="574"/>
    </row>
    <row r="333" spans="2:36" s="7" customFormat="1" ht="15.75">
      <c r="B333" s="503" t="s">
        <v>144</v>
      </c>
      <c r="C333" s="584" t="s">
        <v>1265</v>
      </c>
      <c r="D333" s="16">
        <v>20</v>
      </c>
      <c r="E333" s="221">
        <v>3.472222222222222E-3</v>
      </c>
      <c r="F333" s="137">
        <v>8.3333333333333332E-3</v>
      </c>
      <c r="G333" s="344">
        <v>0.42499999999999999</v>
      </c>
      <c r="H333" s="265">
        <v>7.407407407407407E-2</v>
      </c>
      <c r="I333" s="221">
        <v>5.1981806367771277E-2</v>
      </c>
      <c r="J333" s="265">
        <v>0</v>
      </c>
      <c r="K333" s="221">
        <v>4.0176250812215722E-2</v>
      </c>
      <c r="L333" s="221">
        <f t="shared" si="16"/>
        <v>4.8509584145549053E-2</v>
      </c>
      <c r="AH333" s="17"/>
      <c r="AJ333" s="574"/>
    </row>
    <row r="334" spans="2:36" s="7" customFormat="1" ht="15.75">
      <c r="B334" s="503" t="s">
        <v>144</v>
      </c>
      <c r="C334" s="584" t="s">
        <v>1266</v>
      </c>
      <c r="D334" s="16">
        <v>20</v>
      </c>
      <c r="E334" s="221">
        <v>3.472222222222222E-3</v>
      </c>
      <c r="F334" s="137">
        <v>8.3333333333333332E-3</v>
      </c>
      <c r="G334" s="344">
        <v>0.42499999999999999</v>
      </c>
      <c r="H334" s="265">
        <v>0.1037037037037037</v>
      </c>
      <c r="I334" s="221">
        <v>7.2774528914879788E-2</v>
      </c>
      <c r="J334" s="265">
        <v>0</v>
      </c>
      <c r="K334" s="221">
        <v>6.0968973359324233E-2</v>
      </c>
      <c r="L334" s="221">
        <f t="shared" si="16"/>
        <v>6.9302306692657564E-2</v>
      </c>
      <c r="AH334" s="17"/>
      <c r="AJ334" s="574"/>
    </row>
    <row r="335" spans="2:36" s="7" customFormat="1" ht="15.75">
      <c r="B335" s="503" t="s">
        <v>144</v>
      </c>
      <c r="C335" s="584" t="s">
        <v>1267</v>
      </c>
      <c r="D335" s="16">
        <v>20</v>
      </c>
      <c r="E335" s="221">
        <v>3.472222222222222E-3</v>
      </c>
      <c r="F335" s="137">
        <v>8.3333333333333332E-3</v>
      </c>
      <c r="G335" s="344">
        <v>0.42499999999999999</v>
      </c>
      <c r="H335" s="265">
        <v>8.8888888888888892E-2</v>
      </c>
      <c r="I335" s="221">
        <v>6.237816764132554E-2</v>
      </c>
      <c r="J335" s="265">
        <v>5.2083333333333329E-2</v>
      </c>
      <c r="K335" s="221">
        <v>0</v>
      </c>
      <c r="L335" s="221">
        <f t="shared" si="16"/>
        <v>6.8226120857699871E-3</v>
      </c>
      <c r="AH335" s="17"/>
      <c r="AJ335" s="574"/>
    </row>
    <row r="336" spans="2:36" s="7" customFormat="1" ht="15.75">
      <c r="B336" s="503" t="s">
        <v>144</v>
      </c>
      <c r="C336" s="584" t="s">
        <v>1267</v>
      </c>
      <c r="D336" s="16">
        <v>20</v>
      </c>
      <c r="E336" s="221">
        <v>3.472222222222222E-3</v>
      </c>
      <c r="F336" s="137">
        <v>8.3333333333333332E-3</v>
      </c>
      <c r="G336" s="344">
        <v>0.42499999999999999</v>
      </c>
      <c r="H336" s="265">
        <v>8.8888888888888892E-2</v>
      </c>
      <c r="I336" s="221">
        <v>6.237816764132554E-2</v>
      </c>
      <c r="J336" s="265">
        <v>0</v>
      </c>
      <c r="K336" s="221">
        <v>5.0572612085769984E-2</v>
      </c>
      <c r="L336" s="221">
        <f t="shared" si="16"/>
        <v>5.8905945419103316E-2</v>
      </c>
      <c r="AH336" s="17"/>
      <c r="AJ336" s="574"/>
    </row>
    <row r="337" spans="2:36" s="7" customFormat="1" ht="15.75">
      <c r="B337" s="503" t="s">
        <v>144</v>
      </c>
      <c r="C337" s="584" t="s">
        <v>1267</v>
      </c>
      <c r="D337" s="16">
        <v>20</v>
      </c>
      <c r="E337" s="221">
        <v>3.472222222222222E-3</v>
      </c>
      <c r="F337" s="137">
        <v>8.3333333333333332E-3</v>
      </c>
      <c r="G337" s="344">
        <v>0.42499999999999999</v>
      </c>
      <c r="H337" s="265">
        <v>8.8888888888888892E-2</v>
      </c>
      <c r="I337" s="221">
        <v>6.237816764132554E-2</v>
      </c>
      <c r="J337" s="265">
        <v>0</v>
      </c>
      <c r="K337" s="221">
        <v>5.0572612085769984E-2</v>
      </c>
      <c r="L337" s="221">
        <f t="shared" si="16"/>
        <v>5.8905945419103316E-2</v>
      </c>
      <c r="AH337" s="17"/>
      <c r="AJ337" s="574"/>
    </row>
    <row r="338" spans="2:36" s="7" customFormat="1" ht="15.75">
      <c r="B338" s="503" t="s">
        <v>144</v>
      </c>
      <c r="C338" s="584" t="s">
        <v>1268</v>
      </c>
      <c r="D338" s="16">
        <v>20</v>
      </c>
      <c r="E338" s="221">
        <v>3.472222222222222E-3</v>
      </c>
      <c r="F338" s="137">
        <v>8.3333333333333332E-3</v>
      </c>
      <c r="G338" s="344">
        <v>0.42499999999999999</v>
      </c>
      <c r="H338" s="265">
        <v>7.407407407407407E-2</v>
      </c>
      <c r="I338" s="221">
        <v>5.1981806367771277E-2</v>
      </c>
      <c r="J338" s="265">
        <v>0</v>
      </c>
      <c r="K338" s="221">
        <v>4.0176250812215722E-2</v>
      </c>
      <c r="L338" s="221">
        <f t="shared" si="16"/>
        <v>4.8509584145549053E-2</v>
      </c>
      <c r="AH338" s="17"/>
      <c r="AJ338" s="574"/>
    </row>
    <row r="339" spans="2:36" s="7" customFormat="1" ht="15.75">
      <c r="B339" s="588" t="s">
        <v>171</v>
      </c>
      <c r="C339" s="585" t="s">
        <v>1269</v>
      </c>
      <c r="D339" s="582">
        <v>21</v>
      </c>
      <c r="E339" s="416">
        <v>3.472222222222222E-3</v>
      </c>
      <c r="F339" s="416">
        <v>8.3333333333333332E-3</v>
      </c>
      <c r="G339" s="418">
        <v>0.42499999999999999</v>
      </c>
      <c r="H339" s="419" t="s">
        <v>25</v>
      </c>
      <c r="I339" s="416" t="s">
        <v>25</v>
      </c>
      <c r="J339" s="419" t="s">
        <v>25</v>
      </c>
      <c r="K339" s="416" t="s">
        <v>25</v>
      </c>
      <c r="L339" s="589">
        <f>SUMIF($B$5:$B338,"&lt;&gt;"&amp;"Level_Up",L$5:L338)</f>
        <v>2.3567502770402706</v>
      </c>
      <c r="AH339" s="17"/>
      <c r="AJ339" s="574"/>
    </row>
    <row r="340" spans="2:36" s="7" customFormat="1" ht="15.75">
      <c r="B340" s="503" t="s">
        <v>144</v>
      </c>
      <c r="C340" s="584" t="s">
        <v>1268</v>
      </c>
      <c r="D340" s="16">
        <v>21</v>
      </c>
      <c r="E340" s="221">
        <v>3.472222222222222E-3</v>
      </c>
      <c r="F340" s="137">
        <v>8.3333333333333332E-3</v>
      </c>
      <c r="G340" s="344">
        <v>0.42499999999999999</v>
      </c>
      <c r="H340" s="265">
        <v>7.407407407407407E-2</v>
      </c>
      <c r="I340" s="221">
        <v>5.1981806367771277E-2</v>
      </c>
      <c r="J340" s="265">
        <v>0</v>
      </c>
      <c r="K340" s="221">
        <v>4.0176250812215722E-2</v>
      </c>
      <c r="L340" s="221">
        <f t="shared" ref="L340:L348" si="17">IF(I340-E340-J340&gt;0,I340-E340-J340,0)</f>
        <v>4.8509584145549053E-2</v>
      </c>
      <c r="AH340" s="17"/>
      <c r="AJ340" s="574"/>
    </row>
    <row r="341" spans="2:36" s="7" customFormat="1" ht="15.75">
      <c r="B341" s="503" t="s">
        <v>144</v>
      </c>
      <c r="C341" s="584" t="s">
        <v>1270</v>
      </c>
      <c r="D341" s="16">
        <v>21</v>
      </c>
      <c r="E341" s="221">
        <v>3.472222222222222E-3</v>
      </c>
      <c r="F341" s="137">
        <v>8.3333333333333332E-3</v>
      </c>
      <c r="G341" s="344">
        <v>0.42499999999999999</v>
      </c>
      <c r="H341" s="265">
        <v>0.14814814814814814</v>
      </c>
      <c r="I341" s="221">
        <v>0.10396361273554255</v>
      </c>
      <c r="J341" s="265">
        <v>0</v>
      </c>
      <c r="K341" s="221">
        <v>9.2158057179986999E-2</v>
      </c>
      <c r="L341" s="221">
        <f t="shared" si="17"/>
        <v>0.10049139051332033</v>
      </c>
      <c r="AH341" s="17"/>
      <c r="AJ341" s="574"/>
    </row>
    <row r="342" spans="2:36" s="7" customFormat="1" ht="15.75">
      <c r="B342" s="503" t="s">
        <v>144</v>
      </c>
      <c r="C342" s="584" t="s">
        <v>1271</v>
      </c>
      <c r="D342" s="16">
        <v>21</v>
      </c>
      <c r="E342" s="221">
        <v>3.472222222222222E-3</v>
      </c>
      <c r="F342" s="137">
        <v>8.3333333333333332E-3</v>
      </c>
      <c r="G342" s="344">
        <v>0.42499999999999999</v>
      </c>
      <c r="H342" s="265">
        <v>6.6666666666666666E-2</v>
      </c>
      <c r="I342" s="221">
        <v>4.6783625730994149E-2</v>
      </c>
      <c r="J342" s="265">
        <v>0</v>
      </c>
      <c r="K342" s="221">
        <v>3.4978070175438594E-2</v>
      </c>
      <c r="L342" s="221">
        <f t="shared" si="17"/>
        <v>4.3311403508771926E-2</v>
      </c>
      <c r="AH342" s="17"/>
      <c r="AJ342" s="574"/>
    </row>
    <row r="343" spans="2:36" s="7" customFormat="1" ht="15.75">
      <c r="B343" s="503" t="s">
        <v>144</v>
      </c>
      <c r="C343" s="584" t="s">
        <v>1272</v>
      </c>
      <c r="D343" s="16">
        <v>21</v>
      </c>
      <c r="E343" s="221">
        <v>3.472222222222222E-3</v>
      </c>
      <c r="F343" s="137">
        <v>8.3333333333333332E-3</v>
      </c>
      <c r="G343" s="344">
        <v>0.42499999999999999</v>
      </c>
      <c r="H343" s="265">
        <v>2.5925925925925925E-2</v>
      </c>
      <c r="I343" s="221">
        <v>1.8193632228719947E-2</v>
      </c>
      <c r="J343" s="265">
        <v>0</v>
      </c>
      <c r="K343" s="221">
        <v>6.3880766731643918E-3</v>
      </c>
      <c r="L343" s="221">
        <f t="shared" si="17"/>
        <v>1.4721410006497725E-2</v>
      </c>
      <c r="AH343" s="17"/>
      <c r="AJ343" s="574"/>
    </row>
    <row r="344" spans="2:36" s="7" customFormat="1" ht="15.75">
      <c r="B344" s="503" t="s">
        <v>144</v>
      </c>
      <c r="C344" s="584" t="s">
        <v>1273</v>
      </c>
      <c r="D344" s="16">
        <v>21</v>
      </c>
      <c r="E344" s="221">
        <v>3.472222222222222E-3</v>
      </c>
      <c r="F344" s="137">
        <v>8.3333333333333332E-3</v>
      </c>
      <c r="G344" s="344">
        <v>0.42499999999999999</v>
      </c>
      <c r="H344" s="265">
        <v>5.185185185185185E-2</v>
      </c>
      <c r="I344" s="221">
        <v>3.6387264457439894E-2</v>
      </c>
      <c r="J344" s="265">
        <v>0</v>
      </c>
      <c r="K344" s="221">
        <v>2.4581708901884339E-2</v>
      </c>
      <c r="L344" s="221">
        <f t="shared" si="17"/>
        <v>3.291504223521767E-2</v>
      </c>
      <c r="AH344" s="17"/>
      <c r="AJ344" s="574"/>
    </row>
    <row r="345" spans="2:36" s="7" customFormat="1" ht="15.75">
      <c r="B345" s="503" t="s">
        <v>144</v>
      </c>
      <c r="C345" s="584" t="s">
        <v>1023</v>
      </c>
      <c r="D345" s="16">
        <v>21</v>
      </c>
      <c r="E345" s="221">
        <v>3.472222222222222E-3</v>
      </c>
      <c r="F345" s="137">
        <v>8.3333333333333332E-3</v>
      </c>
      <c r="G345" s="344">
        <v>0.42499999999999999</v>
      </c>
      <c r="H345" s="265">
        <v>0.1037037037037037</v>
      </c>
      <c r="I345" s="221">
        <v>7.2774528914879788E-2</v>
      </c>
      <c r="J345" s="265">
        <v>0</v>
      </c>
      <c r="K345" s="221">
        <v>6.0968973359324233E-2</v>
      </c>
      <c r="L345" s="221">
        <f t="shared" si="17"/>
        <v>6.9302306692657564E-2</v>
      </c>
      <c r="AH345" s="17"/>
      <c r="AJ345" s="574"/>
    </row>
    <row r="346" spans="2:36" s="7" customFormat="1" ht="15.75">
      <c r="B346" s="503" t="s">
        <v>144</v>
      </c>
      <c r="C346" s="584" t="s">
        <v>1268</v>
      </c>
      <c r="D346" s="16">
        <v>21</v>
      </c>
      <c r="E346" s="221">
        <v>3.472222222222222E-3</v>
      </c>
      <c r="F346" s="137">
        <v>8.3333333333333332E-3</v>
      </c>
      <c r="G346" s="344">
        <v>0.42499999999999999</v>
      </c>
      <c r="H346" s="265">
        <v>7.407407407407407E-2</v>
      </c>
      <c r="I346" s="221">
        <v>5.1981806367771277E-2</v>
      </c>
      <c r="J346" s="265">
        <v>0</v>
      </c>
      <c r="K346" s="221">
        <v>4.0176250812215722E-2</v>
      </c>
      <c r="L346" s="221">
        <f t="shared" si="17"/>
        <v>4.8509584145549053E-2</v>
      </c>
      <c r="AH346" s="17"/>
      <c r="AJ346" s="574"/>
    </row>
    <row r="347" spans="2:36" s="7" customFormat="1" ht="15.75">
      <c r="B347" s="503" t="s">
        <v>144</v>
      </c>
      <c r="C347" s="584" t="s">
        <v>1268</v>
      </c>
      <c r="D347" s="16">
        <v>21</v>
      </c>
      <c r="E347" s="221">
        <v>3.472222222222222E-3</v>
      </c>
      <c r="F347" s="137">
        <v>8.3333333333333332E-3</v>
      </c>
      <c r="G347" s="344">
        <v>0.42499999999999999</v>
      </c>
      <c r="H347" s="265">
        <v>7.407407407407407E-2</v>
      </c>
      <c r="I347" s="221">
        <v>5.1981806367771277E-2</v>
      </c>
      <c r="J347" s="265">
        <v>0</v>
      </c>
      <c r="K347" s="221">
        <v>4.0176250812215722E-2</v>
      </c>
      <c r="L347" s="221">
        <f t="shared" si="17"/>
        <v>4.8509584145549053E-2</v>
      </c>
      <c r="AH347" s="17"/>
      <c r="AJ347" s="574"/>
    </row>
    <row r="348" spans="2:36" s="7" customFormat="1" ht="15.75">
      <c r="B348" s="503" t="s">
        <v>144</v>
      </c>
      <c r="C348" s="584" t="s">
        <v>886</v>
      </c>
      <c r="D348" s="16">
        <v>21</v>
      </c>
      <c r="E348" s="221">
        <v>3.472222222222222E-3</v>
      </c>
      <c r="F348" s="137">
        <v>8.3333333333333332E-3</v>
      </c>
      <c r="G348" s="344">
        <v>0.44500000000000001</v>
      </c>
      <c r="H348" s="265">
        <v>4.4444444444444446E-2</v>
      </c>
      <c r="I348" s="221">
        <v>3.0757400999615533E-2</v>
      </c>
      <c r="J348" s="265">
        <v>0</v>
      </c>
      <c r="K348" s="221">
        <v>1.8951845444059978E-2</v>
      </c>
      <c r="L348" s="221">
        <f t="shared" si="17"/>
        <v>2.728517877739331E-2</v>
      </c>
      <c r="AH348" s="17"/>
      <c r="AJ348" s="574"/>
    </row>
    <row r="349" spans="2:36" s="7" customFormat="1" ht="15.75">
      <c r="B349" s="588" t="s">
        <v>171</v>
      </c>
      <c r="C349" s="585" t="s">
        <v>1274</v>
      </c>
      <c r="D349" s="582">
        <v>22</v>
      </c>
      <c r="E349" s="416">
        <v>3.472222222222222E-3</v>
      </c>
      <c r="F349" s="416">
        <v>8.3333333333333332E-3</v>
      </c>
      <c r="G349" s="418">
        <v>0.44500000000000001</v>
      </c>
      <c r="H349" s="419" t="s">
        <v>25</v>
      </c>
      <c r="I349" s="416" t="s">
        <v>25</v>
      </c>
      <c r="J349" s="419" t="s">
        <v>25</v>
      </c>
      <c r="K349" s="416" t="s">
        <v>25</v>
      </c>
      <c r="L349" s="589">
        <f>SUMIF($B$5:$B348,"&lt;&gt;"&amp;"Level_Up",L$5:L348)</f>
        <v>2.7903057612107758</v>
      </c>
      <c r="AH349" s="17"/>
      <c r="AJ349" s="574"/>
    </row>
    <row r="350" spans="2:36" s="7" customFormat="1" ht="15.75">
      <c r="B350" s="503" t="s">
        <v>144</v>
      </c>
      <c r="C350" s="584" t="s">
        <v>1267</v>
      </c>
      <c r="D350" s="16">
        <v>22</v>
      </c>
      <c r="E350" s="221">
        <v>3.472222222222222E-3</v>
      </c>
      <c r="F350" s="137">
        <v>8.3333333333333332E-3</v>
      </c>
      <c r="G350" s="344">
        <v>0.44500000000000001</v>
      </c>
      <c r="H350" s="265">
        <v>8.8888888888888892E-2</v>
      </c>
      <c r="I350" s="221">
        <v>6.1514801999231067E-2</v>
      </c>
      <c r="J350" s="265">
        <v>2.0833333333333333E-3</v>
      </c>
      <c r="K350" s="221">
        <v>4.7625913110342179E-2</v>
      </c>
      <c r="L350" s="221">
        <f t="shared" ref="L350:L358" si="18">IF(I350-E350-J350&gt;0,I350-E350-J350,0)</f>
        <v>5.595924644367551E-2</v>
      </c>
      <c r="AH350" s="17"/>
      <c r="AJ350" s="574"/>
    </row>
    <row r="351" spans="2:36" s="7" customFormat="1" ht="15.75">
      <c r="B351" s="503" t="s">
        <v>144</v>
      </c>
      <c r="C351" s="584" t="s">
        <v>891</v>
      </c>
      <c r="D351" s="16">
        <v>22</v>
      </c>
      <c r="E351" s="221">
        <v>3.472222222222222E-3</v>
      </c>
      <c r="F351" s="137">
        <v>8.3333333333333332E-3</v>
      </c>
      <c r="G351" s="344">
        <v>0.47499999999999998</v>
      </c>
      <c r="H351" s="265">
        <v>3.7037037037037042E-2</v>
      </c>
      <c r="I351" s="221">
        <v>2.5109855618330196E-2</v>
      </c>
      <c r="J351" s="265">
        <v>0</v>
      </c>
      <c r="K351" s="221">
        <v>1.3304300062774643E-2</v>
      </c>
      <c r="L351" s="221">
        <f t="shared" si="18"/>
        <v>2.1637633396107976E-2</v>
      </c>
      <c r="AH351" s="17"/>
      <c r="AJ351" s="574"/>
    </row>
    <row r="352" spans="2:36" s="7" customFormat="1" ht="15.75">
      <c r="B352" s="503" t="s">
        <v>144</v>
      </c>
      <c r="C352" s="584" t="s">
        <v>667</v>
      </c>
      <c r="D352" s="16">
        <v>22</v>
      </c>
      <c r="E352" s="221">
        <v>3.472222222222222E-3</v>
      </c>
      <c r="F352" s="137">
        <v>8.3333333333333332E-3</v>
      </c>
      <c r="G352" s="344">
        <v>0.47499999999999998</v>
      </c>
      <c r="H352" s="265">
        <v>5.9259259259259262E-2</v>
      </c>
      <c r="I352" s="221">
        <v>4.0175768989328307E-2</v>
      </c>
      <c r="J352" s="265">
        <v>0</v>
      </c>
      <c r="K352" s="221">
        <v>2.8370213433772752E-2</v>
      </c>
      <c r="L352" s="221">
        <f t="shared" si="18"/>
        <v>3.6703546767106084E-2</v>
      </c>
      <c r="AH352" s="17"/>
      <c r="AJ352" s="574"/>
    </row>
    <row r="353" spans="2:36" s="7" customFormat="1" ht="15.75">
      <c r="B353" s="503" t="s">
        <v>144</v>
      </c>
      <c r="C353" s="584" t="s">
        <v>1264</v>
      </c>
      <c r="D353" s="16">
        <v>22</v>
      </c>
      <c r="E353" s="221">
        <v>3.472222222222222E-3</v>
      </c>
      <c r="F353" s="137">
        <v>8.3333333333333332E-3</v>
      </c>
      <c r="G353" s="344">
        <v>0.47499999999999998</v>
      </c>
      <c r="H353" s="265">
        <v>5.185185185185185E-2</v>
      </c>
      <c r="I353" s="221">
        <v>3.5153797865662272E-2</v>
      </c>
      <c r="J353" s="265">
        <v>4.1666666666666666E-3</v>
      </c>
      <c r="K353" s="221">
        <v>1.9181575643440051E-2</v>
      </c>
      <c r="L353" s="221">
        <f t="shared" si="18"/>
        <v>2.7514908976773382E-2</v>
      </c>
      <c r="AH353" s="17"/>
      <c r="AJ353" s="574"/>
    </row>
    <row r="354" spans="2:36" s="7" customFormat="1" ht="15.75">
      <c r="B354" s="503" t="s">
        <v>144</v>
      </c>
      <c r="C354" s="584" t="s">
        <v>1275</v>
      </c>
      <c r="D354" s="16">
        <v>22</v>
      </c>
      <c r="E354" s="221">
        <v>3.472222222222222E-3</v>
      </c>
      <c r="F354" s="576">
        <v>9.0277777777777787E-3</v>
      </c>
      <c r="G354" s="344">
        <v>0.47499999999999998</v>
      </c>
      <c r="H354" s="265">
        <v>0.88888888888888884</v>
      </c>
      <c r="I354" s="221">
        <v>0.60263653483992463</v>
      </c>
      <c r="J354" s="265">
        <v>0</v>
      </c>
      <c r="K354" s="221">
        <v>0.59013653483992468</v>
      </c>
      <c r="L354" s="221">
        <f t="shared" si="18"/>
        <v>0.59916431261770242</v>
      </c>
      <c r="AH354" s="17"/>
      <c r="AJ354" s="574"/>
    </row>
    <row r="355" spans="2:36" s="7" customFormat="1" ht="15.75">
      <c r="B355" s="503" t="s">
        <v>144</v>
      </c>
      <c r="C355" s="584" t="s">
        <v>1276</v>
      </c>
      <c r="D355" s="16">
        <v>22</v>
      </c>
      <c r="E355" s="221">
        <v>3.472222222222222E-3</v>
      </c>
      <c r="F355" s="137">
        <v>9.0277777777777787E-3</v>
      </c>
      <c r="G355" s="344">
        <v>0.47499999999999998</v>
      </c>
      <c r="H355" s="265">
        <v>0.23703703703703705</v>
      </c>
      <c r="I355" s="221">
        <v>0.16070307595731323</v>
      </c>
      <c r="J355" s="265">
        <v>5.2083333333333329E-2</v>
      </c>
      <c r="K355" s="221">
        <v>9.6119742623979917E-2</v>
      </c>
      <c r="L355" s="221">
        <f t="shared" si="18"/>
        <v>0.10514752040175769</v>
      </c>
      <c r="AH355" s="17"/>
      <c r="AJ355" s="574"/>
    </row>
    <row r="356" spans="2:36" s="7" customFormat="1" ht="15.75">
      <c r="B356" s="503" t="s">
        <v>144</v>
      </c>
      <c r="C356" s="584" t="s">
        <v>1038</v>
      </c>
      <c r="D356" s="16">
        <v>22</v>
      </c>
      <c r="E356" s="221">
        <v>3.472222222222222E-3</v>
      </c>
      <c r="F356" s="137">
        <v>9.0277777777777787E-3</v>
      </c>
      <c r="G356" s="344">
        <v>0.47499999999999998</v>
      </c>
      <c r="H356" s="265">
        <v>0</v>
      </c>
      <c r="I356" s="221">
        <v>0</v>
      </c>
      <c r="J356" s="265">
        <v>0</v>
      </c>
      <c r="K356" s="221">
        <v>0</v>
      </c>
      <c r="L356" s="221">
        <f t="shared" si="18"/>
        <v>0</v>
      </c>
      <c r="AH356" s="17"/>
      <c r="AJ356" s="574"/>
    </row>
    <row r="357" spans="2:36" s="7" customFormat="1" ht="15.75">
      <c r="B357" s="503" t="s">
        <v>144</v>
      </c>
      <c r="C357" s="584" t="s">
        <v>1277</v>
      </c>
      <c r="D357" s="16">
        <v>22</v>
      </c>
      <c r="E357" s="221">
        <v>3.472222222222222E-3</v>
      </c>
      <c r="F357" s="137">
        <v>9.0277777777777787E-3</v>
      </c>
      <c r="G357" s="344">
        <v>0.47499999999999998</v>
      </c>
      <c r="H357" s="265">
        <v>0.14814814814814814</v>
      </c>
      <c r="I357" s="221">
        <v>0.10043942247332077</v>
      </c>
      <c r="J357" s="265">
        <v>4.1666666666666664E-2</v>
      </c>
      <c r="K357" s="221">
        <v>4.627275580665411E-2</v>
      </c>
      <c r="L357" s="221">
        <f t="shared" si="18"/>
        <v>5.5300533584431884E-2</v>
      </c>
      <c r="AH357" s="17"/>
      <c r="AJ357" s="574"/>
    </row>
    <row r="358" spans="2:36" s="7" customFormat="1" ht="15.75">
      <c r="B358" s="503" t="s">
        <v>144</v>
      </c>
      <c r="C358" s="584" t="s">
        <v>1066</v>
      </c>
      <c r="D358" s="16">
        <v>22</v>
      </c>
      <c r="E358" s="221">
        <v>3.472222222222222E-3</v>
      </c>
      <c r="F358" s="137">
        <v>9.0277777777777787E-3</v>
      </c>
      <c r="G358" s="344">
        <v>0.47499999999999998</v>
      </c>
      <c r="H358" s="265">
        <v>0.17777777777777778</v>
      </c>
      <c r="I358" s="221">
        <v>0.12052730696798493</v>
      </c>
      <c r="J358" s="265">
        <v>0</v>
      </c>
      <c r="K358" s="221">
        <v>0.10802730696798493</v>
      </c>
      <c r="L358" s="221">
        <f t="shared" si="18"/>
        <v>0.11705508474576271</v>
      </c>
      <c r="AH358" s="17"/>
      <c r="AJ358" s="574"/>
    </row>
    <row r="359" spans="2:36" s="7" customFormat="1" ht="15.75">
      <c r="B359" s="588" t="s">
        <v>171</v>
      </c>
      <c r="C359" s="585" t="s">
        <v>1278</v>
      </c>
      <c r="D359" s="582">
        <v>23</v>
      </c>
      <c r="E359" s="416">
        <v>3.472222222222222E-3</v>
      </c>
      <c r="F359" s="416">
        <v>9.0277777777777787E-3</v>
      </c>
      <c r="G359" s="418">
        <v>0.47499999999999998</v>
      </c>
      <c r="H359" s="419" t="s">
        <v>25</v>
      </c>
      <c r="I359" s="416" t="s">
        <v>25</v>
      </c>
      <c r="J359" s="419" t="s">
        <v>25</v>
      </c>
      <c r="K359" s="416" t="s">
        <v>25</v>
      </c>
      <c r="L359" s="589">
        <f>SUMIF($B$5:$B358,"&lt;&gt;"&amp;"Level_Up",L$5:L358)</f>
        <v>3.8087885481440935</v>
      </c>
      <c r="AH359" s="17"/>
      <c r="AJ359" s="574"/>
    </row>
    <row r="360" spans="2:36" s="7" customFormat="1" ht="15.75">
      <c r="B360" s="503" t="s">
        <v>144</v>
      </c>
      <c r="C360" s="584" t="s">
        <v>1266</v>
      </c>
      <c r="D360" s="16">
        <v>23</v>
      </c>
      <c r="E360" s="221">
        <v>3.472222222222222E-3</v>
      </c>
      <c r="F360" s="137">
        <v>9.0277777777777787E-3</v>
      </c>
      <c r="G360" s="344">
        <v>0.47499999999999998</v>
      </c>
      <c r="H360" s="265">
        <v>0.1037037037037037</v>
      </c>
      <c r="I360" s="221">
        <v>7.0307595731324543E-2</v>
      </c>
      <c r="J360" s="265">
        <v>0</v>
      </c>
      <c r="K360" s="221">
        <v>5.7807595731324539E-2</v>
      </c>
      <c r="L360" s="221">
        <f t="shared" ref="L360:L369" si="19">IF(I360-E360-J360&gt;0,I360-E360-J360,0)</f>
        <v>6.6835373509102319E-2</v>
      </c>
      <c r="AH360" s="17"/>
      <c r="AJ360" s="574"/>
    </row>
    <row r="361" spans="2:36" s="7" customFormat="1" ht="15.75">
      <c r="B361" s="503" t="s">
        <v>144</v>
      </c>
      <c r="C361" s="584" t="s">
        <v>1268</v>
      </c>
      <c r="D361" s="16">
        <v>23</v>
      </c>
      <c r="E361" s="221">
        <v>3.472222222222222E-3</v>
      </c>
      <c r="F361" s="137">
        <v>9.0277777777777787E-3</v>
      </c>
      <c r="G361" s="344">
        <v>0.47499999999999998</v>
      </c>
      <c r="H361" s="265">
        <v>7.407407407407407E-2</v>
      </c>
      <c r="I361" s="221">
        <v>5.0219711236660386E-2</v>
      </c>
      <c r="J361" s="265">
        <v>0</v>
      </c>
      <c r="K361" s="221">
        <v>3.7719711236660382E-2</v>
      </c>
      <c r="L361" s="221">
        <f t="shared" si="19"/>
        <v>4.6747489014438162E-2</v>
      </c>
      <c r="AH361" s="17"/>
      <c r="AJ361" s="574"/>
    </row>
    <row r="362" spans="2:36" s="7" customFormat="1" ht="15.75">
      <c r="B362" s="503" t="s">
        <v>144</v>
      </c>
      <c r="C362" s="584" t="s">
        <v>63</v>
      </c>
      <c r="D362" s="16">
        <v>23</v>
      </c>
      <c r="E362" s="221">
        <v>3.472222222222222E-3</v>
      </c>
      <c r="F362" s="137">
        <v>9.0277777777777787E-3</v>
      </c>
      <c r="G362" s="344">
        <v>0.47499999999999998</v>
      </c>
      <c r="H362" s="265">
        <v>1.0416666666666667E-3</v>
      </c>
      <c r="I362" s="221">
        <v>7.0621468926553672E-4</v>
      </c>
      <c r="J362" s="265">
        <v>0</v>
      </c>
      <c r="K362" s="221">
        <v>0</v>
      </c>
      <c r="L362" s="221">
        <f t="shared" si="19"/>
        <v>0</v>
      </c>
      <c r="AH362" s="17"/>
      <c r="AJ362" s="574"/>
    </row>
    <row r="363" spans="2:36" s="7" customFormat="1" ht="15.75">
      <c r="B363" s="503" t="s">
        <v>144</v>
      </c>
      <c r="C363" s="584" t="s">
        <v>238</v>
      </c>
      <c r="D363" s="16">
        <v>23</v>
      </c>
      <c r="E363" s="221">
        <v>3.472222222222222E-3</v>
      </c>
      <c r="F363" s="137">
        <v>9.0277777777777787E-3</v>
      </c>
      <c r="G363" s="344">
        <v>0.47499999999999998</v>
      </c>
      <c r="H363" s="265">
        <v>2.0833333333333333E-3</v>
      </c>
      <c r="I363" s="221">
        <v>1.4124293785310734E-3</v>
      </c>
      <c r="J363" s="265">
        <v>0</v>
      </c>
      <c r="K363" s="221">
        <v>0</v>
      </c>
      <c r="L363" s="221">
        <f t="shared" si="19"/>
        <v>0</v>
      </c>
      <c r="AH363" s="17"/>
      <c r="AJ363" s="574"/>
    </row>
    <row r="364" spans="2:36" s="7" customFormat="1" ht="15.75">
      <c r="B364" s="503" t="s">
        <v>144</v>
      </c>
      <c r="C364" s="584" t="s">
        <v>239</v>
      </c>
      <c r="D364" s="16">
        <v>23</v>
      </c>
      <c r="E364" s="221">
        <v>3.472222222222222E-3</v>
      </c>
      <c r="F364" s="137">
        <v>9.0277777777777787E-3</v>
      </c>
      <c r="G364" s="344">
        <v>0.47499999999999998</v>
      </c>
      <c r="H364" s="265">
        <v>4.1666666666666666E-3</v>
      </c>
      <c r="I364" s="221">
        <v>2.8248587570621469E-3</v>
      </c>
      <c r="J364" s="265">
        <v>0</v>
      </c>
      <c r="K364" s="221">
        <v>0</v>
      </c>
      <c r="L364" s="221">
        <f t="shared" si="19"/>
        <v>0</v>
      </c>
      <c r="AH364" s="17"/>
      <c r="AJ364" s="574"/>
    </row>
    <row r="365" spans="2:36" s="7" customFormat="1" ht="15.75">
      <c r="B365" s="503" t="s">
        <v>144</v>
      </c>
      <c r="C365" s="584" t="s">
        <v>240</v>
      </c>
      <c r="D365" s="16">
        <v>23</v>
      </c>
      <c r="E365" s="221">
        <v>3.472222222222222E-3</v>
      </c>
      <c r="F365" s="137">
        <v>9.0277777777777787E-3</v>
      </c>
      <c r="G365" s="344">
        <v>0.47499999999999998</v>
      </c>
      <c r="H365" s="265">
        <v>8.3333333333333332E-3</v>
      </c>
      <c r="I365" s="221">
        <v>5.6497175141242938E-3</v>
      </c>
      <c r="J365" s="265">
        <v>0</v>
      </c>
      <c r="K365" s="221">
        <v>0</v>
      </c>
      <c r="L365" s="221">
        <f t="shared" si="19"/>
        <v>2.1774952919020717E-3</v>
      </c>
      <c r="AH365" s="17"/>
      <c r="AJ365" s="574"/>
    </row>
    <row r="366" spans="2:36" s="7" customFormat="1" ht="15.75">
      <c r="B366" s="503" t="s">
        <v>144</v>
      </c>
      <c r="C366" s="584" t="s">
        <v>241</v>
      </c>
      <c r="D366" s="16">
        <v>23</v>
      </c>
      <c r="E366" s="221">
        <v>3.472222222222222E-3</v>
      </c>
      <c r="F366" s="137">
        <v>9.0277777777777787E-3</v>
      </c>
      <c r="G366" s="344">
        <v>0.47499999999999998</v>
      </c>
      <c r="H366" s="265">
        <v>1.6666666666666666E-2</v>
      </c>
      <c r="I366" s="221">
        <v>1.1299435028248588E-2</v>
      </c>
      <c r="J366" s="265">
        <v>0</v>
      </c>
      <c r="K366" s="221">
        <v>0</v>
      </c>
      <c r="L366" s="221">
        <f t="shared" si="19"/>
        <v>7.8272128060263655E-3</v>
      </c>
      <c r="AH366" s="17"/>
      <c r="AJ366" s="574"/>
    </row>
    <row r="367" spans="2:36" s="7" customFormat="1" ht="15.75">
      <c r="B367" s="503" t="s">
        <v>144</v>
      </c>
      <c r="C367" s="584" t="s">
        <v>1146</v>
      </c>
      <c r="D367" s="16">
        <v>23</v>
      </c>
      <c r="E367" s="221">
        <v>3.472222222222222E-3</v>
      </c>
      <c r="F367" s="137">
        <v>9.0277777777777787E-3</v>
      </c>
      <c r="G367" s="344">
        <v>0.47499999999999998</v>
      </c>
      <c r="H367" s="265">
        <v>0.29629629629629628</v>
      </c>
      <c r="I367" s="221">
        <v>0.20087884494664154</v>
      </c>
      <c r="J367" s="265">
        <v>0</v>
      </c>
      <c r="K367" s="221">
        <v>0.18837884494664156</v>
      </c>
      <c r="L367" s="221">
        <f t="shared" si="19"/>
        <v>0.19740662272441933</v>
      </c>
      <c r="AH367" s="17"/>
      <c r="AJ367" s="574"/>
    </row>
    <row r="368" spans="2:36" s="7" customFormat="1" ht="15.75">
      <c r="B368" s="503" t="s">
        <v>144</v>
      </c>
      <c r="C368" s="584" t="s">
        <v>1279</v>
      </c>
      <c r="D368" s="16">
        <v>23</v>
      </c>
      <c r="E368" s="221">
        <v>3.472222222222222E-3</v>
      </c>
      <c r="F368" s="137">
        <v>9.0277777777777787E-3</v>
      </c>
      <c r="G368" s="344">
        <v>0.47499999999999998</v>
      </c>
      <c r="H368" s="265">
        <v>0.2074074074074074</v>
      </c>
      <c r="I368" s="221">
        <v>0.14061519146264909</v>
      </c>
      <c r="J368" s="265">
        <v>0</v>
      </c>
      <c r="K368" s="221">
        <v>0.1281151914626491</v>
      </c>
      <c r="L368" s="221">
        <f t="shared" si="19"/>
        <v>0.13714296924042688</v>
      </c>
      <c r="AH368" s="17"/>
      <c r="AJ368" s="574"/>
    </row>
    <row r="369" spans="2:36" s="7" customFormat="1" ht="15.75">
      <c r="B369" s="503" t="s">
        <v>144</v>
      </c>
      <c r="C369" s="584" t="s">
        <v>1280</v>
      </c>
      <c r="D369" s="16">
        <v>23</v>
      </c>
      <c r="E369" s="221">
        <v>3.472222222222222E-3</v>
      </c>
      <c r="F369" s="137">
        <v>9.0277777777777787E-3</v>
      </c>
      <c r="G369" s="344">
        <v>0.51500000000000001</v>
      </c>
      <c r="H369" s="265">
        <v>0.2074074074074074</v>
      </c>
      <c r="I369" s="221">
        <v>0.13690257914680357</v>
      </c>
      <c r="J369" s="265">
        <v>8.3333333333333329E-2</v>
      </c>
      <c r="K369" s="221">
        <v>4.1069245813470254E-2</v>
      </c>
      <c r="L369" s="221">
        <f t="shared" si="19"/>
        <v>5.0097023591248027E-2</v>
      </c>
      <c r="AH369" s="17"/>
      <c r="AJ369" s="574"/>
    </row>
    <row r="370" spans="2:36" s="7" customFormat="1" ht="15.75">
      <c r="B370" s="588" t="s">
        <v>171</v>
      </c>
      <c r="C370" s="585" t="s">
        <v>1281</v>
      </c>
      <c r="D370" s="582">
        <v>24</v>
      </c>
      <c r="E370" s="416">
        <v>3.472222222222222E-3</v>
      </c>
      <c r="F370" s="416">
        <v>9.0277777777777787E-3</v>
      </c>
      <c r="G370" s="418">
        <v>0.51500000000000001</v>
      </c>
      <c r="H370" s="419" t="s">
        <v>25</v>
      </c>
      <c r="I370" s="416" t="s">
        <v>25</v>
      </c>
      <c r="J370" s="419" t="s">
        <v>25</v>
      </c>
      <c r="K370" s="416" t="s">
        <v>25</v>
      </c>
      <c r="L370" s="589">
        <f>SUMIF($B$5:$B369,"&lt;&gt;"&amp;"Level_Up",L$5:L369)</f>
        <v>4.3170227343216565</v>
      </c>
      <c r="AH370" s="17"/>
      <c r="AJ370" s="574"/>
    </row>
    <row r="371" spans="2:36" s="7" customFormat="1" ht="15.75">
      <c r="B371" s="503" t="s">
        <v>144</v>
      </c>
      <c r="C371" s="584" t="s">
        <v>1282</v>
      </c>
      <c r="D371" s="16">
        <v>24</v>
      </c>
      <c r="E371" s="221">
        <v>3.472222222222222E-3</v>
      </c>
      <c r="F371" s="137">
        <v>9.0277777777777787E-3</v>
      </c>
      <c r="G371" s="344">
        <v>0.51500000000000001</v>
      </c>
      <c r="H371" s="265">
        <v>0.22222222222222221</v>
      </c>
      <c r="I371" s="221">
        <v>0.14668133480014667</v>
      </c>
      <c r="J371" s="265">
        <v>0</v>
      </c>
      <c r="K371" s="221">
        <v>0.13418133480014668</v>
      </c>
      <c r="L371" s="221">
        <f t="shared" ref="L371:L376" si="20">IF(I371-E371-J371&gt;0,I371-E371-J371,0)</f>
        <v>0.14320911257792446</v>
      </c>
      <c r="AH371" s="17"/>
      <c r="AJ371" s="574"/>
    </row>
    <row r="372" spans="2:36" s="7" customFormat="1" ht="15.75">
      <c r="B372" s="503" t="s">
        <v>144</v>
      </c>
      <c r="C372" s="584" t="s">
        <v>1283</v>
      </c>
      <c r="D372" s="16">
        <v>24</v>
      </c>
      <c r="E372" s="221">
        <v>3.472222222222222E-3</v>
      </c>
      <c r="F372" s="137">
        <v>9.0277777777777787E-3</v>
      </c>
      <c r="G372" s="344">
        <v>0.51500000000000001</v>
      </c>
      <c r="H372" s="265">
        <v>0.31111111111111112</v>
      </c>
      <c r="I372" s="221">
        <v>0.20535386872020533</v>
      </c>
      <c r="J372" s="265">
        <v>0.14583333333333334</v>
      </c>
      <c r="K372" s="221">
        <v>4.7020535386872009E-2</v>
      </c>
      <c r="L372" s="221">
        <f t="shared" si="20"/>
        <v>5.6048313164649782E-2</v>
      </c>
      <c r="AH372" s="17"/>
      <c r="AJ372" s="574"/>
    </row>
    <row r="373" spans="2:36" s="7" customFormat="1" ht="15.75">
      <c r="B373" s="503" t="s">
        <v>144</v>
      </c>
      <c r="C373" s="584" t="s">
        <v>1284</v>
      </c>
      <c r="D373" s="16">
        <v>24</v>
      </c>
      <c r="E373" s="221">
        <v>3.472222222222222E-3</v>
      </c>
      <c r="F373" s="137">
        <v>9.0277777777777787E-3</v>
      </c>
      <c r="G373" s="344">
        <v>0.51500000000000001</v>
      </c>
      <c r="H373" s="265">
        <v>0.13333333333333333</v>
      </c>
      <c r="I373" s="221">
        <v>8.8008800880088001E-2</v>
      </c>
      <c r="J373" s="265">
        <v>7.2916666666666657E-2</v>
      </c>
      <c r="K373" s="221">
        <v>2.592134213421346E-3</v>
      </c>
      <c r="L373" s="221">
        <f t="shared" si="20"/>
        <v>1.1619911991199119E-2</v>
      </c>
      <c r="AH373" s="17"/>
      <c r="AJ373" s="574"/>
    </row>
    <row r="374" spans="2:36" s="7" customFormat="1" ht="15.75">
      <c r="B374" s="503" t="s">
        <v>144</v>
      </c>
      <c r="C374" s="584" t="s">
        <v>1141</v>
      </c>
      <c r="D374" s="16">
        <v>24</v>
      </c>
      <c r="E374" s="221">
        <v>3.472222222222222E-3</v>
      </c>
      <c r="F374" s="137">
        <v>9.0277777777777787E-3</v>
      </c>
      <c r="G374" s="344">
        <v>0.51500000000000001</v>
      </c>
      <c r="H374" s="265">
        <v>0.26666666666666666</v>
      </c>
      <c r="I374" s="221">
        <v>0.176017601760176</v>
      </c>
      <c r="J374" s="265">
        <v>0.125</v>
      </c>
      <c r="K374" s="221">
        <v>3.8517601760176018E-2</v>
      </c>
      <c r="L374" s="221">
        <f t="shared" si="20"/>
        <v>4.7545379537953791E-2</v>
      </c>
      <c r="AH374" s="17"/>
      <c r="AJ374" s="574"/>
    </row>
    <row r="375" spans="2:36" s="487" customFormat="1" ht="15.75">
      <c r="B375" s="503" t="s">
        <v>144</v>
      </c>
      <c r="C375" s="584" t="s">
        <v>1285</v>
      </c>
      <c r="D375" s="16">
        <v>24</v>
      </c>
      <c r="E375" s="221">
        <v>3.472222222222222E-3</v>
      </c>
      <c r="F375" s="576">
        <v>9.7222222222222224E-3</v>
      </c>
      <c r="G375" s="344">
        <v>0.51500000000000001</v>
      </c>
      <c r="H375" s="265">
        <v>1.7777777777777777</v>
      </c>
      <c r="I375" s="221">
        <v>1.1734506784011733</v>
      </c>
      <c r="J375" s="265">
        <v>0</v>
      </c>
      <c r="K375" s="221">
        <v>1.1602562339567288</v>
      </c>
      <c r="L375" s="221">
        <f t="shared" si="20"/>
        <v>1.169978456178951</v>
      </c>
      <c r="AH375" s="545"/>
      <c r="AJ375" s="577"/>
    </row>
    <row r="376" spans="2:36" s="7" customFormat="1" ht="15.75">
      <c r="B376" s="503" t="s">
        <v>144</v>
      </c>
      <c r="C376" s="584" t="s">
        <v>1287</v>
      </c>
      <c r="D376" s="16">
        <v>24</v>
      </c>
      <c r="E376" s="221">
        <v>3.472222222222222E-3</v>
      </c>
      <c r="F376" s="137">
        <v>9.7222222222222224E-3</v>
      </c>
      <c r="G376" s="344">
        <v>0.51500000000000001</v>
      </c>
      <c r="H376" s="265">
        <v>0.59259259259259256</v>
      </c>
      <c r="I376" s="221">
        <v>0.39115022613372441</v>
      </c>
      <c r="J376" s="265">
        <v>0</v>
      </c>
      <c r="K376" s="221">
        <v>0.37795578168927996</v>
      </c>
      <c r="L376" s="221">
        <f t="shared" si="20"/>
        <v>0.3876780039115022</v>
      </c>
      <c r="AH376" s="17"/>
      <c r="AJ376" s="574"/>
    </row>
    <row r="377" spans="2:36" s="7" customFormat="1" ht="15.75">
      <c r="B377" s="588" t="s">
        <v>171</v>
      </c>
      <c r="C377" s="585" t="s">
        <v>1288</v>
      </c>
      <c r="D377" s="582">
        <v>25</v>
      </c>
      <c r="E377" s="416">
        <v>3.472222222222222E-3</v>
      </c>
      <c r="F377" s="416">
        <v>9.7222222222222224E-3</v>
      </c>
      <c r="G377" s="418">
        <v>0.51500000000000001</v>
      </c>
      <c r="H377" s="419" t="s">
        <v>25</v>
      </c>
      <c r="I377" s="416" t="s">
        <v>25</v>
      </c>
      <c r="J377" s="419" t="s">
        <v>25</v>
      </c>
      <c r="K377" s="416" t="s">
        <v>25</v>
      </c>
      <c r="L377" s="589">
        <f>SUMIF($B$5:$B376,"&lt;&gt;"&amp;"Level_Up",L$5:L376)</f>
        <v>6.1331019116838368</v>
      </c>
      <c r="AH377" s="17"/>
      <c r="AJ377" s="574"/>
    </row>
    <row r="378" spans="2:36" s="7" customFormat="1" ht="15.75">
      <c r="B378" s="503" t="s">
        <v>144</v>
      </c>
      <c r="C378" s="584" t="s">
        <v>1289</v>
      </c>
      <c r="D378" s="16">
        <v>25</v>
      </c>
      <c r="E378" s="221">
        <v>3.472222222222222E-3</v>
      </c>
      <c r="F378" s="137">
        <v>9.7222222222222224E-3</v>
      </c>
      <c r="G378" s="344">
        <v>0.51500000000000001</v>
      </c>
      <c r="H378" s="265">
        <v>0.47407407407407409</v>
      </c>
      <c r="I378" s="221">
        <v>0.31292018090697959</v>
      </c>
      <c r="J378" s="265">
        <v>0</v>
      </c>
      <c r="K378" s="221">
        <v>0.29972573646253514</v>
      </c>
      <c r="L378" s="221">
        <f>IF(I378-E378-J378&gt;0,I378-E378-J378,0)</f>
        <v>0.30944795868475738</v>
      </c>
      <c r="AH378" s="17"/>
      <c r="AJ378" s="574"/>
    </row>
    <row r="379" spans="2:36" s="7" customFormat="1" ht="15.75">
      <c r="B379" s="503" t="s">
        <v>144</v>
      </c>
      <c r="C379" s="584" t="s">
        <v>1290</v>
      </c>
      <c r="D379" s="16">
        <v>25</v>
      </c>
      <c r="E379" s="221">
        <v>3.472222222222222E-3</v>
      </c>
      <c r="F379" s="137">
        <v>9.7222222222222224E-3</v>
      </c>
      <c r="G379" s="344">
        <v>0.56499999999999995</v>
      </c>
      <c r="H379" s="265">
        <v>0.17777777777777778</v>
      </c>
      <c r="I379" s="221">
        <v>0.11359602413915514</v>
      </c>
      <c r="J379" s="265">
        <v>0</v>
      </c>
      <c r="K379" s="221">
        <v>0.1004015796947107</v>
      </c>
      <c r="L379" s="221">
        <f>IF(I379-E379-J379&gt;0,I379-E379-J379,0)</f>
        <v>0.11012380191693291</v>
      </c>
      <c r="AH379" s="17"/>
      <c r="AJ379" s="574"/>
    </row>
    <row r="380" spans="2:36" s="7" customFormat="1" ht="15.75">
      <c r="B380" s="503" t="s">
        <v>144</v>
      </c>
      <c r="C380" s="584" t="s">
        <v>1291</v>
      </c>
      <c r="D380" s="16">
        <v>25</v>
      </c>
      <c r="E380" s="221">
        <v>3.472222222222222E-3</v>
      </c>
      <c r="F380" s="137">
        <v>9.7222222222222224E-3</v>
      </c>
      <c r="G380" s="344">
        <v>0.56499999999999995</v>
      </c>
      <c r="H380" s="265">
        <v>0.4148148148148148</v>
      </c>
      <c r="I380" s="221">
        <v>0.26505738965802866</v>
      </c>
      <c r="J380" s="265">
        <v>0</v>
      </c>
      <c r="K380" s="221">
        <v>0.25186294521358421</v>
      </c>
      <c r="L380" s="221">
        <f>IF(I380-E380-J380&gt;0,I380-E380-J380,0)</f>
        <v>0.26158516743580645</v>
      </c>
      <c r="AH380" s="17"/>
      <c r="AJ380" s="574"/>
    </row>
    <row r="381" spans="2:36" s="7" customFormat="1" ht="15.75">
      <c r="B381" s="503" t="s">
        <v>144</v>
      </c>
      <c r="C381" s="584" t="s">
        <v>1292</v>
      </c>
      <c r="D381" s="16">
        <v>25</v>
      </c>
      <c r="E381" s="221">
        <v>3.472222222222222E-3</v>
      </c>
      <c r="F381" s="137">
        <v>9.7222222222222224E-3</v>
      </c>
      <c r="G381" s="344">
        <v>0.56499999999999995</v>
      </c>
      <c r="H381" s="265">
        <v>0.29629629629629628</v>
      </c>
      <c r="I381" s="221">
        <v>0.18932670689859188</v>
      </c>
      <c r="J381" s="265">
        <v>8.3333333333333329E-2</v>
      </c>
      <c r="K381" s="221">
        <v>9.2798929120814125E-2</v>
      </c>
      <c r="L381" s="221">
        <f>IF(I381-E381-J381&gt;0,I381-E381-J381,0)</f>
        <v>0.10252115134303634</v>
      </c>
      <c r="AH381" s="17"/>
      <c r="AJ381" s="574"/>
    </row>
    <row r="382" spans="2:36" s="7" customFormat="1" ht="15.75">
      <c r="B382" s="588" t="s">
        <v>171</v>
      </c>
      <c r="C382" s="585" t="s">
        <v>1293</v>
      </c>
      <c r="D382" s="582">
        <v>26</v>
      </c>
      <c r="E382" s="416">
        <v>3.472222222222222E-3</v>
      </c>
      <c r="F382" s="416">
        <v>9.7222222222222224E-3</v>
      </c>
      <c r="G382" s="418">
        <v>0.56499999999999995</v>
      </c>
      <c r="H382" s="419" t="s">
        <v>25</v>
      </c>
      <c r="I382" s="416" t="s">
        <v>25</v>
      </c>
      <c r="J382" s="419" t="s">
        <v>25</v>
      </c>
      <c r="K382" s="416" t="s">
        <v>25</v>
      </c>
      <c r="L382" s="589">
        <f>SUMIF($B$5:$B381,"&lt;&gt;"&amp;"Level_Up",L$5:L381)</f>
        <v>6.9167799910643701</v>
      </c>
      <c r="AH382" s="17"/>
      <c r="AJ382" s="574"/>
    </row>
    <row r="383" spans="2:36" s="7" customFormat="1" ht="15.75">
      <c r="B383" s="503" t="s">
        <v>144</v>
      </c>
      <c r="C383" s="584" t="s">
        <v>1294</v>
      </c>
      <c r="D383" s="16">
        <v>26</v>
      </c>
      <c r="E383" s="221">
        <v>3.472222222222222E-3</v>
      </c>
      <c r="F383" s="137">
        <v>9.7222222222222224E-3</v>
      </c>
      <c r="G383" s="344">
        <v>0.56499999999999995</v>
      </c>
      <c r="H383" s="265">
        <v>0.35555555555555557</v>
      </c>
      <c r="I383" s="221">
        <v>0.22719204827831027</v>
      </c>
      <c r="J383" s="265">
        <v>0</v>
      </c>
      <c r="K383" s="221">
        <v>0.21399760383386585</v>
      </c>
      <c r="L383" s="221">
        <f t="shared" ref="L383:L389" si="21">IF(I383-E383-J383&gt;0,I383-E383-J383,0)</f>
        <v>0.22371982605608806</v>
      </c>
      <c r="AH383" s="17"/>
      <c r="AJ383" s="574"/>
    </row>
    <row r="384" spans="2:36" s="7" customFormat="1" ht="15.75">
      <c r="B384" s="503" t="s">
        <v>144</v>
      </c>
      <c r="C384" s="584" t="s">
        <v>1295</v>
      </c>
      <c r="D384" s="16">
        <v>26</v>
      </c>
      <c r="E384" s="221">
        <v>3.472222222222222E-3</v>
      </c>
      <c r="F384" s="137">
        <v>9.7222222222222224E-3</v>
      </c>
      <c r="G384" s="344">
        <v>0.56499999999999995</v>
      </c>
      <c r="H384" s="265">
        <v>0.35555555555555557</v>
      </c>
      <c r="I384" s="221">
        <v>0.22719204827831027</v>
      </c>
      <c r="J384" s="265">
        <v>0</v>
      </c>
      <c r="K384" s="221">
        <v>0.21399760383386585</v>
      </c>
      <c r="L384" s="221">
        <f t="shared" si="21"/>
        <v>0.22371982605608806</v>
      </c>
      <c r="AH384" s="17"/>
      <c r="AJ384" s="574"/>
    </row>
    <row r="385" spans="2:36" s="7" customFormat="1" ht="15.75">
      <c r="B385" s="503" t="s">
        <v>144</v>
      </c>
      <c r="C385" s="584" t="s">
        <v>1296</v>
      </c>
      <c r="D385" s="16">
        <v>26</v>
      </c>
      <c r="E385" s="221">
        <v>3.472222222222222E-3</v>
      </c>
      <c r="F385" s="137">
        <v>9.7222222222222224E-3</v>
      </c>
      <c r="G385" s="344">
        <v>0.56499999999999995</v>
      </c>
      <c r="H385" s="265">
        <v>6.9444444444444441E-3</v>
      </c>
      <c r="I385" s="221">
        <v>4.4373446929357472E-3</v>
      </c>
      <c r="J385" s="265">
        <v>0</v>
      </c>
      <c r="K385" s="221">
        <v>0</v>
      </c>
      <c r="L385" s="221">
        <f t="shared" si="21"/>
        <v>9.6512247071352513E-4</v>
      </c>
      <c r="AH385" s="17"/>
      <c r="AJ385" s="574"/>
    </row>
    <row r="386" spans="2:36" s="7" customFormat="1" ht="15.75">
      <c r="B386" s="503" t="s">
        <v>144</v>
      </c>
      <c r="C386" s="584" t="s">
        <v>794</v>
      </c>
      <c r="D386" s="16">
        <v>26</v>
      </c>
      <c r="E386" s="221">
        <v>3.472222222222222E-3</v>
      </c>
      <c r="F386" s="137">
        <v>9.7222222222222224E-3</v>
      </c>
      <c r="G386" s="344">
        <v>0.56499999999999995</v>
      </c>
      <c r="H386" s="265">
        <v>1.3888888888888888E-2</v>
      </c>
      <c r="I386" s="221">
        <v>8.8746893858714943E-3</v>
      </c>
      <c r="J386" s="265">
        <v>0</v>
      </c>
      <c r="K386" s="221">
        <v>0</v>
      </c>
      <c r="L386" s="221">
        <f t="shared" si="21"/>
        <v>5.4024671636492723E-3</v>
      </c>
      <c r="AH386" s="17"/>
      <c r="AJ386" s="574"/>
    </row>
    <row r="387" spans="2:36" s="7" customFormat="1" ht="15.75">
      <c r="B387" s="503" t="s">
        <v>144</v>
      </c>
      <c r="C387" s="584" t="s">
        <v>1297</v>
      </c>
      <c r="D387" s="16">
        <v>26</v>
      </c>
      <c r="E387" s="221">
        <v>3.472222222222222E-3</v>
      </c>
      <c r="F387" s="137">
        <v>9.7222222222222224E-3</v>
      </c>
      <c r="G387" s="344">
        <v>0.56499999999999995</v>
      </c>
      <c r="H387" s="265">
        <v>0.14814814814814814</v>
      </c>
      <c r="I387" s="221">
        <v>9.4663353449295939E-2</v>
      </c>
      <c r="J387" s="265">
        <v>2.0833333333333333E-3</v>
      </c>
      <c r="K387" s="221">
        <v>7.9385575671518147E-2</v>
      </c>
      <c r="L387" s="221">
        <f t="shared" si="21"/>
        <v>8.9107797893740376E-2</v>
      </c>
      <c r="AH387" s="17"/>
      <c r="AJ387" s="574"/>
    </row>
    <row r="388" spans="2:36" s="7" customFormat="1" ht="15.75">
      <c r="B388" s="503" t="s">
        <v>144</v>
      </c>
      <c r="C388" s="584" t="s">
        <v>890</v>
      </c>
      <c r="D388" s="16">
        <v>26</v>
      </c>
      <c r="E388" s="221">
        <v>3.472222222222222E-3</v>
      </c>
      <c r="F388" s="137">
        <v>9.7222222222222224E-3</v>
      </c>
      <c r="G388" s="344">
        <v>0.56499999999999995</v>
      </c>
      <c r="H388" s="265">
        <v>3.7037037037037042E-2</v>
      </c>
      <c r="I388" s="221">
        <v>2.3665838362323988E-2</v>
      </c>
      <c r="J388" s="265">
        <v>0</v>
      </c>
      <c r="K388" s="221">
        <v>1.0471393917879546E-2</v>
      </c>
      <c r="L388" s="221">
        <f t="shared" si="21"/>
        <v>2.0193616140101768E-2</v>
      </c>
      <c r="AH388" s="17"/>
      <c r="AJ388" s="574"/>
    </row>
    <row r="389" spans="2:36" ht="15.75">
      <c r="B389" s="503" t="s">
        <v>144</v>
      </c>
      <c r="C389" s="584" t="s">
        <v>1298</v>
      </c>
      <c r="D389" s="16">
        <v>26</v>
      </c>
      <c r="E389" s="221">
        <v>3.472222222222222E-3</v>
      </c>
      <c r="F389" s="137">
        <v>9.7222222222222224E-3</v>
      </c>
      <c r="G389" s="344">
        <v>0.56499999999999995</v>
      </c>
      <c r="H389" s="265">
        <v>0.4148148148148148</v>
      </c>
      <c r="I389" s="221">
        <v>0.26505738965802866</v>
      </c>
      <c r="J389" s="265">
        <v>0</v>
      </c>
      <c r="K389" s="221">
        <v>0.25186294521358421</v>
      </c>
      <c r="L389" s="221">
        <f t="shared" si="21"/>
        <v>0.26158516743580645</v>
      </c>
    </row>
    <row r="390" spans="2:36" ht="15.75">
      <c r="B390" s="588" t="s">
        <v>171</v>
      </c>
      <c r="C390" s="585" t="s">
        <v>1299</v>
      </c>
      <c r="D390" s="582">
        <v>27</v>
      </c>
      <c r="E390" s="416">
        <v>3.472222222222222E-3</v>
      </c>
      <c r="F390" s="416">
        <v>9.7222222222222224E-3</v>
      </c>
      <c r="G390" s="418">
        <v>0.56499999999999995</v>
      </c>
      <c r="H390" s="419" t="s">
        <v>25</v>
      </c>
      <c r="I390" s="416" t="s">
        <v>25</v>
      </c>
      <c r="J390" s="419" t="s">
        <v>25</v>
      </c>
      <c r="K390" s="416" t="s">
        <v>25</v>
      </c>
      <c r="L390" s="589">
        <f>SUMIF($B$5:$B389,"&lt;&gt;"&amp;"Level_Up",L$5:L389)</f>
        <v>7.7414738142805586</v>
      </c>
    </row>
    <row r="391" spans="2:36" ht="15.75">
      <c r="B391" s="503" t="s">
        <v>144</v>
      </c>
      <c r="C391" s="584" t="s">
        <v>1280</v>
      </c>
      <c r="D391" s="16">
        <v>27</v>
      </c>
      <c r="E391" s="221">
        <v>3.472222222222222E-3</v>
      </c>
      <c r="F391" s="137">
        <v>9.7222222222222224E-3</v>
      </c>
      <c r="G391" s="344">
        <v>0.56499999999999995</v>
      </c>
      <c r="H391" s="265">
        <v>0.2074074074074074</v>
      </c>
      <c r="I391" s="221">
        <v>0.13252869482901433</v>
      </c>
      <c r="J391" s="265">
        <v>0</v>
      </c>
      <c r="K391" s="221">
        <v>0.11933425038456991</v>
      </c>
      <c r="L391" s="221">
        <f t="shared" ref="L391:L402" si="22">IF(I391-E391-J391&gt;0,I391-E391-J391,0)</f>
        <v>0.12905647260679212</v>
      </c>
    </row>
    <row r="392" spans="2:36" ht="15.75">
      <c r="B392" s="503" t="s">
        <v>144</v>
      </c>
      <c r="C392" s="584" t="s">
        <v>1300</v>
      </c>
      <c r="D392" s="16">
        <v>27</v>
      </c>
      <c r="E392" s="221">
        <v>3.472222222222222E-3</v>
      </c>
      <c r="F392" s="137">
        <v>9.7222222222222224E-3</v>
      </c>
      <c r="G392" s="344">
        <v>0.56499999999999995</v>
      </c>
      <c r="H392" s="265">
        <v>0.44444444444444442</v>
      </c>
      <c r="I392" s="221">
        <v>0.28399006034788782</v>
      </c>
      <c r="J392" s="265">
        <v>0</v>
      </c>
      <c r="K392" s="221">
        <v>0.27079561590344337</v>
      </c>
      <c r="L392" s="221">
        <f t="shared" si="22"/>
        <v>0.28051783812566561</v>
      </c>
    </row>
    <row r="393" spans="2:36" ht="15.75">
      <c r="B393" s="503" t="s">
        <v>144</v>
      </c>
      <c r="C393" s="584" t="s">
        <v>666</v>
      </c>
      <c r="D393" s="16">
        <v>27</v>
      </c>
      <c r="E393" s="221">
        <v>3.472222222222222E-3</v>
      </c>
      <c r="F393" s="137">
        <v>9.7222222222222224E-3</v>
      </c>
      <c r="G393" s="344">
        <v>0.56499999999999995</v>
      </c>
      <c r="H393" s="265">
        <v>3.1666666666666669E-2</v>
      </c>
      <c r="I393" s="221">
        <v>2.0234291799787009E-2</v>
      </c>
      <c r="J393" s="265">
        <v>2.0833333333333332E-2</v>
      </c>
      <c r="K393" s="221">
        <v>0</v>
      </c>
      <c r="L393" s="221">
        <f t="shared" si="22"/>
        <v>0</v>
      </c>
    </row>
    <row r="394" spans="2:36" ht="15.75">
      <c r="B394" s="503" t="s">
        <v>144</v>
      </c>
      <c r="C394" s="584" t="s">
        <v>890</v>
      </c>
      <c r="D394" s="16">
        <v>27</v>
      </c>
      <c r="E394" s="221">
        <v>3.472222222222222E-3</v>
      </c>
      <c r="F394" s="137">
        <v>9.7222222222222224E-3</v>
      </c>
      <c r="G394" s="344">
        <v>0.56499999999999995</v>
      </c>
      <c r="H394" s="265">
        <v>3.7037037037037042E-2</v>
      </c>
      <c r="I394" s="221">
        <v>2.3665838362323988E-2</v>
      </c>
      <c r="J394" s="265">
        <v>0</v>
      </c>
      <c r="K394" s="221">
        <v>1.0471393917879546E-2</v>
      </c>
      <c r="L394" s="221">
        <f t="shared" si="22"/>
        <v>2.0193616140101768E-2</v>
      </c>
    </row>
    <row r="395" spans="2:36" ht="15.75">
      <c r="B395" s="503" t="s">
        <v>144</v>
      </c>
      <c r="C395" s="584" t="s">
        <v>1265</v>
      </c>
      <c r="D395" s="16">
        <v>27</v>
      </c>
      <c r="E395" s="221">
        <v>3.472222222222222E-3</v>
      </c>
      <c r="F395" s="137">
        <v>9.7222222222222224E-3</v>
      </c>
      <c r="G395" s="344">
        <v>0.56499999999999995</v>
      </c>
      <c r="H395" s="265">
        <v>7.407407407407407E-2</v>
      </c>
      <c r="I395" s="221">
        <v>4.733167672464797E-2</v>
      </c>
      <c r="J395" s="265">
        <v>0</v>
      </c>
      <c r="K395" s="221">
        <v>3.4137232280203524E-2</v>
      </c>
      <c r="L395" s="221">
        <f t="shared" si="22"/>
        <v>4.3859454502425746E-2</v>
      </c>
    </row>
    <row r="396" spans="2:36" ht="15.75">
      <c r="B396" s="503" t="s">
        <v>144</v>
      </c>
      <c r="C396" s="584" t="s">
        <v>1277</v>
      </c>
      <c r="D396" s="16">
        <v>27</v>
      </c>
      <c r="E396" s="221">
        <v>3.472222222222222E-3</v>
      </c>
      <c r="F396" s="137">
        <v>9.7222222222222224E-3</v>
      </c>
      <c r="G396" s="344">
        <v>0.56499999999999995</v>
      </c>
      <c r="H396" s="265">
        <v>0.14814814814814814</v>
      </c>
      <c r="I396" s="221">
        <v>9.4663353449295939E-2</v>
      </c>
      <c r="J396" s="265">
        <v>0</v>
      </c>
      <c r="K396" s="221">
        <v>8.1468909004851486E-2</v>
      </c>
      <c r="L396" s="221">
        <f t="shared" si="22"/>
        <v>9.1191131227073716E-2</v>
      </c>
    </row>
    <row r="397" spans="2:36" ht="15.75">
      <c r="B397" s="503" t="s">
        <v>144</v>
      </c>
      <c r="C397" s="584" t="s">
        <v>1292</v>
      </c>
      <c r="D397" s="16">
        <v>27</v>
      </c>
      <c r="E397" s="221">
        <v>3.472222222222222E-3</v>
      </c>
      <c r="F397" s="137">
        <v>9.7222222222222224E-3</v>
      </c>
      <c r="G397" s="344">
        <v>0.56499999999999995</v>
      </c>
      <c r="H397" s="265">
        <v>0.29629629629629628</v>
      </c>
      <c r="I397" s="221">
        <v>0.18932670689859188</v>
      </c>
      <c r="J397" s="265">
        <v>0</v>
      </c>
      <c r="K397" s="221">
        <v>0.17613226245414745</v>
      </c>
      <c r="L397" s="221">
        <f t="shared" si="22"/>
        <v>0.18585448467636967</v>
      </c>
    </row>
    <row r="398" spans="2:36" ht="15.75">
      <c r="B398" s="503" t="s">
        <v>144</v>
      </c>
      <c r="C398" s="584" t="s">
        <v>1291</v>
      </c>
      <c r="D398" s="16">
        <v>27</v>
      </c>
      <c r="E398" s="221">
        <v>3.472222222222222E-3</v>
      </c>
      <c r="F398" s="137">
        <v>9.7222222222222224E-3</v>
      </c>
      <c r="G398" s="344">
        <v>0.56499999999999995</v>
      </c>
      <c r="H398" s="265">
        <v>0.4148148148148148</v>
      </c>
      <c r="I398" s="221">
        <v>0.26505738965802866</v>
      </c>
      <c r="J398" s="265">
        <v>0</v>
      </c>
      <c r="K398" s="221">
        <v>0.25186294521358421</v>
      </c>
      <c r="L398" s="221">
        <f t="shared" si="22"/>
        <v>0.26158516743580645</v>
      </c>
    </row>
    <row r="399" spans="2:36" ht="15.75">
      <c r="B399" s="503" t="s">
        <v>144</v>
      </c>
      <c r="C399" s="584" t="s">
        <v>1301</v>
      </c>
      <c r="D399" s="16">
        <v>27</v>
      </c>
      <c r="E399" s="221">
        <v>3.472222222222222E-3</v>
      </c>
      <c r="F399" s="137">
        <v>9.7222222222222224E-3</v>
      </c>
      <c r="G399" s="344">
        <v>0.56499999999999995</v>
      </c>
      <c r="H399" s="265">
        <v>0.29629629629629628</v>
      </c>
      <c r="I399" s="221">
        <v>0.18932670689859188</v>
      </c>
      <c r="J399" s="265">
        <v>0</v>
      </c>
      <c r="K399" s="221">
        <v>0.17613226245414745</v>
      </c>
      <c r="L399" s="221">
        <f t="shared" si="22"/>
        <v>0.18585448467636967</v>
      </c>
    </row>
    <row r="400" spans="2:36" ht="15.75">
      <c r="B400" s="503" t="s">
        <v>144</v>
      </c>
      <c r="C400" s="584" t="s">
        <v>1265</v>
      </c>
      <c r="D400" s="16">
        <v>27</v>
      </c>
      <c r="E400" s="221">
        <v>3.472222222222222E-3</v>
      </c>
      <c r="F400" s="137">
        <v>9.7222222222222224E-3</v>
      </c>
      <c r="G400" s="344">
        <v>0.56499999999999995</v>
      </c>
      <c r="H400" s="265">
        <v>7.407407407407407E-2</v>
      </c>
      <c r="I400" s="221">
        <v>4.733167672464797E-2</v>
      </c>
      <c r="J400" s="265">
        <v>0</v>
      </c>
      <c r="K400" s="221">
        <v>3.4137232280203524E-2</v>
      </c>
      <c r="L400" s="221">
        <f t="shared" si="22"/>
        <v>4.3859454502425746E-2</v>
      </c>
    </row>
    <row r="401" spans="2:12" ht="15.75">
      <c r="B401" s="503" t="s">
        <v>144</v>
      </c>
      <c r="C401" s="584" t="s">
        <v>1302</v>
      </c>
      <c r="D401" s="16">
        <v>27</v>
      </c>
      <c r="E401" s="221">
        <v>3.472222222222222E-3</v>
      </c>
      <c r="F401" s="137">
        <v>9.7222222222222224E-3</v>
      </c>
      <c r="G401" s="344">
        <v>0.56499999999999995</v>
      </c>
      <c r="H401" s="265">
        <v>0.62222222222222223</v>
      </c>
      <c r="I401" s="221">
        <v>0.39758608448704297</v>
      </c>
      <c r="J401" s="265">
        <v>0</v>
      </c>
      <c r="K401" s="221">
        <v>0.38439164004259851</v>
      </c>
      <c r="L401" s="221">
        <f t="shared" si="22"/>
        <v>0.39411386226482076</v>
      </c>
    </row>
    <row r="402" spans="2:12" ht="15.75">
      <c r="B402" s="503" t="s">
        <v>144</v>
      </c>
      <c r="C402" s="584" t="s">
        <v>1303</v>
      </c>
      <c r="D402" s="16">
        <v>27</v>
      </c>
      <c r="E402" s="221">
        <v>3.472222222222222E-3</v>
      </c>
      <c r="F402" s="137">
        <v>9.7222222222222224E-3</v>
      </c>
      <c r="G402" s="344">
        <v>0.56499999999999995</v>
      </c>
      <c r="H402" s="265">
        <v>0.29629629629629628</v>
      </c>
      <c r="I402" s="221">
        <v>0.18932670689859188</v>
      </c>
      <c r="J402" s="265">
        <v>0</v>
      </c>
      <c r="K402" s="221">
        <v>0.17613226245414745</v>
      </c>
      <c r="L402" s="221">
        <f t="shared" si="22"/>
        <v>0.18585448467636967</v>
      </c>
    </row>
    <row r="403" spans="2:12" ht="15.75">
      <c r="B403" s="588" t="s">
        <v>171</v>
      </c>
      <c r="C403" s="585" t="s">
        <v>1304</v>
      </c>
      <c r="D403" s="582">
        <v>28</v>
      </c>
      <c r="E403" s="416">
        <v>3.472222222222222E-3</v>
      </c>
      <c r="F403" s="416">
        <v>9.7222222222222224E-3</v>
      </c>
      <c r="G403" s="418">
        <v>0.56499999999999995</v>
      </c>
      <c r="H403" s="419" t="s">
        <v>25</v>
      </c>
      <c r="I403" s="416" t="s">
        <v>25</v>
      </c>
      <c r="J403" s="419" t="s">
        <v>25</v>
      </c>
      <c r="K403" s="416" t="s">
        <v>25</v>
      </c>
      <c r="L403" s="589">
        <f>SUMIF($B$5:$B402,"&lt;&gt;"&amp;"Level_Up",L$5:L402)</f>
        <v>9.563414265114778</v>
      </c>
    </row>
    <row r="404" spans="2:12" ht="15.75">
      <c r="B404" s="503" t="s">
        <v>144</v>
      </c>
      <c r="C404" s="584" t="s">
        <v>1277</v>
      </c>
      <c r="D404" s="16">
        <v>28</v>
      </c>
      <c r="E404" s="221">
        <v>3.472222222222222E-3</v>
      </c>
      <c r="F404" s="137">
        <v>9.7222222222222224E-3</v>
      </c>
      <c r="G404" s="344">
        <v>0.56499999999999995</v>
      </c>
      <c r="H404" s="265">
        <v>0.14814814814814814</v>
      </c>
      <c r="I404" s="221">
        <v>9.4663353449295939E-2</v>
      </c>
      <c r="J404" s="265">
        <v>9.375E-2</v>
      </c>
      <c r="K404" s="221">
        <v>0</v>
      </c>
      <c r="L404" s="221">
        <f t="shared" ref="L404:L410" si="23">IF(I404-E404-J404&gt;0,I404-E404-J404,0)</f>
        <v>0</v>
      </c>
    </row>
    <row r="405" spans="2:12" ht="15.75">
      <c r="B405" s="503" t="s">
        <v>144</v>
      </c>
      <c r="C405" s="584" t="s">
        <v>1292</v>
      </c>
      <c r="D405" s="16">
        <v>28</v>
      </c>
      <c r="E405" s="221">
        <v>3.472222222222222E-3</v>
      </c>
      <c r="F405" s="137">
        <v>9.7222222222222224E-3</v>
      </c>
      <c r="G405" s="344">
        <v>0.56499999999999995</v>
      </c>
      <c r="H405" s="265">
        <v>0.29629629629629628</v>
      </c>
      <c r="I405" s="221">
        <v>0.18932670689859188</v>
      </c>
      <c r="J405" s="265">
        <v>0</v>
      </c>
      <c r="K405" s="221">
        <v>0.17613226245414745</v>
      </c>
      <c r="L405" s="221">
        <f t="shared" si="23"/>
        <v>0.18585448467636967</v>
      </c>
    </row>
    <row r="406" spans="2:12" ht="15.75">
      <c r="B406" s="503" t="s">
        <v>144</v>
      </c>
      <c r="C406" s="584" t="s">
        <v>1185</v>
      </c>
      <c r="D406" s="16">
        <v>28</v>
      </c>
      <c r="E406" s="221">
        <v>3.472222222222222E-3</v>
      </c>
      <c r="F406" s="137">
        <v>9.7222222222222224E-3</v>
      </c>
      <c r="G406" s="344">
        <v>0.56499999999999995</v>
      </c>
      <c r="H406" s="265">
        <v>0.59259259259259256</v>
      </c>
      <c r="I406" s="221">
        <v>0.37865341379718376</v>
      </c>
      <c r="J406" s="265">
        <v>0</v>
      </c>
      <c r="K406" s="221">
        <v>0.3654589693527393</v>
      </c>
      <c r="L406" s="221">
        <f t="shared" si="23"/>
        <v>0.37518119157496155</v>
      </c>
    </row>
    <row r="407" spans="2:12" ht="15.75">
      <c r="B407" s="503" t="s">
        <v>144</v>
      </c>
      <c r="C407" s="584" t="s">
        <v>1305</v>
      </c>
      <c r="D407" s="16">
        <v>28</v>
      </c>
      <c r="E407" s="221">
        <v>3.472222222222222E-3</v>
      </c>
      <c r="F407" s="137">
        <v>9.7222222222222224E-3</v>
      </c>
      <c r="G407" s="344">
        <v>0.56499999999999995</v>
      </c>
      <c r="H407" s="265">
        <v>0.53333333333333333</v>
      </c>
      <c r="I407" s="221">
        <v>0.34078807241746539</v>
      </c>
      <c r="J407" s="265">
        <v>0</v>
      </c>
      <c r="K407" s="221">
        <v>0.32759362797302094</v>
      </c>
      <c r="L407" s="221">
        <f t="shared" si="23"/>
        <v>0.33731585019524318</v>
      </c>
    </row>
    <row r="408" spans="2:12" ht="15.75">
      <c r="B408" s="503" t="s">
        <v>144</v>
      </c>
      <c r="C408" s="584" t="s">
        <v>1290</v>
      </c>
      <c r="D408" s="16">
        <v>28</v>
      </c>
      <c r="E408" s="221">
        <v>3.472222222222222E-3</v>
      </c>
      <c r="F408" s="137">
        <v>9.7222222222222224E-3</v>
      </c>
      <c r="G408" s="344">
        <v>0.56499999999999995</v>
      </c>
      <c r="H408" s="265">
        <v>0.17777777777777778</v>
      </c>
      <c r="I408" s="221">
        <v>0.11359602413915514</v>
      </c>
      <c r="J408" s="265">
        <v>0</v>
      </c>
      <c r="K408" s="221">
        <v>0.1004015796947107</v>
      </c>
      <c r="L408" s="221">
        <f t="shared" si="23"/>
        <v>0.11012380191693291</v>
      </c>
    </row>
    <row r="409" spans="2:12" ht="15.75">
      <c r="B409" s="503" t="s">
        <v>144</v>
      </c>
      <c r="C409" s="584" t="s">
        <v>1301</v>
      </c>
      <c r="D409" s="16">
        <v>28</v>
      </c>
      <c r="E409" s="221">
        <v>3.472222222222222E-3</v>
      </c>
      <c r="F409" s="137">
        <v>9.7222222222222224E-3</v>
      </c>
      <c r="G409" s="344">
        <v>0.56499999999999995</v>
      </c>
      <c r="H409" s="265">
        <v>0.29629629629629628</v>
      </c>
      <c r="I409" s="221">
        <v>0.18932670689859188</v>
      </c>
      <c r="J409" s="265">
        <v>0</v>
      </c>
      <c r="K409" s="221">
        <v>0.17613226245414745</v>
      </c>
      <c r="L409" s="221">
        <f t="shared" si="23"/>
        <v>0.18585448467636967</v>
      </c>
    </row>
    <row r="410" spans="2:12" ht="15.75">
      <c r="B410" s="503" t="s">
        <v>144</v>
      </c>
      <c r="C410" s="584" t="s">
        <v>1306</v>
      </c>
      <c r="D410" s="16">
        <v>28</v>
      </c>
      <c r="E410" s="221">
        <v>3.472222222222222E-3</v>
      </c>
      <c r="F410" s="576">
        <v>1.0416666666666666E-2</v>
      </c>
      <c r="G410" s="344">
        <v>0.56499999999999995</v>
      </c>
      <c r="H410" s="265">
        <v>2.1333333333333333</v>
      </c>
      <c r="I410" s="221">
        <v>1.3631522896698616</v>
      </c>
      <c r="J410" s="265">
        <v>0</v>
      </c>
      <c r="K410" s="221">
        <v>1.3492634007809725</v>
      </c>
      <c r="L410" s="221">
        <f t="shared" si="23"/>
        <v>1.3596800674476393</v>
      </c>
    </row>
    <row r="411" spans="2:12" ht="15.75">
      <c r="B411" s="588" t="s">
        <v>171</v>
      </c>
      <c r="C411" s="585" t="s">
        <v>1307</v>
      </c>
      <c r="D411" s="582">
        <v>29</v>
      </c>
      <c r="E411" s="416">
        <v>3.472222222222222E-3</v>
      </c>
      <c r="F411" s="416">
        <v>1.0416666666666666E-2</v>
      </c>
      <c r="G411" s="418">
        <v>0.56499999999999995</v>
      </c>
      <c r="H411" s="419" t="s">
        <v>25</v>
      </c>
      <c r="I411" s="416" t="s">
        <v>25</v>
      </c>
      <c r="J411" s="419" t="s">
        <v>25</v>
      </c>
      <c r="K411" s="416" t="s">
        <v>25</v>
      </c>
      <c r="L411" s="589">
        <f>SUMIF($B$5:$B410,"&lt;&gt;"&amp;"Level_Up",L$5:L410)</f>
        <v>12.117424145602293</v>
      </c>
    </row>
    <row r="412" spans="2:12" ht="15.75">
      <c r="B412" s="503" t="s">
        <v>144</v>
      </c>
      <c r="C412" s="584" t="s">
        <v>1308</v>
      </c>
      <c r="D412" s="16">
        <v>29</v>
      </c>
      <c r="E412" s="221">
        <v>3.472222222222222E-3</v>
      </c>
      <c r="F412" s="137">
        <v>1.0416666666666666E-2</v>
      </c>
      <c r="G412" s="344">
        <v>0.56499999999999995</v>
      </c>
      <c r="H412" s="265">
        <v>0.35555555555555557</v>
      </c>
      <c r="I412" s="221">
        <v>0.22719204827831027</v>
      </c>
      <c r="J412" s="265">
        <v>0</v>
      </c>
      <c r="K412" s="221">
        <v>0.2133031593894214</v>
      </c>
      <c r="L412" s="221">
        <f>IF(I412-E412-J412&gt;0,I412-E412-J412,0)</f>
        <v>0.22371982605608806</v>
      </c>
    </row>
    <row r="413" spans="2:12" ht="15.75">
      <c r="B413" s="588" t="s">
        <v>171</v>
      </c>
      <c r="C413" s="585" t="s">
        <v>1309</v>
      </c>
      <c r="D413" s="582">
        <v>30</v>
      </c>
      <c r="E413" s="416">
        <v>3.472222222222222E-3</v>
      </c>
      <c r="F413" s="416">
        <v>1.0416666666666666E-2</v>
      </c>
      <c r="G413" s="418">
        <v>0.56499999999999995</v>
      </c>
      <c r="H413" s="419" t="s">
        <v>25</v>
      </c>
      <c r="I413" s="416" t="s">
        <v>25</v>
      </c>
      <c r="J413" s="419" t="s">
        <v>25</v>
      </c>
      <c r="K413" s="416" t="s">
        <v>25</v>
      </c>
      <c r="L413" s="589">
        <f>SUMIF($B$5:$B412,"&lt;&gt;"&amp;"Level_Up",L$5:L412)</f>
        <v>12.341143971658381</v>
      </c>
    </row>
    <row r="414" spans="2:12" ht="15.75">
      <c r="B414" s="503" t="s">
        <v>144</v>
      </c>
      <c r="C414" s="584" t="s">
        <v>1310</v>
      </c>
      <c r="D414" s="16">
        <v>30</v>
      </c>
      <c r="E414" s="221">
        <v>3.472222222222222E-3</v>
      </c>
      <c r="F414" s="137">
        <v>1.0416666666666666E-2</v>
      </c>
      <c r="G414" s="344">
        <v>0.56499999999999995</v>
      </c>
      <c r="H414" s="265">
        <v>0.42666666666666669</v>
      </c>
      <c r="I414" s="221">
        <v>0.27263045793397234</v>
      </c>
      <c r="J414" s="265">
        <v>0.26041666666666669</v>
      </c>
      <c r="K414" s="221">
        <v>0</v>
      </c>
      <c r="L414" s="221">
        <f>IF(I414-E414-J414&gt;0,I414-E414-J414,0)</f>
        <v>8.7415690450834416E-3</v>
      </c>
    </row>
    <row r="415" spans="2:12" ht="15.75">
      <c r="B415" s="503" t="s">
        <v>144</v>
      </c>
      <c r="C415" s="584" t="s">
        <v>1311</v>
      </c>
      <c r="D415" s="16">
        <v>30</v>
      </c>
      <c r="E415" s="221">
        <v>3.472222222222222E-3</v>
      </c>
      <c r="F415" s="137">
        <v>1.0416666666666666E-2</v>
      </c>
      <c r="G415" s="344">
        <v>0.56499999999999995</v>
      </c>
      <c r="H415" s="265">
        <v>0.71111111111111114</v>
      </c>
      <c r="I415" s="221">
        <v>0.45438409655662054</v>
      </c>
      <c r="J415" s="265">
        <v>0.45833333333333331</v>
      </c>
      <c r="K415" s="221">
        <v>0</v>
      </c>
      <c r="L415" s="221">
        <f>IF(I415-E415-J415&gt;0,I415-E415-J415,0)</f>
        <v>0</v>
      </c>
    </row>
    <row r="416" spans="2:12" ht="15.75">
      <c r="B416" s="503" t="s">
        <v>144</v>
      </c>
      <c r="C416" s="584" t="s">
        <v>1313</v>
      </c>
      <c r="D416" s="16">
        <v>30</v>
      </c>
      <c r="E416" s="221">
        <v>3.472222222222222E-3</v>
      </c>
      <c r="F416" s="137">
        <v>1.0416666666666666E-2</v>
      </c>
      <c r="G416" s="344">
        <v>0.56499999999999995</v>
      </c>
      <c r="H416" s="265">
        <v>0.56888888888888889</v>
      </c>
      <c r="I416" s="221">
        <v>0.36350727724529641</v>
      </c>
      <c r="J416" s="265">
        <v>0</v>
      </c>
      <c r="K416" s="221">
        <v>0.34961838835640752</v>
      </c>
      <c r="L416" s="221">
        <f>IF(I416-E416-J416&gt;0,I416-E416-J416,0)</f>
        <v>0.3600350550230742</v>
      </c>
    </row>
    <row r="417" spans="2:12" ht="15.75">
      <c r="B417" s="503" t="s">
        <v>144</v>
      </c>
      <c r="C417" s="584" t="s">
        <v>1323</v>
      </c>
      <c r="D417" s="16">
        <v>30</v>
      </c>
      <c r="E417" s="221">
        <v>3.472222222222222E-3</v>
      </c>
      <c r="F417" s="137">
        <v>1.0416666666666666E-2</v>
      </c>
      <c r="G417" s="344">
        <v>0.56499999999999995</v>
      </c>
      <c r="H417" s="265">
        <v>0.42666666666666669</v>
      </c>
      <c r="I417" s="221">
        <v>0.27263045793397234</v>
      </c>
      <c r="J417" s="265">
        <v>0</v>
      </c>
      <c r="K417" s="221">
        <v>0.25874156904508344</v>
      </c>
      <c r="L417" s="221">
        <f>IF(I417-E417-J417&gt;0,I417-E417-J417,0)</f>
        <v>0.26915823571175013</v>
      </c>
    </row>
    <row r="418" spans="2:12" ht="15.75">
      <c r="B418" s="503" t="s">
        <v>144</v>
      </c>
      <c r="C418" s="584" t="s">
        <v>1324</v>
      </c>
      <c r="D418" s="16">
        <v>30</v>
      </c>
      <c r="E418" s="221">
        <v>3.472222222222222E-3</v>
      </c>
      <c r="F418" s="137">
        <v>1.0416666666666666E-2</v>
      </c>
      <c r="G418" s="344">
        <v>0.56499999999999995</v>
      </c>
      <c r="H418" s="265">
        <v>0.49777777777777782</v>
      </c>
      <c r="I418" s="221">
        <v>0.31806886758963437</v>
      </c>
      <c r="J418" s="265">
        <v>0</v>
      </c>
      <c r="K418" s="221">
        <v>0.30417997870074548</v>
      </c>
      <c r="L418" s="221">
        <f>IF(I418-E418-J418&gt;0,I418-E418-J418,0)</f>
        <v>0.31459664536741216</v>
      </c>
    </row>
  </sheetData>
  <sortState ref="O4:R33">
    <sortCondition ref="O4"/>
  </sortState>
  <mergeCells count="12">
    <mergeCell ref="B3:B4"/>
    <mergeCell ref="C3:C4"/>
    <mergeCell ref="R3:R4"/>
    <mergeCell ref="S3:S4"/>
    <mergeCell ref="P3:P4"/>
    <mergeCell ref="Q3:Q4"/>
    <mergeCell ref="E3:E4"/>
    <mergeCell ref="F3:F4"/>
    <mergeCell ref="L3:L4"/>
    <mergeCell ref="G3:I3"/>
    <mergeCell ref="J3:J4"/>
    <mergeCell ref="K3:K4"/>
  </mergeCells>
  <phoneticPr fontId="1" type="noConversion"/>
  <conditionalFormatting sqref="B3:B187">
    <cfRule type="cellIs" dxfId="25" priority="76" stopIfTrue="1" operator="equal">
      <formula>#REF!</formula>
    </cfRule>
  </conditionalFormatting>
  <conditionalFormatting sqref="B3:B187">
    <cfRule type="cellIs" dxfId="24" priority="77" stopIfTrue="1" operator="equal">
      <formula>#REF!</formula>
    </cfRule>
    <cfRule type="cellIs" dxfId="23" priority="78" stopIfTrue="1" operator="equal">
      <formula>#REF!</formula>
    </cfRule>
    <cfRule type="cellIs" dxfId="22" priority="79" stopIfTrue="1" operator="equal">
      <formula>#REF!</formula>
    </cfRule>
    <cfRule type="cellIs" dxfId="21" priority="80" stopIfTrue="1" operator="equal">
      <formula>#REF!</formula>
    </cfRule>
    <cfRule type="cellIs" dxfId="20" priority="81" stopIfTrue="1" operator="equal">
      <formula>#REF!</formula>
    </cfRule>
    <cfRule type="cellIs" dxfId="19" priority="82" stopIfTrue="1" operator="equal">
      <formula>#REF!</formula>
    </cfRule>
    <cfRule type="cellIs" dxfId="18" priority="83" stopIfTrue="1" operator="equal">
      <formula>#REF!</formula>
    </cfRule>
    <cfRule type="cellIs" dxfId="17" priority="84" stopIfTrue="1" operator="equal">
      <formula>#REF!</formula>
    </cfRule>
    <cfRule type="cellIs" dxfId="16" priority="85" stopIfTrue="1" operator="equal">
      <formula>#REF!</formula>
    </cfRule>
    <cfRule type="cellIs" dxfId="15" priority="86" stopIfTrue="1" operator="equal">
      <formula>#REF!</formula>
    </cfRule>
    <cfRule type="cellIs" dxfId="14" priority="87" stopIfTrue="1" operator="equal">
      <formula>#REF!</formula>
    </cfRule>
    <cfRule type="cellIs" dxfId="13" priority="88" stopIfTrue="1" operator="equal">
      <formula>#REF!</formula>
    </cfRule>
  </conditionalFormatting>
  <conditionalFormatting sqref="B3:B1048576">
    <cfRule type="cellIs" dxfId="12" priority="180" stopIfTrue="1" operator="equal">
      <formula>#REF!</formula>
    </cfRule>
    <cfRule type="cellIs" dxfId="11" priority="181" stopIfTrue="1" operator="equal">
      <formula>#REF!</formula>
    </cfRule>
    <cfRule type="cellIs" dxfId="10" priority="182" stopIfTrue="1" operator="equal">
      <formula>#REF!</formula>
    </cfRule>
    <cfRule type="cellIs" dxfId="9" priority="183" stopIfTrue="1" operator="equal">
      <formula>#REF!</formula>
    </cfRule>
    <cfRule type="cellIs" dxfId="8" priority="184" stopIfTrue="1" operator="equal">
      <formula>#REF!</formula>
    </cfRule>
    <cfRule type="cellIs" dxfId="7" priority="185" stopIfTrue="1" operator="equal">
      <formula>#REF!</formula>
    </cfRule>
    <cfRule type="cellIs" dxfId="6" priority="186" stopIfTrue="1" operator="equal">
      <formula>#REF!</formula>
    </cfRule>
    <cfRule type="cellIs" dxfId="5" priority="187" stopIfTrue="1" operator="equal">
      <formula>#REF!</formula>
    </cfRule>
    <cfRule type="cellIs" dxfId="4" priority="188" stopIfTrue="1" operator="equal">
      <formula>#REF!</formula>
    </cfRule>
    <cfRule type="cellIs" dxfId="3" priority="189" stopIfTrue="1" operator="equal">
      <formula>#REF!</formula>
    </cfRule>
    <cfRule type="cellIs" dxfId="2" priority="190" stopIfTrue="1" operator="equal">
      <formula>#REF!</formula>
    </cfRule>
    <cfRule type="cellIs" dxfId="1" priority="191" stopIfTrue="1" operator="equal">
      <formula>#REF!</formula>
    </cfRule>
  </conditionalFormatting>
  <conditionalFormatting sqref="B3:B1048576">
    <cfRule type="cellIs" dxfId="0" priority="192" stopIfTrue="1" operator="equal">
      <formula>#REF!</formula>
    </cfRule>
  </conditionalFormatting>
  <dataValidations count="1">
    <dataValidation type="list" allowBlank="1" showInputMessage="1" showErrorMessage="1" sqref="B3:B1048576">
      <formula1>CATEGORY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0"/>
  </sheetPr>
  <dimension ref="B2:E24"/>
  <sheetViews>
    <sheetView workbookViewId="0">
      <selection activeCell="F68" sqref="F68"/>
    </sheetView>
  </sheetViews>
  <sheetFormatPr defaultColWidth="14.140625" defaultRowHeight="15" customHeight="1"/>
  <cols>
    <col min="1" max="1" width="5.7109375" customWidth="1"/>
    <col min="3" max="3" width="10.42578125" customWidth="1"/>
    <col min="4" max="4" width="7.7109375" customWidth="1"/>
    <col min="5" max="5" width="12.42578125" customWidth="1"/>
  </cols>
  <sheetData>
    <row r="2" spans="2:5" ht="15" customHeight="1">
      <c r="B2" s="683" t="s">
        <v>61</v>
      </c>
      <c r="C2" s="678" t="s">
        <v>1364</v>
      </c>
      <c r="D2" s="678" t="s">
        <v>1367</v>
      </c>
      <c r="E2" s="679" t="s">
        <v>1368</v>
      </c>
    </row>
    <row r="3" spans="2:5" ht="15" customHeight="1">
      <c r="B3" s="717"/>
      <c r="C3" s="706"/>
      <c r="D3" s="706"/>
      <c r="E3" s="760"/>
    </row>
    <row r="4" spans="2:5" ht="15" customHeight="1">
      <c r="B4" s="489" t="s">
        <v>19</v>
      </c>
      <c r="C4" s="11">
        <v>2000</v>
      </c>
      <c r="D4" s="212">
        <v>1</v>
      </c>
      <c r="E4" s="532">
        <f>C4*D4</f>
        <v>2000</v>
      </c>
    </row>
    <row r="5" spans="2:5" ht="15" customHeight="1">
      <c r="B5" s="497" t="s">
        <v>18</v>
      </c>
      <c r="C5" s="11">
        <v>5000</v>
      </c>
      <c r="D5" s="11">
        <v>1</v>
      </c>
      <c r="E5" s="5">
        <f t="shared" ref="E5:E24" si="0">C5*D5</f>
        <v>5000</v>
      </c>
    </row>
    <row r="6" spans="2:5" ht="15" customHeight="1">
      <c r="B6" s="497" t="s">
        <v>128</v>
      </c>
      <c r="C6" s="11">
        <v>10000</v>
      </c>
      <c r="D6" s="11">
        <v>1</v>
      </c>
      <c r="E6" s="5">
        <f t="shared" si="0"/>
        <v>10000</v>
      </c>
    </row>
    <row r="7" spans="2:5" ht="15" customHeight="1">
      <c r="B7" s="497" t="s">
        <v>130</v>
      </c>
      <c r="C7" s="11">
        <v>15000</v>
      </c>
      <c r="D7" s="11">
        <v>1</v>
      </c>
      <c r="E7" s="5">
        <f t="shared" si="0"/>
        <v>15000</v>
      </c>
    </row>
    <row r="8" spans="2:5" ht="15" customHeight="1">
      <c r="B8" s="497" t="s">
        <v>544</v>
      </c>
      <c r="C8" s="11">
        <v>20000</v>
      </c>
      <c r="D8" s="11">
        <v>1</v>
      </c>
      <c r="E8" s="5">
        <f t="shared" si="0"/>
        <v>20000</v>
      </c>
    </row>
    <row r="9" spans="2:5" ht="15" customHeight="1">
      <c r="B9" s="497" t="s">
        <v>523</v>
      </c>
      <c r="C9" s="11">
        <v>25000</v>
      </c>
      <c r="D9" s="11">
        <v>2</v>
      </c>
      <c r="E9" s="5">
        <f t="shared" si="0"/>
        <v>50000</v>
      </c>
    </row>
    <row r="10" spans="2:5" ht="15" customHeight="1">
      <c r="B10" s="497" t="s">
        <v>545</v>
      </c>
      <c r="C10" s="11">
        <v>30000</v>
      </c>
      <c r="D10" s="11">
        <v>2</v>
      </c>
      <c r="E10" s="5">
        <f t="shared" si="0"/>
        <v>60000</v>
      </c>
    </row>
    <row r="11" spans="2:5" ht="15" customHeight="1">
      <c r="B11" s="497" t="s">
        <v>546</v>
      </c>
      <c r="C11" s="11">
        <v>35000</v>
      </c>
      <c r="D11" s="11">
        <v>2</v>
      </c>
      <c r="E11" s="5">
        <f t="shared" si="0"/>
        <v>70000</v>
      </c>
    </row>
    <row r="12" spans="2:5" ht="15" customHeight="1">
      <c r="B12" s="497" t="s">
        <v>547</v>
      </c>
      <c r="C12" s="11">
        <v>40000</v>
      </c>
      <c r="D12" s="11">
        <v>2</v>
      </c>
      <c r="E12" s="5">
        <f t="shared" si="0"/>
        <v>80000</v>
      </c>
    </row>
    <row r="13" spans="2:5" ht="15" customHeight="1">
      <c r="B13" s="497" t="s">
        <v>548</v>
      </c>
      <c r="C13" s="11">
        <v>45000</v>
      </c>
      <c r="D13" s="11">
        <v>2</v>
      </c>
      <c r="E13" s="5">
        <f t="shared" si="0"/>
        <v>90000</v>
      </c>
    </row>
    <row r="14" spans="2:5" ht="15" customHeight="1">
      <c r="B14" s="497" t="s">
        <v>549</v>
      </c>
      <c r="C14" s="11">
        <v>50000</v>
      </c>
      <c r="D14" s="11">
        <v>3</v>
      </c>
      <c r="E14" s="5">
        <f t="shared" si="0"/>
        <v>150000</v>
      </c>
    </row>
    <row r="15" spans="2:5" ht="15" customHeight="1">
      <c r="B15" s="497" t="s">
        <v>550</v>
      </c>
      <c r="C15" s="11">
        <v>60000</v>
      </c>
      <c r="D15" s="11">
        <v>3</v>
      </c>
      <c r="E15" s="5">
        <f t="shared" si="0"/>
        <v>180000</v>
      </c>
    </row>
    <row r="16" spans="2:5" ht="15" customHeight="1">
      <c r="B16" s="497" t="s">
        <v>551</v>
      </c>
      <c r="C16" s="11">
        <v>70000</v>
      </c>
      <c r="D16" s="11">
        <v>3</v>
      </c>
      <c r="E16" s="5">
        <f t="shared" si="0"/>
        <v>210000</v>
      </c>
    </row>
    <row r="17" spans="2:5" ht="15" customHeight="1">
      <c r="B17" s="497" t="s">
        <v>552</v>
      </c>
      <c r="C17" s="11">
        <v>80000</v>
      </c>
      <c r="D17" s="11">
        <v>3</v>
      </c>
      <c r="E17" s="5">
        <f t="shared" si="0"/>
        <v>240000</v>
      </c>
    </row>
    <row r="18" spans="2:5" ht="15" customHeight="1">
      <c r="B18" s="497" t="s">
        <v>553</v>
      </c>
      <c r="C18" s="11">
        <v>90000</v>
      </c>
      <c r="D18" s="11">
        <v>3</v>
      </c>
      <c r="E18" s="5">
        <f t="shared" si="0"/>
        <v>270000</v>
      </c>
    </row>
    <row r="19" spans="2:5" ht="15" customHeight="1">
      <c r="B19" s="497" t="s">
        <v>554</v>
      </c>
      <c r="C19" s="11">
        <v>100000</v>
      </c>
      <c r="D19" s="11">
        <v>4</v>
      </c>
      <c r="E19" s="5">
        <f t="shared" si="0"/>
        <v>400000</v>
      </c>
    </row>
    <row r="20" spans="2:5" ht="15" customHeight="1">
      <c r="B20" s="497" t="s">
        <v>555</v>
      </c>
      <c r="C20" s="11">
        <v>125000</v>
      </c>
      <c r="D20" s="11">
        <v>4</v>
      </c>
      <c r="E20" s="5">
        <f t="shared" si="0"/>
        <v>500000</v>
      </c>
    </row>
    <row r="21" spans="2:5" ht="15" customHeight="1">
      <c r="B21" s="497" t="s">
        <v>556</v>
      </c>
      <c r="C21" s="11">
        <v>150000</v>
      </c>
      <c r="D21" s="11">
        <v>4</v>
      </c>
      <c r="E21" s="5">
        <f t="shared" si="0"/>
        <v>600000</v>
      </c>
    </row>
    <row r="22" spans="2:5" ht="15" customHeight="1">
      <c r="B22" s="497" t="s">
        <v>557</v>
      </c>
      <c r="C22" s="11">
        <v>175000</v>
      </c>
      <c r="D22" s="11">
        <v>4</v>
      </c>
      <c r="E22" s="5">
        <f t="shared" si="0"/>
        <v>700000</v>
      </c>
    </row>
    <row r="23" spans="2:5" ht="15" customHeight="1">
      <c r="B23" s="497" t="s">
        <v>558</v>
      </c>
      <c r="C23" s="11">
        <v>200000</v>
      </c>
      <c r="D23" s="11">
        <v>4</v>
      </c>
      <c r="E23" s="5">
        <f t="shared" si="0"/>
        <v>800000</v>
      </c>
    </row>
    <row r="24" spans="2:5" ht="15" customHeight="1">
      <c r="B24" s="498" t="s">
        <v>559</v>
      </c>
      <c r="C24" s="27">
        <v>250000</v>
      </c>
      <c r="D24" s="27">
        <v>5</v>
      </c>
      <c r="E24" s="24">
        <f t="shared" si="0"/>
        <v>1250000</v>
      </c>
    </row>
  </sheetData>
  <mergeCells count="4">
    <mergeCell ref="B2:B3"/>
    <mergeCell ref="C2:C3"/>
    <mergeCell ref="D2:D3"/>
    <mergeCell ref="E2:E3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tabColor theme="0"/>
  </sheetPr>
  <dimension ref="B2:H33"/>
  <sheetViews>
    <sheetView workbookViewId="0">
      <selection activeCell="P35" sqref="P35"/>
    </sheetView>
  </sheetViews>
  <sheetFormatPr defaultColWidth="9" defaultRowHeight="15" customHeight="1"/>
  <cols>
    <col min="1" max="1" width="3.5703125" style="2" customWidth="1"/>
    <col min="2" max="2" width="6.7109375" style="2" customWidth="1"/>
    <col min="3" max="18" width="9" style="2"/>
    <col min="19" max="19" width="11.140625" style="2" customWidth="1"/>
    <col min="20" max="16384" width="9" style="2"/>
  </cols>
  <sheetData>
    <row r="2" spans="2:8" s="404" customFormat="1" ht="30" customHeight="1">
      <c r="C2" s="404" t="s">
        <v>27</v>
      </c>
    </row>
    <row r="3" spans="2:8" s="404" customFormat="1" ht="30" customHeight="1">
      <c r="B3" s="404" t="s">
        <v>1022</v>
      </c>
      <c r="C3" s="404" t="s">
        <v>1080</v>
      </c>
      <c r="D3" s="404" t="s">
        <v>1081</v>
      </c>
      <c r="E3" s="404" t="s">
        <v>1082</v>
      </c>
      <c r="F3" s="404" t="s">
        <v>1083</v>
      </c>
      <c r="G3" s="404" t="s">
        <v>1084</v>
      </c>
      <c r="H3" s="404" t="s">
        <v>1085</v>
      </c>
    </row>
    <row r="4" spans="2:8" ht="15" customHeight="1">
      <c r="B4" s="2">
        <v>1</v>
      </c>
    </row>
    <row r="5" spans="2:8" ht="15" customHeight="1">
      <c r="B5" s="2">
        <v>2</v>
      </c>
    </row>
    <row r="6" spans="2:8" ht="15" customHeight="1">
      <c r="B6" s="2">
        <v>3</v>
      </c>
    </row>
    <row r="7" spans="2:8" ht="15" customHeight="1">
      <c r="B7" s="2">
        <v>4</v>
      </c>
    </row>
    <row r="8" spans="2:8" ht="15" customHeight="1">
      <c r="B8" s="2">
        <v>5</v>
      </c>
    </row>
    <row r="9" spans="2:8" ht="15" customHeight="1">
      <c r="B9" s="2">
        <v>6</v>
      </c>
    </row>
    <row r="10" spans="2:8" ht="15" customHeight="1">
      <c r="B10" s="2">
        <v>7</v>
      </c>
    </row>
    <row r="11" spans="2:8" ht="15" customHeight="1">
      <c r="B11" s="2">
        <v>8</v>
      </c>
    </row>
    <row r="12" spans="2:8" ht="15" customHeight="1">
      <c r="B12" s="2">
        <v>9</v>
      </c>
    </row>
    <row r="13" spans="2:8" ht="15" customHeight="1">
      <c r="B13" s="2">
        <v>10</v>
      </c>
    </row>
    <row r="14" spans="2:8" ht="15" customHeight="1">
      <c r="B14" s="2">
        <v>11</v>
      </c>
    </row>
    <row r="15" spans="2:8" ht="15" customHeight="1">
      <c r="B15" s="2">
        <v>12</v>
      </c>
    </row>
    <row r="16" spans="2:8" ht="15" customHeight="1">
      <c r="B16" s="2">
        <v>13</v>
      </c>
    </row>
    <row r="17" spans="2:8" ht="15" customHeight="1">
      <c r="B17" s="2">
        <v>14</v>
      </c>
    </row>
    <row r="18" spans="2:8" ht="15" customHeight="1">
      <c r="B18" s="2">
        <v>15</v>
      </c>
    </row>
    <row r="19" spans="2:8" ht="15" customHeight="1">
      <c r="B19" s="2">
        <v>16</v>
      </c>
    </row>
    <row r="20" spans="2:8" ht="15" customHeight="1">
      <c r="B20" s="2">
        <v>17</v>
      </c>
    </row>
    <row r="21" spans="2:8" ht="15" customHeight="1">
      <c r="B21" s="2">
        <v>18</v>
      </c>
    </row>
    <row r="22" spans="2:8" ht="15" customHeight="1">
      <c r="B22" s="2">
        <v>19</v>
      </c>
    </row>
    <row r="23" spans="2:8" ht="15" customHeight="1">
      <c r="B23" s="2">
        <v>20</v>
      </c>
    </row>
    <row r="24" spans="2:8" ht="15" customHeight="1">
      <c r="B24" s="2">
        <v>21</v>
      </c>
    </row>
    <row r="25" spans="2:8" ht="15" customHeight="1">
      <c r="B25" s="2">
        <v>22</v>
      </c>
    </row>
    <row r="26" spans="2:8" ht="15" customHeight="1">
      <c r="B26" s="2">
        <v>23</v>
      </c>
    </row>
    <row r="27" spans="2:8" ht="15" customHeight="1">
      <c r="B27" s="2">
        <v>24</v>
      </c>
      <c r="C27" s="2">
        <v>17374</v>
      </c>
      <c r="D27" s="2">
        <v>10800</v>
      </c>
      <c r="E27" s="2">
        <v>30045</v>
      </c>
      <c r="F27" s="2">
        <v>23067</v>
      </c>
      <c r="G27" s="2">
        <v>41420</v>
      </c>
      <c r="H27" s="2">
        <v>12273</v>
      </c>
    </row>
    <row r="28" spans="2:8" ht="15" customHeight="1">
      <c r="B28" s="2">
        <v>25</v>
      </c>
    </row>
    <row r="29" spans="2:8" ht="15" customHeight="1">
      <c r="B29" s="2">
        <v>26</v>
      </c>
    </row>
    <row r="30" spans="2:8" ht="15" customHeight="1">
      <c r="B30" s="2">
        <v>27</v>
      </c>
    </row>
    <row r="31" spans="2:8" ht="15" customHeight="1">
      <c r="B31" s="2">
        <v>28</v>
      </c>
    </row>
    <row r="32" spans="2:8" ht="15" customHeight="1">
      <c r="B32" s="2">
        <v>29</v>
      </c>
    </row>
    <row r="33" spans="2:2" ht="15" customHeight="1">
      <c r="B33" s="2">
        <v>30</v>
      </c>
    </row>
  </sheetData>
  <phoneticPr fontId="1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rgb="FF66CCFF"/>
  </sheetPr>
  <dimension ref="G1:BW97"/>
  <sheetViews>
    <sheetView topLeftCell="AN16" workbookViewId="0">
      <selection activeCell="AK33" sqref="AK33"/>
    </sheetView>
  </sheetViews>
  <sheetFormatPr defaultColWidth="9" defaultRowHeight="15" customHeight="1"/>
  <cols>
    <col min="1" max="5" width="9" style="2"/>
    <col min="6" max="6" width="3.85546875" style="2" customWidth="1"/>
    <col min="7" max="7" width="5.5703125" style="404" customWidth="1"/>
    <col min="8" max="8" width="8.5703125" style="2" customWidth="1"/>
    <col min="9" max="9" width="9.85546875" style="10" customWidth="1"/>
    <col min="10" max="10" width="8" style="10" customWidth="1"/>
    <col min="11" max="15" width="6.7109375" style="12" customWidth="1"/>
    <col min="16" max="21" width="7.140625" style="2" customWidth="1"/>
    <col min="22" max="24" width="7" style="2" customWidth="1"/>
    <col min="25" max="25" width="9.28515625" style="2" customWidth="1"/>
    <col min="26" max="26" width="14.5703125" style="2" customWidth="1"/>
    <col min="27" max="30" width="9.28515625" style="2" customWidth="1"/>
    <col min="31" max="31" width="8.5703125" style="2" customWidth="1"/>
    <col min="32" max="32" width="9.28515625" style="2" customWidth="1"/>
    <col min="33" max="34" width="8.5703125" style="9" customWidth="1"/>
    <col min="35" max="36" width="8.5703125" style="319" customWidth="1"/>
    <col min="37" max="37" width="15.5703125" style="364" customWidth="1"/>
    <col min="38" max="38" width="9.7109375" style="157" customWidth="1"/>
    <col min="39" max="39" width="8.5703125" style="2" customWidth="1"/>
    <col min="40" max="41" width="9.42578125" style="9" customWidth="1"/>
    <col min="42" max="42" width="8.5703125" style="2" customWidth="1"/>
    <col min="43" max="44" width="8.5703125" style="9" customWidth="1"/>
    <col min="45" max="45" width="8.5703125" style="320" customWidth="1"/>
    <col min="46" max="46" width="8.5703125" style="12" customWidth="1"/>
    <col min="47" max="47" width="9.42578125" style="12" customWidth="1"/>
    <col min="48" max="48" width="8.5703125" style="2" customWidth="1"/>
    <col min="49" max="50" width="9.42578125" style="9" customWidth="1"/>
    <col min="51" max="51" width="8.5703125" style="2" customWidth="1"/>
    <col min="52" max="52" width="20.42578125" style="404" customWidth="1"/>
    <col min="53" max="53" width="7.42578125" style="9" customWidth="1"/>
    <col min="54" max="54" width="6.7109375" style="404" customWidth="1"/>
    <col min="55" max="56" width="7.85546875" style="2" customWidth="1"/>
    <col min="57" max="57" width="9" style="2"/>
    <col min="58" max="58" width="10.7109375" style="363" customWidth="1"/>
    <col min="59" max="59" width="10.7109375" style="366" customWidth="1"/>
    <col min="60" max="60" width="17.140625" style="368" customWidth="1"/>
    <col min="61" max="61" width="21.42578125" style="2" customWidth="1"/>
    <col min="62" max="62" width="6.7109375" style="2" customWidth="1"/>
    <col min="63" max="63" width="8" style="2" customWidth="1"/>
    <col min="64" max="64" width="7.85546875" style="2" customWidth="1"/>
    <col min="65" max="66" width="6.5703125" style="2" customWidth="1"/>
    <col min="67" max="72" width="9" style="2"/>
    <col min="73" max="73" width="6.28515625" style="2" customWidth="1"/>
    <col min="74" max="74" width="9.42578125" style="2" customWidth="1"/>
    <col min="75" max="75" width="6.42578125" style="2" customWidth="1"/>
    <col min="76" max="16384" width="9" style="2"/>
  </cols>
  <sheetData>
    <row r="1" spans="7:75" ht="15" customHeight="1">
      <c r="I1" s="406"/>
      <c r="J1" s="406"/>
      <c r="BA1" s="8"/>
      <c r="BF1" s="362"/>
      <c r="BG1" s="365"/>
      <c r="BH1" s="367"/>
    </row>
    <row r="2" spans="7:75" s="404" customFormat="1" ht="30" customHeight="1">
      <c r="G2" s="784" t="s">
        <v>173</v>
      </c>
      <c r="H2" s="784"/>
      <c r="I2" s="390" t="s">
        <v>1105</v>
      </c>
      <c r="J2" s="699" t="s">
        <v>1107</v>
      </c>
      <c r="K2" s="792" t="s">
        <v>1134</v>
      </c>
      <c r="L2" s="792"/>
      <c r="M2" s="792"/>
      <c r="N2" s="792"/>
      <c r="O2" s="792"/>
      <c r="P2" s="699" t="s">
        <v>1108</v>
      </c>
      <c r="Q2" s="699"/>
      <c r="R2" s="699" t="s">
        <v>1111</v>
      </c>
      <c r="S2" s="699" t="s">
        <v>1112</v>
      </c>
      <c r="T2" s="699" t="s">
        <v>1113</v>
      </c>
      <c r="U2" s="699"/>
      <c r="V2" s="699" t="s">
        <v>1133</v>
      </c>
      <c r="W2" s="699" t="s">
        <v>1133</v>
      </c>
      <c r="X2" s="701" t="s">
        <v>1133</v>
      </c>
      <c r="Y2" s="716" t="s">
        <v>1156</v>
      </c>
      <c r="Z2" s="699"/>
      <c r="AA2" s="439"/>
      <c r="AB2" s="439"/>
      <c r="AC2" s="439"/>
      <c r="AD2" s="439"/>
      <c r="AF2" s="785" t="s">
        <v>1000</v>
      </c>
      <c r="AG2" s="786"/>
      <c r="AH2" s="786"/>
      <c r="AI2" s="786"/>
      <c r="AJ2" s="786"/>
      <c r="AK2" s="786"/>
      <c r="AL2" s="786"/>
      <c r="AM2" s="786"/>
      <c r="AN2" s="786"/>
      <c r="AO2" s="787"/>
      <c r="AP2" s="684" t="s">
        <v>1001</v>
      </c>
      <c r="AQ2" s="686"/>
      <c r="AR2" s="686"/>
      <c r="AS2" s="686"/>
      <c r="AT2" s="686"/>
      <c r="AU2" s="686"/>
      <c r="AV2" s="686"/>
      <c r="AW2" s="686"/>
      <c r="AX2" s="685"/>
      <c r="AZ2" s="709" t="s">
        <v>989</v>
      </c>
      <c r="BA2" s="797" t="s">
        <v>7</v>
      </c>
      <c r="BB2" s="679" t="s">
        <v>991</v>
      </c>
      <c r="BC2" s="683" t="s">
        <v>5</v>
      </c>
      <c r="BD2" s="790" t="s">
        <v>898</v>
      </c>
      <c r="BE2" s="795" t="s">
        <v>1008</v>
      </c>
      <c r="BF2" s="793" t="s">
        <v>1009</v>
      </c>
      <c r="BG2" s="799" t="s">
        <v>1010</v>
      </c>
      <c r="BH2" s="782" t="s">
        <v>1012</v>
      </c>
      <c r="BI2" s="699" t="s">
        <v>992</v>
      </c>
      <c r="BJ2" s="699" t="s">
        <v>1017</v>
      </c>
      <c r="BK2" s="699" t="s">
        <v>28</v>
      </c>
      <c r="BL2" s="699" t="s">
        <v>8</v>
      </c>
      <c r="BM2" s="699" t="s">
        <v>897</v>
      </c>
      <c r="BN2" s="699"/>
      <c r="BO2" s="390" t="s">
        <v>993</v>
      </c>
      <c r="BP2" s="699" t="s">
        <v>994</v>
      </c>
      <c r="BQ2" s="699"/>
      <c r="BR2" s="699"/>
      <c r="BS2" s="699"/>
      <c r="BT2" s="699"/>
      <c r="BU2" s="699" t="s">
        <v>990</v>
      </c>
      <c r="BV2" s="699" t="s">
        <v>983</v>
      </c>
      <c r="BW2" s="699"/>
    </row>
    <row r="3" spans="7:75" s="395" customFormat="1" ht="30" customHeight="1">
      <c r="G3" s="395" t="s">
        <v>960</v>
      </c>
      <c r="H3" s="395" t="s">
        <v>961</v>
      </c>
      <c r="I3" s="396" t="s">
        <v>194</v>
      </c>
      <c r="J3" s="706"/>
      <c r="K3" s="33" t="s">
        <v>1135</v>
      </c>
      <c r="L3" s="33" t="s">
        <v>1136</v>
      </c>
      <c r="M3" s="33" t="s">
        <v>1137</v>
      </c>
      <c r="N3" s="33" t="s">
        <v>1138</v>
      </c>
      <c r="O3" s="33" t="s">
        <v>1139</v>
      </c>
      <c r="P3" s="395" t="s">
        <v>1109</v>
      </c>
      <c r="Q3" s="395" t="s">
        <v>1110</v>
      </c>
      <c r="R3" s="706"/>
      <c r="S3" s="706"/>
      <c r="T3" s="395" t="s">
        <v>1109</v>
      </c>
      <c r="U3" s="395" t="s">
        <v>1110</v>
      </c>
      <c r="V3" s="706"/>
      <c r="W3" s="706"/>
      <c r="X3" s="760"/>
      <c r="Y3" s="459" t="s">
        <v>1157</v>
      </c>
      <c r="Z3" s="470" t="s">
        <v>1170</v>
      </c>
      <c r="AF3" s="392" t="s">
        <v>5</v>
      </c>
      <c r="AG3" s="384" t="s">
        <v>1336</v>
      </c>
      <c r="AH3" s="384" t="s">
        <v>898</v>
      </c>
      <c r="AI3" s="321" t="s">
        <v>899</v>
      </c>
      <c r="AJ3" s="326" t="s">
        <v>903</v>
      </c>
      <c r="AK3" s="326" t="s">
        <v>1002</v>
      </c>
      <c r="AL3" s="405" t="s">
        <v>897</v>
      </c>
      <c r="AM3" s="393" t="s">
        <v>5</v>
      </c>
      <c r="AN3" s="788" t="s">
        <v>1335</v>
      </c>
      <c r="AO3" s="789"/>
      <c r="AP3" s="392" t="s">
        <v>900</v>
      </c>
      <c r="AQ3" s="384" t="s">
        <v>1336</v>
      </c>
      <c r="AR3" s="384" t="s">
        <v>901</v>
      </c>
      <c r="AS3" s="321" t="s">
        <v>902</v>
      </c>
      <c r="AT3" s="322" t="s">
        <v>903</v>
      </c>
      <c r="AU3" s="405" t="s">
        <v>897</v>
      </c>
      <c r="AV3" s="393" t="s">
        <v>900</v>
      </c>
      <c r="AW3" s="788" t="s">
        <v>1335</v>
      </c>
      <c r="AX3" s="789"/>
      <c r="AZ3" s="710"/>
      <c r="BA3" s="798"/>
      <c r="BB3" s="760"/>
      <c r="BC3" s="717"/>
      <c r="BD3" s="791"/>
      <c r="BE3" s="796"/>
      <c r="BF3" s="794"/>
      <c r="BG3" s="800"/>
      <c r="BH3" s="783"/>
      <c r="BI3" s="706"/>
      <c r="BJ3" s="706"/>
      <c r="BK3" s="706"/>
      <c r="BL3" s="706"/>
      <c r="BM3" s="395" t="s">
        <v>9</v>
      </c>
      <c r="BN3" s="395" t="s">
        <v>10</v>
      </c>
      <c r="BO3" s="33">
        <v>0.25</v>
      </c>
      <c r="BP3" s="395" t="s">
        <v>0</v>
      </c>
      <c r="BQ3" s="395" t="s">
        <v>11</v>
      </c>
      <c r="BR3" s="395" t="s">
        <v>2</v>
      </c>
      <c r="BS3" s="395" t="s">
        <v>3</v>
      </c>
      <c r="BT3" s="395" t="s">
        <v>4</v>
      </c>
      <c r="BU3" s="706"/>
      <c r="BV3" s="395" t="s">
        <v>984</v>
      </c>
      <c r="BW3" s="395" t="s">
        <v>1019</v>
      </c>
    </row>
    <row r="4" spans="7:75" ht="15" customHeight="1">
      <c r="G4" s="404">
        <v>1</v>
      </c>
      <c r="H4" s="2">
        <v>0</v>
      </c>
      <c r="I4" s="10">
        <v>4.1666666666666666E-3</v>
      </c>
      <c r="J4" s="707" t="s">
        <v>1106</v>
      </c>
      <c r="K4" s="12">
        <v>0.04</v>
      </c>
      <c r="L4" s="12">
        <v>0.04</v>
      </c>
      <c r="M4" s="12">
        <v>0.04</v>
      </c>
      <c r="N4" s="12">
        <v>0.04</v>
      </c>
      <c r="O4" s="12">
        <v>0.04</v>
      </c>
      <c r="R4" s="12"/>
      <c r="S4" s="12"/>
      <c r="V4" s="12"/>
      <c r="W4" s="12"/>
      <c r="X4" s="156"/>
      <c r="Y4" s="2">
        <v>1</v>
      </c>
      <c r="AF4" s="90">
        <v>600</v>
      </c>
      <c r="AG4" s="318">
        <v>4.99</v>
      </c>
      <c r="AH4" s="318">
        <f>AF4/AG4</f>
        <v>120.24048096192384</v>
      </c>
      <c r="AI4" s="319">
        <f>AG4/AF4</f>
        <v>8.3166666666666667E-3</v>
      </c>
      <c r="AJ4" s="21">
        <f>1-AI4/AI$4</f>
        <v>0</v>
      </c>
      <c r="AK4" s="192" t="s">
        <v>1003</v>
      </c>
      <c r="AL4" s="399">
        <v>6.9444444444444447E-4</v>
      </c>
      <c r="AM4" s="11">
        <v>5</v>
      </c>
      <c r="AN4" s="318">
        <f t="shared" ref="AN4:AN11" si="0">$AM4*$AI$9</f>
        <v>2.4997499999999999E-2</v>
      </c>
      <c r="AO4" s="317">
        <f>$AM4*$AI$4</f>
        <v>4.1583333333333333E-2</v>
      </c>
      <c r="AP4" s="90">
        <v>50</v>
      </c>
      <c r="AQ4" s="318">
        <v>4.99</v>
      </c>
      <c r="AR4" s="318">
        <f>AP4/AQ4</f>
        <v>10.020040080160321</v>
      </c>
      <c r="AS4" s="319">
        <f>AQ4/AP4</f>
        <v>9.98E-2</v>
      </c>
      <c r="AT4" s="156">
        <f>1-AS4/AS$4</f>
        <v>0</v>
      </c>
      <c r="AU4" s="399">
        <v>6.9444444444444447E-4</v>
      </c>
      <c r="AV4" s="11">
        <v>1</v>
      </c>
      <c r="AW4" s="318">
        <f t="shared" ref="AW4:AW10" si="1">$AV4*$AS$9</f>
        <v>6.2493749999999994E-2</v>
      </c>
      <c r="AX4" s="317">
        <f t="shared" ref="AX4:AX10" si="2">$AV4*$AS$4</f>
        <v>9.98E-2</v>
      </c>
      <c r="AZ4" s="397" t="s">
        <v>6</v>
      </c>
      <c r="BA4" s="324">
        <v>4.99</v>
      </c>
      <c r="BB4" s="24" t="s">
        <v>13</v>
      </c>
      <c r="BC4" s="323">
        <v>1200</v>
      </c>
      <c r="BD4" s="24">
        <f>BC4/BA4</f>
        <v>240.48096192384767</v>
      </c>
      <c r="BE4" s="25">
        <v>600</v>
      </c>
      <c r="BF4" s="369">
        <f>BE4/BC4-1</f>
        <v>-0.5</v>
      </c>
      <c r="BG4" s="409">
        <v>20000</v>
      </c>
      <c r="BH4" s="371">
        <f>(BG4+BC4)/BE4</f>
        <v>35.333333333333336</v>
      </c>
      <c r="BI4" s="27" t="s">
        <v>1013</v>
      </c>
      <c r="BJ4" s="27"/>
      <c r="BK4" s="27"/>
      <c r="BL4" s="27">
        <v>1</v>
      </c>
      <c r="BM4" s="27">
        <v>1</v>
      </c>
      <c r="BN4" s="27">
        <v>2</v>
      </c>
      <c r="BO4" s="27"/>
      <c r="BP4" s="27">
        <v>10000</v>
      </c>
      <c r="BQ4" s="27">
        <v>10000</v>
      </c>
      <c r="BR4" s="27">
        <v>10000</v>
      </c>
      <c r="BS4" s="27"/>
      <c r="BT4" s="27"/>
      <c r="BU4" s="27">
        <v>4</v>
      </c>
      <c r="BV4" s="27">
        <v>30000</v>
      </c>
      <c r="BW4" s="207"/>
    </row>
    <row r="5" spans="7:75" ht="15" customHeight="1">
      <c r="G5" s="404">
        <v>2</v>
      </c>
      <c r="H5" s="2">
        <v>100</v>
      </c>
      <c r="I5" s="10">
        <v>4.8611111111111112E-3</v>
      </c>
      <c r="J5" s="780"/>
      <c r="K5" s="12">
        <v>0.05</v>
      </c>
      <c r="L5" s="12">
        <v>0.05</v>
      </c>
      <c r="M5" s="12">
        <v>0.05</v>
      </c>
      <c r="N5" s="12">
        <v>0.05</v>
      </c>
      <c r="O5" s="12">
        <v>0.05</v>
      </c>
      <c r="P5" s="2">
        <v>1</v>
      </c>
      <c r="R5" s="12"/>
      <c r="S5" s="12"/>
      <c r="V5" s="12"/>
      <c r="W5" s="12"/>
      <c r="X5" s="156"/>
      <c r="Y5" s="2">
        <v>2</v>
      </c>
      <c r="Z5" s="2">
        <v>130</v>
      </c>
      <c r="AF5" s="90">
        <v>1400</v>
      </c>
      <c r="AG5" s="318">
        <v>9.99</v>
      </c>
      <c r="AH5" s="318">
        <f t="shared" ref="AH5:AH6" si="3">AF5/AG5</f>
        <v>140.14014014014015</v>
      </c>
      <c r="AI5" s="319">
        <f t="shared" ref="AI5:AI6" si="4">AG5/AF5</f>
        <v>7.135714285714286E-3</v>
      </c>
      <c r="AJ5" s="21">
        <f t="shared" ref="AJ5:AJ6" si="5">1-AI5/AI$4</f>
        <v>0.14199828227884337</v>
      </c>
      <c r="AK5" s="192" t="s">
        <v>1005</v>
      </c>
      <c r="AL5" s="399">
        <v>1.0416666666666666E-2</v>
      </c>
      <c r="AM5" s="11">
        <v>70</v>
      </c>
      <c r="AN5" s="318">
        <f t="shared" si="0"/>
        <v>0.34996499999999997</v>
      </c>
      <c r="AO5" s="317">
        <f t="shared" ref="AO5:AO11" si="6">$AM5*$AI$4</f>
        <v>0.58216666666666672</v>
      </c>
      <c r="AP5" s="90">
        <v>100</v>
      </c>
      <c r="AQ5" s="318">
        <v>9.99</v>
      </c>
      <c r="AR5" s="318">
        <f t="shared" ref="AR5:AR9" si="7">AP5/AQ5</f>
        <v>10.01001001001001</v>
      </c>
      <c r="AS5" s="319">
        <f t="shared" ref="AS5:AS9" si="8">AQ5/AP5</f>
        <v>9.9900000000000003E-2</v>
      </c>
      <c r="AT5" s="156">
        <f t="shared" ref="AT5:AT9" si="9">1-AS5/AS$4</f>
        <v>-1.0020040080160886E-3</v>
      </c>
      <c r="AU5" s="399">
        <v>1.0416666666666666E-2</v>
      </c>
      <c r="AV5" s="11">
        <v>5</v>
      </c>
      <c r="AW5" s="318">
        <f t="shared" si="1"/>
        <v>0.31246874999999996</v>
      </c>
      <c r="AX5" s="317">
        <f t="shared" si="2"/>
        <v>0.499</v>
      </c>
      <c r="AZ5" s="407" t="s">
        <v>995</v>
      </c>
      <c r="BA5" s="9">
        <v>4.99</v>
      </c>
      <c r="BB5" s="391"/>
      <c r="BC5" s="375">
        <v>960</v>
      </c>
      <c r="BD5" s="5">
        <f t="shared" ref="BD5" si="10">BC5/BA5</f>
        <v>192.38476953907815</v>
      </c>
      <c r="BE5" s="18">
        <v>600</v>
      </c>
      <c r="BF5" s="370">
        <f t="shared" ref="BF5:BF6" si="11">BE5/BC5-1</f>
        <v>-0.375</v>
      </c>
      <c r="BG5" s="410">
        <v>2720</v>
      </c>
      <c r="BH5" s="372">
        <f t="shared" ref="BH5:BH6" si="12">(BG5+BC5)/BE5</f>
        <v>6.1333333333333337</v>
      </c>
      <c r="BI5" s="2" t="s">
        <v>1014</v>
      </c>
      <c r="BL5" s="2">
        <v>1</v>
      </c>
      <c r="BM5" s="2">
        <v>2</v>
      </c>
      <c r="BN5" s="2">
        <v>1</v>
      </c>
      <c r="BO5" s="2">
        <v>1</v>
      </c>
      <c r="BP5" s="2">
        <v>3000</v>
      </c>
      <c r="BQ5" s="2">
        <v>3000</v>
      </c>
      <c r="BR5" s="2">
        <v>3000</v>
      </c>
      <c r="BV5" s="2">
        <v>14000</v>
      </c>
    </row>
    <row r="6" spans="7:75" ht="15" customHeight="1">
      <c r="G6" s="404">
        <v>3</v>
      </c>
      <c r="H6" s="2">
        <v>300</v>
      </c>
      <c r="I6" s="10">
        <v>6.2499999999999995E-3</v>
      </c>
      <c r="J6" s="780"/>
      <c r="K6" s="12">
        <v>0.06</v>
      </c>
      <c r="L6" s="12">
        <v>0.06</v>
      </c>
      <c r="M6" s="12">
        <v>0.06</v>
      </c>
      <c r="N6" s="12">
        <v>0.06</v>
      </c>
      <c r="O6" s="12">
        <v>0.06</v>
      </c>
      <c r="P6" s="2">
        <v>1</v>
      </c>
      <c r="Q6" s="2">
        <v>1</v>
      </c>
      <c r="R6" s="12"/>
      <c r="S6" s="12"/>
      <c r="V6" s="12"/>
      <c r="W6" s="12"/>
      <c r="X6" s="156"/>
      <c r="Y6" s="2">
        <v>3</v>
      </c>
      <c r="Z6" s="2">
        <v>140</v>
      </c>
      <c r="AF6" s="90">
        <v>3000</v>
      </c>
      <c r="AG6" s="318">
        <v>19.989999999999998</v>
      </c>
      <c r="AH6" s="318">
        <f t="shared" si="3"/>
        <v>150.07503751875939</v>
      </c>
      <c r="AI6" s="319">
        <f t="shared" si="4"/>
        <v>6.6633333333333327E-3</v>
      </c>
      <c r="AJ6" s="21">
        <f t="shared" si="5"/>
        <v>0.19879759519038087</v>
      </c>
      <c r="AK6" s="192" t="s">
        <v>1004</v>
      </c>
      <c r="AL6" s="399">
        <v>4.1666666666666664E-2</v>
      </c>
      <c r="AM6" s="11">
        <v>130</v>
      </c>
      <c r="AN6" s="318">
        <f t="shared" si="0"/>
        <v>0.64993499999999993</v>
      </c>
      <c r="AO6" s="317">
        <f t="shared" si="6"/>
        <v>1.0811666666666666</v>
      </c>
      <c r="AP6" s="90">
        <v>240</v>
      </c>
      <c r="AQ6" s="318">
        <v>19.989999999999998</v>
      </c>
      <c r="AR6" s="318">
        <f t="shared" si="7"/>
        <v>12.006003001500751</v>
      </c>
      <c r="AS6" s="319">
        <f t="shared" si="8"/>
        <v>8.3291666666666667E-2</v>
      </c>
      <c r="AT6" s="156">
        <f t="shared" si="9"/>
        <v>0.16541416165664657</v>
      </c>
      <c r="AU6" s="399">
        <v>4.1666666666666664E-2</v>
      </c>
      <c r="AV6" s="11">
        <v>10</v>
      </c>
      <c r="AW6" s="318">
        <f t="shared" si="1"/>
        <v>0.62493749999999992</v>
      </c>
      <c r="AX6" s="317">
        <f t="shared" si="2"/>
        <v>0.998</v>
      </c>
      <c r="AZ6" s="407"/>
      <c r="BA6" s="9">
        <v>4.99</v>
      </c>
      <c r="BB6" s="391" t="s">
        <v>1024</v>
      </c>
      <c r="BC6" s="90">
        <f>960+400</f>
        <v>1360</v>
      </c>
      <c r="BD6" s="5">
        <f>BC6/BA6</f>
        <v>272.54509018036072</v>
      </c>
      <c r="BE6" s="18">
        <v>600</v>
      </c>
      <c r="BF6" s="370">
        <f t="shared" si="11"/>
        <v>-0.55882352941176472</v>
      </c>
      <c r="BG6" s="410">
        <v>3120</v>
      </c>
      <c r="BH6" s="372">
        <f t="shared" si="12"/>
        <v>7.4666666666666668</v>
      </c>
      <c r="BI6" s="2" t="s">
        <v>1014</v>
      </c>
      <c r="BL6" s="2">
        <v>1</v>
      </c>
      <c r="BM6" s="2">
        <v>2</v>
      </c>
      <c r="BN6" s="2">
        <v>1</v>
      </c>
      <c r="BO6" s="2">
        <v>1</v>
      </c>
      <c r="BP6" s="2">
        <v>3000</v>
      </c>
      <c r="BQ6" s="2">
        <v>3000</v>
      </c>
      <c r="BR6" s="2">
        <v>3000</v>
      </c>
      <c r="BV6" s="2">
        <v>14000</v>
      </c>
    </row>
    <row r="7" spans="7:75" ht="15" customHeight="1">
      <c r="G7" s="404">
        <v>4</v>
      </c>
      <c r="H7" s="2">
        <v>800</v>
      </c>
      <c r="I7" s="10">
        <v>7.6388888888888886E-3</v>
      </c>
      <c r="J7" s="780"/>
      <c r="K7" s="12">
        <v>7.0000000000000007E-2</v>
      </c>
      <c r="L7" s="12">
        <v>7.0000000000000007E-2</v>
      </c>
      <c r="M7" s="12">
        <v>7.0000000000000007E-2</v>
      </c>
      <c r="N7" s="12">
        <v>7.0000000000000007E-2</v>
      </c>
      <c r="O7" s="12">
        <v>7.0000000000000007E-2</v>
      </c>
      <c r="P7" s="2">
        <v>2</v>
      </c>
      <c r="Q7" s="2">
        <v>1</v>
      </c>
      <c r="R7" s="12"/>
      <c r="S7" s="12"/>
      <c r="V7" s="12"/>
      <c r="W7" s="12"/>
      <c r="X7" s="156"/>
      <c r="Y7" s="2">
        <v>4</v>
      </c>
      <c r="Z7" s="2">
        <v>150</v>
      </c>
      <c r="AF7" s="90"/>
      <c r="AL7" s="399">
        <v>0.125</v>
      </c>
      <c r="AM7" s="11">
        <v>300</v>
      </c>
      <c r="AN7" s="318">
        <f t="shared" si="0"/>
        <v>1.4998499999999999</v>
      </c>
      <c r="AO7" s="317">
        <f t="shared" si="6"/>
        <v>2.4950000000000001</v>
      </c>
      <c r="AP7" s="90">
        <v>375</v>
      </c>
      <c r="AQ7" s="318">
        <v>29.99</v>
      </c>
      <c r="AR7" s="318">
        <f t="shared" si="7"/>
        <v>12.504168056018674</v>
      </c>
      <c r="AS7" s="319">
        <f t="shared" si="8"/>
        <v>7.9973333333333327E-2</v>
      </c>
      <c r="AT7" s="156">
        <f t="shared" si="9"/>
        <v>0.19866399465597873</v>
      </c>
      <c r="AU7" s="399">
        <v>0.10416666666666667</v>
      </c>
      <c r="AV7" s="11">
        <v>20</v>
      </c>
      <c r="AW7" s="318">
        <f t="shared" si="1"/>
        <v>1.2498749999999998</v>
      </c>
      <c r="AX7" s="317">
        <f t="shared" si="2"/>
        <v>1.996</v>
      </c>
      <c r="AZ7" s="407" t="s">
        <v>996</v>
      </c>
      <c r="BA7" s="9">
        <v>9.99</v>
      </c>
      <c r="BB7" s="391"/>
      <c r="BC7" s="90">
        <v>1540</v>
      </c>
      <c r="BD7" s="5">
        <f t="shared" ref="BD7:BD8" si="13">BC7/BA7</f>
        <v>154.15415415415416</v>
      </c>
      <c r="BE7" s="18">
        <v>1400</v>
      </c>
      <c r="BF7" s="370">
        <f t="shared" ref="BF7:BF8" si="14">BE7/BC7-1</f>
        <v>-9.0909090909090939E-2</v>
      </c>
      <c r="BG7" s="410">
        <v>1820</v>
      </c>
      <c r="BH7" s="372">
        <f t="shared" ref="BH7:BH10" si="15">(BG7+BC7)/BE7</f>
        <v>2.4</v>
      </c>
      <c r="BI7" s="2" t="s">
        <v>1015</v>
      </c>
      <c r="BN7" s="2">
        <v>1</v>
      </c>
      <c r="BP7" s="2">
        <v>3000</v>
      </c>
      <c r="BQ7" s="2">
        <v>3000</v>
      </c>
      <c r="BR7" s="2">
        <v>3000</v>
      </c>
      <c r="BS7" s="2">
        <v>10000</v>
      </c>
    </row>
    <row r="8" spans="7:75" ht="15" customHeight="1">
      <c r="G8" s="404">
        <v>5</v>
      </c>
      <c r="H8" s="2">
        <v>1600</v>
      </c>
      <c r="I8" s="10">
        <v>9.0277777777777787E-3</v>
      </c>
      <c r="J8" s="780"/>
      <c r="K8" s="12">
        <v>0.08</v>
      </c>
      <c r="L8" s="12">
        <v>0.08</v>
      </c>
      <c r="M8" s="12">
        <v>0.08</v>
      </c>
      <c r="N8" s="12">
        <v>0.08</v>
      </c>
      <c r="O8" s="12">
        <v>0.08</v>
      </c>
      <c r="P8" s="2">
        <v>2</v>
      </c>
      <c r="Q8" s="2">
        <v>2</v>
      </c>
      <c r="R8" s="12">
        <v>0.05</v>
      </c>
      <c r="S8" s="12"/>
      <c r="V8" s="12"/>
      <c r="W8" s="12"/>
      <c r="X8" s="156"/>
      <c r="Y8" s="2">
        <v>5</v>
      </c>
      <c r="Z8" s="2">
        <v>160</v>
      </c>
      <c r="AF8" s="90">
        <v>8000</v>
      </c>
      <c r="AG8" s="318">
        <v>49.99</v>
      </c>
      <c r="AH8" s="318">
        <f>AF8/AG8</f>
        <v>160.03200640128026</v>
      </c>
      <c r="AI8" s="319">
        <f>AG8/AF8</f>
        <v>6.24875E-3</v>
      </c>
      <c r="AJ8" s="21">
        <f>1-AI8/AI$4</f>
        <v>0.24864729458917834</v>
      </c>
      <c r="AK8" s="192" t="s">
        <v>1006</v>
      </c>
      <c r="AL8" s="399">
        <v>0.33333333333333331</v>
      </c>
      <c r="AM8" s="11">
        <v>650</v>
      </c>
      <c r="AN8" s="318">
        <f t="shared" si="0"/>
        <v>3.2496749999999999</v>
      </c>
      <c r="AO8" s="317">
        <f t="shared" si="6"/>
        <v>5.4058333333333337</v>
      </c>
      <c r="AP8" s="90">
        <v>665</v>
      </c>
      <c r="AQ8" s="318">
        <v>49.99</v>
      </c>
      <c r="AR8" s="318">
        <f t="shared" si="7"/>
        <v>13.302660532106421</v>
      </c>
      <c r="AS8" s="319">
        <f t="shared" si="8"/>
        <v>7.5172932330827072E-2</v>
      </c>
      <c r="AT8" s="156">
        <f t="shared" si="9"/>
        <v>0.2467642051019332</v>
      </c>
      <c r="AU8" s="399">
        <v>0.33333333333333331</v>
      </c>
      <c r="AV8" s="11">
        <v>50</v>
      </c>
      <c r="AW8" s="318">
        <f t="shared" si="1"/>
        <v>3.1246874999999998</v>
      </c>
      <c r="AX8" s="317">
        <f t="shared" si="2"/>
        <v>4.99</v>
      </c>
      <c r="AZ8" s="407" t="s">
        <v>997</v>
      </c>
      <c r="BA8" s="9">
        <v>19.989999999999998</v>
      </c>
      <c r="BB8" s="391"/>
      <c r="BC8" s="90">
        <v>3300</v>
      </c>
      <c r="BD8" s="5">
        <f t="shared" si="13"/>
        <v>165.08254127063532</v>
      </c>
      <c r="BE8" s="18">
        <v>3000</v>
      </c>
      <c r="BF8" s="370">
        <f t="shared" si="14"/>
        <v>-9.0909090909090939E-2</v>
      </c>
      <c r="BG8" s="410">
        <v>3900</v>
      </c>
      <c r="BH8" s="372">
        <f t="shared" si="15"/>
        <v>2.4</v>
      </c>
      <c r="BI8" s="2" t="s">
        <v>1016</v>
      </c>
      <c r="BJ8" s="2">
        <v>1</v>
      </c>
      <c r="BM8" s="2">
        <v>1</v>
      </c>
      <c r="BN8" s="2">
        <v>1</v>
      </c>
      <c r="BP8" s="2">
        <v>3000</v>
      </c>
      <c r="BQ8" s="2">
        <v>3000</v>
      </c>
      <c r="BV8" s="2">
        <v>7000</v>
      </c>
    </row>
    <row r="9" spans="7:75" ht="15" customHeight="1">
      <c r="G9" s="404">
        <v>6</v>
      </c>
      <c r="H9" s="2">
        <v>4000</v>
      </c>
      <c r="I9" s="10">
        <v>1.0416666666666666E-2</v>
      </c>
      <c r="J9" s="780"/>
      <c r="K9" s="12">
        <v>0.09</v>
      </c>
      <c r="L9" s="12">
        <v>0.09</v>
      </c>
      <c r="M9" s="12">
        <v>0.09</v>
      </c>
      <c r="N9" s="12">
        <v>0.09</v>
      </c>
      <c r="O9" s="12">
        <v>0.09</v>
      </c>
      <c r="P9" s="2">
        <v>3</v>
      </c>
      <c r="Q9" s="2">
        <v>2</v>
      </c>
      <c r="R9" s="12">
        <v>0.06</v>
      </c>
      <c r="S9" s="12">
        <v>0.05</v>
      </c>
      <c r="V9" s="12"/>
      <c r="W9" s="12"/>
      <c r="X9" s="156"/>
      <c r="Y9" s="2">
        <v>6</v>
      </c>
      <c r="Z9" s="2">
        <v>170</v>
      </c>
      <c r="AF9" s="323">
        <v>20000</v>
      </c>
      <c r="AG9" s="324">
        <v>99.99</v>
      </c>
      <c r="AH9" s="324">
        <f>AF9/AG9</f>
        <v>200.02000200020004</v>
      </c>
      <c r="AI9" s="325">
        <f>AG9/AF9</f>
        <v>4.9994999999999996E-3</v>
      </c>
      <c r="AJ9" s="195">
        <f>1-AI9/AI$4</f>
        <v>0.39885771543086179</v>
      </c>
      <c r="AK9" s="194" t="s">
        <v>1007</v>
      </c>
      <c r="AL9" s="399">
        <v>0.625</v>
      </c>
      <c r="AM9" s="11">
        <v>1000</v>
      </c>
      <c r="AN9" s="318">
        <f t="shared" si="0"/>
        <v>4.9994999999999994</v>
      </c>
      <c r="AO9" s="317">
        <f t="shared" si="6"/>
        <v>8.3166666666666664</v>
      </c>
      <c r="AP9" s="323">
        <v>1600</v>
      </c>
      <c r="AQ9" s="324">
        <v>99.99</v>
      </c>
      <c r="AR9" s="324">
        <f t="shared" si="7"/>
        <v>16.001600160016004</v>
      </c>
      <c r="AS9" s="325">
        <f t="shared" si="8"/>
        <v>6.2493749999999994E-2</v>
      </c>
      <c r="AT9" s="173">
        <f t="shared" si="9"/>
        <v>0.37381012024048099</v>
      </c>
      <c r="AU9" s="399">
        <v>0.625</v>
      </c>
      <c r="AV9" s="11">
        <v>80</v>
      </c>
      <c r="AW9" s="318">
        <f t="shared" si="1"/>
        <v>4.9994999999999994</v>
      </c>
      <c r="AX9" s="317">
        <f t="shared" si="2"/>
        <v>7.984</v>
      </c>
      <c r="AZ9" s="407" t="s">
        <v>998</v>
      </c>
      <c r="BA9" s="9">
        <v>49.99</v>
      </c>
      <c r="BB9" s="391"/>
      <c r="BC9" s="90">
        <v>9600</v>
      </c>
      <c r="BD9" s="5">
        <f>BC9/BA9</f>
        <v>192.03840768153631</v>
      </c>
      <c r="BE9" s="18">
        <v>8000</v>
      </c>
      <c r="BF9" s="370">
        <f>BE9/BC9-1</f>
        <v>-0.16666666666666663</v>
      </c>
      <c r="BG9" s="410">
        <v>10800</v>
      </c>
      <c r="BH9" s="372">
        <f t="shared" si="15"/>
        <v>2.5499999999999998</v>
      </c>
      <c r="BI9" s="2" t="s">
        <v>1018</v>
      </c>
      <c r="BJ9" s="2">
        <v>1</v>
      </c>
      <c r="BM9" s="2">
        <v>1</v>
      </c>
      <c r="BN9" s="2">
        <v>1</v>
      </c>
      <c r="BQ9" s="2">
        <v>3000</v>
      </c>
      <c r="BT9" s="2">
        <v>3000</v>
      </c>
      <c r="BV9" s="2">
        <v>7000</v>
      </c>
      <c r="BW9" s="2">
        <v>1</v>
      </c>
    </row>
    <row r="10" spans="7:75" ht="15" customHeight="1">
      <c r="G10" s="404">
        <v>7</v>
      </c>
      <c r="H10" s="2">
        <v>8000</v>
      </c>
      <c r="I10" s="10">
        <v>1.18055555555556E-2</v>
      </c>
      <c r="J10" s="780"/>
      <c r="K10" s="12">
        <v>0.1</v>
      </c>
      <c r="L10" s="12">
        <v>0.1</v>
      </c>
      <c r="M10" s="12">
        <v>0.1</v>
      </c>
      <c r="N10" s="12">
        <v>0.1</v>
      </c>
      <c r="O10" s="12">
        <v>0.1</v>
      </c>
      <c r="P10" s="2">
        <v>3</v>
      </c>
      <c r="Q10" s="2">
        <v>3</v>
      </c>
      <c r="R10" s="12">
        <v>7.0000000000000007E-2</v>
      </c>
      <c r="S10" s="12">
        <v>7.0000000000000007E-2</v>
      </c>
      <c r="T10" s="404" t="s">
        <v>1114</v>
      </c>
      <c r="V10" s="12"/>
      <c r="W10" s="12"/>
      <c r="X10" s="156"/>
      <c r="Y10" s="2">
        <v>7</v>
      </c>
      <c r="Z10" s="2">
        <v>180</v>
      </c>
      <c r="AG10" s="318"/>
      <c r="AH10" s="318"/>
      <c r="AL10" s="399">
        <v>1</v>
      </c>
      <c r="AM10" s="11">
        <v>1500</v>
      </c>
      <c r="AN10" s="318">
        <f t="shared" si="0"/>
        <v>7.4992499999999991</v>
      </c>
      <c r="AO10" s="317">
        <f t="shared" si="6"/>
        <v>12.475</v>
      </c>
      <c r="AU10" s="327">
        <v>1</v>
      </c>
      <c r="AV10" s="27">
        <v>120</v>
      </c>
      <c r="AW10" s="324">
        <f t="shared" si="1"/>
        <v>7.4992499999999991</v>
      </c>
      <c r="AX10" s="328">
        <f t="shared" si="2"/>
        <v>11.975999999999999</v>
      </c>
      <c r="AZ10" s="397" t="s">
        <v>999</v>
      </c>
      <c r="BA10" s="324">
        <v>99.99</v>
      </c>
      <c r="BB10" s="403"/>
      <c r="BC10" s="323">
        <v>24000</v>
      </c>
      <c r="BD10" s="24">
        <f>BC10/BA10</f>
        <v>240.02400240024005</v>
      </c>
      <c r="BE10" s="25">
        <v>20000</v>
      </c>
      <c r="BF10" s="369">
        <f>BE10/BC10-1</f>
        <v>-0.16666666666666663</v>
      </c>
      <c r="BG10" s="409">
        <v>27000</v>
      </c>
      <c r="BH10" s="371">
        <f t="shared" si="15"/>
        <v>2.5499999999999998</v>
      </c>
      <c r="BI10" s="27" t="s">
        <v>1115</v>
      </c>
      <c r="BJ10" s="27">
        <v>1</v>
      </c>
      <c r="BK10" s="27">
        <v>50000</v>
      </c>
      <c r="BL10" s="27"/>
      <c r="BM10" s="27"/>
      <c r="BN10" s="27">
        <v>1</v>
      </c>
      <c r="BO10" s="27"/>
      <c r="BP10" s="27">
        <v>10000</v>
      </c>
      <c r="BQ10" s="27">
        <v>10000</v>
      </c>
      <c r="BR10" s="27"/>
      <c r="BS10" s="27"/>
      <c r="BT10" s="27"/>
      <c r="BU10" s="27"/>
      <c r="BV10" s="27">
        <v>30000</v>
      </c>
      <c r="BW10" s="27">
        <v>1</v>
      </c>
    </row>
    <row r="11" spans="7:75" ht="15" customHeight="1">
      <c r="G11" s="404">
        <v>8</v>
      </c>
      <c r="H11" s="2">
        <v>20000</v>
      </c>
      <c r="I11" s="10">
        <v>1.3888888888888888E-2</v>
      </c>
      <c r="J11" s="780"/>
      <c r="K11" s="12">
        <v>0.12</v>
      </c>
      <c r="L11" s="12">
        <v>0.12</v>
      </c>
      <c r="M11" s="12">
        <v>0.12</v>
      </c>
      <c r="N11" s="12">
        <v>0.12</v>
      </c>
      <c r="O11" s="12">
        <v>0.12</v>
      </c>
      <c r="P11" s="2">
        <v>4</v>
      </c>
      <c r="Q11" s="2">
        <v>3</v>
      </c>
      <c r="R11" s="12">
        <v>0.08</v>
      </c>
      <c r="S11" s="12">
        <v>0.09</v>
      </c>
      <c r="T11" s="404" t="s">
        <v>1114</v>
      </c>
      <c r="U11" s="404" t="s">
        <v>1114</v>
      </c>
      <c r="V11" s="12"/>
      <c r="W11" s="12"/>
      <c r="X11" s="156"/>
      <c r="Y11" s="2">
        <v>8</v>
      </c>
      <c r="Z11" s="2">
        <v>190</v>
      </c>
      <c r="AG11" s="318"/>
      <c r="AH11" s="318"/>
      <c r="AL11" s="327">
        <v>3</v>
      </c>
      <c r="AM11" s="27">
        <v>4400</v>
      </c>
      <c r="AN11" s="324">
        <f t="shared" si="0"/>
        <v>21.997799999999998</v>
      </c>
      <c r="AO11" s="328">
        <f t="shared" si="6"/>
        <v>36.593333333333334</v>
      </c>
      <c r="AU11" s="400"/>
    </row>
    <row r="12" spans="7:75" ht="15" customHeight="1">
      <c r="G12" s="404">
        <v>9</v>
      </c>
      <c r="H12" s="2">
        <v>50000</v>
      </c>
      <c r="I12" s="10">
        <v>1.7361111111111112E-2</v>
      </c>
      <c r="J12" s="780"/>
      <c r="K12" s="12">
        <v>0.14000000000000001</v>
      </c>
      <c r="L12" s="12">
        <v>0.14000000000000001</v>
      </c>
      <c r="M12" s="12">
        <v>0.14000000000000001</v>
      </c>
      <c r="N12" s="12">
        <v>0.14000000000000001</v>
      </c>
      <c r="O12" s="12">
        <v>0.14000000000000001</v>
      </c>
      <c r="P12" s="2">
        <v>4</v>
      </c>
      <c r="Q12" s="2">
        <v>3</v>
      </c>
      <c r="R12" s="12">
        <v>0.09</v>
      </c>
      <c r="S12" s="12">
        <v>0.11</v>
      </c>
      <c r="T12" s="404" t="s">
        <v>1114</v>
      </c>
      <c r="U12" s="404" t="s">
        <v>1114</v>
      </c>
      <c r="V12" s="12">
        <v>0.15</v>
      </c>
      <c r="W12" s="12"/>
      <c r="X12" s="156"/>
      <c r="Y12" s="2">
        <v>9</v>
      </c>
      <c r="Z12" s="2">
        <v>200</v>
      </c>
    </row>
    <row r="13" spans="7:75" ht="15" customHeight="1">
      <c r="G13" s="404">
        <v>10</v>
      </c>
      <c r="H13" s="2">
        <v>99999</v>
      </c>
      <c r="I13" s="10">
        <v>2.0833333333333332E-2</v>
      </c>
      <c r="J13" s="780"/>
      <c r="K13" s="12">
        <v>0.15</v>
      </c>
      <c r="L13" s="12">
        <v>0.15</v>
      </c>
      <c r="M13" s="12">
        <v>0.15</v>
      </c>
      <c r="N13" s="12">
        <v>0.15</v>
      </c>
      <c r="O13" s="12">
        <v>0.15</v>
      </c>
      <c r="P13" s="2">
        <v>5</v>
      </c>
      <c r="Q13" s="2">
        <v>3</v>
      </c>
      <c r="R13" s="12">
        <v>0.1</v>
      </c>
      <c r="S13" s="12">
        <v>0.13</v>
      </c>
      <c r="T13" s="404" t="s">
        <v>1114</v>
      </c>
      <c r="U13" s="404" t="s">
        <v>1114</v>
      </c>
      <c r="V13" s="12">
        <v>0.15</v>
      </c>
      <c r="W13" s="12">
        <v>0.15</v>
      </c>
      <c r="X13" s="156">
        <v>0.15</v>
      </c>
      <c r="Y13" s="2">
        <v>10</v>
      </c>
      <c r="Z13" s="2">
        <v>210</v>
      </c>
      <c r="AF13" s="423"/>
      <c r="AH13" s="2"/>
    </row>
    <row r="14" spans="7:75" ht="15" customHeight="1">
      <c r="Y14" s="2">
        <v>11</v>
      </c>
      <c r="Z14" s="2">
        <v>270</v>
      </c>
      <c r="AF14" s="423"/>
      <c r="AH14" s="2"/>
    </row>
    <row r="15" spans="7:75" ht="15" customHeight="1">
      <c r="Y15" s="2">
        <v>12</v>
      </c>
      <c r="AF15" s="423"/>
      <c r="AH15" s="2"/>
    </row>
    <row r="16" spans="7:75" ht="15" customHeight="1">
      <c r="Y16" s="2">
        <v>13</v>
      </c>
      <c r="Z16" s="2">
        <v>240</v>
      </c>
      <c r="AF16" s="423"/>
      <c r="AH16" s="2"/>
    </row>
    <row r="17" spans="9:57" ht="15" customHeight="1">
      <c r="I17" s="377"/>
      <c r="J17" s="377"/>
      <c r="Y17" s="2">
        <v>14</v>
      </c>
      <c r="AF17" s="423"/>
      <c r="AH17" s="2"/>
    </row>
    <row r="18" spans="9:57" ht="15" customHeight="1">
      <c r="Y18" s="2">
        <v>15</v>
      </c>
      <c r="AF18" s="423"/>
      <c r="AH18" s="2"/>
    </row>
    <row r="19" spans="9:57" ht="15" customHeight="1">
      <c r="Y19" s="2">
        <v>16</v>
      </c>
      <c r="AF19" s="423"/>
      <c r="AH19" s="2"/>
      <c r="AZ19" s="727" t="s">
        <v>1116</v>
      </c>
      <c r="BA19" s="781" t="s">
        <v>1117</v>
      </c>
      <c r="BB19" s="781" t="s">
        <v>1118</v>
      </c>
      <c r="BC19" s="781"/>
      <c r="BD19" s="781"/>
      <c r="BE19" s="781"/>
    </row>
    <row r="20" spans="9:57" ht="15" customHeight="1">
      <c r="Y20" s="2">
        <v>17</v>
      </c>
      <c r="Z20" s="2">
        <v>320</v>
      </c>
      <c r="AF20" s="423"/>
      <c r="AH20" s="2"/>
      <c r="AZ20" s="727"/>
      <c r="BA20" s="781"/>
      <c r="BB20" s="781"/>
      <c r="BC20" s="781"/>
      <c r="BD20" s="781"/>
      <c r="BE20" s="781"/>
    </row>
    <row r="21" spans="9:57" ht="15" customHeight="1">
      <c r="Y21" s="2">
        <v>18</v>
      </c>
      <c r="Z21" s="2">
        <v>310</v>
      </c>
      <c r="AF21" s="423"/>
      <c r="AH21" s="2"/>
      <c r="AZ21" s="727"/>
      <c r="BA21" s="781"/>
      <c r="BB21" s="781"/>
      <c r="BC21" s="781"/>
      <c r="BD21" s="781"/>
      <c r="BE21" s="781"/>
    </row>
    <row r="22" spans="9:57" ht="15" customHeight="1">
      <c r="Y22" s="2">
        <v>19</v>
      </c>
      <c r="Z22" s="2">
        <v>290</v>
      </c>
      <c r="AF22" s="423"/>
      <c r="AH22" s="2"/>
      <c r="AZ22" s="683" t="s">
        <v>1119</v>
      </c>
      <c r="BA22" s="697">
        <v>1</v>
      </c>
      <c r="BB22" s="695" t="s">
        <v>1158</v>
      </c>
      <c r="BC22" s="696"/>
      <c r="BD22" s="696"/>
      <c r="BE22" s="697" t="s">
        <v>1120</v>
      </c>
    </row>
    <row r="23" spans="9:57" ht="15" customHeight="1">
      <c r="Y23" s="2">
        <v>20</v>
      </c>
      <c r="Z23" s="2">
        <v>310</v>
      </c>
      <c r="AF23" s="423"/>
      <c r="AH23" s="2"/>
      <c r="AZ23" s="716"/>
      <c r="BA23" s="698"/>
      <c r="BB23" s="776" t="s">
        <v>1121</v>
      </c>
      <c r="BC23" s="777"/>
      <c r="BD23" s="777"/>
      <c r="BE23" s="698"/>
    </row>
    <row r="24" spans="9:57" ht="15" customHeight="1">
      <c r="Y24" s="2">
        <v>21</v>
      </c>
      <c r="Z24" s="2">
        <v>320</v>
      </c>
      <c r="AH24" s="2"/>
      <c r="AZ24" s="716"/>
      <c r="BA24" s="698"/>
      <c r="BB24" s="776" t="s">
        <v>1122</v>
      </c>
      <c r="BC24" s="777"/>
      <c r="BD24" s="777"/>
      <c r="BE24" s="698"/>
    </row>
    <row r="25" spans="9:57" ht="15" customHeight="1">
      <c r="Y25" s="2">
        <v>22</v>
      </c>
      <c r="AF25" s="423"/>
      <c r="AH25" s="2"/>
      <c r="AZ25" s="716"/>
      <c r="BA25" s="698"/>
      <c r="BB25" s="776" t="s">
        <v>1123</v>
      </c>
      <c r="BC25" s="777"/>
      <c r="BD25" s="777"/>
      <c r="BE25" s="698"/>
    </row>
    <row r="26" spans="9:57" ht="15" customHeight="1">
      <c r="Y26" s="2">
        <v>23</v>
      </c>
      <c r="AH26" s="2"/>
      <c r="AZ26" s="716"/>
      <c r="BA26" s="698"/>
      <c r="BB26" s="776" t="s">
        <v>1145</v>
      </c>
      <c r="BC26" s="777"/>
      <c r="BD26" s="777"/>
      <c r="BE26" s="698"/>
    </row>
    <row r="27" spans="9:57" ht="15" customHeight="1">
      <c r="Y27" s="2">
        <v>24</v>
      </c>
      <c r="AH27" s="2"/>
      <c r="AZ27" s="716"/>
      <c r="BA27" s="698"/>
      <c r="BB27" s="776"/>
      <c r="BC27" s="777"/>
      <c r="BD27" s="777"/>
      <c r="BE27" s="698"/>
    </row>
    <row r="28" spans="9:57" ht="15" customHeight="1">
      <c r="Y28" s="2">
        <v>25</v>
      </c>
      <c r="AZ28" s="716"/>
      <c r="BA28" s="698"/>
      <c r="BB28" s="776"/>
      <c r="BC28" s="777"/>
      <c r="BD28" s="777"/>
      <c r="BE28" s="698"/>
    </row>
    <row r="29" spans="9:57" ht="15" customHeight="1">
      <c r="Y29" s="2">
        <v>26</v>
      </c>
      <c r="AZ29" s="717"/>
      <c r="BA29" s="718"/>
      <c r="BB29" s="778"/>
      <c r="BC29" s="779"/>
      <c r="BD29" s="779"/>
      <c r="BE29" s="718"/>
    </row>
    <row r="30" spans="9:57" ht="15" customHeight="1">
      <c r="Y30" s="2">
        <v>27</v>
      </c>
      <c r="AZ30" s="683" t="s">
        <v>1124</v>
      </c>
      <c r="BA30" s="697">
        <v>1</v>
      </c>
      <c r="BB30" s="695" t="s">
        <v>1125</v>
      </c>
      <c r="BC30" s="696"/>
      <c r="BD30" s="696"/>
      <c r="BE30" s="697" t="s">
        <v>1126</v>
      </c>
    </row>
    <row r="31" spans="9:57" ht="15" customHeight="1">
      <c r="AZ31" s="716"/>
      <c r="BA31" s="698"/>
      <c r="BB31" s="776" t="s">
        <v>1171</v>
      </c>
      <c r="BC31" s="777"/>
      <c r="BD31" s="777"/>
      <c r="BE31" s="698"/>
    </row>
    <row r="32" spans="9:57" ht="15" customHeight="1">
      <c r="AZ32" s="716"/>
      <c r="BA32" s="698"/>
      <c r="BB32" s="776" t="s">
        <v>1149</v>
      </c>
      <c r="BC32" s="777"/>
      <c r="BD32" s="777"/>
      <c r="BE32" s="698"/>
    </row>
    <row r="33" spans="7:57" ht="15" customHeight="1">
      <c r="AI33" s="448"/>
      <c r="AZ33" s="716"/>
      <c r="BA33" s="698"/>
      <c r="BB33" s="776" t="s">
        <v>1172</v>
      </c>
      <c r="BC33" s="777"/>
      <c r="BD33" s="777"/>
      <c r="BE33" s="698"/>
    </row>
    <row r="34" spans="7:57" ht="15" customHeight="1">
      <c r="G34" s="467"/>
      <c r="AI34" s="448"/>
      <c r="AZ34" s="716"/>
      <c r="BA34" s="698"/>
      <c r="BB34" s="776" t="s">
        <v>1173</v>
      </c>
      <c r="BC34" s="777"/>
      <c r="BD34" s="777"/>
      <c r="BE34" s="698"/>
    </row>
    <row r="35" spans="7:57" ht="15" customHeight="1">
      <c r="G35" s="453"/>
      <c r="AI35" s="448"/>
      <c r="AZ35" s="716"/>
      <c r="BA35" s="698"/>
      <c r="BB35" s="776" t="s">
        <v>1143</v>
      </c>
      <c r="BC35" s="777"/>
      <c r="BD35" s="777"/>
      <c r="BE35" s="698"/>
    </row>
    <row r="36" spans="7:57" ht="15" customHeight="1">
      <c r="G36" s="467"/>
      <c r="AI36" s="448"/>
      <c r="AZ36" s="716"/>
      <c r="BA36" s="698"/>
      <c r="BB36" s="776" t="s">
        <v>1144</v>
      </c>
      <c r="BC36" s="777"/>
      <c r="BD36" s="777"/>
      <c r="BE36" s="698"/>
    </row>
    <row r="37" spans="7:57" ht="15" customHeight="1">
      <c r="AH37" s="2"/>
      <c r="AI37" s="448"/>
      <c r="AZ37" s="717"/>
      <c r="BA37" s="718"/>
      <c r="BB37" s="778"/>
      <c r="BC37" s="779"/>
      <c r="BD37" s="779"/>
      <c r="BE37" s="718"/>
    </row>
    <row r="38" spans="7:57" ht="15" customHeight="1">
      <c r="AH38" s="2"/>
      <c r="AZ38" s="683" t="s">
        <v>1127</v>
      </c>
      <c r="BA38" s="697">
        <v>1</v>
      </c>
      <c r="BB38" s="695" t="s">
        <v>1175</v>
      </c>
      <c r="BC38" s="696"/>
      <c r="BD38" s="696"/>
      <c r="BE38" s="697" t="s">
        <v>1129</v>
      </c>
    </row>
    <row r="39" spans="7:57" ht="15" customHeight="1">
      <c r="AH39" s="2"/>
      <c r="AZ39" s="716"/>
      <c r="BA39" s="698"/>
      <c r="BB39" s="776" t="s">
        <v>1128</v>
      </c>
      <c r="BC39" s="777"/>
      <c r="BD39" s="777"/>
      <c r="BE39" s="698"/>
    </row>
    <row r="40" spans="7:57" ht="15" customHeight="1">
      <c r="AH40" s="2"/>
      <c r="AZ40" s="716"/>
      <c r="BA40" s="698"/>
      <c r="BB40" s="776" t="s">
        <v>1130</v>
      </c>
      <c r="BC40" s="777"/>
      <c r="BD40" s="777"/>
      <c r="BE40" s="698"/>
    </row>
    <row r="41" spans="7:57" ht="15" customHeight="1">
      <c r="AH41" s="2"/>
      <c r="AZ41" s="716"/>
      <c r="BA41" s="698"/>
      <c r="BB41" s="776" t="s">
        <v>1166</v>
      </c>
      <c r="BC41" s="777"/>
      <c r="BD41" s="777"/>
      <c r="BE41" s="698"/>
    </row>
    <row r="42" spans="7:57" ht="15" customHeight="1">
      <c r="G42" s="469"/>
      <c r="AH42" s="2"/>
      <c r="AZ42" s="716"/>
      <c r="BA42" s="698"/>
      <c r="BB42" s="776" t="s">
        <v>1177</v>
      </c>
      <c r="BC42" s="777"/>
      <c r="BD42" s="777"/>
      <c r="BE42" s="698"/>
    </row>
    <row r="43" spans="7:57" ht="15" customHeight="1">
      <c r="AZ43" s="717"/>
      <c r="BA43" s="718"/>
      <c r="BB43" s="778"/>
      <c r="BC43" s="779"/>
      <c r="BD43" s="779"/>
      <c r="BE43" s="718"/>
    </row>
    <row r="44" spans="7:57" ht="15" customHeight="1">
      <c r="AZ44" s="801" t="s">
        <v>1131</v>
      </c>
      <c r="BA44" s="802">
        <v>1</v>
      </c>
      <c r="BB44" s="695" t="s">
        <v>1164</v>
      </c>
      <c r="BC44" s="696"/>
      <c r="BD44" s="696"/>
      <c r="BE44" s="697" t="s">
        <v>1163</v>
      </c>
    </row>
    <row r="45" spans="7:57" ht="15" customHeight="1">
      <c r="AZ45" s="762"/>
      <c r="BA45" s="752"/>
      <c r="BB45" s="776" t="s">
        <v>1187</v>
      </c>
      <c r="BC45" s="777"/>
      <c r="BD45" s="777"/>
      <c r="BE45" s="698"/>
    </row>
    <row r="46" spans="7:57" ht="15" customHeight="1">
      <c r="AZ46" s="762"/>
      <c r="BA46" s="752"/>
      <c r="BB46" s="776"/>
      <c r="BC46" s="777"/>
      <c r="BD46" s="777"/>
      <c r="BE46" s="698"/>
    </row>
    <row r="47" spans="7:57" ht="15" customHeight="1">
      <c r="AZ47" s="762"/>
      <c r="BA47" s="752"/>
      <c r="BB47" s="776"/>
      <c r="BC47" s="777"/>
      <c r="BD47" s="777"/>
      <c r="BE47" s="698"/>
    </row>
    <row r="48" spans="7:57" ht="15" customHeight="1">
      <c r="AZ48" s="763"/>
      <c r="BA48" s="753"/>
      <c r="BB48" s="778"/>
      <c r="BC48" s="779"/>
      <c r="BD48" s="779"/>
      <c r="BE48" s="718"/>
    </row>
    <row r="49" spans="7:57" ht="15" customHeight="1">
      <c r="AZ49" s="683" t="s">
        <v>1132</v>
      </c>
      <c r="BA49" s="697">
        <v>1</v>
      </c>
      <c r="BB49" s="776" t="s">
        <v>1184</v>
      </c>
      <c r="BC49" s="777"/>
      <c r="BD49" s="777"/>
      <c r="BE49" s="697" t="s">
        <v>1159</v>
      </c>
    </row>
    <row r="50" spans="7:57" ht="15" customHeight="1">
      <c r="G50" s="506"/>
      <c r="AL50" s="507"/>
      <c r="AZ50" s="716"/>
      <c r="BA50" s="698"/>
      <c r="BB50" s="776" t="s">
        <v>1932</v>
      </c>
      <c r="BC50" s="777"/>
      <c r="BD50" s="777"/>
      <c r="BE50" s="698"/>
    </row>
    <row r="51" spans="7:57" ht="15" customHeight="1">
      <c r="AZ51" s="716"/>
      <c r="BA51" s="698"/>
      <c r="BB51" s="776" t="s">
        <v>1931</v>
      </c>
      <c r="BC51" s="777"/>
      <c r="BD51" s="777"/>
      <c r="BE51" s="698"/>
    </row>
    <row r="52" spans="7:57" ht="15" customHeight="1">
      <c r="AZ52" s="716"/>
      <c r="BA52" s="698"/>
      <c r="BB52" s="776" t="s">
        <v>1162</v>
      </c>
      <c r="BC52" s="777"/>
      <c r="BD52" s="777"/>
      <c r="BE52" s="698"/>
    </row>
    <row r="53" spans="7:57" ht="15" customHeight="1">
      <c r="AZ53" s="716"/>
      <c r="BA53" s="698"/>
      <c r="BB53" s="776" t="s">
        <v>1161</v>
      </c>
      <c r="BC53" s="777"/>
      <c r="BD53" s="777"/>
      <c r="BE53" s="698"/>
    </row>
    <row r="54" spans="7:57" ht="15" customHeight="1">
      <c r="G54" s="472"/>
      <c r="AZ54" s="716"/>
      <c r="BA54" s="698"/>
      <c r="BB54" s="776" t="s">
        <v>1160</v>
      </c>
      <c r="BC54" s="777"/>
      <c r="BD54" s="777"/>
      <c r="BE54" s="698"/>
    </row>
    <row r="55" spans="7:57" ht="15" customHeight="1">
      <c r="G55" s="506"/>
      <c r="AL55" s="507"/>
      <c r="AZ55" s="716"/>
      <c r="BA55" s="698"/>
      <c r="BB55" s="776"/>
      <c r="BC55" s="777"/>
      <c r="BD55" s="777"/>
      <c r="BE55" s="698"/>
    </row>
    <row r="56" spans="7:57" ht="15" customHeight="1">
      <c r="AZ56" s="717"/>
      <c r="BA56" s="718"/>
      <c r="BB56" s="778"/>
      <c r="BC56" s="779"/>
      <c r="BD56" s="779"/>
      <c r="BE56" s="718"/>
    </row>
    <row r="57" spans="7:57" ht="15" customHeight="1">
      <c r="AZ57" s="683" t="s">
        <v>1168</v>
      </c>
      <c r="BA57" s="697">
        <v>1</v>
      </c>
      <c r="BB57" s="776" t="s">
        <v>1169</v>
      </c>
      <c r="BC57" s="777"/>
      <c r="BD57" s="777"/>
      <c r="BE57" s="697" t="s">
        <v>1167</v>
      </c>
    </row>
    <row r="58" spans="7:57" ht="15" customHeight="1">
      <c r="AZ58" s="716"/>
      <c r="BA58" s="698"/>
      <c r="BB58" s="776" t="s">
        <v>1188</v>
      </c>
      <c r="BC58" s="777"/>
      <c r="BD58" s="777"/>
      <c r="BE58" s="698"/>
    </row>
    <row r="59" spans="7:57" ht="15" customHeight="1">
      <c r="AZ59" s="716"/>
      <c r="BA59" s="698"/>
      <c r="BB59" s="776" t="s">
        <v>1144</v>
      </c>
      <c r="BC59" s="777"/>
      <c r="BD59" s="777"/>
      <c r="BE59" s="698"/>
    </row>
    <row r="60" spans="7:57" ht="15" customHeight="1">
      <c r="AZ60" s="716"/>
      <c r="BA60" s="698"/>
      <c r="BB60" s="776" t="s">
        <v>1180</v>
      </c>
      <c r="BC60" s="777"/>
      <c r="BD60" s="777"/>
      <c r="BE60" s="698"/>
    </row>
    <row r="61" spans="7:57" ht="15" customHeight="1">
      <c r="G61" s="472"/>
      <c r="AZ61" s="716"/>
      <c r="BA61" s="698"/>
      <c r="BB61" s="776" t="s">
        <v>1189</v>
      </c>
      <c r="BC61" s="777"/>
      <c r="BD61" s="777"/>
      <c r="BE61" s="698"/>
    </row>
    <row r="62" spans="7:57" ht="15" customHeight="1">
      <c r="AZ62" s="717"/>
      <c r="BA62" s="718"/>
      <c r="BB62" s="778"/>
      <c r="BC62" s="779"/>
      <c r="BD62" s="779"/>
      <c r="BE62" s="718"/>
    </row>
    <row r="63" spans="7:57" ht="15" customHeight="1">
      <c r="AZ63" s="683" t="s">
        <v>1181</v>
      </c>
      <c r="BA63" s="697">
        <v>1</v>
      </c>
      <c r="BB63" s="776" t="s">
        <v>1182</v>
      </c>
      <c r="BC63" s="777"/>
      <c r="BD63" s="777"/>
      <c r="BE63" s="697" t="s">
        <v>1183</v>
      </c>
    </row>
    <row r="64" spans="7:57" ht="15" customHeight="1">
      <c r="AZ64" s="716"/>
      <c r="BA64" s="698"/>
      <c r="BB64" s="776" t="s">
        <v>1958</v>
      </c>
      <c r="BC64" s="777"/>
      <c r="BD64" s="777"/>
      <c r="BE64" s="698"/>
    </row>
    <row r="65" spans="7:57" ht="15" customHeight="1">
      <c r="AZ65" s="716"/>
      <c r="BA65" s="698"/>
      <c r="BB65" s="776" t="s">
        <v>1969</v>
      </c>
      <c r="BC65" s="777"/>
      <c r="BD65" s="777"/>
      <c r="BE65" s="698"/>
    </row>
    <row r="66" spans="7:57" ht="15" customHeight="1">
      <c r="AZ66" s="716"/>
      <c r="BA66" s="698"/>
      <c r="BB66" s="776"/>
      <c r="BC66" s="777"/>
      <c r="BD66" s="777"/>
      <c r="BE66" s="698"/>
    </row>
    <row r="67" spans="7:57" ht="15" customHeight="1">
      <c r="AZ67" s="717"/>
      <c r="BA67" s="718"/>
      <c r="BB67" s="778"/>
      <c r="BC67" s="779"/>
      <c r="BD67" s="779"/>
      <c r="BE67" s="718"/>
    </row>
    <row r="68" spans="7:57" ht="15" customHeight="1">
      <c r="AZ68" s="683" t="s">
        <v>1927</v>
      </c>
      <c r="BA68" s="697">
        <v>1</v>
      </c>
      <c r="BB68" s="776" t="s">
        <v>1173</v>
      </c>
      <c r="BC68" s="777"/>
      <c r="BD68" s="777"/>
      <c r="BE68" s="697" t="s">
        <v>1928</v>
      </c>
    </row>
    <row r="69" spans="7:57" ht="15" customHeight="1">
      <c r="AZ69" s="716"/>
      <c r="BA69" s="698"/>
      <c r="BB69" s="776"/>
      <c r="BC69" s="777"/>
      <c r="BD69" s="777"/>
      <c r="BE69" s="698"/>
    </row>
    <row r="70" spans="7:57" ht="15" customHeight="1">
      <c r="AZ70" s="716"/>
      <c r="BA70" s="698"/>
      <c r="BB70" s="776"/>
      <c r="BC70" s="777"/>
      <c r="BD70" s="777"/>
      <c r="BE70" s="698"/>
    </row>
    <row r="71" spans="7:57" ht="15" customHeight="1">
      <c r="AZ71" s="716"/>
      <c r="BA71" s="698"/>
      <c r="BB71" s="776"/>
      <c r="BC71" s="777"/>
      <c r="BD71" s="777"/>
      <c r="BE71" s="698"/>
    </row>
    <row r="72" spans="7:57" ht="15" customHeight="1">
      <c r="AZ72" s="717"/>
      <c r="BA72" s="718"/>
      <c r="BB72" s="778"/>
      <c r="BC72" s="779"/>
      <c r="BD72" s="779"/>
      <c r="BE72" s="718"/>
    </row>
    <row r="73" spans="7:57" ht="15" customHeight="1">
      <c r="AZ73" s="683" t="s">
        <v>1970</v>
      </c>
      <c r="BA73" s="697">
        <v>1</v>
      </c>
      <c r="BB73" s="776" t="s">
        <v>1158</v>
      </c>
      <c r="BC73" s="777"/>
      <c r="BD73" s="777"/>
      <c r="BE73" s="697" t="s">
        <v>1120</v>
      </c>
    </row>
    <row r="74" spans="7:57" ht="15" customHeight="1">
      <c r="AZ74" s="716"/>
      <c r="BA74" s="698"/>
      <c r="BB74" s="776"/>
      <c r="BC74" s="777"/>
      <c r="BD74" s="777"/>
      <c r="BE74" s="698"/>
    </row>
    <row r="75" spans="7:57" ht="15" customHeight="1">
      <c r="AZ75" s="716"/>
      <c r="BA75" s="698"/>
      <c r="BB75" s="776"/>
      <c r="BC75" s="777"/>
      <c r="BD75" s="777"/>
      <c r="BE75" s="698"/>
    </row>
    <row r="76" spans="7:57" ht="15" customHeight="1">
      <c r="AZ76" s="716"/>
      <c r="BA76" s="698"/>
      <c r="BB76" s="776"/>
      <c r="BC76" s="777"/>
      <c r="BD76" s="777"/>
      <c r="BE76" s="698"/>
    </row>
    <row r="77" spans="7:57" ht="15" customHeight="1">
      <c r="AZ77" s="717"/>
      <c r="BA77" s="718"/>
      <c r="BB77" s="778"/>
      <c r="BC77" s="779"/>
      <c r="BD77" s="779"/>
      <c r="BE77" s="718"/>
    </row>
    <row r="78" spans="7:57" ht="15" customHeight="1">
      <c r="G78" s="624"/>
      <c r="AL78" s="625"/>
      <c r="AZ78" s="683" t="s">
        <v>1929</v>
      </c>
      <c r="BA78" s="697">
        <v>1</v>
      </c>
      <c r="BB78" s="776" t="s">
        <v>1188</v>
      </c>
      <c r="BC78" s="777"/>
      <c r="BD78" s="777"/>
      <c r="BE78" s="697" t="s">
        <v>1126</v>
      </c>
    </row>
    <row r="79" spans="7:57" ht="15" customHeight="1">
      <c r="G79" s="624"/>
      <c r="AL79" s="625"/>
      <c r="AZ79" s="716"/>
      <c r="BA79" s="698"/>
      <c r="BB79" s="776" t="s">
        <v>1930</v>
      </c>
      <c r="BC79" s="777"/>
      <c r="BD79" s="777"/>
      <c r="BE79" s="698"/>
    </row>
    <row r="80" spans="7:57" ht="15" customHeight="1">
      <c r="G80" s="624"/>
      <c r="AL80" s="625"/>
      <c r="AZ80" s="716"/>
      <c r="BA80" s="698"/>
      <c r="BB80" s="776" t="s">
        <v>1149</v>
      </c>
      <c r="BC80" s="777"/>
      <c r="BD80" s="777"/>
      <c r="BE80" s="698"/>
    </row>
    <row r="81" spans="7:57" ht="15" customHeight="1">
      <c r="G81" s="624"/>
      <c r="AL81" s="625"/>
      <c r="AZ81" s="716"/>
      <c r="BA81" s="698"/>
      <c r="BB81" s="776" t="s">
        <v>1144</v>
      </c>
      <c r="BC81" s="777"/>
      <c r="BD81" s="777"/>
      <c r="BE81" s="698"/>
    </row>
    <row r="82" spans="7:57" ht="15" customHeight="1">
      <c r="G82" s="624"/>
      <c r="AL82" s="625"/>
      <c r="AZ82" s="717"/>
      <c r="BA82" s="718"/>
      <c r="BB82" s="778"/>
      <c r="BC82" s="779"/>
      <c r="BD82" s="779"/>
      <c r="BE82" s="718"/>
    </row>
    <row r="83" spans="7:57" ht="15" customHeight="1">
      <c r="AZ83" s="683" t="s">
        <v>1934</v>
      </c>
      <c r="BA83" s="697">
        <v>1</v>
      </c>
      <c r="BB83" s="776" t="s">
        <v>1175</v>
      </c>
      <c r="BC83" s="777"/>
      <c r="BD83" s="777"/>
      <c r="BE83" s="697" t="s">
        <v>1129</v>
      </c>
    </row>
    <row r="84" spans="7:57" ht="15" customHeight="1">
      <c r="AZ84" s="716"/>
      <c r="BA84" s="698"/>
      <c r="BB84" s="776" t="s">
        <v>1933</v>
      </c>
      <c r="BC84" s="777"/>
      <c r="BD84" s="777"/>
      <c r="BE84" s="698"/>
    </row>
    <row r="85" spans="7:57" ht="15" customHeight="1">
      <c r="AZ85" s="716"/>
      <c r="BA85" s="698"/>
      <c r="BB85" s="776" t="s">
        <v>1166</v>
      </c>
      <c r="BC85" s="777"/>
      <c r="BD85" s="777"/>
      <c r="BE85" s="698"/>
    </row>
    <row r="86" spans="7:57" ht="15" customHeight="1">
      <c r="AZ86" s="716"/>
      <c r="BA86" s="698"/>
      <c r="BB86" s="776" t="s">
        <v>1968</v>
      </c>
      <c r="BC86" s="777"/>
      <c r="BD86" s="777"/>
      <c r="BE86" s="698"/>
    </row>
    <row r="87" spans="7:57" ht="15" customHeight="1">
      <c r="AZ87" s="717"/>
      <c r="BA87" s="718"/>
      <c r="BB87" s="778"/>
      <c r="BC87" s="779"/>
      <c r="BD87" s="779"/>
      <c r="BE87" s="718"/>
    </row>
    <row r="88" spans="7:57" ht="15" customHeight="1">
      <c r="AZ88" s="683" t="s">
        <v>1946</v>
      </c>
      <c r="BA88" s="697">
        <v>1</v>
      </c>
      <c r="BB88" s="776" t="s">
        <v>1947</v>
      </c>
      <c r="BC88" s="777"/>
      <c r="BD88" s="777"/>
      <c r="BE88" s="697" t="s">
        <v>1163</v>
      </c>
    </row>
    <row r="89" spans="7:57" ht="15" customHeight="1">
      <c r="AZ89" s="716"/>
      <c r="BA89" s="698"/>
      <c r="BB89" s="776"/>
      <c r="BC89" s="777"/>
      <c r="BD89" s="777"/>
      <c r="BE89" s="698"/>
    </row>
    <row r="90" spans="7:57" ht="15" customHeight="1">
      <c r="AZ90" s="716"/>
      <c r="BA90" s="698"/>
      <c r="BB90" s="776"/>
      <c r="BC90" s="777"/>
      <c r="BD90" s="777"/>
      <c r="BE90" s="698"/>
    </row>
    <row r="91" spans="7:57" ht="15" customHeight="1">
      <c r="AZ91" s="716"/>
      <c r="BA91" s="698"/>
      <c r="BB91" s="776"/>
      <c r="BC91" s="777"/>
      <c r="BD91" s="777"/>
      <c r="BE91" s="698"/>
    </row>
    <row r="92" spans="7:57" ht="15" customHeight="1">
      <c r="AZ92" s="717"/>
      <c r="BA92" s="718"/>
      <c r="BB92" s="778"/>
      <c r="BC92" s="779"/>
      <c r="BD92" s="779"/>
      <c r="BE92" s="718"/>
    </row>
    <row r="93" spans="7:57" ht="15" customHeight="1">
      <c r="AZ93" s="683" t="s">
        <v>1950</v>
      </c>
      <c r="BA93" s="697">
        <v>1</v>
      </c>
      <c r="BB93" s="776" t="s">
        <v>1812</v>
      </c>
      <c r="BC93" s="777"/>
      <c r="BD93" s="777"/>
      <c r="BE93" s="697" t="s">
        <v>1948</v>
      </c>
    </row>
    <row r="94" spans="7:57" ht="15" customHeight="1">
      <c r="AZ94" s="716"/>
      <c r="BA94" s="698"/>
      <c r="BB94" s="776" t="s">
        <v>1949</v>
      </c>
      <c r="BC94" s="777"/>
      <c r="BD94" s="777"/>
      <c r="BE94" s="698"/>
    </row>
    <row r="95" spans="7:57" ht="15" customHeight="1">
      <c r="AZ95" s="716"/>
      <c r="BA95" s="698"/>
      <c r="BB95" s="776"/>
      <c r="BC95" s="777"/>
      <c r="BD95" s="777"/>
      <c r="BE95" s="698"/>
    </row>
    <row r="96" spans="7:57" ht="15" customHeight="1">
      <c r="AZ96" s="716"/>
      <c r="BA96" s="698"/>
      <c r="BB96" s="776"/>
      <c r="BC96" s="777"/>
      <c r="BD96" s="777"/>
      <c r="BE96" s="698"/>
    </row>
    <row r="97" spans="52:57" ht="15" customHeight="1">
      <c r="AZ97" s="717"/>
      <c r="BA97" s="718"/>
      <c r="BB97" s="778"/>
      <c r="BC97" s="779"/>
      <c r="BD97" s="779"/>
      <c r="BE97" s="718"/>
    </row>
  </sheetData>
  <mergeCells count="151">
    <mergeCell ref="AZ78:AZ82"/>
    <mergeCell ref="BA78:BA82"/>
    <mergeCell ref="BB78:BD78"/>
    <mergeCell ref="BE78:BE82"/>
    <mergeCell ref="BB79:BD79"/>
    <mergeCell ref="BB80:BD80"/>
    <mergeCell ref="BB81:BD81"/>
    <mergeCell ref="BB82:BD82"/>
    <mergeCell ref="AZ83:AZ87"/>
    <mergeCell ref="BA83:BA87"/>
    <mergeCell ref="BB83:BD83"/>
    <mergeCell ref="BE83:BE87"/>
    <mergeCell ref="BB84:BD84"/>
    <mergeCell ref="BB85:BD85"/>
    <mergeCell ref="BB86:BD86"/>
    <mergeCell ref="BB87:BD87"/>
    <mergeCell ref="AZ68:AZ72"/>
    <mergeCell ref="BA68:BA72"/>
    <mergeCell ref="BB68:BD68"/>
    <mergeCell ref="BE68:BE72"/>
    <mergeCell ref="BB69:BD69"/>
    <mergeCell ref="BB70:BD70"/>
    <mergeCell ref="BB71:BD71"/>
    <mergeCell ref="BB72:BD72"/>
    <mergeCell ref="AZ73:AZ77"/>
    <mergeCell ref="BA73:BA77"/>
    <mergeCell ref="BB73:BD73"/>
    <mergeCell ref="BE73:BE77"/>
    <mergeCell ref="BB74:BD74"/>
    <mergeCell ref="BB75:BD75"/>
    <mergeCell ref="BB76:BD76"/>
    <mergeCell ref="BB77:BD77"/>
    <mergeCell ref="AZ63:AZ67"/>
    <mergeCell ref="BA63:BA67"/>
    <mergeCell ref="BB63:BD63"/>
    <mergeCell ref="BE63:BE67"/>
    <mergeCell ref="BB64:BD64"/>
    <mergeCell ref="BB65:BD65"/>
    <mergeCell ref="BB66:BD66"/>
    <mergeCell ref="BB67:BD67"/>
    <mergeCell ref="AZ44:AZ48"/>
    <mergeCell ref="AZ49:AZ56"/>
    <mergeCell ref="BE57:BE62"/>
    <mergeCell ref="BB50:BD50"/>
    <mergeCell ref="BB55:BD55"/>
    <mergeCell ref="BA44:BA48"/>
    <mergeCell ref="BA49:BA56"/>
    <mergeCell ref="BB54:BD54"/>
    <mergeCell ref="AZ57:AZ62"/>
    <mergeCell ref="BA57:BA62"/>
    <mergeCell ref="BB57:BD57"/>
    <mergeCell ref="BB49:BD49"/>
    <mergeCell ref="BB51:BD51"/>
    <mergeCell ref="BB61:BD61"/>
    <mergeCell ref="BB58:BD58"/>
    <mergeCell ref="BB59:BD59"/>
    <mergeCell ref="BB60:BD60"/>
    <mergeCell ref="BB62:BD62"/>
    <mergeCell ref="AZ38:AZ43"/>
    <mergeCell ref="BA30:BA37"/>
    <mergeCell ref="BG2:BG3"/>
    <mergeCell ref="BA38:BA43"/>
    <mergeCell ref="BB29:BD29"/>
    <mergeCell ref="BB28:BD28"/>
    <mergeCell ref="BB27:BD27"/>
    <mergeCell ref="BB31:BD31"/>
    <mergeCell ref="BB32:BD32"/>
    <mergeCell ref="BB33:BD33"/>
    <mergeCell ref="BB37:BD37"/>
    <mergeCell ref="BB38:BD38"/>
    <mergeCell ref="BB40:BD40"/>
    <mergeCell ref="BB41:BD41"/>
    <mergeCell ref="BB34:BD34"/>
    <mergeCell ref="BB36:BD36"/>
    <mergeCell ref="BB35:BD35"/>
    <mergeCell ref="AZ30:AZ37"/>
    <mergeCell ref="BB39:BD39"/>
    <mergeCell ref="BB25:BD25"/>
    <mergeCell ref="BB26:BD26"/>
    <mergeCell ref="BA22:BA29"/>
    <mergeCell ref="AZ19:AZ21"/>
    <mergeCell ref="BA19:BA21"/>
    <mergeCell ref="BF2:BF3"/>
    <mergeCell ref="AZ2:AZ3"/>
    <mergeCell ref="BE2:BE3"/>
    <mergeCell ref="BC2:BC3"/>
    <mergeCell ref="BA2:BA3"/>
    <mergeCell ref="BI2:BI3"/>
    <mergeCell ref="BJ2:BJ3"/>
    <mergeCell ref="BV2:BW2"/>
    <mergeCell ref="BL2:BL3"/>
    <mergeCell ref="BM2:BN2"/>
    <mergeCell ref="BK2:BK3"/>
    <mergeCell ref="BP2:BT2"/>
    <mergeCell ref="BU2:BU3"/>
    <mergeCell ref="BB2:BB3"/>
    <mergeCell ref="BH2:BH3"/>
    <mergeCell ref="G2:H2"/>
    <mergeCell ref="AF2:AO2"/>
    <mergeCell ref="AN3:AO3"/>
    <mergeCell ref="AW3:AX3"/>
    <mergeCell ref="AP2:AX2"/>
    <mergeCell ref="W2:W3"/>
    <mergeCell ref="X2:X3"/>
    <mergeCell ref="Y2:Z2"/>
    <mergeCell ref="BD2:BD3"/>
    <mergeCell ref="T2:U2"/>
    <mergeCell ref="V2:V3"/>
    <mergeCell ref="R2:R3"/>
    <mergeCell ref="S2:S3"/>
    <mergeCell ref="K2:O2"/>
    <mergeCell ref="J4:J13"/>
    <mergeCell ref="J2:J3"/>
    <mergeCell ref="P2:Q2"/>
    <mergeCell ref="BE30:BE37"/>
    <mergeCell ref="BE38:BE43"/>
    <mergeCell ref="BE44:BE48"/>
    <mergeCell ref="BE49:BE56"/>
    <mergeCell ref="BB30:BD30"/>
    <mergeCell ref="BB43:BD43"/>
    <mergeCell ref="BB46:BD46"/>
    <mergeCell ref="BB47:BD47"/>
    <mergeCell ref="BB48:BD48"/>
    <mergeCell ref="BB52:BD52"/>
    <mergeCell ref="BB53:BD53"/>
    <mergeCell ref="BB56:BD56"/>
    <mergeCell ref="BB44:BD44"/>
    <mergeCell ref="BB45:BD45"/>
    <mergeCell ref="BB42:BD42"/>
    <mergeCell ref="BB19:BE21"/>
    <mergeCell ref="AZ22:AZ29"/>
    <mergeCell ref="BE22:BE29"/>
    <mergeCell ref="BB22:BD22"/>
    <mergeCell ref="BB23:BD23"/>
    <mergeCell ref="BB24:BD24"/>
    <mergeCell ref="AZ88:AZ92"/>
    <mergeCell ref="BA88:BA92"/>
    <mergeCell ref="BB88:BD88"/>
    <mergeCell ref="BE88:BE92"/>
    <mergeCell ref="BB89:BD89"/>
    <mergeCell ref="BB90:BD90"/>
    <mergeCell ref="BB91:BD91"/>
    <mergeCell ref="BB92:BD92"/>
    <mergeCell ref="AZ93:AZ97"/>
    <mergeCell ref="BA93:BA97"/>
    <mergeCell ref="BB93:BD93"/>
    <mergeCell ref="BE93:BE97"/>
    <mergeCell ref="BB94:BD94"/>
    <mergeCell ref="BB95:BD95"/>
    <mergeCell ref="BB96:BD96"/>
    <mergeCell ref="BB97:BD97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rgb="FF66CCFF"/>
  </sheetPr>
  <dimension ref="A1:AC388"/>
  <sheetViews>
    <sheetView tabSelected="1" workbookViewId="0">
      <pane xSplit="2" ySplit="3" topLeftCell="C64" activePane="bottomRight" state="frozen"/>
      <selection pane="topRight" activeCell="C1" sqref="C1"/>
      <selection pane="bottomLeft" activeCell="A4" sqref="A4"/>
      <selection pane="bottomRight" activeCell="G114" sqref="G114"/>
    </sheetView>
  </sheetViews>
  <sheetFormatPr defaultColWidth="9" defaultRowHeight="15" customHeight="1"/>
  <cols>
    <col min="1" max="1" width="3.5703125" style="2" customWidth="1"/>
    <col min="2" max="2" width="16.7109375" style="1" customWidth="1"/>
    <col min="3" max="3" width="10.85546875" style="133" customWidth="1"/>
    <col min="4" max="4" width="10.140625" style="5" customWidth="1"/>
    <col min="5" max="5" width="10.5703125" style="11" customWidth="1"/>
    <col min="6" max="6" width="10.5703125" style="5" customWidth="1"/>
    <col min="7" max="9" width="10" style="2" bestFit="1" customWidth="1"/>
    <col min="10" max="10" width="10" style="5" bestFit="1" customWidth="1"/>
    <col min="11" max="11" width="9" style="11"/>
    <col min="12" max="12" width="9" style="5"/>
    <col min="13" max="16" width="9" style="2"/>
    <col min="17" max="17" width="9" style="5"/>
    <col min="18" max="18" width="15.5703125" style="1" customWidth="1"/>
    <col min="19" max="19" width="15.5703125" style="121" customWidth="1"/>
    <col min="20" max="20" width="19.7109375" style="121" customWidth="1"/>
    <col min="21" max="21" width="15.5703125" style="4" customWidth="1"/>
    <col min="22" max="22" width="14.42578125" style="2" customWidth="1"/>
    <col min="23" max="23" width="15.28515625" style="5" customWidth="1"/>
    <col min="24" max="24" width="21.28515625" style="153" customWidth="1"/>
    <col min="25" max="25" width="10.28515625" style="5" customWidth="1"/>
    <col min="26" max="26" width="21.28515625" style="153" customWidth="1"/>
    <col min="27" max="27" width="10.28515625" style="5" customWidth="1"/>
    <col min="28" max="28" width="19.85546875" style="153" customWidth="1"/>
    <col min="29" max="29" width="10.28515625" style="156" customWidth="1"/>
    <col min="30" max="16384" width="9" style="2"/>
  </cols>
  <sheetData>
    <row r="1" spans="1:29" ht="15" customHeight="1">
      <c r="C1" s="157"/>
      <c r="D1" s="1"/>
      <c r="F1" s="2"/>
      <c r="J1" s="2"/>
      <c r="L1" s="2"/>
      <c r="Q1" s="2"/>
      <c r="U1" s="1"/>
      <c r="W1" s="153"/>
      <c r="Y1" s="153"/>
      <c r="AA1" s="153"/>
      <c r="AC1" s="193"/>
    </row>
    <row r="2" spans="1:29" s="1" customFormat="1" ht="30" customHeight="1">
      <c r="B2" s="784" t="s">
        <v>61</v>
      </c>
      <c r="C2" s="803" t="s">
        <v>74</v>
      </c>
      <c r="D2" s="701" t="s">
        <v>12</v>
      </c>
      <c r="E2" s="804" t="s">
        <v>62</v>
      </c>
      <c r="F2" s="804"/>
      <c r="G2" s="804" t="s">
        <v>80</v>
      </c>
      <c r="H2" s="804"/>
      <c r="I2" s="804"/>
      <c r="J2" s="804"/>
      <c r="K2" s="805" t="s">
        <v>14</v>
      </c>
      <c r="L2" s="806"/>
      <c r="M2" s="806"/>
      <c r="N2" s="806"/>
      <c r="O2" s="806"/>
      <c r="P2" s="806"/>
      <c r="Q2" s="807"/>
      <c r="R2" s="716" t="s">
        <v>53</v>
      </c>
      <c r="S2" s="699"/>
      <c r="T2" s="699" t="s">
        <v>54</v>
      </c>
      <c r="U2" s="701"/>
      <c r="V2" s="716" t="s">
        <v>29</v>
      </c>
      <c r="W2" s="701" t="s">
        <v>15</v>
      </c>
      <c r="X2" s="716" t="s">
        <v>189</v>
      </c>
      <c r="Y2" s="699"/>
      <c r="Z2" s="699"/>
      <c r="AA2" s="699"/>
      <c r="AB2" s="699"/>
      <c r="AC2" s="699"/>
    </row>
    <row r="3" spans="1:29" s="34" customFormat="1" ht="30" customHeight="1">
      <c r="A3" s="32"/>
      <c r="B3" s="784"/>
      <c r="C3" s="803"/>
      <c r="D3" s="701"/>
      <c r="E3" s="96" t="s">
        <v>28</v>
      </c>
      <c r="F3" s="96" t="s">
        <v>27</v>
      </c>
      <c r="G3" s="125" t="s">
        <v>0</v>
      </c>
      <c r="H3" s="122" t="s">
        <v>1</v>
      </c>
      <c r="I3" s="122" t="s">
        <v>2</v>
      </c>
      <c r="J3" s="122" t="s">
        <v>3</v>
      </c>
      <c r="K3" s="124" t="s">
        <v>28</v>
      </c>
      <c r="L3" s="123" t="s">
        <v>27</v>
      </c>
      <c r="M3" s="123" t="s">
        <v>0</v>
      </c>
      <c r="N3" s="124" t="s">
        <v>1</v>
      </c>
      <c r="O3" s="124" t="s">
        <v>2</v>
      </c>
      <c r="P3" s="124" t="s">
        <v>3</v>
      </c>
      <c r="Q3" s="124" t="s">
        <v>4</v>
      </c>
      <c r="R3" s="716"/>
      <c r="S3" s="699"/>
      <c r="T3" s="699"/>
      <c r="U3" s="701"/>
      <c r="V3" s="717"/>
      <c r="W3" s="760"/>
      <c r="X3" s="34" t="s">
        <v>190</v>
      </c>
      <c r="Y3" s="89" t="s">
        <v>188</v>
      </c>
      <c r="Z3" s="34" t="s">
        <v>190</v>
      </c>
      <c r="AA3" s="89" t="s">
        <v>188</v>
      </c>
      <c r="AB3" s="34" t="s">
        <v>190</v>
      </c>
      <c r="AC3" s="194" t="s">
        <v>188</v>
      </c>
    </row>
    <row r="4" spans="1:29" s="1" customFormat="1" ht="15" customHeight="1">
      <c r="A4" s="14"/>
      <c r="B4" s="1" t="s">
        <v>19</v>
      </c>
      <c r="C4" s="133" t="s">
        <v>25</v>
      </c>
      <c r="D4" s="5" t="s">
        <v>25</v>
      </c>
      <c r="E4" s="15"/>
      <c r="F4" s="16"/>
      <c r="G4" s="17"/>
      <c r="H4" s="17"/>
      <c r="I4" s="17"/>
      <c r="J4" s="16"/>
      <c r="K4" s="15"/>
      <c r="L4" s="16"/>
      <c r="M4" s="17"/>
      <c r="N4" s="17"/>
      <c r="O4" s="17"/>
      <c r="P4" s="17"/>
      <c r="Q4" s="16"/>
      <c r="S4" s="121"/>
      <c r="T4" s="121"/>
      <c r="U4" s="4"/>
      <c r="W4" s="120"/>
      <c r="X4" s="197" t="s">
        <v>1364</v>
      </c>
      <c r="Y4" s="11">
        <v>2000</v>
      </c>
      <c r="Z4" s="197" t="s">
        <v>1322</v>
      </c>
      <c r="AA4" s="135">
        <v>3.472222222222222E-3</v>
      </c>
      <c r="AB4" s="153" t="s">
        <v>582</v>
      </c>
      <c r="AC4" s="202"/>
    </row>
    <row r="5" spans="1:29" ht="15" customHeight="1">
      <c r="B5" s="1" t="s">
        <v>18</v>
      </c>
      <c r="C5" s="133">
        <v>3.2407407407407406E-3</v>
      </c>
      <c r="D5" s="5">
        <v>1</v>
      </c>
      <c r="E5" s="18">
        <v>5000</v>
      </c>
      <c r="F5" s="19">
        <v>150</v>
      </c>
      <c r="G5" s="7">
        <v>1800</v>
      </c>
      <c r="H5" s="7">
        <v>1800</v>
      </c>
      <c r="I5" s="7">
        <v>720</v>
      </c>
      <c r="J5" s="19">
        <v>900</v>
      </c>
      <c r="K5" s="18">
        <v>2575</v>
      </c>
      <c r="L5" s="19">
        <v>30</v>
      </c>
      <c r="M5" s="7">
        <v>4600</v>
      </c>
      <c r="N5" s="7">
        <v>4600</v>
      </c>
      <c r="O5" s="7">
        <v>1800</v>
      </c>
      <c r="P5" s="7">
        <v>2300</v>
      </c>
      <c r="Q5" s="19">
        <v>400</v>
      </c>
      <c r="R5" s="203" t="s">
        <v>560</v>
      </c>
      <c r="X5" s="171" t="s">
        <v>1363</v>
      </c>
      <c r="Y5" s="11">
        <v>5000</v>
      </c>
      <c r="Z5" s="171" t="s">
        <v>1322</v>
      </c>
      <c r="AA5" s="135">
        <v>4.1666666666666666E-3</v>
      </c>
      <c r="AB5" s="155"/>
      <c r="AC5" s="5"/>
    </row>
    <row r="6" spans="1:29" ht="15" customHeight="1">
      <c r="B6" s="43" t="s">
        <v>128</v>
      </c>
      <c r="C6" s="133">
        <v>1.3888888888888888E-2</v>
      </c>
      <c r="D6" s="5">
        <v>130</v>
      </c>
      <c r="E6" s="18">
        <v>10000</v>
      </c>
      <c r="F6" s="19">
        <v>150</v>
      </c>
      <c r="G6" s="7">
        <v>3240</v>
      </c>
      <c r="H6" s="7">
        <v>3240</v>
      </c>
      <c r="I6" s="7">
        <v>1296</v>
      </c>
      <c r="J6" s="19">
        <v>1620</v>
      </c>
      <c r="K6" s="18">
        <v>2600</v>
      </c>
      <c r="L6" s="19">
        <v>60</v>
      </c>
      <c r="M6" s="7">
        <v>5400</v>
      </c>
      <c r="N6" s="7">
        <v>5400</v>
      </c>
      <c r="O6" s="7">
        <v>2200</v>
      </c>
      <c r="P6" s="7">
        <v>2800</v>
      </c>
      <c r="Q6" s="19">
        <v>550</v>
      </c>
      <c r="R6" s="203" t="s">
        <v>561</v>
      </c>
      <c r="U6" s="42"/>
      <c r="X6" s="171" t="s">
        <v>1363</v>
      </c>
      <c r="Y6" s="11">
        <v>10000</v>
      </c>
      <c r="Z6" s="171" t="s">
        <v>1322</v>
      </c>
      <c r="AA6" s="135">
        <v>4.8611111111111103E-3</v>
      </c>
      <c r="AB6" s="155"/>
      <c r="AC6" s="5"/>
    </row>
    <row r="7" spans="1:29" ht="15" customHeight="1">
      <c r="B7" s="43" t="s">
        <v>130</v>
      </c>
      <c r="C7" s="133">
        <v>2.7777777777777776E-2</v>
      </c>
      <c r="D7" s="5">
        <v>130</v>
      </c>
      <c r="E7" s="11">
        <v>10000</v>
      </c>
      <c r="F7" s="5">
        <v>250</v>
      </c>
      <c r="G7" s="2">
        <v>5832</v>
      </c>
      <c r="H7" s="2">
        <v>5832</v>
      </c>
      <c r="I7" s="2">
        <v>2333</v>
      </c>
      <c r="J7" s="5">
        <v>2916</v>
      </c>
      <c r="K7" s="11">
        <v>2650</v>
      </c>
      <c r="L7" s="5">
        <v>110</v>
      </c>
      <c r="M7" s="2">
        <v>7400</v>
      </c>
      <c r="N7" s="2">
        <v>7400</v>
      </c>
      <c r="O7" s="2">
        <v>2900</v>
      </c>
      <c r="P7" s="2">
        <v>3700</v>
      </c>
      <c r="Q7" s="5">
        <v>700</v>
      </c>
      <c r="R7" s="203" t="s">
        <v>562</v>
      </c>
      <c r="U7" s="42"/>
      <c r="X7" s="171" t="s">
        <v>1363</v>
      </c>
      <c r="Y7" s="11">
        <v>15000</v>
      </c>
      <c r="Z7" s="171" t="s">
        <v>1322</v>
      </c>
      <c r="AA7" s="135">
        <v>5.5555555555555497E-3</v>
      </c>
      <c r="AB7" s="155"/>
      <c r="AC7" s="5"/>
    </row>
    <row r="8" spans="1:29" ht="15" customHeight="1">
      <c r="B8" s="203" t="s">
        <v>544</v>
      </c>
      <c r="C8" s="133">
        <v>5.5555555555555552E-2</v>
      </c>
      <c r="D8" s="5">
        <v>300</v>
      </c>
      <c r="E8" s="11">
        <v>10000</v>
      </c>
      <c r="F8" s="5">
        <v>350</v>
      </c>
      <c r="G8" s="2">
        <v>10498</v>
      </c>
      <c r="H8" s="2">
        <v>10498</v>
      </c>
      <c r="I8" s="2">
        <v>4200</v>
      </c>
      <c r="J8" s="5">
        <v>5249</v>
      </c>
      <c r="K8" s="11">
        <v>10175</v>
      </c>
      <c r="L8" s="5">
        <v>180</v>
      </c>
      <c r="M8" s="2">
        <v>10600</v>
      </c>
      <c r="N8" s="2">
        <v>10600</v>
      </c>
      <c r="O8" s="2">
        <v>4300</v>
      </c>
      <c r="P8" s="2">
        <v>5300</v>
      </c>
      <c r="Q8" s="5">
        <v>1050</v>
      </c>
      <c r="R8" s="203" t="s">
        <v>563</v>
      </c>
      <c r="S8" s="203"/>
      <c r="T8" s="203"/>
      <c r="U8" s="202"/>
      <c r="X8" s="171" t="s">
        <v>1363</v>
      </c>
      <c r="Y8" s="11">
        <v>20000</v>
      </c>
      <c r="Z8" s="171" t="s">
        <v>1322</v>
      </c>
      <c r="AA8" s="135">
        <v>6.2500000000000003E-3</v>
      </c>
      <c r="AB8" s="155" t="s">
        <v>583</v>
      </c>
      <c r="AC8" s="5"/>
    </row>
    <row r="9" spans="1:29" ht="15" customHeight="1">
      <c r="B9" s="203" t="s">
        <v>523</v>
      </c>
      <c r="C9" s="133">
        <v>0.1111111111111111</v>
      </c>
      <c r="D9" s="5">
        <v>300</v>
      </c>
      <c r="E9" s="11">
        <v>10000</v>
      </c>
      <c r="F9" s="5">
        <v>550</v>
      </c>
      <c r="G9" s="2">
        <v>20996</v>
      </c>
      <c r="H9" s="2">
        <v>20996</v>
      </c>
      <c r="I9" s="2">
        <v>8400</v>
      </c>
      <c r="J9" s="5">
        <v>10498</v>
      </c>
      <c r="K9" s="11">
        <v>20000</v>
      </c>
      <c r="L9" s="5">
        <v>275</v>
      </c>
      <c r="M9" s="2">
        <v>6998</v>
      </c>
      <c r="N9" s="2">
        <v>6998</v>
      </c>
      <c r="O9" s="2">
        <v>2800</v>
      </c>
      <c r="P9" s="2">
        <v>3499</v>
      </c>
      <c r="Q9" s="5">
        <v>430</v>
      </c>
      <c r="R9" s="203" t="s">
        <v>564</v>
      </c>
      <c r="S9" s="203" t="s">
        <v>613</v>
      </c>
      <c r="T9" s="203"/>
      <c r="U9" s="202"/>
      <c r="X9" s="171" t="s">
        <v>1363</v>
      </c>
      <c r="Y9" s="11">
        <v>25000</v>
      </c>
      <c r="Z9" s="171" t="s">
        <v>1322</v>
      </c>
      <c r="AA9" s="135">
        <v>6.9444444444444397E-3</v>
      </c>
      <c r="AB9" s="155" t="s">
        <v>584</v>
      </c>
      <c r="AC9" s="5">
        <v>1</v>
      </c>
    </row>
    <row r="10" spans="1:29" ht="15" customHeight="1">
      <c r="B10" s="203" t="s">
        <v>545</v>
      </c>
      <c r="C10" s="133">
        <v>0.22222222222222221</v>
      </c>
      <c r="D10" s="5">
        <v>650</v>
      </c>
      <c r="E10" s="11">
        <v>10000</v>
      </c>
      <c r="F10" s="5">
        <v>850</v>
      </c>
      <c r="G10" s="2">
        <v>41992</v>
      </c>
      <c r="H10" s="2">
        <v>41992</v>
      </c>
      <c r="I10" s="2">
        <v>16800</v>
      </c>
      <c r="J10" s="5">
        <v>20996</v>
      </c>
      <c r="K10" s="11">
        <v>30000</v>
      </c>
      <c r="L10" s="5">
        <v>450</v>
      </c>
      <c r="M10" s="2">
        <v>29900</v>
      </c>
      <c r="N10" s="2">
        <v>29900</v>
      </c>
      <c r="O10" s="2">
        <v>12000</v>
      </c>
      <c r="P10" s="2">
        <v>14900</v>
      </c>
      <c r="Q10" s="5">
        <v>650</v>
      </c>
      <c r="R10" s="253" t="s">
        <v>665</v>
      </c>
      <c r="S10" s="253" t="s">
        <v>666</v>
      </c>
      <c r="T10" s="203"/>
      <c r="U10" s="202"/>
      <c r="X10" s="171" t="s">
        <v>1363</v>
      </c>
      <c r="Y10" s="11">
        <v>30000</v>
      </c>
      <c r="Z10" s="171" t="s">
        <v>1322</v>
      </c>
      <c r="AA10" s="135">
        <v>7.6388888888888904E-3</v>
      </c>
      <c r="AB10" s="155"/>
      <c r="AC10" s="5"/>
    </row>
    <row r="11" spans="1:29" ht="15" customHeight="1">
      <c r="B11" s="203" t="s">
        <v>546</v>
      </c>
      <c r="C11" s="133">
        <v>0.44444444444444442</v>
      </c>
      <c r="D11" s="5">
        <v>650</v>
      </c>
      <c r="E11" s="11">
        <v>10000</v>
      </c>
      <c r="F11" s="5">
        <v>1250</v>
      </c>
      <c r="G11" s="2">
        <v>83984</v>
      </c>
      <c r="H11" s="2">
        <v>83984</v>
      </c>
      <c r="I11" s="2">
        <v>33600</v>
      </c>
      <c r="J11" s="5">
        <v>41992</v>
      </c>
      <c r="K11" s="11">
        <v>40000</v>
      </c>
      <c r="L11" s="5">
        <v>700</v>
      </c>
      <c r="M11" s="2">
        <v>52400</v>
      </c>
      <c r="N11" s="2">
        <v>52400</v>
      </c>
      <c r="O11" s="2">
        <v>21000</v>
      </c>
      <c r="P11" s="2">
        <v>26200</v>
      </c>
      <c r="Q11" s="5">
        <v>900</v>
      </c>
      <c r="R11" s="316" t="s">
        <v>566</v>
      </c>
      <c r="S11" s="281" t="s">
        <v>844</v>
      </c>
      <c r="T11" s="203"/>
      <c r="U11" s="202"/>
      <c r="X11" s="171" t="s">
        <v>1363</v>
      </c>
      <c r="Y11" s="11">
        <v>35000</v>
      </c>
      <c r="Z11" s="171" t="s">
        <v>1322</v>
      </c>
      <c r="AA11" s="135">
        <v>8.3333333333333297E-3</v>
      </c>
      <c r="AB11" s="155"/>
      <c r="AC11" s="5"/>
    </row>
    <row r="12" spans="1:29" ht="15" customHeight="1">
      <c r="B12" s="203" t="s">
        <v>547</v>
      </c>
      <c r="C12" s="133">
        <v>0.88888888888888884</v>
      </c>
      <c r="D12" s="5">
        <v>1000</v>
      </c>
      <c r="E12" s="11">
        <v>10000</v>
      </c>
      <c r="F12" s="5">
        <v>1900</v>
      </c>
      <c r="G12" s="2">
        <v>167968</v>
      </c>
      <c r="H12" s="2">
        <f>H11*2</f>
        <v>167968</v>
      </c>
      <c r="I12" s="2">
        <f>I11*2</f>
        <v>67200</v>
      </c>
      <c r="J12" s="5">
        <f>J11*2</f>
        <v>83984</v>
      </c>
      <c r="K12" s="11">
        <v>70000</v>
      </c>
      <c r="L12" s="5">
        <v>1075</v>
      </c>
      <c r="M12" s="2">
        <v>93300</v>
      </c>
      <c r="N12" s="2">
        <v>93300</v>
      </c>
      <c r="O12" s="2">
        <v>37300</v>
      </c>
      <c r="P12" s="2">
        <v>46600</v>
      </c>
      <c r="Q12" s="5">
        <v>1100</v>
      </c>
      <c r="R12" s="316" t="s">
        <v>567</v>
      </c>
      <c r="S12" s="376" t="s">
        <v>1023</v>
      </c>
      <c r="T12" s="203"/>
      <c r="U12" s="202"/>
      <c r="X12" s="171" t="s">
        <v>1363</v>
      </c>
      <c r="Y12" s="11">
        <v>40000</v>
      </c>
      <c r="Z12" s="171" t="s">
        <v>1322</v>
      </c>
      <c r="AA12" s="135">
        <v>9.0277777777777804E-3</v>
      </c>
      <c r="AB12" s="155"/>
      <c r="AC12" s="5"/>
    </row>
    <row r="13" spans="1:29" ht="15" customHeight="1">
      <c r="B13" s="203" t="s">
        <v>548</v>
      </c>
      <c r="C13" s="133">
        <v>1.7777777777777777</v>
      </c>
      <c r="D13" s="5">
        <v>4400</v>
      </c>
      <c r="E13" s="11">
        <v>10000</v>
      </c>
      <c r="F13" s="5">
        <v>2850</v>
      </c>
      <c r="G13" s="2">
        <v>251952</v>
      </c>
      <c r="H13" s="2">
        <v>251952</v>
      </c>
      <c r="I13" s="2">
        <v>100800</v>
      </c>
      <c r="J13" s="5">
        <v>125976</v>
      </c>
      <c r="K13" s="11">
        <v>90000</v>
      </c>
      <c r="L13" s="5">
        <v>1650</v>
      </c>
      <c r="M13" s="2">
        <v>50390</v>
      </c>
      <c r="N13" s="2">
        <v>50390</v>
      </c>
      <c r="O13" s="2">
        <v>20160</v>
      </c>
      <c r="P13" s="2">
        <v>25195</v>
      </c>
      <c r="Q13" s="5">
        <v>840</v>
      </c>
      <c r="R13" s="316" t="s">
        <v>568</v>
      </c>
      <c r="S13" s="404" t="s">
        <v>1141</v>
      </c>
      <c r="T13" s="203"/>
      <c r="U13" s="202"/>
      <c r="X13" s="171" t="s">
        <v>1363</v>
      </c>
      <c r="Y13" s="11">
        <v>45000</v>
      </c>
      <c r="Z13" s="171" t="s">
        <v>1322</v>
      </c>
      <c r="AA13" s="135">
        <v>9.7222222222222206E-3</v>
      </c>
      <c r="AB13" s="155" t="s">
        <v>1140</v>
      </c>
      <c r="AC13" s="5"/>
    </row>
    <row r="14" spans="1:29" ht="15" customHeight="1">
      <c r="B14" s="203" t="s">
        <v>549</v>
      </c>
      <c r="C14" s="133">
        <v>2.1333333333333333</v>
      </c>
      <c r="D14" s="5">
        <v>4400</v>
      </c>
      <c r="E14" s="11">
        <v>10000</v>
      </c>
      <c r="F14" s="5">
        <v>4300</v>
      </c>
      <c r="G14" s="2">
        <v>377928</v>
      </c>
      <c r="H14" s="2">
        <v>377928</v>
      </c>
      <c r="I14" s="2">
        <v>151200</v>
      </c>
      <c r="J14" s="5">
        <v>188964</v>
      </c>
      <c r="K14" s="11">
        <v>150000</v>
      </c>
      <c r="L14" s="5">
        <v>2500</v>
      </c>
      <c r="M14" s="2">
        <v>68714</v>
      </c>
      <c r="N14" s="2">
        <v>68714</v>
      </c>
      <c r="O14" s="2">
        <v>27490</v>
      </c>
      <c r="P14" s="2">
        <v>34357</v>
      </c>
      <c r="Q14" s="5">
        <v>600</v>
      </c>
      <c r="R14" s="316" t="s">
        <v>569</v>
      </c>
      <c r="S14" s="472" t="s">
        <v>1185</v>
      </c>
      <c r="T14" s="203"/>
      <c r="U14" s="202"/>
      <c r="X14" s="171" t="s">
        <v>1363</v>
      </c>
      <c r="Y14" s="11">
        <v>50000</v>
      </c>
      <c r="Z14" s="171" t="s">
        <v>1322</v>
      </c>
      <c r="AA14" s="135">
        <v>1.0416666666666701E-2</v>
      </c>
      <c r="AB14" s="155" t="s">
        <v>584</v>
      </c>
      <c r="AC14" s="5">
        <v>1</v>
      </c>
    </row>
    <row r="15" spans="1:29" ht="15" customHeight="1">
      <c r="B15" s="203" t="s">
        <v>550</v>
      </c>
      <c r="R15" s="316" t="s">
        <v>570</v>
      </c>
      <c r="S15" s="203"/>
      <c r="T15" s="203"/>
      <c r="U15" s="202"/>
      <c r="X15" s="171" t="s">
        <v>1363</v>
      </c>
      <c r="Y15" s="11">
        <v>60000</v>
      </c>
      <c r="Z15" s="171" t="s">
        <v>1322</v>
      </c>
      <c r="AA15" s="135">
        <v>1.1111111111111099E-2</v>
      </c>
      <c r="AB15" s="155"/>
      <c r="AC15" s="5"/>
    </row>
    <row r="16" spans="1:29" ht="15" customHeight="1">
      <c r="B16" s="203" t="s">
        <v>551</v>
      </c>
      <c r="R16" s="316" t="s">
        <v>571</v>
      </c>
      <c r="S16" s="203"/>
      <c r="T16" s="203"/>
      <c r="U16" s="202"/>
      <c r="X16" s="171" t="s">
        <v>1363</v>
      </c>
      <c r="Y16" s="11">
        <v>70000</v>
      </c>
      <c r="Z16" s="171" t="s">
        <v>1322</v>
      </c>
      <c r="AA16" s="135">
        <v>1.18055555555556E-2</v>
      </c>
      <c r="AB16" s="155"/>
      <c r="AC16" s="5"/>
    </row>
    <row r="17" spans="2:29" ht="15" customHeight="1">
      <c r="B17" s="203" t="s">
        <v>552</v>
      </c>
      <c r="R17" s="316" t="s">
        <v>572</v>
      </c>
      <c r="S17" s="203"/>
      <c r="T17" s="203"/>
      <c r="U17" s="202"/>
      <c r="X17" s="171" t="s">
        <v>1363</v>
      </c>
      <c r="Y17" s="11">
        <v>80000</v>
      </c>
      <c r="Z17" s="171" t="s">
        <v>1322</v>
      </c>
      <c r="AA17" s="135">
        <v>1.2500000000000001E-2</v>
      </c>
      <c r="AB17" s="155"/>
      <c r="AC17" s="5"/>
    </row>
    <row r="18" spans="2:29" ht="15" customHeight="1">
      <c r="B18" s="203" t="s">
        <v>553</v>
      </c>
      <c r="R18" s="316" t="s">
        <v>573</v>
      </c>
      <c r="S18" s="203"/>
      <c r="T18" s="203"/>
      <c r="U18" s="202"/>
      <c r="X18" s="171" t="s">
        <v>1363</v>
      </c>
      <c r="Y18" s="11">
        <v>90000</v>
      </c>
      <c r="Z18" s="171" t="s">
        <v>1322</v>
      </c>
      <c r="AA18" s="135">
        <v>1.3194444444444399E-2</v>
      </c>
      <c r="AB18" s="155" t="s">
        <v>585</v>
      </c>
      <c r="AC18" s="5"/>
    </row>
    <row r="19" spans="2:29" ht="15" customHeight="1">
      <c r="B19" s="203" t="s">
        <v>554</v>
      </c>
      <c r="R19" s="316" t="s">
        <v>574</v>
      </c>
      <c r="S19" s="203"/>
      <c r="T19" s="203"/>
      <c r="U19" s="202"/>
      <c r="X19" s="171" t="s">
        <v>1363</v>
      </c>
      <c r="Y19" s="11">
        <v>100000</v>
      </c>
      <c r="Z19" s="171" t="s">
        <v>1322</v>
      </c>
      <c r="AA19" s="135">
        <v>1.38888888888889E-2</v>
      </c>
      <c r="AB19" s="155" t="s">
        <v>584</v>
      </c>
      <c r="AC19" s="5">
        <v>1</v>
      </c>
    </row>
    <row r="20" spans="2:29" ht="15" customHeight="1">
      <c r="B20" s="200" t="s">
        <v>555</v>
      </c>
      <c r="C20" s="140"/>
      <c r="G20" s="11"/>
      <c r="H20" s="11"/>
      <c r="I20" s="11"/>
      <c r="M20" s="11"/>
      <c r="N20" s="11"/>
      <c r="O20" s="11"/>
      <c r="P20" s="11"/>
      <c r="R20" s="316" t="s">
        <v>575</v>
      </c>
      <c r="S20" s="200"/>
      <c r="T20" s="200"/>
      <c r="U20" s="202"/>
      <c r="V20" s="11"/>
      <c r="X20" s="171" t="s">
        <v>1363</v>
      </c>
      <c r="Y20" s="11">
        <v>125000</v>
      </c>
      <c r="Z20" s="171" t="s">
        <v>1322</v>
      </c>
      <c r="AA20" s="135">
        <v>1.4583333333333301E-2</v>
      </c>
      <c r="AB20" s="155"/>
      <c r="AC20" s="5"/>
    </row>
    <row r="21" spans="2:29" ht="15" customHeight="1">
      <c r="B21" s="200" t="s">
        <v>556</v>
      </c>
      <c r="C21" s="140"/>
      <c r="G21" s="11"/>
      <c r="H21" s="11"/>
      <c r="I21" s="11"/>
      <c r="M21" s="11"/>
      <c r="N21" s="11"/>
      <c r="O21" s="11"/>
      <c r="P21" s="11"/>
      <c r="R21" s="316" t="s">
        <v>576</v>
      </c>
      <c r="S21" s="200"/>
      <c r="T21" s="200"/>
      <c r="U21" s="202"/>
      <c r="V21" s="11"/>
      <c r="X21" s="171" t="s">
        <v>1363</v>
      </c>
      <c r="Y21" s="11">
        <v>150000</v>
      </c>
      <c r="Z21" s="171" t="s">
        <v>1322</v>
      </c>
      <c r="AA21" s="135">
        <v>1.52777777777778E-2</v>
      </c>
      <c r="AB21" s="155"/>
      <c r="AC21" s="5"/>
    </row>
    <row r="22" spans="2:29" ht="15" customHeight="1">
      <c r="B22" s="200" t="s">
        <v>557</v>
      </c>
      <c r="C22" s="140"/>
      <c r="G22" s="11"/>
      <c r="H22" s="11"/>
      <c r="I22" s="11"/>
      <c r="M22" s="11"/>
      <c r="N22" s="11"/>
      <c r="O22" s="11"/>
      <c r="P22" s="11"/>
      <c r="R22" s="316" t="s">
        <v>577</v>
      </c>
      <c r="S22" s="200"/>
      <c r="T22" s="200"/>
      <c r="U22" s="202"/>
      <c r="V22" s="11"/>
      <c r="X22" s="171" t="s">
        <v>1363</v>
      </c>
      <c r="Y22" s="11">
        <v>175000</v>
      </c>
      <c r="Z22" s="171" t="s">
        <v>1322</v>
      </c>
      <c r="AA22" s="135">
        <v>1.59722222222222E-2</v>
      </c>
      <c r="AB22" s="155"/>
      <c r="AC22" s="5"/>
    </row>
    <row r="23" spans="2:29" ht="15" customHeight="1">
      <c r="B23" s="200" t="s">
        <v>558</v>
      </c>
      <c r="C23" s="140"/>
      <c r="G23" s="11"/>
      <c r="H23" s="11"/>
      <c r="I23" s="11"/>
      <c r="M23" s="11"/>
      <c r="N23" s="11"/>
      <c r="O23" s="11"/>
      <c r="P23" s="11"/>
      <c r="R23" s="316" t="s">
        <v>578</v>
      </c>
      <c r="S23" s="200"/>
      <c r="T23" s="200"/>
      <c r="U23" s="202"/>
      <c r="V23" s="11"/>
      <c r="X23" s="171" t="s">
        <v>1363</v>
      </c>
      <c r="Y23" s="11">
        <v>200000</v>
      </c>
      <c r="Z23" s="171" t="s">
        <v>1322</v>
      </c>
      <c r="AA23" s="135">
        <v>1.6666666666666601E-2</v>
      </c>
      <c r="AB23" s="155"/>
      <c r="AC23" s="5"/>
    </row>
    <row r="24" spans="2:29" ht="15" customHeight="1">
      <c r="B24" s="34" t="s">
        <v>559</v>
      </c>
      <c r="C24" s="480"/>
      <c r="D24" s="24"/>
      <c r="E24" s="25"/>
      <c r="F24" s="26"/>
      <c r="G24" s="25"/>
      <c r="H24" s="25"/>
      <c r="I24" s="25"/>
      <c r="J24" s="26"/>
      <c r="K24" s="25"/>
      <c r="L24" s="26"/>
      <c r="M24" s="25"/>
      <c r="N24" s="25"/>
      <c r="O24" s="25"/>
      <c r="P24" s="25"/>
      <c r="Q24" s="26"/>
      <c r="R24" s="196" t="s">
        <v>579</v>
      </c>
      <c r="S24" s="34"/>
      <c r="T24" s="34"/>
      <c r="U24" s="89"/>
      <c r="V24" s="27"/>
      <c r="W24" s="24"/>
      <c r="X24" s="172" t="s">
        <v>1363</v>
      </c>
      <c r="Y24" s="27">
        <v>250000</v>
      </c>
      <c r="Z24" s="172" t="s">
        <v>1322</v>
      </c>
      <c r="AA24" s="427">
        <v>1.7361111111111101E-2</v>
      </c>
      <c r="AB24" s="172" t="s">
        <v>584</v>
      </c>
      <c r="AC24" s="24">
        <v>1</v>
      </c>
    </row>
    <row r="25" spans="2:29" ht="15" customHeight="1">
      <c r="B25" s="203" t="s">
        <v>560</v>
      </c>
      <c r="C25" s="133" t="s">
        <v>25</v>
      </c>
      <c r="D25" s="5" t="s">
        <v>25</v>
      </c>
      <c r="E25" s="90" t="s">
        <v>25</v>
      </c>
      <c r="F25" s="19">
        <v>0</v>
      </c>
      <c r="G25" s="7"/>
      <c r="H25" s="7"/>
      <c r="I25" s="7"/>
      <c r="J25" s="19"/>
      <c r="K25" s="18"/>
      <c r="L25" s="19"/>
      <c r="M25" s="7"/>
      <c r="N25" s="7"/>
      <c r="O25" s="7"/>
      <c r="P25" s="7"/>
      <c r="Q25" s="19"/>
      <c r="X25" s="197" t="s">
        <v>1366</v>
      </c>
      <c r="Y25" s="5">
        <v>1500</v>
      </c>
    </row>
    <row r="26" spans="2:29" ht="15" customHeight="1">
      <c r="B26" s="203" t="s">
        <v>561</v>
      </c>
      <c r="C26" s="133">
        <v>2.4305555555555556E-3</v>
      </c>
      <c r="D26" s="5">
        <v>1</v>
      </c>
      <c r="E26" s="18">
        <v>5000</v>
      </c>
      <c r="F26" s="19">
        <v>90</v>
      </c>
      <c r="G26" s="7">
        <v>1800</v>
      </c>
      <c r="H26" s="7">
        <v>1440</v>
      </c>
      <c r="I26" s="7">
        <v>540</v>
      </c>
      <c r="J26" s="19">
        <v>900</v>
      </c>
      <c r="K26" s="18">
        <v>2575</v>
      </c>
      <c r="L26" s="19">
        <v>17</v>
      </c>
      <c r="M26" s="7">
        <v>4600</v>
      </c>
      <c r="N26" s="7">
        <v>3600</v>
      </c>
      <c r="O26" s="7">
        <v>1400</v>
      </c>
      <c r="P26" s="7">
        <v>2300</v>
      </c>
      <c r="Q26" s="19">
        <v>350</v>
      </c>
      <c r="R26" s="43"/>
      <c r="U26" s="42"/>
      <c r="X26" s="171" t="s">
        <v>1365</v>
      </c>
      <c r="Y26" s="5">
        <v>2500</v>
      </c>
    </row>
    <row r="27" spans="2:29" ht="15" customHeight="1">
      <c r="B27" s="203" t="s">
        <v>562</v>
      </c>
      <c r="C27" s="133">
        <v>4.8611111111111112E-3</v>
      </c>
      <c r="D27" s="5">
        <v>70</v>
      </c>
      <c r="E27" s="18">
        <v>5000</v>
      </c>
      <c r="F27" s="19">
        <v>100</v>
      </c>
      <c r="G27" s="7">
        <v>3240</v>
      </c>
      <c r="H27" s="7">
        <v>2592</v>
      </c>
      <c r="I27" s="7">
        <v>972</v>
      </c>
      <c r="J27" s="19">
        <v>1620</v>
      </c>
      <c r="K27" s="18">
        <v>2600</v>
      </c>
      <c r="L27" s="19">
        <v>35</v>
      </c>
      <c r="M27" s="7">
        <v>5400</v>
      </c>
      <c r="N27" s="7">
        <v>4400</v>
      </c>
      <c r="O27" s="7">
        <v>1600</v>
      </c>
      <c r="P27" s="7">
        <v>2800</v>
      </c>
      <c r="Q27" s="19">
        <v>450</v>
      </c>
      <c r="R27" s="43"/>
      <c r="U27" s="42"/>
      <c r="X27" s="171" t="s">
        <v>1365</v>
      </c>
      <c r="Y27" s="5">
        <v>5000</v>
      </c>
    </row>
    <row r="28" spans="2:29" ht="15" customHeight="1">
      <c r="B28" s="203" t="s">
        <v>563</v>
      </c>
      <c r="C28" s="133">
        <v>9.7222222222222224E-3</v>
      </c>
      <c r="D28" s="5">
        <v>70</v>
      </c>
      <c r="E28" s="18">
        <v>5000</v>
      </c>
      <c r="F28" s="19">
        <v>150</v>
      </c>
      <c r="G28" s="7">
        <v>5832</v>
      </c>
      <c r="H28" s="7">
        <v>4666</v>
      </c>
      <c r="I28" s="7">
        <v>1750</v>
      </c>
      <c r="J28" s="19">
        <v>2916</v>
      </c>
      <c r="K28" s="18">
        <v>2650</v>
      </c>
      <c r="L28" s="19">
        <v>65</v>
      </c>
      <c r="M28" s="7">
        <v>7400</v>
      </c>
      <c r="N28" s="7">
        <v>5800</v>
      </c>
      <c r="O28" s="7">
        <v>2200</v>
      </c>
      <c r="P28" s="7">
        <v>3700</v>
      </c>
      <c r="Q28" s="19">
        <v>550</v>
      </c>
      <c r="R28" s="203" t="s">
        <v>542</v>
      </c>
      <c r="S28" s="203"/>
      <c r="T28" s="203"/>
      <c r="U28" s="202"/>
      <c r="X28" s="171" t="s">
        <v>1365</v>
      </c>
      <c r="Y28" s="5">
        <v>7500</v>
      </c>
    </row>
    <row r="29" spans="2:29" ht="15" customHeight="1">
      <c r="B29" s="203" t="s">
        <v>564</v>
      </c>
      <c r="C29" s="133">
        <v>1.9444444444444445E-2</v>
      </c>
      <c r="D29" s="5">
        <v>130</v>
      </c>
      <c r="E29" s="18">
        <v>5000</v>
      </c>
      <c r="F29" s="19">
        <v>210</v>
      </c>
      <c r="G29" s="7">
        <v>10498</v>
      </c>
      <c r="H29" s="7">
        <v>8399</v>
      </c>
      <c r="I29" s="7">
        <v>3150</v>
      </c>
      <c r="J29" s="19">
        <v>5249</v>
      </c>
      <c r="K29" s="18">
        <v>10175</v>
      </c>
      <c r="L29" s="19">
        <v>107</v>
      </c>
      <c r="M29" s="7">
        <v>10600</v>
      </c>
      <c r="N29" s="7">
        <v>8500</v>
      </c>
      <c r="O29" s="7">
        <v>3200</v>
      </c>
      <c r="P29" s="7">
        <v>5300</v>
      </c>
      <c r="Q29" s="19">
        <v>900</v>
      </c>
      <c r="R29" s="203" t="s">
        <v>389</v>
      </c>
      <c r="S29" s="203"/>
      <c r="T29" s="203"/>
      <c r="U29" s="202"/>
      <c r="X29" s="171" t="s">
        <v>1365</v>
      </c>
      <c r="Y29" s="5">
        <v>10000</v>
      </c>
    </row>
    <row r="30" spans="2:29" ht="15" customHeight="1">
      <c r="B30" s="203" t="s">
        <v>565</v>
      </c>
      <c r="C30" s="133">
        <v>3.888888888888889E-2</v>
      </c>
      <c r="D30" s="5">
        <v>130</v>
      </c>
      <c r="E30" s="18">
        <v>5000</v>
      </c>
      <c r="F30" s="19">
        <v>330</v>
      </c>
      <c r="G30" s="7">
        <v>20996</v>
      </c>
      <c r="H30" s="7">
        <v>16798</v>
      </c>
      <c r="I30" s="7">
        <v>6300</v>
      </c>
      <c r="J30" s="19">
        <v>10498</v>
      </c>
      <c r="K30" s="18">
        <v>20000</v>
      </c>
      <c r="L30" s="19">
        <v>172</v>
      </c>
      <c r="M30" s="7">
        <v>17400</v>
      </c>
      <c r="N30" s="7">
        <v>13900</v>
      </c>
      <c r="O30" s="7">
        <v>5200</v>
      </c>
      <c r="P30" s="7">
        <v>8700</v>
      </c>
      <c r="Q30" s="19">
        <v>750</v>
      </c>
      <c r="R30" s="218" t="s">
        <v>390</v>
      </c>
      <c r="S30" s="203"/>
      <c r="T30" s="203"/>
      <c r="U30" s="202"/>
      <c r="X30" s="171" t="s">
        <v>1365</v>
      </c>
      <c r="Y30" s="5">
        <v>12500</v>
      </c>
    </row>
    <row r="31" spans="2:29" ht="15" customHeight="1">
      <c r="B31" s="203" t="s">
        <v>566</v>
      </c>
      <c r="C31" s="133">
        <v>7.7777777777777779E-2</v>
      </c>
      <c r="D31" s="5">
        <v>300</v>
      </c>
      <c r="E31" s="18">
        <v>5000</v>
      </c>
      <c r="F31" s="19">
        <v>510</v>
      </c>
      <c r="G31" s="7">
        <v>41992</v>
      </c>
      <c r="H31" s="7">
        <v>33596</v>
      </c>
      <c r="I31" s="7">
        <v>12600</v>
      </c>
      <c r="J31" s="19">
        <v>20996</v>
      </c>
      <c r="K31" s="18">
        <v>20000</v>
      </c>
      <c r="L31" s="19">
        <v>275</v>
      </c>
      <c r="M31" s="7">
        <v>29900</v>
      </c>
      <c r="N31" s="7">
        <v>23900</v>
      </c>
      <c r="O31" s="7">
        <v>9000</v>
      </c>
      <c r="P31" s="7">
        <v>14900</v>
      </c>
      <c r="Q31" s="19">
        <v>550</v>
      </c>
      <c r="R31" s="273" t="s">
        <v>668</v>
      </c>
      <c r="S31" s="203"/>
      <c r="T31" s="203"/>
      <c r="U31" s="202"/>
      <c r="X31" s="171" t="s">
        <v>1365</v>
      </c>
      <c r="Y31" s="5">
        <v>15000</v>
      </c>
    </row>
    <row r="32" spans="2:29" ht="15" customHeight="1">
      <c r="B32" s="203" t="s">
        <v>567</v>
      </c>
      <c r="C32" s="133">
        <v>0.15555555555555556</v>
      </c>
      <c r="D32" s="5">
        <v>300</v>
      </c>
      <c r="E32" s="18">
        <v>5000</v>
      </c>
      <c r="F32" s="19">
        <v>750</v>
      </c>
      <c r="G32" s="7">
        <v>83984</v>
      </c>
      <c r="H32" s="7">
        <v>67192</v>
      </c>
      <c r="I32" s="7">
        <v>25200</v>
      </c>
      <c r="J32" s="19">
        <v>41992</v>
      </c>
      <c r="K32" s="18">
        <v>30000</v>
      </c>
      <c r="L32" s="19">
        <v>425</v>
      </c>
      <c r="M32" s="7">
        <v>52400</v>
      </c>
      <c r="N32" s="7">
        <v>41900</v>
      </c>
      <c r="O32" s="7">
        <v>15700</v>
      </c>
      <c r="P32" s="7">
        <v>26200</v>
      </c>
      <c r="Q32" s="19">
        <v>750</v>
      </c>
      <c r="R32" s="316" t="s">
        <v>879</v>
      </c>
      <c r="S32" s="203"/>
      <c r="T32" s="203"/>
      <c r="U32" s="202"/>
      <c r="X32" s="171" t="s">
        <v>1365</v>
      </c>
      <c r="Y32" s="5">
        <v>17500</v>
      </c>
    </row>
    <row r="33" spans="2:29" ht="15" customHeight="1">
      <c r="B33" s="203" t="s">
        <v>568</v>
      </c>
      <c r="C33" s="133">
        <v>0.31111111111111112</v>
      </c>
      <c r="D33" s="5">
        <v>650</v>
      </c>
      <c r="E33" s="18">
        <v>5000</v>
      </c>
      <c r="F33" s="19">
        <v>1140</v>
      </c>
      <c r="G33" s="7">
        <v>167968</v>
      </c>
      <c r="H33" s="7">
        <v>134384</v>
      </c>
      <c r="I33" s="7">
        <v>50400</v>
      </c>
      <c r="J33" s="19">
        <v>83984</v>
      </c>
      <c r="K33" s="18">
        <v>60000</v>
      </c>
      <c r="L33" s="19">
        <v>650</v>
      </c>
      <c r="M33" s="7">
        <v>93300</v>
      </c>
      <c r="N33" s="7">
        <v>74600</v>
      </c>
      <c r="O33" s="7">
        <v>28000</v>
      </c>
      <c r="P33" s="7">
        <v>46600</v>
      </c>
      <c r="Q33" s="19">
        <v>850</v>
      </c>
      <c r="R33" s="316" t="s">
        <v>393</v>
      </c>
      <c r="S33" s="203"/>
      <c r="T33" s="203"/>
      <c r="U33" s="202"/>
      <c r="X33" s="171" t="s">
        <v>1365</v>
      </c>
      <c r="Y33" s="5">
        <v>20000</v>
      </c>
    </row>
    <row r="34" spans="2:29" ht="15" customHeight="1">
      <c r="B34" s="203" t="s">
        <v>569</v>
      </c>
      <c r="C34" s="133">
        <v>0.62222222222222223</v>
      </c>
      <c r="D34" s="5">
        <v>1000</v>
      </c>
      <c r="E34" s="18">
        <v>5000</v>
      </c>
      <c r="F34" s="19">
        <v>1710</v>
      </c>
      <c r="G34" s="7">
        <v>251952</v>
      </c>
      <c r="H34" s="7">
        <v>201576</v>
      </c>
      <c r="I34" s="7">
        <v>75600</v>
      </c>
      <c r="J34" s="19">
        <v>125976</v>
      </c>
      <c r="K34" s="18">
        <v>70000</v>
      </c>
      <c r="L34" s="19">
        <v>975</v>
      </c>
      <c r="M34" s="7">
        <v>50390</v>
      </c>
      <c r="N34" s="7">
        <v>40315</v>
      </c>
      <c r="O34" s="7">
        <v>15120</v>
      </c>
      <c r="P34" s="7">
        <v>25195</v>
      </c>
      <c r="Q34" s="19">
        <v>675</v>
      </c>
      <c r="R34" s="316" t="s">
        <v>394</v>
      </c>
      <c r="S34" s="203"/>
      <c r="T34" s="203"/>
      <c r="U34" s="202"/>
      <c r="X34" s="171" t="s">
        <v>1365</v>
      </c>
      <c r="Y34" s="5">
        <v>22500</v>
      </c>
    </row>
    <row r="35" spans="2:29" ht="15" customHeight="1">
      <c r="B35" s="203" t="s">
        <v>570</v>
      </c>
      <c r="E35" s="18"/>
      <c r="F35" s="19"/>
      <c r="G35" s="7"/>
      <c r="H35" s="7"/>
      <c r="I35" s="7"/>
      <c r="J35" s="19"/>
      <c r="K35" s="18"/>
      <c r="L35" s="19"/>
      <c r="M35" s="7"/>
      <c r="N35" s="7"/>
      <c r="O35" s="7"/>
      <c r="P35" s="7"/>
      <c r="Q35" s="19"/>
      <c r="R35" s="316" t="s">
        <v>395</v>
      </c>
      <c r="S35" s="203"/>
      <c r="T35" s="203"/>
      <c r="U35" s="202"/>
      <c r="X35" s="171" t="s">
        <v>1365</v>
      </c>
      <c r="Y35" s="5">
        <v>25000</v>
      </c>
    </row>
    <row r="36" spans="2:29" ht="15" customHeight="1">
      <c r="B36" s="203" t="s">
        <v>571</v>
      </c>
      <c r="E36" s="18"/>
      <c r="F36" s="19"/>
      <c r="G36" s="7"/>
      <c r="H36" s="7"/>
      <c r="I36" s="7"/>
      <c r="J36" s="19"/>
      <c r="K36" s="18"/>
      <c r="L36" s="19"/>
      <c r="M36" s="7"/>
      <c r="N36" s="7"/>
      <c r="O36" s="7"/>
      <c r="P36" s="7"/>
      <c r="Q36" s="19"/>
      <c r="R36" s="316" t="s">
        <v>396</v>
      </c>
      <c r="S36" s="203"/>
      <c r="T36" s="203"/>
      <c r="U36" s="202"/>
      <c r="X36" s="171" t="s">
        <v>1365</v>
      </c>
      <c r="Y36" s="5">
        <v>30000</v>
      </c>
    </row>
    <row r="37" spans="2:29" ht="15" customHeight="1">
      <c r="B37" s="200" t="s">
        <v>572</v>
      </c>
      <c r="C37" s="140"/>
      <c r="E37" s="18"/>
      <c r="F37" s="19"/>
      <c r="G37" s="18"/>
      <c r="H37" s="18"/>
      <c r="I37" s="18"/>
      <c r="J37" s="19"/>
      <c r="K37" s="18"/>
      <c r="L37" s="19"/>
      <c r="M37" s="18"/>
      <c r="N37" s="18"/>
      <c r="O37" s="18"/>
      <c r="P37" s="18"/>
      <c r="Q37" s="19"/>
      <c r="R37" s="316" t="s">
        <v>397</v>
      </c>
      <c r="S37" s="200"/>
      <c r="T37" s="200"/>
      <c r="U37" s="202"/>
      <c r="V37" s="11"/>
      <c r="X37" s="171" t="s">
        <v>1365</v>
      </c>
      <c r="Y37" s="5">
        <v>35000</v>
      </c>
      <c r="Z37" s="155"/>
      <c r="AB37" s="155"/>
    </row>
    <row r="38" spans="2:29" ht="15" customHeight="1">
      <c r="B38" s="200" t="s">
        <v>573</v>
      </c>
      <c r="C38" s="140"/>
      <c r="E38" s="18"/>
      <c r="F38" s="19"/>
      <c r="G38" s="18"/>
      <c r="H38" s="18"/>
      <c r="I38" s="18"/>
      <c r="J38" s="19"/>
      <c r="K38" s="18"/>
      <c r="L38" s="19"/>
      <c r="M38" s="18"/>
      <c r="N38" s="18"/>
      <c r="O38" s="18"/>
      <c r="P38" s="18"/>
      <c r="Q38" s="19"/>
      <c r="R38" s="316" t="s">
        <v>398</v>
      </c>
      <c r="S38" s="200"/>
      <c r="T38" s="200"/>
      <c r="U38" s="202"/>
      <c r="V38" s="11"/>
      <c r="X38" s="171" t="s">
        <v>1365</v>
      </c>
      <c r="Y38" s="5">
        <v>40000</v>
      </c>
      <c r="Z38" s="155"/>
      <c r="AB38" s="155"/>
    </row>
    <row r="39" spans="2:29" ht="15" customHeight="1">
      <c r="B39" s="200" t="s">
        <v>574</v>
      </c>
      <c r="C39" s="140"/>
      <c r="E39" s="18"/>
      <c r="F39" s="19"/>
      <c r="G39" s="18"/>
      <c r="H39" s="18"/>
      <c r="I39" s="18"/>
      <c r="J39" s="19"/>
      <c r="K39" s="18"/>
      <c r="L39" s="19"/>
      <c r="M39" s="18"/>
      <c r="N39" s="18"/>
      <c r="O39" s="18"/>
      <c r="P39" s="18"/>
      <c r="Q39" s="19"/>
      <c r="R39" s="316" t="s">
        <v>399</v>
      </c>
      <c r="S39" s="200"/>
      <c r="T39" s="200"/>
      <c r="U39" s="202"/>
      <c r="V39" s="11"/>
      <c r="X39" s="171" t="s">
        <v>1365</v>
      </c>
      <c r="Y39" s="5">
        <v>45000</v>
      </c>
      <c r="Z39" s="155"/>
      <c r="AB39" s="155"/>
    </row>
    <row r="40" spans="2:29" ht="15" customHeight="1">
      <c r="B40" s="200" t="s">
        <v>575</v>
      </c>
      <c r="C40" s="140"/>
      <c r="E40" s="18"/>
      <c r="F40" s="19"/>
      <c r="G40" s="18"/>
      <c r="H40" s="18"/>
      <c r="I40" s="18"/>
      <c r="J40" s="19"/>
      <c r="K40" s="18"/>
      <c r="L40" s="19"/>
      <c r="M40" s="18"/>
      <c r="N40" s="18"/>
      <c r="O40" s="18"/>
      <c r="P40" s="18"/>
      <c r="Q40" s="19"/>
      <c r="R40" s="316" t="s">
        <v>400</v>
      </c>
      <c r="S40" s="200"/>
      <c r="T40" s="200"/>
      <c r="U40" s="202"/>
      <c r="V40" s="11"/>
      <c r="X40" s="171" t="s">
        <v>1365</v>
      </c>
      <c r="Y40" s="5">
        <v>50000</v>
      </c>
      <c r="Z40" s="155"/>
      <c r="AB40" s="155"/>
    </row>
    <row r="41" spans="2:29" ht="15" customHeight="1">
      <c r="B41" s="200" t="s">
        <v>576</v>
      </c>
      <c r="C41" s="140"/>
      <c r="E41" s="18"/>
      <c r="F41" s="19"/>
      <c r="G41" s="18"/>
      <c r="H41" s="18"/>
      <c r="I41" s="18"/>
      <c r="J41" s="19"/>
      <c r="K41" s="18"/>
      <c r="L41" s="19"/>
      <c r="M41" s="18"/>
      <c r="N41" s="18"/>
      <c r="O41" s="18"/>
      <c r="P41" s="18"/>
      <c r="Q41" s="19"/>
      <c r="R41" s="316" t="s">
        <v>401</v>
      </c>
      <c r="S41" s="200"/>
      <c r="T41" s="200"/>
      <c r="U41" s="202"/>
      <c r="V41" s="11"/>
      <c r="X41" s="171" t="s">
        <v>1365</v>
      </c>
      <c r="Y41" s="5">
        <v>62500</v>
      </c>
      <c r="Z41" s="155"/>
      <c r="AB41" s="155"/>
    </row>
    <row r="42" spans="2:29" ht="15" customHeight="1">
      <c r="B42" s="200" t="s">
        <v>577</v>
      </c>
      <c r="C42" s="140"/>
      <c r="E42" s="18"/>
      <c r="F42" s="19"/>
      <c r="G42" s="18"/>
      <c r="H42" s="18"/>
      <c r="I42" s="18"/>
      <c r="J42" s="19"/>
      <c r="K42" s="18"/>
      <c r="L42" s="19"/>
      <c r="M42" s="18"/>
      <c r="N42" s="18"/>
      <c r="O42" s="18"/>
      <c r="P42" s="18"/>
      <c r="Q42" s="19"/>
      <c r="R42" s="316" t="s">
        <v>402</v>
      </c>
      <c r="S42" s="200"/>
      <c r="T42" s="200"/>
      <c r="U42" s="202"/>
      <c r="V42" s="11"/>
      <c r="X42" s="171" t="s">
        <v>1365</v>
      </c>
      <c r="Y42" s="5">
        <v>75000</v>
      </c>
      <c r="Z42" s="155"/>
      <c r="AB42" s="155"/>
    </row>
    <row r="43" spans="2:29" ht="15" customHeight="1">
      <c r="B43" s="200" t="s">
        <v>578</v>
      </c>
      <c r="C43" s="140"/>
      <c r="E43" s="18"/>
      <c r="F43" s="19"/>
      <c r="G43" s="18"/>
      <c r="H43" s="18"/>
      <c r="I43" s="18"/>
      <c r="J43" s="19"/>
      <c r="K43" s="18"/>
      <c r="L43" s="19"/>
      <c r="M43" s="18"/>
      <c r="N43" s="18"/>
      <c r="O43" s="18"/>
      <c r="P43" s="18"/>
      <c r="Q43" s="19"/>
      <c r="R43" s="316" t="s">
        <v>403</v>
      </c>
      <c r="S43" s="200"/>
      <c r="T43" s="200"/>
      <c r="U43" s="202"/>
      <c r="V43" s="11"/>
      <c r="X43" s="171" t="s">
        <v>1365</v>
      </c>
      <c r="Y43" s="5">
        <v>87500</v>
      </c>
      <c r="Z43" s="155"/>
      <c r="AB43" s="155"/>
    </row>
    <row r="44" spans="2:29" ht="15" customHeight="1">
      <c r="B44" s="200" t="s">
        <v>579</v>
      </c>
      <c r="C44" s="140"/>
      <c r="E44" s="18"/>
      <c r="F44" s="19"/>
      <c r="G44" s="18"/>
      <c r="H44" s="18"/>
      <c r="I44" s="18"/>
      <c r="J44" s="19"/>
      <c r="K44" s="18"/>
      <c r="L44" s="19"/>
      <c r="M44" s="18"/>
      <c r="N44" s="18"/>
      <c r="O44" s="18"/>
      <c r="P44" s="18"/>
      <c r="Q44" s="19"/>
      <c r="R44" s="316" t="s">
        <v>404</v>
      </c>
      <c r="S44" s="200"/>
      <c r="T44" s="200"/>
      <c r="U44" s="202"/>
      <c r="V44" s="11"/>
      <c r="X44" s="171" t="s">
        <v>1365</v>
      </c>
      <c r="Y44" s="5">
        <v>100000</v>
      </c>
      <c r="Z44" s="155"/>
      <c r="AB44" s="155"/>
    </row>
    <row r="45" spans="2:29" ht="15" customHeight="1">
      <c r="B45" s="34" t="s">
        <v>580</v>
      </c>
      <c r="C45" s="480"/>
      <c r="D45" s="24"/>
      <c r="E45" s="25"/>
      <c r="F45" s="26"/>
      <c r="G45" s="25"/>
      <c r="H45" s="25"/>
      <c r="I45" s="25"/>
      <c r="J45" s="26"/>
      <c r="K45" s="25"/>
      <c r="L45" s="26"/>
      <c r="M45" s="25"/>
      <c r="N45" s="25"/>
      <c r="O45" s="25"/>
      <c r="P45" s="25"/>
      <c r="Q45" s="26"/>
      <c r="R45" s="196" t="s">
        <v>405</v>
      </c>
      <c r="S45" s="34"/>
      <c r="T45" s="34"/>
      <c r="U45" s="89"/>
      <c r="V45" s="27"/>
      <c r="W45" s="24"/>
      <c r="X45" s="172" t="s">
        <v>1365</v>
      </c>
      <c r="Y45" s="24">
        <v>125000</v>
      </c>
      <c r="Z45" s="154" t="s">
        <v>543</v>
      </c>
      <c r="AA45" s="173">
        <v>0.1</v>
      </c>
      <c r="AB45" s="154"/>
      <c r="AC45" s="173"/>
    </row>
    <row r="46" spans="2:29" ht="15" customHeight="1">
      <c r="B46" s="1" t="s">
        <v>23</v>
      </c>
      <c r="C46" s="133" t="s">
        <v>25</v>
      </c>
      <c r="D46" s="5" t="s">
        <v>25</v>
      </c>
      <c r="E46" s="90" t="s">
        <v>25</v>
      </c>
      <c r="F46" s="19">
        <v>10</v>
      </c>
      <c r="G46" s="7"/>
      <c r="H46" s="7"/>
      <c r="I46" s="7"/>
      <c r="J46" s="19"/>
      <c r="K46" s="18">
        <v>2525</v>
      </c>
      <c r="L46" s="19">
        <v>2</v>
      </c>
      <c r="M46" s="7">
        <v>4000</v>
      </c>
      <c r="N46" s="7">
        <v>4000</v>
      </c>
      <c r="O46" s="7">
        <v>3000</v>
      </c>
      <c r="P46" s="7">
        <v>2100</v>
      </c>
      <c r="Q46" s="19">
        <v>100</v>
      </c>
      <c r="R46" s="43" t="s">
        <v>131</v>
      </c>
      <c r="X46" s="197" t="s">
        <v>614</v>
      </c>
      <c r="Y46" s="5">
        <v>100000</v>
      </c>
    </row>
    <row r="47" spans="2:29" ht="15" customHeight="1">
      <c r="B47" s="43" t="s">
        <v>125</v>
      </c>
      <c r="C47" s="133">
        <v>1.3888888888888889E-3</v>
      </c>
      <c r="D47" s="5">
        <v>1</v>
      </c>
      <c r="E47" s="18">
        <v>25</v>
      </c>
      <c r="F47" s="19">
        <v>20</v>
      </c>
      <c r="G47" s="7">
        <v>680</v>
      </c>
      <c r="H47" s="7">
        <v>680</v>
      </c>
      <c r="I47" s="7">
        <v>510</v>
      </c>
      <c r="J47" s="19">
        <v>340</v>
      </c>
      <c r="K47" s="18">
        <v>2575</v>
      </c>
      <c r="L47" s="19">
        <v>5</v>
      </c>
      <c r="M47" s="7">
        <v>1800</v>
      </c>
      <c r="N47" s="7">
        <v>1800</v>
      </c>
      <c r="O47" s="7">
        <v>1400</v>
      </c>
      <c r="P47" s="7">
        <v>900</v>
      </c>
      <c r="Q47" s="19">
        <v>200</v>
      </c>
      <c r="R47" s="43" t="s">
        <v>126</v>
      </c>
      <c r="U47" s="42"/>
      <c r="X47" s="171" t="s">
        <v>614</v>
      </c>
      <c r="Y47" s="5">
        <v>150000</v>
      </c>
    </row>
    <row r="48" spans="2:29" ht="15" customHeight="1">
      <c r="B48" s="43" t="s">
        <v>127</v>
      </c>
      <c r="C48" s="133">
        <v>2.7777777777777779E-3</v>
      </c>
      <c r="D48" s="5">
        <v>1</v>
      </c>
      <c r="E48" s="18">
        <v>50</v>
      </c>
      <c r="F48" s="19">
        <v>30</v>
      </c>
      <c r="G48" s="7">
        <v>1156</v>
      </c>
      <c r="H48" s="7">
        <v>1156</v>
      </c>
      <c r="I48" s="7">
        <v>867</v>
      </c>
      <c r="J48" s="19">
        <v>578</v>
      </c>
      <c r="K48" s="18">
        <v>2600</v>
      </c>
      <c r="L48" s="19">
        <v>10</v>
      </c>
      <c r="M48" s="7">
        <v>1900</v>
      </c>
      <c r="N48" s="7">
        <v>1900</v>
      </c>
      <c r="O48" s="7">
        <v>1500</v>
      </c>
      <c r="P48" s="7">
        <v>900</v>
      </c>
      <c r="Q48" s="19">
        <v>200</v>
      </c>
      <c r="R48" s="43" t="s">
        <v>128</v>
      </c>
      <c r="U48" s="42"/>
      <c r="X48" s="171" t="s">
        <v>614</v>
      </c>
      <c r="Y48" s="5">
        <v>200000</v>
      </c>
    </row>
    <row r="49" spans="2:28" ht="15" customHeight="1">
      <c r="B49" s="43" t="s">
        <v>129</v>
      </c>
      <c r="C49" s="133">
        <v>5.5555555555555558E-3</v>
      </c>
      <c r="D49" s="5">
        <v>70</v>
      </c>
      <c r="E49" s="18">
        <v>200</v>
      </c>
      <c r="F49" s="19">
        <v>50</v>
      </c>
      <c r="G49" s="7">
        <v>1966</v>
      </c>
      <c r="H49" s="7">
        <v>1966</v>
      </c>
      <c r="I49" s="7">
        <v>1474</v>
      </c>
      <c r="J49" s="19">
        <v>983</v>
      </c>
      <c r="K49" s="18">
        <v>2650</v>
      </c>
      <c r="L49" s="19">
        <v>20</v>
      </c>
      <c r="M49" s="7">
        <v>6900</v>
      </c>
      <c r="N49" s="7">
        <v>2500</v>
      </c>
      <c r="O49" s="7">
        <v>1900</v>
      </c>
      <c r="P49" s="7">
        <v>1200</v>
      </c>
      <c r="Q49" s="19">
        <v>1900</v>
      </c>
      <c r="R49" s="43" t="s">
        <v>130</v>
      </c>
      <c r="S49" s="119"/>
      <c r="T49" s="119"/>
      <c r="U49" s="42"/>
      <c r="X49" s="171" t="s">
        <v>614</v>
      </c>
      <c r="Y49" s="5">
        <v>250000</v>
      </c>
    </row>
    <row r="50" spans="2:28" ht="15" customHeight="1">
      <c r="B50" s="203" t="s">
        <v>525</v>
      </c>
      <c r="C50" s="133">
        <v>1.1111111111111112E-2</v>
      </c>
      <c r="D50" s="5">
        <v>70</v>
      </c>
      <c r="E50" s="18">
        <v>400</v>
      </c>
      <c r="F50" s="19">
        <v>70</v>
      </c>
      <c r="G50" s="7">
        <v>3343</v>
      </c>
      <c r="H50" s="7">
        <v>3343</v>
      </c>
      <c r="I50" s="7">
        <v>2506</v>
      </c>
      <c r="J50" s="19">
        <v>1672</v>
      </c>
      <c r="K50" s="18">
        <v>2675</v>
      </c>
      <c r="L50" s="19">
        <v>35</v>
      </c>
      <c r="M50" s="7">
        <v>3500</v>
      </c>
      <c r="N50" s="7">
        <v>3500</v>
      </c>
      <c r="O50" s="7">
        <v>2600</v>
      </c>
      <c r="P50" s="7">
        <v>1800</v>
      </c>
      <c r="Q50" s="19">
        <v>450</v>
      </c>
      <c r="R50" s="203" t="s">
        <v>544</v>
      </c>
      <c r="S50" s="200"/>
      <c r="T50" s="200"/>
      <c r="U50" s="202"/>
      <c r="X50" s="171" t="s">
        <v>614</v>
      </c>
      <c r="Y50" s="5">
        <v>300000</v>
      </c>
    </row>
    <row r="51" spans="2:28" ht="15" customHeight="1">
      <c r="B51" s="203" t="s">
        <v>526</v>
      </c>
      <c r="C51" s="133">
        <v>2.2222222222222223E-2</v>
      </c>
      <c r="D51" s="5">
        <v>130</v>
      </c>
      <c r="E51" s="18">
        <v>500</v>
      </c>
      <c r="F51" s="19">
        <v>110</v>
      </c>
      <c r="G51" s="7">
        <v>6686</v>
      </c>
      <c r="H51" s="7">
        <v>6686</v>
      </c>
      <c r="I51" s="7">
        <v>5012</v>
      </c>
      <c r="J51" s="19">
        <v>3344</v>
      </c>
      <c r="K51" s="18">
        <v>10000</v>
      </c>
      <c r="L51" s="19">
        <v>57</v>
      </c>
      <c r="M51" s="7">
        <v>5500</v>
      </c>
      <c r="N51" s="7">
        <v>5500</v>
      </c>
      <c r="O51" s="7">
        <v>4100</v>
      </c>
      <c r="P51" s="7">
        <v>2700</v>
      </c>
      <c r="Q51" s="19">
        <v>350</v>
      </c>
      <c r="R51" s="246" t="s">
        <v>523</v>
      </c>
      <c r="S51" s="200"/>
      <c r="T51" s="200"/>
      <c r="U51" s="202"/>
      <c r="X51" s="171" t="s">
        <v>614</v>
      </c>
      <c r="Y51" s="5">
        <v>350000</v>
      </c>
    </row>
    <row r="52" spans="2:28" ht="15" customHeight="1">
      <c r="B52" s="203" t="s">
        <v>527</v>
      </c>
      <c r="C52" s="133">
        <v>4.4444444444444446E-2</v>
      </c>
      <c r="D52" s="5">
        <v>130</v>
      </c>
      <c r="E52" s="18">
        <v>500</v>
      </c>
      <c r="F52" s="19">
        <v>170</v>
      </c>
      <c r="G52" s="7">
        <v>13372</v>
      </c>
      <c r="H52" s="7">
        <v>13372</v>
      </c>
      <c r="I52" s="7">
        <v>10024</v>
      </c>
      <c r="J52" s="19">
        <v>6688</v>
      </c>
      <c r="K52" s="18">
        <v>10000</v>
      </c>
      <c r="L52" s="19">
        <v>90</v>
      </c>
      <c r="M52" s="7">
        <v>9500</v>
      </c>
      <c r="N52" s="7">
        <v>9500</v>
      </c>
      <c r="O52" s="7">
        <v>7100</v>
      </c>
      <c r="P52" s="7">
        <v>4700</v>
      </c>
      <c r="Q52" s="19">
        <v>250</v>
      </c>
      <c r="R52" s="246" t="s">
        <v>545</v>
      </c>
      <c r="S52" s="200"/>
      <c r="T52" s="200"/>
      <c r="U52" s="202"/>
      <c r="X52" s="171" t="s">
        <v>614</v>
      </c>
      <c r="Y52" s="5">
        <v>400000</v>
      </c>
    </row>
    <row r="53" spans="2:28" ht="15" customHeight="1">
      <c r="B53" s="203" t="s">
        <v>528</v>
      </c>
      <c r="C53" s="133">
        <v>8.8888888888888892E-2</v>
      </c>
      <c r="D53" s="5">
        <v>300</v>
      </c>
      <c r="E53" s="18">
        <v>500</v>
      </c>
      <c r="F53" s="19">
        <v>250</v>
      </c>
      <c r="G53" s="7">
        <v>26744</v>
      </c>
      <c r="H53" s="7">
        <v>26744</v>
      </c>
      <c r="I53" s="7">
        <v>20048</v>
      </c>
      <c r="J53" s="19">
        <v>13376</v>
      </c>
      <c r="K53" s="18">
        <v>10000</v>
      </c>
      <c r="L53" s="19">
        <v>140</v>
      </c>
      <c r="M53" s="7">
        <v>16700</v>
      </c>
      <c r="N53" s="7">
        <v>16700</v>
      </c>
      <c r="O53" s="7">
        <v>12500</v>
      </c>
      <c r="P53" s="7">
        <v>8300</v>
      </c>
      <c r="Q53" s="19">
        <v>350</v>
      </c>
      <c r="R53" s="316" t="s">
        <v>888</v>
      </c>
      <c r="S53" s="200"/>
      <c r="T53" s="200"/>
      <c r="U53" s="202"/>
      <c r="X53" s="171" t="s">
        <v>614</v>
      </c>
      <c r="Y53" s="5">
        <v>450000</v>
      </c>
    </row>
    <row r="54" spans="2:28" ht="15" customHeight="1">
      <c r="B54" s="203" t="s">
        <v>529</v>
      </c>
      <c r="C54" s="133">
        <v>0.17777777777777778</v>
      </c>
      <c r="D54" s="5">
        <v>300</v>
      </c>
      <c r="E54" s="18">
        <v>500</v>
      </c>
      <c r="F54" s="19">
        <v>380</v>
      </c>
      <c r="G54" s="7">
        <v>53488</v>
      </c>
      <c r="H54" s="7">
        <v>53488</v>
      </c>
      <c r="I54" s="7">
        <v>40096</v>
      </c>
      <c r="J54" s="19">
        <v>26752</v>
      </c>
      <c r="K54" s="18">
        <v>30000</v>
      </c>
      <c r="L54" s="19">
        <v>217</v>
      </c>
      <c r="M54" s="7">
        <v>29700</v>
      </c>
      <c r="N54" s="7">
        <v>29700</v>
      </c>
      <c r="O54" s="7">
        <v>22200</v>
      </c>
      <c r="P54" s="7">
        <v>14800</v>
      </c>
      <c r="Q54" s="19">
        <v>450</v>
      </c>
      <c r="R54" s="316" t="s">
        <v>547</v>
      </c>
      <c r="S54" s="200"/>
      <c r="T54" s="200"/>
      <c r="U54" s="202"/>
      <c r="X54" s="171" t="s">
        <v>614</v>
      </c>
      <c r="Y54" s="5">
        <v>500000</v>
      </c>
    </row>
    <row r="55" spans="2:28" ht="15" customHeight="1">
      <c r="B55" s="203" t="s">
        <v>530</v>
      </c>
      <c r="C55" s="133">
        <v>0.35555555555555557</v>
      </c>
      <c r="D55" s="5">
        <v>650</v>
      </c>
      <c r="E55" s="18">
        <v>500</v>
      </c>
      <c r="F55" s="19">
        <v>570</v>
      </c>
      <c r="G55" s="7">
        <v>80232</v>
      </c>
      <c r="H55" s="7">
        <v>80232</v>
      </c>
      <c r="I55" s="7">
        <v>60144</v>
      </c>
      <c r="J55" s="19">
        <v>40128</v>
      </c>
      <c r="K55" s="18">
        <v>30000</v>
      </c>
      <c r="L55" s="19">
        <v>325</v>
      </c>
      <c r="M55" s="7">
        <v>16046</v>
      </c>
      <c r="N55" s="7">
        <v>16046</v>
      </c>
      <c r="O55" s="7">
        <v>12028</v>
      </c>
      <c r="P55" s="7">
        <v>8025</v>
      </c>
      <c r="Q55" s="19">
        <v>325</v>
      </c>
      <c r="R55" s="316" t="s">
        <v>548</v>
      </c>
      <c r="S55" s="200"/>
      <c r="T55" s="200"/>
      <c r="U55" s="202"/>
      <c r="X55" s="171" t="s">
        <v>614</v>
      </c>
      <c r="Y55" s="5">
        <v>550000</v>
      </c>
    </row>
    <row r="56" spans="2:28" ht="15" customHeight="1">
      <c r="B56" s="203" t="s">
        <v>531</v>
      </c>
      <c r="C56" s="133">
        <v>0.42666666666666669</v>
      </c>
      <c r="D56" s="5">
        <v>650</v>
      </c>
      <c r="E56" s="18">
        <v>500</v>
      </c>
      <c r="F56" s="19">
        <v>860</v>
      </c>
      <c r="G56" s="7">
        <v>120348</v>
      </c>
      <c r="H56" s="7">
        <v>120348</v>
      </c>
      <c r="I56" s="7">
        <v>90216</v>
      </c>
      <c r="J56" s="19">
        <v>60192</v>
      </c>
      <c r="K56" s="18">
        <v>60000</v>
      </c>
      <c r="L56" s="19">
        <v>500</v>
      </c>
      <c r="M56" s="7">
        <v>21881</v>
      </c>
      <c r="N56" s="7">
        <v>21881</v>
      </c>
      <c r="O56" s="7">
        <v>16402</v>
      </c>
      <c r="P56" s="7">
        <v>10944</v>
      </c>
      <c r="Q56" s="19">
        <v>235</v>
      </c>
      <c r="R56" s="316" t="s">
        <v>549</v>
      </c>
      <c r="S56" s="200"/>
      <c r="T56" s="200"/>
      <c r="U56" s="202"/>
      <c r="X56" s="171" t="s">
        <v>614</v>
      </c>
      <c r="Y56" s="5">
        <v>600000</v>
      </c>
    </row>
    <row r="57" spans="2:28" ht="15" customHeight="1">
      <c r="B57" s="203" t="s">
        <v>532</v>
      </c>
      <c r="E57" s="18"/>
      <c r="F57" s="19"/>
      <c r="G57" s="7"/>
      <c r="H57" s="7"/>
      <c r="I57" s="7"/>
      <c r="J57" s="19"/>
      <c r="K57" s="18"/>
      <c r="L57" s="19"/>
      <c r="M57" s="7"/>
      <c r="N57" s="7"/>
      <c r="O57" s="7"/>
      <c r="P57" s="7"/>
      <c r="Q57" s="19"/>
      <c r="R57" s="316" t="s">
        <v>550</v>
      </c>
      <c r="S57" s="200"/>
      <c r="T57" s="200"/>
      <c r="U57" s="202"/>
      <c r="X57" s="171" t="s">
        <v>614</v>
      </c>
      <c r="Y57" s="5">
        <v>650000</v>
      </c>
    </row>
    <row r="58" spans="2:28" ht="15" customHeight="1">
      <c r="B58" s="203" t="s">
        <v>533</v>
      </c>
      <c r="E58" s="18"/>
      <c r="F58" s="19"/>
      <c r="G58" s="7"/>
      <c r="H58" s="7"/>
      <c r="I58" s="7"/>
      <c r="J58" s="19"/>
      <c r="K58" s="18"/>
      <c r="L58" s="19"/>
      <c r="M58" s="7"/>
      <c r="N58" s="7"/>
      <c r="O58" s="7"/>
      <c r="P58" s="7"/>
      <c r="Q58" s="19"/>
      <c r="R58" s="316" t="s">
        <v>551</v>
      </c>
      <c r="S58" s="200"/>
      <c r="T58" s="200"/>
      <c r="U58" s="202"/>
      <c r="X58" s="171" t="s">
        <v>614</v>
      </c>
      <c r="Y58" s="5">
        <v>700000</v>
      </c>
    </row>
    <row r="59" spans="2:28" ht="15" customHeight="1">
      <c r="B59" s="203" t="s">
        <v>534</v>
      </c>
      <c r="E59" s="18"/>
      <c r="F59" s="19"/>
      <c r="G59" s="7"/>
      <c r="H59" s="7"/>
      <c r="I59" s="7"/>
      <c r="J59" s="19"/>
      <c r="K59" s="18"/>
      <c r="L59" s="19"/>
      <c r="M59" s="7"/>
      <c r="N59" s="7"/>
      <c r="O59" s="7"/>
      <c r="P59" s="7"/>
      <c r="Q59" s="19"/>
      <c r="R59" s="316" t="s">
        <v>552</v>
      </c>
      <c r="S59" s="200"/>
      <c r="T59" s="200"/>
      <c r="U59" s="202"/>
      <c r="X59" s="171" t="s">
        <v>614</v>
      </c>
      <c r="Y59" s="5">
        <v>750000</v>
      </c>
    </row>
    <row r="60" spans="2:28" ht="15" customHeight="1">
      <c r="B60" s="203" t="s">
        <v>535</v>
      </c>
      <c r="E60" s="18"/>
      <c r="F60" s="19"/>
      <c r="G60" s="7"/>
      <c r="H60" s="7"/>
      <c r="I60" s="7"/>
      <c r="J60" s="19"/>
      <c r="K60" s="18"/>
      <c r="L60" s="19"/>
      <c r="M60" s="7"/>
      <c r="N60" s="7"/>
      <c r="O60" s="7"/>
      <c r="P60" s="7"/>
      <c r="Q60" s="19"/>
      <c r="R60" s="316" t="s">
        <v>553</v>
      </c>
      <c r="S60" s="200"/>
      <c r="T60" s="200"/>
      <c r="U60" s="202"/>
      <c r="X60" s="171" t="s">
        <v>614</v>
      </c>
      <c r="Y60" s="5">
        <v>800000</v>
      </c>
    </row>
    <row r="61" spans="2:28" ht="15" customHeight="1">
      <c r="B61" s="203" t="s">
        <v>536</v>
      </c>
      <c r="E61" s="18"/>
      <c r="F61" s="19"/>
      <c r="G61" s="7"/>
      <c r="H61" s="7"/>
      <c r="I61" s="7"/>
      <c r="J61" s="19"/>
      <c r="K61" s="18"/>
      <c r="L61" s="19"/>
      <c r="M61" s="7"/>
      <c r="N61" s="7"/>
      <c r="O61" s="7"/>
      <c r="P61" s="7"/>
      <c r="Q61" s="19"/>
      <c r="R61" s="316" t="s">
        <v>554</v>
      </c>
      <c r="S61" s="200"/>
      <c r="T61" s="200"/>
      <c r="U61" s="202"/>
      <c r="X61" s="171" t="s">
        <v>614</v>
      </c>
      <c r="Y61" s="5">
        <v>850000</v>
      </c>
    </row>
    <row r="62" spans="2:28" ht="15" customHeight="1">
      <c r="B62" s="203" t="s">
        <v>537</v>
      </c>
      <c r="E62" s="18"/>
      <c r="F62" s="19"/>
      <c r="G62" s="7"/>
      <c r="H62" s="7"/>
      <c r="I62" s="7"/>
      <c r="J62" s="19"/>
      <c r="K62" s="18"/>
      <c r="L62" s="19"/>
      <c r="M62" s="7"/>
      <c r="N62" s="7"/>
      <c r="O62" s="7"/>
      <c r="P62" s="7"/>
      <c r="Q62" s="19"/>
      <c r="R62" s="316" t="s">
        <v>555</v>
      </c>
      <c r="S62" s="200"/>
      <c r="T62" s="200"/>
      <c r="U62" s="202"/>
      <c r="X62" s="171" t="s">
        <v>614</v>
      </c>
      <c r="Y62" s="5">
        <v>900000</v>
      </c>
    </row>
    <row r="63" spans="2:28" ht="15" customHeight="1">
      <c r="B63" s="200" t="s">
        <v>538</v>
      </c>
      <c r="C63" s="140"/>
      <c r="E63" s="18"/>
      <c r="F63" s="19"/>
      <c r="G63" s="18"/>
      <c r="H63" s="18"/>
      <c r="I63" s="18"/>
      <c r="J63" s="19"/>
      <c r="K63" s="18"/>
      <c r="L63" s="19"/>
      <c r="M63" s="18"/>
      <c r="N63" s="18"/>
      <c r="O63" s="18"/>
      <c r="P63" s="18"/>
      <c r="Q63" s="19"/>
      <c r="R63" s="316" t="s">
        <v>556</v>
      </c>
      <c r="S63" s="200"/>
      <c r="T63" s="200"/>
      <c r="U63" s="202"/>
      <c r="V63" s="11"/>
      <c r="X63" s="171" t="s">
        <v>614</v>
      </c>
      <c r="Y63" s="5">
        <v>950000</v>
      </c>
      <c r="Z63" s="155"/>
      <c r="AB63" s="155"/>
    </row>
    <row r="64" spans="2:28" ht="15" customHeight="1">
      <c r="B64" s="200" t="s">
        <v>539</v>
      </c>
      <c r="C64" s="140"/>
      <c r="E64" s="18"/>
      <c r="F64" s="19"/>
      <c r="G64" s="18"/>
      <c r="H64" s="18"/>
      <c r="I64" s="18"/>
      <c r="J64" s="19"/>
      <c r="K64" s="18"/>
      <c r="L64" s="19"/>
      <c r="M64" s="18"/>
      <c r="N64" s="18"/>
      <c r="O64" s="18"/>
      <c r="P64" s="18"/>
      <c r="Q64" s="19"/>
      <c r="R64" s="316" t="s">
        <v>557</v>
      </c>
      <c r="S64" s="200"/>
      <c r="T64" s="200"/>
      <c r="U64" s="202"/>
      <c r="V64" s="11"/>
      <c r="X64" s="171" t="s">
        <v>614</v>
      </c>
      <c r="Y64" s="5">
        <v>1000000</v>
      </c>
      <c r="Z64" s="155"/>
      <c r="AB64" s="155"/>
    </row>
    <row r="65" spans="2:29" ht="15" customHeight="1">
      <c r="B65" s="200" t="s">
        <v>540</v>
      </c>
      <c r="C65" s="140"/>
      <c r="E65" s="18"/>
      <c r="F65" s="19"/>
      <c r="G65" s="18"/>
      <c r="H65" s="18"/>
      <c r="I65" s="18"/>
      <c r="J65" s="19"/>
      <c r="K65" s="18"/>
      <c r="L65" s="19"/>
      <c r="M65" s="18"/>
      <c r="N65" s="18"/>
      <c r="O65" s="18"/>
      <c r="P65" s="18"/>
      <c r="Q65" s="19"/>
      <c r="R65" s="316" t="s">
        <v>558</v>
      </c>
      <c r="S65" s="200"/>
      <c r="T65" s="200"/>
      <c r="U65" s="202"/>
      <c r="V65" s="11"/>
      <c r="X65" s="171" t="s">
        <v>614</v>
      </c>
      <c r="Y65" s="5">
        <v>1100000</v>
      </c>
      <c r="Z65" s="155"/>
      <c r="AB65" s="155"/>
    </row>
    <row r="66" spans="2:29" ht="15" customHeight="1">
      <c r="B66" s="34" t="s">
        <v>541</v>
      </c>
      <c r="C66" s="480"/>
      <c r="D66" s="24"/>
      <c r="E66" s="25"/>
      <c r="F66" s="26"/>
      <c r="G66" s="25"/>
      <c r="H66" s="25"/>
      <c r="I66" s="25"/>
      <c r="J66" s="26"/>
      <c r="K66" s="25"/>
      <c r="L66" s="26"/>
      <c r="M66" s="25"/>
      <c r="N66" s="25"/>
      <c r="O66" s="25"/>
      <c r="P66" s="25"/>
      <c r="Q66" s="26"/>
      <c r="R66" s="196" t="s">
        <v>559</v>
      </c>
      <c r="S66" s="34"/>
      <c r="T66" s="34"/>
      <c r="U66" s="89"/>
      <c r="V66" s="27"/>
      <c r="W66" s="24"/>
      <c r="X66" s="172" t="s">
        <v>614</v>
      </c>
      <c r="Y66" s="24">
        <v>2000000</v>
      </c>
      <c r="Z66" s="154" t="s">
        <v>615</v>
      </c>
      <c r="AA66" s="24"/>
      <c r="AB66" s="154"/>
      <c r="AC66" s="173"/>
    </row>
    <row r="67" spans="2:29" ht="15" customHeight="1">
      <c r="B67" s="1" t="s">
        <v>16</v>
      </c>
      <c r="C67" s="133">
        <v>6.9444444444444447E-4</v>
      </c>
      <c r="D67" s="5">
        <v>1</v>
      </c>
      <c r="E67" s="18">
        <v>10</v>
      </c>
      <c r="F67" s="19">
        <v>5</v>
      </c>
      <c r="G67" s="7">
        <v>100</v>
      </c>
      <c r="H67" s="7">
        <v>100</v>
      </c>
      <c r="I67" s="7">
        <v>100</v>
      </c>
      <c r="J67" s="19"/>
      <c r="K67" s="18">
        <v>2525</v>
      </c>
      <c r="L67" s="19">
        <v>2</v>
      </c>
      <c r="M67" s="7"/>
      <c r="N67" s="7"/>
      <c r="O67" s="7"/>
      <c r="P67" s="7">
        <v>3000</v>
      </c>
      <c r="Q67" s="19"/>
      <c r="V67" s="2">
        <v>50</v>
      </c>
      <c r="W67" s="5">
        <v>2500</v>
      </c>
    </row>
    <row r="68" spans="2:29" ht="15" customHeight="1">
      <c r="B68" s="1" t="s">
        <v>30</v>
      </c>
      <c r="C68" s="133">
        <v>1.1574074074074073E-3</v>
      </c>
      <c r="D68" s="5">
        <v>1</v>
      </c>
      <c r="E68" s="18">
        <v>25</v>
      </c>
      <c r="F68" s="19">
        <v>10</v>
      </c>
      <c r="G68" s="7">
        <v>170</v>
      </c>
      <c r="H68" s="7">
        <v>170</v>
      </c>
      <c r="I68" s="7">
        <v>170</v>
      </c>
      <c r="J68" s="19"/>
      <c r="K68" s="18">
        <v>2575</v>
      </c>
      <c r="L68" s="19">
        <v>2</v>
      </c>
      <c r="M68" s="7"/>
      <c r="N68" s="7"/>
      <c r="O68" s="7"/>
      <c r="P68" s="7">
        <v>5000</v>
      </c>
      <c r="Q68" s="19"/>
      <c r="V68" s="2">
        <v>150</v>
      </c>
      <c r="W68" s="5">
        <v>7500</v>
      </c>
    </row>
    <row r="69" spans="2:29" ht="15" customHeight="1">
      <c r="B69" s="1" t="s">
        <v>31</v>
      </c>
      <c r="C69" s="133">
        <v>2.3148148148148151E-3</v>
      </c>
      <c r="D69" s="5">
        <v>1</v>
      </c>
      <c r="E69" s="18">
        <v>50</v>
      </c>
      <c r="F69" s="19">
        <v>15</v>
      </c>
      <c r="G69" s="7">
        <v>289</v>
      </c>
      <c r="H69" s="7">
        <v>289</v>
      </c>
      <c r="I69" s="7">
        <v>289</v>
      </c>
      <c r="J69" s="19"/>
      <c r="K69" s="18">
        <v>2600</v>
      </c>
      <c r="L69" s="19">
        <v>5</v>
      </c>
      <c r="M69" s="7"/>
      <c r="N69" s="7"/>
      <c r="O69" s="7"/>
      <c r="P69" s="7">
        <v>6300</v>
      </c>
      <c r="Q69" s="19"/>
      <c r="V69" s="2">
        <v>300</v>
      </c>
      <c r="W69" s="5">
        <v>15000</v>
      </c>
    </row>
    <row r="70" spans="2:29" ht="15" customHeight="1">
      <c r="B70" s="1" t="s">
        <v>32</v>
      </c>
      <c r="C70" s="133">
        <v>4.6296296296296302E-3</v>
      </c>
      <c r="D70" s="5">
        <v>1</v>
      </c>
      <c r="E70" s="18">
        <v>200</v>
      </c>
      <c r="F70" s="19">
        <v>25</v>
      </c>
      <c r="G70" s="7">
        <v>492</v>
      </c>
      <c r="H70" s="7">
        <v>492</v>
      </c>
      <c r="I70" s="7">
        <v>492</v>
      </c>
      <c r="J70" s="19"/>
      <c r="K70" s="18">
        <v>2650</v>
      </c>
      <c r="L70" s="19">
        <v>10</v>
      </c>
      <c r="M70" s="7">
        <v>1200</v>
      </c>
      <c r="N70" s="7">
        <v>1200</v>
      </c>
      <c r="O70" s="7">
        <v>1200</v>
      </c>
      <c r="P70" s="7">
        <v>6400</v>
      </c>
      <c r="Q70" s="19">
        <v>50</v>
      </c>
      <c r="V70" s="2">
        <v>500</v>
      </c>
      <c r="W70" s="5">
        <v>25000</v>
      </c>
    </row>
    <row r="71" spans="2:29" ht="15" customHeight="1">
      <c r="B71" s="1" t="s">
        <v>33</v>
      </c>
      <c r="C71" s="133">
        <v>9.2592592592592605E-3</v>
      </c>
      <c r="D71" s="5">
        <v>70</v>
      </c>
      <c r="E71" s="18">
        <v>400</v>
      </c>
      <c r="F71" s="19">
        <v>35</v>
      </c>
      <c r="G71" s="7">
        <v>837</v>
      </c>
      <c r="H71" s="7">
        <v>837</v>
      </c>
      <c r="I71" s="7">
        <v>837</v>
      </c>
      <c r="J71" s="19"/>
      <c r="K71" s="18">
        <v>2675</v>
      </c>
      <c r="L71" s="19">
        <v>17</v>
      </c>
      <c r="M71" s="7">
        <v>1800</v>
      </c>
      <c r="N71" s="7">
        <v>1800</v>
      </c>
      <c r="O71" s="7">
        <v>1800</v>
      </c>
      <c r="P71" s="7"/>
      <c r="Q71" s="19">
        <v>50</v>
      </c>
      <c r="V71" s="2">
        <v>750</v>
      </c>
      <c r="W71" s="5">
        <v>37500</v>
      </c>
    </row>
    <row r="72" spans="2:29" ht="15" customHeight="1">
      <c r="B72" s="1" t="s">
        <v>34</v>
      </c>
      <c r="C72" s="133">
        <v>1.8518518518518521E-2</v>
      </c>
      <c r="D72" s="5">
        <v>130</v>
      </c>
      <c r="E72" s="18">
        <v>500</v>
      </c>
      <c r="F72" s="19">
        <v>55</v>
      </c>
      <c r="G72" s="7">
        <v>1674</v>
      </c>
      <c r="H72" s="7">
        <v>1674</v>
      </c>
      <c r="I72" s="7">
        <v>1674</v>
      </c>
      <c r="J72" s="19"/>
      <c r="K72" s="18">
        <v>2500</v>
      </c>
      <c r="L72" s="19">
        <v>27</v>
      </c>
      <c r="M72" s="7">
        <v>1300</v>
      </c>
      <c r="N72" s="7">
        <v>1300</v>
      </c>
      <c r="O72" s="7">
        <v>1300</v>
      </c>
      <c r="P72" s="7"/>
      <c r="Q72" s="19">
        <v>100</v>
      </c>
      <c r="R72" s="316" t="s">
        <v>524</v>
      </c>
      <c r="V72" s="2">
        <v>1050</v>
      </c>
      <c r="W72" s="5">
        <v>52500</v>
      </c>
    </row>
    <row r="73" spans="2:29" ht="15" customHeight="1">
      <c r="B73" s="1" t="s">
        <v>35</v>
      </c>
      <c r="C73" s="133">
        <v>3.7037037037037042E-2</v>
      </c>
      <c r="D73" s="5">
        <v>130</v>
      </c>
      <c r="E73" s="18">
        <v>500</v>
      </c>
      <c r="F73" s="19">
        <v>85</v>
      </c>
      <c r="G73" s="7">
        <v>3348</v>
      </c>
      <c r="H73" s="7">
        <v>3348</v>
      </c>
      <c r="I73" s="7">
        <v>3348</v>
      </c>
      <c r="J73" s="19"/>
      <c r="K73" s="18">
        <v>2500</v>
      </c>
      <c r="L73" s="19">
        <v>45</v>
      </c>
      <c r="M73" s="7">
        <v>2300</v>
      </c>
      <c r="N73" s="7">
        <v>2300</v>
      </c>
      <c r="O73" s="7">
        <v>2300</v>
      </c>
      <c r="P73" s="7"/>
      <c r="Q73" s="19">
        <v>50</v>
      </c>
      <c r="R73" s="316" t="s">
        <v>545</v>
      </c>
      <c r="V73" s="2">
        <v>1400</v>
      </c>
      <c r="W73" s="5">
        <v>87500</v>
      </c>
    </row>
    <row r="74" spans="2:29" ht="15" customHeight="1">
      <c r="B74" s="1" t="s">
        <v>36</v>
      </c>
      <c r="C74" s="133">
        <v>7.407407407407407E-2</v>
      </c>
      <c r="D74" s="5">
        <v>300</v>
      </c>
      <c r="E74" s="18">
        <v>500</v>
      </c>
      <c r="F74" s="19">
        <v>125</v>
      </c>
      <c r="G74" s="7">
        <v>6696</v>
      </c>
      <c r="H74" s="7">
        <v>6696</v>
      </c>
      <c r="I74" s="7">
        <v>6696</v>
      </c>
      <c r="J74" s="19"/>
      <c r="K74" s="18">
        <v>2500</v>
      </c>
      <c r="L74" s="19">
        <v>70</v>
      </c>
      <c r="M74" s="7">
        <v>4100</v>
      </c>
      <c r="N74" s="7">
        <v>4100</v>
      </c>
      <c r="O74" s="7">
        <v>4100</v>
      </c>
      <c r="P74" s="7"/>
      <c r="Q74" s="19">
        <v>100</v>
      </c>
      <c r="R74" s="316" t="s">
        <v>546</v>
      </c>
      <c r="V74" s="2">
        <v>1800</v>
      </c>
      <c r="W74" s="5">
        <v>127500</v>
      </c>
    </row>
    <row r="75" spans="2:29" ht="15" customHeight="1">
      <c r="B75" s="1" t="s">
        <v>37</v>
      </c>
      <c r="C75" s="133">
        <v>0.14814814814814814</v>
      </c>
      <c r="D75" s="5">
        <v>300</v>
      </c>
      <c r="E75" s="18">
        <v>500</v>
      </c>
      <c r="F75" s="19">
        <v>190</v>
      </c>
      <c r="G75" s="7">
        <v>13392</v>
      </c>
      <c r="H75" s="7">
        <v>13392</v>
      </c>
      <c r="I75" s="7">
        <v>13392</v>
      </c>
      <c r="J75" s="19"/>
      <c r="K75" s="18">
        <v>10000</v>
      </c>
      <c r="L75" s="19">
        <v>107</v>
      </c>
      <c r="M75" s="7">
        <v>7400</v>
      </c>
      <c r="N75" s="7">
        <v>7400</v>
      </c>
      <c r="O75" s="7">
        <v>7400</v>
      </c>
      <c r="P75" s="7"/>
      <c r="Q75" s="19">
        <v>150</v>
      </c>
      <c r="R75" s="316" t="s">
        <v>547</v>
      </c>
      <c r="V75" s="2">
        <v>2250</v>
      </c>
      <c r="W75" s="5">
        <v>172500</v>
      </c>
    </row>
    <row r="76" spans="2:29" ht="15" customHeight="1">
      <c r="B76" s="1" t="s">
        <v>38</v>
      </c>
      <c r="C76" s="133">
        <v>0.29629629629629628</v>
      </c>
      <c r="D76" s="5">
        <v>650</v>
      </c>
      <c r="E76" s="18">
        <v>500</v>
      </c>
      <c r="F76" s="19">
        <v>285</v>
      </c>
      <c r="G76" s="7">
        <v>20088</v>
      </c>
      <c r="H76" s="7">
        <v>20088</v>
      </c>
      <c r="I76" s="7">
        <v>20088</v>
      </c>
      <c r="J76" s="19"/>
      <c r="K76" s="18">
        <v>10000</v>
      </c>
      <c r="L76" s="19">
        <v>165</v>
      </c>
      <c r="M76" s="7">
        <v>4017</v>
      </c>
      <c r="N76" s="7">
        <v>4017</v>
      </c>
      <c r="O76" s="7">
        <v>4017</v>
      </c>
      <c r="P76" s="7"/>
      <c r="Q76" s="19">
        <v>100</v>
      </c>
      <c r="R76" s="316" t="s">
        <v>548</v>
      </c>
      <c r="V76" s="2">
        <v>2750</v>
      </c>
      <c r="W76" s="5">
        <v>222500</v>
      </c>
    </row>
    <row r="77" spans="2:29" ht="15" customHeight="1">
      <c r="B77" s="1" t="s">
        <v>39</v>
      </c>
      <c r="C77" s="133">
        <v>0.35555555555555557</v>
      </c>
      <c r="D77" s="5">
        <v>650</v>
      </c>
      <c r="E77" s="18">
        <v>500</v>
      </c>
      <c r="F77" s="19">
        <v>430</v>
      </c>
      <c r="G77" s="7">
        <v>30132</v>
      </c>
      <c r="H77" s="7">
        <v>30132</v>
      </c>
      <c r="I77" s="7">
        <v>30132</v>
      </c>
      <c r="J77" s="19"/>
      <c r="K77" s="18">
        <v>20000</v>
      </c>
      <c r="L77" s="19">
        <v>250</v>
      </c>
      <c r="M77" s="7">
        <v>5478</v>
      </c>
      <c r="N77" s="7">
        <v>5478</v>
      </c>
      <c r="O77" s="7">
        <v>5478</v>
      </c>
      <c r="P77" s="7"/>
      <c r="Q77" s="19">
        <v>80</v>
      </c>
      <c r="R77" s="316" t="s">
        <v>549</v>
      </c>
      <c r="V77" s="2">
        <v>3300</v>
      </c>
      <c r="W77" s="5">
        <v>277500</v>
      </c>
    </row>
    <row r="78" spans="2:29" ht="15" customHeight="1">
      <c r="B78" s="1" t="s">
        <v>40</v>
      </c>
      <c r="E78" s="18"/>
      <c r="F78" s="19"/>
      <c r="G78" s="7"/>
      <c r="H78" s="7"/>
      <c r="I78" s="7"/>
      <c r="J78" s="19"/>
      <c r="K78" s="18"/>
      <c r="L78" s="19"/>
      <c r="M78" s="7"/>
      <c r="N78" s="7"/>
      <c r="O78" s="7"/>
      <c r="P78" s="7"/>
      <c r="Q78" s="19"/>
      <c r="R78" s="316" t="s">
        <v>550</v>
      </c>
      <c r="V78" s="2">
        <v>3900</v>
      </c>
      <c r="W78" s="5">
        <v>337500</v>
      </c>
    </row>
    <row r="79" spans="2:29" ht="15" customHeight="1">
      <c r="B79" s="1" t="s">
        <v>41</v>
      </c>
      <c r="E79" s="18"/>
      <c r="F79" s="19"/>
      <c r="G79" s="7"/>
      <c r="H79" s="7"/>
      <c r="I79" s="7"/>
      <c r="J79" s="19"/>
      <c r="K79" s="18"/>
      <c r="L79" s="19"/>
      <c r="M79" s="7"/>
      <c r="N79" s="7"/>
      <c r="O79" s="7"/>
      <c r="P79" s="7"/>
      <c r="Q79" s="19"/>
      <c r="R79" s="316" t="s">
        <v>551</v>
      </c>
      <c r="V79" s="2">
        <v>4550</v>
      </c>
      <c r="W79" s="5">
        <v>402500</v>
      </c>
    </row>
    <row r="80" spans="2:29" ht="15" customHeight="1">
      <c r="B80" s="1" t="s">
        <v>42</v>
      </c>
      <c r="E80" s="18"/>
      <c r="F80" s="19"/>
      <c r="G80" s="7"/>
      <c r="H80" s="7"/>
      <c r="I80" s="7"/>
      <c r="J80" s="19"/>
      <c r="K80" s="18"/>
      <c r="L80" s="19"/>
      <c r="M80" s="7"/>
      <c r="N80" s="7"/>
      <c r="O80" s="7"/>
      <c r="P80" s="7"/>
      <c r="Q80" s="19"/>
      <c r="R80" s="316" t="s">
        <v>552</v>
      </c>
      <c r="V80" s="2">
        <v>5250</v>
      </c>
      <c r="W80" s="5">
        <v>507500</v>
      </c>
    </row>
    <row r="81" spans="2:29" ht="15" customHeight="1">
      <c r="B81" s="1" t="s">
        <v>43</v>
      </c>
      <c r="E81" s="18"/>
      <c r="F81" s="19"/>
      <c r="G81" s="7"/>
      <c r="H81" s="7"/>
      <c r="I81" s="7"/>
      <c r="J81" s="19"/>
      <c r="K81" s="18"/>
      <c r="L81" s="19"/>
      <c r="M81" s="7"/>
      <c r="N81" s="7"/>
      <c r="O81" s="7"/>
      <c r="P81" s="7"/>
      <c r="Q81" s="19"/>
      <c r="R81" s="316" t="s">
        <v>553</v>
      </c>
      <c r="V81" s="2">
        <v>6000</v>
      </c>
      <c r="W81" s="5">
        <v>620000</v>
      </c>
    </row>
    <row r="82" spans="2:29" ht="15" customHeight="1">
      <c r="B82" s="1" t="s">
        <v>44</v>
      </c>
      <c r="E82" s="18"/>
      <c r="F82" s="19"/>
      <c r="G82" s="7"/>
      <c r="H82" s="7"/>
      <c r="I82" s="7"/>
      <c r="J82" s="19"/>
      <c r="K82" s="18"/>
      <c r="L82" s="19"/>
      <c r="M82" s="7"/>
      <c r="N82" s="7"/>
      <c r="O82" s="7"/>
      <c r="P82" s="7"/>
      <c r="Q82" s="19"/>
      <c r="R82" s="316" t="s">
        <v>554</v>
      </c>
      <c r="V82" s="2">
        <v>6800</v>
      </c>
      <c r="W82" s="5">
        <v>740000</v>
      </c>
    </row>
    <row r="83" spans="2:29" ht="15" customHeight="1">
      <c r="B83" s="1" t="s">
        <v>45</v>
      </c>
      <c r="E83" s="18"/>
      <c r="F83" s="19"/>
      <c r="G83" s="7"/>
      <c r="H83" s="7"/>
      <c r="I83" s="7"/>
      <c r="J83" s="19"/>
      <c r="K83" s="18"/>
      <c r="L83" s="19"/>
      <c r="M83" s="7"/>
      <c r="N83" s="7"/>
      <c r="O83" s="7"/>
      <c r="P83" s="7"/>
      <c r="Q83" s="19"/>
      <c r="R83" s="316" t="s">
        <v>555</v>
      </c>
      <c r="V83" s="2">
        <v>7650</v>
      </c>
      <c r="W83" s="5">
        <v>867500</v>
      </c>
    </row>
    <row r="84" spans="2:29" ht="15" customHeight="1">
      <c r="B84" s="3" t="s">
        <v>46</v>
      </c>
      <c r="C84" s="140"/>
      <c r="E84" s="18"/>
      <c r="F84" s="19"/>
      <c r="G84" s="18"/>
      <c r="H84" s="18"/>
      <c r="I84" s="18"/>
      <c r="J84" s="19"/>
      <c r="K84" s="18"/>
      <c r="L84" s="19"/>
      <c r="M84" s="18"/>
      <c r="N84" s="18"/>
      <c r="O84" s="18"/>
      <c r="P84" s="18"/>
      <c r="Q84" s="19"/>
      <c r="R84" s="316" t="s">
        <v>556</v>
      </c>
      <c r="V84" s="11">
        <v>8550</v>
      </c>
      <c r="W84" s="5">
        <v>1002500</v>
      </c>
      <c r="X84" s="155"/>
      <c r="Z84" s="155"/>
      <c r="AB84" s="155"/>
    </row>
    <row r="85" spans="2:29" ht="15" customHeight="1">
      <c r="B85" s="3" t="s">
        <v>47</v>
      </c>
      <c r="C85" s="140"/>
      <c r="E85" s="18"/>
      <c r="F85" s="19"/>
      <c r="G85" s="18"/>
      <c r="H85" s="18"/>
      <c r="I85" s="18"/>
      <c r="J85" s="19"/>
      <c r="K85" s="18"/>
      <c r="L85" s="19"/>
      <c r="M85" s="18"/>
      <c r="N85" s="18"/>
      <c r="O85" s="18"/>
      <c r="P85" s="18"/>
      <c r="Q85" s="19"/>
      <c r="R85" s="316" t="s">
        <v>557</v>
      </c>
      <c r="V85" s="11">
        <v>9500</v>
      </c>
      <c r="W85" s="5">
        <v>1145000</v>
      </c>
      <c r="X85" s="155"/>
      <c r="Z85" s="155"/>
      <c r="AB85" s="155"/>
    </row>
    <row r="86" spans="2:29" ht="15" customHeight="1">
      <c r="B86" s="3" t="s">
        <v>48</v>
      </c>
      <c r="C86" s="140"/>
      <c r="E86" s="18"/>
      <c r="F86" s="19"/>
      <c r="G86" s="18"/>
      <c r="H86" s="18"/>
      <c r="I86" s="18"/>
      <c r="J86" s="19"/>
      <c r="K86" s="18"/>
      <c r="L86" s="19"/>
      <c r="M86" s="18"/>
      <c r="N86" s="18"/>
      <c r="O86" s="18"/>
      <c r="P86" s="18"/>
      <c r="Q86" s="19"/>
      <c r="R86" s="316" t="s">
        <v>558</v>
      </c>
      <c r="V86" s="11">
        <v>10500</v>
      </c>
      <c r="W86" s="5">
        <v>1295000</v>
      </c>
      <c r="X86" s="155"/>
      <c r="Z86" s="155"/>
      <c r="AB86" s="155"/>
    </row>
    <row r="87" spans="2:29" ht="15" customHeight="1">
      <c r="B87" s="34" t="s">
        <v>49</v>
      </c>
      <c r="C87" s="480"/>
      <c r="D87" s="24"/>
      <c r="E87" s="25"/>
      <c r="F87" s="26"/>
      <c r="G87" s="25"/>
      <c r="H87" s="25"/>
      <c r="I87" s="25"/>
      <c r="J87" s="26"/>
      <c r="K87" s="25"/>
      <c r="L87" s="26"/>
      <c r="M87" s="25"/>
      <c r="N87" s="25"/>
      <c r="O87" s="25"/>
      <c r="P87" s="25"/>
      <c r="Q87" s="26"/>
      <c r="R87" s="196" t="s">
        <v>559</v>
      </c>
      <c r="S87" s="34"/>
      <c r="T87" s="34"/>
      <c r="U87" s="89"/>
      <c r="V87" s="27">
        <v>21000</v>
      </c>
      <c r="W87" s="24">
        <v>1505000</v>
      </c>
      <c r="X87" s="154"/>
      <c r="Y87" s="24"/>
      <c r="Z87" s="154"/>
      <c r="AA87" s="24"/>
      <c r="AB87" s="154"/>
      <c r="AC87" s="173"/>
    </row>
    <row r="88" spans="2:29" ht="15" customHeight="1">
      <c r="B88" s="1" t="s">
        <v>26</v>
      </c>
      <c r="C88" s="133">
        <v>6.9444444444444447E-4</v>
      </c>
      <c r="D88" s="5">
        <v>1</v>
      </c>
      <c r="E88" s="18">
        <v>10</v>
      </c>
      <c r="F88" s="19">
        <v>5</v>
      </c>
      <c r="G88" s="7">
        <v>100</v>
      </c>
      <c r="H88" s="7"/>
      <c r="I88" s="7">
        <v>100</v>
      </c>
      <c r="J88" s="19">
        <v>100</v>
      </c>
      <c r="K88" s="18">
        <v>2525</v>
      </c>
      <c r="L88" s="19">
        <v>2</v>
      </c>
      <c r="M88" s="7"/>
      <c r="N88" s="7">
        <v>3000</v>
      </c>
      <c r="O88" s="7"/>
      <c r="P88" s="7"/>
      <c r="Q88" s="19"/>
      <c r="R88" s="315"/>
      <c r="V88" s="2">
        <v>40</v>
      </c>
      <c r="W88" s="5">
        <v>2000</v>
      </c>
    </row>
    <row r="89" spans="2:29" ht="15" customHeight="1">
      <c r="B89" s="121" t="s">
        <v>197</v>
      </c>
      <c r="C89" s="133">
        <v>1.3888888888888889E-3</v>
      </c>
      <c r="D89" s="5">
        <v>1</v>
      </c>
      <c r="E89" s="18">
        <v>25</v>
      </c>
      <c r="F89" s="19">
        <v>10</v>
      </c>
      <c r="G89" s="7">
        <v>170</v>
      </c>
      <c r="H89" s="7"/>
      <c r="I89" s="7">
        <v>170</v>
      </c>
      <c r="J89" s="19">
        <v>170</v>
      </c>
      <c r="K89" s="18">
        <v>2575</v>
      </c>
      <c r="L89" s="19">
        <v>2</v>
      </c>
      <c r="M89" s="7"/>
      <c r="N89" s="7">
        <v>5000</v>
      </c>
      <c r="O89" s="7"/>
      <c r="P89" s="7"/>
      <c r="Q89" s="19"/>
      <c r="R89" s="315"/>
      <c r="U89" s="117"/>
      <c r="V89" s="2">
        <v>120</v>
      </c>
      <c r="W89" s="5">
        <v>6000</v>
      </c>
    </row>
    <row r="90" spans="2:29" ht="15" customHeight="1">
      <c r="B90" s="169" t="s">
        <v>410</v>
      </c>
      <c r="C90" s="133">
        <v>2.7777777777777779E-3</v>
      </c>
      <c r="D90" s="5">
        <v>1</v>
      </c>
      <c r="E90" s="18">
        <v>50</v>
      </c>
      <c r="F90" s="19">
        <v>15</v>
      </c>
      <c r="G90" s="7">
        <v>289</v>
      </c>
      <c r="H90" s="7"/>
      <c r="I90" s="7">
        <v>289</v>
      </c>
      <c r="J90" s="19">
        <v>289</v>
      </c>
      <c r="K90" s="18">
        <v>2600</v>
      </c>
      <c r="L90" s="19">
        <v>5</v>
      </c>
      <c r="M90" s="7"/>
      <c r="N90" s="7">
        <v>6300</v>
      </c>
      <c r="O90" s="7"/>
      <c r="P90" s="7"/>
      <c r="Q90" s="19"/>
      <c r="R90" s="315"/>
      <c r="S90" s="169"/>
      <c r="T90" s="169"/>
      <c r="U90" s="168"/>
      <c r="V90" s="2">
        <v>240</v>
      </c>
      <c r="W90" s="5">
        <v>12000</v>
      </c>
    </row>
    <row r="91" spans="2:29" ht="15" customHeight="1">
      <c r="B91" s="169" t="s">
        <v>411</v>
      </c>
      <c r="C91" s="133">
        <v>5.5555555555555558E-3</v>
      </c>
      <c r="D91" s="5">
        <v>70</v>
      </c>
      <c r="E91" s="18">
        <v>200</v>
      </c>
      <c r="F91" s="19">
        <v>25</v>
      </c>
      <c r="G91" s="7">
        <v>492</v>
      </c>
      <c r="H91" s="7"/>
      <c r="I91" s="7">
        <v>492</v>
      </c>
      <c r="J91" s="19">
        <v>492</v>
      </c>
      <c r="K91" s="18">
        <v>2650</v>
      </c>
      <c r="L91" s="19">
        <v>10</v>
      </c>
      <c r="M91" s="7">
        <v>1200</v>
      </c>
      <c r="N91" s="7">
        <v>6400</v>
      </c>
      <c r="O91" s="7">
        <v>1200</v>
      </c>
      <c r="P91" s="7">
        <v>1200</v>
      </c>
      <c r="Q91" s="19">
        <v>50</v>
      </c>
      <c r="R91" s="315"/>
      <c r="S91" s="169"/>
      <c r="T91" s="169"/>
      <c r="U91" s="168"/>
      <c r="V91" s="2">
        <v>400</v>
      </c>
      <c r="W91" s="5">
        <v>20000</v>
      </c>
    </row>
    <row r="92" spans="2:29" ht="15" customHeight="1">
      <c r="B92" s="169" t="s">
        <v>412</v>
      </c>
      <c r="C92" s="133">
        <v>1.1111111111111112E-2</v>
      </c>
      <c r="D92" s="5">
        <v>70</v>
      </c>
      <c r="E92" s="18">
        <v>400</v>
      </c>
      <c r="F92" s="19">
        <v>35</v>
      </c>
      <c r="G92" s="7">
        <v>837</v>
      </c>
      <c r="H92" s="7"/>
      <c r="I92" s="7">
        <v>837</v>
      </c>
      <c r="J92" s="19">
        <v>837</v>
      </c>
      <c r="K92" s="18">
        <v>2675</v>
      </c>
      <c r="L92" s="19">
        <v>17</v>
      </c>
      <c r="M92" s="7">
        <v>1800</v>
      </c>
      <c r="N92" s="7">
        <v>0</v>
      </c>
      <c r="O92" s="7">
        <v>1800</v>
      </c>
      <c r="P92" s="7">
        <v>1800</v>
      </c>
      <c r="Q92" s="19">
        <v>50</v>
      </c>
      <c r="R92" s="315"/>
      <c r="S92" s="169"/>
      <c r="T92" s="169"/>
      <c r="U92" s="168"/>
      <c r="V92" s="2">
        <v>600</v>
      </c>
      <c r="W92" s="5">
        <v>30000</v>
      </c>
    </row>
    <row r="93" spans="2:29" ht="15" customHeight="1">
      <c r="B93" s="169" t="s">
        <v>413</v>
      </c>
      <c r="C93" s="133">
        <v>2.2222222222222223E-2</v>
      </c>
      <c r="D93" s="5">
        <v>130</v>
      </c>
      <c r="E93" s="18">
        <v>500</v>
      </c>
      <c r="F93" s="19">
        <v>55</v>
      </c>
      <c r="G93" s="7">
        <v>1674</v>
      </c>
      <c r="H93" s="7"/>
      <c r="I93" s="7">
        <v>1674</v>
      </c>
      <c r="J93" s="19">
        <v>1674</v>
      </c>
      <c r="K93" s="18">
        <v>2500</v>
      </c>
      <c r="L93" s="19">
        <v>27</v>
      </c>
      <c r="M93" s="7">
        <v>1300</v>
      </c>
      <c r="N93" s="7">
        <v>0</v>
      </c>
      <c r="O93" s="7">
        <v>1300</v>
      </c>
      <c r="P93" s="7">
        <v>1300</v>
      </c>
      <c r="Q93" s="19">
        <v>100</v>
      </c>
      <c r="R93" s="316" t="s">
        <v>482</v>
      </c>
      <c r="S93" s="169"/>
      <c r="T93" s="169"/>
      <c r="U93" s="168"/>
      <c r="V93" s="2">
        <v>840</v>
      </c>
      <c r="W93" s="5">
        <v>42000</v>
      </c>
    </row>
    <row r="94" spans="2:29" ht="15" customHeight="1">
      <c r="B94" s="169" t="s">
        <v>414</v>
      </c>
      <c r="C94" s="133">
        <v>4.4444444444444446E-2</v>
      </c>
      <c r="D94" s="5">
        <v>130</v>
      </c>
      <c r="E94" s="18">
        <v>500</v>
      </c>
      <c r="F94" s="19">
        <v>85</v>
      </c>
      <c r="G94" s="7">
        <v>3348</v>
      </c>
      <c r="H94" s="7"/>
      <c r="I94" s="7">
        <v>3348</v>
      </c>
      <c r="J94" s="19">
        <v>3348</v>
      </c>
      <c r="K94" s="18">
        <v>2500</v>
      </c>
      <c r="L94" s="19">
        <v>45</v>
      </c>
      <c r="M94" s="7">
        <v>2300</v>
      </c>
      <c r="N94" s="7">
        <v>0</v>
      </c>
      <c r="O94" s="7">
        <v>2300</v>
      </c>
      <c r="P94" s="7">
        <v>2300</v>
      </c>
      <c r="Q94" s="19">
        <v>50</v>
      </c>
      <c r="R94" s="316" t="s">
        <v>545</v>
      </c>
      <c r="S94" s="169"/>
      <c r="T94" s="169"/>
      <c r="U94" s="168"/>
      <c r="V94" s="2">
        <v>1120</v>
      </c>
      <c r="W94" s="5">
        <v>70000</v>
      </c>
    </row>
    <row r="95" spans="2:29" ht="15" customHeight="1">
      <c r="B95" s="169" t="s">
        <v>415</v>
      </c>
      <c r="C95" s="133">
        <v>8.8888888888888892E-2</v>
      </c>
      <c r="D95" s="5">
        <v>300</v>
      </c>
      <c r="E95" s="18">
        <v>500</v>
      </c>
      <c r="F95" s="19">
        <v>125</v>
      </c>
      <c r="G95" s="7">
        <v>6696</v>
      </c>
      <c r="H95" s="7"/>
      <c r="I95" s="7">
        <v>6696</v>
      </c>
      <c r="J95" s="19">
        <v>6696</v>
      </c>
      <c r="K95" s="18">
        <v>2500</v>
      </c>
      <c r="L95" s="19">
        <v>70</v>
      </c>
      <c r="M95" s="7">
        <v>4100</v>
      </c>
      <c r="N95" s="7">
        <v>0</v>
      </c>
      <c r="O95" s="7">
        <v>4100</v>
      </c>
      <c r="P95" s="7">
        <v>4100</v>
      </c>
      <c r="Q95" s="19">
        <v>100</v>
      </c>
      <c r="R95" s="316" t="s">
        <v>546</v>
      </c>
      <c r="S95" s="169"/>
      <c r="T95" s="169"/>
      <c r="U95" s="168"/>
      <c r="V95" s="2">
        <v>1440</v>
      </c>
      <c r="W95" s="5">
        <v>102000</v>
      </c>
    </row>
    <row r="96" spans="2:29" ht="15" customHeight="1">
      <c r="B96" s="169" t="s">
        <v>416</v>
      </c>
      <c r="C96" s="133">
        <v>0.17777777777777778</v>
      </c>
      <c r="D96" s="5">
        <v>300</v>
      </c>
      <c r="E96" s="18">
        <v>500</v>
      </c>
      <c r="F96" s="19">
        <v>190</v>
      </c>
      <c r="G96" s="7">
        <v>13392</v>
      </c>
      <c r="H96" s="7"/>
      <c r="I96" s="7">
        <v>13392</v>
      </c>
      <c r="J96" s="19">
        <v>13392</v>
      </c>
      <c r="K96" s="18">
        <v>10000</v>
      </c>
      <c r="L96" s="19">
        <v>107</v>
      </c>
      <c r="M96" s="7">
        <v>7400</v>
      </c>
      <c r="N96" s="7">
        <v>0</v>
      </c>
      <c r="O96" s="7">
        <v>7400</v>
      </c>
      <c r="P96" s="7">
        <v>7400</v>
      </c>
      <c r="Q96" s="19">
        <v>150</v>
      </c>
      <c r="R96" s="316" t="s">
        <v>547</v>
      </c>
      <c r="S96" s="169"/>
      <c r="T96" s="169"/>
      <c r="U96" s="168"/>
      <c r="V96" s="2">
        <v>1800</v>
      </c>
      <c r="W96" s="5">
        <v>138000</v>
      </c>
    </row>
    <row r="97" spans="2:29" ht="15" customHeight="1">
      <c r="B97" s="169" t="s">
        <v>417</v>
      </c>
      <c r="C97" s="133">
        <v>0.35555555555555557</v>
      </c>
      <c r="D97" s="5">
        <v>650</v>
      </c>
      <c r="E97" s="18">
        <v>500</v>
      </c>
      <c r="F97" s="19">
        <v>285</v>
      </c>
      <c r="G97" s="7">
        <v>20088</v>
      </c>
      <c r="H97" s="7"/>
      <c r="I97" s="7">
        <v>20088</v>
      </c>
      <c r="J97" s="19">
        <v>20088</v>
      </c>
      <c r="K97" s="18">
        <v>10000</v>
      </c>
      <c r="L97" s="19">
        <v>165</v>
      </c>
      <c r="M97" s="7">
        <v>4017</v>
      </c>
      <c r="N97" s="7">
        <v>0</v>
      </c>
      <c r="O97" s="7">
        <v>4017</v>
      </c>
      <c r="P97" s="7">
        <v>4017</v>
      </c>
      <c r="Q97" s="19">
        <v>100</v>
      </c>
      <c r="R97" s="316" t="s">
        <v>548</v>
      </c>
      <c r="S97" s="169"/>
      <c r="T97" s="169"/>
      <c r="U97" s="168"/>
      <c r="V97" s="2">
        <v>2200</v>
      </c>
      <c r="W97" s="5">
        <v>178000</v>
      </c>
    </row>
    <row r="98" spans="2:29" ht="15" customHeight="1">
      <c r="B98" s="169" t="s">
        <v>418</v>
      </c>
      <c r="C98" s="133">
        <v>0.42666666666666669</v>
      </c>
      <c r="D98" s="5">
        <v>650</v>
      </c>
      <c r="E98" s="18">
        <v>500</v>
      </c>
      <c r="F98" s="19">
        <v>430</v>
      </c>
      <c r="G98" s="7">
        <v>30132</v>
      </c>
      <c r="H98" s="7"/>
      <c r="I98" s="7">
        <v>30132</v>
      </c>
      <c r="J98" s="19">
        <v>30132</v>
      </c>
      <c r="K98" s="18">
        <v>20000</v>
      </c>
      <c r="L98" s="19">
        <v>250</v>
      </c>
      <c r="M98" s="7">
        <v>5478</v>
      </c>
      <c r="N98" s="7">
        <v>0</v>
      </c>
      <c r="O98" s="7">
        <v>5478</v>
      </c>
      <c r="P98" s="7">
        <v>5478</v>
      </c>
      <c r="Q98" s="19">
        <v>80</v>
      </c>
      <c r="R98" s="316" t="s">
        <v>549</v>
      </c>
      <c r="S98" s="169"/>
      <c r="T98" s="169"/>
      <c r="U98" s="168"/>
      <c r="V98" s="2">
        <v>2640</v>
      </c>
      <c r="W98" s="5">
        <v>222000</v>
      </c>
    </row>
    <row r="99" spans="2:29" ht="15" customHeight="1">
      <c r="B99" s="169" t="s">
        <v>419</v>
      </c>
      <c r="E99" s="18"/>
      <c r="F99" s="19"/>
      <c r="G99" s="7"/>
      <c r="H99" s="7"/>
      <c r="I99" s="7"/>
      <c r="J99" s="19"/>
      <c r="K99" s="18"/>
      <c r="L99" s="19"/>
      <c r="M99" s="7"/>
      <c r="N99" s="7"/>
      <c r="O99" s="7"/>
      <c r="P99" s="7"/>
      <c r="Q99" s="19"/>
      <c r="R99" s="316" t="s">
        <v>550</v>
      </c>
      <c r="S99" s="169"/>
      <c r="T99" s="169"/>
      <c r="U99" s="168"/>
      <c r="V99" s="2">
        <v>3120</v>
      </c>
      <c r="W99" s="5">
        <v>270000</v>
      </c>
    </row>
    <row r="100" spans="2:29" ht="15" customHeight="1">
      <c r="B100" s="169" t="s">
        <v>420</v>
      </c>
      <c r="E100" s="18"/>
      <c r="F100" s="19"/>
      <c r="G100" s="7"/>
      <c r="H100" s="7"/>
      <c r="I100" s="7"/>
      <c r="J100" s="19"/>
      <c r="K100" s="18"/>
      <c r="L100" s="19"/>
      <c r="M100" s="7"/>
      <c r="N100" s="7"/>
      <c r="O100" s="7"/>
      <c r="P100" s="7"/>
      <c r="Q100" s="19"/>
      <c r="R100" s="316" t="s">
        <v>551</v>
      </c>
      <c r="S100" s="169"/>
      <c r="T100" s="169"/>
      <c r="U100" s="168"/>
      <c r="V100" s="2">
        <v>3640</v>
      </c>
      <c r="W100" s="5">
        <v>322000</v>
      </c>
    </row>
    <row r="101" spans="2:29" ht="15" customHeight="1">
      <c r="B101" s="169" t="s">
        <v>421</v>
      </c>
      <c r="E101" s="18"/>
      <c r="F101" s="19"/>
      <c r="G101" s="7"/>
      <c r="H101" s="7"/>
      <c r="I101" s="7"/>
      <c r="J101" s="19"/>
      <c r="K101" s="18"/>
      <c r="L101" s="19"/>
      <c r="M101" s="7"/>
      <c r="N101" s="7"/>
      <c r="O101" s="7"/>
      <c r="P101" s="7"/>
      <c r="Q101" s="19"/>
      <c r="R101" s="316" t="s">
        <v>552</v>
      </c>
      <c r="S101" s="169"/>
      <c r="T101" s="169"/>
      <c r="U101" s="168"/>
      <c r="V101" s="2">
        <v>4200</v>
      </c>
      <c r="W101" s="5">
        <v>406000</v>
      </c>
    </row>
    <row r="102" spans="2:29" ht="15" customHeight="1">
      <c r="B102" s="169" t="s">
        <v>422</v>
      </c>
      <c r="E102" s="18"/>
      <c r="F102" s="19"/>
      <c r="G102" s="7"/>
      <c r="H102" s="7"/>
      <c r="I102" s="7"/>
      <c r="J102" s="19"/>
      <c r="K102" s="18"/>
      <c r="L102" s="19"/>
      <c r="M102" s="7"/>
      <c r="N102" s="7"/>
      <c r="O102" s="7"/>
      <c r="P102" s="7"/>
      <c r="Q102" s="19"/>
      <c r="R102" s="316" t="s">
        <v>553</v>
      </c>
      <c r="U102" s="117"/>
      <c r="V102" s="2">
        <v>4800</v>
      </c>
      <c r="W102" s="5">
        <v>496000</v>
      </c>
    </row>
    <row r="103" spans="2:29" ht="15" customHeight="1">
      <c r="B103" s="169" t="s">
        <v>423</v>
      </c>
      <c r="E103" s="18"/>
      <c r="F103" s="19"/>
      <c r="G103" s="7"/>
      <c r="H103" s="7"/>
      <c r="I103" s="7"/>
      <c r="J103" s="19"/>
      <c r="K103" s="18"/>
      <c r="L103" s="19"/>
      <c r="M103" s="7"/>
      <c r="N103" s="7"/>
      <c r="O103" s="7"/>
      <c r="P103" s="7"/>
      <c r="Q103" s="19"/>
      <c r="R103" s="316" t="s">
        <v>554</v>
      </c>
      <c r="U103" s="117"/>
      <c r="V103" s="2">
        <v>5440</v>
      </c>
      <c r="W103" s="5">
        <v>592000</v>
      </c>
    </row>
    <row r="104" spans="2:29" ht="15" customHeight="1">
      <c r="B104" s="169" t="s">
        <v>424</v>
      </c>
      <c r="E104" s="18"/>
      <c r="F104" s="19"/>
      <c r="G104" s="7"/>
      <c r="H104" s="7"/>
      <c r="I104" s="7"/>
      <c r="J104" s="19"/>
      <c r="K104" s="18"/>
      <c r="L104" s="19"/>
      <c r="M104" s="7"/>
      <c r="N104" s="7"/>
      <c r="O104" s="7"/>
      <c r="P104" s="7"/>
      <c r="Q104" s="19"/>
      <c r="R104" s="316" t="s">
        <v>555</v>
      </c>
      <c r="S104" s="169"/>
      <c r="T104" s="169"/>
      <c r="U104" s="168"/>
      <c r="V104" s="2">
        <v>6120</v>
      </c>
      <c r="W104" s="5">
        <v>694000</v>
      </c>
    </row>
    <row r="105" spans="2:29" ht="15" customHeight="1">
      <c r="B105" s="169" t="s">
        <v>425</v>
      </c>
      <c r="E105" s="18"/>
      <c r="F105" s="19"/>
      <c r="G105" s="7"/>
      <c r="H105" s="7"/>
      <c r="I105" s="7"/>
      <c r="J105" s="19"/>
      <c r="K105" s="18"/>
      <c r="L105" s="19"/>
      <c r="M105" s="7"/>
      <c r="N105" s="7"/>
      <c r="O105" s="7"/>
      <c r="P105" s="7"/>
      <c r="Q105" s="19"/>
      <c r="R105" s="316" t="s">
        <v>556</v>
      </c>
      <c r="S105" s="169"/>
      <c r="T105" s="169"/>
      <c r="U105" s="168"/>
      <c r="V105" s="11">
        <v>6840</v>
      </c>
      <c r="W105" s="5">
        <v>802000</v>
      </c>
    </row>
    <row r="106" spans="2:29" ht="15" customHeight="1">
      <c r="B106" s="167" t="s">
        <v>426</v>
      </c>
      <c r="C106" s="140"/>
      <c r="E106" s="18"/>
      <c r="F106" s="19"/>
      <c r="G106" s="18"/>
      <c r="H106" s="18"/>
      <c r="I106" s="18"/>
      <c r="J106" s="19"/>
      <c r="K106" s="18"/>
      <c r="L106" s="19"/>
      <c r="M106" s="18"/>
      <c r="N106" s="18"/>
      <c r="O106" s="18"/>
      <c r="P106" s="18"/>
      <c r="Q106" s="19"/>
      <c r="R106" s="316" t="s">
        <v>557</v>
      </c>
      <c r="S106" s="167"/>
      <c r="T106" s="167"/>
      <c r="U106" s="168"/>
      <c r="V106" s="11">
        <v>7600</v>
      </c>
      <c r="W106" s="5">
        <v>916000</v>
      </c>
      <c r="X106" s="155"/>
      <c r="Z106" s="155"/>
      <c r="AB106" s="155"/>
    </row>
    <row r="107" spans="2:29" ht="15" customHeight="1">
      <c r="B107" s="167" t="s">
        <v>427</v>
      </c>
      <c r="C107" s="140"/>
      <c r="E107" s="18"/>
      <c r="F107" s="19"/>
      <c r="G107" s="18"/>
      <c r="H107" s="18"/>
      <c r="I107" s="18"/>
      <c r="J107" s="19"/>
      <c r="K107" s="18"/>
      <c r="L107" s="19"/>
      <c r="M107" s="18"/>
      <c r="N107" s="18"/>
      <c r="O107" s="18"/>
      <c r="P107" s="18"/>
      <c r="Q107" s="19"/>
      <c r="R107" s="316" t="s">
        <v>558</v>
      </c>
      <c r="S107" s="167"/>
      <c r="T107" s="167"/>
      <c r="U107" s="168"/>
      <c r="V107" s="11">
        <v>8400</v>
      </c>
      <c r="W107" s="5">
        <v>1036000</v>
      </c>
      <c r="X107" s="155"/>
      <c r="Z107" s="155"/>
      <c r="AB107" s="155"/>
    </row>
    <row r="108" spans="2:29" ht="15" customHeight="1">
      <c r="B108" s="34" t="s">
        <v>428</v>
      </c>
      <c r="C108" s="480"/>
      <c r="D108" s="24"/>
      <c r="E108" s="25"/>
      <c r="F108" s="26"/>
      <c r="G108" s="25"/>
      <c r="H108" s="25"/>
      <c r="I108" s="25"/>
      <c r="J108" s="26"/>
      <c r="K108" s="25"/>
      <c r="L108" s="26"/>
      <c r="M108" s="25"/>
      <c r="N108" s="25"/>
      <c r="O108" s="25"/>
      <c r="P108" s="25"/>
      <c r="Q108" s="26"/>
      <c r="R108" s="196" t="s">
        <v>559</v>
      </c>
      <c r="S108" s="34"/>
      <c r="T108" s="34"/>
      <c r="U108" s="89"/>
      <c r="V108" s="27">
        <v>16800</v>
      </c>
      <c r="W108" s="24">
        <v>1204000</v>
      </c>
      <c r="X108" s="154"/>
      <c r="Y108" s="24"/>
      <c r="Z108" s="154"/>
      <c r="AA108" s="24"/>
      <c r="AB108" s="154"/>
      <c r="AC108" s="173"/>
    </row>
    <row r="109" spans="2:29" ht="15" customHeight="1">
      <c r="B109" s="118" t="s">
        <v>174</v>
      </c>
      <c r="C109" s="133">
        <v>6.9444444444444447E-4</v>
      </c>
      <c r="D109" s="5">
        <v>1</v>
      </c>
      <c r="E109" s="18">
        <v>10</v>
      </c>
      <c r="F109" s="19">
        <v>5</v>
      </c>
      <c r="G109" s="7"/>
      <c r="H109" s="7">
        <v>100</v>
      </c>
      <c r="I109" s="7">
        <v>100</v>
      </c>
      <c r="J109" s="19">
        <v>100</v>
      </c>
      <c r="K109" s="18">
        <v>2525</v>
      </c>
      <c r="L109" s="19">
        <v>2</v>
      </c>
      <c r="M109" s="7">
        <v>3000</v>
      </c>
      <c r="N109" s="7"/>
      <c r="O109" s="7"/>
      <c r="P109" s="7"/>
      <c r="Q109" s="19"/>
      <c r="R109" s="315"/>
      <c r="U109" s="117"/>
      <c r="V109" s="2">
        <v>40</v>
      </c>
      <c r="W109" s="5">
        <v>2000</v>
      </c>
    </row>
    <row r="110" spans="2:29" ht="15" customHeight="1">
      <c r="B110" s="152" t="s">
        <v>211</v>
      </c>
      <c r="C110" s="133">
        <v>1.6203703703703703E-3</v>
      </c>
      <c r="D110" s="5">
        <v>1</v>
      </c>
      <c r="E110" s="18">
        <v>25</v>
      </c>
      <c r="F110" s="19">
        <v>10</v>
      </c>
      <c r="G110" s="7"/>
      <c r="H110" s="7">
        <v>170</v>
      </c>
      <c r="I110" s="7">
        <v>170</v>
      </c>
      <c r="J110" s="19">
        <v>170</v>
      </c>
      <c r="K110" s="18">
        <v>2575</v>
      </c>
      <c r="L110" s="19">
        <v>2</v>
      </c>
      <c r="M110" s="7">
        <v>5000</v>
      </c>
      <c r="N110" s="7"/>
      <c r="O110" s="7"/>
      <c r="P110" s="7"/>
      <c r="Q110" s="19"/>
      <c r="R110" s="315"/>
      <c r="U110" s="117"/>
      <c r="V110" s="2">
        <v>120</v>
      </c>
      <c r="W110" s="5">
        <v>6000</v>
      </c>
    </row>
    <row r="111" spans="2:29" ht="15" customHeight="1">
      <c r="B111" s="169" t="s">
        <v>408</v>
      </c>
      <c r="C111" s="133">
        <v>3.2407407407407406E-3</v>
      </c>
      <c r="D111" s="5">
        <v>1</v>
      </c>
      <c r="E111" s="18">
        <v>50</v>
      </c>
      <c r="F111" s="19">
        <v>15</v>
      </c>
      <c r="G111" s="7"/>
      <c r="H111" s="7">
        <v>289</v>
      </c>
      <c r="I111" s="7">
        <v>289</v>
      </c>
      <c r="J111" s="19">
        <v>289</v>
      </c>
      <c r="K111" s="18">
        <v>2600</v>
      </c>
      <c r="L111" s="19">
        <v>5</v>
      </c>
      <c r="M111" s="7">
        <v>6300</v>
      </c>
      <c r="N111" s="7"/>
      <c r="O111" s="7"/>
      <c r="P111" s="7"/>
      <c r="Q111" s="19"/>
      <c r="R111" s="315"/>
      <c r="S111" s="169"/>
      <c r="T111" s="169"/>
      <c r="U111" s="168"/>
      <c r="V111" s="2">
        <v>240</v>
      </c>
      <c r="W111" s="5">
        <v>12000</v>
      </c>
    </row>
    <row r="112" spans="2:29" ht="15" customHeight="1">
      <c r="B112" s="169" t="s">
        <v>429</v>
      </c>
      <c r="C112" s="133">
        <v>6.4814814814814813E-3</v>
      </c>
      <c r="D112" s="5">
        <v>1</v>
      </c>
      <c r="E112" s="18">
        <v>200</v>
      </c>
      <c r="F112" s="19">
        <v>25</v>
      </c>
      <c r="G112" s="7"/>
      <c r="H112" s="7">
        <v>492</v>
      </c>
      <c r="I112" s="7">
        <v>492</v>
      </c>
      <c r="J112" s="19">
        <v>492</v>
      </c>
      <c r="K112" s="18">
        <v>2650</v>
      </c>
      <c r="L112" s="19">
        <v>10</v>
      </c>
      <c r="M112" s="7">
        <v>6400</v>
      </c>
      <c r="N112" s="7">
        <v>1200</v>
      </c>
      <c r="O112" s="7">
        <v>1200</v>
      </c>
      <c r="P112" s="7">
        <v>1200</v>
      </c>
      <c r="Q112" s="19">
        <v>50</v>
      </c>
      <c r="R112" s="315"/>
      <c r="S112" s="169"/>
      <c r="T112" s="169"/>
      <c r="U112" s="168"/>
      <c r="V112" s="2">
        <v>400</v>
      </c>
      <c r="W112" s="5">
        <v>20000</v>
      </c>
    </row>
    <row r="113" spans="2:28" ht="15" customHeight="1">
      <c r="B113" s="169" t="s">
        <v>430</v>
      </c>
      <c r="C113" s="133">
        <v>1.2962962962962963E-2</v>
      </c>
      <c r="D113" s="5">
        <v>70</v>
      </c>
      <c r="E113" s="18">
        <v>400</v>
      </c>
      <c r="F113" s="19">
        <v>35</v>
      </c>
      <c r="G113" s="7"/>
      <c r="H113" s="7">
        <v>837</v>
      </c>
      <c r="I113" s="7">
        <v>837</v>
      </c>
      <c r="J113" s="19">
        <v>837</v>
      </c>
      <c r="K113" s="18">
        <v>2675</v>
      </c>
      <c r="L113" s="19">
        <v>17</v>
      </c>
      <c r="M113" s="7"/>
      <c r="N113" s="7">
        <v>1800</v>
      </c>
      <c r="O113" s="7">
        <v>1800</v>
      </c>
      <c r="P113" s="7">
        <v>1800</v>
      </c>
      <c r="Q113" s="19">
        <v>50</v>
      </c>
      <c r="R113" s="315"/>
      <c r="S113" s="169"/>
      <c r="T113" s="169"/>
      <c r="U113" s="168"/>
      <c r="V113" s="2">
        <v>600</v>
      </c>
      <c r="W113" s="5">
        <v>30000</v>
      </c>
    </row>
    <row r="114" spans="2:28" ht="15" customHeight="1">
      <c r="B114" s="169" t="s">
        <v>431</v>
      </c>
      <c r="C114" s="133">
        <v>2.6041666666666668E-2</v>
      </c>
      <c r="D114" s="5">
        <v>130</v>
      </c>
      <c r="E114" s="18">
        <v>500</v>
      </c>
      <c r="F114" s="19">
        <v>55</v>
      </c>
      <c r="G114" s="7"/>
      <c r="H114" s="7">
        <v>1674</v>
      </c>
      <c r="I114" s="7">
        <v>1674</v>
      </c>
      <c r="J114" s="19">
        <v>1674</v>
      </c>
      <c r="K114" s="18">
        <v>2500</v>
      </c>
      <c r="L114" s="19">
        <v>27</v>
      </c>
      <c r="M114" s="7"/>
      <c r="N114" s="7">
        <v>1300</v>
      </c>
      <c r="O114" s="7">
        <v>1300</v>
      </c>
      <c r="P114" s="7">
        <v>1300</v>
      </c>
      <c r="Q114" s="19">
        <v>100</v>
      </c>
      <c r="R114" s="316" t="s">
        <v>482</v>
      </c>
      <c r="S114" s="169"/>
      <c r="T114" s="169"/>
      <c r="U114" s="168"/>
      <c r="V114" s="2">
        <v>840</v>
      </c>
      <c r="W114" s="5">
        <v>42000</v>
      </c>
    </row>
    <row r="115" spans="2:28" ht="15" customHeight="1">
      <c r="B115" s="169" t="s">
        <v>432</v>
      </c>
      <c r="C115" s="133">
        <v>5.185185185185185E-2</v>
      </c>
      <c r="D115" s="5">
        <v>130</v>
      </c>
      <c r="E115" s="18">
        <v>500</v>
      </c>
      <c r="F115" s="19">
        <v>85</v>
      </c>
      <c r="G115" s="7"/>
      <c r="H115" s="7">
        <v>3348</v>
      </c>
      <c r="I115" s="7">
        <v>3348</v>
      </c>
      <c r="J115" s="19">
        <v>3348</v>
      </c>
      <c r="K115" s="18">
        <v>2500</v>
      </c>
      <c r="L115" s="19">
        <v>45</v>
      </c>
      <c r="M115" s="7"/>
      <c r="N115" s="7">
        <v>2300</v>
      </c>
      <c r="O115" s="7">
        <v>2300</v>
      </c>
      <c r="P115" s="7">
        <v>2300</v>
      </c>
      <c r="Q115" s="19">
        <v>50</v>
      </c>
      <c r="R115" s="316" t="s">
        <v>545</v>
      </c>
      <c r="S115" s="169"/>
      <c r="T115" s="169"/>
      <c r="U115" s="168"/>
      <c r="V115" s="2">
        <v>1120</v>
      </c>
      <c r="W115" s="5">
        <v>70000</v>
      </c>
    </row>
    <row r="116" spans="2:28" ht="15" customHeight="1">
      <c r="B116" s="169" t="s">
        <v>433</v>
      </c>
      <c r="C116" s="133">
        <v>0.1037037037037037</v>
      </c>
      <c r="D116" s="5">
        <v>300</v>
      </c>
      <c r="E116" s="18">
        <v>500</v>
      </c>
      <c r="F116" s="19">
        <v>125</v>
      </c>
      <c r="G116" s="7"/>
      <c r="H116" s="7">
        <v>6696</v>
      </c>
      <c r="I116" s="7">
        <v>6696</v>
      </c>
      <c r="J116" s="19">
        <v>6696</v>
      </c>
      <c r="K116" s="18">
        <v>2500</v>
      </c>
      <c r="L116" s="19">
        <v>70</v>
      </c>
      <c r="M116" s="7"/>
      <c r="N116" s="7">
        <v>4100</v>
      </c>
      <c r="O116" s="7">
        <v>4100</v>
      </c>
      <c r="P116" s="7">
        <v>4100</v>
      </c>
      <c r="Q116" s="19">
        <v>100</v>
      </c>
      <c r="R116" s="316" t="s">
        <v>546</v>
      </c>
      <c r="S116" s="169"/>
      <c r="T116" s="169"/>
      <c r="U116" s="168"/>
      <c r="V116" s="2">
        <v>1440</v>
      </c>
      <c r="W116" s="5">
        <v>102000</v>
      </c>
    </row>
    <row r="117" spans="2:28" ht="15" customHeight="1">
      <c r="B117" s="169" t="s">
        <v>434</v>
      </c>
      <c r="C117" s="133">
        <v>0.2074074074074074</v>
      </c>
      <c r="D117" s="5">
        <v>650</v>
      </c>
      <c r="E117" s="18">
        <v>500</v>
      </c>
      <c r="F117" s="19">
        <v>190</v>
      </c>
      <c r="G117" s="7"/>
      <c r="H117" s="18">
        <f>H116*2</f>
        <v>13392</v>
      </c>
      <c r="I117" s="18">
        <f t="shared" ref="I117:J117" si="0">I116*2</f>
        <v>13392</v>
      </c>
      <c r="J117" s="19">
        <f t="shared" si="0"/>
        <v>13392</v>
      </c>
      <c r="K117" s="18">
        <v>10000</v>
      </c>
      <c r="L117" s="19">
        <v>107</v>
      </c>
      <c r="M117" s="7"/>
      <c r="N117" s="7">
        <v>7400</v>
      </c>
      <c r="O117" s="7">
        <v>7400</v>
      </c>
      <c r="P117" s="7">
        <v>7400</v>
      </c>
      <c r="Q117" s="19">
        <v>150</v>
      </c>
      <c r="R117" s="316" t="s">
        <v>547</v>
      </c>
      <c r="S117" s="169"/>
      <c r="T117" s="169"/>
      <c r="U117" s="168"/>
      <c r="V117" s="2">
        <v>1800</v>
      </c>
      <c r="W117" s="5">
        <v>138000</v>
      </c>
    </row>
    <row r="118" spans="2:28" ht="15" customHeight="1">
      <c r="B118" s="169" t="s">
        <v>435</v>
      </c>
      <c r="C118" s="133">
        <v>0.4148148148148148</v>
      </c>
      <c r="D118" s="5">
        <v>650</v>
      </c>
      <c r="E118" s="18">
        <v>500</v>
      </c>
      <c r="F118" s="19">
        <v>285</v>
      </c>
      <c r="G118" s="7"/>
      <c r="H118" s="7">
        <v>20088</v>
      </c>
      <c r="I118" s="7">
        <v>20088</v>
      </c>
      <c r="J118" s="19">
        <v>20088</v>
      </c>
      <c r="K118" s="18">
        <v>10000</v>
      </c>
      <c r="L118" s="19">
        <v>165</v>
      </c>
      <c r="M118" s="7"/>
      <c r="N118" s="7">
        <v>4017</v>
      </c>
      <c r="O118" s="7">
        <v>4017</v>
      </c>
      <c r="P118" s="7">
        <v>4017</v>
      </c>
      <c r="Q118" s="19">
        <v>100</v>
      </c>
      <c r="R118" s="316" t="s">
        <v>548</v>
      </c>
      <c r="S118" s="169"/>
      <c r="T118" s="169"/>
      <c r="U118" s="168"/>
      <c r="V118" s="2">
        <v>2200</v>
      </c>
      <c r="W118" s="5">
        <v>178000</v>
      </c>
    </row>
    <row r="119" spans="2:28" ht="15" customHeight="1">
      <c r="B119" s="169" t="s">
        <v>436</v>
      </c>
      <c r="C119" s="133">
        <v>0.49777777777777782</v>
      </c>
      <c r="D119" s="5">
        <v>650</v>
      </c>
      <c r="E119" s="18">
        <v>500</v>
      </c>
      <c r="F119" s="19">
        <v>430</v>
      </c>
      <c r="G119" s="7"/>
      <c r="H119" s="7">
        <v>30132</v>
      </c>
      <c r="I119" s="7">
        <v>30132</v>
      </c>
      <c r="J119" s="19">
        <v>30132</v>
      </c>
      <c r="K119" s="18">
        <v>20000</v>
      </c>
      <c r="L119" s="19">
        <v>250</v>
      </c>
      <c r="M119" s="7"/>
      <c r="N119" s="7">
        <v>5478</v>
      </c>
      <c r="O119" s="7">
        <v>5478</v>
      </c>
      <c r="P119" s="7">
        <v>5478</v>
      </c>
      <c r="Q119" s="19">
        <v>80</v>
      </c>
      <c r="R119" s="316" t="s">
        <v>549</v>
      </c>
      <c r="S119" s="169"/>
      <c r="T119" s="169"/>
      <c r="U119" s="168"/>
      <c r="V119" s="2">
        <v>2640</v>
      </c>
      <c r="W119" s="5">
        <v>222000</v>
      </c>
    </row>
    <row r="120" spans="2:28" ht="15" customHeight="1">
      <c r="B120" s="169" t="s">
        <v>437</v>
      </c>
      <c r="E120" s="18"/>
      <c r="F120" s="19"/>
      <c r="G120" s="7"/>
      <c r="H120" s="7"/>
      <c r="I120" s="7"/>
      <c r="J120" s="19"/>
      <c r="K120" s="18"/>
      <c r="L120" s="19"/>
      <c r="M120" s="7"/>
      <c r="N120" s="7"/>
      <c r="O120" s="7"/>
      <c r="P120" s="7"/>
      <c r="Q120" s="19"/>
      <c r="R120" s="316" t="s">
        <v>550</v>
      </c>
      <c r="S120" s="169"/>
      <c r="T120" s="169"/>
      <c r="U120" s="168"/>
      <c r="V120" s="2">
        <v>3120</v>
      </c>
      <c r="W120" s="5">
        <v>270000</v>
      </c>
    </row>
    <row r="121" spans="2:28" ht="15" customHeight="1">
      <c r="B121" s="169" t="s">
        <v>438</v>
      </c>
      <c r="E121" s="18"/>
      <c r="F121" s="19"/>
      <c r="G121" s="7"/>
      <c r="H121" s="7"/>
      <c r="I121" s="7"/>
      <c r="J121" s="19"/>
      <c r="K121" s="18"/>
      <c r="L121" s="19"/>
      <c r="M121" s="7"/>
      <c r="N121" s="7"/>
      <c r="O121" s="7"/>
      <c r="P121" s="7"/>
      <c r="Q121" s="19"/>
      <c r="R121" s="316" t="s">
        <v>551</v>
      </c>
      <c r="S121" s="169"/>
      <c r="T121" s="169"/>
      <c r="U121" s="168"/>
      <c r="V121" s="2">
        <v>3640</v>
      </c>
      <c r="W121" s="5">
        <v>322000</v>
      </c>
    </row>
    <row r="122" spans="2:28" ht="15" customHeight="1">
      <c r="B122" s="169" t="s">
        <v>439</v>
      </c>
      <c r="E122" s="18"/>
      <c r="F122" s="19"/>
      <c r="G122" s="7"/>
      <c r="H122" s="7"/>
      <c r="I122" s="7"/>
      <c r="J122" s="19"/>
      <c r="K122" s="18"/>
      <c r="L122" s="19"/>
      <c r="M122" s="7"/>
      <c r="N122" s="7"/>
      <c r="O122" s="7"/>
      <c r="P122" s="7"/>
      <c r="Q122" s="19"/>
      <c r="R122" s="316" t="s">
        <v>552</v>
      </c>
      <c r="S122" s="169"/>
      <c r="T122" s="169"/>
      <c r="U122" s="168"/>
      <c r="V122" s="2">
        <v>4200</v>
      </c>
      <c r="W122" s="5">
        <v>406000</v>
      </c>
    </row>
    <row r="123" spans="2:28" ht="15" customHeight="1">
      <c r="B123" s="169" t="s">
        <v>440</v>
      </c>
      <c r="E123" s="18"/>
      <c r="F123" s="19"/>
      <c r="G123" s="7"/>
      <c r="H123" s="7"/>
      <c r="I123" s="7"/>
      <c r="J123" s="19"/>
      <c r="K123" s="18"/>
      <c r="L123" s="19"/>
      <c r="M123" s="7"/>
      <c r="N123" s="7"/>
      <c r="O123" s="7"/>
      <c r="P123" s="7"/>
      <c r="Q123" s="19"/>
      <c r="R123" s="316" t="s">
        <v>553</v>
      </c>
      <c r="S123" s="169"/>
      <c r="T123" s="169"/>
      <c r="U123" s="168"/>
      <c r="V123" s="2">
        <v>4800</v>
      </c>
      <c r="W123" s="5">
        <v>496000</v>
      </c>
    </row>
    <row r="124" spans="2:28" ht="15" customHeight="1">
      <c r="B124" s="169" t="s">
        <v>441</v>
      </c>
      <c r="E124" s="18"/>
      <c r="F124" s="19"/>
      <c r="G124" s="7"/>
      <c r="H124" s="7"/>
      <c r="I124" s="7"/>
      <c r="J124" s="19"/>
      <c r="K124" s="18"/>
      <c r="L124" s="19"/>
      <c r="M124" s="7"/>
      <c r="N124" s="7"/>
      <c r="O124" s="7"/>
      <c r="P124" s="7"/>
      <c r="Q124" s="19"/>
      <c r="R124" s="316" t="s">
        <v>554</v>
      </c>
      <c r="S124" s="169"/>
      <c r="T124" s="169"/>
      <c r="U124" s="168"/>
      <c r="V124" s="2">
        <v>5440</v>
      </c>
      <c r="W124" s="5">
        <v>592000</v>
      </c>
    </row>
    <row r="125" spans="2:28" ht="15" customHeight="1">
      <c r="B125" s="169" t="s">
        <v>442</v>
      </c>
      <c r="E125" s="18"/>
      <c r="F125" s="19"/>
      <c r="G125" s="7"/>
      <c r="H125" s="7"/>
      <c r="I125" s="7"/>
      <c r="J125" s="19"/>
      <c r="K125" s="18"/>
      <c r="L125" s="19"/>
      <c r="M125" s="7"/>
      <c r="N125" s="7"/>
      <c r="O125" s="7"/>
      <c r="P125" s="7"/>
      <c r="Q125" s="19"/>
      <c r="R125" s="316" t="s">
        <v>555</v>
      </c>
      <c r="U125" s="117"/>
      <c r="V125" s="2">
        <v>6120</v>
      </c>
      <c r="W125" s="5">
        <v>694000</v>
      </c>
    </row>
    <row r="126" spans="2:28" ht="15" customHeight="1">
      <c r="B126" s="167" t="s">
        <v>443</v>
      </c>
      <c r="C126" s="140"/>
      <c r="E126" s="18"/>
      <c r="F126" s="19"/>
      <c r="G126" s="18"/>
      <c r="H126" s="18"/>
      <c r="I126" s="18"/>
      <c r="J126" s="19"/>
      <c r="K126" s="18"/>
      <c r="L126" s="19"/>
      <c r="M126" s="18"/>
      <c r="N126" s="18"/>
      <c r="O126" s="18"/>
      <c r="P126" s="18"/>
      <c r="Q126" s="19"/>
      <c r="R126" s="316" t="s">
        <v>556</v>
      </c>
      <c r="S126" s="167"/>
      <c r="T126" s="167"/>
      <c r="U126" s="168"/>
      <c r="V126" s="11">
        <v>6840</v>
      </c>
      <c r="W126" s="5">
        <v>802000</v>
      </c>
      <c r="X126" s="155"/>
      <c r="Z126" s="155"/>
      <c r="AB126" s="155"/>
    </row>
    <row r="127" spans="2:28" ht="15" customHeight="1">
      <c r="B127" s="167" t="s">
        <v>444</v>
      </c>
      <c r="C127" s="140"/>
      <c r="E127" s="18"/>
      <c r="F127" s="19"/>
      <c r="G127" s="18"/>
      <c r="H127" s="18"/>
      <c r="I127" s="18"/>
      <c r="J127" s="19"/>
      <c r="K127" s="18"/>
      <c r="L127" s="19"/>
      <c r="M127" s="18"/>
      <c r="N127" s="18"/>
      <c r="O127" s="18"/>
      <c r="P127" s="18"/>
      <c r="Q127" s="19"/>
      <c r="R127" s="316" t="s">
        <v>557</v>
      </c>
      <c r="S127" s="167"/>
      <c r="T127" s="167"/>
      <c r="U127" s="168"/>
      <c r="V127" s="11">
        <v>7600</v>
      </c>
      <c r="W127" s="5">
        <v>916000</v>
      </c>
      <c r="X127" s="155"/>
      <c r="Z127" s="155"/>
      <c r="AB127" s="155"/>
    </row>
    <row r="128" spans="2:28" ht="15" customHeight="1">
      <c r="B128" s="167" t="s">
        <v>445</v>
      </c>
      <c r="C128" s="140"/>
      <c r="E128" s="18"/>
      <c r="F128" s="19"/>
      <c r="G128" s="18"/>
      <c r="H128" s="18"/>
      <c r="I128" s="18"/>
      <c r="J128" s="19"/>
      <c r="K128" s="18"/>
      <c r="L128" s="19"/>
      <c r="M128" s="18"/>
      <c r="N128" s="18"/>
      <c r="O128" s="18"/>
      <c r="P128" s="18"/>
      <c r="Q128" s="19"/>
      <c r="R128" s="316" t="s">
        <v>558</v>
      </c>
      <c r="S128" s="167"/>
      <c r="T128" s="167"/>
      <c r="U128" s="168"/>
      <c r="V128" s="11">
        <v>8400</v>
      </c>
      <c r="W128" s="5">
        <v>1036000</v>
      </c>
      <c r="X128" s="155"/>
      <c r="Z128" s="155"/>
      <c r="AB128" s="155"/>
    </row>
    <row r="129" spans="2:29" ht="15" customHeight="1">
      <c r="B129" s="34" t="s">
        <v>446</v>
      </c>
      <c r="C129" s="480"/>
      <c r="D129" s="24"/>
      <c r="E129" s="25"/>
      <c r="F129" s="26"/>
      <c r="G129" s="25"/>
      <c r="H129" s="25"/>
      <c r="I129" s="25"/>
      <c r="J129" s="26"/>
      <c r="K129" s="25"/>
      <c r="L129" s="26"/>
      <c r="M129" s="25"/>
      <c r="N129" s="25"/>
      <c r="O129" s="25"/>
      <c r="P129" s="25"/>
      <c r="Q129" s="26"/>
      <c r="R129" s="196" t="s">
        <v>559</v>
      </c>
      <c r="S129" s="34"/>
      <c r="T129" s="34"/>
      <c r="U129" s="89"/>
      <c r="V129" s="27">
        <v>16800</v>
      </c>
      <c r="W129" s="24">
        <v>1204000</v>
      </c>
      <c r="X129" s="154"/>
      <c r="Y129" s="24"/>
      <c r="Z129" s="154"/>
      <c r="AA129" s="24"/>
      <c r="AB129" s="154"/>
      <c r="AC129" s="173"/>
    </row>
    <row r="130" spans="2:29" ht="15" customHeight="1">
      <c r="B130" s="118" t="s">
        <v>175</v>
      </c>
      <c r="C130" s="133">
        <v>6.9444444444444447E-4</v>
      </c>
      <c r="D130" s="5">
        <v>1</v>
      </c>
      <c r="E130" s="18">
        <v>10</v>
      </c>
      <c r="F130" s="19">
        <v>5</v>
      </c>
      <c r="G130" s="7">
        <v>100</v>
      </c>
      <c r="H130" s="7">
        <v>100</v>
      </c>
      <c r="I130" s="7"/>
      <c r="J130" s="19">
        <v>100</v>
      </c>
      <c r="K130" s="18">
        <v>2525</v>
      </c>
      <c r="L130" s="19">
        <v>2</v>
      </c>
      <c r="M130" s="7"/>
      <c r="N130" s="7"/>
      <c r="O130" s="7">
        <v>3000</v>
      </c>
      <c r="P130" s="7"/>
      <c r="Q130" s="19"/>
      <c r="R130" s="315"/>
      <c r="U130" s="117"/>
      <c r="V130" s="212">
        <v>30</v>
      </c>
      <c r="W130" s="5">
        <v>1500</v>
      </c>
    </row>
    <row r="131" spans="2:29" ht="15" customHeight="1">
      <c r="B131" s="152" t="s">
        <v>212</v>
      </c>
      <c r="C131" s="133">
        <v>1.8518518518518517E-3</v>
      </c>
      <c r="D131" s="5">
        <v>1</v>
      </c>
      <c r="E131" s="18">
        <v>25</v>
      </c>
      <c r="F131" s="19">
        <v>10</v>
      </c>
      <c r="G131" s="7">
        <v>170</v>
      </c>
      <c r="H131" s="7">
        <v>170</v>
      </c>
      <c r="I131" s="7"/>
      <c r="J131" s="19">
        <v>170</v>
      </c>
      <c r="K131" s="18">
        <v>2575</v>
      </c>
      <c r="L131" s="19">
        <v>2</v>
      </c>
      <c r="M131" s="7"/>
      <c r="N131" s="7"/>
      <c r="O131" s="7">
        <v>5000</v>
      </c>
      <c r="P131" s="7"/>
      <c r="Q131" s="19"/>
      <c r="R131" s="315"/>
      <c r="U131" s="117"/>
      <c r="V131" s="11">
        <v>90</v>
      </c>
      <c r="W131" s="5">
        <v>4500</v>
      </c>
    </row>
    <row r="132" spans="2:29" ht="15" customHeight="1">
      <c r="B132" s="169" t="s">
        <v>447</v>
      </c>
      <c r="C132" s="133">
        <v>3.7037037037037034E-3</v>
      </c>
      <c r="D132" s="5">
        <v>1</v>
      </c>
      <c r="E132" s="18">
        <v>50</v>
      </c>
      <c r="F132" s="19">
        <v>15</v>
      </c>
      <c r="G132" s="7">
        <v>289</v>
      </c>
      <c r="H132" s="7">
        <v>289</v>
      </c>
      <c r="I132" s="7"/>
      <c r="J132" s="19">
        <v>289</v>
      </c>
      <c r="K132" s="18">
        <v>2600</v>
      </c>
      <c r="L132" s="19">
        <v>5</v>
      </c>
      <c r="M132" s="7"/>
      <c r="N132" s="7"/>
      <c r="O132" s="7">
        <v>6300</v>
      </c>
      <c r="P132" s="7"/>
      <c r="Q132" s="19"/>
      <c r="R132" s="315"/>
      <c r="S132" s="169"/>
      <c r="T132" s="169"/>
      <c r="U132" s="168"/>
      <c r="V132" s="11">
        <v>180</v>
      </c>
      <c r="W132" s="5">
        <v>9000</v>
      </c>
    </row>
    <row r="133" spans="2:29" ht="15" customHeight="1">
      <c r="B133" s="169" t="s">
        <v>448</v>
      </c>
      <c r="C133" s="133">
        <v>7.4074074074074068E-3</v>
      </c>
      <c r="D133" s="5">
        <v>1</v>
      </c>
      <c r="E133" s="18">
        <v>200</v>
      </c>
      <c r="F133" s="19">
        <v>25</v>
      </c>
      <c r="G133" s="7">
        <v>492</v>
      </c>
      <c r="H133" s="7">
        <v>492</v>
      </c>
      <c r="I133" s="7"/>
      <c r="J133" s="19">
        <v>492</v>
      </c>
      <c r="K133" s="18">
        <v>2650</v>
      </c>
      <c r="L133" s="19">
        <v>10</v>
      </c>
      <c r="M133" s="7">
        <v>1200</v>
      </c>
      <c r="N133" s="7">
        <v>1200</v>
      </c>
      <c r="O133" s="7">
        <v>6400</v>
      </c>
      <c r="P133" s="7">
        <v>1200</v>
      </c>
      <c r="Q133" s="19">
        <v>50</v>
      </c>
      <c r="R133" s="315"/>
      <c r="S133" s="169"/>
      <c r="T133" s="169"/>
      <c r="U133" s="168"/>
      <c r="V133" s="11">
        <v>300</v>
      </c>
      <c r="W133" s="5">
        <v>15000</v>
      </c>
    </row>
    <row r="134" spans="2:29" ht="15" customHeight="1">
      <c r="B134" s="169" t="s">
        <v>449</v>
      </c>
      <c r="C134" s="133">
        <v>1.4814814814814814E-2</v>
      </c>
      <c r="D134" s="5">
        <v>130</v>
      </c>
      <c r="E134" s="18">
        <v>400</v>
      </c>
      <c r="F134" s="19">
        <v>35</v>
      </c>
      <c r="G134" s="7">
        <v>837</v>
      </c>
      <c r="H134" s="7">
        <v>837</v>
      </c>
      <c r="I134" s="7"/>
      <c r="J134" s="19">
        <v>837</v>
      </c>
      <c r="K134" s="18">
        <v>2675</v>
      </c>
      <c r="L134" s="19">
        <v>17</v>
      </c>
      <c r="M134" s="7">
        <v>1800</v>
      </c>
      <c r="N134" s="7">
        <v>1800</v>
      </c>
      <c r="O134" s="7"/>
      <c r="P134" s="7">
        <v>1800</v>
      </c>
      <c r="Q134" s="19">
        <v>50</v>
      </c>
      <c r="R134" s="315"/>
      <c r="S134" s="169"/>
      <c r="T134" s="169"/>
      <c r="U134" s="168"/>
      <c r="V134" s="11">
        <v>450</v>
      </c>
      <c r="W134" s="5">
        <v>22500</v>
      </c>
    </row>
    <row r="135" spans="2:29" ht="15" customHeight="1">
      <c r="B135" s="169" t="s">
        <v>450</v>
      </c>
      <c r="C135" s="133">
        <v>2.9629629629629627E-2</v>
      </c>
      <c r="D135" s="5">
        <v>130</v>
      </c>
      <c r="E135" s="18">
        <v>500</v>
      </c>
      <c r="F135" s="19">
        <v>55</v>
      </c>
      <c r="G135" s="7">
        <v>1674</v>
      </c>
      <c r="H135" s="7">
        <v>1674</v>
      </c>
      <c r="I135" s="7"/>
      <c r="J135" s="19">
        <v>1674</v>
      </c>
      <c r="K135" s="18">
        <v>2500</v>
      </c>
      <c r="L135" s="19">
        <v>27</v>
      </c>
      <c r="M135" s="7">
        <v>1300</v>
      </c>
      <c r="N135" s="7">
        <v>1300</v>
      </c>
      <c r="O135" s="7"/>
      <c r="P135" s="7">
        <v>1300</v>
      </c>
      <c r="Q135" s="19">
        <v>100</v>
      </c>
      <c r="R135" s="316" t="s">
        <v>482</v>
      </c>
      <c r="S135" s="169"/>
      <c r="T135" s="169"/>
      <c r="U135" s="168"/>
      <c r="V135" s="11">
        <v>630</v>
      </c>
      <c r="W135" s="5">
        <v>31500</v>
      </c>
    </row>
    <row r="136" spans="2:29" ht="15" customHeight="1">
      <c r="B136" s="169" t="s">
        <v>451</v>
      </c>
      <c r="C136" s="133">
        <v>5.9259259259259262E-2</v>
      </c>
      <c r="D136" s="5">
        <v>300</v>
      </c>
      <c r="E136" s="18">
        <v>500</v>
      </c>
      <c r="F136" s="19">
        <v>85</v>
      </c>
      <c r="G136" s="7">
        <v>3348</v>
      </c>
      <c r="H136" s="7">
        <v>3348</v>
      </c>
      <c r="I136" s="7"/>
      <c r="J136" s="19">
        <v>3348</v>
      </c>
      <c r="K136" s="18">
        <v>2500</v>
      </c>
      <c r="L136" s="19">
        <v>45</v>
      </c>
      <c r="M136" s="7">
        <v>2300</v>
      </c>
      <c r="N136" s="7">
        <v>2300</v>
      </c>
      <c r="O136" s="7"/>
      <c r="P136" s="7">
        <v>2300</v>
      </c>
      <c r="Q136" s="19">
        <v>50</v>
      </c>
      <c r="R136" s="316" t="s">
        <v>545</v>
      </c>
      <c r="S136" s="169"/>
      <c r="T136" s="169"/>
      <c r="U136" s="168"/>
      <c r="V136" s="11">
        <v>840</v>
      </c>
      <c r="W136" s="5">
        <v>52500</v>
      </c>
    </row>
    <row r="137" spans="2:29" ht="15" customHeight="1">
      <c r="B137" s="169" t="s">
        <v>452</v>
      </c>
      <c r="C137" s="133">
        <v>0.11851851851851852</v>
      </c>
      <c r="D137" s="5">
        <v>300</v>
      </c>
      <c r="E137" s="18">
        <v>500</v>
      </c>
      <c r="F137" s="19">
        <v>125</v>
      </c>
      <c r="G137" s="7">
        <v>6696</v>
      </c>
      <c r="H137" s="7">
        <v>6696</v>
      </c>
      <c r="I137" s="7"/>
      <c r="J137" s="19">
        <v>6696</v>
      </c>
      <c r="K137" s="18">
        <v>2500</v>
      </c>
      <c r="L137" s="19">
        <v>70</v>
      </c>
      <c r="M137" s="7">
        <v>4100</v>
      </c>
      <c r="N137" s="7">
        <v>4100</v>
      </c>
      <c r="O137" s="7"/>
      <c r="P137" s="7">
        <v>4100</v>
      </c>
      <c r="Q137" s="19">
        <v>100</v>
      </c>
      <c r="R137" s="316" t="s">
        <v>546</v>
      </c>
      <c r="S137" s="169"/>
      <c r="T137" s="169"/>
      <c r="U137" s="168"/>
      <c r="V137" s="11">
        <v>1080</v>
      </c>
      <c r="W137" s="5">
        <v>76500</v>
      </c>
    </row>
    <row r="138" spans="2:29" ht="15" customHeight="1">
      <c r="B138" s="169" t="s">
        <v>453</v>
      </c>
      <c r="C138" s="133">
        <v>0.23703703703703705</v>
      </c>
      <c r="D138" s="5">
        <v>650</v>
      </c>
      <c r="E138" s="18">
        <v>500</v>
      </c>
      <c r="F138" s="19">
        <v>190</v>
      </c>
      <c r="G138" s="7">
        <v>13392</v>
      </c>
      <c r="H138" s="7">
        <v>13392</v>
      </c>
      <c r="I138" s="7"/>
      <c r="J138" s="19">
        <v>13392</v>
      </c>
      <c r="K138" s="18">
        <v>10000</v>
      </c>
      <c r="L138" s="19">
        <v>107</v>
      </c>
      <c r="M138" s="7">
        <v>7400</v>
      </c>
      <c r="N138" s="7">
        <v>7400</v>
      </c>
      <c r="O138" s="7"/>
      <c r="P138" s="7">
        <v>7400</v>
      </c>
      <c r="Q138" s="19">
        <v>150</v>
      </c>
      <c r="R138" s="316" t="s">
        <v>547</v>
      </c>
      <c r="S138" s="169"/>
      <c r="T138" s="169"/>
      <c r="U138" s="168"/>
      <c r="V138" s="11">
        <v>1350</v>
      </c>
      <c r="W138" s="5">
        <v>103500</v>
      </c>
    </row>
    <row r="139" spans="2:29" ht="15" customHeight="1">
      <c r="B139" s="169" t="s">
        <v>454</v>
      </c>
      <c r="C139" s="133">
        <v>0.47407407407407409</v>
      </c>
      <c r="D139" s="5">
        <v>650</v>
      </c>
      <c r="E139" s="18">
        <v>500</v>
      </c>
      <c r="F139" s="19">
        <v>285</v>
      </c>
      <c r="G139" s="7">
        <v>20088</v>
      </c>
      <c r="H139" s="7">
        <v>20088</v>
      </c>
      <c r="I139" s="7"/>
      <c r="J139" s="19">
        <v>20088</v>
      </c>
      <c r="K139" s="18">
        <v>10000</v>
      </c>
      <c r="L139" s="19">
        <v>165</v>
      </c>
      <c r="M139" s="7">
        <v>4017</v>
      </c>
      <c r="N139" s="7">
        <v>4017</v>
      </c>
      <c r="O139" s="7"/>
      <c r="P139" s="7">
        <v>4017</v>
      </c>
      <c r="Q139" s="19">
        <v>100</v>
      </c>
      <c r="R139" s="316" t="s">
        <v>548</v>
      </c>
      <c r="S139" s="169"/>
      <c r="T139" s="169"/>
      <c r="U139" s="168"/>
      <c r="V139" s="11">
        <v>1650</v>
      </c>
      <c r="W139" s="5">
        <v>133500</v>
      </c>
    </row>
    <row r="140" spans="2:29" ht="15" customHeight="1">
      <c r="B140" s="169" t="s">
        <v>455</v>
      </c>
      <c r="C140" s="133">
        <v>0.56888888888888889</v>
      </c>
      <c r="D140" s="5">
        <v>1000</v>
      </c>
      <c r="E140" s="18">
        <v>500</v>
      </c>
      <c r="F140" s="19">
        <v>430</v>
      </c>
      <c r="G140" s="7">
        <v>30132</v>
      </c>
      <c r="H140" s="7">
        <v>30132</v>
      </c>
      <c r="I140" s="7"/>
      <c r="J140" s="19">
        <v>30132</v>
      </c>
      <c r="K140" s="18">
        <v>20000</v>
      </c>
      <c r="L140" s="19">
        <v>250</v>
      </c>
      <c r="M140" s="7">
        <v>5478</v>
      </c>
      <c r="N140" s="7">
        <v>5478</v>
      </c>
      <c r="O140" s="7"/>
      <c r="P140" s="7">
        <v>5478</v>
      </c>
      <c r="Q140" s="19">
        <v>80</v>
      </c>
      <c r="R140" s="316" t="s">
        <v>549</v>
      </c>
      <c r="S140" s="169"/>
      <c r="T140" s="169"/>
      <c r="U140" s="168"/>
      <c r="V140" s="11">
        <v>1980</v>
      </c>
      <c r="W140" s="5">
        <v>166500</v>
      </c>
    </row>
    <row r="141" spans="2:29" ht="15" customHeight="1">
      <c r="B141" s="169" t="s">
        <v>456</v>
      </c>
      <c r="E141" s="18"/>
      <c r="F141" s="19"/>
      <c r="G141" s="7"/>
      <c r="H141" s="7"/>
      <c r="I141" s="7"/>
      <c r="J141" s="19"/>
      <c r="K141" s="18"/>
      <c r="L141" s="19"/>
      <c r="M141" s="7"/>
      <c r="N141" s="7"/>
      <c r="O141" s="7"/>
      <c r="P141" s="7"/>
      <c r="Q141" s="19"/>
      <c r="R141" s="316" t="s">
        <v>550</v>
      </c>
      <c r="S141" s="169"/>
      <c r="T141" s="169"/>
      <c r="U141" s="168"/>
      <c r="V141" s="11">
        <v>2340</v>
      </c>
      <c r="W141" s="5">
        <v>202500</v>
      </c>
    </row>
    <row r="142" spans="2:29" ht="15" customHeight="1">
      <c r="B142" s="169" t="s">
        <v>457</v>
      </c>
      <c r="E142" s="18"/>
      <c r="F142" s="19"/>
      <c r="G142" s="7"/>
      <c r="H142" s="7"/>
      <c r="I142" s="7"/>
      <c r="J142" s="19"/>
      <c r="K142" s="18"/>
      <c r="L142" s="19"/>
      <c r="M142" s="7"/>
      <c r="N142" s="7"/>
      <c r="O142" s="7"/>
      <c r="P142" s="7"/>
      <c r="Q142" s="19"/>
      <c r="R142" s="316" t="s">
        <v>551</v>
      </c>
      <c r="S142" s="169"/>
      <c r="T142" s="169"/>
      <c r="U142" s="168"/>
      <c r="V142" s="11">
        <v>2730</v>
      </c>
      <c r="W142" s="5">
        <v>241500</v>
      </c>
    </row>
    <row r="143" spans="2:29" ht="15" customHeight="1">
      <c r="B143" s="169" t="s">
        <v>458</v>
      </c>
      <c r="E143" s="18"/>
      <c r="F143" s="19"/>
      <c r="G143" s="7"/>
      <c r="H143" s="7"/>
      <c r="I143" s="7"/>
      <c r="J143" s="19"/>
      <c r="K143" s="18"/>
      <c r="L143" s="19"/>
      <c r="M143" s="7"/>
      <c r="N143" s="7"/>
      <c r="O143" s="7"/>
      <c r="P143" s="7"/>
      <c r="Q143" s="19"/>
      <c r="R143" s="316" t="s">
        <v>552</v>
      </c>
      <c r="S143" s="169"/>
      <c r="T143" s="169"/>
      <c r="U143" s="168"/>
      <c r="V143" s="11">
        <v>3150</v>
      </c>
      <c r="W143" s="5">
        <v>304500</v>
      </c>
    </row>
    <row r="144" spans="2:29" ht="15" customHeight="1">
      <c r="B144" s="169" t="s">
        <v>459</v>
      </c>
      <c r="E144" s="18"/>
      <c r="F144" s="19"/>
      <c r="G144" s="7"/>
      <c r="H144" s="7"/>
      <c r="I144" s="7"/>
      <c r="J144" s="19"/>
      <c r="K144" s="18"/>
      <c r="L144" s="19"/>
      <c r="M144" s="7"/>
      <c r="N144" s="7"/>
      <c r="O144" s="7"/>
      <c r="P144" s="7"/>
      <c r="Q144" s="19"/>
      <c r="R144" s="316" t="s">
        <v>553</v>
      </c>
      <c r="S144" s="169"/>
      <c r="T144" s="169"/>
      <c r="U144" s="168"/>
      <c r="V144" s="11">
        <v>3600</v>
      </c>
      <c r="W144" s="5">
        <v>372000</v>
      </c>
    </row>
    <row r="145" spans="2:29" ht="15" customHeight="1">
      <c r="B145" s="167" t="s">
        <v>460</v>
      </c>
      <c r="C145" s="140"/>
      <c r="E145" s="18"/>
      <c r="F145" s="19"/>
      <c r="G145" s="18"/>
      <c r="H145" s="18"/>
      <c r="I145" s="18"/>
      <c r="J145" s="19"/>
      <c r="K145" s="18"/>
      <c r="L145" s="19"/>
      <c r="M145" s="18"/>
      <c r="N145" s="18"/>
      <c r="O145" s="18"/>
      <c r="P145" s="18"/>
      <c r="Q145" s="19"/>
      <c r="R145" s="316" t="s">
        <v>554</v>
      </c>
      <c r="S145" s="167"/>
      <c r="T145" s="167"/>
      <c r="U145" s="168"/>
      <c r="V145" s="11">
        <v>4080</v>
      </c>
      <c r="W145" s="5">
        <v>444000</v>
      </c>
      <c r="X145" s="155"/>
      <c r="Z145" s="155"/>
      <c r="AB145" s="155"/>
    </row>
    <row r="146" spans="2:29" ht="15" customHeight="1">
      <c r="B146" s="167" t="s">
        <v>461</v>
      </c>
      <c r="C146" s="140"/>
      <c r="E146" s="18"/>
      <c r="F146" s="19"/>
      <c r="G146" s="18"/>
      <c r="H146" s="18"/>
      <c r="I146" s="18"/>
      <c r="J146" s="19"/>
      <c r="K146" s="18"/>
      <c r="L146" s="19"/>
      <c r="M146" s="18"/>
      <c r="N146" s="18"/>
      <c r="O146" s="18"/>
      <c r="P146" s="18"/>
      <c r="Q146" s="19"/>
      <c r="R146" s="316" t="s">
        <v>555</v>
      </c>
      <c r="S146" s="167"/>
      <c r="T146" s="167"/>
      <c r="U146" s="168"/>
      <c r="V146" s="11">
        <v>4590</v>
      </c>
      <c r="W146" s="5">
        <v>520500</v>
      </c>
      <c r="X146" s="155"/>
      <c r="Z146" s="155"/>
      <c r="AB146" s="155"/>
    </row>
    <row r="147" spans="2:29" ht="15" customHeight="1">
      <c r="B147" s="167" t="s">
        <v>462</v>
      </c>
      <c r="C147" s="140"/>
      <c r="E147" s="18"/>
      <c r="F147" s="19"/>
      <c r="G147" s="18"/>
      <c r="H147" s="18"/>
      <c r="I147" s="18"/>
      <c r="J147" s="19"/>
      <c r="K147" s="18"/>
      <c r="L147" s="19"/>
      <c r="M147" s="18"/>
      <c r="N147" s="18"/>
      <c r="O147" s="18"/>
      <c r="P147" s="18"/>
      <c r="Q147" s="19"/>
      <c r="R147" s="316" t="s">
        <v>556</v>
      </c>
      <c r="S147" s="167"/>
      <c r="T147" s="167"/>
      <c r="U147" s="168"/>
      <c r="V147" s="11">
        <v>5130</v>
      </c>
      <c r="W147" s="5">
        <v>601500</v>
      </c>
      <c r="X147" s="155"/>
      <c r="Z147" s="155"/>
      <c r="AB147" s="155"/>
    </row>
    <row r="148" spans="2:29" ht="15" customHeight="1">
      <c r="B148" s="167" t="s">
        <v>463</v>
      </c>
      <c r="C148" s="140"/>
      <c r="E148" s="18"/>
      <c r="F148" s="19"/>
      <c r="G148" s="18"/>
      <c r="H148" s="18"/>
      <c r="I148" s="18"/>
      <c r="J148" s="19"/>
      <c r="K148" s="18"/>
      <c r="L148" s="19"/>
      <c r="M148" s="18"/>
      <c r="N148" s="18"/>
      <c r="O148" s="18"/>
      <c r="P148" s="18"/>
      <c r="Q148" s="19"/>
      <c r="R148" s="316" t="s">
        <v>557</v>
      </c>
      <c r="S148" s="167"/>
      <c r="T148" s="167"/>
      <c r="U148" s="168"/>
      <c r="V148" s="11">
        <v>5700</v>
      </c>
      <c r="W148" s="5">
        <v>687000</v>
      </c>
      <c r="X148" s="155"/>
      <c r="Z148" s="155"/>
      <c r="AB148" s="155"/>
    </row>
    <row r="149" spans="2:29" ht="15" customHeight="1">
      <c r="B149" s="167" t="s">
        <v>464</v>
      </c>
      <c r="C149" s="140"/>
      <c r="E149" s="18"/>
      <c r="F149" s="19"/>
      <c r="G149" s="18"/>
      <c r="H149" s="18"/>
      <c r="I149" s="18"/>
      <c r="J149" s="19"/>
      <c r="K149" s="18"/>
      <c r="L149" s="19"/>
      <c r="M149" s="18"/>
      <c r="N149" s="18"/>
      <c r="O149" s="18"/>
      <c r="P149" s="18"/>
      <c r="Q149" s="19"/>
      <c r="R149" s="316" t="s">
        <v>558</v>
      </c>
      <c r="S149" s="167"/>
      <c r="T149" s="167"/>
      <c r="U149" s="168"/>
      <c r="V149" s="11">
        <v>6300</v>
      </c>
      <c r="W149" s="5">
        <v>777000</v>
      </c>
      <c r="X149" s="155"/>
      <c r="Z149" s="155"/>
      <c r="AB149" s="155"/>
    </row>
    <row r="150" spans="2:29" ht="15" customHeight="1">
      <c r="B150" s="34" t="s">
        <v>465</v>
      </c>
      <c r="C150" s="480"/>
      <c r="D150" s="24"/>
      <c r="E150" s="25"/>
      <c r="F150" s="26"/>
      <c r="G150" s="25"/>
      <c r="H150" s="25"/>
      <c r="I150" s="25"/>
      <c r="J150" s="26"/>
      <c r="K150" s="25"/>
      <c r="L150" s="26"/>
      <c r="M150" s="25"/>
      <c r="N150" s="25"/>
      <c r="O150" s="25"/>
      <c r="P150" s="25"/>
      <c r="Q150" s="26"/>
      <c r="R150" s="196" t="s">
        <v>559</v>
      </c>
      <c r="S150" s="34"/>
      <c r="T150" s="34"/>
      <c r="U150" s="89"/>
      <c r="V150" s="27">
        <v>12600</v>
      </c>
      <c r="W150" s="24">
        <v>903000</v>
      </c>
      <c r="X150" s="154"/>
      <c r="Y150" s="24"/>
      <c r="Z150" s="154"/>
      <c r="AA150" s="24"/>
      <c r="AB150" s="154"/>
      <c r="AC150" s="173"/>
    </row>
    <row r="151" spans="2:29" ht="15" customHeight="1">
      <c r="B151" s="116" t="s">
        <v>176</v>
      </c>
      <c r="C151" s="133">
        <v>6.9444444444444447E-4</v>
      </c>
      <c r="D151" s="5">
        <v>1</v>
      </c>
      <c r="E151" s="18">
        <v>10</v>
      </c>
      <c r="F151" s="19">
        <v>10</v>
      </c>
      <c r="G151" s="18">
        <v>200</v>
      </c>
      <c r="H151" s="18">
        <v>200</v>
      </c>
      <c r="I151" s="18">
        <v>50</v>
      </c>
      <c r="J151" s="19">
        <v>500</v>
      </c>
      <c r="K151" s="18">
        <v>2525</v>
      </c>
      <c r="L151" s="19">
        <v>2</v>
      </c>
      <c r="M151" s="18"/>
      <c r="N151" s="18"/>
      <c r="O151" s="18"/>
      <c r="P151" s="18"/>
      <c r="Q151" s="19">
        <v>550</v>
      </c>
      <c r="R151" s="116" t="s">
        <v>177</v>
      </c>
      <c r="S151" s="116" t="s">
        <v>178</v>
      </c>
      <c r="T151" s="119"/>
      <c r="U151" s="117"/>
      <c r="V151" s="11">
        <v>20</v>
      </c>
      <c r="W151" s="5">
        <v>1000</v>
      </c>
      <c r="X151" s="155" t="s">
        <v>234</v>
      </c>
      <c r="Y151" s="156">
        <v>0.01</v>
      </c>
      <c r="Z151" s="155"/>
      <c r="AB151" s="155"/>
    </row>
    <row r="152" spans="2:29" ht="15" customHeight="1">
      <c r="B152" s="119" t="s">
        <v>185</v>
      </c>
      <c r="C152" s="140">
        <v>1.1574074074074073E-3</v>
      </c>
      <c r="D152" s="5">
        <v>1</v>
      </c>
      <c r="E152" s="18">
        <v>25</v>
      </c>
      <c r="F152" s="19">
        <v>25</v>
      </c>
      <c r="G152" s="18">
        <v>340</v>
      </c>
      <c r="H152" s="18">
        <v>340</v>
      </c>
      <c r="I152" s="18">
        <v>85</v>
      </c>
      <c r="J152" s="19">
        <v>850</v>
      </c>
      <c r="K152" s="18">
        <v>2575</v>
      </c>
      <c r="L152" s="19">
        <v>5</v>
      </c>
      <c r="M152" s="18"/>
      <c r="N152" s="18"/>
      <c r="O152" s="18"/>
      <c r="P152" s="18"/>
      <c r="Q152" s="19">
        <v>750</v>
      </c>
      <c r="R152" s="119" t="s">
        <v>186</v>
      </c>
      <c r="S152" s="119" t="s">
        <v>187</v>
      </c>
      <c r="T152" s="119"/>
      <c r="U152" s="117"/>
      <c r="V152" s="11">
        <v>60</v>
      </c>
      <c r="W152" s="5">
        <v>3000</v>
      </c>
      <c r="X152" s="171" t="s">
        <v>234</v>
      </c>
      <c r="Y152" s="156">
        <v>0.02</v>
      </c>
      <c r="Z152" s="155"/>
      <c r="AB152" s="155"/>
    </row>
    <row r="153" spans="2:29" ht="15" customHeight="1">
      <c r="B153" s="150" t="s">
        <v>213</v>
      </c>
      <c r="C153" s="140">
        <v>2.3148148148148151E-3</v>
      </c>
      <c r="D153" s="5">
        <v>1</v>
      </c>
      <c r="E153" s="18">
        <v>50</v>
      </c>
      <c r="F153" s="19">
        <v>40</v>
      </c>
      <c r="G153" s="18">
        <v>578</v>
      </c>
      <c r="H153" s="18">
        <v>578</v>
      </c>
      <c r="I153" s="18">
        <v>145</v>
      </c>
      <c r="J153" s="19">
        <v>1445</v>
      </c>
      <c r="K153" s="18">
        <v>2600</v>
      </c>
      <c r="L153" s="19">
        <v>15</v>
      </c>
      <c r="M153" s="18"/>
      <c r="N153" s="18"/>
      <c r="O153" s="18"/>
      <c r="P153" s="18"/>
      <c r="Q153" s="19">
        <v>1050</v>
      </c>
      <c r="R153" s="150" t="s">
        <v>197</v>
      </c>
      <c r="S153" s="150" t="s">
        <v>30</v>
      </c>
      <c r="T153" s="119"/>
      <c r="U153" s="117"/>
      <c r="V153" s="11">
        <v>120</v>
      </c>
      <c r="W153" s="5">
        <v>6000</v>
      </c>
      <c r="X153" s="171" t="s">
        <v>234</v>
      </c>
      <c r="Y153" s="156">
        <v>0.03</v>
      </c>
      <c r="Z153" s="155"/>
      <c r="AB153" s="155"/>
    </row>
    <row r="154" spans="2:29" ht="15" customHeight="1">
      <c r="B154" s="150" t="s">
        <v>214</v>
      </c>
      <c r="C154" s="140">
        <v>4.6296296296296302E-3</v>
      </c>
      <c r="D154" s="5">
        <v>1</v>
      </c>
      <c r="E154" s="18">
        <v>200</v>
      </c>
      <c r="F154" s="19">
        <v>60</v>
      </c>
      <c r="G154" s="18">
        <v>983</v>
      </c>
      <c r="H154" s="18">
        <v>983</v>
      </c>
      <c r="I154" s="18">
        <v>247</v>
      </c>
      <c r="J154" s="19">
        <v>2457</v>
      </c>
      <c r="K154" s="18">
        <v>2650</v>
      </c>
      <c r="L154" s="19">
        <v>25</v>
      </c>
      <c r="M154" s="18">
        <v>2500</v>
      </c>
      <c r="N154" s="18">
        <v>2500</v>
      </c>
      <c r="O154" s="18">
        <v>700</v>
      </c>
      <c r="P154" s="18">
        <v>6300</v>
      </c>
      <c r="Q154" s="19">
        <v>50</v>
      </c>
      <c r="R154" s="200" t="s">
        <v>197</v>
      </c>
      <c r="S154" s="200" t="s">
        <v>30</v>
      </c>
      <c r="T154" s="119"/>
      <c r="U154" s="117"/>
      <c r="V154" s="11">
        <v>200</v>
      </c>
      <c r="W154" s="5">
        <v>10000</v>
      </c>
      <c r="X154" s="171" t="s">
        <v>234</v>
      </c>
      <c r="Y154" s="156">
        <v>0.04</v>
      </c>
      <c r="Z154" s="155"/>
      <c r="AB154" s="155"/>
    </row>
    <row r="155" spans="2:29" ht="15" customHeight="1">
      <c r="B155" s="150" t="s">
        <v>215</v>
      </c>
      <c r="C155" s="140">
        <v>9.2592592592592605E-3</v>
      </c>
      <c r="D155" s="5">
        <v>70</v>
      </c>
      <c r="E155" s="18">
        <v>400</v>
      </c>
      <c r="F155" s="19">
        <v>90</v>
      </c>
      <c r="G155" s="18">
        <v>1672</v>
      </c>
      <c r="H155" s="18">
        <v>1672</v>
      </c>
      <c r="I155" s="18">
        <v>420</v>
      </c>
      <c r="J155" s="19">
        <v>4177</v>
      </c>
      <c r="K155" s="18">
        <v>2675</v>
      </c>
      <c r="L155" s="19">
        <v>45</v>
      </c>
      <c r="M155" s="18">
        <v>3500</v>
      </c>
      <c r="N155" s="18">
        <v>7800</v>
      </c>
      <c r="O155" s="18">
        <v>900</v>
      </c>
      <c r="P155" s="18">
        <v>2000</v>
      </c>
      <c r="Q155" s="19">
        <v>950</v>
      </c>
      <c r="R155" s="200" t="s">
        <v>410</v>
      </c>
      <c r="S155" s="200" t="s">
        <v>31</v>
      </c>
      <c r="T155" s="150"/>
      <c r="U155" s="151"/>
      <c r="V155" s="11">
        <v>300</v>
      </c>
      <c r="W155" s="5">
        <v>15000</v>
      </c>
      <c r="X155" s="171" t="s">
        <v>234</v>
      </c>
      <c r="Y155" s="156">
        <v>0.05</v>
      </c>
      <c r="Z155" s="155"/>
      <c r="AB155" s="155"/>
    </row>
    <row r="156" spans="2:29" ht="15" customHeight="1">
      <c r="B156" s="150" t="s">
        <v>216</v>
      </c>
      <c r="C156" s="140">
        <v>1.8518518518518521E-2</v>
      </c>
      <c r="D156" s="5">
        <v>130</v>
      </c>
      <c r="E156" s="18">
        <v>500</v>
      </c>
      <c r="F156" s="19">
        <v>135</v>
      </c>
      <c r="G156" s="18">
        <v>3344</v>
      </c>
      <c r="H156" s="18">
        <v>3344</v>
      </c>
      <c r="I156" s="18">
        <v>840</v>
      </c>
      <c r="J156" s="19">
        <v>8354</v>
      </c>
      <c r="K156" s="18">
        <v>2500</v>
      </c>
      <c r="L156" s="19">
        <v>70</v>
      </c>
      <c r="M156" s="18">
        <v>2700</v>
      </c>
      <c r="N156" s="18">
        <v>2700</v>
      </c>
      <c r="O156" s="18">
        <v>700</v>
      </c>
      <c r="P156" s="18">
        <v>6900</v>
      </c>
      <c r="Q156" s="19">
        <v>100</v>
      </c>
      <c r="R156" s="200" t="s">
        <v>609</v>
      </c>
      <c r="S156" s="200" t="s">
        <v>610</v>
      </c>
      <c r="T156" s="150"/>
      <c r="U156" s="151"/>
      <c r="V156" s="11">
        <v>420</v>
      </c>
      <c r="W156" s="5">
        <v>21000</v>
      </c>
      <c r="X156" s="171" t="s">
        <v>234</v>
      </c>
      <c r="Y156" s="156">
        <v>0.06</v>
      </c>
      <c r="Z156" s="155"/>
      <c r="AB156" s="155"/>
    </row>
    <row r="157" spans="2:29" ht="15" customHeight="1">
      <c r="B157" s="150" t="s">
        <v>217</v>
      </c>
      <c r="C157" s="140">
        <v>3.7037037037037042E-2</v>
      </c>
      <c r="D157" s="5">
        <v>130</v>
      </c>
      <c r="E157" s="18">
        <v>500</v>
      </c>
      <c r="F157" s="19">
        <v>215</v>
      </c>
      <c r="G157" s="18">
        <v>6688</v>
      </c>
      <c r="H157" s="18">
        <v>6688</v>
      </c>
      <c r="I157" s="18">
        <v>1680</v>
      </c>
      <c r="J157" s="19">
        <v>16708</v>
      </c>
      <c r="K157" s="18">
        <v>2500</v>
      </c>
      <c r="L157" s="19">
        <v>115</v>
      </c>
      <c r="M157" s="18">
        <v>4700</v>
      </c>
      <c r="N157" s="18">
        <v>4700</v>
      </c>
      <c r="O157" s="18">
        <v>1200</v>
      </c>
      <c r="P157" s="18">
        <v>11900</v>
      </c>
      <c r="Q157" s="19">
        <v>50</v>
      </c>
      <c r="R157" s="316" t="s">
        <v>892</v>
      </c>
      <c r="S157" s="313" t="s">
        <v>893</v>
      </c>
      <c r="T157" s="150"/>
      <c r="U157" s="151"/>
      <c r="V157" s="11">
        <v>560</v>
      </c>
      <c r="W157" s="5">
        <v>35000</v>
      </c>
      <c r="X157" s="171" t="s">
        <v>234</v>
      </c>
      <c r="Y157" s="156">
        <v>7.0000000000000007E-2</v>
      </c>
      <c r="Z157" s="155"/>
      <c r="AB157" s="155"/>
    </row>
    <row r="158" spans="2:29" ht="15" customHeight="1">
      <c r="B158" s="150" t="s">
        <v>218</v>
      </c>
      <c r="C158" s="140">
        <v>7.407407407407407E-2</v>
      </c>
      <c r="D158" s="5">
        <v>300</v>
      </c>
      <c r="E158" s="18">
        <v>500</v>
      </c>
      <c r="F158" s="19">
        <v>310</v>
      </c>
      <c r="G158" s="18">
        <v>13376</v>
      </c>
      <c r="H158" s="18">
        <v>13376</v>
      </c>
      <c r="I158" s="18">
        <v>3360</v>
      </c>
      <c r="J158" s="19">
        <v>33416</v>
      </c>
      <c r="K158" s="18">
        <v>2500</v>
      </c>
      <c r="L158" s="19">
        <v>175</v>
      </c>
      <c r="M158" s="18">
        <v>8300</v>
      </c>
      <c r="N158" s="18">
        <v>8300</v>
      </c>
      <c r="O158" s="18">
        <v>2100</v>
      </c>
      <c r="P158" s="18">
        <v>20800</v>
      </c>
      <c r="Q158" s="19">
        <v>100</v>
      </c>
      <c r="R158" s="316" t="s">
        <v>415</v>
      </c>
      <c r="S158" s="313" t="s">
        <v>36</v>
      </c>
      <c r="T158" s="150"/>
      <c r="U158" s="151"/>
      <c r="V158" s="11">
        <v>720</v>
      </c>
      <c r="W158" s="5">
        <v>51000</v>
      </c>
      <c r="X158" s="171" t="s">
        <v>234</v>
      </c>
      <c r="Y158" s="156">
        <v>0.08</v>
      </c>
      <c r="Z158" s="155"/>
      <c r="AB158" s="155"/>
    </row>
    <row r="159" spans="2:29" ht="15" customHeight="1">
      <c r="B159" s="150" t="s">
        <v>219</v>
      </c>
      <c r="C159" s="140">
        <v>0.14814814814814814</v>
      </c>
      <c r="D159" s="5">
        <v>300</v>
      </c>
      <c r="E159" s="18">
        <v>500</v>
      </c>
      <c r="F159" s="19">
        <v>475</v>
      </c>
      <c r="G159" s="18">
        <v>26752</v>
      </c>
      <c r="H159" s="18">
        <v>26752</v>
      </c>
      <c r="I159" s="18">
        <v>6720</v>
      </c>
      <c r="J159" s="19">
        <v>66832</v>
      </c>
      <c r="K159" s="18">
        <v>10000</v>
      </c>
      <c r="L159" s="19">
        <v>250</v>
      </c>
      <c r="M159" s="18">
        <v>14800</v>
      </c>
      <c r="N159" s="18">
        <v>14800</v>
      </c>
      <c r="O159" s="18">
        <v>3700</v>
      </c>
      <c r="P159" s="18">
        <v>37100</v>
      </c>
      <c r="Q159" s="19">
        <v>150</v>
      </c>
      <c r="R159" s="316" t="s">
        <v>416</v>
      </c>
      <c r="S159" s="313" t="s">
        <v>37</v>
      </c>
      <c r="T159" s="150"/>
      <c r="U159" s="151"/>
      <c r="V159" s="11">
        <v>900</v>
      </c>
      <c r="W159" s="5">
        <v>69000</v>
      </c>
      <c r="X159" s="171" t="s">
        <v>234</v>
      </c>
      <c r="Y159" s="156">
        <v>0.09</v>
      </c>
      <c r="Z159" s="155"/>
      <c r="AB159" s="155"/>
    </row>
    <row r="160" spans="2:29" ht="15" customHeight="1">
      <c r="B160" s="150" t="s">
        <v>220</v>
      </c>
      <c r="C160" s="140">
        <v>0.29629629629629628</v>
      </c>
      <c r="D160" s="5">
        <v>650</v>
      </c>
      <c r="E160" s="18">
        <v>500</v>
      </c>
      <c r="F160" s="19">
        <v>715</v>
      </c>
      <c r="G160" s="18">
        <v>40128</v>
      </c>
      <c r="H160" s="18">
        <v>40128</v>
      </c>
      <c r="I160" s="18">
        <v>10080</v>
      </c>
      <c r="J160" s="19">
        <v>100248</v>
      </c>
      <c r="K160" s="18">
        <v>10000</v>
      </c>
      <c r="L160" s="19">
        <v>400</v>
      </c>
      <c r="M160" s="18">
        <v>8025</v>
      </c>
      <c r="N160" s="18">
        <v>8025</v>
      </c>
      <c r="O160" s="18">
        <v>2016</v>
      </c>
      <c r="P160" s="18">
        <v>20049</v>
      </c>
      <c r="Q160" s="19">
        <v>100</v>
      </c>
      <c r="R160" s="316" t="s">
        <v>417</v>
      </c>
      <c r="S160" s="313" t="s">
        <v>38</v>
      </c>
      <c r="T160" s="150"/>
      <c r="U160" s="151"/>
      <c r="V160" s="11">
        <v>1100</v>
      </c>
      <c r="W160" s="5">
        <v>89000</v>
      </c>
      <c r="X160" s="171" t="s">
        <v>234</v>
      </c>
      <c r="Y160" s="156">
        <v>0.1</v>
      </c>
      <c r="Z160" s="155"/>
      <c r="AB160" s="155"/>
    </row>
    <row r="161" spans="2:29" ht="15" customHeight="1">
      <c r="B161" s="150" t="s">
        <v>221</v>
      </c>
      <c r="C161" s="140">
        <v>0.35555555555555557</v>
      </c>
      <c r="D161" s="5">
        <v>650</v>
      </c>
      <c r="E161" s="18">
        <v>500</v>
      </c>
      <c r="F161" s="19">
        <v>1075</v>
      </c>
      <c r="G161" s="18">
        <v>60192</v>
      </c>
      <c r="H161" s="18">
        <v>60192</v>
      </c>
      <c r="I161" s="18">
        <v>15120</v>
      </c>
      <c r="J161" s="19">
        <v>150372</v>
      </c>
      <c r="K161" s="18">
        <v>20000</v>
      </c>
      <c r="L161" s="19">
        <v>625</v>
      </c>
      <c r="M161" s="18">
        <v>10944</v>
      </c>
      <c r="N161" s="18">
        <v>10944</v>
      </c>
      <c r="O161" s="18">
        <v>2749</v>
      </c>
      <c r="P161" s="18">
        <v>27340</v>
      </c>
      <c r="Q161" s="19">
        <v>80</v>
      </c>
      <c r="R161" s="316" t="s">
        <v>418</v>
      </c>
      <c r="S161" s="313" t="s">
        <v>39</v>
      </c>
      <c r="T161" s="150"/>
      <c r="U161" s="151"/>
      <c r="V161" s="11">
        <v>1320</v>
      </c>
      <c r="W161" s="5">
        <v>111000</v>
      </c>
      <c r="X161" s="171" t="s">
        <v>234</v>
      </c>
      <c r="Y161" s="156">
        <v>0.11</v>
      </c>
      <c r="Z161" s="155"/>
      <c r="AB161" s="155"/>
    </row>
    <row r="162" spans="2:29" ht="15" customHeight="1">
      <c r="B162" s="150" t="s">
        <v>222</v>
      </c>
      <c r="C162" s="140"/>
      <c r="E162" s="18"/>
      <c r="F162" s="19"/>
      <c r="G162" s="18"/>
      <c r="H162" s="18"/>
      <c r="I162" s="18"/>
      <c r="J162" s="19"/>
      <c r="K162" s="18"/>
      <c r="L162" s="19"/>
      <c r="M162" s="18"/>
      <c r="N162" s="18"/>
      <c r="O162" s="18"/>
      <c r="P162" s="18"/>
      <c r="Q162" s="19"/>
      <c r="R162" s="316" t="s">
        <v>419</v>
      </c>
      <c r="S162" s="313" t="s">
        <v>40</v>
      </c>
      <c r="T162" s="119"/>
      <c r="U162" s="117"/>
      <c r="V162" s="11">
        <v>1560</v>
      </c>
      <c r="W162" s="5">
        <v>135000</v>
      </c>
      <c r="X162" s="171" t="s">
        <v>234</v>
      </c>
      <c r="Y162" s="156">
        <v>0.12</v>
      </c>
      <c r="Z162" s="155"/>
      <c r="AB162" s="155"/>
    </row>
    <row r="163" spans="2:29" ht="15" customHeight="1">
      <c r="B163" s="150" t="s">
        <v>223</v>
      </c>
      <c r="C163" s="140"/>
      <c r="E163" s="18"/>
      <c r="F163" s="19"/>
      <c r="G163" s="18"/>
      <c r="H163" s="18"/>
      <c r="I163" s="18"/>
      <c r="J163" s="19"/>
      <c r="K163" s="18"/>
      <c r="L163" s="19"/>
      <c r="M163" s="18"/>
      <c r="N163" s="18"/>
      <c r="O163" s="18"/>
      <c r="P163" s="18"/>
      <c r="Q163" s="19"/>
      <c r="R163" s="316" t="s">
        <v>420</v>
      </c>
      <c r="S163" s="313" t="s">
        <v>41</v>
      </c>
      <c r="T163" s="119"/>
      <c r="U163" s="117"/>
      <c r="V163" s="11">
        <v>1820</v>
      </c>
      <c r="W163" s="5">
        <v>161000</v>
      </c>
      <c r="X163" s="171" t="s">
        <v>234</v>
      </c>
      <c r="Y163" s="156">
        <v>0.13</v>
      </c>
      <c r="Z163" s="155"/>
      <c r="AB163" s="155"/>
    </row>
    <row r="164" spans="2:29" ht="15" customHeight="1">
      <c r="B164" s="150" t="s">
        <v>224</v>
      </c>
      <c r="C164" s="140"/>
      <c r="E164" s="18"/>
      <c r="F164" s="19"/>
      <c r="G164" s="18"/>
      <c r="H164" s="18"/>
      <c r="I164" s="18"/>
      <c r="J164" s="19"/>
      <c r="K164" s="18"/>
      <c r="L164" s="19"/>
      <c r="M164" s="18"/>
      <c r="N164" s="18"/>
      <c r="O164" s="18"/>
      <c r="P164" s="18"/>
      <c r="Q164" s="19"/>
      <c r="R164" s="316" t="s">
        <v>421</v>
      </c>
      <c r="S164" s="313" t="s">
        <v>42</v>
      </c>
      <c r="T164" s="119"/>
      <c r="U164" s="117"/>
      <c r="V164" s="11">
        <v>2100</v>
      </c>
      <c r="W164" s="5">
        <v>203000</v>
      </c>
      <c r="X164" s="171" t="s">
        <v>234</v>
      </c>
      <c r="Y164" s="156">
        <v>0.14000000000000001</v>
      </c>
      <c r="Z164" s="155"/>
      <c r="AB164" s="155"/>
    </row>
    <row r="165" spans="2:29" ht="15" customHeight="1">
      <c r="B165" s="150" t="s">
        <v>225</v>
      </c>
      <c r="C165" s="140"/>
      <c r="E165" s="18"/>
      <c r="F165" s="19"/>
      <c r="G165" s="18"/>
      <c r="H165" s="18"/>
      <c r="I165" s="18"/>
      <c r="J165" s="19"/>
      <c r="K165" s="18"/>
      <c r="L165" s="19"/>
      <c r="M165" s="18"/>
      <c r="N165" s="18"/>
      <c r="O165" s="18"/>
      <c r="P165" s="18"/>
      <c r="Q165" s="19"/>
      <c r="R165" s="316" t="s">
        <v>422</v>
      </c>
      <c r="S165" s="313" t="s">
        <v>43</v>
      </c>
      <c r="T165" s="150"/>
      <c r="U165" s="151"/>
      <c r="V165" s="11">
        <v>2400</v>
      </c>
      <c r="W165" s="5">
        <v>248000</v>
      </c>
      <c r="X165" s="171" t="s">
        <v>234</v>
      </c>
      <c r="Y165" s="156">
        <v>0.15</v>
      </c>
      <c r="Z165" s="155"/>
      <c r="AB165" s="155"/>
    </row>
    <row r="166" spans="2:29" ht="15" customHeight="1">
      <c r="B166" s="150" t="s">
        <v>226</v>
      </c>
      <c r="C166" s="140"/>
      <c r="E166" s="18"/>
      <c r="F166" s="19"/>
      <c r="G166" s="18"/>
      <c r="H166" s="18"/>
      <c r="I166" s="18"/>
      <c r="J166" s="19"/>
      <c r="K166" s="18"/>
      <c r="L166" s="19"/>
      <c r="M166" s="18"/>
      <c r="N166" s="18"/>
      <c r="O166" s="18"/>
      <c r="P166" s="18"/>
      <c r="Q166" s="19"/>
      <c r="R166" s="316" t="s">
        <v>423</v>
      </c>
      <c r="S166" s="313" t="s">
        <v>44</v>
      </c>
      <c r="T166" s="150"/>
      <c r="U166" s="151"/>
      <c r="V166" s="11">
        <v>2720</v>
      </c>
      <c r="W166" s="5">
        <v>296000</v>
      </c>
      <c r="X166" s="171" t="s">
        <v>234</v>
      </c>
      <c r="Y166" s="156">
        <v>0.16</v>
      </c>
      <c r="Z166" s="155"/>
      <c r="AB166" s="155"/>
    </row>
    <row r="167" spans="2:29" ht="15" customHeight="1">
      <c r="B167" s="150" t="s">
        <v>227</v>
      </c>
      <c r="C167" s="140"/>
      <c r="E167" s="18"/>
      <c r="F167" s="19"/>
      <c r="G167" s="18"/>
      <c r="H167" s="18"/>
      <c r="I167" s="18"/>
      <c r="J167" s="19"/>
      <c r="K167" s="18"/>
      <c r="L167" s="19"/>
      <c r="M167" s="18"/>
      <c r="N167" s="18"/>
      <c r="O167" s="18"/>
      <c r="P167" s="18"/>
      <c r="Q167" s="19"/>
      <c r="R167" s="316" t="s">
        <v>424</v>
      </c>
      <c r="S167" s="313" t="s">
        <v>45</v>
      </c>
      <c r="T167" s="150"/>
      <c r="U167" s="151"/>
      <c r="V167" s="11">
        <v>3060</v>
      </c>
      <c r="W167" s="5">
        <v>347000</v>
      </c>
      <c r="X167" s="171" t="s">
        <v>234</v>
      </c>
      <c r="Y167" s="156">
        <v>0.17</v>
      </c>
      <c r="Z167" s="155"/>
      <c r="AB167" s="155"/>
    </row>
    <row r="168" spans="2:29" ht="15" customHeight="1">
      <c r="B168" s="150" t="s">
        <v>228</v>
      </c>
      <c r="C168" s="140"/>
      <c r="E168" s="18"/>
      <c r="F168" s="19"/>
      <c r="G168" s="18"/>
      <c r="H168" s="18"/>
      <c r="I168" s="18"/>
      <c r="J168" s="19"/>
      <c r="K168" s="18"/>
      <c r="L168" s="19"/>
      <c r="M168" s="18"/>
      <c r="N168" s="18"/>
      <c r="O168" s="18"/>
      <c r="P168" s="18"/>
      <c r="Q168" s="19"/>
      <c r="R168" s="316" t="s">
        <v>425</v>
      </c>
      <c r="S168" s="313" t="s">
        <v>46</v>
      </c>
      <c r="T168" s="150"/>
      <c r="U168" s="151"/>
      <c r="V168" s="11">
        <v>3420</v>
      </c>
      <c r="W168" s="5">
        <v>401000</v>
      </c>
      <c r="X168" s="171" t="s">
        <v>234</v>
      </c>
      <c r="Y168" s="156">
        <v>0.18</v>
      </c>
      <c r="Z168" s="155"/>
      <c r="AB168" s="155"/>
    </row>
    <row r="169" spans="2:29" ht="15" customHeight="1">
      <c r="B169" s="150" t="s">
        <v>229</v>
      </c>
      <c r="C169" s="140"/>
      <c r="E169" s="18"/>
      <c r="F169" s="19"/>
      <c r="G169" s="18"/>
      <c r="H169" s="18"/>
      <c r="I169" s="18"/>
      <c r="J169" s="19"/>
      <c r="K169" s="18"/>
      <c r="L169" s="19"/>
      <c r="M169" s="18"/>
      <c r="N169" s="18"/>
      <c r="O169" s="18"/>
      <c r="P169" s="18"/>
      <c r="Q169" s="19"/>
      <c r="R169" s="316" t="s">
        <v>426</v>
      </c>
      <c r="S169" s="313" t="s">
        <v>47</v>
      </c>
      <c r="T169" s="150"/>
      <c r="U169" s="151"/>
      <c r="V169" s="11">
        <v>3800</v>
      </c>
      <c r="W169" s="5">
        <v>458000</v>
      </c>
      <c r="X169" s="171" t="s">
        <v>234</v>
      </c>
      <c r="Y169" s="156">
        <v>0.19</v>
      </c>
      <c r="Z169" s="155"/>
      <c r="AB169" s="155"/>
    </row>
    <row r="170" spans="2:29" ht="15" customHeight="1">
      <c r="B170" s="150" t="s">
        <v>230</v>
      </c>
      <c r="C170" s="140"/>
      <c r="E170" s="18"/>
      <c r="F170" s="19"/>
      <c r="G170" s="18"/>
      <c r="H170" s="18"/>
      <c r="I170" s="18"/>
      <c r="J170" s="19"/>
      <c r="K170" s="18"/>
      <c r="L170" s="19"/>
      <c r="M170" s="18"/>
      <c r="N170" s="18"/>
      <c r="O170" s="18"/>
      <c r="P170" s="18"/>
      <c r="Q170" s="19"/>
      <c r="R170" s="316" t="s">
        <v>427</v>
      </c>
      <c r="S170" s="313" t="s">
        <v>48</v>
      </c>
      <c r="T170" s="150"/>
      <c r="U170" s="151"/>
      <c r="V170" s="11">
        <v>4200</v>
      </c>
      <c r="W170" s="5">
        <v>518000</v>
      </c>
      <c r="X170" s="171" t="s">
        <v>234</v>
      </c>
      <c r="Y170" s="156">
        <v>0.2</v>
      </c>
      <c r="Z170" s="155"/>
      <c r="AB170" s="155"/>
    </row>
    <row r="171" spans="2:29" ht="15" customHeight="1">
      <c r="B171" s="34" t="s">
        <v>231</v>
      </c>
      <c r="C171" s="480"/>
      <c r="D171" s="24"/>
      <c r="E171" s="25"/>
      <c r="F171" s="26"/>
      <c r="G171" s="25"/>
      <c r="H171" s="25"/>
      <c r="I171" s="25"/>
      <c r="J171" s="26"/>
      <c r="K171" s="25"/>
      <c r="L171" s="26"/>
      <c r="M171" s="25"/>
      <c r="N171" s="25"/>
      <c r="O171" s="25"/>
      <c r="P171" s="25"/>
      <c r="Q171" s="26"/>
      <c r="R171" s="196" t="s">
        <v>428</v>
      </c>
      <c r="S171" s="314" t="s">
        <v>49</v>
      </c>
      <c r="T171" s="34"/>
      <c r="U171" s="89"/>
      <c r="V171" s="27">
        <v>4620</v>
      </c>
      <c r="W171" s="24">
        <v>602000</v>
      </c>
      <c r="X171" s="172" t="s">
        <v>234</v>
      </c>
      <c r="Y171" s="173">
        <v>0.25</v>
      </c>
      <c r="Z171" s="154" t="s">
        <v>232</v>
      </c>
      <c r="AA171" s="173">
        <v>0.02</v>
      </c>
      <c r="AB171" s="154"/>
      <c r="AC171" s="173"/>
    </row>
    <row r="172" spans="2:29" ht="15" customHeight="1">
      <c r="B172" s="1" t="s">
        <v>63</v>
      </c>
      <c r="C172" s="133">
        <v>1.0416666666666667E-3</v>
      </c>
      <c r="D172" s="5">
        <v>1</v>
      </c>
      <c r="E172" s="18">
        <v>10</v>
      </c>
      <c r="F172" s="19">
        <v>20</v>
      </c>
      <c r="G172" s="7">
        <v>500</v>
      </c>
      <c r="H172" s="7">
        <v>400</v>
      </c>
      <c r="I172" s="7">
        <v>300</v>
      </c>
      <c r="J172" s="19">
        <v>250</v>
      </c>
      <c r="K172" s="18">
        <v>2525</v>
      </c>
      <c r="L172" s="19">
        <v>2</v>
      </c>
      <c r="M172" s="7">
        <v>5000</v>
      </c>
      <c r="N172" s="7">
        <v>4000</v>
      </c>
      <c r="O172" s="7">
        <v>3000</v>
      </c>
      <c r="P172" s="7">
        <v>2500</v>
      </c>
      <c r="Q172" s="19">
        <v>100</v>
      </c>
      <c r="R172" s="152" t="s">
        <v>284</v>
      </c>
      <c r="X172" s="153" t="s">
        <v>235</v>
      </c>
      <c r="Y172" s="5">
        <v>20</v>
      </c>
      <c r="AA172" s="156"/>
    </row>
    <row r="173" spans="2:29" ht="15" customHeight="1">
      <c r="B173" s="152" t="s">
        <v>238</v>
      </c>
      <c r="C173" s="133">
        <v>2.0833333333333333E-3</v>
      </c>
      <c r="D173" s="5">
        <v>1</v>
      </c>
      <c r="E173" s="18">
        <v>25</v>
      </c>
      <c r="F173" s="19">
        <v>40</v>
      </c>
      <c r="G173" s="7">
        <v>850</v>
      </c>
      <c r="H173" s="7">
        <v>680</v>
      </c>
      <c r="I173" s="7">
        <v>425</v>
      </c>
      <c r="J173" s="19">
        <v>510</v>
      </c>
      <c r="K173" s="18">
        <v>2575</v>
      </c>
      <c r="L173" s="19">
        <v>10</v>
      </c>
      <c r="M173" s="7">
        <v>2200</v>
      </c>
      <c r="N173" s="7">
        <v>1800</v>
      </c>
      <c r="O173" s="7">
        <v>1400</v>
      </c>
      <c r="P173" s="7">
        <v>1100</v>
      </c>
      <c r="Q173" s="19">
        <v>200</v>
      </c>
      <c r="R173" s="152" t="s">
        <v>283</v>
      </c>
      <c r="S173" s="152"/>
      <c r="T173" s="152"/>
      <c r="U173" s="151"/>
      <c r="X173" s="171" t="s">
        <v>235</v>
      </c>
      <c r="Y173" s="5">
        <v>50</v>
      </c>
      <c r="Z173" s="171"/>
      <c r="AA173" s="156"/>
      <c r="AB173" s="171"/>
    </row>
    <row r="174" spans="2:29" ht="15" customHeight="1">
      <c r="B174" s="152" t="s">
        <v>239</v>
      </c>
      <c r="C174" s="133">
        <v>4.1666666666666666E-3</v>
      </c>
      <c r="D174" s="5">
        <v>1</v>
      </c>
      <c r="E174" s="18">
        <v>50</v>
      </c>
      <c r="F174" s="19">
        <v>60</v>
      </c>
      <c r="G174" s="7">
        <v>1445</v>
      </c>
      <c r="H174" s="7">
        <v>1156</v>
      </c>
      <c r="I174" s="7">
        <v>867</v>
      </c>
      <c r="J174" s="19">
        <v>723</v>
      </c>
      <c r="K174" s="18">
        <v>2600</v>
      </c>
      <c r="L174" s="19">
        <v>22</v>
      </c>
      <c r="M174" s="7">
        <v>2500</v>
      </c>
      <c r="N174" s="7">
        <v>1900</v>
      </c>
      <c r="O174" s="7">
        <v>1500</v>
      </c>
      <c r="P174" s="7">
        <v>1200</v>
      </c>
      <c r="Q174" s="19">
        <v>200</v>
      </c>
      <c r="R174" s="169" t="s">
        <v>409</v>
      </c>
      <c r="S174" s="152"/>
      <c r="T174" s="152"/>
      <c r="U174" s="151"/>
      <c r="X174" s="171" t="s">
        <v>235</v>
      </c>
      <c r="Y174" s="5">
        <v>100</v>
      </c>
      <c r="Z174" s="171"/>
      <c r="AA174" s="156"/>
      <c r="AB174" s="171"/>
    </row>
    <row r="175" spans="2:29" ht="15" customHeight="1">
      <c r="B175" s="152" t="s">
        <v>240</v>
      </c>
      <c r="C175" s="133">
        <v>8.3333333333333332E-3</v>
      </c>
      <c r="D175" s="5">
        <v>1</v>
      </c>
      <c r="E175" s="18">
        <v>200</v>
      </c>
      <c r="F175" s="19">
        <v>100</v>
      </c>
      <c r="G175" s="7">
        <v>2547</v>
      </c>
      <c r="H175" s="7">
        <v>1966</v>
      </c>
      <c r="I175" s="7">
        <v>1474</v>
      </c>
      <c r="J175" s="19">
        <v>1230</v>
      </c>
      <c r="K175" s="18">
        <v>2650</v>
      </c>
      <c r="L175" s="19">
        <v>42</v>
      </c>
      <c r="M175" s="7">
        <v>3200</v>
      </c>
      <c r="N175" s="7">
        <v>2500</v>
      </c>
      <c r="O175" s="7">
        <v>1900</v>
      </c>
      <c r="P175" s="7">
        <v>1600</v>
      </c>
      <c r="Q175" s="19">
        <v>250</v>
      </c>
      <c r="R175" s="203" t="s">
        <v>429</v>
      </c>
      <c r="S175" s="152"/>
      <c r="T175" s="152"/>
      <c r="U175" s="151"/>
      <c r="X175" s="171" t="s">
        <v>235</v>
      </c>
      <c r="Y175" s="5">
        <v>150</v>
      </c>
      <c r="Z175" s="171"/>
      <c r="AA175" s="156"/>
      <c r="AB175" s="171"/>
    </row>
    <row r="176" spans="2:29" ht="15" customHeight="1">
      <c r="B176" s="152" t="s">
        <v>241</v>
      </c>
      <c r="C176" s="133">
        <v>1.6666666666666666E-2</v>
      </c>
      <c r="D176" s="5">
        <v>130</v>
      </c>
      <c r="E176" s="18">
        <v>400</v>
      </c>
      <c r="F176" s="19">
        <v>140</v>
      </c>
      <c r="G176" s="7">
        <v>4177</v>
      </c>
      <c r="H176" s="7">
        <v>3343</v>
      </c>
      <c r="I176" s="7">
        <v>2506</v>
      </c>
      <c r="J176" s="19">
        <v>2091</v>
      </c>
      <c r="K176" s="18">
        <v>2675</v>
      </c>
      <c r="L176" s="19">
        <v>70</v>
      </c>
      <c r="M176" s="7">
        <v>4300</v>
      </c>
      <c r="N176" s="7">
        <v>3500</v>
      </c>
      <c r="O176" s="7">
        <v>2600</v>
      </c>
      <c r="P176" s="7">
        <v>2200</v>
      </c>
      <c r="Q176" s="19">
        <v>450</v>
      </c>
      <c r="R176" s="203" t="s">
        <v>430</v>
      </c>
      <c r="S176" s="152"/>
      <c r="T176" s="152"/>
      <c r="U176" s="151"/>
      <c r="X176" s="171" t="s">
        <v>235</v>
      </c>
      <c r="Y176" s="5">
        <v>200</v>
      </c>
      <c r="Z176" s="171" t="s">
        <v>282</v>
      </c>
      <c r="AA176" s="156">
        <v>0.01</v>
      </c>
      <c r="AB176" s="171"/>
    </row>
    <row r="177" spans="2:29" ht="15" customHeight="1">
      <c r="B177" s="152" t="s">
        <v>242</v>
      </c>
      <c r="C177" s="133">
        <v>3.3333333333333333E-2</v>
      </c>
      <c r="D177" s="5">
        <v>130</v>
      </c>
      <c r="E177" s="18">
        <v>500</v>
      </c>
      <c r="F177" s="19">
        <v>220</v>
      </c>
      <c r="G177" s="7">
        <v>8354</v>
      </c>
      <c r="H177" s="7">
        <v>6686</v>
      </c>
      <c r="I177" s="7">
        <v>5012</v>
      </c>
      <c r="J177" s="19">
        <v>4182</v>
      </c>
      <c r="K177" s="18">
        <v>10000</v>
      </c>
      <c r="L177" s="19">
        <v>115</v>
      </c>
      <c r="M177" s="7">
        <v>6900</v>
      </c>
      <c r="N177" s="7">
        <v>5500</v>
      </c>
      <c r="O177" s="7">
        <v>4100</v>
      </c>
      <c r="P177" s="7">
        <v>3400</v>
      </c>
      <c r="Q177" s="19">
        <v>350</v>
      </c>
      <c r="R177" s="316" t="s">
        <v>431</v>
      </c>
      <c r="S177" s="152"/>
      <c r="T177" s="152"/>
      <c r="U177" s="151"/>
      <c r="X177" s="171" t="s">
        <v>235</v>
      </c>
      <c r="Y177" s="5">
        <v>250</v>
      </c>
      <c r="Z177" s="171"/>
      <c r="AA177" s="156"/>
      <c r="AB177" s="171"/>
    </row>
    <row r="178" spans="2:29" ht="15" customHeight="1">
      <c r="B178" s="152" t="s">
        <v>243</v>
      </c>
      <c r="C178" s="133">
        <v>6.6666666666666666E-2</v>
      </c>
      <c r="D178" s="5">
        <v>300</v>
      </c>
      <c r="E178" s="18">
        <v>500</v>
      </c>
      <c r="F178" s="19">
        <v>340</v>
      </c>
      <c r="G178" s="7">
        <v>16708</v>
      </c>
      <c r="H178" s="7">
        <v>13372</v>
      </c>
      <c r="I178" s="7">
        <v>10024</v>
      </c>
      <c r="J178" s="19">
        <v>8364</v>
      </c>
      <c r="K178" s="18">
        <v>10000</v>
      </c>
      <c r="L178" s="19">
        <v>182</v>
      </c>
      <c r="M178" s="7">
        <v>11900</v>
      </c>
      <c r="N178" s="7">
        <v>9500</v>
      </c>
      <c r="O178" s="7">
        <v>7100</v>
      </c>
      <c r="P178" s="7">
        <v>5900</v>
      </c>
      <c r="Q178" s="19">
        <v>250</v>
      </c>
      <c r="R178" s="316" t="s">
        <v>432</v>
      </c>
      <c r="S178" s="152"/>
      <c r="T178" s="152"/>
      <c r="U178" s="151"/>
      <c r="X178" s="171" t="s">
        <v>235</v>
      </c>
      <c r="Y178" s="5">
        <v>300</v>
      </c>
      <c r="Z178" s="171"/>
      <c r="AA178" s="156"/>
      <c r="AB178" s="171"/>
    </row>
    <row r="179" spans="2:29" ht="15" customHeight="1">
      <c r="B179" s="152" t="s">
        <v>244</v>
      </c>
      <c r="C179" s="133">
        <v>0.13333333333333333</v>
      </c>
      <c r="D179" s="5">
        <v>300</v>
      </c>
      <c r="E179" s="18">
        <v>500</v>
      </c>
      <c r="F179" s="19">
        <v>500</v>
      </c>
      <c r="G179" s="7">
        <v>33416</v>
      </c>
      <c r="H179" s="7">
        <v>26744</v>
      </c>
      <c r="I179" s="7">
        <v>20048</v>
      </c>
      <c r="J179" s="19">
        <v>16728</v>
      </c>
      <c r="K179" s="18">
        <v>10000</v>
      </c>
      <c r="L179" s="19">
        <v>275</v>
      </c>
      <c r="M179" s="7">
        <v>20800</v>
      </c>
      <c r="N179" s="7">
        <v>16700</v>
      </c>
      <c r="O179" s="7">
        <v>12500</v>
      </c>
      <c r="P179" s="7">
        <v>10400</v>
      </c>
      <c r="Q179" s="19">
        <v>350</v>
      </c>
      <c r="R179" s="316" t="s">
        <v>433</v>
      </c>
      <c r="S179" s="152"/>
      <c r="T179" s="152"/>
      <c r="U179" s="151"/>
      <c r="X179" s="171" t="s">
        <v>235</v>
      </c>
      <c r="Y179" s="5">
        <v>400</v>
      </c>
      <c r="Z179" s="171"/>
      <c r="AA179" s="156"/>
      <c r="AB179" s="171"/>
    </row>
    <row r="180" spans="2:29" ht="15" customHeight="1">
      <c r="B180" s="152" t="s">
        <v>245</v>
      </c>
      <c r="C180" s="133">
        <v>0.26666666666666666</v>
      </c>
      <c r="D180" s="5">
        <v>650</v>
      </c>
      <c r="E180" s="18">
        <v>500</v>
      </c>
      <c r="F180" s="19">
        <v>760</v>
      </c>
      <c r="G180" s="7">
        <v>66832</v>
      </c>
      <c r="H180" s="7">
        <v>53488</v>
      </c>
      <c r="I180" s="7">
        <v>40096</v>
      </c>
      <c r="J180" s="19">
        <v>33456</v>
      </c>
      <c r="K180" s="18">
        <v>30000</v>
      </c>
      <c r="L180" s="19">
        <v>425</v>
      </c>
      <c r="M180" s="7">
        <v>37100</v>
      </c>
      <c r="N180" s="7">
        <v>29700</v>
      </c>
      <c r="O180" s="7">
        <v>22200</v>
      </c>
      <c r="P180" s="7">
        <v>18500</v>
      </c>
      <c r="Q180" s="19">
        <v>450</v>
      </c>
      <c r="R180" s="316" t="s">
        <v>434</v>
      </c>
      <c r="S180" s="152"/>
      <c r="T180" s="152"/>
      <c r="U180" s="151"/>
      <c r="X180" s="171" t="s">
        <v>235</v>
      </c>
      <c r="Y180" s="5">
        <v>500</v>
      </c>
      <c r="Z180" s="171"/>
      <c r="AA180" s="156"/>
      <c r="AB180" s="171"/>
    </row>
    <row r="181" spans="2:29" ht="15" customHeight="1">
      <c r="B181" s="152" t="s">
        <v>246</v>
      </c>
      <c r="C181" s="133">
        <v>0.53333333333333333</v>
      </c>
      <c r="D181" s="5">
        <v>1000</v>
      </c>
      <c r="E181" s="18">
        <v>500</v>
      </c>
      <c r="F181" s="19">
        <v>1140</v>
      </c>
      <c r="G181" s="7">
        <v>100248</v>
      </c>
      <c r="H181" s="7">
        <v>80232</v>
      </c>
      <c r="I181" s="7">
        <v>60144</v>
      </c>
      <c r="J181" s="19">
        <v>50184</v>
      </c>
      <c r="K181" s="18">
        <v>30000</v>
      </c>
      <c r="L181" s="19">
        <v>650</v>
      </c>
      <c r="M181" s="7">
        <v>20049</v>
      </c>
      <c r="N181" s="7">
        <v>16046</v>
      </c>
      <c r="O181" s="7">
        <v>12028</v>
      </c>
      <c r="P181" s="7">
        <v>10036</v>
      </c>
      <c r="Q181" s="19">
        <v>335</v>
      </c>
      <c r="R181" s="316" t="s">
        <v>435</v>
      </c>
      <c r="S181" s="152"/>
      <c r="T181" s="152"/>
      <c r="U181" s="151"/>
      <c r="X181" s="171" t="s">
        <v>235</v>
      </c>
      <c r="Y181" s="5">
        <v>600</v>
      </c>
      <c r="Z181" s="171" t="s">
        <v>282</v>
      </c>
      <c r="AA181" s="156">
        <v>0.02</v>
      </c>
      <c r="AB181" s="171"/>
    </row>
    <row r="182" spans="2:29" ht="15" customHeight="1">
      <c r="B182" s="152" t="s">
        <v>247</v>
      </c>
      <c r="C182" s="133">
        <v>0.64</v>
      </c>
      <c r="D182" s="5">
        <v>1000</v>
      </c>
      <c r="E182" s="18">
        <v>500</v>
      </c>
      <c r="F182" s="19">
        <v>1720</v>
      </c>
      <c r="G182" s="7">
        <v>150372</v>
      </c>
      <c r="H182" s="7">
        <v>120348</v>
      </c>
      <c r="I182" s="7">
        <v>90216</v>
      </c>
      <c r="J182" s="19">
        <v>75276</v>
      </c>
      <c r="K182" s="18">
        <v>60000</v>
      </c>
      <c r="L182" s="19">
        <v>1000</v>
      </c>
      <c r="M182" s="7">
        <v>27340</v>
      </c>
      <c r="N182" s="7">
        <v>21881</v>
      </c>
      <c r="O182" s="7">
        <v>16402</v>
      </c>
      <c r="P182" s="7">
        <v>13686</v>
      </c>
      <c r="Q182" s="19">
        <v>225</v>
      </c>
      <c r="R182" s="316" t="s">
        <v>436</v>
      </c>
      <c r="S182" s="152"/>
      <c r="T182" s="152"/>
      <c r="U182" s="151"/>
      <c r="X182" s="171" t="s">
        <v>235</v>
      </c>
      <c r="Y182" s="5">
        <v>700</v>
      </c>
      <c r="Z182" s="171"/>
      <c r="AA182" s="156"/>
      <c r="AB182" s="171"/>
    </row>
    <row r="183" spans="2:29" ht="15" customHeight="1">
      <c r="B183" s="152" t="s">
        <v>248</v>
      </c>
      <c r="E183" s="18"/>
      <c r="F183" s="19"/>
      <c r="G183" s="7"/>
      <c r="H183" s="7"/>
      <c r="I183" s="7"/>
      <c r="J183" s="19"/>
      <c r="K183" s="18"/>
      <c r="L183" s="19"/>
      <c r="M183" s="7"/>
      <c r="N183" s="7"/>
      <c r="O183" s="7"/>
      <c r="P183" s="7"/>
      <c r="Q183" s="19"/>
      <c r="R183" s="316" t="s">
        <v>437</v>
      </c>
      <c r="S183" s="152"/>
      <c r="T183" s="152"/>
      <c r="U183" s="151"/>
      <c r="X183" s="171" t="s">
        <v>235</v>
      </c>
      <c r="Y183" s="5">
        <v>800</v>
      </c>
      <c r="Z183" s="171"/>
      <c r="AA183" s="156"/>
      <c r="AB183" s="171"/>
    </row>
    <row r="184" spans="2:29" ht="15" customHeight="1">
      <c r="B184" s="152" t="s">
        <v>249</v>
      </c>
      <c r="E184" s="18"/>
      <c r="F184" s="19"/>
      <c r="G184" s="7"/>
      <c r="H184" s="7"/>
      <c r="I184" s="7"/>
      <c r="J184" s="19"/>
      <c r="K184" s="18"/>
      <c r="L184" s="19"/>
      <c r="M184" s="7"/>
      <c r="N184" s="7"/>
      <c r="O184" s="7"/>
      <c r="P184" s="7"/>
      <c r="Q184" s="19"/>
      <c r="R184" s="316" t="s">
        <v>438</v>
      </c>
      <c r="S184" s="152"/>
      <c r="T184" s="152"/>
      <c r="U184" s="151"/>
      <c r="X184" s="171" t="s">
        <v>235</v>
      </c>
      <c r="Y184" s="5">
        <v>900</v>
      </c>
      <c r="Z184" s="171"/>
      <c r="AA184" s="156"/>
      <c r="AB184" s="171"/>
    </row>
    <row r="185" spans="2:29" ht="15" customHeight="1">
      <c r="B185" s="152" t="s">
        <v>250</v>
      </c>
      <c r="E185" s="18"/>
      <c r="F185" s="19"/>
      <c r="G185" s="7"/>
      <c r="H185" s="7"/>
      <c r="I185" s="7"/>
      <c r="J185" s="19"/>
      <c r="K185" s="18"/>
      <c r="L185" s="19"/>
      <c r="M185" s="7"/>
      <c r="N185" s="7"/>
      <c r="O185" s="7"/>
      <c r="P185" s="7"/>
      <c r="Q185" s="19"/>
      <c r="R185" s="316" t="s">
        <v>439</v>
      </c>
      <c r="S185" s="152"/>
      <c r="T185" s="152"/>
      <c r="U185" s="151"/>
      <c r="X185" s="171" t="s">
        <v>235</v>
      </c>
      <c r="Y185" s="5">
        <v>1050</v>
      </c>
      <c r="Z185" s="171"/>
      <c r="AA185" s="156"/>
      <c r="AB185" s="171"/>
    </row>
    <row r="186" spans="2:29" ht="15" customHeight="1">
      <c r="B186" s="152" t="s">
        <v>251</v>
      </c>
      <c r="E186" s="18"/>
      <c r="F186" s="19"/>
      <c r="G186" s="7"/>
      <c r="H186" s="7"/>
      <c r="I186" s="7"/>
      <c r="J186" s="19"/>
      <c r="K186" s="18"/>
      <c r="L186" s="19"/>
      <c r="M186" s="7"/>
      <c r="N186" s="7"/>
      <c r="O186" s="7"/>
      <c r="P186" s="7"/>
      <c r="Q186" s="19"/>
      <c r="R186" s="316" t="s">
        <v>440</v>
      </c>
      <c r="S186" s="152"/>
      <c r="T186" s="152"/>
      <c r="U186" s="151"/>
      <c r="X186" s="171" t="s">
        <v>235</v>
      </c>
      <c r="Y186" s="5">
        <v>1250</v>
      </c>
      <c r="Z186" s="171" t="s">
        <v>282</v>
      </c>
      <c r="AA186" s="156">
        <v>0.03</v>
      </c>
      <c r="AB186" s="171"/>
    </row>
    <row r="187" spans="2:29" ht="15" customHeight="1">
      <c r="B187" s="152" t="s">
        <v>252</v>
      </c>
      <c r="E187" s="18"/>
      <c r="F187" s="19"/>
      <c r="G187" s="7"/>
      <c r="H187" s="7"/>
      <c r="I187" s="7"/>
      <c r="J187" s="19"/>
      <c r="K187" s="18"/>
      <c r="L187" s="19"/>
      <c r="M187" s="7"/>
      <c r="N187" s="7"/>
      <c r="O187" s="7"/>
      <c r="P187" s="7"/>
      <c r="Q187" s="19"/>
      <c r="R187" s="316" t="s">
        <v>441</v>
      </c>
      <c r="S187" s="152"/>
      <c r="T187" s="152"/>
      <c r="U187" s="151"/>
      <c r="X187" s="171" t="s">
        <v>235</v>
      </c>
      <c r="Y187" s="5">
        <v>1500</v>
      </c>
      <c r="Z187" s="171"/>
      <c r="AA187" s="156"/>
      <c r="AB187" s="171"/>
    </row>
    <row r="188" spans="2:29" ht="15" customHeight="1">
      <c r="B188" s="152" t="s">
        <v>253</v>
      </c>
      <c r="E188" s="18"/>
      <c r="F188" s="19"/>
      <c r="G188" s="7"/>
      <c r="H188" s="7"/>
      <c r="I188" s="7"/>
      <c r="J188" s="19"/>
      <c r="K188" s="18"/>
      <c r="L188" s="19"/>
      <c r="M188" s="7"/>
      <c r="N188" s="7"/>
      <c r="O188" s="7"/>
      <c r="P188" s="7"/>
      <c r="Q188" s="19"/>
      <c r="R188" s="316" t="s">
        <v>442</v>
      </c>
      <c r="S188" s="152"/>
      <c r="T188" s="152"/>
      <c r="U188" s="151"/>
      <c r="X188" s="171" t="s">
        <v>235</v>
      </c>
      <c r="Y188" s="5">
        <v>1750</v>
      </c>
      <c r="Z188" s="171"/>
      <c r="AA188" s="156"/>
      <c r="AB188" s="171"/>
    </row>
    <row r="189" spans="2:29" ht="15" customHeight="1">
      <c r="B189" s="152" t="s">
        <v>254</v>
      </c>
      <c r="E189" s="18"/>
      <c r="F189" s="19"/>
      <c r="G189" s="7"/>
      <c r="H189" s="7"/>
      <c r="I189" s="7"/>
      <c r="J189" s="19"/>
      <c r="K189" s="18"/>
      <c r="L189" s="19"/>
      <c r="M189" s="7"/>
      <c r="N189" s="7"/>
      <c r="O189" s="7"/>
      <c r="P189" s="7"/>
      <c r="Q189" s="19"/>
      <c r="R189" s="316" t="s">
        <v>443</v>
      </c>
      <c r="S189" s="152"/>
      <c r="T189" s="152"/>
      <c r="U189" s="151"/>
      <c r="X189" s="171" t="s">
        <v>235</v>
      </c>
      <c r="Y189" s="5">
        <v>2000</v>
      </c>
      <c r="Z189" s="171"/>
      <c r="AA189" s="156"/>
      <c r="AB189" s="171"/>
    </row>
    <row r="190" spans="2:29" ht="15" customHeight="1">
      <c r="B190" s="152" t="s">
        <v>255</v>
      </c>
      <c r="E190" s="18"/>
      <c r="F190" s="19"/>
      <c r="G190" s="7"/>
      <c r="H190" s="7"/>
      <c r="I190" s="7"/>
      <c r="J190" s="19"/>
      <c r="K190" s="18"/>
      <c r="L190" s="19"/>
      <c r="M190" s="7"/>
      <c r="N190" s="7"/>
      <c r="O190" s="7"/>
      <c r="P190" s="7"/>
      <c r="Q190" s="19"/>
      <c r="R190" s="316" t="s">
        <v>444</v>
      </c>
      <c r="S190" s="152"/>
      <c r="T190" s="152"/>
      <c r="U190" s="151"/>
      <c r="X190" s="171" t="s">
        <v>235</v>
      </c>
      <c r="Y190" s="5">
        <v>2250</v>
      </c>
      <c r="Z190" s="171"/>
      <c r="AA190" s="156"/>
      <c r="AB190" s="171"/>
    </row>
    <row r="191" spans="2:29" ht="15" customHeight="1">
      <c r="B191" s="150" t="s">
        <v>256</v>
      </c>
      <c r="C191" s="140"/>
      <c r="E191" s="18"/>
      <c r="F191" s="19"/>
      <c r="G191" s="18"/>
      <c r="H191" s="18"/>
      <c r="I191" s="18"/>
      <c r="J191" s="19"/>
      <c r="K191" s="18"/>
      <c r="L191" s="19"/>
      <c r="M191" s="18"/>
      <c r="N191" s="18"/>
      <c r="O191" s="18"/>
      <c r="P191" s="18"/>
      <c r="Q191" s="19"/>
      <c r="R191" s="316" t="s">
        <v>445</v>
      </c>
      <c r="S191" s="150"/>
      <c r="T191" s="150"/>
      <c r="U191" s="151"/>
      <c r="V191" s="11"/>
      <c r="X191" s="171" t="s">
        <v>235</v>
      </c>
      <c r="Y191" s="5">
        <v>2500</v>
      </c>
      <c r="Z191" s="171" t="s">
        <v>282</v>
      </c>
      <c r="AA191" s="156">
        <v>0.04</v>
      </c>
      <c r="AB191" s="171"/>
    </row>
    <row r="192" spans="2:29" ht="15" customHeight="1">
      <c r="B192" s="34" t="s">
        <v>257</v>
      </c>
      <c r="C192" s="480"/>
      <c r="D192" s="24"/>
      <c r="E192" s="25"/>
      <c r="F192" s="26"/>
      <c r="G192" s="25"/>
      <c r="H192" s="25"/>
      <c r="I192" s="25"/>
      <c r="J192" s="26"/>
      <c r="K192" s="25"/>
      <c r="L192" s="26"/>
      <c r="M192" s="25"/>
      <c r="N192" s="25"/>
      <c r="O192" s="25"/>
      <c r="P192" s="25"/>
      <c r="Q192" s="26"/>
      <c r="R192" s="196" t="s">
        <v>446</v>
      </c>
      <c r="S192" s="34"/>
      <c r="T192" s="34"/>
      <c r="U192" s="89"/>
      <c r="V192" s="27"/>
      <c r="W192" s="24"/>
      <c r="X192" s="172" t="s">
        <v>235</v>
      </c>
      <c r="Y192" s="24">
        <v>5000</v>
      </c>
      <c r="Z192" s="172" t="s">
        <v>282</v>
      </c>
      <c r="AA192" s="173">
        <v>0.1</v>
      </c>
      <c r="AB192" s="172"/>
      <c r="AC192" s="173"/>
    </row>
    <row r="193" spans="2:28" ht="15" customHeight="1">
      <c r="B193" s="150" t="s">
        <v>21</v>
      </c>
      <c r="C193" s="140">
        <v>1.0416666666666667E-3</v>
      </c>
      <c r="D193" s="5">
        <v>1</v>
      </c>
      <c r="E193" s="18">
        <v>10</v>
      </c>
      <c r="F193" s="19">
        <v>10</v>
      </c>
      <c r="G193" s="18">
        <v>500</v>
      </c>
      <c r="H193" s="18">
        <v>400</v>
      </c>
      <c r="I193" s="18">
        <v>300</v>
      </c>
      <c r="J193" s="19">
        <v>250</v>
      </c>
      <c r="K193" s="18">
        <v>2525</v>
      </c>
      <c r="L193" s="19">
        <v>2</v>
      </c>
      <c r="M193" s="18">
        <v>5400</v>
      </c>
      <c r="N193" s="18">
        <v>4300</v>
      </c>
      <c r="O193" s="18">
        <v>3300</v>
      </c>
      <c r="P193" s="18">
        <v>2700</v>
      </c>
      <c r="Q193" s="19">
        <v>50</v>
      </c>
      <c r="R193" s="150" t="s">
        <v>284</v>
      </c>
      <c r="S193" s="150"/>
      <c r="T193" s="150"/>
      <c r="U193" s="151"/>
      <c r="V193" s="11"/>
      <c r="X193" s="197" t="s">
        <v>370</v>
      </c>
      <c r="Y193" s="5">
        <v>200</v>
      </c>
      <c r="Z193" s="155"/>
      <c r="AB193" s="155"/>
    </row>
    <row r="194" spans="2:28" ht="15" customHeight="1">
      <c r="B194" s="150" t="s">
        <v>258</v>
      </c>
      <c r="C194" s="140">
        <v>2.0833333333333333E-3</v>
      </c>
      <c r="D194" s="5">
        <v>1</v>
      </c>
      <c r="E194" s="18">
        <v>25</v>
      </c>
      <c r="F194" s="19">
        <v>20</v>
      </c>
      <c r="G194" s="18">
        <v>850</v>
      </c>
      <c r="H194" s="18">
        <v>680</v>
      </c>
      <c r="I194" s="18">
        <v>510</v>
      </c>
      <c r="J194" s="19">
        <v>425</v>
      </c>
      <c r="K194" s="18">
        <v>2575</v>
      </c>
      <c r="L194" s="19">
        <v>10</v>
      </c>
      <c r="M194" s="18">
        <v>2400</v>
      </c>
      <c r="N194" s="18">
        <v>1900</v>
      </c>
      <c r="O194" s="18">
        <v>1500</v>
      </c>
      <c r="P194" s="18">
        <v>1200</v>
      </c>
      <c r="Q194" s="19">
        <v>150</v>
      </c>
      <c r="R194" s="316" t="s">
        <v>343</v>
      </c>
      <c r="S194" s="150"/>
      <c r="T194" s="150"/>
      <c r="U194" s="151"/>
      <c r="V194" s="11"/>
      <c r="X194" s="171" t="s">
        <v>370</v>
      </c>
      <c r="Y194" s="5">
        <v>500</v>
      </c>
      <c r="Z194" s="155"/>
      <c r="AB194" s="155"/>
    </row>
    <row r="195" spans="2:28" ht="15" customHeight="1">
      <c r="B195" s="150" t="s">
        <v>259</v>
      </c>
      <c r="C195" s="140">
        <v>4.1666666666666666E-3</v>
      </c>
      <c r="D195" s="5">
        <v>1</v>
      </c>
      <c r="E195" s="18">
        <v>50</v>
      </c>
      <c r="F195" s="19">
        <v>30</v>
      </c>
      <c r="G195" s="18">
        <v>1445</v>
      </c>
      <c r="H195" s="18">
        <v>1156</v>
      </c>
      <c r="I195" s="18">
        <v>867</v>
      </c>
      <c r="J195" s="19">
        <v>723</v>
      </c>
      <c r="K195" s="18">
        <v>2600</v>
      </c>
      <c r="L195" s="19">
        <v>22</v>
      </c>
      <c r="M195" s="18">
        <v>2700</v>
      </c>
      <c r="N195" s="18">
        <v>2100</v>
      </c>
      <c r="O195" s="18">
        <v>1600</v>
      </c>
      <c r="P195" s="18">
        <v>1300</v>
      </c>
      <c r="Q195" s="19">
        <v>150</v>
      </c>
      <c r="R195" s="316" t="s">
        <v>239</v>
      </c>
      <c r="S195" s="150"/>
      <c r="T195" s="150"/>
      <c r="U195" s="151"/>
      <c r="V195" s="11"/>
      <c r="X195" s="171" t="s">
        <v>370</v>
      </c>
      <c r="Y195" s="5">
        <v>1000</v>
      </c>
      <c r="Z195" s="155"/>
      <c r="AB195" s="155"/>
    </row>
    <row r="196" spans="2:28" ht="15" customHeight="1">
      <c r="B196" s="150" t="s">
        <v>260</v>
      </c>
      <c r="C196" s="140">
        <v>8.3333333333333332E-3</v>
      </c>
      <c r="D196" s="5">
        <v>70</v>
      </c>
      <c r="E196" s="18">
        <v>200</v>
      </c>
      <c r="F196" s="19">
        <v>50</v>
      </c>
      <c r="G196" s="18">
        <v>2457</v>
      </c>
      <c r="H196" s="18">
        <v>1966</v>
      </c>
      <c r="I196" s="18">
        <v>1474</v>
      </c>
      <c r="J196" s="19">
        <v>1230</v>
      </c>
      <c r="K196" s="18">
        <v>2650</v>
      </c>
      <c r="L196" s="19">
        <v>42</v>
      </c>
      <c r="M196" s="18">
        <v>3400</v>
      </c>
      <c r="N196" s="18">
        <v>2700</v>
      </c>
      <c r="O196" s="18">
        <v>2100</v>
      </c>
      <c r="P196" s="18">
        <v>1800</v>
      </c>
      <c r="Q196" s="19">
        <v>150</v>
      </c>
      <c r="R196" s="316" t="s">
        <v>240</v>
      </c>
      <c r="S196" s="150"/>
      <c r="T196" s="150"/>
      <c r="U196" s="151"/>
      <c r="V196" s="11"/>
      <c r="X196" s="171" t="s">
        <v>370</v>
      </c>
      <c r="Y196" s="5">
        <v>1500</v>
      </c>
      <c r="Z196" s="155"/>
      <c r="AB196" s="155"/>
    </row>
    <row r="197" spans="2:28" ht="15" customHeight="1">
      <c r="B197" s="150" t="s">
        <v>261</v>
      </c>
      <c r="C197" s="140">
        <v>1.6666666666666666E-2</v>
      </c>
      <c r="D197" s="5">
        <v>130</v>
      </c>
      <c r="E197" s="18">
        <v>400</v>
      </c>
      <c r="F197" s="19">
        <v>70</v>
      </c>
      <c r="G197" s="18">
        <v>4177</v>
      </c>
      <c r="H197" s="18">
        <v>3343</v>
      </c>
      <c r="I197" s="18">
        <v>2506</v>
      </c>
      <c r="J197" s="19">
        <v>2091</v>
      </c>
      <c r="K197" s="18">
        <v>2675</v>
      </c>
      <c r="L197" s="19">
        <v>70</v>
      </c>
      <c r="M197" s="18">
        <v>4600</v>
      </c>
      <c r="N197" s="18">
        <v>3700</v>
      </c>
      <c r="O197" s="18">
        <v>2800</v>
      </c>
      <c r="P197" s="18">
        <v>2400</v>
      </c>
      <c r="Q197" s="19">
        <v>250</v>
      </c>
      <c r="R197" s="316" t="s">
        <v>241</v>
      </c>
      <c r="S197" s="150"/>
      <c r="T197" s="150"/>
      <c r="U197" s="151"/>
      <c r="V197" s="11"/>
      <c r="X197" s="171" t="s">
        <v>370</v>
      </c>
      <c r="Y197" s="5">
        <v>2500</v>
      </c>
      <c r="Z197" s="155"/>
      <c r="AB197" s="155"/>
    </row>
    <row r="198" spans="2:28" ht="15" customHeight="1">
      <c r="B198" s="150" t="s">
        <v>262</v>
      </c>
      <c r="C198" s="140">
        <v>3.1666666666666669E-2</v>
      </c>
      <c r="D198" s="5">
        <v>130</v>
      </c>
      <c r="E198" s="18">
        <v>500</v>
      </c>
      <c r="F198" s="19">
        <v>110</v>
      </c>
      <c r="G198" s="18">
        <v>8354</v>
      </c>
      <c r="H198" s="18">
        <v>6686</v>
      </c>
      <c r="I198" s="18">
        <v>5012</v>
      </c>
      <c r="J198" s="19">
        <v>4182</v>
      </c>
      <c r="K198" s="18">
        <v>10000</v>
      </c>
      <c r="L198" s="19">
        <v>115</v>
      </c>
      <c r="M198" s="18">
        <v>5800</v>
      </c>
      <c r="N198" s="18">
        <v>4600</v>
      </c>
      <c r="O198" s="18">
        <v>3500</v>
      </c>
      <c r="P198" s="18">
        <v>2900</v>
      </c>
      <c r="Q198" s="19">
        <v>300</v>
      </c>
      <c r="R198" s="316" t="s">
        <v>242</v>
      </c>
      <c r="S198" s="150"/>
      <c r="T198" s="150"/>
      <c r="U198" s="151"/>
      <c r="V198" s="11"/>
      <c r="X198" s="171" t="s">
        <v>370</v>
      </c>
      <c r="Y198" s="5">
        <v>4000</v>
      </c>
      <c r="Z198" s="155"/>
      <c r="AB198" s="155"/>
    </row>
    <row r="199" spans="2:28" ht="15" customHeight="1">
      <c r="B199" s="150" t="s">
        <v>263</v>
      </c>
      <c r="C199" s="140">
        <v>5.7002314814814818E-2</v>
      </c>
      <c r="D199" s="5">
        <v>130</v>
      </c>
      <c r="E199" s="18">
        <v>500</v>
      </c>
      <c r="F199" s="19">
        <v>170</v>
      </c>
      <c r="G199" s="18">
        <v>16708</v>
      </c>
      <c r="H199" s="18">
        <v>13372</v>
      </c>
      <c r="I199" s="18">
        <v>10024</v>
      </c>
      <c r="J199" s="19">
        <v>8364</v>
      </c>
      <c r="K199" s="18">
        <v>10000</v>
      </c>
      <c r="L199" s="19">
        <v>182</v>
      </c>
      <c r="M199" s="18">
        <v>7100</v>
      </c>
      <c r="N199" s="18">
        <v>5700</v>
      </c>
      <c r="O199" s="18">
        <v>4200</v>
      </c>
      <c r="P199" s="18">
        <v>3500</v>
      </c>
      <c r="Q199" s="19">
        <v>350</v>
      </c>
      <c r="R199" s="316" t="s">
        <v>243</v>
      </c>
      <c r="S199" s="150"/>
      <c r="T199" s="150"/>
      <c r="U199" s="151"/>
      <c r="V199" s="11"/>
      <c r="X199" s="171" t="s">
        <v>370</v>
      </c>
      <c r="Y199" s="5">
        <v>5000</v>
      </c>
      <c r="Z199" s="155"/>
      <c r="AB199" s="155"/>
    </row>
    <row r="200" spans="2:28" ht="15" customHeight="1">
      <c r="B200" s="150" t="s">
        <v>264</v>
      </c>
      <c r="C200" s="140"/>
      <c r="E200" s="18"/>
      <c r="F200" s="19"/>
      <c r="G200" s="18"/>
      <c r="H200" s="18"/>
      <c r="I200" s="18"/>
      <c r="J200" s="19"/>
      <c r="K200" s="18"/>
      <c r="L200" s="19"/>
      <c r="M200" s="18"/>
      <c r="N200" s="18"/>
      <c r="O200" s="18"/>
      <c r="P200" s="18"/>
      <c r="Q200" s="19"/>
      <c r="R200" s="316" t="s">
        <v>244</v>
      </c>
      <c r="S200" s="150"/>
      <c r="T200" s="150"/>
      <c r="U200" s="151"/>
      <c r="V200" s="11"/>
      <c r="X200" s="171" t="s">
        <v>370</v>
      </c>
      <c r="Y200" s="5">
        <v>6000</v>
      </c>
      <c r="Z200" s="155"/>
      <c r="AB200" s="155"/>
    </row>
    <row r="201" spans="2:28" ht="15" customHeight="1">
      <c r="B201" s="150" t="s">
        <v>265</v>
      </c>
      <c r="C201" s="140"/>
      <c r="E201" s="18"/>
      <c r="F201" s="19"/>
      <c r="G201" s="18"/>
      <c r="H201" s="18"/>
      <c r="I201" s="18"/>
      <c r="J201" s="19"/>
      <c r="K201" s="18"/>
      <c r="L201" s="19"/>
      <c r="M201" s="18"/>
      <c r="N201" s="18"/>
      <c r="O201" s="18"/>
      <c r="P201" s="18"/>
      <c r="Q201" s="19"/>
      <c r="R201" s="316" t="s">
        <v>245</v>
      </c>
      <c r="S201" s="150"/>
      <c r="T201" s="150"/>
      <c r="U201" s="151"/>
      <c r="V201" s="11"/>
      <c r="X201" s="171" t="s">
        <v>370</v>
      </c>
      <c r="Y201" s="5">
        <v>7000</v>
      </c>
      <c r="Z201" s="155"/>
      <c r="AB201" s="155"/>
    </row>
    <row r="202" spans="2:28" ht="15" customHeight="1">
      <c r="B202" s="150" t="s">
        <v>266</v>
      </c>
      <c r="C202" s="140"/>
      <c r="E202" s="18"/>
      <c r="F202" s="19"/>
      <c r="G202" s="18"/>
      <c r="H202" s="18"/>
      <c r="I202" s="18"/>
      <c r="J202" s="19"/>
      <c r="K202" s="18"/>
      <c r="L202" s="19"/>
      <c r="M202" s="18"/>
      <c r="N202" s="18"/>
      <c r="O202" s="18"/>
      <c r="P202" s="18"/>
      <c r="Q202" s="19"/>
      <c r="R202" s="316" t="s">
        <v>246</v>
      </c>
      <c r="S202" s="150"/>
      <c r="T202" s="150"/>
      <c r="U202" s="151"/>
      <c r="V202" s="11"/>
      <c r="X202" s="171" t="s">
        <v>370</v>
      </c>
      <c r="Y202" s="5">
        <v>8500</v>
      </c>
      <c r="Z202" s="155"/>
      <c r="AB202" s="155"/>
    </row>
    <row r="203" spans="2:28" ht="15" customHeight="1">
      <c r="B203" s="150" t="s">
        <v>267</v>
      </c>
      <c r="C203" s="140"/>
      <c r="E203" s="18"/>
      <c r="F203" s="19"/>
      <c r="G203" s="18"/>
      <c r="H203" s="18"/>
      <c r="I203" s="18"/>
      <c r="J203" s="19"/>
      <c r="K203" s="18"/>
      <c r="L203" s="19"/>
      <c r="M203" s="18"/>
      <c r="N203" s="18"/>
      <c r="O203" s="18"/>
      <c r="P203" s="18"/>
      <c r="Q203" s="19"/>
      <c r="R203" s="316" t="s">
        <v>247</v>
      </c>
      <c r="S203" s="150"/>
      <c r="T203" s="150"/>
      <c r="U203" s="151"/>
      <c r="V203" s="11"/>
      <c r="X203" s="171" t="s">
        <v>370</v>
      </c>
      <c r="Y203" s="5">
        <v>10000</v>
      </c>
      <c r="Z203" s="155"/>
      <c r="AB203" s="155"/>
    </row>
    <row r="204" spans="2:28" ht="15" customHeight="1">
      <c r="B204" s="150" t="s">
        <v>268</v>
      </c>
      <c r="C204" s="140"/>
      <c r="E204" s="18"/>
      <c r="F204" s="19"/>
      <c r="G204" s="18"/>
      <c r="H204" s="18"/>
      <c r="I204" s="18"/>
      <c r="J204" s="19"/>
      <c r="K204" s="18"/>
      <c r="L204" s="19"/>
      <c r="M204" s="18"/>
      <c r="N204" s="18"/>
      <c r="O204" s="18"/>
      <c r="P204" s="18"/>
      <c r="Q204" s="19"/>
      <c r="R204" s="316" t="s">
        <v>248</v>
      </c>
      <c r="S204" s="150"/>
      <c r="T204" s="150"/>
      <c r="U204" s="151"/>
      <c r="V204" s="11"/>
      <c r="X204" s="171" t="s">
        <v>370</v>
      </c>
      <c r="Y204" s="5">
        <v>12000</v>
      </c>
      <c r="Z204" s="155"/>
      <c r="AB204" s="155"/>
    </row>
    <row r="205" spans="2:28" ht="15" customHeight="1">
      <c r="B205" s="150" t="s">
        <v>269</v>
      </c>
      <c r="C205" s="140"/>
      <c r="E205" s="18"/>
      <c r="F205" s="19"/>
      <c r="G205" s="18"/>
      <c r="H205" s="18"/>
      <c r="I205" s="18"/>
      <c r="J205" s="19"/>
      <c r="K205" s="18"/>
      <c r="L205" s="19"/>
      <c r="M205" s="18"/>
      <c r="N205" s="18"/>
      <c r="O205" s="18"/>
      <c r="P205" s="18"/>
      <c r="Q205" s="19"/>
      <c r="R205" s="316" t="s">
        <v>249</v>
      </c>
      <c r="S205" s="150"/>
      <c r="T205" s="150"/>
      <c r="U205" s="151"/>
      <c r="V205" s="11"/>
      <c r="X205" s="171" t="s">
        <v>370</v>
      </c>
      <c r="Y205" s="5">
        <v>14000</v>
      </c>
      <c r="Z205" s="155"/>
      <c r="AB205" s="155"/>
    </row>
    <row r="206" spans="2:28" ht="15" customHeight="1">
      <c r="B206" s="150" t="s">
        <v>270</v>
      </c>
      <c r="C206" s="140"/>
      <c r="E206" s="18"/>
      <c r="F206" s="19"/>
      <c r="G206" s="18"/>
      <c r="H206" s="18"/>
      <c r="I206" s="18"/>
      <c r="J206" s="19"/>
      <c r="K206" s="18"/>
      <c r="L206" s="19"/>
      <c r="M206" s="18"/>
      <c r="N206" s="18"/>
      <c r="O206" s="18"/>
      <c r="P206" s="18"/>
      <c r="Q206" s="19"/>
      <c r="R206" s="316" t="s">
        <v>250</v>
      </c>
      <c r="S206" s="150"/>
      <c r="T206" s="150"/>
      <c r="U206" s="151"/>
      <c r="V206" s="11"/>
      <c r="X206" s="171" t="s">
        <v>370</v>
      </c>
      <c r="Y206" s="5">
        <v>16000</v>
      </c>
      <c r="Z206" s="155"/>
      <c r="AB206" s="155"/>
    </row>
    <row r="207" spans="2:28" ht="15" customHeight="1">
      <c r="B207" s="150" t="s">
        <v>271</v>
      </c>
      <c r="C207" s="140"/>
      <c r="E207" s="18"/>
      <c r="F207" s="19"/>
      <c r="G207" s="18"/>
      <c r="H207" s="18"/>
      <c r="I207" s="18"/>
      <c r="J207" s="19"/>
      <c r="K207" s="18"/>
      <c r="L207" s="19"/>
      <c r="M207" s="18"/>
      <c r="N207" s="18"/>
      <c r="O207" s="18"/>
      <c r="P207" s="18"/>
      <c r="Q207" s="19"/>
      <c r="R207" s="316" t="s">
        <v>251</v>
      </c>
      <c r="S207" s="150"/>
      <c r="T207" s="150"/>
      <c r="U207" s="151"/>
      <c r="V207" s="11"/>
      <c r="X207" s="171" t="s">
        <v>370</v>
      </c>
      <c r="Y207" s="5">
        <v>18000</v>
      </c>
      <c r="Z207" s="155"/>
      <c r="AB207" s="155"/>
    </row>
    <row r="208" spans="2:28" ht="15" customHeight="1">
      <c r="B208" s="150" t="s">
        <v>272</v>
      </c>
      <c r="C208" s="140"/>
      <c r="E208" s="18"/>
      <c r="F208" s="19"/>
      <c r="G208" s="18"/>
      <c r="H208" s="18"/>
      <c r="I208" s="18"/>
      <c r="J208" s="19"/>
      <c r="K208" s="18"/>
      <c r="L208" s="19"/>
      <c r="M208" s="18"/>
      <c r="N208" s="18"/>
      <c r="O208" s="18"/>
      <c r="P208" s="18"/>
      <c r="Q208" s="19"/>
      <c r="R208" s="316" t="s">
        <v>252</v>
      </c>
      <c r="S208" s="150"/>
      <c r="T208" s="150"/>
      <c r="U208" s="151"/>
      <c r="V208" s="11"/>
      <c r="X208" s="171" t="s">
        <v>370</v>
      </c>
      <c r="Y208" s="5">
        <v>20000</v>
      </c>
      <c r="Z208" s="155"/>
      <c r="AB208" s="155"/>
    </row>
    <row r="209" spans="2:29" ht="15" customHeight="1">
      <c r="B209" s="150" t="s">
        <v>273</v>
      </c>
      <c r="C209" s="140"/>
      <c r="E209" s="18"/>
      <c r="F209" s="19"/>
      <c r="G209" s="18"/>
      <c r="H209" s="18"/>
      <c r="I209" s="18"/>
      <c r="J209" s="19"/>
      <c r="K209" s="18"/>
      <c r="L209" s="19"/>
      <c r="M209" s="18"/>
      <c r="N209" s="18"/>
      <c r="O209" s="18"/>
      <c r="P209" s="18"/>
      <c r="Q209" s="19"/>
      <c r="R209" s="316" t="s">
        <v>253</v>
      </c>
      <c r="S209" s="150"/>
      <c r="T209" s="150"/>
      <c r="U209" s="151"/>
      <c r="V209" s="11"/>
      <c r="X209" s="171" t="s">
        <v>370</v>
      </c>
      <c r="Y209" s="5">
        <v>22500</v>
      </c>
      <c r="Z209" s="155"/>
      <c r="AB209" s="155"/>
    </row>
    <row r="210" spans="2:29" ht="15" customHeight="1">
      <c r="B210" s="150" t="s">
        <v>274</v>
      </c>
      <c r="C210" s="140"/>
      <c r="E210" s="18"/>
      <c r="F210" s="19"/>
      <c r="G210" s="18"/>
      <c r="H210" s="18"/>
      <c r="I210" s="18"/>
      <c r="J210" s="19"/>
      <c r="K210" s="18"/>
      <c r="L210" s="19"/>
      <c r="M210" s="18"/>
      <c r="N210" s="18"/>
      <c r="O210" s="18"/>
      <c r="P210" s="18"/>
      <c r="Q210" s="19"/>
      <c r="R210" s="316" t="s">
        <v>254</v>
      </c>
      <c r="S210" s="150"/>
      <c r="T210" s="150"/>
      <c r="U210" s="151"/>
      <c r="V210" s="11"/>
      <c r="X210" s="171" t="s">
        <v>370</v>
      </c>
      <c r="Y210" s="5">
        <v>25000</v>
      </c>
      <c r="Z210" s="155"/>
      <c r="AB210" s="155"/>
    </row>
    <row r="211" spans="2:29" ht="15" customHeight="1">
      <c r="B211" s="150" t="s">
        <v>275</v>
      </c>
      <c r="C211" s="140"/>
      <c r="E211" s="18"/>
      <c r="F211" s="19"/>
      <c r="G211" s="18"/>
      <c r="H211" s="18"/>
      <c r="I211" s="18"/>
      <c r="J211" s="19"/>
      <c r="K211" s="18"/>
      <c r="L211" s="19"/>
      <c r="M211" s="18"/>
      <c r="N211" s="18"/>
      <c r="O211" s="18"/>
      <c r="P211" s="18"/>
      <c r="Q211" s="19"/>
      <c r="R211" s="316" t="s">
        <v>255</v>
      </c>
      <c r="S211" s="150"/>
      <c r="T211" s="150"/>
      <c r="U211" s="151"/>
      <c r="V211" s="11"/>
      <c r="X211" s="171" t="s">
        <v>370</v>
      </c>
      <c r="Y211" s="5">
        <v>27500</v>
      </c>
      <c r="Z211" s="155"/>
      <c r="AB211" s="155"/>
    </row>
    <row r="212" spans="2:29" ht="15" customHeight="1">
      <c r="B212" s="150" t="s">
        <v>276</v>
      </c>
      <c r="C212" s="140"/>
      <c r="E212" s="18"/>
      <c r="F212" s="19"/>
      <c r="G212" s="18"/>
      <c r="H212" s="18"/>
      <c r="I212" s="18"/>
      <c r="J212" s="19"/>
      <c r="K212" s="18"/>
      <c r="L212" s="19"/>
      <c r="M212" s="18"/>
      <c r="N212" s="18"/>
      <c r="O212" s="18"/>
      <c r="P212" s="18"/>
      <c r="Q212" s="19"/>
      <c r="R212" s="316" t="s">
        <v>256</v>
      </c>
      <c r="S212" s="150"/>
      <c r="T212" s="150"/>
      <c r="U212" s="151"/>
      <c r="V212" s="11"/>
      <c r="X212" s="171" t="s">
        <v>370</v>
      </c>
      <c r="Y212" s="5">
        <v>30000</v>
      </c>
      <c r="Z212" s="155"/>
      <c r="AB212" s="155"/>
    </row>
    <row r="213" spans="2:29" ht="15" customHeight="1">
      <c r="B213" s="34" t="s">
        <v>277</v>
      </c>
      <c r="C213" s="480"/>
      <c r="D213" s="24"/>
      <c r="E213" s="25"/>
      <c r="F213" s="26"/>
      <c r="G213" s="25"/>
      <c r="H213" s="25"/>
      <c r="I213" s="25"/>
      <c r="J213" s="26"/>
      <c r="K213" s="25"/>
      <c r="L213" s="26"/>
      <c r="M213" s="25"/>
      <c r="N213" s="25"/>
      <c r="O213" s="25"/>
      <c r="P213" s="25"/>
      <c r="Q213" s="26"/>
      <c r="R213" s="196" t="s">
        <v>257</v>
      </c>
      <c r="S213" s="34"/>
      <c r="T213" s="34"/>
      <c r="U213" s="89"/>
      <c r="V213" s="27"/>
      <c r="W213" s="24"/>
      <c r="X213" s="172" t="s">
        <v>370</v>
      </c>
      <c r="Y213" s="24">
        <v>40000</v>
      </c>
      <c r="Z213" s="154" t="s">
        <v>371</v>
      </c>
      <c r="AA213" s="173">
        <v>0.05</v>
      </c>
      <c r="AB213" s="154"/>
      <c r="AC213" s="173"/>
    </row>
    <row r="214" spans="2:29" ht="15" customHeight="1">
      <c r="B214" s="1" t="s">
        <v>50</v>
      </c>
      <c r="C214" s="133">
        <v>1.1574074074074073E-3</v>
      </c>
      <c r="D214" s="5">
        <v>1</v>
      </c>
      <c r="E214" s="18">
        <v>10</v>
      </c>
      <c r="F214" s="19">
        <v>35</v>
      </c>
      <c r="G214" s="7">
        <v>500</v>
      </c>
      <c r="H214" s="7">
        <v>500</v>
      </c>
      <c r="I214" s="7">
        <v>200</v>
      </c>
      <c r="J214" s="19">
        <v>300</v>
      </c>
      <c r="K214" s="18">
        <v>2525</v>
      </c>
      <c r="L214" s="19">
        <v>5</v>
      </c>
      <c r="M214" s="7">
        <v>2500</v>
      </c>
      <c r="N214" s="7">
        <v>2500</v>
      </c>
      <c r="O214" s="7">
        <v>1100</v>
      </c>
      <c r="P214" s="7">
        <v>1500</v>
      </c>
      <c r="Q214" s="19">
        <v>100</v>
      </c>
      <c r="R214" s="152" t="s">
        <v>367</v>
      </c>
      <c r="X214" s="197" t="s">
        <v>236</v>
      </c>
      <c r="Y214" s="156">
        <v>0.01</v>
      </c>
      <c r="Z214" s="197"/>
      <c r="AA214" s="156"/>
    </row>
    <row r="215" spans="2:29" ht="15" customHeight="1">
      <c r="B215" s="152" t="s">
        <v>345</v>
      </c>
      <c r="C215" s="133">
        <v>2.3148148148148151E-3</v>
      </c>
      <c r="D215" s="5">
        <v>1</v>
      </c>
      <c r="E215" s="18">
        <v>25</v>
      </c>
      <c r="F215" s="19">
        <v>70</v>
      </c>
      <c r="G215" s="7">
        <v>900</v>
      </c>
      <c r="H215" s="7">
        <v>900</v>
      </c>
      <c r="I215" s="7">
        <v>360</v>
      </c>
      <c r="J215" s="19">
        <v>540</v>
      </c>
      <c r="K215" s="18">
        <v>2575</v>
      </c>
      <c r="L215" s="19">
        <v>20</v>
      </c>
      <c r="M215" s="7">
        <v>2300</v>
      </c>
      <c r="N215" s="7">
        <v>2300</v>
      </c>
      <c r="O215" s="7">
        <v>900</v>
      </c>
      <c r="P215" s="7">
        <v>1400</v>
      </c>
      <c r="Q215" s="19">
        <v>250</v>
      </c>
      <c r="R215" s="152" t="s">
        <v>365</v>
      </c>
      <c r="S215" s="152"/>
      <c r="T215" s="152"/>
      <c r="U215" s="151"/>
      <c r="X215" s="171" t="s">
        <v>236</v>
      </c>
      <c r="Y215" s="156">
        <v>0.02</v>
      </c>
      <c r="Z215" s="171"/>
      <c r="AA215" s="156"/>
    </row>
    <row r="216" spans="2:29" ht="15" customHeight="1">
      <c r="B216" s="152" t="s">
        <v>346</v>
      </c>
      <c r="C216" s="133">
        <v>4.6296296296296302E-3</v>
      </c>
      <c r="D216" s="5">
        <v>70</v>
      </c>
      <c r="E216" s="18">
        <v>50</v>
      </c>
      <c r="F216" s="19">
        <v>105</v>
      </c>
      <c r="G216" s="7">
        <v>1620</v>
      </c>
      <c r="H216" s="7">
        <v>1620</v>
      </c>
      <c r="I216" s="7">
        <v>648</v>
      </c>
      <c r="J216" s="19">
        <v>972</v>
      </c>
      <c r="K216" s="18">
        <v>2600</v>
      </c>
      <c r="L216" s="19">
        <v>40</v>
      </c>
      <c r="M216" s="7">
        <v>2800</v>
      </c>
      <c r="N216" s="7">
        <v>2800</v>
      </c>
      <c r="O216" s="7">
        <v>1100</v>
      </c>
      <c r="P216" s="7">
        <v>1600</v>
      </c>
      <c r="Q216" s="19">
        <v>400</v>
      </c>
      <c r="R216" s="152" t="s">
        <v>368</v>
      </c>
      <c r="S216" s="152"/>
      <c r="T216" s="152"/>
      <c r="U216" s="151"/>
      <c r="X216" s="171" t="s">
        <v>236</v>
      </c>
      <c r="Y216" s="156">
        <v>0.03</v>
      </c>
      <c r="Z216" s="171"/>
      <c r="AA216" s="156"/>
    </row>
    <row r="217" spans="2:29" ht="15" customHeight="1">
      <c r="B217" s="152" t="s">
        <v>347</v>
      </c>
      <c r="C217" s="133">
        <v>9.2592592592592605E-3</v>
      </c>
      <c r="D217" s="5">
        <v>70</v>
      </c>
      <c r="E217" s="18">
        <v>200</v>
      </c>
      <c r="F217" s="19">
        <v>175</v>
      </c>
      <c r="G217" s="7">
        <v>2916</v>
      </c>
      <c r="H217" s="7">
        <v>2916</v>
      </c>
      <c r="I217" s="7">
        <v>1167</v>
      </c>
      <c r="J217" s="19">
        <v>1750</v>
      </c>
      <c r="K217" s="18">
        <v>2650</v>
      </c>
      <c r="L217" s="19">
        <v>75</v>
      </c>
      <c r="M217" s="7">
        <v>3700</v>
      </c>
      <c r="N217" s="7">
        <v>3700</v>
      </c>
      <c r="O217" s="7">
        <v>1500</v>
      </c>
      <c r="P217" s="7">
        <v>2200</v>
      </c>
      <c r="Q217" s="19">
        <v>450</v>
      </c>
      <c r="R217" s="203" t="s">
        <v>521</v>
      </c>
      <c r="S217" s="152"/>
      <c r="T217" s="152"/>
      <c r="U217" s="151"/>
      <c r="X217" s="171" t="s">
        <v>236</v>
      </c>
      <c r="Y217" s="156">
        <v>0.04</v>
      </c>
      <c r="Z217" s="171"/>
      <c r="AA217" s="156"/>
    </row>
    <row r="218" spans="2:29" ht="15" customHeight="1">
      <c r="B218" s="152" t="s">
        <v>348</v>
      </c>
      <c r="C218" s="133">
        <v>1.8518518518518521E-2</v>
      </c>
      <c r="D218" s="5">
        <v>130</v>
      </c>
      <c r="E218" s="18">
        <v>400</v>
      </c>
      <c r="F218" s="19">
        <v>245</v>
      </c>
      <c r="G218" s="7">
        <v>5249</v>
      </c>
      <c r="H218" s="7">
        <v>5249</v>
      </c>
      <c r="I218" s="7">
        <v>2101</v>
      </c>
      <c r="J218" s="19">
        <v>3150</v>
      </c>
      <c r="K218" s="18">
        <v>10175</v>
      </c>
      <c r="L218" s="19">
        <v>125</v>
      </c>
      <c r="M218" s="7">
        <v>5300</v>
      </c>
      <c r="N218" s="7">
        <v>5300</v>
      </c>
      <c r="O218" s="7">
        <v>2200</v>
      </c>
      <c r="P218" s="7">
        <v>3200</v>
      </c>
      <c r="Q218" s="19">
        <v>750</v>
      </c>
      <c r="R218" s="203" t="s">
        <v>544</v>
      </c>
      <c r="S218" s="152"/>
      <c r="T218" s="152"/>
      <c r="U218" s="151"/>
      <c r="X218" s="171" t="s">
        <v>236</v>
      </c>
      <c r="Y218" s="156">
        <v>0.05</v>
      </c>
      <c r="Z218" s="171"/>
      <c r="AA218" s="156"/>
    </row>
    <row r="219" spans="2:29" ht="15" customHeight="1">
      <c r="B219" s="152" t="s">
        <v>349</v>
      </c>
      <c r="C219" s="133">
        <v>3.7037037037037042E-2</v>
      </c>
      <c r="D219" s="5">
        <v>130</v>
      </c>
      <c r="E219" s="18">
        <v>500</v>
      </c>
      <c r="F219" s="19">
        <v>385</v>
      </c>
      <c r="G219" s="7">
        <v>10498</v>
      </c>
      <c r="H219" s="7">
        <v>10498</v>
      </c>
      <c r="I219" s="7">
        <v>4202</v>
      </c>
      <c r="J219" s="19">
        <v>6300</v>
      </c>
      <c r="K219" s="18">
        <v>10000</v>
      </c>
      <c r="L219" s="19">
        <v>202</v>
      </c>
      <c r="M219" s="7">
        <v>8700</v>
      </c>
      <c r="N219" s="7">
        <v>8700</v>
      </c>
      <c r="O219" s="7">
        <v>3500</v>
      </c>
      <c r="P219" s="7">
        <v>5200</v>
      </c>
      <c r="Q219" s="19">
        <v>650</v>
      </c>
      <c r="R219" s="253" t="s">
        <v>523</v>
      </c>
      <c r="S219" s="152"/>
      <c r="T219" s="152"/>
      <c r="U219" s="151"/>
      <c r="X219" s="171" t="s">
        <v>236</v>
      </c>
      <c r="Y219" s="156">
        <v>0.06</v>
      </c>
      <c r="Z219" s="171"/>
      <c r="AA219" s="156"/>
    </row>
    <row r="220" spans="2:29" ht="15" customHeight="1">
      <c r="B220" s="152" t="s">
        <v>350</v>
      </c>
      <c r="C220" s="133">
        <v>7.407407407407407E-2</v>
      </c>
      <c r="D220" s="5">
        <v>300</v>
      </c>
      <c r="E220" s="18">
        <v>500</v>
      </c>
      <c r="F220" s="19">
        <v>595</v>
      </c>
      <c r="G220" s="7">
        <v>20996</v>
      </c>
      <c r="H220" s="7">
        <v>20996</v>
      </c>
      <c r="I220" s="7">
        <v>8404</v>
      </c>
      <c r="J220" s="19">
        <v>12600</v>
      </c>
      <c r="K220" s="18">
        <v>20000</v>
      </c>
      <c r="L220" s="19">
        <v>300</v>
      </c>
      <c r="M220" s="7">
        <v>14900</v>
      </c>
      <c r="N220" s="7">
        <v>14900</v>
      </c>
      <c r="O220" s="7">
        <v>6000</v>
      </c>
      <c r="P220" s="7">
        <v>9000</v>
      </c>
      <c r="Q220" s="19">
        <v>500</v>
      </c>
      <c r="R220" s="281" t="s">
        <v>545</v>
      </c>
      <c r="S220" s="152"/>
      <c r="T220" s="152"/>
      <c r="U220" s="151"/>
      <c r="X220" s="171" t="s">
        <v>236</v>
      </c>
      <c r="Y220" s="156">
        <v>7.0000000000000007E-2</v>
      </c>
      <c r="Z220" s="171"/>
      <c r="AA220" s="156"/>
    </row>
    <row r="221" spans="2:29" ht="15" customHeight="1">
      <c r="B221" s="152" t="s">
        <v>351</v>
      </c>
      <c r="C221" s="133">
        <v>0.14814814814814814</v>
      </c>
      <c r="D221" s="5">
        <v>300</v>
      </c>
      <c r="E221" s="18">
        <v>500</v>
      </c>
      <c r="F221" s="19">
        <v>875</v>
      </c>
      <c r="G221" s="7">
        <v>41992</v>
      </c>
      <c r="H221" s="7">
        <v>41992</v>
      </c>
      <c r="I221" s="7">
        <v>16808</v>
      </c>
      <c r="J221" s="19">
        <v>25200</v>
      </c>
      <c r="K221" s="18">
        <v>30000</v>
      </c>
      <c r="L221" s="19">
        <v>475</v>
      </c>
      <c r="M221" s="7">
        <v>26200</v>
      </c>
      <c r="N221" s="7">
        <v>26200</v>
      </c>
      <c r="O221" s="7">
        <v>10500</v>
      </c>
      <c r="P221" s="7">
        <v>15700</v>
      </c>
      <c r="Q221" s="19">
        <v>600</v>
      </c>
      <c r="R221" s="316" t="s">
        <v>546</v>
      </c>
      <c r="S221" s="152"/>
      <c r="T221" s="152"/>
      <c r="U221" s="151"/>
      <c r="X221" s="171" t="s">
        <v>236</v>
      </c>
      <c r="Y221" s="156">
        <v>0.08</v>
      </c>
      <c r="Z221" s="171"/>
      <c r="AA221" s="156"/>
    </row>
    <row r="222" spans="2:29" ht="15" customHeight="1">
      <c r="B222" s="152" t="s">
        <v>352</v>
      </c>
      <c r="C222" s="133">
        <v>0.29629629629629628</v>
      </c>
      <c r="D222" s="5">
        <v>650</v>
      </c>
      <c r="E222" s="18">
        <v>500</v>
      </c>
      <c r="F222" s="19">
        <v>1330</v>
      </c>
      <c r="G222" s="433">
        <f>G221*2</f>
        <v>83984</v>
      </c>
      <c r="H222" s="18">
        <f t="shared" ref="H222:J222" si="1">H221*2</f>
        <v>83984</v>
      </c>
      <c r="I222" s="18">
        <f t="shared" si="1"/>
        <v>33616</v>
      </c>
      <c r="J222" s="19">
        <f t="shared" si="1"/>
        <v>50400</v>
      </c>
      <c r="K222" s="18">
        <v>50000</v>
      </c>
      <c r="L222" s="19">
        <v>750</v>
      </c>
      <c r="M222" s="7">
        <v>46600</v>
      </c>
      <c r="N222" s="7">
        <v>46600</v>
      </c>
      <c r="O222" s="7">
        <v>18600</v>
      </c>
      <c r="P222" s="7">
        <v>28000</v>
      </c>
      <c r="Q222" s="19">
        <v>750</v>
      </c>
      <c r="R222" s="316" t="s">
        <v>547</v>
      </c>
      <c r="S222" s="152"/>
      <c r="T222" s="152"/>
      <c r="U222" s="151"/>
      <c r="X222" s="171" t="s">
        <v>236</v>
      </c>
      <c r="Y222" s="156">
        <v>0.09</v>
      </c>
      <c r="Z222" s="171"/>
      <c r="AA222" s="156"/>
    </row>
    <row r="223" spans="2:29" ht="15" customHeight="1">
      <c r="B223" s="152" t="s">
        <v>353</v>
      </c>
      <c r="C223" s="133">
        <v>0.59259259259259256</v>
      </c>
      <c r="D223" s="5">
        <v>1000</v>
      </c>
      <c r="E223" s="18">
        <v>500</v>
      </c>
      <c r="F223" s="19">
        <v>1995</v>
      </c>
      <c r="G223" s="7">
        <v>125976</v>
      </c>
      <c r="H223" s="7">
        <v>125976</v>
      </c>
      <c r="I223" s="7">
        <v>50424</v>
      </c>
      <c r="J223" s="19">
        <v>75600</v>
      </c>
      <c r="K223" s="18">
        <v>60000</v>
      </c>
      <c r="L223" s="19">
        <v>1150</v>
      </c>
      <c r="M223" s="7">
        <v>25195</v>
      </c>
      <c r="N223" s="7">
        <v>25195</v>
      </c>
      <c r="O223" s="7">
        <v>10084</v>
      </c>
      <c r="P223" s="7">
        <v>15120</v>
      </c>
      <c r="Q223" s="19">
        <v>550</v>
      </c>
      <c r="R223" s="316" t="s">
        <v>548</v>
      </c>
      <c r="S223" s="152"/>
      <c r="T223" s="152"/>
      <c r="U223" s="151"/>
      <c r="X223" s="171" t="s">
        <v>236</v>
      </c>
      <c r="Y223" s="156">
        <v>0.1</v>
      </c>
      <c r="Z223" s="171"/>
      <c r="AA223" s="156"/>
    </row>
    <row r="224" spans="2:29" ht="15" customHeight="1">
      <c r="B224" s="152" t="s">
        <v>354</v>
      </c>
      <c r="C224" s="133">
        <v>0.71111111111111114</v>
      </c>
      <c r="D224" s="5">
        <v>1000</v>
      </c>
      <c r="E224" s="18">
        <v>500</v>
      </c>
      <c r="F224" s="19">
        <v>3010</v>
      </c>
      <c r="G224" s="7">
        <v>188964</v>
      </c>
      <c r="H224" s="7">
        <v>188964</v>
      </c>
      <c r="I224" s="7">
        <v>75636</v>
      </c>
      <c r="J224" s="19">
        <v>113400</v>
      </c>
      <c r="K224" s="18">
        <v>100000</v>
      </c>
      <c r="L224" s="19">
        <v>1750</v>
      </c>
      <c r="M224" s="7">
        <v>34357</v>
      </c>
      <c r="N224" s="7">
        <v>34357</v>
      </c>
      <c r="O224" s="7">
        <v>13752</v>
      </c>
      <c r="P224" s="7">
        <v>20618</v>
      </c>
      <c r="Q224" s="19">
        <v>400</v>
      </c>
      <c r="R224" s="316" t="s">
        <v>549</v>
      </c>
      <c r="S224" s="152"/>
      <c r="T224" s="152"/>
      <c r="U224" s="151"/>
      <c r="X224" s="171" t="s">
        <v>236</v>
      </c>
      <c r="Y224" s="156">
        <v>0.11</v>
      </c>
      <c r="Z224" s="171"/>
      <c r="AA224" s="156"/>
    </row>
    <row r="225" spans="2:29" ht="15" customHeight="1">
      <c r="B225" s="152" t="s">
        <v>355</v>
      </c>
      <c r="E225" s="18"/>
      <c r="F225" s="19"/>
      <c r="G225" s="7"/>
      <c r="H225" s="7"/>
      <c r="I225" s="7"/>
      <c r="J225" s="19"/>
      <c r="K225" s="18"/>
      <c r="L225" s="19"/>
      <c r="M225" s="7"/>
      <c r="N225" s="7"/>
      <c r="O225" s="7"/>
      <c r="P225" s="7"/>
      <c r="Q225" s="19"/>
      <c r="R225" s="316" t="s">
        <v>550</v>
      </c>
      <c r="S225" s="152"/>
      <c r="T225" s="152"/>
      <c r="U225" s="151"/>
      <c r="X225" s="171" t="s">
        <v>236</v>
      </c>
      <c r="Y225" s="156">
        <v>0.12</v>
      </c>
      <c r="Z225" s="171"/>
      <c r="AA225" s="156"/>
    </row>
    <row r="226" spans="2:29" ht="15" customHeight="1">
      <c r="B226" s="152" t="s">
        <v>356</v>
      </c>
      <c r="E226" s="18"/>
      <c r="F226" s="19"/>
      <c r="G226" s="7"/>
      <c r="H226" s="7"/>
      <c r="I226" s="7"/>
      <c r="J226" s="19"/>
      <c r="K226" s="18"/>
      <c r="L226" s="19"/>
      <c r="M226" s="7"/>
      <c r="N226" s="7"/>
      <c r="O226" s="7"/>
      <c r="P226" s="7"/>
      <c r="Q226" s="19"/>
      <c r="R226" s="316" t="s">
        <v>551</v>
      </c>
      <c r="S226" s="152"/>
      <c r="T226" s="152"/>
      <c r="U226" s="151"/>
      <c r="X226" s="171" t="s">
        <v>236</v>
      </c>
      <c r="Y226" s="156">
        <v>0.13</v>
      </c>
      <c r="Z226" s="171"/>
      <c r="AA226" s="156"/>
    </row>
    <row r="227" spans="2:29" ht="15" customHeight="1">
      <c r="B227" s="152" t="s">
        <v>357</v>
      </c>
      <c r="E227" s="18"/>
      <c r="F227" s="19"/>
      <c r="G227" s="7"/>
      <c r="H227" s="7"/>
      <c r="I227" s="7"/>
      <c r="J227" s="19"/>
      <c r="K227" s="18"/>
      <c r="L227" s="19"/>
      <c r="M227" s="7"/>
      <c r="N227" s="7"/>
      <c r="O227" s="7"/>
      <c r="P227" s="7"/>
      <c r="Q227" s="19"/>
      <c r="R227" s="316" t="s">
        <v>552</v>
      </c>
      <c r="S227" s="152"/>
      <c r="T227" s="152"/>
      <c r="U227" s="151"/>
      <c r="X227" s="171" t="s">
        <v>236</v>
      </c>
      <c r="Y227" s="156">
        <v>0.14000000000000001</v>
      </c>
      <c r="Z227" s="171"/>
      <c r="AA227" s="156"/>
    </row>
    <row r="228" spans="2:29" ht="15" customHeight="1">
      <c r="B228" s="152" t="s">
        <v>358</v>
      </c>
      <c r="E228" s="18"/>
      <c r="F228" s="19"/>
      <c r="G228" s="7"/>
      <c r="H228" s="7"/>
      <c r="I228" s="7"/>
      <c r="J228" s="19"/>
      <c r="K228" s="18"/>
      <c r="L228" s="19"/>
      <c r="M228" s="7"/>
      <c r="N228" s="7"/>
      <c r="O228" s="7"/>
      <c r="P228" s="7"/>
      <c r="Q228" s="19"/>
      <c r="R228" s="316" t="s">
        <v>553</v>
      </c>
      <c r="S228" s="152"/>
      <c r="T228" s="152"/>
      <c r="U228" s="151"/>
      <c r="X228" s="171" t="s">
        <v>236</v>
      </c>
      <c r="Y228" s="156">
        <v>0.15</v>
      </c>
      <c r="Z228" s="171"/>
      <c r="AA228" s="156"/>
    </row>
    <row r="229" spans="2:29" ht="15" customHeight="1">
      <c r="B229" s="152" t="s">
        <v>359</v>
      </c>
      <c r="E229" s="18"/>
      <c r="F229" s="19"/>
      <c r="G229" s="7"/>
      <c r="H229" s="7"/>
      <c r="I229" s="7"/>
      <c r="J229" s="19"/>
      <c r="K229" s="18"/>
      <c r="L229" s="19"/>
      <c r="M229" s="7"/>
      <c r="N229" s="7"/>
      <c r="O229" s="7"/>
      <c r="P229" s="7"/>
      <c r="Q229" s="19"/>
      <c r="R229" s="316" t="s">
        <v>554</v>
      </c>
      <c r="S229" s="152"/>
      <c r="T229" s="152"/>
      <c r="U229" s="151"/>
      <c r="X229" s="171" t="s">
        <v>236</v>
      </c>
      <c r="Y229" s="156">
        <v>0.16</v>
      </c>
      <c r="Z229" s="171"/>
      <c r="AA229" s="156"/>
    </row>
    <row r="230" spans="2:29" ht="15" customHeight="1">
      <c r="B230" s="152" t="s">
        <v>360</v>
      </c>
      <c r="E230" s="18"/>
      <c r="F230" s="19"/>
      <c r="G230" s="7"/>
      <c r="H230" s="7"/>
      <c r="I230" s="7"/>
      <c r="J230" s="19"/>
      <c r="K230" s="18"/>
      <c r="L230" s="19"/>
      <c r="M230" s="7"/>
      <c r="N230" s="7"/>
      <c r="O230" s="7"/>
      <c r="P230" s="7"/>
      <c r="Q230" s="19"/>
      <c r="R230" s="316" t="s">
        <v>555</v>
      </c>
      <c r="S230" s="152"/>
      <c r="T230" s="152"/>
      <c r="U230" s="151"/>
      <c r="X230" s="171" t="s">
        <v>236</v>
      </c>
      <c r="Y230" s="156">
        <v>0.17</v>
      </c>
      <c r="Z230" s="171"/>
      <c r="AA230" s="156"/>
    </row>
    <row r="231" spans="2:29" ht="15" customHeight="1">
      <c r="B231" s="152" t="s">
        <v>361</v>
      </c>
      <c r="E231" s="18"/>
      <c r="F231" s="19"/>
      <c r="G231" s="7"/>
      <c r="H231" s="7"/>
      <c r="I231" s="7"/>
      <c r="J231" s="19"/>
      <c r="K231" s="18"/>
      <c r="L231" s="19"/>
      <c r="M231" s="7"/>
      <c r="N231" s="7"/>
      <c r="O231" s="7"/>
      <c r="P231" s="7"/>
      <c r="Q231" s="19"/>
      <c r="R231" s="316" t="s">
        <v>556</v>
      </c>
      <c r="S231" s="152"/>
      <c r="T231" s="152"/>
      <c r="U231" s="151"/>
      <c r="X231" s="171" t="s">
        <v>236</v>
      </c>
      <c r="Y231" s="156">
        <v>0.18</v>
      </c>
      <c r="Z231" s="171"/>
      <c r="AA231" s="156"/>
    </row>
    <row r="232" spans="2:29" ht="15" customHeight="1">
      <c r="B232" s="152" t="s">
        <v>362</v>
      </c>
      <c r="E232" s="18"/>
      <c r="F232" s="19"/>
      <c r="G232" s="7"/>
      <c r="H232" s="7"/>
      <c r="I232" s="7"/>
      <c r="J232" s="19"/>
      <c r="K232" s="18"/>
      <c r="L232" s="19"/>
      <c r="M232" s="7"/>
      <c r="N232" s="7"/>
      <c r="O232" s="7"/>
      <c r="P232" s="7"/>
      <c r="Q232" s="19"/>
      <c r="R232" s="316" t="s">
        <v>557</v>
      </c>
      <c r="S232" s="152"/>
      <c r="T232" s="152"/>
      <c r="U232" s="151"/>
      <c r="X232" s="171" t="s">
        <v>236</v>
      </c>
      <c r="Y232" s="156">
        <v>0.19</v>
      </c>
      <c r="Z232" s="171"/>
      <c r="AA232" s="156"/>
    </row>
    <row r="233" spans="2:29" ht="15" customHeight="1">
      <c r="B233" s="152" t="s">
        <v>363</v>
      </c>
      <c r="E233" s="18"/>
      <c r="F233" s="19"/>
      <c r="G233" s="7"/>
      <c r="H233" s="7"/>
      <c r="I233" s="7"/>
      <c r="J233" s="19"/>
      <c r="K233" s="18"/>
      <c r="L233" s="19"/>
      <c r="M233" s="7"/>
      <c r="N233" s="7"/>
      <c r="O233" s="7"/>
      <c r="P233" s="7"/>
      <c r="Q233" s="19"/>
      <c r="R233" s="316" t="s">
        <v>558</v>
      </c>
      <c r="S233" s="152"/>
      <c r="T233" s="152"/>
      <c r="U233" s="151"/>
      <c r="X233" s="171" t="s">
        <v>236</v>
      </c>
      <c r="Y233" s="156">
        <v>0.2</v>
      </c>
      <c r="Z233" s="171"/>
      <c r="AA233" s="156"/>
    </row>
    <row r="234" spans="2:29" ht="15" customHeight="1">
      <c r="B234" s="34" t="s">
        <v>364</v>
      </c>
      <c r="C234" s="480"/>
      <c r="D234" s="24"/>
      <c r="E234" s="25"/>
      <c r="F234" s="26"/>
      <c r="G234" s="25"/>
      <c r="H234" s="25"/>
      <c r="I234" s="25"/>
      <c r="J234" s="26"/>
      <c r="K234" s="25"/>
      <c r="L234" s="26"/>
      <c r="M234" s="25"/>
      <c r="N234" s="25"/>
      <c r="O234" s="25"/>
      <c r="P234" s="25"/>
      <c r="Q234" s="26"/>
      <c r="R234" s="196" t="s">
        <v>559</v>
      </c>
      <c r="S234" s="34"/>
      <c r="T234" s="34"/>
      <c r="U234" s="89"/>
      <c r="V234" s="27"/>
      <c r="W234" s="24"/>
      <c r="X234" s="172" t="s">
        <v>236</v>
      </c>
      <c r="Y234" s="173">
        <v>0.25</v>
      </c>
      <c r="Z234" s="172"/>
      <c r="AA234" s="173"/>
      <c r="AB234" s="154"/>
      <c r="AC234" s="173"/>
    </row>
    <row r="235" spans="2:29" ht="15" customHeight="1">
      <c r="B235" s="118" t="s">
        <v>181</v>
      </c>
      <c r="C235" s="133">
        <v>8.6805555555555551E-4</v>
      </c>
      <c r="D235" s="5">
        <v>1</v>
      </c>
      <c r="E235" s="18">
        <v>10</v>
      </c>
      <c r="F235" s="19">
        <v>10</v>
      </c>
      <c r="G235" s="7">
        <v>300</v>
      </c>
      <c r="H235" s="7">
        <v>400</v>
      </c>
      <c r="I235" s="7">
        <v>800</v>
      </c>
      <c r="J235" s="19">
        <v>300</v>
      </c>
      <c r="K235" s="18">
        <v>2525</v>
      </c>
      <c r="L235" s="19">
        <v>2</v>
      </c>
      <c r="M235" s="7">
        <v>500</v>
      </c>
      <c r="N235" s="7">
        <v>800</v>
      </c>
      <c r="O235" s="7">
        <v>1500</v>
      </c>
      <c r="P235" s="7">
        <v>500</v>
      </c>
      <c r="Q235" s="19">
        <v>600</v>
      </c>
      <c r="R235" s="118" t="s">
        <v>175</v>
      </c>
      <c r="U235" s="42"/>
      <c r="X235" s="153" t="s">
        <v>237</v>
      </c>
      <c r="Y235" s="156">
        <v>0.05</v>
      </c>
      <c r="AA235" s="156"/>
    </row>
    <row r="236" spans="2:29" ht="15" customHeight="1">
      <c r="B236" s="169" t="s">
        <v>386</v>
      </c>
      <c r="C236" s="133">
        <v>1.736111111111111E-3</v>
      </c>
      <c r="D236" s="5">
        <v>1</v>
      </c>
      <c r="E236" s="18">
        <v>25</v>
      </c>
      <c r="F236" s="19">
        <v>25</v>
      </c>
      <c r="G236" s="7">
        <v>510</v>
      </c>
      <c r="H236" s="7">
        <v>680</v>
      </c>
      <c r="I236" s="7">
        <v>1360</v>
      </c>
      <c r="J236" s="19">
        <v>510</v>
      </c>
      <c r="K236" s="18">
        <v>2575</v>
      </c>
      <c r="L236" s="19">
        <v>5</v>
      </c>
      <c r="M236" s="7">
        <v>1400</v>
      </c>
      <c r="N236" s="7">
        <v>1800</v>
      </c>
      <c r="O236" s="7">
        <v>3500</v>
      </c>
      <c r="P236" s="7">
        <v>1400</v>
      </c>
      <c r="Q236" s="19">
        <v>250</v>
      </c>
      <c r="R236" s="169" t="s">
        <v>406</v>
      </c>
      <c r="S236" s="169"/>
      <c r="T236" s="169"/>
      <c r="U236" s="168"/>
      <c r="X236" s="171" t="s">
        <v>237</v>
      </c>
      <c r="Y236" s="156">
        <v>0.1</v>
      </c>
      <c r="AA236" s="156"/>
    </row>
    <row r="237" spans="2:29" ht="15" customHeight="1">
      <c r="B237" s="169" t="s">
        <v>387</v>
      </c>
      <c r="C237" s="133">
        <v>3.472222222222222E-3</v>
      </c>
      <c r="D237" s="5">
        <v>1</v>
      </c>
      <c r="E237" s="18">
        <v>50</v>
      </c>
      <c r="F237" s="19">
        <v>40</v>
      </c>
      <c r="G237" s="7">
        <v>867</v>
      </c>
      <c r="H237" s="7">
        <v>1156</v>
      </c>
      <c r="I237" s="7">
        <v>2312</v>
      </c>
      <c r="J237" s="19">
        <v>867</v>
      </c>
      <c r="K237" s="18">
        <v>2600</v>
      </c>
      <c r="L237" s="19">
        <v>15</v>
      </c>
      <c r="M237" s="7">
        <v>1500</v>
      </c>
      <c r="N237" s="7">
        <v>1900</v>
      </c>
      <c r="O237" s="7">
        <v>3900</v>
      </c>
      <c r="P237" s="7">
        <v>1500</v>
      </c>
      <c r="Q237" s="19">
        <v>550</v>
      </c>
      <c r="R237" s="169" t="s">
        <v>447</v>
      </c>
      <c r="S237" s="169"/>
      <c r="T237" s="169"/>
      <c r="U237" s="168"/>
      <c r="X237" s="171" t="s">
        <v>237</v>
      </c>
      <c r="Y237" s="156">
        <v>0.15</v>
      </c>
      <c r="AA237" s="156"/>
    </row>
    <row r="238" spans="2:29" ht="15" customHeight="1">
      <c r="B238" s="169" t="s">
        <v>388</v>
      </c>
      <c r="C238" s="133">
        <v>6.9444444444444441E-3</v>
      </c>
      <c r="D238" s="5">
        <v>1</v>
      </c>
      <c r="E238" s="18">
        <v>200</v>
      </c>
      <c r="F238" s="19">
        <v>60</v>
      </c>
      <c r="G238" s="7">
        <v>1474</v>
      </c>
      <c r="H238" s="7">
        <v>1966</v>
      </c>
      <c r="I238" s="7">
        <v>3931</v>
      </c>
      <c r="J238" s="19">
        <v>1474</v>
      </c>
      <c r="K238" s="18">
        <v>2650</v>
      </c>
      <c r="L238" s="19">
        <v>25</v>
      </c>
      <c r="M238" s="7">
        <v>1900</v>
      </c>
      <c r="N238" s="7">
        <v>2500</v>
      </c>
      <c r="O238" s="7">
        <v>5000</v>
      </c>
      <c r="P238" s="7">
        <v>1900</v>
      </c>
      <c r="Q238" s="19">
        <v>950</v>
      </c>
      <c r="R238" s="169" t="s">
        <v>448</v>
      </c>
      <c r="S238" s="169"/>
      <c r="T238" s="169"/>
      <c r="U238" s="168"/>
      <c r="X238" s="171" t="s">
        <v>237</v>
      </c>
      <c r="Y238" s="156">
        <v>0.2</v>
      </c>
      <c r="AA238" s="156"/>
    </row>
    <row r="239" spans="2:29" ht="15" customHeight="1">
      <c r="B239" s="169" t="s">
        <v>389</v>
      </c>
      <c r="C239" s="133">
        <v>1.3888888888888888E-2</v>
      </c>
      <c r="D239" s="5">
        <v>130</v>
      </c>
      <c r="E239" s="18">
        <v>400</v>
      </c>
      <c r="F239" s="19">
        <v>90</v>
      </c>
      <c r="G239" s="7">
        <v>2506</v>
      </c>
      <c r="H239" s="7">
        <v>3343</v>
      </c>
      <c r="I239" s="7">
        <v>6683</v>
      </c>
      <c r="J239" s="19">
        <v>2506</v>
      </c>
      <c r="K239" s="18">
        <v>10175</v>
      </c>
      <c r="L239" s="19">
        <v>45</v>
      </c>
      <c r="M239" s="7">
        <v>2600</v>
      </c>
      <c r="N239" s="7">
        <v>3500</v>
      </c>
      <c r="O239" s="7">
        <v>6800</v>
      </c>
      <c r="P239" s="7">
        <v>2600</v>
      </c>
      <c r="Q239" s="19">
        <v>750</v>
      </c>
      <c r="R239" s="203" t="s">
        <v>612</v>
      </c>
      <c r="S239" s="169"/>
      <c r="T239" s="169"/>
      <c r="U239" s="168"/>
      <c r="X239" s="171" t="s">
        <v>237</v>
      </c>
      <c r="Y239" s="156">
        <v>0.25</v>
      </c>
      <c r="AA239" s="156"/>
    </row>
    <row r="240" spans="2:29" ht="15" customHeight="1">
      <c r="B240" s="169" t="s">
        <v>390</v>
      </c>
      <c r="C240" s="133">
        <v>2.7777777777777776E-2</v>
      </c>
      <c r="D240" s="5">
        <v>130</v>
      </c>
      <c r="E240" s="18">
        <v>500</v>
      </c>
      <c r="F240" s="19">
        <v>135</v>
      </c>
      <c r="G240" s="7">
        <v>5012</v>
      </c>
      <c r="H240" s="7">
        <v>6686</v>
      </c>
      <c r="I240" s="7">
        <v>13366</v>
      </c>
      <c r="J240" s="19">
        <v>5012</v>
      </c>
      <c r="K240" s="18">
        <v>10000</v>
      </c>
      <c r="L240" s="19">
        <v>70</v>
      </c>
      <c r="M240" s="7">
        <v>4100</v>
      </c>
      <c r="N240" s="7">
        <v>5500</v>
      </c>
      <c r="O240" s="7">
        <v>11100</v>
      </c>
      <c r="P240" s="7">
        <v>4100</v>
      </c>
      <c r="Q240" s="19">
        <v>650</v>
      </c>
      <c r="R240" s="218" t="s">
        <v>450</v>
      </c>
      <c r="S240" s="169"/>
      <c r="T240" s="169"/>
      <c r="U240" s="168"/>
      <c r="X240" s="171" t="s">
        <v>237</v>
      </c>
      <c r="Y240" s="156">
        <v>0.3</v>
      </c>
      <c r="AA240" s="156"/>
    </row>
    <row r="241" spans="2:29" ht="15" customHeight="1">
      <c r="B241" s="169" t="s">
        <v>391</v>
      </c>
      <c r="C241" s="133">
        <v>5.5555555555555552E-2</v>
      </c>
      <c r="D241" s="5">
        <v>130</v>
      </c>
      <c r="E241" s="18">
        <v>500</v>
      </c>
      <c r="F241" s="19">
        <v>215</v>
      </c>
      <c r="G241" s="7">
        <v>10024</v>
      </c>
      <c r="H241" s="7">
        <v>13372</v>
      </c>
      <c r="I241" s="7">
        <v>26732</v>
      </c>
      <c r="J241" s="19">
        <v>10024</v>
      </c>
      <c r="K241" s="18">
        <v>20000</v>
      </c>
      <c r="L241" s="19">
        <v>115</v>
      </c>
      <c r="M241" s="7">
        <v>7100</v>
      </c>
      <c r="N241" s="7">
        <v>9500</v>
      </c>
      <c r="O241" s="7">
        <v>19000</v>
      </c>
      <c r="P241" s="7">
        <v>7100</v>
      </c>
      <c r="Q241" s="19">
        <v>500</v>
      </c>
      <c r="R241" s="273" t="s">
        <v>667</v>
      </c>
      <c r="S241" s="169"/>
      <c r="T241" s="169"/>
      <c r="U241" s="168"/>
      <c r="X241" s="171" t="s">
        <v>237</v>
      </c>
      <c r="Y241" s="156">
        <v>0.35</v>
      </c>
      <c r="AA241" s="156"/>
    </row>
    <row r="242" spans="2:29" ht="15" customHeight="1">
      <c r="B242" s="169" t="s">
        <v>392</v>
      </c>
      <c r="C242" s="133">
        <v>0.1111111111111111</v>
      </c>
      <c r="D242" s="5">
        <v>300</v>
      </c>
      <c r="E242" s="18">
        <v>500</v>
      </c>
      <c r="F242" s="19">
        <v>310</v>
      </c>
      <c r="G242" s="7">
        <v>20048</v>
      </c>
      <c r="H242" s="7">
        <v>26744</v>
      </c>
      <c r="I242" s="7">
        <v>53464</v>
      </c>
      <c r="J242" s="19">
        <v>20048</v>
      </c>
      <c r="K242" s="18">
        <v>30000</v>
      </c>
      <c r="L242" s="19">
        <v>175</v>
      </c>
      <c r="M242" s="7">
        <v>12500</v>
      </c>
      <c r="N242" s="7">
        <v>16700</v>
      </c>
      <c r="O242" s="7">
        <v>33400</v>
      </c>
      <c r="P242" s="7">
        <v>12500</v>
      </c>
      <c r="Q242" s="19">
        <v>600</v>
      </c>
      <c r="R242" s="316" t="s">
        <v>452</v>
      </c>
      <c r="S242" s="169"/>
      <c r="T242" s="169"/>
      <c r="U242" s="168"/>
      <c r="X242" s="171" t="s">
        <v>237</v>
      </c>
      <c r="Y242" s="156">
        <v>0.4</v>
      </c>
      <c r="AA242" s="156"/>
    </row>
    <row r="243" spans="2:29" ht="15" customHeight="1">
      <c r="B243" s="169" t="s">
        <v>393</v>
      </c>
      <c r="C243" s="133">
        <v>0.22222222222222221</v>
      </c>
      <c r="D243" s="5">
        <v>650</v>
      </c>
      <c r="E243" s="18">
        <v>500</v>
      </c>
      <c r="F243" s="19">
        <v>475</v>
      </c>
      <c r="G243" s="7">
        <v>40096</v>
      </c>
      <c r="H243" s="7">
        <v>53488</v>
      </c>
      <c r="I243" s="7">
        <v>106928</v>
      </c>
      <c r="J243" s="19">
        <v>40096</v>
      </c>
      <c r="K243" s="18">
        <v>50000</v>
      </c>
      <c r="L243" s="19">
        <v>250</v>
      </c>
      <c r="M243" s="7">
        <v>22200</v>
      </c>
      <c r="N243" s="7">
        <v>29700</v>
      </c>
      <c r="O243" s="7">
        <v>59400</v>
      </c>
      <c r="P243" s="7">
        <v>22200</v>
      </c>
      <c r="Q243" s="19">
        <v>750</v>
      </c>
      <c r="R243" s="316" t="s">
        <v>453</v>
      </c>
      <c r="S243" s="169"/>
      <c r="T243" s="169"/>
      <c r="U243" s="168"/>
      <c r="X243" s="171" t="s">
        <v>237</v>
      </c>
      <c r="Y243" s="156">
        <v>0.45</v>
      </c>
      <c r="AA243" s="156"/>
    </row>
    <row r="244" spans="2:29" ht="15" customHeight="1">
      <c r="B244" s="169" t="s">
        <v>394</v>
      </c>
      <c r="C244" s="133">
        <v>0.44444444444444442</v>
      </c>
      <c r="D244" s="5">
        <v>650</v>
      </c>
      <c r="E244" s="18">
        <v>500</v>
      </c>
      <c r="F244" s="19">
        <v>715</v>
      </c>
      <c r="G244" s="7">
        <v>60144</v>
      </c>
      <c r="H244" s="7">
        <v>80232</v>
      </c>
      <c r="I244" s="7">
        <v>160392</v>
      </c>
      <c r="J244" s="19">
        <v>60144</v>
      </c>
      <c r="K244" s="18">
        <v>60000</v>
      </c>
      <c r="L244" s="19">
        <v>400</v>
      </c>
      <c r="M244" s="7">
        <v>12028</v>
      </c>
      <c r="N244" s="7">
        <v>16046</v>
      </c>
      <c r="O244" s="7">
        <v>32078</v>
      </c>
      <c r="P244" s="7">
        <v>12028</v>
      </c>
      <c r="Q244" s="19">
        <v>560</v>
      </c>
      <c r="R244" s="316" t="s">
        <v>454</v>
      </c>
      <c r="S244" s="169"/>
      <c r="T244" s="169"/>
      <c r="U244" s="168"/>
      <c r="X244" s="171" t="s">
        <v>237</v>
      </c>
      <c r="Y244" s="156">
        <v>0.5</v>
      </c>
      <c r="AA244" s="156"/>
    </row>
    <row r="245" spans="2:29" ht="15" customHeight="1">
      <c r="B245" s="169" t="s">
        <v>395</v>
      </c>
      <c r="C245" s="133">
        <v>0.53333333333333333</v>
      </c>
      <c r="D245" s="5">
        <v>650</v>
      </c>
      <c r="E245" s="18">
        <v>500</v>
      </c>
      <c r="F245" s="19">
        <v>1075</v>
      </c>
      <c r="G245" s="7">
        <v>90216</v>
      </c>
      <c r="H245" s="7">
        <v>120348</v>
      </c>
      <c r="I245" s="7">
        <v>240588</v>
      </c>
      <c r="J245" s="19">
        <v>90216</v>
      </c>
      <c r="K245" s="18">
        <v>100000</v>
      </c>
      <c r="L245" s="19">
        <v>625</v>
      </c>
      <c r="M245" s="7">
        <v>16402</v>
      </c>
      <c r="N245" s="7">
        <v>21881</v>
      </c>
      <c r="O245" s="7">
        <v>43743</v>
      </c>
      <c r="P245" s="7">
        <v>16402</v>
      </c>
      <c r="Q245" s="19">
        <v>400</v>
      </c>
      <c r="R245" s="316" t="s">
        <v>455</v>
      </c>
      <c r="S245" s="169"/>
      <c r="T245" s="169"/>
      <c r="U245" s="168"/>
      <c r="X245" s="171" t="s">
        <v>237</v>
      </c>
      <c r="Y245" s="156">
        <v>0.55000000000000004</v>
      </c>
      <c r="AA245" s="156"/>
    </row>
    <row r="246" spans="2:29" ht="15" customHeight="1">
      <c r="B246" s="169" t="s">
        <v>396</v>
      </c>
      <c r="E246" s="18"/>
      <c r="F246" s="19"/>
      <c r="G246" s="7"/>
      <c r="H246" s="7"/>
      <c r="I246" s="7"/>
      <c r="J246" s="19"/>
      <c r="K246" s="18"/>
      <c r="L246" s="19"/>
      <c r="M246" s="7"/>
      <c r="N246" s="7"/>
      <c r="O246" s="7"/>
      <c r="P246" s="7"/>
      <c r="Q246" s="19"/>
      <c r="R246" s="316" t="s">
        <v>456</v>
      </c>
      <c r="S246" s="169"/>
      <c r="T246" s="169"/>
      <c r="U246" s="168"/>
      <c r="X246" s="171" t="s">
        <v>237</v>
      </c>
      <c r="Y246" s="156">
        <v>0.6</v>
      </c>
      <c r="AA246" s="156"/>
    </row>
    <row r="247" spans="2:29" ht="15" customHeight="1">
      <c r="B247" s="169" t="s">
        <v>397</v>
      </c>
      <c r="E247" s="18"/>
      <c r="F247" s="19"/>
      <c r="G247" s="7"/>
      <c r="H247" s="7"/>
      <c r="I247" s="7"/>
      <c r="J247" s="19"/>
      <c r="K247" s="18"/>
      <c r="L247" s="19"/>
      <c r="M247" s="7"/>
      <c r="N247" s="7"/>
      <c r="O247" s="7"/>
      <c r="P247" s="7"/>
      <c r="Q247" s="19"/>
      <c r="R247" s="316" t="s">
        <v>457</v>
      </c>
      <c r="S247" s="169"/>
      <c r="T247" s="169"/>
      <c r="U247" s="168"/>
      <c r="X247" s="171" t="s">
        <v>237</v>
      </c>
      <c r="Y247" s="156">
        <v>0.65</v>
      </c>
      <c r="AA247" s="156"/>
    </row>
    <row r="248" spans="2:29" ht="15" customHeight="1">
      <c r="B248" s="169" t="s">
        <v>398</v>
      </c>
      <c r="E248" s="18"/>
      <c r="F248" s="19"/>
      <c r="G248" s="7"/>
      <c r="H248" s="7"/>
      <c r="I248" s="7"/>
      <c r="J248" s="19"/>
      <c r="K248" s="18"/>
      <c r="L248" s="19"/>
      <c r="M248" s="7"/>
      <c r="N248" s="7"/>
      <c r="O248" s="7"/>
      <c r="P248" s="7"/>
      <c r="Q248" s="19"/>
      <c r="R248" s="316" t="s">
        <v>458</v>
      </c>
      <c r="S248" s="169"/>
      <c r="T248" s="169"/>
      <c r="U248" s="168"/>
      <c r="X248" s="171" t="s">
        <v>237</v>
      </c>
      <c r="Y248" s="156">
        <v>0.7</v>
      </c>
      <c r="AA248" s="156"/>
    </row>
    <row r="249" spans="2:29" ht="15" customHeight="1">
      <c r="B249" s="169" t="s">
        <v>399</v>
      </c>
      <c r="E249" s="18"/>
      <c r="F249" s="19"/>
      <c r="G249" s="7"/>
      <c r="H249" s="7"/>
      <c r="I249" s="7"/>
      <c r="J249" s="19"/>
      <c r="K249" s="18"/>
      <c r="L249" s="19"/>
      <c r="M249" s="7"/>
      <c r="N249" s="7"/>
      <c r="O249" s="7"/>
      <c r="P249" s="7"/>
      <c r="Q249" s="19"/>
      <c r="R249" s="316" t="s">
        <v>459</v>
      </c>
      <c r="S249" s="169"/>
      <c r="T249" s="169"/>
      <c r="U249" s="168"/>
      <c r="X249" s="171" t="s">
        <v>237</v>
      </c>
      <c r="Y249" s="156">
        <v>0.75</v>
      </c>
      <c r="AA249" s="156"/>
    </row>
    <row r="250" spans="2:29" ht="15" customHeight="1">
      <c r="B250" s="169" t="s">
        <v>400</v>
      </c>
      <c r="E250" s="18"/>
      <c r="F250" s="19"/>
      <c r="G250" s="7"/>
      <c r="H250" s="7"/>
      <c r="I250" s="7"/>
      <c r="J250" s="19"/>
      <c r="K250" s="18"/>
      <c r="L250" s="19"/>
      <c r="M250" s="7"/>
      <c r="N250" s="7"/>
      <c r="O250" s="7"/>
      <c r="P250" s="7"/>
      <c r="Q250" s="19"/>
      <c r="R250" s="316" t="s">
        <v>460</v>
      </c>
      <c r="S250" s="169"/>
      <c r="T250" s="169"/>
      <c r="U250" s="168"/>
      <c r="X250" s="171" t="s">
        <v>237</v>
      </c>
      <c r="Y250" s="156">
        <v>0.8</v>
      </c>
      <c r="AA250" s="156"/>
    </row>
    <row r="251" spans="2:29" ht="15" customHeight="1">
      <c r="B251" s="169" t="s">
        <v>401</v>
      </c>
      <c r="E251" s="18"/>
      <c r="F251" s="19"/>
      <c r="G251" s="7"/>
      <c r="H251" s="7"/>
      <c r="I251" s="7"/>
      <c r="J251" s="19"/>
      <c r="K251" s="18"/>
      <c r="L251" s="19"/>
      <c r="M251" s="7"/>
      <c r="N251" s="7"/>
      <c r="O251" s="7"/>
      <c r="P251" s="7"/>
      <c r="Q251" s="19"/>
      <c r="R251" s="316" t="s">
        <v>461</v>
      </c>
      <c r="S251" s="169"/>
      <c r="T251" s="169"/>
      <c r="U251" s="168"/>
      <c r="X251" s="171" t="s">
        <v>237</v>
      </c>
      <c r="Y251" s="156">
        <v>0.85</v>
      </c>
      <c r="AA251" s="156"/>
    </row>
    <row r="252" spans="2:29" ht="15" customHeight="1">
      <c r="B252" s="167" t="s">
        <v>402</v>
      </c>
      <c r="C252" s="140"/>
      <c r="E252" s="18"/>
      <c r="F252" s="19"/>
      <c r="G252" s="18"/>
      <c r="H252" s="18"/>
      <c r="I252" s="18"/>
      <c r="J252" s="19"/>
      <c r="K252" s="18"/>
      <c r="L252" s="19"/>
      <c r="M252" s="18"/>
      <c r="N252" s="18"/>
      <c r="O252" s="18"/>
      <c r="P252" s="18"/>
      <c r="Q252" s="19"/>
      <c r="R252" s="316" t="s">
        <v>462</v>
      </c>
      <c r="S252" s="167"/>
      <c r="T252" s="167"/>
      <c r="U252" s="168"/>
      <c r="V252" s="11"/>
      <c r="X252" s="171" t="s">
        <v>237</v>
      </c>
      <c r="Y252" s="156">
        <v>0.9</v>
      </c>
      <c r="Z252" s="155"/>
      <c r="AA252" s="156"/>
      <c r="AB252" s="155"/>
    </row>
    <row r="253" spans="2:29" ht="15" customHeight="1">
      <c r="B253" s="167" t="s">
        <v>403</v>
      </c>
      <c r="C253" s="140"/>
      <c r="E253" s="18"/>
      <c r="F253" s="19"/>
      <c r="G253" s="18"/>
      <c r="H253" s="18"/>
      <c r="I253" s="18"/>
      <c r="J253" s="19"/>
      <c r="K253" s="18"/>
      <c r="L253" s="19"/>
      <c r="M253" s="18"/>
      <c r="N253" s="18"/>
      <c r="O253" s="18"/>
      <c r="P253" s="18"/>
      <c r="Q253" s="19"/>
      <c r="R253" s="316" t="s">
        <v>463</v>
      </c>
      <c r="S253" s="167"/>
      <c r="T253" s="167"/>
      <c r="U253" s="168"/>
      <c r="V253" s="11"/>
      <c r="X253" s="171" t="s">
        <v>237</v>
      </c>
      <c r="Y253" s="156">
        <v>0.95</v>
      </c>
      <c r="Z253" s="155"/>
      <c r="AA253" s="156"/>
      <c r="AB253" s="155"/>
    </row>
    <row r="254" spans="2:29" ht="15" customHeight="1">
      <c r="B254" s="167" t="s">
        <v>404</v>
      </c>
      <c r="C254" s="140"/>
      <c r="E254" s="18"/>
      <c r="F254" s="19"/>
      <c r="G254" s="18"/>
      <c r="H254" s="18"/>
      <c r="I254" s="18"/>
      <c r="J254" s="19"/>
      <c r="K254" s="18"/>
      <c r="L254" s="19"/>
      <c r="M254" s="18"/>
      <c r="N254" s="18"/>
      <c r="O254" s="18"/>
      <c r="P254" s="18"/>
      <c r="Q254" s="19"/>
      <c r="R254" s="316" t="s">
        <v>464</v>
      </c>
      <c r="S254" s="167"/>
      <c r="T254" s="167"/>
      <c r="U254" s="168"/>
      <c r="V254" s="11"/>
      <c r="X254" s="171" t="s">
        <v>237</v>
      </c>
      <c r="Y254" s="156">
        <v>1</v>
      </c>
      <c r="Z254" s="155"/>
      <c r="AA254" s="156"/>
      <c r="AB254" s="155"/>
    </row>
    <row r="255" spans="2:29" ht="15" customHeight="1">
      <c r="B255" s="34" t="s">
        <v>405</v>
      </c>
      <c r="C255" s="480"/>
      <c r="D255" s="24"/>
      <c r="E255" s="25"/>
      <c r="F255" s="26"/>
      <c r="G255" s="25"/>
      <c r="H255" s="25"/>
      <c r="I255" s="25"/>
      <c r="J255" s="26"/>
      <c r="K255" s="25"/>
      <c r="L255" s="26"/>
      <c r="M255" s="25"/>
      <c r="N255" s="25"/>
      <c r="O255" s="25"/>
      <c r="P255" s="25"/>
      <c r="Q255" s="26"/>
      <c r="R255" s="196" t="s">
        <v>465</v>
      </c>
      <c r="S255" s="34"/>
      <c r="T255" s="34"/>
      <c r="U255" s="89"/>
      <c r="V255" s="27"/>
      <c r="W255" s="24"/>
      <c r="X255" s="172" t="s">
        <v>237</v>
      </c>
      <c r="Y255" s="173">
        <v>1.25</v>
      </c>
      <c r="Z255" s="154" t="s">
        <v>407</v>
      </c>
      <c r="AA255" s="210">
        <v>1</v>
      </c>
      <c r="AB255" s="154"/>
      <c r="AC255" s="210"/>
    </row>
    <row r="256" spans="2:29" ht="15" customHeight="1">
      <c r="B256" s="253" t="s">
        <v>634</v>
      </c>
      <c r="C256" s="133">
        <v>8.1018518518518516E-4</v>
      </c>
      <c r="D256" s="5">
        <v>1</v>
      </c>
      <c r="E256" s="18">
        <v>10</v>
      </c>
      <c r="F256" s="19">
        <v>10</v>
      </c>
      <c r="G256" s="7">
        <v>350</v>
      </c>
      <c r="H256" s="7">
        <v>500</v>
      </c>
      <c r="I256" s="7">
        <v>200</v>
      </c>
      <c r="J256" s="19">
        <v>250</v>
      </c>
      <c r="K256" s="18">
        <v>2525</v>
      </c>
      <c r="L256" s="19">
        <v>2</v>
      </c>
      <c r="M256" s="7">
        <v>1800</v>
      </c>
      <c r="N256" s="7">
        <v>2500</v>
      </c>
      <c r="O256" s="7">
        <v>1100</v>
      </c>
      <c r="P256" s="7">
        <v>1200</v>
      </c>
      <c r="Q256" s="19">
        <v>0</v>
      </c>
      <c r="R256" s="253" t="s">
        <v>655</v>
      </c>
      <c r="S256" s="169"/>
      <c r="T256" s="169"/>
      <c r="U256" s="168"/>
      <c r="X256" s="171" t="s">
        <v>656</v>
      </c>
      <c r="Y256" s="5">
        <v>5000</v>
      </c>
      <c r="Z256" s="171" t="s">
        <v>657</v>
      </c>
      <c r="AA256" s="156">
        <v>0.3</v>
      </c>
    </row>
    <row r="257" spans="2:28" ht="15" customHeight="1">
      <c r="B257" s="253" t="s">
        <v>635</v>
      </c>
      <c r="C257" s="133">
        <v>1.6203703703703703E-3</v>
      </c>
      <c r="D257" s="5">
        <v>1</v>
      </c>
      <c r="E257" s="18">
        <v>25</v>
      </c>
      <c r="F257" s="19">
        <v>20</v>
      </c>
      <c r="G257" s="7">
        <v>630</v>
      </c>
      <c r="H257" s="7">
        <v>900</v>
      </c>
      <c r="I257" s="7">
        <v>360</v>
      </c>
      <c r="J257" s="19">
        <v>450</v>
      </c>
      <c r="K257" s="18">
        <v>2575</v>
      </c>
      <c r="L257" s="19">
        <v>5</v>
      </c>
      <c r="M257" s="7">
        <v>1600</v>
      </c>
      <c r="N257" s="7">
        <v>2300</v>
      </c>
      <c r="O257" s="7">
        <v>900</v>
      </c>
      <c r="P257" s="7">
        <v>1200</v>
      </c>
      <c r="Q257" s="19">
        <v>50</v>
      </c>
      <c r="R257" s="253" t="s">
        <v>655</v>
      </c>
      <c r="S257" s="253"/>
      <c r="T257" s="253"/>
      <c r="U257" s="252"/>
      <c r="X257" s="171" t="s">
        <v>656</v>
      </c>
      <c r="Y257" s="5">
        <v>15000</v>
      </c>
      <c r="Z257" s="171" t="s">
        <v>657</v>
      </c>
      <c r="AA257" s="156">
        <v>0.28999999999999998</v>
      </c>
    </row>
    <row r="258" spans="2:28" ht="15" customHeight="1">
      <c r="B258" s="253" t="s">
        <v>636</v>
      </c>
      <c r="C258" s="133">
        <v>3.2407407407407406E-3</v>
      </c>
      <c r="D258" s="5">
        <v>1</v>
      </c>
      <c r="E258" s="18">
        <v>50</v>
      </c>
      <c r="F258" s="19">
        <v>30</v>
      </c>
      <c r="G258" s="7">
        <v>1134</v>
      </c>
      <c r="H258" s="7">
        <v>1620</v>
      </c>
      <c r="I258" s="7">
        <v>648</v>
      </c>
      <c r="J258" s="19">
        <v>810</v>
      </c>
      <c r="K258" s="18">
        <v>2600</v>
      </c>
      <c r="L258" s="19">
        <v>10</v>
      </c>
      <c r="M258" s="7">
        <v>4800</v>
      </c>
      <c r="N258" s="7">
        <v>5200</v>
      </c>
      <c r="O258" s="7">
        <v>1100</v>
      </c>
      <c r="P258" s="7">
        <v>1400</v>
      </c>
      <c r="Q258" s="19">
        <v>200</v>
      </c>
      <c r="R258" s="253" t="s">
        <v>655</v>
      </c>
      <c r="S258" s="253"/>
      <c r="T258" s="253"/>
      <c r="U258" s="252"/>
      <c r="X258" s="171" t="s">
        <v>656</v>
      </c>
      <c r="Y258" s="5">
        <v>30000</v>
      </c>
      <c r="Z258" s="171" t="s">
        <v>657</v>
      </c>
      <c r="AA258" s="156">
        <v>0.28000000000000003</v>
      </c>
    </row>
    <row r="259" spans="2:28" ht="15" customHeight="1">
      <c r="B259" s="253" t="s">
        <v>637</v>
      </c>
      <c r="C259" s="133">
        <v>6.4814814814814813E-3</v>
      </c>
      <c r="D259" s="5">
        <v>1</v>
      </c>
      <c r="E259" s="18">
        <v>200</v>
      </c>
      <c r="F259" s="19">
        <v>50</v>
      </c>
      <c r="G259" s="7">
        <v>2042</v>
      </c>
      <c r="H259" s="7">
        <v>2916</v>
      </c>
      <c r="I259" s="7">
        <v>1167</v>
      </c>
      <c r="J259" s="19">
        <v>1458</v>
      </c>
      <c r="K259" s="18">
        <v>2650</v>
      </c>
      <c r="L259" s="19">
        <v>20</v>
      </c>
      <c r="M259" s="7">
        <v>2500</v>
      </c>
      <c r="N259" s="7">
        <v>3600</v>
      </c>
      <c r="O259" s="7">
        <v>1400</v>
      </c>
      <c r="P259" s="7">
        <v>1800</v>
      </c>
      <c r="Q259" s="19">
        <v>250</v>
      </c>
      <c r="R259" s="253" t="s">
        <v>523</v>
      </c>
      <c r="S259" s="253"/>
      <c r="T259" s="253"/>
      <c r="U259" s="252"/>
      <c r="X259" s="171" t="s">
        <v>656</v>
      </c>
      <c r="Y259" s="5">
        <v>50000</v>
      </c>
      <c r="Z259" s="171" t="s">
        <v>657</v>
      </c>
      <c r="AA259" s="156">
        <v>0.27</v>
      </c>
    </row>
    <row r="260" spans="2:28" ht="15" customHeight="1">
      <c r="B260" s="253" t="s">
        <v>638</v>
      </c>
      <c r="C260" s="133">
        <v>1.2962962962962963E-2</v>
      </c>
      <c r="D260" s="5">
        <v>70</v>
      </c>
      <c r="E260" s="18">
        <v>400</v>
      </c>
      <c r="F260" s="19">
        <v>70</v>
      </c>
      <c r="G260" s="7">
        <v>3676</v>
      </c>
      <c r="H260" s="7">
        <v>5249</v>
      </c>
      <c r="I260" s="7">
        <v>2101</v>
      </c>
      <c r="J260" s="19">
        <v>2625</v>
      </c>
      <c r="K260" s="18">
        <v>2675</v>
      </c>
      <c r="L260" s="19">
        <v>35</v>
      </c>
      <c r="M260" s="7">
        <v>9900</v>
      </c>
      <c r="N260" s="7">
        <v>7800</v>
      </c>
      <c r="O260" s="7">
        <v>4000</v>
      </c>
      <c r="P260" s="7">
        <v>2600</v>
      </c>
      <c r="Q260" s="19">
        <v>450</v>
      </c>
      <c r="R260" s="253" t="s">
        <v>523</v>
      </c>
      <c r="S260" s="253"/>
      <c r="T260" s="253"/>
      <c r="U260" s="252"/>
      <c r="X260" s="171" t="s">
        <v>656</v>
      </c>
      <c r="Y260" s="5">
        <v>80000</v>
      </c>
      <c r="Z260" s="171" t="s">
        <v>657</v>
      </c>
      <c r="AA260" s="156">
        <v>0.26</v>
      </c>
    </row>
    <row r="261" spans="2:28" ht="15" customHeight="1">
      <c r="B261" s="253" t="s">
        <v>639</v>
      </c>
      <c r="C261" s="133">
        <v>2.5925925925925925E-2</v>
      </c>
      <c r="D261" s="5">
        <v>130</v>
      </c>
      <c r="E261" s="18">
        <v>500</v>
      </c>
      <c r="F261" s="19">
        <v>110</v>
      </c>
      <c r="G261" s="7">
        <f>G260*2</f>
        <v>7352</v>
      </c>
      <c r="H261" s="7">
        <f>H260*2</f>
        <v>10498</v>
      </c>
      <c r="I261" s="7">
        <f>I260*2</f>
        <v>4202</v>
      </c>
      <c r="J261" s="19">
        <f>J260*2</f>
        <v>5250</v>
      </c>
      <c r="K261" s="18">
        <v>10000</v>
      </c>
      <c r="L261" s="19">
        <v>57</v>
      </c>
      <c r="M261" s="7">
        <v>6100</v>
      </c>
      <c r="N261" s="7">
        <v>8700</v>
      </c>
      <c r="O261" s="7">
        <v>3500</v>
      </c>
      <c r="P261" s="7">
        <v>4300</v>
      </c>
      <c r="Q261" s="19">
        <v>350</v>
      </c>
      <c r="R261" s="253" t="s">
        <v>659</v>
      </c>
      <c r="S261" s="253"/>
      <c r="T261" s="253"/>
      <c r="U261" s="252"/>
      <c r="X261" s="171" t="s">
        <v>656</v>
      </c>
      <c r="Y261" s="5">
        <v>120000</v>
      </c>
      <c r="Z261" s="171" t="s">
        <v>657</v>
      </c>
      <c r="AA261" s="156">
        <v>0.25</v>
      </c>
    </row>
    <row r="262" spans="2:28" ht="15" customHeight="1">
      <c r="B262" s="253" t="s">
        <v>640</v>
      </c>
      <c r="C262" s="133">
        <v>5.185185185185185E-2</v>
      </c>
      <c r="D262" s="5">
        <v>130</v>
      </c>
      <c r="E262" s="18">
        <v>500</v>
      </c>
      <c r="F262" s="19">
        <v>170</v>
      </c>
      <c r="G262" s="7">
        <f t="shared" ref="G262:J263" si="2">G261*2</f>
        <v>14704</v>
      </c>
      <c r="H262" s="7">
        <f t="shared" si="2"/>
        <v>20996</v>
      </c>
      <c r="I262" s="7">
        <f t="shared" si="2"/>
        <v>8404</v>
      </c>
      <c r="J262" s="19">
        <f t="shared" si="2"/>
        <v>10500</v>
      </c>
      <c r="K262" s="18">
        <v>10000</v>
      </c>
      <c r="L262" s="19">
        <v>90</v>
      </c>
      <c r="M262" s="7">
        <v>10500</v>
      </c>
      <c r="N262" s="7">
        <v>14900</v>
      </c>
      <c r="O262" s="7">
        <v>6000</v>
      </c>
      <c r="P262" s="7">
        <v>7500</v>
      </c>
      <c r="Q262" s="19">
        <v>250</v>
      </c>
      <c r="R262" s="360" t="s">
        <v>659</v>
      </c>
      <c r="S262" s="253"/>
      <c r="T262" s="253"/>
      <c r="U262" s="252"/>
      <c r="X262" s="171" t="s">
        <v>656</v>
      </c>
      <c r="Y262" s="5">
        <v>160000</v>
      </c>
      <c r="Z262" s="171" t="s">
        <v>657</v>
      </c>
      <c r="AA262" s="156">
        <v>0.24</v>
      </c>
    </row>
    <row r="263" spans="2:28" ht="15" customHeight="1">
      <c r="B263" s="253" t="s">
        <v>641</v>
      </c>
      <c r="C263" s="133">
        <v>0.1037037037037037</v>
      </c>
      <c r="D263" s="5">
        <v>300</v>
      </c>
      <c r="E263" s="18">
        <v>500</v>
      </c>
      <c r="F263" s="19">
        <v>250</v>
      </c>
      <c r="G263" s="7">
        <f t="shared" si="2"/>
        <v>29408</v>
      </c>
      <c r="H263" s="7">
        <f t="shared" si="2"/>
        <v>41992</v>
      </c>
      <c r="I263" s="7">
        <f t="shared" si="2"/>
        <v>16808</v>
      </c>
      <c r="J263" s="19">
        <f t="shared" si="2"/>
        <v>21000</v>
      </c>
      <c r="K263" s="18">
        <v>10000</v>
      </c>
      <c r="L263" s="19">
        <v>140</v>
      </c>
      <c r="M263" s="7">
        <v>18300</v>
      </c>
      <c r="N263" s="7">
        <v>26200</v>
      </c>
      <c r="O263" s="7">
        <v>10500</v>
      </c>
      <c r="P263" s="7">
        <v>13100</v>
      </c>
      <c r="Q263" s="19">
        <v>350</v>
      </c>
      <c r="R263" s="360" t="s">
        <v>888</v>
      </c>
      <c r="S263" s="253"/>
      <c r="T263" s="253"/>
      <c r="U263" s="252"/>
      <c r="X263" s="171" t="s">
        <v>656</v>
      </c>
      <c r="Y263" s="5">
        <v>200000</v>
      </c>
      <c r="Z263" s="171" t="s">
        <v>657</v>
      </c>
      <c r="AA263" s="156">
        <v>0.23</v>
      </c>
    </row>
    <row r="264" spans="2:28" ht="15" customHeight="1">
      <c r="B264" s="253" t="s">
        <v>642</v>
      </c>
      <c r="C264" s="133">
        <v>0.2074074074074074</v>
      </c>
      <c r="D264" s="5">
        <v>650</v>
      </c>
      <c r="E264" s="18">
        <v>500</v>
      </c>
      <c r="F264" s="19">
        <v>380</v>
      </c>
      <c r="G264" s="433">
        <f>G263*2</f>
        <v>58816</v>
      </c>
      <c r="H264" s="18">
        <f t="shared" ref="H264:J264" si="3">H263*2</f>
        <v>83984</v>
      </c>
      <c r="I264" s="18">
        <f t="shared" si="3"/>
        <v>33616</v>
      </c>
      <c r="J264" s="19">
        <f t="shared" si="3"/>
        <v>42000</v>
      </c>
      <c r="K264" s="18">
        <v>30000</v>
      </c>
      <c r="L264" s="19">
        <v>217</v>
      </c>
      <c r="M264" s="7">
        <v>32600</v>
      </c>
      <c r="N264" s="7">
        <v>46600</v>
      </c>
      <c r="O264" s="7">
        <v>18600</v>
      </c>
      <c r="P264" s="7">
        <v>23300</v>
      </c>
      <c r="Q264" s="19">
        <v>450</v>
      </c>
      <c r="R264" s="404" t="s">
        <v>547</v>
      </c>
      <c r="S264" s="253"/>
      <c r="T264" s="253"/>
      <c r="U264" s="252"/>
      <c r="X264" s="171" t="s">
        <v>656</v>
      </c>
      <c r="Y264" s="5">
        <v>250000</v>
      </c>
      <c r="Z264" s="171" t="s">
        <v>657</v>
      </c>
      <c r="AA264" s="156">
        <v>0.22</v>
      </c>
    </row>
    <row r="265" spans="2:28" ht="15" customHeight="1">
      <c r="B265" s="253" t="s">
        <v>643</v>
      </c>
      <c r="C265" s="133">
        <v>0.4148148148148148</v>
      </c>
      <c r="D265" s="5">
        <v>650</v>
      </c>
      <c r="E265" s="18">
        <v>500</v>
      </c>
      <c r="F265" s="19">
        <v>570</v>
      </c>
      <c r="G265" s="7">
        <v>88224</v>
      </c>
      <c r="H265" s="7">
        <v>125976</v>
      </c>
      <c r="I265" s="7">
        <v>50424</v>
      </c>
      <c r="J265" s="19">
        <v>63000</v>
      </c>
      <c r="K265" s="18">
        <v>30000</v>
      </c>
      <c r="L265" s="19">
        <v>325</v>
      </c>
      <c r="M265" s="7">
        <v>17644</v>
      </c>
      <c r="N265" s="7">
        <v>25195</v>
      </c>
      <c r="O265" s="7">
        <v>10084</v>
      </c>
      <c r="P265" s="7">
        <v>12600</v>
      </c>
      <c r="Q265" s="19">
        <v>335</v>
      </c>
      <c r="R265" s="465" t="s">
        <v>548</v>
      </c>
      <c r="S265" s="253"/>
      <c r="T265" s="253"/>
      <c r="U265" s="252"/>
      <c r="X265" s="171" t="s">
        <v>656</v>
      </c>
      <c r="Y265" s="5">
        <v>300000</v>
      </c>
      <c r="Z265" s="171" t="s">
        <v>657</v>
      </c>
      <c r="AA265" s="156">
        <v>0.21</v>
      </c>
    </row>
    <row r="266" spans="2:28" ht="15" customHeight="1">
      <c r="B266" s="253" t="s">
        <v>644</v>
      </c>
      <c r="E266" s="18"/>
      <c r="F266" s="19"/>
      <c r="G266" s="7"/>
      <c r="H266" s="7"/>
      <c r="I266" s="7"/>
      <c r="J266" s="19"/>
      <c r="K266" s="18"/>
      <c r="L266" s="19"/>
      <c r="M266" s="7"/>
      <c r="N266" s="7"/>
      <c r="O266" s="7"/>
      <c r="P266" s="7"/>
      <c r="Q266" s="19"/>
      <c r="R266" s="253"/>
      <c r="S266" s="253"/>
      <c r="T266" s="253"/>
      <c r="U266" s="252"/>
      <c r="X266" s="171" t="s">
        <v>656</v>
      </c>
      <c r="Y266" s="5">
        <v>400000</v>
      </c>
      <c r="Z266" s="171" t="s">
        <v>657</v>
      </c>
      <c r="AA266" s="156">
        <v>0.2</v>
      </c>
    </row>
    <row r="267" spans="2:28" ht="15" customHeight="1">
      <c r="B267" s="253" t="s">
        <v>645</v>
      </c>
      <c r="E267" s="18"/>
      <c r="F267" s="19"/>
      <c r="G267" s="7"/>
      <c r="H267" s="7"/>
      <c r="I267" s="7"/>
      <c r="J267" s="19"/>
      <c r="K267" s="18"/>
      <c r="L267" s="19"/>
      <c r="M267" s="7"/>
      <c r="N267" s="7"/>
      <c r="O267" s="7"/>
      <c r="P267" s="7"/>
      <c r="Q267" s="19"/>
      <c r="R267" s="253"/>
      <c r="S267" s="253"/>
      <c r="T267" s="253"/>
      <c r="U267" s="252"/>
      <c r="X267" s="171" t="s">
        <v>656</v>
      </c>
      <c r="Y267" s="5">
        <v>500000</v>
      </c>
      <c r="Z267" s="171" t="s">
        <v>657</v>
      </c>
      <c r="AA267" s="156">
        <v>0.19</v>
      </c>
    </row>
    <row r="268" spans="2:28" ht="15" customHeight="1">
      <c r="B268" s="253" t="s">
        <v>646</v>
      </c>
      <c r="E268" s="18"/>
      <c r="F268" s="19"/>
      <c r="G268" s="7"/>
      <c r="H268" s="7"/>
      <c r="I268" s="7"/>
      <c r="J268" s="19"/>
      <c r="K268" s="18"/>
      <c r="L268" s="19"/>
      <c r="M268" s="7"/>
      <c r="N268" s="7"/>
      <c r="O268" s="7"/>
      <c r="P268" s="7"/>
      <c r="Q268" s="19"/>
      <c r="R268" s="253"/>
      <c r="S268" s="253"/>
      <c r="T268" s="253"/>
      <c r="U268" s="252"/>
      <c r="X268" s="171" t="s">
        <v>656</v>
      </c>
      <c r="Y268" s="5">
        <v>750000</v>
      </c>
      <c r="Z268" s="171" t="s">
        <v>657</v>
      </c>
      <c r="AA268" s="156">
        <v>0.18</v>
      </c>
    </row>
    <row r="269" spans="2:28" ht="15" customHeight="1">
      <c r="B269" s="253" t="s">
        <v>647</v>
      </c>
      <c r="E269" s="18"/>
      <c r="F269" s="19"/>
      <c r="G269" s="7"/>
      <c r="H269" s="7"/>
      <c r="I269" s="7"/>
      <c r="J269" s="19"/>
      <c r="K269" s="18"/>
      <c r="L269" s="19"/>
      <c r="M269" s="7"/>
      <c r="N269" s="7"/>
      <c r="O269" s="7"/>
      <c r="P269" s="7"/>
      <c r="Q269" s="19"/>
      <c r="R269" s="253"/>
      <c r="S269" s="253"/>
      <c r="T269" s="253"/>
      <c r="U269" s="252"/>
      <c r="X269" s="171" t="s">
        <v>656</v>
      </c>
      <c r="Y269" s="5">
        <v>1000000</v>
      </c>
      <c r="Z269" s="171" t="s">
        <v>657</v>
      </c>
      <c r="AA269" s="156">
        <v>0.17</v>
      </c>
    </row>
    <row r="270" spans="2:28" ht="15" customHeight="1">
      <c r="B270" s="253" t="s">
        <v>648</v>
      </c>
      <c r="E270" s="18"/>
      <c r="F270" s="19"/>
      <c r="G270" s="7"/>
      <c r="H270" s="7"/>
      <c r="I270" s="7"/>
      <c r="J270" s="19"/>
      <c r="K270" s="18"/>
      <c r="L270" s="19"/>
      <c r="M270" s="7"/>
      <c r="N270" s="7"/>
      <c r="O270" s="7"/>
      <c r="P270" s="7"/>
      <c r="Q270" s="19"/>
      <c r="R270" s="253"/>
      <c r="S270" s="253"/>
      <c r="T270" s="253"/>
      <c r="U270" s="252"/>
      <c r="X270" s="171" t="s">
        <v>656</v>
      </c>
      <c r="Y270" s="5">
        <v>1250000</v>
      </c>
      <c r="Z270" s="171" t="s">
        <v>657</v>
      </c>
      <c r="AA270" s="156">
        <v>0.16</v>
      </c>
    </row>
    <row r="271" spans="2:28" ht="15" customHeight="1">
      <c r="B271" s="251" t="s">
        <v>649</v>
      </c>
      <c r="C271" s="140"/>
      <c r="E271" s="18"/>
      <c r="F271" s="19"/>
      <c r="G271" s="18"/>
      <c r="H271" s="18"/>
      <c r="I271" s="18"/>
      <c r="J271" s="19"/>
      <c r="K271" s="18"/>
      <c r="L271" s="19"/>
      <c r="M271" s="18"/>
      <c r="N271" s="18"/>
      <c r="O271" s="18"/>
      <c r="P271" s="18"/>
      <c r="Q271" s="19"/>
      <c r="R271" s="251"/>
      <c r="S271" s="251"/>
      <c r="T271" s="251"/>
      <c r="U271" s="252"/>
      <c r="V271" s="11"/>
      <c r="X271" s="171" t="s">
        <v>656</v>
      </c>
      <c r="Y271" s="5">
        <v>1500000</v>
      </c>
      <c r="Z271" s="171" t="s">
        <v>657</v>
      </c>
      <c r="AA271" s="156">
        <v>0.15</v>
      </c>
      <c r="AB271" s="155"/>
    </row>
    <row r="272" spans="2:28" ht="15" customHeight="1">
      <c r="B272" s="251" t="s">
        <v>650</v>
      </c>
      <c r="C272" s="140"/>
      <c r="E272" s="18"/>
      <c r="F272" s="19"/>
      <c r="G272" s="18"/>
      <c r="H272" s="18"/>
      <c r="I272" s="18"/>
      <c r="J272" s="19"/>
      <c r="K272" s="18"/>
      <c r="L272" s="19"/>
      <c r="M272" s="18"/>
      <c r="N272" s="18"/>
      <c r="O272" s="18"/>
      <c r="P272" s="18"/>
      <c r="Q272" s="19"/>
      <c r="R272" s="251"/>
      <c r="S272" s="251"/>
      <c r="T272" s="251"/>
      <c r="U272" s="252"/>
      <c r="V272" s="11"/>
      <c r="X272" s="171" t="s">
        <v>656</v>
      </c>
      <c r="Y272" s="5">
        <v>1750000</v>
      </c>
      <c r="Z272" s="171" t="s">
        <v>657</v>
      </c>
      <c r="AA272" s="156">
        <v>0.14000000000000001</v>
      </c>
      <c r="AB272" s="155"/>
    </row>
    <row r="273" spans="2:29" ht="15" customHeight="1">
      <c r="B273" s="251" t="s">
        <v>651</v>
      </c>
      <c r="C273" s="140"/>
      <c r="E273" s="18"/>
      <c r="F273" s="19"/>
      <c r="G273" s="18"/>
      <c r="H273" s="18"/>
      <c r="I273" s="18"/>
      <c r="J273" s="19"/>
      <c r="K273" s="18"/>
      <c r="L273" s="19"/>
      <c r="M273" s="18"/>
      <c r="N273" s="18"/>
      <c r="O273" s="18"/>
      <c r="P273" s="18"/>
      <c r="Q273" s="19"/>
      <c r="R273" s="251"/>
      <c r="S273" s="251"/>
      <c r="T273" s="251"/>
      <c r="U273" s="252"/>
      <c r="V273" s="11"/>
      <c r="X273" s="171" t="s">
        <v>656</v>
      </c>
      <c r="Y273" s="5">
        <v>2000000</v>
      </c>
      <c r="Z273" s="171" t="s">
        <v>657</v>
      </c>
      <c r="AA273" s="156">
        <v>0.13</v>
      </c>
      <c r="AB273" s="155"/>
    </row>
    <row r="274" spans="2:29" ht="15" customHeight="1">
      <c r="B274" s="251" t="s">
        <v>652</v>
      </c>
      <c r="C274" s="140"/>
      <c r="E274" s="18"/>
      <c r="F274" s="19"/>
      <c r="G274" s="18"/>
      <c r="H274" s="18"/>
      <c r="I274" s="18"/>
      <c r="J274" s="19"/>
      <c r="K274" s="18"/>
      <c r="L274" s="19"/>
      <c r="M274" s="18"/>
      <c r="N274" s="18"/>
      <c r="O274" s="18"/>
      <c r="P274" s="18"/>
      <c r="Q274" s="19"/>
      <c r="R274" s="251"/>
      <c r="S274" s="251"/>
      <c r="T274" s="251"/>
      <c r="U274" s="252"/>
      <c r="V274" s="11"/>
      <c r="X274" s="171" t="s">
        <v>656</v>
      </c>
      <c r="Y274" s="5">
        <v>2250000</v>
      </c>
      <c r="Z274" s="171" t="s">
        <v>657</v>
      </c>
      <c r="AA274" s="156">
        <v>0.12</v>
      </c>
      <c r="AB274" s="155"/>
    </row>
    <row r="275" spans="2:29" ht="15" customHeight="1">
      <c r="B275" s="251" t="s">
        <v>653</v>
      </c>
      <c r="C275" s="140"/>
      <c r="E275" s="18"/>
      <c r="F275" s="19"/>
      <c r="G275" s="18"/>
      <c r="H275" s="18"/>
      <c r="I275" s="18"/>
      <c r="J275" s="19"/>
      <c r="K275" s="18"/>
      <c r="L275" s="19"/>
      <c r="M275" s="18"/>
      <c r="N275" s="18"/>
      <c r="O275" s="18"/>
      <c r="P275" s="18"/>
      <c r="Q275" s="19"/>
      <c r="R275" s="251"/>
      <c r="S275" s="251"/>
      <c r="T275" s="251"/>
      <c r="U275" s="252"/>
      <c r="V275" s="11"/>
      <c r="X275" s="171" t="s">
        <v>656</v>
      </c>
      <c r="Y275" s="5">
        <v>2500000</v>
      </c>
      <c r="Z275" s="171" t="s">
        <v>657</v>
      </c>
      <c r="AA275" s="156">
        <v>0.11</v>
      </c>
      <c r="AB275" s="155"/>
    </row>
    <row r="276" spans="2:29" ht="15" customHeight="1">
      <c r="B276" s="34" t="s">
        <v>654</v>
      </c>
      <c r="C276" s="480"/>
      <c r="D276" s="24"/>
      <c r="E276" s="25"/>
      <c r="F276" s="26"/>
      <c r="G276" s="25"/>
      <c r="H276" s="25"/>
      <c r="I276" s="25"/>
      <c r="J276" s="26"/>
      <c r="K276" s="25"/>
      <c r="L276" s="26"/>
      <c r="M276" s="25"/>
      <c r="N276" s="25"/>
      <c r="O276" s="25"/>
      <c r="P276" s="25"/>
      <c r="Q276" s="26"/>
      <c r="R276" s="34"/>
      <c r="S276" s="34"/>
      <c r="T276" s="34"/>
      <c r="U276" s="89"/>
      <c r="V276" s="27"/>
      <c r="W276" s="24"/>
      <c r="X276" s="172" t="s">
        <v>656</v>
      </c>
      <c r="Y276" s="24">
        <v>3000000</v>
      </c>
      <c r="Z276" s="172" t="s">
        <v>657</v>
      </c>
      <c r="AA276" s="173">
        <v>0.08</v>
      </c>
      <c r="AB276" s="154" t="s">
        <v>658</v>
      </c>
      <c r="AC276" s="173">
        <v>1</v>
      </c>
    </row>
    <row r="277" spans="2:29" ht="15" customHeight="1">
      <c r="B277" s="281" t="s">
        <v>790</v>
      </c>
      <c r="C277" s="133">
        <v>8.6805555555555551E-4</v>
      </c>
      <c r="D277" s="5">
        <v>1</v>
      </c>
      <c r="E277" s="18">
        <v>10</v>
      </c>
      <c r="F277" s="19">
        <v>10</v>
      </c>
      <c r="G277" s="7">
        <v>600</v>
      </c>
      <c r="H277" s="7">
        <v>600</v>
      </c>
      <c r="I277" s="7">
        <v>300</v>
      </c>
      <c r="J277" s="19">
        <v>400</v>
      </c>
      <c r="K277" s="18">
        <v>2525</v>
      </c>
      <c r="L277" s="19">
        <v>2</v>
      </c>
      <c r="M277" s="7">
        <v>3000</v>
      </c>
      <c r="N277" s="7">
        <v>3000</v>
      </c>
      <c r="O277" s="7">
        <v>1500</v>
      </c>
      <c r="P277" s="7">
        <v>2000</v>
      </c>
      <c r="Q277" s="19">
        <v>0</v>
      </c>
      <c r="R277" s="281" t="s">
        <v>812</v>
      </c>
      <c r="S277" s="281"/>
      <c r="T277" s="281"/>
      <c r="U277" s="280"/>
      <c r="X277" s="197" t="s">
        <v>817</v>
      </c>
      <c r="Y277" s="5">
        <v>5000</v>
      </c>
      <c r="Z277" s="171"/>
      <c r="AA277" s="156"/>
    </row>
    <row r="278" spans="2:29" ht="15" customHeight="1">
      <c r="B278" s="281" t="s">
        <v>791</v>
      </c>
      <c r="C278" s="133">
        <v>1.736111111111111E-3</v>
      </c>
      <c r="D278" s="5">
        <v>1</v>
      </c>
      <c r="E278" s="18">
        <v>25</v>
      </c>
      <c r="F278" s="19">
        <v>25</v>
      </c>
      <c r="G278" s="7">
        <v>1020</v>
      </c>
      <c r="H278" s="7">
        <v>1020</v>
      </c>
      <c r="I278" s="7">
        <v>510</v>
      </c>
      <c r="J278" s="19">
        <v>680</v>
      </c>
      <c r="K278" s="18">
        <v>2575</v>
      </c>
      <c r="L278" s="19">
        <v>5</v>
      </c>
      <c r="M278" s="7">
        <v>2500</v>
      </c>
      <c r="N278" s="7">
        <v>2500</v>
      </c>
      <c r="O278" s="7">
        <v>1200</v>
      </c>
      <c r="P278" s="7">
        <v>1700</v>
      </c>
      <c r="Q278" s="19">
        <v>0</v>
      </c>
      <c r="R278" s="281" t="s">
        <v>812</v>
      </c>
      <c r="S278" s="281"/>
      <c r="T278" s="281"/>
      <c r="U278" s="280"/>
      <c r="X278" s="171" t="s">
        <v>817</v>
      </c>
      <c r="Y278" s="5">
        <v>12500</v>
      </c>
      <c r="Z278" s="171"/>
      <c r="AA278" s="156"/>
    </row>
    <row r="279" spans="2:29" ht="15" customHeight="1">
      <c r="B279" s="281" t="s">
        <v>792</v>
      </c>
      <c r="C279" s="133">
        <v>3.472222222222222E-3</v>
      </c>
      <c r="D279" s="5">
        <v>1</v>
      </c>
      <c r="E279" s="18">
        <v>50</v>
      </c>
      <c r="F279" s="19">
        <v>40</v>
      </c>
      <c r="G279" s="7">
        <v>1734</v>
      </c>
      <c r="H279" s="7">
        <v>1734</v>
      </c>
      <c r="I279" s="7">
        <v>867</v>
      </c>
      <c r="J279" s="19">
        <v>1156</v>
      </c>
      <c r="K279" s="18">
        <v>2600</v>
      </c>
      <c r="L279" s="19">
        <v>15</v>
      </c>
      <c r="M279" s="7">
        <v>2800</v>
      </c>
      <c r="N279" s="7">
        <v>2800</v>
      </c>
      <c r="O279" s="7">
        <v>1400</v>
      </c>
      <c r="P279" s="7">
        <v>1900</v>
      </c>
      <c r="Q279" s="19">
        <v>50</v>
      </c>
      <c r="R279" s="281" t="s">
        <v>812</v>
      </c>
      <c r="S279" s="281"/>
      <c r="T279" s="281"/>
      <c r="U279" s="280"/>
      <c r="X279" s="171" t="s">
        <v>817</v>
      </c>
      <c r="Y279" s="5">
        <v>25000</v>
      </c>
      <c r="Z279" s="171"/>
      <c r="AA279" s="156"/>
    </row>
    <row r="280" spans="2:29" ht="15" customHeight="1">
      <c r="B280" s="281" t="s">
        <v>793</v>
      </c>
      <c r="C280" s="133">
        <v>6.9444444444444441E-3</v>
      </c>
      <c r="D280" s="5">
        <v>1</v>
      </c>
      <c r="E280" s="18">
        <v>200</v>
      </c>
      <c r="F280" s="19">
        <v>60</v>
      </c>
      <c r="G280" s="7">
        <v>2948</v>
      </c>
      <c r="H280" s="7">
        <v>2948</v>
      </c>
      <c r="I280" s="7">
        <v>1474</v>
      </c>
      <c r="J280" s="19">
        <v>1966</v>
      </c>
      <c r="K280" s="18">
        <v>2650</v>
      </c>
      <c r="L280" s="19">
        <v>25</v>
      </c>
      <c r="M280" s="7">
        <v>3600</v>
      </c>
      <c r="N280" s="7">
        <v>3600</v>
      </c>
      <c r="O280" s="7">
        <v>1800</v>
      </c>
      <c r="P280" s="7">
        <v>2400</v>
      </c>
      <c r="Q280" s="19">
        <v>150</v>
      </c>
      <c r="R280" s="281" t="s">
        <v>432</v>
      </c>
      <c r="S280" s="281"/>
      <c r="T280" s="281"/>
      <c r="U280" s="280"/>
      <c r="X280" s="171" t="s">
        <v>817</v>
      </c>
      <c r="Y280" s="5">
        <v>37500</v>
      </c>
      <c r="Z280" s="171"/>
      <c r="AA280" s="156"/>
    </row>
    <row r="281" spans="2:29" ht="15" customHeight="1">
      <c r="B281" s="281" t="s">
        <v>794</v>
      </c>
      <c r="C281" s="133">
        <v>1.3888888888888888E-2</v>
      </c>
      <c r="D281" s="5">
        <v>1</v>
      </c>
      <c r="E281" s="18">
        <v>400</v>
      </c>
      <c r="F281" s="19">
        <v>90</v>
      </c>
      <c r="G281" s="7">
        <v>5012</v>
      </c>
      <c r="H281" s="7">
        <v>5012</v>
      </c>
      <c r="I281" s="7">
        <v>2506</v>
      </c>
      <c r="J281" s="19">
        <v>3343</v>
      </c>
      <c r="K281" s="18">
        <v>10175</v>
      </c>
      <c r="L281" s="19">
        <v>45</v>
      </c>
      <c r="M281" s="7">
        <v>5000</v>
      </c>
      <c r="N281" s="7">
        <v>5000</v>
      </c>
      <c r="O281" s="7">
        <v>2500</v>
      </c>
      <c r="P281" s="7">
        <v>3300</v>
      </c>
      <c r="Q281" s="19">
        <v>250</v>
      </c>
      <c r="R281" s="460" t="s">
        <v>432</v>
      </c>
      <c r="S281" s="281"/>
      <c r="T281" s="281"/>
      <c r="U281" s="280"/>
      <c r="X281" s="171" t="s">
        <v>817</v>
      </c>
      <c r="Y281" s="5">
        <v>50000</v>
      </c>
      <c r="Z281" s="171"/>
      <c r="AA281" s="156"/>
    </row>
    <row r="282" spans="2:29" ht="15" customHeight="1">
      <c r="B282" s="281" t="s">
        <v>795</v>
      </c>
      <c r="C282" s="133">
        <v>2.7777777777777776E-2</v>
      </c>
      <c r="D282" s="5">
        <v>130</v>
      </c>
      <c r="E282" s="18">
        <v>500</v>
      </c>
      <c r="F282" s="19">
        <v>135</v>
      </c>
      <c r="G282" s="7">
        <v>10024</v>
      </c>
      <c r="H282" s="7">
        <v>10024</v>
      </c>
      <c r="I282" s="7">
        <v>5012</v>
      </c>
      <c r="J282" s="19">
        <v>6686</v>
      </c>
      <c r="K282" s="18">
        <v>10000</v>
      </c>
      <c r="L282" s="19">
        <v>70</v>
      </c>
      <c r="M282" s="7">
        <v>8300</v>
      </c>
      <c r="N282" s="7">
        <v>8300</v>
      </c>
      <c r="O282" s="7">
        <v>4100</v>
      </c>
      <c r="P282" s="7">
        <v>5500</v>
      </c>
      <c r="Q282" s="19">
        <v>300</v>
      </c>
      <c r="R282" s="506" t="s">
        <v>1361</v>
      </c>
      <c r="S282" s="281"/>
      <c r="T282" s="281"/>
      <c r="U282" s="280"/>
      <c r="X282" s="171" t="s">
        <v>817</v>
      </c>
      <c r="Y282" s="5">
        <v>62500</v>
      </c>
      <c r="Z282" s="171"/>
      <c r="AA282" s="156"/>
    </row>
    <row r="283" spans="2:29" ht="15" customHeight="1">
      <c r="B283" s="281" t="s">
        <v>796</v>
      </c>
      <c r="E283" s="18"/>
      <c r="F283" s="19"/>
      <c r="G283" s="7"/>
      <c r="H283" s="7"/>
      <c r="I283" s="7"/>
      <c r="J283" s="19"/>
      <c r="K283" s="18"/>
      <c r="L283" s="19"/>
      <c r="M283" s="7"/>
      <c r="N283" s="7"/>
      <c r="O283" s="7"/>
      <c r="P283" s="7"/>
      <c r="Q283" s="19"/>
      <c r="R283" s="281"/>
      <c r="S283" s="281"/>
      <c r="T283" s="281"/>
      <c r="U283" s="280"/>
      <c r="X283" s="171" t="s">
        <v>817</v>
      </c>
      <c r="Y283" s="5">
        <v>75000</v>
      </c>
      <c r="Z283" s="171"/>
      <c r="AA283" s="156"/>
    </row>
    <row r="284" spans="2:29" ht="15" customHeight="1">
      <c r="B284" s="281" t="s">
        <v>797</v>
      </c>
      <c r="E284" s="18"/>
      <c r="F284" s="19"/>
      <c r="G284" s="7"/>
      <c r="H284" s="7"/>
      <c r="I284" s="7"/>
      <c r="J284" s="19"/>
      <c r="K284" s="18"/>
      <c r="L284" s="19"/>
      <c r="M284" s="7"/>
      <c r="N284" s="7"/>
      <c r="O284" s="7"/>
      <c r="P284" s="7"/>
      <c r="Q284" s="19"/>
      <c r="R284" s="281"/>
      <c r="S284" s="281"/>
      <c r="T284" s="281"/>
      <c r="U284" s="280"/>
      <c r="X284" s="171" t="s">
        <v>817</v>
      </c>
      <c r="Y284" s="5">
        <v>87500</v>
      </c>
      <c r="Z284" s="171"/>
      <c r="AA284" s="156"/>
    </row>
    <row r="285" spans="2:29" ht="15" customHeight="1">
      <c r="B285" s="281" t="s">
        <v>798</v>
      </c>
      <c r="E285" s="18"/>
      <c r="F285" s="19"/>
      <c r="G285" s="7"/>
      <c r="H285" s="7"/>
      <c r="I285" s="7"/>
      <c r="J285" s="19"/>
      <c r="K285" s="18"/>
      <c r="L285" s="19"/>
      <c r="M285" s="7"/>
      <c r="N285" s="7"/>
      <c r="O285" s="7"/>
      <c r="P285" s="7"/>
      <c r="Q285" s="19"/>
      <c r="R285" s="281"/>
      <c r="S285" s="281"/>
      <c r="T285" s="281"/>
      <c r="U285" s="280"/>
      <c r="X285" s="171" t="s">
        <v>817</v>
      </c>
      <c r="Y285" s="5">
        <v>100000</v>
      </c>
      <c r="Z285" s="171"/>
      <c r="AA285" s="156"/>
    </row>
    <row r="286" spans="2:29" ht="15" customHeight="1">
      <c r="B286" s="281" t="s">
        <v>799</v>
      </c>
      <c r="E286" s="18"/>
      <c r="F286" s="19"/>
      <c r="G286" s="7"/>
      <c r="H286" s="7"/>
      <c r="I286" s="7"/>
      <c r="J286" s="19"/>
      <c r="K286" s="18"/>
      <c r="L286" s="19"/>
      <c r="M286" s="7"/>
      <c r="N286" s="7"/>
      <c r="O286" s="7"/>
      <c r="P286" s="7"/>
      <c r="Q286" s="19"/>
      <c r="R286" s="281"/>
      <c r="S286" s="281"/>
      <c r="T286" s="281"/>
      <c r="U286" s="280"/>
      <c r="X286" s="171" t="s">
        <v>817</v>
      </c>
      <c r="Y286" s="5">
        <v>125000</v>
      </c>
      <c r="Z286" s="171"/>
      <c r="AA286" s="156"/>
    </row>
    <row r="287" spans="2:29" ht="15" customHeight="1">
      <c r="B287" s="281" t="s">
        <v>800</v>
      </c>
      <c r="E287" s="18"/>
      <c r="F287" s="19"/>
      <c r="G287" s="7"/>
      <c r="H287" s="7"/>
      <c r="I287" s="7"/>
      <c r="J287" s="19"/>
      <c r="K287" s="18"/>
      <c r="L287" s="19"/>
      <c r="M287" s="7"/>
      <c r="N287" s="7"/>
      <c r="O287" s="7"/>
      <c r="P287" s="7"/>
      <c r="Q287" s="19"/>
      <c r="R287" s="281"/>
      <c r="S287" s="281"/>
      <c r="T287" s="281"/>
      <c r="U287" s="280"/>
      <c r="X287" s="171" t="s">
        <v>817</v>
      </c>
      <c r="Y287" s="5">
        <v>150000</v>
      </c>
      <c r="Z287" s="171"/>
      <c r="AA287" s="156"/>
    </row>
    <row r="288" spans="2:29" ht="15" customHeight="1">
      <c r="B288" s="281" t="s">
        <v>801</v>
      </c>
      <c r="E288" s="18"/>
      <c r="F288" s="19"/>
      <c r="G288" s="7"/>
      <c r="H288" s="7"/>
      <c r="I288" s="7"/>
      <c r="J288" s="19"/>
      <c r="K288" s="18"/>
      <c r="L288" s="19"/>
      <c r="M288" s="7"/>
      <c r="N288" s="7"/>
      <c r="O288" s="7"/>
      <c r="P288" s="7"/>
      <c r="Q288" s="19"/>
      <c r="R288" s="281"/>
      <c r="S288" s="281"/>
      <c r="T288" s="281"/>
      <c r="U288" s="280"/>
      <c r="X288" s="171" t="s">
        <v>817</v>
      </c>
      <c r="Y288" s="5">
        <v>175000</v>
      </c>
      <c r="Z288" s="171"/>
      <c r="AA288" s="156"/>
    </row>
    <row r="289" spans="2:29" ht="15" customHeight="1">
      <c r="B289" s="281" t="s">
        <v>802</v>
      </c>
      <c r="E289" s="18"/>
      <c r="F289" s="19"/>
      <c r="G289" s="7"/>
      <c r="H289" s="7"/>
      <c r="I289" s="7"/>
      <c r="J289" s="19"/>
      <c r="K289" s="18"/>
      <c r="L289" s="19"/>
      <c r="M289" s="7"/>
      <c r="N289" s="7"/>
      <c r="O289" s="7"/>
      <c r="P289" s="7"/>
      <c r="Q289" s="19"/>
      <c r="R289" s="281"/>
      <c r="S289" s="281"/>
      <c r="T289" s="281"/>
      <c r="U289" s="280"/>
      <c r="X289" s="171" t="s">
        <v>817</v>
      </c>
      <c r="Y289" s="5">
        <v>200000</v>
      </c>
      <c r="Z289" s="171"/>
      <c r="AA289" s="156"/>
    </row>
    <row r="290" spans="2:29" ht="15" customHeight="1">
      <c r="B290" s="281" t="s">
        <v>803</v>
      </c>
      <c r="E290" s="18"/>
      <c r="F290" s="19"/>
      <c r="G290" s="7"/>
      <c r="H290" s="7"/>
      <c r="I290" s="7"/>
      <c r="J290" s="19"/>
      <c r="K290" s="18"/>
      <c r="L290" s="19"/>
      <c r="M290" s="7"/>
      <c r="N290" s="7"/>
      <c r="O290" s="7"/>
      <c r="P290" s="7"/>
      <c r="Q290" s="19"/>
      <c r="R290" s="281"/>
      <c r="S290" s="281"/>
      <c r="T290" s="281"/>
      <c r="U290" s="280"/>
      <c r="X290" s="171" t="s">
        <v>817</v>
      </c>
      <c r="Y290" s="5">
        <v>225000</v>
      </c>
      <c r="Z290" s="171"/>
      <c r="AA290" s="156"/>
    </row>
    <row r="291" spans="2:29" ht="15" customHeight="1">
      <c r="B291" s="281" t="s">
        <v>804</v>
      </c>
      <c r="E291" s="18"/>
      <c r="F291" s="19"/>
      <c r="G291" s="7"/>
      <c r="H291" s="7"/>
      <c r="I291" s="7"/>
      <c r="J291" s="19"/>
      <c r="K291" s="18"/>
      <c r="L291" s="19"/>
      <c r="M291" s="7"/>
      <c r="N291" s="7"/>
      <c r="O291" s="7"/>
      <c r="P291" s="7"/>
      <c r="Q291" s="19"/>
      <c r="R291" s="281"/>
      <c r="S291" s="281"/>
      <c r="T291" s="281"/>
      <c r="U291" s="280"/>
      <c r="X291" s="171" t="s">
        <v>817</v>
      </c>
      <c r="Y291" s="5">
        <v>250000</v>
      </c>
      <c r="Z291" s="171"/>
      <c r="AA291" s="156"/>
    </row>
    <row r="292" spans="2:29" ht="15" customHeight="1">
      <c r="B292" s="278" t="s">
        <v>805</v>
      </c>
      <c r="C292" s="140"/>
      <c r="E292" s="18"/>
      <c r="F292" s="19"/>
      <c r="G292" s="18"/>
      <c r="H292" s="18"/>
      <c r="I292" s="18"/>
      <c r="J292" s="19"/>
      <c r="K292" s="18"/>
      <c r="L292" s="19"/>
      <c r="M292" s="18"/>
      <c r="N292" s="18"/>
      <c r="O292" s="18"/>
      <c r="P292" s="18"/>
      <c r="Q292" s="19"/>
      <c r="R292" s="278"/>
      <c r="S292" s="278"/>
      <c r="T292" s="278"/>
      <c r="U292" s="280"/>
      <c r="V292" s="11"/>
      <c r="X292" s="171" t="s">
        <v>817</v>
      </c>
      <c r="Y292" s="5">
        <v>300000</v>
      </c>
      <c r="Z292" s="171"/>
      <c r="AA292" s="156"/>
      <c r="AB292" s="155"/>
    </row>
    <row r="293" spans="2:29" ht="15" customHeight="1">
      <c r="B293" s="278" t="s">
        <v>806</v>
      </c>
      <c r="C293" s="140"/>
      <c r="E293" s="18"/>
      <c r="F293" s="19"/>
      <c r="G293" s="18"/>
      <c r="H293" s="18"/>
      <c r="I293" s="18"/>
      <c r="J293" s="19"/>
      <c r="K293" s="18"/>
      <c r="L293" s="19"/>
      <c r="M293" s="18"/>
      <c r="N293" s="18"/>
      <c r="O293" s="18"/>
      <c r="P293" s="18"/>
      <c r="Q293" s="19"/>
      <c r="R293" s="278"/>
      <c r="S293" s="278"/>
      <c r="T293" s="278"/>
      <c r="U293" s="280"/>
      <c r="V293" s="11"/>
      <c r="X293" s="171" t="s">
        <v>817</v>
      </c>
      <c r="Y293" s="5">
        <v>350000</v>
      </c>
      <c r="Z293" s="171"/>
      <c r="AA293" s="156"/>
      <c r="AB293" s="155"/>
    </row>
    <row r="294" spans="2:29" ht="15" customHeight="1">
      <c r="B294" s="278" t="s">
        <v>807</v>
      </c>
      <c r="C294" s="140"/>
      <c r="E294" s="18"/>
      <c r="F294" s="19"/>
      <c r="G294" s="18"/>
      <c r="H294" s="18"/>
      <c r="I294" s="18"/>
      <c r="J294" s="19"/>
      <c r="K294" s="18"/>
      <c r="L294" s="19"/>
      <c r="M294" s="18"/>
      <c r="N294" s="18"/>
      <c r="O294" s="18"/>
      <c r="P294" s="18"/>
      <c r="Q294" s="19"/>
      <c r="R294" s="278"/>
      <c r="S294" s="278"/>
      <c r="T294" s="278"/>
      <c r="U294" s="280"/>
      <c r="V294" s="11"/>
      <c r="X294" s="171" t="s">
        <v>817</v>
      </c>
      <c r="Y294" s="5">
        <v>400000</v>
      </c>
      <c r="Z294" s="171"/>
      <c r="AA294" s="156"/>
      <c r="AB294" s="155"/>
    </row>
    <row r="295" spans="2:29" ht="15" customHeight="1">
      <c r="B295" s="278" t="s">
        <v>808</v>
      </c>
      <c r="C295" s="140"/>
      <c r="E295" s="18"/>
      <c r="F295" s="19"/>
      <c r="G295" s="18"/>
      <c r="H295" s="18"/>
      <c r="I295" s="18"/>
      <c r="J295" s="19"/>
      <c r="K295" s="18"/>
      <c r="L295" s="19"/>
      <c r="M295" s="18"/>
      <c r="N295" s="18"/>
      <c r="O295" s="18"/>
      <c r="P295" s="18"/>
      <c r="Q295" s="19"/>
      <c r="R295" s="278"/>
      <c r="S295" s="278"/>
      <c r="T295" s="278"/>
      <c r="U295" s="280"/>
      <c r="V295" s="11"/>
      <c r="X295" s="171" t="s">
        <v>817</v>
      </c>
      <c r="Y295" s="5">
        <v>450000</v>
      </c>
      <c r="Z295" s="171"/>
      <c r="AA295" s="156"/>
      <c r="AB295" s="155"/>
    </row>
    <row r="296" spans="2:29" ht="15" customHeight="1">
      <c r="B296" s="278" t="s">
        <v>809</v>
      </c>
      <c r="C296" s="140"/>
      <c r="E296" s="18"/>
      <c r="F296" s="19"/>
      <c r="G296" s="18"/>
      <c r="H296" s="18"/>
      <c r="I296" s="18"/>
      <c r="J296" s="19"/>
      <c r="K296" s="18"/>
      <c r="L296" s="19"/>
      <c r="M296" s="18"/>
      <c r="N296" s="18"/>
      <c r="O296" s="18"/>
      <c r="P296" s="18"/>
      <c r="Q296" s="19"/>
      <c r="R296" s="278"/>
      <c r="S296" s="278"/>
      <c r="T296" s="278"/>
      <c r="U296" s="280"/>
      <c r="V296" s="11"/>
      <c r="X296" s="171" t="s">
        <v>817</v>
      </c>
      <c r="Y296" s="5">
        <v>500000</v>
      </c>
      <c r="Z296" s="171"/>
      <c r="AA296" s="156"/>
      <c r="AB296" s="155"/>
    </row>
    <row r="297" spans="2:29" ht="15" customHeight="1">
      <c r="B297" s="34" t="s">
        <v>810</v>
      </c>
      <c r="C297" s="480"/>
      <c r="D297" s="24"/>
      <c r="E297" s="25"/>
      <c r="F297" s="26"/>
      <c r="G297" s="25"/>
      <c r="H297" s="25"/>
      <c r="I297" s="25"/>
      <c r="J297" s="26"/>
      <c r="K297" s="25"/>
      <c r="L297" s="26"/>
      <c r="M297" s="25"/>
      <c r="N297" s="25"/>
      <c r="O297" s="25"/>
      <c r="P297" s="25"/>
      <c r="Q297" s="26"/>
      <c r="R297" s="34"/>
      <c r="S297" s="34"/>
      <c r="T297" s="34"/>
      <c r="U297" s="89"/>
      <c r="V297" s="27"/>
      <c r="W297" s="24"/>
      <c r="X297" s="172" t="s">
        <v>817</v>
      </c>
      <c r="Y297" s="24">
        <v>1000000</v>
      </c>
      <c r="Z297" s="172" t="s">
        <v>811</v>
      </c>
      <c r="AA297" s="173">
        <v>0.1</v>
      </c>
      <c r="AB297" s="154"/>
      <c r="AC297" s="173"/>
    </row>
    <row r="298" spans="2:29" ht="15" customHeight="1">
      <c r="B298" s="281" t="s">
        <v>822</v>
      </c>
      <c r="C298" s="133">
        <v>1.3310185185185185E-3</v>
      </c>
      <c r="D298" s="5">
        <v>1</v>
      </c>
      <c r="E298" s="18">
        <v>10</v>
      </c>
      <c r="F298" s="19">
        <v>35</v>
      </c>
      <c r="G298" s="7">
        <v>100</v>
      </c>
      <c r="H298" s="7">
        <v>100</v>
      </c>
      <c r="I298" s="7">
        <v>100</v>
      </c>
      <c r="J298" s="19">
        <v>100</v>
      </c>
      <c r="K298" s="18">
        <v>2525</v>
      </c>
      <c r="L298" s="19">
        <v>5</v>
      </c>
      <c r="M298" s="7">
        <v>1000</v>
      </c>
      <c r="N298" s="7">
        <v>1000</v>
      </c>
      <c r="O298" s="7">
        <v>1000</v>
      </c>
      <c r="P298" s="7">
        <v>1000</v>
      </c>
      <c r="Q298" s="19">
        <v>50</v>
      </c>
      <c r="R298" s="281" t="s">
        <v>816</v>
      </c>
      <c r="S298" s="281"/>
      <c r="T298" s="281" t="s">
        <v>820</v>
      </c>
      <c r="U298" s="280"/>
      <c r="X298" s="197" t="s">
        <v>818</v>
      </c>
      <c r="Y298" s="5">
        <v>25000</v>
      </c>
      <c r="Z298" s="171"/>
      <c r="AA298" s="156"/>
    </row>
    <row r="299" spans="2:29" ht="15" customHeight="1">
      <c r="B299" s="281" t="s">
        <v>824</v>
      </c>
      <c r="C299" s="133">
        <v>2.6620370370370374E-3</v>
      </c>
      <c r="D299" s="5">
        <v>1</v>
      </c>
      <c r="E299" s="18">
        <v>25</v>
      </c>
      <c r="F299" s="19">
        <v>70</v>
      </c>
      <c r="G299" s="7">
        <v>190</v>
      </c>
      <c r="H299" s="7">
        <v>190</v>
      </c>
      <c r="I299" s="7">
        <v>190</v>
      </c>
      <c r="J299" s="19">
        <v>190</v>
      </c>
      <c r="K299" s="18">
        <v>2575</v>
      </c>
      <c r="L299" s="19">
        <v>20</v>
      </c>
      <c r="M299" s="7">
        <v>400</v>
      </c>
      <c r="N299" s="7">
        <v>400</v>
      </c>
      <c r="O299" s="7">
        <v>400</v>
      </c>
      <c r="P299" s="7">
        <v>400</v>
      </c>
      <c r="Q299" s="19">
        <v>100</v>
      </c>
      <c r="R299" s="333" t="s">
        <v>791</v>
      </c>
      <c r="S299" s="281"/>
      <c r="T299" s="281" t="s">
        <v>821</v>
      </c>
      <c r="U299" s="280"/>
      <c r="X299" s="171" t="s">
        <v>818</v>
      </c>
      <c r="Y299" s="5">
        <v>40000</v>
      </c>
      <c r="Z299" s="171"/>
      <c r="AA299" s="156"/>
    </row>
    <row r="300" spans="2:29" ht="15" customHeight="1">
      <c r="B300" s="281" t="s">
        <v>825</v>
      </c>
      <c r="C300" s="133">
        <v>5.3240740740740748E-3</v>
      </c>
      <c r="D300" s="5">
        <v>1</v>
      </c>
      <c r="E300" s="18">
        <v>50</v>
      </c>
      <c r="F300" s="19">
        <v>105</v>
      </c>
      <c r="G300" s="7">
        <v>361</v>
      </c>
      <c r="H300" s="7">
        <v>361</v>
      </c>
      <c r="I300" s="7">
        <v>361</v>
      </c>
      <c r="J300" s="19">
        <v>361</v>
      </c>
      <c r="K300" s="18">
        <v>2600</v>
      </c>
      <c r="L300" s="19">
        <v>40</v>
      </c>
      <c r="M300" s="7">
        <v>240</v>
      </c>
      <c r="N300" s="7">
        <v>240</v>
      </c>
      <c r="O300" s="7">
        <v>240</v>
      </c>
      <c r="P300" s="7">
        <v>240</v>
      </c>
      <c r="Q300" s="7">
        <v>60</v>
      </c>
      <c r="R300" s="333" t="s">
        <v>792</v>
      </c>
      <c r="S300" s="281"/>
      <c r="T300" s="506" t="s">
        <v>1936</v>
      </c>
      <c r="U300" s="280"/>
      <c r="X300" s="171" t="s">
        <v>818</v>
      </c>
      <c r="Y300" s="5">
        <v>80000</v>
      </c>
      <c r="Z300" s="171"/>
      <c r="AA300" s="156"/>
    </row>
    <row r="301" spans="2:29" ht="15" customHeight="1">
      <c r="B301" s="281" t="s">
        <v>826</v>
      </c>
      <c r="E301" s="18"/>
      <c r="F301" s="19"/>
      <c r="G301" s="7"/>
      <c r="H301" s="7"/>
      <c r="I301" s="7"/>
      <c r="J301" s="19"/>
      <c r="K301" s="18"/>
      <c r="L301" s="19"/>
      <c r="M301" s="7"/>
      <c r="N301" s="7"/>
      <c r="O301" s="7"/>
      <c r="P301" s="7"/>
      <c r="Q301" s="19"/>
      <c r="R301" s="333" t="s">
        <v>793</v>
      </c>
      <c r="S301" s="281"/>
      <c r="T301" s="506" t="s">
        <v>1939</v>
      </c>
      <c r="U301" s="280"/>
      <c r="X301" s="171" t="s">
        <v>818</v>
      </c>
      <c r="Y301" s="5">
        <v>120000</v>
      </c>
      <c r="Z301" s="171"/>
      <c r="AA301" s="156"/>
    </row>
    <row r="302" spans="2:29" ht="15" customHeight="1">
      <c r="B302" s="281" t="s">
        <v>827</v>
      </c>
      <c r="E302" s="18"/>
      <c r="F302" s="19"/>
      <c r="G302" s="7"/>
      <c r="H302" s="7"/>
      <c r="I302" s="7"/>
      <c r="J302" s="19"/>
      <c r="K302" s="18"/>
      <c r="L302" s="19"/>
      <c r="M302" s="7"/>
      <c r="N302" s="7"/>
      <c r="O302" s="7"/>
      <c r="P302" s="7"/>
      <c r="Q302" s="19"/>
      <c r="R302" s="333" t="s">
        <v>794</v>
      </c>
      <c r="S302" s="281"/>
      <c r="T302" s="281"/>
      <c r="U302" s="280"/>
      <c r="X302" s="171" t="s">
        <v>818</v>
      </c>
      <c r="Y302" s="5">
        <v>160000</v>
      </c>
      <c r="Z302" s="171"/>
      <c r="AA302" s="156"/>
    </row>
    <row r="303" spans="2:29" ht="15" customHeight="1">
      <c r="B303" s="281" t="s">
        <v>828</v>
      </c>
      <c r="E303" s="18"/>
      <c r="F303" s="19"/>
      <c r="G303" s="7"/>
      <c r="H303" s="7"/>
      <c r="I303" s="7"/>
      <c r="J303" s="19"/>
      <c r="K303" s="18"/>
      <c r="L303" s="19"/>
      <c r="M303" s="7"/>
      <c r="N303" s="7"/>
      <c r="O303" s="7"/>
      <c r="P303" s="7"/>
      <c r="Q303" s="19"/>
      <c r="R303" s="333" t="s">
        <v>795</v>
      </c>
      <c r="S303" s="281"/>
      <c r="T303" s="281"/>
      <c r="U303" s="280"/>
      <c r="X303" s="171" t="s">
        <v>818</v>
      </c>
      <c r="Y303" s="5">
        <v>200000</v>
      </c>
      <c r="Z303" s="171"/>
      <c r="AA303" s="156"/>
    </row>
    <row r="304" spans="2:29" ht="15" customHeight="1">
      <c r="B304" s="281" t="s">
        <v>829</v>
      </c>
      <c r="E304" s="18"/>
      <c r="F304" s="19"/>
      <c r="G304" s="7"/>
      <c r="H304" s="7"/>
      <c r="I304" s="7"/>
      <c r="J304" s="19"/>
      <c r="K304" s="18"/>
      <c r="L304" s="19"/>
      <c r="M304" s="7"/>
      <c r="N304" s="7"/>
      <c r="O304" s="7"/>
      <c r="P304" s="7"/>
      <c r="Q304" s="19"/>
      <c r="R304" s="333" t="s">
        <v>796</v>
      </c>
      <c r="S304" s="281"/>
      <c r="T304" s="281"/>
      <c r="U304" s="280"/>
      <c r="X304" s="171" t="s">
        <v>818</v>
      </c>
      <c r="Y304" s="5">
        <v>250000</v>
      </c>
      <c r="Z304" s="171"/>
      <c r="AA304" s="156"/>
    </row>
    <row r="305" spans="2:29" ht="15" customHeight="1">
      <c r="B305" s="281" t="s">
        <v>830</v>
      </c>
      <c r="E305" s="18"/>
      <c r="F305" s="19"/>
      <c r="G305" s="7"/>
      <c r="H305" s="7"/>
      <c r="I305" s="7"/>
      <c r="J305" s="19"/>
      <c r="K305" s="18"/>
      <c r="L305" s="19"/>
      <c r="M305" s="7"/>
      <c r="N305" s="7"/>
      <c r="O305" s="7"/>
      <c r="P305" s="7"/>
      <c r="Q305" s="19"/>
      <c r="R305" s="333" t="s">
        <v>797</v>
      </c>
      <c r="S305" s="281"/>
      <c r="T305" s="281"/>
      <c r="U305" s="280"/>
      <c r="X305" s="171" t="s">
        <v>818</v>
      </c>
      <c r="Y305" s="5">
        <v>300000</v>
      </c>
      <c r="Z305" s="171"/>
      <c r="AA305" s="156"/>
    </row>
    <row r="306" spans="2:29" ht="15" customHeight="1">
      <c r="B306" s="281" t="s">
        <v>831</v>
      </c>
      <c r="E306" s="18"/>
      <c r="F306" s="19"/>
      <c r="G306" s="7"/>
      <c r="H306" s="7"/>
      <c r="I306" s="7"/>
      <c r="J306" s="19"/>
      <c r="K306" s="18"/>
      <c r="L306" s="19"/>
      <c r="M306" s="7"/>
      <c r="N306" s="7"/>
      <c r="O306" s="7"/>
      <c r="P306" s="7"/>
      <c r="Q306" s="19"/>
      <c r="R306" s="333" t="s">
        <v>798</v>
      </c>
      <c r="S306" s="281"/>
      <c r="T306" s="281"/>
      <c r="U306" s="280"/>
      <c r="X306" s="171" t="s">
        <v>818</v>
      </c>
      <c r="Y306" s="5">
        <v>350000</v>
      </c>
      <c r="Z306" s="171"/>
      <c r="AA306" s="156"/>
    </row>
    <row r="307" spans="2:29" ht="15" customHeight="1">
      <c r="B307" s="281" t="s">
        <v>832</v>
      </c>
      <c r="E307" s="18"/>
      <c r="F307" s="19"/>
      <c r="G307" s="7"/>
      <c r="H307" s="7"/>
      <c r="I307" s="7"/>
      <c r="J307" s="19"/>
      <c r="K307" s="18"/>
      <c r="L307" s="19"/>
      <c r="M307" s="7"/>
      <c r="N307" s="7"/>
      <c r="O307" s="7"/>
      <c r="P307" s="7"/>
      <c r="Q307" s="19"/>
      <c r="R307" s="333" t="s">
        <v>799</v>
      </c>
      <c r="S307" s="281"/>
      <c r="T307" s="281"/>
      <c r="U307" s="280"/>
      <c r="X307" s="171" t="s">
        <v>818</v>
      </c>
      <c r="Y307" s="5">
        <v>400000</v>
      </c>
      <c r="Z307" s="171"/>
      <c r="AA307" s="156"/>
    </row>
    <row r="308" spans="2:29" ht="15" customHeight="1">
      <c r="B308" s="281" t="s">
        <v>833</v>
      </c>
      <c r="E308" s="18"/>
      <c r="F308" s="19"/>
      <c r="G308" s="7"/>
      <c r="H308" s="7"/>
      <c r="I308" s="7"/>
      <c r="J308" s="19"/>
      <c r="K308" s="18"/>
      <c r="L308" s="19"/>
      <c r="M308" s="7"/>
      <c r="N308" s="7"/>
      <c r="O308" s="7"/>
      <c r="P308" s="7"/>
      <c r="Q308" s="19"/>
      <c r="R308" s="333" t="s">
        <v>800</v>
      </c>
      <c r="S308" s="281"/>
      <c r="T308" s="281"/>
      <c r="U308" s="280"/>
      <c r="X308" s="171" t="s">
        <v>818</v>
      </c>
      <c r="Y308" s="5">
        <v>450000</v>
      </c>
      <c r="Z308" s="171"/>
      <c r="AA308" s="156"/>
    </row>
    <row r="309" spans="2:29" ht="15" customHeight="1">
      <c r="B309" s="281" t="s">
        <v>834</v>
      </c>
      <c r="E309" s="18"/>
      <c r="F309" s="19"/>
      <c r="G309" s="7"/>
      <c r="H309" s="7"/>
      <c r="I309" s="7"/>
      <c r="J309" s="19"/>
      <c r="K309" s="18"/>
      <c r="L309" s="19"/>
      <c r="M309" s="7"/>
      <c r="N309" s="7"/>
      <c r="O309" s="7"/>
      <c r="P309" s="7"/>
      <c r="Q309" s="19"/>
      <c r="R309" s="333" t="s">
        <v>801</v>
      </c>
      <c r="S309" s="281"/>
      <c r="T309" s="281"/>
      <c r="U309" s="280"/>
      <c r="X309" s="171" t="s">
        <v>818</v>
      </c>
      <c r="Y309" s="5">
        <v>500000</v>
      </c>
      <c r="Z309" s="171"/>
      <c r="AA309" s="156"/>
    </row>
    <row r="310" spans="2:29" ht="15" customHeight="1">
      <c r="B310" s="281" t="s">
        <v>835</v>
      </c>
      <c r="E310" s="18"/>
      <c r="F310" s="19"/>
      <c r="G310" s="7"/>
      <c r="H310" s="7"/>
      <c r="I310" s="7"/>
      <c r="J310" s="19"/>
      <c r="K310" s="18"/>
      <c r="L310" s="19"/>
      <c r="M310" s="7"/>
      <c r="N310" s="7"/>
      <c r="O310" s="7"/>
      <c r="P310" s="7"/>
      <c r="Q310" s="19"/>
      <c r="R310" s="333" t="s">
        <v>802</v>
      </c>
      <c r="S310" s="281"/>
      <c r="T310" s="281"/>
      <c r="U310" s="280"/>
      <c r="X310" s="171" t="s">
        <v>818</v>
      </c>
      <c r="Y310" s="5">
        <v>550000</v>
      </c>
      <c r="Z310" s="171"/>
      <c r="AA310" s="156"/>
    </row>
    <row r="311" spans="2:29" ht="15" customHeight="1">
      <c r="B311" s="281" t="s">
        <v>836</v>
      </c>
      <c r="E311" s="18"/>
      <c r="F311" s="19"/>
      <c r="G311" s="7"/>
      <c r="H311" s="7"/>
      <c r="I311" s="7"/>
      <c r="J311" s="19"/>
      <c r="K311" s="18"/>
      <c r="L311" s="19"/>
      <c r="M311" s="7"/>
      <c r="N311" s="7"/>
      <c r="O311" s="7"/>
      <c r="P311" s="7"/>
      <c r="Q311" s="19"/>
      <c r="R311" s="333" t="s">
        <v>803</v>
      </c>
      <c r="S311" s="281"/>
      <c r="T311" s="281"/>
      <c r="U311" s="280"/>
      <c r="X311" s="171" t="s">
        <v>818</v>
      </c>
      <c r="Y311" s="5">
        <v>600000</v>
      </c>
      <c r="Z311" s="171"/>
      <c r="AA311" s="156"/>
    </row>
    <row r="312" spans="2:29" ht="15" customHeight="1">
      <c r="B312" s="281" t="s">
        <v>837</v>
      </c>
      <c r="E312" s="18"/>
      <c r="F312" s="19"/>
      <c r="G312" s="7"/>
      <c r="H312" s="7"/>
      <c r="I312" s="7"/>
      <c r="J312" s="19"/>
      <c r="K312" s="18"/>
      <c r="L312" s="19"/>
      <c r="M312" s="7"/>
      <c r="N312" s="7"/>
      <c r="O312" s="7"/>
      <c r="P312" s="7"/>
      <c r="Q312" s="19"/>
      <c r="R312" s="333" t="s">
        <v>804</v>
      </c>
      <c r="S312" s="281"/>
      <c r="T312" s="281"/>
      <c r="U312" s="280"/>
      <c r="X312" s="171" t="s">
        <v>818</v>
      </c>
      <c r="Y312" s="5">
        <v>700000</v>
      </c>
      <c r="Z312" s="171"/>
      <c r="AA312" s="156"/>
    </row>
    <row r="313" spans="2:29" ht="15" customHeight="1">
      <c r="B313" s="278" t="s">
        <v>838</v>
      </c>
      <c r="C313" s="140"/>
      <c r="E313" s="18"/>
      <c r="F313" s="19"/>
      <c r="G313" s="18"/>
      <c r="H313" s="18"/>
      <c r="I313" s="18"/>
      <c r="J313" s="19"/>
      <c r="K313" s="18"/>
      <c r="L313" s="19"/>
      <c r="M313" s="18"/>
      <c r="N313" s="18"/>
      <c r="O313" s="18"/>
      <c r="P313" s="18"/>
      <c r="Q313" s="19"/>
      <c r="R313" s="333" t="s">
        <v>805</v>
      </c>
      <c r="S313" s="278"/>
      <c r="T313" s="278"/>
      <c r="U313" s="280"/>
      <c r="V313" s="11"/>
      <c r="X313" s="171" t="s">
        <v>818</v>
      </c>
      <c r="Y313" s="5">
        <v>800000</v>
      </c>
      <c r="Z313" s="171"/>
      <c r="AA313" s="156"/>
      <c r="AB313" s="155"/>
    </row>
    <row r="314" spans="2:29" ht="15" customHeight="1">
      <c r="B314" s="278" t="s">
        <v>839</v>
      </c>
      <c r="C314" s="140"/>
      <c r="E314" s="18"/>
      <c r="F314" s="19"/>
      <c r="G314" s="18"/>
      <c r="H314" s="18"/>
      <c r="I314" s="18"/>
      <c r="J314" s="19"/>
      <c r="K314" s="18"/>
      <c r="L314" s="19"/>
      <c r="M314" s="18"/>
      <c r="N314" s="18"/>
      <c r="O314" s="18"/>
      <c r="P314" s="18"/>
      <c r="Q314" s="19"/>
      <c r="R314" s="333" t="s">
        <v>806</v>
      </c>
      <c r="S314" s="278"/>
      <c r="T314" s="278"/>
      <c r="U314" s="280"/>
      <c r="V314" s="11"/>
      <c r="X314" s="171" t="s">
        <v>818</v>
      </c>
      <c r="Y314" s="5">
        <v>900000</v>
      </c>
      <c r="Z314" s="171"/>
      <c r="AA314" s="156"/>
      <c r="AB314" s="155"/>
    </row>
    <row r="315" spans="2:29" ht="15" customHeight="1">
      <c r="B315" s="278" t="s">
        <v>840</v>
      </c>
      <c r="C315" s="140"/>
      <c r="E315" s="18"/>
      <c r="F315" s="19"/>
      <c r="G315" s="18"/>
      <c r="H315" s="18"/>
      <c r="I315" s="18"/>
      <c r="J315" s="19"/>
      <c r="K315" s="18"/>
      <c r="L315" s="19"/>
      <c r="M315" s="18"/>
      <c r="N315" s="18"/>
      <c r="O315" s="18"/>
      <c r="P315" s="18"/>
      <c r="Q315" s="19"/>
      <c r="R315" s="333" t="s">
        <v>807</v>
      </c>
      <c r="S315" s="278"/>
      <c r="T315" s="278"/>
      <c r="U315" s="280"/>
      <c r="V315" s="11"/>
      <c r="X315" s="171" t="s">
        <v>818</v>
      </c>
      <c r="Y315" s="5">
        <v>1000000</v>
      </c>
      <c r="Z315" s="171"/>
      <c r="AA315" s="156"/>
      <c r="AB315" s="155"/>
    </row>
    <row r="316" spans="2:29" ht="15" customHeight="1">
      <c r="B316" s="278" t="s">
        <v>841</v>
      </c>
      <c r="C316" s="140"/>
      <c r="E316" s="18"/>
      <c r="F316" s="19"/>
      <c r="G316" s="18"/>
      <c r="H316" s="18"/>
      <c r="I316" s="18"/>
      <c r="J316" s="19"/>
      <c r="K316" s="18"/>
      <c r="L316" s="19"/>
      <c r="M316" s="18"/>
      <c r="N316" s="18"/>
      <c r="O316" s="18"/>
      <c r="P316" s="18"/>
      <c r="Q316" s="19"/>
      <c r="R316" s="333" t="s">
        <v>808</v>
      </c>
      <c r="S316" s="278"/>
      <c r="T316" s="278"/>
      <c r="U316" s="280"/>
      <c r="V316" s="11"/>
      <c r="X316" s="171" t="s">
        <v>818</v>
      </c>
      <c r="Y316" s="5">
        <v>1250000</v>
      </c>
      <c r="Z316" s="171"/>
      <c r="AA316" s="156"/>
      <c r="AB316" s="155"/>
    </row>
    <row r="317" spans="2:29" ht="15" customHeight="1">
      <c r="B317" s="278" t="s">
        <v>842</v>
      </c>
      <c r="C317" s="140"/>
      <c r="E317" s="18"/>
      <c r="F317" s="19"/>
      <c r="G317" s="18"/>
      <c r="H317" s="18"/>
      <c r="I317" s="18"/>
      <c r="J317" s="19"/>
      <c r="K317" s="18"/>
      <c r="L317" s="19"/>
      <c r="M317" s="18"/>
      <c r="N317" s="18"/>
      <c r="O317" s="18"/>
      <c r="P317" s="18"/>
      <c r="Q317" s="19"/>
      <c r="R317" s="333" t="s">
        <v>809</v>
      </c>
      <c r="S317" s="278"/>
      <c r="T317" s="278"/>
      <c r="U317" s="280"/>
      <c r="V317" s="11"/>
      <c r="X317" s="171" t="s">
        <v>818</v>
      </c>
      <c r="Y317" s="5">
        <v>1500000</v>
      </c>
      <c r="Z317" s="171"/>
      <c r="AA317" s="156"/>
      <c r="AB317" s="155"/>
    </row>
    <row r="318" spans="2:29" ht="15" customHeight="1">
      <c r="B318" s="34" t="s">
        <v>843</v>
      </c>
      <c r="C318" s="480"/>
      <c r="D318" s="24"/>
      <c r="E318" s="25"/>
      <c r="F318" s="26"/>
      <c r="G318" s="25"/>
      <c r="H318" s="25"/>
      <c r="I318" s="25"/>
      <c r="J318" s="26"/>
      <c r="K318" s="25"/>
      <c r="L318" s="26"/>
      <c r="M318" s="25"/>
      <c r="N318" s="25"/>
      <c r="O318" s="25"/>
      <c r="P318" s="25"/>
      <c r="Q318" s="26"/>
      <c r="R318" s="196" t="s">
        <v>810</v>
      </c>
      <c r="S318" s="34"/>
      <c r="T318" s="34"/>
      <c r="U318" s="89"/>
      <c r="V318" s="27"/>
      <c r="W318" s="24"/>
      <c r="X318" s="172" t="s">
        <v>818</v>
      </c>
      <c r="Y318" s="24">
        <v>2000000</v>
      </c>
      <c r="Z318" s="172" t="s">
        <v>819</v>
      </c>
      <c r="AA318" s="173">
        <v>0.1</v>
      </c>
      <c r="AB318" s="154"/>
      <c r="AC318" s="173"/>
    </row>
    <row r="319" spans="2:29" ht="15" customHeight="1">
      <c r="B319" s="1" t="s">
        <v>24</v>
      </c>
      <c r="C319" s="133" t="s">
        <v>25</v>
      </c>
      <c r="D319" s="5" t="s">
        <v>25</v>
      </c>
      <c r="E319" s="90" t="s">
        <v>25</v>
      </c>
      <c r="F319" s="19">
        <v>10</v>
      </c>
      <c r="G319" s="7"/>
      <c r="H319" s="7"/>
      <c r="I319" s="7"/>
      <c r="J319" s="19"/>
      <c r="K319" s="18">
        <v>2525</v>
      </c>
      <c r="L319" s="19">
        <v>2</v>
      </c>
      <c r="M319" s="7">
        <v>2500</v>
      </c>
      <c r="N319" s="7">
        <v>2100</v>
      </c>
      <c r="O319" s="7">
        <v>500</v>
      </c>
      <c r="P319" s="7">
        <v>1100</v>
      </c>
      <c r="Q319" s="19">
        <v>50</v>
      </c>
      <c r="R319" s="152"/>
    </row>
    <row r="320" spans="2:29" ht="15" customHeight="1">
      <c r="B320" s="152" t="s">
        <v>323</v>
      </c>
      <c r="C320" s="133">
        <v>1.6203703703703703E-3</v>
      </c>
      <c r="D320" s="5">
        <v>1</v>
      </c>
      <c r="E320" s="11">
        <v>25</v>
      </c>
      <c r="F320" s="5">
        <v>25</v>
      </c>
      <c r="G320" s="2">
        <v>850</v>
      </c>
      <c r="H320" s="2">
        <v>680</v>
      </c>
      <c r="I320" s="2">
        <v>170</v>
      </c>
      <c r="J320" s="5">
        <v>340</v>
      </c>
      <c r="K320" s="18">
        <v>2575</v>
      </c>
      <c r="L320" s="19">
        <v>5</v>
      </c>
      <c r="M320" s="7">
        <v>2200</v>
      </c>
      <c r="N320" s="7">
        <v>1800</v>
      </c>
      <c r="O320" s="7">
        <v>500</v>
      </c>
      <c r="P320" s="7">
        <v>900</v>
      </c>
      <c r="Q320" s="19">
        <v>100</v>
      </c>
      <c r="R320" s="152" t="s">
        <v>343</v>
      </c>
      <c r="S320" s="152"/>
      <c r="T320" s="152"/>
      <c r="U320" s="151"/>
      <c r="X320" s="153" t="s">
        <v>344</v>
      </c>
      <c r="Y320" s="5">
        <v>100</v>
      </c>
    </row>
    <row r="321" spans="2:28" ht="15" customHeight="1">
      <c r="B321" s="152" t="s">
        <v>324</v>
      </c>
      <c r="C321" s="133">
        <v>3.2407407407407406E-3</v>
      </c>
      <c r="D321" s="5">
        <v>1</v>
      </c>
      <c r="E321" s="11">
        <v>50</v>
      </c>
      <c r="F321" s="5">
        <v>35</v>
      </c>
      <c r="G321" s="11">
        <v>1445</v>
      </c>
      <c r="H321" s="11">
        <v>1156</v>
      </c>
      <c r="I321" s="2">
        <v>289</v>
      </c>
      <c r="J321" s="5">
        <v>578</v>
      </c>
      <c r="K321" s="11">
        <v>2600</v>
      </c>
      <c r="L321" s="5">
        <v>12</v>
      </c>
      <c r="M321" s="2">
        <v>2500</v>
      </c>
      <c r="N321" s="2">
        <v>1900</v>
      </c>
      <c r="O321" s="2">
        <v>500</v>
      </c>
      <c r="P321" s="2">
        <v>900</v>
      </c>
      <c r="Q321" s="5">
        <v>250</v>
      </c>
      <c r="R321" s="246" t="s">
        <v>239</v>
      </c>
      <c r="X321" s="153" t="s">
        <v>344</v>
      </c>
      <c r="Y321" s="5">
        <v>200</v>
      </c>
    </row>
    <row r="322" spans="2:28" ht="15" customHeight="1">
      <c r="B322" s="152" t="s">
        <v>325</v>
      </c>
      <c r="C322" s="133">
        <v>6.4814814814814813E-3</v>
      </c>
      <c r="D322" s="5">
        <v>70</v>
      </c>
      <c r="E322" s="11">
        <v>200</v>
      </c>
      <c r="F322" s="5">
        <v>60</v>
      </c>
      <c r="G322" s="2">
        <v>2457</v>
      </c>
      <c r="H322" s="2">
        <v>1966</v>
      </c>
      <c r="I322" s="2">
        <v>492</v>
      </c>
      <c r="J322" s="5">
        <v>983</v>
      </c>
      <c r="K322" s="18">
        <v>2650</v>
      </c>
      <c r="L322" s="19">
        <v>25</v>
      </c>
      <c r="M322" s="7">
        <v>3200</v>
      </c>
      <c r="N322" s="7">
        <v>2500</v>
      </c>
      <c r="O322" s="7">
        <v>4200</v>
      </c>
      <c r="P322" s="7">
        <v>1200</v>
      </c>
      <c r="Q322" s="19">
        <v>450</v>
      </c>
      <c r="R322" s="253" t="s">
        <v>240</v>
      </c>
      <c r="X322" s="153" t="s">
        <v>344</v>
      </c>
      <c r="Y322" s="5">
        <v>300</v>
      </c>
    </row>
    <row r="323" spans="2:28" ht="15" customHeight="1">
      <c r="B323" s="152" t="s">
        <v>326</v>
      </c>
      <c r="C323" s="133">
        <v>1.2962962962962963E-2</v>
      </c>
      <c r="D323" s="5">
        <v>70</v>
      </c>
      <c r="E323" s="11">
        <v>400</v>
      </c>
      <c r="F323" s="5">
        <v>85</v>
      </c>
      <c r="G323" s="2">
        <v>4177</v>
      </c>
      <c r="H323" s="2">
        <v>3343</v>
      </c>
      <c r="I323" s="2">
        <v>837</v>
      </c>
      <c r="J323" s="5">
        <v>1672</v>
      </c>
      <c r="K323" s="11">
        <v>10175</v>
      </c>
      <c r="L323" s="5">
        <v>42</v>
      </c>
      <c r="M323" s="2">
        <v>4300</v>
      </c>
      <c r="N323" s="2">
        <v>3500</v>
      </c>
      <c r="O323" s="2">
        <v>900</v>
      </c>
      <c r="P323" s="2">
        <v>1800</v>
      </c>
      <c r="Q323" s="5">
        <v>750</v>
      </c>
      <c r="R323" s="253" t="s">
        <v>241</v>
      </c>
    </row>
    <row r="324" spans="2:28" ht="15" customHeight="1">
      <c r="B324" s="152" t="s">
        <v>327</v>
      </c>
      <c r="C324" s="133">
        <v>2.5925925925925925E-2</v>
      </c>
      <c r="D324" s="5">
        <v>130</v>
      </c>
      <c r="E324" s="11">
        <v>500</v>
      </c>
      <c r="F324" s="5">
        <v>130</v>
      </c>
      <c r="G324" s="2">
        <v>8354</v>
      </c>
      <c r="H324" s="2">
        <v>6686</v>
      </c>
      <c r="I324" s="2">
        <v>1674</v>
      </c>
      <c r="J324" s="5">
        <v>3344</v>
      </c>
      <c r="K324" s="11">
        <v>10000</v>
      </c>
      <c r="L324" s="5">
        <v>67</v>
      </c>
      <c r="M324" s="2">
        <v>6900</v>
      </c>
      <c r="N324" s="2">
        <v>5500</v>
      </c>
      <c r="O324" s="2">
        <v>1300</v>
      </c>
      <c r="P324" s="2">
        <v>2700</v>
      </c>
      <c r="Q324" s="5">
        <v>650</v>
      </c>
      <c r="R324" s="316" t="s">
        <v>242</v>
      </c>
    </row>
    <row r="325" spans="2:28" ht="15" customHeight="1">
      <c r="B325" s="152" t="s">
        <v>328</v>
      </c>
      <c r="R325" s="316" t="s">
        <v>243</v>
      </c>
    </row>
    <row r="326" spans="2:28" ht="15" customHeight="1">
      <c r="B326" s="152" t="s">
        <v>329</v>
      </c>
      <c r="R326" s="316" t="s">
        <v>244</v>
      </c>
    </row>
    <row r="327" spans="2:28" ht="15" customHeight="1">
      <c r="B327" s="152" t="s">
        <v>330</v>
      </c>
      <c r="R327" s="316" t="s">
        <v>245</v>
      </c>
    </row>
    <row r="328" spans="2:28" ht="15" customHeight="1">
      <c r="B328" s="152" t="s">
        <v>331</v>
      </c>
      <c r="R328" s="316" t="s">
        <v>246</v>
      </c>
    </row>
    <row r="329" spans="2:28" ht="15" customHeight="1">
      <c r="B329" s="152" t="s">
        <v>332</v>
      </c>
      <c r="R329" s="316" t="s">
        <v>247</v>
      </c>
    </row>
    <row r="330" spans="2:28" ht="15" customHeight="1">
      <c r="B330" s="152" t="s">
        <v>333</v>
      </c>
      <c r="R330" s="316" t="s">
        <v>248</v>
      </c>
    </row>
    <row r="331" spans="2:28" ht="15" customHeight="1">
      <c r="B331" s="152" t="s">
        <v>334</v>
      </c>
      <c r="R331" s="316" t="s">
        <v>249</v>
      </c>
    </row>
    <row r="332" spans="2:28" ht="15" customHeight="1">
      <c r="B332" s="152" t="s">
        <v>335</v>
      </c>
      <c r="R332" s="316" t="s">
        <v>250</v>
      </c>
    </row>
    <row r="333" spans="2:28" ht="15" customHeight="1">
      <c r="B333" s="152" t="s">
        <v>336</v>
      </c>
      <c r="R333" s="316" t="s">
        <v>251</v>
      </c>
    </row>
    <row r="334" spans="2:28" ht="15" customHeight="1">
      <c r="B334" s="150" t="s">
        <v>337</v>
      </c>
      <c r="C334" s="140"/>
      <c r="M334" s="11"/>
      <c r="N334" s="11"/>
      <c r="O334" s="11"/>
      <c r="P334" s="11"/>
      <c r="R334" s="316" t="s">
        <v>252</v>
      </c>
      <c r="S334" s="150"/>
      <c r="T334" s="150"/>
      <c r="U334" s="151"/>
      <c r="V334" s="11"/>
      <c r="X334" s="155"/>
      <c r="Z334" s="155"/>
      <c r="AB334" s="155"/>
    </row>
    <row r="335" spans="2:28" ht="15" customHeight="1">
      <c r="B335" s="150" t="s">
        <v>338</v>
      </c>
      <c r="C335" s="140"/>
      <c r="G335" s="11"/>
      <c r="H335" s="11"/>
      <c r="I335" s="11"/>
      <c r="M335" s="11"/>
      <c r="N335" s="11"/>
      <c r="O335" s="11"/>
      <c r="P335" s="11"/>
      <c r="R335" s="316" t="s">
        <v>253</v>
      </c>
      <c r="S335" s="150"/>
      <c r="T335" s="150"/>
      <c r="U335" s="151"/>
      <c r="V335" s="11"/>
      <c r="X335" s="155"/>
      <c r="Z335" s="155"/>
      <c r="AB335" s="155"/>
    </row>
    <row r="336" spans="2:28" ht="15" customHeight="1">
      <c r="B336" s="150" t="s">
        <v>339</v>
      </c>
      <c r="C336" s="140"/>
      <c r="G336" s="11"/>
      <c r="H336" s="11"/>
      <c r="I336" s="11"/>
      <c r="M336" s="11"/>
      <c r="N336" s="11"/>
      <c r="O336" s="11"/>
      <c r="P336" s="11"/>
      <c r="R336" s="316" t="s">
        <v>254</v>
      </c>
      <c r="S336" s="150"/>
      <c r="T336" s="150"/>
      <c r="U336" s="151"/>
      <c r="V336" s="11"/>
      <c r="X336" s="155"/>
      <c r="Z336" s="155"/>
      <c r="AB336" s="155"/>
    </row>
    <row r="337" spans="2:29" ht="15" customHeight="1">
      <c r="B337" s="150" t="s">
        <v>340</v>
      </c>
      <c r="C337" s="140"/>
      <c r="G337" s="11"/>
      <c r="H337" s="11"/>
      <c r="I337" s="11"/>
      <c r="M337" s="11"/>
      <c r="N337" s="11"/>
      <c r="O337" s="11"/>
      <c r="P337" s="11"/>
      <c r="R337" s="316" t="s">
        <v>255</v>
      </c>
      <c r="S337" s="150"/>
      <c r="T337" s="150"/>
      <c r="U337" s="151"/>
      <c r="V337" s="11"/>
      <c r="X337" s="155"/>
      <c r="Z337" s="155"/>
      <c r="AB337" s="155"/>
    </row>
    <row r="338" spans="2:29" ht="15" customHeight="1">
      <c r="B338" s="150" t="s">
        <v>341</v>
      </c>
      <c r="C338" s="140"/>
      <c r="G338" s="11"/>
      <c r="H338" s="11"/>
      <c r="I338" s="11"/>
      <c r="M338" s="11"/>
      <c r="N338" s="11"/>
      <c r="O338" s="11"/>
      <c r="P338" s="11"/>
      <c r="R338" s="316" t="s">
        <v>256</v>
      </c>
      <c r="S338" s="150"/>
      <c r="T338" s="150"/>
      <c r="U338" s="151"/>
      <c r="V338" s="11"/>
      <c r="X338" s="155"/>
      <c r="Z338" s="155"/>
      <c r="AB338" s="155"/>
    </row>
    <row r="339" spans="2:29" ht="15" customHeight="1">
      <c r="B339" s="34" t="s">
        <v>342</v>
      </c>
      <c r="C339" s="480"/>
      <c r="D339" s="24"/>
      <c r="E339" s="27"/>
      <c r="F339" s="24"/>
      <c r="G339" s="27"/>
      <c r="H339" s="27"/>
      <c r="I339" s="27"/>
      <c r="J339" s="24"/>
      <c r="K339" s="27"/>
      <c r="L339" s="24"/>
      <c r="M339" s="27"/>
      <c r="N339" s="27"/>
      <c r="O339" s="27"/>
      <c r="P339" s="27"/>
      <c r="Q339" s="24"/>
      <c r="R339" s="196" t="s">
        <v>257</v>
      </c>
      <c r="S339" s="34"/>
      <c r="T339" s="34"/>
      <c r="U339" s="89"/>
      <c r="V339" s="27"/>
      <c r="W339" s="24"/>
      <c r="X339" s="154"/>
      <c r="Y339" s="24"/>
      <c r="Z339" s="154"/>
      <c r="AA339" s="24"/>
      <c r="AB339" s="154"/>
      <c r="AC339" s="173"/>
    </row>
    <row r="340" spans="2:29" ht="15" customHeight="1">
      <c r="B340" s="169" t="s">
        <v>483</v>
      </c>
      <c r="C340" s="133">
        <v>1.1574074074074073E-3</v>
      </c>
      <c r="D340" s="5">
        <v>1</v>
      </c>
      <c r="E340" s="11">
        <v>10</v>
      </c>
      <c r="F340" s="5">
        <v>10</v>
      </c>
      <c r="G340" s="2">
        <v>200</v>
      </c>
      <c r="H340" s="2">
        <v>100</v>
      </c>
      <c r="I340" s="2">
        <v>100</v>
      </c>
      <c r="J340" s="5">
        <v>300</v>
      </c>
      <c r="K340" s="11">
        <v>2525</v>
      </c>
      <c r="L340" s="5">
        <v>2</v>
      </c>
      <c r="M340" s="2">
        <v>2100</v>
      </c>
      <c r="N340" s="2">
        <v>1100</v>
      </c>
      <c r="O340" s="2">
        <v>1100</v>
      </c>
      <c r="P340" s="2">
        <v>3000</v>
      </c>
      <c r="Q340" s="5">
        <v>100</v>
      </c>
      <c r="R340" s="169" t="s">
        <v>504</v>
      </c>
      <c r="S340" s="169"/>
      <c r="X340" s="197" t="s">
        <v>505</v>
      </c>
      <c r="Y340" s="214">
        <v>0.05</v>
      </c>
      <c r="Z340" s="215" t="s">
        <v>506</v>
      </c>
      <c r="AA340" s="214">
        <v>0.52</v>
      </c>
    </row>
    <row r="341" spans="2:29" ht="15" customHeight="1">
      <c r="B341" s="169" t="s">
        <v>484</v>
      </c>
      <c r="C341" s="133">
        <v>2.3148148148148151E-3</v>
      </c>
      <c r="D341" s="5">
        <v>1</v>
      </c>
      <c r="E341" s="11">
        <v>25</v>
      </c>
      <c r="F341" s="5">
        <v>25</v>
      </c>
      <c r="G341" s="2">
        <v>360</v>
      </c>
      <c r="H341" s="2">
        <v>180</v>
      </c>
      <c r="I341" s="2">
        <v>180</v>
      </c>
      <c r="J341" s="5">
        <v>540</v>
      </c>
      <c r="K341" s="11">
        <v>2575</v>
      </c>
      <c r="L341" s="5">
        <v>5</v>
      </c>
      <c r="M341" s="2">
        <v>900</v>
      </c>
      <c r="N341" s="2">
        <v>500</v>
      </c>
      <c r="O341" s="2">
        <v>500</v>
      </c>
      <c r="P341" s="2">
        <v>1400</v>
      </c>
      <c r="Q341" s="5">
        <v>200</v>
      </c>
      <c r="R341" s="169" t="s">
        <v>504</v>
      </c>
      <c r="X341" s="171" t="s">
        <v>505</v>
      </c>
      <c r="Y341" s="156">
        <v>0.1</v>
      </c>
      <c r="Z341" s="216" t="s">
        <v>506</v>
      </c>
      <c r="AA341" s="156">
        <v>0.54</v>
      </c>
    </row>
    <row r="342" spans="2:29" ht="15" customHeight="1">
      <c r="B342" s="169" t="s">
        <v>485</v>
      </c>
      <c r="C342" s="133">
        <v>4.6296296296296302E-3</v>
      </c>
      <c r="D342" s="5">
        <v>1</v>
      </c>
      <c r="E342" s="11">
        <v>50</v>
      </c>
      <c r="F342" s="5">
        <v>40</v>
      </c>
      <c r="G342" s="2">
        <v>648</v>
      </c>
      <c r="H342" s="2">
        <v>324</v>
      </c>
      <c r="I342" s="2">
        <v>324</v>
      </c>
      <c r="J342" s="5">
        <v>972</v>
      </c>
      <c r="K342" s="11">
        <v>2600</v>
      </c>
      <c r="L342" s="5">
        <v>15</v>
      </c>
      <c r="M342" s="2">
        <v>1100</v>
      </c>
      <c r="N342" s="2">
        <v>500</v>
      </c>
      <c r="O342" s="2">
        <v>500</v>
      </c>
      <c r="P342" s="2">
        <v>1600</v>
      </c>
      <c r="Q342" s="5">
        <v>200</v>
      </c>
      <c r="R342" s="203" t="s">
        <v>586</v>
      </c>
      <c r="X342" s="171" t="s">
        <v>505</v>
      </c>
      <c r="Y342" s="156">
        <v>0.15</v>
      </c>
      <c r="Z342" s="216" t="s">
        <v>506</v>
      </c>
      <c r="AA342" s="156">
        <v>0.56000000000000005</v>
      </c>
    </row>
    <row r="343" spans="2:29" ht="15" customHeight="1">
      <c r="B343" s="169" t="s">
        <v>486</v>
      </c>
      <c r="C343" s="133">
        <v>9.2592592592592605E-3</v>
      </c>
      <c r="D343" s="5">
        <v>70</v>
      </c>
      <c r="E343" s="11">
        <v>200</v>
      </c>
      <c r="F343" s="5">
        <v>60</v>
      </c>
      <c r="G343" s="2">
        <v>1167</v>
      </c>
      <c r="H343" s="2">
        <v>584</v>
      </c>
      <c r="I343" s="2">
        <v>584</v>
      </c>
      <c r="J343" s="5">
        <v>1750</v>
      </c>
      <c r="K343" s="11">
        <v>2650</v>
      </c>
      <c r="L343" s="5">
        <v>25</v>
      </c>
      <c r="M343" s="2">
        <v>1500</v>
      </c>
      <c r="N343" s="2">
        <v>800</v>
      </c>
      <c r="O343" s="2">
        <v>800</v>
      </c>
      <c r="P343" s="2">
        <v>2200</v>
      </c>
      <c r="Q343" s="5">
        <v>250</v>
      </c>
      <c r="R343" s="203" t="s">
        <v>586</v>
      </c>
      <c r="X343" s="171" t="s">
        <v>505</v>
      </c>
      <c r="Y343" s="156">
        <v>0.2</v>
      </c>
      <c r="Z343" s="216" t="s">
        <v>506</v>
      </c>
      <c r="AA343" s="156">
        <v>0.57999999999999996</v>
      </c>
    </row>
    <row r="344" spans="2:29" ht="15" customHeight="1">
      <c r="B344" s="169" t="s">
        <v>487</v>
      </c>
      <c r="C344" s="133">
        <v>1.8518518518518521E-2</v>
      </c>
      <c r="D344" s="5">
        <v>130</v>
      </c>
      <c r="E344" s="11">
        <v>400</v>
      </c>
      <c r="F344" s="5">
        <v>90</v>
      </c>
      <c r="G344" s="2">
        <v>2101</v>
      </c>
      <c r="H344" s="2">
        <v>1052</v>
      </c>
      <c r="I344" s="2">
        <v>1052</v>
      </c>
      <c r="J344" s="5">
        <v>3150</v>
      </c>
      <c r="K344" s="11">
        <v>2675</v>
      </c>
      <c r="L344" s="5">
        <v>45</v>
      </c>
      <c r="M344" s="2">
        <v>2200</v>
      </c>
      <c r="N344" s="2">
        <v>1100</v>
      </c>
      <c r="O344" s="2">
        <v>1100</v>
      </c>
      <c r="P344" s="2">
        <v>3200</v>
      </c>
      <c r="Q344" s="5">
        <v>450</v>
      </c>
      <c r="R344" s="203" t="s">
        <v>611</v>
      </c>
      <c r="X344" s="171" t="s">
        <v>505</v>
      </c>
      <c r="Y344" s="156">
        <v>0.25</v>
      </c>
      <c r="Z344" s="216" t="s">
        <v>506</v>
      </c>
      <c r="AA344" s="156">
        <v>0.6</v>
      </c>
    </row>
    <row r="345" spans="2:29" ht="15" customHeight="1">
      <c r="B345" s="169" t="s">
        <v>488</v>
      </c>
      <c r="C345" s="133">
        <v>3.7037037037037042E-2</v>
      </c>
      <c r="D345" s="5">
        <v>130</v>
      </c>
      <c r="E345" s="11">
        <v>500</v>
      </c>
      <c r="F345" s="5">
        <v>135</v>
      </c>
      <c r="G345" s="2">
        <v>4202</v>
      </c>
      <c r="H345" s="2">
        <v>2104</v>
      </c>
      <c r="I345" s="2">
        <v>2104</v>
      </c>
      <c r="J345" s="5">
        <v>6300</v>
      </c>
      <c r="K345" s="11">
        <v>10000</v>
      </c>
      <c r="L345" s="5">
        <v>70</v>
      </c>
      <c r="M345" s="2">
        <v>3500</v>
      </c>
      <c r="N345" s="2">
        <v>1700</v>
      </c>
      <c r="O345" s="2">
        <v>1700</v>
      </c>
      <c r="P345" s="2">
        <v>5200</v>
      </c>
      <c r="Q345" s="5">
        <v>350</v>
      </c>
      <c r="R345" s="333" t="s">
        <v>216</v>
      </c>
      <c r="X345" s="171" t="s">
        <v>505</v>
      </c>
      <c r="Y345" s="156">
        <v>0.3</v>
      </c>
      <c r="Z345" s="216" t="s">
        <v>506</v>
      </c>
      <c r="AA345" s="156">
        <v>0.62</v>
      </c>
    </row>
    <row r="346" spans="2:29" ht="15" customHeight="1">
      <c r="B346" s="169" t="s">
        <v>489</v>
      </c>
      <c r="C346" s="133">
        <v>7.407407407407407E-2</v>
      </c>
      <c r="D346" s="5">
        <v>300</v>
      </c>
      <c r="E346" s="11">
        <v>500</v>
      </c>
      <c r="F346" s="5">
        <v>215</v>
      </c>
      <c r="G346" s="2">
        <v>8404</v>
      </c>
      <c r="H346" s="2">
        <v>4208</v>
      </c>
      <c r="I346" s="2">
        <v>4208</v>
      </c>
      <c r="J346" s="5">
        <v>12600</v>
      </c>
      <c r="K346" s="11">
        <v>10000</v>
      </c>
      <c r="L346" s="5">
        <v>115</v>
      </c>
      <c r="M346" s="2">
        <v>6000</v>
      </c>
      <c r="N346" s="2">
        <v>3000</v>
      </c>
      <c r="O346" s="2">
        <v>3000</v>
      </c>
      <c r="P346" s="2">
        <v>9000</v>
      </c>
      <c r="Q346" s="5">
        <v>250</v>
      </c>
      <c r="R346" s="333" t="s">
        <v>217</v>
      </c>
      <c r="X346" s="171" t="s">
        <v>505</v>
      </c>
      <c r="Y346" s="156">
        <v>0.35</v>
      </c>
      <c r="Z346" s="216" t="s">
        <v>506</v>
      </c>
      <c r="AA346" s="156">
        <v>0.64</v>
      </c>
    </row>
    <row r="347" spans="2:29" ht="15" customHeight="1">
      <c r="B347" s="169" t="s">
        <v>490</v>
      </c>
      <c r="C347" s="133">
        <v>0.14814814814814814</v>
      </c>
      <c r="D347" s="5">
        <v>300</v>
      </c>
      <c r="E347" s="11">
        <v>500</v>
      </c>
      <c r="F347" s="5">
        <v>310</v>
      </c>
      <c r="G347" s="2">
        <v>16808</v>
      </c>
      <c r="H347" s="2">
        <v>8416</v>
      </c>
      <c r="I347" s="2">
        <v>8416</v>
      </c>
      <c r="J347" s="5">
        <v>25200</v>
      </c>
      <c r="K347" s="11">
        <v>10000</v>
      </c>
      <c r="L347" s="5">
        <v>175</v>
      </c>
      <c r="M347" s="2">
        <v>10500</v>
      </c>
      <c r="N347" s="2">
        <v>5200</v>
      </c>
      <c r="O347" s="2">
        <v>5200</v>
      </c>
      <c r="P347" s="2">
        <v>15700</v>
      </c>
      <c r="Q347" s="5">
        <v>350</v>
      </c>
      <c r="R347" s="333" t="s">
        <v>218</v>
      </c>
      <c r="X347" s="171" t="s">
        <v>505</v>
      </c>
      <c r="Y347" s="156">
        <v>0.4</v>
      </c>
      <c r="Z347" s="216" t="s">
        <v>506</v>
      </c>
      <c r="AA347" s="156">
        <v>0.66</v>
      </c>
    </row>
    <row r="348" spans="2:29" ht="15" customHeight="1">
      <c r="B348" s="169" t="s">
        <v>491</v>
      </c>
      <c r="C348" s="133">
        <v>0.29629629629629628</v>
      </c>
      <c r="D348" s="5">
        <v>650</v>
      </c>
      <c r="E348" s="11">
        <v>500</v>
      </c>
      <c r="F348" s="5">
        <v>475</v>
      </c>
      <c r="G348" s="2">
        <v>33616</v>
      </c>
      <c r="H348" s="2">
        <v>16832</v>
      </c>
      <c r="I348" s="2">
        <v>16832</v>
      </c>
      <c r="J348" s="5">
        <v>50400</v>
      </c>
      <c r="K348" s="11">
        <v>30000</v>
      </c>
      <c r="L348" s="5">
        <v>250</v>
      </c>
      <c r="M348" s="2">
        <v>14800</v>
      </c>
      <c r="N348" s="2">
        <v>14800</v>
      </c>
      <c r="O348" s="2">
        <v>3700</v>
      </c>
      <c r="P348" s="2">
        <v>37100</v>
      </c>
      <c r="Q348" s="5">
        <v>450</v>
      </c>
      <c r="R348" s="333" t="s">
        <v>219</v>
      </c>
      <c r="X348" s="171" t="s">
        <v>505</v>
      </c>
      <c r="Y348" s="156">
        <v>0.45</v>
      </c>
      <c r="Z348" s="216" t="s">
        <v>506</v>
      </c>
      <c r="AA348" s="156">
        <v>0.68</v>
      </c>
    </row>
    <row r="349" spans="2:29" ht="15" customHeight="1">
      <c r="B349" s="169" t="s">
        <v>492</v>
      </c>
      <c r="C349" s="133">
        <v>0.59259259259259256</v>
      </c>
      <c r="D349" s="5">
        <v>1000</v>
      </c>
      <c r="E349" s="11">
        <v>500</v>
      </c>
      <c r="F349" s="5">
        <v>715</v>
      </c>
      <c r="G349" s="2">
        <v>50424</v>
      </c>
      <c r="H349" s="2">
        <v>25248</v>
      </c>
      <c r="I349" s="2">
        <v>25248</v>
      </c>
      <c r="J349" s="5">
        <v>75600</v>
      </c>
      <c r="K349" s="11">
        <v>30000</v>
      </c>
      <c r="L349" s="5">
        <v>400</v>
      </c>
      <c r="M349" s="2">
        <v>10084</v>
      </c>
      <c r="N349" s="2">
        <v>5049</v>
      </c>
      <c r="O349" s="2">
        <v>5049</v>
      </c>
      <c r="P349" s="2">
        <v>15120</v>
      </c>
      <c r="Q349" s="5">
        <v>325</v>
      </c>
      <c r="R349" s="333" t="s">
        <v>220</v>
      </c>
      <c r="X349" s="171" t="s">
        <v>505</v>
      </c>
      <c r="Y349" s="156">
        <v>0.5</v>
      </c>
      <c r="Z349" s="216" t="s">
        <v>506</v>
      </c>
      <c r="AA349" s="156">
        <v>0.7</v>
      </c>
    </row>
    <row r="350" spans="2:29" ht="15" customHeight="1">
      <c r="B350" s="169" t="s">
        <v>493</v>
      </c>
      <c r="R350" s="333" t="s">
        <v>221</v>
      </c>
      <c r="X350" s="171" t="s">
        <v>505</v>
      </c>
      <c r="Y350" s="156">
        <v>0.55000000000000004</v>
      </c>
      <c r="Z350" s="216" t="s">
        <v>506</v>
      </c>
      <c r="AA350" s="156">
        <v>0.72</v>
      </c>
    </row>
    <row r="351" spans="2:29" ht="15" customHeight="1">
      <c r="B351" s="167" t="s">
        <v>494</v>
      </c>
      <c r="C351" s="140"/>
      <c r="M351" s="11"/>
      <c r="N351" s="11"/>
      <c r="O351" s="11"/>
      <c r="P351" s="11"/>
      <c r="R351" s="333" t="s">
        <v>222</v>
      </c>
      <c r="S351" s="167"/>
      <c r="T351" s="167"/>
      <c r="U351" s="168"/>
      <c r="V351" s="11"/>
      <c r="X351" s="171" t="s">
        <v>505</v>
      </c>
      <c r="Y351" s="156">
        <v>0.6</v>
      </c>
      <c r="Z351" s="216" t="s">
        <v>506</v>
      </c>
      <c r="AA351" s="156">
        <v>0.74</v>
      </c>
      <c r="AB351" s="155"/>
    </row>
    <row r="352" spans="2:29" ht="15" customHeight="1">
      <c r="B352" s="167" t="s">
        <v>495</v>
      </c>
      <c r="C352" s="140"/>
      <c r="M352" s="11"/>
      <c r="N352" s="11"/>
      <c r="O352" s="11"/>
      <c r="P352" s="11"/>
      <c r="R352" s="333" t="s">
        <v>223</v>
      </c>
      <c r="S352" s="167"/>
      <c r="T352" s="167"/>
      <c r="U352" s="168"/>
      <c r="V352" s="11"/>
      <c r="X352" s="171" t="s">
        <v>505</v>
      </c>
      <c r="Y352" s="156">
        <v>0.65</v>
      </c>
      <c r="Z352" s="216" t="s">
        <v>506</v>
      </c>
      <c r="AA352" s="156">
        <v>0.76</v>
      </c>
      <c r="AB352" s="155"/>
    </row>
    <row r="353" spans="2:29" ht="15" customHeight="1">
      <c r="B353" s="167" t="s">
        <v>496</v>
      </c>
      <c r="C353" s="140"/>
      <c r="M353" s="11"/>
      <c r="N353" s="11"/>
      <c r="O353" s="11"/>
      <c r="P353" s="11"/>
      <c r="R353" s="333" t="s">
        <v>224</v>
      </c>
      <c r="S353" s="167"/>
      <c r="T353" s="167"/>
      <c r="U353" s="168"/>
      <c r="V353" s="11"/>
      <c r="X353" s="171" t="s">
        <v>505</v>
      </c>
      <c r="Y353" s="156">
        <v>0.7</v>
      </c>
      <c r="Z353" s="216" t="s">
        <v>506</v>
      </c>
      <c r="AA353" s="156">
        <v>0.78</v>
      </c>
      <c r="AB353" s="155"/>
    </row>
    <row r="354" spans="2:29" ht="15" customHeight="1">
      <c r="B354" s="167" t="s">
        <v>497</v>
      </c>
      <c r="C354" s="140"/>
      <c r="M354" s="11"/>
      <c r="N354" s="11"/>
      <c r="O354" s="11"/>
      <c r="P354" s="11"/>
      <c r="R354" s="333" t="s">
        <v>225</v>
      </c>
      <c r="S354" s="167"/>
      <c r="T354" s="167"/>
      <c r="U354" s="168"/>
      <c r="V354" s="11"/>
      <c r="X354" s="171" t="s">
        <v>505</v>
      </c>
      <c r="Y354" s="156">
        <v>0.75</v>
      </c>
      <c r="Z354" s="216" t="s">
        <v>506</v>
      </c>
      <c r="AA354" s="156">
        <v>0.8</v>
      </c>
      <c r="AB354" s="155"/>
    </row>
    <row r="355" spans="2:29" ht="15" customHeight="1">
      <c r="B355" s="167" t="s">
        <v>498</v>
      </c>
      <c r="C355" s="140"/>
      <c r="M355" s="11"/>
      <c r="N355" s="11"/>
      <c r="O355" s="11"/>
      <c r="P355" s="11"/>
      <c r="R355" s="333" t="s">
        <v>226</v>
      </c>
      <c r="S355" s="167"/>
      <c r="T355" s="167"/>
      <c r="U355" s="168"/>
      <c r="V355" s="11"/>
      <c r="X355" s="171" t="s">
        <v>505</v>
      </c>
      <c r="Y355" s="156">
        <v>0.8</v>
      </c>
      <c r="Z355" s="216" t="s">
        <v>506</v>
      </c>
      <c r="AA355" s="156">
        <v>0.82</v>
      </c>
      <c r="AB355" s="155"/>
    </row>
    <row r="356" spans="2:29" ht="15" customHeight="1">
      <c r="B356" s="167" t="s">
        <v>499</v>
      </c>
      <c r="C356" s="140"/>
      <c r="G356" s="11"/>
      <c r="H356" s="11"/>
      <c r="I356" s="11"/>
      <c r="M356" s="11"/>
      <c r="N356" s="11"/>
      <c r="O356" s="11"/>
      <c r="P356" s="11"/>
      <c r="R356" s="333" t="s">
        <v>227</v>
      </c>
      <c r="S356" s="167"/>
      <c r="T356" s="167"/>
      <c r="U356" s="168"/>
      <c r="V356" s="11"/>
      <c r="X356" s="171" t="s">
        <v>505</v>
      </c>
      <c r="Y356" s="156">
        <v>0.85</v>
      </c>
      <c r="Z356" s="216" t="s">
        <v>506</v>
      </c>
      <c r="AA356" s="156">
        <v>0.84</v>
      </c>
      <c r="AB356" s="155"/>
    </row>
    <row r="357" spans="2:29" ht="15" customHeight="1">
      <c r="B357" s="167" t="s">
        <v>500</v>
      </c>
      <c r="C357" s="140"/>
      <c r="G357" s="11"/>
      <c r="H357" s="11"/>
      <c r="I357" s="11"/>
      <c r="M357" s="11"/>
      <c r="N357" s="11"/>
      <c r="O357" s="11"/>
      <c r="P357" s="11"/>
      <c r="R357" s="333" t="s">
        <v>228</v>
      </c>
      <c r="S357" s="167"/>
      <c r="T357" s="167"/>
      <c r="U357" s="168"/>
      <c r="V357" s="11"/>
      <c r="X357" s="171" t="s">
        <v>505</v>
      </c>
      <c r="Y357" s="156">
        <v>0.9</v>
      </c>
      <c r="Z357" s="216" t="s">
        <v>506</v>
      </c>
      <c r="AA357" s="156">
        <v>0.86</v>
      </c>
      <c r="AB357" s="155"/>
    </row>
    <row r="358" spans="2:29" ht="15" customHeight="1">
      <c r="B358" s="167" t="s">
        <v>501</v>
      </c>
      <c r="C358" s="140"/>
      <c r="G358" s="11"/>
      <c r="H358" s="11"/>
      <c r="I358" s="11"/>
      <c r="M358" s="11"/>
      <c r="N358" s="11"/>
      <c r="O358" s="11"/>
      <c r="P358" s="11"/>
      <c r="R358" s="333" t="s">
        <v>229</v>
      </c>
      <c r="S358" s="167"/>
      <c r="T358" s="167"/>
      <c r="U358" s="168"/>
      <c r="V358" s="11"/>
      <c r="X358" s="171" t="s">
        <v>505</v>
      </c>
      <c r="Y358" s="156">
        <v>0.95</v>
      </c>
      <c r="Z358" s="216" t="s">
        <v>506</v>
      </c>
      <c r="AA358" s="156">
        <v>0.88</v>
      </c>
      <c r="AB358" s="155"/>
    </row>
    <row r="359" spans="2:29" ht="15" customHeight="1">
      <c r="B359" s="167" t="s">
        <v>502</v>
      </c>
      <c r="C359" s="140"/>
      <c r="G359" s="11"/>
      <c r="H359" s="11"/>
      <c r="I359" s="11"/>
      <c r="M359" s="11"/>
      <c r="N359" s="11"/>
      <c r="O359" s="11"/>
      <c r="P359" s="11"/>
      <c r="R359" s="333" t="s">
        <v>230</v>
      </c>
      <c r="S359" s="167"/>
      <c r="T359" s="167"/>
      <c r="U359" s="168"/>
      <c r="V359" s="11"/>
      <c r="X359" s="171" t="s">
        <v>505</v>
      </c>
      <c r="Y359" s="156">
        <v>1</v>
      </c>
      <c r="Z359" s="216" t="s">
        <v>506</v>
      </c>
      <c r="AA359" s="156">
        <v>0.9</v>
      </c>
      <c r="AB359" s="155"/>
    </row>
    <row r="360" spans="2:29" ht="15" customHeight="1">
      <c r="B360" s="34" t="s">
        <v>503</v>
      </c>
      <c r="C360" s="480"/>
      <c r="D360" s="24"/>
      <c r="E360" s="27"/>
      <c r="F360" s="24"/>
      <c r="G360" s="27"/>
      <c r="H360" s="27"/>
      <c r="I360" s="27"/>
      <c r="J360" s="24"/>
      <c r="K360" s="27"/>
      <c r="L360" s="24"/>
      <c r="M360" s="27"/>
      <c r="N360" s="27"/>
      <c r="O360" s="27"/>
      <c r="P360" s="27"/>
      <c r="Q360" s="24"/>
      <c r="R360" s="196" t="s">
        <v>231</v>
      </c>
      <c r="S360" s="34"/>
      <c r="T360" s="34"/>
      <c r="U360" s="89"/>
      <c r="V360" s="27"/>
      <c r="W360" s="24"/>
      <c r="X360" s="172" t="s">
        <v>505</v>
      </c>
      <c r="Y360" s="173">
        <v>1.25</v>
      </c>
      <c r="Z360" s="217" t="s">
        <v>506</v>
      </c>
      <c r="AA360" s="173">
        <v>0.95</v>
      </c>
      <c r="AB360" s="154"/>
      <c r="AC360" s="173"/>
    </row>
    <row r="367" spans="2:29" ht="15" customHeight="1">
      <c r="B367" s="383" t="s">
        <v>1038</v>
      </c>
      <c r="C367" s="133">
        <v>0</v>
      </c>
      <c r="D367" s="5">
        <v>0</v>
      </c>
      <c r="E367" s="11">
        <v>10</v>
      </c>
      <c r="F367" s="5">
        <v>35</v>
      </c>
      <c r="G367" s="2">
        <v>0</v>
      </c>
      <c r="H367" s="2">
        <v>0</v>
      </c>
      <c r="I367" s="2">
        <v>0</v>
      </c>
      <c r="J367" s="5">
        <v>0</v>
      </c>
      <c r="T367" s="153" t="s">
        <v>1059</v>
      </c>
      <c r="X367" s="171" t="s">
        <v>1060</v>
      </c>
      <c r="Y367" s="5">
        <v>5</v>
      </c>
    </row>
    <row r="368" spans="2:29" ht="15" customHeight="1">
      <c r="B368" s="383" t="s">
        <v>1039</v>
      </c>
      <c r="E368" s="11">
        <v>25</v>
      </c>
      <c r="F368" s="5">
        <v>70</v>
      </c>
      <c r="G368" s="2">
        <v>190</v>
      </c>
      <c r="H368" s="2">
        <v>190</v>
      </c>
      <c r="I368" s="2">
        <v>190</v>
      </c>
      <c r="J368" s="5">
        <v>190</v>
      </c>
      <c r="R368" s="383" t="s">
        <v>1063</v>
      </c>
      <c r="T368" s="383" t="s">
        <v>1062</v>
      </c>
      <c r="X368" s="171" t="s">
        <v>1060</v>
      </c>
      <c r="Y368" s="5">
        <v>6</v>
      </c>
    </row>
    <row r="369" spans="2:25" ht="15" customHeight="1">
      <c r="B369" s="383" t="s">
        <v>1040</v>
      </c>
      <c r="X369" s="171" t="s">
        <v>1060</v>
      </c>
      <c r="Y369" s="5">
        <v>7</v>
      </c>
    </row>
    <row r="370" spans="2:25" ht="15" customHeight="1">
      <c r="B370" s="383" t="s">
        <v>1041</v>
      </c>
      <c r="X370" s="171" t="s">
        <v>1060</v>
      </c>
      <c r="Y370" s="5">
        <v>8</v>
      </c>
    </row>
    <row r="371" spans="2:25" ht="15" customHeight="1">
      <c r="B371" s="383" t="s">
        <v>1042</v>
      </c>
      <c r="X371" s="171" t="s">
        <v>1060</v>
      </c>
      <c r="Y371" s="5">
        <v>9</v>
      </c>
    </row>
    <row r="372" spans="2:25" ht="15" customHeight="1">
      <c r="B372" s="383" t="s">
        <v>1043</v>
      </c>
      <c r="X372" s="171" t="s">
        <v>1060</v>
      </c>
      <c r="Y372" s="5">
        <v>10</v>
      </c>
    </row>
    <row r="373" spans="2:25" ht="15" customHeight="1">
      <c r="B373" s="383" t="s">
        <v>1044</v>
      </c>
      <c r="X373" s="171" t="s">
        <v>1060</v>
      </c>
      <c r="Y373" s="5">
        <v>11</v>
      </c>
    </row>
    <row r="374" spans="2:25" ht="15" customHeight="1">
      <c r="B374" s="383" t="s">
        <v>1045</v>
      </c>
      <c r="X374" s="171" t="s">
        <v>1060</v>
      </c>
      <c r="Y374" s="5">
        <v>12</v>
      </c>
    </row>
    <row r="375" spans="2:25" ht="15" customHeight="1">
      <c r="B375" s="383" t="s">
        <v>1046</v>
      </c>
      <c r="X375" s="171" t="s">
        <v>1060</v>
      </c>
      <c r="Y375" s="5">
        <v>13</v>
      </c>
    </row>
    <row r="376" spans="2:25" ht="15" customHeight="1">
      <c r="B376" s="383" t="s">
        <v>1047</v>
      </c>
      <c r="X376" s="171" t="s">
        <v>1060</v>
      </c>
      <c r="Y376" s="5">
        <v>14</v>
      </c>
    </row>
    <row r="377" spans="2:25" ht="15" customHeight="1">
      <c r="B377" s="383" t="s">
        <v>1048</v>
      </c>
      <c r="X377" s="171" t="s">
        <v>1060</v>
      </c>
      <c r="Y377" s="5">
        <v>15</v>
      </c>
    </row>
    <row r="378" spans="2:25" ht="15" customHeight="1">
      <c r="B378" s="383" t="s">
        <v>1049</v>
      </c>
      <c r="X378" s="171" t="s">
        <v>1060</v>
      </c>
      <c r="Y378" s="5">
        <v>16</v>
      </c>
    </row>
    <row r="379" spans="2:25" ht="15" customHeight="1">
      <c r="B379" s="383" t="s">
        <v>1050</v>
      </c>
      <c r="X379" s="171" t="s">
        <v>1060</v>
      </c>
      <c r="Y379" s="5">
        <v>17</v>
      </c>
    </row>
    <row r="380" spans="2:25" ht="15" customHeight="1">
      <c r="B380" s="383" t="s">
        <v>1051</v>
      </c>
      <c r="X380" s="171" t="s">
        <v>1060</v>
      </c>
      <c r="Y380" s="5">
        <v>18</v>
      </c>
    </row>
    <row r="381" spans="2:25" ht="15" customHeight="1">
      <c r="B381" s="383" t="s">
        <v>1052</v>
      </c>
      <c r="X381" s="171" t="s">
        <v>1060</v>
      </c>
      <c r="Y381" s="5">
        <v>19</v>
      </c>
    </row>
    <row r="382" spans="2:25" ht="15" customHeight="1">
      <c r="B382" s="383" t="s">
        <v>1053</v>
      </c>
      <c r="X382" s="171" t="s">
        <v>1060</v>
      </c>
      <c r="Y382" s="5">
        <v>20</v>
      </c>
    </row>
    <row r="383" spans="2:25" ht="15" customHeight="1">
      <c r="B383" s="383" t="s">
        <v>1054</v>
      </c>
      <c r="X383" s="171" t="s">
        <v>1060</v>
      </c>
      <c r="Y383" s="5">
        <v>21</v>
      </c>
    </row>
    <row r="384" spans="2:25" ht="15" customHeight="1">
      <c r="B384" s="383" t="s">
        <v>1055</v>
      </c>
      <c r="X384" s="171" t="s">
        <v>1060</v>
      </c>
      <c r="Y384" s="5">
        <v>22</v>
      </c>
    </row>
    <row r="385" spans="2:29" ht="15" customHeight="1">
      <c r="B385" s="383" t="s">
        <v>1056</v>
      </c>
      <c r="X385" s="171" t="s">
        <v>1060</v>
      </c>
      <c r="Y385" s="5">
        <v>23</v>
      </c>
    </row>
    <row r="386" spans="2:29" ht="15" customHeight="1">
      <c r="B386" s="383" t="s">
        <v>1057</v>
      </c>
      <c r="X386" s="171" t="s">
        <v>1060</v>
      </c>
      <c r="Y386" s="5">
        <v>24</v>
      </c>
    </row>
    <row r="387" spans="2:29" ht="15" customHeight="1">
      <c r="B387" s="382" t="s">
        <v>1058</v>
      </c>
      <c r="C387" s="480"/>
      <c r="D387" s="24"/>
      <c r="E387" s="27"/>
      <c r="F387" s="24"/>
      <c r="G387" s="27"/>
      <c r="H387" s="27"/>
      <c r="I387" s="27"/>
      <c r="J387" s="24"/>
      <c r="K387" s="27"/>
      <c r="L387" s="24"/>
      <c r="M387" s="27"/>
      <c r="N387" s="27"/>
      <c r="O387" s="27"/>
      <c r="P387" s="27"/>
      <c r="Q387" s="24"/>
      <c r="R387" s="382"/>
      <c r="S387" s="382"/>
      <c r="T387" s="382"/>
      <c r="U387" s="386"/>
      <c r="V387" s="27"/>
      <c r="W387" s="24"/>
      <c r="X387" s="172" t="s">
        <v>1060</v>
      </c>
      <c r="Y387" s="24">
        <v>25</v>
      </c>
      <c r="Z387" s="154" t="s">
        <v>1061</v>
      </c>
      <c r="AA387" s="24">
        <v>2</v>
      </c>
      <c r="AB387" s="154"/>
      <c r="AC387" s="173"/>
    </row>
    <row r="388" spans="2:29" ht="15" customHeight="1">
      <c r="G388" s="2">
        <f>SUM(G1:G349)</f>
        <v>3746644</v>
      </c>
      <c r="H388" s="2">
        <f t="shared" ref="H388:J388" si="4">SUM(H1:H349)</f>
        <v>3648282</v>
      </c>
      <c r="I388" s="2">
        <f t="shared" si="4"/>
        <v>2318046</v>
      </c>
      <c r="J388" s="2">
        <f t="shared" si="4"/>
        <v>2625914</v>
      </c>
    </row>
  </sheetData>
  <mergeCells count="11">
    <mergeCell ref="R2:S3"/>
    <mergeCell ref="T2:U3"/>
    <mergeCell ref="X2:AC2"/>
    <mergeCell ref="C2:C3"/>
    <mergeCell ref="B2:B3"/>
    <mergeCell ref="E2:F2"/>
    <mergeCell ref="G2:J2"/>
    <mergeCell ref="K2:Q2"/>
    <mergeCell ref="D2:D3"/>
    <mergeCell ref="V2:V3"/>
    <mergeCell ref="W2:W3"/>
  </mergeCells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rgb="FF66CCFF"/>
  </sheetPr>
  <dimension ref="B1:Z219"/>
  <sheetViews>
    <sheetView workbookViewId="0">
      <pane xSplit="3" ySplit="3" topLeftCell="D157" activePane="bottomRight" state="frozen"/>
      <selection pane="topRight" activeCell="C1" sqref="C1"/>
      <selection pane="bottomLeft" activeCell="A4" sqref="A4"/>
      <selection pane="bottomRight" activeCell="K88" sqref="K88"/>
    </sheetView>
  </sheetViews>
  <sheetFormatPr defaultColWidth="9" defaultRowHeight="15" customHeight="1"/>
  <cols>
    <col min="1" max="1" width="4.28515625" style="2" customWidth="1"/>
    <col min="2" max="2" width="9" style="2" customWidth="1"/>
    <col min="3" max="3" width="17.85546875" style="1" customWidth="1"/>
    <col min="4" max="4" width="10" style="135" customWidth="1"/>
    <col min="5" max="5" width="10" style="5" customWidth="1"/>
    <col min="6" max="6" width="9" style="2"/>
    <col min="7" max="7" width="9" style="5"/>
    <col min="8" max="11" width="9" style="2"/>
    <col min="12" max="12" width="9" style="5" customWidth="1"/>
    <col min="13" max="13" width="9" style="2"/>
    <col min="14" max="14" width="9" style="5"/>
    <col min="15" max="18" width="9" style="2"/>
    <col min="19" max="19" width="9" style="5"/>
    <col min="20" max="20" width="22.28515625" style="43" customWidth="1"/>
    <col min="21" max="21" width="7.7109375" style="21" customWidth="1"/>
    <col min="22" max="22" width="8.5703125" style="156" customWidth="1"/>
    <col min="23" max="23" width="19.140625" style="391" customWidth="1"/>
    <col min="24" max="24" width="18.7109375" style="4" customWidth="1"/>
    <col min="25" max="25" width="9" style="28"/>
    <col min="26" max="16384" width="9" style="2"/>
  </cols>
  <sheetData>
    <row r="1" spans="2:26" ht="15" customHeight="1">
      <c r="D1" s="133"/>
      <c r="E1" s="2"/>
      <c r="G1" s="2"/>
      <c r="L1" s="2"/>
      <c r="M1" s="1"/>
      <c r="N1" s="1"/>
      <c r="O1" s="1"/>
      <c r="P1" s="1"/>
      <c r="Q1" s="1"/>
      <c r="R1" s="1"/>
      <c r="S1" s="1"/>
      <c r="T1" s="152"/>
      <c r="U1" s="456"/>
      <c r="V1" s="457"/>
      <c r="W1" s="404"/>
      <c r="X1" s="1"/>
    </row>
    <row r="2" spans="2:26" s="1" customFormat="1" ht="30" customHeight="1">
      <c r="B2" s="784" t="s">
        <v>207</v>
      </c>
      <c r="C2" s="784" t="s">
        <v>60</v>
      </c>
      <c r="D2" s="698" t="s">
        <v>52</v>
      </c>
      <c r="E2" s="761" t="s">
        <v>75</v>
      </c>
      <c r="F2" s="804" t="s">
        <v>56</v>
      </c>
      <c r="G2" s="804"/>
      <c r="H2" s="811" t="s">
        <v>81</v>
      </c>
      <c r="I2" s="812"/>
      <c r="J2" s="812"/>
      <c r="K2" s="812"/>
      <c r="L2" s="813"/>
      <c r="M2" s="810" t="s">
        <v>14</v>
      </c>
      <c r="N2" s="810"/>
      <c r="O2" s="810"/>
      <c r="P2" s="810"/>
      <c r="Q2" s="810"/>
      <c r="R2" s="810"/>
      <c r="S2" s="810"/>
      <c r="T2" s="683" t="s">
        <v>59</v>
      </c>
      <c r="U2" s="678"/>
      <c r="V2" s="679"/>
      <c r="W2" s="679" t="s">
        <v>53</v>
      </c>
      <c r="X2" s="679" t="s">
        <v>54</v>
      </c>
      <c r="Z2" s="29"/>
    </row>
    <row r="3" spans="2:26" s="22" customFormat="1" ht="30" customHeight="1">
      <c r="B3" s="784"/>
      <c r="C3" s="784"/>
      <c r="D3" s="698"/>
      <c r="E3" s="761"/>
      <c r="F3" s="97" t="s">
        <v>57</v>
      </c>
      <c r="G3" s="98" t="s">
        <v>58</v>
      </c>
      <c r="H3" s="97" t="s">
        <v>134</v>
      </c>
      <c r="I3" s="98" t="s">
        <v>135</v>
      </c>
      <c r="J3" s="98" t="s">
        <v>136</v>
      </c>
      <c r="K3" s="98" t="s">
        <v>137</v>
      </c>
      <c r="L3" s="98" t="s">
        <v>4</v>
      </c>
      <c r="M3" s="105" t="s">
        <v>28</v>
      </c>
      <c r="N3" s="104" t="s">
        <v>27</v>
      </c>
      <c r="O3" s="104" t="s">
        <v>0</v>
      </c>
      <c r="P3" s="104" t="s">
        <v>1</v>
      </c>
      <c r="Q3" s="104" t="s">
        <v>2</v>
      </c>
      <c r="R3" s="104" t="s">
        <v>3</v>
      </c>
      <c r="S3" s="104" t="s">
        <v>4</v>
      </c>
      <c r="T3" s="398" t="s">
        <v>279</v>
      </c>
      <c r="U3" s="458" t="s">
        <v>1150</v>
      </c>
      <c r="V3" s="435" t="s">
        <v>1151</v>
      </c>
      <c r="W3" s="701"/>
      <c r="X3" s="701"/>
    </row>
    <row r="4" spans="2:26" ht="15" customHeight="1">
      <c r="B4" s="699" t="s">
        <v>208</v>
      </c>
      <c r="C4" s="167" t="s">
        <v>51</v>
      </c>
      <c r="D4" s="135">
        <v>9.7222222222222224E-3</v>
      </c>
      <c r="E4" s="5">
        <v>70</v>
      </c>
      <c r="F4" s="11">
        <v>48000</v>
      </c>
      <c r="G4" s="5">
        <v>11</v>
      </c>
      <c r="H4" s="11"/>
      <c r="I4" s="11"/>
      <c r="J4" s="11"/>
      <c r="K4" s="11"/>
      <c r="L4" s="5">
        <v>225</v>
      </c>
      <c r="M4" s="18">
        <v>1000</v>
      </c>
      <c r="N4" s="19">
        <v>75</v>
      </c>
      <c r="O4" s="18"/>
      <c r="P4" s="18"/>
      <c r="Q4" s="18"/>
      <c r="R4" s="18"/>
      <c r="S4" s="19">
        <v>387</v>
      </c>
      <c r="T4" s="170" t="s">
        <v>383</v>
      </c>
      <c r="U4" s="11">
        <v>1</v>
      </c>
      <c r="V4" s="5"/>
      <c r="W4" s="391" t="s">
        <v>55</v>
      </c>
      <c r="X4" s="151"/>
    </row>
    <row r="5" spans="2:26" ht="15" customHeight="1">
      <c r="B5" s="699"/>
      <c r="C5" s="167" t="s">
        <v>374</v>
      </c>
      <c r="D5" s="135">
        <v>3.125E-2</v>
      </c>
      <c r="E5" s="5">
        <v>130</v>
      </c>
      <c r="F5" s="11">
        <v>96000</v>
      </c>
      <c r="G5" s="5">
        <v>33</v>
      </c>
      <c r="H5" s="11"/>
      <c r="I5" s="11"/>
      <c r="J5" s="11"/>
      <c r="K5" s="11"/>
      <c r="L5" s="5">
        <v>675</v>
      </c>
      <c r="M5" s="18">
        <v>1000</v>
      </c>
      <c r="N5" s="19">
        <v>30</v>
      </c>
      <c r="O5" s="18"/>
      <c r="P5" s="18"/>
      <c r="Q5" s="18"/>
      <c r="R5" s="18"/>
      <c r="S5" s="19">
        <v>750</v>
      </c>
      <c r="T5" s="170" t="s">
        <v>383</v>
      </c>
      <c r="U5" s="11">
        <v>2</v>
      </c>
      <c r="V5" s="5"/>
      <c r="W5" s="391" t="s">
        <v>366</v>
      </c>
      <c r="X5" s="168"/>
    </row>
    <row r="6" spans="2:26" ht="15" customHeight="1">
      <c r="B6" s="699"/>
      <c r="C6" s="167" t="s">
        <v>375</v>
      </c>
      <c r="D6" s="135">
        <v>9.375E-2</v>
      </c>
      <c r="E6" s="5">
        <v>300</v>
      </c>
      <c r="F6" s="11">
        <v>144000</v>
      </c>
      <c r="G6" s="5">
        <v>101</v>
      </c>
      <c r="H6" s="11"/>
      <c r="I6" s="11"/>
      <c r="J6" s="11"/>
      <c r="K6" s="11"/>
      <c r="L6" s="5">
        <v>2025</v>
      </c>
      <c r="M6" s="18">
        <v>1000</v>
      </c>
      <c r="N6" s="19">
        <v>110</v>
      </c>
      <c r="O6" s="18"/>
      <c r="P6" s="18"/>
      <c r="Q6" s="18"/>
      <c r="R6" s="18"/>
      <c r="S6" s="19">
        <v>1500</v>
      </c>
      <c r="T6" s="170" t="s">
        <v>383</v>
      </c>
      <c r="U6" s="11">
        <v>3</v>
      </c>
      <c r="V6" s="5"/>
      <c r="W6" s="391" t="s">
        <v>522</v>
      </c>
      <c r="X6" s="168"/>
    </row>
    <row r="7" spans="2:26" ht="15" customHeight="1">
      <c r="B7" s="699"/>
      <c r="C7" s="167" t="s">
        <v>376</v>
      </c>
      <c r="D7" s="135">
        <v>0.5625</v>
      </c>
      <c r="E7" s="5">
        <v>1000</v>
      </c>
      <c r="F7" s="11">
        <v>192000</v>
      </c>
      <c r="G7" s="5">
        <v>303</v>
      </c>
      <c r="H7" s="11"/>
      <c r="I7" s="11"/>
      <c r="J7" s="11"/>
      <c r="K7" s="11"/>
      <c r="L7" s="5">
        <v>6075</v>
      </c>
      <c r="M7" s="18">
        <v>3000</v>
      </c>
      <c r="N7" s="19">
        <v>275</v>
      </c>
      <c r="O7" s="18"/>
      <c r="P7" s="18"/>
      <c r="Q7" s="18"/>
      <c r="R7" s="18"/>
      <c r="S7" s="19">
        <v>6000</v>
      </c>
      <c r="T7" s="170" t="s">
        <v>383</v>
      </c>
      <c r="U7" s="11">
        <v>4</v>
      </c>
      <c r="V7" s="5"/>
      <c r="W7" s="391" t="s">
        <v>349</v>
      </c>
      <c r="X7" s="168"/>
    </row>
    <row r="8" spans="2:26" ht="15" customHeight="1">
      <c r="B8" s="699"/>
      <c r="C8" s="167" t="s">
        <v>377</v>
      </c>
      <c r="D8" s="135">
        <v>1.6875</v>
      </c>
      <c r="E8" s="5">
        <v>4400</v>
      </c>
      <c r="F8" s="11">
        <v>240000</v>
      </c>
      <c r="G8" s="5">
        <v>911</v>
      </c>
      <c r="H8" s="11"/>
      <c r="I8" s="11"/>
      <c r="J8" s="11"/>
      <c r="K8" s="11"/>
      <c r="L8" s="5">
        <v>18225</v>
      </c>
      <c r="M8" s="18">
        <v>6000</v>
      </c>
      <c r="N8" s="19">
        <v>700</v>
      </c>
      <c r="O8" s="18"/>
      <c r="P8" s="18"/>
      <c r="Q8" s="18"/>
      <c r="R8" s="18"/>
      <c r="S8" s="19">
        <v>6000</v>
      </c>
      <c r="T8" s="170" t="s">
        <v>383</v>
      </c>
      <c r="U8" s="11">
        <v>5</v>
      </c>
      <c r="V8" s="5"/>
      <c r="W8" s="466" t="s">
        <v>1165</v>
      </c>
      <c r="X8" s="168"/>
    </row>
    <row r="9" spans="2:26" ht="15" customHeight="1">
      <c r="B9" s="699"/>
      <c r="C9" s="167" t="s">
        <v>378</v>
      </c>
      <c r="F9" s="11"/>
      <c r="H9" s="11"/>
      <c r="I9" s="11"/>
      <c r="J9" s="11"/>
      <c r="K9" s="11"/>
      <c r="M9" s="18"/>
      <c r="N9" s="19"/>
      <c r="O9" s="18"/>
      <c r="P9" s="18"/>
      <c r="Q9" s="18"/>
      <c r="R9" s="18"/>
      <c r="S9" s="19"/>
      <c r="T9" s="170" t="s">
        <v>383</v>
      </c>
      <c r="U9" s="11">
        <v>6</v>
      </c>
      <c r="V9" s="5"/>
      <c r="X9" s="168"/>
    </row>
    <row r="10" spans="2:26" ht="15" customHeight="1">
      <c r="B10" s="699"/>
      <c r="C10" s="167" t="s">
        <v>379</v>
      </c>
      <c r="F10" s="11"/>
      <c r="H10" s="11"/>
      <c r="I10" s="11"/>
      <c r="J10" s="11"/>
      <c r="K10" s="11"/>
      <c r="M10" s="18"/>
      <c r="N10" s="19"/>
      <c r="O10" s="18"/>
      <c r="P10" s="18"/>
      <c r="Q10" s="18"/>
      <c r="R10" s="18"/>
      <c r="S10" s="19"/>
      <c r="T10" s="170" t="s">
        <v>383</v>
      </c>
      <c r="U10" s="11">
        <v>7</v>
      </c>
      <c r="V10" s="5"/>
      <c r="X10" s="168"/>
    </row>
    <row r="11" spans="2:26" ht="15" customHeight="1">
      <c r="B11" s="699"/>
      <c r="C11" s="167" t="s">
        <v>380</v>
      </c>
      <c r="F11" s="11"/>
      <c r="H11" s="11"/>
      <c r="I11" s="11"/>
      <c r="J11" s="11"/>
      <c r="K11" s="11"/>
      <c r="M11" s="18"/>
      <c r="N11" s="19"/>
      <c r="O11" s="18"/>
      <c r="P11" s="18"/>
      <c r="Q11" s="18"/>
      <c r="R11" s="18"/>
      <c r="S11" s="19"/>
      <c r="T11" s="170" t="s">
        <v>383</v>
      </c>
      <c r="U11" s="11">
        <v>8</v>
      </c>
      <c r="V11" s="5"/>
      <c r="X11" s="168"/>
    </row>
    <row r="12" spans="2:26" ht="15" customHeight="1">
      <c r="B12" s="699"/>
      <c r="C12" s="167" t="s">
        <v>381</v>
      </c>
      <c r="F12" s="11"/>
      <c r="H12" s="11"/>
      <c r="I12" s="11"/>
      <c r="J12" s="11"/>
      <c r="K12" s="11"/>
      <c r="M12" s="18"/>
      <c r="N12" s="19"/>
      <c r="O12" s="18"/>
      <c r="P12" s="18"/>
      <c r="Q12" s="18"/>
      <c r="R12" s="18"/>
      <c r="S12" s="19"/>
      <c r="T12" s="170" t="s">
        <v>383</v>
      </c>
      <c r="U12" s="11">
        <v>9</v>
      </c>
      <c r="V12" s="5"/>
      <c r="X12" s="168"/>
    </row>
    <row r="13" spans="2:26" ht="15" customHeight="1">
      <c r="B13" s="699"/>
      <c r="C13" s="34" t="s">
        <v>382</v>
      </c>
      <c r="D13" s="427"/>
      <c r="E13" s="24"/>
      <c r="F13" s="27"/>
      <c r="G13" s="24"/>
      <c r="H13" s="27"/>
      <c r="I13" s="27"/>
      <c r="J13" s="27"/>
      <c r="K13" s="27"/>
      <c r="L13" s="24"/>
      <c r="M13" s="25"/>
      <c r="N13" s="26"/>
      <c r="O13" s="25"/>
      <c r="P13" s="25"/>
      <c r="Q13" s="25"/>
      <c r="R13" s="25"/>
      <c r="S13" s="26"/>
      <c r="T13" s="196" t="s">
        <v>383</v>
      </c>
      <c r="U13" s="27">
        <v>10</v>
      </c>
      <c r="V13" s="24"/>
      <c r="W13" s="403"/>
      <c r="X13" s="89"/>
    </row>
    <row r="14" spans="2:26" ht="15" customHeight="1">
      <c r="B14" s="699"/>
      <c r="C14" s="165" t="s">
        <v>372</v>
      </c>
      <c r="D14" s="428">
        <v>6.25E-2</v>
      </c>
      <c r="E14" s="206">
        <v>300</v>
      </c>
      <c r="F14" s="207">
        <v>120000</v>
      </c>
      <c r="G14" s="206">
        <v>750</v>
      </c>
      <c r="H14" s="207">
        <v>1000</v>
      </c>
      <c r="I14" s="207">
        <v>1000</v>
      </c>
      <c r="J14" s="207">
        <v>1000</v>
      </c>
      <c r="K14" s="207">
        <v>1000</v>
      </c>
      <c r="L14" s="206">
        <v>15000</v>
      </c>
      <c r="M14" s="208">
        <v>15000</v>
      </c>
      <c r="N14" s="209">
        <v>25</v>
      </c>
      <c r="O14" s="208">
        <v>1000</v>
      </c>
      <c r="P14" s="208">
        <v>1000</v>
      </c>
      <c r="Q14" s="208">
        <v>1000</v>
      </c>
      <c r="R14" s="208">
        <v>1000</v>
      </c>
      <c r="S14" s="209">
        <v>9000</v>
      </c>
      <c r="T14" s="165" t="s">
        <v>384</v>
      </c>
      <c r="U14" s="461">
        <v>0.2</v>
      </c>
      <c r="V14" s="436">
        <v>0.2</v>
      </c>
      <c r="W14" s="394" t="s">
        <v>50</v>
      </c>
      <c r="X14" s="166" t="s">
        <v>373</v>
      </c>
    </row>
    <row r="15" spans="2:26" ht="15" customHeight="1">
      <c r="B15" s="699"/>
      <c r="C15" s="167" t="s">
        <v>469</v>
      </c>
      <c r="D15" s="135">
        <v>0.125</v>
      </c>
      <c r="E15" s="5">
        <v>300</v>
      </c>
      <c r="F15" s="11">
        <v>30000</v>
      </c>
      <c r="G15" s="5">
        <v>300</v>
      </c>
      <c r="H15" s="11">
        <v>0</v>
      </c>
      <c r="I15" s="11">
        <v>5000</v>
      </c>
      <c r="J15" s="11">
        <v>3750</v>
      </c>
      <c r="K15" s="11">
        <v>5000</v>
      </c>
      <c r="L15" s="5">
        <v>6000</v>
      </c>
      <c r="M15" s="18">
        <v>6000</v>
      </c>
      <c r="N15" s="19">
        <v>50</v>
      </c>
      <c r="O15" s="18">
        <v>0</v>
      </c>
      <c r="P15" s="18">
        <v>7000</v>
      </c>
      <c r="Q15" s="18">
        <v>5000</v>
      </c>
      <c r="R15" s="18">
        <v>7000</v>
      </c>
      <c r="S15" s="19">
        <v>4000</v>
      </c>
      <c r="T15" s="164" t="s">
        <v>481</v>
      </c>
      <c r="U15" s="21">
        <v>0.01</v>
      </c>
      <c r="V15" s="156">
        <f>SUM(U15:U15)</f>
        <v>0.01</v>
      </c>
      <c r="W15" s="391" t="s">
        <v>470</v>
      </c>
      <c r="X15" s="168" t="s">
        <v>471</v>
      </c>
    </row>
    <row r="16" spans="2:26" ht="15" customHeight="1">
      <c r="B16" s="699"/>
      <c r="C16" s="167" t="s">
        <v>472</v>
      </c>
      <c r="D16" s="135">
        <v>0.27430555555555552</v>
      </c>
      <c r="E16" s="5">
        <v>650</v>
      </c>
      <c r="F16" s="11">
        <v>60000</v>
      </c>
      <c r="G16" s="5">
        <v>750</v>
      </c>
      <c r="H16" s="11">
        <v>0</v>
      </c>
      <c r="I16" s="11">
        <v>10000</v>
      </c>
      <c r="J16" s="11">
        <v>7500</v>
      </c>
      <c r="K16" s="11">
        <v>10000</v>
      </c>
      <c r="L16" s="5">
        <v>15000</v>
      </c>
      <c r="M16" s="18">
        <v>11000</v>
      </c>
      <c r="N16" s="19">
        <v>50</v>
      </c>
      <c r="O16" s="18">
        <v>0</v>
      </c>
      <c r="P16" s="18">
        <v>18000</v>
      </c>
      <c r="Q16" s="18">
        <v>13000</v>
      </c>
      <c r="R16" s="18">
        <v>18000</v>
      </c>
      <c r="S16" s="19">
        <v>13500</v>
      </c>
      <c r="T16" s="170" t="s">
        <v>481</v>
      </c>
      <c r="U16" s="21">
        <v>0.02</v>
      </c>
      <c r="V16" s="156">
        <f>SUM(U15:U16)</f>
        <v>0.03</v>
      </c>
      <c r="W16" s="391" t="s">
        <v>520</v>
      </c>
      <c r="X16" s="168"/>
    </row>
    <row r="17" spans="2:24" ht="15" customHeight="1">
      <c r="B17" s="699"/>
      <c r="C17" s="167" t="s">
        <v>473</v>
      </c>
      <c r="D17" s="135">
        <v>0.60300925925925919</v>
      </c>
      <c r="E17" s="5">
        <v>1000</v>
      </c>
      <c r="F17" s="11">
        <v>90000</v>
      </c>
      <c r="G17" s="5">
        <v>1875</v>
      </c>
      <c r="H17" s="11">
        <v>0</v>
      </c>
      <c r="I17" s="11">
        <v>20000</v>
      </c>
      <c r="J17" s="11">
        <v>15000</v>
      </c>
      <c r="K17" s="11">
        <v>20000</v>
      </c>
      <c r="L17" s="5">
        <v>37500</v>
      </c>
      <c r="M17" s="18">
        <v>18000</v>
      </c>
      <c r="N17" s="19">
        <v>125</v>
      </c>
      <c r="O17" s="18">
        <v>0</v>
      </c>
      <c r="P17" s="18">
        <v>40000</v>
      </c>
      <c r="Q17" s="18">
        <v>30000</v>
      </c>
      <c r="R17" s="18">
        <v>40000</v>
      </c>
      <c r="S17" s="19">
        <v>37500</v>
      </c>
      <c r="T17" s="170" t="s">
        <v>481</v>
      </c>
      <c r="U17" s="21">
        <v>0.04</v>
      </c>
      <c r="V17" s="156">
        <f>SUM(U15:U17)</f>
        <v>7.0000000000000007E-2</v>
      </c>
      <c r="W17" s="468" t="s">
        <v>1178</v>
      </c>
      <c r="X17" s="168"/>
    </row>
    <row r="18" spans="2:24" ht="15" customHeight="1">
      <c r="B18" s="699"/>
      <c r="C18" s="167" t="s">
        <v>474</v>
      </c>
      <c r="D18" s="135">
        <v>1.3263888888888888</v>
      </c>
      <c r="E18" s="5">
        <v>1500</v>
      </c>
      <c r="F18" s="11">
        <v>120000</v>
      </c>
      <c r="G18" s="5">
        <v>4685</v>
      </c>
      <c r="H18" s="11">
        <v>0</v>
      </c>
      <c r="I18" s="11">
        <v>40000</v>
      </c>
      <c r="J18" s="11">
        <v>30000</v>
      </c>
      <c r="K18" s="11">
        <v>40000</v>
      </c>
      <c r="L18" s="5">
        <v>93700</v>
      </c>
      <c r="M18" s="18">
        <v>35000</v>
      </c>
      <c r="N18" s="19">
        <v>275</v>
      </c>
      <c r="O18" s="18">
        <v>0</v>
      </c>
      <c r="P18" s="18">
        <v>26000</v>
      </c>
      <c r="Q18" s="18">
        <v>20000</v>
      </c>
      <c r="R18" s="18">
        <v>26000</v>
      </c>
      <c r="S18" s="19">
        <v>31000</v>
      </c>
      <c r="T18" s="170" t="s">
        <v>481</v>
      </c>
      <c r="U18" s="21">
        <v>0.06</v>
      </c>
      <c r="V18" s="156">
        <f>SUM(U15:U18)</f>
        <v>0.13</v>
      </c>
      <c r="W18" s="471" t="s">
        <v>1186</v>
      </c>
      <c r="X18" s="168"/>
    </row>
    <row r="19" spans="2:24" ht="15" customHeight="1">
      <c r="B19" s="699"/>
      <c r="C19" s="167" t="s">
        <v>475</v>
      </c>
      <c r="F19" s="11"/>
      <c r="H19" s="11"/>
      <c r="I19" s="11"/>
      <c r="J19" s="11"/>
      <c r="K19" s="11"/>
      <c r="M19" s="18"/>
      <c r="N19" s="19"/>
      <c r="O19" s="18"/>
      <c r="P19" s="18"/>
      <c r="Q19" s="18"/>
      <c r="R19" s="18"/>
      <c r="S19" s="19"/>
      <c r="T19" s="170" t="s">
        <v>481</v>
      </c>
      <c r="U19" s="21">
        <v>0.08</v>
      </c>
      <c r="V19" s="156">
        <f>SUM(U15:U19)</f>
        <v>0.21000000000000002</v>
      </c>
      <c r="X19" s="168"/>
    </row>
    <row r="20" spans="2:24" ht="15" customHeight="1">
      <c r="B20" s="699"/>
      <c r="C20" s="167" t="s">
        <v>476</v>
      </c>
      <c r="F20" s="11"/>
      <c r="H20" s="11"/>
      <c r="I20" s="11"/>
      <c r="J20" s="11"/>
      <c r="K20" s="11"/>
      <c r="M20" s="18"/>
      <c r="N20" s="19"/>
      <c r="O20" s="18"/>
      <c r="P20" s="18"/>
      <c r="Q20" s="18"/>
      <c r="R20" s="18"/>
      <c r="S20" s="19"/>
      <c r="T20" s="170" t="s">
        <v>481</v>
      </c>
      <c r="U20" s="21">
        <v>0.1</v>
      </c>
      <c r="V20" s="156">
        <f>SUM(U15:U20)</f>
        <v>0.31000000000000005</v>
      </c>
      <c r="X20" s="168"/>
    </row>
    <row r="21" spans="2:24" ht="15" customHeight="1">
      <c r="B21" s="699"/>
      <c r="C21" s="167" t="s">
        <v>477</v>
      </c>
      <c r="F21" s="11"/>
      <c r="H21" s="11"/>
      <c r="I21" s="11"/>
      <c r="J21" s="11"/>
      <c r="K21" s="11"/>
      <c r="M21" s="18"/>
      <c r="N21" s="19"/>
      <c r="O21" s="18"/>
      <c r="P21" s="18"/>
      <c r="Q21" s="18"/>
      <c r="R21" s="18"/>
      <c r="S21" s="19"/>
      <c r="T21" s="170" t="s">
        <v>481</v>
      </c>
      <c r="U21" s="21">
        <v>0.15</v>
      </c>
      <c r="V21" s="156">
        <f>SUM(U15:U21)</f>
        <v>0.46000000000000008</v>
      </c>
      <c r="X21" s="168"/>
    </row>
    <row r="22" spans="2:24" ht="15" customHeight="1">
      <c r="B22" s="699"/>
      <c r="C22" s="167" t="s">
        <v>478</v>
      </c>
      <c r="F22" s="11"/>
      <c r="H22" s="11"/>
      <c r="I22" s="11"/>
      <c r="J22" s="11"/>
      <c r="K22" s="11"/>
      <c r="M22" s="18"/>
      <c r="N22" s="19"/>
      <c r="O22" s="18"/>
      <c r="P22" s="18"/>
      <c r="Q22" s="18"/>
      <c r="R22" s="18"/>
      <c r="S22" s="19"/>
      <c r="T22" s="170" t="s">
        <v>481</v>
      </c>
      <c r="U22" s="21">
        <v>0.2</v>
      </c>
      <c r="V22" s="156">
        <f>SUM(U15:U22)</f>
        <v>0.66000000000000014</v>
      </c>
      <c r="X22" s="168"/>
    </row>
    <row r="23" spans="2:24" ht="15" customHeight="1">
      <c r="B23" s="699"/>
      <c r="C23" s="167" t="s">
        <v>479</v>
      </c>
      <c r="F23" s="11"/>
      <c r="H23" s="11"/>
      <c r="I23" s="11"/>
      <c r="J23" s="11"/>
      <c r="K23" s="11"/>
      <c r="M23" s="18"/>
      <c r="N23" s="19"/>
      <c r="O23" s="18"/>
      <c r="P23" s="18"/>
      <c r="Q23" s="18"/>
      <c r="R23" s="18"/>
      <c r="S23" s="19"/>
      <c r="T23" s="170" t="s">
        <v>481</v>
      </c>
      <c r="U23" s="21">
        <v>0.25</v>
      </c>
      <c r="V23" s="156">
        <f>SUM(U15:U23)</f>
        <v>0.91000000000000014</v>
      </c>
      <c r="X23" s="168"/>
    </row>
    <row r="24" spans="2:24" ht="15" customHeight="1">
      <c r="B24" s="699"/>
      <c r="C24" s="34" t="s">
        <v>480</v>
      </c>
      <c r="D24" s="427"/>
      <c r="E24" s="24"/>
      <c r="F24" s="27"/>
      <c r="G24" s="24"/>
      <c r="H24" s="27"/>
      <c r="I24" s="27"/>
      <c r="J24" s="27"/>
      <c r="K24" s="27"/>
      <c r="L24" s="24"/>
      <c r="M24" s="25"/>
      <c r="N24" s="26"/>
      <c r="O24" s="25"/>
      <c r="P24" s="25"/>
      <c r="Q24" s="25"/>
      <c r="R24" s="25"/>
      <c r="S24" s="26"/>
      <c r="T24" s="196" t="s">
        <v>481</v>
      </c>
      <c r="U24" s="195">
        <v>0.4</v>
      </c>
      <c r="V24" s="173">
        <f>SUM(U15:U24)</f>
        <v>1.31</v>
      </c>
      <c r="W24" s="403"/>
      <c r="X24" s="89"/>
    </row>
    <row r="25" spans="2:24" ht="15" customHeight="1">
      <c r="B25" s="699"/>
      <c r="C25" s="278" t="s">
        <v>777</v>
      </c>
      <c r="D25" s="135">
        <v>0.1875</v>
      </c>
      <c r="E25" s="5">
        <v>650</v>
      </c>
      <c r="F25" s="11">
        <v>30000</v>
      </c>
      <c r="G25" s="5">
        <v>400</v>
      </c>
      <c r="H25" s="11">
        <v>0</v>
      </c>
      <c r="I25" s="11">
        <v>10000</v>
      </c>
      <c r="J25" s="11">
        <v>7500</v>
      </c>
      <c r="K25" s="11">
        <v>10000</v>
      </c>
      <c r="L25" s="5">
        <v>8000</v>
      </c>
      <c r="M25" s="18">
        <v>8000</v>
      </c>
      <c r="N25" s="19">
        <v>30</v>
      </c>
      <c r="O25" s="18">
        <v>0</v>
      </c>
      <c r="P25" s="18">
        <v>16000</v>
      </c>
      <c r="Q25" s="18">
        <v>12000</v>
      </c>
      <c r="R25" s="18">
        <v>16000</v>
      </c>
      <c r="S25" s="19">
        <v>6000</v>
      </c>
      <c r="T25" s="279" t="s">
        <v>787</v>
      </c>
      <c r="U25" s="21">
        <v>0.01</v>
      </c>
      <c r="V25" s="156">
        <f>SUM(U25:U25)</f>
        <v>0.01</v>
      </c>
      <c r="W25" s="391" t="s">
        <v>788</v>
      </c>
      <c r="X25" s="280" t="s">
        <v>789</v>
      </c>
    </row>
    <row r="26" spans="2:24" ht="15" customHeight="1">
      <c r="B26" s="699"/>
      <c r="C26" s="278" t="s">
        <v>778</v>
      </c>
      <c r="D26" s="135">
        <v>0.41203703703703703</v>
      </c>
      <c r="E26" s="5">
        <v>650</v>
      </c>
      <c r="F26" s="11">
        <v>60000</v>
      </c>
      <c r="G26" s="5">
        <v>1000</v>
      </c>
      <c r="H26" s="11">
        <v>0</v>
      </c>
      <c r="I26" s="11">
        <v>20000</v>
      </c>
      <c r="J26" s="11">
        <v>15000</v>
      </c>
      <c r="K26" s="11">
        <v>20000</v>
      </c>
      <c r="L26" s="5">
        <v>20000</v>
      </c>
      <c r="M26" s="18">
        <v>12000</v>
      </c>
      <c r="N26" s="19">
        <v>50</v>
      </c>
      <c r="O26" s="18">
        <v>0</v>
      </c>
      <c r="P26" s="18">
        <v>40000</v>
      </c>
      <c r="Q26" s="18">
        <v>30000</v>
      </c>
      <c r="R26" s="18">
        <v>40000</v>
      </c>
      <c r="S26" s="19">
        <v>20000</v>
      </c>
      <c r="T26" s="282" t="s">
        <v>787</v>
      </c>
      <c r="U26" s="21">
        <v>0.02</v>
      </c>
      <c r="V26" s="156">
        <f>SUM(U25:U26)</f>
        <v>0.03</v>
      </c>
      <c r="W26" s="391" t="s">
        <v>852</v>
      </c>
      <c r="X26" s="168"/>
    </row>
    <row r="27" spans="2:24" ht="15" customHeight="1">
      <c r="B27" s="699"/>
      <c r="C27" s="278" t="s">
        <v>779</v>
      </c>
      <c r="F27" s="11"/>
      <c r="H27" s="11"/>
      <c r="I27" s="11"/>
      <c r="J27" s="11"/>
      <c r="K27" s="11"/>
      <c r="M27" s="18"/>
      <c r="N27" s="19"/>
      <c r="O27" s="18"/>
      <c r="P27" s="18"/>
      <c r="Q27" s="18"/>
      <c r="R27" s="18"/>
      <c r="S27" s="19"/>
      <c r="T27" s="282" t="s">
        <v>787</v>
      </c>
      <c r="U27" s="21">
        <v>0.04</v>
      </c>
      <c r="V27" s="156">
        <f>SUM(U25:U27)</f>
        <v>7.0000000000000007E-2</v>
      </c>
      <c r="X27" s="168"/>
    </row>
    <row r="28" spans="2:24" ht="15" customHeight="1">
      <c r="B28" s="699"/>
      <c r="C28" s="278" t="s">
        <v>780</v>
      </c>
      <c r="F28" s="11"/>
      <c r="H28" s="11"/>
      <c r="I28" s="11"/>
      <c r="J28" s="11"/>
      <c r="K28" s="11"/>
      <c r="M28" s="18"/>
      <c r="N28" s="19"/>
      <c r="O28" s="18"/>
      <c r="P28" s="18"/>
      <c r="Q28" s="18"/>
      <c r="R28" s="18"/>
      <c r="S28" s="19"/>
      <c r="T28" s="282" t="s">
        <v>787</v>
      </c>
      <c r="U28" s="21">
        <v>0.06</v>
      </c>
      <c r="V28" s="156">
        <f>SUM(U25:U28)</f>
        <v>0.13</v>
      </c>
      <c r="X28" s="168"/>
    </row>
    <row r="29" spans="2:24" ht="15" customHeight="1">
      <c r="B29" s="699"/>
      <c r="C29" s="278" t="s">
        <v>781</v>
      </c>
      <c r="F29" s="11"/>
      <c r="H29" s="11"/>
      <c r="I29" s="11"/>
      <c r="J29" s="11"/>
      <c r="K29" s="11"/>
      <c r="M29" s="18"/>
      <c r="N29" s="19"/>
      <c r="O29" s="18"/>
      <c r="P29" s="18"/>
      <c r="Q29" s="18"/>
      <c r="R29" s="18"/>
      <c r="S29" s="19"/>
      <c r="T29" s="282" t="s">
        <v>787</v>
      </c>
      <c r="U29" s="21">
        <v>0.08</v>
      </c>
      <c r="V29" s="156">
        <f>SUM(U25:U29)</f>
        <v>0.21000000000000002</v>
      </c>
      <c r="X29" s="280"/>
    </row>
    <row r="30" spans="2:24" ht="15" customHeight="1">
      <c r="B30" s="699"/>
      <c r="C30" s="278" t="s">
        <v>782</v>
      </c>
      <c r="F30" s="11"/>
      <c r="H30" s="11"/>
      <c r="I30" s="11"/>
      <c r="J30" s="11"/>
      <c r="K30" s="11"/>
      <c r="M30" s="18"/>
      <c r="N30" s="19"/>
      <c r="O30" s="18"/>
      <c r="P30" s="18"/>
      <c r="Q30" s="18"/>
      <c r="R30" s="18"/>
      <c r="S30" s="19"/>
      <c r="T30" s="282" t="s">
        <v>787</v>
      </c>
      <c r="U30" s="21">
        <v>0.1</v>
      </c>
      <c r="V30" s="156">
        <f>SUM(U25:U30)</f>
        <v>0.31000000000000005</v>
      </c>
      <c r="X30" s="280"/>
    </row>
    <row r="31" spans="2:24" ht="15" customHeight="1">
      <c r="B31" s="699"/>
      <c r="C31" s="278" t="s">
        <v>783</v>
      </c>
      <c r="F31" s="11"/>
      <c r="H31" s="11"/>
      <c r="I31" s="11"/>
      <c r="J31" s="11"/>
      <c r="K31" s="11"/>
      <c r="M31" s="18"/>
      <c r="N31" s="19"/>
      <c r="O31" s="18"/>
      <c r="P31" s="18"/>
      <c r="Q31" s="18"/>
      <c r="R31" s="18"/>
      <c r="S31" s="19"/>
      <c r="T31" s="282" t="s">
        <v>787</v>
      </c>
      <c r="U31" s="21">
        <v>0.15</v>
      </c>
      <c r="V31" s="156">
        <f>SUM(U25:U31)</f>
        <v>0.46000000000000008</v>
      </c>
      <c r="X31" s="280"/>
    </row>
    <row r="32" spans="2:24" ht="15" customHeight="1">
      <c r="B32" s="699"/>
      <c r="C32" s="278" t="s">
        <v>784</v>
      </c>
      <c r="F32" s="11"/>
      <c r="H32" s="11"/>
      <c r="I32" s="11"/>
      <c r="J32" s="11"/>
      <c r="K32" s="11"/>
      <c r="M32" s="18"/>
      <c r="N32" s="19"/>
      <c r="O32" s="18"/>
      <c r="P32" s="18"/>
      <c r="Q32" s="18"/>
      <c r="R32" s="18"/>
      <c r="S32" s="19"/>
      <c r="T32" s="282" t="s">
        <v>787</v>
      </c>
      <c r="U32" s="21">
        <v>0.2</v>
      </c>
      <c r="V32" s="156">
        <f>SUM(U25:U32)</f>
        <v>0.66000000000000014</v>
      </c>
      <c r="X32" s="280"/>
    </row>
    <row r="33" spans="2:25" ht="15" customHeight="1">
      <c r="B33" s="699"/>
      <c r="C33" s="278" t="s">
        <v>785</v>
      </c>
      <c r="F33" s="11"/>
      <c r="H33" s="11"/>
      <c r="I33" s="11"/>
      <c r="J33" s="11"/>
      <c r="K33" s="11"/>
      <c r="M33" s="18"/>
      <c r="N33" s="19"/>
      <c r="O33" s="18"/>
      <c r="P33" s="18"/>
      <c r="Q33" s="18"/>
      <c r="R33" s="18"/>
      <c r="S33" s="19"/>
      <c r="T33" s="282" t="s">
        <v>787</v>
      </c>
      <c r="U33" s="21">
        <v>0.25</v>
      </c>
      <c r="V33" s="156">
        <f>SUM(U25:U33)</f>
        <v>0.91000000000000014</v>
      </c>
      <c r="X33" s="280"/>
    </row>
    <row r="34" spans="2:25" ht="15" customHeight="1">
      <c r="B34" s="699"/>
      <c r="C34" s="34" t="s">
        <v>786</v>
      </c>
      <c r="D34" s="427"/>
      <c r="E34" s="24"/>
      <c r="F34" s="27"/>
      <c r="G34" s="24"/>
      <c r="H34" s="27"/>
      <c r="I34" s="27"/>
      <c r="J34" s="27"/>
      <c r="K34" s="27"/>
      <c r="L34" s="24"/>
      <c r="M34" s="25"/>
      <c r="N34" s="26"/>
      <c r="O34" s="25"/>
      <c r="P34" s="25"/>
      <c r="Q34" s="25"/>
      <c r="R34" s="25"/>
      <c r="S34" s="26"/>
      <c r="T34" s="196" t="s">
        <v>787</v>
      </c>
      <c r="U34" s="195">
        <v>0.4</v>
      </c>
      <c r="V34" s="173">
        <f>SUM(U25:U34)</f>
        <v>1.31</v>
      </c>
      <c r="W34" s="403"/>
      <c r="X34" s="89"/>
    </row>
    <row r="35" spans="2:25" ht="15" customHeight="1">
      <c r="B35" s="699"/>
      <c r="C35" s="329" t="s">
        <v>913</v>
      </c>
      <c r="D35" s="135">
        <v>0.125</v>
      </c>
      <c r="E35" s="5">
        <v>300</v>
      </c>
      <c r="F35" s="11">
        <v>30000</v>
      </c>
      <c r="G35" s="5">
        <v>300</v>
      </c>
      <c r="H35" s="11">
        <v>5000</v>
      </c>
      <c r="I35" s="11">
        <v>5000</v>
      </c>
      <c r="J35" s="11">
        <v>0</v>
      </c>
      <c r="K35" s="11">
        <v>5000</v>
      </c>
      <c r="L35" s="5">
        <v>6000</v>
      </c>
      <c r="M35" s="18">
        <v>6000</v>
      </c>
      <c r="N35" s="19">
        <v>50</v>
      </c>
      <c r="O35" s="18">
        <v>7000</v>
      </c>
      <c r="P35" s="18">
        <v>7000</v>
      </c>
      <c r="Q35" s="18">
        <v>0</v>
      </c>
      <c r="R35" s="18">
        <v>7000</v>
      </c>
      <c r="S35" s="19">
        <v>4000</v>
      </c>
      <c r="T35" s="330" t="s">
        <v>955</v>
      </c>
      <c r="U35" s="21">
        <v>0.01</v>
      </c>
      <c r="V35" s="156">
        <f>SUM(U35:U35)</f>
        <v>0.01</v>
      </c>
      <c r="W35" s="391" t="s">
        <v>366</v>
      </c>
      <c r="X35" s="331" t="s">
        <v>372</v>
      </c>
    </row>
    <row r="36" spans="2:25" ht="15" customHeight="1">
      <c r="B36" s="699"/>
      <c r="C36" s="15" t="s">
        <v>914</v>
      </c>
      <c r="D36" s="221">
        <v>0.27430555555555552</v>
      </c>
      <c r="E36" s="19">
        <v>650</v>
      </c>
      <c r="F36" s="18">
        <v>60000</v>
      </c>
      <c r="G36" s="19">
        <v>750</v>
      </c>
      <c r="H36" s="18">
        <v>10000</v>
      </c>
      <c r="I36" s="18">
        <v>10000</v>
      </c>
      <c r="J36" s="18">
        <v>0</v>
      </c>
      <c r="K36" s="18">
        <v>10000</v>
      </c>
      <c r="L36" s="19">
        <v>15000</v>
      </c>
      <c r="M36" s="18">
        <v>11000</v>
      </c>
      <c r="N36" s="19">
        <v>50</v>
      </c>
      <c r="O36" s="18">
        <v>18000</v>
      </c>
      <c r="P36" s="18">
        <v>18000</v>
      </c>
      <c r="Q36" s="18">
        <v>0</v>
      </c>
      <c r="R36" s="18">
        <v>18000</v>
      </c>
      <c r="S36" s="19">
        <v>13500</v>
      </c>
      <c r="T36" s="333" t="s">
        <v>955</v>
      </c>
      <c r="U36" s="21">
        <v>0.02</v>
      </c>
      <c r="V36" s="156">
        <f>SUM(U35:U36)</f>
        <v>0.03</v>
      </c>
      <c r="W36" s="391" t="s">
        <v>957</v>
      </c>
      <c r="X36" s="331"/>
    </row>
    <row r="37" spans="2:25" ht="15" customHeight="1">
      <c r="B37" s="699"/>
      <c r="C37" s="329" t="s">
        <v>915</v>
      </c>
      <c r="D37" s="135">
        <v>0.60300925925925919</v>
      </c>
      <c r="E37" s="5">
        <v>1000</v>
      </c>
      <c r="F37" s="11">
        <v>90000</v>
      </c>
      <c r="G37" s="5">
        <v>1875</v>
      </c>
      <c r="H37" s="11">
        <v>20000</v>
      </c>
      <c r="I37" s="11">
        <v>20000</v>
      </c>
      <c r="J37" s="11">
        <v>0</v>
      </c>
      <c r="K37" s="11">
        <v>20000</v>
      </c>
      <c r="L37" s="5">
        <v>37500</v>
      </c>
      <c r="M37" s="18">
        <v>18000</v>
      </c>
      <c r="N37" s="19">
        <v>125</v>
      </c>
      <c r="O37" s="18">
        <v>40000</v>
      </c>
      <c r="P37" s="18">
        <v>40000</v>
      </c>
      <c r="Q37" s="18">
        <v>0</v>
      </c>
      <c r="R37" s="18">
        <v>40000</v>
      </c>
      <c r="S37" s="19">
        <v>37500</v>
      </c>
      <c r="T37" s="333" t="s">
        <v>955</v>
      </c>
      <c r="U37" s="21">
        <v>0.04</v>
      </c>
      <c r="V37" s="156">
        <f>SUM(U35:U37)</f>
        <v>7.0000000000000007E-2</v>
      </c>
      <c r="W37" s="471" t="s">
        <v>1179</v>
      </c>
      <c r="X37" s="331"/>
    </row>
    <row r="38" spans="2:25" ht="15" customHeight="1">
      <c r="B38" s="699"/>
      <c r="C38" s="329" t="s">
        <v>916</v>
      </c>
      <c r="F38" s="11"/>
      <c r="H38" s="11"/>
      <c r="I38" s="11"/>
      <c r="J38" s="11"/>
      <c r="K38" s="11"/>
      <c r="M38" s="18"/>
      <c r="N38" s="19"/>
      <c r="O38" s="18"/>
      <c r="P38" s="18"/>
      <c r="Q38" s="18"/>
      <c r="R38" s="18"/>
      <c r="S38" s="19"/>
      <c r="T38" s="333" t="s">
        <v>955</v>
      </c>
      <c r="U38" s="21">
        <v>0.06</v>
      </c>
      <c r="V38" s="156">
        <f>SUM(U35:U38)</f>
        <v>0.13</v>
      </c>
      <c r="X38" s="331"/>
    </row>
    <row r="39" spans="2:25" ht="15" customHeight="1">
      <c r="B39" s="699"/>
      <c r="C39" s="329" t="s">
        <v>917</v>
      </c>
      <c r="F39" s="11"/>
      <c r="H39" s="11"/>
      <c r="I39" s="11"/>
      <c r="J39" s="11"/>
      <c r="K39" s="11"/>
      <c r="M39" s="18"/>
      <c r="N39" s="19"/>
      <c r="O39" s="18"/>
      <c r="P39" s="18"/>
      <c r="Q39" s="18"/>
      <c r="R39" s="18"/>
      <c r="S39" s="19"/>
      <c r="T39" s="333" t="s">
        <v>955</v>
      </c>
      <c r="U39" s="21">
        <v>0.08</v>
      </c>
      <c r="V39" s="156">
        <f>SUM(U35:U39)</f>
        <v>0.21000000000000002</v>
      </c>
      <c r="X39" s="331"/>
    </row>
    <row r="40" spans="2:25" ht="15" customHeight="1">
      <c r="B40" s="699"/>
      <c r="C40" s="329" t="s">
        <v>918</v>
      </c>
      <c r="F40" s="11"/>
      <c r="H40" s="11"/>
      <c r="I40" s="11"/>
      <c r="J40" s="11"/>
      <c r="K40" s="11"/>
      <c r="M40" s="18"/>
      <c r="N40" s="19"/>
      <c r="O40" s="18"/>
      <c r="P40" s="18"/>
      <c r="Q40" s="18"/>
      <c r="R40" s="18"/>
      <c r="S40" s="19"/>
      <c r="T40" s="333" t="s">
        <v>955</v>
      </c>
      <c r="U40" s="21">
        <v>0.1</v>
      </c>
      <c r="V40" s="156">
        <f>SUM(U35:U40)</f>
        <v>0.31000000000000005</v>
      </c>
      <c r="X40" s="331"/>
    </row>
    <row r="41" spans="2:25" ht="15" customHeight="1">
      <c r="B41" s="699"/>
      <c r="C41" s="329" t="s">
        <v>919</v>
      </c>
      <c r="F41" s="11"/>
      <c r="H41" s="11"/>
      <c r="I41" s="11"/>
      <c r="J41" s="11"/>
      <c r="K41" s="11"/>
      <c r="M41" s="18"/>
      <c r="N41" s="19"/>
      <c r="O41" s="18"/>
      <c r="P41" s="18"/>
      <c r="Q41" s="18"/>
      <c r="R41" s="18"/>
      <c r="S41" s="19"/>
      <c r="T41" s="333" t="s">
        <v>955</v>
      </c>
      <c r="U41" s="21">
        <v>0.15</v>
      </c>
      <c r="V41" s="156">
        <f>SUM(U35:U41)</f>
        <v>0.46000000000000008</v>
      </c>
      <c r="X41" s="331"/>
    </row>
    <row r="42" spans="2:25" ht="15" customHeight="1">
      <c r="B42" s="699"/>
      <c r="C42" s="329" t="s">
        <v>920</v>
      </c>
      <c r="F42" s="11"/>
      <c r="H42" s="11"/>
      <c r="I42" s="11"/>
      <c r="J42" s="11"/>
      <c r="K42" s="11"/>
      <c r="M42" s="18"/>
      <c r="N42" s="19"/>
      <c r="O42" s="18"/>
      <c r="P42" s="18"/>
      <c r="Q42" s="18"/>
      <c r="R42" s="18"/>
      <c r="S42" s="19"/>
      <c r="T42" s="333" t="s">
        <v>955</v>
      </c>
      <c r="U42" s="21">
        <v>0.2</v>
      </c>
      <c r="V42" s="156">
        <f>SUM(U35:U42)</f>
        <v>0.66000000000000014</v>
      </c>
      <c r="X42" s="331"/>
    </row>
    <row r="43" spans="2:25" ht="15" customHeight="1">
      <c r="B43" s="699"/>
      <c r="C43" s="329" t="s">
        <v>921</v>
      </c>
      <c r="F43" s="11"/>
      <c r="H43" s="11"/>
      <c r="I43" s="11"/>
      <c r="J43" s="11"/>
      <c r="K43" s="11"/>
      <c r="M43" s="18"/>
      <c r="N43" s="19"/>
      <c r="O43" s="18"/>
      <c r="P43" s="18"/>
      <c r="Q43" s="18"/>
      <c r="R43" s="18"/>
      <c r="S43" s="19"/>
      <c r="T43" s="333" t="s">
        <v>955</v>
      </c>
      <c r="U43" s="21">
        <v>0.25</v>
      </c>
      <c r="V43" s="156">
        <f>SUM(U35:U43)</f>
        <v>0.91000000000000014</v>
      </c>
      <c r="X43" s="331"/>
    </row>
    <row r="44" spans="2:25" ht="15" customHeight="1">
      <c r="B44" s="699"/>
      <c r="C44" s="332" t="s">
        <v>922</v>
      </c>
      <c r="D44" s="427"/>
      <c r="E44" s="24"/>
      <c r="F44" s="27"/>
      <c r="G44" s="24"/>
      <c r="H44" s="27"/>
      <c r="I44" s="27"/>
      <c r="J44" s="27"/>
      <c r="K44" s="27"/>
      <c r="L44" s="24"/>
      <c r="M44" s="25"/>
      <c r="N44" s="26"/>
      <c r="O44" s="25"/>
      <c r="P44" s="25"/>
      <c r="Q44" s="25"/>
      <c r="R44" s="25"/>
      <c r="S44" s="26"/>
      <c r="T44" s="196" t="s">
        <v>955</v>
      </c>
      <c r="U44" s="195">
        <v>0.4</v>
      </c>
      <c r="V44" s="173">
        <f>SUM(U35:U44)</f>
        <v>1.31</v>
      </c>
      <c r="W44" s="403"/>
      <c r="X44" s="89"/>
    </row>
    <row r="45" spans="2:25" s="7" customFormat="1" ht="15" customHeight="1">
      <c r="B45" s="699"/>
      <c r="C45" s="15" t="s">
        <v>923</v>
      </c>
      <c r="D45" s="221">
        <v>0.1875</v>
      </c>
      <c r="E45" s="19">
        <v>650</v>
      </c>
      <c r="F45" s="18">
        <v>30000</v>
      </c>
      <c r="G45" s="19">
        <v>400</v>
      </c>
      <c r="H45" s="18">
        <v>10000</v>
      </c>
      <c r="I45" s="18">
        <v>10000</v>
      </c>
      <c r="J45" s="18">
        <v>0</v>
      </c>
      <c r="K45" s="18">
        <v>10000</v>
      </c>
      <c r="L45" s="19">
        <v>8000</v>
      </c>
      <c r="M45" s="18">
        <v>8000</v>
      </c>
      <c r="N45" s="19">
        <v>30</v>
      </c>
      <c r="O45" s="18">
        <v>16000</v>
      </c>
      <c r="P45" s="18">
        <v>16000</v>
      </c>
      <c r="Q45" s="18"/>
      <c r="R45" s="18">
        <v>16000</v>
      </c>
      <c r="S45" s="19">
        <v>6000</v>
      </c>
      <c r="T45" s="355" t="s">
        <v>956</v>
      </c>
      <c r="U45" s="264">
        <v>0.01</v>
      </c>
      <c r="V45" s="156">
        <f>SUM(U45:U45)</f>
        <v>0.01</v>
      </c>
      <c r="W45" s="16" t="s">
        <v>788</v>
      </c>
      <c r="X45" s="356" t="s">
        <v>913</v>
      </c>
      <c r="Y45" s="357"/>
    </row>
    <row r="46" spans="2:25" ht="15" customHeight="1">
      <c r="B46" s="699"/>
      <c r="C46" s="15" t="s">
        <v>924</v>
      </c>
      <c r="D46" s="221">
        <v>0.41203703703703703</v>
      </c>
      <c r="E46" s="19">
        <v>650</v>
      </c>
      <c r="F46" s="18">
        <v>60000</v>
      </c>
      <c r="G46" s="19">
        <v>1000</v>
      </c>
      <c r="H46" s="18">
        <v>20000</v>
      </c>
      <c r="I46" s="18">
        <v>20000</v>
      </c>
      <c r="J46" s="18">
        <v>0</v>
      </c>
      <c r="K46" s="18">
        <v>20000</v>
      </c>
      <c r="L46" s="19">
        <v>20000</v>
      </c>
      <c r="M46" s="18">
        <v>12000</v>
      </c>
      <c r="N46" s="19">
        <v>50</v>
      </c>
      <c r="O46" s="18">
        <v>40000</v>
      </c>
      <c r="P46" s="18">
        <v>40000</v>
      </c>
      <c r="Q46" s="18"/>
      <c r="R46" s="18">
        <v>40000</v>
      </c>
      <c r="S46" s="19">
        <v>20000</v>
      </c>
      <c r="T46" s="333" t="s">
        <v>956</v>
      </c>
      <c r="U46" s="21">
        <v>0.02</v>
      </c>
      <c r="V46" s="156">
        <f>SUM(U45:U46)</f>
        <v>0.03</v>
      </c>
      <c r="W46" s="391" t="s">
        <v>985</v>
      </c>
      <c r="X46" s="331"/>
    </row>
    <row r="47" spans="2:25" ht="15" customHeight="1">
      <c r="B47" s="699"/>
      <c r="C47" s="329" t="s">
        <v>925</v>
      </c>
      <c r="F47" s="11"/>
      <c r="H47" s="11"/>
      <c r="I47" s="11"/>
      <c r="J47" s="11"/>
      <c r="K47" s="11"/>
      <c r="M47" s="18"/>
      <c r="N47" s="19"/>
      <c r="O47" s="18"/>
      <c r="P47" s="18"/>
      <c r="Q47" s="18"/>
      <c r="R47" s="18"/>
      <c r="S47" s="19"/>
      <c r="T47" s="333" t="s">
        <v>956</v>
      </c>
      <c r="U47" s="21">
        <v>0.04</v>
      </c>
      <c r="V47" s="156">
        <f>SUM(U45:U47)</f>
        <v>7.0000000000000007E-2</v>
      </c>
      <c r="X47" s="331"/>
    </row>
    <row r="48" spans="2:25" ht="15" customHeight="1">
      <c r="B48" s="699"/>
      <c r="C48" s="329" t="s">
        <v>926</v>
      </c>
      <c r="F48" s="11"/>
      <c r="H48" s="11"/>
      <c r="I48" s="11"/>
      <c r="J48" s="11"/>
      <c r="K48" s="11"/>
      <c r="M48" s="18"/>
      <c r="N48" s="19"/>
      <c r="O48" s="18"/>
      <c r="P48" s="18"/>
      <c r="Q48" s="18"/>
      <c r="R48" s="18"/>
      <c r="S48" s="19"/>
      <c r="T48" s="333" t="s">
        <v>956</v>
      </c>
      <c r="U48" s="21">
        <v>0.06</v>
      </c>
      <c r="V48" s="156">
        <f>SUM(U45:U48)</f>
        <v>0.13</v>
      </c>
      <c r="X48" s="331"/>
    </row>
    <row r="49" spans="2:24" ht="15" customHeight="1">
      <c r="B49" s="699"/>
      <c r="C49" s="329" t="s">
        <v>927</v>
      </c>
      <c r="F49" s="11"/>
      <c r="H49" s="11"/>
      <c r="I49" s="11"/>
      <c r="J49" s="11"/>
      <c r="K49" s="11"/>
      <c r="M49" s="18"/>
      <c r="N49" s="19"/>
      <c r="O49" s="18"/>
      <c r="P49" s="18"/>
      <c r="Q49" s="18"/>
      <c r="R49" s="18"/>
      <c r="S49" s="19"/>
      <c r="T49" s="333" t="s">
        <v>956</v>
      </c>
      <c r="U49" s="21">
        <v>0.08</v>
      </c>
      <c r="V49" s="156">
        <f>SUM(U45:U49)</f>
        <v>0.21000000000000002</v>
      </c>
      <c r="X49" s="331"/>
    </row>
    <row r="50" spans="2:24" ht="15" customHeight="1">
      <c r="B50" s="699"/>
      <c r="C50" s="329" t="s">
        <v>928</v>
      </c>
      <c r="F50" s="11"/>
      <c r="H50" s="11"/>
      <c r="I50" s="11"/>
      <c r="J50" s="11"/>
      <c r="K50" s="11"/>
      <c r="M50" s="18"/>
      <c r="N50" s="19"/>
      <c r="O50" s="18"/>
      <c r="P50" s="18"/>
      <c r="Q50" s="18"/>
      <c r="R50" s="18"/>
      <c r="S50" s="19"/>
      <c r="T50" s="333" t="s">
        <v>956</v>
      </c>
      <c r="U50" s="21">
        <v>0.1</v>
      </c>
      <c r="V50" s="156">
        <f>SUM(U45:U50)</f>
        <v>0.31000000000000005</v>
      </c>
      <c r="X50" s="331"/>
    </row>
    <row r="51" spans="2:24" ht="15" customHeight="1">
      <c r="B51" s="699"/>
      <c r="C51" s="329" t="s">
        <v>929</v>
      </c>
      <c r="F51" s="11"/>
      <c r="H51" s="11"/>
      <c r="I51" s="11"/>
      <c r="J51" s="11"/>
      <c r="K51" s="11"/>
      <c r="M51" s="18"/>
      <c r="N51" s="19"/>
      <c r="O51" s="18"/>
      <c r="P51" s="18"/>
      <c r="Q51" s="18"/>
      <c r="R51" s="18"/>
      <c r="S51" s="19"/>
      <c r="T51" s="333" t="s">
        <v>956</v>
      </c>
      <c r="U51" s="21">
        <v>0.15</v>
      </c>
      <c r="V51" s="156">
        <f>SUM(U45:U51)</f>
        <v>0.46000000000000008</v>
      </c>
      <c r="X51" s="331"/>
    </row>
    <row r="52" spans="2:24" ht="15" customHeight="1">
      <c r="B52" s="699"/>
      <c r="C52" s="329" t="s">
        <v>930</v>
      </c>
      <c r="F52" s="11"/>
      <c r="H52" s="11"/>
      <c r="I52" s="11"/>
      <c r="J52" s="11"/>
      <c r="K52" s="11"/>
      <c r="M52" s="18"/>
      <c r="N52" s="19"/>
      <c r="O52" s="18"/>
      <c r="P52" s="18"/>
      <c r="Q52" s="18"/>
      <c r="R52" s="18"/>
      <c r="S52" s="19"/>
      <c r="T52" s="333" t="s">
        <v>956</v>
      </c>
      <c r="U52" s="21">
        <v>0.2</v>
      </c>
      <c r="V52" s="156">
        <f>SUM(U45:U52)</f>
        <v>0.66000000000000014</v>
      </c>
      <c r="X52" s="331"/>
    </row>
    <row r="53" spans="2:24" ht="15" customHeight="1">
      <c r="B53" s="699"/>
      <c r="C53" s="329" t="s">
        <v>931</v>
      </c>
      <c r="F53" s="11"/>
      <c r="H53" s="11"/>
      <c r="I53" s="11"/>
      <c r="J53" s="11"/>
      <c r="K53" s="11"/>
      <c r="M53" s="18"/>
      <c r="N53" s="19"/>
      <c r="O53" s="18"/>
      <c r="P53" s="18"/>
      <c r="Q53" s="18"/>
      <c r="R53" s="18"/>
      <c r="S53" s="19"/>
      <c r="T53" s="333" t="s">
        <v>956</v>
      </c>
      <c r="U53" s="21">
        <v>0.25</v>
      </c>
      <c r="V53" s="156">
        <f>SUM(U45:U53)</f>
        <v>0.91000000000000014</v>
      </c>
      <c r="X53" s="331"/>
    </row>
    <row r="54" spans="2:24" ht="15" customHeight="1">
      <c r="B54" s="699"/>
      <c r="C54" s="332" t="s">
        <v>932</v>
      </c>
      <c r="D54" s="427"/>
      <c r="E54" s="24"/>
      <c r="F54" s="27"/>
      <c r="G54" s="24"/>
      <c r="H54" s="27"/>
      <c r="I54" s="27"/>
      <c r="J54" s="27"/>
      <c r="K54" s="27"/>
      <c r="L54" s="24"/>
      <c r="M54" s="25"/>
      <c r="N54" s="26"/>
      <c r="O54" s="25"/>
      <c r="P54" s="25"/>
      <c r="Q54" s="25"/>
      <c r="R54" s="25"/>
      <c r="S54" s="26"/>
      <c r="T54" s="196" t="s">
        <v>956</v>
      </c>
      <c r="U54" s="195">
        <v>0.4</v>
      </c>
      <c r="V54" s="173">
        <f>SUM(U45:U54)</f>
        <v>1.31</v>
      </c>
      <c r="W54" s="403"/>
      <c r="X54" s="89"/>
    </row>
    <row r="55" spans="2:24" ht="15" customHeight="1">
      <c r="B55" s="699"/>
      <c r="C55" s="329" t="s">
        <v>933</v>
      </c>
      <c r="D55" s="135">
        <v>0.125</v>
      </c>
      <c r="E55" s="5">
        <v>300</v>
      </c>
      <c r="F55" s="11">
        <v>30000</v>
      </c>
      <c r="G55" s="5">
        <v>300</v>
      </c>
      <c r="H55" s="11">
        <v>5000</v>
      </c>
      <c r="I55" s="11">
        <v>0</v>
      </c>
      <c r="J55" s="11">
        <v>3750</v>
      </c>
      <c r="K55" s="11">
        <v>5000</v>
      </c>
      <c r="L55" s="5">
        <v>6000</v>
      </c>
      <c r="M55" s="18">
        <v>6000</v>
      </c>
      <c r="N55" s="19">
        <v>30</v>
      </c>
      <c r="O55" s="18">
        <v>7000</v>
      </c>
      <c r="P55" s="18"/>
      <c r="Q55" s="18">
        <v>5000</v>
      </c>
      <c r="R55" s="18">
        <v>7000</v>
      </c>
      <c r="S55" s="19">
        <v>4000</v>
      </c>
      <c r="T55" s="330" t="s">
        <v>953</v>
      </c>
      <c r="U55" s="21">
        <v>0.01</v>
      </c>
      <c r="V55" s="156">
        <f>SUM(U55:U55)</f>
        <v>0.01</v>
      </c>
      <c r="W55" s="391" t="s">
        <v>366</v>
      </c>
      <c r="X55" s="353" t="s">
        <v>372</v>
      </c>
    </row>
    <row r="56" spans="2:24" ht="15" customHeight="1">
      <c r="B56" s="699"/>
      <c r="C56" s="15" t="s">
        <v>934</v>
      </c>
      <c r="D56" s="221">
        <v>0.27430555555555552</v>
      </c>
      <c r="E56" s="19">
        <v>650</v>
      </c>
      <c r="F56" s="18">
        <v>60000</v>
      </c>
      <c r="G56" s="19">
        <v>750</v>
      </c>
      <c r="H56" s="18">
        <v>10000</v>
      </c>
      <c r="I56" s="18">
        <v>0</v>
      </c>
      <c r="J56" s="18">
        <v>7500</v>
      </c>
      <c r="K56" s="18">
        <v>10000</v>
      </c>
      <c r="L56" s="19">
        <v>15000</v>
      </c>
      <c r="M56" s="18">
        <v>11000</v>
      </c>
      <c r="N56" s="19">
        <v>50</v>
      </c>
      <c r="O56" s="18">
        <v>18000</v>
      </c>
      <c r="P56" s="18"/>
      <c r="Q56" s="18">
        <v>13000</v>
      </c>
      <c r="R56" s="18">
        <v>18000</v>
      </c>
      <c r="S56" s="19">
        <v>13500</v>
      </c>
      <c r="T56" s="333" t="s">
        <v>953</v>
      </c>
      <c r="U56" s="21">
        <v>0.02</v>
      </c>
      <c r="V56" s="156">
        <f>SUM(U55:U56)</f>
        <v>0.03</v>
      </c>
      <c r="W56" s="391" t="s">
        <v>986</v>
      </c>
      <c r="X56" s="331"/>
    </row>
    <row r="57" spans="2:24" ht="15" customHeight="1">
      <c r="B57" s="699"/>
      <c r="C57" s="329" t="s">
        <v>935</v>
      </c>
      <c r="D57" s="135">
        <v>0.60300925925925919</v>
      </c>
      <c r="E57" s="5">
        <v>1000</v>
      </c>
      <c r="F57" s="11">
        <v>90000</v>
      </c>
      <c r="G57" s="5">
        <v>1875</v>
      </c>
      <c r="H57" s="11">
        <v>20000</v>
      </c>
      <c r="I57" s="11">
        <v>0</v>
      </c>
      <c r="J57" s="11">
        <v>15000</v>
      </c>
      <c r="K57" s="11">
        <v>20000</v>
      </c>
      <c r="L57" s="5">
        <v>37500</v>
      </c>
      <c r="M57" s="18">
        <v>18000</v>
      </c>
      <c r="N57" s="19">
        <v>110</v>
      </c>
      <c r="O57" s="18">
        <v>40000</v>
      </c>
      <c r="P57" s="18"/>
      <c r="Q57" s="18">
        <v>30000</v>
      </c>
      <c r="R57" s="18">
        <v>40000</v>
      </c>
      <c r="S57" s="19">
        <v>37500</v>
      </c>
      <c r="T57" s="333" t="s">
        <v>953</v>
      </c>
      <c r="U57" s="21">
        <v>0.04</v>
      </c>
      <c r="V57" s="156">
        <f>SUM(U55:U57)</f>
        <v>7.0000000000000007E-2</v>
      </c>
      <c r="W57" s="471" t="s">
        <v>1179</v>
      </c>
      <c r="X57" s="331"/>
    </row>
    <row r="58" spans="2:24" ht="15" customHeight="1">
      <c r="B58" s="699"/>
      <c r="C58" s="329" t="s">
        <v>936</v>
      </c>
      <c r="F58" s="11"/>
      <c r="H58" s="11"/>
      <c r="I58" s="11"/>
      <c r="J58" s="11"/>
      <c r="K58" s="11"/>
      <c r="M58" s="18"/>
      <c r="N58" s="19"/>
      <c r="O58" s="18"/>
      <c r="P58" s="18"/>
      <c r="Q58" s="18"/>
      <c r="R58" s="18"/>
      <c r="S58" s="19"/>
      <c r="T58" s="333" t="s">
        <v>953</v>
      </c>
      <c r="U58" s="21">
        <v>0.06</v>
      </c>
      <c r="V58" s="156">
        <f>SUM(U55:U58)</f>
        <v>0.13</v>
      </c>
      <c r="X58" s="331"/>
    </row>
    <row r="59" spans="2:24" ht="15" customHeight="1">
      <c r="B59" s="699"/>
      <c r="C59" s="329" t="s">
        <v>937</v>
      </c>
      <c r="F59" s="11"/>
      <c r="H59" s="11"/>
      <c r="I59" s="11"/>
      <c r="J59" s="11"/>
      <c r="K59" s="11"/>
      <c r="M59" s="18"/>
      <c r="N59" s="19"/>
      <c r="O59" s="18"/>
      <c r="P59" s="18"/>
      <c r="Q59" s="18"/>
      <c r="R59" s="18"/>
      <c r="S59" s="19"/>
      <c r="T59" s="333" t="s">
        <v>953</v>
      </c>
      <c r="U59" s="21">
        <v>0.08</v>
      </c>
      <c r="V59" s="156">
        <f>SUM(U55:U59)</f>
        <v>0.21000000000000002</v>
      </c>
      <c r="X59" s="331"/>
    </row>
    <row r="60" spans="2:24" ht="15" customHeight="1">
      <c r="B60" s="699"/>
      <c r="C60" s="329" t="s">
        <v>938</v>
      </c>
      <c r="F60" s="11"/>
      <c r="H60" s="11"/>
      <c r="I60" s="11"/>
      <c r="J60" s="11"/>
      <c r="K60" s="11"/>
      <c r="M60" s="18"/>
      <c r="N60" s="19"/>
      <c r="O60" s="18"/>
      <c r="P60" s="18"/>
      <c r="Q60" s="18"/>
      <c r="R60" s="18"/>
      <c r="S60" s="19"/>
      <c r="T60" s="333" t="s">
        <v>953</v>
      </c>
      <c r="U60" s="21">
        <v>0.1</v>
      </c>
      <c r="V60" s="156">
        <f>SUM(U55:U60)</f>
        <v>0.31000000000000005</v>
      </c>
      <c r="X60" s="331"/>
    </row>
    <row r="61" spans="2:24" ht="15" customHeight="1">
      <c r="B61" s="699"/>
      <c r="C61" s="329" t="s">
        <v>939</v>
      </c>
      <c r="F61" s="11"/>
      <c r="H61" s="11"/>
      <c r="I61" s="11"/>
      <c r="J61" s="11"/>
      <c r="K61" s="11"/>
      <c r="M61" s="18"/>
      <c r="N61" s="19"/>
      <c r="O61" s="18"/>
      <c r="P61" s="18"/>
      <c r="Q61" s="18"/>
      <c r="R61" s="18"/>
      <c r="S61" s="19"/>
      <c r="T61" s="333" t="s">
        <v>953</v>
      </c>
      <c r="U61" s="21">
        <v>0.15</v>
      </c>
      <c r="V61" s="156">
        <f>SUM(U55:U61)</f>
        <v>0.46000000000000008</v>
      </c>
      <c r="X61" s="331"/>
    </row>
    <row r="62" spans="2:24" ht="15" customHeight="1">
      <c r="B62" s="699"/>
      <c r="C62" s="329" t="s">
        <v>940</v>
      </c>
      <c r="F62" s="11"/>
      <c r="H62" s="11"/>
      <c r="I62" s="11"/>
      <c r="J62" s="11"/>
      <c r="K62" s="11"/>
      <c r="M62" s="18"/>
      <c r="N62" s="19"/>
      <c r="O62" s="18"/>
      <c r="P62" s="18"/>
      <c r="Q62" s="18"/>
      <c r="R62" s="18"/>
      <c r="S62" s="19"/>
      <c r="T62" s="333" t="s">
        <v>953</v>
      </c>
      <c r="U62" s="21">
        <v>0.2</v>
      </c>
      <c r="V62" s="156">
        <f>SUM(U55:U62)</f>
        <v>0.66000000000000014</v>
      </c>
      <c r="X62" s="331"/>
    </row>
    <row r="63" spans="2:24" ht="15" customHeight="1">
      <c r="B63" s="699"/>
      <c r="C63" s="329" t="s">
        <v>941</v>
      </c>
      <c r="F63" s="11"/>
      <c r="H63" s="11"/>
      <c r="I63" s="11"/>
      <c r="J63" s="11"/>
      <c r="K63" s="11"/>
      <c r="M63" s="18"/>
      <c r="N63" s="19"/>
      <c r="O63" s="18"/>
      <c r="P63" s="18"/>
      <c r="Q63" s="18"/>
      <c r="R63" s="18"/>
      <c r="S63" s="19"/>
      <c r="T63" s="333" t="s">
        <v>953</v>
      </c>
      <c r="U63" s="21">
        <v>0.25</v>
      </c>
      <c r="V63" s="156">
        <f>SUM(U55:U63)</f>
        <v>0.91000000000000014</v>
      </c>
      <c r="X63" s="331"/>
    </row>
    <row r="64" spans="2:24" ht="15" customHeight="1">
      <c r="B64" s="699"/>
      <c r="C64" s="332" t="s">
        <v>942</v>
      </c>
      <c r="D64" s="427"/>
      <c r="E64" s="24"/>
      <c r="F64" s="323"/>
      <c r="G64" s="24"/>
      <c r="H64" s="27"/>
      <c r="I64" s="27"/>
      <c r="J64" s="27"/>
      <c r="K64" s="27"/>
      <c r="L64" s="24"/>
      <c r="M64" s="25"/>
      <c r="N64" s="26"/>
      <c r="O64" s="25"/>
      <c r="P64" s="25"/>
      <c r="Q64" s="25"/>
      <c r="R64" s="25"/>
      <c r="S64" s="26"/>
      <c r="T64" s="196" t="s">
        <v>953</v>
      </c>
      <c r="U64" s="195">
        <v>0.4</v>
      </c>
      <c r="V64" s="173">
        <f>SUM(U55:U64)</f>
        <v>1.31</v>
      </c>
      <c r="W64" s="403"/>
      <c r="X64" s="89"/>
    </row>
    <row r="65" spans="2:24" ht="15" customHeight="1">
      <c r="B65" s="699"/>
      <c r="C65" s="329" t="s">
        <v>943</v>
      </c>
      <c r="D65" s="135">
        <v>0.1875</v>
      </c>
      <c r="E65" s="5">
        <v>650</v>
      </c>
      <c r="F65" s="11">
        <v>30000</v>
      </c>
      <c r="G65" s="5">
        <v>400</v>
      </c>
      <c r="H65" s="11">
        <v>10000</v>
      </c>
      <c r="I65" s="11">
        <v>0</v>
      </c>
      <c r="J65" s="11">
        <v>7500</v>
      </c>
      <c r="K65" s="11">
        <v>10000</v>
      </c>
      <c r="L65" s="5">
        <v>8000</v>
      </c>
      <c r="M65" s="18">
        <v>8000</v>
      </c>
      <c r="N65" s="19">
        <v>30</v>
      </c>
      <c r="O65" s="18">
        <v>16000</v>
      </c>
      <c r="P65" s="18"/>
      <c r="Q65" s="18">
        <v>12000</v>
      </c>
      <c r="R65" s="18">
        <v>16000</v>
      </c>
      <c r="S65" s="19">
        <v>6000</v>
      </c>
      <c r="T65" s="330" t="s">
        <v>954</v>
      </c>
      <c r="U65" s="21">
        <v>0.01</v>
      </c>
      <c r="V65" s="156">
        <f>SUM(U65:U65)</f>
        <v>0.01</v>
      </c>
      <c r="W65" s="16" t="s">
        <v>716</v>
      </c>
      <c r="X65" s="356" t="s">
        <v>987</v>
      </c>
    </row>
    <row r="66" spans="2:24" ht="15" customHeight="1">
      <c r="B66" s="699"/>
      <c r="C66" s="329" t="s">
        <v>944</v>
      </c>
      <c r="D66" s="135">
        <v>0.41203703703703703</v>
      </c>
      <c r="E66" s="5">
        <v>650</v>
      </c>
      <c r="F66" s="11">
        <v>60000</v>
      </c>
      <c r="G66" s="5">
        <v>1000</v>
      </c>
      <c r="H66" s="11">
        <v>20000</v>
      </c>
      <c r="I66" s="11">
        <v>0</v>
      </c>
      <c r="J66" s="11">
        <v>15000</v>
      </c>
      <c r="K66" s="11">
        <v>20000</v>
      </c>
      <c r="L66" s="5">
        <v>20000</v>
      </c>
      <c r="M66" s="18">
        <v>12000</v>
      </c>
      <c r="N66" s="19">
        <v>50</v>
      </c>
      <c r="O66" s="18">
        <v>40000</v>
      </c>
      <c r="P66" s="18"/>
      <c r="Q66" s="18">
        <v>30000</v>
      </c>
      <c r="R66" s="18">
        <v>40000</v>
      </c>
      <c r="S66" s="19">
        <v>20000</v>
      </c>
      <c r="T66" s="333" t="s">
        <v>954</v>
      </c>
      <c r="U66" s="21">
        <v>0.02</v>
      </c>
      <c r="V66" s="156">
        <f>SUM(U65:U66)</f>
        <v>0.03</v>
      </c>
      <c r="W66" s="391" t="s">
        <v>632</v>
      </c>
      <c r="X66" s="331"/>
    </row>
    <row r="67" spans="2:24" ht="15" customHeight="1">
      <c r="B67" s="699"/>
      <c r="C67" s="329" t="s">
        <v>945</v>
      </c>
      <c r="F67" s="11"/>
      <c r="H67" s="11"/>
      <c r="I67" s="11"/>
      <c r="J67" s="11"/>
      <c r="K67" s="11"/>
      <c r="M67" s="18"/>
      <c r="N67" s="19"/>
      <c r="O67" s="18"/>
      <c r="P67" s="18"/>
      <c r="Q67" s="18"/>
      <c r="R67" s="18"/>
      <c r="S67" s="19"/>
      <c r="T67" s="333" t="s">
        <v>954</v>
      </c>
      <c r="U67" s="21">
        <v>0.04</v>
      </c>
      <c r="V67" s="156">
        <f>SUM(U65:U67)</f>
        <v>7.0000000000000007E-2</v>
      </c>
      <c r="W67" s="471"/>
      <c r="X67" s="331"/>
    </row>
    <row r="68" spans="2:24" ht="15" customHeight="1">
      <c r="B68" s="699"/>
      <c r="C68" s="329" t="s">
        <v>946</v>
      </c>
      <c r="F68" s="11"/>
      <c r="H68" s="11"/>
      <c r="I68" s="11"/>
      <c r="J68" s="11"/>
      <c r="K68" s="11"/>
      <c r="M68" s="18"/>
      <c r="N68" s="19"/>
      <c r="O68" s="18"/>
      <c r="P68" s="18"/>
      <c r="Q68" s="18"/>
      <c r="R68" s="18"/>
      <c r="S68" s="19"/>
      <c r="T68" s="333" t="s">
        <v>954</v>
      </c>
      <c r="U68" s="21">
        <v>0.06</v>
      </c>
      <c r="V68" s="156">
        <f>SUM(U65:U68)</f>
        <v>0.13</v>
      </c>
      <c r="X68" s="331"/>
    </row>
    <row r="69" spans="2:24" ht="15" customHeight="1">
      <c r="B69" s="699"/>
      <c r="C69" s="329" t="s">
        <v>947</v>
      </c>
      <c r="F69" s="11"/>
      <c r="H69" s="11"/>
      <c r="I69" s="11"/>
      <c r="J69" s="11"/>
      <c r="K69" s="11"/>
      <c r="M69" s="18"/>
      <c r="N69" s="19"/>
      <c r="O69" s="18"/>
      <c r="P69" s="18"/>
      <c r="Q69" s="18"/>
      <c r="R69" s="18"/>
      <c r="S69" s="19"/>
      <c r="T69" s="333" t="s">
        <v>954</v>
      </c>
      <c r="U69" s="21">
        <v>0.08</v>
      </c>
      <c r="V69" s="156">
        <f>SUM(U65:U69)</f>
        <v>0.21000000000000002</v>
      </c>
      <c r="X69" s="331"/>
    </row>
    <row r="70" spans="2:24" ht="15" customHeight="1">
      <c r="B70" s="699"/>
      <c r="C70" s="329" t="s">
        <v>948</v>
      </c>
      <c r="F70" s="11"/>
      <c r="H70" s="11"/>
      <c r="I70" s="11"/>
      <c r="J70" s="11"/>
      <c r="K70" s="11"/>
      <c r="M70" s="18"/>
      <c r="N70" s="19"/>
      <c r="O70" s="18"/>
      <c r="P70" s="18"/>
      <c r="Q70" s="18"/>
      <c r="R70" s="18"/>
      <c r="S70" s="19"/>
      <c r="T70" s="333" t="s">
        <v>954</v>
      </c>
      <c r="U70" s="21">
        <v>0.1</v>
      </c>
      <c r="V70" s="156">
        <f>SUM(U65:U70)</f>
        <v>0.31000000000000005</v>
      </c>
      <c r="X70" s="331"/>
    </row>
    <row r="71" spans="2:24" ht="15" customHeight="1">
      <c r="B71" s="699"/>
      <c r="C71" s="329" t="s">
        <v>949</v>
      </c>
      <c r="F71" s="11"/>
      <c r="H71" s="11"/>
      <c r="I71" s="11"/>
      <c r="J71" s="11"/>
      <c r="K71" s="11"/>
      <c r="M71" s="18"/>
      <c r="N71" s="19"/>
      <c r="O71" s="18"/>
      <c r="P71" s="18"/>
      <c r="Q71" s="18"/>
      <c r="R71" s="18"/>
      <c r="S71" s="19"/>
      <c r="T71" s="333" t="s">
        <v>954</v>
      </c>
      <c r="U71" s="21">
        <v>0.15</v>
      </c>
      <c r="V71" s="156">
        <f>SUM(U65:U71)</f>
        <v>0.46000000000000008</v>
      </c>
      <c r="X71" s="331"/>
    </row>
    <row r="72" spans="2:24" ht="15" customHeight="1">
      <c r="B72" s="699"/>
      <c r="C72" s="329" t="s">
        <v>950</v>
      </c>
      <c r="F72" s="11"/>
      <c r="H72" s="11"/>
      <c r="I72" s="11"/>
      <c r="J72" s="11"/>
      <c r="K72" s="11"/>
      <c r="M72" s="18"/>
      <c r="N72" s="19"/>
      <c r="O72" s="18"/>
      <c r="P72" s="18"/>
      <c r="Q72" s="18"/>
      <c r="R72" s="18"/>
      <c r="S72" s="19"/>
      <c r="T72" s="333" t="s">
        <v>954</v>
      </c>
      <c r="U72" s="21">
        <v>0.2</v>
      </c>
      <c r="V72" s="156">
        <f>SUM(U65:U72)</f>
        <v>0.66000000000000014</v>
      </c>
      <c r="X72" s="331"/>
    </row>
    <row r="73" spans="2:24" ht="15" customHeight="1">
      <c r="B73" s="699"/>
      <c r="C73" s="329" t="s">
        <v>951</v>
      </c>
      <c r="F73" s="90"/>
      <c r="H73" s="11"/>
      <c r="I73" s="11"/>
      <c r="J73" s="11"/>
      <c r="K73" s="11"/>
      <c r="M73" s="18"/>
      <c r="N73" s="19"/>
      <c r="O73" s="18"/>
      <c r="P73" s="18"/>
      <c r="Q73" s="18"/>
      <c r="R73" s="18"/>
      <c r="S73" s="19"/>
      <c r="T73" s="333" t="s">
        <v>954</v>
      </c>
      <c r="U73" s="21">
        <v>0.25</v>
      </c>
      <c r="V73" s="156">
        <f>SUM(U65:U73)</f>
        <v>0.91000000000000014</v>
      </c>
      <c r="X73" s="331"/>
    </row>
    <row r="74" spans="2:24" ht="15" customHeight="1">
      <c r="B74" s="699"/>
      <c r="C74" s="332" t="s">
        <v>952</v>
      </c>
      <c r="D74" s="427"/>
      <c r="E74" s="24"/>
      <c r="F74" s="323"/>
      <c r="G74" s="24"/>
      <c r="H74" s="27"/>
      <c r="I74" s="27"/>
      <c r="J74" s="27"/>
      <c r="K74" s="27"/>
      <c r="L74" s="24"/>
      <c r="M74" s="25"/>
      <c r="N74" s="26"/>
      <c r="O74" s="25"/>
      <c r="P74" s="25"/>
      <c r="Q74" s="25"/>
      <c r="R74" s="25"/>
      <c r="S74" s="26"/>
      <c r="T74" s="196" t="s">
        <v>954</v>
      </c>
      <c r="U74" s="195">
        <v>0.4</v>
      </c>
      <c r="V74" s="173">
        <f>SUM(U65:U74)</f>
        <v>1.31</v>
      </c>
      <c r="W74" s="403"/>
      <c r="X74" s="89"/>
    </row>
    <row r="75" spans="2:24" ht="15" customHeight="1">
      <c r="B75" s="699"/>
      <c r="C75" s="451" t="s">
        <v>1073</v>
      </c>
      <c r="D75" s="452">
        <v>2.5</v>
      </c>
      <c r="E75" s="209">
        <v>4400</v>
      </c>
      <c r="F75" s="208">
        <v>150000</v>
      </c>
      <c r="G75" s="209">
        <v>9000</v>
      </c>
      <c r="H75" s="208">
        <v>0</v>
      </c>
      <c r="I75" s="208">
        <v>100000</v>
      </c>
      <c r="J75" s="208">
        <v>75000</v>
      </c>
      <c r="K75" s="208">
        <v>100000</v>
      </c>
      <c r="L75" s="209">
        <v>180000</v>
      </c>
      <c r="M75" s="208">
        <v>60000</v>
      </c>
      <c r="N75" s="209">
        <v>2500</v>
      </c>
      <c r="O75" s="208">
        <v>0</v>
      </c>
      <c r="P75" s="208">
        <v>200000</v>
      </c>
      <c r="Q75" s="208">
        <v>150000</v>
      </c>
      <c r="R75" s="208">
        <v>200000</v>
      </c>
      <c r="S75" s="209">
        <v>180000</v>
      </c>
      <c r="T75" s="393" t="s">
        <v>1075</v>
      </c>
      <c r="U75" s="461"/>
      <c r="V75" s="436"/>
      <c r="W75" s="394" t="s">
        <v>1076</v>
      </c>
      <c r="X75" s="394" t="s">
        <v>1074</v>
      </c>
    </row>
    <row r="76" spans="2:24" ht="15" customHeight="1">
      <c r="B76" s="699"/>
      <c r="C76" s="451" t="s">
        <v>1077</v>
      </c>
      <c r="D76" s="452">
        <v>2.5</v>
      </c>
      <c r="E76" s="209">
        <v>4400</v>
      </c>
      <c r="F76" s="208">
        <v>150000</v>
      </c>
      <c r="G76" s="209">
        <v>9000</v>
      </c>
      <c r="H76" s="208">
        <v>100000</v>
      </c>
      <c r="I76" s="208">
        <v>100000</v>
      </c>
      <c r="J76" s="208">
        <v>0</v>
      </c>
      <c r="K76" s="208">
        <v>100000</v>
      </c>
      <c r="L76" s="209">
        <v>180000</v>
      </c>
      <c r="M76" s="208">
        <v>60000</v>
      </c>
      <c r="N76" s="209">
        <v>2500</v>
      </c>
      <c r="O76" s="208">
        <v>200000</v>
      </c>
      <c r="P76" s="208">
        <v>200000</v>
      </c>
      <c r="Q76" s="208">
        <v>0</v>
      </c>
      <c r="R76" s="208">
        <v>200000</v>
      </c>
      <c r="S76" s="209">
        <v>180000</v>
      </c>
      <c r="T76" s="455" t="s">
        <v>1152</v>
      </c>
      <c r="U76" s="461"/>
      <c r="V76" s="436"/>
      <c r="W76" s="454" t="s">
        <v>881</v>
      </c>
      <c r="X76" s="454" t="s">
        <v>1153</v>
      </c>
    </row>
    <row r="77" spans="2:24" ht="15" customHeight="1">
      <c r="B77" s="699"/>
      <c r="C77" s="393" t="s">
        <v>1078</v>
      </c>
      <c r="D77" s="428">
        <v>2.5</v>
      </c>
      <c r="E77" s="206">
        <v>4400</v>
      </c>
      <c r="F77" s="207">
        <v>150000</v>
      </c>
      <c r="G77" s="206">
        <v>9000</v>
      </c>
      <c r="H77" s="207">
        <v>100000</v>
      </c>
      <c r="I77" s="207">
        <v>0</v>
      </c>
      <c r="J77" s="207">
        <v>75000</v>
      </c>
      <c r="K77" s="207">
        <v>100000</v>
      </c>
      <c r="L77" s="206">
        <v>180000</v>
      </c>
      <c r="M77" s="208">
        <v>60000</v>
      </c>
      <c r="N77" s="209">
        <v>2500</v>
      </c>
      <c r="O77" s="208">
        <v>200000</v>
      </c>
      <c r="P77" s="208">
        <v>0</v>
      </c>
      <c r="Q77" s="208">
        <v>150000</v>
      </c>
      <c r="R77" s="208">
        <v>200000</v>
      </c>
      <c r="S77" s="209">
        <v>180000</v>
      </c>
      <c r="T77" s="455" t="s">
        <v>1155</v>
      </c>
      <c r="U77" s="461"/>
      <c r="V77" s="436"/>
      <c r="W77" s="454" t="s">
        <v>881</v>
      </c>
      <c r="X77" s="454" t="s">
        <v>1154</v>
      </c>
    </row>
    <row r="78" spans="2:24" ht="15" customHeight="1">
      <c r="B78" s="699"/>
      <c r="C78" s="615" t="s">
        <v>2050</v>
      </c>
      <c r="D78" s="428">
        <v>4</v>
      </c>
      <c r="E78" s="206">
        <v>4400</v>
      </c>
      <c r="F78" s="207">
        <v>250000</v>
      </c>
      <c r="G78" s="206">
        <v>16000</v>
      </c>
      <c r="H78" s="207">
        <v>200000</v>
      </c>
      <c r="I78" s="207">
        <v>200000</v>
      </c>
      <c r="J78" s="207">
        <v>150000</v>
      </c>
      <c r="K78" s="207">
        <v>200000</v>
      </c>
      <c r="L78" s="206">
        <v>320000</v>
      </c>
      <c r="M78" s="208"/>
      <c r="N78" s="209"/>
      <c r="O78" s="208"/>
      <c r="P78" s="208"/>
      <c r="Q78" s="208"/>
      <c r="R78" s="208"/>
      <c r="S78" s="209"/>
      <c r="T78" s="615" t="s">
        <v>2051</v>
      </c>
      <c r="U78" s="461"/>
      <c r="V78" s="436"/>
      <c r="W78" s="616" t="s">
        <v>881</v>
      </c>
      <c r="X78" s="621" t="s">
        <v>597</v>
      </c>
    </row>
    <row r="79" spans="2:24" ht="15" customHeight="1">
      <c r="B79" s="699"/>
      <c r="C79" s="329"/>
      <c r="F79" s="11"/>
      <c r="H79" s="11"/>
      <c r="I79" s="11"/>
      <c r="J79" s="11"/>
      <c r="K79" s="11"/>
      <c r="M79" s="18"/>
      <c r="N79" s="19"/>
      <c r="O79" s="18"/>
      <c r="P79" s="18"/>
      <c r="Q79" s="18"/>
      <c r="R79" s="18"/>
      <c r="S79" s="19"/>
      <c r="T79" s="329"/>
      <c r="X79" s="331"/>
    </row>
    <row r="80" spans="2:24" ht="15" customHeight="1">
      <c r="B80" s="699"/>
      <c r="C80" s="329"/>
      <c r="F80" s="11"/>
      <c r="H80" s="11"/>
      <c r="I80" s="11"/>
      <c r="J80" s="11"/>
      <c r="K80" s="11"/>
      <c r="M80" s="18"/>
      <c r="N80" s="19"/>
      <c r="O80" s="18"/>
      <c r="P80" s="18"/>
      <c r="Q80" s="18"/>
      <c r="R80" s="18"/>
      <c r="S80" s="19"/>
      <c r="T80" s="329"/>
      <c r="X80" s="331"/>
    </row>
    <row r="81" spans="2:24" ht="15" customHeight="1">
      <c r="B81" s="699"/>
      <c r="C81" s="329"/>
      <c r="F81" s="11"/>
      <c r="H81" s="11"/>
      <c r="I81" s="11"/>
      <c r="J81" s="11"/>
      <c r="K81" s="11"/>
      <c r="M81" s="18"/>
      <c r="N81" s="19"/>
      <c r="O81" s="18"/>
      <c r="P81" s="18"/>
      <c r="Q81" s="18"/>
      <c r="R81" s="18"/>
      <c r="S81" s="19"/>
      <c r="T81" s="329"/>
      <c r="X81" s="331"/>
    </row>
    <row r="82" spans="2:24" ht="15" customHeight="1">
      <c r="B82" s="699"/>
      <c r="C82" s="329"/>
      <c r="F82" s="11"/>
      <c r="H82" s="11"/>
      <c r="I82" s="11"/>
      <c r="J82" s="11"/>
      <c r="K82" s="11"/>
      <c r="M82" s="18"/>
      <c r="N82" s="19"/>
      <c r="O82" s="18"/>
      <c r="P82" s="18"/>
      <c r="Q82" s="18"/>
      <c r="R82" s="18"/>
      <c r="S82" s="19"/>
      <c r="T82" s="329"/>
      <c r="X82" s="331"/>
    </row>
    <row r="83" spans="2:24" ht="15" customHeight="1">
      <c r="B83" s="699"/>
      <c r="C83" s="329"/>
      <c r="F83" s="11"/>
      <c r="H83" s="11"/>
      <c r="I83" s="11"/>
      <c r="J83" s="11"/>
      <c r="K83" s="11"/>
      <c r="M83" s="18"/>
      <c r="N83" s="19"/>
      <c r="O83" s="18"/>
      <c r="P83" s="18"/>
      <c r="Q83" s="18"/>
      <c r="R83" s="18"/>
      <c r="S83" s="19"/>
      <c r="T83" s="329"/>
      <c r="X83" s="331"/>
    </row>
    <row r="84" spans="2:24" ht="15" customHeight="1">
      <c r="B84" s="699"/>
      <c r="C84" s="329"/>
      <c r="F84" s="11"/>
      <c r="H84" s="11"/>
      <c r="I84" s="11"/>
      <c r="J84" s="11"/>
      <c r="K84" s="11"/>
      <c r="M84" s="18"/>
      <c r="N84" s="19"/>
      <c r="O84" s="18"/>
      <c r="P84" s="18"/>
      <c r="Q84" s="18"/>
      <c r="R84" s="18"/>
      <c r="S84" s="19"/>
      <c r="T84" s="329"/>
      <c r="X84" s="331"/>
    </row>
    <row r="85" spans="2:24" ht="15" customHeight="1">
      <c r="B85" s="699"/>
      <c r="C85" s="329"/>
      <c r="F85" s="11"/>
      <c r="H85" s="11"/>
      <c r="I85" s="11"/>
      <c r="J85" s="11"/>
      <c r="K85" s="11"/>
      <c r="M85" s="18"/>
      <c r="N85" s="19"/>
      <c r="O85" s="18"/>
      <c r="P85" s="18"/>
      <c r="Q85" s="18"/>
      <c r="R85" s="18"/>
      <c r="S85" s="19"/>
      <c r="T85" s="329"/>
      <c r="X85" s="331"/>
    </row>
    <row r="86" spans="2:24" ht="15" customHeight="1">
      <c r="B86" s="699"/>
      <c r="C86" s="329"/>
      <c r="F86" s="11"/>
      <c r="H86" s="11"/>
      <c r="I86" s="11"/>
      <c r="J86" s="11"/>
      <c r="K86" s="11"/>
      <c r="M86" s="18"/>
      <c r="N86" s="19"/>
      <c r="O86" s="18"/>
      <c r="P86" s="18"/>
      <c r="Q86" s="18"/>
      <c r="R86" s="18"/>
      <c r="S86" s="19"/>
      <c r="T86" s="329"/>
      <c r="X86" s="331"/>
    </row>
    <row r="87" spans="2:24" ht="15" customHeight="1">
      <c r="B87" s="699"/>
      <c r="C87" s="329"/>
      <c r="F87" s="11"/>
      <c r="H87" s="11"/>
      <c r="I87" s="11"/>
      <c r="J87" s="11"/>
      <c r="K87" s="11"/>
      <c r="M87" s="18"/>
      <c r="N87" s="19"/>
      <c r="O87" s="18"/>
      <c r="P87" s="18"/>
      <c r="Q87" s="18"/>
      <c r="R87" s="18"/>
      <c r="S87" s="19"/>
      <c r="T87" s="329"/>
      <c r="X87" s="331"/>
    </row>
    <row r="88" spans="2:24" ht="15" customHeight="1">
      <c r="B88" s="699"/>
      <c r="C88" s="329"/>
      <c r="F88" s="11"/>
      <c r="H88" s="11"/>
      <c r="I88" s="11"/>
      <c r="J88" s="11"/>
      <c r="K88" s="11"/>
      <c r="M88" s="18"/>
      <c r="N88" s="19"/>
      <c r="O88" s="18"/>
      <c r="P88" s="18"/>
      <c r="Q88" s="18"/>
      <c r="R88" s="18"/>
      <c r="S88" s="19"/>
      <c r="T88" s="329"/>
      <c r="X88" s="331"/>
    </row>
    <row r="89" spans="2:24" ht="15" customHeight="1">
      <c r="B89" s="699"/>
      <c r="C89" s="329"/>
      <c r="F89" s="11"/>
      <c r="H89" s="11"/>
      <c r="I89" s="11"/>
      <c r="J89" s="11"/>
      <c r="K89" s="11"/>
      <c r="M89" s="18"/>
      <c r="N89" s="19"/>
      <c r="O89" s="18"/>
      <c r="P89" s="18"/>
      <c r="Q89" s="18"/>
      <c r="R89" s="18"/>
      <c r="S89" s="19"/>
      <c r="T89" s="329"/>
      <c r="X89" s="331"/>
    </row>
    <row r="90" spans="2:24" ht="15" customHeight="1">
      <c r="B90" s="699"/>
      <c r="C90" s="329"/>
      <c r="F90" s="11"/>
      <c r="H90" s="11"/>
      <c r="I90" s="11"/>
      <c r="J90" s="11"/>
      <c r="K90" s="11"/>
      <c r="M90" s="18"/>
      <c r="N90" s="19"/>
      <c r="O90" s="18"/>
      <c r="P90" s="18"/>
      <c r="Q90" s="18"/>
      <c r="R90" s="18"/>
      <c r="S90" s="19"/>
      <c r="T90" s="329"/>
      <c r="X90" s="331"/>
    </row>
    <row r="91" spans="2:24" ht="15" customHeight="1">
      <c r="B91" s="699"/>
      <c r="C91" s="329"/>
      <c r="F91" s="11"/>
      <c r="H91" s="11"/>
      <c r="I91" s="11"/>
      <c r="J91" s="11"/>
      <c r="K91" s="11"/>
      <c r="M91" s="18"/>
      <c r="N91" s="19"/>
      <c r="O91" s="18"/>
      <c r="P91" s="18"/>
      <c r="Q91" s="18"/>
      <c r="R91" s="18"/>
      <c r="S91" s="19"/>
      <c r="T91" s="329"/>
      <c r="X91" s="331"/>
    </row>
    <row r="92" spans="2:24" ht="15" customHeight="1">
      <c r="B92" s="699"/>
      <c r="C92" s="329"/>
      <c r="F92" s="11"/>
      <c r="H92" s="11"/>
      <c r="I92" s="11"/>
      <c r="J92" s="11"/>
      <c r="K92" s="11"/>
      <c r="M92" s="18"/>
      <c r="N92" s="19"/>
      <c r="O92" s="18"/>
      <c r="P92" s="18"/>
      <c r="Q92" s="18"/>
      <c r="R92" s="18"/>
      <c r="S92" s="19"/>
      <c r="T92" s="329"/>
      <c r="X92" s="331"/>
    </row>
    <row r="93" spans="2:24" ht="15" customHeight="1">
      <c r="B93" s="699"/>
      <c r="C93" s="329"/>
      <c r="F93" s="11"/>
      <c r="H93" s="11"/>
      <c r="I93" s="11"/>
      <c r="J93" s="11"/>
      <c r="K93" s="11"/>
      <c r="M93" s="18"/>
      <c r="N93" s="19"/>
      <c r="O93" s="18"/>
      <c r="P93" s="18"/>
      <c r="Q93" s="18"/>
      <c r="R93" s="18"/>
      <c r="S93" s="19"/>
      <c r="T93" s="329"/>
      <c r="X93" s="331"/>
    </row>
    <row r="94" spans="2:24" ht="15" customHeight="1">
      <c r="B94" s="699"/>
      <c r="C94" s="329"/>
      <c r="F94" s="11"/>
      <c r="H94" s="11"/>
      <c r="I94" s="11"/>
      <c r="J94" s="11"/>
      <c r="K94" s="11"/>
      <c r="M94" s="18"/>
      <c r="N94" s="19"/>
      <c r="O94" s="18"/>
      <c r="P94" s="18"/>
      <c r="Q94" s="18"/>
      <c r="R94" s="18"/>
      <c r="S94" s="19"/>
      <c r="T94" s="329"/>
      <c r="X94" s="331"/>
    </row>
    <row r="95" spans="2:24" ht="15" customHeight="1">
      <c r="B95" s="699"/>
      <c r="C95" s="329"/>
      <c r="F95" s="11"/>
      <c r="H95" s="11"/>
      <c r="I95" s="11"/>
      <c r="J95" s="11"/>
      <c r="K95" s="11"/>
      <c r="M95" s="18"/>
      <c r="N95" s="19"/>
      <c r="O95" s="18"/>
      <c r="P95" s="18"/>
      <c r="Q95" s="18"/>
      <c r="R95" s="18"/>
      <c r="S95" s="19"/>
      <c r="T95" s="329"/>
      <c r="X95" s="331"/>
    </row>
    <row r="96" spans="2:24" ht="15" customHeight="1">
      <c r="B96" s="699"/>
      <c r="C96" s="329"/>
      <c r="F96" s="11"/>
      <c r="H96" s="11"/>
      <c r="I96" s="11"/>
      <c r="J96" s="11"/>
      <c r="K96" s="11"/>
      <c r="M96" s="18"/>
      <c r="N96" s="19"/>
      <c r="O96" s="18"/>
      <c r="P96" s="18"/>
      <c r="Q96" s="18"/>
      <c r="R96" s="18"/>
      <c r="S96" s="19"/>
      <c r="T96" s="329"/>
      <c r="X96" s="331"/>
    </row>
    <row r="97" spans="2:24" ht="15" customHeight="1">
      <c r="B97" s="699"/>
      <c r="C97" s="329"/>
      <c r="F97" s="11"/>
      <c r="H97" s="11"/>
      <c r="I97" s="11"/>
      <c r="J97" s="11"/>
      <c r="K97" s="11"/>
      <c r="M97" s="18"/>
      <c r="N97" s="19"/>
      <c r="O97" s="18"/>
      <c r="P97" s="18"/>
      <c r="Q97" s="18"/>
      <c r="R97" s="18"/>
      <c r="S97" s="19"/>
      <c r="T97" s="329"/>
      <c r="X97" s="331"/>
    </row>
    <row r="98" spans="2:24" ht="15" customHeight="1">
      <c r="B98" s="699"/>
      <c r="C98" s="329"/>
      <c r="F98" s="11"/>
      <c r="H98" s="11"/>
      <c r="I98" s="11"/>
      <c r="J98" s="11"/>
      <c r="K98" s="11"/>
      <c r="M98" s="18"/>
      <c r="N98" s="19"/>
      <c r="O98" s="18"/>
      <c r="P98" s="18"/>
      <c r="Q98" s="18"/>
      <c r="R98" s="18"/>
      <c r="S98" s="19"/>
      <c r="T98" s="329"/>
      <c r="X98" s="331"/>
    </row>
    <row r="99" spans="2:24" ht="15" customHeight="1">
      <c r="B99" s="699"/>
      <c r="C99" s="329"/>
      <c r="F99" s="11"/>
      <c r="H99" s="11"/>
      <c r="I99" s="11"/>
      <c r="J99" s="11"/>
      <c r="K99" s="11"/>
      <c r="M99" s="18"/>
      <c r="N99" s="19"/>
      <c r="O99" s="18"/>
      <c r="P99" s="18"/>
      <c r="Q99" s="18"/>
      <c r="R99" s="18"/>
      <c r="S99" s="19"/>
      <c r="T99" s="329"/>
      <c r="X99" s="331"/>
    </row>
    <row r="100" spans="2:24" ht="15" customHeight="1" thickBot="1">
      <c r="B100" s="809"/>
      <c r="C100" s="174"/>
      <c r="D100" s="429"/>
      <c r="E100" s="175"/>
      <c r="F100" s="176"/>
      <c r="G100" s="175"/>
      <c r="H100" s="176"/>
      <c r="I100" s="176"/>
      <c r="J100" s="176"/>
      <c r="K100" s="176"/>
      <c r="L100" s="175"/>
      <c r="M100" s="177"/>
      <c r="N100" s="178"/>
      <c r="O100" s="177"/>
      <c r="P100" s="177"/>
      <c r="Q100" s="177"/>
      <c r="R100" s="177"/>
      <c r="S100" s="178"/>
      <c r="T100" s="174"/>
      <c r="U100" s="462"/>
      <c r="V100" s="437"/>
      <c r="W100" s="179"/>
      <c r="X100" s="179"/>
    </row>
    <row r="101" spans="2:24" ht="15" customHeight="1" thickTop="1">
      <c r="B101" s="699" t="s">
        <v>209</v>
      </c>
      <c r="C101" s="185" t="s">
        <v>206</v>
      </c>
      <c r="D101" s="430">
        <v>6.9444444444444441E-3</v>
      </c>
      <c r="E101" s="186">
        <v>70</v>
      </c>
      <c r="F101" s="187">
        <v>10000</v>
      </c>
      <c r="G101" s="186">
        <v>250</v>
      </c>
      <c r="H101" s="187">
        <v>5000</v>
      </c>
      <c r="I101" s="187">
        <v>5000</v>
      </c>
      <c r="J101" s="187">
        <v>5000</v>
      </c>
      <c r="K101" s="187">
        <v>5000</v>
      </c>
      <c r="L101" s="186">
        <v>5000</v>
      </c>
      <c r="M101" s="188">
        <v>5000</v>
      </c>
      <c r="N101" s="189">
        <v>25</v>
      </c>
      <c r="O101" s="188">
        <v>6000</v>
      </c>
      <c r="P101" s="188">
        <v>6000</v>
      </c>
      <c r="Q101" s="188">
        <v>6000</v>
      </c>
      <c r="R101" s="188">
        <v>6000</v>
      </c>
      <c r="S101" s="189">
        <v>3000</v>
      </c>
      <c r="T101" s="185" t="s">
        <v>385</v>
      </c>
      <c r="U101" s="463">
        <v>0.2</v>
      </c>
      <c r="V101" s="438">
        <v>0.2</v>
      </c>
      <c r="W101" s="190" t="s">
        <v>50</v>
      </c>
      <c r="X101" s="190"/>
    </row>
    <row r="102" spans="2:24" ht="15" customHeight="1">
      <c r="B102" s="699"/>
      <c r="C102" s="34" t="s">
        <v>616</v>
      </c>
      <c r="D102" s="427">
        <v>4.1666666666666664E-2</v>
      </c>
      <c r="E102" s="24">
        <v>130</v>
      </c>
      <c r="F102" s="27">
        <v>30000</v>
      </c>
      <c r="G102" s="24">
        <v>1000</v>
      </c>
      <c r="H102" s="27">
        <v>20000</v>
      </c>
      <c r="I102" s="27">
        <v>20000</v>
      </c>
      <c r="J102" s="27">
        <v>0</v>
      </c>
      <c r="K102" s="27">
        <v>0</v>
      </c>
      <c r="L102" s="24">
        <v>20000</v>
      </c>
      <c r="M102" s="25">
        <v>20000</v>
      </c>
      <c r="N102" s="26">
        <v>200</v>
      </c>
      <c r="O102" s="25">
        <v>32000</v>
      </c>
      <c r="P102" s="25">
        <v>32000</v>
      </c>
      <c r="Q102" s="25">
        <v>0</v>
      </c>
      <c r="R102" s="25">
        <v>0</v>
      </c>
      <c r="S102" s="26">
        <v>16000</v>
      </c>
      <c r="T102" s="34" t="s">
        <v>617</v>
      </c>
      <c r="U102" s="195"/>
      <c r="V102" s="173"/>
      <c r="W102" s="403" t="s">
        <v>50</v>
      </c>
      <c r="X102" s="89" t="s">
        <v>618</v>
      </c>
    </row>
    <row r="103" spans="2:24" ht="15" customHeight="1">
      <c r="B103" s="699"/>
      <c r="C103" s="277" t="s">
        <v>660</v>
      </c>
      <c r="D103" s="431">
        <v>4.1666666666666664E-2</v>
      </c>
      <c r="E103" s="26">
        <v>130</v>
      </c>
      <c r="F103" s="25">
        <v>30000</v>
      </c>
      <c r="G103" s="26">
        <v>1000</v>
      </c>
      <c r="H103" s="25">
        <v>20000</v>
      </c>
      <c r="I103" s="25">
        <v>0</v>
      </c>
      <c r="J103" s="25">
        <v>15000</v>
      </c>
      <c r="K103" s="25">
        <v>0</v>
      </c>
      <c r="L103" s="26">
        <v>20000</v>
      </c>
      <c r="M103" s="25">
        <v>20000</v>
      </c>
      <c r="N103" s="26">
        <v>2</v>
      </c>
      <c r="O103" s="25">
        <v>32000</v>
      </c>
      <c r="P103" s="25">
        <v>0</v>
      </c>
      <c r="Q103" s="25">
        <v>24000</v>
      </c>
      <c r="R103" s="25">
        <v>0</v>
      </c>
      <c r="S103" s="26">
        <v>16000</v>
      </c>
      <c r="T103" s="34" t="s">
        <v>661</v>
      </c>
      <c r="U103" s="195"/>
      <c r="V103" s="173"/>
      <c r="W103" s="403" t="s">
        <v>50</v>
      </c>
      <c r="X103" s="89" t="s">
        <v>206</v>
      </c>
    </row>
    <row r="104" spans="2:24" ht="15" customHeight="1">
      <c r="B104" s="699"/>
      <c r="C104" s="277" t="s">
        <v>769</v>
      </c>
      <c r="D104" s="431">
        <v>4.1666666666666664E-2</v>
      </c>
      <c r="E104" s="26">
        <v>130</v>
      </c>
      <c r="F104" s="25">
        <v>30000</v>
      </c>
      <c r="G104" s="26">
        <v>1000</v>
      </c>
      <c r="H104" s="25">
        <v>0</v>
      </c>
      <c r="I104" s="25">
        <v>20000</v>
      </c>
      <c r="J104" s="25">
        <v>15000</v>
      </c>
      <c r="K104" s="25">
        <v>0</v>
      </c>
      <c r="L104" s="26">
        <v>20000</v>
      </c>
      <c r="M104" s="25">
        <v>20000</v>
      </c>
      <c r="N104" s="26">
        <v>2</v>
      </c>
      <c r="O104" s="25">
        <v>0</v>
      </c>
      <c r="P104" s="25">
        <v>32000</v>
      </c>
      <c r="Q104" s="25">
        <v>24000</v>
      </c>
      <c r="R104" s="25">
        <v>0</v>
      </c>
      <c r="S104" s="26">
        <v>16000</v>
      </c>
      <c r="T104" s="34" t="s">
        <v>770</v>
      </c>
      <c r="U104" s="195"/>
      <c r="V104" s="173"/>
      <c r="W104" s="403" t="s">
        <v>632</v>
      </c>
      <c r="X104" s="89" t="s">
        <v>206</v>
      </c>
    </row>
    <row r="105" spans="2:24" ht="15" customHeight="1">
      <c r="B105" s="699"/>
      <c r="C105" s="150"/>
      <c r="F105" s="11"/>
      <c r="H105" s="11"/>
      <c r="I105" s="11"/>
      <c r="J105" s="11"/>
      <c r="K105" s="11"/>
      <c r="M105" s="18"/>
      <c r="N105" s="19"/>
      <c r="O105" s="18"/>
      <c r="P105" s="18"/>
      <c r="Q105" s="18"/>
      <c r="R105" s="18"/>
      <c r="S105" s="19"/>
      <c r="T105" s="150"/>
      <c r="X105" s="151"/>
    </row>
    <row r="106" spans="2:24" ht="15" customHeight="1">
      <c r="B106" s="699"/>
      <c r="C106" s="150"/>
      <c r="F106" s="11"/>
      <c r="H106" s="11"/>
      <c r="I106" s="11"/>
      <c r="J106" s="11"/>
      <c r="K106" s="11"/>
      <c r="M106" s="18"/>
      <c r="N106" s="19"/>
      <c r="O106" s="18"/>
      <c r="P106" s="18"/>
      <c r="Q106" s="18"/>
      <c r="R106" s="18"/>
      <c r="S106" s="19"/>
      <c r="T106" s="150"/>
      <c r="X106" s="151"/>
    </row>
    <row r="107" spans="2:24" ht="15" customHeight="1">
      <c r="B107" s="699"/>
      <c r="C107" s="287" t="s">
        <v>855</v>
      </c>
      <c r="D107" s="135">
        <v>0.1875</v>
      </c>
      <c r="E107" s="5">
        <v>650</v>
      </c>
      <c r="F107" s="11">
        <v>40000</v>
      </c>
      <c r="G107" s="5">
        <v>400</v>
      </c>
      <c r="H107" s="11">
        <v>20000</v>
      </c>
      <c r="I107" s="11">
        <v>20000</v>
      </c>
      <c r="J107" s="11">
        <v>15000</v>
      </c>
      <c r="K107" s="11">
        <v>20000</v>
      </c>
      <c r="L107" s="5">
        <v>8000</v>
      </c>
      <c r="M107" s="18">
        <v>8000</v>
      </c>
      <c r="N107" s="19">
        <v>30</v>
      </c>
      <c r="O107" s="18">
        <v>32000</v>
      </c>
      <c r="P107" s="18">
        <v>32000</v>
      </c>
      <c r="Q107" s="18">
        <v>24000</v>
      </c>
      <c r="R107" s="18">
        <v>32000</v>
      </c>
      <c r="S107" s="19">
        <v>6000</v>
      </c>
      <c r="T107" s="294" t="s">
        <v>875</v>
      </c>
      <c r="U107" s="21">
        <v>0.01</v>
      </c>
      <c r="V107" s="156">
        <f>SUM(U107:U107)</f>
        <v>0.01</v>
      </c>
      <c r="W107" s="391" t="s">
        <v>876</v>
      </c>
      <c r="X107" s="288" t="s">
        <v>877</v>
      </c>
    </row>
    <row r="108" spans="2:24" ht="15" customHeight="1">
      <c r="B108" s="699"/>
      <c r="C108" s="287" t="s">
        <v>856</v>
      </c>
      <c r="D108" s="135">
        <v>0.41203703703703703</v>
      </c>
      <c r="E108" s="5">
        <v>650</v>
      </c>
      <c r="F108" s="11">
        <v>80000</v>
      </c>
      <c r="G108" s="5">
        <v>1000</v>
      </c>
      <c r="H108" s="11">
        <v>40000</v>
      </c>
      <c r="I108" s="11">
        <v>40000</v>
      </c>
      <c r="J108" s="11">
        <v>30000</v>
      </c>
      <c r="K108" s="11">
        <v>40000</v>
      </c>
      <c r="L108" s="5">
        <v>20000</v>
      </c>
      <c r="M108" s="18">
        <v>12000</v>
      </c>
      <c r="N108" s="19">
        <v>50</v>
      </c>
      <c r="O108" s="18">
        <v>80000</v>
      </c>
      <c r="P108" s="18">
        <v>80000</v>
      </c>
      <c r="Q108" s="18">
        <v>60000</v>
      </c>
      <c r="R108" s="18">
        <v>80000</v>
      </c>
      <c r="S108" s="19">
        <v>20000</v>
      </c>
      <c r="T108" s="294" t="s">
        <v>875</v>
      </c>
      <c r="U108" s="21">
        <v>0.02</v>
      </c>
      <c r="V108" s="156">
        <f>SUM(U107:U108)</f>
        <v>0.03</v>
      </c>
      <c r="W108" s="391" t="s">
        <v>889</v>
      </c>
      <c r="X108" s="288"/>
    </row>
    <row r="109" spans="2:24" ht="15" customHeight="1">
      <c r="B109" s="699"/>
      <c r="C109" s="287" t="s">
        <v>857</v>
      </c>
      <c r="F109" s="11"/>
      <c r="H109" s="11"/>
      <c r="I109" s="11"/>
      <c r="J109" s="11"/>
      <c r="K109" s="11"/>
      <c r="M109" s="18"/>
      <c r="N109" s="19"/>
      <c r="O109" s="18"/>
      <c r="P109" s="18"/>
      <c r="Q109" s="18"/>
      <c r="R109" s="18"/>
      <c r="S109" s="19"/>
      <c r="T109" s="294" t="s">
        <v>875</v>
      </c>
      <c r="U109" s="21">
        <v>0.04</v>
      </c>
      <c r="V109" s="156">
        <f>SUM(U107:U109)</f>
        <v>7.0000000000000007E-2</v>
      </c>
      <c r="X109" s="288"/>
    </row>
    <row r="110" spans="2:24" ht="15" customHeight="1">
      <c r="B110" s="699"/>
      <c r="C110" s="287" t="s">
        <v>858</v>
      </c>
      <c r="F110" s="11"/>
      <c r="H110" s="11"/>
      <c r="I110" s="11"/>
      <c r="J110" s="11"/>
      <c r="K110" s="11"/>
      <c r="M110" s="18"/>
      <c r="N110" s="19"/>
      <c r="O110" s="18"/>
      <c r="P110" s="18"/>
      <c r="Q110" s="18"/>
      <c r="R110" s="18"/>
      <c r="S110" s="19"/>
      <c r="T110" s="294" t="s">
        <v>875</v>
      </c>
      <c r="U110" s="21">
        <v>0.06</v>
      </c>
      <c r="V110" s="156">
        <f>SUM(U107:U110)</f>
        <v>0.13</v>
      </c>
      <c r="X110" s="288"/>
    </row>
    <row r="111" spans="2:24" ht="15" customHeight="1">
      <c r="B111" s="699"/>
      <c r="C111" s="287" t="s">
        <v>859</v>
      </c>
      <c r="F111" s="11"/>
      <c r="H111" s="11"/>
      <c r="I111" s="11"/>
      <c r="J111" s="11"/>
      <c r="K111" s="11"/>
      <c r="M111" s="18"/>
      <c r="N111" s="19"/>
      <c r="O111" s="18"/>
      <c r="P111" s="18"/>
      <c r="Q111" s="18"/>
      <c r="R111" s="18"/>
      <c r="S111" s="19"/>
      <c r="T111" s="294" t="s">
        <v>875</v>
      </c>
      <c r="U111" s="21">
        <v>0.08</v>
      </c>
      <c r="V111" s="156">
        <f>SUM(U107:U111)</f>
        <v>0.21000000000000002</v>
      </c>
      <c r="X111" s="288"/>
    </row>
    <row r="112" spans="2:24" ht="15" customHeight="1">
      <c r="B112" s="699"/>
      <c r="C112" s="287" t="s">
        <v>860</v>
      </c>
      <c r="F112" s="11"/>
      <c r="H112" s="11"/>
      <c r="I112" s="11"/>
      <c r="J112" s="11"/>
      <c r="K112" s="11"/>
      <c r="M112" s="18"/>
      <c r="N112" s="19"/>
      <c r="O112" s="18"/>
      <c r="P112" s="18"/>
      <c r="Q112" s="18"/>
      <c r="R112" s="18"/>
      <c r="S112" s="19"/>
      <c r="T112" s="294" t="s">
        <v>875</v>
      </c>
      <c r="U112" s="21">
        <v>0.1</v>
      </c>
      <c r="V112" s="156">
        <f>SUM(U107:U112)</f>
        <v>0.31000000000000005</v>
      </c>
      <c r="X112" s="288"/>
    </row>
    <row r="113" spans="2:24" ht="15" customHeight="1">
      <c r="B113" s="699"/>
      <c r="C113" s="287" t="s">
        <v>861</v>
      </c>
      <c r="F113" s="11"/>
      <c r="H113" s="11"/>
      <c r="I113" s="11"/>
      <c r="J113" s="11"/>
      <c r="K113" s="11"/>
      <c r="M113" s="18"/>
      <c r="N113" s="19"/>
      <c r="O113" s="18"/>
      <c r="P113" s="18"/>
      <c r="Q113" s="18"/>
      <c r="R113" s="18"/>
      <c r="S113" s="19"/>
      <c r="T113" s="294" t="s">
        <v>875</v>
      </c>
      <c r="U113" s="21">
        <v>0.15</v>
      </c>
      <c r="V113" s="156">
        <f>SUM(U107:U113)</f>
        <v>0.46000000000000008</v>
      </c>
      <c r="X113" s="288"/>
    </row>
    <row r="114" spans="2:24" ht="15" customHeight="1">
      <c r="B114" s="699"/>
      <c r="C114" s="287" t="s">
        <v>862</v>
      </c>
      <c r="F114" s="11"/>
      <c r="H114" s="11"/>
      <c r="I114" s="11"/>
      <c r="J114" s="11"/>
      <c r="K114" s="11"/>
      <c r="M114" s="18"/>
      <c r="N114" s="19"/>
      <c r="O114" s="18"/>
      <c r="P114" s="18"/>
      <c r="Q114" s="18"/>
      <c r="R114" s="18"/>
      <c r="S114" s="19"/>
      <c r="T114" s="294" t="s">
        <v>875</v>
      </c>
      <c r="U114" s="21">
        <v>0.2</v>
      </c>
      <c r="V114" s="156">
        <f>SUM(U107:U114)</f>
        <v>0.66000000000000014</v>
      </c>
      <c r="X114" s="288"/>
    </row>
    <row r="115" spans="2:24" ht="15" customHeight="1">
      <c r="B115" s="699"/>
      <c r="C115" s="287" t="s">
        <v>863</v>
      </c>
      <c r="F115" s="11"/>
      <c r="H115" s="11"/>
      <c r="I115" s="11"/>
      <c r="J115" s="11"/>
      <c r="K115" s="11"/>
      <c r="M115" s="18"/>
      <c r="N115" s="19"/>
      <c r="O115" s="18"/>
      <c r="P115" s="18"/>
      <c r="Q115" s="18"/>
      <c r="R115" s="18"/>
      <c r="S115" s="19"/>
      <c r="T115" s="294" t="s">
        <v>875</v>
      </c>
      <c r="U115" s="21">
        <v>0.25</v>
      </c>
      <c r="V115" s="156">
        <f>SUM(U107:U115)</f>
        <v>0.91000000000000014</v>
      </c>
      <c r="X115" s="288"/>
    </row>
    <row r="116" spans="2:24" ht="15" customHeight="1">
      <c r="B116" s="699"/>
      <c r="C116" s="34" t="s">
        <v>864</v>
      </c>
      <c r="D116" s="427"/>
      <c r="E116" s="24"/>
      <c r="F116" s="27"/>
      <c r="G116" s="24"/>
      <c r="H116" s="27"/>
      <c r="I116" s="27"/>
      <c r="J116" s="27"/>
      <c r="K116" s="27"/>
      <c r="L116" s="24"/>
      <c r="M116" s="25"/>
      <c r="N116" s="26"/>
      <c r="O116" s="25"/>
      <c r="P116" s="25"/>
      <c r="Q116" s="25"/>
      <c r="R116" s="25"/>
      <c r="S116" s="26"/>
      <c r="T116" s="196" t="s">
        <v>875</v>
      </c>
      <c r="U116" s="195">
        <v>0.4</v>
      </c>
      <c r="V116" s="173">
        <f>SUM(U107:U116)</f>
        <v>1.31</v>
      </c>
      <c r="W116" s="403"/>
      <c r="X116" s="89"/>
    </row>
    <row r="117" spans="2:24" ht="15" customHeight="1">
      <c r="B117" s="699"/>
      <c r="C117" s="287" t="s">
        <v>865</v>
      </c>
      <c r="D117" s="135">
        <v>0.125</v>
      </c>
      <c r="E117" s="5">
        <v>300</v>
      </c>
      <c r="F117" s="11">
        <v>30000</v>
      </c>
      <c r="G117" s="5">
        <v>1000</v>
      </c>
      <c r="H117" s="11">
        <v>10000</v>
      </c>
      <c r="I117" s="11">
        <v>10000</v>
      </c>
      <c r="J117" s="11">
        <v>7500</v>
      </c>
      <c r="K117" s="11">
        <v>10000</v>
      </c>
      <c r="L117" s="5">
        <v>20000</v>
      </c>
      <c r="M117" s="18">
        <v>20000</v>
      </c>
      <c r="N117" s="19">
        <v>30</v>
      </c>
      <c r="O117" s="18">
        <v>14000</v>
      </c>
      <c r="P117" s="18">
        <v>14000</v>
      </c>
      <c r="Q117" s="18">
        <v>10000</v>
      </c>
      <c r="R117" s="18">
        <v>14000</v>
      </c>
      <c r="S117" s="19">
        <v>14000</v>
      </c>
      <c r="T117" s="294" t="s">
        <v>885</v>
      </c>
      <c r="U117" s="21">
        <v>0.01</v>
      </c>
      <c r="V117" s="156">
        <f>SUM(U117:U117)</f>
        <v>0.01</v>
      </c>
      <c r="W117" s="391" t="s">
        <v>884</v>
      </c>
      <c r="X117" s="292" t="s">
        <v>883</v>
      </c>
    </row>
    <row r="118" spans="2:24" ht="15" customHeight="1">
      <c r="B118" s="699"/>
      <c r="C118" s="287" t="s">
        <v>866</v>
      </c>
      <c r="D118" s="135">
        <v>0.27430555555555552</v>
      </c>
      <c r="E118" s="5">
        <v>650</v>
      </c>
      <c r="F118" s="11">
        <v>60000</v>
      </c>
      <c r="G118" s="5">
        <v>2000</v>
      </c>
      <c r="H118" s="11">
        <v>20000</v>
      </c>
      <c r="I118" s="11">
        <v>20000</v>
      </c>
      <c r="J118" s="11">
        <v>15000</v>
      </c>
      <c r="K118" s="11">
        <v>20000</v>
      </c>
      <c r="L118" s="5">
        <v>40000</v>
      </c>
      <c r="M118" s="18">
        <v>30000</v>
      </c>
      <c r="N118" s="19">
        <v>50</v>
      </c>
      <c r="O118" s="18">
        <v>36000</v>
      </c>
      <c r="P118" s="18">
        <v>36000</v>
      </c>
      <c r="Q118" s="18">
        <v>27000</v>
      </c>
      <c r="R118" s="18">
        <v>36000</v>
      </c>
      <c r="S118" s="19">
        <v>36000</v>
      </c>
      <c r="T118" s="294" t="s">
        <v>885</v>
      </c>
      <c r="U118" s="21">
        <v>0.02</v>
      </c>
      <c r="V118" s="156">
        <f>SUM(U117:U118)</f>
        <v>0.03</v>
      </c>
      <c r="W118" s="391" t="s">
        <v>895</v>
      </c>
      <c r="X118" s="288"/>
    </row>
    <row r="119" spans="2:24" ht="15" customHeight="1">
      <c r="B119" s="699"/>
      <c r="C119" s="15" t="s">
        <v>867</v>
      </c>
      <c r="D119" s="221">
        <v>0.60300925925925919</v>
      </c>
      <c r="E119" s="19">
        <v>1000</v>
      </c>
      <c r="F119" s="18">
        <v>90000</v>
      </c>
      <c r="G119" s="19">
        <v>4000</v>
      </c>
      <c r="H119" s="18">
        <v>40000</v>
      </c>
      <c r="I119" s="18">
        <v>40000</v>
      </c>
      <c r="J119" s="18">
        <v>30000</v>
      </c>
      <c r="K119" s="18">
        <v>40000</v>
      </c>
      <c r="L119" s="19">
        <v>80000</v>
      </c>
      <c r="M119" s="18">
        <v>40000</v>
      </c>
      <c r="N119" s="19">
        <v>110</v>
      </c>
      <c r="O119" s="18">
        <v>80000</v>
      </c>
      <c r="P119" s="18">
        <v>80000</v>
      </c>
      <c r="Q119" s="18">
        <v>60000</v>
      </c>
      <c r="R119" s="18">
        <v>80000</v>
      </c>
      <c r="S119" s="19">
        <v>80000</v>
      </c>
      <c r="T119" s="294" t="s">
        <v>885</v>
      </c>
      <c r="U119" s="21">
        <v>0.04</v>
      </c>
      <c r="V119" s="156">
        <f>SUM(U117:U119)</f>
        <v>7.0000000000000007E-2</v>
      </c>
      <c r="W119" s="434" t="s">
        <v>1142</v>
      </c>
      <c r="X119" s="288"/>
    </row>
    <row r="120" spans="2:24" ht="15" customHeight="1">
      <c r="B120" s="699"/>
      <c r="C120" s="287" t="s">
        <v>868</v>
      </c>
      <c r="F120" s="11"/>
      <c r="H120" s="11"/>
      <c r="I120" s="11"/>
      <c r="J120" s="11"/>
      <c r="K120" s="11"/>
      <c r="M120" s="18"/>
      <c r="N120" s="19"/>
      <c r="O120" s="18"/>
      <c r="P120" s="18"/>
      <c r="Q120" s="18"/>
      <c r="R120" s="18"/>
      <c r="S120" s="19"/>
      <c r="T120" s="294" t="s">
        <v>885</v>
      </c>
      <c r="U120" s="21">
        <v>0.06</v>
      </c>
      <c r="V120" s="156">
        <f>SUM(U117:U120)</f>
        <v>0.13</v>
      </c>
      <c r="X120" s="288"/>
    </row>
    <row r="121" spans="2:24" ht="15" customHeight="1">
      <c r="B121" s="699"/>
      <c r="C121" s="287" t="s">
        <v>869</v>
      </c>
      <c r="F121" s="11"/>
      <c r="H121" s="11"/>
      <c r="I121" s="11"/>
      <c r="J121" s="11"/>
      <c r="K121" s="11"/>
      <c r="M121" s="18"/>
      <c r="N121" s="19"/>
      <c r="O121" s="18"/>
      <c r="P121" s="18"/>
      <c r="Q121" s="18"/>
      <c r="R121" s="18"/>
      <c r="S121" s="19"/>
      <c r="T121" s="294" t="s">
        <v>885</v>
      </c>
      <c r="U121" s="21">
        <v>0.08</v>
      </c>
      <c r="V121" s="156">
        <f>SUM(U117:U121)</f>
        <v>0.21000000000000002</v>
      </c>
      <c r="X121" s="288"/>
    </row>
    <row r="122" spans="2:24" ht="15" customHeight="1">
      <c r="B122" s="699"/>
      <c r="C122" s="287" t="s">
        <v>870</v>
      </c>
      <c r="F122" s="11"/>
      <c r="H122" s="11"/>
      <c r="I122" s="11"/>
      <c r="J122" s="11"/>
      <c r="K122" s="11"/>
      <c r="M122" s="18"/>
      <c r="N122" s="19"/>
      <c r="O122" s="18"/>
      <c r="P122" s="18"/>
      <c r="Q122" s="18"/>
      <c r="R122" s="18"/>
      <c r="S122" s="19"/>
      <c r="T122" s="294" t="s">
        <v>885</v>
      </c>
      <c r="U122" s="21">
        <v>0.1</v>
      </c>
      <c r="V122" s="156">
        <f>SUM(U117:U122)</f>
        <v>0.31000000000000005</v>
      </c>
      <c r="X122" s="288"/>
    </row>
    <row r="123" spans="2:24" ht="15" customHeight="1">
      <c r="B123" s="699"/>
      <c r="C123" s="287" t="s">
        <v>871</v>
      </c>
      <c r="F123" s="11"/>
      <c r="H123" s="11"/>
      <c r="I123" s="11"/>
      <c r="J123" s="11"/>
      <c r="K123" s="11"/>
      <c r="M123" s="18"/>
      <c r="N123" s="19"/>
      <c r="O123" s="18"/>
      <c r="P123" s="18"/>
      <c r="Q123" s="18"/>
      <c r="R123" s="18"/>
      <c r="S123" s="19"/>
      <c r="T123" s="294" t="s">
        <v>885</v>
      </c>
      <c r="U123" s="21">
        <v>0.15</v>
      </c>
      <c r="V123" s="156">
        <f>SUM(U117:U123)</f>
        <v>0.46000000000000008</v>
      </c>
      <c r="X123" s="288"/>
    </row>
    <row r="124" spans="2:24" ht="15" customHeight="1">
      <c r="B124" s="699"/>
      <c r="C124" s="287" t="s">
        <v>872</v>
      </c>
      <c r="F124" s="11"/>
      <c r="H124" s="11"/>
      <c r="I124" s="11"/>
      <c r="J124" s="11"/>
      <c r="K124" s="11"/>
      <c r="M124" s="18"/>
      <c r="N124" s="19"/>
      <c r="O124" s="18"/>
      <c r="P124" s="18"/>
      <c r="Q124" s="18"/>
      <c r="R124" s="18"/>
      <c r="S124" s="19"/>
      <c r="T124" s="294" t="s">
        <v>885</v>
      </c>
      <c r="U124" s="21">
        <v>0.2</v>
      </c>
      <c r="V124" s="156">
        <f>SUM(U117:U124)</f>
        <v>0.66000000000000014</v>
      </c>
      <c r="X124" s="288"/>
    </row>
    <row r="125" spans="2:24" ht="15" customHeight="1">
      <c r="B125" s="699"/>
      <c r="C125" s="287" t="s">
        <v>873</v>
      </c>
      <c r="F125" s="11"/>
      <c r="H125" s="11"/>
      <c r="I125" s="11"/>
      <c r="J125" s="11"/>
      <c r="K125" s="11"/>
      <c r="M125" s="18"/>
      <c r="N125" s="19"/>
      <c r="O125" s="18"/>
      <c r="P125" s="18"/>
      <c r="Q125" s="18"/>
      <c r="R125" s="18"/>
      <c r="S125" s="19"/>
      <c r="T125" s="294" t="s">
        <v>885</v>
      </c>
      <c r="U125" s="21">
        <v>0.25</v>
      </c>
      <c r="V125" s="156">
        <f>SUM(U117:U125)</f>
        <v>0.91000000000000014</v>
      </c>
      <c r="X125" s="288"/>
    </row>
    <row r="126" spans="2:24" ht="15" customHeight="1">
      <c r="B126" s="699"/>
      <c r="C126" s="34" t="s">
        <v>874</v>
      </c>
      <c r="D126" s="427"/>
      <c r="E126" s="24"/>
      <c r="F126" s="27"/>
      <c r="G126" s="24"/>
      <c r="H126" s="27"/>
      <c r="I126" s="27"/>
      <c r="J126" s="27"/>
      <c r="K126" s="27"/>
      <c r="L126" s="24"/>
      <c r="M126" s="25"/>
      <c r="N126" s="26"/>
      <c r="O126" s="25"/>
      <c r="P126" s="25"/>
      <c r="Q126" s="25"/>
      <c r="R126" s="25"/>
      <c r="S126" s="26"/>
      <c r="T126" s="196" t="s">
        <v>885</v>
      </c>
      <c r="U126" s="195">
        <v>0.4</v>
      </c>
      <c r="V126" s="173">
        <f>SUM(U117:U126)</f>
        <v>1.31</v>
      </c>
      <c r="W126" s="403"/>
      <c r="X126" s="89"/>
    </row>
    <row r="127" spans="2:24" ht="15" customHeight="1">
      <c r="B127" s="699"/>
      <c r="C127" s="150"/>
      <c r="F127" s="11"/>
      <c r="H127" s="11"/>
      <c r="I127" s="11"/>
      <c r="J127" s="11"/>
      <c r="K127" s="11"/>
      <c r="M127" s="18"/>
      <c r="N127" s="19"/>
      <c r="O127" s="18"/>
      <c r="P127" s="18"/>
      <c r="Q127" s="18"/>
      <c r="R127" s="18"/>
      <c r="S127" s="19"/>
      <c r="T127" s="150"/>
      <c r="X127" s="151"/>
    </row>
    <row r="128" spans="2:24" ht="15" customHeight="1" thickBot="1">
      <c r="B128" s="809"/>
      <c r="C128" s="174"/>
      <c r="D128" s="429"/>
      <c r="E128" s="175"/>
      <c r="F128" s="176"/>
      <c r="G128" s="175"/>
      <c r="H128" s="176"/>
      <c r="I128" s="176"/>
      <c r="J128" s="176"/>
      <c r="K128" s="176"/>
      <c r="L128" s="175"/>
      <c r="M128" s="177"/>
      <c r="N128" s="178"/>
      <c r="O128" s="177"/>
      <c r="P128" s="177"/>
      <c r="Q128" s="177"/>
      <c r="R128" s="177"/>
      <c r="S128" s="178"/>
      <c r="T128" s="174"/>
      <c r="U128" s="462"/>
      <c r="V128" s="437"/>
      <c r="W128" s="179"/>
      <c r="X128" s="179"/>
    </row>
    <row r="129" spans="2:24" ht="15" customHeight="1" thickTop="1">
      <c r="B129" s="808" t="s">
        <v>210</v>
      </c>
      <c r="C129" s="249" t="s">
        <v>132</v>
      </c>
      <c r="D129" s="432">
        <v>0.125</v>
      </c>
      <c r="E129" s="180">
        <v>300</v>
      </c>
      <c r="F129" s="181">
        <v>50000</v>
      </c>
      <c r="G129" s="180">
        <v>1000</v>
      </c>
      <c r="H129" s="181">
        <v>20000</v>
      </c>
      <c r="I129" s="181">
        <v>20000</v>
      </c>
      <c r="J129" s="181">
        <v>20000</v>
      </c>
      <c r="K129" s="181">
        <v>20000</v>
      </c>
      <c r="L129" s="180">
        <v>20000</v>
      </c>
      <c r="M129" s="182">
        <v>20000</v>
      </c>
      <c r="N129" s="183">
        <v>25</v>
      </c>
      <c r="O129" s="182">
        <v>24000</v>
      </c>
      <c r="P129" s="182">
        <v>24000</v>
      </c>
      <c r="Q129" s="182">
        <v>24000</v>
      </c>
      <c r="R129" s="182">
        <v>24000</v>
      </c>
      <c r="S129" s="183">
        <v>12000</v>
      </c>
      <c r="T129" s="249" t="s">
        <v>280</v>
      </c>
      <c r="U129" s="464">
        <v>0.01</v>
      </c>
      <c r="V129" s="156">
        <f>SUM(U129:U129)</f>
        <v>0.01</v>
      </c>
      <c r="W129" s="184" t="s">
        <v>133</v>
      </c>
      <c r="X129" s="184"/>
    </row>
    <row r="130" spans="2:24" ht="15" customHeight="1">
      <c r="B130" s="699"/>
      <c r="C130" s="331" t="s">
        <v>904</v>
      </c>
      <c r="D130" s="135">
        <v>0.25</v>
      </c>
      <c r="E130" s="5">
        <v>650</v>
      </c>
      <c r="F130" s="11">
        <v>100000</v>
      </c>
      <c r="G130" s="5">
        <v>2000</v>
      </c>
      <c r="H130" s="90">
        <v>40000</v>
      </c>
      <c r="I130" s="11">
        <v>40000</v>
      </c>
      <c r="J130" s="11">
        <v>40000</v>
      </c>
      <c r="K130" s="11">
        <v>40000</v>
      </c>
      <c r="L130" s="5">
        <v>40000</v>
      </c>
      <c r="M130" s="18">
        <v>40000</v>
      </c>
      <c r="N130" s="19">
        <v>30</v>
      </c>
      <c r="O130" s="18">
        <v>64000</v>
      </c>
      <c r="P130" s="18">
        <v>64000</v>
      </c>
      <c r="Q130" s="18">
        <v>64000</v>
      </c>
      <c r="R130" s="18">
        <v>64000</v>
      </c>
      <c r="S130" s="19">
        <v>32000</v>
      </c>
      <c r="T130" s="358" t="s">
        <v>280</v>
      </c>
      <c r="U130" s="21">
        <v>0.02</v>
      </c>
      <c r="V130" s="156">
        <f>SUM(U129:U130)</f>
        <v>0.03</v>
      </c>
      <c r="W130" s="391" t="s">
        <v>716</v>
      </c>
      <c r="X130" s="245"/>
    </row>
    <row r="131" spans="2:24" ht="15" customHeight="1">
      <c r="B131" s="699"/>
      <c r="C131" s="331" t="s">
        <v>905</v>
      </c>
      <c r="D131" s="135">
        <v>0.5</v>
      </c>
      <c r="E131" s="5">
        <v>1000</v>
      </c>
      <c r="F131" s="11">
        <v>150000</v>
      </c>
      <c r="G131" s="5">
        <v>4000</v>
      </c>
      <c r="H131" s="90">
        <v>80000</v>
      </c>
      <c r="I131" s="11">
        <v>80000</v>
      </c>
      <c r="J131" s="11">
        <v>80000</v>
      </c>
      <c r="K131" s="11">
        <v>80000</v>
      </c>
      <c r="L131" s="5">
        <v>80000</v>
      </c>
      <c r="M131" s="18">
        <v>48000</v>
      </c>
      <c r="N131" s="19">
        <v>110</v>
      </c>
      <c r="O131" s="18">
        <v>160000</v>
      </c>
      <c r="P131" s="18">
        <v>160000</v>
      </c>
      <c r="Q131" s="18">
        <v>160000</v>
      </c>
      <c r="R131" s="18">
        <v>160000</v>
      </c>
      <c r="S131" s="19">
        <v>80000</v>
      </c>
      <c r="T131" s="358" t="s">
        <v>280</v>
      </c>
      <c r="U131" s="21">
        <v>0.03</v>
      </c>
      <c r="V131" s="156">
        <f>SUM(U129:U131)</f>
        <v>0.06</v>
      </c>
      <c r="W131" s="391" t="s">
        <v>1011</v>
      </c>
      <c r="X131" s="245"/>
    </row>
    <row r="132" spans="2:24" ht="15" customHeight="1">
      <c r="B132" s="699"/>
      <c r="C132" s="16" t="s">
        <v>906</v>
      </c>
      <c r="D132" s="221">
        <v>1</v>
      </c>
      <c r="E132" s="19">
        <v>1500</v>
      </c>
      <c r="F132" s="18">
        <v>200000</v>
      </c>
      <c r="G132" s="19">
        <v>8000</v>
      </c>
      <c r="H132" s="433">
        <v>160000</v>
      </c>
      <c r="I132" s="18">
        <v>160000</v>
      </c>
      <c r="J132" s="18">
        <v>160000</v>
      </c>
      <c r="K132" s="18">
        <v>160000</v>
      </c>
      <c r="L132" s="19">
        <v>160000</v>
      </c>
      <c r="M132" s="18">
        <v>68000</v>
      </c>
      <c r="N132" s="19">
        <v>275</v>
      </c>
      <c r="O132" s="18">
        <v>160000</v>
      </c>
      <c r="P132" s="18">
        <v>160000</v>
      </c>
      <c r="Q132" s="18">
        <v>160000</v>
      </c>
      <c r="R132" s="18">
        <v>160000</v>
      </c>
      <c r="S132" s="19">
        <v>80000</v>
      </c>
      <c r="T132" s="358" t="s">
        <v>280</v>
      </c>
      <c r="U132" s="21">
        <v>0.04</v>
      </c>
      <c r="V132" s="156">
        <f>SUM(U129:U132)</f>
        <v>0.1</v>
      </c>
      <c r="W132" s="391" t="s">
        <v>1072</v>
      </c>
      <c r="X132" s="245"/>
    </row>
    <row r="133" spans="2:24" ht="15" customHeight="1">
      <c r="B133" s="699"/>
      <c r="C133" s="16" t="s">
        <v>907</v>
      </c>
      <c r="D133" s="221">
        <v>2</v>
      </c>
      <c r="E133" s="19">
        <v>4400</v>
      </c>
      <c r="F133" s="18">
        <v>250000</v>
      </c>
      <c r="G133" s="19">
        <v>16000</v>
      </c>
      <c r="H133" s="18">
        <v>320000</v>
      </c>
      <c r="I133" s="18">
        <v>320000</v>
      </c>
      <c r="J133" s="18">
        <v>320000</v>
      </c>
      <c r="K133" s="18">
        <v>320000</v>
      </c>
      <c r="L133" s="19">
        <v>320000</v>
      </c>
      <c r="M133" s="18">
        <v>106000</v>
      </c>
      <c r="N133" s="19">
        <v>700</v>
      </c>
      <c r="O133" s="18">
        <v>160000</v>
      </c>
      <c r="P133" s="18">
        <v>160000</v>
      </c>
      <c r="Q133" s="18">
        <v>160000</v>
      </c>
      <c r="R133" s="18">
        <v>160000</v>
      </c>
      <c r="S133" s="19">
        <v>80000</v>
      </c>
      <c r="T133" s="358" t="s">
        <v>280</v>
      </c>
      <c r="U133" s="21">
        <v>0.05</v>
      </c>
      <c r="V133" s="156">
        <f>SUM(U129:U133)</f>
        <v>0.15000000000000002</v>
      </c>
      <c r="W133" s="434" t="s">
        <v>1146</v>
      </c>
      <c r="X133" s="245"/>
    </row>
    <row r="134" spans="2:24" ht="15" customHeight="1">
      <c r="B134" s="699"/>
      <c r="C134" s="331" t="s">
        <v>908</v>
      </c>
      <c r="D134" s="135">
        <v>4</v>
      </c>
      <c r="E134" s="5">
        <v>4400</v>
      </c>
      <c r="F134" s="11">
        <v>300000</v>
      </c>
      <c r="G134" s="5">
        <v>32000</v>
      </c>
      <c r="H134" s="11">
        <v>640000</v>
      </c>
      <c r="I134" s="11">
        <v>640000</v>
      </c>
      <c r="J134" s="11">
        <v>640000</v>
      </c>
      <c r="K134" s="11">
        <v>640000</v>
      </c>
      <c r="L134" s="5">
        <v>640000</v>
      </c>
      <c r="M134" s="18">
        <v>174000</v>
      </c>
      <c r="N134" s="19">
        <v>1650</v>
      </c>
      <c r="O134" s="18">
        <v>213000</v>
      </c>
      <c r="P134" s="18">
        <v>213000</v>
      </c>
      <c r="Q134" s="18">
        <v>213000</v>
      </c>
      <c r="R134" s="18">
        <v>213000</v>
      </c>
      <c r="S134" s="19">
        <v>106500</v>
      </c>
      <c r="T134" s="358" t="s">
        <v>280</v>
      </c>
      <c r="U134" s="21">
        <v>0.06</v>
      </c>
      <c r="V134" s="156">
        <f>SUM(U129:U134)</f>
        <v>0.21000000000000002</v>
      </c>
      <c r="W134" s="471" t="s">
        <v>1312</v>
      </c>
      <c r="X134" s="245"/>
    </row>
    <row r="135" spans="2:24" ht="15" customHeight="1">
      <c r="B135" s="699"/>
      <c r="C135" s="331" t="s">
        <v>909</v>
      </c>
      <c r="F135" s="11"/>
      <c r="H135" s="11"/>
      <c r="I135" s="11"/>
      <c r="J135" s="11"/>
      <c r="K135" s="11"/>
      <c r="M135" s="18"/>
      <c r="N135" s="19"/>
      <c r="O135" s="18"/>
      <c r="P135" s="18"/>
      <c r="Q135" s="18"/>
      <c r="R135" s="18"/>
      <c r="S135" s="19"/>
      <c r="T135" s="358" t="s">
        <v>280</v>
      </c>
      <c r="U135" s="21">
        <v>7.0000000000000007E-2</v>
      </c>
      <c r="V135" s="156">
        <f>SUM(U129:U135)</f>
        <v>0.28000000000000003</v>
      </c>
      <c r="X135" s="245"/>
    </row>
    <row r="136" spans="2:24" ht="15" customHeight="1">
      <c r="B136" s="699"/>
      <c r="C136" s="331" t="s">
        <v>910</v>
      </c>
      <c r="F136" s="11"/>
      <c r="H136" s="11"/>
      <c r="I136" s="11"/>
      <c r="J136" s="11"/>
      <c r="K136" s="11"/>
      <c r="M136" s="18"/>
      <c r="N136" s="19"/>
      <c r="O136" s="18"/>
      <c r="P136" s="18"/>
      <c r="Q136" s="18"/>
      <c r="R136" s="18"/>
      <c r="S136" s="19"/>
      <c r="T136" s="358" t="s">
        <v>280</v>
      </c>
      <c r="U136" s="21">
        <v>0.08</v>
      </c>
      <c r="V136" s="156">
        <f>SUM(U129:U136)</f>
        <v>0.36000000000000004</v>
      </c>
      <c r="X136" s="245"/>
    </row>
    <row r="137" spans="2:24" ht="15" customHeight="1">
      <c r="B137" s="699"/>
      <c r="C137" s="331" t="s">
        <v>911</v>
      </c>
      <c r="F137" s="11"/>
      <c r="H137" s="11"/>
      <c r="I137" s="11"/>
      <c r="J137" s="11"/>
      <c r="K137" s="11"/>
      <c r="M137" s="18"/>
      <c r="N137" s="19"/>
      <c r="O137" s="18"/>
      <c r="P137" s="18"/>
      <c r="Q137" s="18"/>
      <c r="R137" s="18"/>
      <c r="S137" s="19"/>
      <c r="T137" s="358" t="s">
        <v>280</v>
      </c>
      <c r="U137" s="21">
        <v>0.1</v>
      </c>
      <c r="V137" s="156">
        <f>SUM(U129:U137)</f>
        <v>0.46000000000000008</v>
      </c>
      <c r="X137" s="331"/>
    </row>
    <row r="138" spans="2:24" ht="15" customHeight="1">
      <c r="B138" s="699"/>
      <c r="C138" s="332" t="s">
        <v>912</v>
      </c>
      <c r="D138" s="427"/>
      <c r="E138" s="24"/>
      <c r="F138" s="27"/>
      <c r="G138" s="24"/>
      <c r="H138" s="27"/>
      <c r="I138" s="27"/>
      <c r="J138" s="27"/>
      <c r="K138" s="27"/>
      <c r="L138" s="24"/>
      <c r="M138" s="25"/>
      <c r="N138" s="26"/>
      <c r="O138" s="25"/>
      <c r="P138" s="25"/>
      <c r="Q138" s="25"/>
      <c r="R138" s="25"/>
      <c r="S138" s="26"/>
      <c r="T138" s="359" t="s">
        <v>280</v>
      </c>
      <c r="U138" s="195">
        <v>0.2</v>
      </c>
      <c r="V138" s="173">
        <f>SUM(U129:U138)</f>
        <v>0.66000000000000014</v>
      </c>
      <c r="W138" s="403"/>
      <c r="X138" s="89"/>
    </row>
    <row r="139" spans="2:24" ht="15" customHeight="1">
      <c r="B139" s="699"/>
      <c r="C139" s="243" t="s">
        <v>179</v>
      </c>
      <c r="D139" s="135">
        <v>1.0416666666666666E-2</v>
      </c>
      <c r="E139" s="5">
        <v>70</v>
      </c>
      <c r="F139" s="11">
        <v>12000</v>
      </c>
      <c r="G139" s="5">
        <v>125</v>
      </c>
      <c r="H139" s="11">
        <v>300</v>
      </c>
      <c r="I139" s="11">
        <v>500</v>
      </c>
      <c r="J139" s="11">
        <v>400</v>
      </c>
      <c r="K139" s="11">
        <v>25</v>
      </c>
      <c r="L139" s="5">
        <v>2500</v>
      </c>
      <c r="M139" s="18">
        <v>2000</v>
      </c>
      <c r="N139" s="19">
        <v>25</v>
      </c>
      <c r="O139" s="18"/>
      <c r="P139" s="18"/>
      <c r="Q139" s="18"/>
      <c r="R139" s="18"/>
      <c r="S139" s="19">
        <v>1500</v>
      </c>
      <c r="T139" s="333" t="s">
        <v>122</v>
      </c>
      <c r="U139" s="21">
        <v>0.01</v>
      </c>
      <c r="V139" s="156">
        <f>SUM(U139:U139)</f>
        <v>0.01</v>
      </c>
      <c r="W139" s="391" t="s">
        <v>133</v>
      </c>
      <c r="X139" s="245" t="s">
        <v>180</v>
      </c>
    </row>
    <row r="140" spans="2:24" ht="15" customHeight="1">
      <c r="B140" s="699"/>
      <c r="C140" s="243" t="s">
        <v>287</v>
      </c>
      <c r="D140" s="135">
        <v>3.125E-2</v>
      </c>
      <c r="E140" s="5">
        <v>130</v>
      </c>
      <c r="F140" s="11">
        <v>24000</v>
      </c>
      <c r="G140" s="5">
        <v>300</v>
      </c>
      <c r="H140" s="11">
        <v>600</v>
      </c>
      <c r="I140" s="11">
        <v>1000</v>
      </c>
      <c r="J140" s="11">
        <v>800</v>
      </c>
      <c r="K140" s="11">
        <v>50</v>
      </c>
      <c r="L140" s="5">
        <v>6000</v>
      </c>
      <c r="M140" s="18">
        <v>6000</v>
      </c>
      <c r="N140" s="19">
        <v>30</v>
      </c>
      <c r="O140" s="18"/>
      <c r="P140" s="18">
        <v>1000</v>
      </c>
      <c r="Q140" s="18">
        <v>1000</v>
      </c>
      <c r="R140" s="18"/>
      <c r="S140" s="19">
        <v>4000</v>
      </c>
      <c r="T140" s="247" t="s">
        <v>122</v>
      </c>
      <c r="U140" s="21">
        <v>0.02</v>
      </c>
      <c r="V140" s="156">
        <f>SUM(U139:U140)</f>
        <v>0.03</v>
      </c>
      <c r="W140" s="391" t="s">
        <v>345</v>
      </c>
      <c r="X140" s="245"/>
    </row>
    <row r="141" spans="2:24" ht="15" customHeight="1">
      <c r="B141" s="699"/>
      <c r="C141" s="15" t="s">
        <v>288</v>
      </c>
      <c r="D141" s="221">
        <v>9.375E-2</v>
      </c>
      <c r="E141" s="19">
        <v>300</v>
      </c>
      <c r="F141" s="18">
        <v>36000</v>
      </c>
      <c r="G141" s="19">
        <v>750</v>
      </c>
      <c r="H141" s="18">
        <v>1200</v>
      </c>
      <c r="I141" s="18">
        <v>2000</v>
      </c>
      <c r="J141" s="18">
        <v>1600</v>
      </c>
      <c r="K141" s="18">
        <v>100</v>
      </c>
      <c r="L141" s="19">
        <v>15000</v>
      </c>
      <c r="M141" s="18">
        <v>11000</v>
      </c>
      <c r="N141" s="19">
        <v>110</v>
      </c>
      <c r="O141" s="18">
        <v>2000</v>
      </c>
      <c r="P141" s="18">
        <v>3000</v>
      </c>
      <c r="Q141" s="18">
        <v>2000</v>
      </c>
      <c r="R141" s="18"/>
      <c r="S141" s="19">
        <v>13500</v>
      </c>
      <c r="T141" s="247" t="s">
        <v>122</v>
      </c>
      <c r="U141" s="21">
        <v>0.03</v>
      </c>
      <c r="V141" s="156">
        <f>SUM(U139:U141)</f>
        <v>0.06</v>
      </c>
      <c r="W141" s="391" t="s">
        <v>627</v>
      </c>
      <c r="X141" s="245"/>
    </row>
    <row r="142" spans="2:24" ht="15" customHeight="1">
      <c r="B142" s="699"/>
      <c r="C142" s="15" t="s">
        <v>289</v>
      </c>
      <c r="D142" s="221">
        <v>0.28125</v>
      </c>
      <c r="E142" s="19">
        <v>650</v>
      </c>
      <c r="F142" s="18">
        <v>48000</v>
      </c>
      <c r="G142" s="19">
        <v>1850</v>
      </c>
      <c r="H142" s="18">
        <v>2400</v>
      </c>
      <c r="I142" s="18">
        <v>4000</v>
      </c>
      <c r="J142" s="18">
        <v>3200</v>
      </c>
      <c r="K142" s="18">
        <v>200</v>
      </c>
      <c r="L142" s="19">
        <v>37000</v>
      </c>
      <c r="M142" s="18">
        <v>18000</v>
      </c>
      <c r="N142" s="19">
        <v>275</v>
      </c>
      <c r="O142" s="18">
        <v>4000</v>
      </c>
      <c r="P142" s="18">
        <v>8000</v>
      </c>
      <c r="Q142" s="18">
        <v>6000</v>
      </c>
      <c r="R142" s="18"/>
      <c r="S142" s="19">
        <v>37000</v>
      </c>
      <c r="T142" s="247" t="s">
        <v>122</v>
      </c>
      <c r="U142" s="21">
        <v>0.04</v>
      </c>
      <c r="V142" s="156">
        <f>SUM(U139:U142)</f>
        <v>0.1</v>
      </c>
      <c r="W142" s="468" t="s">
        <v>349</v>
      </c>
      <c r="X142" s="245"/>
    </row>
    <row r="143" spans="2:24" ht="15" customHeight="1">
      <c r="B143" s="699"/>
      <c r="C143" s="15" t="s">
        <v>290</v>
      </c>
      <c r="D143" s="221">
        <v>0.5625</v>
      </c>
      <c r="E143" s="19">
        <v>1000</v>
      </c>
      <c r="F143" s="18">
        <v>60000</v>
      </c>
      <c r="G143" s="19">
        <v>4600</v>
      </c>
      <c r="H143" s="18">
        <v>4800</v>
      </c>
      <c r="I143" s="18">
        <v>8000</v>
      </c>
      <c r="J143" s="18">
        <v>6400</v>
      </c>
      <c r="K143" s="18">
        <v>400</v>
      </c>
      <c r="L143" s="19">
        <v>92000</v>
      </c>
      <c r="M143" s="18">
        <v>34000</v>
      </c>
      <c r="N143" s="19">
        <v>700</v>
      </c>
      <c r="O143" s="18">
        <v>3000</v>
      </c>
      <c r="P143" s="18">
        <v>5000</v>
      </c>
      <c r="Q143" s="18">
        <v>4000</v>
      </c>
      <c r="R143" s="18"/>
      <c r="S143" s="19">
        <v>30500</v>
      </c>
      <c r="T143" s="247" t="s">
        <v>122</v>
      </c>
      <c r="U143" s="21">
        <v>0.05</v>
      </c>
      <c r="V143" s="156">
        <f>SUM(U139:U143)</f>
        <v>0.15000000000000002</v>
      </c>
      <c r="W143" s="468" t="s">
        <v>1176</v>
      </c>
      <c r="X143" s="245"/>
    </row>
    <row r="144" spans="2:24" ht="15" customHeight="1">
      <c r="B144" s="699"/>
      <c r="C144" s="243" t="s">
        <v>291</v>
      </c>
      <c r="D144" s="135">
        <v>1.125</v>
      </c>
      <c r="E144" s="5">
        <v>1500</v>
      </c>
      <c r="F144" s="11">
        <v>72000</v>
      </c>
      <c r="G144" s="5">
        <v>11500</v>
      </c>
      <c r="H144" s="11">
        <v>9600</v>
      </c>
      <c r="I144" s="11">
        <v>16000</v>
      </c>
      <c r="J144" s="11">
        <v>12800</v>
      </c>
      <c r="K144" s="11">
        <v>800</v>
      </c>
      <c r="L144" s="5">
        <v>230000</v>
      </c>
      <c r="M144" s="18">
        <v>62000</v>
      </c>
      <c r="N144" s="19">
        <v>1650</v>
      </c>
      <c r="O144" s="18">
        <v>3000</v>
      </c>
      <c r="P144" s="18">
        <v>5000</v>
      </c>
      <c r="Q144" s="18">
        <v>4000</v>
      </c>
      <c r="R144" s="18"/>
      <c r="S144" s="19">
        <v>38000</v>
      </c>
      <c r="T144" s="247" t="s">
        <v>122</v>
      </c>
      <c r="U144" s="21">
        <v>7.0000000000000007E-2</v>
      </c>
      <c r="V144" s="156">
        <f>SUM(U139:U144)</f>
        <v>0.22000000000000003</v>
      </c>
      <c r="W144" s="523" t="s">
        <v>1952</v>
      </c>
      <c r="X144" s="245"/>
    </row>
    <row r="145" spans="2:24" ht="15" customHeight="1">
      <c r="B145" s="699"/>
      <c r="C145" s="243" t="s">
        <v>292</v>
      </c>
      <c r="F145" s="11"/>
      <c r="H145" s="11"/>
      <c r="I145" s="11"/>
      <c r="J145" s="11"/>
      <c r="K145" s="11"/>
      <c r="M145" s="18"/>
      <c r="N145" s="19"/>
      <c r="O145" s="18"/>
      <c r="P145" s="18"/>
      <c r="Q145" s="18"/>
      <c r="R145" s="18"/>
      <c r="S145" s="19"/>
      <c r="T145" s="247" t="s">
        <v>122</v>
      </c>
      <c r="U145" s="21">
        <v>0.09</v>
      </c>
      <c r="V145" s="156">
        <f>SUM(U139:U145)</f>
        <v>0.31000000000000005</v>
      </c>
      <c r="X145" s="245"/>
    </row>
    <row r="146" spans="2:24" ht="15" customHeight="1">
      <c r="B146" s="699"/>
      <c r="C146" s="243" t="s">
        <v>293</v>
      </c>
      <c r="F146" s="11"/>
      <c r="H146" s="11"/>
      <c r="I146" s="11"/>
      <c r="J146" s="11"/>
      <c r="K146" s="11"/>
      <c r="M146" s="18"/>
      <c r="N146" s="19"/>
      <c r="O146" s="18"/>
      <c r="P146" s="18"/>
      <c r="Q146" s="18"/>
      <c r="R146" s="18"/>
      <c r="S146" s="19"/>
      <c r="T146" s="247" t="s">
        <v>122</v>
      </c>
      <c r="U146" s="21">
        <v>0.12</v>
      </c>
      <c r="V146" s="156">
        <f>SUM(U139:U146)</f>
        <v>0.43000000000000005</v>
      </c>
      <c r="X146" s="245"/>
    </row>
    <row r="147" spans="2:24" ht="15" customHeight="1">
      <c r="B147" s="699"/>
      <c r="C147" s="243" t="s">
        <v>294</v>
      </c>
      <c r="F147" s="11"/>
      <c r="H147" s="11"/>
      <c r="I147" s="11"/>
      <c r="J147" s="11"/>
      <c r="K147" s="11"/>
      <c r="M147" s="18"/>
      <c r="N147" s="19"/>
      <c r="O147" s="18"/>
      <c r="P147" s="18"/>
      <c r="Q147" s="18"/>
      <c r="R147" s="18"/>
      <c r="S147" s="19"/>
      <c r="T147" s="247" t="s">
        <v>122</v>
      </c>
      <c r="U147" s="21">
        <v>0.14000000000000001</v>
      </c>
      <c r="V147" s="156">
        <f>SUM(U139:U147)</f>
        <v>0.57000000000000006</v>
      </c>
      <c r="X147" s="245"/>
    </row>
    <row r="148" spans="2:24" ht="15" customHeight="1">
      <c r="B148" s="699"/>
      <c r="C148" s="34" t="s">
        <v>295</v>
      </c>
      <c r="D148" s="427"/>
      <c r="E148" s="24"/>
      <c r="F148" s="27"/>
      <c r="G148" s="24"/>
      <c r="H148" s="27"/>
      <c r="I148" s="27"/>
      <c r="J148" s="27"/>
      <c r="K148" s="27"/>
      <c r="L148" s="24"/>
      <c r="M148" s="25"/>
      <c r="N148" s="26"/>
      <c r="O148" s="25"/>
      <c r="P148" s="25"/>
      <c r="Q148" s="25"/>
      <c r="R148" s="25"/>
      <c r="S148" s="26"/>
      <c r="T148" s="196" t="s">
        <v>122</v>
      </c>
      <c r="U148" s="195">
        <v>0.21</v>
      </c>
      <c r="V148" s="173">
        <f>SUM(U139:U148)</f>
        <v>0.78</v>
      </c>
      <c r="W148" s="403"/>
      <c r="X148" s="89"/>
    </row>
    <row r="149" spans="2:24" ht="15" customHeight="1">
      <c r="B149" s="699"/>
      <c r="C149" s="243" t="s">
        <v>183</v>
      </c>
      <c r="D149" s="135">
        <v>1.7361111111111112E-2</v>
      </c>
      <c r="E149" s="5">
        <v>130</v>
      </c>
      <c r="F149" s="11">
        <v>12000</v>
      </c>
      <c r="G149" s="5">
        <v>150</v>
      </c>
      <c r="H149" s="11">
        <v>25</v>
      </c>
      <c r="I149" s="11">
        <v>400</v>
      </c>
      <c r="J149" s="11">
        <v>500</v>
      </c>
      <c r="K149" s="11">
        <v>300</v>
      </c>
      <c r="L149" s="5">
        <v>3000</v>
      </c>
      <c r="M149" s="18">
        <v>3000</v>
      </c>
      <c r="N149" s="19">
        <v>25</v>
      </c>
      <c r="O149" s="18"/>
      <c r="P149" s="18"/>
      <c r="Q149" s="25"/>
      <c r="R149" s="18"/>
      <c r="S149" s="19">
        <v>1500</v>
      </c>
      <c r="T149" s="244" t="s">
        <v>199</v>
      </c>
      <c r="U149" s="21">
        <v>0.01</v>
      </c>
      <c r="V149" s="156">
        <f>SUM(U149:U149)</f>
        <v>0.01</v>
      </c>
      <c r="W149" s="391" t="s">
        <v>133</v>
      </c>
      <c r="X149" s="245" t="s">
        <v>184</v>
      </c>
    </row>
    <row r="150" spans="2:24" ht="15" customHeight="1">
      <c r="B150" s="699"/>
      <c r="C150" s="243" t="s">
        <v>296</v>
      </c>
      <c r="D150" s="135">
        <v>5.2083333333333336E-2</v>
      </c>
      <c r="E150" s="5">
        <v>300</v>
      </c>
      <c r="F150" s="11">
        <v>24000</v>
      </c>
      <c r="G150" s="5">
        <v>350</v>
      </c>
      <c r="H150" s="11">
        <v>50</v>
      </c>
      <c r="I150" s="11">
        <v>800</v>
      </c>
      <c r="J150" s="11">
        <v>1000</v>
      </c>
      <c r="K150" s="11">
        <v>600</v>
      </c>
      <c r="L150" s="5">
        <v>7000</v>
      </c>
      <c r="M150" s="18">
        <v>7000</v>
      </c>
      <c r="N150" s="19">
        <v>30</v>
      </c>
      <c r="O150" s="18"/>
      <c r="P150" s="18">
        <v>1000</v>
      </c>
      <c r="Q150" s="18">
        <v>1000</v>
      </c>
      <c r="R150" s="18"/>
      <c r="S150" s="19">
        <v>4500</v>
      </c>
      <c r="T150" s="247" t="s">
        <v>199</v>
      </c>
      <c r="U150" s="21">
        <v>0.02</v>
      </c>
      <c r="V150" s="156">
        <f>SUM(U149:U150)</f>
        <v>0.03</v>
      </c>
      <c r="W150" s="391" t="s">
        <v>345</v>
      </c>
      <c r="X150" s="245"/>
    </row>
    <row r="151" spans="2:24" ht="15" customHeight="1">
      <c r="B151" s="699"/>
      <c r="C151" s="243" t="s">
        <v>297</v>
      </c>
      <c r="D151" s="135">
        <v>0.15625</v>
      </c>
      <c r="E151" s="5">
        <v>300</v>
      </c>
      <c r="F151" s="11">
        <v>36000</v>
      </c>
      <c r="G151" s="5">
        <v>850</v>
      </c>
      <c r="H151" s="11">
        <v>100</v>
      </c>
      <c r="I151" s="11">
        <v>1600</v>
      </c>
      <c r="J151" s="11">
        <v>2000</v>
      </c>
      <c r="K151" s="11">
        <v>1200</v>
      </c>
      <c r="L151" s="5">
        <v>17000</v>
      </c>
      <c r="M151" s="18">
        <v>12000</v>
      </c>
      <c r="N151" s="19">
        <v>110</v>
      </c>
      <c r="O151" s="18"/>
      <c r="P151" s="18">
        <v>2000</v>
      </c>
      <c r="Q151" s="18">
        <v>3000</v>
      </c>
      <c r="R151" s="18">
        <v>2000</v>
      </c>
      <c r="S151" s="19">
        <v>15000</v>
      </c>
      <c r="T151" s="247" t="s">
        <v>199</v>
      </c>
      <c r="U151" s="21">
        <v>0.03</v>
      </c>
      <c r="V151" s="156">
        <f>SUM(U149:U151)</f>
        <v>0.06</v>
      </c>
      <c r="W151" s="391" t="s">
        <v>896</v>
      </c>
      <c r="X151" s="245"/>
    </row>
    <row r="152" spans="2:24" ht="15" customHeight="1">
      <c r="B152" s="699"/>
      <c r="C152" s="243" t="s">
        <v>298</v>
      </c>
      <c r="D152" s="135">
        <v>0.46875</v>
      </c>
      <c r="E152" s="5">
        <v>650</v>
      </c>
      <c r="F152" s="11">
        <v>48000</v>
      </c>
      <c r="G152" s="5">
        <v>2100</v>
      </c>
      <c r="H152" s="11">
        <v>200</v>
      </c>
      <c r="I152" s="11">
        <v>3200</v>
      </c>
      <c r="J152" s="11">
        <v>4000</v>
      </c>
      <c r="K152" s="11">
        <v>2400</v>
      </c>
      <c r="L152" s="5">
        <v>42000</v>
      </c>
      <c r="M152" s="18">
        <v>21000</v>
      </c>
      <c r="N152" s="19">
        <v>275</v>
      </c>
      <c r="O152" s="18"/>
      <c r="P152" s="18">
        <v>6000</v>
      </c>
      <c r="Q152" s="18">
        <v>8000</v>
      </c>
      <c r="R152" s="18">
        <v>4000</v>
      </c>
      <c r="S152" s="19">
        <v>42000</v>
      </c>
      <c r="T152" s="247" t="s">
        <v>199</v>
      </c>
      <c r="U152" s="21">
        <v>0.04</v>
      </c>
      <c r="V152" s="156">
        <f>SUM(U149:U152)</f>
        <v>0.1</v>
      </c>
      <c r="W152" s="391" t="s">
        <v>349</v>
      </c>
      <c r="X152" s="245"/>
    </row>
    <row r="153" spans="2:24" ht="15" customHeight="1">
      <c r="B153" s="699"/>
      <c r="C153" s="243" t="s">
        <v>299</v>
      </c>
      <c r="D153" s="135">
        <v>0.9375</v>
      </c>
      <c r="E153" s="5">
        <v>1000</v>
      </c>
      <c r="F153" s="11">
        <v>60000</v>
      </c>
      <c r="G153" s="5">
        <v>5250</v>
      </c>
      <c r="H153" s="11">
        <v>400</v>
      </c>
      <c r="I153" s="11">
        <v>6400</v>
      </c>
      <c r="J153" s="11">
        <v>8000</v>
      </c>
      <c r="K153" s="11">
        <v>4800</v>
      </c>
      <c r="L153" s="5">
        <v>105000</v>
      </c>
      <c r="M153" s="18">
        <v>39000</v>
      </c>
      <c r="N153" s="19">
        <v>700</v>
      </c>
      <c r="O153" s="18"/>
      <c r="P153" s="18">
        <v>4000</v>
      </c>
      <c r="Q153" s="18">
        <v>5000</v>
      </c>
      <c r="R153" s="18">
        <v>3000</v>
      </c>
      <c r="S153" s="19">
        <v>35000</v>
      </c>
      <c r="T153" s="247" t="s">
        <v>199</v>
      </c>
      <c r="U153" s="21">
        <v>0.05</v>
      </c>
      <c r="V153" s="156">
        <f>SUM(U149:U153)</f>
        <v>0.15000000000000002</v>
      </c>
      <c r="W153" s="468" t="s">
        <v>1176</v>
      </c>
      <c r="X153" s="245"/>
    </row>
    <row r="154" spans="2:24" ht="15" customHeight="1">
      <c r="B154" s="699"/>
      <c r="C154" s="243" t="s">
        <v>300</v>
      </c>
      <c r="F154" s="11"/>
      <c r="H154" s="11"/>
      <c r="I154" s="11"/>
      <c r="J154" s="11"/>
      <c r="K154" s="11"/>
      <c r="M154" s="18"/>
      <c r="N154" s="19"/>
      <c r="O154" s="18"/>
      <c r="P154" s="18"/>
      <c r="Q154" s="18"/>
      <c r="R154" s="18"/>
      <c r="S154" s="19"/>
      <c r="T154" s="247" t="s">
        <v>199</v>
      </c>
      <c r="U154" s="21">
        <v>7.0000000000000007E-2</v>
      </c>
      <c r="V154" s="156">
        <f>SUM(U149:U154)</f>
        <v>0.22000000000000003</v>
      </c>
      <c r="X154" s="245"/>
    </row>
    <row r="155" spans="2:24" ht="15" customHeight="1">
      <c r="B155" s="699"/>
      <c r="C155" s="243" t="s">
        <v>301</v>
      </c>
      <c r="F155" s="11"/>
      <c r="H155" s="11"/>
      <c r="I155" s="11"/>
      <c r="J155" s="11"/>
      <c r="K155" s="11"/>
      <c r="M155" s="18"/>
      <c r="N155" s="19"/>
      <c r="O155" s="18"/>
      <c r="P155" s="18"/>
      <c r="Q155" s="18"/>
      <c r="R155" s="18"/>
      <c r="S155" s="19"/>
      <c r="T155" s="247" t="s">
        <v>199</v>
      </c>
      <c r="U155" s="21">
        <v>0.09</v>
      </c>
      <c r="V155" s="156">
        <f>SUM(U149:U155)</f>
        <v>0.31000000000000005</v>
      </c>
      <c r="X155" s="245"/>
    </row>
    <row r="156" spans="2:24" ht="15" customHeight="1">
      <c r="B156" s="699"/>
      <c r="C156" s="243" t="s">
        <v>302</v>
      </c>
      <c r="F156" s="11"/>
      <c r="H156" s="11"/>
      <c r="I156" s="11"/>
      <c r="J156" s="11"/>
      <c r="K156" s="11"/>
      <c r="M156" s="18"/>
      <c r="N156" s="19"/>
      <c r="O156" s="18"/>
      <c r="P156" s="18"/>
      <c r="Q156" s="18"/>
      <c r="R156" s="18"/>
      <c r="S156" s="19"/>
      <c r="T156" s="247" t="s">
        <v>199</v>
      </c>
      <c r="U156" s="21">
        <v>0.12</v>
      </c>
      <c r="V156" s="156">
        <f>SUM(U149:U156)</f>
        <v>0.43000000000000005</v>
      </c>
      <c r="X156" s="245"/>
    </row>
    <row r="157" spans="2:24" ht="15" customHeight="1">
      <c r="B157" s="699"/>
      <c r="C157" s="243" t="s">
        <v>303</v>
      </c>
      <c r="F157" s="11"/>
      <c r="H157" s="11"/>
      <c r="I157" s="11"/>
      <c r="J157" s="11"/>
      <c r="K157" s="11"/>
      <c r="M157" s="18"/>
      <c r="N157" s="19"/>
      <c r="O157" s="18"/>
      <c r="P157" s="18"/>
      <c r="Q157" s="18"/>
      <c r="R157" s="18"/>
      <c r="S157" s="19"/>
      <c r="T157" s="247" t="s">
        <v>199</v>
      </c>
      <c r="U157" s="21">
        <v>0.14000000000000001</v>
      </c>
      <c r="V157" s="156">
        <f>SUM(U149:U157)</f>
        <v>0.57000000000000006</v>
      </c>
      <c r="X157" s="245"/>
    </row>
    <row r="158" spans="2:24" ht="15" customHeight="1">
      <c r="B158" s="699"/>
      <c r="C158" s="34" t="s">
        <v>304</v>
      </c>
      <c r="D158" s="427"/>
      <c r="E158" s="24"/>
      <c r="F158" s="27"/>
      <c r="G158" s="24"/>
      <c r="H158" s="27"/>
      <c r="I158" s="27"/>
      <c r="J158" s="27"/>
      <c r="K158" s="27"/>
      <c r="L158" s="24"/>
      <c r="M158" s="25"/>
      <c r="N158" s="26"/>
      <c r="O158" s="25"/>
      <c r="P158" s="25"/>
      <c r="Q158" s="25"/>
      <c r="R158" s="25"/>
      <c r="S158" s="26"/>
      <c r="T158" s="196" t="s">
        <v>199</v>
      </c>
      <c r="U158" s="195">
        <v>0.21</v>
      </c>
      <c r="V158" s="173">
        <f>SUM(U149:U158)</f>
        <v>0.78</v>
      </c>
      <c r="W158" s="403"/>
      <c r="X158" s="89"/>
    </row>
    <row r="159" spans="2:24" ht="15" customHeight="1">
      <c r="B159" s="699"/>
      <c r="C159" s="243" t="s">
        <v>278</v>
      </c>
      <c r="D159" s="135">
        <v>2.0833333333333332E-2</v>
      </c>
      <c r="E159" s="5">
        <v>130</v>
      </c>
      <c r="F159" s="11">
        <v>12000</v>
      </c>
      <c r="G159" s="5">
        <v>160</v>
      </c>
      <c r="H159" s="11">
        <v>300</v>
      </c>
      <c r="I159" s="11">
        <v>500</v>
      </c>
      <c r="J159" s="11">
        <v>25</v>
      </c>
      <c r="K159" s="11">
        <v>400</v>
      </c>
      <c r="L159" s="5">
        <v>3200</v>
      </c>
      <c r="M159" s="18">
        <v>3000</v>
      </c>
      <c r="N159" s="19">
        <v>25</v>
      </c>
      <c r="O159" s="18"/>
      <c r="P159" s="18"/>
      <c r="Q159" s="18"/>
      <c r="R159" s="18"/>
      <c r="S159" s="19">
        <v>1500</v>
      </c>
      <c r="T159" s="244" t="s">
        <v>281</v>
      </c>
      <c r="U159" s="21">
        <v>0.01</v>
      </c>
      <c r="V159" s="156">
        <f>SUM(U159:U159)</f>
        <v>0.01</v>
      </c>
      <c r="W159" s="391" t="s">
        <v>50</v>
      </c>
      <c r="X159" s="245" t="s">
        <v>179</v>
      </c>
    </row>
    <row r="160" spans="2:24" ht="15" customHeight="1">
      <c r="B160" s="699"/>
      <c r="C160" s="15" t="s">
        <v>305</v>
      </c>
      <c r="D160" s="221">
        <v>6.25E-2</v>
      </c>
      <c r="E160" s="19">
        <v>300</v>
      </c>
      <c r="F160" s="18">
        <v>24000</v>
      </c>
      <c r="G160" s="19">
        <v>400</v>
      </c>
      <c r="H160" s="18">
        <v>600</v>
      </c>
      <c r="I160" s="18">
        <v>1000</v>
      </c>
      <c r="J160" s="18">
        <v>50</v>
      </c>
      <c r="K160" s="18">
        <v>800</v>
      </c>
      <c r="L160" s="19">
        <v>8000</v>
      </c>
      <c r="M160" s="18">
        <v>8000</v>
      </c>
      <c r="N160" s="19">
        <v>30</v>
      </c>
      <c r="O160" s="18"/>
      <c r="P160" s="18">
        <v>1000</v>
      </c>
      <c r="Q160" s="18"/>
      <c r="R160" s="18">
        <v>1000</v>
      </c>
      <c r="S160" s="19">
        <v>5500</v>
      </c>
      <c r="T160" s="247" t="s">
        <v>281</v>
      </c>
      <c r="U160" s="21">
        <v>0.02</v>
      </c>
      <c r="V160" s="156">
        <f>SUM(U159:U160)</f>
        <v>0.03</v>
      </c>
      <c r="W160" s="391" t="s">
        <v>345</v>
      </c>
      <c r="X160" s="245"/>
    </row>
    <row r="161" spans="2:24" ht="15" customHeight="1">
      <c r="B161" s="699"/>
      <c r="C161" s="15" t="s">
        <v>306</v>
      </c>
      <c r="D161" s="221">
        <v>0.1875</v>
      </c>
      <c r="E161" s="19">
        <v>650</v>
      </c>
      <c r="F161" s="18">
        <v>36000</v>
      </c>
      <c r="G161" s="19">
        <v>1000</v>
      </c>
      <c r="H161" s="18">
        <v>1200</v>
      </c>
      <c r="I161" s="18">
        <v>2000</v>
      </c>
      <c r="J161" s="18">
        <v>100</v>
      </c>
      <c r="K161" s="18">
        <v>1600</v>
      </c>
      <c r="L161" s="19">
        <v>20000</v>
      </c>
      <c r="M161" s="18">
        <v>15000</v>
      </c>
      <c r="N161" s="19">
        <v>110</v>
      </c>
      <c r="O161" s="18">
        <v>2000</v>
      </c>
      <c r="P161" s="18">
        <v>3000</v>
      </c>
      <c r="Q161" s="18"/>
      <c r="R161" s="18">
        <v>2000</v>
      </c>
      <c r="S161" s="19">
        <v>18000</v>
      </c>
      <c r="T161" s="247" t="s">
        <v>281</v>
      </c>
      <c r="U161" s="21">
        <v>0.03</v>
      </c>
      <c r="V161" s="156">
        <f>SUM(U159:U161)</f>
        <v>0.06</v>
      </c>
      <c r="W161" s="391" t="s">
        <v>625</v>
      </c>
      <c r="X161" s="245"/>
    </row>
    <row r="162" spans="2:24" ht="15" customHeight="1">
      <c r="B162" s="699"/>
      <c r="C162" s="243" t="s">
        <v>307</v>
      </c>
      <c r="D162" s="135">
        <v>0.5625</v>
      </c>
      <c r="E162" s="5">
        <v>1000</v>
      </c>
      <c r="F162" s="11">
        <v>48000</v>
      </c>
      <c r="G162" s="5">
        <v>2500</v>
      </c>
      <c r="H162" s="11">
        <v>2400</v>
      </c>
      <c r="I162" s="11">
        <v>4000</v>
      </c>
      <c r="J162" s="11">
        <v>200</v>
      </c>
      <c r="K162" s="11">
        <v>3200</v>
      </c>
      <c r="L162" s="5">
        <v>50000</v>
      </c>
      <c r="M162" s="18">
        <v>25000</v>
      </c>
      <c r="N162" s="19">
        <v>275</v>
      </c>
      <c r="O162" s="18">
        <v>4000</v>
      </c>
      <c r="P162" s="18">
        <v>8000</v>
      </c>
      <c r="Q162" s="18"/>
      <c r="R162" s="18">
        <v>6000</v>
      </c>
      <c r="S162" s="19">
        <v>50000</v>
      </c>
      <c r="T162" s="247" t="s">
        <v>281</v>
      </c>
      <c r="U162" s="21">
        <v>0.04</v>
      </c>
      <c r="V162" s="156">
        <f>SUM(U159:U162)</f>
        <v>0.1</v>
      </c>
      <c r="W162" s="466" t="s">
        <v>753</v>
      </c>
      <c r="X162" s="245"/>
    </row>
    <row r="163" spans="2:24" ht="15" customHeight="1">
      <c r="B163" s="699"/>
      <c r="C163" s="243" t="s">
        <v>308</v>
      </c>
      <c r="D163" s="135">
        <v>1.125</v>
      </c>
      <c r="E163" s="5">
        <v>1500</v>
      </c>
      <c r="F163" s="11">
        <v>60000</v>
      </c>
      <c r="G163" s="5">
        <v>6250</v>
      </c>
      <c r="H163" s="11">
        <v>4800</v>
      </c>
      <c r="I163" s="11">
        <v>8000</v>
      </c>
      <c r="J163" s="11">
        <v>400</v>
      </c>
      <c r="K163" s="11">
        <v>6400</v>
      </c>
      <c r="L163" s="5">
        <v>125000</v>
      </c>
      <c r="M163" s="18">
        <v>46000</v>
      </c>
      <c r="N163" s="19">
        <v>700</v>
      </c>
      <c r="O163" s="18">
        <v>3000</v>
      </c>
      <c r="P163" s="18">
        <v>5000</v>
      </c>
      <c r="Q163" s="18"/>
      <c r="R163" s="18">
        <v>4000</v>
      </c>
      <c r="S163" s="19">
        <v>41500</v>
      </c>
      <c r="T163" s="247" t="s">
        <v>281</v>
      </c>
      <c r="U163" s="21">
        <v>0.05</v>
      </c>
      <c r="V163" s="156">
        <f>SUM(U159:U163)</f>
        <v>0.15000000000000002</v>
      </c>
      <c r="W163" s="471" t="s">
        <v>1186</v>
      </c>
      <c r="X163" s="245"/>
    </row>
    <row r="164" spans="2:24" ht="15" customHeight="1">
      <c r="B164" s="699"/>
      <c r="C164" s="243" t="s">
        <v>309</v>
      </c>
      <c r="F164" s="11"/>
      <c r="H164" s="11"/>
      <c r="I164" s="11"/>
      <c r="J164" s="11"/>
      <c r="K164" s="11"/>
      <c r="M164" s="18"/>
      <c r="N164" s="19"/>
      <c r="O164" s="18"/>
      <c r="P164" s="18"/>
      <c r="Q164" s="18"/>
      <c r="R164" s="18"/>
      <c r="S164" s="19"/>
      <c r="T164" s="247" t="s">
        <v>281</v>
      </c>
      <c r="U164" s="21">
        <v>7.0000000000000007E-2</v>
      </c>
      <c r="V164" s="156">
        <f>SUM(U159:U164)</f>
        <v>0.22000000000000003</v>
      </c>
      <c r="X164" s="245"/>
    </row>
    <row r="165" spans="2:24" ht="15" customHeight="1">
      <c r="B165" s="699"/>
      <c r="C165" s="243" t="s">
        <v>310</v>
      </c>
      <c r="F165" s="11"/>
      <c r="H165" s="11"/>
      <c r="I165" s="11"/>
      <c r="J165" s="11"/>
      <c r="K165" s="11"/>
      <c r="M165" s="18"/>
      <c r="N165" s="19"/>
      <c r="O165" s="18"/>
      <c r="P165" s="18"/>
      <c r="Q165" s="18"/>
      <c r="R165" s="18"/>
      <c r="S165" s="19"/>
      <c r="T165" s="247" t="s">
        <v>281</v>
      </c>
      <c r="U165" s="21">
        <v>0.09</v>
      </c>
      <c r="V165" s="156">
        <f>SUM(U159:U165)</f>
        <v>0.31000000000000005</v>
      </c>
      <c r="X165" s="245"/>
    </row>
    <row r="166" spans="2:24" ht="15" customHeight="1">
      <c r="B166" s="699"/>
      <c r="C166" s="243" t="s">
        <v>311</v>
      </c>
      <c r="F166" s="11"/>
      <c r="H166" s="11"/>
      <c r="I166" s="11"/>
      <c r="J166" s="11"/>
      <c r="K166" s="11"/>
      <c r="M166" s="18"/>
      <c r="N166" s="19"/>
      <c r="O166" s="18"/>
      <c r="P166" s="18"/>
      <c r="Q166" s="18"/>
      <c r="R166" s="18"/>
      <c r="S166" s="19"/>
      <c r="T166" s="247" t="s">
        <v>281</v>
      </c>
      <c r="U166" s="21">
        <v>0.12</v>
      </c>
      <c r="V166" s="156">
        <f>SUM(U159:U166)</f>
        <v>0.43000000000000005</v>
      </c>
      <c r="X166" s="245"/>
    </row>
    <row r="167" spans="2:24" ht="15" customHeight="1">
      <c r="B167" s="699"/>
      <c r="C167" s="243" t="s">
        <v>312</v>
      </c>
      <c r="F167" s="11"/>
      <c r="H167" s="11"/>
      <c r="I167" s="11"/>
      <c r="J167" s="11"/>
      <c r="K167" s="11"/>
      <c r="M167" s="18"/>
      <c r="N167" s="19"/>
      <c r="O167" s="18"/>
      <c r="P167" s="18"/>
      <c r="Q167" s="18"/>
      <c r="R167" s="18"/>
      <c r="S167" s="19"/>
      <c r="T167" s="247" t="s">
        <v>281</v>
      </c>
      <c r="U167" s="21">
        <v>0.14000000000000001</v>
      </c>
      <c r="V167" s="156">
        <f>SUM(U159:U167)</f>
        <v>0.57000000000000006</v>
      </c>
      <c r="X167" s="245"/>
    </row>
    <row r="168" spans="2:24" ht="15" customHeight="1">
      <c r="B168" s="699"/>
      <c r="C168" s="34" t="s">
        <v>313</v>
      </c>
      <c r="D168" s="427"/>
      <c r="E168" s="24"/>
      <c r="F168" s="27"/>
      <c r="G168" s="24"/>
      <c r="H168" s="27"/>
      <c r="I168" s="27"/>
      <c r="J168" s="27"/>
      <c r="K168" s="27"/>
      <c r="L168" s="24"/>
      <c r="M168" s="25"/>
      <c r="N168" s="26"/>
      <c r="O168" s="25"/>
      <c r="P168" s="25"/>
      <c r="Q168" s="25"/>
      <c r="R168" s="25"/>
      <c r="S168" s="26"/>
      <c r="T168" s="196" t="s">
        <v>281</v>
      </c>
      <c r="U168" s="195">
        <v>0.21</v>
      </c>
      <c r="V168" s="173">
        <f>SUM(U159:U168)</f>
        <v>0.78</v>
      </c>
      <c r="W168" s="403"/>
      <c r="X168" s="89"/>
    </row>
    <row r="169" spans="2:24" ht="15" customHeight="1">
      <c r="B169" s="699"/>
      <c r="C169" s="242" t="s">
        <v>285</v>
      </c>
      <c r="D169" s="135">
        <v>1.3888888888888888E-2</v>
      </c>
      <c r="E169" s="5">
        <v>130</v>
      </c>
      <c r="F169" s="11">
        <v>12000</v>
      </c>
      <c r="G169" s="5">
        <v>137</v>
      </c>
      <c r="H169" s="11">
        <v>300</v>
      </c>
      <c r="I169" s="11">
        <v>25</v>
      </c>
      <c r="J169" s="11">
        <v>400</v>
      </c>
      <c r="K169" s="11">
        <v>500</v>
      </c>
      <c r="L169" s="5">
        <v>2750</v>
      </c>
      <c r="M169" s="18">
        <v>2000</v>
      </c>
      <c r="N169" s="19">
        <v>25</v>
      </c>
      <c r="O169" s="18"/>
      <c r="P169" s="18"/>
      <c r="Q169" s="18"/>
      <c r="R169" s="18"/>
      <c r="S169" s="19">
        <v>1500</v>
      </c>
      <c r="T169" s="243" t="s">
        <v>286</v>
      </c>
      <c r="U169" s="21">
        <v>0.01</v>
      </c>
      <c r="V169" s="156">
        <f>SUM(U169:U169)</f>
        <v>0.01</v>
      </c>
      <c r="W169" s="391" t="s">
        <v>50</v>
      </c>
      <c r="X169" s="245" t="s">
        <v>179</v>
      </c>
    </row>
    <row r="170" spans="2:24" ht="15" customHeight="1">
      <c r="B170" s="699"/>
      <c r="C170" s="243" t="s">
        <v>314</v>
      </c>
      <c r="D170" s="135">
        <v>4.1666666666666664E-2</v>
      </c>
      <c r="E170" s="5">
        <v>130</v>
      </c>
      <c r="F170" s="11">
        <v>24000</v>
      </c>
      <c r="G170" s="5">
        <v>300</v>
      </c>
      <c r="H170" s="11">
        <v>600</v>
      </c>
      <c r="I170" s="11">
        <v>50</v>
      </c>
      <c r="J170" s="11">
        <v>800</v>
      </c>
      <c r="K170" s="11">
        <v>1000</v>
      </c>
      <c r="L170" s="5">
        <v>6000</v>
      </c>
      <c r="M170" s="18">
        <v>6000</v>
      </c>
      <c r="N170" s="19">
        <v>30</v>
      </c>
      <c r="O170" s="18"/>
      <c r="P170" s="18"/>
      <c r="Q170" s="18">
        <v>1000</v>
      </c>
      <c r="R170" s="18">
        <v>1000</v>
      </c>
      <c r="S170" s="19">
        <v>4000</v>
      </c>
      <c r="T170" s="243" t="s">
        <v>286</v>
      </c>
      <c r="U170" s="21">
        <v>0.02</v>
      </c>
      <c r="V170" s="156">
        <f>SUM(U169:U170)</f>
        <v>0.03</v>
      </c>
      <c r="W170" s="391" t="s">
        <v>345</v>
      </c>
      <c r="X170" s="245"/>
    </row>
    <row r="171" spans="2:24" ht="15" customHeight="1">
      <c r="B171" s="699"/>
      <c r="C171" s="15" t="s">
        <v>315</v>
      </c>
      <c r="D171" s="221">
        <v>0.125</v>
      </c>
      <c r="E171" s="19">
        <v>300</v>
      </c>
      <c r="F171" s="18">
        <v>36000</v>
      </c>
      <c r="G171" s="19">
        <v>750</v>
      </c>
      <c r="H171" s="18">
        <v>1200</v>
      </c>
      <c r="I171" s="18">
        <v>100</v>
      </c>
      <c r="J171" s="18">
        <v>1600</v>
      </c>
      <c r="K171" s="18">
        <v>2000</v>
      </c>
      <c r="L171" s="19">
        <v>15000</v>
      </c>
      <c r="M171" s="18">
        <v>11000</v>
      </c>
      <c r="N171" s="19">
        <v>110</v>
      </c>
      <c r="O171" s="18">
        <v>2000</v>
      </c>
      <c r="P171" s="18"/>
      <c r="Q171" s="18">
        <v>2000</v>
      </c>
      <c r="R171" s="18">
        <v>3000</v>
      </c>
      <c r="S171" s="19">
        <v>13500</v>
      </c>
      <c r="T171" s="243" t="s">
        <v>286</v>
      </c>
      <c r="U171" s="21">
        <v>0.03</v>
      </c>
      <c r="V171" s="156">
        <f>SUM(U169:U171)</f>
        <v>0.06</v>
      </c>
      <c r="W171" s="391" t="s">
        <v>988</v>
      </c>
      <c r="X171" s="245"/>
    </row>
    <row r="172" spans="2:24" ht="15" customHeight="1">
      <c r="B172" s="699"/>
      <c r="C172" s="15" t="s">
        <v>316</v>
      </c>
      <c r="D172" s="221">
        <v>0.375</v>
      </c>
      <c r="E172" s="19">
        <v>650</v>
      </c>
      <c r="F172" s="18">
        <v>48000</v>
      </c>
      <c r="G172" s="19">
        <v>1850</v>
      </c>
      <c r="H172" s="18">
        <v>2400</v>
      </c>
      <c r="I172" s="18">
        <v>200</v>
      </c>
      <c r="J172" s="18">
        <v>3200</v>
      </c>
      <c r="K172" s="18">
        <v>4000</v>
      </c>
      <c r="L172" s="19">
        <v>37000</v>
      </c>
      <c r="M172" s="18">
        <v>18000</v>
      </c>
      <c r="N172" s="19">
        <v>275</v>
      </c>
      <c r="O172" s="18">
        <v>4000</v>
      </c>
      <c r="P172" s="18"/>
      <c r="Q172" s="18">
        <v>6000</v>
      </c>
      <c r="R172" s="18">
        <v>8000</v>
      </c>
      <c r="S172" s="19">
        <v>37000</v>
      </c>
      <c r="T172" s="243" t="s">
        <v>286</v>
      </c>
      <c r="U172" s="21">
        <v>0.04</v>
      </c>
      <c r="V172" s="156">
        <f>SUM(U169:U172)</f>
        <v>0.1</v>
      </c>
      <c r="W172" s="391" t="s">
        <v>1067</v>
      </c>
      <c r="X172" s="245"/>
    </row>
    <row r="173" spans="2:24" ht="15" customHeight="1">
      <c r="B173" s="699"/>
      <c r="C173" s="243" t="s">
        <v>317</v>
      </c>
      <c r="D173" s="135">
        <v>0.75</v>
      </c>
      <c r="E173" s="5">
        <v>1000</v>
      </c>
      <c r="F173" s="11">
        <v>60000</v>
      </c>
      <c r="G173" s="5">
        <v>4600</v>
      </c>
      <c r="H173" s="11">
        <v>4800</v>
      </c>
      <c r="I173" s="11">
        <v>400</v>
      </c>
      <c r="J173" s="11">
        <v>6400</v>
      </c>
      <c r="K173" s="11">
        <v>8000</v>
      </c>
      <c r="L173" s="5">
        <v>92000</v>
      </c>
      <c r="M173" s="18">
        <v>34000</v>
      </c>
      <c r="N173" s="19">
        <v>700</v>
      </c>
      <c r="O173" s="18">
        <v>3000</v>
      </c>
      <c r="P173" s="18"/>
      <c r="Q173" s="18">
        <v>4000</v>
      </c>
      <c r="R173" s="18">
        <v>5000</v>
      </c>
      <c r="S173" s="19">
        <v>30500</v>
      </c>
      <c r="T173" s="243" t="s">
        <v>286</v>
      </c>
      <c r="U173" s="21">
        <v>0.05</v>
      </c>
      <c r="V173" s="156">
        <f>SUM(U169:U173)</f>
        <v>0.15000000000000002</v>
      </c>
      <c r="W173" s="613" t="s">
        <v>881</v>
      </c>
      <c r="X173" s="245"/>
    </row>
    <row r="174" spans="2:24" ht="15" customHeight="1">
      <c r="B174" s="699"/>
      <c r="C174" s="243" t="s">
        <v>318</v>
      </c>
      <c r="F174" s="11"/>
      <c r="H174" s="11"/>
      <c r="I174" s="11"/>
      <c r="J174" s="11"/>
      <c r="K174" s="11"/>
      <c r="M174" s="18"/>
      <c r="N174" s="19"/>
      <c r="O174" s="18"/>
      <c r="P174" s="18"/>
      <c r="Q174" s="18"/>
      <c r="R174" s="18"/>
      <c r="S174" s="19"/>
      <c r="T174" s="243" t="s">
        <v>286</v>
      </c>
      <c r="U174" s="21">
        <v>7.0000000000000007E-2</v>
      </c>
      <c r="V174" s="156">
        <f>SUM(U169:U174)</f>
        <v>0.22000000000000003</v>
      </c>
      <c r="X174" s="245"/>
    </row>
    <row r="175" spans="2:24" ht="15" customHeight="1">
      <c r="B175" s="699"/>
      <c r="C175" s="243" t="s">
        <v>319</v>
      </c>
      <c r="F175" s="11"/>
      <c r="H175" s="11"/>
      <c r="I175" s="11"/>
      <c r="J175" s="11"/>
      <c r="K175" s="11"/>
      <c r="M175" s="18"/>
      <c r="N175" s="19"/>
      <c r="O175" s="18"/>
      <c r="P175" s="18"/>
      <c r="Q175" s="18"/>
      <c r="R175" s="18"/>
      <c r="S175" s="19"/>
      <c r="T175" s="243" t="s">
        <v>286</v>
      </c>
      <c r="U175" s="21">
        <v>0.09</v>
      </c>
      <c r="V175" s="156">
        <f>SUM(U169:U175)</f>
        <v>0.31000000000000005</v>
      </c>
      <c r="X175" s="245"/>
    </row>
    <row r="176" spans="2:24" ht="15" customHeight="1">
      <c r="B176" s="699"/>
      <c r="C176" s="243" t="s">
        <v>320</v>
      </c>
      <c r="F176" s="11"/>
      <c r="H176" s="11"/>
      <c r="I176" s="11"/>
      <c r="J176" s="11"/>
      <c r="K176" s="11"/>
      <c r="M176" s="18"/>
      <c r="N176" s="19"/>
      <c r="O176" s="18"/>
      <c r="P176" s="18"/>
      <c r="Q176" s="18"/>
      <c r="R176" s="18"/>
      <c r="S176" s="19"/>
      <c r="T176" s="243" t="s">
        <v>286</v>
      </c>
      <c r="U176" s="21">
        <v>0.12</v>
      </c>
      <c r="V176" s="156">
        <f>SUM(U169:U176)</f>
        <v>0.43000000000000005</v>
      </c>
      <c r="X176" s="245"/>
    </row>
    <row r="177" spans="2:24" ht="15" customHeight="1">
      <c r="B177" s="699"/>
      <c r="C177" s="243" t="s">
        <v>321</v>
      </c>
      <c r="F177" s="11"/>
      <c r="H177" s="11"/>
      <c r="I177" s="11"/>
      <c r="J177" s="11"/>
      <c r="K177" s="11"/>
      <c r="M177" s="18"/>
      <c r="N177" s="19"/>
      <c r="O177" s="18"/>
      <c r="P177" s="18"/>
      <c r="Q177" s="18"/>
      <c r="R177" s="18"/>
      <c r="S177" s="19"/>
      <c r="T177" s="243" t="s">
        <v>286</v>
      </c>
      <c r="U177" s="21">
        <v>0.14000000000000001</v>
      </c>
      <c r="V177" s="156">
        <f>SUM(U169:U177)</f>
        <v>0.57000000000000006</v>
      </c>
      <c r="X177" s="245"/>
    </row>
    <row r="178" spans="2:24" ht="15" customHeight="1">
      <c r="B178" s="699"/>
      <c r="C178" s="34" t="s">
        <v>322</v>
      </c>
      <c r="D178" s="427"/>
      <c r="E178" s="24"/>
      <c r="F178" s="27"/>
      <c r="G178" s="24"/>
      <c r="H178" s="27"/>
      <c r="I178" s="27"/>
      <c r="J178" s="27"/>
      <c r="K178" s="27"/>
      <c r="L178" s="24"/>
      <c r="M178" s="25"/>
      <c r="N178" s="26"/>
      <c r="O178" s="25"/>
      <c r="P178" s="25"/>
      <c r="Q178" s="25"/>
      <c r="R178" s="25"/>
      <c r="S178" s="26"/>
      <c r="T178" s="196" t="s">
        <v>286</v>
      </c>
      <c r="U178" s="195">
        <v>0.21</v>
      </c>
      <c r="V178" s="173">
        <f>SUM(U169:U178)</f>
        <v>0.78</v>
      </c>
      <c r="W178" s="403"/>
      <c r="X178" s="89"/>
    </row>
    <row r="179" spans="2:24" ht="15" customHeight="1">
      <c r="B179" s="699"/>
      <c r="C179" s="380" t="s">
        <v>1025</v>
      </c>
      <c r="D179" s="135">
        <v>8.3333333333333329E-2</v>
      </c>
      <c r="E179" s="5">
        <v>300</v>
      </c>
      <c r="F179" s="11">
        <v>25000</v>
      </c>
      <c r="G179" s="5">
        <v>1000</v>
      </c>
      <c r="H179" s="11">
        <v>10000</v>
      </c>
      <c r="I179" s="11">
        <v>10000</v>
      </c>
      <c r="J179" s="11">
        <v>7500</v>
      </c>
      <c r="K179" s="11">
        <v>10000</v>
      </c>
      <c r="L179" s="5">
        <v>20000</v>
      </c>
      <c r="M179" s="11">
        <v>20000</v>
      </c>
      <c r="N179" s="5">
        <v>50</v>
      </c>
      <c r="O179" s="11">
        <v>16000</v>
      </c>
      <c r="P179" s="11">
        <v>16000</v>
      </c>
      <c r="Q179" s="11">
        <v>12000</v>
      </c>
      <c r="R179" s="11">
        <v>16000</v>
      </c>
      <c r="S179" s="5">
        <v>16000</v>
      </c>
      <c r="T179" s="378" t="s">
        <v>1035</v>
      </c>
      <c r="U179" s="21">
        <v>0.01</v>
      </c>
      <c r="V179" s="156">
        <f>SUM(U179:U179)</f>
        <v>0.01</v>
      </c>
      <c r="W179" s="391" t="s">
        <v>1036</v>
      </c>
      <c r="X179" s="381" t="s">
        <v>1037</v>
      </c>
    </row>
    <row r="180" spans="2:24" ht="15" customHeight="1">
      <c r="B180" s="699"/>
      <c r="C180" s="380" t="s">
        <v>1026</v>
      </c>
      <c r="F180" s="11"/>
      <c r="H180" s="11"/>
      <c r="I180" s="11"/>
      <c r="J180" s="11"/>
      <c r="K180" s="11"/>
      <c r="M180" s="18"/>
      <c r="N180" s="19"/>
      <c r="O180" s="18"/>
      <c r="P180" s="18"/>
      <c r="Q180" s="18"/>
      <c r="R180" s="18"/>
      <c r="S180" s="19"/>
      <c r="T180" s="387" t="s">
        <v>1035</v>
      </c>
      <c r="U180" s="21">
        <v>0.02</v>
      </c>
      <c r="V180" s="156">
        <f>SUM(U179:U180)</f>
        <v>0.03</v>
      </c>
      <c r="X180" s="245"/>
    </row>
    <row r="181" spans="2:24" ht="15" customHeight="1">
      <c r="B181" s="699"/>
      <c r="C181" s="380" t="s">
        <v>1027</v>
      </c>
      <c r="F181" s="11"/>
      <c r="H181" s="11"/>
      <c r="I181" s="11"/>
      <c r="J181" s="11"/>
      <c r="K181" s="11"/>
      <c r="M181" s="18"/>
      <c r="N181" s="19"/>
      <c r="O181" s="18"/>
      <c r="P181" s="18"/>
      <c r="Q181" s="18"/>
      <c r="R181" s="18"/>
      <c r="S181" s="19"/>
      <c r="T181" s="387" t="s">
        <v>1035</v>
      </c>
      <c r="U181" s="21">
        <v>0.03</v>
      </c>
      <c r="V181" s="156">
        <f>SUM(U179:U181)</f>
        <v>0.06</v>
      </c>
      <c r="X181" s="245"/>
    </row>
    <row r="182" spans="2:24" ht="15" customHeight="1">
      <c r="B182" s="699"/>
      <c r="C182" s="380" t="s">
        <v>1028</v>
      </c>
      <c r="F182" s="11"/>
      <c r="H182" s="11"/>
      <c r="I182" s="11"/>
      <c r="J182" s="11"/>
      <c r="K182" s="11"/>
      <c r="M182" s="18"/>
      <c r="N182" s="19"/>
      <c r="O182" s="18"/>
      <c r="P182" s="18"/>
      <c r="Q182" s="18"/>
      <c r="R182" s="18"/>
      <c r="S182" s="19"/>
      <c r="T182" s="387" t="s">
        <v>1035</v>
      </c>
      <c r="U182" s="21">
        <v>0.04</v>
      </c>
      <c r="V182" s="156">
        <f>SUM(U179:U182)</f>
        <v>0.1</v>
      </c>
      <c r="X182" s="245"/>
    </row>
    <row r="183" spans="2:24" ht="15" customHeight="1">
      <c r="B183" s="699"/>
      <c r="C183" s="380" t="s">
        <v>1029</v>
      </c>
      <c r="F183" s="11"/>
      <c r="H183" s="11"/>
      <c r="I183" s="11"/>
      <c r="J183" s="11"/>
      <c r="K183" s="11"/>
      <c r="M183" s="18"/>
      <c r="N183" s="19"/>
      <c r="O183" s="18"/>
      <c r="P183" s="18"/>
      <c r="Q183" s="18"/>
      <c r="R183" s="18"/>
      <c r="S183" s="19"/>
      <c r="T183" s="387" t="s">
        <v>1035</v>
      </c>
      <c r="U183" s="21">
        <v>0.05</v>
      </c>
      <c r="V183" s="156">
        <f>SUM(U179:U183)</f>
        <v>0.15000000000000002</v>
      </c>
      <c r="X183" s="245"/>
    </row>
    <row r="184" spans="2:24" ht="15" customHeight="1">
      <c r="B184" s="699"/>
      <c r="C184" s="380" t="s">
        <v>1030</v>
      </c>
      <c r="F184" s="11"/>
      <c r="H184" s="11"/>
      <c r="I184" s="11"/>
      <c r="J184" s="11"/>
      <c r="K184" s="11"/>
      <c r="M184" s="18"/>
      <c r="N184" s="19"/>
      <c r="O184" s="18"/>
      <c r="P184" s="18"/>
      <c r="Q184" s="18"/>
      <c r="R184" s="18"/>
      <c r="S184" s="19"/>
      <c r="T184" s="387" t="s">
        <v>1035</v>
      </c>
      <c r="U184" s="21">
        <v>0.06</v>
      </c>
      <c r="V184" s="156">
        <f>SUM(U179:U184)</f>
        <v>0.21000000000000002</v>
      </c>
      <c r="X184" s="245"/>
    </row>
    <row r="185" spans="2:24" ht="15" customHeight="1">
      <c r="B185" s="699"/>
      <c r="C185" s="380" t="s">
        <v>1031</v>
      </c>
      <c r="F185" s="11"/>
      <c r="H185" s="11"/>
      <c r="I185" s="11"/>
      <c r="J185" s="11"/>
      <c r="K185" s="11"/>
      <c r="M185" s="18"/>
      <c r="N185" s="19"/>
      <c r="O185" s="18"/>
      <c r="P185" s="18"/>
      <c r="Q185" s="18"/>
      <c r="R185" s="18"/>
      <c r="S185" s="19"/>
      <c r="T185" s="387" t="s">
        <v>1035</v>
      </c>
      <c r="U185" s="21">
        <v>7.0000000000000007E-2</v>
      </c>
      <c r="V185" s="156">
        <f>SUM(U179:U185)</f>
        <v>0.28000000000000003</v>
      </c>
      <c r="X185" s="245"/>
    </row>
    <row r="186" spans="2:24" ht="15" customHeight="1">
      <c r="B186" s="699"/>
      <c r="C186" s="380" t="s">
        <v>1032</v>
      </c>
      <c r="F186" s="11"/>
      <c r="H186" s="11"/>
      <c r="I186" s="11"/>
      <c r="J186" s="11"/>
      <c r="K186" s="11"/>
      <c r="M186" s="18"/>
      <c r="N186" s="19"/>
      <c r="O186" s="18"/>
      <c r="P186" s="18"/>
      <c r="Q186" s="18"/>
      <c r="R186" s="18"/>
      <c r="S186" s="19"/>
      <c r="T186" s="387" t="s">
        <v>1035</v>
      </c>
      <c r="U186" s="21">
        <v>0.08</v>
      </c>
      <c r="V186" s="156">
        <f>SUM(U179:U186)</f>
        <v>0.36000000000000004</v>
      </c>
      <c r="X186" s="381"/>
    </row>
    <row r="187" spans="2:24" ht="15" customHeight="1">
      <c r="B187" s="699"/>
      <c r="C187" s="380" t="s">
        <v>1033</v>
      </c>
      <c r="F187" s="11"/>
      <c r="H187" s="11"/>
      <c r="I187" s="11"/>
      <c r="J187" s="11"/>
      <c r="K187" s="11"/>
      <c r="M187" s="18"/>
      <c r="N187" s="19"/>
      <c r="O187" s="18"/>
      <c r="P187" s="18"/>
      <c r="Q187" s="18"/>
      <c r="R187" s="18"/>
      <c r="S187" s="19"/>
      <c r="T187" s="387" t="s">
        <v>1035</v>
      </c>
      <c r="U187" s="21">
        <v>0.1</v>
      </c>
      <c r="V187" s="156">
        <f>SUM(U179:U187)</f>
        <v>0.46000000000000008</v>
      </c>
      <c r="X187" s="381"/>
    </row>
    <row r="188" spans="2:24" ht="15" customHeight="1">
      <c r="B188" s="699"/>
      <c r="C188" s="382" t="s">
        <v>1034</v>
      </c>
      <c r="D188" s="427"/>
      <c r="E188" s="24"/>
      <c r="F188" s="27"/>
      <c r="G188" s="24"/>
      <c r="H188" s="27"/>
      <c r="I188" s="27"/>
      <c r="J188" s="27"/>
      <c r="K188" s="27"/>
      <c r="L188" s="24"/>
      <c r="M188" s="25"/>
      <c r="N188" s="26"/>
      <c r="O188" s="25"/>
      <c r="P188" s="25"/>
      <c r="Q188" s="25"/>
      <c r="R188" s="25"/>
      <c r="S188" s="26"/>
      <c r="T188" s="385" t="s">
        <v>1035</v>
      </c>
      <c r="U188" s="195">
        <v>0.2</v>
      </c>
      <c r="V188" s="173">
        <f>SUM(U179:U188)</f>
        <v>0.66000000000000014</v>
      </c>
      <c r="W188" s="403"/>
      <c r="X188" s="386"/>
    </row>
    <row r="189" spans="2:24" ht="15" customHeight="1">
      <c r="B189" s="699"/>
      <c r="C189" s="610" t="s">
        <v>1975</v>
      </c>
      <c r="D189" s="135">
        <v>8.3333333333333329E-2</v>
      </c>
      <c r="E189" s="5">
        <v>300</v>
      </c>
      <c r="F189" s="11">
        <v>25000</v>
      </c>
      <c r="G189" s="5">
        <v>1000</v>
      </c>
      <c r="H189" s="11">
        <v>10000</v>
      </c>
      <c r="I189" s="11">
        <v>10000</v>
      </c>
      <c r="J189" s="11">
        <v>7500</v>
      </c>
      <c r="K189" s="11">
        <v>10000</v>
      </c>
      <c r="L189" s="5">
        <v>20000</v>
      </c>
      <c r="M189" s="18">
        <v>20000</v>
      </c>
      <c r="N189" s="19">
        <v>30</v>
      </c>
      <c r="O189" s="18">
        <v>16000</v>
      </c>
      <c r="P189" s="18">
        <v>16000</v>
      </c>
      <c r="Q189" s="18">
        <v>16000</v>
      </c>
      <c r="R189" s="18">
        <v>16000</v>
      </c>
      <c r="S189" s="19">
        <v>12000</v>
      </c>
      <c r="T189" s="611" t="s">
        <v>1985</v>
      </c>
      <c r="U189" s="21">
        <v>0.01</v>
      </c>
      <c r="V189" s="156">
        <f>SUM(U189:U189)</f>
        <v>0.01</v>
      </c>
      <c r="W189" s="613" t="s">
        <v>716</v>
      </c>
      <c r="X189" s="613" t="s">
        <v>1986</v>
      </c>
    </row>
    <row r="190" spans="2:24" ht="15" customHeight="1">
      <c r="B190" s="699"/>
      <c r="C190" s="610" t="s">
        <v>1976</v>
      </c>
      <c r="F190" s="11"/>
      <c r="H190" s="11"/>
      <c r="I190" s="11"/>
      <c r="J190" s="11"/>
      <c r="K190" s="11"/>
      <c r="M190" s="18"/>
      <c r="N190" s="19"/>
      <c r="O190" s="18"/>
      <c r="P190" s="18"/>
      <c r="Q190" s="18"/>
      <c r="R190" s="18"/>
      <c r="S190" s="19"/>
      <c r="T190" s="619" t="s">
        <v>1985</v>
      </c>
      <c r="U190" s="21">
        <v>0.02</v>
      </c>
      <c r="V190" s="156">
        <f>SUM(U189:U190)</f>
        <v>0.03</v>
      </c>
      <c r="W190" s="613"/>
      <c r="X190" s="613"/>
    </row>
    <row r="191" spans="2:24" ht="15" customHeight="1">
      <c r="B191" s="699"/>
      <c r="C191" s="610" t="s">
        <v>1977</v>
      </c>
      <c r="F191" s="11"/>
      <c r="H191" s="11"/>
      <c r="I191" s="11"/>
      <c r="J191" s="11"/>
      <c r="K191" s="11"/>
      <c r="M191" s="18"/>
      <c r="N191" s="19"/>
      <c r="O191" s="18"/>
      <c r="P191" s="18"/>
      <c r="Q191" s="18"/>
      <c r="R191" s="18"/>
      <c r="S191" s="19"/>
      <c r="T191" s="619" t="s">
        <v>1985</v>
      </c>
      <c r="U191" s="21">
        <v>0.03</v>
      </c>
      <c r="V191" s="156">
        <f>SUM(U189:U191)</f>
        <v>0.06</v>
      </c>
      <c r="W191" s="613"/>
      <c r="X191" s="613"/>
    </row>
    <row r="192" spans="2:24" ht="15" customHeight="1">
      <c r="B192" s="699"/>
      <c r="C192" s="610" t="s">
        <v>1978</v>
      </c>
      <c r="F192" s="11"/>
      <c r="H192" s="11"/>
      <c r="I192" s="11"/>
      <c r="J192" s="11"/>
      <c r="K192" s="11"/>
      <c r="M192" s="18"/>
      <c r="N192" s="19"/>
      <c r="O192" s="18"/>
      <c r="P192" s="18"/>
      <c r="Q192" s="18"/>
      <c r="R192" s="18"/>
      <c r="S192" s="19"/>
      <c r="T192" s="619" t="s">
        <v>1985</v>
      </c>
      <c r="U192" s="21">
        <v>0.04</v>
      </c>
      <c r="V192" s="156">
        <f>SUM(U189:U192)</f>
        <v>0.1</v>
      </c>
      <c r="W192" s="613"/>
      <c r="X192" s="613"/>
    </row>
    <row r="193" spans="2:24" ht="15" customHeight="1">
      <c r="B193" s="699"/>
      <c r="C193" s="610" t="s">
        <v>1979</v>
      </c>
      <c r="F193" s="11"/>
      <c r="H193" s="11"/>
      <c r="I193" s="11"/>
      <c r="J193" s="11"/>
      <c r="K193" s="11"/>
      <c r="M193" s="18"/>
      <c r="N193" s="19"/>
      <c r="O193" s="18"/>
      <c r="P193" s="18"/>
      <c r="Q193" s="18"/>
      <c r="R193" s="18"/>
      <c r="S193" s="19"/>
      <c r="T193" s="619" t="s">
        <v>1985</v>
      </c>
      <c r="U193" s="21">
        <v>0.05</v>
      </c>
      <c r="V193" s="156">
        <f>SUM(U189:U193)</f>
        <v>0.15000000000000002</v>
      </c>
      <c r="W193" s="613"/>
      <c r="X193" s="613"/>
    </row>
    <row r="194" spans="2:24" ht="15" customHeight="1">
      <c r="B194" s="699"/>
      <c r="C194" s="610" t="s">
        <v>1980</v>
      </c>
      <c r="F194" s="11"/>
      <c r="H194" s="11"/>
      <c r="I194" s="11"/>
      <c r="J194" s="11"/>
      <c r="K194" s="11"/>
      <c r="M194" s="18"/>
      <c r="N194" s="19"/>
      <c r="O194" s="18"/>
      <c r="P194" s="18"/>
      <c r="Q194" s="18"/>
      <c r="R194" s="18"/>
      <c r="S194" s="19"/>
      <c r="T194" s="619" t="s">
        <v>1985</v>
      </c>
      <c r="U194" s="21">
        <v>0.06</v>
      </c>
      <c r="V194" s="156">
        <f>SUM(U189:U194)</f>
        <v>0.21000000000000002</v>
      </c>
      <c r="W194" s="613"/>
      <c r="X194" s="613"/>
    </row>
    <row r="195" spans="2:24" ht="15" customHeight="1">
      <c r="B195" s="699"/>
      <c r="C195" s="610" t="s">
        <v>1981</v>
      </c>
      <c r="F195" s="11"/>
      <c r="H195" s="11"/>
      <c r="I195" s="11"/>
      <c r="J195" s="11"/>
      <c r="K195" s="11"/>
      <c r="M195" s="18"/>
      <c r="N195" s="19"/>
      <c r="O195" s="18"/>
      <c r="P195" s="18"/>
      <c r="Q195" s="18"/>
      <c r="R195" s="18"/>
      <c r="S195" s="19"/>
      <c r="T195" s="619" t="s">
        <v>1985</v>
      </c>
      <c r="U195" s="21">
        <v>7.0000000000000007E-2</v>
      </c>
      <c r="V195" s="156">
        <f>SUM(U189:U195)</f>
        <v>0.28000000000000003</v>
      </c>
      <c r="W195" s="613"/>
      <c r="X195" s="613"/>
    </row>
    <row r="196" spans="2:24" ht="15" customHeight="1">
      <c r="B196" s="699"/>
      <c r="C196" s="610" t="s">
        <v>1982</v>
      </c>
      <c r="F196" s="11"/>
      <c r="H196" s="11"/>
      <c r="I196" s="11"/>
      <c r="J196" s="11"/>
      <c r="K196" s="11"/>
      <c r="M196" s="18"/>
      <c r="N196" s="19"/>
      <c r="O196" s="18"/>
      <c r="P196" s="18"/>
      <c r="Q196" s="18"/>
      <c r="R196" s="18"/>
      <c r="S196" s="19"/>
      <c r="T196" s="619" t="s">
        <v>1985</v>
      </c>
      <c r="U196" s="21">
        <v>0.08</v>
      </c>
      <c r="V196" s="156">
        <f>SUM(U189:U196)</f>
        <v>0.36000000000000004</v>
      </c>
      <c r="W196" s="613"/>
      <c r="X196" s="613"/>
    </row>
    <row r="197" spans="2:24" ht="15" customHeight="1">
      <c r="B197" s="699"/>
      <c r="C197" s="610" t="s">
        <v>1983</v>
      </c>
      <c r="F197" s="11"/>
      <c r="H197" s="11"/>
      <c r="I197" s="11"/>
      <c r="J197" s="11"/>
      <c r="K197" s="11"/>
      <c r="M197" s="18"/>
      <c r="N197" s="19"/>
      <c r="O197" s="18"/>
      <c r="P197" s="18"/>
      <c r="Q197" s="18"/>
      <c r="R197" s="18"/>
      <c r="S197" s="19"/>
      <c r="T197" s="619" t="s">
        <v>1985</v>
      </c>
      <c r="U197" s="21">
        <v>0.1</v>
      </c>
      <c r="V197" s="156">
        <f>SUM(U189:U197)</f>
        <v>0.46000000000000008</v>
      </c>
      <c r="W197" s="613"/>
      <c r="X197" s="613"/>
    </row>
    <row r="198" spans="2:24" ht="15" customHeight="1">
      <c r="B198" s="699"/>
      <c r="C198" s="617" t="s">
        <v>1984</v>
      </c>
      <c r="D198" s="427"/>
      <c r="E198" s="24"/>
      <c r="F198" s="27"/>
      <c r="G198" s="24"/>
      <c r="H198" s="27"/>
      <c r="I198" s="27"/>
      <c r="J198" s="27"/>
      <c r="K198" s="27"/>
      <c r="L198" s="24"/>
      <c r="M198" s="25"/>
      <c r="N198" s="26"/>
      <c r="O198" s="25"/>
      <c r="P198" s="25"/>
      <c r="Q198" s="25"/>
      <c r="R198" s="25"/>
      <c r="S198" s="26"/>
      <c r="T198" s="618" t="s">
        <v>1985</v>
      </c>
      <c r="U198" s="195">
        <v>0.2</v>
      </c>
      <c r="V198" s="173">
        <f>SUM(U189:U198)</f>
        <v>0.66000000000000014</v>
      </c>
      <c r="W198" s="622"/>
      <c r="X198" s="622"/>
    </row>
    <row r="199" spans="2:24" ht="15" customHeight="1">
      <c r="B199" s="699"/>
      <c r="C199" s="610"/>
      <c r="F199" s="11"/>
      <c r="H199" s="11"/>
      <c r="I199" s="11"/>
      <c r="J199" s="11"/>
      <c r="K199" s="11"/>
      <c r="M199" s="18"/>
      <c r="N199" s="19"/>
      <c r="O199" s="18"/>
      <c r="P199" s="18"/>
      <c r="Q199" s="18"/>
      <c r="R199" s="18"/>
      <c r="S199" s="19"/>
      <c r="T199" s="610"/>
      <c r="W199" s="613"/>
      <c r="X199" s="613"/>
    </row>
    <row r="200" spans="2:24" ht="15" customHeight="1">
      <c r="B200" s="699"/>
      <c r="C200" s="610"/>
      <c r="F200" s="11"/>
      <c r="H200" s="11"/>
      <c r="I200" s="11"/>
      <c r="J200" s="11"/>
      <c r="K200" s="11"/>
      <c r="M200" s="18"/>
      <c r="N200" s="19"/>
      <c r="O200" s="18"/>
      <c r="P200" s="18"/>
      <c r="Q200" s="18"/>
      <c r="R200" s="18"/>
      <c r="S200" s="19"/>
      <c r="T200" s="610"/>
      <c r="W200" s="613"/>
      <c r="X200" s="613"/>
    </row>
    <row r="201" spans="2:24" ht="15" customHeight="1">
      <c r="B201" s="699"/>
      <c r="C201" s="610"/>
      <c r="F201" s="11"/>
      <c r="H201" s="11"/>
      <c r="I201" s="11"/>
      <c r="J201" s="11"/>
      <c r="K201" s="11"/>
      <c r="M201" s="18"/>
      <c r="N201" s="19"/>
      <c r="O201" s="18"/>
      <c r="P201" s="18"/>
      <c r="Q201" s="18"/>
      <c r="R201" s="18"/>
      <c r="S201" s="19"/>
      <c r="T201" s="610"/>
      <c r="W201" s="613"/>
      <c r="X201" s="613"/>
    </row>
    <row r="202" spans="2:24" ht="15" customHeight="1">
      <c r="B202" s="699"/>
      <c r="C202" s="610"/>
      <c r="F202" s="11"/>
      <c r="H202" s="11"/>
      <c r="I202" s="11"/>
      <c r="J202" s="11"/>
      <c r="K202" s="11"/>
      <c r="M202" s="18"/>
      <c r="N202" s="19"/>
      <c r="O202" s="18"/>
      <c r="P202" s="18"/>
      <c r="Q202" s="18"/>
      <c r="R202" s="18"/>
      <c r="S202" s="19"/>
      <c r="T202" s="610"/>
      <c r="W202" s="613"/>
      <c r="X202" s="613"/>
    </row>
    <row r="203" spans="2:24" ht="15" customHeight="1">
      <c r="B203" s="699"/>
      <c r="C203" s="610"/>
      <c r="F203" s="11"/>
      <c r="H203" s="11"/>
      <c r="I203" s="11"/>
      <c r="J203" s="11"/>
      <c r="K203" s="11"/>
      <c r="M203" s="18"/>
      <c r="N203" s="19"/>
      <c r="O203" s="18"/>
      <c r="P203" s="18"/>
      <c r="Q203" s="18"/>
      <c r="R203" s="18"/>
      <c r="S203" s="19"/>
      <c r="T203" s="610"/>
      <c r="W203" s="613"/>
      <c r="X203" s="613"/>
    </row>
    <row r="204" spans="2:24" ht="15" customHeight="1">
      <c r="B204" s="699"/>
      <c r="C204" s="610"/>
      <c r="F204" s="11"/>
      <c r="H204" s="11"/>
      <c r="I204" s="11"/>
      <c r="J204" s="11"/>
      <c r="K204" s="11"/>
      <c r="M204" s="18"/>
      <c r="N204" s="19"/>
      <c r="O204" s="18"/>
      <c r="P204" s="18"/>
      <c r="Q204" s="18"/>
      <c r="R204" s="18"/>
      <c r="S204" s="19"/>
      <c r="T204" s="610"/>
      <c r="W204" s="613"/>
      <c r="X204" s="613"/>
    </row>
    <row r="205" spans="2:24" ht="15" customHeight="1">
      <c r="B205" s="699"/>
      <c r="C205" s="610"/>
      <c r="F205" s="11"/>
      <c r="H205" s="11"/>
      <c r="I205" s="11"/>
      <c r="J205" s="11"/>
      <c r="K205" s="11"/>
      <c r="M205" s="18"/>
      <c r="N205" s="19"/>
      <c r="O205" s="18"/>
      <c r="P205" s="18"/>
      <c r="Q205" s="18"/>
      <c r="R205" s="18"/>
      <c r="S205" s="19"/>
      <c r="T205" s="610"/>
      <c r="W205" s="613"/>
      <c r="X205" s="613"/>
    </row>
    <row r="206" spans="2:24" ht="15" customHeight="1">
      <c r="B206" s="699"/>
      <c r="C206" s="610"/>
      <c r="F206" s="11"/>
      <c r="H206" s="11"/>
      <c r="I206" s="11"/>
      <c r="J206" s="11"/>
      <c r="K206" s="11"/>
      <c r="M206" s="18"/>
      <c r="N206" s="19"/>
      <c r="O206" s="18"/>
      <c r="P206" s="18"/>
      <c r="Q206" s="18"/>
      <c r="R206" s="18"/>
      <c r="S206" s="19"/>
      <c r="T206" s="610"/>
      <c r="W206" s="613"/>
      <c r="X206" s="613"/>
    </row>
    <row r="207" spans="2:24" ht="15" customHeight="1">
      <c r="B207" s="699"/>
      <c r="C207" s="610"/>
      <c r="F207" s="11"/>
      <c r="H207" s="11"/>
      <c r="I207" s="11"/>
      <c r="J207" s="11"/>
      <c r="K207" s="11"/>
      <c r="M207" s="18"/>
      <c r="N207" s="19"/>
      <c r="O207" s="18"/>
      <c r="P207" s="18"/>
      <c r="Q207" s="18"/>
      <c r="R207" s="18"/>
      <c r="S207" s="19"/>
      <c r="T207" s="610"/>
      <c r="W207" s="613"/>
      <c r="X207" s="613"/>
    </row>
    <row r="208" spans="2:24" ht="15" customHeight="1">
      <c r="B208" s="699"/>
      <c r="C208" s="610"/>
      <c r="F208" s="11"/>
      <c r="H208" s="11"/>
      <c r="I208" s="11"/>
      <c r="J208" s="11"/>
      <c r="K208" s="11"/>
      <c r="M208" s="18"/>
      <c r="N208" s="19"/>
      <c r="O208" s="18"/>
      <c r="P208" s="18"/>
      <c r="Q208" s="18"/>
      <c r="R208" s="18"/>
      <c r="S208" s="19"/>
      <c r="T208" s="610"/>
      <c r="W208" s="613"/>
      <c r="X208" s="613"/>
    </row>
    <row r="209" spans="2:24" ht="15" customHeight="1">
      <c r="B209" s="699"/>
      <c r="C209" s="610"/>
      <c r="F209" s="11"/>
      <c r="H209" s="11"/>
      <c r="I209" s="11"/>
      <c r="J209" s="11"/>
      <c r="K209" s="11"/>
      <c r="M209" s="18"/>
      <c r="N209" s="19"/>
      <c r="O209" s="18"/>
      <c r="P209" s="18"/>
      <c r="Q209" s="18"/>
      <c r="R209" s="18"/>
      <c r="S209" s="19"/>
      <c r="T209" s="610"/>
      <c r="W209" s="613"/>
      <c r="X209" s="613"/>
    </row>
    <row r="210" spans="2:24" ht="15" customHeight="1">
      <c r="B210" s="699"/>
      <c r="C210" s="610"/>
      <c r="F210" s="11"/>
      <c r="H210" s="11"/>
      <c r="I210" s="11"/>
      <c r="J210" s="11"/>
      <c r="K210" s="11"/>
      <c r="M210" s="18"/>
      <c r="N210" s="19"/>
      <c r="O210" s="18"/>
      <c r="P210" s="18"/>
      <c r="Q210" s="18"/>
      <c r="R210" s="18"/>
      <c r="S210" s="19"/>
      <c r="T210" s="610"/>
      <c r="W210" s="613"/>
      <c r="X210" s="613"/>
    </row>
    <row r="211" spans="2:24" ht="15" customHeight="1">
      <c r="B211" s="699"/>
      <c r="C211" s="243"/>
      <c r="F211" s="11"/>
      <c r="H211" s="11"/>
      <c r="I211" s="11"/>
      <c r="J211" s="11"/>
      <c r="K211" s="11"/>
      <c r="M211" s="18"/>
      <c r="N211" s="19"/>
      <c r="O211" s="18"/>
      <c r="P211" s="18"/>
      <c r="Q211" s="18"/>
      <c r="R211" s="18"/>
      <c r="S211" s="19"/>
      <c r="T211" s="243"/>
      <c r="X211" s="245"/>
    </row>
    <row r="212" spans="2:24" ht="15" customHeight="1">
      <c r="B212" s="699"/>
      <c r="C212" s="243"/>
      <c r="F212" s="11"/>
      <c r="H212" s="11"/>
      <c r="I212" s="11"/>
      <c r="J212" s="11"/>
      <c r="K212" s="11"/>
      <c r="M212" s="18"/>
      <c r="N212" s="19"/>
      <c r="O212" s="18"/>
      <c r="P212" s="18"/>
      <c r="Q212" s="18"/>
      <c r="R212" s="18"/>
      <c r="S212" s="19"/>
      <c r="T212" s="243"/>
      <c r="X212" s="245"/>
    </row>
    <row r="213" spans="2:24" ht="15" customHeight="1">
      <c r="B213" s="699"/>
      <c r="C213" s="243"/>
      <c r="F213" s="11"/>
      <c r="H213" s="11"/>
      <c r="I213" s="11"/>
      <c r="J213" s="11"/>
      <c r="K213" s="11"/>
      <c r="M213" s="18"/>
      <c r="N213" s="19"/>
      <c r="O213" s="18"/>
      <c r="P213" s="18"/>
      <c r="Q213" s="18"/>
      <c r="R213" s="18"/>
      <c r="S213" s="19"/>
      <c r="T213" s="243"/>
      <c r="X213" s="245"/>
    </row>
    <row r="214" spans="2:24" ht="15" customHeight="1">
      <c r="B214" s="699"/>
      <c r="C214" s="243"/>
      <c r="F214" s="11"/>
      <c r="H214" s="11"/>
      <c r="I214" s="11"/>
      <c r="J214" s="11"/>
      <c r="K214" s="11"/>
      <c r="M214" s="18"/>
      <c r="N214" s="19"/>
      <c r="O214" s="18"/>
      <c r="P214" s="18"/>
      <c r="Q214" s="18"/>
      <c r="R214" s="18"/>
      <c r="S214" s="19"/>
      <c r="T214" s="243"/>
      <c r="X214" s="245"/>
    </row>
    <row r="215" spans="2:24" ht="15" customHeight="1">
      <c r="B215" s="699"/>
      <c r="C215" s="243"/>
      <c r="F215" s="11"/>
      <c r="H215" s="11"/>
      <c r="I215" s="11"/>
      <c r="J215" s="11"/>
      <c r="K215" s="11"/>
      <c r="M215" s="18"/>
      <c r="N215" s="19"/>
      <c r="O215" s="18"/>
      <c r="P215" s="18"/>
      <c r="Q215" s="18"/>
      <c r="R215" s="18"/>
      <c r="S215" s="19"/>
      <c r="T215" s="243"/>
      <c r="X215" s="245"/>
    </row>
    <row r="216" spans="2:24" ht="15" customHeight="1">
      <c r="B216" s="699"/>
      <c r="C216" s="243"/>
      <c r="F216" s="11"/>
      <c r="H216" s="11"/>
      <c r="I216" s="11"/>
      <c r="J216" s="11"/>
      <c r="K216" s="11"/>
      <c r="M216" s="18"/>
      <c r="N216" s="19"/>
      <c r="O216" s="18"/>
      <c r="P216" s="18"/>
      <c r="Q216" s="18"/>
      <c r="R216" s="18"/>
      <c r="S216" s="19"/>
      <c r="T216" s="243"/>
      <c r="X216" s="245"/>
    </row>
    <row r="217" spans="2:24" ht="15" customHeight="1">
      <c r="B217" s="699"/>
      <c r="C217" s="243"/>
      <c r="F217" s="11"/>
      <c r="H217" s="11"/>
      <c r="I217" s="11"/>
      <c r="J217" s="11"/>
      <c r="K217" s="11"/>
      <c r="M217" s="18"/>
      <c r="N217" s="19"/>
      <c r="O217" s="18"/>
      <c r="P217" s="18"/>
      <c r="Q217" s="18"/>
      <c r="R217" s="18"/>
      <c r="S217" s="19"/>
      <c r="T217" s="243"/>
      <c r="X217" s="245"/>
    </row>
    <row r="218" spans="2:24" ht="15" customHeight="1" thickBot="1">
      <c r="B218" s="809"/>
      <c r="C218" s="248"/>
      <c r="D218" s="429"/>
      <c r="E218" s="175"/>
      <c r="F218" s="176"/>
      <c r="G218" s="175"/>
      <c r="H218" s="176"/>
      <c r="I218" s="176"/>
      <c r="J218" s="176"/>
      <c r="K218" s="176"/>
      <c r="L218" s="175"/>
      <c r="M218" s="176"/>
      <c r="N218" s="175"/>
      <c r="O218" s="176"/>
      <c r="P218" s="176"/>
      <c r="Q218" s="176"/>
      <c r="R218" s="176"/>
      <c r="S218" s="175"/>
      <c r="T218" s="248"/>
      <c r="U218" s="462"/>
      <c r="V218" s="437"/>
      <c r="W218" s="179"/>
      <c r="X218" s="179"/>
    </row>
    <row r="219" spans="2:24" ht="15" customHeight="1" thickTop="1"/>
  </sheetData>
  <mergeCells count="13">
    <mergeCell ref="B129:B218"/>
    <mergeCell ref="W2:W3"/>
    <mergeCell ref="X2:X3"/>
    <mergeCell ref="F2:G2"/>
    <mergeCell ref="C2:C3"/>
    <mergeCell ref="D2:D3"/>
    <mergeCell ref="M2:S2"/>
    <mergeCell ref="E2:E3"/>
    <mergeCell ref="H2:L2"/>
    <mergeCell ref="B2:B3"/>
    <mergeCell ref="B4:B100"/>
    <mergeCell ref="B101:B128"/>
    <mergeCell ref="T2:V2"/>
  </mergeCells>
  <phoneticPr fontId="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66CCFF"/>
  </sheetPr>
  <dimension ref="B1:AT33"/>
  <sheetViews>
    <sheetView workbookViewId="0">
      <pane xSplit="2" ySplit="3" topLeftCell="R4" activePane="bottomRight" state="frozen"/>
      <selection pane="topRight" activeCell="C1" sqref="C1"/>
      <selection pane="bottomLeft" activeCell="A4" sqref="A4"/>
      <selection pane="bottomRight" activeCell="Z4" sqref="Z4"/>
    </sheetView>
  </sheetViews>
  <sheetFormatPr defaultColWidth="9" defaultRowHeight="15" customHeight="1"/>
  <cols>
    <col min="1" max="1" width="4" style="2" customWidth="1"/>
    <col min="2" max="2" width="16.85546875" style="1" customWidth="1"/>
    <col min="3" max="3" width="9" style="2"/>
    <col min="4" max="4" width="9.42578125" style="1" customWidth="1"/>
    <col min="5" max="9" width="9" style="1"/>
    <col min="10" max="10" width="10.5703125" style="10" customWidth="1"/>
    <col min="11" max="11" width="11" style="5" customWidth="1"/>
    <col min="12" max="15" width="9" style="2"/>
    <col min="16" max="16" width="9" style="5"/>
    <col min="17" max="17" width="13.140625" style="5" customWidth="1"/>
    <col min="18" max="18" width="13.140625" style="317" customWidth="1"/>
    <col min="19" max="19" width="7.85546875" style="5" customWidth="1"/>
    <col min="20" max="22" width="9" style="35"/>
    <col min="23" max="23" width="9" style="38"/>
    <col min="24" max="27" width="9" style="2"/>
    <col min="28" max="28" width="9" style="5"/>
    <col min="29" max="29" width="12.140625" style="11" customWidth="1"/>
    <col min="30" max="30" width="12.140625" style="21" customWidth="1"/>
    <col min="31" max="31" width="12.140625" style="11" customWidth="1"/>
    <col min="32" max="32" width="12.140625" style="21" customWidth="1"/>
    <col min="33" max="33" width="12.140625" style="79" customWidth="1"/>
    <col min="34" max="34" width="12.140625" style="21" customWidth="1"/>
    <col min="35" max="35" width="12.140625" style="11" customWidth="1"/>
    <col min="36" max="36" width="12.140625" style="21" customWidth="1"/>
    <col min="37" max="37" width="8.5703125" style="5" customWidth="1"/>
    <col min="38" max="38" width="8.5703125" style="11" customWidth="1"/>
    <col min="39" max="39" width="12.140625" style="87" customWidth="1"/>
    <col min="40" max="40" width="12.140625" style="21" customWidth="1"/>
    <col min="41" max="41" width="12.140625" style="11" customWidth="1"/>
    <col min="42" max="42" width="12.140625" style="21" customWidth="1"/>
    <col min="43" max="43" width="12.140625" style="11" customWidth="1"/>
    <col min="44" max="44" width="12.140625" style="21" customWidth="1"/>
    <col min="45" max="45" width="23" style="1" customWidth="1"/>
    <col min="46" max="46" width="20.5703125" style="3" customWidth="1"/>
    <col min="47" max="16384" width="9" style="2"/>
  </cols>
  <sheetData>
    <row r="1" spans="2:46" ht="15" customHeight="1">
      <c r="B1" s="13"/>
      <c r="D1" s="13"/>
      <c r="E1" s="13"/>
      <c r="F1" s="13"/>
      <c r="G1" s="13"/>
      <c r="H1" s="13"/>
      <c r="I1" s="13"/>
      <c r="J1" s="80"/>
      <c r="K1" s="81" t="s">
        <v>83</v>
      </c>
      <c r="L1" s="62">
        <v>1</v>
      </c>
      <c r="M1" s="62">
        <v>1</v>
      </c>
      <c r="N1" s="62">
        <v>1</v>
      </c>
      <c r="O1" s="62">
        <v>1</v>
      </c>
      <c r="P1" s="63">
        <v>5</v>
      </c>
      <c r="Q1" s="2"/>
      <c r="R1" s="9"/>
      <c r="S1" s="35"/>
      <c r="V1" s="64"/>
      <c r="W1" s="61" t="s">
        <v>83</v>
      </c>
      <c r="X1" s="62">
        <v>100</v>
      </c>
      <c r="Y1" s="62">
        <v>500</v>
      </c>
      <c r="Z1" s="62">
        <v>1000</v>
      </c>
      <c r="AA1" s="62">
        <v>10</v>
      </c>
      <c r="AB1" s="2"/>
      <c r="AC1" s="2"/>
      <c r="AD1" s="12"/>
      <c r="AE1" s="2"/>
      <c r="AF1" s="12"/>
      <c r="AG1" s="75"/>
      <c r="AH1" s="12"/>
      <c r="AI1" s="2"/>
      <c r="AJ1" s="12"/>
      <c r="AK1" s="11"/>
      <c r="AM1" s="82"/>
      <c r="AN1" s="12"/>
      <c r="AO1" s="2"/>
      <c r="AP1" s="12"/>
      <c r="AQ1" s="2"/>
      <c r="AR1" s="12"/>
      <c r="AS1" s="13"/>
    </row>
    <row r="2" spans="2:46" s="1" customFormat="1" ht="30" customHeight="1">
      <c r="B2" s="784" t="s">
        <v>84</v>
      </c>
      <c r="C2" s="784" t="s">
        <v>65</v>
      </c>
      <c r="D2" s="784" t="s">
        <v>73</v>
      </c>
      <c r="E2" s="784" t="s">
        <v>67</v>
      </c>
      <c r="F2" s="784"/>
      <c r="G2" s="784" t="s">
        <v>70</v>
      </c>
      <c r="H2" s="784"/>
      <c r="I2" s="784"/>
      <c r="J2" s="780" t="s">
        <v>85</v>
      </c>
      <c r="K2" s="701" t="s">
        <v>86</v>
      </c>
      <c r="L2" s="804" t="s">
        <v>87</v>
      </c>
      <c r="M2" s="804"/>
      <c r="N2" s="804"/>
      <c r="O2" s="804"/>
      <c r="P2" s="804"/>
      <c r="Q2" s="816" t="s">
        <v>82</v>
      </c>
      <c r="R2" s="814" t="s">
        <v>1964</v>
      </c>
      <c r="S2" s="709" t="s">
        <v>22</v>
      </c>
      <c r="T2" s="819" t="s">
        <v>88</v>
      </c>
      <c r="U2" s="820"/>
      <c r="V2" s="820"/>
      <c r="W2" s="820"/>
      <c r="X2" s="818" t="s">
        <v>89</v>
      </c>
      <c r="Y2" s="818"/>
      <c r="Z2" s="818"/>
      <c r="AA2" s="818"/>
      <c r="AB2" s="818"/>
      <c r="AC2" s="818" t="s">
        <v>114</v>
      </c>
      <c r="AD2" s="818"/>
      <c r="AE2" s="818" t="s">
        <v>115</v>
      </c>
      <c r="AF2" s="818"/>
      <c r="AG2" s="818" t="s">
        <v>116</v>
      </c>
      <c r="AH2" s="818"/>
      <c r="AI2" s="818" t="s">
        <v>117</v>
      </c>
      <c r="AJ2" s="818"/>
      <c r="AK2" s="821" t="s">
        <v>113</v>
      </c>
      <c r="AL2" s="822"/>
      <c r="AM2" s="818" t="s">
        <v>118</v>
      </c>
      <c r="AN2" s="818"/>
      <c r="AO2" s="818" t="s">
        <v>119</v>
      </c>
      <c r="AP2" s="818"/>
      <c r="AQ2" s="818" t="s">
        <v>120</v>
      </c>
      <c r="AR2" s="818"/>
      <c r="AS2" s="784" t="s">
        <v>53</v>
      </c>
      <c r="AT2" s="699" t="s">
        <v>54</v>
      </c>
    </row>
    <row r="3" spans="2:46" s="22" customFormat="1" ht="30" customHeight="1">
      <c r="B3" s="784"/>
      <c r="C3" s="784"/>
      <c r="D3" s="784"/>
      <c r="E3" s="784"/>
      <c r="F3" s="784"/>
      <c r="G3" s="784"/>
      <c r="H3" s="784"/>
      <c r="I3" s="784"/>
      <c r="J3" s="780"/>
      <c r="K3" s="701"/>
      <c r="L3" s="97" t="s">
        <v>0</v>
      </c>
      <c r="M3" s="98" t="s">
        <v>1</v>
      </c>
      <c r="N3" s="98" t="s">
        <v>2</v>
      </c>
      <c r="O3" s="98" t="s">
        <v>3</v>
      </c>
      <c r="P3" s="98" t="s">
        <v>4</v>
      </c>
      <c r="Q3" s="817"/>
      <c r="R3" s="815"/>
      <c r="S3" s="710"/>
      <c r="T3" s="36" t="s">
        <v>76</v>
      </c>
      <c r="U3" s="37" t="s">
        <v>77</v>
      </c>
      <c r="V3" s="37" t="s">
        <v>78</v>
      </c>
      <c r="W3" s="37" t="s">
        <v>79</v>
      </c>
      <c r="X3" s="44" t="s">
        <v>76</v>
      </c>
      <c r="Y3" s="45" t="s">
        <v>77</v>
      </c>
      <c r="Z3" s="45" t="s">
        <v>78</v>
      </c>
      <c r="AA3" s="45" t="s">
        <v>79</v>
      </c>
      <c r="AB3" s="238" t="s">
        <v>90</v>
      </c>
      <c r="AC3" s="45" t="s">
        <v>108</v>
      </c>
      <c r="AD3" s="71" t="s">
        <v>109</v>
      </c>
      <c r="AE3" s="45" t="s">
        <v>108</v>
      </c>
      <c r="AF3" s="71" t="s">
        <v>109</v>
      </c>
      <c r="AG3" s="76" t="s">
        <v>108</v>
      </c>
      <c r="AH3" s="71" t="s">
        <v>109</v>
      </c>
      <c r="AI3" s="45" t="s">
        <v>108</v>
      </c>
      <c r="AJ3" s="71" t="s">
        <v>109</v>
      </c>
      <c r="AK3" s="99"/>
      <c r="AL3" s="71" t="s">
        <v>109</v>
      </c>
      <c r="AM3" s="83" t="s">
        <v>108</v>
      </c>
      <c r="AN3" s="71" t="s">
        <v>109</v>
      </c>
      <c r="AO3" s="45" t="s">
        <v>108</v>
      </c>
      <c r="AP3" s="71" t="s">
        <v>109</v>
      </c>
      <c r="AQ3" s="45" t="s">
        <v>108</v>
      </c>
      <c r="AR3" s="71" t="s">
        <v>109</v>
      </c>
      <c r="AS3" s="784"/>
      <c r="AT3" s="699"/>
    </row>
    <row r="4" spans="2:46" ht="15" customHeight="1">
      <c r="B4" s="13" t="s">
        <v>64</v>
      </c>
      <c r="C4" s="11" t="s">
        <v>107</v>
      </c>
      <c r="D4" s="13" t="s">
        <v>66</v>
      </c>
      <c r="E4" s="13" t="s">
        <v>68</v>
      </c>
      <c r="F4" s="13" t="s">
        <v>69</v>
      </c>
      <c r="G4" s="13" t="s">
        <v>71</v>
      </c>
      <c r="H4" s="13" t="s">
        <v>72</v>
      </c>
      <c r="I4" s="13"/>
      <c r="J4" s="10">
        <v>1.7361111111111112E-4</v>
      </c>
      <c r="K4" s="5">
        <v>5</v>
      </c>
      <c r="M4" s="2">
        <v>50</v>
      </c>
      <c r="N4" s="2">
        <v>38</v>
      </c>
      <c r="O4" s="2">
        <v>50</v>
      </c>
      <c r="Q4" s="47">
        <f>L4*$L$1+M4*$M$1+N4*$N$1+O4*$O$1+P4*$P$1</f>
        <v>138</v>
      </c>
      <c r="R4" s="627">
        <f>SUM(L4:O4)/15</f>
        <v>9.1999999999999993</v>
      </c>
      <c r="S4" s="57">
        <v>-1</v>
      </c>
      <c r="T4" s="35">
        <v>1</v>
      </c>
      <c r="U4" s="35">
        <v>1</v>
      </c>
      <c r="V4" s="35">
        <v>1</v>
      </c>
      <c r="W4" s="38">
        <v>4</v>
      </c>
      <c r="X4" s="46">
        <f>T4*X$1</f>
        <v>100</v>
      </c>
      <c r="Y4" s="46">
        <f t="shared" ref="Y4:AA4" si="0">U4*Y$1</f>
        <v>500</v>
      </c>
      <c r="Z4" s="46">
        <f t="shared" si="0"/>
        <v>1000</v>
      </c>
      <c r="AA4" s="46">
        <f t="shared" si="0"/>
        <v>40</v>
      </c>
      <c r="AB4" s="19">
        <v>7</v>
      </c>
      <c r="AC4" s="68">
        <f>X4*(Y4+Z4)</f>
        <v>150000</v>
      </c>
      <c r="AD4" s="74">
        <f>AC4/AC$4</f>
        <v>1</v>
      </c>
      <c r="AE4" s="68">
        <f t="shared" ref="AE4:AE19" si="1">AC4/Q4</f>
        <v>1086.9565217391305</v>
      </c>
      <c r="AF4" s="74">
        <f>AE4/AE$4</f>
        <v>1</v>
      </c>
      <c r="AG4" s="77">
        <f t="shared" ref="AG4:AG19" si="2">AC4/J4</f>
        <v>864000000</v>
      </c>
      <c r="AH4" s="74">
        <f>AG4/AG$4</f>
        <v>1</v>
      </c>
      <c r="AI4" s="68">
        <f t="shared" ref="AI4:AI19" si="3">AC4/S4*(-1)</f>
        <v>150000</v>
      </c>
      <c r="AJ4" s="74">
        <f>AI4/AI$4</f>
        <v>1</v>
      </c>
      <c r="AK4" s="5">
        <v>2</v>
      </c>
      <c r="AL4" s="74">
        <f t="shared" ref="AL4:AL19" si="4">AK4/AK$4</f>
        <v>1</v>
      </c>
      <c r="AM4" s="84">
        <f t="shared" ref="AM4:AM19" si="5">AK4/Q4</f>
        <v>1.4492753623188406E-2</v>
      </c>
      <c r="AN4" s="74">
        <f>AM4/AM$4</f>
        <v>1</v>
      </c>
      <c r="AO4" s="48">
        <f>AK4/J4</f>
        <v>11520</v>
      </c>
      <c r="AP4" s="74">
        <f>AO4/AO$4</f>
        <v>1</v>
      </c>
      <c r="AQ4" s="68">
        <f t="shared" ref="AQ4:AQ19" si="6">AK4/S4*(-1)</f>
        <v>2</v>
      </c>
      <c r="AR4" s="74">
        <f>AQ4/AQ$4</f>
        <v>1</v>
      </c>
      <c r="AS4" s="203" t="s">
        <v>588</v>
      </c>
    </row>
    <row r="5" spans="2:46" ht="15" customHeight="1">
      <c r="B5" s="3" t="s">
        <v>91</v>
      </c>
      <c r="C5" s="11" t="s">
        <v>107</v>
      </c>
      <c r="D5" s="3" t="s">
        <v>71</v>
      </c>
      <c r="E5" s="3" t="s">
        <v>66</v>
      </c>
      <c r="F5" s="3" t="s">
        <v>69</v>
      </c>
      <c r="G5" s="3" t="s">
        <v>68</v>
      </c>
      <c r="H5" s="3" t="s">
        <v>72</v>
      </c>
      <c r="I5" s="3"/>
      <c r="J5" s="20">
        <v>1.7361111111111112E-4</v>
      </c>
      <c r="K5" s="5">
        <v>5</v>
      </c>
      <c r="L5" s="11">
        <v>50</v>
      </c>
      <c r="M5" s="11">
        <v>50</v>
      </c>
      <c r="N5" s="11"/>
      <c r="O5" s="11">
        <v>50</v>
      </c>
      <c r="Q5" s="59">
        <f>L5*$L$1+M5*$M$1+N5*$N$1+O5*$O$1+P5*$P$1</f>
        <v>150</v>
      </c>
      <c r="R5" s="627">
        <f>SUM(L5:O5)/15</f>
        <v>10</v>
      </c>
      <c r="S5" s="57">
        <v>-1</v>
      </c>
      <c r="T5" s="39">
        <v>1</v>
      </c>
      <c r="U5" s="39">
        <v>1</v>
      </c>
      <c r="V5" s="39">
        <v>1</v>
      </c>
      <c r="W5" s="38">
        <v>4</v>
      </c>
      <c r="X5" s="48">
        <f t="shared" ref="X5:X19" si="7">T5*X$1</f>
        <v>100</v>
      </c>
      <c r="Y5" s="48">
        <f t="shared" ref="Y5:Y19" si="8">U5*Y$1</f>
        <v>500</v>
      </c>
      <c r="Z5" s="48">
        <f t="shared" ref="Z5:Z19" si="9">V5*Z$1</f>
        <v>1000</v>
      </c>
      <c r="AA5" s="48">
        <f t="shared" ref="AA5:AA19" si="10">W5*AA$1</f>
        <v>40</v>
      </c>
      <c r="AB5" s="19">
        <v>6</v>
      </c>
      <c r="AC5" s="69">
        <f t="shared" ref="AC5:AC19" si="11">X5*(Y5+Z5)</f>
        <v>150000</v>
      </c>
      <c r="AD5" s="72">
        <f t="shared" ref="AD5:AF19" si="12">AC5/AC$4</f>
        <v>1</v>
      </c>
      <c r="AE5" s="69">
        <f t="shared" si="1"/>
        <v>1000</v>
      </c>
      <c r="AF5" s="72">
        <f t="shared" si="12"/>
        <v>0.91999999999999993</v>
      </c>
      <c r="AG5" s="77">
        <f t="shared" si="2"/>
        <v>864000000</v>
      </c>
      <c r="AH5" s="72">
        <f t="shared" ref="AH5" si="13">AG5/AG$4</f>
        <v>1</v>
      </c>
      <c r="AI5" s="69">
        <f t="shared" si="3"/>
        <v>150000</v>
      </c>
      <c r="AJ5" s="72">
        <f t="shared" ref="AJ5" si="14">AI5/AI$4</f>
        <v>1</v>
      </c>
      <c r="AK5" s="5">
        <v>2</v>
      </c>
      <c r="AL5" s="72">
        <f t="shared" si="4"/>
        <v>1</v>
      </c>
      <c r="AM5" s="85">
        <f t="shared" si="5"/>
        <v>1.3333333333333334E-2</v>
      </c>
      <c r="AN5" s="72">
        <f t="shared" ref="AN5" si="15">AM5/AM$4</f>
        <v>0.92</v>
      </c>
      <c r="AO5" s="69">
        <f>AK5/J5</f>
        <v>11520</v>
      </c>
      <c r="AP5" s="72">
        <f t="shared" ref="AP5:AP19" si="16">AO5/AO$4</f>
        <v>1</v>
      </c>
      <c r="AQ5" s="69">
        <f t="shared" si="6"/>
        <v>2</v>
      </c>
      <c r="AR5" s="72">
        <f t="shared" ref="AR5:AR19" si="17">AQ5/AQ$4</f>
        <v>1</v>
      </c>
      <c r="AS5" s="203" t="s">
        <v>588</v>
      </c>
    </row>
    <row r="6" spans="2:46" ht="15" customHeight="1">
      <c r="B6" s="3" t="s">
        <v>92</v>
      </c>
      <c r="C6" s="11" t="s">
        <v>107</v>
      </c>
      <c r="D6" s="3" t="s">
        <v>68</v>
      </c>
      <c r="E6" s="3" t="s">
        <v>71</v>
      </c>
      <c r="F6" s="3" t="s">
        <v>69</v>
      </c>
      <c r="G6" s="3" t="s">
        <v>66</v>
      </c>
      <c r="H6" s="3" t="s">
        <v>72</v>
      </c>
      <c r="I6" s="3"/>
      <c r="J6" s="20">
        <v>1.7361111111111112E-4</v>
      </c>
      <c r="K6" s="5">
        <v>5</v>
      </c>
      <c r="L6" s="11">
        <v>50</v>
      </c>
      <c r="M6" s="11"/>
      <c r="N6" s="11">
        <v>38</v>
      </c>
      <c r="O6" s="11">
        <v>50</v>
      </c>
      <c r="Q6" s="59">
        <f t="shared" ref="Q6:Q7" si="18">L6*$L$1+M6*$M$1+N6*$N$1+O6*$O$1+P6*$P$1</f>
        <v>138</v>
      </c>
      <c r="R6" s="627">
        <f>SUM(L6:O6)/15</f>
        <v>9.1999999999999993</v>
      </c>
      <c r="S6" s="57">
        <v>-1</v>
      </c>
      <c r="T6" s="39">
        <v>1</v>
      </c>
      <c r="U6" s="39">
        <v>1</v>
      </c>
      <c r="V6" s="39">
        <v>1</v>
      </c>
      <c r="W6" s="38">
        <v>4</v>
      </c>
      <c r="X6" s="48">
        <f t="shared" si="7"/>
        <v>100</v>
      </c>
      <c r="Y6" s="48">
        <f t="shared" si="8"/>
        <v>500</v>
      </c>
      <c r="Z6" s="48">
        <f t="shared" si="9"/>
        <v>1000</v>
      </c>
      <c r="AA6" s="48">
        <f t="shared" si="10"/>
        <v>40</v>
      </c>
      <c r="AB6" s="19">
        <v>5</v>
      </c>
      <c r="AC6" s="69">
        <f t="shared" si="11"/>
        <v>150000</v>
      </c>
      <c r="AD6" s="72">
        <f t="shared" si="12"/>
        <v>1</v>
      </c>
      <c r="AE6" s="69">
        <f t="shared" si="1"/>
        <v>1086.9565217391305</v>
      </c>
      <c r="AF6" s="72">
        <f t="shared" si="12"/>
        <v>1</v>
      </c>
      <c r="AG6" s="77">
        <f t="shared" si="2"/>
        <v>864000000</v>
      </c>
      <c r="AH6" s="72">
        <f t="shared" ref="AH6" si="19">AG6/AG$4</f>
        <v>1</v>
      </c>
      <c r="AI6" s="69">
        <f t="shared" si="3"/>
        <v>150000</v>
      </c>
      <c r="AJ6" s="72">
        <f t="shared" ref="AJ6" si="20">AI6/AI$4</f>
        <v>1</v>
      </c>
      <c r="AK6" s="5">
        <v>2</v>
      </c>
      <c r="AL6" s="72">
        <f t="shared" si="4"/>
        <v>1</v>
      </c>
      <c r="AM6" s="85">
        <f t="shared" si="5"/>
        <v>1.4492753623188406E-2</v>
      </c>
      <c r="AN6" s="72">
        <f t="shared" ref="AN6" si="21">AM6/AM$4</f>
        <v>1</v>
      </c>
      <c r="AO6" s="69">
        <f t="shared" ref="AO6:AO7" si="22">AK6/J6</f>
        <v>11520</v>
      </c>
      <c r="AP6" s="72">
        <f t="shared" si="16"/>
        <v>1</v>
      </c>
      <c r="AQ6" s="69">
        <f t="shared" si="6"/>
        <v>2</v>
      </c>
      <c r="AR6" s="72">
        <f t="shared" si="17"/>
        <v>1</v>
      </c>
      <c r="AS6" s="203" t="s">
        <v>588</v>
      </c>
    </row>
    <row r="7" spans="2:46" ht="15" customHeight="1">
      <c r="B7" s="34" t="s">
        <v>93</v>
      </c>
      <c r="C7" s="27" t="s">
        <v>107</v>
      </c>
      <c r="D7" s="34" t="s">
        <v>69</v>
      </c>
      <c r="E7" s="34" t="s">
        <v>94</v>
      </c>
      <c r="F7" s="34"/>
      <c r="G7" s="34" t="s">
        <v>66</v>
      </c>
      <c r="H7" s="34" t="s">
        <v>68</v>
      </c>
      <c r="I7" s="34" t="s">
        <v>71</v>
      </c>
      <c r="J7" s="23">
        <v>2.3148148148148146E-4</v>
      </c>
      <c r="K7" s="24">
        <v>5</v>
      </c>
      <c r="L7" s="27">
        <v>50</v>
      </c>
      <c r="M7" s="27">
        <v>50</v>
      </c>
      <c r="N7" s="27">
        <v>38</v>
      </c>
      <c r="O7" s="27">
        <v>100</v>
      </c>
      <c r="P7" s="24"/>
      <c r="Q7" s="60">
        <f t="shared" si="18"/>
        <v>238</v>
      </c>
      <c r="R7" s="628">
        <f>SUM(L7:O7)/15</f>
        <v>15.866666666666667</v>
      </c>
      <c r="S7" s="58">
        <v>-1</v>
      </c>
      <c r="T7" s="40">
        <v>1</v>
      </c>
      <c r="U7" s="40">
        <v>1</v>
      </c>
      <c r="V7" s="40">
        <v>1</v>
      </c>
      <c r="W7" s="41">
        <v>3</v>
      </c>
      <c r="X7" s="49">
        <f t="shared" si="7"/>
        <v>100</v>
      </c>
      <c r="Y7" s="49">
        <f t="shared" si="8"/>
        <v>500</v>
      </c>
      <c r="Z7" s="49">
        <f t="shared" si="9"/>
        <v>1000</v>
      </c>
      <c r="AA7" s="49">
        <f t="shared" si="10"/>
        <v>30</v>
      </c>
      <c r="AB7" s="26">
        <v>8</v>
      </c>
      <c r="AC7" s="70">
        <f t="shared" si="11"/>
        <v>150000</v>
      </c>
      <c r="AD7" s="73">
        <f t="shared" si="12"/>
        <v>1</v>
      </c>
      <c r="AE7" s="70">
        <f t="shared" si="1"/>
        <v>630.25210084033608</v>
      </c>
      <c r="AF7" s="73">
        <f t="shared" si="12"/>
        <v>0.57983193277310918</v>
      </c>
      <c r="AG7" s="78">
        <f t="shared" si="2"/>
        <v>648000000</v>
      </c>
      <c r="AH7" s="73">
        <f t="shared" ref="AH7" si="23">AG7/AG$4</f>
        <v>0.75</v>
      </c>
      <c r="AI7" s="70">
        <f t="shared" si="3"/>
        <v>150000</v>
      </c>
      <c r="AJ7" s="73">
        <f t="shared" ref="AJ7" si="24">AI7/AI$4</f>
        <v>1</v>
      </c>
      <c r="AK7" s="24">
        <v>4</v>
      </c>
      <c r="AL7" s="73">
        <f>AK7/AK$4</f>
        <v>2</v>
      </c>
      <c r="AM7" s="86">
        <f t="shared" si="5"/>
        <v>1.680672268907563E-2</v>
      </c>
      <c r="AN7" s="73">
        <f t="shared" ref="AN7" si="25">AM7/AM$4</f>
        <v>1.1596638655462184</v>
      </c>
      <c r="AO7" s="70">
        <f t="shared" si="22"/>
        <v>17280</v>
      </c>
      <c r="AP7" s="73">
        <f t="shared" si="16"/>
        <v>1.5</v>
      </c>
      <c r="AQ7" s="70">
        <f t="shared" si="6"/>
        <v>4</v>
      </c>
      <c r="AR7" s="73">
        <f t="shared" si="17"/>
        <v>2</v>
      </c>
      <c r="AS7" s="196" t="s">
        <v>588</v>
      </c>
      <c r="AT7" s="34"/>
    </row>
    <row r="8" spans="2:46" ht="15" customHeight="1">
      <c r="B8" s="13" t="s">
        <v>95</v>
      </c>
      <c r="C8" s="2" t="s">
        <v>110</v>
      </c>
      <c r="D8" s="13" t="s">
        <v>66</v>
      </c>
      <c r="E8" s="13" t="s">
        <v>68</v>
      </c>
      <c r="F8" s="13" t="s">
        <v>69</v>
      </c>
      <c r="G8" s="13" t="s">
        <v>71</v>
      </c>
      <c r="H8" s="13" t="s">
        <v>72</v>
      </c>
      <c r="I8" s="13"/>
      <c r="J8" s="10">
        <v>3.4722222222222224E-4</v>
      </c>
      <c r="K8" s="5">
        <v>5</v>
      </c>
      <c r="M8" s="2">
        <v>100</v>
      </c>
      <c r="N8" s="2">
        <v>75</v>
      </c>
      <c r="O8" s="2">
        <v>100</v>
      </c>
      <c r="P8" s="5">
        <v>5</v>
      </c>
      <c r="Q8" s="47">
        <f>L8*$L$1+M8*$M$1+N8*$N$1+O8*$O$1+P8*$P$1</f>
        <v>300</v>
      </c>
      <c r="R8" s="627">
        <f>SUM(L8:O8)/30</f>
        <v>9.1666666666666661</v>
      </c>
      <c r="S8" s="57">
        <v>-2</v>
      </c>
      <c r="T8" s="35">
        <v>2</v>
      </c>
      <c r="U8" s="35">
        <v>2</v>
      </c>
      <c r="V8" s="35">
        <v>2</v>
      </c>
      <c r="W8" s="38">
        <v>3</v>
      </c>
      <c r="X8" s="46">
        <f t="shared" si="7"/>
        <v>200</v>
      </c>
      <c r="Y8" s="46">
        <f t="shared" si="8"/>
        <v>1000</v>
      </c>
      <c r="Z8" s="46">
        <f t="shared" si="9"/>
        <v>2000</v>
      </c>
      <c r="AA8" s="46">
        <f t="shared" si="10"/>
        <v>30</v>
      </c>
      <c r="AB8" s="19">
        <v>9</v>
      </c>
      <c r="AC8" s="68">
        <f>X8*(Y8+Z8)</f>
        <v>600000</v>
      </c>
      <c r="AD8" s="72">
        <f t="shared" si="12"/>
        <v>4</v>
      </c>
      <c r="AE8" s="68">
        <f t="shared" si="1"/>
        <v>2000</v>
      </c>
      <c r="AF8" s="72">
        <f t="shared" si="12"/>
        <v>1.8399999999999999</v>
      </c>
      <c r="AG8" s="77">
        <f t="shared" si="2"/>
        <v>1728000000</v>
      </c>
      <c r="AH8" s="72">
        <f t="shared" ref="AH8" si="26">AG8/AG$4</f>
        <v>2</v>
      </c>
      <c r="AI8" s="68">
        <f t="shared" si="3"/>
        <v>300000</v>
      </c>
      <c r="AJ8" s="72">
        <f t="shared" ref="AJ8" si="27">AI8/AI$4</f>
        <v>2</v>
      </c>
      <c r="AK8" s="5">
        <v>8</v>
      </c>
      <c r="AL8" s="72">
        <f t="shared" si="4"/>
        <v>4</v>
      </c>
      <c r="AM8" s="84">
        <f t="shared" si="5"/>
        <v>2.6666666666666668E-2</v>
      </c>
      <c r="AN8" s="72">
        <f t="shared" ref="AN8" si="28">AM8/AM$4</f>
        <v>1.84</v>
      </c>
      <c r="AO8" s="48">
        <f>AK8/J8</f>
        <v>23040</v>
      </c>
      <c r="AP8" s="72">
        <f t="shared" si="16"/>
        <v>2</v>
      </c>
      <c r="AQ8" s="68">
        <f t="shared" si="6"/>
        <v>4</v>
      </c>
      <c r="AR8" s="72">
        <f t="shared" si="17"/>
        <v>2</v>
      </c>
      <c r="AS8" s="201" t="s">
        <v>587</v>
      </c>
      <c r="AT8" s="203" t="s">
        <v>596</v>
      </c>
    </row>
    <row r="9" spans="2:46" ht="15" customHeight="1">
      <c r="B9" s="13" t="s">
        <v>96</v>
      </c>
      <c r="C9" s="2" t="s">
        <v>110</v>
      </c>
      <c r="D9" s="3" t="s">
        <v>71</v>
      </c>
      <c r="E9" s="3" t="s">
        <v>66</v>
      </c>
      <c r="F9" s="3" t="s">
        <v>69</v>
      </c>
      <c r="G9" s="3" t="s">
        <v>68</v>
      </c>
      <c r="H9" s="3" t="s">
        <v>72</v>
      </c>
      <c r="I9" s="3"/>
      <c r="J9" s="10">
        <v>3.4722222222222224E-4</v>
      </c>
      <c r="K9" s="5">
        <v>5</v>
      </c>
      <c r="L9" s="2">
        <v>100</v>
      </c>
      <c r="M9" s="2">
        <v>100</v>
      </c>
      <c r="O9" s="2">
        <v>100</v>
      </c>
      <c r="P9" s="5">
        <v>5</v>
      </c>
      <c r="Q9" s="59">
        <f>L9*$L$1+M9*$M$1+N9*$N$1+O9*$O$1+P9*$P$1</f>
        <v>325</v>
      </c>
      <c r="R9" s="627">
        <f>SUM(L9:O9)/30</f>
        <v>10</v>
      </c>
      <c r="S9" s="57">
        <v>-2</v>
      </c>
      <c r="T9" s="35">
        <v>2</v>
      </c>
      <c r="U9" s="35">
        <v>2</v>
      </c>
      <c r="V9" s="35">
        <v>2</v>
      </c>
      <c r="W9" s="38">
        <v>3</v>
      </c>
      <c r="X9" s="46">
        <f t="shared" si="7"/>
        <v>200</v>
      </c>
      <c r="Y9" s="46">
        <f t="shared" si="8"/>
        <v>1000</v>
      </c>
      <c r="Z9" s="46">
        <f t="shared" si="9"/>
        <v>2000</v>
      </c>
      <c r="AA9" s="46">
        <f t="shared" si="10"/>
        <v>30</v>
      </c>
      <c r="AB9" s="19">
        <v>8</v>
      </c>
      <c r="AC9" s="69">
        <f t="shared" si="11"/>
        <v>600000</v>
      </c>
      <c r="AD9" s="72">
        <f t="shared" si="12"/>
        <v>4</v>
      </c>
      <c r="AE9" s="69">
        <f t="shared" si="1"/>
        <v>1846.1538461538462</v>
      </c>
      <c r="AF9" s="72">
        <f t="shared" si="12"/>
        <v>1.6984615384615385</v>
      </c>
      <c r="AG9" s="77">
        <f t="shared" si="2"/>
        <v>1728000000</v>
      </c>
      <c r="AH9" s="72">
        <f t="shared" ref="AH9" si="29">AG9/AG$4</f>
        <v>2</v>
      </c>
      <c r="AI9" s="69">
        <f t="shared" si="3"/>
        <v>300000</v>
      </c>
      <c r="AJ9" s="72">
        <f t="shared" ref="AJ9" si="30">AI9/AI$4</f>
        <v>2</v>
      </c>
      <c r="AK9" s="5">
        <v>8</v>
      </c>
      <c r="AL9" s="72">
        <f t="shared" si="4"/>
        <v>4</v>
      </c>
      <c r="AM9" s="85">
        <f t="shared" si="5"/>
        <v>2.4615384615384615E-2</v>
      </c>
      <c r="AN9" s="72">
        <f t="shared" ref="AN9" si="31">AM9/AM$4</f>
        <v>1.6984615384615385</v>
      </c>
      <c r="AO9" s="69">
        <f>AK9/J9</f>
        <v>23040</v>
      </c>
      <c r="AP9" s="72">
        <f t="shared" si="16"/>
        <v>2</v>
      </c>
      <c r="AQ9" s="69">
        <f t="shared" si="6"/>
        <v>4</v>
      </c>
      <c r="AR9" s="72">
        <f t="shared" si="17"/>
        <v>2</v>
      </c>
      <c r="AS9" s="204" t="s">
        <v>587</v>
      </c>
      <c r="AT9" s="203" t="s">
        <v>597</v>
      </c>
    </row>
    <row r="10" spans="2:46" ht="15" customHeight="1">
      <c r="B10" s="3" t="s">
        <v>97</v>
      </c>
      <c r="C10" s="11" t="s">
        <v>110</v>
      </c>
      <c r="D10" s="3" t="s">
        <v>68</v>
      </c>
      <c r="E10" s="3" t="s">
        <v>71</v>
      </c>
      <c r="F10" s="3" t="s">
        <v>69</v>
      </c>
      <c r="G10" s="3" t="s">
        <v>66</v>
      </c>
      <c r="H10" s="3" t="s">
        <v>72</v>
      </c>
      <c r="I10" s="3"/>
      <c r="J10" s="10">
        <v>3.4722222222222224E-4</v>
      </c>
      <c r="K10" s="5">
        <v>5</v>
      </c>
      <c r="L10" s="11">
        <v>100</v>
      </c>
      <c r="M10" s="11"/>
      <c r="N10" s="11">
        <v>75</v>
      </c>
      <c r="O10" s="11">
        <v>100</v>
      </c>
      <c r="P10" s="5">
        <v>5</v>
      </c>
      <c r="Q10" s="59">
        <f>L10*$L$1+M10*$M$1+N10*$N$1+O10*$O$1+P10*$P$1</f>
        <v>300</v>
      </c>
      <c r="R10" s="627">
        <f>SUM(L10:O10)/30</f>
        <v>9.1666666666666661</v>
      </c>
      <c r="S10" s="57">
        <v>-2</v>
      </c>
      <c r="T10" s="39">
        <v>2</v>
      </c>
      <c r="U10" s="39">
        <v>2</v>
      </c>
      <c r="V10" s="39">
        <v>2</v>
      </c>
      <c r="W10" s="38">
        <v>4</v>
      </c>
      <c r="X10" s="48">
        <f t="shared" si="7"/>
        <v>200</v>
      </c>
      <c r="Y10" s="48">
        <f t="shared" si="8"/>
        <v>1000</v>
      </c>
      <c r="Z10" s="48">
        <f t="shared" si="9"/>
        <v>2000</v>
      </c>
      <c r="AA10" s="48">
        <f t="shared" si="10"/>
        <v>40</v>
      </c>
      <c r="AB10" s="19">
        <v>7</v>
      </c>
      <c r="AC10" s="69">
        <f t="shared" si="11"/>
        <v>600000</v>
      </c>
      <c r="AD10" s="72">
        <f t="shared" si="12"/>
        <v>4</v>
      </c>
      <c r="AE10" s="69">
        <f t="shared" si="1"/>
        <v>2000</v>
      </c>
      <c r="AF10" s="72">
        <f t="shared" si="12"/>
        <v>1.8399999999999999</v>
      </c>
      <c r="AG10" s="77">
        <f t="shared" si="2"/>
        <v>1728000000</v>
      </c>
      <c r="AH10" s="72">
        <f t="shared" ref="AH10" si="32">AG10/AG$4</f>
        <v>2</v>
      </c>
      <c r="AI10" s="69">
        <f t="shared" si="3"/>
        <v>300000</v>
      </c>
      <c r="AJ10" s="72">
        <f t="shared" ref="AJ10" si="33">AI10/AI$4</f>
        <v>2</v>
      </c>
      <c r="AK10" s="5">
        <v>8</v>
      </c>
      <c r="AL10" s="72">
        <f t="shared" si="4"/>
        <v>4</v>
      </c>
      <c r="AM10" s="85">
        <f t="shared" si="5"/>
        <v>2.6666666666666668E-2</v>
      </c>
      <c r="AN10" s="72">
        <f t="shared" ref="AN10" si="34">AM10/AM$4</f>
        <v>1.84</v>
      </c>
      <c r="AO10" s="69">
        <f t="shared" ref="AO10:AO11" si="35">AK10/J10</f>
        <v>23040</v>
      </c>
      <c r="AP10" s="72">
        <f t="shared" si="16"/>
        <v>2</v>
      </c>
      <c r="AQ10" s="69">
        <f t="shared" si="6"/>
        <v>4</v>
      </c>
      <c r="AR10" s="72">
        <f t="shared" si="17"/>
        <v>2</v>
      </c>
      <c r="AS10" s="204" t="s">
        <v>587</v>
      </c>
      <c r="AT10" s="200" t="s">
        <v>598</v>
      </c>
    </row>
    <row r="11" spans="2:46" ht="15" customHeight="1">
      <c r="B11" s="34" t="s">
        <v>98</v>
      </c>
      <c r="C11" s="27" t="s">
        <v>110</v>
      </c>
      <c r="D11" s="34" t="s">
        <v>69</v>
      </c>
      <c r="E11" s="34" t="s">
        <v>94</v>
      </c>
      <c r="F11" s="34"/>
      <c r="G11" s="34" t="s">
        <v>66</v>
      </c>
      <c r="H11" s="34" t="s">
        <v>68</v>
      </c>
      <c r="I11" s="34" t="s">
        <v>71</v>
      </c>
      <c r="J11" s="23">
        <v>4.6296296296296293E-4</v>
      </c>
      <c r="K11" s="24">
        <v>5</v>
      </c>
      <c r="L11" s="27">
        <v>100</v>
      </c>
      <c r="M11" s="27">
        <v>100</v>
      </c>
      <c r="N11" s="27">
        <v>75</v>
      </c>
      <c r="O11" s="27">
        <v>150</v>
      </c>
      <c r="P11" s="24">
        <v>5</v>
      </c>
      <c r="Q11" s="60">
        <f t="shared" ref="Q11" si="36">L11*$L$1+M11*$M$1+N11*$N$1+O11*$O$1+P11*$P$1</f>
        <v>450</v>
      </c>
      <c r="R11" s="628">
        <f>SUM(L11:O11)/30</f>
        <v>14.166666666666666</v>
      </c>
      <c r="S11" s="58">
        <v>-2</v>
      </c>
      <c r="T11" s="40">
        <v>2</v>
      </c>
      <c r="U11" s="40">
        <v>2</v>
      </c>
      <c r="V11" s="40">
        <v>2</v>
      </c>
      <c r="W11" s="41">
        <v>3</v>
      </c>
      <c r="X11" s="49">
        <f t="shared" si="7"/>
        <v>200</v>
      </c>
      <c r="Y11" s="49">
        <f t="shared" si="8"/>
        <v>1000</v>
      </c>
      <c r="Z11" s="49">
        <f t="shared" si="9"/>
        <v>2000</v>
      </c>
      <c r="AA11" s="49">
        <f t="shared" si="10"/>
        <v>30</v>
      </c>
      <c r="AB11" s="26">
        <v>10</v>
      </c>
      <c r="AC11" s="70">
        <f t="shared" si="11"/>
        <v>600000</v>
      </c>
      <c r="AD11" s="73">
        <f t="shared" si="12"/>
        <v>4</v>
      </c>
      <c r="AE11" s="70">
        <f t="shared" si="1"/>
        <v>1333.3333333333333</v>
      </c>
      <c r="AF11" s="73">
        <f t="shared" si="12"/>
        <v>1.2266666666666666</v>
      </c>
      <c r="AG11" s="78">
        <f t="shared" si="2"/>
        <v>1296000000</v>
      </c>
      <c r="AH11" s="73">
        <f t="shared" ref="AH11" si="37">AG11/AG$4</f>
        <v>1.5</v>
      </c>
      <c r="AI11" s="70">
        <f t="shared" si="3"/>
        <v>300000</v>
      </c>
      <c r="AJ11" s="73">
        <f t="shared" ref="AJ11" si="38">AI11/AI$4</f>
        <v>2</v>
      </c>
      <c r="AK11" s="24">
        <v>16</v>
      </c>
      <c r="AL11" s="73">
        <f t="shared" si="4"/>
        <v>8</v>
      </c>
      <c r="AM11" s="86">
        <f t="shared" si="5"/>
        <v>3.5555555555555556E-2</v>
      </c>
      <c r="AN11" s="73">
        <f t="shared" ref="AN11" si="39">AM11/AM$4</f>
        <v>2.4533333333333331</v>
      </c>
      <c r="AO11" s="70">
        <f t="shared" si="35"/>
        <v>34560</v>
      </c>
      <c r="AP11" s="73">
        <f t="shared" si="16"/>
        <v>3</v>
      </c>
      <c r="AQ11" s="70">
        <f t="shared" si="6"/>
        <v>8</v>
      </c>
      <c r="AR11" s="73">
        <f t="shared" si="17"/>
        <v>4</v>
      </c>
      <c r="AS11" s="196" t="s">
        <v>587</v>
      </c>
      <c r="AT11" s="34" t="s">
        <v>599</v>
      </c>
    </row>
    <row r="12" spans="2:46" ht="15" customHeight="1">
      <c r="B12" s="13" t="s">
        <v>99</v>
      </c>
      <c r="C12" s="2" t="s">
        <v>111</v>
      </c>
      <c r="D12" s="13" t="s">
        <v>66</v>
      </c>
      <c r="E12" s="13" t="s">
        <v>68</v>
      </c>
      <c r="F12" s="13" t="s">
        <v>69</v>
      </c>
      <c r="G12" s="13" t="s">
        <v>71</v>
      </c>
      <c r="H12" s="13" t="s">
        <v>72</v>
      </c>
      <c r="I12" s="13"/>
      <c r="J12" s="55">
        <v>6.9444444444444447E-4</v>
      </c>
      <c r="K12" s="51">
        <v>5</v>
      </c>
      <c r="L12" s="50"/>
      <c r="M12" s="50">
        <f t="shared" ref="M12:O12" si="40">M8*2</f>
        <v>200</v>
      </c>
      <c r="N12" s="50">
        <f t="shared" si="40"/>
        <v>150</v>
      </c>
      <c r="O12" s="50">
        <f t="shared" si="40"/>
        <v>200</v>
      </c>
      <c r="P12" s="51">
        <v>10</v>
      </c>
      <c r="Q12" s="52">
        <f>L12*$L$1+M12*$M$1+N12*$N$1+O12*$O$1+P12*$P$1</f>
        <v>600</v>
      </c>
      <c r="R12" s="629">
        <f>SUM(L12:O12)/60</f>
        <v>9.1666666666666661</v>
      </c>
      <c r="S12" s="57">
        <v>-3</v>
      </c>
      <c r="T12" s="35">
        <v>3</v>
      </c>
      <c r="U12" s="35">
        <v>3</v>
      </c>
      <c r="V12" s="35">
        <v>3</v>
      </c>
      <c r="W12" s="38">
        <v>2</v>
      </c>
      <c r="X12" s="46">
        <f t="shared" si="7"/>
        <v>300</v>
      </c>
      <c r="Y12" s="46">
        <f t="shared" si="8"/>
        <v>1500</v>
      </c>
      <c r="Z12" s="46">
        <f t="shared" si="9"/>
        <v>3000</v>
      </c>
      <c r="AA12" s="46">
        <f t="shared" si="10"/>
        <v>20</v>
      </c>
      <c r="AB12" s="19">
        <v>12</v>
      </c>
      <c r="AC12" s="68">
        <f>X12*(Y12+Z12)</f>
        <v>1350000</v>
      </c>
      <c r="AD12" s="72">
        <f t="shared" si="12"/>
        <v>9</v>
      </c>
      <c r="AE12" s="68">
        <f t="shared" si="1"/>
        <v>2250</v>
      </c>
      <c r="AF12" s="72">
        <f t="shared" si="12"/>
        <v>2.0699999999999998</v>
      </c>
      <c r="AG12" s="77">
        <f t="shared" si="2"/>
        <v>1944000000</v>
      </c>
      <c r="AH12" s="72">
        <f t="shared" ref="AH12" si="41">AG12/AG$4</f>
        <v>2.25</v>
      </c>
      <c r="AI12" s="68">
        <f t="shared" si="3"/>
        <v>450000</v>
      </c>
      <c r="AJ12" s="72">
        <f t="shared" ref="AJ12" si="42">AI12/AI$4</f>
        <v>3</v>
      </c>
      <c r="AK12" s="5">
        <v>24</v>
      </c>
      <c r="AL12" s="72">
        <f t="shared" si="4"/>
        <v>12</v>
      </c>
      <c r="AM12" s="84">
        <f t="shared" si="5"/>
        <v>0.04</v>
      </c>
      <c r="AN12" s="72">
        <f t="shared" ref="AN12" si="43">AM12/AM$4</f>
        <v>2.7600000000000002</v>
      </c>
      <c r="AO12" s="48">
        <f>AK12/J12</f>
        <v>34560</v>
      </c>
      <c r="AP12" s="72">
        <f t="shared" si="16"/>
        <v>3</v>
      </c>
      <c r="AQ12" s="68">
        <f t="shared" si="6"/>
        <v>8</v>
      </c>
      <c r="AR12" s="72">
        <f t="shared" si="17"/>
        <v>4</v>
      </c>
      <c r="AS12" s="201" t="s">
        <v>250</v>
      </c>
      <c r="AT12" s="203" t="s">
        <v>600</v>
      </c>
    </row>
    <row r="13" spans="2:46" ht="15" customHeight="1">
      <c r="B13" s="13" t="s">
        <v>100</v>
      </c>
      <c r="C13" s="2" t="s">
        <v>111</v>
      </c>
      <c r="D13" s="3" t="s">
        <v>71</v>
      </c>
      <c r="E13" s="3" t="s">
        <v>66</v>
      </c>
      <c r="F13" s="3" t="s">
        <v>69</v>
      </c>
      <c r="G13" s="3" t="s">
        <v>68</v>
      </c>
      <c r="H13" s="3" t="s">
        <v>72</v>
      </c>
      <c r="I13" s="3"/>
      <c r="J13" s="55">
        <v>6.9444444444444447E-4</v>
      </c>
      <c r="K13" s="51">
        <v>5</v>
      </c>
      <c r="L13" s="50">
        <f t="shared" ref="L13:O13" si="44">L9*2</f>
        <v>200</v>
      </c>
      <c r="M13" s="50">
        <f t="shared" si="44"/>
        <v>200</v>
      </c>
      <c r="N13" s="50"/>
      <c r="O13" s="50">
        <f t="shared" si="44"/>
        <v>200</v>
      </c>
      <c r="P13" s="51">
        <v>10</v>
      </c>
      <c r="Q13" s="65">
        <f>L13*$L$1+M13*$M$1+N13*$N$1+O13*$O$1+P13*$P$1</f>
        <v>650</v>
      </c>
      <c r="R13" s="629">
        <f t="shared" ref="R13:R15" si="45">SUM(L13:O13)/60</f>
        <v>10</v>
      </c>
      <c r="S13" s="57">
        <v>-3</v>
      </c>
      <c r="T13" s="35">
        <v>3</v>
      </c>
      <c r="U13" s="35">
        <v>3</v>
      </c>
      <c r="V13" s="35">
        <v>3</v>
      </c>
      <c r="W13" s="38">
        <v>2</v>
      </c>
      <c r="X13" s="46">
        <f t="shared" si="7"/>
        <v>300</v>
      </c>
      <c r="Y13" s="46">
        <f t="shared" si="8"/>
        <v>1500</v>
      </c>
      <c r="Z13" s="46">
        <f t="shared" si="9"/>
        <v>3000</v>
      </c>
      <c r="AA13" s="46">
        <f t="shared" si="10"/>
        <v>20</v>
      </c>
      <c r="AB13" s="19">
        <v>10</v>
      </c>
      <c r="AC13" s="69">
        <f t="shared" si="11"/>
        <v>1350000</v>
      </c>
      <c r="AD13" s="72">
        <f t="shared" si="12"/>
        <v>9</v>
      </c>
      <c r="AE13" s="69">
        <f t="shared" si="1"/>
        <v>2076.9230769230771</v>
      </c>
      <c r="AF13" s="72">
        <f t="shared" si="12"/>
        <v>1.9107692307692308</v>
      </c>
      <c r="AG13" s="77">
        <f t="shared" si="2"/>
        <v>1944000000</v>
      </c>
      <c r="AH13" s="72">
        <f t="shared" ref="AH13" si="46">AG13/AG$4</f>
        <v>2.25</v>
      </c>
      <c r="AI13" s="69">
        <f t="shared" si="3"/>
        <v>450000</v>
      </c>
      <c r="AJ13" s="72">
        <f t="shared" ref="AJ13" si="47">AI13/AI$4</f>
        <v>3</v>
      </c>
      <c r="AK13" s="5">
        <v>24</v>
      </c>
      <c r="AL13" s="72">
        <f t="shared" si="4"/>
        <v>12</v>
      </c>
      <c r="AM13" s="85">
        <f t="shared" si="5"/>
        <v>3.6923076923076927E-2</v>
      </c>
      <c r="AN13" s="72">
        <f t="shared" ref="AN13" si="48">AM13/AM$4</f>
        <v>2.5476923076923077</v>
      </c>
      <c r="AO13" s="69">
        <f>AK13/J13</f>
        <v>34560</v>
      </c>
      <c r="AP13" s="72">
        <f t="shared" si="16"/>
        <v>3</v>
      </c>
      <c r="AQ13" s="69">
        <f t="shared" si="6"/>
        <v>8</v>
      </c>
      <c r="AR13" s="72">
        <f t="shared" si="17"/>
        <v>4</v>
      </c>
      <c r="AS13" s="204" t="s">
        <v>250</v>
      </c>
      <c r="AT13" s="203" t="s">
        <v>601</v>
      </c>
    </row>
    <row r="14" spans="2:46" ht="15" customHeight="1">
      <c r="B14" s="13" t="s">
        <v>101</v>
      </c>
      <c r="C14" s="2" t="s">
        <v>111</v>
      </c>
      <c r="D14" s="3" t="s">
        <v>68</v>
      </c>
      <c r="E14" s="3" t="s">
        <v>71</v>
      </c>
      <c r="F14" s="3" t="s">
        <v>69</v>
      </c>
      <c r="G14" s="3" t="s">
        <v>66</v>
      </c>
      <c r="H14" s="3" t="s">
        <v>72</v>
      </c>
      <c r="I14" s="3"/>
      <c r="J14" s="55">
        <v>6.9444444444444447E-4</v>
      </c>
      <c r="K14" s="51">
        <v>5</v>
      </c>
      <c r="L14" s="50">
        <f t="shared" ref="L14:O14" si="49">L10*2</f>
        <v>200</v>
      </c>
      <c r="M14" s="50"/>
      <c r="N14" s="50">
        <f t="shared" si="49"/>
        <v>150</v>
      </c>
      <c r="O14" s="50">
        <f t="shared" si="49"/>
        <v>200</v>
      </c>
      <c r="P14" s="51">
        <v>10</v>
      </c>
      <c r="Q14" s="65">
        <f>L14*$L$1+M14*$M$1+N14*$N$1+O14*$O$1+P14*$P$1</f>
        <v>600</v>
      </c>
      <c r="R14" s="629">
        <f t="shared" si="45"/>
        <v>9.1666666666666661</v>
      </c>
      <c r="S14" s="57">
        <v>-3</v>
      </c>
      <c r="T14" s="35">
        <v>3</v>
      </c>
      <c r="U14" s="35">
        <v>3</v>
      </c>
      <c r="V14" s="35">
        <v>3</v>
      </c>
      <c r="W14" s="38">
        <v>3</v>
      </c>
      <c r="X14" s="46">
        <f t="shared" si="7"/>
        <v>300</v>
      </c>
      <c r="Y14" s="46">
        <f t="shared" si="8"/>
        <v>1500</v>
      </c>
      <c r="Z14" s="46">
        <f t="shared" si="9"/>
        <v>3000</v>
      </c>
      <c r="AA14" s="46">
        <f t="shared" si="10"/>
        <v>30</v>
      </c>
      <c r="AB14" s="19">
        <v>9</v>
      </c>
      <c r="AC14" s="69">
        <f t="shared" si="11"/>
        <v>1350000</v>
      </c>
      <c r="AD14" s="72">
        <f t="shared" si="12"/>
        <v>9</v>
      </c>
      <c r="AE14" s="69">
        <f t="shared" si="1"/>
        <v>2250</v>
      </c>
      <c r="AF14" s="72">
        <f t="shared" si="12"/>
        <v>2.0699999999999998</v>
      </c>
      <c r="AG14" s="77">
        <f t="shared" si="2"/>
        <v>1944000000</v>
      </c>
      <c r="AH14" s="72">
        <f t="shared" ref="AH14" si="50">AG14/AG$4</f>
        <v>2.25</v>
      </c>
      <c r="AI14" s="69">
        <f t="shared" si="3"/>
        <v>450000</v>
      </c>
      <c r="AJ14" s="72">
        <f t="shared" ref="AJ14" si="51">AI14/AI$4</f>
        <v>3</v>
      </c>
      <c r="AK14" s="5">
        <v>24</v>
      </c>
      <c r="AL14" s="72">
        <f t="shared" si="4"/>
        <v>12</v>
      </c>
      <c r="AM14" s="85">
        <f t="shared" si="5"/>
        <v>0.04</v>
      </c>
      <c r="AN14" s="72">
        <f t="shared" ref="AN14" si="52">AM14/AM$4</f>
        <v>2.7600000000000002</v>
      </c>
      <c r="AO14" s="69">
        <f t="shared" ref="AO14:AO15" si="53">AK14/J14</f>
        <v>34560</v>
      </c>
      <c r="AP14" s="72">
        <f t="shared" si="16"/>
        <v>3</v>
      </c>
      <c r="AQ14" s="69">
        <f t="shared" si="6"/>
        <v>8</v>
      </c>
      <c r="AR14" s="72">
        <f t="shared" si="17"/>
        <v>4</v>
      </c>
      <c r="AS14" s="204" t="s">
        <v>250</v>
      </c>
      <c r="AT14" s="203" t="s">
        <v>602</v>
      </c>
    </row>
    <row r="15" spans="2:46" ht="15" customHeight="1">
      <c r="B15" s="34" t="s">
        <v>102</v>
      </c>
      <c r="C15" s="27" t="s">
        <v>111</v>
      </c>
      <c r="D15" s="34" t="s">
        <v>69</v>
      </c>
      <c r="E15" s="34" t="s">
        <v>94</v>
      </c>
      <c r="F15" s="34"/>
      <c r="G15" s="34" t="s">
        <v>66</v>
      </c>
      <c r="H15" s="34" t="s">
        <v>68</v>
      </c>
      <c r="I15" s="34" t="s">
        <v>71</v>
      </c>
      <c r="J15" s="56">
        <v>9.2592592592592585E-4</v>
      </c>
      <c r="K15" s="54">
        <v>5</v>
      </c>
      <c r="L15" s="67">
        <f t="shared" ref="L15:N15" si="54">L11*2</f>
        <v>200</v>
      </c>
      <c r="M15" s="53">
        <f t="shared" si="54"/>
        <v>200</v>
      </c>
      <c r="N15" s="53">
        <f t="shared" si="54"/>
        <v>150</v>
      </c>
      <c r="O15" s="53">
        <f>O11*1.5</f>
        <v>225</v>
      </c>
      <c r="P15" s="54">
        <v>10</v>
      </c>
      <c r="Q15" s="66">
        <f t="shared" ref="Q15" si="55">L15*$L$1+M15*$M$1+N15*$N$1+O15*$O$1+P15*$P$1</f>
        <v>825</v>
      </c>
      <c r="R15" s="630">
        <f t="shared" si="45"/>
        <v>12.916666666666666</v>
      </c>
      <c r="S15" s="58">
        <v>-3</v>
      </c>
      <c r="T15" s="40">
        <v>3</v>
      </c>
      <c r="U15" s="40">
        <v>3</v>
      </c>
      <c r="V15" s="40">
        <v>3</v>
      </c>
      <c r="W15" s="41">
        <v>1</v>
      </c>
      <c r="X15" s="49">
        <f t="shared" si="7"/>
        <v>300</v>
      </c>
      <c r="Y15" s="49">
        <f t="shared" si="8"/>
        <v>1500</v>
      </c>
      <c r="Z15" s="49">
        <f t="shared" si="9"/>
        <v>3000</v>
      </c>
      <c r="AA15" s="49">
        <f t="shared" si="10"/>
        <v>10</v>
      </c>
      <c r="AB15" s="26">
        <v>15</v>
      </c>
      <c r="AC15" s="70">
        <f t="shared" si="11"/>
        <v>1350000</v>
      </c>
      <c r="AD15" s="73">
        <f t="shared" si="12"/>
        <v>9</v>
      </c>
      <c r="AE15" s="70">
        <f t="shared" si="1"/>
        <v>1636.3636363636363</v>
      </c>
      <c r="AF15" s="73">
        <f t="shared" si="12"/>
        <v>1.5054545454545454</v>
      </c>
      <c r="AG15" s="78">
        <f t="shared" si="2"/>
        <v>1458000000</v>
      </c>
      <c r="AH15" s="73">
        <f t="shared" ref="AH15" si="56">AG15/AG$4</f>
        <v>1.6875</v>
      </c>
      <c r="AI15" s="70">
        <f t="shared" si="3"/>
        <v>450000</v>
      </c>
      <c r="AJ15" s="73">
        <f t="shared" ref="AJ15" si="57">AI15/AI$4</f>
        <v>3</v>
      </c>
      <c r="AK15" s="24">
        <v>36</v>
      </c>
      <c r="AL15" s="73">
        <f t="shared" si="4"/>
        <v>18</v>
      </c>
      <c r="AM15" s="86">
        <f t="shared" si="5"/>
        <v>4.363636363636364E-2</v>
      </c>
      <c r="AN15" s="73">
        <f t="shared" ref="AN15" si="58">AM15/AM$4</f>
        <v>3.0109090909090912</v>
      </c>
      <c r="AO15" s="70">
        <f t="shared" si="53"/>
        <v>38880</v>
      </c>
      <c r="AP15" s="73">
        <f t="shared" si="16"/>
        <v>3.375</v>
      </c>
      <c r="AQ15" s="70">
        <f t="shared" si="6"/>
        <v>12</v>
      </c>
      <c r="AR15" s="73">
        <f t="shared" si="17"/>
        <v>6</v>
      </c>
      <c r="AS15" s="196" t="s">
        <v>250</v>
      </c>
      <c r="AT15" s="34" t="s">
        <v>603</v>
      </c>
    </row>
    <row r="16" spans="2:46" ht="15" customHeight="1">
      <c r="B16" s="13" t="s">
        <v>103</v>
      </c>
      <c r="C16" s="2" t="s">
        <v>112</v>
      </c>
      <c r="D16" s="13" t="s">
        <v>66</v>
      </c>
      <c r="E16" s="13" t="s">
        <v>68</v>
      </c>
      <c r="F16" s="13" t="s">
        <v>69</v>
      </c>
      <c r="G16" s="13" t="s">
        <v>71</v>
      </c>
      <c r="H16" s="13" t="s">
        <v>72</v>
      </c>
      <c r="I16" s="13"/>
      <c r="J16" s="55">
        <v>1.3888888888888889E-3</v>
      </c>
      <c r="K16" s="51">
        <v>5</v>
      </c>
      <c r="L16" s="50"/>
      <c r="M16" s="50">
        <f t="shared" ref="M16:O16" si="59">M12*2</f>
        <v>400</v>
      </c>
      <c r="N16" s="50">
        <f t="shared" si="59"/>
        <v>300</v>
      </c>
      <c r="O16" s="50">
        <f t="shared" si="59"/>
        <v>400</v>
      </c>
      <c r="P16" s="51">
        <v>20</v>
      </c>
      <c r="Q16" s="52">
        <f>L16*$L$1+M16*$M$1+N16*$N$1+O16*$O$1+P16*$P$1</f>
        <v>1200</v>
      </c>
      <c r="R16" s="629">
        <f>SUM(L16:O16)/120</f>
        <v>9.1666666666666661</v>
      </c>
      <c r="S16" s="57">
        <v>-4</v>
      </c>
      <c r="T16" s="35">
        <v>4</v>
      </c>
      <c r="U16" s="35">
        <v>4</v>
      </c>
      <c r="V16" s="35">
        <v>4</v>
      </c>
      <c r="W16" s="38">
        <v>0.5</v>
      </c>
      <c r="X16" s="46">
        <f t="shared" si="7"/>
        <v>400</v>
      </c>
      <c r="Y16" s="46">
        <f t="shared" si="8"/>
        <v>2000</v>
      </c>
      <c r="Z16" s="46">
        <f t="shared" si="9"/>
        <v>4000</v>
      </c>
      <c r="AA16" s="46">
        <f t="shared" si="10"/>
        <v>5</v>
      </c>
      <c r="AB16" s="19">
        <v>20</v>
      </c>
      <c r="AC16" s="68">
        <f>X16*(Y16+Z16)</f>
        <v>2400000</v>
      </c>
      <c r="AD16" s="72">
        <f t="shared" si="12"/>
        <v>16</v>
      </c>
      <c r="AE16" s="68">
        <f t="shared" si="1"/>
        <v>2000</v>
      </c>
      <c r="AF16" s="72">
        <f t="shared" si="12"/>
        <v>1.8399999999999999</v>
      </c>
      <c r="AG16" s="77">
        <f t="shared" si="2"/>
        <v>1728000000</v>
      </c>
      <c r="AH16" s="72">
        <f t="shared" ref="AH16" si="60">AG16/AG$4</f>
        <v>2</v>
      </c>
      <c r="AI16" s="68">
        <f t="shared" si="3"/>
        <v>600000</v>
      </c>
      <c r="AJ16" s="72">
        <f t="shared" ref="AJ16" si="61">AI16/AI$4</f>
        <v>4</v>
      </c>
      <c r="AK16" s="5">
        <v>36</v>
      </c>
      <c r="AL16" s="72">
        <f t="shared" si="4"/>
        <v>18</v>
      </c>
      <c r="AM16" s="84">
        <f t="shared" si="5"/>
        <v>0.03</v>
      </c>
      <c r="AN16" s="72">
        <f t="shared" ref="AN16" si="62">AM16/AM$4</f>
        <v>2.0699999999999998</v>
      </c>
      <c r="AO16" s="48">
        <f>AK16/J16</f>
        <v>25920</v>
      </c>
      <c r="AP16" s="72">
        <f t="shared" si="16"/>
        <v>2.25</v>
      </c>
      <c r="AQ16" s="68">
        <f t="shared" si="6"/>
        <v>9</v>
      </c>
      <c r="AR16" s="74">
        <f t="shared" si="17"/>
        <v>4.5</v>
      </c>
      <c r="AS16" s="199" t="s">
        <v>589</v>
      </c>
      <c r="AT16" s="203" t="s">
        <v>604</v>
      </c>
    </row>
    <row r="17" spans="2:46" ht="15" customHeight="1">
      <c r="B17" s="200" t="s">
        <v>104</v>
      </c>
      <c r="C17" s="11" t="s">
        <v>112</v>
      </c>
      <c r="D17" s="200" t="s">
        <v>71</v>
      </c>
      <c r="E17" s="200" t="s">
        <v>66</v>
      </c>
      <c r="F17" s="200" t="s">
        <v>69</v>
      </c>
      <c r="G17" s="200" t="s">
        <v>68</v>
      </c>
      <c r="H17" s="200" t="s">
        <v>72</v>
      </c>
      <c r="I17" s="200"/>
      <c r="J17" s="223">
        <v>1.3888888888888889E-3</v>
      </c>
      <c r="K17" s="51">
        <v>5</v>
      </c>
      <c r="L17" s="224">
        <f t="shared" ref="L17:M17" si="63">L13*2</f>
        <v>400</v>
      </c>
      <c r="M17" s="224">
        <f t="shared" si="63"/>
        <v>400</v>
      </c>
      <c r="N17" s="224"/>
      <c r="O17" s="224">
        <f t="shared" ref="O17" si="64">O13*2</f>
        <v>400</v>
      </c>
      <c r="P17" s="51">
        <v>20</v>
      </c>
      <c r="Q17" s="65">
        <f>L17*$L$1+M17*$M$1+N17*$N$1+O17*$O$1+P17*$P$1</f>
        <v>1300</v>
      </c>
      <c r="R17" s="629">
        <f t="shared" ref="R17:R19" si="65">SUM(L17:O17)/120</f>
        <v>10</v>
      </c>
      <c r="S17" s="57">
        <v>-4</v>
      </c>
      <c r="T17" s="39">
        <v>4</v>
      </c>
      <c r="U17" s="39">
        <v>4</v>
      </c>
      <c r="V17" s="39">
        <v>4</v>
      </c>
      <c r="W17" s="38">
        <v>1</v>
      </c>
      <c r="X17" s="48">
        <f t="shared" si="7"/>
        <v>400</v>
      </c>
      <c r="Y17" s="48">
        <f t="shared" si="8"/>
        <v>2000</v>
      </c>
      <c r="Z17" s="48">
        <f t="shared" si="9"/>
        <v>4000</v>
      </c>
      <c r="AA17" s="48">
        <f t="shared" si="10"/>
        <v>10</v>
      </c>
      <c r="AB17" s="19">
        <v>15</v>
      </c>
      <c r="AC17" s="69">
        <f t="shared" si="11"/>
        <v>2400000</v>
      </c>
      <c r="AD17" s="72">
        <f t="shared" si="12"/>
        <v>16</v>
      </c>
      <c r="AE17" s="69">
        <f t="shared" si="1"/>
        <v>1846.1538461538462</v>
      </c>
      <c r="AF17" s="72">
        <f t="shared" si="12"/>
        <v>1.6984615384615385</v>
      </c>
      <c r="AG17" s="77">
        <f t="shared" si="2"/>
        <v>1728000000</v>
      </c>
      <c r="AH17" s="72">
        <f t="shared" ref="AH17" si="66">AG17/AG$4</f>
        <v>2</v>
      </c>
      <c r="AI17" s="69">
        <f t="shared" si="3"/>
        <v>600000</v>
      </c>
      <c r="AJ17" s="72">
        <f t="shared" ref="AJ17" si="67">AI17/AI$4</f>
        <v>4</v>
      </c>
      <c r="AK17" s="5">
        <v>36</v>
      </c>
      <c r="AL17" s="72">
        <f t="shared" si="4"/>
        <v>18</v>
      </c>
      <c r="AM17" s="85">
        <f t="shared" si="5"/>
        <v>2.7692307692307693E-2</v>
      </c>
      <c r="AN17" s="72">
        <f t="shared" ref="AN17" si="68">AM17/AM$4</f>
        <v>1.9107692307692308</v>
      </c>
      <c r="AO17" s="69">
        <f>AK17/J17</f>
        <v>25920</v>
      </c>
      <c r="AP17" s="72">
        <f t="shared" si="16"/>
        <v>2.25</v>
      </c>
      <c r="AQ17" s="69">
        <f t="shared" si="6"/>
        <v>9</v>
      </c>
      <c r="AR17" s="72">
        <f t="shared" si="17"/>
        <v>4.5</v>
      </c>
      <c r="AS17" s="200" t="s">
        <v>589</v>
      </c>
      <c r="AT17" s="200" t="s">
        <v>605</v>
      </c>
    </row>
    <row r="18" spans="2:46" ht="15" customHeight="1">
      <c r="B18" s="200" t="s">
        <v>105</v>
      </c>
      <c r="C18" s="11" t="s">
        <v>112</v>
      </c>
      <c r="D18" s="200" t="s">
        <v>68</v>
      </c>
      <c r="E18" s="200" t="s">
        <v>71</v>
      </c>
      <c r="F18" s="200" t="s">
        <v>69</v>
      </c>
      <c r="G18" s="200" t="s">
        <v>66</v>
      </c>
      <c r="H18" s="200" t="s">
        <v>72</v>
      </c>
      <c r="I18" s="200"/>
      <c r="J18" s="223">
        <v>1.3888888888888889E-3</v>
      </c>
      <c r="K18" s="51">
        <v>5</v>
      </c>
      <c r="L18" s="224">
        <f t="shared" ref="L18" si="69">L14*2</f>
        <v>400</v>
      </c>
      <c r="M18" s="224"/>
      <c r="N18" s="224">
        <f t="shared" ref="N18:O18" si="70">N14*2</f>
        <v>300</v>
      </c>
      <c r="O18" s="224">
        <f t="shared" si="70"/>
        <v>400</v>
      </c>
      <c r="P18" s="51">
        <v>20</v>
      </c>
      <c r="Q18" s="65">
        <f>L18*$L$1+M18*$M$1+N18*$N$1+O18*$O$1+P18*$P$1</f>
        <v>1200</v>
      </c>
      <c r="R18" s="629">
        <f t="shared" si="65"/>
        <v>9.1666666666666661</v>
      </c>
      <c r="S18" s="57">
        <v>-4</v>
      </c>
      <c r="T18" s="39">
        <v>4</v>
      </c>
      <c r="U18" s="39">
        <v>4</v>
      </c>
      <c r="V18" s="39">
        <v>4</v>
      </c>
      <c r="W18" s="38">
        <v>2</v>
      </c>
      <c r="X18" s="48">
        <f t="shared" si="7"/>
        <v>400</v>
      </c>
      <c r="Y18" s="48">
        <f t="shared" si="8"/>
        <v>2000</v>
      </c>
      <c r="Z18" s="48">
        <f t="shared" si="9"/>
        <v>4000</v>
      </c>
      <c r="AA18" s="48">
        <f t="shared" si="10"/>
        <v>20</v>
      </c>
      <c r="AB18" s="19">
        <v>12</v>
      </c>
      <c r="AC18" s="69">
        <f t="shared" si="11"/>
        <v>2400000</v>
      </c>
      <c r="AD18" s="72">
        <f t="shared" si="12"/>
        <v>16</v>
      </c>
      <c r="AE18" s="69">
        <f t="shared" si="1"/>
        <v>2000</v>
      </c>
      <c r="AF18" s="72">
        <f t="shared" si="12"/>
        <v>1.8399999999999999</v>
      </c>
      <c r="AG18" s="77">
        <f t="shared" si="2"/>
        <v>1728000000</v>
      </c>
      <c r="AH18" s="72">
        <f t="shared" ref="AH18" si="71">AG18/AG$4</f>
        <v>2</v>
      </c>
      <c r="AI18" s="69">
        <f t="shared" si="3"/>
        <v>600000</v>
      </c>
      <c r="AJ18" s="72">
        <f t="shared" ref="AJ18" si="72">AI18/AI$4</f>
        <v>4</v>
      </c>
      <c r="AK18" s="5">
        <v>36</v>
      </c>
      <c r="AL18" s="72">
        <f t="shared" si="4"/>
        <v>18</v>
      </c>
      <c r="AM18" s="85">
        <f t="shared" si="5"/>
        <v>0.03</v>
      </c>
      <c r="AN18" s="72">
        <f t="shared" ref="AN18" si="73">AM18/AM$4</f>
        <v>2.0699999999999998</v>
      </c>
      <c r="AO18" s="69">
        <f t="shared" ref="AO18:AO19" si="74">AK18/J18</f>
        <v>25920</v>
      </c>
      <c r="AP18" s="72">
        <f t="shared" si="16"/>
        <v>2.25</v>
      </c>
      <c r="AQ18" s="69">
        <f t="shared" si="6"/>
        <v>9</v>
      </c>
      <c r="AR18" s="72">
        <f t="shared" si="17"/>
        <v>4.5</v>
      </c>
      <c r="AS18" s="200" t="s">
        <v>589</v>
      </c>
      <c r="AT18" s="200" t="s">
        <v>606</v>
      </c>
    </row>
    <row r="19" spans="2:46" ht="15" customHeight="1" thickBot="1">
      <c r="B19" s="205" t="s">
        <v>106</v>
      </c>
      <c r="C19" s="176" t="s">
        <v>112</v>
      </c>
      <c r="D19" s="205" t="s">
        <v>69</v>
      </c>
      <c r="E19" s="205" t="s">
        <v>94</v>
      </c>
      <c r="F19" s="205"/>
      <c r="G19" s="205" t="s">
        <v>66</v>
      </c>
      <c r="H19" s="205" t="s">
        <v>68</v>
      </c>
      <c r="I19" s="205" t="s">
        <v>71</v>
      </c>
      <c r="J19" s="225">
        <v>1.8518518518518517E-3</v>
      </c>
      <c r="K19" s="226">
        <v>5</v>
      </c>
      <c r="L19" s="227">
        <f t="shared" ref="L19:N19" si="75">L15*2</f>
        <v>400</v>
      </c>
      <c r="M19" s="228">
        <f t="shared" si="75"/>
        <v>400</v>
      </c>
      <c r="N19" s="228">
        <f t="shared" si="75"/>
        <v>300</v>
      </c>
      <c r="O19" s="228">
        <f>O15*1.5</f>
        <v>337.5</v>
      </c>
      <c r="P19" s="226">
        <v>20</v>
      </c>
      <c r="Q19" s="229">
        <f t="shared" ref="Q19" si="76">L19*$L$1+M19*$M$1+N19*$N$1+O19*$O$1+P19*$P$1</f>
        <v>1537.5</v>
      </c>
      <c r="R19" s="631">
        <f t="shared" si="65"/>
        <v>11.979166666666666</v>
      </c>
      <c r="S19" s="230">
        <v>-4</v>
      </c>
      <c r="T19" s="231">
        <v>4</v>
      </c>
      <c r="U19" s="231">
        <v>4</v>
      </c>
      <c r="V19" s="231">
        <v>4</v>
      </c>
      <c r="W19" s="232">
        <v>0.5</v>
      </c>
      <c r="X19" s="233">
        <f t="shared" si="7"/>
        <v>400</v>
      </c>
      <c r="Y19" s="233">
        <f t="shared" si="8"/>
        <v>2000</v>
      </c>
      <c r="Z19" s="233">
        <f t="shared" si="9"/>
        <v>4000</v>
      </c>
      <c r="AA19" s="233">
        <f t="shared" si="10"/>
        <v>5</v>
      </c>
      <c r="AB19" s="178">
        <v>30</v>
      </c>
      <c r="AC19" s="234">
        <f t="shared" si="11"/>
        <v>2400000</v>
      </c>
      <c r="AD19" s="235">
        <f t="shared" si="12"/>
        <v>16</v>
      </c>
      <c r="AE19" s="234">
        <f t="shared" si="1"/>
        <v>1560.9756097560976</v>
      </c>
      <c r="AF19" s="235">
        <f t="shared" si="12"/>
        <v>1.4360975609756097</v>
      </c>
      <c r="AG19" s="236">
        <f t="shared" si="2"/>
        <v>1296000000</v>
      </c>
      <c r="AH19" s="235">
        <f t="shared" ref="AH19" si="77">AG19/AG$4</f>
        <v>1.5</v>
      </c>
      <c r="AI19" s="234">
        <f t="shared" si="3"/>
        <v>600000</v>
      </c>
      <c r="AJ19" s="235">
        <f t="shared" ref="AJ19" si="78">AI19/AI$4</f>
        <v>4</v>
      </c>
      <c r="AK19" s="175">
        <v>48</v>
      </c>
      <c r="AL19" s="235">
        <f t="shared" si="4"/>
        <v>24</v>
      </c>
      <c r="AM19" s="237">
        <f t="shared" si="5"/>
        <v>3.1219512195121951E-2</v>
      </c>
      <c r="AN19" s="235">
        <f t="shared" ref="AN19" si="79">AM19/AM$4</f>
        <v>2.1541463414634148</v>
      </c>
      <c r="AO19" s="234">
        <f t="shared" si="74"/>
        <v>25920.000000000004</v>
      </c>
      <c r="AP19" s="235">
        <f t="shared" si="16"/>
        <v>2.2500000000000004</v>
      </c>
      <c r="AQ19" s="234">
        <f t="shared" si="6"/>
        <v>12</v>
      </c>
      <c r="AR19" s="235">
        <f t="shared" si="17"/>
        <v>6</v>
      </c>
      <c r="AS19" s="205" t="s">
        <v>589</v>
      </c>
      <c r="AT19" s="205" t="s">
        <v>607</v>
      </c>
    </row>
    <row r="20" spans="2:46" ht="15" customHeight="1" thickTop="1"/>
    <row r="29" spans="2:46" ht="30" customHeight="1">
      <c r="B29" s="34" t="s">
        <v>591</v>
      </c>
      <c r="C29" s="27"/>
      <c r="D29" s="34"/>
      <c r="E29" s="34"/>
      <c r="F29" s="34"/>
      <c r="G29" s="34"/>
      <c r="H29" s="34"/>
      <c r="I29" s="34"/>
      <c r="J29" s="23"/>
      <c r="K29" s="24"/>
      <c r="L29" s="27"/>
      <c r="M29" s="27"/>
      <c r="N29" s="27"/>
      <c r="O29" s="27"/>
      <c r="P29" s="24"/>
      <c r="Q29" s="24"/>
      <c r="R29" s="328"/>
      <c r="S29" s="24"/>
      <c r="T29" s="40"/>
      <c r="U29" s="40"/>
      <c r="V29" s="40"/>
      <c r="W29" s="41"/>
      <c r="X29" s="27"/>
      <c r="Y29" s="27"/>
      <c r="Z29" s="27"/>
      <c r="AA29" s="27"/>
      <c r="AB29" s="24"/>
      <c r="AC29" s="27"/>
      <c r="AD29" s="195"/>
      <c r="AE29" s="27"/>
      <c r="AF29" s="195"/>
      <c r="AG29" s="239"/>
      <c r="AH29" s="195"/>
      <c r="AI29" s="27"/>
      <c r="AJ29" s="195"/>
      <c r="AK29" s="24"/>
      <c r="AL29" s="27"/>
      <c r="AM29" s="240"/>
      <c r="AN29" s="195"/>
      <c r="AO29" s="27"/>
      <c r="AP29" s="195"/>
      <c r="AQ29" s="27"/>
      <c r="AR29" s="195"/>
      <c r="AS29" s="34"/>
      <c r="AT29" s="34"/>
    </row>
    <row r="30" spans="2:46" ht="15" customHeight="1">
      <c r="B30" s="203" t="s">
        <v>593</v>
      </c>
      <c r="D30" s="203" t="s">
        <v>590</v>
      </c>
      <c r="G30" s="203" t="s">
        <v>594</v>
      </c>
      <c r="J30" s="10">
        <v>2.3148148148148147E-5</v>
      </c>
      <c r="K30" s="5">
        <v>5</v>
      </c>
      <c r="L30" s="2">
        <v>10</v>
      </c>
      <c r="M30" s="2">
        <v>0</v>
      </c>
      <c r="N30" s="2">
        <v>0</v>
      </c>
      <c r="O30" s="2">
        <v>10</v>
      </c>
      <c r="P30" s="5">
        <v>0</v>
      </c>
      <c r="S30" s="5">
        <v>0</v>
      </c>
      <c r="T30" s="35">
        <v>0.1</v>
      </c>
      <c r="U30" s="35">
        <v>1</v>
      </c>
      <c r="V30" s="35">
        <v>0.1</v>
      </c>
      <c r="W30" s="38">
        <v>0</v>
      </c>
      <c r="AB30" s="5">
        <v>0</v>
      </c>
      <c r="AK30" s="5">
        <v>1</v>
      </c>
      <c r="AS30" s="203" t="s">
        <v>595</v>
      </c>
      <c r="AT30" s="200" t="s">
        <v>608</v>
      </c>
    </row>
    <row r="31" spans="2:46" ht="15" customHeight="1">
      <c r="B31" s="246" t="s">
        <v>620</v>
      </c>
      <c r="D31" s="246" t="s">
        <v>621</v>
      </c>
      <c r="E31" s="281" t="s">
        <v>774</v>
      </c>
      <c r="G31" s="246" t="s">
        <v>622</v>
      </c>
      <c r="J31" s="10">
        <v>2.8935185185185189E-4</v>
      </c>
      <c r="K31" s="5">
        <v>5</v>
      </c>
      <c r="L31" s="2">
        <v>100</v>
      </c>
      <c r="M31" s="2">
        <v>100</v>
      </c>
      <c r="O31" s="2">
        <v>100</v>
      </c>
      <c r="P31" s="5">
        <v>0</v>
      </c>
      <c r="S31" s="5">
        <v>0</v>
      </c>
      <c r="T31" s="35">
        <v>1</v>
      </c>
      <c r="U31" s="35">
        <v>1</v>
      </c>
      <c r="V31" s="35">
        <v>1</v>
      </c>
      <c r="W31" s="38">
        <v>0</v>
      </c>
      <c r="AB31" s="5">
        <v>0</v>
      </c>
      <c r="AK31" s="5">
        <v>2</v>
      </c>
      <c r="AS31" s="246" t="s">
        <v>595</v>
      </c>
      <c r="AT31" s="278" t="s">
        <v>616</v>
      </c>
    </row>
    <row r="32" spans="2:46" ht="15" customHeight="1">
      <c r="B32" s="281" t="s">
        <v>772</v>
      </c>
      <c r="D32" s="281" t="s">
        <v>590</v>
      </c>
      <c r="E32" s="281" t="s">
        <v>773</v>
      </c>
      <c r="F32" s="281"/>
      <c r="G32" s="281" t="s">
        <v>69</v>
      </c>
      <c r="H32" s="281"/>
      <c r="I32" s="281"/>
      <c r="J32" s="10">
        <v>2.8935185185185189E-4</v>
      </c>
      <c r="K32" s="5">
        <v>5</v>
      </c>
      <c r="L32" s="2">
        <v>100</v>
      </c>
      <c r="M32" s="2">
        <v>0</v>
      </c>
      <c r="N32" s="2">
        <v>75</v>
      </c>
      <c r="O32" s="2">
        <v>100</v>
      </c>
      <c r="P32" s="5">
        <v>0</v>
      </c>
      <c r="S32" s="5">
        <v>0</v>
      </c>
      <c r="T32" s="35">
        <v>1</v>
      </c>
      <c r="U32" s="35">
        <v>1</v>
      </c>
      <c r="V32" s="35">
        <v>1</v>
      </c>
      <c r="W32" s="38">
        <v>0</v>
      </c>
      <c r="AB32" s="5">
        <v>0</v>
      </c>
      <c r="AK32" s="5">
        <v>2</v>
      </c>
      <c r="AS32" s="281" t="s">
        <v>595</v>
      </c>
      <c r="AT32" s="278" t="s">
        <v>660</v>
      </c>
    </row>
    <row r="33" spans="2:46" ht="15" customHeight="1">
      <c r="B33" s="281" t="s">
        <v>846</v>
      </c>
      <c r="D33" s="281" t="s">
        <v>590</v>
      </c>
      <c r="E33" s="281" t="s">
        <v>847</v>
      </c>
      <c r="G33" s="281" t="s">
        <v>848</v>
      </c>
      <c r="J33" s="10">
        <v>2.8935185185185189E-4</v>
      </c>
      <c r="K33" s="5">
        <v>5</v>
      </c>
      <c r="L33" s="2">
        <v>0</v>
      </c>
      <c r="M33" s="2">
        <v>100</v>
      </c>
      <c r="N33" s="2">
        <v>75</v>
      </c>
      <c r="O33" s="2">
        <v>100</v>
      </c>
      <c r="P33" s="5">
        <v>0</v>
      </c>
      <c r="S33" s="5">
        <v>0</v>
      </c>
      <c r="T33" s="35">
        <v>1</v>
      </c>
      <c r="U33" s="35">
        <v>1</v>
      </c>
      <c r="V33" s="35">
        <v>1</v>
      </c>
      <c r="W33" s="38">
        <v>0</v>
      </c>
      <c r="AB33" s="5">
        <v>0</v>
      </c>
      <c r="AK33" s="5">
        <v>2</v>
      </c>
      <c r="AS33" s="281" t="s">
        <v>595</v>
      </c>
      <c r="AT33" s="278" t="s">
        <v>849</v>
      </c>
    </row>
  </sheetData>
  <mergeCells count="23">
    <mergeCell ref="AM2:AN2"/>
    <mergeCell ref="AO2:AP2"/>
    <mergeCell ref="AQ2:AR2"/>
    <mergeCell ref="AE2:AF2"/>
    <mergeCell ref="AI2:AJ2"/>
    <mergeCell ref="AG2:AH2"/>
    <mergeCell ref="AK2:AL2"/>
    <mergeCell ref="R2:R3"/>
    <mergeCell ref="Q2:Q3"/>
    <mergeCell ref="AS2:AS3"/>
    <mergeCell ref="AT2:AT3"/>
    <mergeCell ref="B2:B3"/>
    <mergeCell ref="C2:C3"/>
    <mergeCell ref="D2:D3"/>
    <mergeCell ref="E2:F3"/>
    <mergeCell ref="G2:I3"/>
    <mergeCell ref="S2:S3"/>
    <mergeCell ref="X2:AB2"/>
    <mergeCell ref="T2:W2"/>
    <mergeCell ref="L2:P2"/>
    <mergeCell ref="J2:J3"/>
    <mergeCell ref="K2:K3"/>
    <mergeCell ref="AC2:AD2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>
    <tabColor rgb="FF66CCFF"/>
  </sheetPr>
  <dimension ref="B1:AS53"/>
  <sheetViews>
    <sheetView zoomScaleNormal="100" workbookViewId="0">
      <pane xSplit="1" ySplit="3" topLeftCell="H4" activePane="bottomRight" state="frozen"/>
      <selection pane="topRight" activeCell="B1" sqref="B1"/>
      <selection pane="bottomLeft" activeCell="A4" sqref="A4"/>
      <selection pane="bottomRight" activeCell="H2" sqref="H2:L20"/>
    </sheetView>
  </sheetViews>
  <sheetFormatPr defaultColWidth="9" defaultRowHeight="15" customHeight="1"/>
  <cols>
    <col min="1" max="1" width="9" style="2"/>
    <col min="2" max="2" width="7.7109375" style="404" customWidth="1"/>
    <col min="3" max="3" width="12.42578125" style="2" customWidth="1"/>
    <col min="4" max="4" width="10.7109375" style="2" customWidth="1"/>
    <col min="5" max="6" width="7.28515625" style="2" customWidth="1"/>
    <col min="7" max="7" width="14.42578125" style="2" customWidth="1"/>
    <col min="8" max="8" width="9.140625" style="404" customWidth="1"/>
    <col min="9" max="9" width="15.5703125" style="131" customWidth="1"/>
    <col min="10" max="13" width="15.5703125" style="12" customWidth="1"/>
    <col min="14" max="14" width="15.5703125" style="161" customWidth="1"/>
    <col min="15" max="21" width="15.5703125" style="12" customWidth="1"/>
    <col min="22" max="22" width="14.5703125" style="12" customWidth="1"/>
    <col min="23" max="23" width="14.5703125" style="161" customWidth="1"/>
    <col min="24" max="25" width="14.5703125" style="12" customWidth="1"/>
    <col min="26" max="26" width="14.5703125" style="2" customWidth="1"/>
    <col min="27" max="27" width="11.42578125" style="2" customWidth="1"/>
    <col min="28" max="28" width="10.42578125" style="2" customWidth="1"/>
    <col min="29" max="29" width="13.42578125" style="404" customWidth="1"/>
    <col min="30" max="33" width="14.5703125" style="131" customWidth="1"/>
    <col min="34" max="35" width="9" style="2" customWidth="1"/>
    <col min="36" max="36" width="9.42578125" style="2" customWidth="1"/>
    <col min="37" max="37" width="9.5703125" style="2" customWidth="1"/>
    <col min="38" max="16384" width="9" style="2"/>
  </cols>
  <sheetData>
    <row r="1" spans="2:45" ht="15" customHeight="1">
      <c r="AJ1" s="593" t="s">
        <v>1360</v>
      </c>
      <c r="AN1" s="506"/>
      <c r="AP1" s="133"/>
    </row>
    <row r="2" spans="2:45" ht="30" customHeight="1">
      <c r="B2" s="727" t="s">
        <v>1022</v>
      </c>
      <c r="C2" s="727" t="s">
        <v>507</v>
      </c>
      <c r="D2" s="709" t="s">
        <v>1087</v>
      </c>
      <c r="E2" s="727" t="s">
        <v>1086</v>
      </c>
      <c r="F2" s="727"/>
      <c r="H2" s="390"/>
      <c r="I2" s="131" t="s">
        <v>121</v>
      </c>
      <c r="AA2" s="699" t="s">
        <v>1104</v>
      </c>
      <c r="AB2" s="699" t="s">
        <v>1103</v>
      </c>
      <c r="AC2" s="699" t="s">
        <v>1097</v>
      </c>
      <c r="AD2" s="824" t="s">
        <v>1099</v>
      </c>
      <c r="AE2" s="824"/>
      <c r="AF2" s="824"/>
      <c r="AG2" s="824"/>
      <c r="AJ2" s="825" t="s">
        <v>1358</v>
      </c>
      <c r="AK2" s="826"/>
      <c r="AL2" s="683" t="s">
        <v>1022</v>
      </c>
      <c r="AM2" s="827" t="s">
        <v>1359</v>
      </c>
      <c r="AN2" s="829" t="s">
        <v>61</v>
      </c>
      <c r="AO2" s="833" t="s">
        <v>1090</v>
      </c>
      <c r="AP2" s="831" t="s">
        <v>74</v>
      </c>
      <c r="AQ2" s="506"/>
      <c r="AR2" s="506"/>
      <c r="AS2" s="506"/>
    </row>
    <row r="3" spans="2:45" s="395" customFormat="1" ht="30" customHeight="1">
      <c r="B3" s="727"/>
      <c r="C3" s="727"/>
      <c r="D3" s="710"/>
      <c r="E3" s="402" t="s">
        <v>1020</v>
      </c>
      <c r="F3" s="402" t="s">
        <v>1021</v>
      </c>
      <c r="H3" s="395" t="s">
        <v>1089</v>
      </c>
      <c r="I3" s="132" t="s">
        <v>202</v>
      </c>
      <c r="J3" s="33" t="s">
        <v>122</v>
      </c>
      <c r="K3" s="33" t="s">
        <v>280</v>
      </c>
      <c r="L3" s="33" t="s">
        <v>1090</v>
      </c>
      <c r="M3" s="33" t="s">
        <v>199</v>
      </c>
      <c r="N3" s="162" t="s">
        <v>201</v>
      </c>
      <c r="O3" s="33" t="s">
        <v>204</v>
      </c>
      <c r="P3" s="33" t="s">
        <v>281</v>
      </c>
      <c r="Q3" s="33" t="s">
        <v>510</v>
      </c>
      <c r="R3" s="33" t="s">
        <v>516</v>
      </c>
      <c r="S3" s="33" t="s">
        <v>2056</v>
      </c>
      <c r="T3" s="33" t="s">
        <v>2057</v>
      </c>
      <c r="U3" s="33"/>
      <c r="V3" s="33" t="s">
        <v>512</v>
      </c>
      <c r="W3" s="162" t="s">
        <v>513</v>
      </c>
      <c r="X3" s="33" t="s">
        <v>515</v>
      </c>
      <c r="Y3" s="33" t="s">
        <v>518</v>
      </c>
      <c r="AA3" s="706"/>
      <c r="AB3" s="706"/>
      <c r="AC3" s="706"/>
      <c r="AD3" s="132" t="s">
        <v>1100</v>
      </c>
      <c r="AE3" s="132" t="s">
        <v>1101</v>
      </c>
      <c r="AF3" s="132" t="s">
        <v>1102</v>
      </c>
      <c r="AG3" s="132"/>
      <c r="AJ3" s="498" t="s">
        <v>1089</v>
      </c>
      <c r="AK3" s="594" t="s">
        <v>1090</v>
      </c>
      <c r="AL3" s="717"/>
      <c r="AM3" s="828"/>
      <c r="AN3" s="830"/>
      <c r="AO3" s="834"/>
      <c r="AP3" s="832"/>
      <c r="AQ3" s="506"/>
      <c r="AR3" s="506"/>
      <c r="AS3" s="506"/>
    </row>
    <row r="4" spans="2:45" ht="15" customHeight="1">
      <c r="B4" s="404">
        <v>1</v>
      </c>
      <c r="C4" s="111">
        <v>10000</v>
      </c>
      <c r="D4" s="5" t="s">
        <v>1088</v>
      </c>
      <c r="E4" s="90">
        <v>1</v>
      </c>
      <c r="F4" s="5">
        <v>1</v>
      </c>
      <c r="H4" s="404">
        <v>1</v>
      </c>
      <c r="I4" s="131">
        <v>2.5000000000000001E-3</v>
      </c>
      <c r="J4" s="12">
        <v>0.02</v>
      </c>
      <c r="K4" s="12">
        <v>0.01</v>
      </c>
      <c r="L4" s="12">
        <v>0.01</v>
      </c>
      <c r="M4" s="12">
        <v>0.01</v>
      </c>
      <c r="N4" s="161">
        <v>5.0000000000000001E-3</v>
      </c>
      <c r="O4" s="12">
        <v>0.01</v>
      </c>
      <c r="P4" s="12">
        <v>0.01</v>
      </c>
      <c r="Q4" s="12">
        <v>0.01</v>
      </c>
      <c r="R4" s="12">
        <v>0.01</v>
      </c>
      <c r="S4" s="12">
        <v>0.02</v>
      </c>
      <c r="T4" s="12">
        <v>0.01</v>
      </c>
      <c r="W4" s="161">
        <v>5.0000000000000001E-3</v>
      </c>
      <c r="AA4" s="678" t="s">
        <v>1079</v>
      </c>
      <c r="AB4" s="678" t="s">
        <v>1098</v>
      </c>
      <c r="AC4" s="442" t="s">
        <v>1091</v>
      </c>
      <c r="AD4" s="131">
        <v>8.9999999999999993E-3</v>
      </c>
      <c r="AE4" s="131">
        <v>8.9999999999999993E-3</v>
      </c>
      <c r="AF4" s="131">
        <v>8.9999999999999993E-3</v>
      </c>
      <c r="AJ4" s="497">
        <v>1</v>
      </c>
      <c r="AK4" s="595">
        <v>0.01</v>
      </c>
      <c r="AL4" s="7">
        <v>9</v>
      </c>
      <c r="AM4" s="511">
        <f>'Level Up Time'!S13</f>
        <v>1.4028694536120281E-2</v>
      </c>
      <c r="AN4" s="17" t="s">
        <v>1353</v>
      </c>
      <c r="AO4" s="595">
        <v>0.01</v>
      </c>
      <c r="AP4" s="598">
        <v>1.1574074074074073E-3</v>
      </c>
      <c r="AQ4" s="7"/>
      <c r="AR4" s="7"/>
      <c r="AS4" s="7"/>
    </row>
    <row r="5" spans="2:45" ht="15" customHeight="1">
      <c r="B5" s="404">
        <v>2</v>
      </c>
      <c r="C5" s="111">
        <v>20000</v>
      </c>
      <c r="D5" s="5">
        <f>C5-C4</f>
        <v>10000</v>
      </c>
      <c r="E5" s="90">
        <v>1</v>
      </c>
      <c r="F5" s="5">
        <v>2</v>
      </c>
      <c r="H5" s="404">
        <v>2</v>
      </c>
      <c r="I5" s="131">
        <v>5.0000000000000001E-3</v>
      </c>
      <c r="J5" s="12">
        <v>0.04</v>
      </c>
      <c r="K5" s="274">
        <v>0.02</v>
      </c>
      <c r="L5" s="12">
        <v>0.02</v>
      </c>
      <c r="M5" s="12">
        <v>0.02</v>
      </c>
      <c r="N5" s="161">
        <v>0.01</v>
      </c>
      <c r="O5" s="12">
        <v>0.02</v>
      </c>
      <c r="P5" s="12">
        <v>0.02</v>
      </c>
      <c r="Q5" s="12">
        <v>0.02</v>
      </c>
      <c r="S5" s="12">
        <v>0.04</v>
      </c>
      <c r="AA5" s="699"/>
      <c r="AB5" s="699"/>
      <c r="AC5" s="404" t="s">
        <v>1092</v>
      </c>
      <c r="AD5" s="131">
        <v>1.4E-2</v>
      </c>
      <c r="AE5" s="131">
        <v>1.4E-2</v>
      </c>
      <c r="AF5" s="131">
        <v>1.4E-2</v>
      </c>
      <c r="AJ5" s="497">
        <v>2</v>
      </c>
      <c r="AK5" s="595">
        <v>0.02</v>
      </c>
      <c r="AL5" s="7">
        <v>9</v>
      </c>
      <c r="AM5" s="511">
        <f>'Level Up Time'!S14</f>
        <v>1.4028694536120281E-2</v>
      </c>
      <c r="AN5" s="17" t="s">
        <v>345</v>
      </c>
      <c r="AO5" s="595">
        <v>0.02</v>
      </c>
      <c r="AP5" s="598">
        <v>2.3148148148148151E-3</v>
      </c>
      <c r="AQ5" s="7"/>
      <c r="AR5" s="7"/>
      <c r="AS5" s="7"/>
    </row>
    <row r="6" spans="2:45" ht="15" customHeight="1">
      <c r="B6" s="404">
        <v>3</v>
      </c>
      <c r="C6" s="111">
        <v>30000</v>
      </c>
      <c r="D6" s="5">
        <f t="shared" ref="D6:D53" si="0">C6-C5</f>
        <v>10000</v>
      </c>
      <c r="E6" s="90">
        <v>1</v>
      </c>
      <c r="F6" s="5">
        <v>3</v>
      </c>
      <c r="H6" s="404">
        <v>3</v>
      </c>
      <c r="I6" s="131">
        <v>0.01</v>
      </c>
      <c r="J6" s="12">
        <v>0.06</v>
      </c>
      <c r="K6" s="274">
        <v>0.04</v>
      </c>
      <c r="L6" s="12">
        <v>0.04</v>
      </c>
      <c r="M6" s="12">
        <v>0.03</v>
      </c>
      <c r="N6" s="161">
        <v>1.4999999999999999E-2</v>
      </c>
      <c r="O6" s="12">
        <v>0.03</v>
      </c>
      <c r="P6" s="12">
        <v>0.03</v>
      </c>
      <c r="Q6" s="12">
        <v>0.03</v>
      </c>
      <c r="S6" s="12">
        <v>0.06</v>
      </c>
      <c r="AA6" s="699"/>
      <c r="AB6" s="699"/>
      <c r="AC6" s="443" t="s">
        <v>1093</v>
      </c>
      <c r="AD6" s="131">
        <v>1.7999999999999999E-2</v>
      </c>
      <c r="AE6" s="131">
        <v>1.7999999999999999E-2</v>
      </c>
      <c r="AF6" s="131">
        <v>1.7999999999999999E-2</v>
      </c>
      <c r="AJ6" s="497">
        <v>3</v>
      </c>
      <c r="AK6" s="595">
        <v>0.04</v>
      </c>
      <c r="AL6" s="7">
        <v>10</v>
      </c>
      <c r="AM6" s="511">
        <f>'Level Up Time'!S14</f>
        <v>1.4028694536120281E-2</v>
      </c>
      <c r="AN6" s="17" t="s">
        <v>346</v>
      </c>
      <c r="AO6" s="595">
        <v>0.03</v>
      </c>
      <c r="AP6" s="598">
        <v>4.6296296296296302E-3</v>
      </c>
      <c r="AQ6" s="7"/>
      <c r="AR6" s="7"/>
      <c r="AS6" s="7"/>
    </row>
    <row r="7" spans="2:45" ht="15" customHeight="1">
      <c r="B7" s="404">
        <v>4</v>
      </c>
      <c r="C7" s="111">
        <v>40000</v>
      </c>
      <c r="D7" s="5">
        <f t="shared" si="0"/>
        <v>10000</v>
      </c>
      <c r="E7" s="323">
        <v>1</v>
      </c>
      <c r="F7" s="24">
        <v>4</v>
      </c>
      <c r="H7" s="404">
        <v>4</v>
      </c>
      <c r="I7" s="131">
        <v>1.4999999999999999E-2</v>
      </c>
      <c r="J7" s="12">
        <v>0.08</v>
      </c>
      <c r="K7" s="274">
        <v>0.06</v>
      </c>
      <c r="L7" s="12">
        <v>0.06</v>
      </c>
      <c r="M7" s="12">
        <v>0.04</v>
      </c>
      <c r="N7" s="161">
        <v>0.02</v>
      </c>
      <c r="O7" s="12">
        <v>0.04</v>
      </c>
      <c r="P7" s="12">
        <v>0.04</v>
      </c>
      <c r="Q7" s="12">
        <v>0.04</v>
      </c>
      <c r="S7" s="12">
        <v>0.08</v>
      </c>
      <c r="AA7" s="699"/>
      <c r="AB7" s="699"/>
      <c r="AC7" s="444" t="s">
        <v>1094</v>
      </c>
      <c r="AD7" s="131">
        <v>2.3E-2</v>
      </c>
      <c r="AE7" s="131">
        <v>2.3E-2</v>
      </c>
      <c r="AF7" s="131">
        <v>2.3E-2</v>
      </c>
      <c r="AJ7" s="497">
        <v>4</v>
      </c>
      <c r="AK7" s="595">
        <v>0.06</v>
      </c>
      <c r="AL7" s="7">
        <v>10</v>
      </c>
      <c r="AM7" s="511">
        <f>'Level Up Time'!S14</f>
        <v>1.4028694536120281E-2</v>
      </c>
      <c r="AN7" s="17" t="s">
        <v>347</v>
      </c>
      <c r="AO7" s="595">
        <v>0.04</v>
      </c>
      <c r="AP7" s="598">
        <v>9.2592592592592605E-3</v>
      </c>
      <c r="AQ7" s="7"/>
      <c r="AR7" s="7"/>
      <c r="AS7" s="7"/>
    </row>
    <row r="8" spans="2:45" ht="15" customHeight="1">
      <c r="B8" s="404">
        <v>5</v>
      </c>
      <c r="C8" s="111">
        <v>50000</v>
      </c>
      <c r="D8" s="5">
        <f t="shared" si="0"/>
        <v>10000</v>
      </c>
      <c r="E8" s="90">
        <v>2</v>
      </c>
      <c r="F8" s="5">
        <v>6</v>
      </c>
      <c r="H8" s="404">
        <v>5</v>
      </c>
      <c r="I8" s="131">
        <v>3.5000000000000003E-2</v>
      </c>
      <c r="J8" s="12">
        <v>0.18</v>
      </c>
      <c r="K8" s="274">
        <v>0.09</v>
      </c>
      <c r="L8" s="12">
        <v>0.09</v>
      </c>
      <c r="M8" s="12">
        <v>0.06</v>
      </c>
      <c r="N8" s="161">
        <v>0.03</v>
      </c>
      <c r="O8" s="12">
        <v>0.06</v>
      </c>
      <c r="P8" s="12">
        <v>0.06</v>
      </c>
      <c r="Q8" s="12">
        <v>0.06</v>
      </c>
      <c r="S8" s="12">
        <v>0.12</v>
      </c>
      <c r="AA8" s="699"/>
      <c r="AB8" s="699"/>
      <c r="AC8" s="275" t="s">
        <v>1095</v>
      </c>
      <c r="AD8" s="131">
        <v>2.7E-2</v>
      </c>
      <c r="AE8" s="131">
        <v>2.7E-2</v>
      </c>
      <c r="AF8" s="131">
        <v>2.7E-2</v>
      </c>
      <c r="AJ8" s="497">
        <v>5</v>
      </c>
      <c r="AK8" s="595">
        <v>0.09</v>
      </c>
      <c r="AL8" s="7">
        <v>10</v>
      </c>
      <c r="AM8" s="511">
        <f>'Level Up Time'!S14</f>
        <v>1.4028694536120281E-2</v>
      </c>
      <c r="AN8" s="17" t="s">
        <v>348</v>
      </c>
      <c r="AO8" s="595">
        <v>0.05</v>
      </c>
      <c r="AP8" s="598">
        <v>1.8518518518518521E-2</v>
      </c>
      <c r="AQ8" s="7"/>
      <c r="AR8" s="7"/>
      <c r="AS8" s="7"/>
    </row>
    <row r="9" spans="2:45" ht="15" customHeight="1">
      <c r="B9" s="404">
        <v>6</v>
      </c>
      <c r="C9" s="111">
        <v>60000</v>
      </c>
      <c r="D9" s="5">
        <f t="shared" si="0"/>
        <v>10000</v>
      </c>
      <c r="E9" s="90">
        <v>2</v>
      </c>
      <c r="F9" s="5">
        <v>8</v>
      </c>
      <c r="H9" s="404">
        <v>6</v>
      </c>
      <c r="I9" s="12" t="s">
        <v>25</v>
      </c>
      <c r="J9" s="12" t="s">
        <v>25</v>
      </c>
      <c r="K9" s="274">
        <v>0.12</v>
      </c>
      <c r="L9" s="12">
        <v>0.12</v>
      </c>
      <c r="M9" s="12">
        <v>0.08</v>
      </c>
      <c r="N9" s="161">
        <v>0.04</v>
      </c>
      <c r="O9" s="12">
        <v>0.08</v>
      </c>
      <c r="P9" s="12">
        <v>0.08</v>
      </c>
      <c r="Q9" s="12">
        <v>0.08</v>
      </c>
      <c r="AA9" s="706"/>
      <c r="AB9" s="706"/>
      <c r="AC9" s="445" t="s">
        <v>1096</v>
      </c>
      <c r="AD9" s="446">
        <v>3.5999999999999997E-2</v>
      </c>
      <c r="AE9" s="446">
        <v>3.5999999999999997E-2</v>
      </c>
      <c r="AF9" s="446">
        <v>3.5999999999999997E-2</v>
      </c>
      <c r="AG9" s="446"/>
      <c r="AJ9" s="497">
        <v>6</v>
      </c>
      <c r="AK9" s="595">
        <v>0.12</v>
      </c>
      <c r="AL9" s="7">
        <v>11</v>
      </c>
      <c r="AM9" s="511">
        <f>'Level Up Time'!S15</f>
        <v>2.7286270293696034E-2</v>
      </c>
      <c r="AN9" s="17" t="s">
        <v>349</v>
      </c>
      <c r="AO9" s="595">
        <v>0.06</v>
      </c>
      <c r="AP9" s="598">
        <v>3.7037037037037042E-2</v>
      </c>
      <c r="AQ9" s="7"/>
      <c r="AR9" s="7"/>
      <c r="AS9" s="7"/>
    </row>
    <row r="10" spans="2:45" ht="15" customHeight="1">
      <c r="B10" s="404">
        <v>7</v>
      </c>
      <c r="C10" s="111">
        <v>70000</v>
      </c>
      <c r="D10" s="5">
        <f t="shared" si="0"/>
        <v>10000</v>
      </c>
      <c r="E10" s="90">
        <v>2</v>
      </c>
      <c r="F10" s="5">
        <v>10</v>
      </c>
      <c r="H10" s="404">
        <v>7</v>
      </c>
      <c r="I10" s="12" t="s">
        <v>25</v>
      </c>
      <c r="J10" s="12" t="s">
        <v>25</v>
      </c>
      <c r="K10" s="274">
        <v>0.18</v>
      </c>
      <c r="L10" s="12">
        <v>0.18</v>
      </c>
      <c r="M10" s="12">
        <v>0.1</v>
      </c>
      <c r="N10" s="161">
        <v>0.05</v>
      </c>
      <c r="O10" s="12">
        <v>0.1</v>
      </c>
      <c r="P10" s="12">
        <v>0.1</v>
      </c>
      <c r="AJ10" s="497">
        <v>7</v>
      </c>
      <c r="AK10" s="595">
        <v>0.18</v>
      </c>
      <c r="AL10" s="7">
        <v>11</v>
      </c>
      <c r="AM10" s="511">
        <f>'Level Up Time'!S15</f>
        <v>2.7286270293696034E-2</v>
      </c>
      <c r="AN10" s="17" t="s">
        <v>350</v>
      </c>
      <c r="AO10" s="595">
        <v>7.0000000000000007E-2</v>
      </c>
      <c r="AP10" s="598">
        <v>7.407407407407407E-2</v>
      </c>
      <c r="AQ10" s="7"/>
      <c r="AR10" s="7"/>
      <c r="AS10" s="7"/>
    </row>
    <row r="11" spans="2:45" ht="15" customHeight="1">
      <c r="B11" s="404">
        <v>8</v>
      </c>
      <c r="C11" s="111">
        <v>80000</v>
      </c>
      <c r="D11" s="5">
        <f t="shared" si="0"/>
        <v>10000</v>
      </c>
      <c r="E11" s="90">
        <v>2</v>
      </c>
      <c r="F11" s="5">
        <v>12</v>
      </c>
      <c r="H11" s="404">
        <v>8</v>
      </c>
      <c r="I11" s="12" t="s">
        <v>25</v>
      </c>
      <c r="J11" s="12" t="s">
        <v>25</v>
      </c>
      <c r="K11" s="274">
        <v>0.24</v>
      </c>
      <c r="L11" s="12">
        <v>0.24</v>
      </c>
      <c r="M11" s="12">
        <v>0.12</v>
      </c>
      <c r="N11" s="161">
        <v>0.06</v>
      </c>
      <c r="O11" s="12">
        <v>0.12</v>
      </c>
      <c r="P11" s="12">
        <v>0.12</v>
      </c>
      <c r="AJ11" s="497">
        <v>8</v>
      </c>
      <c r="AK11" s="595">
        <v>0.24</v>
      </c>
      <c r="AL11" s="7">
        <v>11</v>
      </c>
      <c r="AM11" s="511">
        <f>'Level Up Time'!S15</f>
        <v>2.7286270293696034E-2</v>
      </c>
      <c r="AN11" s="17" t="s">
        <v>351</v>
      </c>
      <c r="AO11" s="595">
        <v>0.08</v>
      </c>
      <c r="AP11" s="598">
        <v>0.14814814814814814</v>
      </c>
      <c r="AQ11" s="7"/>
      <c r="AR11" s="7"/>
      <c r="AS11" s="7"/>
    </row>
    <row r="12" spans="2:45" ht="15" customHeight="1">
      <c r="B12" s="404">
        <v>9</v>
      </c>
      <c r="C12" s="676">
        <v>90000</v>
      </c>
      <c r="D12" s="5">
        <f t="shared" si="0"/>
        <v>10000</v>
      </c>
      <c r="E12" s="323">
        <v>2</v>
      </c>
      <c r="F12" s="24">
        <v>14</v>
      </c>
      <c r="H12" s="404">
        <v>9</v>
      </c>
      <c r="I12" s="12" t="s">
        <v>25</v>
      </c>
      <c r="J12" s="12" t="s">
        <v>25</v>
      </c>
      <c r="K12" s="274">
        <v>0.3</v>
      </c>
      <c r="L12" s="12">
        <v>0.3</v>
      </c>
      <c r="M12" s="12">
        <v>0.15</v>
      </c>
      <c r="N12" s="161">
        <v>7.4999999999999997E-2</v>
      </c>
      <c r="O12" s="12">
        <v>0.15</v>
      </c>
      <c r="P12" s="12">
        <v>0.15</v>
      </c>
      <c r="AJ12" s="497">
        <v>9</v>
      </c>
      <c r="AK12" s="595">
        <v>0.3</v>
      </c>
      <c r="AL12" s="18">
        <v>12</v>
      </c>
      <c r="AM12" s="511">
        <f>'Level Up Time'!S16</f>
        <v>5.5943677701103464E-2</v>
      </c>
      <c r="AN12" s="17" t="s">
        <v>352</v>
      </c>
      <c r="AO12" s="595">
        <v>0.09</v>
      </c>
      <c r="AP12" s="598">
        <v>0.29629629629629628</v>
      </c>
      <c r="AQ12" s="7"/>
      <c r="AR12" s="7"/>
      <c r="AS12" s="7"/>
    </row>
    <row r="13" spans="2:45" ht="15" customHeight="1">
      <c r="B13" s="404">
        <v>10</v>
      </c>
      <c r="C13" s="677">
        <v>200000</v>
      </c>
      <c r="D13" s="441">
        <f t="shared" si="0"/>
        <v>110000</v>
      </c>
      <c r="E13" s="90">
        <v>3</v>
      </c>
      <c r="F13" s="5">
        <v>17</v>
      </c>
      <c r="H13" s="404">
        <v>10</v>
      </c>
      <c r="I13" s="12" t="s">
        <v>25</v>
      </c>
      <c r="J13" s="12" t="s">
        <v>25</v>
      </c>
      <c r="K13" s="12">
        <v>0.4</v>
      </c>
      <c r="L13" s="12">
        <v>0.4</v>
      </c>
      <c r="M13" s="12">
        <v>0.18</v>
      </c>
      <c r="N13" s="161">
        <v>0.09</v>
      </c>
      <c r="O13" s="12">
        <v>0.18</v>
      </c>
      <c r="P13" s="12">
        <v>0.18</v>
      </c>
      <c r="AJ13" s="498">
        <v>10</v>
      </c>
      <c r="AK13" s="596">
        <v>0.4</v>
      </c>
      <c r="AL13" s="25">
        <v>12</v>
      </c>
      <c r="AM13" s="597">
        <f>'Level Up Time'!S16</f>
        <v>5.5943677701103464E-2</v>
      </c>
      <c r="AN13" s="503" t="s">
        <v>353</v>
      </c>
      <c r="AO13" s="595">
        <v>0.1</v>
      </c>
      <c r="AP13" s="598">
        <v>0.59259259259259256</v>
      </c>
      <c r="AQ13" s="7"/>
      <c r="AR13" s="7"/>
      <c r="AS13" s="7"/>
    </row>
    <row r="14" spans="2:45" ht="15" customHeight="1">
      <c r="B14" s="404">
        <v>11</v>
      </c>
      <c r="C14" s="111">
        <v>220000</v>
      </c>
      <c r="D14" s="5">
        <f t="shared" si="0"/>
        <v>20000</v>
      </c>
      <c r="E14" s="90">
        <v>3</v>
      </c>
      <c r="F14" s="5">
        <v>20</v>
      </c>
      <c r="H14" s="404">
        <v>11</v>
      </c>
      <c r="I14" s="12" t="s">
        <v>25</v>
      </c>
      <c r="J14" s="12" t="s">
        <v>25</v>
      </c>
      <c r="K14" s="12" t="s">
        <v>25</v>
      </c>
      <c r="L14" s="12" t="s">
        <v>25</v>
      </c>
      <c r="M14" s="12">
        <v>0.21</v>
      </c>
      <c r="N14" s="161">
        <v>0.105</v>
      </c>
      <c r="O14" s="12">
        <v>0.21</v>
      </c>
      <c r="P14" s="12">
        <v>0.21</v>
      </c>
      <c r="AJ14" s="7"/>
      <c r="AK14" s="7"/>
      <c r="AL14" s="7"/>
      <c r="AM14" s="7"/>
      <c r="AN14" s="504" t="s">
        <v>354</v>
      </c>
      <c r="AO14" s="596">
        <v>0.11</v>
      </c>
      <c r="AP14" s="512">
        <v>0.71111111111111114</v>
      </c>
      <c r="AQ14" s="7"/>
      <c r="AR14" s="7"/>
      <c r="AS14" s="7"/>
    </row>
    <row r="15" spans="2:45" ht="15" customHeight="1">
      <c r="B15" s="404">
        <v>12</v>
      </c>
      <c r="C15" s="111">
        <v>240000</v>
      </c>
      <c r="D15" s="5">
        <f t="shared" si="0"/>
        <v>20000</v>
      </c>
      <c r="E15" s="90">
        <v>3</v>
      </c>
      <c r="F15" s="5">
        <v>23</v>
      </c>
      <c r="H15" s="404">
        <v>12</v>
      </c>
      <c r="I15" s="12" t="s">
        <v>25</v>
      </c>
      <c r="J15" s="12" t="s">
        <v>25</v>
      </c>
      <c r="K15" s="12" t="s">
        <v>25</v>
      </c>
      <c r="L15" s="12" t="s">
        <v>25</v>
      </c>
      <c r="M15" s="12">
        <v>0.24</v>
      </c>
      <c r="N15" s="161">
        <v>0.12</v>
      </c>
      <c r="O15" s="12">
        <v>0.24</v>
      </c>
      <c r="P15" s="12">
        <v>0.24</v>
      </c>
      <c r="AJ15" s="7"/>
      <c r="AK15" s="7"/>
      <c r="AL15" s="7"/>
      <c r="AM15" s="7"/>
      <c r="AN15" s="17"/>
      <c r="AO15" s="7"/>
      <c r="AP15" s="574"/>
      <c r="AQ15" s="7"/>
      <c r="AR15" s="7"/>
      <c r="AS15" s="7"/>
    </row>
    <row r="16" spans="2:45" ht="15" customHeight="1">
      <c r="B16" s="404">
        <v>13</v>
      </c>
      <c r="C16" s="111">
        <v>260000</v>
      </c>
      <c r="D16" s="5">
        <f t="shared" si="0"/>
        <v>20000</v>
      </c>
      <c r="E16" s="90">
        <v>3</v>
      </c>
      <c r="F16" s="5">
        <v>26</v>
      </c>
      <c r="H16" s="404">
        <v>13</v>
      </c>
      <c r="I16" s="12" t="s">
        <v>25</v>
      </c>
      <c r="J16" s="12" t="s">
        <v>25</v>
      </c>
      <c r="K16" s="12" t="s">
        <v>25</v>
      </c>
      <c r="L16" s="12" t="s">
        <v>25</v>
      </c>
      <c r="M16" s="12">
        <v>0.28000000000000003</v>
      </c>
      <c r="N16" s="161">
        <v>0.16</v>
      </c>
      <c r="O16" s="12">
        <v>0.28000000000000003</v>
      </c>
      <c r="P16" s="12">
        <v>0.28000000000000003</v>
      </c>
      <c r="AJ16" s="7"/>
      <c r="AK16" s="7"/>
      <c r="AL16" s="7"/>
      <c r="AM16" s="7"/>
      <c r="AN16" s="17"/>
      <c r="AO16" s="7"/>
      <c r="AP16" s="574"/>
      <c r="AQ16" s="7"/>
      <c r="AR16" s="7"/>
      <c r="AS16" s="7"/>
    </row>
    <row r="17" spans="2:45" ht="15" customHeight="1">
      <c r="B17" s="404">
        <v>14</v>
      </c>
      <c r="C17" s="111">
        <v>280000</v>
      </c>
      <c r="D17" s="5">
        <f t="shared" si="0"/>
        <v>20000</v>
      </c>
      <c r="E17" s="90">
        <v>3</v>
      </c>
      <c r="F17" s="5">
        <v>29</v>
      </c>
      <c r="H17" s="404">
        <v>14</v>
      </c>
      <c r="I17" s="12" t="s">
        <v>25</v>
      </c>
      <c r="J17" s="12" t="s">
        <v>25</v>
      </c>
      <c r="K17" s="12" t="s">
        <v>25</v>
      </c>
      <c r="L17" s="12" t="s">
        <v>25</v>
      </c>
      <c r="M17" s="12">
        <v>0.32</v>
      </c>
      <c r="N17" s="161">
        <v>0.2</v>
      </c>
      <c r="O17" s="12">
        <v>0.32</v>
      </c>
      <c r="P17" s="12">
        <v>0.32</v>
      </c>
      <c r="AJ17" s="7"/>
      <c r="AK17" s="7"/>
      <c r="AL17" s="7"/>
      <c r="AM17" s="7"/>
      <c r="AN17" s="17"/>
      <c r="AO17" s="7"/>
      <c r="AP17" s="574"/>
      <c r="AQ17" s="7"/>
      <c r="AR17" s="7"/>
      <c r="AS17" s="7"/>
    </row>
    <row r="18" spans="2:45" ht="15" customHeight="1">
      <c r="B18" s="404">
        <v>15</v>
      </c>
      <c r="C18" s="111">
        <v>300000</v>
      </c>
      <c r="D18" s="5">
        <f t="shared" si="0"/>
        <v>20000</v>
      </c>
      <c r="E18" s="90">
        <v>3</v>
      </c>
      <c r="F18" s="5">
        <v>32</v>
      </c>
      <c r="H18" s="404">
        <v>15</v>
      </c>
      <c r="I18" s="12" t="s">
        <v>25</v>
      </c>
      <c r="J18" s="12" t="s">
        <v>25</v>
      </c>
      <c r="K18" s="12" t="s">
        <v>25</v>
      </c>
      <c r="L18" s="12" t="s">
        <v>25</v>
      </c>
      <c r="M18" s="12">
        <v>0.42</v>
      </c>
      <c r="N18" s="161">
        <v>0.3</v>
      </c>
      <c r="O18" s="12">
        <v>0.42</v>
      </c>
      <c r="P18" s="12">
        <v>0.42</v>
      </c>
    </row>
    <row r="19" spans="2:45" ht="15" customHeight="1">
      <c r="B19" s="404">
        <v>16</v>
      </c>
      <c r="C19" s="111">
        <v>320000</v>
      </c>
      <c r="D19" s="5">
        <f t="shared" si="0"/>
        <v>20000</v>
      </c>
      <c r="E19" s="90">
        <v>3</v>
      </c>
      <c r="F19" s="5">
        <v>35</v>
      </c>
      <c r="H19" s="784" t="s">
        <v>198</v>
      </c>
      <c r="I19" s="823" t="s">
        <v>25</v>
      </c>
      <c r="J19" s="823" t="s">
        <v>25</v>
      </c>
      <c r="K19" s="374" t="s">
        <v>508</v>
      </c>
      <c r="L19" s="374" t="s">
        <v>508</v>
      </c>
      <c r="M19" s="373" t="s">
        <v>200</v>
      </c>
      <c r="N19" s="374" t="s">
        <v>203</v>
      </c>
      <c r="O19" s="373" t="s">
        <v>205</v>
      </c>
      <c r="P19" s="373" t="s">
        <v>205</v>
      </c>
      <c r="Q19" s="373" t="s">
        <v>511</v>
      </c>
      <c r="R19" s="373" t="s">
        <v>517</v>
      </c>
      <c r="S19" s="373" t="s">
        <v>517</v>
      </c>
      <c r="T19" s="373" t="s">
        <v>2058</v>
      </c>
      <c r="U19" s="373"/>
      <c r="V19" s="373" t="s">
        <v>671</v>
      </c>
      <c r="W19" s="374" t="s">
        <v>514</v>
      </c>
      <c r="X19" s="373" t="s">
        <v>672</v>
      </c>
      <c r="Y19" s="373" t="s">
        <v>519</v>
      </c>
      <c r="Z19" s="128"/>
      <c r="AA19" s="128"/>
      <c r="AB19" s="128"/>
      <c r="AC19" s="127"/>
      <c r="AD19" s="447"/>
      <c r="AE19" s="447"/>
      <c r="AF19" s="447"/>
      <c r="AG19" s="447"/>
    </row>
    <row r="20" spans="2:45" ht="15" customHeight="1">
      <c r="B20" s="404">
        <v>17</v>
      </c>
      <c r="C20" s="111">
        <v>340000</v>
      </c>
      <c r="D20" s="5">
        <f t="shared" si="0"/>
        <v>20000</v>
      </c>
      <c r="E20" s="90">
        <v>3</v>
      </c>
      <c r="F20" s="5">
        <v>38</v>
      </c>
      <c r="H20" s="784"/>
      <c r="I20" s="823"/>
      <c r="J20" s="823"/>
      <c r="K20" s="373" t="s">
        <v>509</v>
      </c>
      <c r="L20" s="373" t="s">
        <v>509</v>
      </c>
      <c r="M20" s="191"/>
      <c r="N20" s="374"/>
      <c r="O20" s="373"/>
      <c r="P20" s="373"/>
      <c r="Q20" s="373"/>
      <c r="R20" s="373"/>
      <c r="S20" s="373"/>
      <c r="T20" s="373"/>
      <c r="U20" s="373"/>
      <c r="V20" s="373"/>
      <c r="W20" s="374"/>
      <c r="X20" s="373"/>
      <c r="Y20" s="373"/>
      <c r="Z20" s="128"/>
      <c r="AA20" s="128"/>
      <c r="AB20" s="128"/>
      <c r="AC20" s="127"/>
      <c r="AD20" s="447"/>
      <c r="AE20" s="447"/>
      <c r="AF20" s="447"/>
      <c r="AG20" s="447"/>
    </row>
    <row r="21" spans="2:45" ht="15" customHeight="1">
      <c r="B21" s="404">
        <v>18</v>
      </c>
      <c r="C21" s="111">
        <v>360000</v>
      </c>
      <c r="D21" s="5">
        <f t="shared" si="0"/>
        <v>20000</v>
      </c>
      <c r="E21" s="90">
        <v>3</v>
      </c>
      <c r="F21" s="5">
        <v>41</v>
      </c>
      <c r="N21" s="163"/>
      <c r="O21" s="408"/>
      <c r="P21" s="408"/>
      <c r="Q21" s="408"/>
      <c r="R21" s="408"/>
      <c r="S21" s="525"/>
      <c r="T21" s="626"/>
      <c r="U21" s="626"/>
      <c r="V21" s="408"/>
      <c r="W21" s="163"/>
      <c r="X21" s="408"/>
      <c r="Y21" s="408"/>
      <c r="Z21" s="128"/>
      <c r="AA21" s="128"/>
      <c r="AB21" s="128"/>
      <c r="AC21" s="127"/>
      <c r="AD21" s="447"/>
      <c r="AE21" s="447"/>
      <c r="AF21" s="447"/>
      <c r="AG21" s="447"/>
    </row>
    <row r="22" spans="2:45" ht="15" customHeight="1">
      <c r="B22" s="404">
        <v>19</v>
      </c>
      <c r="C22" s="111">
        <v>380000</v>
      </c>
      <c r="D22" s="5">
        <f t="shared" si="0"/>
        <v>20000</v>
      </c>
      <c r="E22" s="323">
        <v>3</v>
      </c>
      <c r="F22" s="24">
        <v>44</v>
      </c>
      <c r="N22" s="163"/>
      <c r="O22" s="408"/>
      <c r="P22" s="408"/>
      <c r="Q22" s="408"/>
      <c r="R22" s="408"/>
      <c r="S22" s="525"/>
      <c r="T22" s="626"/>
      <c r="U22" s="626"/>
      <c r="V22" s="408"/>
      <c r="W22" s="163"/>
      <c r="X22" s="408"/>
      <c r="Y22" s="408"/>
      <c r="Z22" s="128"/>
      <c r="AA22" s="128"/>
      <c r="AB22" s="128"/>
      <c r="AC22" s="127"/>
      <c r="AD22" s="447"/>
      <c r="AE22" s="447"/>
      <c r="AF22" s="447"/>
      <c r="AG22" s="447"/>
    </row>
    <row r="23" spans="2:45" ht="15" customHeight="1">
      <c r="B23" s="404">
        <v>20</v>
      </c>
      <c r="C23" s="677">
        <v>600000</v>
      </c>
      <c r="D23" s="441">
        <f t="shared" si="0"/>
        <v>220000</v>
      </c>
      <c r="E23" s="90">
        <v>4</v>
      </c>
      <c r="F23" s="5">
        <v>48</v>
      </c>
      <c r="N23" s="163"/>
      <c r="O23" s="408"/>
      <c r="P23" s="408"/>
      <c r="Q23" s="408"/>
      <c r="R23" s="408"/>
      <c r="S23" s="525"/>
      <c r="T23" s="626"/>
      <c r="U23" s="626"/>
      <c r="V23" s="408"/>
      <c r="W23" s="163"/>
      <c r="X23" s="408"/>
      <c r="Y23" s="408"/>
      <c r="Z23" s="128"/>
      <c r="AA23" s="128"/>
      <c r="AB23" s="128"/>
      <c r="AC23" s="127"/>
      <c r="AD23" s="447"/>
      <c r="AE23" s="447"/>
      <c r="AF23" s="447"/>
      <c r="AG23" s="447"/>
    </row>
    <row r="24" spans="2:45" ht="15" customHeight="1">
      <c r="B24" s="404">
        <v>21</v>
      </c>
      <c r="C24" s="111">
        <v>630000</v>
      </c>
      <c r="D24" s="5">
        <f t="shared" si="0"/>
        <v>30000</v>
      </c>
      <c r="E24" s="90">
        <v>4</v>
      </c>
      <c r="F24" s="5">
        <v>52</v>
      </c>
      <c r="N24" s="163"/>
      <c r="O24" s="408"/>
      <c r="P24" s="408"/>
      <c r="Q24" s="408"/>
      <c r="R24" s="408"/>
      <c r="S24" s="525"/>
      <c r="T24" s="626"/>
      <c r="U24" s="626"/>
      <c r="V24" s="408"/>
      <c r="W24" s="163"/>
      <c r="X24" s="408"/>
      <c r="Y24" s="408"/>
      <c r="Z24" s="128"/>
      <c r="AA24" s="128"/>
      <c r="AB24" s="128"/>
      <c r="AC24" s="127"/>
      <c r="AD24" s="447"/>
      <c r="AE24" s="447"/>
      <c r="AF24" s="447"/>
      <c r="AG24" s="447"/>
    </row>
    <row r="25" spans="2:45" ht="15" customHeight="1">
      <c r="B25" s="404">
        <v>22</v>
      </c>
      <c r="C25" s="111">
        <v>660000</v>
      </c>
      <c r="D25" s="5">
        <f t="shared" si="0"/>
        <v>30000</v>
      </c>
      <c r="E25" s="90">
        <v>4</v>
      </c>
      <c r="F25" s="5">
        <v>56</v>
      </c>
      <c r="N25" s="163"/>
      <c r="O25" s="408"/>
      <c r="P25" s="408"/>
      <c r="Q25" s="408"/>
      <c r="R25" s="408"/>
      <c r="S25" s="525"/>
      <c r="T25" s="626"/>
      <c r="U25" s="626"/>
      <c r="V25" s="408"/>
      <c r="W25" s="163"/>
      <c r="X25" s="408"/>
      <c r="Y25" s="408"/>
      <c r="Z25" s="128"/>
      <c r="AA25" s="128"/>
      <c r="AB25" s="128"/>
      <c r="AC25" s="127"/>
      <c r="AD25" s="447"/>
      <c r="AE25" s="447"/>
      <c r="AF25" s="447"/>
      <c r="AG25" s="447"/>
    </row>
    <row r="26" spans="2:45" ht="15" customHeight="1">
      <c r="B26" s="404">
        <v>23</v>
      </c>
      <c r="C26" s="111">
        <v>690000</v>
      </c>
      <c r="D26" s="5">
        <f t="shared" si="0"/>
        <v>30000</v>
      </c>
      <c r="E26" s="90">
        <v>4</v>
      </c>
      <c r="F26" s="5">
        <v>60</v>
      </c>
    </row>
    <row r="27" spans="2:45" ht="15" customHeight="1">
      <c r="B27" s="404">
        <v>24</v>
      </c>
      <c r="C27" s="111">
        <v>720000</v>
      </c>
      <c r="D27" s="5">
        <f t="shared" si="0"/>
        <v>30000</v>
      </c>
      <c r="E27" s="90">
        <v>4</v>
      </c>
      <c r="F27" s="5">
        <v>64</v>
      </c>
    </row>
    <row r="28" spans="2:45" ht="15" customHeight="1">
      <c r="B28" s="404">
        <v>25</v>
      </c>
      <c r="C28" s="111">
        <v>750000</v>
      </c>
      <c r="D28" s="5">
        <f t="shared" si="0"/>
        <v>30000</v>
      </c>
      <c r="E28" s="90">
        <v>4</v>
      </c>
      <c r="F28" s="5">
        <v>68</v>
      </c>
    </row>
    <row r="29" spans="2:45" ht="15" customHeight="1">
      <c r="B29" s="404">
        <v>26</v>
      </c>
      <c r="C29" s="111">
        <v>780000</v>
      </c>
      <c r="D29" s="5">
        <f t="shared" si="0"/>
        <v>30000</v>
      </c>
      <c r="E29" s="90">
        <v>4</v>
      </c>
      <c r="F29" s="5">
        <v>72</v>
      </c>
    </row>
    <row r="30" spans="2:45" ht="15" customHeight="1">
      <c r="B30" s="404">
        <v>27</v>
      </c>
      <c r="C30" s="111">
        <v>810000</v>
      </c>
      <c r="D30" s="5">
        <f t="shared" si="0"/>
        <v>30000</v>
      </c>
      <c r="E30" s="90">
        <v>4</v>
      </c>
      <c r="F30" s="5">
        <v>76</v>
      </c>
    </row>
    <row r="31" spans="2:45" ht="15" customHeight="1">
      <c r="B31" s="404">
        <v>28</v>
      </c>
      <c r="C31" s="111">
        <v>840000</v>
      </c>
      <c r="D31" s="5">
        <f t="shared" si="0"/>
        <v>30000</v>
      </c>
      <c r="E31" s="90">
        <v>4</v>
      </c>
      <c r="F31" s="5">
        <v>80</v>
      </c>
    </row>
    <row r="32" spans="2:45" ht="15" customHeight="1">
      <c r="B32" s="404">
        <v>29</v>
      </c>
      <c r="C32" s="111">
        <v>870000</v>
      </c>
      <c r="D32" s="5">
        <f t="shared" si="0"/>
        <v>30000</v>
      </c>
      <c r="E32" s="323">
        <v>4</v>
      </c>
      <c r="F32" s="24">
        <v>84</v>
      </c>
    </row>
    <row r="33" spans="2:6" ht="15" customHeight="1">
      <c r="B33" s="404">
        <v>30</v>
      </c>
      <c r="C33" s="677">
        <v>1200000</v>
      </c>
      <c r="D33" s="441">
        <f t="shared" si="0"/>
        <v>330000</v>
      </c>
      <c r="E33" s="90">
        <v>5</v>
      </c>
      <c r="F33" s="5">
        <v>89</v>
      </c>
    </row>
    <row r="34" spans="2:6" ht="15" customHeight="1">
      <c r="B34" s="404">
        <v>31</v>
      </c>
      <c r="C34" s="111">
        <v>1500000</v>
      </c>
      <c r="D34" s="5">
        <f t="shared" si="0"/>
        <v>300000</v>
      </c>
      <c r="E34" s="90">
        <v>5</v>
      </c>
      <c r="F34" s="5">
        <v>94</v>
      </c>
    </row>
    <row r="35" spans="2:6" ht="15" customHeight="1">
      <c r="B35" s="404">
        <v>32</v>
      </c>
      <c r="C35" s="111">
        <v>1600000</v>
      </c>
      <c r="D35" s="5">
        <f t="shared" si="0"/>
        <v>100000</v>
      </c>
      <c r="E35" s="90">
        <v>5</v>
      </c>
      <c r="F35" s="5">
        <v>99</v>
      </c>
    </row>
    <row r="36" spans="2:6" ht="15" customHeight="1">
      <c r="B36" s="404">
        <v>33</v>
      </c>
      <c r="D36" s="5">
        <f t="shared" si="0"/>
        <v>-1600000</v>
      </c>
      <c r="E36" s="90"/>
      <c r="F36" s="5"/>
    </row>
    <row r="37" spans="2:6" ht="15" customHeight="1">
      <c r="B37" s="404">
        <v>34</v>
      </c>
      <c r="D37" s="5">
        <f t="shared" si="0"/>
        <v>0</v>
      </c>
      <c r="E37" s="90"/>
      <c r="F37" s="5"/>
    </row>
    <row r="38" spans="2:6" ht="15" customHeight="1">
      <c r="B38" s="404">
        <v>35</v>
      </c>
      <c r="D38" s="5">
        <f t="shared" si="0"/>
        <v>0</v>
      </c>
      <c r="E38" s="90"/>
      <c r="F38" s="5"/>
    </row>
    <row r="39" spans="2:6" ht="15" customHeight="1">
      <c r="B39" s="404">
        <v>36</v>
      </c>
      <c r="D39" s="5">
        <f t="shared" si="0"/>
        <v>0</v>
      </c>
      <c r="E39" s="90"/>
      <c r="F39" s="5"/>
    </row>
    <row r="40" spans="2:6" ht="15" customHeight="1">
      <c r="B40" s="404">
        <v>37</v>
      </c>
      <c r="D40" s="5">
        <f t="shared" si="0"/>
        <v>0</v>
      </c>
      <c r="E40" s="90"/>
      <c r="F40" s="5"/>
    </row>
    <row r="41" spans="2:6" ht="15" customHeight="1">
      <c r="B41" s="404">
        <v>38</v>
      </c>
      <c r="D41" s="5">
        <f t="shared" si="0"/>
        <v>0</v>
      </c>
      <c r="E41" s="90"/>
      <c r="F41" s="5"/>
    </row>
    <row r="42" spans="2:6" ht="15" customHeight="1">
      <c r="B42" s="404">
        <v>39</v>
      </c>
      <c r="D42" s="5">
        <f t="shared" si="0"/>
        <v>0</v>
      </c>
      <c r="E42" s="90"/>
      <c r="F42" s="5"/>
    </row>
    <row r="43" spans="2:6" ht="15" customHeight="1">
      <c r="B43" s="404">
        <v>40</v>
      </c>
      <c r="D43" s="5">
        <f t="shared" si="0"/>
        <v>0</v>
      </c>
      <c r="E43" s="90"/>
      <c r="F43" s="5"/>
    </row>
    <row r="44" spans="2:6" ht="15" customHeight="1">
      <c r="B44" s="404">
        <v>41</v>
      </c>
      <c r="D44" s="5">
        <f t="shared" si="0"/>
        <v>0</v>
      </c>
      <c r="E44" s="90"/>
      <c r="F44" s="5"/>
    </row>
    <row r="45" spans="2:6" ht="15" customHeight="1">
      <c r="B45" s="404">
        <v>42</v>
      </c>
      <c r="D45" s="5">
        <f t="shared" si="0"/>
        <v>0</v>
      </c>
      <c r="E45" s="90"/>
      <c r="F45" s="5"/>
    </row>
    <row r="46" spans="2:6" ht="15" customHeight="1">
      <c r="B46" s="404">
        <v>43</v>
      </c>
      <c r="D46" s="5">
        <f t="shared" si="0"/>
        <v>0</v>
      </c>
      <c r="E46" s="90"/>
      <c r="F46" s="5"/>
    </row>
    <row r="47" spans="2:6" ht="15" customHeight="1">
      <c r="B47" s="404">
        <v>44</v>
      </c>
      <c r="D47" s="5">
        <f t="shared" si="0"/>
        <v>0</v>
      </c>
      <c r="E47" s="90"/>
      <c r="F47" s="5"/>
    </row>
    <row r="48" spans="2:6" ht="15" customHeight="1">
      <c r="B48" s="404">
        <v>45</v>
      </c>
      <c r="D48" s="5">
        <f t="shared" si="0"/>
        <v>0</v>
      </c>
      <c r="E48" s="90"/>
      <c r="F48" s="5"/>
    </row>
    <row r="49" spans="2:6" ht="15" customHeight="1">
      <c r="B49" s="404">
        <v>46</v>
      </c>
      <c r="D49" s="5">
        <f t="shared" si="0"/>
        <v>0</v>
      </c>
      <c r="E49" s="90"/>
      <c r="F49" s="5"/>
    </row>
    <row r="50" spans="2:6" ht="15" customHeight="1">
      <c r="B50" s="404">
        <v>47</v>
      </c>
      <c r="D50" s="5">
        <f t="shared" si="0"/>
        <v>0</v>
      </c>
      <c r="E50" s="90"/>
      <c r="F50" s="5"/>
    </row>
    <row r="51" spans="2:6" ht="15" customHeight="1">
      <c r="B51" s="404">
        <v>48</v>
      </c>
      <c r="D51" s="5">
        <f t="shared" si="0"/>
        <v>0</v>
      </c>
      <c r="E51" s="90"/>
      <c r="F51" s="5"/>
    </row>
    <row r="52" spans="2:6" ht="15" customHeight="1">
      <c r="B52" s="404">
        <v>49</v>
      </c>
      <c r="D52" s="5">
        <f t="shared" si="0"/>
        <v>0</v>
      </c>
      <c r="E52" s="90"/>
      <c r="F52" s="5"/>
    </row>
    <row r="53" spans="2:6" ht="15" customHeight="1">
      <c r="B53" s="404">
        <v>50</v>
      </c>
      <c r="D53" s="5">
        <f t="shared" si="0"/>
        <v>0</v>
      </c>
      <c r="E53" s="90"/>
      <c r="F53" s="5"/>
    </row>
  </sheetData>
  <mergeCells count="19">
    <mergeCell ref="AJ2:AK2"/>
    <mergeCell ref="AM2:AM3"/>
    <mergeCell ref="AN2:AN3"/>
    <mergeCell ref="AP2:AP3"/>
    <mergeCell ref="AO2:AO3"/>
    <mergeCell ref="AL2:AL3"/>
    <mergeCell ref="AB4:AB9"/>
    <mergeCell ref="AD2:AG2"/>
    <mergeCell ref="AB2:AB3"/>
    <mergeCell ref="AC2:AC3"/>
    <mergeCell ref="AA2:AA3"/>
    <mergeCell ref="AA4:AA9"/>
    <mergeCell ref="J19:J20"/>
    <mergeCell ref="E2:F2"/>
    <mergeCell ref="C2:C3"/>
    <mergeCell ref="B2:B3"/>
    <mergeCell ref="H19:H20"/>
    <mergeCell ref="I19:I20"/>
    <mergeCell ref="D2:D3"/>
  </mergeCells>
  <phoneticPr fontId="1" type="noConversion"/>
  <pageMargins left="0.7" right="0.7" top="0.75" bottom="0.75" header="0.3" footer="0.3"/>
  <pageSetup paperSize="9" orientation="portrait" horizontalDpi="200" verticalDpi="200" r:id="rId1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rgb="FF66CCFF"/>
  </sheetPr>
  <dimension ref="B1:AF24"/>
  <sheetViews>
    <sheetView workbookViewId="0">
      <selection activeCell="J40" sqref="J40"/>
    </sheetView>
  </sheetViews>
  <sheetFormatPr defaultColWidth="9" defaultRowHeight="15" customHeight="1"/>
  <cols>
    <col min="1" max="1" width="9" style="2"/>
    <col min="2" max="2" width="10.42578125" style="13" customWidth="1"/>
    <col min="3" max="3" width="10.42578125" style="133" customWidth="1"/>
    <col min="4" max="4" width="17.28515625" style="2" customWidth="1"/>
    <col min="5" max="6" width="9" style="2"/>
    <col min="7" max="7" width="13.140625" style="2" customWidth="1"/>
    <col min="8" max="8" width="15.140625" style="2" customWidth="1"/>
    <col min="9" max="9" width="13.140625" style="133" customWidth="1"/>
    <col min="10" max="10" width="38.140625" style="361" customWidth="1"/>
    <col min="11" max="11" width="9" style="2"/>
    <col min="12" max="12" width="9" style="352"/>
    <col min="13" max="14" width="9" style="133"/>
    <col min="15" max="16384" width="9" style="2"/>
  </cols>
  <sheetData>
    <row r="1" spans="2:32" ht="15" customHeight="1">
      <c r="C1" s="157"/>
      <c r="J1" s="157"/>
    </row>
    <row r="2" spans="2:32" ht="30" customHeight="1">
      <c r="C2" s="157"/>
      <c r="J2" s="157"/>
    </row>
    <row r="3" spans="2:32" s="34" customFormat="1" ht="30" customHeight="1">
      <c r="B3" s="34" t="s">
        <v>123</v>
      </c>
      <c r="C3" s="158" t="s">
        <v>193</v>
      </c>
      <c r="D3" s="34" t="s">
        <v>124</v>
      </c>
      <c r="F3" s="34" t="s">
        <v>191</v>
      </c>
      <c r="G3" s="34" t="s">
        <v>192</v>
      </c>
      <c r="L3" s="351" t="s">
        <v>969</v>
      </c>
      <c r="M3" s="158" t="s">
        <v>970</v>
      </c>
      <c r="N3" s="158" t="s">
        <v>981</v>
      </c>
      <c r="O3" s="351" t="s">
        <v>972</v>
      </c>
      <c r="P3" s="351" t="s">
        <v>973</v>
      </c>
      <c r="Q3" s="351" t="s">
        <v>974</v>
      </c>
      <c r="R3" s="351" t="s">
        <v>975</v>
      </c>
      <c r="S3" s="351" t="s">
        <v>976</v>
      </c>
      <c r="T3" s="351" t="s">
        <v>977</v>
      </c>
      <c r="U3" s="351" t="s">
        <v>978</v>
      </c>
      <c r="V3" s="351" t="s">
        <v>979</v>
      </c>
      <c r="X3" s="351" t="s">
        <v>980</v>
      </c>
      <c r="Y3" s="158" t="s">
        <v>970</v>
      </c>
      <c r="Z3" s="158" t="s">
        <v>981</v>
      </c>
      <c r="AA3" s="351" t="s">
        <v>972</v>
      </c>
      <c r="AB3" s="351" t="s">
        <v>975</v>
      </c>
      <c r="AC3" s="351" t="s">
        <v>976</v>
      </c>
      <c r="AD3" s="351" t="s">
        <v>977</v>
      </c>
      <c r="AE3" s="351" t="s">
        <v>978</v>
      </c>
      <c r="AF3" s="351" t="s">
        <v>979</v>
      </c>
    </row>
    <row r="4" spans="2:32" ht="15" customHeight="1">
      <c r="B4" s="13">
        <v>1</v>
      </c>
      <c r="C4" s="133">
        <v>3.472222222222222E-3</v>
      </c>
      <c r="F4" s="2">
        <v>1</v>
      </c>
      <c r="L4" s="352" t="s">
        <v>971</v>
      </c>
      <c r="M4" s="133">
        <v>8.6805555555555559E-3</v>
      </c>
      <c r="O4" s="2">
        <v>3200</v>
      </c>
      <c r="P4" s="2">
        <v>2000</v>
      </c>
      <c r="Q4" s="2">
        <v>2000</v>
      </c>
      <c r="R4" s="2">
        <v>8000</v>
      </c>
      <c r="V4" s="2">
        <v>1600</v>
      </c>
    </row>
    <row r="5" spans="2:32" ht="15" customHeight="1">
      <c r="B5" s="121">
        <v>2</v>
      </c>
      <c r="C5" s="133">
        <v>4.1666666666666666E-3</v>
      </c>
      <c r="D5" s="2">
        <v>10000</v>
      </c>
      <c r="F5" s="2">
        <v>2</v>
      </c>
    </row>
    <row r="6" spans="2:32" ht="15" customHeight="1">
      <c r="B6" s="121">
        <v>3</v>
      </c>
      <c r="C6" s="133">
        <v>4.8611111111111103E-3</v>
      </c>
      <c r="D6" s="2">
        <v>10000</v>
      </c>
      <c r="F6" s="2">
        <v>3</v>
      </c>
    </row>
    <row r="7" spans="2:32" ht="15" customHeight="1">
      <c r="B7" s="121">
        <v>4</v>
      </c>
      <c r="C7" s="133">
        <v>5.5555555555555497E-3</v>
      </c>
      <c r="D7" s="2">
        <v>10000</v>
      </c>
      <c r="F7" s="2">
        <v>4</v>
      </c>
      <c r="G7" s="2">
        <v>100000</v>
      </c>
    </row>
    <row r="8" spans="2:32" ht="15" customHeight="1">
      <c r="B8" s="121">
        <v>5</v>
      </c>
      <c r="C8" s="133">
        <v>6.2499999999999995E-3</v>
      </c>
      <c r="D8" s="2">
        <v>10000</v>
      </c>
      <c r="F8" s="2">
        <v>5</v>
      </c>
    </row>
    <row r="9" spans="2:32" ht="15" customHeight="1">
      <c r="B9" s="121">
        <v>6</v>
      </c>
      <c r="C9" s="133">
        <v>6.9444444444444441E-3</v>
      </c>
      <c r="D9" s="2">
        <v>10000</v>
      </c>
      <c r="F9" s="2">
        <v>6</v>
      </c>
      <c r="G9" s="2">
        <v>500000</v>
      </c>
    </row>
    <row r="10" spans="2:32" ht="15" customHeight="1">
      <c r="B10" s="121">
        <v>7</v>
      </c>
      <c r="F10" s="2">
        <v>7</v>
      </c>
      <c r="G10" s="2">
        <v>1000000</v>
      </c>
    </row>
    <row r="11" spans="2:32" ht="15" customHeight="1">
      <c r="B11" s="121">
        <v>8</v>
      </c>
      <c r="F11" s="2">
        <v>8</v>
      </c>
    </row>
    <row r="12" spans="2:32" ht="15" customHeight="1">
      <c r="B12" s="121">
        <v>9</v>
      </c>
      <c r="F12" s="2">
        <v>9</v>
      </c>
    </row>
    <row r="13" spans="2:32" ht="15" customHeight="1">
      <c r="B13" s="121">
        <v>10</v>
      </c>
      <c r="F13" s="2">
        <v>10</v>
      </c>
    </row>
    <row r="14" spans="2:32" ht="15" customHeight="1">
      <c r="B14" s="121">
        <v>11</v>
      </c>
    </row>
    <row r="15" spans="2:32" ht="15" customHeight="1">
      <c r="B15" s="121">
        <v>12</v>
      </c>
    </row>
    <row r="16" spans="2:32" ht="15" customHeight="1">
      <c r="B16" s="121">
        <v>13</v>
      </c>
    </row>
    <row r="17" spans="2:2" ht="15" customHeight="1">
      <c r="B17" s="121">
        <v>14</v>
      </c>
    </row>
    <row r="18" spans="2:2" ht="15" customHeight="1">
      <c r="B18" s="121">
        <v>15</v>
      </c>
    </row>
    <row r="19" spans="2:2" ht="15" customHeight="1">
      <c r="B19" s="121">
        <v>16</v>
      </c>
    </row>
    <row r="20" spans="2:2" ht="15" customHeight="1">
      <c r="B20" s="121">
        <v>17</v>
      </c>
    </row>
    <row r="21" spans="2:2" ht="15" customHeight="1">
      <c r="B21" s="121">
        <v>18</v>
      </c>
    </row>
    <row r="22" spans="2:2" ht="15" customHeight="1">
      <c r="B22" s="121">
        <v>19</v>
      </c>
    </row>
    <row r="23" spans="2:2" ht="15" customHeight="1">
      <c r="B23" s="121">
        <v>20</v>
      </c>
    </row>
    <row r="24" spans="2:2" ht="15" customHeight="1">
      <c r="B24" s="121">
        <v>21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54</vt:i4>
      </vt:variant>
    </vt:vector>
  </HeadingPairs>
  <TitlesOfParts>
    <vt:vector size="70" baseType="lpstr">
      <vt:lpstr>Reward and Cost</vt:lpstr>
      <vt:lpstr>Construction Sequence</vt:lpstr>
      <vt:lpstr>Free Speed Ups</vt:lpstr>
      <vt:lpstr>Free Gold</vt:lpstr>
      <vt:lpstr>Rss-Time Scarcity</vt:lpstr>
      <vt:lpstr>Rss Output, Overload</vt:lpstr>
      <vt:lpstr>Silver Supply</vt:lpstr>
      <vt:lpstr>Level Up Time</vt:lpstr>
      <vt:lpstr>March</vt:lpstr>
      <vt:lpstr>Leader Board</vt:lpstr>
      <vt:lpstr>Store</vt:lpstr>
      <vt:lpstr>Construction</vt:lpstr>
      <vt:lpstr>Research</vt:lpstr>
      <vt:lpstr>Troop</vt:lpstr>
      <vt:lpstr>Hero</vt:lpstr>
      <vt:lpstr>Alliance</vt:lpstr>
      <vt:lpstr>Alliance</vt:lpstr>
      <vt:lpstr>Battle</vt:lpstr>
      <vt:lpstr>Casino</vt:lpstr>
      <vt:lpstr>CATEGORY</vt:lpstr>
      <vt:lpstr>Construction</vt:lpstr>
      <vt:lpstr>Construction_BuildingCost_Food</vt:lpstr>
      <vt:lpstr>Construction_BuildingCost_Ore</vt:lpstr>
      <vt:lpstr>Construction_BuildingCost_Stone</vt:lpstr>
      <vt:lpstr>Construction_BuildingCost_Wood</vt:lpstr>
      <vt:lpstr>Construction_BuildingReward_HeroXP</vt:lpstr>
      <vt:lpstr>Construction_BuildingReward_Power</vt:lpstr>
      <vt:lpstr>Construction_Name_and_Level</vt:lpstr>
      <vt:lpstr>Construction_ProtectedAmountOfEachRssByStorehouse</vt:lpstr>
      <vt:lpstr>Construction_QuestReward_Food</vt:lpstr>
      <vt:lpstr>Construction_QuestReward_HeroXP</vt:lpstr>
      <vt:lpstr>Construction_QuestReward_Ore</vt:lpstr>
      <vt:lpstr>Construction_QuestReward_Power</vt:lpstr>
      <vt:lpstr>Construction_QuestReward_Silver</vt:lpstr>
      <vt:lpstr>Construction_QuestReward_Stone</vt:lpstr>
      <vt:lpstr>Construction_QuestReward_Wood</vt:lpstr>
      <vt:lpstr>Construction_Time</vt:lpstr>
      <vt:lpstr>Craft</vt:lpstr>
      <vt:lpstr>Event</vt:lpstr>
      <vt:lpstr>Friend</vt:lpstr>
      <vt:lpstr>Gift</vt:lpstr>
      <vt:lpstr>Level_Up</vt:lpstr>
      <vt:lpstr>Quest</vt:lpstr>
      <vt:lpstr>Research</vt:lpstr>
      <vt:lpstr>Research_Name_and_Level</vt:lpstr>
      <vt:lpstr>Research_QuestReward_Food</vt:lpstr>
      <vt:lpstr>Research_QuestReward_HeroXP</vt:lpstr>
      <vt:lpstr>Research_QuestReward_Ore</vt:lpstr>
      <vt:lpstr>Research_QuestReward_Power</vt:lpstr>
      <vt:lpstr>Research_QuestReward_Silver</vt:lpstr>
      <vt:lpstr>Research_QuestReward_Stone</vt:lpstr>
      <vt:lpstr>Research_QuestReward_Wood</vt:lpstr>
      <vt:lpstr>Research_Research_Name_and_Level</vt:lpstr>
      <vt:lpstr>Research_ResearchCost_Food</vt:lpstr>
      <vt:lpstr>Research_ResearchCost_Ore</vt:lpstr>
      <vt:lpstr>Research_ResearchCost_Silver</vt:lpstr>
      <vt:lpstr>Research_ResearchCost_Stone</vt:lpstr>
      <vt:lpstr>Research_ResearchCost_Wood</vt:lpstr>
      <vt:lpstr>Research_ResearchReward_HeroXP</vt:lpstr>
      <vt:lpstr>Research_ResearchReward_Power</vt:lpstr>
      <vt:lpstr>Research_Time</vt:lpstr>
      <vt:lpstr>Store</vt:lpstr>
      <vt:lpstr>Training</vt:lpstr>
      <vt:lpstr>Troop_Name</vt:lpstr>
      <vt:lpstr>Troop_TrainingCost_Food</vt:lpstr>
      <vt:lpstr>Troop_TrainingCost_Ore</vt:lpstr>
      <vt:lpstr>Troop_TrainingCost_Silver</vt:lpstr>
      <vt:lpstr>Troop_TrainingCost_Stone</vt:lpstr>
      <vt:lpstr>Troop_TrainingCost_Wood</vt:lpstr>
      <vt:lpstr>Troop_TrainingReward_Power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kabam</cp:lastModifiedBy>
  <dcterms:created xsi:type="dcterms:W3CDTF">2006-09-13T11:21:51Z</dcterms:created>
  <dcterms:modified xsi:type="dcterms:W3CDTF">2014-09-01T07:57:53Z</dcterms:modified>
</cp:coreProperties>
</file>
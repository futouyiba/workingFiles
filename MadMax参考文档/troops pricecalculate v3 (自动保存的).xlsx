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8625" windowHeight="6240" activeTab="2"/>
  </bookViews>
  <sheets>
    <sheet name="兵力属性" sheetId="2" r:id="rId1"/>
    <sheet name="兵力对比" sheetId="3" r:id="rId2"/>
    <sheet name="兵力精算" sheetId="4" r:id="rId3"/>
    <sheet name="阶段划分" sheetId="5" r:id="rId4"/>
    <sheet name="出售价格" sheetId="6" r:id="rId5"/>
  </sheets>
  <calcPr calcId="124519"/>
  <fileRecoveryPr repairLoad="1"/>
</workbook>
</file>

<file path=xl/calcChain.xml><?xml version="1.0" encoding="utf-8"?>
<calcChain xmlns="http://schemas.openxmlformats.org/spreadsheetml/2006/main">
  <c r="B30" i="4"/>
  <c r="C30"/>
  <c r="D30"/>
  <c r="E30"/>
  <c r="E29"/>
  <c r="D29"/>
  <c r="C29"/>
  <c r="B29"/>
  <c r="H30"/>
  <c r="F30"/>
  <c r="F29"/>
  <c r="G30" l="1"/>
  <c r="I29"/>
  <c r="I30" l="1"/>
  <c r="V3" l="1"/>
  <c r="X3" s="1"/>
  <c r="V2"/>
  <c r="X2" s="1"/>
  <c r="R2"/>
  <c r="W3"/>
  <c r="AG2"/>
  <c r="P2" s="1"/>
  <c r="E6" i="6"/>
  <c r="E7" s="1"/>
  <c r="E8" s="1"/>
  <c r="E9" s="1"/>
  <c r="E10" s="1"/>
  <c r="E11" s="1"/>
  <c r="E12" s="1"/>
  <c r="E13" s="1"/>
  <c r="E14" s="1"/>
  <c r="E15" s="1"/>
  <c r="E5"/>
  <c r="W2" i="4" l="1"/>
  <c r="D2" i="5"/>
  <c r="D3"/>
  <c r="D4"/>
  <c r="D5"/>
  <c r="D6"/>
  <c r="D7"/>
  <c r="D8"/>
  <c r="D9"/>
  <c r="D10"/>
  <c r="D11"/>
  <c r="D12"/>
  <c r="D13"/>
  <c r="D14"/>
  <c r="D15"/>
  <c r="D16"/>
  <c r="D17"/>
  <c r="D18"/>
  <c r="D19"/>
  <c r="D20"/>
  <c r="H3"/>
  <c r="H4"/>
  <c r="H5"/>
  <c r="H6"/>
  <c r="H2"/>
  <c r="M2" i="2" l="1"/>
  <c r="M3" i="4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"/>
  <c r="O3" l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"/>
  <c r="N24"/>
  <c r="N18"/>
  <c r="N16"/>
  <c r="N12"/>
  <c r="N7"/>
  <c r="N25"/>
  <c r="N20"/>
  <c r="N3"/>
  <c r="N4"/>
  <c r="N5"/>
  <c r="N6"/>
  <c r="N8"/>
  <c r="N9"/>
  <c r="N10"/>
  <c r="N11"/>
  <c r="N13"/>
  <c r="N14"/>
  <c r="N15"/>
  <c r="N17"/>
  <c r="N19"/>
  <c r="N21"/>
  <c r="N22"/>
  <c r="N23"/>
  <c r="N2"/>
  <c r="P25"/>
  <c r="Q25" s="1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"/>
  <c r="P3"/>
  <c r="Q3" s="1"/>
  <c r="P4"/>
  <c r="Q4" s="1"/>
  <c r="P5"/>
  <c r="Q5" s="1"/>
  <c r="P6"/>
  <c r="Q6" s="1"/>
  <c r="P7"/>
  <c r="Q7" s="1"/>
  <c r="P8"/>
  <c r="Q8" s="1"/>
  <c r="P9"/>
  <c r="Q9" s="1"/>
  <c r="P10"/>
  <c r="Q10" s="1"/>
  <c r="P11"/>
  <c r="Q11" s="1"/>
  <c r="P12"/>
  <c r="Q12" s="1"/>
  <c r="P13"/>
  <c r="Q13" s="1"/>
  <c r="P14"/>
  <c r="Q14" s="1"/>
  <c r="P15"/>
  <c r="Q15" s="1"/>
  <c r="P16"/>
  <c r="Q16" s="1"/>
  <c r="P17"/>
  <c r="Q17" s="1"/>
  <c r="P18"/>
  <c r="Q18" s="1"/>
  <c r="P19"/>
  <c r="Q19" s="1"/>
  <c r="P20"/>
  <c r="Q20" s="1"/>
  <c r="P21"/>
  <c r="Q21" s="1"/>
  <c r="P22"/>
  <c r="Q22" s="1"/>
  <c r="P23"/>
  <c r="Q23" s="1"/>
  <c r="P24"/>
  <c r="Q24" s="1"/>
  <c r="Q2"/>
  <c r="R3" l="1"/>
  <c r="S3" s="1"/>
  <c r="T3" s="1"/>
  <c r="R4"/>
  <c r="S4" s="1"/>
  <c r="T4" s="1"/>
  <c r="R5"/>
  <c r="S5" s="1"/>
  <c r="T5" s="1"/>
  <c r="R6"/>
  <c r="S6" s="1"/>
  <c r="T6" s="1"/>
  <c r="R7"/>
  <c r="S7" s="1"/>
  <c r="T7" s="1"/>
  <c r="R8"/>
  <c r="S8" s="1"/>
  <c r="T8" s="1"/>
  <c r="R9"/>
  <c r="S9" s="1"/>
  <c r="T9" s="1"/>
  <c r="R10"/>
  <c r="S10" s="1"/>
  <c r="T10" s="1"/>
  <c r="R11"/>
  <c r="S11" s="1"/>
  <c r="T11" s="1"/>
  <c r="R12"/>
  <c r="S12" s="1"/>
  <c r="T12" s="1"/>
  <c r="R13"/>
  <c r="S13" s="1"/>
  <c r="T13" s="1"/>
  <c r="R14"/>
  <c r="S14" s="1"/>
  <c r="T14" s="1"/>
  <c r="R15"/>
  <c r="S15" s="1"/>
  <c r="T15" s="1"/>
  <c r="R16"/>
  <c r="S16" s="1"/>
  <c r="T16" s="1"/>
  <c r="R17"/>
  <c r="S17" s="1"/>
  <c r="T17" s="1"/>
  <c r="R18"/>
  <c r="S18" s="1"/>
  <c r="T18" s="1"/>
  <c r="R19"/>
  <c r="S19" s="1"/>
  <c r="T19" s="1"/>
  <c r="R20"/>
  <c r="S20" s="1"/>
  <c r="T20" s="1"/>
  <c r="R21"/>
  <c r="S21" s="1"/>
  <c r="T21" s="1"/>
  <c r="R22"/>
  <c r="S22" s="1"/>
  <c r="T22" s="1"/>
  <c r="R23"/>
  <c r="S23" s="1"/>
  <c r="T23" s="1"/>
  <c r="R24"/>
  <c r="S24" s="1"/>
  <c r="T24" s="1"/>
  <c r="R25"/>
  <c r="S25" s="1"/>
  <c r="T25" s="1"/>
  <c r="S2"/>
  <c r="T2" s="1"/>
  <c r="V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3" i="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"/>
  <c r="H25"/>
  <c r="D29"/>
  <c r="T25"/>
  <c r="P25"/>
  <c r="X15" i="4" l="1"/>
  <c r="W15"/>
  <c r="X7"/>
  <c r="W7"/>
  <c r="W24"/>
  <c r="X24"/>
  <c r="W12"/>
  <c r="X12"/>
  <c r="W4"/>
  <c r="X4"/>
  <c r="X19"/>
  <c r="W19"/>
  <c r="W25"/>
  <c r="X25"/>
  <c r="W20"/>
  <c r="X20"/>
  <c r="X21"/>
  <c r="W21"/>
  <c r="X13"/>
  <c r="W13"/>
  <c r="W9"/>
  <c r="X9"/>
  <c r="X5"/>
  <c r="W5"/>
  <c r="X23"/>
  <c r="W23"/>
  <c r="X11"/>
  <c r="W11"/>
  <c r="W16"/>
  <c r="X16"/>
  <c r="W8"/>
  <c r="X8"/>
  <c r="W17"/>
  <c r="X17"/>
  <c r="X22"/>
  <c r="W22"/>
  <c r="X18"/>
  <c r="W18"/>
  <c r="X14"/>
  <c r="W14"/>
  <c r="X10"/>
  <c r="W10"/>
  <c r="X6"/>
  <c r="W6"/>
  <c r="N25" i="3"/>
  <c r="O25" s="1"/>
  <c r="U25" s="1"/>
  <c r="M24"/>
  <c r="J24"/>
  <c r="I24"/>
  <c r="H24"/>
  <c r="M23"/>
  <c r="J23"/>
  <c r="I23"/>
  <c r="H23"/>
  <c r="M22"/>
  <c r="J22"/>
  <c r="I22"/>
  <c r="H22"/>
  <c r="M21"/>
  <c r="J21"/>
  <c r="I21"/>
  <c r="H21"/>
  <c r="M20"/>
  <c r="J20"/>
  <c r="I20"/>
  <c r="H20"/>
  <c r="M19"/>
  <c r="J19"/>
  <c r="I19"/>
  <c r="H19"/>
  <c r="M18"/>
  <c r="J18"/>
  <c r="I18"/>
  <c r="H18"/>
  <c r="M17"/>
  <c r="J17"/>
  <c r="I17"/>
  <c r="H17"/>
  <c r="M16"/>
  <c r="J16"/>
  <c r="I16"/>
  <c r="H16"/>
  <c r="M15"/>
  <c r="J15"/>
  <c r="I15"/>
  <c r="H15"/>
  <c r="M14"/>
  <c r="J14"/>
  <c r="I14"/>
  <c r="H14"/>
  <c r="M13"/>
  <c r="J13"/>
  <c r="I13"/>
  <c r="H13"/>
  <c r="M12"/>
  <c r="J12"/>
  <c r="I12"/>
  <c r="H12"/>
  <c r="M11"/>
  <c r="J11"/>
  <c r="I11"/>
  <c r="H11"/>
  <c r="M10"/>
  <c r="J10"/>
  <c r="I10"/>
  <c r="H10"/>
  <c r="M9"/>
  <c r="J9"/>
  <c r="I9"/>
  <c r="H9"/>
  <c r="M8"/>
  <c r="J8"/>
  <c r="I8"/>
  <c r="H8"/>
  <c r="M7"/>
  <c r="J7"/>
  <c r="I7"/>
  <c r="H7"/>
  <c r="M6"/>
  <c r="J6"/>
  <c r="I6"/>
  <c r="H6"/>
  <c r="M5"/>
  <c r="J5"/>
  <c r="I5"/>
  <c r="H5"/>
  <c r="M4"/>
  <c r="J4"/>
  <c r="I4"/>
  <c r="H4"/>
  <c r="M3"/>
  <c r="J3"/>
  <c r="I3"/>
  <c r="H3"/>
  <c r="M2"/>
  <c r="J2"/>
  <c r="T2" s="1"/>
  <c r="I2"/>
  <c r="H2"/>
  <c r="P2" l="1"/>
  <c r="P3"/>
  <c r="P4"/>
  <c r="P8"/>
  <c r="T9"/>
  <c r="T10"/>
  <c r="U10" s="1"/>
  <c r="P12"/>
  <c r="P16"/>
  <c r="P20"/>
  <c r="T21"/>
  <c r="U21" s="1"/>
  <c r="T22"/>
  <c r="P24"/>
  <c r="T5"/>
  <c r="T6"/>
  <c r="P15"/>
  <c r="P19"/>
  <c r="P7"/>
  <c r="T17"/>
  <c r="U17" s="1"/>
  <c r="T18"/>
  <c r="T13"/>
  <c r="U13" s="1"/>
  <c r="T14"/>
  <c r="P11"/>
  <c r="T3"/>
  <c r="U3" s="1"/>
  <c r="P5"/>
  <c r="T7"/>
  <c r="U7" s="1"/>
  <c r="P9"/>
  <c r="T11"/>
  <c r="U11" s="1"/>
  <c r="P13"/>
  <c r="P17"/>
  <c r="T19"/>
  <c r="U19" s="1"/>
  <c r="P21"/>
  <c r="T23"/>
  <c r="U23" s="1"/>
  <c r="P23"/>
  <c r="T4"/>
  <c r="U4" s="1"/>
  <c r="P6"/>
  <c r="T8"/>
  <c r="U8" s="1"/>
  <c r="P10"/>
  <c r="T12"/>
  <c r="U12" s="1"/>
  <c r="P14"/>
  <c r="T16"/>
  <c r="U16" s="1"/>
  <c r="P18"/>
  <c r="T20"/>
  <c r="U20" s="1"/>
  <c r="P22"/>
  <c r="T24"/>
  <c r="U18"/>
  <c r="U22"/>
  <c r="U9"/>
  <c r="U14"/>
  <c r="U5"/>
  <c r="U2"/>
  <c r="U6"/>
  <c r="U24"/>
  <c r="S25"/>
  <c r="R25" s="1"/>
  <c r="T15"/>
  <c r="U15" s="1"/>
  <c r="N2"/>
  <c r="R2" s="1"/>
  <c r="N3"/>
  <c r="R3" s="1"/>
  <c r="N4"/>
  <c r="R4" s="1"/>
  <c r="N5"/>
  <c r="R5" s="1"/>
  <c r="N6"/>
  <c r="R6" s="1"/>
  <c r="N7"/>
  <c r="R7" s="1"/>
  <c r="N8"/>
  <c r="R8" s="1"/>
  <c r="N9"/>
  <c r="R9" s="1"/>
  <c r="N10"/>
  <c r="R10" s="1"/>
  <c r="N11"/>
  <c r="R11" s="1"/>
  <c r="N12"/>
  <c r="R12" s="1"/>
  <c r="N13"/>
  <c r="R13" s="1"/>
  <c r="N14"/>
  <c r="R14" s="1"/>
  <c r="N15"/>
  <c r="R15" s="1"/>
  <c r="N16"/>
  <c r="R16" s="1"/>
  <c r="N17"/>
  <c r="R17" s="1"/>
  <c r="N18"/>
  <c r="R18" s="1"/>
  <c r="N19"/>
  <c r="R19" s="1"/>
  <c r="N20"/>
  <c r="R20" s="1"/>
  <c r="N21"/>
  <c r="R21" s="1"/>
  <c r="N22"/>
  <c r="R22" s="1"/>
  <c r="N23"/>
  <c r="R23" s="1"/>
  <c r="N24"/>
  <c r="R24" s="1"/>
  <c r="O23" l="1"/>
  <c r="O21"/>
  <c r="O19"/>
  <c r="O17"/>
  <c r="O15"/>
  <c r="O13"/>
  <c r="O11"/>
  <c r="O9"/>
  <c r="O7"/>
  <c r="O5"/>
  <c r="O3"/>
  <c r="S24"/>
  <c r="S22"/>
  <c r="S20"/>
  <c r="S18"/>
  <c r="S17"/>
  <c r="S16"/>
  <c r="S15"/>
  <c r="S14"/>
  <c r="S13"/>
  <c r="S12"/>
  <c r="S11"/>
  <c r="S10"/>
  <c r="S9"/>
  <c r="S8"/>
  <c r="S7"/>
  <c r="S6"/>
  <c r="S5"/>
  <c r="S4"/>
  <c r="S3"/>
  <c r="O2"/>
  <c r="O24"/>
  <c r="O22"/>
  <c r="O20"/>
  <c r="O18"/>
  <c r="O16"/>
  <c r="O14"/>
  <c r="O12"/>
  <c r="O10"/>
  <c r="O8"/>
  <c r="O6"/>
  <c r="O4"/>
  <c r="S2"/>
  <c r="S23"/>
  <c r="S21"/>
  <c r="S19"/>
</calcChain>
</file>

<file path=xl/sharedStrings.xml><?xml version="1.0" encoding="utf-8"?>
<sst xmlns="http://schemas.openxmlformats.org/spreadsheetml/2006/main" count="258" uniqueCount="123">
  <si>
    <t>SwiftStrikeDragon</t>
  </si>
  <si>
    <t>Unit</t>
  </si>
  <si>
    <t>ArmoredTransport</t>
  </si>
  <si>
    <t>FireMirror</t>
  </si>
  <si>
    <t>Fangtooth</t>
  </si>
  <si>
    <t>Conscript</t>
  </si>
  <si>
    <t>LavaJaw</t>
  </si>
  <si>
    <t>Giant</t>
  </si>
  <si>
    <t>Porter</t>
  </si>
  <si>
    <t>Spy</t>
  </si>
  <si>
    <t>Halberdsman</t>
  </si>
  <si>
    <t>Minotaur</t>
  </si>
  <si>
    <t>Longbowman</t>
  </si>
  <si>
    <t>BattleDragon</t>
  </si>
  <si>
    <t>NightshadeDragonTroop</t>
  </si>
  <si>
    <t>Ranged Damage</t>
  </si>
  <si>
    <t>Melee Damage</t>
  </si>
  <si>
    <t>Defense</t>
  </si>
  <si>
    <t>Life</t>
  </si>
  <si>
    <t>Speed</t>
  </si>
  <si>
    <t>Range</t>
  </si>
  <si>
    <t>Load</t>
  </si>
  <si>
    <t>Upkeep</t>
  </si>
  <si>
    <t>Might</t>
  </si>
  <si>
    <t>Unit Training Time</t>
  </si>
  <si>
    <t>BlackholeOne</t>
  </si>
  <si>
    <t>Shredder</t>
  </si>
  <si>
    <t>Rager</t>
  </si>
  <si>
    <t>Cannibal</t>
  </si>
  <si>
    <t>Chieftan</t>
  </si>
  <si>
    <t>Brat</t>
  </si>
  <si>
    <t>SheDevil</t>
  </si>
  <si>
    <t>Clubber</t>
  </si>
  <si>
    <t>Blood</t>
  </si>
  <si>
    <t>Hurler</t>
  </si>
  <si>
    <t>Stench</t>
  </si>
  <si>
    <t>EarthDragonTroop</t>
  </si>
  <si>
    <t>FireDragonTroop</t>
  </si>
  <si>
    <t>VengeWyrm</t>
  </si>
  <si>
    <t>LightingCannon</t>
  </si>
  <si>
    <t>StormDrake</t>
  </si>
  <si>
    <t>PetrifiedTitan</t>
  </si>
  <si>
    <t>DimensionalRuiner</t>
  </si>
  <si>
    <t>DragonCavalier</t>
  </si>
  <si>
    <t>ArcticLeviathan</t>
    <phoneticPr fontId="1" type="noConversion"/>
  </si>
  <si>
    <t>basic unit 1</t>
    <phoneticPr fontId="1" type="noConversion"/>
  </si>
  <si>
    <t>Damage</t>
    <phoneticPr fontId="1" type="noConversion"/>
  </si>
  <si>
    <t>damage</t>
    <phoneticPr fontId="1" type="noConversion"/>
  </si>
  <si>
    <t>price</t>
    <phoneticPr fontId="1" type="noConversion"/>
  </si>
  <si>
    <t>attack</t>
    <phoneticPr fontId="1" type="noConversion"/>
  </si>
  <si>
    <t>average defense value</t>
    <phoneticPr fontId="1" type="noConversion"/>
  </si>
  <si>
    <t>average attack value</t>
    <phoneticPr fontId="1" type="noConversion"/>
  </si>
  <si>
    <t>new troop</t>
    <phoneticPr fontId="1" type="noConversion"/>
  </si>
  <si>
    <t>1 power attack value</t>
    <phoneticPr fontId="1" type="noConversion"/>
  </si>
  <si>
    <t>fighting capacity</t>
    <phoneticPr fontId="1" type="noConversion"/>
  </si>
  <si>
    <t>vitality capacity</t>
    <phoneticPr fontId="1" type="noConversion"/>
  </si>
  <si>
    <t>basic unit 1</t>
  </si>
  <si>
    <t>basic unit 1</t>
    <phoneticPr fontId="1" type="noConversion"/>
  </si>
  <si>
    <t>new troops</t>
    <phoneticPr fontId="1" type="noConversion"/>
  </si>
  <si>
    <t>ArcticLeviathan</t>
    <phoneticPr fontId="1" type="noConversion"/>
  </si>
  <si>
    <t>1 power defense value</t>
    <phoneticPr fontId="1" type="noConversion"/>
  </si>
  <si>
    <t>Fangtooth</t>
    <phoneticPr fontId="1" type="noConversion"/>
  </si>
  <si>
    <t>LightingCannon</t>
    <phoneticPr fontId="1" type="noConversion"/>
  </si>
  <si>
    <t>VengeWyrm</t>
    <phoneticPr fontId="1" type="noConversion"/>
  </si>
  <si>
    <t>PetrifiedTitan</t>
    <phoneticPr fontId="1" type="noConversion"/>
  </si>
  <si>
    <t>1阶段兵</t>
    <phoneticPr fontId="1" type="noConversion"/>
  </si>
  <si>
    <t>2阶段兵</t>
    <phoneticPr fontId="1" type="noConversion"/>
  </si>
  <si>
    <t>3阶段兵</t>
    <phoneticPr fontId="1" type="noConversion"/>
  </si>
  <si>
    <t>4阶段兵</t>
  </si>
  <si>
    <t>5阶段兵</t>
  </si>
  <si>
    <t>6阶段兵</t>
  </si>
  <si>
    <t>range troops dps up</t>
    <phoneticPr fontId="1" type="noConversion"/>
  </si>
  <si>
    <t>speed</t>
    <phoneticPr fontId="1" type="noConversion"/>
  </si>
  <si>
    <t>range</t>
    <phoneticPr fontId="1" type="noConversion"/>
  </si>
  <si>
    <t>unit1</t>
    <phoneticPr fontId="1" type="noConversion"/>
  </si>
  <si>
    <t>price(ruby)</t>
    <phoneticPr fontId="1" type="noConversion"/>
  </si>
  <si>
    <t>range value</t>
    <phoneticPr fontId="1" type="noConversion"/>
  </si>
  <si>
    <t>1 power attack value(melee)</t>
    <phoneticPr fontId="1" type="noConversion"/>
  </si>
  <si>
    <t>1 power attack value(range)</t>
    <phoneticPr fontId="1" type="noConversion"/>
  </si>
  <si>
    <t>speed value</t>
    <phoneticPr fontId="1" type="noConversion"/>
  </si>
  <si>
    <t>range value</t>
    <phoneticPr fontId="1" type="noConversion"/>
  </si>
  <si>
    <t>a/d</t>
    <phoneticPr fontId="1" type="noConversion"/>
  </si>
  <si>
    <t>hp/d</t>
    <phoneticPr fontId="1" type="noConversion"/>
  </si>
  <si>
    <t>1 P A</t>
    <phoneticPr fontId="1" type="noConversion"/>
  </si>
  <si>
    <t>1 p d</t>
    <phoneticPr fontId="1" type="noConversion"/>
  </si>
  <si>
    <t>hp/a</t>
    <phoneticPr fontId="1" type="noConversion"/>
  </si>
  <si>
    <t>total A</t>
    <phoneticPr fontId="1" type="noConversion"/>
  </si>
  <si>
    <t>total defense</t>
    <phoneticPr fontId="1" type="noConversion"/>
  </si>
  <si>
    <t>stage1</t>
    <phoneticPr fontId="1" type="noConversion"/>
  </si>
  <si>
    <t>might</t>
    <phoneticPr fontId="1" type="noConversion"/>
  </si>
  <si>
    <t>stage2</t>
    <phoneticPr fontId="1" type="noConversion"/>
  </si>
  <si>
    <t>1 ruby value（power）</t>
    <phoneticPr fontId="1" type="noConversion"/>
  </si>
  <si>
    <t>stage3</t>
    <phoneticPr fontId="1" type="noConversion"/>
  </si>
  <si>
    <t>ruby/power</t>
    <phoneticPr fontId="1" type="noConversion"/>
  </si>
  <si>
    <t>500,10000</t>
    <phoneticPr fontId="1" type="noConversion"/>
  </si>
  <si>
    <t>500,5000</t>
    <phoneticPr fontId="1" type="noConversion"/>
  </si>
  <si>
    <t>quantity</t>
  </si>
  <si>
    <t>quantity</t>
    <phoneticPr fontId="1" type="noConversion"/>
  </si>
  <si>
    <t>1 ruby value（power）</t>
    <phoneticPr fontId="1" type="noConversion"/>
  </si>
  <si>
    <t>might</t>
    <phoneticPr fontId="1" type="noConversion"/>
  </si>
  <si>
    <t>data（week）</t>
    <phoneticPr fontId="1" type="noConversion"/>
  </si>
  <si>
    <r>
      <t>price</t>
    </r>
    <r>
      <rPr>
        <sz val="8.8000000000000007"/>
        <color rgb="FF333333"/>
        <rFont val="宋体"/>
        <family val="3"/>
        <charset val="134"/>
      </rPr>
      <t>（</t>
    </r>
    <r>
      <rPr>
        <sz val="8.8000000000000007"/>
        <color rgb="FF333333"/>
        <rFont val="Arial"/>
        <family val="2"/>
      </rPr>
      <t>1ruby/power</t>
    </r>
    <r>
      <rPr>
        <sz val="8.8000000000000007"/>
        <color rgb="FF333333"/>
        <rFont val="宋体"/>
        <family val="3"/>
        <charset val="134"/>
      </rPr>
      <t>）</t>
    </r>
    <phoneticPr fontId="1" type="noConversion"/>
  </si>
  <si>
    <t>1week</t>
    <phoneticPr fontId="1" type="noConversion"/>
  </si>
  <si>
    <t>2week</t>
  </si>
  <si>
    <t>3week</t>
  </si>
  <si>
    <t>4week</t>
  </si>
  <si>
    <t>5week</t>
  </si>
  <si>
    <t>6week</t>
  </si>
  <si>
    <t>7week</t>
  </si>
  <si>
    <t>8week</t>
  </si>
  <si>
    <t>9week</t>
  </si>
  <si>
    <t>10week</t>
  </si>
  <si>
    <t>11week</t>
  </si>
  <si>
    <t>12week</t>
  </si>
  <si>
    <t>count</t>
  </si>
  <si>
    <t>attack</t>
    <phoneticPr fontId="1" type="noConversion"/>
  </si>
  <si>
    <t>defense</t>
    <phoneticPr fontId="1" type="noConversion"/>
  </si>
  <si>
    <t>stage2 unit</t>
    <phoneticPr fontId="1" type="noConversion"/>
  </si>
  <si>
    <t>stage1 unit</t>
    <phoneticPr fontId="1" type="noConversion"/>
  </si>
  <si>
    <t>speed value</t>
    <phoneticPr fontId="1" type="noConversion"/>
  </si>
  <si>
    <t>stage3 unit</t>
    <phoneticPr fontId="1" type="noConversion"/>
  </si>
  <si>
    <t>range value</t>
    <phoneticPr fontId="1" type="noConversion"/>
  </si>
  <si>
    <t>count capacity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</si>
</sst>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.8000000000000007"/>
      <color rgb="FF333333"/>
      <name val="Arial"/>
      <family val="2"/>
    </font>
    <font>
      <b/>
      <sz val="8.8000000000000007"/>
      <color rgb="FF333333"/>
      <name val="Arial"/>
      <family val="2"/>
    </font>
    <font>
      <b/>
      <sz val="12"/>
      <color rgb="FF333333"/>
      <name val="Arial"/>
      <family val="2"/>
    </font>
    <font>
      <sz val="8.8000000000000007"/>
      <color rgb="FF33333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99CC"/>
        <bgColor indexed="64"/>
      </patternFill>
    </fill>
  </fills>
  <borders count="4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1583572285582998"/>
          <c:y val="5.0776692316335137E-2"/>
          <c:w val="0.67160279972536752"/>
          <c:h val="0.55101083880893109"/>
        </c:manualLayout>
      </c:layout>
      <c:lineChart>
        <c:grouping val="standard"/>
        <c:ser>
          <c:idx val="0"/>
          <c:order val="0"/>
          <c:tx>
            <c:v>1power break attack</c:v>
          </c:tx>
          <c:marker>
            <c:symbol val="none"/>
          </c:marker>
          <c:cat>
            <c:strRef>
              <c:f>兵力精算!$A$2:$A$25</c:f>
              <c:strCache>
                <c:ptCount val="24"/>
                <c:pt idx="0">
                  <c:v>Conscript</c:v>
                </c:pt>
                <c:pt idx="1">
                  <c:v>Porter</c:v>
                </c:pt>
                <c:pt idx="2">
                  <c:v>Spy</c:v>
                </c:pt>
                <c:pt idx="3">
                  <c:v>Halberdsman</c:v>
                </c:pt>
                <c:pt idx="4">
                  <c:v>Minotaur</c:v>
                </c:pt>
                <c:pt idx="5">
                  <c:v>Longbowman</c:v>
                </c:pt>
                <c:pt idx="6">
                  <c:v>SwiftStrikeDragon</c:v>
                </c:pt>
                <c:pt idx="7">
                  <c:v>BattleDragon</c:v>
                </c:pt>
                <c:pt idx="8">
                  <c:v>ArmoredTransport</c:v>
                </c:pt>
                <c:pt idx="9">
                  <c:v>Giant</c:v>
                </c:pt>
                <c:pt idx="10">
                  <c:v>FireMirror</c:v>
                </c:pt>
                <c:pt idx="11">
                  <c:v>Fangtooth</c:v>
                </c:pt>
                <c:pt idx="12">
                  <c:v>NightshadeDragonTroop</c:v>
                </c:pt>
                <c:pt idx="13">
                  <c:v>EarthDragonTroop</c:v>
                </c:pt>
                <c:pt idx="14">
                  <c:v>FireDragonTroop</c:v>
                </c:pt>
                <c:pt idx="15">
                  <c:v>VengeWyrm</c:v>
                </c:pt>
                <c:pt idx="16">
                  <c:v>LightingCannon</c:v>
                </c:pt>
                <c:pt idx="17">
                  <c:v>StormDrake</c:v>
                </c:pt>
                <c:pt idx="18">
                  <c:v>LavaJaw</c:v>
                </c:pt>
                <c:pt idx="19">
                  <c:v>PetrifiedTitan</c:v>
                </c:pt>
                <c:pt idx="20">
                  <c:v>DimensionalRuiner</c:v>
                </c:pt>
                <c:pt idx="21">
                  <c:v>DragonCavalier</c:v>
                </c:pt>
                <c:pt idx="22">
                  <c:v>ArcticLeviathan</c:v>
                </c:pt>
                <c:pt idx="23">
                  <c:v>new troops</c:v>
                </c:pt>
              </c:strCache>
            </c:strRef>
          </c:cat>
          <c:val>
            <c:numRef>
              <c:f>兵力精算!$S$2:$S$25</c:f>
              <c:numCache>
                <c:formatCode>General</c:formatCode>
                <c:ptCount val="24"/>
                <c:pt idx="0">
                  <c:v>5</c:v>
                </c:pt>
                <c:pt idx="1">
                  <c:v>0.5</c:v>
                </c:pt>
                <c:pt idx="2">
                  <c:v>1.25</c:v>
                </c:pt>
                <c:pt idx="3">
                  <c:v>10</c:v>
                </c:pt>
                <c:pt idx="4">
                  <c:v>11.666666666666666</c:v>
                </c:pt>
                <c:pt idx="5">
                  <c:v>10.666666666666666</c:v>
                </c:pt>
                <c:pt idx="6">
                  <c:v>15</c:v>
                </c:pt>
                <c:pt idx="7">
                  <c:v>42.857142857142854</c:v>
                </c:pt>
                <c:pt idx="8">
                  <c:v>0.41666666666666669</c:v>
                </c:pt>
                <c:pt idx="9">
                  <c:v>222.22222222222223</c:v>
                </c:pt>
                <c:pt idx="10">
                  <c:v>320</c:v>
                </c:pt>
                <c:pt idx="11">
                  <c:v>320</c:v>
                </c:pt>
                <c:pt idx="12">
                  <c:v>400</c:v>
                </c:pt>
                <c:pt idx="13">
                  <c:v>144.44444444444446</c:v>
                </c:pt>
                <c:pt idx="14">
                  <c:v>256</c:v>
                </c:pt>
                <c:pt idx="15">
                  <c:v>620</c:v>
                </c:pt>
                <c:pt idx="16">
                  <c:v>256</c:v>
                </c:pt>
                <c:pt idx="17">
                  <c:v>270</c:v>
                </c:pt>
                <c:pt idx="18">
                  <c:v>711.11111111111109</c:v>
                </c:pt>
                <c:pt idx="19">
                  <c:v>500</c:v>
                </c:pt>
                <c:pt idx="20">
                  <c:v>299.95</c:v>
                </c:pt>
                <c:pt idx="21">
                  <c:v>232</c:v>
                </c:pt>
                <c:pt idx="22">
                  <c:v>332.44444444444446</c:v>
                </c:pt>
                <c:pt idx="23">
                  <c:v>200</c:v>
                </c:pt>
              </c:numCache>
            </c:numRef>
          </c:val>
        </c:ser>
        <c:ser>
          <c:idx val="1"/>
          <c:order val="1"/>
          <c:tx>
            <c:v>1power break defense</c:v>
          </c:tx>
          <c:marker>
            <c:symbol val="none"/>
          </c:marker>
          <c:cat>
            <c:strRef>
              <c:f>兵力精算!$A$2:$A$25</c:f>
              <c:strCache>
                <c:ptCount val="24"/>
                <c:pt idx="0">
                  <c:v>Conscript</c:v>
                </c:pt>
                <c:pt idx="1">
                  <c:v>Porter</c:v>
                </c:pt>
                <c:pt idx="2">
                  <c:v>Spy</c:v>
                </c:pt>
                <c:pt idx="3">
                  <c:v>Halberdsman</c:v>
                </c:pt>
                <c:pt idx="4">
                  <c:v>Minotaur</c:v>
                </c:pt>
                <c:pt idx="5">
                  <c:v>Longbowman</c:v>
                </c:pt>
                <c:pt idx="6">
                  <c:v>SwiftStrikeDragon</c:v>
                </c:pt>
                <c:pt idx="7">
                  <c:v>BattleDragon</c:v>
                </c:pt>
                <c:pt idx="8">
                  <c:v>ArmoredTransport</c:v>
                </c:pt>
                <c:pt idx="9">
                  <c:v>Giant</c:v>
                </c:pt>
                <c:pt idx="10">
                  <c:v>FireMirror</c:v>
                </c:pt>
                <c:pt idx="11">
                  <c:v>Fangtooth</c:v>
                </c:pt>
                <c:pt idx="12">
                  <c:v>NightshadeDragonTroop</c:v>
                </c:pt>
                <c:pt idx="13">
                  <c:v>EarthDragonTroop</c:v>
                </c:pt>
                <c:pt idx="14">
                  <c:v>FireDragonTroop</c:v>
                </c:pt>
                <c:pt idx="15">
                  <c:v>VengeWyrm</c:v>
                </c:pt>
                <c:pt idx="16">
                  <c:v>LightingCannon</c:v>
                </c:pt>
                <c:pt idx="17">
                  <c:v>StormDrake</c:v>
                </c:pt>
                <c:pt idx="18">
                  <c:v>LavaJaw</c:v>
                </c:pt>
                <c:pt idx="19">
                  <c:v>PetrifiedTitan</c:v>
                </c:pt>
                <c:pt idx="20">
                  <c:v>DimensionalRuiner</c:v>
                </c:pt>
                <c:pt idx="21">
                  <c:v>DragonCavalier</c:v>
                </c:pt>
                <c:pt idx="22">
                  <c:v>ArcticLeviathan</c:v>
                </c:pt>
                <c:pt idx="23">
                  <c:v>new troops</c:v>
                </c:pt>
              </c:strCache>
            </c:strRef>
          </c:cat>
          <c:val>
            <c:numRef>
              <c:f>兵力精算!$W$2:$W$25</c:f>
              <c:numCache>
                <c:formatCode>General</c:formatCode>
                <c:ptCount val="24"/>
                <c:pt idx="0">
                  <c:v>25</c:v>
                </c:pt>
                <c:pt idx="1">
                  <c:v>15</c:v>
                </c:pt>
                <c:pt idx="2">
                  <c:v>1.6666666666666667</c:v>
                </c:pt>
                <c:pt idx="3">
                  <c:v>25</c:v>
                </c:pt>
                <c:pt idx="4">
                  <c:v>25</c:v>
                </c:pt>
                <c:pt idx="5">
                  <c:v>6.25</c:v>
                </c:pt>
                <c:pt idx="6">
                  <c:v>20</c:v>
                </c:pt>
                <c:pt idx="7">
                  <c:v>35.714285714285715</c:v>
                </c:pt>
                <c:pt idx="8">
                  <c:v>31.25</c:v>
                </c:pt>
                <c:pt idx="9">
                  <c:v>55.555555555555557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138.88888888888889</c:v>
                </c:pt>
                <c:pt idx="14">
                  <c:v>100</c:v>
                </c:pt>
                <c:pt idx="15">
                  <c:v>3.125</c:v>
                </c:pt>
                <c:pt idx="16">
                  <c:v>21.999999999999996</c:v>
                </c:pt>
                <c:pt idx="17">
                  <c:v>51.666666666666671</c:v>
                </c:pt>
                <c:pt idx="18">
                  <c:v>41.666666666666671</c:v>
                </c:pt>
                <c:pt idx="19">
                  <c:v>31.25</c:v>
                </c:pt>
                <c:pt idx="20">
                  <c:v>14.581249999999999</c:v>
                </c:pt>
                <c:pt idx="21">
                  <c:v>20</c:v>
                </c:pt>
                <c:pt idx="22">
                  <c:v>4.166666666666667</c:v>
                </c:pt>
                <c:pt idx="23">
                  <c:v>22.5</c:v>
                </c:pt>
              </c:numCache>
            </c:numRef>
          </c:val>
        </c:ser>
        <c:marker val="1"/>
        <c:axId val="193804160"/>
        <c:axId val="193805696"/>
      </c:lineChart>
      <c:catAx>
        <c:axId val="193804160"/>
        <c:scaling>
          <c:orientation val="minMax"/>
        </c:scaling>
        <c:axPos val="b"/>
        <c:tickLblPos val="nextTo"/>
        <c:crossAx val="193805696"/>
        <c:crosses val="autoZero"/>
        <c:lblAlgn val="ctr"/>
        <c:lblOffset val="100"/>
        <c:tickLblSkip val="1"/>
      </c:catAx>
      <c:valAx>
        <c:axId val="193805696"/>
        <c:scaling>
          <c:orientation val="minMax"/>
        </c:scaling>
        <c:axPos val="l"/>
        <c:majorGridlines/>
        <c:numFmt formatCode="General" sourceLinked="1"/>
        <c:tickLblPos val="nextTo"/>
        <c:spPr>
          <a:ln>
            <a:noFill/>
          </a:ln>
        </c:spPr>
        <c:crossAx val="1938041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7404310290762668"/>
          <c:y val="7.8908021307182399E-2"/>
          <c:w val="0.18465140045381223"/>
          <c:h val="0.51271235879958399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2673840769903771"/>
          <c:y val="4.2186369294401393E-2"/>
          <c:w val="0.6737276385765264"/>
          <c:h val="0.55292748896294963"/>
        </c:manualLayout>
      </c:layout>
      <c:lineChart>
        <c:grouping val="standard"/>
        <c:ser>
          <c:idx val="0"/>
          <c:order val="0"/>
          <c:tx>
            <c:v>total attack</c:v>
          </c:tx>
          <c:marker>
            <c:symbol val="none"/>
          </c:marker>
          <c:cat>
            <c:strRef>
              <c:f>兵力精算!$A$2:$A$25</c:f>
              <c:strCache>
                <c:ptCount val="24"/>
                <c:pt idx="0">
                  <c:v>Conscript</c:v>
                </c:pt>
                <c:pt idx="1">
                  <c:v>Porter</c:v>
                </c:pt>
                <c:pt idx="2">
                  <c:v>Spy</c:v>
                </c:pt>
                <c:pt idx="3">
                  <c:v>Halberdsman</c:v>
                </c:pt>
                <c:pt idx="4">
                  <c:v>Minotaur</c:v>
                </c:pt>
                <c:pt idx="5">
                  <c:v>Longbowman</c:v>
                </c:pt>
                <c:pt idx="6">
                  <c:v>SwiftStrikeDragon</c:v>
                </c:pt>
                <c:pt idx="7">
                  <c:v>BattleDragon</c:v>
                </c:pt>
                <c:pt idx="8">
                  <c:v>ArmoredTransport</c:v>
                </c:pt>
                <c:pt idx="9">
                  <c:v>Giant</c:v>
                </c:pt>
                <c:pt idx="10">
                  <c:v>FireMirror</c:v>
                </c:pt>
                <c:pt idx="11">
                  <c:v>Fangtooth</c:v>
                </c:pt>
                <c:pt idx="12">
                  <c:v>NightshadeDragonTroop</c:v>
                </c:pt>
                <c:pt idx="13">
                  <c:v>EarthDragonTroop</c:v>
                </c:pt>
                <c:pt idx="14">
                  <c:v>FireDragonTroop</c:v>
                </c:pt>
                <c:pt idx="15">
                  <c:v>VengeWyrm</c:v>
                </c:pt>
                <c:pt idx="16">
                  <c:v>LightingCannon</c:v>
                </c:pt>
                <c:pt idx="17">
                  <c:v>StormDrake</c:v>
                </c:pt>
                <c:pt idx="18">
                  <c:v>LavaJaw</c:v>
                </c:pt>
                <c:pt idx="19">
                  <c:v>PetrifiedTitan</c:v>
                </c:pt>
                <c:pt idx="20">
                  <c:v>DimensionalRuiner</c:v>
                </c:pt>
                <c:pt idx="21">
                  <c:v>DragonCavalier</c:v>
                </c:pt>
                <c:pt idx="22">
                  <c:v>ArcticLeviathan</c:v>
                </c:pt>
                <c:pt idx="23">
                  <c:v>new troops</c:v>
                </c:pt>
              </c:strCache>
            </c:strRef>
          </c:cat>
          <c:val>
            <c:numRef>
              <c:f>兵力精算!$T$2:$T$25</c:f>
              <c:numCache>
                <c:formatCode>General</c:formatCode>
                <c:ptCount val="24"/>
                <c:pt idx="0">
                  <c:v>5</c:v>
                </c:pt>
                <c:pt idx="1">
                  <c:v>0.5</c:v>
                </c:pt>
                <c:pt idx="2">
                  <c:v>2.5</c:v>
                </c:pt>
                <c:pt idx="3">
                  <c:v>20</c:v>
                </c:pt>
                <c:pt idx="4">
                  <c:v>35</c:v>
                </c:pt>
                <c:pt idx="5">
                  <c:v>42.666666666666664</c:v>
                </c:pt>
                <c:pt idx="6">
                  <c:v>75</c:v>
                </c:pt>
                <c:pt idx="7">
                  <c:v>300</c:v>
                </c:pt>
                <c:pt idx="8">
                  <c:v>2.5</c:v>
                </c:pt>
                <c:pt idx="9">
                  <c:v>2000</c:v>
                </c:pt>
                <c:pt idx="10">
                  <c:v>3200</c:v>
                </c:pt>
                <c:pt idx="11">
                  <c:v>3200</c:v>
                </c:pt>
                <c:pt idx="12">
                  <c:v>4000</c:v>
                </c:pt>
                <c:pt idx="13">
                  <c:v>1300</c:v>
                </c:pt>
                <c:pt idx="14">
                  <c:v>2560</c:v>
                </c:pt>
                <c:pt idx="15">
                  <c:v>6200</c:v>
                </c:pt>
                <c:pt idx="16">
                  <c:v>2560</c:v>
                </c:pt>
                <c:pt idx="17">
                  <c:v>2700</c:v>
                </c:pt>
                <c:pt idx="18">
                  <c:v>5688.8888888888887</c:v>
                </c:pt>
                <c:pt idx="19">
                  <c:v>10000</c:v>
                </c:pt>
                <c:pt idx="20">
                  <c:v>11998</c:v>
                </c:pt>
                <c:pt idx="21">
                  <c:v>5800</c:v>
                </c:pt>
                <c:pt idx="22">
                  <c:v>6648.8888888888887</c:v>
                </c:pt>
                <c:pt idx="23">
                  <c:v>4000</c:v>
                </c:pt>
              </c:numCache>
            </c:numRef>
          </c:val>
        </c:ser>
        <c:ser>
          <c:idx val="1"/>
          <c:order val="1"/>
          <c:tx>
            <c:v>total defense</c:v>
          </c:tx>
          <c:marker>
            <c:symbol val="none"/>
          </c:marker>
          <c:cat>
            <c:strRef>
              <c:f>兵力精算!$A$2:$A$25</c:f>
              <c:strCache>
                <c:ptCount val="24"/>
                <c:pt idx="0">
                  <c:v>Conscript</c:v>
                </c:pt>
                <c:pt idx="1">
                  <c:v>Porter</c:v>
                </c:pt>
                <c:pt idx="2">
                  <c:v>Spy</c:v>
                </c:pt>
                <c:pt idx="3">
                  <c:v>Halberdsman</c:v>
                </c:pt>
                <c:pt idx="4">
                  <c:v>Minotaur</c:v>
                </c:pt>
                <c:pt idx="5">
                  <c:v>Longbowman</c:v>
                </c:pt>
                <c:pt idx="6">
                  <c:v>SwiftStrikeDragon</c:v>
                </c:pt>
                <c:pt idx="7">
                  <c:v>BattleDragon</c:v>
                </c:pt>
                <c:pt idx="8">
                  <c:v>ArmoredTransport</c:v>
                </c:pt>
                <c:pt idx="9">
                  <c:v>Giant</c:v>
                </c:pt>
                <c:pt idx="10">
                  <c:v>FireMirror</c:v>
                </c:pt>
                <c:pt idx="11">
                  <c:v>Fangtooth</c:v>
                </c:pt>
                <c:pt idx="12">
                  <c:v>NightshadeDragonTroop</c:v>
                </c:pt>
                <c:pt idx="13">
                  <c:v>EarthDragonTroop</c:v>
                </c:pt>
                <c:pt idx="14">
                  <c:v>FireDragonTroop</c:v>
                </c:pt>
                <c:pt idx="15">
                  <c:v>VengeWyrm</c:v>
                </c:pt>
                <c:pt idx="16">
                  <c:v>LightingCannon</c:v>
                </c:pt>
                <c:pt idx="17">
                  <c:v>StormDrake</c:v>
                </c:pt>
                <c:pt idx="18">
                  <c:v>LavaJaw</c:v>
                </c:pt>
                <c:pt idx="19">
                  <c:v>PetrifiedTitan</c:v>
                </c:pt>
                <c:pt idx="20">
                  <c:v>DimensionalRuiner</c:v>
                </c:pt>
                <c:pt idx="21">
                  <c:v>DragonCavalier</c:v>
                </c:pt>
                <c:pt idx="22">
                  <c:v>ArcticLeviathan</c:v>
                </c:pt>
                <c:pt idx="23">
                  <c:v>new troops</c:v>
                </c:pt>
              </c:strCache>
            </c:strRef>
          </c:cat>
          <c:val>
            <c:numRef>
              <c:f>兵力精算!$X$2:$X$25</c:f>
              <c:numCache>
                <c:formatCode>General</c:formatCode>
                <c:ptCount val="24"/>
                <c:pt idx="0">
                  <c:v>50</c:v>
                </c:pt>
                <c:pt idx="1">
                  <c:v>30</c:v>
                </c:pt>
                <c:pt idx="2">
                  <c:v>6.666666666666667</c:v>
                </c:pt>
                <c:pt idx="3">
                  <c:v>100</c:v>
                </c:pt>
                <c:pt idx="4">
                  <c:v>150</c:v>
                </c:pt>
                <c:pt idx="5">
                  <c:v>50</c:v>
                </c:pt>
                <c:pt idx="6">
                  <c:v>200</c:v>
                </c:pt>
                <c:pt idx="7">
                  <c:v>500</c:v>
                </c:pt>
                <c:pt idx="8">
                  <c:v>375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2500</c:v>
                </c:pt>
                <c:pt idx="14">
                  <c:v>2000</c:v>
                </c:pt>
                <c:pt idx="15">
                  <c:v>62.5</c:v>
                </c:pt>
                <c:pt idx="16">
                  <c:v>439.99999999999994</c:v>
                </c:pt>
                <c:pt idx="17">
                  <c:v>1033.3333333333335</c:v>
                </c:pt>
                <c:pt idx="18">
                  <c:v>666.66666666666674</c:v>
                </c:pt>
                <c:pt idx="19">
                  <c:v>1250</c:v>
                </c:pt>
                <c:pt idx="20">
                  <c:v>1166.5</c:v>
                </c:pt>
                <c:pt idx="21">
                  <c:v>1000</c:v>
                </c:pt>
                <c:pt idx="22">
                  <c:v>166.66666666666669</c:v>
                </c:pt>
                <c:pt idx="23">
                  <c:v>900</c:v>
                </c:pt>
              </c:numCache>
            </c:numRef>
          </c:val>
        </c:ser>
        <c:marker val="1"/>
        <c:axId val="193834368"/>
        <c:axId val="193840256"/>
      </c:lineChart>
      <c:catAx>
        <c:axId val="193834368"/>
        <c:scaling>
          <c:orientation val="minMax"/>
        </c:scaling>
        <c:axPos val="b"/>
        <c:tickLblPos val="nextTo"/>
        <c:crossAx val="193840256"/>
        <c:crosses val="autoZero"/>
        <c:lblAlgn val="ctr"/>
        <c:lblOffset val="100"/>
      </c:catAx>
      <c:valAx>
        <c:axId val="193840256"/>
        <c:scaling>
          <c:orientation val="minMax"/>
        </c:scaling>
        <c:axPos val="l"/>
        <c:majorGridlines/>
        <c:numFmt formatCode="General" sourceLinked="1"/>
        <c:tickLblPos val="nextTo"/>
        <c:crossAx val="1938343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648521766692093"/>
          <c:y val="0.15203839078794293"/>
          <c:w val="0.18414476891860637"/>
          <c:h val="0.45496498791645046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/>
            </a:pPr>
            <a:r>
              <a:rPr lang="en-US" altLang="zh-CN"/>
              <a:t>price suggestion</a:t>
            </a:r>
            <a:r>
              <a:rPr lang="en-US" altLang="zh-CN" baseline="0"/>
              <a:t> </a:t>
            </a:r>
            <a:endParaRPr lang="en-US" altLang="en-US"/>
          </a:p>
        </c:rich>
      </c:tx>
    </c:title>
    <c:plotArea>
      <c:layout/>
      <c:lineChart>
        <c:grouping val="standard"/>
        <c:ser>
          <c:idx val="0"/>
          <c:order val="0"/>
          <c:tx>
            <c:v>1ruby/price</c:v>
          </c:tx>
          <c:marker>
            <c:symbol val="none"/>
          </c:marker>
          <c:cat>
            <c:strRef>
              <c:f>出售价格!$C$4:$C$15</c:f>
              <c:strCache>
                <c:ptCount val="12"/>
                <c:pt idx="0">
                  <c:v>1week</c:v>
                </c:pt>
                <c:pt idx="1">
                  <c:v>2week</c:v>
                </c:pt>
                <c:pt idx="2">
                  <c:v>3week</c:v>
                </c:pt>
                <c:pt idx="3">
                  <c:v>4week</c:v>
                </c:pt>
                <c:pt idx="4">
                  <c:v>5week</c:v>
                </c:pt>
                <c:pt idx="5">
                  <c:v>6week</c:v>
                </c:pt>
                <c:pt idx="6">
                  <c:v>7week</c:v>
                </c:pt>
                <c:pt idx="7">
                  <c:v>8week</c:v>
                </c:pt>
                <c:pt idx="8">
                  <c:v>9week</c:v>
                </c:pt>
                <c:pt idx="9">
                  <c:v>10week</c:v>
                </c:pt>
                <c:pt idx="10">
                  <c:v>11week</c:v>
                </c:pt>
                <c:pt idx="11">
                  <c:v>12week</c:v>
                </c:pt>
              </c:strCache>
            </c:strRef>
          </c:cat>
          <c:val>
            <c:numRef>
              <c:f>出售价格!$E$4:$E$15</c:f>
              <c:numCache>
                <c:formatCode>General</c:formatCode>
                <c:ptCount val="12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  <c:pt idx="3">
                  <c:v>800</c:v>
                </c:pt>
                <c:pt idx="4">
                  <c:v>1000</c:v>
                </c:pt>
                <c:pt idx="5">
                  <c:v>1300</c:v>
                </c:pt>
                <c:pt idx="6">
                  <c:v>2000</c:v>
                </c:pt>
                <c:pt idx="7">
                  <c:v>3000</c:v>
                </c:pt>
                <c:pt idx="8">
                  <c:v>4500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</c:numCache>
            </c:numRef>
          </c:val>
        </c:ser>
        <c:marker val="1"/>
        <c:axId val="193777664"/>
        <c:axId val="193779200"/>
      </c:lineChart>
      <c:catAx>
        <c:axId val="193777664"/>
        <c:scaling>
          <c:orientation val="minMax"/>
        </c:scaling>
        <c:axPos val="b"/>
        <c:majorGridlines/>
        <c:minorGridlines/>
        <c:numFmt formatCode="General" sourceLinked="1"/>
        <c:tickLblPos val="nextTo"/>
        <c:crossAx val="193779200"/>
        <c:crosses val="autoZero"/>
        <c:lblAlgn val="ctr"/>
        <c:lblOffset val="100"/>
      </c:catAx>
      <c:valAx>
        <c:axId val="193779200"/>
        <c:scaling>
          <c:orientation val="minMax"/>
        </c:scaling>
        <c:axPos val="l"/>
        <c:majorGridlines/>
        <c:numFmt formatCode="General" sourceLinked="1"/>
        <c:tickLblPos val="nextTo"/>
        <c:crossAx val="1937776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610376293875469"/>
          <c:y val="0.16942072807908967"/>
          <c:w val="0.23019253888771329"/>
          <c:h val="0.12693532498880036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564172</xdr:colOff>
      <xdr:row>7</xdr:row>
      <xdr:rowOff>146538</xdr:rowOff>
    </xdr:from>
    <xdr:to>
      <xdr:col>38</xdr:col>
      <xdr:colOff>95249</xdr:colOff>
      <xdr:row>26</xdr:row>
      <xdr:rowOff>109904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1091711</xdr:colOff>
      <xdr:row>7</xdr:row>
      <xdr:rowOff>168519</xdr:rowOff>
    </xdr:from>
    <xdr:to>
      <xdr:col>29</xdr:col>
      <xdr:colOff>674076</xdr:colOff>
      <xdr:row>25</xdr:row>
      <xdr:rowOff>65942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38099</xdr:rowOff>
    </xdr:from>
    <xdr:to>
      <xdr:col>14</xdr:col>
      <xdr:colOff>95250</xdr:colOff>
      <xdr:row>22</xdr:row>
      <xdr:rowOff>28575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J32" sqref="J32:J36"/>
    </sheetView>
  </sheetViews>
  <sheetFormatPr defaultRowHeight="13.5"/>
  <cols>
    <col min="1" max="1" width="27.75" customWidth="1"/>
    <col min="2" max="2" width="9.25" customWidth="1"/>
    <col min="3" max="3" width="9.5" customWidth="1"/>
    <col min="4" max="4" width="8.25" customWidth="1"/>
    <col min="5" max="5" width="10.125" customWidth="1"/>
    <col min="12" max="12" width="16.75" customWidth="1"/>
    <col min="13" max="13" width="13.25" customWidth="1"/>
  </cols>
  <sheetData>
    <row r="1" spans="1:13" ht="37.5" customHeight="1" thickBot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2"/>
      <c r="M1" s="2" t="s">
        <v>93</v>
      </c>
    </row>
    <row r="2" spans="1:13" ht="14.25" thickBot="1">
      <c r="A2" s="4" t="s">
        <v>5</v>
      </c>
      <c r="B2" s="4">
        <v>0</v>
      </c>
      <c r="C2" s="4">
        <v>10</v>
      </c>
      <c r="D2" s="4">
        <v>10</v>
      </c>
      <c r="E2" s="4">
        <v>75</v>
      </c>
      <c r="F2" s="4">
        <v>200</v>
      </c>
      <c r="G2" s="4">
        <v>0</v>
      </c>
      <c r="H2" s="4">
        <v>20</v>
      </c>
      <c r="I2" s="4">
        <v>3</v>
      </c>
      <c r="J2" s="4">
        <v>1</v>
      </c>
      <c r="K2" s="4">
        <v>26</v>
      </c>
      <c r="M2">
        <f>1/0.068</f>
        <v>14.705882352941176</v>
      </c>
    </row>
    <row r="3" spans="1:13" ht="14.25" thickBot="1">
      <c r="A3" s="4" t="s">
        <v>8</v>
      </c>
      <c r="B3" s="4">
        <v>0</v>
      </c>
      <c r="C3" s="4">
        <v>1</v>
      </c>
      <c r="D3" s="4">
        <v>10</v>
      </c>
      <c r="E3" s="4">
        <v>45</v>
      </c>
      <c r="F3" s="4">
        <v>100</v>
      </c>
      <c r="G3" s="4">
        <v>0</v>
      </c>
      <c r="H3" s="4">
        <v>200</v>
      </c>
      <c r="I3" s="4">
        <v>2</v>
      </c>
      <c r="J3" s="4">
        <v>1</v>
      </c>
      <c r="K3" s="4">
        <v>48</v>
      </c>
    </row>
    <row r="4" spans="1:13" ht="14.25" thickBot="1">
      <c r="A4" s="4" t="s">
        <v>9</v>
      </c>
      <c r="B4" s="4">
        <v>0</v>
      </c>
      <c r="C4" s="4">
        <v>5</v>
      </c>
      <c r="D4" s="4">
        <v>5</v>
      </c>
      <c r="E4" s="4">
        <v>10</v>
      </c>
      <c r="F4" s="4">
        <v>3000</v>
      </c>
      <c r="G4" s="4">
        <v>0</v>
      </c>
      <c r="H4" s="4">
        <v>0</v>
      </c>
      <c r="I4" s="4">
        <v>5</v>
      </c>
      <c r="J4" s="4">
        <v>2</v>
      </c>
      <c r="K4" s="4">
        <v>103</v>
      </c>
    </row>
    <row r="5" spans="1:13" ht="14.25" thickBot="1">
      <c r="A5" s="4" t="s">
        <v>10</v>
      </c>
      <c r="B5" s="4">
        <v>0</v>
      </c>
      <c r="C5" s="4">
        <v>40</v>
      </c>
      <c r="D5" s="4">
        <v>40</v>
      </c>
      <c r="E5" s="4">
        <v>150</v>
      </c>
      <c r="F5" s="4">
        <v>300</v>
      </c>
      <c r="G5" s="4">
        <v>0</v>
      </c>
      <c r="H5" s="4">
        <v>40</v>
      </c>
      <c r="I5" s="4">
        <v>6</v>
      </c>
      <c r="J5" s="4">
        <v>2</v>
      </c>
      <c r="K5" s="4">
        <v>141</v>
      </c>
    </row>
    <row r="6" spans="1:13" ht="14.25" thickBot="1">
      <c r="A6" s="4" t="s">
        <v>11</v>
      </c>
      <c r="B6" s="4">
        <v>0</v>
      </c>
      <c r="C6" s="4">
        <v>70</v>
      </c>
      <c r="D6" s="4">
        <v>45</v>
      </c>
      <c r="E6" s="4">
        <v>225</v>
      </c>
      <c r="F6" s="4">
        <v>275</v>
      </c>
      <c r="G6" s="4">
        <v>0</v>
      </c>
      <c r="H6" s="4">
        <v>30</v>
      </c>
      <c r="I6" s="4">
        <v>7</v>
      </c>
      <c r="J6" s="4">
        <v>3</v>
      </c>
      <c r="K6" s="4">
        <v>219</v>
      </c>
    </row>
    <row r="7" spans="1:13" ht="14.25" thickBot="1">
      <c r="A7" s="4" t="s">
        <v>12</v>
      </c>
      <c r="B7" s="4">
        <v>80</v>
      </c>
      <c r="C7" s="4">
        <v>5</v>
      </c>
      <c r="D7" s="4">
        <v>30</v>
      </c>
      <c r="E7" s="4">
        <v>75</v>
      </c>
      <c r="F7" s="4">
        <v>250</v>
      </c>
      <c r="G7" s="4">
        <v>1200</v>
      </c>
      <c r="H7" s="4">
        <v>25</v>
      </c>
      <c r="I7" s="4">
        <v>9</v>
      </c>
      <c r="J7" s="4">
        <v>4</v>
      </c>
      <c r="K7" s="4">
        <v>343</v>
      </c>
    </row>
    <row r="8" spans="1:13" ht="14.25" thickBot="1">
      <c r="A8" s="4" t="s">
        <v>0</v>
      </c>
      <c r="B8" s="4">
        <v>0</v>
      </c>
      <c r="C8" s="4">
        <v>150</v>
      </c>
      <c r="D8" s="4">
        <v>60</v>
      </c>
      <c r="E8" s="4">
        <v>300</v>
      </c>
      <c r="F8" s="4">
        <v>1000</v>
      </c>
      <c r="G8" s="4">
        <v>0</v>
      </c>
      <c r="H8" s="4">
        <v>100</v>
      </c>
      <c r="I8" s="4">
        <v>18</v>
      </c>
      <c r="J8" s="4">
        <v>5</v>
      </c>
      <c r="K8" s="4">
        <v>498</v>
      </c>
    </row>
    <row r="9" spans="1:13" ht="14.25" thickBot="1">
      <c r="A9" s="4" t="s">
        <v>13</v>
      </c>
      <c r="B9" s="4">
        <v>0</v>
      </c>
      <c r="C9" s="4">
        <v>300</v>
      </c>
      <c r="D9" s="4">
        <v>300</v>
      </c>
      <c r="E9" s="4">
        <v>1500</v>
      </c>
      <c r="F9" s="4">
        <v>750</v>
      </c>
      <c r="G9" s="4">
        <v>0</v>
      </c>
      <c r="H9" s="4">
        <v>80</v>
      </c>
      <c r="I9" s="4">
        <v>35</v>
      </c>
      <c r="J9" s="4">
        <v>7</v>
      </c>
      <c r="K9" s="4">
        <v>1492</v>
      </c>
    </row>
    <row r="10" spans="1:13" ht="14.25" thickBot="1">
      <c r="A10" s="4" t="s">
        <v>2</v>
      </c>
      <c r="B10" s="4">
        <v>0</v>
      </c>
      <c r="C10" s="4">
        <v>5</v>
      </c>
      <c r="D10" s="4">
        <v>200</v>
      </c>
      <c r="E10" s="4">
        <v>750</v>
      </c>
      <c r="F10" s="4">
        <v>150</v>
      </c>
      <c r="G10" s="4">
        <v>0</v>
      </c>
      <c r="H10" s="4">
        <v>5000</v>
      </c>
      <c r="I10" s="4">
        <v>10</v>
      </c>
      <c r="J10" s="4">
        <v>6</v>
      </c>
      <c r="K10" s="4">
        <v>975</v>
      </c>
    </row>
    <row r="11" spans="1:13" ht="14.25" thickBot="1">
      <c r="A11" s="4" t="s">
        <v>7</v>
      </c>
      <c r="B11" s="4">
        <v>0</v>
      </c>
      <c r="C11" s="4">
        <v>1000</v>
      </c>
      <c r="D11" s="4">
        <v>400</v>
      </c>
      <c r="E11" s="4">
        <v>4000</v>
      </c>
      <c r="F11" s="4">
        <v>120</v>
      </c>
      <c r="G11" s="4">
        <v>0</v>
      </c>
      <c r="H11" s="4">
        <v>45</v>
      </c>
      <c r="I11" s="4">
        <v>100</v>
      </c>
      <c r="J11" s="4">
        <v>9</v>
      </c>
      <c r="K11" s="4">
        <v>4334</v>
      </c>
    </row>
    <row r="12" spans="1:13" ht="14.25" thickBot="1">
      <c r="A12" s="4" t="s">
        <v>3</v>
      </c>
      <c r="B12" s="4">
        <v>1200</v>
      </c>
      <c r="C12" s="4">
        <v>20</v>
      </c>
      <c r="D12" s="4">
        <v>30</v>
      </c>
      <c r="E12" s="4">
        <v>1500</v>
      </c>
      <c r="F12" s="4">
        <v>50</v>
      </c>
      <c r="G12" s="4">
        <v>1500</v>
      </c>
      <c r="H12" s="4">
        <v>75</v>
      </c>
      <c r="I12" s="4">
        <v>250</v>
      </c>
      <c r="J12" s="4">
        <v>10</v>
      </c>
      <c r="K12" s="4">
        <v>5843</v>
      </c>
    </row>
    <row r="13" spans="1:13" ht="14.25" thickBot="1">
      <c r="A13" s="4" t="s">
        <v>25</v>
      </c>
      <c r="B13" s="4">
        <v>0</v>
      </c>
      <c r="C13" s="4">
        <v>8000</v>
      </c>
      <c r="D13" s="4">
        <v>0</v>
      </c>
      <c r="E13" s="4">
        <v>1</v>
      </c>
      <c r="F13" s="4">
        <v>750</v>
      </c>
      <c r="G13" s="4">
        <v>0</v>
      </c>
      <c r="H13" s="4">
        <v>0</v>
      </c>
      <c r="I13" s="4">
        <v>0</v>
      </c>
      <c r="J13" s="4">
        <v>0</v>
      </c>
      <c r="K13" s="4"/>
    </row>
    <row r="14" spans="1:13" ht="14.25" thickBot="1">
      <c r="A14" s="4" t="s">
        <v>26</v>
      </c>
      <c r="B14" s="4">
        <v>0</v>
      </c>
      <c r="C14" s="4">
        <v>150</v>
      </c>
      <c r="D14" s="4">
        <v>60</v>
      </c>
      <c r="E14" s="4">
        <v>300</v>
      </c>
      <c r="F14" s="4">
        <v>1000</v>
      </c>
      <c r="G14" s="4">
        <v>0</v>
      </c>
      <c r="H14" s="4">
        <v>100</v>
      </c>
      <c r="I14" s="4">
        <v>18</v>
      </c>
      <c r="J14" s="4">
        <v>5</v>
      </c>
      <c r="K14" s="4">
        <v>498</v>
      </c>
    </row>
    <row r="15" spans="1:13" ht="14.25" thickBot="1">
      <c r="A15" s="4" t="s">
        <v>27</v>
      </c>
      <c r="B15" s="4">
        <v>1200</v>
      </c>
      <c r="C15" s="4">
        <v>20</v>
      </c>
      <c r="D15" s="4">
        <v>30</v>
      </c>
      <c r="E15" s="4">
        <v>1500</v>
      </c>
      <c r="F15" s="4">
        <v>50</v>
      </c>
      <c r="G15" s="4">
        <v>1500</v>
      </c>
      <c r="H15" s="4">
        <v>75</v>
      </c>
      <c r="I15" s="4">
        <v>250</v>
      </c>
      <c r="J15" s="4">
        <v>10</v>
      </c>
      <c r="K15" s="4">
        <v>5843</v>
      </c>
    </row>
    <row r="16" spans="1:13" ht="14.25" thickBot="1">
      <c r="A16" s="4" t="s">
        <v>28</v>
      </c>
      <c r="B16" s="4">
        <v>0</v>
      </c>
      <c r="C16" s="4">
        <v>10</v>
      </c>
      <c r="D16" s="4">
        <v>10</v>
      </c>
      <c r="E16" s="4">
        <v>75</v>
      </c>
      <c r="F16" s="4">
        <v>200</v>
      </c>
      <c r="G16" s="4">
        <v>0</v>
      </c>
      <c r="H16" s="4">
        <v>20</v>
      </c>
      <c r="I16" s="4">
        <v>3</v>
      </c>
      <c r="J16" s="4">
        <v>1</v>
      </c>
      <c r="K16" s="4">
        <v>26</v>
      </c>
    </row>
    <row r="17" spans="1:11" ht="14.25" thickBot="1">
      <c r="A17" s="4" t="s">
        <v>29</v>
      </c>
      <c r="B17" s="4">
        <v>0</v>
      </c>
      <c r="C17" s="4">
        <v>300</v>
      </c>
      <c r="D17" s="4">
        <v>300</v>
      </c>
      <c r="E17" s="4">
        <v>1500</v>
      </c>
      <c r="F17" s="4">
        <v>750</v>
      </c>
      <c r="G17" s="4">
        <v>0</v>
      </c>
      <c r="H17" s="4">
        <v>80</v>
      </c>
      <c r="I17" s="4">
        <v>35</v>
      </c>
      <c r="J17" s="4">
        <v>7</v>
      </c>
      <c r="K17" s="4">
        <v>1492</v>
      </c>
    </row>
    <row r="18" spans="1:11" ht="14.25" thickBot="1">
      <c r="A18" s="4" t="s">
        <v>30</v>
      </c>
      <c r="B18" s="4">
        <v>0</v>
      </c>
      <c r="C18" s="4">
        <v>1</v>
      </c>
      <c r="D18" s="4">
        <v>10</v>
      </c>
      <c r="E18" s="4">
        <v>45</v>
      </c>
      <c r="F18" s="4">
        <v>100</v>
      </c>
      <c r="G18" s="4">
        <v>0</v>
      </c>
      <c r="H18" s="4">
        <v>200</v>
      </c>
      <c r="I18" s="4">
        <v>2</v>
      </c>
      <c r="J18" s="4">
        <v>1</v>
      </c>
      <c r="K18" s="4">
        <v>48</v>
      </c>
    </row>
    <row r="19" spans="1:11" ht="14.25" thickBot="1">
      <c r="A19" s="4" t="s">
        <v>31</v>
      </c>
      <c r="B19" s="4">
        <v>0</v>
      </c>
      <c r="C19" s="4">
        <v>40</v>
      </c>
      <c r="D19" s="4">
        <v>40</v>
      </c>
      <c r="E19" s="4">
        <v>150</v>
      </c>
      <c r="F19" s="4">
        <v>300</v>
      </c>
      <c r="G19" s="4">
        <v>0</v>
      </c>
      <c r="H19" s="4">
        <v>40</v>
      </c>
      <c r="I19" s="4">
        <v>6</v>
      </c>
      <c r="J19" s="4">
        <v>2</v>
      </c>
      <c r="K19" s="4">
        <v>141</v>
      </c>
    </row>
    <row r="20" spans="1:11" ht="14.25" thickBot="1">
      <c r="A20" s="4" t="s">
        <v>32</v>
      </c>
      <c r="B20" s="4">
        <v>0</v>
      </c>
      <c r="C20" s="4">
        <v>70</v>
      </c>
      <c r="D20" s="4">
        <v>45</v>
      </c>
      <c r="E20" s="4">
        <v>225</v>
      </c>
      <c r="F20" s="4">
        <v>275</v>
      </c>
      <c r="G20" s="4">
        <v>0</v>
      </c>
      <c r="H20" s="4">
        <v>30</v>
      </c>
      <c r="I20" s="4">
        <v>7</v>
      </c>
      <c r="J20" s="4">
        <v>3</v>
      </c>
      <c r="K20" s="4">
        <v>219</v>
      </c>
    </row>
    <row r="21" spans="1:11" ht="14.25" thickBot="1">
      <c r="A21" s="4" t="s">
        <v>33</v>
      </c>
      <c r="B21" s="4">
        <v>0</v>
      </c>
      <c r="C21" s="4">
        <v>1000</v>
      </c>
      <c r="D21" s="4">
        <v>400</v>
      </c>
      <c r="E21" s="4">
        <v>4000</v>
      </c>
      <c r="F21" s="4">
        <v>120</v>
      </c>
      <c r="G21" s="4">
        <v>0</v>
      </c>
      <c r="H21" s="4">
        <v>45</v>
      </c>
      <c r="I21" s="4">
        <v>100</v>
      </c>
      <c r="J21" s="4">
        <v>9</v>
      </c>
      <c r="K21" s="4">
        <v>4334</v>
      </c>
    </row>
    <row r="22" spans="1:11" ht="14.25" thickBot="1">
      <c r="A22" s="4" t="s">
        <v>34</v>
      </c>
      <c r="B22" s="4">
        <v>80</v>
      </c>
      <c r="C22" s="4">
        <v>5</v>
      </c>
      <c r="D22" s="4">
        <v>30</v>
      </c>
      <c r="E22" s="4">
        <v>75</v>
      </c>
      <c r="F22" s="4">
        <v>250</v>
      </c>
      <c r="G22" s="4">
        <v>1200</v>
      </c>
      <c r="H22" s="4">
        <v>25</v>
      </c>
      <c r="I22" s="4">
        <v>9</v>
      </c>
      <c r="J22" s="4">
        <v>4</v>
      </c>
      <c r="K22" s="4">
        <v>343</v>
      </c>
    </row>
    <row r="23" spans="1:11" ht="14.25" thickBot="1">
      <c r="A23" s="4" t="s">
        <v>35</v>
      </c>
      <c r="B23" s="4">
        <v>0</v>
      </c>
      <c r="C23" s="4">
        <v>5</v>
      </c>
      <c r="D23" s="4">
        <v>5</v>
      </c>
      <c r="E23" s="4">
        <v>10</v>
      </c>
      <c r="F23" s="4">
        <v>3000</v>
      </c>
      <c r="G23" s="4">
        <v>0</v>
      </c>
      <c r="H23" s="4">
        <v>0</v>
      </c>
      <c r="I23" s="4">
        <v>5</v>
      </c>
      <c r="J23" s="4">
        <v>2</v>
      </c>
      <c r="K23" s="4">
        <v>103</v>
      </c>
    </row>
    <row r="24" spans="1:11" ht="14.25" thickBot="1">
      <c r="A24" s="4" t="s">
        <v>4</v>
      </c>
      <c r="B24" s="4">
        <v>800</v>
      </c>
      <c r="C24" s="4">
        <v>1600</v>
      </c>
      <c r="D24" s="4">
        <v>300</v>
      </c>
      <c r="E24" s="4">
        <v>3000</v>
      </c>
      <c r="F24" s="4">
        <v>500</v>
      </c>
      <c r="G24" s="4">
        <v>600</v>
      </c>
      <c r="H24" s="4">
        <v>45</v>
      </c>
      <c r="I24" s="4">
        <v>125</v>
      </c>
      <c r="J24" s="4">
        <v>10</v>
      </c>
      <c r="K24" s="4">
        <v>2000</v>
      </c>
    </row>
    <row r="25" spans="1:11" ht="14.25" thickBot="1">
      <c r="A25" s="4" t="s">
        <v>14</v>
      </c>
      <c r="B25" s="4">
        <v>0</v>
      </c>
      <c r="C25" s="4">
        <v>2000</v>
      </c>
      <c r="D25" s="4">
        <v>500</v>
      </c>
      <c r="E25" s="4">
        <v>5000</v>
      </c>
      <c r="F25" s="4">
        <v>150</v>
      </c>
      <c r="G25" s="4">
        <v>0</v>
      </c>
      <c r="H25" s="4">
        <v>60</v>
      </c>
      <c r="I25" s="4">
        <v>125</v>
      </c>
      <c r="J25" s="4">
        <v>10</v>
      </c>
      <c r="K25" s="4">
        <v>2000</v>
      </c>
    </row>
    <row r="26" spans="1:11" ht="14.25" thickBot="1">
      <c r="A26" s="4" t="s">
        <v>36</v>
      </c>
      <c r="B26" s="4">
        <v>0</v>
      </c>
      <c r="C26" s="4">
        <v>650</v>
      </c>
      <c r="D26" s="4">
        <v>900</v>
      </c>
      <c r="E26" s="4">
        <v>15000</v>
      </c>
      <c r="F26" s="4">
        <v>350</v>
      </c>
      <c r="G26" s="4">
        <v>0</v>
      </c>
      <c r="H26" s="4">
        <v>30</v>
      </c>
      <c r="I26" s="4">
        <v>110</v>
      </c>
      <c r="J26" s="4">
        <v>9</v>
      </c>
      <c r="K26" s="4">
        <v>2000</v>
      </c>
    </row>
    <row r="27" spans="1:11" ht="14.25" thickBot="1">
      <c r="A27" s="4" t="s">
        <v>37</v>
      </c>
      <c r="B27" s="4">
        <v>1600</v>
      </c>
      <c r="C27" s="4">
        <v>1200</v>
      </c>
      <c r="D27" s="4">
        <v>150</v>
      </c>
      <c r="E27" s="4">
        <v>3000</v>
      </c>
      <c r="F27" s="4">
        <v>600</v>
      </c>
      <c r="G27" s="4">
        <v>900</v>
      </c>
      <c r="H27" s="4">
        <v>100</v>
      </c>
      <c r="I27" s="4">
        <v>150</v>
      </c>
      <c r="J27" s="4">
        <v>10</v>
      </c>
      <c r="K27" s="4">
        <v>2000</v>
      </c>
    </row>
    <row r="28" spans="1:11" ht="14.25" thickBot="1">
      <c r="A28" s="4" t="s">
        <v>38</v>
      </c>
      <c r="B28" s="4">
        <v>0</v>
      </c>
      <c r="C28" s="4">
        <v>3100</v>
      </c>
      <c r="D28" s="4">
        <v>400</v>
      </c>
      <c r="E28" s="4">
        <v>250</v>
      </c>
      <c r="F28" s="4">
        <v>900</v>
      </c>
      <c r="G28" s="4">
        <v>0</v>
      </c>
      <c r="H28" s="4">
        <v>0</v>
      </c>
      <c r="I28" s="4">
        <v>10</v>
      </c>
      <c r="J28" s="4">
        <v>10</v>
      </c>
      <c r="K28" s="4">
        <v>2504</v>
      </c>
    </row>
    <row r="29" spans="1:11" ht="14.25" thickBot="1">
      <c r="A29" s="4" t="s">
        <v>39</v>
      </c>
      <c r="B29" s="4">
        <v>900</v>
      </c>
      <c r="C29" s="4">
        <v>100</v>
      </c>
      <c r="D29" s="4">
        <v>250</v>
      </c>
      <c r="E29" s="4">
        <v>1100</v>
      </c>
      <c r="F29" s="4">
        <v>50</v>
      </c>
      <c r="G29" s="4">
        <v>1600</v>
      </c>
      <c r="H29" s="4">
        <v>100</v>
      </c>
      <c r="I29" s="4">
        <v>10</v>
      </c>
      <c r="J29" s="4">
        <v>10</v>
      </c>
      <c r="K29" s="4">
        <v>3793</v>
      </c>
    </row>
    <row r="30" spans="1:11" ht="14.25" thickBot="1">
      <c r="A30" s="4" t="s">
        <v>40</v>
      </c>
      <c r="B30" s="4">
        <v>0</v>
      </c>
      <c r="C30" s="4">
        <v>1350</v>
      </c>
      <c r="D30" s="4">
        <v>300</v>
      </c>
      <c r="E30" s="4">
        <v>3100</v>
      </c>
      <c r="F30" s="4">
        <v>675</v>
      </c>
      <c r="G30" s="4">
        <v>0</v>
      </c>
      <c r="H30" s="4">
        <v>500</v>
      </c>
      <c r="I30" s="4">
        <v>80</v>
      </c>
      <c r="J30" s="4">
        <v>10</v>
      </c>
      <c r="K30" s="4">
        <v>2745</v>
      </c>
    </row>
    <row r="31" spans="1:11" ht="14.25" thickBot="1">
      <c r="A31" s="4" t="s">
        <v>6</v>
      </c>
      <c r="B31" s="4">
        <v>2000</v>
      </c>
      <c r="C31" s="4">
        <v>500</v>
      </c>
      <c r="D31" s="4">
        <v>150</v>
      </c>
      <c r="E31" s="4">
        <v>1000</v>
      </c>
      <c r="F31" s="4">
        <v>400</v>
      </c>
      <c r="G31" s="4">
        <v>1600</v>
      </c>
      <c r="H31" s="4">
        <v>10</v>
      </c>
      <c r="I31" s="4">
        <v>260</v>
      </c>
      <c r="J31" s="4">
        <v>8</v>
      </c>
      <c r="K31" s="4">
        <v>1999</v>
      </c>
    </row>
    <row r="32" spans="1:11" ht="14.25" thickBot="1">
      <c r="A32" s="4" t="s">
        <v>41</v>
      </c>
      <c r="B32" s="4">
        <v>0</v>
      </c>
      <c r="C32" s="4">
        <v>5000</v>
      </c>
      <c r="D32" s="4">
        <v>1500</v>
      </c>
      <c r="E32" s="4">
        <v>7500</v>
      </c>
      <c r="F32" s="4">
        <v>50</v>
      </c>
      <c r="G32" s="4">
        <v>0</v>
      </c>
      <c r="H32" s="4">
        <v>0</v>
      </c>
      <c r="I32" s="4">
        <v>10</v>
      </c>
      <c r="J32" s="4">
        <v>20</v>
      </c>
      <c r="K32" s="4">
        <v>1999</v>
      </c>
    </row>
    <row r="33" spans="1:11" ht="14.25" thickBot="1">
      <c r="A33" s="4" t="s">
        <v>42</v>
      </c>
      <c r="B33" s="4">
        <v>0</v>
      </c>
      <c r="C33" s="4">
        <v>5999</v>
      </c>
      <c r="D33" s="4">
        <v>999</v>
      </c>
      <c r="E33" s="4">
        <v>6999</v>
      </c>
      <c r="F33" s="4">
        <v>999</v>
      </c>
      <c r="G33" s="4">
        <v>0</v>
      </c>
      <c r="H33" s="4">
        <v>999</v>
      </c>
      <c r="I33" s="4">
        <v>50</v>
      </c>
      <c r="J33" s="4">
        <v>40</v>
      </c>
      <c r="K33" s="4">
        <v>12660</v>
      </c>
    </row>
    <row r="34" spans="1:11" ht="14.25" thickBot="1">
      <c r="A34" s="4" t="s">
        <v>43</v>
      </c>
      <c r="B34" s="4">
        <v>0</v>
      </c>
      <c r="C34" s="4">
        <v>2900</v>
      </c>
      <c r="D34" s="4">
        <v>800</v>
      </c>
      <c r="E34" s="4">
        <v>6000</v>
      </c>
      <c r="F34" s="4">
        <v>1100</v>
      </c>
      <c r="G34" s="4">
        <v>0</v>
      </c>
      <c r="H34" s="4">
        <v>500</v>
      </c>
      <c r="I34" s="4">
        <v>80</v>
      </c>
      <c r="J34" s="4">
        <v>25</v>
      </c>
      <c r="K34" s="4">
        <v>4000</v>
      </c>
    </row>
    <row r="35" spans="1:11" ht="14.25" thickBot="1">
      <c r="A35" s="4" t="s">
        <v>44</v>
      </c>
      <c r="B35" s="4">
        <v>2200</v>
      </c>
      <c r="C35" s="4">
        <v>750</v>
      </c>
      <c r="D35" s="4">
        <v>999</v>
      </c>
      <c r="E35" s="4">
        <v>1000</v>
      </c>
      <c r="F35" s="4">
        <v>450</v>
      </c>
      <c r="G35" s="4">
        <v>1700</v>
      </c>
      <c r="H35" s="4">
        <v>100</v>
      </c>
      <c r="I35" s="4">
        <v>200</v>
      </c>
      <c r="J35" s="4">
        <v>20</v>
      </c>
      <c r="K35" s="4">
        <v>4000</v>
      </c>
    </row>
    <row r="36" spans="1:11">
      <c r="A36" s="8" t="s">
        <v>58</v>
      </c>
      <c r="B36" s="8">
        <v>1800</v>
      </c>
      <c r="C36" s="8">
        <v>2200</v>
      </c>
      <c r="D36" s="8">
        <v>900</v>
      </c>
      <c r="E36" s="8">
        <v>5400</v>
      </c>
      <c r="F36" s="8">
        <v>700</v>
      </c>
      <c r="G36" s="8">
        <v>800</v>
      </c>
      <c r="H36" s="8">
        <v>50</v>
      </c>
      <c r="I36" s="8">
        <v>100</v>
      </c>
      <c r="J36" s="8">
        <v>20</v>
      </c>
      <c r="K36" s="8">
        <v>4000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3"/>
  <sheetViews>
    <sheetView topLeftCell="E4" workbookViewId="0">
      <selection activeCell="G30" sqref="G30"/>
    </sheetView>
  </sheetViews>
  <sheetFormatPr defaultRowHeight="13.5"/>
  <cols>
    <col min="1" max="1" width="14.625" customWidth="1"/>
    <col min="7" max="7" width="23" customWidth="1"/>
    <col min="8" max="8" width="8.125" customWidth="1"/>
    <col min="9" max="9" width="7.625" customWidth="1"/>
    <col min="10" max="12" width="6.75" customWidth="1"/>
    <col min="13" max="13" width="6.125" customWidth="1"/>
    <col min="14" max="14" width="7.375" customWidth="1"/>
    <col min="15" max="15" width="7.875" customWidth="1"/>
    <col min="16" max="16" width="9.875" customWidth="1"/>
    <col min="17" max="17" width="5.625" customWidth="1"/>
    <col min="18" max="18" width="11.125" customWidth="1"/>
    <col min="19" max="19" width="10.125" customWidth="1"/>
    <col min="20" max="20" width="10.875" customWidth="1"/>
    <col min="21" max="21" width="12.875" customWidth="1"/>
  </cols>
  <sheetData>
    <row r="1" spans="1:22" ht="36.75" thickBot="1">
      <c r="B1" s="3" t="s">
        <v>49</v>
      </c>
      <c r="C1" s="3" t="s">
        <v>17</v>
      </c>
      <c r="D1" s="3" t="s">
        <v>18</v>
      </c>
      <c r="E1" s="9" t="s">
        <v>72</v>
      </c>
      <c r="F1" s="9" t="s">
        <v>73</v>
      </c>
      <c r="H1" s="3" t="s">
        <v>46</v>
      </c>
      <c r="I1" s="3" t="s">
        <v>17</v>
      </c>
      <c r="J1" s="3" t="s">
        <v>18</v>
      </c>
      <c r="K1" s="3" t="s">
        <v>73</v>
      </c>
      <c r="L1" s="3" t="s">
        <v>72</v>
      </c>
      <c r="M1" s="3" t="s">
        <v>23</v>
      </c>
      <c r="N1" s="3" t="s">
        <v>47</v>
      </c>
      <c r="O1" s="7" t="s">
        <v>54</v>
      </c>
      <c r="P1" s="7" t="s">
        <v>55</v>
      </c>
      <c r="Q1" s="5" t="s">
        <v>48</v>
      </c>
      <c r="R1" s="6" t="s">
        <v>53</v>
      </c>
      <c r="S1" s="6" t="s">
        <v>51</v>
      </c>
      <c r="T1" s="6" t="s">
        <v>60</v>
      </c>
      <c r="U1" s="6" t="s">
        <v>50</v>
      </c>
      <c r="V1" s="6" t="s">
        <v>71</v>
      </c>
    </row>
    <row r="2" spans="1:22">
      <c r="A2" t="s">
        <v>45</v>
      </c>
      <c r="B2">
        <v>1000</v>
      </c>
      <c r="C2">
        <v>1000</v>
      </c>
      <c r="D2">
        <v>15000</v>
      </c>
      <c r="E2">
        <v>100</v>
      </c>
      <c r="F2">
        <v>100</v>
      </c>
      <c r="G2" t="s">
        <v>5</v>
      </c>
      <c r="H2">
        <f>IF(VLOOKUP(G2,兵力属性!$A$2:$K$35,2,FALSE)&gt;VLOOKUP(G2,兵力属性!$A$2:$K$35,3,FALSE),VLOOKUP(G2,兵力属性!$A$2:$K$35,2,FALSE),VLOOKUP(G2,兵力属性!$A$2:$K$35,3,FALSE))</f>
        <v>10</v>
      </c>
      <c r="I2">
        <f>VLOOKUP(G2,兵力属性!$A$2:$K$35,4,FALSE)</f>
        <v>10</v>
      </c>
      <c r="J2">
        <f>VLOOKUP(G2,兵力属性!$A$2:$K$35,5,FALSE)</f>
        <v>75</v>
      </c>
      <c r="L2">
        <v>200</v>
      </c>
      <c r="M2">
        <f>VLOOKUP(G2,兵力属性!$A$2:$K$35,10,FALSE)</f>
        <v>1</v>
      </c>
      <c r="N2">
        <f t="shared" ref="N2:N25" si="0">H2*IF(H2/C2&gt;2,2,IF(H2/C2&lt;0.5,0.5,H2/C2))</f>
        <v>5</v>
      </c>
      <c r="O2">
        <f t="shared" ref="O2:O25" si="1">N2/D2</f>
        <v>3.3333333333333332E-4</v>
      </c>
      <c r="P2">
        <f t="shared" ref="P2:P25" si="2">J2/(B2*IF(B2/I2&gt;2,2,IF(B2/I2&lt;0.5,0.5,B2/I2)))</f>
        <v>3.7499999999999999E-2</v>
      </c>
      <c r="Q2">
        <v>7.4038657407407407E-2</v>
      </c>
      <c r="R2">
        <f t="shared" ref="R2:R25" si="3">N2/Q2</f>
        <v>67.532288875618661</v>
      </c>
      <c r="S2">
        <f t="shared" ref="S2:S25" si="4">N2/Q2/M2</f>
        <v>67.532288875618661</v>
      </c>
      <c r="T2">
        <f>J2/(B2*IF(B2/I2&gt;2,2,IF(B2/I2&lt;0.5,0.5,B2/I2)))/Q2</f>
        <v>0.50649216656713991</v>
      </c>
      <c r="U2">
        <f t="shared" ref="U2:U25" si="5">T2/M2</f>
        <v>0.50649216656713991</v>
      </c>
      <c r="V2">
        <f>K2/F2</f>
        <v>0</v>
      </c>
    </row>
    <row r="3" spans="1:22">
      <c r="A3" t="s">
        <v>57</v>
      </c>
      <c r="B3">
        <v>1000</v>
      </c>
      <c r="C3">
        <v>1000</v>
      </c>
      <c r="D3">
        <v>15000</v>
      </c>
      <c r="E3">
        <v>100</v>
      </c>
      <c r="F3">
        <v>100</v>
      </c>
      <c r="G3" t="s">
        <v>8</v>
      </c>
      <c r="H3">
        <f>IF(VLOOKUP(G3,兵力属性!$A$2:$K$35,2,FALSE)&gt;VLOOKUP(G3,兵力属性!$A$2:$K$35,3,FALSE),VLOOKUP(G3,兵力属性!$A$2:$K$35,2,FALSE),VLOOKUP(G3,兵力属性!$A$2:$K$35,3,FALSE))</f>
        <v>1</v>
      </c>
      <c r="I3">
        <f>VLOOKUP(G3,兵力属性!$A$2:$K$35,4,FALSE)</f>
        <v>10</v>
      </c>
      <c r="J3">
        <f>VLOOKUP(G3,兵力属性!$A$2:$K$35,5,FALSE)</f>
        <v>45</v>
      </c>
      <c r="L3">
        <v>100</v>
      </c>
      <c r="M3">
        <f>VLOOKUP(G3,兵力属性!$A$2:$K$35,10,FALSE)</f>
        <v>1</v>
      </c>
      <c r="N3">
        <f t="shared" si="0"/>
        <v>0.5</v>
      </c>
      <c r="O3">
        <f t="shared" si="1"/>
        <v>3.3333333333333335E-5</v>
      </c>
      <c r="P3">
        <f t="shared" si="2"/>
        <v>2.2499999999999999E-2</v>
      </c>
      <c r="Q3">
        <v>8.7144444444444441E-2</v>
      </c>
      <c r="R3">
        <f t="shared" si="3"/>
        <v>5.7376004080071406</v>
      </c>
      <c r="S3">
        <f t="shared" si="4"/>
        <v>5.7376004080071406</v>
      </c>
      <c r="T3">
        <f t="shared" ref="T3:T25" si="6">J3/(B3*IF(B3/I3&gt;2,2,IF(B3/I3&lt;0.5,0.5,B3/I3)))/Q3</f>
        <v>0.2581920183603213</v>
      </c>
      <c r="U3">
        <f t="shared" si="5"/>
        <v>0.2581920183603213</v>
      </c>
      <c r="V3">
        <f t="shared" ref="V3:V25" si="7">K3/F3</f>
        <v>0</v>
      </c>
    </row>
    <row r="4" spans="1:22">
      <c r="A4" t="s">
        <v>56</v>
      </c>
      <c r="B4">
        <v>1000</v>
      </c>
      <c r="C4">
        <v>1000</v>
      </c>
      <c r="D4">
        <v>15000</v>
      </c>
      <c r="E4">
        <v>100</v>
      </c>
      <c r="F4">
        <v>100</v>
      </c>
      <c r="G4" t="s">
        <v>9</v>
      </c>
      <c r="H4">
        <f>IF(VLOOKUP(G4,兵力属性!$A$2:$K$35,2,FALSE)&gt;VLOOKUP(G4,兵力属性!$A$2:$K$35,3,FALSE),VLOOKUP(G4,兵力属性!$A$2:$K$35,2,FALSE),VLOOKUP(G4,兵力属性!$A$2:$K$35,3,FALSE))</f>
        <v>5</v>
      </c>
      <c r="I4">
        <f>VLOOKUP(G4,兵力属性!$A$2:$K$35,4,FALSE)</f>
        <v>5</v>
      </c>
      <c r="J4">
        <f>VLOOKUP(G4,兵力属性!$A$2:$K$35,5,FALSE)</f>
        <v>10</v>
      </c>
      <c r="L4">
        <v>3000</v>
      </c>
      <c r="M4">
        <f>VLOOKUP(G4,兵力属性!$A$2:$K$35,10,FALSE)</f>
        <v>2</v>
      </c>
      <c r="N4">
        <f t="shared" si="0"/>
        <v>2.5</v>
      </c>
      <c r="O4">
        <f t="shared" si="1"/>
        <v>1.6666666666666666E-4</v>
      </c>
      <c r="P4">
        <f t="shared" si="2"/>
        <v>5.0000000000000001E-3</v>
      </c>
      <c r="Q4">
        <v>0.18810891203703706</v>
      </c>
      <c r="R4">
        <f t="shared" si="3"/>
        <v>13.29017308604587</v>
      </c>
      <c r="S4">
        <f t="shared" si="4"/>
        <v>6.6450865430229351</v>
      </c>
      <c r="T4">
        <f t="shared" si="6"/>
        <v>2.6580346172091741E-2</v>
      </c>
      <c r="U4">
        <f t="shared" si="5"/>
        <v>1.3290173086045871E-2</v>
      </c>
      <c r="V4">
        <f t="shared" si="7"/>
        <v>0</v>
      </c>
    </row>
    <row r="5" spans="1:22">
      <c r="A5" t="s">
        <v>56</v>
      </c>
      <c r="B5">
        <v>1000</v>
      </c>
      <c r="C5">
        <v>1000</v>
      </c>
      <c r="D5">
        <v>15000</v>
      </c>
      <c r="E5">
        <v>100</v>
      </c>
      <c r="F5">
        <v>100</v>
      </c>
      <c r="G5" t="s">
        <v>10</v>
      </c>
      <c r="H5">
        <f>IF(VLOOKUP(G5,兵力属性!$A$2:$K$35,2,FALSE)&gt;VLOOKUP(G5,兵力属性!$A$2:$K$35,3,FALSE),VLOOKUP(G5,兵力属性!$A$2:$K$35,2,FALSE),VLOOKUP(G5,兵力属性!$A$2:$K$35,3,FALSE))</f>
        <v>40</v>
      </c>
      <c r="I5">
        <f>VLOOKUP(G5,兵力属性!$A$2:$K$35,4,FALSE)</f>
        <v>40</v>
      </c>
      <c r="J5">
        <f>VLOOKUP(G5,兵力属性!$A$2:$K$35,5,FALSE)</f>
        <v>150</v>
      </c>
      <c r="K5">
        <v>1200</v>
      </c>
      <c r="L5">
        <v>300</v>
      </c>
      <c r="M5">
        <f>VLOOKUP(G5,兵力属性!$A$2:$K$35,10,FALSE)</f>
        <v>2</v>
      </c>
      <c r="N5">
        <f t="shared" si="0"/>
        <v>20</v>
      </c>
      <c r="O5">
        <f t="shared" si="1"/>
        <v>1.3333333333333333E-3</v>
      </c>
      <c r="P5">
        <f t="shared" si="2"/>
        <v>7.4999999999999997E-2</v>
      </c>
      <c r="Q5">
        <v>0.27994618055555553</v>
      </c>
      <c r="R5">
        <f t="shared" si="3"/>
        <v>71.442303518161353</v>
      </c>
      <c r="S5">
        <f t="shared" si="4"/>
        <v>35.721151759080676</v>
      </c>
      <c r="T5">
        <f t="shared" si="6"/>
        <v>0.26790863819310506</v>
      </c>
      <c r="U5">
        <f t="shared" si="5"/>
        <v>0.13395431909655253</v>
      </c>
      <c r="V5">
        <f t="shared" si="7"/>
        <v>12</v>
      </c>
    </row>
    <row r="6" spans="1:22">
      <c r="A6" t="s">
        <v>56</v>
      </c>
      <c r="B6">
        <v>1000</v>
      </c>
      <c r="C6">
        <v>1000</v>
      </c>
      <c r="D6">
        <v>15000</v>
      </c>
      <c r="E6">
        <v>100</v>
      </c>
      <c r="F6">
        <v>100</v>
      </c>
      <c r="G6" t="s">
        <v>11</v>
      </c>
      <c r="H6">
        <f>IF(VLOOKUP(G6,兵力属性!$A$2:$K$35,2,FALSE)&gt;VLOOKUP(G6,兵力属性!$A$2:$K$35,3,FALSE),VLOOKUP(G6,兵力属性!$A$2:$K$35,2,FALSE),VLOOKUP(G6,兵力属性!$A$2:$K$35,3,FALSE))</f>
        <v>70</v>
      </c>
      <c r="I6">
        <f>VLOOKUP(G6,兵力属性!$A$2:$K$35,4,FALSE)</f>
        <v>45</v>
      </c>
      <c r="J6">
        <f>VLOOKUP(G6,兵力属性!$A$2:$K$35,5,FALSE)</f>
        <v>225</v>
      </c>
      <c r="L6">
        <v>275</v>
      </c>
      <c r="M6">
        <f>VLOOKUP(G6,兵力属性!$A$2:$K$35,10,FALSE)</f>
        <v>3</v>
      </c>
      <c r="N6">
        <f t="shared" si="0"/>
        <v>35</v>
      </c>
      <c r="O6">
        <f t="shared" si="1"/>
        <v>2.3333333333333335E-3</v>
      </c>
      <c r="P6">
        <f t="shared" si="2"/>
        <v>0.1125</v>
      </c>
      <c r="Q6">
        <v>0.34201215277777774</v>
      </c>
      <c r="R6">
        <f t="shared" si="3"/>
        <v>102.33554485048148</v>
      </c>
      <c r="S6">
        <f t="shared" si="4"/>
        <v>34.111848283493828</v>
      </c>
      <c r="T6">
        <f t="shared" si="6"/>
        <v>0.32893567987654765</v>
      </c>
      <c r="U6">
        <f t="shared" si="5"/>
        <v>0.10964522662551589</v>
      </c>
      <c r="V6">
        <f t="shared" si="7"/>
        <v>0</v>
      </c>
    </row>
    <row r="7" spans="1:22">
      <c r="A7" t="s">
        <v>56</v>
      </c>
      <c r="B7">
        <v>1000</v>
      </c>
      <c r="C7">
        <v>1000</v>
      </c>
      <c r="D7">
        <v>15000</v>
      </c>
      <c r="E7">
        <v>100</v>
      </c>
      <c r="F7">
        <v>100</v>
      </c>
      <c r="G7" t="s">
        <v>12</v>
      </c>
      <c r="H7">
        <f>IF(VLOOKUP(G7,兵力属性!$A$2:$K$35,2,FALSE)&gt;VLOOKUP(G7,兵力属性!$A$2:$K$35,3,FALSE),VLOOKUP(G7,兵力属性!$A$2:$K$35,2,FALSE),VLOOKUP(G7,兵力属性!$A$2:$K$35,3,FALSE))</f>
        <v>80</v>
      </c>
      <c r="I7">
        <f>VLOOKUP(G7,兵力属性!$A$2:$K$35,4,FALSE)</f>
        <v>30</v>
      </c>
      <c r="J7">
        <f>VLOOKUP(G7,兵力属性!$A$2:$K$35,5,FALSE)</f>
        <v>75</v>
      </c>
      <c r="L7">
        <v>250</v>
      </c>
      <c r="M7">
        <f>VLOOKUP(G7,兵力属性!$A$2:$K$35,10,FALSE)</f>
        <v>4</v>
      </c>
      <c r="N7">
        <f t="shared" si="0"/>
        <v>40</v>
      </c>
      <c r="O7">
        <f t="shared" si="1"/>
        <v>2.6666666666666666E-3</v>
      </c>
      <c r="P7">
        <f t="shared" si="2"/>
        <v>3.7499999999999999E-2</v>
      </c>
      <c r="Q7">
        <v>0.46543113425925925</v>
      </c>
      <c r="R7">
        <f t="shared" si="3"/>
        <v>85.941822657954773</v>
      </c>
      <c r="S7">
        <f t="shared" si="4"/>
        <v>21.485455664488693</v>
      </c>
      <c r="T7">
        <f t="shared" si="6"/>
        <v>8.0570458741832607E-2</v>
      </c>
      <c r="U7">
        <f t="shared" si="5"/>
        <v>2.0142614685458152E-2</v>
      </c>
      <c r="V7">
        <f t="shared" si="7"/>
        <v>0</v>
      </c>
    </row>
    <row r="8" spans="1:22">
      <c r="A8" t="s">
        <v>56</v>
      </c>
      <c r="B8">
        <v>1000</v>
      </c>
      <c r="C8">
        <v>1000</v>
      </c>
      <c r="D8">
        <v>15000</v>
      </c>
      <c r="E8">
        <v>100</v>
      </c>
      <c r="F8">
        <v>100</v>
      </c>
      <c r="G8" t="s">
        <v>0</v>
      </c>
      <c r="H8">
        <f>IF(VLOOKUP(G8,兵力属性!$A$2:$K$35,2,FALSE)&gt;VLOOKUP(G8,兵力属性!$A$2:$K$35,3,FALSE),VLOOKUP(G8,兵力属性!$A$2:$K$35,2,FALSE),VLOOKUP(G8,兵力属性!$A$2:$K$35,3,FALSE))</f>
        <v>150</v>
      </c>
      <c r="I8">
        <f>VLOOKUP(G8,兵力属性!$A$2:$K$35,4,FALSE)</f>
        <v>60</v>
      </c>
      <c r="J8">
        <f>VLOOKUP(G8,兵力属性!$A$2:$K$35,5,FALSE)</f>
        <v>300</v>
      </c>
      <c r="L8">
        <v>1000</v>
      </c>
      <c r="M8">
        <f>VLOOKUP(G8,兵力属性!$A$2:$K$35,10,FALSE)</f>
        <v>5</v>
      </c>
      <c r="N8">
        <f t="shared" si="0"/>
        <v>75</v>
      </c>
      <c r="O8">
        <f t="shared" si="1"/>
        <v>5.0000000000000001E-3</v>
      </c>
      <c r="P8">
        <f t="shared" si="2"/>
        <v>0.15</v>
      </c>
      <c r="Q8">
        <v>0.86651736111111111</v>
      </c>
      <c r="R8">
        <f t="shared" si="3"/>
        <v>86.553372576205035</v>
      </c>
      <c r="S8">
        <f t="shared" si="4"/>
        <v>17.310674515241008</v>
      </c>
      <c r="T8">
        <f t="shared" si="6"/>
        <v>0.17310674515241006</v>
      </c>
      <c r="U8">
        <f t="shared" si="5"/>
        <v>3.4621349030482015E-2</v>
      </c>
      <c r="V8">
        <f t="shared" si="7"/>
        <v>0</v>
      </c>
    </row>
    <row r="9" spans="1:22">
      <c r="A9" t="s">
        <v>56</v>
      </c>
      <c r="B9">
        <v>1000</v>
      </c>
      <c r="C9">
        <v>1000</v>
      </c>
      <c r="D9">
        <v>15000</v>
      </c>
      <c r="E9">
        <v>100</v>
      </c>
      <c r="F9">
        <v>100</v>
      </c>
      <c r="G9" t="s">
        <v>13</v>
      </c>
      <c r="H9">
        <f>IF(VLOOKUP(G9,兵力属性!$A$2:$K$35,2,FALSE)&gt;VLOOKUP(G9,兵力属性!$A$2:$K$35,3,FALSE),VLOOKUP(G9,兵力属性!$A$2:$K$35,2,FALSE),VLOOKUP(G9,兵力属性!$A$2:$K$35,3,FALSE))</f>
        <v>300</v>
      </c>
      <c r="I9">
        <f>VLOOKUP(G9,兵力属性!$A$2:$K$35,4,FALSE)</f>
        <v>300</v>
      </c>
      <c r="J9">
        <f>VLOOKUP(G9,兵力属性!$A$2:$K$35,5,FALSE)</f>
        <v>1500</v>
      </c>
      <c r="L9">
        <v>750</v>
      </c>
      <c r="M9">
        <f>VLOOKUP(G9,兵力属性!$A$2:$K$35,10,FALSE)</f>
        <v>7</v>
      </c>
      <c r="N9">
        <f t="shared" si="0"/>
        <v>150</v>
      </c>
      <c r="O9">
        <f t="shared" si="1"/>
        <v>0.01</v>
      </c>
      <c r="P9">
        <f t="shared" si="2"/>
        <v>0.75</v>
      </c>
      <c r="Q9">
        <v>2.3037106481481482</v>
      </c>
      <c r="R9">
        <f t="shared" si="3"/>
        <v>65.112343913754273</v>
      </c>
      <c r="S9">
        <f t="shared" si="4"/>
        <v>9.3017634162506102</v>
      </c>
      <c r="T9">
        <f t="shared" si="6"/>
        <v>0.32556171956877139</v>
      </c>
      <c r="U9">
        <f t="shared" si="5"/>
        <v>4.6508817081253054E-2</v>
      </c>
      <c r="V9">
        <f t="shared" si="7"/>
        <v>0</v>
      </c>
    </row>
    <row r="10" spans="1:22">
      <c r="A10" t="s">
        <v>56</v>
      </c>
      <c r="B10">
        <v>1000</v>
      </c>
      <c r="C10">
        <v>1000</v>
      </c>
      <c r="D10">
        <v>15000</v>
      </c>
      <c r="E10">
        <v>100</v>
      </c>
      <c r="F10">
        <v>100</v>
      </c>
      <c r="G10" t="s">
        <v>2</v>
      </c>
      <c r="H10">
        <f>IF(VLOOKUP(G10,兵力属性!$A$2:$K$35,2,FALSE)&gt;VLOOKUP(G10,兵力属性!$A$2:$K$35,3,FALSE),VLOOKUP(G10,兵力属性!$A$2:$K$35,2,FALSE),VLOOKUP(G10,兵力属性!$A$2:$K$35,3,FALSE))</f>
        <v>5</v>
      </c>
      <c r="I10">
        <f>VLOOKUP(G10,兵力属性!$A$2:$K$35,4,FALSE)</f>
        <v>200</v>
      </c>
      <c r="J10">
        <f>VLOOKUP(G10,兵力属性!$A$2:$K$35,5,FALSE)</f>
        <v>750</v>
      </c>
      <c r="L10">
        <v>150</v>
      </c>
      <c r="M10">
        <f>VLOOKUP(G10,兵力属性!$A$2:$K$35,10,FALSE)</f>
        <v>6</v>
      </c>
      <c r="N10">
        <f t="shared" si="0"/>
        <v>2.5</v>
      </c>
      <c r="O10">
        <f t="shared" si="1"/>
        <v>1.6666666666666666E-4</v>
      </c>
      <c r="P10">
        <f t="shared" si="2"/>
        <v>0.375</v>
      </c>
      <c r="Q10">
        <v>1.3258246527777779</v>
      </c>
      <c r="R10">
        <f t="shared" si="3"/>
        <v>1.8856188823779747</v>
      </c>
      <c r="S10">
        <f t="shared" si="4"/>
        <v>0.31426981372966245</v>
      </c>
      <c r="T10">
        <f t="shared" si="6"/>
        <v>0.28284283235669622</v>
      </c>
      <c r="U10">
        <f t="shared" si="5"/>
        <v>4.7140472059449372E-2</v>
      </c>
      <c r="V10">
        <f t="shared" si="7"/>
        <v>0</v>
      </c>
    </row>
    <row r="11" spans="1:22">
      <c r="A11" t="s">
        <v>56</v>
      </c>
      <c r="B11">
        <v>1000</v>
      </c>
      <c r="C11">
        <v>1000</v>
      </c>
      <c r="D11">
        <v>15000</v>
      </c>
      <c r="E11">
        <v>100</v>
      </c>
      <c r="F11">
        <v>100</v>
      </c>
      <c r="G11" t="s">
        <v>7</v>
      </c>
      <c r="H11">
        <f>IF(VLOOKUP(G11,兵力属性!$A$2:$K$35,2,FALSE)&gt;VLOOKUP(G11,兵力属性!$A$2:$K$35,3,FALSE),VLOOKUP(G11,兵力属性!$A$2:$K$35,2,FALSE),VLOOKUP(G11,兵力属性!$A$2:$K$35,3,FALSE))</f>
        <v>1000</v>
      </c>
      <c r="I11">
        <f>VLOOKUP(G11,兵力属性!$A$2:$K$35,4,FALSE)</f>
        <v>400</v>
      </c>
      <c r="J11">
        <f>VLOOKUP(G11,兵力属性!$A$2:$K$35,5,FALSE)</f>
        <v>4000</v>
      </c>
      <c r="L11">
        <v>120</v>
      </c>
      <c r="M11">
        <f>VLOOKUP(G11,兵力属性!$A$2:$K$35,10,FALSE)</f>
        <v>9</v>
      </c>
      <c r="N11">
        <f t="shared" si="0"/>
        <v>1000</v>
      </c>
      <c r="O11">
        <f t="shared" si="1"/>
        <v>6.6666666666666666E-2</v>
      </c>
      <c r="P11">
        <f t="shared" si="2"/>
        <v>2</v>
      </c>
      <c r="Q11">
        <v>6.0006400462962963</v>
      </c>
      <c r="R11">
        <f t="shared" si="3"/>
        <v>166.64888949924901</v>
      </c>
      <c r="S11">
        <f t="shared" si="4"/>
        <v>18.516543277694336</v>
      </c>
      <c r="T11">
        <f t="shared" si="6"/>
        <v>0.33329777899849805</v>
      </c>
      <c r="U11">
        <f t="shared" si="5"/>
        <v>3.7033086555388672E-2</v>
      </c>
      <c r="V11">
        <f t="shared" si="7"/>
        <v>0</v>
      </c>
    </row>
    <row r="12" spans="1:22">
      <c r="A12" t="s">
        <v>56</v>
      </c>
      <c r="B12">
        <v>1000</v>
      </c>
      <c r="C12">
        <v>1000</v>
      </c>
      <c r="D12">
        <v>15000</v>
      </c>
      <c r="E12">
        <v>100</v>
      </c>
      <c r="F12">
        <v>100</v>
      </c>
      <c r="G12" s="1" t="s">
        <v>3</v>
      </c>
      <c r="H12">
        <f>IF(VLOOKUP(G12,兵力属性!$A$2:$K$35,2,FALSE)&gt;VLOOKUP(G12,兵力属性!$A$2:$K$35,3,FALSE),VLOOKUP(G12,兵力属性!$A$2:$K$35,2,FALSE),VLOOKUP(G12,兵力属性!$A$2:$K$35,3,FALSE))</f>
        <v>1200</v>
      </c>
      <c r="I12">
        <f>VLOOKUP(G12,兵力属性!$A$2:$K$35,4,FALSE)</f>
        <v>30</v>
      </c>
      <c r="J12">
        <f>VLOOKUP(G12,兵力属性!$A$2:$K$35,5,FALSE)</f>
        <v>1500</v>
      </c>
      <c r="K12">
        <v>1500</v>
      </c>
      <c r="L12">
        <v>50</v>
      </c>
      <c r="M12">
        <f>VLOOKUP(G12,兵力属性!$A$2:$K$35,10,FALSE)</f>
        <v>10</v>
      </c>
      <c r="N12">
        <f t="shared" si="0"/>
        <v>1440</v>
      </c>
      <c r="O12">
        <f t="shared" si="1"/>
        <v>9.6000000000000002E-2</v>
      </c>
      <c r="P12">
        <f t="shared" si="2"/>
        <v>0.75</v>
      </c>
      <c r="Q12">
        <v>8.9008778935185191</v>
      </c>
      <c r="R12">
        <f t="shared" si="3"/>
        <v>161.78179469786747</v>
      </c>
      <c r="S12">
        <f t="shared" si="4"/>
        <v>16.178179469786748</v>
      </c>
      <c r="T12">
        <f t="shared" si="6"/>
        <v>8.4261351405139295E-2</v>
      </c>
      <c r="U12">
        <f t="shared" si="5"/>
        <v>8.4261351405139299E-3</v>
      </c>
      <c r="V12">
        <f t="shared" si="7"/>
        <v>15</v>
      </c>
    </row>
    <row r="13" spans="1:22">
      <c r="A13" t="s">
        <v>56</v>
      </c>
      <c r="B13">
        <v>1000</v>
      </c>
      <c r="C13">
        <v>1000</v>
      </c>
      <c r="D13">
        <v>15000</v>
      </c>
      <c r="E13">
        <v>100</v>
      </c>
      <c r="F13">
        <v>100</v>
      </c>
      <c r="G13" s="1" t="s">
        <v>61</v>
      </c>
      <c r="H13">
        <f>IF(VLOOKUP(G13,兵力属性!$A$2:$K$35,2,FALSE)&gt;VLOOKUP(G13,兵力属性!$A$2:$K$35,3,FALSE),VLOOKUP(G13,兵力属性!$A$2:$K$35,2,FALSE),VLOOKUP(G13,兵力属性!$A$2:$K$35,3,FALSE))</f>
        <v>1600</v>
      </c>
      <c r="I13">
        <f>VLOOKUP(G13,兵力属性!$A$2:$K$35,4,FALSE)</f>
        <v>300</v>
      </c>
      <c r="J13">
        <f>VLOOKUP(G13,兵力属性!$A$2:$K$35,5,FALSE)</f>
        <v>3000</v>
      </c>
      <c r="K13">
        <v>600</v>
      </c>
      <c r="L13">
        <v>500</v>
      </c>
      <c r="M13">
        <f>VLOOKUP(G13,兵力属性!$A$2:$K$35,10,FALSE)</f>
        <v>10</v>
      </c>
      <c r="N13">
        <f t="shared" si="0"/>
        <v>2560</v>
      </c>
      <c r="O13">
        <f t="shared" si="1"/>
        <v>0.17066666666666666</v>
      </c>
      <c r="P13">
        <f t="shared" si="2"/>
        <v>1.5</v>
      </c>
      <c r="Q13">
        <v>5.8336851851851845</v>
      </c>
      <c r="R13">
        <f t="shared" si="3"/>
        <v>438.83067370539561</v>
      </c>
      <c r="S13">
        <f t="shared" si="4"/>
        <v>43.883067370539564</v>
      </c>
      <c r="T13">
        <f t="shared" si="6"/>
        <v>0.25712734787425523</v>
      </c>
      <c r="U13">
        <f t="shared" si="5"/>
        <v>2.5712734787425522E-2</v>
      </c>
      <c r="V13">
        <f t="shared" si="7"/>
        <v>6</v>
      </c>
    </row>
    <row r="14" spans="1:22">
      <c r="A14" t="s">
        <v>56</v>
      </c>
      <c r="B14">
        <v>1000</v>
      </c>
      <c r="C14">
        <v>1000</v>
      </c>
      <c r="D14">
        <v>15000</v>
      </c>
      <c r="E14">
        <v>100</v>
      </c>
      <c r="F14">
        <v>100</v>
      </c>
      <c r="G14" t="s">
        <v>14</v>
      </c>
      <c r="H14">
        <f>IF(VLOOKUP(G14,兵力属性!$A$2:$K$35,2,FALSE)&gt;VLOOKUP(G14,兵力属性!$A$2:$K$35,3,FALSE),VLOOKUP(G14,兵力属性!$A$2:$K$35,2,FALSE),VLOOKUP(G14,兵力属性!$A$2:$K$35,3,FALSE))</f>
        <v>2000</v>
      </c>
      <c r="I14">
        <f>VLOOKUP(G14,兵力属性!$A$2:$K$35,4,FALSE)</f>
        <v>500</v>
      </c>
      <c r="J14">
        <f>VLOOKUP(G14,兵力属性!$A$2:$K$35,5,FALSE)</f>
        <v>5000</v>
      </c>
      <c r="L14">
        <v>150</v>
      </c>
      <c r="M14">
        <f>VLOOKUP(G14,兵力属性!$A$2:$K$35,10,FALSE)</f>
        <v>10</v>
      </c>
      <c r="N14">
        <f t="shared" si="0"/>
        <v>4000</v>
      </c>
      <c r="O14">
        <f t="shared" si="1"/>
        <v>0.26666666666666666</v>
      </c>
      <c r="P14">
        <f t="shared" si="2"/>
        <v>2.5</v>
      </c>
      <c r="Q14">
        <v>6.0536851851851852</v>
      </c>
      <c r="R14">
        <f t="shared" si="3"/>
        <v>660.7545449817834</v>
      </c>
      <c r="S14">
        <f t="shared" si="4"/>
        <v>66.075454498178345</v>
      </c>
      <c r="T14">
        <f t="shared" si="6"/>
        <v>0.4129715906136146</v>
      </c>
      <c r="U14">
        <f t="shared" si="5"/>
        <v>4.1297159061361458E-2</v>
      </c>
      <c r="V14">
        <f t="shared" si="7"/>
        <v>0</v>
      </c>
    </row>
    <row r="15" spans="1:22">
      <c r="A15" t="s">
        <v>56</v>
      </c>
      <c r="B15">
        <v>1000</v>
      </c>
      <c r="C15">
        <v>1000</v>
      </c>
      <c r="D15">
        <v>15000</v>
      </c>
      <c r="E15">
        <v>100</v>
      </c>
      <c r="F15">
        <v>100</v>
      </c>
      <c r="G15" t="s">
        <v>36</v>
      </c>
      <c r="H15">
        <f>IF(VLOOKUP(G15,兵力属性!$A$2:$K$35,2,FALSE)&gt;VLOOKUP(G15,兵力属性!$A$2:$K$35,3,FALSE),VLOOKUP(G15,兵力属性!$A$2:$K$35,2,FALSE),VLOOKUP(G15,兵力属性!$A$2:$K$35,3,FALSE))</f>
        <v>650</v>
      </c>
      <c r="I15">
        <f>VLOOKUP(G15,兵力属性!$A$2:$K$35,4,FALSE)</f>
        <v>900</v>
      </c>
      <c r="J15">
        <f>VLOOKUP(G15,兵力属性!$A$2:$K$35,5,FALSE)</f>
        <v>15000</v>
      </c>
      <c r="L15">
        <v>350</v>
      </c>
      <c r="M15">
        <f>VLOOKUP(G15,兵力属性!$A$2:$K$35,10,FALSE)</f>
        <v>9</v>
      </c>
      <c r="N15">
        <f t="shared" si="0"/>
        <v>422.5</v>
      </c>
      <c r="O15">
        <f t="shared" si="1"/>
        <v>2.8166666666666666E-2</v>
      </c>
      <c r="P15">
        <f t="shared" si="2"/>
        <v>13.5</v>
      </c>
      <c r="Q15">
        <v>5.3909351851851852</v>
      </c>
      <c r="R15">
        <f t="shared" si="3"/>
        <v>78.372301926588008</v>
      </c>
      <c r="S15">
        <f t="shared" si="4"/>
        <v>8.7080335473986672</v>
      </c>
      <c r="T15">
        <f t="shared" si="6"/>
        <v>2.5042037301986704</v>
      </c>
      <c r="U15">
        <f t="shared" si="5"/>
        <v>0.2782448589109634</v>
      </c>
      <c r="V15">
        <f t="shared" si="7"/>
        <v>0</v>
      </c>
    </row>
    <row r="16" spans="1:22">
      <c r="A16" t="s">
        <v>56</v>
      </c>
      <c r="B16">
        <v>1000</v>
      </c>
      <c r="C16">
        <v>1000</v>
      </c>
      <c r="D16">
        <v>15000</v>
      </c>
      <c r="E16">
        <v>100</v>
      </c>
      <c r="F16">
        <v>100</v>
      </c>
      <c r="G16" s="1" t="s">
        <v>37</v>
      </c>
      <c r="H16">
        <f>IF(VLOOKUP(G16,兵力属性!$A$2:$K$35,2,FALSE)&gt;VLOOKUP(G16,兵力属性!$A$2:$K$35,3,FALSE),VLOOKUP(G16,兵力属性!$A$2:$K$35,2,FALSE),VLOOKUP(G16,兵力属性!$A$2:$K$35,3,FALSE))</f>
        <v>1600</v>
      </c>
      <c r="I16">
        <f>VLOOKUP(G16,兵力属性!$A$2:$K$35,4,FALSE)</f>
        <v>150</v>
      </c>
      <c r="J16">
        <f>VLOOKUP(G16,兵力属性!$A$2:$K$35,5,FALSE)</f>
        <v>3000</v>
      </c>
      <c r="K16">
        <v>900</v>
      </c>
      <c r="L16">
        <v>600</v>
      </c>
      <c r="M16">
        <f>VLOOKUP(G16,兵力属性!$A$2:$K$35,10,FALSE)</f>
        <v>10</v>
      </c>
      <c r="N16">
        <f t="shared" si="0"/>
        <v>2560</v>
      </c>
      <c r="O16">
        <f t="shared" si="1"/>
        <v>0.17066666666666666</v>
      </c>
      <c r="P16">
        <f t="shared" si="2"/>
        <v>1.5</v>
      </c>
      <c r="Q16">
        <v>5.393685185185185</v>
      </c>
      <c r="R16">
        <f t="shared" si="3"/>
        <v>474.62911017341952</v>
      </c>
      <c r="S16">
        <f t="shared" si="4"/>
        <v>47.462911017341952</v>
      </c>
      <c r="T16">
        <f t="shared" si="6"/>
        <v>0.278102994242238</v>
      </c>
      <c r="U16">
        <f t="shared" si="5"/>
        <v>2.7810299424223799E-2</v>
      </c>
      <c r="V16">
        <f t="shared" si="7"/>
        <v>9</v>
      </c>
    </row>
    <row r="17" spans="1:22">
      <c r="A17" t="s">
        <v>56</v>
      </c>
      <c r="B17">
        <v>1000</v>
      </c>
      <c r="C17">
        <v>1000</v>
      </c>
      <c r="D17">
        <v>15000</v>
      </c>
      <c r="E17">
        <v>100</v>
      </c>
      <c r="F17">
        <v>100</v>
      </c>
      <c r="G17" t="s">
        <v>63</v>
      </c>
      <c r="H17">
        <f>IF(VLOOKUP(G17,兵力属性!$A$2:$K$35,2,FALSE)&gt;VLOOKUP(G17,兵力属性!$A$2:$K$35,3,FALSE),VLOOKUP(G17,兵力属性!$A$2:$K$35,2,FALSE),VLOOKUP(G17,兵力属性!$A$2:$K$35,3,FALSE))</f>
        <v>3100</v>
      </c>
      <c r="I17">
        <f>VLOOKUP(G17,兵力属性!$A$2:$K$35,4,FALSE)</f>
        <v>400</v>
      </c>
      <c r="J17">
        <f>VLOOKUP(G17,兵力属性!$A$2:$K$35,5,FALSE)</f>
        <v>250</v>
      </c>
      <c r="L17">
        <v>900</v>
      </c>
      <c r="M17">
        <f>VLOOKUP(G17,兵力属性!$A$2:$K$35,10,FALSE)</f>
        <v>10</v>
      </c>
      <c r="N17">
        <f t="shared" si="0"/>
        <v>6200</v>
      </c>
      <c r="O17">
        <f t="shared" si="1"/>
        <v>0.41333333333333333</v>
      </c>
      <c r="P17">
        <f t="shared" si="2"/>
        <v>0.125</v>
      </c>
      <c r="Q17">
        <v>4.8772268518518516</v>
      </c>
      <c r="R17">
        <f t="shared" si="3"/>
        <v>1271.2141937063886</v>
      </c>
      <c r="S17">
        <f t="shared" si="4"/>
        <v>127.12141937063886</v>
      </c>
      <c r="T17">
        <f t="shared" si="6"/>
        <v>2.5629318421499771E-2</v>
      </c>
      <c r="U17">
        <f t="shared" si="5"/>
        <v>2.562931842149977E-3</v>
      </c>
      <c r="V17">
        <f t="shared" si="7"/>
        <v>0</v>
      </c>
    </row>
    <row r="18" spans="1:22">
      <c r="A18" t="s">
        <v>56</v>
      </c>
      <c r="B18">
        <v>1000</v>
      </c>
      <c r="C18">
        <v>1000</v>
      </c>
      <c r="D18">
        <v>15000</v>
      </c>
      <c r="E18">
        <v>100</v>
      </c>
      <c r="F18">
        <v>100</v>
      </c>
      <c r="G18" s="1" t="s">
        <v>62</v>
      </c>
      <c r="H18">
        <f>IF(VLOOKUP(G18,兵力属性!$A$2:$K$35,2,FALSE)&gt;VLOOKUP(G18,兵力属性!$A$2:$K$35,3,FALSE),VLOOKUP(G18,兵力属性!$A$2:$K$35,2,FALSE),VLOOKUP(G18,兵力属性!$A$2:$K$35,3,FALSE))</f>
        <v>900</v>
      </c>
      <c r="I18">
        <f>VLOOKUP(G18,兵力属性!$A$2:$K$35,4,FALSE)</f>
        <v>250</v>
      </c>
      <c r="J18">
        <f>VLOOKUP(G18,兵力属性!$A$2:$K$35,5,FALSE)</f>
        <v>1100</v>
      </c>
      <c r="K18">
        <v>1600</v>
      </c>
      <c r="L18">
        <v>50</v>
      </c>
      <c r="M18">
        <f>VLOOKUP(G18,兵力属性!$A$2:$K$35,10,FALSE)</f>
        <v>10</v>
      </c>
      <c r="N18">
        <f t="shared" si="0"/>
        <v>810</v>
      </c>
      <c r="O18">
        <f t="shared" si="1"/>
        <v>5.3999999999999999E-2</v>
      </c>
      <c r="P18">
        <f t="shared" si="2"/>
        <v>0.55000000000000004</v>
      </c>
      <c r="Q18">
        <v>8.2404068287037031</v>
      </c>
      <c r="R18">
        <f t="shared" si="3"/>
        <v>98.296117757018678</v>
      </c>
      <c r="S18">
        <f t="shared" si="4"/>
        <v>9.8296117757018671</v>
      </c>
      <c r="T18">
        <f t="shared" si="6"/>
        <v>6.6744277489333675E-2</v>
      </c>
      <c r="U18">
        <f t="shared" si="5"/>
        <v>6.6744277489333677E-3</v>
      </c>
      <c r="V18">
        <f t="shared" si="7"/>
        <v>16</v>
      </c>
    </row>
    <row r="19" spans="1:22">
      <c r="A19" t="s">
        <v>56</v>
      </c>
      <c r="B19">
        <v>1000</v>
      </c>
      <c r="C19">
        <v>1000</v>
      </c>
      <c r="D19">
        <v>15000</v>
      </c>
      <c r="E19">
        <v>100</v>
      </c>
      <c r="F19">
        <v>100</v>
      </c>
      <c r="G19" t="s">
        <v>40</v>
      </c>
      <c r="H19">
        <f>IF(VLOOKUP(G19,兵力属性!$A$2:$K$35,2,FALSE)&gt;VLOOKUP(G19,兵力属性!$A$2:$K$35,3,FALSE),VLOOKUP(G19,兵力属性!$A$2:$K$35,2,FALSE),VLOOKUP(G19,兵力属性!$A$2:$K$35,3,FALSE))</f>
        <v>1350</v>
      </c>
      <c r="I19">
        <f>VLOOKUP(G19,兵力属性!$A$2:$K$35,4,FALSE)</f>
        <v>300</v>
      </c>
      <c r="J19">
        <f>VLOOKUP(G19,兵力属性!$A$2:$K$35,5,FALSE)</f>
        <v>3100</v>
      </c>
      <c r="L19">
        <v>675</v>
      </c>
      <c r="M19">
        <f>VLOOKUP(G19,兵力属性!$A$2:$K$35,10,FALSE)</f>
        <v>10</v>
      </c>
      <c r="N19">
        <f t="shared" si="0"/>
        <v>1822.5000000000002</v>
      </c>
      <c r="O19">
        <f t="shared" si="1"/>
        <v>0.12150000000000001</v>
      </c>
      <c r="P19">
        <f t="shared" si="2"/>
        <v>1.55</v>
      </c>
      <c r="Q19">
        <v>5.7509947916666668</v>
      </c>
      <c r="R19">
        <f t="shared" si="3"/>
        <v>316.90169544942864</v>
      </c>
      <c r="S19">
        <f t="shared" si="4"/>
        <v>31.690169544942865</v>
      </c>
      <c r="T19">
        <f t="shared" si="6"/>
        <v>0.26951858872242213</v>
      </c>
      <c r="U19">
        <f t="shared" si="5"/>
        <v>2.6951858872242211E-2</v>
      </c>
      <c r="V19">
        <f t="shared" si="7"/>
        <v>0</v>
      </c>
    </row>
    <row r="20" spans="1:22">
      <c r="A20" t="s">
        <v>56</v>
      </c>
      <c r="B20">
        <v>1000</v>
      </c>
      <c r="C20">
        <v>1000</v>
      </c>
      <c r="D20">
        <v>15000</v>
      </c>
      <c r="E20">
        <v>100</v>
      </c>
      <c r="F20">
        <v>100</v>
      </c>
      <c r="G20" s="1" t="s">
        <v>6</v>
      </c>
      <c r="H20">
        <f>IF(VLOOKUP(G20,兵力属性!$A$2:$K$35,2,FALSE)&gt;VLOOKUP(G20,兵力属性!$A$2:$K$35,3,FALSE),VLOOKUP(G20,兵力属性!$A$2:$K$35,2,FALSE),VLOOKUP(G20,兵力属性!$A$2:$K$35,3,FALSE))</f>
        <v>2000</v>
      </c>
      <c r="I20">
        <f>VLOOKUP(G20,兵力属性!$A$2:$K$35,4,FALSE)</f>
        <v>150</v>
      </c>
      <c r="J20">
        <f>VLOOKUP(G20,兵力属性!$A$2:$K$35,5,FALSE)</f>
        <v>1000</v>
      </c>
      <c r="K20">
        <v>1600</v>
      </c>
      <c r="L20">
        <v>400</v>
      </c>
      <c r="M20">
        <f>VLOOKUP(G20,兵力属性!$A$2:$K$35,10,FALSE)</f>
        <v>8</v>
      </c>
      <c r="N20">
        <f t="shared" si="0"/>
        <v>4000</v>
      </c>
      <c r="O20">
        <f t="shared" si="1"/>
        <v>0.26666666666666666</v>
      </c>
      <c r="P20">
        <f t="shared" si="2"/>
        <v>0.5</v>
      </c>
      <c r="Q20">
        <v>6.2811394675925927</v>
      </c>
      <c r="R20">
        <f t="shared" si="3"/>
        <v>636.82712677180882</v>
      </c>
      <c r="S20">
        <f t="shared" si="4"/>
        <v>79.603390846476103</v>
      </c>
      <c r="T20">
        <f t="shared" si="6"/>
        <v>7.9603390846476108E-2</v>
      </c>
      <c r="U20">
        <f t="shared" si="5"/>
        <v>9.9504238558095134E-3</v>
      </c>
      <c r="V20">
        <f t="shared" si="7"/>
        <v>16</v>
      </c>
    </row>
    <row r="21" spans="1:22">
      <c r="A21" t="s">
        <v>56</v>
      </c>
      <c r="B21">
        <v>1000</v>
      </c>
      <c r="C21">
        <v>1000</v>
      </c>
      <c r="D21">
        <v>15000</v>
      </c>
      <c r="E21">
        <v>100</v>
      </c>
      <c r="F21">
        <v>100</v>
      </c>
      <c r="G21" t="s">
        <v>64</v>
      </c>
      <c r="H21">
        <f>IF(VLOOKUP(G21,兵力属性!$A$2:$K$35,2,FALSE)&gt;VLOOKUP(G21,兵力属性!$A$2:$K$35,3,FALSE),VLOOKUP(G21,兵力属性!$A$2:$K$35,2,FALSE),VLOOKUP(G21,兵力属性!$A$2:$K$35,3,FALSE))</f>
        <v>5000</v>
      </c>
      <c r="I21">
        <f>VLOOKUP(G21,兵力属性!$A$2:$K$35,4,FALSE)</f>
        <v>1500</v>
      </c>
      <c r="J21">
        <f>VLOOKUP(G21,兵力属性!$A$2:$K$35,5,FALSE)</f>
        <v>7500</v>
      </c>
      <c r="L21">
        <v>50</v>
      </c>
      <c r="M21">
        <f>VLOOKUP(G21,兵力属性!$A$2:$K$35,10,FALSE)</f>
        <v>20</v>
      </c>
      <c r="N21">
        <f t="shared" si="0"/>
        <v>10000</v>
      </c>
      <c r="O21">
        <f t="shared" si="1"/>
        <v>0.66666666666666663</v>
      </c>
      <c r="P21">
        <f t="shared" si="2"/>
        <v>11.25</v>
      </c>
      <c r="Q21">
        <v>11.294991226851851</v>
      </c>
      <c r="R21">
        <f t="shared" si="3"/>
        <v>885.34818656846437</v>
      </c>
      <c r="S21">
        <f t="shared" si="4"/>
        <v>44.26740932842322</v>
      </c>
      <c r="T21">
        <f t="shared" si="6"/>
        <v>0.9960167098895224</v>
      </c>
      <c r="U21">
        <f t="shared" si="5"/>
        <v>4.9800835494476121E-2</v>
      </c>
      <c r="V21">
        <f t="shared" si="7"/>
        <v>0</v>
      </c>
    </row>
    <row r="22" spans="1:22">
      <c r="A22" t="s">
        <v>56</v>
      </c>
      <c r="B22">
        <v>1000</v>
      </c>
      <c r="C22">
        <v>1000</v>
      </c>
      <c r="D22">
        <v>15000</v>
      </c>
      <c r="E22">
        <v>100</v>
      </c>
      <c r="F22">
        <v>100</v>
      </c>
      <c r="G22" t="s">
        <v>42</v>
      </c>
      <c r="H22">
        <f>IF(VLOOKUP(G22,兵力属性!$A$2:$K$35,2,FALSE)&gt;VLOOKUP(G22,兵力属性!$A$2:$K$35,3,FALSE),VLOOKUP(G22,兵力属性!$A$2:$K$35,2,FALSE),VLOOKUP(G22,兵力属性!$A$2:$K$35,3,FALSE))</f>
        <v>5999</v>
      </c>
      <c r="I22">
        <f>VLOOKUP(G22,兵力属性!$A$2:$K$35,4,FALSE)</f>
        <v>999</v>
      </c>
      <c r="J22">
        <f>VLOOKUP(G22,兵力属性!$A$2:$K$35,5,FALSE)</f>
        <v>6999</v>
      </c>
      <c r="L22">
        <v>999</v>
      </c>
      <c r="M22">
        <f>VLOOKUP(G22,兵力属性!$A$2:$K$35,10,FALSE)</f>
        <v>40</v>
      </c>
      <c r="N22">
        <f t="shared" si="0"/>
        <v>11998</v>
      </c>
      <c r="O22">
        <f t="shared" si="1"/>
        <v>0.79986666666666661</v>
      </c>
      <c r="P22">
        <f t="shared" si="2"/>
        <v>6.9920009999999992</v>
      </c>
      <c r="Q22">
        <v>25.597534722222221</v>
      </c>
      <c r="R22">
        <f t="shared" si="3"/>
        <v>468.71701240760763</v>
      </c>
      <c r="S22">
        <f t="shared" si="4"/>
        <v>11.717925310190191</v>
      </c>
      <c r="T22">
        <f t="shared" si="6"/>
        <v>0.27315134351316922</v>
      </c>
      <c r="U22">
        <f t="shared" si="5"/>
        <v>6.8287835878292303E-3</v>
      </c>
      <c r="V22">
        <f t="shared" si="7"/>
        <v>0</v>
      </c>
    </row>
    <row r="23" spans="1:22">
      <c r="A23" t="s">
        <v>56</v>
      </c>
      <c r="B23">
        <v>1000</v>
      </c>
      <c r="C23">
        <v>1000</v>
      </c>
      <c r="D23">
        <v>15000</v>
      </c>
      <c r="E23">
        <v>100</v>
      </c>
      <c r="F23">
        <v>100</v>
      </c>
      <c r="G23" t="s">
        <v>43</v>
      </c>
      <c r="H23">
        <f>IF(VLOOKUP(G23,兵力属性!$A$2:$K$35,2,FALSE)&gt;VLOOKUP(G23,兵力属性!$A$2:$K$35,3,FALSE),VLOOKUP(G23,兵力属性!$A$2:$K$35,2,FALSE),VLOOKUP(G23,兵力属性!$A$2:$K$35,3,FALSE))</f>
        <v>2900</v>
      </c>
      <c r="I23">
        <f>VLOOKUP(G23,兵力属性!$A$2:$K$35,4,FALSE)</f>
        <v>800</v>
      </c>
      <c r="J23">
        <f>VLOOKUP(G23,兵力属性!$A$2:$K$35,5,FALSE)</f>
        <v>6000</v>
      </c>
      <c r="L23">
        <v>1100</v>
      </c>
      <c r="M23">
        <f>VLOOKUP(G23,兵力属性!$A$2:$K$35,10,FALSE)</f>
        <v>25</v>
      </c>
      <c r="N23">
        <f t="shared" si="0"/>
        <v>5800</v>
      </c>
      <c r="O23">
        <f t="shared" si="1"/>
        <v>0.38666666666666666</v>
      </c>
      <c r="P23">
        <f t="shared" si="2"/>
        <v>4.8</v>
      </c>
      <c r="Q23">
        <v>7.615870370370371</v>
      </c>
      <c r="R23">
        <f t="shared" si="3"/>
        <v>761.56758425996395</v>
      </c>
      <c r="S23">
        <f t="shared" si="4"/>
        <v>30.462703370398557</v>
      </c>
      <c r="T23">
        <f t="shared" si="6"/>
        <v>0.63026282835307357</v>
      </c>
      <c r="U23">
        <f t="shared" si="5"/>
        <v>2.5210513134122942E-2</v>
      </c>
      <c r="V23">
        <f t="shared" si="7"/>
        <v>0</v>
      </c>
    </row>
    <row r="24" spans="1:22">
      <c r="A24" t="s">
        <v>56</v>
      </c>
      <c r="B24">
        <v>1000</v>
      </c>
      <c r="C24">
        <v>1000</v>
      </c>
      <c r="D24">
        <v>15000</v>
      </c>
      <c r="E24">
        <v>100</v>
      </c>
      <c r="F24">
        <v>100</v>
      </c>
      <c r="G24" s="1" t="s">
        <v>59</v>
      </c>
      <c r="H24">
        <f>IF(VLOOKUP(G24,兵力属性!$A$2:$K$35,2,FALSE)&gt;VLOOKUP(G24,兵力属性!$A$2:$K$35,3,FALSE),VLOOKUP(G24,兵力属性!$A$2:$K$35,2,FALSE),VLOOKUP(G24,兵力属性!$A$2:$K$35,3,FALSE))</f>
        <v>2200</v>
      </c>
      <c r="I24">
        <f>VLOOKUP(G24,兵力属性!$A$2:$K$35,4,FALSE)</f>
        <v>999</v>
      </c>
      <c r="J24">
        <f>VLOOKUP(G24,兵力属性!$A$2:$K$35,5,FALSE)</f>
        <v>1000</v>
      </c>
      <c r="K24">
        <v>1700</v>
      </c>
      <c r="L24">
        <v>450</v>
      </c>
      <c r="M24">
        <f>VLOOKUP(G24,兵力属性!$A$2:$K$35,10,FALSE)</f>
        <v>20</v>
      </c>
      <c r="N24">
        <f t="shared" si="0"/>
        <v>4400</v>
      </c>
      <c r="O24">
        <f t="shared" si="1"/>
        <v>0.29333333333333333</v>
      </c>
      <c r="P24">
        <f t="shared" si="2"/>
        <v>0.99899999999999989</v>
      </c>
      <c r="Q24">
        <v>10.965370370370369</v>
      </c>
      <c r="R24">
        <f t="shared" si="3"/>
        <v>401.26323611369128</v>
      </c>
      <c r="S24">
        <f t="shared" si="4"/>
        <v>20.063161805684565</v>
      </c>
      <c r="T24">
        <f t="shared" si="6"/>
        <v>9.1104993835813081E-2</v>
      </c>
      <c r="U24">
        <f t="shared" si="5"/>
        <v>4.5552496917906542E-3</v>
      </c>
      <c r="V24">
        <f t="shared" si="7"/>
        <v>17</v>
      </c>
    </row>
    <row r="25" spans="1:22">
      <c r="A25" t="s">
        <v>56</v>
      </c>
      <c r="B25">
        <v>1000</v>
      </c>
      <c r="C25">
        <v>1000</v>
      </c>
      <c r="D25">
        <v>15000</v>
      </c>
      <c r="E25">
        <v>100</v>
      </c>
      <c r="F25">
        <v>100</v>
      </c>
      <c r="G25" t="s">
        <v>52</v>
      </c>
      <c r="H25">
        <f>1800</f>
        <v>1800</v>
      </c>
      <c r="I25">
        <v>900</v>
      </c>
      <c r="J25">
        <v>5400</v>
      </c>
      <c r="K25">
        <v>600</v>
      </c>
      <c r="L25">
        <v>700</v>
      </c>
      <c r="M25">
        <v>20</v>
      </c>
      <c r="N25">
        <f t="shared" si="0"/>
        <v>3240</v>
      </c>
      <c r="O25">
        <f t="shared" si="1"/>
        <v>0.216</v>
      </c>
      <c r="P25">
        <f t="shared" si="2"/>
        <v>4.8600000000000003</v>
      </c>
      <c r="Q25">
        <v>11.965370370370399</v>
      </c>
      <c r="R25">
        <f t="shared" si="3"/>
        <v>270.78142169532384</v>
      </c>
      <c r="S25">
        <f t="shared" si="4"/>
        <v>13.539071084766192</v>
      </c>
      <c r="T25">
        <f t="shared" si="6"/>
        <v>0.40617213254298573</v>
      </c>
      <c r="U25">
        <f t="shared" si="5"/>
        <v>2.0308606627149287E-2</v>
      </c>
      <c r="V25">
        <f t="shared" si="7"/>
        <v>6</v>
      </c>
    </row>
    <row r="28" spans="1:22">
      <c r="C28" t="s">
        <v>65</v>
      </c>
      <c r="D28">
        <v>1</v>
      </c>
    </row>
    <row r="29" spans="1:22">
      <c r="C29" t="s">
        <v>66</v>
      </c>
      <c r="D29">
        <f>D28*1.5</f>
        <v>1.5</v>
      </c>
    </row>
    <row r="30" spans="1:22">
      <c r="C30" t="s">
        <v>67</v>
      </c>
      <c r="D30">
        <v>2</v>
      </c>
    </row>
    <row r="31" spans="1:22">
      <c r="C31" t="s">
        <v>68</v>
      </c>
    </row>
    <row r="32" spans="1:22">
      <c r="C32" t="s">
        <v>69</v>
      </c>
    </row>
    <row r="33" spans="3:3">
      <c r="C33" t="s">
        <v>70</v>
      </c>
    </row>
  </sheetData>
  <phoneticPr fontId="1" type="noConversion"/>
  <conditionalFormatting sqref="S1:S1048576">
    <cfRule type="dataBar" priority="4">
      <dataBar>
        <cfvo type="min" val="0"/>
        <cfvo type="max" val="0"/>
        <color rgb="FF638EC6"/>
      </dataBar>
    </cfRule>
  </conditionalFormatting>
  <conditionalFormatting sqref="U2:U25">
    <cfRule type="dataBar" priority="3">
      <dataBar>
        <cfvo type="min" val="0"/>
        <cfvo type="max" val="0"/>
        <color rgb="FF63C384"/>
      </dataBar>
    </cfRule>
  </conditionalFormatting>
  <conditionalFormatting sqref="O2:O26">
    <cfRule type="dataBar" priority="2">
      <dataBar>
        <cfvo type="min" val="0"/>
        <cfvo type="max" val="0"/>
        <color rgb="FFFF555A"/>
      </dataBar>
    </cfRule>
  </conditionalFormatting>
  <conditionalFormatting sqref="P2:P25">
    <cfRule type="dataBar" priority="1">
      <dataBar>
        <cfvo type="min" val="0"/>
        <cfvo type="max" val="0"/>
        <color rgb="FF008AEF"/>
      </dataBar>
    </cfRule>
  </conditionalFormatting>
  <dataValidations disablePrompts="1" count="1">
    <dataValidation type="list" allowBlank="1" showInputMessage="1" showErrorMessage="1" sqref="G1">
      <formula1>$X$13:$X$43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Views>
    <sheetView tabSelected="1" topLeftCell="A22" zoomScale="130" zoomScaleNormal="130" workbookViewId="0">
      <pane xSplit="1" topLeftCell="B1" activePane="topRight" state="frozen"/>
      <selection pane="topRight" activeCell="I30" sqref="I30"/>
    </sheetView>
  </sheetViews>
  <sheetFormatPr defaultRowHeight="15" customHeight="1"/>
  <cols>
    <col min="1" max="1" width="21" customWidth="1"/>
    <col min="2" max="5" width="9.125" bestFit="1" customWidth="1"/>
    <col min="7" max="8" width="9.125" bestFit="1" customWidth="1"/>
    <col min="9" max="9" width="10.625" customWidth="1"/>
    <col min="11" max="11" width="10.375" customWidth="1"/>
    <col min="12" max="15" width="10" customWidth="1"/>
    <col min="16" max="16" width="8.5" customWidth="1"/>
    <col min="17" max="17" width="12.125" customWidth="1"/>
    <col min="18" max="21" width="12.75" customWidth="1"/>
    <col min="22" max="24" width="17.625" customWidth="1"/>
    <col min="25" max="25" width="9.875" customWidth="1"/>
  </cols>
  <sheetData>
    <row r="1" spans="1:34" ht="15" customHeight="1" thickBot="1"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5" t="s">
        <v>75</v>
      </c>
      <c r="M1" s="11" t="s">
        <v>85</v>
      </c>
      <c r="N1" s="11" t="s">
        <v>81</v>
      </c>
      <c r="O1" s="11" t="s">
        <v>82</v>
      </c>
      <c r="P1" s="6" t="s">
        <v>80</v>
      </c>
      <c r="Q1" s="6" t="s">
        <v>78</v>
      </c>
      <c r="R1" s="6" t="s">
        <v>77</v>
      </c>
      <c r="S1" s="6" t="s">
        <v>83</v>
      </c>
      <c r="T1" s="6" t="s">
        <v>86</v>
      </c>
      <c r="U1" s="6" t="s">
        <v>79</v>
      </c>
      <c r="V1" s="6" t="s">
        <v>60</v>
      </c>
      <c r="W1" s="6" t="s">
        <v>84</v>
      </c>
      <c r="X1" s="6" t="s">
        <v>87</v>
      </c>
      <c r="Y1" s="6" t="s">
        <v>76</v>
      </c>
      <c r="AD1" s="3" t="s">
        <v>49</v>
      </c>
      <c r="AE1" s="3" t="s">
        <v>17</v>
      </c>
      <c r="AF1" s="3" t="s">
        <v>18</v>
      </c>
      <c r="AG1" s="9" t="s">
        <v>72</v>
      </c>
      <c r="AH1" s="9" t="s">
        <v>73</v>
      </c>
    </row>
    <row r="2" spans="1:34" ht="15" customHeight="1" thickBot="1">
      <c r="A2" s="4" t="s">
        <v>5</v>
      </c>
      <c r="B2" s="4">
        <v>0</v>
      </c>
      <c r="C2" s="4">
        <v>10</v>
      </c>
      <c r="D2" s="4">
        <v>10</v>
      </c>
      <c r="E2" s="4">
        <v>75</v>
      </c>
      <c r="F2" s="4">
        <v>200</v>
      </c>
      <c r="G2" s="4">
        <v>0</v>
      </c>
      <c r="H2" s="4">
        <v>20</v>
      </c>
      <c r="I2" s="4">
        <v>3</v>
      </c>
      <c r="J2" s="4">
        <v>1</v>
      </c>
      <c r="K2" s="4">
        <v>26</v>
      </c>
      <c r="L2" s="4">
        <v>7.4038657407407393E-2</v>
      </c>
      <c r="M2" s="4">
        <f>E2/C2</f>
        <v>7.5</v>
      </c>
      <c r="N2" s="4">
        <f>C2/D2</f>
        <v>1</v>
      </c>
      <c r="O2" s="4">
        <f>E2/D2</f>
        <v>7.5</v>
      </c>
      <c r="P2" s="4">
        <f>G2/$AG$2</f>
        <v>0</v>
      </c>
      <c r="Q2" s="4">
        <f t="shared" ref="Q2:Q25" si="0">(B2*IF(B2/$AE$2&gt;2,2,IF(B2/$AE$2&lt;0.5,0.5,B2/$AE$2)))/$J2*P2</f>
        <v>0</v>
      </c>
      <c r="R2" s="4">
        <f>(C2*IF(C2/$AE$2&gt;2,2,IF(C2/$AE$2&lt;0.5,0.5,C2/$AE$2)))/$J2</f>
        <v>5</v>
      </c>
      <c r="S2" s="4">
        <f>IF(R2&gt;Q2,R2,Q2)</f>
        <v>5</v>
      </c>
      <c r="T2" s="4">
        <f>S2*J2</f>
        <v>5</v>
      </c>
      <c r="U2" s="4">
        <f>$AH$2/F2</f>
        <v>5</v>
      </c>
      <c r="V2" s="4">
        <f>E2/$AD$2*IF($AD$2/D2&gt;2,2,IF($AD$2/D2&lt;0.5,0.5,$AD$2/D2))/J2</f>
        <v>0.5</v>
      </c>
      <c r="W2" s="10">
        <f>V2*50</f>
        <v>25</v>
      </c>
      <c r="X2" s="10">
        <f>V2*J2*100</f>
        <v>50</v>
      </c>
      <c r="AC2" t="s">
        <v>74</v>
      </c>
      <c r="AD2">
        <v>300</v>
      </c>
      <c r="AE2">
        <v>300</v>
      </c>
      <c r="AF2">
        <v>100</v>
      </c>
      <c r="AG2">
        <f>750*1.5</f>
        <v>1125</v>
      </c>
      <c r="AH2">
        <v>1000</v>
      </c>
    </row>
    <row r="3" spans="1:34" ht="15" customHeight="1" thickBot="1">
      <c r="A3" s="4" t="s">
        <v>8</v>
      </c>
      <c r="B3" s="4">
        <v>0</v>
      </c>
      <c r="C3" s="4">
        <v>1</v>
      </c>
      <c r="D3" s="4">
        <v>10</v>
      </c>
      <c r="E3" s="4">
        <v>45</v>
      </c>
      <c r="F3" s="4">
        <v>100</v>
      </c>
      <c r="G3" s="4">
        <v>0</v>
      </c>
      <c r="H3" s="4">
        <v>200</v>
      </c>
      <c r="I3" s="4">
        <v>2</v>
      </c>
      <c r="J3" s="4">
        <v>1</v>
      </c>
      <c r="K3" s="4">
        <v>48</v>
      </c>
      <c r="L3" s="4">
        <v>8.7144444444444399E-2</v>
      </c>
      <c r="M3" s="4">
        <f t="shared" ref="M3:M25" si="1">E3/C3</f>
        <v>45</v>
      </c>
      <c r="N3" s="4">
        <f>C3/D3</f>
        <v>0.1</v>
      </c>
      <c r="O3" s="4">
        <f t="shared" ref="O3:O25" si="2">E3/D3</f>
        <v>4.5</v>
      </c>
      <c r="P3" s="4">
        <f t="shared" ref="P3:P25" si="3">G3/$AG$2</f>
        <v>0</v>
      </c>
      <c r="Q3" s="4">
        <f t="shared" si="0"/>
        <v>0</v>
      </c>
      <c r="R3" s="4">
        <f t="shared" ref="R3:R25" si="4">(C3*IF(C3/$AE$2&gt;2,2,IF(C3/$AE$2&lt;0.5,0.5,C3/$AE$2)))/$J3</f>
        <v>0.5</v>
      </c>
      <c r="S3" s="4">
        <f t="shared" ref="S3:S25" si="5">IF(R3&gt;Q3,R3,Q3)</f>
        <v>0.5</v>
      </c>
      <c r="T3" s="4">
        <f t="shared" ref="T3:T25" si="6">S3*J3</f>
        <v>0.5</v>
      </c>
      <c r="U3" s="4">
        <f t="shared" ref="U3:U25" si="7">$AH$2/F3</f>
        <v>10</v>
      </c>
      <c r="V3" s="4">
        <f>E3/$AD$2*IF($AD$2/D3&gt;2,2,IF($AD$2/D3&lt;0.5,0.5,$AD$2/D3))/J3</f>
        <v>0.3</v>
      </c>
      <c r="W3" s="10">
        <f t="shared" ref="W3:W25" si="8">V3*50</f>
        <v>15</v>
      </c>
      <c r="X3" s="10">
        <f t="shared" ref="X3:X25" si="9">V3*J3*100</f>
        <v>30</v>
      </c>
    </row>
    <row r="4" spans="1:34" ht="15" customHeight="1" thickBot="1">
      <c r="A4" s="4" t="s">
        <v>9</v>
      </c>
      <c r="B4" s="4">
        <v>0</v>
      </c>
      <c r="C4" s="4">
        <v>5</v>
      </c>
      <c r="D4" s="4">
        <v>5</v>
      </c>
      <c r="E4" s="4">
        <v>10</v>
      </c>
      <c r="F4" s="4">
        <v>3000</v>
      </c>
      <c r="G4" s="4">
        <v>0</v>
      </c>
      <c r="H4" s="4">
        <v>0</v>
      </c>
      <c r="I4" s="4">
        <v>5</v>
      </c>
      <c r="J4" s="4">
        <v>2</v>
      </c>
      <c r="K4" s="4">
        <v>103</v>
      </c>
      <c r="L4" s="4">
        <v>0.18810891203703706</v>
      </c>
      <c r="M4" s="4">
        <f t="shared" si="1"/>
        <v>2</v>
      </c>
      <c r="N4" s="4">
        <f t="shared" ref="N4:N25" si="10">C4/D4</f>
        <v>1</v>
      </c>
      <c r="O4" s="4">
        <f t="shared" si="2"/>
        <v>2</v>
      </c>
      <c r="P4" s="4">
        <f t="shared" si="3"/>
        <v>0</v>
      </c>
      <c r="Q4" s="4">
        <f t="shared" si="0"/>
        <v>0</v>
      </c>
      <c r="R4" s="4">
        <f t="shared" si="4"/>
        <v>1.25</v>
      </c>
      <c r="S4" s="4">
        <f t="shared" si="5"/>
        <v>1.25</v>
      </c>
      <c r="T4" s="4">
        <f t="shared" si="6"/>
        <v>2.5</v>
      </c>
      <c r="U4" s="4">
        <f t="shared" si="7"/>
        <v>0.33333333333333331</v>
      </c>
      <c r="V4" s="4">
        <f t="shared" ref="V4:V25" si="11">E4/$AD$2*IF($AD$2/D4&gt;2,2,IF($AD$2/D4&lt;0.5,0.5,$AD$2/D4))/J4</f>
        <v>3.3333333333333333E-2</v>
      </c>
      <c r="W4" s="10">
        <f t="shared" si="8"/>
        <v>1.6666666666666667</v>
      </c>
      <c r="X4" s="10">
        <f t="shared" si="9"/>
        <v>6.666666666666667</v>
      </c>
    </row>
    <row r="5" spans="1:34" ht="15" customHeight="1" thickBot="1">
      <c r="A5" s="4" t="s">
        <v>10</v>
      </c>
      <c r="B5" s="4">
        <v>0</v>
      </c>
      <c r="C5" s="4">
        <v>40</v>
      </c>
      <c r="D5" s="4">
        <v>40</v>
      </c>
      <c r="E5" s="4">
        <v>150</v>
      </c>
      <c r="F5" s="4">
        <v>300</v>
      </c>
      <c r="G5" s="4">
        <v>0</v>
      </c>
      <c r="H5" s="4">
        <v>40</v>
      </c>
      <c r="I5" s="4">
        <v>6</v>
      </c>
      <c r="J5" s="4">
        <v>2</v>
      </c>
      <c r="K5" s="4">
        <v>141</v>
      </c>
      <c r="L5" s="4">
        <v>0.27994618055555553</v>
      </c>
      <c r="M5" s="4">
        <f t="shared" si="1"/>
        <v>3.75</v>
      </c>
      <c r="N5" s="4">
        <f t="shared" si="10"/>
        <v>1</v>
      </c>
      <c r="O5" s="4">
        <f t="shared" si="2"/>
        <v>3.75</v>
      </c>
      <c r="P5" s="4">
        <f t="shared" si="3"/>
        <v>0</v>
      </c>
      <c r="Q5" s="4">
        <f t="shared" si="0"/>
        <v>0</v>
      </c>
      <c r="R5" s="4">
        <f t="shared" si="4"/>
        <v>10</v>
      </c>
      <c r="S5" s="4">
        <f t="shared" si="5"/>
        <v>10</v>
      </c>
      <c r="T5" s="4">
        <f t="shared" si="6"/>
        <v>20</v>
      </c>
      <c r="U5" s="4">
        <f t="shared" si="7"/>
        <v>3.3333333333333335</v>
      </c>
      <c r="V5" s="4">
        <f t="shared" si="11"/>
        <v>0.5</v>
      </c>
      <c r="W5" s="10">
        <f t="shared" si="8"/>
        <v>25</v>
      </c>
      <c r="X5" s="10">
        <f t="shared" si="9"/>
        <v>100</v>
      </c>
    </row>
    <row r="6" spans="1:34" ht="15" customHeight="1" thickBot="1">
      <c r="A6" s="4" t="s">
        <v>11</v>
      </c>
      <c r="B6" s="4">
        <v>0</v>
      </c>
      <c r="C6" s="4">
        <v>70</v>
      </c>
      <c r="D6" s="4">
        <v>45</v>
      </c>
      <c r="E6" s="4">
        <v>225</v>
      </c>
      <c r="F6" s="4">
        <v>275</v>
      </c>
      <c r="G6" s="4">
        <v>0</v>
      </c>
      <c r="H6" s="4">
        <v>30</v>
      </c>
      <c r="I6" s="4">
        <v>7</v>
      </c>
      <c r="J6" s="4">
        <v>3</v>
      </c>
      <c r="K6" s="4">
        <v>219</v>
      </c>
      <c r="L6" s="4">
        <v>0.34201215277777802</v>
      </c>
      <c r="M6" s="4">
        <f t="shared" si="1"/>
        <v>3.2142857142857144</v>
      </c>
      <c r="N6" s="4">
        <f t="shared" si="10"/>
        <v>1.5555555555555556</v>
      </c>
      <c r="O6" s="4">
        <f t="shared" si="2"/>
        <v>5</v>
      </c>
      <c r="P6" s="4">
        <f t="shared" si="3"/>
        <v>0</v>
      </c>
      <c r="Q6" s="4">
        <f t="shared" si="0"/>
        <v>0</v>
      </c>
      <c r="R6" s="4">
        <f t="shared" si="4"/>
        <v>11.666666666666666</v>
      </c>
      <c r="S6" s="4">
        <f t="shared" si="5"/>
        <v>11.666666666666666</v>
      </c>
      <c r="T6" s="4">
        <f t="shared" si="6"/>
        <v>35</v>
      </c>
      <c r="U6" s="4">
        <f t="shared" si="7"/>
        <v>3.6363636363636362</v>
      </c>
      <c r="V6" s="4">
        <f t="shared" si="11"/>
        <v>0.5</v>
      </c>
      <c r="W6" s="10">
        <f t="shared" si="8"/>
        <v>25</v>
      </c>
      <c r="X6" s="10">
        <f t="shared" si="9"/>
        <v>150</v>
      </c>
    </row>
    <row r="7" spans="1:34" ht="15" customHeight="1" thickBot="1">
      <c r="A7" s="12" t="s">
        <v>12</v>
      </c>
      <c r="B7" s="4">
        <v>80</v>
      </c>
      <c r="C7" s="4">
        <v>5</v>
      </c>
      <c r="D7" s="4">
        <v>30</v>
      </c>
      <c r="E7" s="4">
        <v>75</v>
      </c>
      <c r="F7" s="4">
        <v>250</v>
      </c>
      <c r="G7" s="4">
        <v>1200</v>
      </c>
      <c r="H7" s="4">
        <v>25</v>
      </c>
      <c r="I7" s="4">
        <v>9</v>
      </c>
      <c r="J7" s="4">
        <v>4</v>
      </c>
      <c r="K7" s="4">
        <v>343</v>
      </c>
      <c r="L7" s="4">
        <v>0.46543113425925925</v>
      </c>
      <c r="M7" s="4">
        <f t="shared" si="1"/>
        <v>15</v>
      </c>
      <c r="N7" s="4">
        <f>B7/D7</f>
        <v>2.6666666666666665</v>
      </c>
      <c r="O7" s="4">
        <f t="shared" si="2"/>
        <v>2.5</v>
      </c>
      <c r="P7" s="4">
        <f t="shared" si="3"/>
        <v>1.0666666666666667</v>
      </c>
      <c r="Q7" s="4">
        <f>(B7*IF(B7/$AE$2&gt;2,2,IF(B7/$AE$2&lt;0.5,0.5,B7/$AE$2)))/$J7*P7</f>
        <v>10.666666666666666</v>
      </c>
      <c r="R7" s="4">
        <f t="shared" si="4"/>
        <v>0.625</v>
      </c>
      <c r="S7" s="4">
        <f t="shared" si="5"/>
        <v>10.666666666666666</v>
      </c>
      <c r="T7" s="4">
        <f t="shared" si="6"/>
        <v>42.666666666666664</v>
      </c>
      <c r="U7" s="4">
        <f t="shared" si="7"/>
        <v>4</v>
      </c>
      <c r="V7" s="4">
        <f t="shared" si="11"/>
        <v>0.125</v>
      </c>
      <c r="W7" s="10">
        <f t="shared" si="8"/>
        <v>6.25</v>
      </c>
      <c r="X7" s="10">
        <f t="shared" si="9"/>
        <v>50</v>
      </c>
    </row>
    <row r="8" spans="1:34" ht="15" customHeight="1" thickBot="1">
      <c r="A8" s="4" t="s">
        <v>0</v>
      </c>
      <c r="B8" s="4">
        <v>0</v>
      </c>
      <c r="C8" s="4">
        <v>150</v>
      </c>
      <c r="D8" s="4">
        <v>60</v>
      </c>
      <c r="E8" s="4">
        <v>300</v>
      </c>
      <c r="F8" s="4">
        <v>1000</v>
      </c>
      <c r="G8" s="4">
        <v>0</v>
      </c>
      <c r="H8" s="4">
        <v>100</v>
      </c>
      <c r="I8" s="4">
        <v>18</v>
      </c>
      <c r="J8" s="4">
        <v>5</v>
      </c>
      <c r="K8" s="4">
        <v>498</v>
      </c>
      <c r="L8" s="4">
        <v>0.86651736111111111</v>
      </c>
      <c r="M8" s="4">
        <f t="shared" si="1"/>
        <v>2</v>
      </c>
      <c r="N8" s="4">
        <f t="shared" si="10"/>
        <v>2.5</v>
      </c>
      <c r="O8" s="4">
        <f t="shared" si="2"/>
        <v>5</v>
      </c>
      <c r="P8" s="4">
        <f t="shared" si="3"/>
        <v>0</v>
      </c>
      <c r="Q8" s="4">
        <f t="shared" si="0"/>
        <v>0</v>
      </c>
      <c r="R8" s="4">
        <f t="shared" si="4"/>
        <v>15</v>
      </c>
      <c r="S8" s="4">
        <f t="shared" si="5"/>
        <v>15</v>
      </c>
      <c r="T8" s="4">
        <f t="shared" si="6"/>
        <v>75</v>
      </c>
      <c r="U8" s="4">
        <f t="shared" si="7"/>
        <v>1</v>
      </c>
      <c r="V8" s="4">
        <f t="shared" si="11"/>
        <v>0.4</v>
      </c>
      <c r="W8" s="10">
        <f t="shared" si="8"/>
        <v>20</v>
      </c>
      <c r="X8" s="10">
        <f t="shared" si="9"/>
        <v>200</v>
      </c>
    </row>
    <row r="9" spans="1:34" ht="15" customHeight="1" thickBot="1">
      <c r="A9" s="4" t="s">
        <v>13</v>
      </c>
      <c r="B9" s="4">
        <v>0</v>
      </c>
      <c r="C9" s="4">
        <v>300</v>
      </c>
      <c r="D9" s="4">
        <v>300</v>
      </c>
      <c r="E9" s="4">
        <v>1500</v>
      </c>
      <c r="F9" s="4">
        <v>750</v>
      </c>
      <c r="G9" s="4">
        <v>0</v>
      </c>
      <c r="H9" s="4">
        <v>80</v>
      </c>
      <c r="I9" s="4">
        <v>35</v>
      </c>
      <c r="J9" s="4">
        <v>7</v>
      </c>
      <c r="K9" s="4">
        <v>1492</v>
      </c>
      <c r="L9" s="4">
        <v>2.3037106481481482</v>
      </c>
      <c r="M9" s="4">
        <f t="shared" si="1"/>
        <v>5</v>
      </c>
      <c r="N9" s="4">
        <f t="shared" si="10"/>
        <v>1</v>
      </c>
      <c r="O9" s="4">
        <f t="shared" si="2"/>
        <v>5</v>
      </c>
      <c r="P9" s="4">
        <f t="shared" si="3"/>
        <v>0</v>
      </c>
      <c r="Q9" s="4">
        <f t="shared" si="0"/>
        <v>0</v>
      </c>
      <c r="R9" s="4">
        <f t="shared" si="4"/>
        <v>42.857142857142854</v>
      </c>
      <c r="S9" s="4">
        <f t="shared" si="5"/>
        <v>42.857142857142854</v>
      </c>
      <c r="T9" s="4">
        <f t="shared" si="6"/>
        <v>300</v>
      </c>
      <c r="U9" s="4">
        <f t="shared" si="7"/>
        <v>1.3333333333333333</v>
      </c>
      <c r="V9" s="4">
        <f t="shared" si="11"/>
        <v>0.7142857142857143</v>
      </c>
      <c r="W9" s="10">
        <f t="shared" si="8"/>
        <v>35.714285714285715</v>
      </c>
      <c r="X9" s="10">
        <f t="shared" si="9"/>
        <v>500</v>
      </c>
    </row>
    <row r="10" spans="1:34" ht="15" customHeight="1" thickBot="1">
      <c r="A10" s="4" t="s">
        <v>2</v>
      </c>
      <c r="B10" s="4">
        <v>0</v>
      </c>
      <c r="C10" s="4">
        <v>5</v>
      </c>
      <c r="D10" s="4">
        <v>200</v>
      </c>
      <c r="E10" s="4">
        <v>750</v>
      </c>
      <c r="F10" s="4">
        <v>150</v>
      </c>
      <c r="G10" s="4">
        <v>0</v>
      </c>
      <c r="H10" s="4">
        <v>5000</v>
      </c>
      <c r="I10" s="4">
        <v>10</v>
      </c>
      <c r="J10" s="4">
        <v>6</v>
      </c>
      <c r="K10" s="4">
        <v>975</v>
      </c>
      <c r="L10" s="4">
        <v>1.3258246527777779</v>
      </c>
      <c r="M10" s="4">
        <f t="shared" si="1"/>
        <v>150</v>
      </c>
      <c r="N10" s="4">
        <f t="shared" si="10"/>
        <v>2.5000000000000001E-2</v>
      </c>
      <c r="O10" s="4">
        <f t="shared" si="2"/>
        <v>3.75</v>
      </c>
      <c r="P10" s="4">
        <f t="shared" si="3"/>
        <v>0</v>
      </c>
      <c r="Q10" s="4">
        <f t="shared" si="0"/>
        <v>0</v>
      </c>
      <c r="R10" s="4">
        <f t="shared" si="4"/>
        <v>0.41666666666666669</v>
      </c>
      <c r="S10" s="4">
        <f t="shared" si="5"/>
        <v>0.41666666666666669</v>
      </c>
      <c r="T10" s="4">
        <f t="shared" si="6"/>
        <v>2.5</v>
      </c>
      <c r="U10" s="4">
        <f t="shared" si="7"/>
        <v>6.666666666666667</v>
      </c>
      <c r="V10" s="4">
        <f t="shared" si="11"/>
        <v>0.625</v>
      </c>
      <c r="W10" s="10">
        <f t="shared" si="8"/>
        <v>31.25</v>
      </c>
      <c r="X10" s="10">
        <f t="shared" si="9"/>
        <v>375</v>
      </c>
    </row>
    <row r="11" spans="1:34" ht="15" customHeight="1" thickBot="1">
      <c r="A11" s="4" t="s">
        <v>7</v>
      </c>
      <c r="B11" s="4">
        <v>0</v>
      </c>
      <c r="C11" s="4">
        <v>1000</v>
      </c>
      <c r="D11" s="4">
        <v>400</v>
      </c>
      <c r="E11" s="4">
        <v>4000</v>
      </c>
      <c r="F11" s="4">
        <v>120</v>
      </c>
      <c r="G11" s="4">
        <v>0</v>
      </c>
      <c r="H11" s="4">
        <v>45</v>
      </c>
      <c r="I11" s="4">
        <v>100</v>
      </c>
      <c r="J11" s="4">
        <v>9</v>
      </c>
      <c r="K11" s="4">
        <v>4334</v>
      </c>
      <c r="L11" s="4">
        <v>6.0006400462962963</v>
      </c>
      <c r="M11" s="4">
        <f t="shared" si="1"/>
        <v>4</v>
      </c>
      <c r="N11" s="4">
        <f t="shared" si="10"/>
        <v>2.5</v>
      </c>
      <c r="O11" s="4">
        <f t="shared" si="2"/>
        <v>10</v>
      </c>
      <c r="P11" s="4">
        <f t="shared" si="3"/>
        <v>0</v>
      </c>
      <c r="Q11" s="4">
        <f t="shared" si="0"/>
        <v>0</v>
      </c>
      <c r="R11" s="4">
        <f t="shared" si="4"/>
        <v>222.22222222222223</v>
      </c>
      <c r="S11" s="4">
        <f t="shared" si="5"/>
        <v>222.22222222222223</v>
      </c>
      <c r="T11" s="4">
        <f t="shared" si="6"/>
        <v>2000</v>
      </c>
      <c r="U11" s="4">
        <f t="shared" si="7"/>
        <v>8.3333333333333339</v>
      </c>
      <c r="V11" s="4">
        <f t="shared" si="11"/>
        <v>1.1111111111111112</v>
      </c>
      <c r="W11" s="10">
        <f t="shared" si="8"/>
        <v>55.555555555555557</v>
      </c>
      <c r="X11" s="10">
        <f t="shared" si="9"/>
        <v>1000</v>
      </c>
    </row>
    <row r="12" spans="1:34" ht="15" customHeight="1" thickBot="1">
      <c r="A12" s="12" t="s">
        <v>3</v>
      </c>
      <c r="B12" s="4">
        <v>1200</v>
      </c>
      <c r="C12" s="4">
        <v>20</v>
      </c>
      <c r="D12" s="4">
        <v>30</v>
      </c>
      <c r="E12" s="4">
        <v>1500</v>
      </c>
      <c r="F12" s="4">
        <v>50</v>
      </c>
      <c r="G12" s="4">
        <v>1500</v>
      </c>
      <c r="H12" s="4">
        <v>75</v>
      </c>
      <c r="I12" s="4">
        <v>250</v>
      </c>
      <c r="J12" s="4">
        <v>10</v>
      </c>
      <c r="K12" s="4">
        <v>5843</v>
      </c>
      <c r="L12" s="4">
        <v>8.9008778935185191</v>
      </c>
      <c r="M12" s="4">
        <f t="shared" si="1"/>
        <v>75</v>
      </c>
      <c r="N12" s="4">
        <f>B12/D12</f>
        <v>40</v>
      </c>
      <c r="O12" s="4">
        <f t="shared" si="2"/>
        <v>50</v>
      </c>
      <c r="P12" s="4">
        <f t="shared" si="3"/>
        <v>1.3333333333333333</v>
      </c>
      <c r="Q12" s="4">
        <f t="shared" si="0"/>
        <v>320</v>
      </c>
      <c r="R12" s="4">
        <f t="shared" si="4"/>
        <v>1</v>
      </c>
      <c r="S12" s="4">
        <f t="shared" si="5"/>
        <v>320</v>
      </c>
      <c r="T12" s="4">
        <f t="shared" si="6"/>
        <v>3200</v>
      </c>
      <c r="U12" s="4">
        <f t="shared" si="7"/>
        <v>20</v>
      </c>
      <c r="V12" s="4">
        <f t="shared" si="11"/>
        <v>1</v>
      </c>
      <c r="W12" s="10">
        <f t="shared" si="8"/>
        <v>50</v>
      </c>
      <c r="X12" s="10">
        <f t="shared" si="9"/>
        <v>1000</v>
      </c>
    </row>
    <row r="13" spans="1:34" ht="15" customHeight="1" thickBot="1">
      <c r="A13" s="4" t="s">
        <v>4</v>
      </c>
      <c r="B13" s="4">
        <v>800</v>
      </c>
      <c r="C13" s="4">
        <v>1600</v>
      </c>
      <c r="D13" s="4">
        <v>300</v>
      </c>
      <c r="E13" s="4">
        <v>3000</v>
      </c>
      <c r="F13" s="4">
        <v>500</v>
      </c>
      <c r="G13" s="4">
        <v>600</v>
      </c>
      <c r="H13" s="4">
        <v>45</v>
      </c>
      <c r="I13" s="4">
        <v>125</v>
      </c>
      <c r="J13" s="4">
        <v>10</v>
      </c>
      <c r="K13" s="4">
        <v>2000</v>
      </c>
      <c r="L13" s="4">
        <v>5.8336851851851845</v>
      </c>
      <c r="M13" s="4">
        <f t="shared" si="1"/>
        <v>1.875</v>
      </c>
      <c r="N13" s="4">
        <f t="shared" si="10"/>
        <v>5.333333333333333</v>
      </c>
      <c r="O13" s="4">
        <f t="shared" si="2"/>
        <v>10</v>
      </c>
      <c r="P13" s="4">
        <f t="shared" si="3"/>
        <v>0.53333333333333333</v>
      </c>
      <c r="Q13" s="4">
        <f t="shared" si="0"/>
        <v>85.333333333333329</v>
      </c>
      <c r="R13" s="4">
        <f t="shared" si="4"/>
        <v>320</v>
      </c>
      <c r="S13" s="4">
        <f t="shared" si="5"/>
        <v>320</v>
      </c>
      <c r="T13" s="4">
        <f t="shared" si="6"/>
        <v>3200</v>
      </c>
      <c r="U13" s="4">
        <f t="shared" si="7"/>
        <v>2</v>
      </c>
      <c r="V13" s="4">
        <f t="shared" si="11"/>
        <v>1</v>
      </c>
      <c r="W13" s="10">
        <f t="shared" si="8"/>
        <v>50</v>
      </c>
      <c r="X13" s="10">
        <f t="shared" si="9"/>
        <v>1000</v>
      </c>
    </row>
    <row r="14" spans="1:34" ht="15" customHeight="1" thickBot="1">
      <c r="A14" s="4" t="s">
        <v>14</v>
      </c>
      <c r="B14" s="4">
        <v>0</v>
      </c>
      <c r="C14" s="4">
        <v>2000</v>
      </c>
      <c r="D14" s="4">
        <v>500</v>
      </c>
      <c r="E14" s="4">
        <v>5000</v>
      </c>
      <c r="F14" s="4">
        <v>150</v>
      </c>
      <c r="G14" s="4">
        <v>0</v>
      </c>
      <c r="H14" s="4">
        <v>60</v>
      </c>
      <c r="I14" s="4">
        <v>125</v>
      </c>
      <c r="J14" s="4">
        <v>10</v>
      </c>
      <c r="K14" s="4">
        <v>2000</v>
      </c>
      <c r="L14" s="4">
        <v>6.0536851851851852</v>
      </c>
      <c r="M14" s="4">
        <f t="shared" si="1"/>
        <v>2.5</v>
      </c>
      <c r="N14" s="4">
        <f t="shared" si="10"/>
        <v>4</v>
      </c>
      <c r="O14" s="4">
        <f t="shared" si="2"/>
        <v>10</v>
      </c>
      <c r="P14" s="4">
        <f t="shared" si="3"/>
        <v>0</v>
      </c>
      <c r="Q14" s="4">
        <f t="shared" si="0"/>
        <v>0</v>
      </c>
      <c r="R14" s="4">
        <f t="shared" si="4"/>
        <v>400</v>
      </c>
      <c r="S14" s="4">
        <f t="shared" si="5"/>
        <v>400</v>
      </c>
      <c r="T14" s="4">
        <f t="shared" si="6"/>
        <v>4000</v>
      </c>
      <c r="U14" s="4">
        <f t="shared" si="7"/>
        <v>6.666666666666667</v>
      </c>
      <c r="V14" s="4">
        <f t="shared" si="11"/>
        <v>1</v>
      </c>
      <c r="W14" s="10">
        <f t="shared" si="8"/>
        <v>50</v>
      </c>
      <c r="X14" s="10">
        <f t="shared" si="9"/>
        <v>1000</v>
      </c>
    </row>
    <row r="15" spans="1:34" ht="15" customHeight="1" thickBot="1">
      <c r="A15" s="4" t="s">
        <v>36</v>
      </c>
      <c r="B15" s="4">
        <v>0</v>
      </c>
      <c r="C15" s="4">
        <v>650</v>
      </c>
      <c r="D15" s="4">
        <v>900</v>
      </c>
      <c r="E15" s="4">
        <v>15000</v>
      </c>
      <c r="F15" s="4">
        <v>350</v>
      </c>
      <c r="G15" s="4">
        <v>0</v>
      </c>
      <c r="H15" s="4">
        <v>30</v>
      </c>
      <c r="I15" s="4">
        <v>110</v>
      </c>
      <c r="J15" s="4">
        <v>9</v>
      </c>
      <c r="K15" s="4">
        <v>2000</v>
      </c>
      <c r="L15" s="4">
        <v>5.3909351851851852</v>
      </c>
      <c r="M15" s="4">
        <f t="shared" si="1"/>
        <v>23.076923076923077</v>
      </c>
      <c r="N15" s="4">
        <f t="shared" si="10"/>
        <v>0.72222222222222221</v>
      </c>
      <c r="O15" s="4">
        <f t="shared" si="2"/>
        <v>16.666666666666668</v>
      </c>
      <c r="P15" s="4">
        <f t="shared" si="3"/>
        <v>0</v>
      </c>
      <c r="Q15" s="4">
        <f t="shared" si="0"/>
        <v>0</v>
      </c>
      <c r="R15" s="4">
        <f t="shared" si="4"/>
        <v>144.44444444444446</v>
      </c>
      <c r="S15" s="4">
        <f t="shared" si="5"/>
        <v>144.44444444444446</v>
      </c>
      <c r="T15" s="4">
        <f t="shared" si="6"/>
        <v>1300</v>
      </c>
      <c r="U15" s="4">
        <f t="shared" si="7"/>
        <v>2.8571428571428572</v>
      </c>
      <c r="V15" s="4">
        <f t="shared" si="11"/>
        <v>2.7777777777777777</v>
      </c>
      <c r="W15" s="10">
        <f t="shared" si="8"/>
        <v>138.88888888888889</v>
      </c>
      <c r="X15" s="10">
        <f t="shared" si="9"/>
        <v>2500</v>
      </c>
    </row>
    <row r="16" spans="1:34" ht="15" customHeight="1" thickBot="1">
      <c r="A16" s="4" t="s">
        <v>37</v>
      </c>
      <c r="B16" s="4">
        <v>1600</v>
      </c>
      <c r="C16" s="4">
        <v>1200</v>
      </c>
      <c r="D16" s="4">
        <v>150</v>
      </c>
      <c r="E16" s="4">
        <v>3000</v>
      </c>
      <c r="F16" s="4">
        <v>600</v>
      </c>
      <c r="G16" s="4">
        <v>900</v>
      </c>
      <c r="H16" s="4">
        <v>100</v>
      </c>
      <c r="I16" s="4">
        <v>150</v>
      </c>
      <c r="J16" s="4">
        <v>10</v>
      </c>
      <c r="K16" s="4">
        <v>2000</v>
      </c>
      <c r="L16" s="4">
        <v>5.393685185185185</v>
      </c>
      <c r="M16" s="4">
        <f t="shared" si="1"/>
        <v>2.5</v>
      </c>
      <c r="N16" s="4">
        <f>C16/D16</f>
        <v>8</v>
      </c>
      <c r="O16" s="4">
        <f t="shared" si="2"/>
        <v>20</v>
      </c>
      <c r="P16" s="4">
        <f t="shared" si="3"/>
        <v>0.8</v>
      </c>
      <c r="Q16" s="4">
        <f t="shared" si="0"/>
        <v>256</v>
      </c>
      <c r="R16" s="4">
        <f t="shared" si="4"/>
        <v>240</v>
      </c>
      <c r="S16" s="4">
        <f t="shared" si="5"/>
        <v>256</v>
      </c>
      <c r="T16" s="4">
        <f t="shared" si="6"/>
        <v>2560</v>
      </c>
      <c r="U16" s="4">
        <f t="shared" si="7"/>
        <v>1.6666666666666667</v>
      </c>
      <c r="V16" s="4">
        <f t="shared" si="11"/>
        <v>2</v>
      </c>
      <c r="W16" s="10">
        <f t="shared" si="8"/>
        <v>100</v>
      </c>
      <c r="X16" s="10">
        <f t="shared" si="9"/>
        <v>2000</v>
      </c>
    </row>
    <row r="17" spans="1:24" ht="15" customHeight="1" thickBot="1">
      <c r="A17" s="4" t="s">
        <v>38</v>
      </c>
      <c r="B17" s="4">
        <v>0</v>
      </c>
      <c r="C17" s="4">
        <v>3100</v>
      </c>
      <c r="D17" s="4">
        <v>400</v>
      </c>
      <c r="E17" s="4">
        <v>250</v>
      </c>
      <c r="F17" s="4">
        <v>900</v>
      </c>
      <c r="G17" s="4">
        <v>0</v>
      </c>
      <c r="H17" s="4">
        <v>0</v>
      </c>
      <c r="I17" s="4">
        <v>10</v>
      </c>
      <c r="J17" s="4">
        <v>10</v>
      </c>
      <c r="K17" s="4">
        <v>2504</v>
      </c>
      <c r="L17" s="4">
        <v>4.8772268518518516</v>
      </c>
      <c r="M17" s="4">
        <f t="shared" si="1"/>
        <v>8.0645161290322578E-2</v>
      </c>
      <c r="N17" s="4">
        <f t="shared" si="10"/>
        <v>7.75</v>
      </c>
      <c r="O17" s="4">
        <f t="shared" si="2"/>
        <v>0.625</v>
      </c>
      <c r="P17" s="4">
        <f t="shared" si="3"/>
        <v>0</v>
      </c>
      <c r="Q17" s="4">
        <f t="shared" si="0"/>
        <v>0</v>
      </c>
      <c r="R17" s="4">
        <f t="shared" si="4"/>
        <v>620</v>
      </c>
      <c r="S17" s="4">
        <f t="shared" si="5"/>
        <v>620</v>
      </c>
      <c r="T17" s="4">
        <f t="shared" si="6"/>
        <v>6200</v>
      </c>
      <c r="U17" s="4">
        <f t="shared" si="7"/>
        <v>1.1111111111111112</v>
      </c>
      <c r="V17" s="4">
        <f t="shared" si="11"/>
        <v>6.25E-2</v>
      </c>
      <c r="W17" s="10">
        <f t="shared" si="8"/>
        <v>3.125</v>
      </c>
      <c r="X17" s="10">
        <f t="shared" si="9"/>
        <v>62.5</v>
      </c>
    </row>
    <row r="18" spans="1:24" ht="15" customHeight="1" thickBot="1">
      <c r="A18" s="12" t="s">
        <v>39</v>
      </c>
      <c r="B18" s="4">
        <v>900</v>
      </c>
      <c r="C18" s="4">
        <v>100</v>
      </c>
      <c r="D18" s="4">
        <v>250</v>
      </c>
      <c r="E18" s="4">
        <v>1100</v>
      </c>
      <c r="F18" s="4">
        <v>50</v>
      </c>
      <c r="G18" s="4">
        <v>1600</v>
      </c>
      <c r="H18" s="4">
        <v>100</v>
      </c>
      <c r="I18" s="4">
        <v>10</v>
      </c>
      <c r="J18" s="4">
        <v>10</v>
      </c>
      <c r="K18" s="4">
        <v>3793</v>
      </c>
      <c r="L18" s="4">
        <v>8.2404068287037031</v>
      </c>
      <c r="M18" s="4">
        <f t="shared" si="1"/>
        <v>11</v>
      </c>
      <c r="N18" s="4">
        <f>B18/D18</f>
        <v>3.6</v>
      </c>
      <c r="O18" s="4">
        <f t="shared" si="2"/>
        <v>4.4000000000000004</v>
      </c>
      <c r="P18" s="4">
        <f t="shared" si="3"/>
        <v>1.4222222222222223</v>
      </c>
      <c r="Q18" s="4">
        <f t="shared" si="0"/>
        <v>256</v>
      </c>
      <c r="R18" s="4">
        <f t="shared" si="4"/>
        <v>5</v>
      </c>
      <c r="S18" s="4">
        <f t="shared" si="5"/>
        <v>256</v>
      </c>
      <c r="T18" s="4">
        <f t="shared" si="6"/>
        <v>2560</v>
      </c>
      <c r="U18" s="4">
        <f t="shared" si="7"/>
        <v>20</v>
      </c>
      <c r="V18" s="4">
        <f t="shared" si="11"/>
        <v>0.43999999999999995</v>
      </c>
      <c r="W18" s="10">
        <f t="shared" si="8"/>
        <v>21.999999999999996</v>
      </c>
      <c r="X18" s="10">
        <f t="shared" si="9"/>
        <v>439.99999999999994</v>
      </c>
    </row>
    <row r="19" spans="1:24" ht="15" customHeight="1" thickBot="1">
      <c r="A19" s="4" t="s">
        <v>40</v>
      </c>
      <c r="B19" s="4">
        <v>0</v>
      </c>
      <c r="C19" s="4">
        <v>1350</v>
      </c>
      <c r="D19" s="4">
        <v>300</v>
      </c>
      <c r="E19" s="4">
        <v>3100</v>
      </c>
      <c r="F19" s="4">
        <v>675</v>
      </c>
      <c r="G19" s="4">
        <v>0</v>
      </c>
      <c r="H19" s="4">
        <v>500</v>
      </c>
      <c r="I19" s="4">
        <v>80</v>
      </c>
      <c r="J19" s="4">
        <v>10</v>
      </c>
      <c r="K19" s="4">
        <v>2745</v>
      </c>
      <c r="L19" s="4">
        <v>5.7509947916666668</v>
      </c>
      <c r="M19" s="4">
        <f t="shared" si="1"/>
        <v>2.2962962962962963</v>
      </c>
      <c r="N19" s="4">
        <f t="shared" si="10"/>
        <v>4.5</v>
      </c>
      <c r="O19" s="4">
        <f t="shared" si="2"/>
        <v>10.333333333333334</v>
      </c>
      <c r="P19" s="4">
        <f t="shared" si="3"/>
        <v>0</v>
      </c>
      <c r="Q19" s="4">
        <f t="shared" si="0"/>
        <v>0</v>
      </c>
      <c r="R19" s="4">
        <f t="shared" si="4"/>
        <v>270</v>
      </c>
      <c r="S19" s="4">
        <f t="shared" si="5"/>
        <v>270</v>
      </c>
      <c r="T19" s="4">
        <f t="shared" si="6"/>
        <v>2700</v>
      </c>
      <c r="U19" s="4">
        <f t="shared" si="7"/>
        <v>1.4814814814814814</v>
      </c>
      <c r="V19" s="4">
        <f t="shared" si="11"/>
        <v>1.0333333333333334</v>
      </c>
      <c r="W19" s="10">
        <f t="shared" si="8"/>
        <v>51.666666666666671</v>
      </c>
      <c r="X19" s="10">
        <f t="shared" si="9"/>
        <v>1033.3333333333335</v>
      </c>
    </row>
    <row r="20" spans="1:24" ht="15" customHeight="1" thickBot="1">
      <c r="A20" s="12" t="s">
        <v>6</v>
      </c>
      <c r="B20" s="4">
        <v>2000</v>
      </c>
      <c r="C20" s="4">
        <v>500</v>
      </c>
      <c r="D20" s="4">
        <v>150</v>
      </c>
      <c r="E20" s="4">
        <v>1000</v>
      </c>
      <c r="F20" s="4">
        <v>400</v>
      </c>
      <c r="G20" s="4">
        <v>1600</v>
      </c>
      <c r="H20" s="4">
        <v>10</v>
      </c>
      <c r="I20" s="4">
        <v>260</v>
      </c>
      <c r="J20" s="4">
        <v>8</v>
      </c>
      <c r="K20" s="4">
        <v>1999</v>
      </c>
      <c r="L20" s="4">
        <v>6.2811394675925927</v>
      </c>
      <c r="M20" s="4">
        <f t="shared" si="1"/>
        <v>2</v>
      </c>
      <c r="N20" s="4">
        <f>B20/D20</f>
        <v>13.333333333333334</v>
      </c>
      <c r="O20" s="4">
        <f t="shared" si="2"/>
        <v>6.666666666666667</v>
      </c>
      <c r="P20" s="4">
        <f t="shared" si="3"/>
        <v>1.4222222222222223</v>
      </c>
      <c r="Q20" s="4">
        <f t="shared" si="0"/>
        <v>711.11111111111109</v>
      </c>
      <c r="R20" s="4">
        <f t="shared" si="4"/>
        <v>104.16666666666667</v>
      </c>
      <c r="S20" s="4">
        <f t="shared" si="5"/>
        <v>711.11111111111109</v>
      </c>
      <c r="T20" s="4">
        <f t="shared" si="6"/>
        <v>5688.8888888888887</v>
      </c>
      <c r="U20" s="4">
        <f t="shared" si="7"/>
        <v>2.5</v>
      </c>
      <c r="V20" s="4">
        <f t="shared" si="11"/>
        <v>0.83333333333333337</v>
      </c>
      <c r="W20" s="10">
        <f t="shared" si="8"/>
        <v>41.666666666666671</v>
      </c>
      <c r="X20" s="10">
        <f t="shared" si="9"/>
        <v>666.66666666666674</v>
      </c>
    </row>
    <row r="21" spans="1:24" ht="15" customHeight="1" thickBot="1">
      <c r="A21" s="4" t="s">
        <v>41</v>
      </c>
      <c r="B21" s="4">
        <v>0</v>
      </c>
      <c r="C21" s="4">
        <v>5000</v>
      </c>
      <c r="D21" s="4">
        <v>1500</v>
      </c>
      <c r="E21" s="4">
        <v>7500</v>
      </c>
      <c r="F21" s="4">
        <v>50</v>
      </c>
      <c r="G21" s="4">
        <v>0</v>
      </c>
      <c r="H21" s="4">
        <v>0</v>
      </c>
      <c r="I21" s="4">
        <v>10</v>
      </c>
      <c r="J21" s="4">
        <v>20</v>
      </c>
      <c r="K21" s="4">
        <v>1999</v>
      </c>
      <c r="L21" s="4">
        <v>11.294991226851851</v>
      </c>
      <c r="M21" s="4">
        <f t="shared" si="1"/>
        <v>1.5</v>
      </c>
      <c r="N21" s="4">
        <f t="shared" si="10"/>
        <v>3.3333333333333335</v>
      </c>
      <c r="O21" s="4">
        <f t="shared" si="2"/>
        <v>5</v>
      </c>
      <c r="P21" s="4">
        <f t="shared" si="3"/>
        <v>0</v>
      </c>
      <c r="Q21" s="4">
        <f t="shared" si="0"/>
        <v>0</v>
      </c>
      <c r="R21" s="4">
        <f t="shared" si="4"/>
        <v>500</v>
      </c>
      <c r="S21" s="4">
        <f t="shared" si="5"/>
        <v>500</v>
      </c>
      <c r="T21" s="4">
        <f t="shared" si="6"/>
        <v>10000</v>
      </c>
      <c r="U21" s="4">
        <f t="shared" si="7"/>
        <v>20</v>
      </c>
      <c r="V21" s="4">
        <f t="shared" si="11"/>
        <v>0.625</v>
      </c>
      <c r="W21" s="10">
        <f t="shared" si="8"/>
        <v>31.25</v>
      </c>
      <c r="X21" s="10">
        <f t="shared" si="9"/>
        <v>1250</v>
      </c>
    </row>
    <row r="22" spans="1:24" ht="15" customHeight="1" thickBot="1">
      <c r="A22" s="4" t="s">
        <v>42</v>
      </c>
      <c r="B22" s="4">
        <v>0</v>
      </c>
      <c r="C22" s="4">
        <v>5999</v>
      </c>
      <c r="D22" s="4">
        <v>999</v>
      </c>
      <c r="E22" s="4">
        <v>6999</v>
      </c>
      <c r="F22" s="4">
        <v>999</v>
      </c>
      <c r="G22" s="4">
        <v>0</v>
      </c>
      <c r="H22" s="4">
        <v>999</v>
      </c>
      <c r="I22" s="4">
        <v>50</v>
      </c>
      <c r="J22" s="4">
        <v>40</v>
      </c>
      <c r="K22" s="4">
        <v>12660</v>
      </c>
      <c r="L22" s="4">
        <v>25.597534722222221</v>
      </c>
      <c r="M22" s="4">
        <f t="shared" si="1"/>
        <v>1.1666944490748459</v>
      </c>
      <c r="N22" s="4">
        <f t="shared" si="10"/>
        <v>6.005005005005005</v>
      </c>
      <c r="O22" s="4">
        <f t="shared" si="2"/>
        <v>7.0060060060060056</v>
      </c>
      <c r="P22" s="4">
        <f t="shared" si="3"/>
        <v>0</v>
      </c>
      <c r="Q22" s="4">
        <f t="shared" si="0"/>
        <v>0</v>
      </c>
      <c r="R22" s="4">
        <f t="shared" si="4"/>
        <v>299.95</v>
      </c>
      <c r="S22" s="4">
        <f t="shared" si="5"/>
        <v>299.95</v>
      </c>
      <c r="T22" s="4">
        <f t="shared" si="6"/>
        <v>11998</v>
      </c>
      <c r="U22" s="4">
        <f t="shared" si="7"/>
        <v>1.0010010010010011</v>
      </c>
      <c r="V22" s="4">
        <f t="shared" si="11"/>
        <v>0.29162499999999997</v>
      </c>
      <c r="W22" s="10">
        <f t="shared" si="8"/>
        <v>14.581249999999999</v>
      </c>
      <c r="X22" s="10">
        <f t="shared" si="9"/>
        <v>1166.5</v>
      </c>
    </row>
    <row r="23" spans="1:24" ht="15" customHeight="1" thickBot="1">
      <c r="A23" s="4" t="s">
        <v>43</v>
      </c>
      <c r="B23" s="4">
        <v>0</v>
      </c>
      <c r="C23" s="4">
        <v>2900</v>
      </c>
      <c r="D23" s="4">
        <v>800</v>
      </c>
      <c r="E23" s="4">
        <v>6000</v>
      </c>
      <c r="F23" s="4">
        <v>1100</v>
      </c>
      <c r="G23" s="4">
        <v>0</v>
      </c>
      <c r="H23" s="4">
        <v>500</v>
      </c>
      <c r="I23" s="4">
        <v>80</v>
      </c>
      <c r="J23" s="4">
        <v>25</v>
      </c>
      <c r="K23" s="4">
        <v>4000</v>
      </c>
      <c r="L23" s="4">
        <v>7.6158703703703701</v>
      </c>
      <c r="M23" s="4">
        <f t="shared" si="1"/>
        <v>2.0689655172413794</v>
      </c>
      <c r="N23" s="4">
        <f t="shared" si="10"/>
        <v>3.625</v>
      </c>
      <c r="O23" s="4">
        <f t="shared" si="2"/>
        <v>7.5</v>
      </c>
      <c r="P23" s="4">
        <f t="shared" si="3"/>
        <v>0</v>
      </c>
      <c r="Q23" s="4">
        <f t="shared" si="0"/>
        <v>0</v>
      </c>
      <c r="R23" s="4">
        <f t="shared" si="4"/>
        <v>232</v>
      </c>
      <c r="S23" s="4">
        <f t="shared" si="5"/>
        <v>232</v>
      </c>
      <c r="T23" s="4">
        <f t="shared" si="6"/>
        <v>5800</v>
      </c>
      <c r="U23" s="4">
        <f t="shared" si="7"/>
        <v>0.90909090909090906</v>
      </c>
      <c r="V23" s="4">
        <f t="shared" si="11"/>
        <v>0.4</v>
      </c>
      <c r="W23" s="10">
        <f t="shared" si="8"/>
        <v>20</v>
      </c>
      <c r="X23" s="10">
        <f t="shared" si="9"/>
        <v>1000</v>
      </c>
    </row>
    <row r="24" spans="1:24" ht="15" customHeight="1" thickBot="1">
      <c r="A24" s="12" t="s">
        <v>44</v>
      </c>
      <c r="B24" s="4">
        <v>2200</v>
      </c>
      <c r="C24" s="4">
        <v>750</v>
      </c>
      <c r="D24" s="4">
        <v>999</v>
      </c>
      <c r="E24" s="4">
        <v>1000</v>
      </c>
      <c r="F24" s="4">
        <v>450</v>
      </c>
      <c r="G24" s="4">
        <v>1700</v>
      </c>
      <c r="H24" s="4">
        <v>100</v>
      </c>
      <c r="I24" s="4">
        <v>200</v>
      </c>
      <c r="J24" s="4">
        <v>20</v>
      </c>
      <c r="K24" s="4">
        <v>4000</v>
      </c>
      <c r="L24" s="4">
        <v>10.965370370370399</v>
      </c>
      <c r="M24" s="4">
        <f t="shared" si="1"/>
        <v>1.3333333333333333</v>
      </c>
      <c r="N24" s="4">
        <f>B24/D24</f>
        <v>2.2022022022022023</v>
      </c>
      <c r="O24" s="4">
        <f t="shared" si="2"/>
        <v>1.0010010010010011</v>
      </c>
      <c r="P24" s="4">
        <f t="shared" si="3"/>
        <v>1.5111111111111111</v>
      </c>
      <c r="Q24" s="4">
        <f t="shared" si="0"/>
        <v>332.44444444444446</v>
      </c>
      <c r="R24" s="4">
        <f t="shared" si="4"/>
        <v>75</v>
      </c>
      <c r="S24" s="4">
        <f t="shared" si="5"/>
        <v>332.44444444444446</v>
      </c>
      <c r="T24" s="4">
        <f t="shared" si="6"/>
        <v>6648.8888888888887</v>
      </c>
      <c r="U24" s="4">
        <f t="shared" si="7"/>
        <v>2.2222222222222223</v>
      </c>
      <c r="V24" s="4">
        <f t="shared" si="11"/>
        <v>8.3333333333333343E-2</v>
      </c>
      <c r="W24" s="10">
        <f t="shared" si="8"/>
        <v>4.166666666666667</v>
      </c>
      <c r="X24" s="10">
        <f t="shared" si="9"/>
        <v>166.66666666666669</v>
      </c>
    </row>
    <row r="25" spans="1:24" ht="15" customHeight="1" thickBot="1">
      <c r="A25" s="8" t="s">
        <v>58</v>
      </c>
      <c r="B25" s="8">
        <v>1800</v>
      </c>
      <c r="C25" s="8">
        <v>2000</v>
      </c>
      <c r="D25" s="8">
        <v>850</v>
      </c>
      <c r="E25" s="8">
        <v>5400</v>
      </c>
      <c r="F25" s="8">
        <v>600</v>
      </c>
      <c r="G25" s="8">
        <v>700</v>
      </c>
      <c r="H25" s="8">
        <v>50</v>
      </c>
      <c r="I25" s="8">
        <v>100</v>
      </c>
      <c r="J25" s="8">
        <v>20</v>
      </c>
      <c r="K25" s="8">
        <v>4000</v>
      </c>
      <c r="L25" s="4"/>
      <c r="M25" s="4">
        <f t="shared" si="1"/>
        <v>2.7</v>
      </c>
      <c r="N25" s="4">
        <f t="shared" si="10"/>
        <v>2.3529411764705883</v>
      </c>
      <c r="O25" s="4">
        <f t="shared" si="2"/>
        <v>6.3529411764705879</v>
      </c>
      <c r="P25" s="4">
        <f t="shared" si="3"/>
        <v>0.62222222222222223</v>
      </c>
      <c r="Q25" s="4">
        <f t="shared" si="0"/>
        <v>112</v>
      </c>
      <c r="R25" s="4">
        <f t="shared" si="4"/>
        <v>200</v>
      </c>
      <c r="S25" s="4">
        <f t="shared" si="5"/>
        <v>200</v>
      </c>
      <c r="T25" s="4">
        <f t="shared" si="6"/>
        <v>4000</v>
      </c>
      <c r="U25" s="4">
        <f t="shared" si="7"/>
        <v>1.6666666666666667</v>
      </c>
      <c r="V25" s="4">
        <f t="shared" si="11"/>
        <v>0.45</v>
      </c>
      <c r="W25" s="10">
        <f t="shared" si="8"/>
        <v>22.5</v>
      </c>
      <c r="X25" s="10">
        <f t="shared" si="9"/>
        <v>900</v>
      </c>
    </row>
    <row r="26" spans="1:24" ht="15" customHeight="1" thickBot="1">
      <c r="L26" s="4"/>
      <c r="M26" s="10"/>
      <c r="N26" s="10"/>
      <c r="O26" s="10"/>
      <c r="P26" s="10"/>
      <c r="Q26" s="10"/>
    </row>
    <row r="27" spans="1:24" ht="15" customHeight="1" thickBot="1"/>
    <row r="28" spans="1:24" ht="15" customHeight="1" thickBot="1">
      <c r="A28" t="s">
        <v>114</v>
      </c>
      <c r="B28" s="3" t="s">
        <v>115</v>
      </c>
      <c r="C28" s="3" t="s">
        <v>116</v>
      </c>
      <c r="D28" s="3" t="s">
        <v>18</v>
      </c>
      <c r="E28" s="3" t="s">
        <v>19</v>
      </c>
      <c r="F28" s="3" t="s">
        <v>20</v>
      </c>
      <c r="G28" s="3" t="s">
        <v>119</v>
      </c>
      <c r="H28" s="3" t="s">
        <v>121</v>
      </c>
      <c r="I28" s="5" t="s">
        <v>122</v>
      </c>
    </row>
    <row r="29" spans="1:24" ht="15" customHeight="1">
      <c r="A29" t="s">
        <v>118</v>
      </c>
      <c r="B29">
        <f>SUM(C9,C11,B12,C13,C14,C15,C16,C17,C18,C19,B20)/11</f>
        <v>1318.1818181818182</v>
      </c>
      <c r="C29">
        <f>SUM(D9,D10,D11,D12,D13,D14,D15,D16,D17,D18,D19,D20)/12</f>
        <v>323.33333333333331</v>
      </c>
      <c r="D29">
        <f>SUM(E9:E20)/12</f>
        <v>3266.6666666666665</v>
      </c>
      <c r="E29">
        <f>SUM(F8:F11,F13:F17,F19:F20)/11</f>
        <v>508.63636363636363</v>
      </c>
      <c r="F29">
        <f>SUM(G7,G12,G18,G20)/4</f>
        <v>1475</v>
      </c>
      <c r="I29">
        <f>B29+C29*SUM(N2,N4:N6,N8:N11,N13:N17,N19,N21:N23,N25)/13+D29/(SUM(M2,M4:M6,M8:M9,M11,M13:M17,M19,M21:M23,M25)/12)</f>
        <v>3299.1195009676057</v>
      </c>
    </row>
    <row r="30" spans="1:24" ht="15" customHeight="1">
      <c r="A30" t="s">
        <v>117</v>
      </c>
      <c r="B30">
        <f>SUM(C23,B24,C25)/3*H30</f>
        <v>2727.6836158192091</v>
      </c>
      <c r="C30">
        <f>SUM(D23:D25)/3*G30</f>
        <v>1244.1435805778967</v>
      </c>
      <c r="D30">
        <f>SUM(E23:E25)/3*G30</f>
        <v>5823.8506603117848</v>
      </c>
      <c r="E30">
        <f>SUM(F23:F25)/3</f>
        <v>716.66666666666663</v>
      </c>
      <c r="F30">
        <f>G24</f>
        <v>1700</v>
      </c>
      <c r="G30">
        <f>E30/E29</f>
        <v>1.4089961274947869</v>
      </c>
      <c r="H30">
        <f>F30/F29</f>
        <v>1.152542372881356</v>
      </c>
      <c r="I30">
        <f>B30+C30*SUM(N2,N4:N6,N8:N11,N13:N17,N19,N21:N23,N25)/13+D30/(SUM(M2,M4:M6,M8:M9,M11,M13:M17,M19,M21:M23,M25)/12)</f>
        <v>9145.9684712486142</v>
      </c>
    </row>
    <row r="31" spans="1:24" ht="15" customHeight="1">
      <c r="A31" t="s">
        <v>120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1" topLeftCell="A2" activePane="bottomLeft" state="frozen"/>
      <selection pane="bottomLeft" activeCell="D11" sqref="D11"/>
    </sheetView>
  </sheetViews>
  <sheetFormatPr defaultRowHeight="13.5"/>
  <cols>
    <col min="1" max="1" width="25" customWidth="1"/>
    <col min="2" max="2" width="21.125" customWidth="1"/>
    <col min="3" max="3" width="5.75" customWidth="1"/>
    <col min="4" max="4" width="8.75" customWidth="1"/>
    <col min="5" max="5" width="13.75" customWidth="1"/>
    <col min="6" max="6" width="20.875" customWidth="1"/>
  </cols>
  <sheetData>
    <row r="1" spans="1:9" ht="16.5" thickBot="1">
      <c r="A1" s="13" t="s">
        <v>88</v>
      </c>
      <c r="B1" s="15" t="s">
        <v>98</v>
      </c>
      <c r="C1" s="15" t="s">
        <v>99</v>
      </c>
      <c r="D1" s="15" t="s">
        <v>96</v>
      </c>
      <c r="E1" s="13" t="s">
        <v>90</v>
      </c>
      <c r="F1" s="15" t="s">
        <v>91</v>
      </c>
      <c r="G1" s="15" t="s">
        <v>89</v>
      </c>
      <c r="H1" s="15" t="s">
        <v>97</v>
      </c>
      <c r="I1" s="13" t="s">
        <v>92</v>
      </c>
    </row>
    <row r="2" spans="1:9" ht="14.25" thickBot="1">
      <c r="A2" s="4" t="s">
        <v>5</v>
      </c>
      <c r="B2" s="14" t="s">
        <v>94</v>
      </c>
      <c r="C2" s="4">
        <v>1</v>
      </c>
      <c r="D2" s="4" t="str">
        <f>INT(LEFT(B2,SEARCH("~,",B2)-1)/C2)&amp;","&amp;INT(RIGHT(B2,LEN(B2)-SEARCH("~,",B2))/C2)</f>
        <v>500,10000</v>
      </c>
      <c r="E2" s="4" t="s">
        <v>41</v>
      </c>
      <c r="F2" s="14" t="s">
        <v>95</v>
      </c>
      <c r="G2" s="4">
        <v>20</v>
      </c>
      <c r="H2" s="4" t="str">
        <f>INT(LEFT(F2,SEARCH("~,",F2)-1)/G2)&amp;","&amp;INT(RIGHT(F2,LEN(F2)-SEARCH("~,",F2))/G2)</f>
        <v>25,250</v>
      </c>
    </row>
    <row r="3" spans="1:9" ht="15" customHeight="1" thickBot="1">
      <c r="A3" s="4" t="s">
        <v>8</v>
      </c>
      <c r="B3" s="14" t="s">
        <v>94</v>
      </c>
      <c r="C3" s="4">
        <v>1</v>
      </c>
      <c r="D3" s="4" t="str">
        <f t="shared" ref="D3:D20" si="0">INT(LEFT(B3,SEARCH("~,",B3)-1)/C3)&amp;","&amp;INT(RIGHT(B3,LEN(B3)-SEARCH("~,",B3))/C3)</f>
        <v>500,10000</v>
      </c>
      <c r="E3" s="4" t="s">
        <v>42</v>
      </c>
      <c r="F3" s="14" t="s">
        <v>95</v>
      </c>
      <c r="G3" s="4">
        <v>40</v>
      </c>
      <c r="H3" s="4" t="str">
        <f>INT(LEFT(F3,SEARCH("~,",F3)-1)/G3)&amp;","&amp;INT(RIGHT(F3,LEN(F3)-SEARCH("~,",F3))/G3)</f>
        <v>12,125</v>
      </c>
    </row>
    <row r="4" spans="1:9" ht="15" customHeight="1" thickBot="1">
      <c r="A4" s="4" t="s">
        <v>9</v>
      </c>
      <c r="B4" s="14" t="s">
        <v>94</v>
      </c>
      <c r="C4" s="4">
        <v>2</v>
      </c>
      <c r="D4" s="4" t="str">
        <f t="shared" si="0"/>
        <v>250,5000</v>
      </c>
      <c r="E4" s="4" t="s">
        <v>43</v>
      </c>
      <c r="F4" s="14" t="s">
        <v>95</v>
      </c>
      <c r="G4" s="4">
        <v>25</v>
      </c>
      <c r="H4" s="4" t="str">
        <f>INT(LEFT(F4,SEARCH("~,",F4)-1)/G4)&amp;","&amp;INT(RIGHT(F4,LEN(F4)-SEARCH("~,",F4))/G4)</f>
        <v>20,200</v>
      </c>
    </row>
    <row r="5" spans="1:9" ht="15" customHeight="1" thickBot="1">
      <c r="A5" s="4" t="s">
        <v>10</v>
      </c>
      <c r="B5" s="14" t="s">
        <v>94</v>
      </c>
      <c r="C5" s="4">
        <v>2</v>
      </c>
      <c r="D5" s="4" t="str">
        <f t="shared" si="0"/>
        <v>250,5000</v>
      </c>
      <c r="E5" s="4" t="s">
        <v>44</v>
      </c>
      <c r="F5" s="14" t="s">
        <v>95</v>
      </c>
      <c r="G5" s="4">
        <v>20</v>
      </c>
      <c r="H5" s="4" t="str">
        <f>INT(LEFT(F5,SEARCH("~,",F5)-1)/G5)&amp;","&amp;INT(RIGHT(F5,LEN(F5)-SEARCH("~,",F5))/G5)</f>
        <v>25,250</v>
      </c>
    </row>
    <row r="6" spans="1:9" ht="15" customHeight="1" thickBot="1">
      <c r="A6" s="4" t="s">
        <v>11</v>
      </c>
      <c r="B6" s="14" t="s">
        <v>94</v>
      </c>
      <c r="C6" s="4">
        <v>3</v>
      </c>
      <c r="D6" s="4" t="str">
        <f t="shared" si="0"/>
        <v>166,3333</v>
      </c>
      <c r="E6" s="8" t="s">
        <v>58</v>
      </c>
      <c r="F6" s="14" t="s">
        <v>95</v>
      </c>
      <c r="G6" s="8">
        <v>20</v>
      </c>
      <c r="H6" s="4" t="str">
        <f>INT(LEFT(F6,SEARCH("~,",F6)-1)/G6)&amp;","&amp;INT(RIGHT(F6,LEN(F6)-SEARCH("~,",F6))/G6)</f>
        <v>25,250</v>
      </c>
    </row>
    <row r="7" spans="1:9" ht="15" customHeight="1" thickBot="1">
      <c r="A7" s="4" t="s">
        <v>12</v>
      </c>
      <c r="B7" s="14" t="s">
        <v>94</v>
      </c>
      <c r="C7" s="4">
        <v>4</v>
      </c>
      <c r="D7" s="4" t="str">
        <f t="shared" si="0"/>
        <v>125,2500</v>
      </c>
      <c r="F7" s="14"/>
    </row>
    <row r="8" spans="1:9" ht="15" customHeight="1" thickBot="1">
      <c r="A8" s="4" t="s">
        <v>0</v>
      </c>
      <c r="B8" s="14" t="s">
        <v>94</v>
      </c>
      <c r="C8" s="4">
        <v>5</v>
      </c>
      <c r="D8" s="4" t="str">
        <f t="shared" si="0"/>
        <v>100,2000</v>
      </c>
      <c r="F8" s="14"/>
    </row>
    <row r="9" spans="1:9" ht="15" customHeight="1" thickBot="1">
      <c r="A9" s="4" t="s">
        <v>13</v>
      </c>
      <c r="B9" s="14" t="s">
        <v>94</v>
      </c>
      <c r="C9" s="4">
        <v>7</v>
      </c>
      <c r="D9" s="4" t="str">
        <f t="shared" si="0"/>
        <v>71,1428</v>
      </c>
      <c r="F9" s="14"/>
    </row>
    <row r="10" spans="1:9" ht="15" customHeight="1" thickBot="1">
      <c r="A10" s="4" t="s">
        <v>2</v>
      </c>
      <c r="B10" s="14" t="s">
        <v>94</v>
      </c>
      <c r="C10" s="4">
        <v>6</v>
      </c>
      <c r="D10" s="4" t="str">
        <f t="shared" si="0"/>
        <v>83,1666</v>
      </c>
      <c r="F10" s="14"/>
    </row>
    <row r="11" spans="1:9" ht="15" customHeight="1" thickBot="1">
      <c r="A11" s="4" t="s">
        <v>7</v>
      </c>
      <c r="B11" s="14" t="s">
        <v>94</v>
      </c>
      <c r="C11" s="4">
        <v>9</v>
      </c>
      <c r="D11" s="4" t="str">
        <f t="shared" si="0"/>
        <v>55,1111</v>
      </c>
      <c r="F11" s="14"/>
    </row>
    <row r="12" spans="1:9" ht="15" customHeight="1" thickBot="1">
      <c r="A12" s="4" t="s">
        <v>3</v>
      </c>
      <c r="B12" s="14" t="s">
        <v>94</v>
      </c>
      <c r="C12" s="4">
        <v>10</v>
      </c>
      <c r="D12" s="4" t="str">
        <f t="shared" si="0"/>
        <v>50,1000</v>
      </c>
      <c r="F12" s="14"/>
    </row>
    <row r="13" spans="1:9" ht="15" customHeight="1" thickBot="1">
      <c r="A13" s="4" t="s">
        <v>4</v>
      </c>
      <c r="B13" s="14" t="s">
        <v>94</v>
      </c>
      <c r="C13" s="4">
        <v>10</v>
      </c>
      <c r="D13" s="4" t="str">
        <f t="shared" si="0"/>
        <v>50,1000</v>
      </c>
      <c r="F13" s="14"/>
    </row>
    <row r="14" spans="1:9" ht="15" customHeight="1" thickBot="1">
      <c r="A14" s="4" t="s">
        <v>14</v>
      </c>
      <c r="B14" s="14" t="s">
        <v>94</v>
      </c>
      <c r="C14" s="4">
        <v>10</v>
      </c>
      <c r="D14" s="4" t="str">
        <f t="shared" si="0"/>
        <v>50,1000</v>
      </c>
      <c r="F14" s="14"/>
    </row>
    <row r="15" spans="1:9" ht="15" customHeight="1" thickBot="1">
      <c r="A15" s="4" t="s">
        <v>36</v>
      </c>
      <c r="B15" s="14" t="s">
        <v>94</v>
      </c>
      <c r="C15" s="4">
        <v>9</v>
      </c>
      <c r="D15" s="4" t="str">
        <f t="shared" si="0"/>
        <v>55,1111</v>
      </c>
      <c r="F15" s="14"/>
    </row>
    <row r="16" spans="1:9" ht="15" customHeight="1" thickBot="1">
      <c r="A16" s="4" t="s">
        <v>37</v>
      </c>
      <c r="B16" s="14" t="s">
        <v>94</v>
      </c>
      <c r="C16" s="4">
        <v>10</v>
      </c>
      <c r="D16" s="4" t="str">
        <f t="shared" si="0"/>
        <v>50,1000</v>
      </c>
      <c r="F16" s="14"/>
    </row>
    <row r="17" spans="1:6" ht="15" customHeight="1" thickBot="1">
      <c r="A17" s="4" t="s">
        <v>38</v>
      </c>
      <c r="B17" s="14" t="s">
        <v>94</v>
      </c>
      <c r="C17" s="4">
        <v>10</v>
      </c>
      <c r="D17" s="4" t="str">
        <f t="shared" si="0"/>
        <v>50,1000</v>
      </c>
      <c r="F17" s="14"/>
    </row>
    <row r="18" spans="1:6" ht="15" customHeight="1" thickBot="1">
      <c r="A18" s="4" t="s">
        <v>39</v>
      </c>
      <c r="B18" s="14" t="s">
        <v>94</v>
      </c>
      <c r="C18" s="4">
        <v>10</v>
      </c>
      <c r="D18" s="4" t="str">
        <f t="shared" si="0"/>
        <v>50,1000</v>
      </c>
      <c r="F18" s="14"/>
    </row>
    <row r="19" spans="1:6" ht="15" customHeight="1" thickBot="1">
      <c r="A19" s="4" t="s">
        <v>40</v>
      </c>
      <c r="B19" s="14" t="s">
        <v>94</v>
      </c>
      <c r="C19" s="4">
        <v>10</v>
      </c>
      <c r="D19" s="4" t="str">
        <f t="shared" si="0"/>
        <v>50,1000</v>
      </c>
      <c r="F19" s="14"/>
    </row>
    <row r="20" spans="1:6" ht="15" customHeight="1" thickBot="1">
      <c r="A20" s="4" t="s">
        <v>6</v>
      </c>
      <c r="B20" s="14" t="s">
        <v>94</v>
      </c>
      <c r="C20" s="4">
        <v>8</v>
      </c>
      <c r="D20" s="4" t="str">
        <f t="shared" si="0"/>
        <v>62,1250</v>
      </c>
      <c r="F20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E13" sqref="E13"/>
    </sheetView>
  </sheetViews>
  <sheetFormatPr defaultRowHeight="13.5"/>
  <cols>
    <col min="3" max="4" width="17.875" customWidth="1"/>
    <col min="5" max="5" width="17.125" customWidth="1"/>
  </cols>
  <sheetData>
    <row r="1" spans="1:5">
      <c r="A1" s="8"/>
    </row>
    <row r="3" spans="1:5">
      <c r="C3" s="8" t="s">
        <v>100</v>
      </c>
      <c r="E3" s="8" t="s">
        <v>101</v>
      </c>
    </row>
    <row r="4" spans="1:5">
      <c r="C4" t="s">
        <v>102</v>
      </c>
      <c r="E4">
        <v>500</v>
      </c>
    </row>
    <row r="5" spans="1:5">
      <c r="C5" t="s">
        <v>103</v>
      </c>
      <c r="D5">
        <v>1.1000000000000001</v>
      </c>
      <c r="E5">
        <f>ROUND(E4*D5,-2)</f>
        <v>600</v>
      </c>
    </row>
    <row r="6" spans="1:5">
      <c r="C6" t="s">
        <v>104</v>
      </c>
      <c r="D6">
        <v>1.2</v>
      </c>
      <c r="E6">
        <f t="shared" ref="E6:E12" si="0">ROUND(E5*D6,-2)</f>
        <v>700</v>
      </c>
    </row>
    <row r="7" spans="1:5">
      <c r="C7" t="s">
        <v>105</v>
      </c>
      <c r="D7">
        <v>1.2</v>
      </c>
      <c r="E7">
        <f t="shared" si="0"/>
        <v>800</v>
      </c>
    </row>
    <row r="8" spans="1:5">
      <c r="C8" t="s">
        <v>106</v>
      </c>
      <c r="D8">
        <v>1.3</v>
      </c>
      <c r="E8">
        <f t="shared" si="0"/>
        <v>1000</v>
      </c>
    </row>
    <row r="9" spans="1:5">
      <c r="C9" t="s">
        <v>107</v>
      </c>
      <c r="D9">
        <v>1.3</v>
      </c>
      <c r="E9">
        <f t="shared" si="0"/>
        <v>1300</v>
      </c>
    </row>
    <row r="10" spans="1:5">
      <c r="C10" t="s">
        <v>108</v>
      </c>
      <c r="D10">
        <v>1.5</v>
      </c>
      <c r="E10">
        <f t="shared" si="0"/>
        <v>2000</v>
      </c>
    </row>
    <row r="11" spans="1:5">
      <c r="C11" t="s">
        <v>109</v>
      </c>
      <c r="D11">
        <v>1.5</v>
      </c>
      <c r="E11">
        <f t="shared" si="0"/>
        <v>3000</v>
      </c>
    </row>
    <row r="12" spans="1:5">
      <c r="C12" t="s">
        <v>110</v>
      </c>
      <c r="D12">
        <v>1.5</v>
      </c>
      <c r="E12">
        <f t="shared" si="0"/>
        <v>4500</v>
      </c>
    </row>
    <row r="13" spans="1:5">
      <c r="C13" t="s">
        <v>111</v>
      </c>
      <c r="D13">
        <v>1.5</v>
      </c>
      <c r="E13">
        <f>IF(ROUND(E12*D13,-2)&gt;5000,5000)</f>
        <v>5000</v>
      </c>
    </row>
    <row r="14" spans="1:5">
      <c r="C14" t="s">
        <v>112</v>
      </c>
      <c r="D14">
        <v>1.5</v>
      </c>
      <c r="E14">
        <f>IF(ROUND(E13*D14,-2)&gt;5000,5000)</f>
        <v>5000</v>
      </c>
    </row>
    <row r="15" spans="1:5">
      <c r="C15" t="s">
        <v>113</v>
      </c>
      <c r="D15">
        <v>1.5</v>
      </c>
      <c r="E15">
        <f>IF(ROUND(E14*D15,-2)&gt;5000,5000)</f>
        <v>5000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兵力属性</vt:lpstr>
      <vt:lpstr>兵力对比</vt:lpstr>
      <vt:lpstr>兵力精算</vt:lpstr>
      <vt:lpstr>阶段划分</vt:lpstr>
      <vt:lpstr>出售价格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2014-07-21T08:08:04Z</dcterms:modified>
</cp:coreProperties>
</file>